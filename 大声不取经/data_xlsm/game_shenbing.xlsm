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210" windowWidth="28770" windowHeight="12105"/>
  </bookViews>
  <sheets>
    <sheet name="Sheet1" sheetId="1" r:id="rId1"/>
    <sheet name="Sheet2" sheetId="2" r:id="rId2"/>
  </sheets>
  <functionGroups/>
  <externalReferences>
    <externalReference r:id="rId3"/>
  </externalReferences>
  <definedNames>
    <definedName name="_xlnm._FilterDatabase" localSheetId="0" hidden="1">Sheet1!$A$3:$AD$3</definedName>
  </definedNames>
  <calcPr calcId="124519" concurrentCalc="0"/>
</workbook>
</file>

<file path=xl/calcChain.xml><?xml version="1.0" encoding="utf-8"?>
<calcChain xmlns="http://schemas.openxmlformats.org/spreadsheetml/2006/main">
  <c r="AG48" i="1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D5" l="1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I45"/>
  <c r="M45"/>
  <c r="Q45"/>
  <c r="U45"/>
  <c r="Y45"/>
  <c r="AC45"/>
  <c r="N45"/>
  <c r="G45"/>
  <c r="K45"/>
  <c r="O45"/>
  <c r="S45"/>
  <c r="W45"/>
  <c r="AA45"/>
  <c r="X45"/>
  <c r="F45"/>
  <c r="R45"/>
  <c r="Z45"/>
  <c r="H45"/>
  <c r="L45"/>
  <c r="P45"/>
  <c r="T45"/>
  <c r="AB45"/>
  <c r="J45"/>
  <c r="V45"/>
  <c r="H29"/>
  <c r="F29"/>
  <c r="J29"/>
  <c r="N29"/>
  <c r="R29"/>
  <c r="V29"/>
  <c r="G29"/>
  <c r="K29"/>
  <c r="I29"/>
  <c r="P29"/>
  <c r="U29"/>
  <c r="Z29"/>
  <c r="M29"/>
  <c r="S29"/>
  <c r="X29"/>
  <c r="AB29"/>
  <c r="O29"/>
  <c r="T29"/>
  <c r="Y29"/>
  <c r="AC29"/>
  <c r="AA29"/>
  <c r="L29"/>
  <c r="Q29"/>
  <c r="W29"/>
  <c r="F17"/>
  <c r="J17"/>
  <c r="N17"/>
  <c r="R17"/>
  <c r="V17"/>
  <c r="Z17"/>
  <c r="H17"/>
  <c r="L17"/>
  <c r="P17"/>
  <c r="T17"/>
  <c r="X17"/>
  <c r="AB17"/>
  <c r="I17"/>
  <c r="M17"/>
  <c r="Q17"/>
  <c r="U17"/>
  <c r="Y17"/>
  <c r="AC17"/>
  <c r="G17"/>
  <c r="W17"/>
  <c r="O17"/>
  <c r="S17"/>
  <c r="K17"/>
  <c r="AA17"/>
  <c r="I47"/>
  <c r="M47"/>
  <c r="Q47"/>
  <c r="U47"/>
  <c r="Y47"/>
  <c r="AC47"/>
  <c r="J47"/>
  <c r="V47"/>
  <c r="G47"/>
  <c r="K47"/>
  <c r="O47"/>
  <c r="S47"/>
  <c r="W47"/>
  <c r="AA47"/>
  <c r="L47"/>
  <c r="T47"/>
  <c r="X47"/>
  <c r="F47"/>
  <c r="N47"/>
  <c r="Z47"/>
  <c r="H47"/>
  <c r="P47"/>
  <c r="AB47"/>
  <c r="R47"/>
  <c r="F39"/>
  <c r="J39"/>
  <c r="N39"/>
  <c r="R39"/>
  <c r="V39"/>
  <c r="Z39"/>
  <c r="H39"/>
  <c r="L39"/>
  <c r="P39"/>
  <c r="T39"/>
  <c r="X39"/>
  <c r="AB39"/>
  <c r="I39"/>
  <c r="M39"/>
  <c r="Q39"/>
  <c r="U39"/>
  <c r="Y39"/>
  <c r="AC39"/>
  <c r="K39"/>
  <c r="AA39"/>
  <c r="O39"/>
  <c r="S39"/>
  <c r="G39"/>
  <c r="W39"/>
  <c r="F35"/>
  <c r="J35"/>
  <c r="N35"/>
  <c r="R35"/>
  <c r="V35"/>
  <c r="Z35"/>
  <c r="H35"/>
  <c r="L35"/>
  <c r="P35"/>
  <c r="T35"/>
  <c r="X35"/>
  <c r="AB35"/>
  <c r="I35"/>
  <c r="M35"/>
  <c r="Q35"/>
  <c r="U35"/>
  <c r="Y35"/>
  <c r="AC35"/>
  <c r="K35"/>
  <c r="AA35"/>
  <c r="O35"/>
  <c r="S35"/>
  <c r="G35"/>
  <c r="W35"/>
  <c r="F31"/>
  <c r="J31"/>
  <c r="N31"/>
  <c r="R31"/>
  <c r="V31"/>
  <c r="Z31"/>
  <c r="H31"/>
  <c r="L31"/>
  <c r="P31"/>
  <c r="T31"/>
  <c r="X31"/>
  <c r="AB31"/>
  <c r="I31"/>
  <c r="M31"/>
  <c r="Q31"/>
  <c r="U31"/>
  <c r="Y31"/>
  <c r="AC31"/>
  <c r="K31"/>
  <c r="AA31"/>
  <c r="O31"/>
  <c r="S31"/>
  <c r="G31"/>
  <c r="W31"/>
  <c r="H27"/>
  <c r="L27"/>
  <c r="P27"/>
  <c r="T27"/>
  <c r="X27"/>
  <c r="AB27"/>
  <c r="F27"/>
  <c r="J27"/>
  <c r="N27"/>
  <c r="R27"/>
  <c r="V27"/>
  <c r="Z27"/>
  <c r="G27"/>
  <c r="K27"/>
  <c r="O27"/>
  <c r="S27"/>
  <c r="W27"/>
  <c r="AA27"/>
  <c r="I27"/>
  <c r="Y27"/>
  <c r="Q27"/>
  <c r="U27"/>
  <c r="M27"/>
  <c r="AC27"/>
  <c r="H23"/>
  <c r="L23"/>
  <c r="P23"/>
  <c r="T23"/>
  <c r="X23"/>
  <c r="AB23"/>
  <c r="F23"/>
  <c r="J23"/>
  <c r="N23"/>
  <c r="R23"/>
  <c r="V23"/>
  <c r="Z23"/>
  <c r="G23"/>
  <c r="K23"/>
  <c r="O23"/>
  <c r="S23"/>
  <c r="W23"/>
  <c r="AA23"/>
  <c r="I23"/>
  <c r="Y23"/>
  <c r="Q23"/>
  <c r="U23"/>
  <c r="M23"/>
  <c r="AC23"/>
  <c r="H19"/>
  <c r="G19"/>
  <c r="L19"/>
  <c r="P19"/>
  <c r="T19"/>
  <c r="X19"/>
  <c r="AB19"/>
  <c r="J19"/>
  <c r="N19"/>
  <c r="R19"/>
  <c r="V19"/>
  <c r="Z19"/>
  <c r="F19"/>
  <c r="K19"/>
  <c r="O19"/>
  <c r="S19"/>
  <c r="W19"/>
  <c r="AA19"/>
  <c r="I19"/>
  <c r="Y19"/>
  <c r="Q19"/>
  <c r="U19"/>
  <c r="M19"/>
  <c r="AC19"/>
  <c r="F15"/>
  <c r="J15"/>
  <c r="N15"/>
  <c r="R15"/>
  <c r="V15"/>
  <c r="Z15"/>
  <c r="H15"/>
  <c r="L15"/>
  <c r="P15"/>
  <c r="T15"/>
  <c r="X15"/>
  <c r="AB15"/>
  <c r="I15"/>
  <c r="M15"/>
  <c r="Q15"/>
  <c r="U15"/>
  <c r="Y15"/>
  <c r="AC15"/>
  <c r="G15"/>
  <c r="W15"/>
  <c r="O15"/>
  <c r="S15"/>
  <c r="AA15"/>
  <c r="K15"/>
  <c r="F11"/>
  <c r="J11"/>
  <c r="N11"/>
  <c r="R11"/>
  <c r="V11"/>
  <c r="Z11"/>
  <c r="H11"/>
  <c r="L11"/>
  <c r="P11"/>
  <c r="T11"/>
  <c r="X11"/>
  <c r="AB11"/>
  <c r="I11"/>
  <c r="M11"/>
  <c r="Q11"/>
  <c r="U11"/>
  <c r="Y11"/>
  <c r="AC11"/>
  <c r="G11"/>
  <c r="W11"/>
  <c r="O11"/>
  <c r="S11"/>
  <c r="AA11"/>
  <c r="K11"/>
  <c r="F7"/>
  <c r="J7"/>
  <c r="N7"/>
  <c r="R7"/>
  <c r="V7"/>
  <c r="Z7"/>
  <c r="H7"/>
  <c r="L7"/>
  <c r="P7"/>
  <c r="T7"/>
  <c r="X7"/>
  <c r="AB7"/>
  <c r="I7"/>
  <c r="M7"/>
  <c r="Q7"/>
  <c r="U7"/>
  <c r="Y7"/>
  <c r="AC7"/>
  <c r="G7"/>
  <c r="W7"/>
  <c r="O7"/>
  <c r="S7"/>
  <c r="AA7"/>
  <c r="K7"/>
  <c r="H41"/>
  <c r="I41"/>
  <c r="M41"/>
  <c r="Q41"/>
  <c r="U41"/>
  <c r="Y41"/>
  <c r="AC41"/>
  <c r="N41"/>
  <c r="V41"/>
  <c r="F41"/>
  <c r="K41"/>
  <c r="O41"/>
  <c r="S41"/>
  <c r="W41"/>
  <c r="AA41"/>
  <c r="R41"/>
  <c r="G41"/>
  <c r="L41"/>
  <c r="P41"/>
  <c r="T41"/>
  <c r="X41"/>
  <c r="AB41"/>
  <c r="J41"/>
  <c r="Z41"/>
  <c r="F33"/>
  <c r="J33"/>
  <c r="N33"/>
  <c r="R33"/>
  <c r="V33"/>
  <c r="Z33"/>
  <c r="H33"/>
  <c r="L33"/>
  <c r="P33"/>
  <c r="T33"/>
  <c r="X33"/>
  <c r="AB33"/>
  <c r="I33"/>
  <c r="M33"/>
  <c r="Q33"/>
  <c r="U33"/>
  <c r="Y33"/>
  <c r="AC33"/>
  <c r="K33"/>
  <c r="AA33"/>
  <c r="S33"/>
  <c r="G33"/>
  <c r="W33"/>
  <c r="O33"/>
  <c r="H21"/>
  <c r="L21"/>
  <c r="P21"/>
  <c r="T21"/>
  <c r="X21"/>
  <c r="AB21"/>
  <c r="F21"/>
  <c r="J21"/>
  <c r="N21"/>
  <c r="R21"/>
  <c r="V21"/>
  <c r="Z21"/>
  <c r="G21"/>
  <c r="K21"/>
  <c r="O21"/>
  <c r="S21"/>
  <c r="W21"/>
  <c r="AA21"/>
  <c r="I21"/>
  <c r="Y21"/>
  <c r="Q21"/>
  <c r="U21"/>
  <c r="M21"/>
  <c r="AC21"/>
  <c r="F13"/>
  <c r="J13"/>
  <c r="N13"/>
  <c r="R13"/>
  <c r="V13"/>
  <c r="Z13"/>
  <c r="H13"/>
  <c r="L13"/>
  <c r="P13"/>
  <c r="T13"/>
  <c r="X13"/>
  <c r="AB13"/>
  <c r="I13"/>
  <c r="M13"/>
  <c r="Q13"/>
  <c r="U13"/>
  <c r="Y13"/>
  <c r="AC13"/>
  <c r="G13"/>
  <c r="W13"/>
  <c r="O13"/>
  <c r="S13"/>
  <c r="K13"/>
  <c r="AA13"/>
  <c r="F5"/>
  <c r="J5"/>
  <c r="N5"/>
  <c r="R5"/>
  <c r="V5"/>
  <c r="Z5"/>
  <c r="H5"/>
  <c r="L5"/>
  <c r="P5"/>
  <c r="T5"/>
  <c r="X5"/>
  <c r="AB5"/>
  <c r="I5"/>
  <c r="M5"/>
  <c r="Q5"/>
  <c r="U5"/>
  <c r="Y5"/>
  <c r="AC5"/>
  <c r="G5"/>
  <c r="W5"/>
  <c r="O5"/>
  <c r="S5"/>
  <c r="K5"/>
  <c r="AA5"/>
  <c r="I44"/>
  <c r="M44"/>
  <c r="Q44"/>
  <c r="U44"/>
  <c r="Y44"/>
  <c r="AC44"/>
  <c r="N44"/>
  <c r="Z44"/>
  <c r="G44"/>
  <c r="K44"/>
  <c r="O44"/>
  <c r="S44"/>
  <c r="W44"/>
  <c r="AA44"/>
  <c r="J44"/>
  <c r="R44"/>
  <c r="H44"/>
  <c r="L44"/>
  <c r="P44"/>
  <c r="T44"/>
  <c r="X44"/>
  <c r="AB44"/>
  <c r="F44"/>
  <c r="V44"/>
  <c r="I43"/>
  <c r="M43"/>
  <c r="Q43"/>
  <c r="U43"/>
  <c r="Y43"/>
  <c r="AC43"/>
  <c r="J43"/>
  <c r="V43"/>
  <c r="G43"/>
  <c r="K43"/>
  <c r="O43"/>
  <c r="S43"/>
  <c r="W43"/>
  <c r="AA43"/>
  <c r="N43"/>
  <c r="Z43"/>
  <c r="H43"/>
  <c r="L43"/>
  <c r="P43"/>
  <c r="T43"/>
  <c r="X43"/>
  <c r="AB43"/>
  <c r="F43"/>
  <c r="R43"/>
  <c r="I46"/>
  <c r="M46"/>
  <c r="Q46"/>
  <c r="U46"/>
  <c r="Y46"/>
  <c r="AC46"/>
  <c r="F46"/>
  <c r="V46"/>
  <c r="G46"/>
  <c r="K46"/>
  <c r="O46"/>
  <c r="S46"/>
  <c r="W46"/>
  <c r="AA46"/>
  <c r="H46"/>
  <c r="P46"/>
  <c r="X46"/>
  <c r="AB46"/>
  <c r="J46"/>
  <c r="R46"/>
  <c r="L46"/>
  <c r="T46"/>
  <c r="N46"/>
  <c r="Z46"/>
  <c r="I42"/>
  <c r="M42"/>
  <c r="Q42"/>
  <c r="U42"/>
  <c r="Y42"/>
  <c r="AC42"/>
  <c r="J42"/>
  <c r="V42"/>
  <c r="G42"/>
  <c r="K42"/>
  <c r="O42"/>
  <c r="S42"/>
  <c r="W42"/>
  <c r="AA42"/>
  <c r="F42"/>
  <c r="R42"/>
  <c r="Z42"/>
  <c r="H42"/>
  <c r="L42"/>
  <c r="P42"/>
  <c r="T42"/>
  <c r="X42"/>
  <c r="AB42"/>
  <c r="N42"/>
  <c r="F38"/>
  <c r="J38"/>
  <c r="N38"/>
  <c r="R38"/>
  <c r="V38"/>
  <c r="Z38"/>
  <c r="H38"/>
  <c r="L38"/>
  <c r="P38"/>
  <c r="T38"/>
  <c r="X38"/>
  <c r="AB38"/>
  <c r="I38"/>
  <c r="M38"/>
  <c r="Q38"/>
  <c r="U38"/>
  <c r="Y38"/>
  <c r="AC38"/>
  <c r="S38"/>
  <c r="K38"/>
  <c r="AA38"/>
  <c r="G38"/>
  <c r="O38"/>
  <c r="W38"/>
  <c r="F34"/>
  <c r="J34"/>
  <c r="N34"/>
  <c r="R34"/>
  <c r="V34"/>
  <c r="Z34"/>
  <c r="H34"/>
  <c r="L34"/>
  <c r="P34"/>
  <c r="T34"/>
  <c r="X34"/>
  <c r="AB34"/>
  <c r="I34"/>
  <c r="M34"/>
  <c r="Q34"/>
  <c r="U34"/>
  <c r="Y34"/>
  <c r="AC34"/>
  <c r="S34"/>
  <c r="G34"/>
  <c r="K34"/>
  <c r="AA34"/>
  <c r="W34"/>
  <c r="O34"/>
  <c r="F30"/>
  <c r="J30"/>
  <c r="N30"/>
  <c r="R30"/>
  <c r="V30"/>
  <c r="Z30"/>
  <c r="H30"/>
  <c r="L30"/>
  <c r="P30"/>
  <c r="T30"/>
  <c r="X30"/>
  <c r="AB30"/>
  <c r="I30"/>
  <c r="M30"/>
  <c r="Q30"/>
  <c r="U30"/>
  <c r="Y30"/>
  <c r="AC30"/>
  <c r="S30"/>
  <c r="W30"/>
  <c r="K30"/>
  <c r="AA30"/>
  <c r="O30"/>
  <c r="G30"/>
  <c r="H26"/>
  <c r="L26"/>
  <c r="P26"/>
  <c r="T26"/>
  <c r="X26"/>
  <c r="AB26"/>
  <c r="F26"/>
  <c r="J26"/>
  <c r="N26"/>
  <c r="R26"/>
  <c r="V26"/>
  <c r="Z26"/>
  <c r="G26"/>
  <c r="K26"/>
  <c r="O26"/>
  <c r="S26"/>
  <c r="W26"/>
  <c r="AA26"/>
  <c r="Q26"/>
  <c r="I26"/>
  <c r="Y26"/>
  <c r="M26"/>
  <c r="AC26"/>
  <c r="U26"/>
  <c r="H22"/>
  <c r="L22"/>
  <c r="P22"/>
  <c r="T22"/>
  <c r="X22"/>
  <c r="AB22"/>
  <c r="F22"/>
  <c r="J22"/>
  <c r="N22"/>
  <c r="R22"/>
  <c r="V22"/>
  <c r="Z22"/>
  <c r="G22"/>
  <c r="K22"/>
  <c r="O22"/>
  <c r="S22"/>
  <c r="W22"/>
  <c r="AA22"/>
  <c r="Q22"/>
  <c r="I22"/>
  <c r="Y22"/>
  <c r="M22"/>
  <c r="AC22"/>
  <c r="U22"/>
  <c r="F18"/>
  <c r="H18"/>
  <c r="L18"/>
  <c r="P18"/>
  <c r="T18"/>
  <c r="X18"/>
  <c r="AB18"/>
  <c r="J18"/>
  <c r="O18"/>
  <c r="U18"/>
  <c r="Z18"/>
  <c r="G18"/>
  <c r="M18"/>
  <c r="R18"/>
  <c r="W18"/>
  <c r="AC18"/>
  <c r="I18"/>
  <c r="N18"/>
  <c r="S18"/>
  <c r="Y18"/>
  <c r="K18"/>
  <c r="V18"/>
  <c r="AA18"/>
  <c r="Q18"/>
  <c r="F14"/>
  <c r="J14"/>
  <c r="N14"/>
  <c r="R14"/>
  <c r="V14"/>
  <c r="Z14"/>
  <c r="H14"/>
  <c r="L14"/>
  <c r="P14"/>
  <c r="T14"/>
  <c r="X14"/>
  <c r="AB14"/>
  <c r="I14"/>
  <c r="M14"/>
  <c r="Q14"/>
  <c r="U14"/>
  <c r="Y14"/>
  <c r="AC14"/>
  <c r="O14"/>
  <c r="G14"/>
  <c r="W14"/>
  <c r="K14"/>
  <c r="AA14"/>
  <c r="S14"/>
  <c r="F10"/>
  <c r="J10"/>
  <c r="N10"/>
  <c r="R10"/>
  <c r="V10"/>
  <c r="Z10"/>
  <c r="H10"/>
  <c r="L10"/>
  <c r="P10"/>
  <c r="T10"/>
  <c r="X10"/>
  <c r="AB10"/>
  <c r="I10"/>
  <c r="M10"/>
  <c r="Q10"/>
  <c r="U10"/>
  <c r="Y10"/>
  <c r="AC10"/>
  <c r="O10"/>
  <c r="G10"/>
  <c r="W10"/>
  <c r="K10"/>
  <c r="AA10"/>
  <c r="S10"/>
  <c r="F6"/>
  <c r="J6"/>
  <c r="N6"/>
  <c r="R6"/>
  <c r="V6"/>
  <c r="Z6"/>
  <c r="H6"/>
  <c r="L6"/>
  <c r="P6"/>
  <c r="T6"/>
  <c r="X6"/>
  <c r="AB6"/>
  <c r="I6"/>
  <c r="M6"/>
  <c r="Q6"/>
  <c r="U6"/>
  <c r="Y6"/>
  <c r="AC6"/>
  <c r="O6"/>
  <c r="G6"/>
  <c r="W6"/>
  <c r="K6"/>
  <c r="AA6"/>
  <c r="S6"/>
  <c r="F37"/>
  <c r="J37"/>
  <c r="N37"/>
  <c r="R37"/>
  <c r="V37"/>
  <c r="Z37"/>
  <c r="H37"/>
  <c r="L37"/>
  <c r="P37"/>
  <c r="T37"/>
  <c r="X37"/>
  <c r="AB37"/>
  <c r="I37"/>
  <c r="M37"/>
  <c r="Q37"/>
  <c r="U37"/>
  <c r="Y37"/>
  <c r="AC37"/>
  <c r="K37"/>
  <c r="AA37"/>
  <c r="O37"/>
  <c r="S37"/>
  <c r="G37"/>
  <c r="W37"/>
  <c r="H25"/>
  <c r="L25"/>
  <c r="P25"/>
  <c r="T25"/>
  <c r="X25"/>
  <c r="AB25"/>
  <c r="F25"/>
  <c r="J25"/>
  <c r="N25"/>
  <c r="R25"/>
  <c r="V25"/>
  <c r="Z25"/>
  <c r="G25"/>
  <c r="K25"/>
  <c r="O25"/>
  <c r="S25"/>
  <c r="W25"/>
  <c r="AA25"/>
  <c r="I25"/>
  <c r="Y25"/>
  <c r="Q25"/>
  <c r="U25"/>
  <c r="AC25"/>
  <c r="M25"/>
  <c r="F9"/>
  <c r="J9"/>
  <c r="N9"/>
  <c r="R9"/>
  <c r="V9"/>
  <c r="Z9"/>
  <c r="H9"/>
  <c r="L9"/>
  <c r="P9"/>
  <c r="T9"/>
  <c r="X9"/>
  <c r="AB9"/>
  <c r="I9"/>
  <c r="M9"/>
  <c r="Q9"/>
  <c r="U9"/>
  <c r="Y9"/>
  <c r="AC9"/>
  <c r="G9"/>
  <c r="W9"/>
  <c r="O9"/>
  <c r="S9"/>
  <c r="K9"/>
  <c r="AA9"/>
  <c r="F40"/>
  <c r="H40"/>
  <c r="L40"/>
  <c r="P40"/>
  <c r="T40"/>
  <c r="X40"/>
  <c r="AB40"/>
  <c r="K40"/>
  <c r="Q40"/>
  <c r="V40"/>
  <c r="AA40"/>
  <c r="W40"/>
  <c r="I40"/>
  <c r="N40"/>
  <c r="S40"/>
  <c r="Y40"/>
  <c r="G40"/>
  <c r="R40"/>
  <c r="AC40"/>
  <c r="J40"/>
  <c r="O40"/>
  <c r="U40"/>
  <c r="Z40"/>
  <c r="M40"/>
  <c r="F36"/>
  <c r="J36"/>
  <c r="N36"/>
  <c r="R36"/>
  <c r="V36"/>
  <c r="Z36"/>
  <c r="H36"/>
  <c r="L36"/>
  <c r="P36"/>
  <c r="T36"/>
  <c r="X36"/>
  <c r="AB36"/>
  <c r="I36"/>
  <c r="M36"/>
  <c r="Q36"/>
  <c r="U36"/>
  <c r="Y36"/>
  <c r="AC36"/>
  <c r="S36"/>
  <c r="K36"/>
  <c r="AA36"/>
  <c r="G36"/>
  <c r="O36"/>
  <c r="W36"/>
  <c r="F32"/>
  <c r="J32"/>
  <c r="N32"/>
  <c r="R32"/>
  <c r="V32"/>
  <c r="Z32"/>
  <c r="H32"/>
  <c r="L32"/>
  <c r="P32"/>
  <c r="T32"/>
  <c r="X32"/>
  <c r="AB32"/>
  <c r="I32"/>
  <c r="M32"/>
  <c r="Q32"/>
  <c r="U32"/>
  <c r="Y32"/>
  <c r="AC32"/>
  <c r="S32"/>
  <c r="W32"/>
  <c r="K32"/>
  <c r="AA32"/>
  <c r="G32"/>
  <c r="O32"/>
  <c r="H28"/>
  <c r="L28"/>
  <c r="P28"/>
  <c r="T28"/>
  <c r="X28"/>
  <c r="AB28"/>
  <c r="F28"/>
  <c r="J28"/>
  <c r="N28"/>
  <c r="R28"/>
  <c r="V28"/>
  <c r="Z28"/>
  <c r="G28"/>
  <c r="K28"/>
  <c r="O28"/>
  <c r="S28"/>
  <c r="W28"/>
  <c r="AA28"/>
  <c r="Q28"/>
  <c r="I28"/>
  <c r="Y28"/>
  <c r="M28"/>
  <c r="AC28"/>
  <c r="U28"/>
  <c r="H24"/>
  <c r="L24"/>
  <c r="P24"/>
  <c r="T24"/>
  <c r="X24"/>
  <c r="AB24"/>
  <c r="F24"/>
  <c r="J24"/>
  <c r="N24"/>
  <c r="R24"/>
  <c r="V24"/>
  <c r="Z24"/>
  <c r="G24"/>
  <c r="K24"/>
  <c r="O24"/>
  <c r="S24"/>
  <c r="W24"/>
  <c r="AA24"/>
  <c r="Q24"/>
  <c r="I24"/>
  <c r="Y24"/>
  <c r="M24"/>
  <c r="AC24"/>
  <c r="U24"/>
  <c r="H20"/>
  <c r="L20"/>
  <c r="P20"/>
  <c r="T20"/>
  <c r="X20"/>
  <c r="AB20"/>
  <c r="F20"/>
  <c r="J20"/>
  <c r="N20"/>
  <c r="R20"/>
  <c r="V20"/>
  <c r="Z20"/>
  <c r="G20"/>
  <c r="K20"/>
  <c r="O20"/>
  <c r="S20"/>
  <c r="W20"/>
  <c r="AA20"/>
  <c r="Q20"/>
  <c r="I20"/>
  <c r="Y20"/>
  <c r="M20"/>
  <c r="AC20"/>
  <c r="U20"/>
  <c r="F16"/>
  <c r="J16"/>
  <c r="N16"/>
  <c r="R16"/>
  <c r="V16"/>
  <c r="Z16"/>
  <c r="H16"/>
  <c r="L16"/>
  <c r="P16"/>
  <c r="T16"/>
  <c r="X16"/>
  <c r="AB16"/>
  <c r="I16"/>
  <c r="M16"/>
  <c r="Q16"/>
  <c r="U16"/>
  <c r="Y16"/>
  <c r="AC16"/>
  <c r="O16"/>
  <c r="G16"/>
  <c r="W16"/>
  <c r="K16"/>
  <c r="AA16"/>
  <c r="S16"/>
  <c r="F12"/>
  <c r="J12"/>
  <c r="N12"/>
  <c r="R12"/>
  <c r="V12"/>
  <c r="Z12"/>
  <c r="H12"/>
  <c r="L12"/>
  <c r="P12"/>
  <c r="T12"/>
  <c r="X12"/>
  <c r="AB12"/>
  <c r="I12"/>
  <c r="M12"/>
  <c r="Q12"/>
  <c r="U12"/>
  <c r="Y12"/>
  <c r="AC12"/>
  <c r="O12"/>
  <c r="G12"/>
  <c r="W12"/>
  <c r="K12"/>
  <c r="AA12"/>
  <c r="S12"/>
  <c r="F8"/>
  <c r="J8"/>
  <c r="N8"/>
  <c r="R8"/>
  <c r="V8"/>
  <c r="Z8"/>
  <c r="H8"/>
  <c r="L8"/>
  <c r="P8"/>
  <c r="T8"/>
  <c r="X8"/>
  <c r="AB8"/>
  <c r="I8"/>
  <c r="M8"/>
  <c r="Q8"/>
  <c r="U8"/>
  <c r="Y8"/>
  <c r="AC8"/>
  <c r="O8"/>
  <c r="G8"/>
  <c r="W8"/>
  <c r="K8"/>
  <c r="AA8"/>
  <c r="S8"/>
  <c r="J4"/>
  <c r="N4"/>
  <c r="R4"/>
  <c r="V4"/>
  <c r="Z4"/>
  <c r="F4"/>
  <c r="K4"/>
  <c r="W4"/>
  <c r="H4"/>
  <c r="L4"/>
  <c r="P4"/>
  <c r="T4"/>
  <c r="X4"/>
  <c r="AB4"/>
  <c r="I4"/>
  <c r="M4"/>
  <c r="U4"/>
  <c r="AC4"/>
  <c r="O4"/>
  <c r="AA4"/>
  <c r="Q4"/>
  <c r="Y4"/>
  <c r="G4"/>
  <c r="S4"/>
</calcChain>
</file>

<file path=xl/sharedStrings.xml><?xml version="1.0" encoding="utf-8"?>
<sst xmlns="http://schemas.openxmlformats.org/spreadsheetml/2006/main" count="312" uniqueCount="225">
  <si>
    <t>命中初始值
（百分比）</t>
    <phoneticPr fontId="2" type="noConversion"/>
  </si>
  <si>
    <t>闪避初始值
（百分比）</t>
    <phoneticPr fontId="2" type="noConversion"/>
  </si>
  <si>
    <t>暴击初始值
（百分比）</t>
    <phoneticPr fontId="2" type="noConversion"/>
  </si>
  <si>
    <t>s</t>
    <phoneticPr fontId="2" type="noConversion"/>
  </si>
  <si>
    <t>hp</t>
  </si>
  <si>
    <t>i</t>
    <phoneticPr fontId="2" type="noConversion"/>
  </si>
  <si>
    <t>attack</t>
  </si>
  <si>
    <t>defense_p</t>
    <phoneticPr fontId="2" type="noConversion"/>
  </si>
  <si>
    <t>defense_m</t>
    <phoneticPr fontId="2" type="noConversion"/>
  </si>
  <si>
    <t>hit_prop</t>
  </si>
  <si>
    <t>dodge_prop</t>
  </si>
  <si>
    <t>crit_prop</t>
  </si>
  <si>
    <t>uncrit_prop</t>
  </si>
  <si>
    <t>n</t>
  </si>
  <si>
    <t>hp_lvl</t>
    <phoneticPr fontId="2" type="noConversion"/>
  </si>
  <si>
    <t>attack_lvl</t>
    <phoneticPr fontId="2" type="noConversion"/>
  </si>
  <si>
    <t>defense_p_lvl</t>
    <phoneticPr fontId="2" type="noConversion"/>
  </si>
  <si>
    <t>defense_m_lvl</t>
    <phoneticPr fontId="2" type="noConversion"/>
  </si>
  <si>
    <t>hit_prop_lvl</t>
    <phoneticPr fontId="2" type="noConversion"/>
  </si>
  <si>
    <t>dodge_prop_lvl</t>
    <phoneticPr fontId="2" type="noConversion"/>
  </si>
  <si>
    <t>crit_prop_lvl</t>
    <phoneticPr fontId="2" type="noConversion"/>
  </si>
  <si>
    <t>uncrit_prop_lvl</t>
    <phoneticPr fontId="2" type="noConversion"/>
  </si>
  <si>
    <t>n</t>
    <phoneticPr fontId="2" type="noConversion"/>
  </si>
  <si>
    <t>id</t>
  </si>
  <si>
    <t>生命初始值
[整型]</t>
  </si>
  <si>
    <t>攻击力初始值[整型]</t>
  </si>
  <si>
    <t>物理防御初始值
[整型]</t>
  </si>
  <si>
    <t>魔法防御初始值
[整型]</t>
  </si>
  <si>
    <t>抗暴击初始值（百分比）</t>
  </si>
  <si>
    <t>神兵ID
[字符串]</t>
  </si>
  <si>
    <t>神兵强化
生命成长[浮点型]</t>
    <phoneticPr fontId="1" type="noConversion"/>
  </si>
  <si>
    <t>神兵强化
攻击成长[浮点型]</t>
    <phoneticPr fontId="1" type="noConversion"/>
  </si>
  <si>
    <t>神兵强化
物理防御成长[浮点型]</t>
    <phoneticPr fontId="1" type="noConversion"/>
  </si>
  <si>
    <t>神兵强化
魔法防御成长[浮点型]</t>
    <phoneticPr fontId="1" type="noConversion"/>
  </si>
  <si>
    <t>神兵强化
命中成长[浮点型]</t>
    <phoneticPr fontId="1" type="noConversion"/>
  </si>
  <si>
    <t>神兵强化
闪避成长[浮点型]</t>
    <phoneticPr fontId="1" type="noConversion"/>
  </si>
  <si>
    <t>神兵强化
暴击成长[浮点型]</t>
    <phoneticPr fontId="1" type="noConversion"/>
  </si>
  <si>
    <t>神兵强化
抗暴成长[浮点型]</t>
    <phoneticPr fontId="1" type="noConversion"/>
  </si>
  <si>
    <t>神兵精炼
生命成长[浮点型]</t>
  </si>
  <si>
    <t>神兵精炼
攻击成长[浮点型]</t>
  </si>
  <si>
    <t>神兵精炼
物理防御成长[浮点型]</t>
  </si>
  <si>
    <t>神兵精炼
魔法防御成长[浮点型]</t>
  </si>
  <si>
    <t>神兵精炼
命中成长[浮点型]</t>
  </si>
  <si>
    <t>神兵精炼
闪避成长[浮点型]</t>
  </si>
  <si>
    <t>神兵精炼
暴击成长[浮点型]</t>
  </si>
  <si>
    <t>神兵精炼
抗暴成长[浮点型]</t>
  </si>
  <si>
    <t>hp_lv_jl</t>
  </si>
  <si>
    <t>attack_lv_jl</t>
  </si>
  <si>
    <t>defense_p_lv_jl</t>
  </si>
  <si>
    <t>defense_m_lv_jl</t>
  </si>
  <si>
    <t>hit_prop_lv_jl</t>
  </si>
  <si>
    <t>dodge_prop_lv_jl</t>
  </si>
  <si>
    <t>crit_prop_lv_jl</t>
  </si>
  <si>
    <t>uncrit_prop_lv_jl</t>
  </si>
  <si>
    <t>神兵表现相关内容</t>
    <phoneticPr fontId="1" type="noConversion"/>
  </si>
  <si>
    <t>show_id</t>
    <phoneticPr fontId="1" type="noConversion"/>
  </si>
  <si>
    <t>na</t>
    <phoneticPr fontId="1" type="noConversion"/>
  </si>
  <si>
    <t>s</t>
    <phoneticPr fontId="2" type="noConversion"/>
  </si>
  <si>
    <t>tianfu</t>
    <phoneticPr fontId="1" type="noConversion"/>
  </si>
  <si>
    <t>name</t>
    <phoneticPr fontId="1" type="noConversion"/>
  </si>
  <si>
    <t>备注字段</t>
    <phoneticPr fontId="1" type="noConversion"/>
  </si>
  <si>
    <t>s</t>
    <phoneticPr fontId="1" type="noConversion"/>
  </si>
  <si>
    <t>101,102,103,104,105</t>
  </si>
  <si>
    <t>明王摧城</t>
  </si>
  <si>
    <t>昆仑神木珠</t>
  </si>
  <si>
    <t>深海碎霜</t>
  </si>
  <si>
    <t>焚焰溯流</t>
  </si>
  <si>
    <t>渊微凡尘</t>
  </si>
  <si>
    <t>玲珑天晶塔</t>
  </si>
  <si>
    <t>pinzhi</t>
    <phoneticPr fontId="2" type="noConversion"/>
  </si>
  <si>
    <t>i</t>
  </si>
  <si>
    <t>天慧法杖</t>
  </si>
  <si>
    <t>角色</t>
    <phoneticPr fontId="1" type="noConversion"/>
  </si>
  <si>
    <t>name_old</t>
    <phoneticPr fontId="1" type="noConversion"/>
  </si>
  <si>
    <t>女主角</t>
  </si>
  <si>
    <t>男主角</t>
  </si>
  <si>
    <t>哪吒</t>
  </si>
  <si>
    <t>斗战胜佛</t>
  </si>
  <si>
    <t>二郎神</t>
  </si>
  <si>
    <t>托塔天王</t>
  </si>
  <si>
    <t>虎力大仙</t>
  </si>
  <si>
    <t>猪八戒</t>
  </si>
  <si>
    <t>弥勒佛</t>
  </si>
  <si>
    <t>金蝉子</t>
  </si>
  <si>
    <t>黑无常</t>
  </si>
  <si>
    <t>牛魔王</t>
  </si>
  <si>
    <t>孙悟空</t>
  </si>
  <si>
    <t>王母娘娘</t>
  </si>
  <si>
    <t>白无常</t>
  </si>
  <si>
    <t>沙和尚</t>
  </si>
  <si>
    <t>文殊菩萨</t>
  </si>
  <si>
    <t>龙帝</t>
  </si>
  <si>
    <t>八部天龙</t>
  </si>
  <si>
    <t>嫦娥</t>
  </si>
  <si>
    <t>九天玄女</t>
  </si>
  <si>
    <t>铁扇公主</t>
  </si>
  <si>
    <t>白骨夫人</t>
  </si>
  <si>
    <t>紫霞仙子</t>
  </si>
  <si>
    <t>观世音</t>
  </si>
  <si>
    <t>鹿力大仙</t>
  </si>
  <si>
    <t>红孩儿</t>
  </si>
  <si>
    <t>玉皇大帝</t>
  </si>
  <si>
    <t>东海龙王</t>
  </si>
  <si>
    <t>混世魔王</t>
  </si>
  <si>
    <t>迦叶</t>
  </si>
  <si>
    <t>人参娃</t>
  </si>
  <si>
    <t>小白龙</t>
  </si>
  <si>
    <t>六耳猕猴</t>
  </si>
  <si>
    <t>阎罗王</t>
  </si>
  <si>
    <t>蝎子精</t>
  </si>
  <si>
    <t>蜘蛛精</t>
  </si>
  <si>
    <t>女儿国国王</t>
  </si>
  <si>
    <t>太白金星</t>
  </si>
  <si>
    <t>羊力大仙</t>
  </si>
  <si>
    <t>彩蝶仙童</t>
  </si>
  <si>
    <t>唐三藏</t>
  </si>
  <si>
    <t>引魂仙子</t>
  </si>
  <si>
    <t>凤鸣折翼剑</t>
  </si>
  <si>
    <t>龙麟碎霜扇</t>
  </si>
  <si>
    <t>红莲岩泉</t>
  </si>
  <si>
    <t>斗神镇狱棒</t>
  </si>
  <si>
    <t>三尖两刃刀</t>
  </si>
  <si>
    <t>上宝沁金钯</t>
  </si>
  <si>
    <t>浮沉三世</t>
  </si>
  <si>
    <t>斩鬼流岩</t>
  </si>
  <si>
    <t>修罗开山斧</t>
  </si>
  <si>
    <t>如意金箍棒</t>
  </si>
  <si>
    <t>如意鸾凤簪</t>
  </si>
  <si>
    <t>绝魂领悟</t>
  </si>
  <si>
    <t>降妖宝杖</t>
  </si>
  <si>
    <t>追风紫罗带</t>
  </si>
  <si>
    <t>碧海定沁丹</t>
  </si>
  <si>
    <t>沉星芭蕉扇</t>
  </si>
  <si>
    <t>紫青玄铁剑</t>
  </si>
  <si>
    <t>海王戟</t>
  </si>
  <si>
    <t>混世蛇矛</t>
  </si>
  <si>
    <t>流星拳</t>
  </si>
  <si>
    <t>人参糖葫芦</t>
  </si>
  <si>
    <t>逆流白龙吟</t>
  </si>
  <si>
    <t>判官笔</t>
  </si>
  <si>
    <t>琴瑟琵琶</t>
  </si>
  <si>
    <t>肚脐蛛网</t>
  </si>
  <si>
    <t>相思醉</t>
  </si>
  <si>
    <t>羊角画戟</t>
  </si>
  <si>
    <t>凝神花</t>
  </si>
  <si>
    <t>九环锡杖</t>
  </si>
  <si>
    <t>吊莲仙灯</t>
  </si>
  <si>
    <t>龙凤双环</t>
  </si>
  <si>
    <t>真火子母枪</t>
  </si>
  <si>
    <t>猕猴斩魄刀</t>
  </si>
  <si>
    <t>白骨幡</t>
  </si>
  <si>
    <t>羊脂玉净瓶</t>
    <phoneticPr fontId="1" type="noConversion"/>
  </si>
  <si>
    <t>天赋id
id,id,id
talent配置的id</t>
    <phoneticPr fontId="1" type="noConversion"/>
  </si>
  <si>
    <t>赤脚大仙</t>
    <phoneticPr fontId="1" type="noConversion"/>
  </si>
  <si>
    <t>落樱神斧</t>
  </si>
  <si>
    <t>对应的神兵碎片id
填写道具id</t>
    <phoneticPr fontId="1" type="noConversion"/>
  </si>
  <si>
    <t>sp</t>
  </si>
  <si>
    <t>s</t>
    <phoneticPr fontId="1" type="noConversion"/>
  </si>
  <si>
    <t>cost</t>
    <phoneticPr fontId="1" type="noConversion"/>
  </si>
  <si>
    <t>神兵激活消耗
格式：
类型|物品ID|数量,类型|物品ID|数量
类型：
1=道具（game_items）
2=装备(game_equpment)
4=资源（currency）
5=伙伴（hero_main）
6=法宝(game_fabao)</t>
    <phoneticPr fontId="1" type="noConversion"/>
  </si>
  <si>
    <t>初始品质
0=无品质
1=绿色
2=蓝色
3=紫色
4=橙13
5=橙16
6=红色</t>
    <phoneticPr fontId="1" type="noConversion"/>
  </si>
  <si>
    <t>基础属性</t>
    <phoneticPr fontId="9" type="noConversion"/>
  </si>
  <si>
    <t>神兵每级提升属性</t>
    <phoneticPr fontId="9" type="noConversion"/>
  </si>
  <si>
    <t>神兵品质</t>
    <phoneticPr fontId="10" type="noConversion"/>
  </si>
  <si>
    <t>生命</t>
    <phoneticPr fontId="9" type="noConversion"/>
  </si>
  <si>
    <t>攻击</t>
    <phoneticPr fontId="9" type="noConversion"/>
  </si>
  <si>
    <t>物防</t>
    <phoneticPr fontId="9" type="noConversion"/>
  </si>
  <si>
    <t>法防</t>
    <phoneticPr fontId="9" type="noConversion"/>
  </si>
  <si>
    <t>红</t>
    <phoneticPr fontId="10" type="noConversion"/>
  </si>
  <si>
    <t>橙16</t>
    <phoneticPr fontId="10" type="noConversion"/>
  </si>
  <si>
    <t>橙13</t>
    <phoneticPr fontId="10" type="noConversion"/>
  </si>
  <si>
    <t>defense_p</t>
    <phoneticPr fontId="2" type="noConversion"/>
  </si>
  <si>
    <t>defense_m</t>
    <phoneticPr fontId="2" type="noConversion"/>
  </si>
  <si>
    <t>太白金剑</t>
    <phoneticPr fontId="1" type="noConversion"/>
  </si>
  <si>
    <t>1|17117|100,4|1|100000</t>
  </si>
  <si>
    <t>1|17121|100,4|1|100000</t>
  </si>
  <si>
    <t>1|17123|100,4|1|100000</t>
  </si>
  <si>
    <t>1|17126|100,4|1|100000</t>
  </si>
  <si>
    <t>1|17127|100,4|1|100000</t>
  </si>
  <si>
    <t>1|17128|100,4|1|100000</t>
  </si>
  <si>
    <t>1|17129|100,4|1|100000</t>
  </si>
  <si>
    <t>1|17130|100,4|1|100000</t>
  </si>
  <si>
    <t>1|17131|100,4|1|100000</t>
  </si>
  <si>
    <t>1|17132|100,4|1|100000</t>
  </si>
  <si>
    <t>1|17133|100,4|1|100000</t>
  </si>
  <si>
    <t>1|17134|100,4|1|100000</t>
  </si>
  <si>
    <t>1|17135|100,4|1|100000</t>
  </si>
  <si>
    <t>1|17136|100,4|1|100000</t>
  </si>
  <si>
    <t>1|17137|100,4|1|100000</t>
  </si>
  <si>
    <t>1|17138|100,4|1|100000</t>
  </si>
  <si>
    <t>1|17139|100,4|1|100000</t>
  </si>
  <si>
    <t>1|17141|100,4|1|100000</t>
  </si>
  <si>
    <t>1|17142|100,4|1|100000</t>
  </si>
  <si>
    <t>1|17143|100,4|1|100000</t>
  </si>
  <si>
    <t>1|17144|100,4|1|100000</t>
  </si>
  <si>
    <t>1|17103|100,4|1|125000</t>
  </si>
  <si>
    <t>1|17104|100,4|1|200000</t>
  </si>
  <si>
    <t>1|17105|100,4|1|200000</t>
  </si>
  <si>
    <t>1|17106|100,4|1|125000</t>
  </si>
  <si>
    <t>1|17107|100,4|1|125000</t>
  </si>
  <si>
    <t>1|17108|100,4|1|125000</t>
  </si>
  <si>
    <t>1|17109|100,4|1|125000</t>
  </si>
  <si>
    <t>1|17110|100,4|1|125000</t>
  </si>
  <si>
    <t>1|17111|100,4|1|125000</t>
  </si>
  <si>
    <t>1|17112|100,4|1|125000</t>
  </si>
  <si>
    <t>1|17113|100,4|1|200000</t>
  </si>
  <si>
    <t>1|17114|100,4|1|200000</t>
  </si>
  <si>
    <t>1|17115|100,4|1|125000</t>
  </si>
  <si>
    <t>1|17116|100,4|1|200000</t>
  </si>
  <si>
    <t>1|17118|100,4|1|125000</t>
  </si>
  <si>
    <t>1|17119|100,4|1|125000</t>
  </si>
  <si>
    <t>1|17120|100,4|1|125000</t>
  </si>
  <si>
    <t>1|17122|100,4|1|125000</t>
  </si>
  <si>
    <t>1|17124|100,4|1|200000</t>
  </si>
  <si>
    <t>1|17125|100,4|1|125000</t>
  </si>
  <si>
    <t>1|17140|100,4|1|125000</t>
  </si>
  <si>
    <t>111,112,113,114,115</t>
  </si>
  <si>
    <t>121,122,123,124,125</t>
  </si>
  <si>
    <t>1|17102|100,4|1|1000</t>
    <phoneticPr fontId="1" type="noConversion"/>
  </si>
  <si>
    <t>101,102,103,104,105,105</t>
  </si>
  <si>
    <t>111,112,113,114,115,115</t>
  </si>
  <si>
    <t>121,122,123,124,125,125</t>
  </si>
  <si>
    <t>[]</t>
    <phoneticPr fontId="1" type="noConversion"/>
  </si>
  <si>
    <t>暴走孙悟空</t>
    <phoneticPr fontId="1" type="noConversion"/>
  </si>
  <si>
    <t>[[90000,100000]]</t>
    <phoneticPr fontId="1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</si>
</sst>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b/>
      <sz val="10"/>
      <color theme="5" tint="-0.249977111117893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3" fillId="0" borderId="1" xfId="0" applyNumberFormat="1" applyFont="1" applyBorder="1"/>
    <xf numFmtId="0" fontId="3" fillId="3" borderId="1" xfId="0" applyNumberFormat="1" applyFont="1" applyFill="1" applyBorder="1" applyAlignment="1">
      <alignment vertical="top" wrapText="1"/>
    </xf>
    <xf numFmtId="0" fontId="3" fillId="6" borderId="1" xfId="0" applyNumberFormat="1" applyFont="1" applyFill="1" applyBorder="1" applyAlignment="1">
      <alignment vertical="top"/>
    </xf>
    <xf numFmtId="0" fontId="3" fillId="0" borderId="0" xfId="0" applyNumberFormat="1" applyFont="1"/>
    <xf numFmtId="49" fontId="3" fillId="4" borderId="1" xfId="0" applyNumberFormat="1" applyFont="1" applyFill="1" applyBorder="1" applyAlignment="1">
      <alignment vertical="top" wrapText="1"/>
    </xf>
    <xf numFmtId="0" fontId="3" fillId="2" borderId="1" xfId="0" applyNumberFormat="1" applyFont="1" applyFill="1" applyBorder="1" applyAlignment="1">
      <alignment vertical="top" wrapText="1"/>
    </xf>
    <xf numFmtId="0" fontId="3" fillId="5" borderId="1" xfId="0" applyNumberFormat="1" applyFont="1" applyFill="1" applyBorder="1" applyAlignment="1">
      <alignment vertical="top" wrapText="1"/>
    </xf>
    <xf numFmtId="0" fontId="3" fillId="7" borderId="1" xfId="0" applyNumberFormat="1" applyFont="1" applyFill="1" applyBorder="1" applyAlignment="1">
      <alignment vertical="top" wrapText="1"/>
    </xf>
    <xf numFmtId="49" fontId="3" fillId="6" borderId="1" xfId="0" applyNumberFormat="1" applyFont="1" applyFill="1" applyBorder="1" applyAlignment="1">
      <alignment vertical="top"/>
    </xf>
    <xf numFmtId="0" fontId="3" fillId="6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>
      <alignment vertical="center" wrapText="1"/>
    </xf>
    <xf numFmtId="49" fontId="3" fillId="0" borderId="1" xfId="0" applyNumberFormat="1" applyFont="1" applyBorder="1"/>
    <xf numFmtId="0" fontId="3" fillId="8" borderId="1" xfId="0" applyNumberFormat="1" applyFont="1" applyFill="1" applyBorder="1"/>
    <xf numFmtId="0" fontId="3" fillId="8" borderId="0" xfId="0" applyNumberFormat="1" applyFont="1" applyFill="1"/>
    <xf numFmtId="49" fontId="3" fillId="0" borderId="0" xfId="0" applyNumberFormat="1" applyFont="1"/>
    <xf numFmtId="0" fontId="3" fillId="0" borderId="0" xfId="0" applyNumberFormat="1" applyFont="1" applyAlignment="1">
      <alignment horizontal="center" vertical="center"/>
    </xf>
    <xf numFmtId="0" fontId="5" fillId="2" borderId="1" xfId="0" applyNumberFormat="1" applyFont="1" applyFill="1" applyBorder="1" applyAlignment="1">
      <alignment vertical="top" wrapText="1"/>
    </xf>
    <xf numFmtId="0" fontId="5" fillId="6" borderId="1" xfId="0" applyNumberFormat="1" applyFont="1" applyFill="1" applyBorder="1" applyAlignment="1">
      <alignment vertical="center"/>
    </xf>
    <xf numFmtId="0" fontId="5" fillId="6" borderId="1" xfId="0" applyNumberFormat="1" applyFont="1" applyFill="1" applyBorder="1" applyAlignment="1">
      <alignment vertical="center" wrapText="1"/>
    </xf>
    <xf numFmtId="49" fontId="5" fillId="0" borderId="1" xfId="0" applyNumberFormat="1" applyFont="1" applyBorder="1"/>
    <xf numFmtId="0" fontId="5" fillId="8" borderId="1" xfId="0" applyNumberFormat="1" applyFont="1" applyFill="1" applyBorder="1"/>
    <xf numFmtId="0" fontId="5" fillId="0" borderId="0" xfId="0" applyNumberFormat="1" applyFont="1"/>
    <xf numFmtId="49" fontId="5" fillId="0" borderId="0" xfId="0" applyNumberFormat="1" applyFont="1" applyFill="1" applyBorder="1"/>
    <xf numFmtId="0" fontId="6" fillId="0" borderId="0" xfId="0" applyFont="1"/>
    <xf numFmtId="0" fontId="5" fillId="8" borderId="1" xfId="0" applyNumberFormat="1" applyFont="1" applyFill="1" applyBorder="1" applyAlignment="1">
      <alignment vertical="center"/>
    </xf>
    <xf numFmtId="0" fontId="5" fillId="0" borderId="0" xfId="0" applyNumberFormat="1" applyFont="1" applyAlignment="1">
      <alignment vertical="center"/>
    </xf>
    <xf numFmtId="0" fontId="5" fillId="0" borderId="1" xfId="0" applyNumberFormat="1" applyFont="1" applyBorder="1" applyAlignment="1">
      <alignment vertical="center"/>
    </xf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3" fillId="0" borderId="0" xfId="0" applyNumberFormat="1" applyFont="1" applyFill="1" applyBorder="1"/>
    <xf numFmtId="0" fontId="4" fillId="0" borderId="0" xfId="0" applyNumberFormat="1" applyFont="1"/>
    <xf numFmtId="0" fontId="7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0" applyFont="1" applyFill="1" applyBorder="1" applyAlignment="1">
      <alignment vertical="center"/>
    </xf>
    <xf numFmtId="0" fontId="8" fillId="9" borderId="1" xfId="0" applyFont="1" applyFill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6" fillId="10" borderId="1" xfId="0" applyFont="1" applyFill="1" applyBorder="1" applyAlignment="1">
      <alignment vertical="center"/>
    </xf>
    <xf numFmtId="0" fontId="8" fillId="10" borderId="1" xfId="0" applyFont="1" applyFill="1" applyBorder="1" applyAlignment="1">
      <alignment vertic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3" fillId="6" borderId="1" xfId="0" applyNumberFormat="1" applyFont="1" applyFill="1" applyBorder="1" applyAlignment="1">
      <alignment horizontal="center" vertical="center"/>
    </xf>
    <xf numFmtId="0" fontId="3" fillId="6" borderId="1" xfId="0" applyNumberFormat="1" applyFont="1" applyFill="1" applyBorder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/>
    </xf>
    <xf numFmtId="0" fontId="3" fillId="8" borderId="1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49" fontId="3" fillId="7" borderId="1" xfId="0" applyNumberFormat="1" applyFont="1" applyFill="1" applyBorder="1" applyAlignment="1">
      <alignment vertical="top" wrapText="1"/>
    </xf>
    <xf numFmtId="49" fontId="3" fillId="6" borderId="1" xfId="0" applyNumberFormat="1" applyFont="1" applyFill="1" applyBorder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ero_ma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3"/>
      <sheetName val="Sheet2"/>
      <sheetName val="Sheet4"/>
      <sheetName val="Sheet5"/>
    </sheetNames>
    <sheetDataSet>
      <sheetData sheetId="0">
        <row r="1">
          <cell r="A1" t="str">
            <v>英雄ID[字符串]调用角色的唯一ID1101-1500伙伴1500-2000特殊伙伴（助战或者新手引导）2000以上临时伙伴</v>
          </cell>
          <cell r="U1" t="str">
            <v>初始资质（不参与数值计算，仅用于显示）
[整型]</v>
          </cell>
          <cell r="BN1" t="str">
            <v>神兵填写对应的神兵id相关配置game_shenbing[]-无神兵</v>
          </cell>
        </row>
        <row r="2">
          <cell r="U2" t="str">
            <v>zizhi</v>
          </cell>
          <cell r="BN2" t="str">
            <v>shenbing</v>
          </cell>
        </row>
        <row r="3">
          <cell r="U3" t="str">
            <v>i</v>
          </cell>
          <cell r="BN3" t="str">
            <v>s</v>
          </cell>
        </row>
        <row r="4">
          <cell r="U4">
            <v>13</v>
          </cell>
          <cell r="BN4">
            <v>1001</v>
          </cell>
        </row>
        <row r="5">
          <cell r="U5">
            <v>13</v>
          </cell>
          <cell r="BN5">
            <v>1002</v>
          </cell>
        </row>
        <row r="6">
          <cell r="U6">
            <v>16</v>
          </cell>
          <cell r="BN6">
            <v>1102</v>
          </cell>
        </row>
        <row r="7">
          <cell r="U7">
            <v>20</v>
          </cell>
          <cell r="BN7">
            <v>1211</v>
          </cell>
        </row>
        <row r="8">
          <cell r="U8">
            <v>20</v>
          </cell>
          <cell r="BN8">
            <v>1101</v>
          </cell>
        </row>
        <row r="9">
          <cell r="U9">
            <v>16</v>
          </cell>
          <cell r="BN9">
            <v>1108</v>
          </cell>
        </row>
        <row r="10">
          <cell r="U10">
            <v>16</v>
          </cell>
          <cell r="BN10">
            <v>1113</v>
          </cell>
        </row>
        <row r="11">
          <cell r="U11">
            <v>16</v>
          </cell>
          <cell r="BN11">
            <v>1120</v>
          </cell>
        </row>
        <row r="12">
          <cell r="U12">
            <v>16</v>
          </cell>
          <cell r="BN12">
            <v>1127</v>
          </cell>
        </row>
        <row r="13">
          <cell r="U13">
            <v>16</v>
          </cell>
          <cell r="BN13">
            <v>1212</v>
          </cell>
        </row>
        <row r="14">
          <cell r="U14">
            <v>16</v>
          </cell>
          <cell r="BN14">
            <v>1219</v>
          </cell>
        </row>
        <row r="15">
          <cell r="U15">
            <v>16</v>
          </cell>
          <cell r="BN15">
            <v>1112</v>
          </cell>
        </row>
        <row r="16">
          <cell r="U16">
            <v>20</v>
          </cell>
          <cell r="BN16">
            <v>1119</v>
          </cell>
        </row>
        <row r="17">
          <cell r="U17">
            <v>20</v>
          </cell>
          <cell r="BN17">
            <v>1105</v>
          </cell>
        </row>
        <row r="18">
          <cell r="U18">
            <v>16</v>
          </cell>
          <cell r="BN18">
            <v>1218</v>
          </cell>
        </row>
        <row r="19">
          <cell r="U19">
            <v>20</v>
          </cell>
          <cell r="BN19">
            <v>1124</v>
          </cell>
        </row>
        <row r="20">
          <cell r="U20">
            <v>13</v>
          </cell>
          <cell r="BN20">
            <v>1126</v>
          </cell>
        </row>
        <row r="21">
          <cell r="U21">
            <v>16</v>
          </cell>
          <cell r="BN21">
            <v>1213</v>
          </cell>
        </row>
        <row r="22">
          <cell r="U22">
            <v>16</v>
          </cell>
          <cell r="BN22">
            <v>1214</v>
          </cell>
        </row>
        <row r="23">
          <cell r="U23">
            <v>16</v>
          </cell>
          <cell r="BN23">
            <v>1103</v>
          </cell>
        </row>
        <row r="24">
          <cell r="U24">
            <v>13</v>
          </cell>
          <cell r="BN24">
            <v>1109</v>
          </cell>
        </row>
        <row r="25">
          <cell r="U25">
            <v>16</v>
          </cell>
          <cell r="BN25">
            <v>1111</v>
          </cell>
        </row>
        <row r="26">
          <cell r="U26">
            <v>13</v>
          </cell>
          <cell r="BN26">
            <v>1116</v>
          </cell>
        </row>
        <row r="27">
          <cell r="U27">
            <v>20</v>
          </cell>
          <cell r="BN27">
            <v>1121</v>
          </cell>
        </row>
        <row r="28">
          <cell r="U28">
            <v>16</v>
          </cell>
          <cell r="BN28">
            <v>1215</v>
          </cell>
        </row>
        <row r="29">
          <cell r="U29">
            <v>13</v>
          </cell>
          <cell r="BN29">
            <v>1114</v>
          </cell>
        </row>
        <row r="30">
          <cell r="U30">
            <v>13</v>
          </cell>
          <cell r="BN30">
            <v>1110</v>
          </cell>
        </row>
        <row r="31">
          <cell r="U31">
            <v>13</v>
          </cell>
          <cell r="BN31">
            <v>1104</v>
          </cell>
        </row>
        <row r="32">
          <cell r="U32">
            <v>13</v>
          </cell>
          <cell r="BN32">
            <v>1135</v>
          </cell>
        </row>
        <row r="33">
          <cell r="U33">
            <v>13</v>
          </cell>
          <cell r="BN33">
            <v>1132</v>
          </cell>
        </row>
        <row r="34">
          <cell r="U34">
            <v>13</v>
          </cell>
          <cell r="BN34">
            <v>1125</v>
          </cell>
        </row>
        <row r="35">
          <cell r="U35">
            <v>13</v>
          </cell>
          <cell r="BN35">
            <v>1202</v>
          </cell>
        </row>
        <row r="36">
          <cell r="U36">
            <v>13</v>
          </cell>
          <cell r="BN36">
            <v>1123</v>
          </cell>
        </row>
        <row r="37">
          <cell r="U37">
            <v>13</v>
          </cell>
          <cell r="BN37">
            <v>1117</v>
          </cell>
        </row>
        <row r="38">
          <cell r="U38">
            <v>13</v>
          </cell>
          <cell r="BN38">
            <v>1201</v>
          </cell>
        </row>
        <row r="39">
          <cell r="U39">
            <v>13</v>
          </cell>
          <cell r="BN39">
            <v>1131</v>
          </cell>
        </row>
        <row r="40">
          <cell r="U40">
            <v>13</v>
          </cell>
          <cell r="BN40">
            <v>1137</v>
          </cell>
        </row>
        <row r="41">
          <cell r="U41">
            <v>13</v>
          </cell>
          <cell r="BN41">
            <v>1216</v>
          </cell>
        </row>
        <row r="42">
          <cell r="U42">
            <v>13</v>
          </cell>
          <cell r="BN42">
            <v>1106</v>
          </cell>
        </row>
        <row r="43">
          <cell r="U43">
            <v>16</v>
          </cell>
          <cell r="BN43">
            <v>1115</v>
          </cell>
        </row>
        <row r="44">
          <cell r="U44">
            <v>13</v>
          </cell>
          <cell r="BN44">
            <v>1208</v>
          </cell>
        </row>
        <row r="45">
          <cell r="U45">
            <v>13</v>
          </cell>
          <cell r="BN45">
            <v>1122</v>
          </cell>
        </row>
        <row r="46">
          <cell r="U46">
            <v>13</v>
          </cell>
          <cell r="BN46">
            <v>1207</v>
          </cell>
        </row>
        <row r="47">
          <cell r="U47">
            <v>11</v>
          </cell>
          <cell r="BN47" t="str">
            <v>[]</v>
          </cell>
        </row>
        <row r="48">
          <cell r="U48">
            <v>11</v>
          </cell>
          <cell r="BN48" t="str">
            <v>[]</v>
          </cell>
        </row>
        <row r="49">
          <cell r="U49">
            <v>13</v>
          </cell>
          <cell r="BN49">
            <v>1107</v>
          </cell>
        </row>
        <row r="50">
          <cell r="U50">
            <v>11</v>
          </cell>
          <cell r="BN50" t="str">
            <v>[]</v>
          </cell>
        </row>
        <row r="51">
          <cell r="U51">
            <v>11</v>
          </cell>
          <cell r="BN51" t="str">
            <v>[]</v>
          </cell>
        </row>
        <row r="52">
          <cell r="U52">
            <v>11</v>
          </cell>
          <cell r="BN52" t="str">
            <v>[]</v>
          </cell>
        </row>
        <row r="53">
          <cell r="U53">
            <v>11</v>
          </cell>
          <cell r="BN53" t="str">
            <v>[]</v>
          </cell>
        </row>
        <row r="54">
          <cell r="U54">
            <v>11</v>
          </cell>
          <cell r="BN54" t="str">
            <v>[]</v>
          </cell>
        </row>
        <row r="55">
          <cell r="U55">
            <v>11</v>
          </cell>
          <cell r="BN55" t="str">
            <v>[]</v>
          </cell>
        </row>
        <row r="56">
          <cell r="U56">
            <v>11</v>
          </cell>
          <cell r="BN56" t="str">
            <v>[]</v>
          </cell>
        </row>
        <row r="57">
          <cell r="U57">
            <v>11</v>
          </cell>
          <cell r="BN57" t="str">
            <v>[]</v>
          </cell>
        </row>
        <row r="58">
          <cell r="U58">
            <v>11</v>
          </cell>
          <cell r="BN58" t="str">
            <v>[]</v>
          </cell>
        </row>
        <row r="59">
          <cell r="U59">
            <v>11</v>
          </cell>
          <cell r="BN59" t="str">
            <v>[]</v>
          </cell>
        </row>
        <row r="60">
          <cell r="U60">
            <v>11</v>
          </cell>
          <cell r="BN60" t="str">
            <v>[]</v>
          </cell>
        </row>
        <row r="61">
          <cell r="U61">
            <v>11</v>
          </cell>
          <cell r="BN61" t="str">
            <v>[]</v>
          </cell>
        </row>
        <row r="62">
          <cell r="U62">
            <v>11</v>
          </cell>
          <cell r="BN62" t="str">
            <v>[]</v>
          </cell>
        </row>
        <row r="63">
          <cell r="U63">
            <v>11</v>
          </cell>
          <cell r="BN63" t="str">
            <v>[]</v>
          </cell>
        </row>
        <row r="64">
          <cell r="U64">
            <v>11</v>
          </cell>
          <cell r="BN64" t="str">
            <v>[]</v>
          </cell>
        </row>
        <row r="65">
          <cell r="U65">
            <v>6</v>
          </cell>
          <cell r="BN65" t="str">
            <v>[]</v>
          </cell>
        </row>
        <row r="66">
          <cell r="U66">
            <v>6</v>
          </cell>
          <cell r="BN66" t="str">
            <v>[]</v>
          </cell>
        </row>
        <row r="67">
          <cell r="U67">
            <v>6</v>
          </cell>
          <cell r="BN67" t="str">
            <v>[]</v>
          </cell>
        </row>
        <row r="68">
          <cell r="U68">
            <v>6</v>
          </cell>
          <cell r="BN68" t="str">
            <v>[]</v>
          </cell>
        </row>
        <row r="69">
          <cell r="U69">
            <v>6</v>
          </cell>
          <cell r="BN69" t="str">
            <v>[]</v>
          </cell>
        </row>
        <row r="70">
          <cell r="U70">
            <v>6</v>
          </cell>
          <cell r="BN70" t="str">
            <v>[]</v>
          </cell>
        </row>
        <row r="71">
          <cell r="U71">
            <v>6</v>
          </cell>
          <cell r="BN71" t="str">
            <v>[]</v>
          </cell>
        </row>
        <row r="72">
          <cell r="U72">
            <v>6</v>
          </cell>
          <cell r="BN72" t="str">
            <v>[]</v>
          </cell>
        </row>
        <row r="73">
          <cell r="U73">
            <v>6</v>
          </cell>
          <cell r="BN73" t="str">
            <v>[]</v>
          </cell>
        </row>
        <row r="74">
          <cell r="U74">
            <v>6</v>
          </cell>
          <cell r="BN74" t="str">
            <v>[]</v>
          </cell>
        </row>
        <row r="75">
          <cell r="U75">
            <v>6</v>
          </cell>
          <cell r="BN75" t="str">
            <v>[]</v>
          </cell>
        </row>
        <row r="76">
          <cell r="U76">
            <v>6</v>
          </cell>
          <cell r="BN76" t="str">
            <v>[]</v>
          </cell>
        </row>
        <row r="77">
          <cell r="U77">
            <v>2</v>
          </cell>
          <cell r="BN77" t="str">
            <v>[]</v>
          </cell>
        </row>
        <row r="78">
          <cell r="U78">
            <v>2</v>
          </cell>
          <cell r="BN78" t="str">
            <v>[]</v>
          </cell>
        </row>
        <row r="79">
          <cell r="U79">
            <v>2</v>
          </cell>
          <cell r="BN79" t="str">
            <v>[]</v>
          </cell>
        </row>
        <row r="80">
          <cell r="U80">
            <v>2</v>
          </cell>
          <cell r="BN80" t="str">
            <v>[]</v>
          </cell>
        </row>
        <row r="81">
          <cell r="U81">
            <v>2</v>
          </cell>
          <cell r="BN81" t="str">
            <v>[]</v>
          </cell>
        </row>
        <row r="82">
          <cell r="U82">
            <v>2</v>
          </cell>
          <cell r="BN82" t="str">
            <v>[]</v>
          </cell>
        </row>
        <row r="83">
          <cell r="U83">
            <v>2</v>
          </cell>
          <cell r="BN83" t="str">
            <v>[]</v>
          </cell>
        </row>
        <row r="84">
          <cell r="U84">
            <v>2</v>
          </cell>
          <cell r="BN84" t="str">
            <v>[]</v>
          </cell>
        </row>
        <row r="85">
          <cell r="U85">
            <v>2</v>
          </cell>
          <cell r="BN85" t="str">
            <v>[]</v>
          </cell>
        </row>
        <row r="86">
          <cell r="U86">
            <v>2</v>
          </cell>
          <cell r="BN86" t="str">
            <v>[]</v>
          </cell>
        </row>
        <row r="87">
          <cell r="U87">
            <v>2</v>
          </cell>
          <cell r="BN87" t="str">
            <v>[]</v>
          </cell>
        </row>
        <row r="88">
          <cell r="U88">
            <v>2</v>
          </cell>
          <cell r="BN88" t="str">
            <v>[]</v>
          </cell>
        </row>
        <row r="89">
          <cell r="U89">
            <v>2</v>
          </cell>
          <cell r="BN89" t="str">
            <v>[]</v>
          </cell>
        </row>
        <row r="90">
          <cell r="U90">
            <v>2</v>
          </cell>
          <cell r="BN90" t="str">
            <v>[]</v>
          </cell>
        </row>
        <row r="91">
          <cell r="U91">
            <v>2</v>
          </cell>
          <cell r="BN91" t="str">
            <v>[]</v>
          </cell>
        </row>
        <row r="92">
          <cell r="U92">
            <v>2</v>
          </cell>
          <cell r="BN92" t="str">
            <v>[]</v>
          </cell>
        </row>
        <row r="93">
          <cell r="U93">
            <v>2</v>
          </cell>
          <cell r="BN93" t="str">
            <v>[]</v>
          </cell>
        </row>
        <row r="94">
          <cell r="U94">
            <v>2</v>
          </cell>
          <cell r="BN94" t="str">
            <v>[]</v>
          </cell>
        </row>
        <row r="95">
          <cell r="U95">
            <v>2</v>
          </cell>
          <cell r="BN95" t="str">
            <v>[]</v>
          </cell>
        </row>
        <row r="96">
          <cell r="U96">
            <v>2</v>
          </cell>
          <cell r="BN96" t="str">
            <v>[]</v>
          </cell>
        </row>
        <row r="97">
          <cell r="U97">
            <v>2</v>
          </cell>
          <cell r="BN97" t="str">
            <v>[]</v>
          </cell>
        </row>
        <row r="98">
          <cell r="U98">
            <v>2</v>
          </cell>
          <cell r="BN98" t="str">
            <v>[]</v>
          </cell>
        </row>
        <row r="99">
          <cell r="U99">
            <v>2</v>
          </cell>
          <cell r="BN99" t="str">
            <v>[]</v>
          </cell>
        </row>
        <row r="100">
          <cell r="U100">
            <v>2</v>
          </cell>
          <cell r="BN100" t="str">
            <v>[]</v>
          </cell>
        </row>
        <row r="101">
          <cell r="U101">
            <v>2</v>
          </cell>
          <cell r="BN101" t="str">
            <v>[]</v>
          </cell>
        </row>
        <row r="102">
          <cell r="U102">
            <v>2</v>
          </cell>
          <cell r="BN102" t="str">
            <v>[]</v>
          </cell>
        </row>
        <row r="103">
          <cell r="U103">
            <v>2</v>
          </cell>
          <cell r="BN103" t="str">
            <v>[]</v>
          </cell>
        </row>
        <row r="104">
          <cell r="U104">
            <v>6</v>
          </cell>
          <cell r="BN104" t="str">
            <v>[]</v>
          </cell>
        </row>
        <row r="105">
          <cell r="U105">
            <v>6</v>
          </cell>
          <cell r="BN105" t="str">
            <v>[]</v>
          </cell>
        </row>
        <row r="106">
          <cell r="U106">
            <v>6</v>
          </cell>
          <cell r="BN106" t="str">
            <v>[]</v>
          </cell>
        </row>
        <row r="107">
          <cell r="U107">
            <v>6</v>
          </cell>
          <cell r="BN107" t="str">
            <v>[]</v>
          </cell>
        </row>
        <row r="108">
          <cell r="U108">
            <v>6</v>
          </cell>
          <cell r="BN108" t="str">
            <v>[]</v>
          </cell>
        </row>
        <row r="109">
          <cell r="U109">
            <v>20</v>
          </cell>
          <cell r="BN109" t="str">
            <v>[]</v>
          </cell>
        </row>
        <row r="110">
          <cell r="U110">
            <v>20</v>
          </cell>
          <cell r="BN110" t="str">
            <v>[]</v>
          </cell>
        </row>
        <row r="111">
          <cell r="U111">
            <v>20</v>
          </cell>
          <cell r="BN111" t="str">
            <v>[]</v>
          </cell>
        </row>
        <row r="112">
          <cell r="U112">
            <v>20</v>
          </cell>
          <cell r="BN112" t="str">
            <v>[]</v>
          </cell>
        </row>
        <row r="113">
          <cell r="U113">
            <v>16</v>
          </cell>
          <cell r="BN113" t="str">
            <v>[]</v>
          </cell>
        </row>
        <row r="114">
          <cell r="U114">
            <v>20</v>
          </cell>
          <cell r="BN114" t="str">
            <v>[]</v>
          </cell>
        </row>
        <row r="115">
          <cell r="U115">
            <v>11</v>
          </cell>
          <cell r="BN115" t="str">
            <v>[]</v>
          </cell>
        </row>
        <row r="116">
          <cell r="U116">
            <v>20</v>
          </cell>
          <cell r="BN116" t="str">
            <v>[]</v>
          </cell>
        </row>
        <row r="117">
          <cell r="U117">
            <v>20</v>
          </cell>
          <cell r="BN117">
            <v>1121</v>
          </cell>
        </row>
        <row r="118">
          <cell r="U118">
            <v>20</v>
          </cell>
          <cell r="BN118">
            <v>1111</v>
          </cell>
        </row>
        <row r="119">
          <cell r="U119">
            <v>20</v>
          </cell>
          <cell r="BN119">
            <v>1119</v>
          </cell>
        </row>
        <row r="121">
          <cell r="BN121">
            <v>0</v>
          </cell>
        </row>
        <row r="122">
          <cell r="BN122">
            <v>0</v>
          </cell>
        </row>
        <row r="123">
          <cell r="BN123">
            <v>0</v>
          </cell>
        </row>
        <row r="124">
          <cell r="BN124">
            <v>0</v>
          </cell>
        </row>
        <row r="125">
          <cell r="BN125">
            <v>0</v>
          </cell>
        </row>
        <row r="126">
          <cell r="BN126">
            <v>0</v>
          </cell>
        </row>
        <row r="127">
          <cell r="BN127">
            <v>0</v>
          </cell>
        </row>
        <row r="128">
          <cell r="BN128">
            <v>0</v>
          </cell>
        </row>
        <row r="129">
          <cell r="BN129">
            <v>0</v>
          </cell>
        </row>
        <row r="130">
          <cell r="BN130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144"/>
  <sheetViews>
    <sheetView tabSelected="1" workbookViewId="0">
      <pane xSplit="3" ySplit="3" topLeftCell="D43" activePane="bottomRight" state="frozen"/>
      <selection pane="topRight" activeCell="C1" sqref="C1"/>
      <selection pane="bottomLeft" activeCell="A4" sqref="A4"/>
      <selection pane="bottomRight" activeCell="C52" sqref="C52"/>
    </sheetView>
  </sheetViews>
  <sheetFormatPr defaultRowHeight="16.5"/>
  <cols>
    <col min="1" max="1" width="8.5" style="4" bestFit="1" customWidth="1"/>
    <col min="2" max="2" width="11.25" style="4" bestFit="1" customWidth="1"/>
    <col min="3" max="3" width="11.75" style="4" bestFit="1" customWidth="1"/>
    <col min="4" max="4" width="106.5" style="15" bestFit="1" customWidth="1"/>
    <col min="5" max="5" width="9.875" style="47" bestFit="1" customWidth="1"/>
    <col min="6" max="6" width="10" style="4" bestFit="1" customWidth="1"/>
    <col min="7" max="9" width="11.75" style="4" bestFit="1" customWidth="1"/>
    <col min="10" max="10" width="10" style="4" bestFit="1" customWidth="1"/>
    <col min="11" max="11" width="11.5" style="4" bestFit="1" customWidth="1"/>
    <col min="12" max="12" width="10" style="4" bestFit="1" customWidth="1"/>
    <col min="13" max="13" width="11.75" style="4" bestFit="1" customWidth="1"/>
    <col min="14" max="15" width="10" style="4" bestFit="1" customWidth="1"/>
    <col min="16" max="16" width="12.5" style="4" bestFit="1" customWidth="1"/>
    <col min="17" max="17" width="12.875" style="4" bestFit="1" customWidth="1"/>
    <col min="18" max="18" width="10.875" style="4" bestFit="1" customWidth="1"/>
    <col min="19" max="19" width="16.125" style="4" bestFit="1" customWidth="1"/>
    <col min="20" max="20" width="11.5" style="4" bestFit="1" customWidth="1"/>
    <col min="21" max="21" width="15" style="4" bestFit="1" customWidth="1"/>
    <col min="22" max="23" width="10.625" style="4" bestFit="1" customWidth="1"/>
    <col min="24" max="25" width="14.25" style="4" bestFit="1" customWidth="1"/>
    <col min="26" max="26" width="12.5" style="4" bestFit="1" customWidth="1"/>
    <col min="27" max="27" width="15.625" style="4" bestFit="1" customWidth="1"/>
    <col min="28" max="28" width="12.75" style="4" bestFit="1" customWidth="1"/>
    <col min="29" max="29" width="15.125" style="4" bestFit="1" customWidth="1"/>
    <col min="30" max="30" width="35.625" style="50" customWidth="1"/>
    <col min="31" max="31" width="18.75" style="29" customWidth="1"/>
    <col min="32" max="32" width="35.125" style="24" customWidth="1"/>
    <col min="33" max="33" width="6.625" style="31" bestFit="1" customWidth="1"/>
    <col min="34" max="16384" width="9" style="4"/>
  </cols>
  <sheetData>
    <row r="1" spans="1:38" ht="135">
      <c r="A1" s="2" t="s">
        <v>29</v>
      </c>
      <c r="B1" s="2" t="s">
        <v>72</v>
      </c>
      <c r="C1" s="2" t="s">
        <v>60</v>
      </c>
      <c r="D1" s="5" t="s">
        <v>54</v>
      </c>
      <c r="E1" s="41" t="s">
        <v>160</v>
      </c>
      <c r="F1" s="7" t="s">
        <v>24</v>
      </c>
      <c r="G1" s="7" t="s">
        <v>25</v>
      </c>
      <c r="H1" s="7" t="s">
        <v>26</v>
      </c>
      <c r="I1" s="7" t="s">
        <v>27</v>
      </c>
      <c r="J1" s="7" t="s">
        <v>0</v>
      </c>
      <c r="K1" s="7" t="s">
        <v>1</v>
      </c>
      <c r="L1" s="7" t="s">
        <v>2</v>
      </c>
      <c r="M1" s="7" t="s">
        <v>28</v>
      </c>
      <c r="N1" s="6" t="s">
        <v>30</v>
      </c>
      <c r="O1" s="6" t="s">
        <v>31</v>
      </c>
      <c r="P1" s="6" t="s">
        <v>32</v>
      </c>
      <c r="Q1" s="6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6" t="s">
        <v>38</v>
      </c>
      <c r="W1" s="6" t="s">
        <v>39</v>
      </c>
      <c r="X1" s="6" t="s">
        <v>40</v>
      </c>
      <c r="Y1" s="6" t="s">
        <v>41</v>
      </c>
      <c r="Z1" s="8" t="s">
        <v>42</v>
      </c>
      <c r="AA1" s="8" t="s">
        <v>43</v>
      </c>
      <c r="AB1" s="8" t="s">
        <v>44</v>
      </c>
      <c r="AC1" s="8" t="s">
        <v>45</v>
      </c>
      <c r="AD1" s="48" t="s">
        <v>152</v>
      </c>
      <c r="AE1" s="17" t="s">
        <v>155</v>
      </c>
      <c r="AF1" s="17" t="s">
        <v>159</v>
      </c>
      <c r="AG1" s="6"/>
    </row>
    <row r="2" spans="1:38">
      <c r="A2" s="3" t="s">
        <v>23</v>
      </c>
      <c r="B2" s="3" t="s">
        <v>73</v>
      </c>
      <c r="C2" s="3" t="s">
        <v>59</v>
      </c>
      <c r="D2" s="9" t="s">
        <v>55</v>
      </c>
      <c r="E2" s="42" t="s">
        <v>69</v>
      </c>
      <c r="F2" s="10" t="s">
        <v>4</v>
      </c>
      <c r="G2" s="10" t="s">
        <v>6</v>
      </c>
      <c r="H2" s="10" t="s">
        <v>7</v>
      </c>
      <c r="I2" s="10" t="s">
        <v>8</v>
      </c>
      <c r="J2" s="10" t="s">
        <v>9</v>
      </c>
      <c r="K2" s="10" t="s">
        <v>10</v>
      </c>
      <c r="L2" s="10" t="s">
        <v>11</v>
      </c>
      <c r="M2" s="10" t="s">
        <v>12</v>
      </c>
      <c r="N2" s="10" t="s">
        <v>14</v>
      </c>
      <c r="O2" s="10" t="s">
        <v>15</v>
      </c>
      <c r="P2" s="10" t="s">
        <v>16</v>
      </c>
      <c r="Q2" s="10" t="s">
        <v>17</v>
      </c>
      <c r="R2" s="10" t="s">
        <v>18</v>
      </c>
      <c r="S2" s="10" t="s">
        <v>19</v>
      </c>
      <c r="T2" s="10" t="s">
        <v>20</v>
      </c>
      <c r="U2" s="10" t="s">
        <v>21</v>
      </c>
      <c r="V2" s="10" t="s">
        <v>46</v>
      </c>
      <c r="W2" s="10" t="s">
        <v>47</v>
      </c>
      <c r="X2" s="10" t="s">
        <v>48</v>
      </c>
      <c r="Y2" s="10" t="s">
        <v>49</v>
      </c>
      <c r="Z2" s="10" t="s">
        <v>50</v>
      </c>
      <c r="AA2" s="10" t="s">
        <v>51</v>
      </c>
      <c r="AB2" s="10" t="s">
        <v>52</v>
      </c>
      <c r="AC2" s="10" t="s">
        <v>53</v>
      </c>
      <c r="AD2" s="49" t="s">
        <v>58</v>
      </c>
      <c r="AE2" s="18" t="s">
        <v>156</v>
      </c>
      <c r="AF2" s="18" t="s">
        <v>158</v>
      </c>
      <c r="AG2" s="10"/>
    </row>
    <row r="3" spans="1:38">
      <c r="A3" s="3" t="s">
        <v>3</v>
      </c>
      <c r="B3" s="3" t="s">
        <v>61</v>
      </c>
      <c r="C3" s="3" t="s">
        <v>61</v>
      </c>
      <c r="D3" s="9" t="s">
        <v>56</v>
      </c>
      <c r="E3" s="43" t="s">
        <v>70</v>
      </c>
      <c r="F3" s="11" t="s">
        <v>5</v>
      </c>
      <c r="G3" s="11" t="s">
        <v>5</v>
      </c>
      <c r="H3" s="11" t="s">
        <v>5</v>
      </c>
      <c r="I3" s="11" t="s">
        <v>5</v>
      </c>
      <c r="J3" s="11" t="s">
        <v>13</v>
      </c>
      <c r="K3" s="11" t="s">
        <v>13</v>
      </c>
      <c r="L3" s="11" t="s">
        <v>13</v>
      </c>
      <c r="M3" s="11" t="s">
        <v>13</v>
      </c>
      <c r="N3" s="11" t="s">
        <v>22</v>
      </c>
      <c r="O3" s="11" t="s">
        <v>22</v>
      </c>
      <c r="P3" s="11" t="s">
        <v>22</v>
      </c>
      <c r="Q3" s="11" t="s">
        <v>22</v>
      </c>
      <c r="R3" s="11" t="s">
        <v>13</v>
      </c>
      <c r="S3" s="11" t="s">
        <v>13</v>
      </c>
      <c r="T3" s="11" t="s">
        <v>13</v>
      </c>
      <c r="U3" s="11" t="s">
        <v>13</v>
      </c>
      <c r="V3" s="11" t="s">
        <v>22</v>
      </c>
      <c r="W3" s="11" t="s">
        <v>22</v>
      </c>
      <c r="X3" s="11" t="s">
        <v>22</v>
      </c>
      <c r="Y3" s="11" t="s">
        <v>22</v>
      </c>
      <c r="Z3" s="11" t="s">
        <v>13</v>
      </c>
      <c r="AA3" s="11" t="s">
        <v>13</v>
      </c>
      <c r="AB3" s="11" t="s">
        <v>13</v>
      </c>
      <c r="AC3" s="11" t="s">
        <v>13</v>
      </c>
      <c r="AD3" s="49" t="s">
        <v>57</v>
      </c>
      <c r="AE3" s="19" t="s">
        <v>157</v>
      </c>
      <c r="AF3" s="19" t="s">
        <v>61</v>
      </c>
      <c r="AG3" s="11"/>
    </row>
    <row r="4" spans="1:38">
      <c r="A4" s="1">
        <v>1001</v>
      </c>
      <c r="B4" s="1" t="s">
        <v>74</v>
      </c>
      <c r="C4" s="1" t="s">
        <v>117</v>
      </c>
      <c r="D4" s="1" t="str">
        <f>"[[90000,"&amp;A4*10&amp;"],[90001,"&amp;A4*10+1&amp;"],[90002,"&amp;A4*10+2&amp;"],[90003,"&amp;A4*10+3&amp;"],[90004,"&amp;A4*10+4&amp;"],[90005,"&amp;A4*10+5&amp;"],[90006,"&amp;A4*10+6&amp;"]]"</f>
        <v>[[90000,10010],[90001,10011],[90002,10012],[90003,10013],[90004,10014],[90005,10015],[90006,10016]]</v>
      </c>
      <c r="E4" s="44">
        <v>4</v>
      </c>
      <c r="F4" s="1">
        <f>IF(ISERROR(INDEX(Sheet2!$B$2:$O$7,MATCH($AG4,Sheet2!$B$2:$B$7,0),MATCH(F$2,Sheet2!$B$2:$O$2,0))),0,INDEX(Sheet2!$B$2:$O$7,MATCH($AG4,Sheet2!$B$2:$B$7,0),MATCH(F$2,Sheet2!$B$2:$O$2,0)))</f>
        <v>5000</v>
      </c>
      <c r="G4" s="1">
        <f>IF(ISERROR(INDEX(Sheet2!$B$2:$O$7,MATCH($AG4,Sheet2!$B$2:$B$7,0),MATCH(G$2,Sheet2!$B$2:$O$2,0))),0,INDEX(Sheet2!$B$2:$O$7,MATCH($AG4,Sheet2!$B$2:$B$7,0),MATCH(G$2,Sheet2!$B$2:$O$2,0)))</f>
        <v>200</v>
      </c>
      <c r="H4" s="1">
        <f>IF(ISERROR(INDEX(Sheet2!$B$2:$O$7,MATCH($AG4,Sheet2!$B$2:$B$7,0),MATCH(H$2,Sheet2!$B$2:$O$2,0))),0,INDEX(Sheet2!$B$2:$O$7,MATCH($AG4,Sheet2!$B$2:$B$7,0),MATCH(H$2,Sheet2!$B$2:$O$2,0)))</f>
        <v>100</v>
      </c>
      <c r="I4" s="1">
        <f>IF(ISERROR(INDEX(Sheet2!$B$2:$O$7,MATCH($AG4,Sheet2!$B$2:$B$7,0),MATCH(I$2,Sheet2!$B$2:$O$2,0))),0,INDEX(Sheet2!$B$2:$O$7,MATCH($AG4,Sheet2!$B$2:$B$7,0),MATCH(I$2,Sheet2!$B$2:$O$2,0)))</f>
        <v>100</v>
      </c>
      <c r="J4" s="1">
        <f>IF(ISERROR(INDEX(Sheet2!$B$2:$O$7,MATCH($AG4,Sheet2!$B$2:$B$7,0),MATCH(J$2,Sheet2!$B$2:$O$2,0))),0,INDEX(Sheet2!$B$2:$O$7,MATCH($AG4,Sheet2!$B$2:$B$7,0),MATCH(J$2,Sheet2!$B$2:$O$2,0)))</f>
        <v>0</v>
      </c>
      <c r="K4" s="1">
        <f>IF(ISERROR(INDEX(Sheet2!$B$2:$O$7,MATCH($AG4,Sheet2!$B$2:$B$7,0),MATCH(K$2,Sheet2!$B$2:$O$2,0))),0,INDEX(Sheet2!$B$2:$O$7,MATCH($AG4,Sheet2!$B$2:$B$7,0),MATCH(K$2,Sheet2!$B$2:$O$2,0)))</f>
        <v>0</v>
      </c>
      <c r="L4" s="1">
        <f>IF(ISERROR(INDEX(Sheet2!$B$2:$O$7,MATCH($AG4,Sheet2!$B$2:$B$7,0),MATCH(L$2,Sheet2!$B$2:$O$2,0))),0,INDEX(Sheet2!$B$2:$O$7,MATCH($AG4,Sheet2!$B$2:$B$7,0),MATCH(L$2,Sheet2!$B$2:$O$2,0)))</f>
        <v>0</v>
      </c>
      <c r="M4" s="1">
        <f>IF(ISERROR(INDEX(Sheet2!$B$2:$O$7,MATCH($AG4,Sheet2!$B$2:$B$7,0),MATCH(M$2,Sheet2!$B$2:$O$2,0))),0,INDEX(Sheet2!$B$2:$O$7,MATCH($AG4,Sheet2!$B$2:$B$7,0),MATCH(M$2,Sheet2!$B$2:$O$2,0)))</f>
        <v>0</v>
      </c>
      <c r="N4" s="1">
        <f>IF(ISERROR(INDEX(Sheet2!$B$2:$O$7,MATCH($AG4,Sheet2!$B$2:$B$7,0),MATCH(N$2,Sheet2!$B$2:$O$2,0))),0,INDEX(Sheet2!$B$2:$O$7,MATCH($AG4,Sheet2!$B$2:$B$7,0),MATCH(N$2,Sheet2!$B$2:$O$2,0)))</f>
        <v>600</v>
      </c>
      <c r="O4" s="1">
        <f>IF(ISERROR(INDEX(Sheet2!$B$2:$O$7,MATCH($AG4,Sheet2!$B$2:$B$7,0),MATCH(O$2,Sheet2!$B$2:$O$2,0))),0,INDEX(Sheet2!$B$2:$O$7,MATCH($AG4,Sheet2!$B$2:$B$7,0),MATCH(O$2,Sheet2!$B$2:$O$2,0)))</f>
        <v>24</v>
      </c>
      <c r="P4" s="1">
        <f>IF(ISERROR(INDEX(Sheet2!$B$2:$O$7,MATCH($AG4,Sheet2!$B$2:$B$7,0),MATCH(P$2,Sheet2!$B$2:$O$2,0))),0,INDEX(Sheet2!$B$2:$O$7,MATCH($AG4,Sheet2!$B$2:$B$7,0),MATCH(P$2,Sheet2!$B$2:$O$2,0)))</f>
        <v>12</v>
      </c>
      <c r="Q4" s="1">
        <f>IF(ISERROR(INDEX(Sheet2!$B$2:$O$7,MATCH($AG4,Sheet2!$B$2:$B$7,0),MATCH(Q$2,Sheet2!$B$2:$O$2,0))),0,INDEX(Sheet2!$B$2:$O$7,MATCH($AG4,Sheet2!$B$2:$B$7,0),MATCH(Q$2,Sheet2!$B$2:$O$2,0)))</f>
        <v>12</v>
      </c>
      <c r="R4" s="1">
        <f>IF(ISERROR(INDEX(Sheet2!$B$2:$O$7,MATCH($AG4,Sheet2!$B$2:$B$7,0),MATCH(R$2,Sheet2!$B$2:$O$2,0))),0,INDEX(Sheet2!$B$2:$O$7,MATCH($AG4,Sheet2!$B$2:$B$7,0),MATCH(R$2,Sheet2!$B$2:$O$2,0)))</f>
        <v>0</v>
      </c>
      <c r="S4" s="1">
        <f>IF(ISERROR(INDEX(Sheet2!$B$2:$O$7,MATCH($AG4,Sheet2!$B$2:$B$7,0),MATCH(S$2,Sheet2!$B$2:$O$2,0))),0,INDEX(Sheet2!$B$2:$O$7,MATCH($AG4,Sheet2!$B$2:$B$7,0),MATCH(S$2,Sheet2!$B$2:$O$2,0)))</f>
        <v>0</v>
      </c>
      <c r="T4" s="1">
        <f>IF(ISERROR(INDEX(Sheet2!$B$2:$O$7,MATCH($AG4,Sheet2!$B$2:$B$7,0),MATCH(T$2,Sheet2!$B$2:$O$2,0))),0,INDEX(Sheet2!$B$2:$O$7,MATCH($AG4,Sheet2!$B$2:$B$7,0),MATCH(T$2,Sheet2!$B$2:$O$2,0)))</f>
        <v>0</v>
      </c>
      <c r="U4" s="1">
        <f>IF(ISERROR(INDEX(Sheet2!$B$2:$O$7,MATCH($AG4,Sheet2!$B$2:$B$7,0),MATCH(U$2,Sheet2!$B$2:$O$2,0))),0,INDEX(Sheet2!$B$2:$O$7,MATCH($AG4,Sheet2!$B$2:$B$7,0),MATCH(U$2,Sheet2!$B$2:$O$2,0)))</f>
        <v>0</v>
      </c>
      <c r="V4" s="1">
        <f>IF(ISERROR(INDEX(Sheet2!$B$2:$O$7,MATCH($AG4,Sheet2!$B$2:$B$7,0),MATCH(V$2,Sheet2!$B$2:$O$2,0))),0,INDEX(Sheet2!$B$2:$O$7,MATCH($AG4,Sheet2!$B$2:$B$7,0),MATCH(V$2,Sheet2!$B$2:$O$2,0)))</f>
        <v>10000</v>
      </c>
      <c r="W4" s="1">
        <f>IF(ISERROR(INDEX(Sheet2!$B$2:$O$7,MATCH($AG4,Sheet2!$B$2:$B$7,0),MATCH(W$2,Sheet2!$B$2:$O$2,0))),0,INDEX(Sheet2!$B$2:$O$7,MATCH($AG4,Sheet2!$B$2:$B$7,0),MATCH(W$2,Sheet2!$B$2:$O$2,0)))</f>
        <v>400</v>
      </c>
      <c r="X4" s="1">
        <f>IF(ISERROR(INDEX(Sheet2!$B$2:$O$7,MATCH($AG4,Sheet2!$B$2:$B$7,0),MATCH(X$2,Sheet2!$B$2:$O$2,0))),0,INDEX(Sheet2!$B$2:$O$7,MATCH($AG4,Sheet2!$B$2:$B$7,0),MATCH(X$2,Sheet2!$B$2:$O$2,0)))</f>
        <v>200</v>
      </c>
      <c r="Y4" s="1">
        <f>IF(ISERROR(INDEX(Sheet2!$B$2:$O$7,MATCH($AG4,Sheet2!$B$2:$B$7,0),MATCH(Y$2,Sheet2!$B$2:$O$2,0))),0,INDEX(Sheet2!$B$2:$O$7,MATCH($AG4,Sheet2!$B$2:$B$7,0),MATCH(Y$2,Sheet2!$B$2:$O$2,0)))</f>
        <v>200</v>
      </c>
      <c r="Z4" s="1">
        <f>IF(ISERROR(INDEX(Sheet2!$B$2:$O$7,MATCH($AG4,Sheet2!$B$2:$B$7,0),MATCH(Z$2,Sheet2!$B$2:$O$2,0))),0,INDEX(Sheet2!$B$2:$O$7,MATCH($AG4,Sheet2!$B$2:$B$7,0),MATCH(Z$2,Sheet2!$B$2:$O$2,0)))</f>
        <v>0</v>
      </c>
      <c r="AA4" s="1">
        <f>IF(ISERROR(INDEX(Sheet2!$B$2:$O$7,MATCH($AG4,Sheet2!$B$2:$B$7,0),MATCH(AA$2,Sheet2!$B$2:$O$2,0))),0,INDEX(Sheet2!$B$2:$O$7,MATCH($AG4,Sheet2!$B$2:$B$7,0),MATCH(AA$2,Sheet2!$B$2:$O$2,0)))</f>
        <v>0</v>
      </c>
      <c r="AB4" s="1">
        <f>IF(ISERROR(INDEX(Sheet2!$B$2:$O$7,MATCH($AG4,Sheet2!$B$2:$B$7,0),MATCH(AB$2,Sheet2!$B$2:$O$2,0))),0,INDEX(Sheet2!$B$2:$O$7,MATCH($AG4,Sheet2!$B$2:$B$7,0),MATCH(AB$2,Sheet2!$B$2:$O$2,0)))</f>
        <v>0</v>
      </c>
      <c r="AC4" s="1">
        <f>IF(ISERROR(INDEX(Sheet2!$B$2:$O$7,MATCH($AG4,Sheet2!$B$2:$B$7,0),MATCH(AC$2,Sheet2!$B$2:$O$2,0))),0,INDEX(Sheet2!$B$2:$O$7,MATCH($AG4,Sheet2!$B$2:$B$7,0),MATCH(AC$2,Sheet2!$B$2:$O$2,0)))</f>
        <v>0</v>
      </c>
      <c r="AD4" s="12" t="s">
        <v>219</v>
      </c>
      <c r="AE4" s="27">
        <v>17102</v>
      </c>
      <c r="AF4" s="20" t="s">
        <v>218</v>
      </c>
      <c r="AG4" s="1">
        <f>INDEX([1]Sheet1!$U:$U,MATCH($A4,[1]Sheet1!$BN:$BN,0),0)</f>
        <v>13</v>
      </c>
      <c r="AH4" s="15"/>
      <c r="AJ4" s="4">
        <v>13</v>
      </c>
      <c r="AK4" s="4">
        <v>100000</v>
      </c>
      <c r="AL4" s="12" t="s">
        <v>62</v>
      </c>
    </row>
    <row r="5" spans="1:38">
      <c r="A5" s="1">
        <v>1002</v>
      </c>
      <c r="B5" s="1" t="s">
        <v>75</v>
      </c>
      <c r="C5" s="1" t="s">
        <v>118</v>
      </c>
      <c r="D5" s="1" t="str">
        <f t="shared" ref="D5:D47" si="0">"[[90000,"&amp;A5*10&amp;"],[90001,"&amp;A5*10+1&amp;"],[90002,"&amp;A5*10+2&amp;"],[90003,"&amp;A5*10+3&amp;"],[90004,"&amp;A5*10+4&amp;"],[90005,"&amp;A5*10+5&amp;"],[90006,"&amp;A5*10+6&amp;"]]"</f>
        <v>[[90000,10020],[90001,10021],[90002,10022],[90003,10023],[90004,10024],[90005,10025],[90006,10026]]</v>
      </c>
      <c r="E5" s="44">
        <v>4</v>
      </c>
      <c r="F5" s="1">
        <f>IF(ISERROR(INDEX(Sheet2!$B$2:$O$7,MATCH($AG5,Sheet2!$B$2:$B$7,0),MATCH(F$2,Sheet2!$B$2:$O$2,0))),0,INDEX(Sheet2!$B$2:$O$7,MATCH($AG5,Sheet2!$B$2:$B$7,0),MATCH(F$2,Sheet2!$B$2:$O$2,0)))</f>
        <v>5000</v>
      </c>
      <c r="G5" s="1">
        <f>IF(ISERROR(INDEX(Sheet2!$B$2:$O$7,MATCH($AG5,Sheet2!$B$2:$B$7,0),MATCH(G$2,Sheet2!$B$2:$O$2,0))),0,INDEX(Sheet2!$B$2:$O$7,MATCH($AG5,Sheet2!$B$2:$B$7,0),MATCH(G$2,Sheet2!$B$2:$O$2,0)))</f>
        <v>200</v>
      </c>
      <c r="H5" s="1">
        <f>IF(ISERROR(INDEX(Sheet2!$B$2:$O$7,MATCH($AG5,Sheet2!$B$2:$B$7,0),MATCH(H$2,Sheet2!$B$2:$O$2,0))),0,INDEX(Sheet2!$B$2:$O$7,MATCH($AG5,Sheet2!$B$2:$B$7,0),MATCH(H$2,Sheet2!$B$2:$O$2,0)))</f>
        <v>100</v>
      </c>
      <c r="I5" s="1">
        <f>IF(ISERROR(INDEX(Sheet2!$B$2:$O$7,MATCH($AG5,Sheet2!$B$2:$B$7,0),MATCH(I$2,Sheet2!$B$2:$O$2,0))),0,INDEX(Sheet2!$B$2:$O$7,MATCH($AG5,Sheet2!$B$2:$B$7,0),MATCH(I$2,Sheet2!$B$2:$O$2,0)))</f>
        <v>100</v>
      </c>
      <c r="J5" s="1">
        <f>IF(ISERROR(INDEX(Sheet2!$B$2:$O$7,MATCH($AG5,Sheet2!$B$2:$B$7,0),MATCH(J$2,Sheet2!$B$2:$O$2,0))),0,INDEX(Sheet2!$B$2:$O$7,MATCH($AG5,Sheet2!$B$2:$B$7,0),MATCH(J$2,Sheet2!$B$2:$O$2,0)))</f>
        <v>0</v>
      </c>
      <c r="K5" s="1">
        <f>IF(ISERROR(INDEX(Sheet2!$B$2:$O$7,MATCH($AG5,Sheet2!$B$2:$B$7,0),MATCH(K$2,Sheet2!$B$2:$O$2,0))),0,INDEX(Sheet2!$B$2:$O$7,MATCH($AG5,Sheet2!$B$2:$B$7,0),MATCH(K$2,Sheet2!$B$2:$O$2,0)))</f>
        <v>0</v>
      </c>
      <c r="L5" s="1">
        <f>IF(ISERROR(INDEX(Sheet2!$B$2:$O$7,MATCH($AG5,Sheet2!$B$2:$B$7,0),MATCH(L$2,Sheet2!$B$2:$O$2,0))),0,INDEX(Sheet2!$B$2:$O$7,MATCH($AG5,Sheet2!$B$2:$B$7,0),MATCH(L$2,Sheet2!$B$2:$O$2,0)))</f>
        <v>0</v>
      </c>
      <c r="M5" s="1">
        <f>IF(ISERROR(INDEX(Sheet2!$B$2:$O$7,MATCH($AG5,Sheet2!$B$2:$B$7,0),MATCH(M$2,Sheet2!$B$2:$O$2,0))),0,INDEX(Sheet2!$B$2:$O$7,MATCH($AG5,Sheet2!$B$2:$B$7,0),MATCH(M$2,Sheet2!$B$2:$O$2,0)))</f>
        <v>0</v>
      </c>
      <c r="N5" s="1">
        <f>IF(ISERROR(INDEX(Sheet2!$B$2:$O$7,MATCH($AG5,Sheet2!$B$2:$B$7,0),MATCH(N$2,Sheet2!$B$2:$O$2,0))),0,INDEX(Sheet2!$B$2:$O$7,MATCH($AG5,Sheet2!$B$2:$B$7,0),MATCH(N$2,Sheet2!$B$2:$O$2,0)))</f>
        <v>600</v>
      </c>
      <c r="O5" s="1">
        <f>IF(ISERROR(INDEX(Sheet2!$B$2:$O$7,MATCH($AG5,Sheet2!$B$2:$B$7,0),MATCH(O$2,Sheet2!$B$2:$O$2,0))),0,INDEX(Sheet2!$B$2:$O$7,MATCH($AG5,Sheet2!$B$2:$B$7,0),MATCH(O$2,Sheet2!$B$2:$O$2,0)))</f>
        <v>24</v>
      </c>
      <c r="P5" s="1">
        <f>IF(ISERROR(INDEX(Sheet2!$B$2:$O$7,MATCH($AG5,Sheet2!$B$2:$B$7,0),MATCH(P$2,Sheet2!$B$2:$O$2,0))),0,INDEX(Sheet2!$B$2:$O$7,MATCH($AG5,Sheet2!$B$2:$B$7,0),MATCH(P$2,Sheet2!$B$2:$O$2,0)))</f>
        <v>12</v>
      </c>
      <c r="Q5" s="1">
        <f>IF(ISERROR(INDEX(Sheet2!$B$2:$O$7,MATCH($AG5,Sheet2!$B$2:$B$7,0),MATCH(Q$2,Sheet2!$B$2:$O$2,0))),0,INDEX(Sheet2!$B$2:$O$7,MATCH($AG5,Sheet2!$B$2:$B$7,0),MATCH(Q$2,Sheet2!$B$2:$O$2,0)))</f>
        <v>12</v>
      </c>
      <c r="R5" s="1">
        <f>IF(ISERROR(INDEX(Sheet2!$B$2:$O$7,MATCH($AG5,Sheet2!$B$2:$B$7,0),MATCH(R$2,Sheet2!$B$2:$O$2,0))),0,INDEX(Sheet2!$B$2:$O$7,MATCH($AG5,Sheet2!$B$2:$B$7,0),MATCH(R$2,Sheet2!$B$2:$O$2,0)))</f>
        <v>0</v>
      </c>
      <c r="S5" s="1">
        <f>IF(ISERROR(INDEX(Sheet2!$B$2:$O$7,MATCH($AG5,Sheet2!$B$2:$B$7,0),MATCH(S$2,Sheet2!$B$2:$O$2,0))),0,INDEX(Sheet2!$B$2:$O$7,MATCH($AG5,Sheet2!$B$2:$B$7,0),MATCH(S$2,Sheet2!$B$2:$O$2,0)))</f>
        <v>0</v>
      </c>
      <c r="T5" s="1">
        <f>IF(ISERROR(INDEX(Sheet2!$B$2:$O$7,MATCH($AG5,Sheet2!$B$2:$B$7,0),MATCH(T$2,Sheet2!$B$2:$O$2,0))),0,INDEX(Sheet2!$B$2:$O$7,MATCH($AG5,Sheet2!$B$2:$B$7,0),MATCH(T$2,Sheet2!$B$2:$O$2,0)))</f>
        <v>0</v>
      </c>
      <c r="U5" s="1">
        <f>IF(ISERROR(INDEX(Sheet2!$B$2:$O$7,MATCH($AG5,Sheet2!$B$2:$B$7,0),MATCH(U$2,Sheet2!$B$2:$O$2,0))),0,INDEX(Sheet2!$B$2:$O$7,MATCH($AG5,Sheet2!$B$2:$B$7,0),MATCH(U$2,Sheet2!$B$2:$O$2,0)))</f>
        <v>0</v>
      </c>
      <c r="V5" s="1">
        <f>IF(ISERROR(INDEX(Sheet2!$B$2:$O$7,MATCH($AG5,Sheet2!$B$2:$B$7,0),MATCH(V$2,Sheet2!$B$2:$O$2,0))),0,INDEX(Sheet2!$B$2:$O$7,MATCH($AG5,Sheet2!$B$2:$B$7,0),MATCH(V$2,Sheet2!$B$2:$O$2,0)))</f>
        <v>10000</v>
      </c>
      <c r="W5" s="1">
        <f>IF(ISERROR(INDEX(Sheet2!$B$2:$O$7,MATCH($AG5,Sheet2!$B$2:$B$7,0),MATCH(W$2,Sheet2!$B$2:$O$2,0))),0,INDEX(Sheet2!$B$2:$O$7,MATCH($AG5,Sheet2!$B$2:$B$7,0),MATCH(W$2,Sheet2!$B$2:$O$2,0)))</f>
        <v>400</v>
      </c>
      <c r="X5" s="1">
        <f>IF(ISERROR(INDEX(Sheet2!$B$2:$O$7,MATCH($AG5,Sheet2!$B$2:$B$7,0),MATCH(X$2,Sheet2!$B$2:$O$2,0))),0,INDEX(Sheet2!$B$2:$O$7,MATCH($AG5,Sheet2!$B$2:$B$7,0),MATCH(X$2,Sheet2!$B$2:$O$2,0)))</f>
        <v>200</v>
      </c>
      <c r="Y5" s="1">
        <f>IF(ISERROR(INDEX(Sheet2!$B$2:$O$7,MATCH($AG5,Sheet2!$B$2:$B$7,0),MATCH(Y$2,Sheet2!$B$2:$O$2,0))),0,INDEX(Sheet2!$B$2:$O$7,MATCH($AG5,Sheet2!$B$2:$B$7,0),MATCH(Y$2,Sheet2!$B$2:$O$2,0)))</f>
        <v>200</v>
      </c>
      <c r="Z5" s="1">
        <f>IF(ISERROR(INDEX(Sheet2!$B$2:$O$7,MATCH($AG5,Sheet2!$B$2:$B$7,0),MATCH(Z$2,Sheet2!$B$2:$O$2,0))),0,INDEX(Sheet2!$B$2:$O$7,MATCH($AG5,Sheet2!$B$2:$B$7,0),MATCH(Z$2,Sheet2!$B$2:$O$2,0)))</f>
        <v>0</v>
      </c>
      <c r="AA5" s="1">
        <f>IF(ISERROR(INDEX(Sheet2!$B$2:$O$7,MATCH($AG5,Sheet2!$B$2:$B$7,0),MATCH(AA$2,Sheet2!$B$2:$O$2,0))),0,INDEX(Sheet2!$B$2:$O$7,MATCH($AG5,Sheet2!$B$2:$B$7,0),MATCH(AA$2,Sheet2!$B$2:$O$2,0)))</f>
        <v>0</v>
      </c>
      <c r="AB5" s="1">
        <f>IF(ISERROR(INDEX(Sheet2!$B$2:$O$7,MATCH($AG5,Sheet2!$B$2:$B$7,0),MATCH(AB$2,Sheet2!$B$2:$O$2,0))),0,INDEX(Sheet2!$B$2:$O$7,MATCH($AG5,Sheet2!$B$2:$B$7,0),MATCH(AB$2,Sheet2!$B$2:$O$2,0)))</f>
        <v>0</v>
      </c>
      <c r="AC5" s="1">
        <f>IF(ISERROR(INDEX(Sheet2!$B$2:$O$7,MATCH($AG5,Sheet2!$B$2:$B$7,0),MATCH(AC$2,Sheet2!$B$2:$O$2,0))),0,INDEX(Sheet2!$B$2:$O$7,MATCH($AG5,Sheet2!$B$2:$B$7,0),MATCH(AC$2,Sheet2!$B$2:$O$2,0)))</f>
        <v>0</v>
      </c>
      <c r="AD5" s="12" t="s">
        <v>219</v>
      </c>
      <c r="AE5" s="27">
        <v>17102</v>
      </c>
      <c r="AF5" s="20" t="s">
        <v>218</v>
      </c>
      <c r="AG5" s="1">
        <f>INDEX([1]Sheet1!$U:$U,MATCH($A5,[1]Sheet1!$BN:$BN,0),0)</f>
        <v>13</v>
      </c>
      <c r="AH5" s="15"/>
      <c r="AJ5" s="4">
        <v>16</v>
      </c>
      <c r="AK5" s="4">
        <v>125000</v>
      </c>
      <c r="AL5" s="4" t="s">
        <v>216</v>
      </c>
    </row>
    <row r="6" spans="1:38">
      <c r="A6" s="1">
        <v>1102</v>
      </c>
      <c r="B6" s="1" t="s">
        <v>76</v>
      </c>
      <c r="C6" s="1" t="s">
        <v>119</v>
      </c>
      <c r="D6" s="1" t="str">
        <f t="shared" si="0"/>
        <v>[[90000,11020],[90001,11021],[90002,11022],[90003,11023],[90004,11024],[90005,11025],[90006,11026]]</v>
      </c>
      <c r="E6" s="44">
        <v>5</v>
      </c>
      <c r="F6" s="1">
        <f>IF(ISERROR(INDEX(Sheet2!$B$2:$O$7,MATCH($AG6,Sheet2!$B$2:$B$7,0),MATCH(F$2,Sheet2!$B$2:$O$2,0))),0,INDEX(Sheet2!$B$2:$O$7,MATCH($AG6,Sheet2!$B$2:$B$7,0),MATCH(F$2,Sheet2!$B$2:$O$2,0)))</f>
        <v>10000</v>
      </c>
      <c r="G6" s="1">
        <f>IF(ISERROR(INDEX(Sheet2!$B$2:$O$7,MATCH($AG6,Sheet2!$B$2:$B$7,0),MATCH(G$2,Sheet2!$B$2:$O$2,0))),0,INDEX(Sheet2!$B$2:$O$7,MATCH($AG6,Sheet2!$B$2:$B$7,0),MATCH(G$2,Sheet2!$B$2:$O$2,0)))</f>
        <v>400</v>
      </c>
      <c r="H6" s="1">
        <f>IF(ISERROR(INDEX(Sheet2!$B$2:$O$7,MATCH($AG6,Sheet2!$B$2:$B$7,0),MATCH(H$2,Sheet2!$B$2:$O$2,0))),0,INDEX(Sheet2!$B$2:$O$7,MATCH($AG6,Sheet2!$B$2:$B$7,0),MATCH(H$2,Sheet2!$B$2:$O$2,0)))</f>
        <v>200</v>
      </c>
      <c r="I6" s="1">
        <f>IF(ISERROR(INDEX(Sheet2!$B$2:$O$7,MATCH($AG6,Sheet2!$B$2:$B$7,0),MATCH(I$2,Sheet2!$B$2:$O$2,0))),0,INDEX(Sheet2!$B$2:$O$7,MATCH($AG6,Sheet2!$B$2:$B$7,0),MATCH(I$2,Sheet2!$B$2:$O$2,0)))</f>
        <v>200</v>
      </c>
      <c r="J6" s="1">
        <f>IF(ISERROR(INDEX(Sheet2!$B$2:$O$7,MATCH($AG6,Sheet2!$B$2:$B$7,0),MATCH(J$2,Sheet2!$B$2:$O$2,0))),0,INDEX(Sheet2!$B$2:$O$7,MATCH($AG6,Sheet2!$B$2:$B$7,0),MATCH(J$2,Sheet2!$B$2:$O$2,0)))</f>
        <v>0</v>
      </c>
      <c r="K6" s="1">
        <f>IF(ISERROR(INDEX(Sheet2!$B$2:$O$7,MATCH($AG6,Sheet2!$B$2:$B$7,0),MATCH(K$2,Sheet2!$B$2:$O$2,0))),0,INDEX(Sheet2!$B$2:$O$7,MATCH($AG6,Sheet2!$B$2:$B$7,0),MATCH(K$2,Sheet2!$B$2:$O$2,0)))</f>
        <v>0</v>
      </c>
      <c r="L6" s="1">
        <f>IF(ISERROR(INDEX(Sheet2!$B$2:$O$7,MATCH($AG6,Sheet2!$B$2:$B$7,0),MATCH(L$2,Sheet2!$B$2:$O$2,0))),0,INDEX(Sheet2!$B$2:$O$7,MATCH($AG6,Sheet2!$B$2:$B$7,0),MATCH(L$2,Sheet2!$B$2:$O$2,0)))</f>
        <v>0</v>
      </c>
      <c r="M6" s="1">
        <f>IF(ISERROR(INDEX(Sheet2!$B$2:$O$7,MATCH($AG6,Sheet2!$B$2:$B$7,0),MATCH(M$2,Sheet2!$B$2:$O$2,0))),0,INDEX(Sheet2!$B$2:$O$7,MATCH($AG6,Sheet2!$B$2:$B$7,0),MATCH(M$2,Sheet2!$B$2:$O$2,0)))</f>
        <v>0</v>
      </c>
      <c r="N6" s="1">
        <f>IF(ISERROR(INDEX(Sheet2!$B$2:$O$7,MATCH($AG6,Sheet2!$B$2:$B$7,0),MATCH(N$2,Sheet2!$B$2:$O$2,0))),0,INDEX(Sheet2!$B$2:$O$7,MATCH($AG6,Sheet2!$B$2:$B$7,0),MATCH(N$2,Sheet2!$B$2:$O$2,0)))</f>
        <v>750</v>
      </c>
      <c r="O6" s="1">
        <f>IF(ISERROR(INDEX(Sheet2!$B$2:$O$7,MATCH($AG6,Sheet2!$B$2:$B$7,0),MATCH(O$2,Sheet2!$B$2:$O$2,0))),0,INDEX(Sheet2!$B$2:$O$7,MATCH($AG6,Sheet2!$B$2:$B$7,0),MATCH(O$2,Sheet2!$B$2:$O$2,0)))</f>
        <v>30</v>
      </c>
      <c r="P6" s="1">
        <f>IF(ISERROR(INDEX(Sheet2!$B$2:$O$7,MATCH($AG6,Sheet2!$B$2:$B$7,0),MATCH(P$2,Sheet2!$B$2:$O$2,0))),0,INDEX(Sheet2!$B$2:$O$7,MATCH($AG6,Sheet2!$B$2:$B$7,0),MATCH(P$2,Sheet2!$B$2:$O$2,0)))</f>
        <v>15</v>
      </c>
      <c r="Q6" s="1">
        <f>IF(ISERROR(INDEX(Sheet2!$B$2:$O$7,MATCH($AG6,Sheet2!$B$2:$B$7,0),MATCH(Q$2,Sheet2!$B$2:$O$2,0))),0,INDEX(Sheet2!$B$2:$O$7,MATCH($AG6,Sheet2!$B$2:$B$7,0),MATCH(Q$2,Sheet2!$B$2:$O$2,0)))</f>
        <v>15</v>
      </c>
      <c r="R6" s="1">
        <f>IF(ISERROR(INDEX(Sheet2!$B$2:$O$7,MATCH($AG6,Sheet2!$B$2:$B$7,0),MATCH(R$2,Sheet2!$B$2:$O$2,0))),0,INDEX(Sheet2!$B$2:$O$7,MATCH($AG6,Sheet2!$B$2:$B$7,0),MATCH(R$2,Sheet2!$B$2:$O$2,0)))</f>
        <v>0</v>
      </c>
      <c r="S6" s="1">
        <f>IF(ISERROR(INDEX(Sheet2!$B$2:$O$7,MATCH($AG6,Sheet2!$B$2:$B$7,0),MATCH(S$2,Sheet2!$B$2:$O$2,0))),0,INDEX(Sheet2!$B$2:$O$7,MATCH($AG6,Sheet2!$B$2:$B$7,0),MATCH(S$2,Sheet2!$B$2:$O$2,0)))</f>
        <v>0</v>
      </c>
      <c r="T6" s="1">
        <f>IF(ISERROR(INDEX(Sheet2!$B$2:$O$7,MATCH($AG6,Sheet2!$B$2:$B$7,0),MATCH(T$2,Sheet2!$B$2:$O$2,0))),0,INDEX(Sheet2!$B$2:$O$7,MATCH($AG6,Sheet2!$B$2:$B$7,0),MATCH(T$2,Sheet2!$B$2:$O$2,0)))</f>
        <v>0</v>
      </c>
      <c r="U6" s="1">
        <f>IF(ISERROR(INDEX(Sheet2!$B$2:$O$7,MATCH($AG6,Sheet2!$B$2:$B$7,0),MATCH(U$2,Sheet2!$B$2:$O$2,0))),0,INDEX(Sheet2!$B$2:$O$7,MATCH($AG6,Sheet2!$B$2:$B$7,0),MATCH(U$2,Sheet2!$B$2:$O$2,0)))</f>
        <v>0</v>
      </c>
      <c r="V6" s="1">
        <f>IF(ISERROR(INDEX(Sheet2!$B$2:$O$7,MATCH($AG6,Sheet2!$B$2:$B$7,0),MATCH(V$2,Sheet2!$B$2:$O$2,0))),0,INDEX(Sheet2!$B$2:$O$7,MATCH($AG6,Sheet2!$B$2:$B$7,0),MATCH(V$2,Sheet2!$B$2:$O$2,0)))</f>
        <v>12500</v>
      </c>
      <c r="W6" s="1">
        <f>IF(ISERROR(INDEX(Sheet2!$B$2:$O$7,MATCH($AG6,Sheet2!$B$2:$B$7,0),MATCH(W$2,Sheet2!$B$2:$O$2,0))),0,INDEX(Sheet2!$B$2:$O$7,MATCH($AG6,Sheet2!$B$2:$B$7,0),MATCH(W$2,Sheet2!$B$2:$O$2,0)))</f>
        <v>500</v>
      </c>
      <c r="X6" s="1">
        <f>IF(ISERROR(INDEX(Sheet2!$B$2:$O$7,MATCH($AG6,Sheet2!$B$2:$B$7,0),MATCH(X$2,Sheet2!$B$2:$O$2,0))),0,INDEX(Sheet2!$B$2:$O$7,MATCH($AG6,Sheet2!$B$2:$B$7,0),MATCH(X$2,Sheet2!$B$2:$O$2,0)))</f>
        <v>250</v>
      </c>
      <c r="Y6" s="1">
        <f>IF(ISERROR(INDEX(Sheet2!$B$2:$O$7,MATCH($AG6,Sheet2!$B$2:$B$7,0),MATCH(Y$2,Sheet2!$B$2:$O$2,0))),0,INDEX(Sheet2!$B$2:$O$7,MATCH($AG6,Sheet2!$B$2:$B$7,0),MATCH(Y$2,Sheet2!$B$2:$O$2,0)))</f>
        <v>250</v>
      </c>
      <c r="Z6" s="1">
        <f>IF(ISERROR(INDEX(Sheet2!$B$2:$O$7,MATCH($AG6,Sheet2!$B$2:$B$7,0),MATCH(Z$2,Sheet2!$B$2:$O$2,0))),0,INDEX(Sheet2!$B$2:$O$7,MATCH($AG6,Sheet2!$B$2:$B$7,0),MATCH(Z$2,Sheet2!$B$2:$O$2,0)))</f>
        <v>0</v>
      </c>
      <c r="AA6" s="1">
        <f>IF(ISERROR(INDEX(Sheet2!$B$2:$O$7,MATCH($AG6,Sheet2!$B$2:$B$7,0),MATCH(AA$2,Sheet2!$B$2:$O$2,0))),0,INDEX(Sheet2!$B$2:$O$7,MATCH($AG6,Sheet2!$B$2:$B$7,0),MATCH(AA$2,Sheet2!$B$2:$O$2,0)))</f>
        <v>0</v>
      </c>
      <c r="AB6" s="1">
        <f>IF(ISERROR(INDEX(Sheet2!$B$2:$O$7,MATCH($AG6,Sheet2!$B$2:$B$7,0),MATCH(AB$2,Sheet2!$B$2:$O$2,0))),0,INDEX(Sheet2!$B$2:$O$7,MATCH($AG6,Sheet2!$B$2:$B$7,0),MATCH(AB$2,Sheet2!$B$2:$O$2,0)))</f>
        <v>0</v>
      </c>
      <c r="AC6" s="1">
        <f>IF(ISERROR(INDEX(Sheet2!$B$2:$O$7,MATCH($AG6,Sheet2!$B$2:$B$7,0),MATCH(AC$2,Sheet2!$B$2:$O$2,0))),0,INDEX(Sheet2!$B$2:$O$7,MATCH($AG6,Sheet2!$B$2:$B$7,0),MATCH(AC$2,Sheet2!$B$2:$O$2,0)))</f>
        <v>0</v>
      </c>
      <c r="AD6" s="12" t="s">
        <v>220</v>
      </c>
      <c r="AE6" s="27">
        <v>17103</v>
      </c>
      <c r="AF6" s="20" t="s">
        <v>195</v>
      </c>
      <c r="AG6" s="1">
        <f>INDEX([1]Sheet1!$U:$U,MATCH($A6,[1]Sheet1!$BN:$BN,0),0)</f>
        <v>16</v>
      </c>
      <c r="AH6" s="15"/>
      <c r="AJ6" s="4">
        <v>20</v>
      </c>
      <c r="AK6" s="4">
        <v>200000</v>
      </c>
      <c r="AL6" s="4" t="s">
        <v>217</v>
      </c>
    </row>
    <row r="7" spans="1:38">
      <c r="A7" s="1">
        <v>1211</v>
      </c>
      <c r="B7" s="1" t="s">
        <v>77</v>
      </c>
      <c r="C7" s="1" t="s">
        <v>120</v>
      </c>
      <c r="D7" s="1" t="str">
        <f t="shared" si="0"/>
        <v>[[90000,12110],[90001,12111],[90002,12112],[90003,12113],[90004,12114],[90005,12115],[90006,12116]]</v>
      </c>
      <c r="E7" s="44">
        <v>6</v>
      </c>
      <c r="F7" s="1">
        <f>IF(ISERROR(INDEX(Sheet2!$B$2:$O$7,MATCH($AG7,Sheet2!$B$2:$B$7,0),MATCH(F$2,Sheet2!$B$2:$O$2,0))),0,INDEX(Sheet2!$B$2:$O$7,MATCH($AG7,Sheet2!$B$2:$B$7,0),MATCH(F$2,Sheet2!$B$2:$O$2,0)))</f>
        <v>20000</v>
      </c>
      <c r="G7" s="1">
        <f>IF(ISERROR(INDEX(Sheet2!$B$2:$O$7,MATCH($AG7,Sheet2!$B$2:$B$7,0),MATCH(G$2,Sheet2!$B$2:$O$2,0))),0,INDEX(Sheet2!$B$2:$O$7,MATCH($AG7,Sheet2!$B$2:$B$7,0),MATCH(G$2,Sheet2!$B$2:$O$2,0)))</f>
        <v>800</v>
      </c>
      <c r="H7" s="1">
        <f>IF(ISERROR(INDEX(Sheet2!$B$2:$O$7,MATCH($AG7,Sheet2!$B$2:$B$7,0),MATCH(H$2,Sheet2!$B$2:$O$2,0))),0,INDEX(Sheet2!$B$2:$O$7,MATCH($AG7,Sheet2!$B$2:$B$7,0),MATCH(H$2,Sheet2!$B$2:$O$2,0)))</f>
        <v>400</v>
      </c>
      <c r="I7" s="1">
        <f>IF(ISERROR(INDEX(Sheet2!$B$2:$O$7,MATCH($AG7,Sheet2!$B$2:$B$7,0),MATCH(I$2,Sheet2!$B$2:$O$2,0))),0,INDEX(Sheet2!$B$2:$O$7,MATCH($AG7,Sheet2!$B$2:$B$7,0),MATCH(I$2,Sheet2!$B$2:$O$2,0)))</f>
        <v>400</v>
      </c>
      <c r="J7" s="1">
        <f>IF(ISERROR(INDEX(Sheet2!$B$2:$O$7,MATCH($AG7,Sheet2!$B$2:$B$7,0),MATCH(J$2,Sheet2!$B$2:$O$2,0))),0,INDEX(Sheet2!$B$2:$O$7,MATCH($AG7,Sheet2!$B$2:$B$7,0),MATCH(J$2,Sheet2!$B$2:$O$2,0)))</f>
        <v>0</v>
      </c>
      <c r="K7" s="1">
        <f>IF(ISERROR(INDEX(Sheet2!$B$2:$O$7,MATCH($AG7,Sheet2!$B$2:$B$7,0),MATCH(K$2,Sheet2!$B$2:$O$2,0))),0,INDEX(Sheet2!$B$2:$O$7,MATCH($AG7,Sheet2!$B$2:$B$7,0),MATCH(K$2,Sheet2!$B$2:$O$2,0)))</f>
        <v>0</v>
      </c>
      <c r="L7" s="1">
        <f>IF(ISERROR(INDEX(Sheet2!$B$2:$O$7,MATCH($AG7,Sheet2!$B$2:$B$7,0),MATCH(L$2,Sheet2!$B$2:$O$2,0))),0,INDEX(Sheet2!$B$2:$O$7,MATCH($AG7,Sheet2!$B$2:$B$7,0),MATCH(L$2,Sheet2!$B$2:$O$2,0)))</f>
        <v>0</v>
      </c>
      <c r="M7" s="1">
        <f>IF(ISERROR(INDEX(Sheet2!$B$2:$O$7,MATCH($AG7,Sheet2!$B$2:$B$7,0),MATCH(M$2,Sheet2!$B$2:$O$2,0))),0,INDEX(Sheet2!$B$2:$O$7,MATCH($AG7,Sheet2!$B$2:$B$7,0),MATCH(M$2,Sheet2!$B$2:$O$2,0)))</f>
        <v>0</v>
      </c>
      <c r="N7" s="1">
        <f>IF(ISERROR(INDEX(Sheet2!$B$2:$O$7,MATCH($AG7,Sheet2!$B$2:$B$7,0),MATCH(N$2,Sheet2!$B$2:$O$2,0))),0,INDEX(Sheet2!$B$2:$O$7,MATCH($AG7,Sheet2!$B$2:$B$7,0),MATCH(N$2,Sheet2!$B$2:$O$2,0)))</f>
        <v>1200</v>
      </c>
      <c r="O7" s="1">
        <f>IF(ISERROR(INDEX(Sheet2!$B$2:$O$7,MATCH($AG7,Sheet2!$B$2:$B$7,0),MATCH(O$2,Sheet2!$B$2:$O$2,0))),0,INDEX(Sheet2!$B$2:$O$7,MATCH($AG7,Sheet2!$B$2:$B$7,0),MATCH(O$2,Sheet2!$B$2:$O$2,0)))</f>
        <v>48</v>
      </c>
      <c r="P7" s="1">
        <f>IF(ISERROR(INDEX(Sheet2!$B$2:$O$7,MATCH($AG7,Sheet2!$B$2:$B$7,0),MATCH(P$2,Sheet2!$B$2:$O$2,0))),0,INDEX(Sheet2!$B$2:$O$7,MATCH($AG7,Sheet2!$B$2:$B$7,0),MATCH(P$2,Sheet2!$B$2:$O$2,0)))</f>
        <v>24</v>
      </c>
      <c r="Q7" s="1">
        <f>IF(ISERROR(INDEX(Sheet2!$B$2:$O$7,MATCH($AG7,Sheet2!$B$2:$B$7,0),MATCH(Q$2,Sheet2!$B$2:$O$2,0))),0,INDEX(Sheet2!$B$2:$O$7,MATCH($AG7,Sheet2!$B$2:$B$7,0),MATCH(Q$2,Sheet2!$B$2:$O$2,0)))</f>
        <v>24</v>
      </c>
      <c r="R7" s="1">
        <f>IF(ISERROR(INDEX(Sheet2!$B$2:$O$7,MATCH($AG7,Sheet2!$B$2:$B$7,0),MATCH(R$2,Sheet2!$B$2:$O$2,0))),0,INDEX(Sheet2!$B$2:$O$7,MATCH($AG7,Sheet2!$B$2:$B$7,0),MATCH(R$2,Sheet2!$B$2:$O$2,0)))</f>
        <v>0</v>
      </c>
      <c r="S7" s="1">
        <f>IF(ISERROR(INDEX(Sheet2!$B$2:$O$7,MATCH($AG7,Sheet2!$B$2:$B$7,0),MATCH(S$2,Sheet2!$B$2:$O$2,0))),0,INDEX(Sheet2!$B$2:$O$7,MATCH($AG7,Sheet2!$B$2:$B$7,0),MATCH(S$2,Sheet2!$B$2:$O$2,0)))</f>
        <v>0</v>
      </c>
      <c r="T7" s="1">
        <f>IF(ISERROR(INDEX(Sheet2!$B$2:$O$7,MATCH($AG7,Sheet2!$B$2:$B$7,0),MATCH(T$2,Sheet2!$B$2:$O$2,0))),0,INDEX(Sheet2!$B$2:$O$7,MATCH($AG7,Sheet2!$B$2:$B$7,0),MATCH(T$2,Sheet2!$B$2:$O$2,0)))</f>
        <v>0</v>
      </c>
      <c r="U7" s="1">
        <f>IF(ISERROR(INDEX(Sheet2!$B$2:$O$7,MATCH($AG7,Sheet2!$B$2:$B$7,0),MATCH(U$2,Sheet2!$B$2:$O$2,0))),0,INDEX(Sheet2!$B$2:$O$7,MATCH($AG7,Sheet2!$B$2:$B$7,0),MATCH(U$2,Sheet2!$B$2:$O$2,0)))</f>
        <v>0</v>
      </c>
      <c r="V7" s="1">
        <f>IF(ISERROR(INDEX(Sheet2!$B$2:$O$7,MATCH($AG7,Sheet2!$B$2:$B$7,0),MATCH(V$2,Sheet2!$B$2:$O$2,0))),0,INDEX(Sheet2!$B$2:$O$7,MATCH($AG7,Sheet2!$B$2:$B$7,0),MATCH(V$2,Sheet2!$B$2:$O$2,0)))</f>
        <v>20000</v>
      </c>
      <c r="W7" s="1">
        <f>IF(ISERROR(INDEX(Sheet2!$B$2:$O$7,MATCH($AG7,Sheet2!$B$2:$B$7,0),MATCH(W$2,Sheet2!$B$2:$O$2,0))),0,INDEX(Sheet2!$B$2:$O$7,MATCH($AG7,Sheet2!$B$2:$B$7,0),MATCH(W$2,Sheet2!$B$2:$O$2,0)))</f>
        <v>800</v>
      </c>
      <c r="X7" s="1">
        <f>IF(ISERROR(INDEX(Sheet2!$B$2:$O$7,MATCH($AG7,Sheet2!$B$2:$B$7,0),MATCH(X$2,Sheet2!$B$2:$O$2,0))),0,INDEX(Sheet2!$B$2:$O$7,MATCH($AG7,Sheet2!$B$2:$B$7,0),MATCH(X$2,Sheet2!$B$2:$O$2,0)))</f>
        <v>400</v>
      </c>
      <c r="Y7" s="1">
        <f>IF(ISERROR(INDEX(Sheet2!$B$2:$O$7,MATCH($AG7,Sheet2!$B$2:$B$7,0),MATCH(Y$2,Sheet2!$B$2:$O$2,0))),0,INDEX(Sheet2!$B$2:$O$7,MATCH($AG7,Sheet2!$B$2:$B$7,0),MATCH(Y$2,Sheet2!$B$2:$O$2,0)))</f>
        <v>400</v>
      </c>
      <c r="Z7" s="1">
        <f>IF(ISERROR(INDEX(Sheet2!$B$2:$O$7,MATCH($AG7,Sheet2!$B$2:$B$7,0),MATCH(Z$2,Sheet2!$B$2:$O$2,0))),0,INDEX(Sheet2!$B$2:$O$7,MATCH($AG7,Sheet2!$B$2:$B$7,0),MATCH(Z$2,Sheet2!$B$2:$O$2,0)))</f>
        <v>0</v>
      </c>
      <c r="AA7" s="1">
        <f>IF(ISERROR(INDEX(Sheet2!$B$2:$O$7,MATCH($AG7,Sheet2!$B$2:$B$7,0),MATCH(AA$2,Sheet2!$B$2:$O$2,0))),0,INDEX(Sheet2!$B$2:$O$7,MATCH($AG7,Sheet2!$B$2:$B$7,0),MATCH(AA$2,Sheet2!$B$2:$O$2,0)))</f>
        <v>0</v>
      </c>
      <c r="AB7" s="1">
        <f>IF(ISERROR(INDEX(Sheet2!$B$2:$O$7,MATCH($AG7,Sheet2!$B$2:$B$7,0),MATCH(AB$2,Sheet2!$B$2:$O$2,0))),0,INDEX(Sheet2!$B$2:$O$7,MATCH($AG7,Sheet2!$B$2:$B$7,0),MATCH(AB$2,Sheet2!$B$2:$O$2,0)))</f>
        <v>0</v>
      </c>
      <c r="AC7" s="1">
        <f>IF(ISERROR(INDEX(Sheet2!$B$2:$O$7,MATCH($AG7,Sheet2!$B$2:$B$7,0),MATCH(AC$2,Sheet2!$B$2:$O$2,0))),0,INDEX(Sheet2!$B$2:$O$7,MATCH($AG7,Sheet2!$B$2:$B$7,0),MATCH(AC$2,Sheet2!$B$2:$O$2,0)))</f>
        <v>0</v>
      </c>
      <c r="AD7" s="12" t="s">
        <v>221</v>
      </c>
      <c r="AE7" s="27">
        <v>17104</v>
      </c>
      <c r="AF7" s="20" t="s">
        <v>196</v>
      </c>
      <c r="AG7" s="1">
        <f>INDEX([1]Sheet1!$U:$U,MATCH($A7,[1]Sheet1!$BN:$BN,0),0)</f>
        <v>20</v>
      </c>
      <c r="AH7" s="15"/>
    </row>
    <row r="8" spans="1:38">
      <c r="A8" s="1">
        <v>1101</v>
      </c>
      <c r="B8" s="1" t="s">
        <v>78</v>
      </c>
      <c r="C8" s="1" t="s">
        <v>121</v>
      </c>
      <c r="D8" s="1" t="str">
        <f t="shared" si="0"/>
        <v>[[90000,11010],[90001,11011],[90002,11012],[90003,11013],[90004,11014],[90005,11015],[90006,11016]]</v>
      </c>
      <c r="E8" s="44">
        <v>6</v>
      </c>
      <c r="F8" s="1">
        <f>IF(ISERROR(INDEX(Sheet2!$B$2:$O$7,MATCH($AG8,Sheet2!$B$2:$B$7,0),MATCH(F$2,Sheet2!$B$2:$O$2,0))),0,INDEX(Sheet2!$B$2:$O$7,MATCH($AG8,Sheet2!$B$2:$B$7,0),MATCH(F$2,Sheet2!$B$2:$O$2,0)))</f>
        <v>20000</v>
      </c>
      <c r="G8" s="1">
        <f>IF(ISERROR(INDEX(Sheet2!$B$2:$O$7,MATCH($AG8,Sheet2!$B$2:$B$7,0),MATCH(G$2,Sheet2!$B$2:$O$2,0))),0,INDEX(Sheet2!$B$2:$O$7,MATCH($AG8,Sheet2!$B$2:$B$7,0),MATCH(G$2,Sheet2!$B$2:$O$2,0)))</f>
        <v>800</v>
      </c>
      <c r="H8" s="1">
        <f>IF(ISERROR(INDEX(Sheet2!$B$2:$O$7,MATCH($AG8,Sheet2!$B$2:$B$7,0),MATCH(H$2,Sheet2!$B$2:$O$2,0))),0,INDEX(Sheet2!$B$2:$O$7,MATCH($AG8,Sheet2!$B$2:$B$7,0),MATCH(H$2,Sheet2!$B$2:$O$2,0)))</f>
        <v>400</v>
      </c>
      <c r="I8" s="1">
        <f>IF(ISERROR(INDEX(Sheet2!$B$2:$O$7,MATCH($AG8,Sheet2!$B$2:$B$7,0),MATCH(I$2,Sheet2!$B$2:$O$2,0))),0,INDEX(Sheet2!$B$2:$O$7,MATCH($AG8,Sheet2!$B$2:$B$7,0),MATCH(I$2,Sheet2!$B$2:$O$2,0)))</f>
        <v>400</v>
      </c>
      <c r="J8" s="1">
        <f>IF(ISERROR(INDEX(Sheet2!$B$2:$O$7,MATCH($AG8,Sheet2!$B$2:$B$7,0),MATCH(J$2,Sheet2!$B$2:$O$2,0))),0,INDEX(Sheet2!$B$2:$O$7,MATCH($AG8,Sheet2!$B$2:$B$7,0),MATCH(J$2,Sheet2!$B$2:$O$2,0)))</f>
        <v>0</v>
      </c>
      <c r="K8" s="1">
        <f>IF(ISERROR(INDEX(Sheet2!$B$2:$O$7,MATCH($AG8,Sheet2!$B$2:$B$7,0),MATCH(K$2,Sheet2!$B$2:$O$2,0))),0,INDEX(Sheet2!$B$2:$O$7,MATCH($AG8,Sheet2!$B$2:$B$7,0),MATCH(K$2,Sheet2!$B$2:$O$2,0)))</f>
        <v>0</v>
      </c>
      <c r="L8" s="1">
        <f>IF(ISERROR(INDEX(Sheet2!$B$2:$O$7,MATCH($AG8,Sheet2!$B$2:$B$7,0),MATCH(L$2,Sheet2!$B$2:$O$2,0))),0,INDEX(Sheet2!$B$2:$O$7,MATCH($AG8,Sheet2!$B$2:$B$7,0),MATCH(L$2,Sheet2!$B$2:$O$2,0)))</f>
        <v>0</v>
      </c>
      <c r="M8" s="1">
        <f>IF(ISERROR(INDEX(Sheet2!$B$2:$O$7,MATCH($AG8,Sheet2!$B$2:$B$7,0),MATCH(M$2,Sheet2!$B$2:$O$2,0))),0,INDEX(Sheet2!$B$2:$O$7,MATCH($AG8,Sheet2!$B$2:$B$7,0),MATCH(M$2,Sheet2!$B$2:$O$2,0)))</f>
        <v>0</v>
      </c>
      <c r="N8" s="1">
        <f>IF(ISERROR(INDEX(Sheet2!$B$2:$O$7,MATCH($AG8,Sheet2!$B$2:$B$7,0),MATCH(N$2,Sheet2!$B$2:$O$2,0))),0,INDEX(Sheet2!$B$2:$O$7,MATCH($AG8,Sheet2!$B$2:$B$7,0),MATCH(N$2,Sheet2!$B$2:$O$2,0)))</f>
        <v>1200</v>
      </c>
      <c r="O8" s="1">
        <f>IF(ISERROR(INDEX(Sheet2!$B$2:$O$7,MATCH($AG8,Sheet2!$B$2:$B$7,0),MATCH(O$2,Sheet2!$B$2:$O$2,0))),0,INDEX(Sheet2!$B$2:$O$7,MATCH($AG8,Sheet2!$B$2:$B$7,0),MATCH(O$2,Sheet2!$B$2:$O$2,0)))</f>
        <v>48</v>
      </c>
      <c r="P8" s="1">
        <f>IF(ISERROR(INDEX(Sheet2!$B$2:$O$7,MATCH($AG8,Sheet2!$B$2:$B$7,0),MATCH(P$2,Sheet2!$B$2:$O$2,0))),0,INDEX(Sheet2!$B$2:$O$7,MATCH($AG8,Sheet2!$B$2:$B$7,0),MATCH(P$2,Sheet2!$B$2:$O$2,0)))</f>
        <v>24</v>
      </c>
      <c r="Q8" s="1">
        <f>IF(ISERROR(INDEX(Sheet2!$B$2:$O$7,MATCH($AG8,Sheet2!$B$2:$B$7,0),MATCH(Q$2,Sheet2!$B$2:$O$2,0))),0,INDEX(Sheet2!$B$2:$O$7,MATCH($AG8,Sheet2!$B$2:$B$7,0),MATCH(Q$2,Sheet2!$B$2:$O$2,0)))</f>
        <v>24</v>
      </c>
      <c r="R8" s="1">
        <f>IF(ISERROR(INDEX(Sheet2!$B$2:$O$7,MATCH($AG8,Sheet2!$B$2:$B$7,0),MATCH(R$2,Sheet2!$B$2:$O$2,0))),0,INDEX(Sheet2!$B$2:$O$7,MATCH($AG8,Sheet2!$B$2:$B$7,0),MATCH(R$2,Sheet2!$B$2:$O$2,0)))</f>
        <v>0</v>
      </c>
      <c r="S8" s="1">
        <f>IF(ISERROR(INDEX(Sheet2!$B$2:$O$7,MATCH($AG8,Sheet2!$B$2:$B$7,0),MATCH(S$2,Sheet2!$B$2:$O$2,0))),0,INDEX(Sheet2!$B$2:$O$7,MATCH($AG8,Sheet2!$B$2:$B$7,0),MATCH(S$2,Sheet2!$B$2:$O$2,0)))</f>
        <v>0</v>
      </c>
      <c r="T8" s="1">
        <f>IF(ISERROR(INDEX(Sheet2!$B$2:$O$7,MATCH($AG8,Sheet2!$B$2:$B$7,0),MATCH(T$2,Sheet2!$B$2:$O$2,0))),0,INDEX(Sheet2!$B$2:$O$7,MATCH($AG8,Sheet2!$B$2:$B$7,0),MATCH(T$2,Sheet2!$B$2:$O$2,0)))</f>
        <v>0</v>
      </c>
      <c r="U8" s="1">
        <f>IF(ISERROR(INDEX(Sheet2!$B$2:$O$7,MATCH($AG8,Sheet2!$B$2:$B$7,0),MATCH(U$2,Sheet2!$B$2:$O$2,0))),0,INDEX(Sheet2!$B$2:$O$7,MATCH($AG8,Sheet2!$B$2:$B$7,0),MATCH(U$2,Sheet2!$B$2:$O$2,0)))</f>
        <v>0</v>
      </c>
      <c r="V8" s="1">
        <f>IF(ISERROR(INDEX(Sheet2!$B$2:$O$7,MATCH($AG8,Sheet2!$B$2:$B$7,0),MATCH(V$2,Sheet2!$B$2:$O$2,0))),0,INDEX(Sheet2!$B$2:$O$7,MATCH($AG8,Sheet2!$B$2:$B$7,0),MATCH(V$2,Sheet2!$B$2:$O$2,0)))</f>
        <v>20000</v>
      </c>
      <c r="W8" s="1">
        <f>IF(ISERROR(INDEX(Sheet2!$B$2:$O$7,MATCH($AG8,Sheet2!$B$2:$B$7,0),MATCH(W$2,Sheet2!$B$2:$O$2,0))),0,INDEX(Sheet2!$B$2:$O$7,MATCH($AG8,Sheet2!$B$2:$B$7,0),MATCH(W$2,Sheet2!$B$2:$O$2,0)))</f>
        <v>800</v>
      </c>
      <c r="X8" s="1">
        <f>IF(ISERROR(INDEX(Sheet2!$B$2:$O$7,MATCH($AG8,Sheet2!$B$2:$B$7,0),MATCH(X$2,Sheet2!$B$2:$O$2,0))),0,INDEX(Sheet2!$B$2:$O$7,MATCH($AG8,Sheet2!$B$2:$B$7,0),MATCH(X$2,Sheet2!$B$2:$O$2,0)))</f>
        <v>400</v>
      </c>
      <c r="Y8" s="1">
        <f>IF(ISERROR(INDEX(Sheet2!$B$2:$O$7,MATCH($AG8,Sheet2!$B$2:$B$7,0),MATCH(Y$2,Sheet2!$B$2:$O$2,0))),0,INDEX(Sheet2!$B$2:$O$7,MATCH($AG8,Sheet2!$B$2:$B$7,0),MATCH(Y$2,Sheet2!$B$2:$O$2,0)))</f>
        <v>400</v>
      </c>
      <c r="Z8" s="1">
        <f>IF(ISERROR(INDEX(Sheet2!$B$2:$O$7,MATCH($AG8,Sheet2!$B$2:$B$7,0),MATCH(Z$2,Sheet2!$B$2:$O$2,0))),0,INDEX(Sheet2!$B$2:$O$7,MATCH($AG8,Sheet2!$B$2:$B$7,0),MATCH(Z$2,Sheet2!$B$2:$O$2,0)))</f>
        <v>0</v>
      </c>
      <c r="AA8" s="1">
        <f>IF(ISERROR(INDEX(Sheet2!$B$2:$O$7,MATCH($AG8,Sheet2!$B$2:$B$7,0),MATCH(AA$2,Sheet2!$B$2:$O$2,0))),0,INDEX(Sheet2!$B$2:$O$7,MATCH($AG8,Sheet2!$B$2:$B$7,0),MATCH(AA$2,Sheet2!$B$2:$O$2,0)))</f>
        <v>0</v>
      </c>
      <c r="AB8" s="1">
        <f>IF(ISERROR(INDEX(Sheet2!$B$2:$O$7,MATCH($AG8,Sheet2!$B$2:$B$7,0),MATCH(AB$2,Sheet2!$B$2:$O$2,0))),0,INDEX(Sheet2!$B$2:$O$7,MATCH($AG8,Sheet2!$B$2:$B$7,0),MATCH(AB$2,Sheet2!$B$2:$O$2,0)))</f>
        <v>0</v>
      </c>
      <c r="AC8" s="1">
        <f>IF(ISERROR(INDEX(Sheet2!$B$2:$O$7,MATCH($AG8,Sheet2!$B$2:$B$7,0),MATCH(AC$2,Sheet2!$B$2:$O$2,0))),0,INDEX(Sheet2!$B$2:$O$7,MATCH($AG8,Sheet2!$B$2:$B$7,0),MATCH(AC$2,Sheet2!$B$2:$O$2,0)))</f>
        <v>0</v>
      </c>
      <c r="AD8" s="12" t="s">
        <v>221</v>
      </c>
      <c r="AE8" s="27">
        <v>17105</v>
      </c>
      <c r="AF8" s="20" t="s">
        <v>197</v>
      </c>
      <c r="AG8" s="1">
        <f>INDEX([1]Sheet1!$U:$U,MATCH($A8,[1]Sheet1!$BN:$BN,0),0)</f>
        <v>20</v>
      </c>
      <c r="AH8" s="15"/>
    </row>
    <row r="9" spans="1:38">
      <c r="A9" s="1">
        <v>1108</v>
      </c>
      <c r="B9" s="1" t="s">
        <v>79</v>
      </c>
      <c r="C9" s="1" t="s">
        <v>68</v>
      </c>
      <c r="D9" s="1" t="str">
        <f t="shared" si="0"/>
        <v>[[90000,11080],[90001,11081],[90002,11082],[90003,11083],[90004,11084],[90005,11085],[90006,11086]]</v>
      </c>
      <c r="E9" s="44">
        <v>5</v>
      </c>
      <c r="F9" s="1">
        <f>IF(ISERROR(INDEX(Sheet2!$B$2:$O$7,MATCH($AG9,Sheet2!$B$2:$B$7,0),MATCH(F$2,Sheet2!$B$2:$O$2,0))),0,INDEX(Sheet2!$B$2:$O$7,MATCH($AG9,Sheet2!$B$2:$B$7,0),MATCH(F$2,Sheet2!$B$2:$O$2,0)))</f>
        <v>10000</v>
      </c>
      <c r="G9" s="1">
        <f>IF(ISERROR(INDEX(Sheet2!$B$2:$O$7,MATCH($AG9,Sheet2!$B$2:$B$7,0),MATCH(G$2,Sheet2!$B$2:$O$2,0))),0,INDEX(Sheet2!$B$2:$O$7,MATCH($AG9,Sheet2!$B$2:$B$7,0),MATCH(G$2,Sheet2!$B$2:$O$2,0)))</f>
        <v>400</v>
      </c>
      <c r="H9" s="1">
        <f>IF(ISERROR(INDEX(Sheet2!$B$2:$O$7,MATCH($AG9,Sheet2!$B$2:$B$7,0),MATCH(H$2,Sheet2!$B$2:$O$2,0))),0,INDEX(Sheet2!$B$2:$O$7,MATCH($AG9,Sheet2!$B$2:$B$7,0),MATCH(H$2,Sheet2!$B$2:$O$2,0)))</f>
        <v>200</v>
      </c>
      <c r="I9" s="1">
        <f>IF(ISERROR(INDEX(Sheet2!$B$2:$O$7,MATCH($AG9,Sheet2!$B$2:$B$7,0),MATCH(I$2,Sheet2!$B$2:$O$2,0))),0,INDEX(Sheet2!$B$2:$O$7,MATCH($AG9,Sheet2!$B$2:$B$7,0),MATCH(I$2,Sheet2!$B$2:$O$2,0)))</f>
        <v>200</v>
      </c>
      <c r="J9" s="1">
        <f>IF(ISERROR(INDEX(Sheet2!$B$2:$O$7,MATCH($AG9,Sheet2!$B$2:$B$7,0),MATCH(J$2,Sheet2!$B$2:$O$2,0))),0,INDEX(Sheet2!$B$2:$O$7,MATCH($AG9,Sheet2!$B$2:$B$7,0),MATCH(J$2,Sheet2!$B$2:$O$2,0)))</f>
        <v>0</v>
      </c>
      <c r="K9" s="1">
        <f>IF(ISERROR(INDEX(Sheet2!$B$2:$O$7,MATCH($AG9,Sheet2!$B$2:$B$7,0),MATCH(K$2,Sheet2!$B$2:$O$2,0))),0,INDEX(Sheet2!$B$2:$O$7,MATCH($AG9,Sheet2!$B$2:$B$7,0),MATCH(K$2,Sheet2!$B$2:$O$2,0)))</f>
        <v>0</v>
      </c>
      <c r="L9" s="1">
        <f>IF(ISERROR(INDEX(Sheet2!$B$2:$O$7,MATCH($AG9,Sheet2!$B$2:$B$7,0),MATCH(L$2,Sheet2!$B$2:$O$2,0))),0,INDEX(Sheet2!$B$2:$O$7,MATCH($AG9,Sheet2!$B$2:$B$7,0),MATCH(L$2,Sheet2!$B$2:$O$2,0)))</f>
        <v>0</v>
      </c>
      <c r="M9" s="1">
        <f>IF(ISERROR(INDEX(Sheet2!$B$2:$O$7,MATCH($AG9,Sheet2!$B$2:$B$7,0),MATCH(M$2,Sheet2!$B$2:$O$2,0))),0,INDEX(Sheet2!$B$2:$O$7,MATCH($AG9,Sheet2!$B$2:$B$7,0),MATCH(M$2,Sheet2!$B$2:$O$2,0)))</f>
        <v>0</v>
      </c>
      <c r="N9" s="1">
        <f>IF(ISERROR(INDEX(Sheet2!$B$2:$O$7,MATCH($AG9,Sheet2!$B$2:$B$7,0),MATCH(N$2,Sheet2!$B$2:$O$2,0))),0,INDEX(Sheet2!$B$2:$O$7,MATCH($AG9,Sheet2!$B$2:$B$7,0),MATCH(N$2,Sheet2!$B$2:$O$2,0)))</f>
        <v>750</v>
      </c>
      <c r="O9" s="1">
        <f>IF(ISERROR(INDEX(Sheet2!$B$2:$O$7,MATCH($AG9,Sheet2!$B$2:$B$7,0),MATCH(O$2,Sheet2!$B$2:$O$2,0))),0,INDEX(Sheet2!$B$2:$O$7,MATCH($AG9,Sheet2!$B$2:$B$7,0),MATCH(O$2,Sheet2!$B$2:$O$2,0)))</f>
        <v>30</v>
      </c>
      <c r="P9" s="1">
        <f>IF(ISERROR(INDEX(Sheet2!$B$2:$O$7,MATCH($AG9,Sheet2!$B$2:$B$7,0),MATCH(P$2,Sheet2!$B$2:$O$2,0))),0,INDEX(Sheet2!$B$2:$O$7,MATCH($AG9,Sheet2!$B$2:$B$7,0),MATCH(P$2,Sheet2!$B$2:$O$2,0)))</f>
        <v>15</v>
      </c>
      <c r="Q9" s="1">
        <f>IF(ISERROR(INDEX(Sheet2!$B$2:$O$7,MATCH($AG9,Sheet2!$B$2:$B$7,0),MATCH(Q$2,Sheet2!$B$2:$O$2,0))),0,INDEX(Sheet2!$B$2:$O$7,MATCH($AG9,Sheet2!$B$2:$B$7,0),MATCH(Q$2,Sheet2!$B$2:$O$2,0)))</f>
        <v>15</v>
      </c>
      <c r="R9" s="1">
        <f>IF(ISERROR(INDEX(Sheet2!$B$2:$O$7,MATCH($AG9,Sheet2!$B$2:$B$7,0),MATCH(R$2,Sheet2!$B$2:$O$2,0))),0,INDEX(Sheet2!$B$2:$O$7,MATCH($AG9,Sheet2!$B$2:$B$7,0),MATCH(R$2,Sheet2!$B$2:$O$2,0)))</f>
        <v>0</v>
      </c>
      <c r="S9" s="1">
        <f>IF(ISERROR(INDEX(Sheet2!$B$2:$O$7,MATCH($AG9,Sheet2!$B$2:$B$7,0),MATCH(S$2,Sheet2!$B$2:$O$2,0))),0,INDEX(Sheet2!$B$2:$O$7,MATCH($AG9,Sheet2!$B$2:$B$7,0),MATCH(S$2,Sheet2!$B$2:$O$2,0)))</f>
        <v>0</v>
      </c>
      <c r="T9" s="1">
        <f>IF(ISERROR(INDEX(Sheet2!$B$2:$O$7,MATCH($AG9,Sheet2!$B$2:$B$7,0),MATCH(T$2,Sheet2!$B$2:$O$2,0))),0,INDEX(Sheet2!$B$2:$O$7,MATCH($AG9,Sheet2!$B$2:$B$7,0),MATCH(T$2,Sheet2!$B$2:$O$2,0)))</f>
        <v>0</v>
      </c>
      <c r="U9" s="1">
        <f>IF(ISERROR(INDEX(Sheet2!$B$2:$O$7,MATCH($AG9,Sheet2!$B$2:$B$7,0),MATCH(U$2,Sheet2!$B$2:$O$2,0))),0,INDEX(Sheet2!$B$2:$O$7,MATCH($AG9,Sheet2!$B$2:$B$7,0),MATCH(U$2,Sheet2!$B$2:$O$2,0)))</f>
        <v>0</v>
      </c>
      <c r="V9" s="1">
        <f>IF(ISERROR(INDEX(Sheet2!$B$2:$O$7,MATCH($AG9,Sheet2!$B$2:$B$7,0),MATCH(V$2,Sheet2!$B$2:$O$2,0))),0,INDEX(Sheet2!$B$2:$O$7,MATCH($AG9,Sheet2!$B$2:$B$7,0),MATCH(V$2,Sheet2!$B$2:$O$2,0)))</f>
        <v>12500</v>
      </c>
      <c r="W9" s="1">
        <f>IF(ISERROR(INDEX(Sheet2!$B$2:$O$7,MATCH($AG9,Sheet2!$B$2:$B$7,0),MATCH(W$2,Sheet2!$B$2:$O$2,0))),0,INDEX(Sheet2!$B$2:$O$7,MATCH($AG9,Sheet2!$B$2:$B$7,0),MATCH(W$2,Sheet2!$B$2:$O$2,0)))</f>
        <v>500</v>
      </c>
      <c r="X9" s="1">
        <f>IF(ISERROR(INDEX(Sheet2!$B$2:$O$7,MATCH($AG9,Sheet2!$B$2:$B$7,0),MATCH(X$2,Sheet2!$B$2:$O$2,0))),0,INDEX(Sheet2!$B$2:$O$7,MATCH($AG9,Sheet2!$B$2:$B$7,0),MATCH(X$2,Sheet2!$B$2:$O$2,0)))</f>
        <v>250</v>
      </c>
      <c r="Y9" s="1">
        <f>IF(ISERROR(INDEX(Sheet2!$B$2:$O$7,MATCH($AG9,Sheet2!$B$2:$B$7,0),MATCH(Y$2,Sheet2!$B$2:$O$2,0))),0,INDEX(Sheet2!$B$2:$O$7,MATCH($AG9,Sheet2!$B$2:$B$7,0),MATCH(Y$2,Sheet2!$B$2:$O$2,0)))</f>
        <v>250</v>
      </c>
      <c r="Z9" s="1">
        <f>IF(ISERROR(INDEX(Sheet2!$B$2:$O$7,MATCH($AG9,Sheet2!$B$2:$B$7,0),MATCH(Z$2,Sheet2!$B$2:$O$2,0))),0,INDEX(Sheet2!$B$2:$O$7,MATCH($AG9,Sheet2!$B$2:$B$7,0),MATCH(Z$2,Sheet2!$B$2:$O$2,0)))</f>
        <v>0</v>
      </c>
      <c r="AA9" s="1">
        <f>IF(ISERROR(INDEX(Sheet2!$B$2:$O$7,MATCH($AG9,Sheet2!$B$2:$B$7,0),MATCH(AA$2,Sheet2!$B$2:$O$2,0))),0,INDEX(Sheet2!$B$2:$O$7,MATCH($AG9,Sheet2!$B$2:$B$7,0),MATCH(AA$2,Sheet2!$B$2:$O$2,0)))</f>
        <v>0</v>
      </c>
      <c r="AB9" s="1">
        <f>IF(ISERROR(INDEX(Sheet2!$B$2:$O$7,MATCH($AG9,Sheet2!$B$2:$B$7,0),MATCH(AB$2,Sheet2!$B$2:$O$2,0))),0,INDEX(Sheet2!$B$2:$O$7,MATCH($AG9,Sheet2!$B$2:$B$7,0),MATCH(AB$2,Sheet2!$B$2:$O$2,0)))</f>
        <v>0</v>
      </c>
      <c r="AC9" s="1">
        <f>IF(ISERROR(INDEX(Sheet2!$B$2:$O$7,MATCH($AG9,Sheet2!$B$2:$B$7,0),MATCH(AC$2,Sheet2!$B$2:$O$2,0))),0,INDEX(Sheet2!$B$2:$O$7,MATCH($AG9,Sheet2!$B$2:$B$7,0),MATCH(AC$2,Sheet2!$B$2:$O$2,0)))</f>
        <v>0</v>
      </c>
      <c r="AD9" s="12" t="s">
        <v>220</v>
      </c>
      <c r="AE9" s="27">
        <v>17106</v>
      </c>
      <c r="AF9" s="20" t="s">
        <v>198</v>
      </c>
      <c r="AG9" s="1">
        <f>INDEX([1]Sheet1!$U:$U,MATCH($A9,[1]Sheet1!$BN:$BN,0),0)</f>
        <v>16</v>
      </c>
      <c r="AH9" s="15"/>
    </row>
    <row r="10" spans="1:38">
      <c r="A10" s="1">
        <v>1113</v>
      </c>
      <c r="B10" s="1" t="s">
        <v>80</v>
      </c>
      <c r="C10" s="1" t="s">
        <v>63</v>
      </c>
      <c r="D10" s="1" t="str">
        <f t="shared" si="0"/>
        <v>[[90000,11130],[90001,11131],[90002,11132],[90003,11133],[90004,11134],[90005,11135],[90006,11136]]</v>
      </c>
      <c r="E10" s="44">
        <v>5</v>
      </c>
      <c r="F10" s="1">
        <f>IF(ISERROR(INDEX(Sheet2!$B$2:$O$7,MATCH($AG10,Sheet2!$B$2:$B$7,0),MATCH(F$2,Sheet2!$B$2:$O$2,0))),0,INDEX(Sheet2!$B$2:$O$7,MATCH($AG10,Sheet2!$B$2:$B$7,0),MATCH(F$2,Sheet2!$B$2:$O$2,0)))</f>
        <v>10000</v>
      </c>
      <c r="G10" s="1">
        <f>IF(ISERROR(INDEX(Sheet2!$B$2:$O$7,MATCH($AG10,Sheet2!$B$2:$B$7,0),MATCH(G$2,Sheet2!$B$2:$O$2,0))),0,INDEX(Sheet2!$B$2:$O$7,MATCH($AG10,Sheet2!$B$2:$B$7,0),MATCH(G$2,Sheet2!$B$2:$O$2,0)))</f>
        <v>400</v>
      </c>
      <c r="H10" s="1">
        <f>IF(ISERROR(INDEX(Sheet2!$B$2:$O$7,MATCH($AG10,Sheet2!$B$2:$B$7,0),MATCH(H$2,Sheet2!$B$2:$O$2,0))),0,INDEX(Sheet2!$B$2:$O$7,MATCH($AG10,Sheet2!$B$2:$B$7,0),MATCH(H$2,Sheet2!$B$2:$O$2,0)))</f>
        <v>200</v>
      </c>
      <c r="I10" s="1">
        <f>IF(ISERROR(INDEX(Sheet2!$B$2:$O$7,MATCH($AG10,Sheet2!$B$2:$B$7,0),MATCH(I$2,Sheet2!$B$2:$O$2,0))),0,INDEX(Sheet2!$B$2:$O$7,MATCH($AG10,Sheet2!$B$2:$B$7,0),MATCH(I$2,Sheet2!$B$2:$O$2,0)))</f>
        <v>200</v>
      </c>
      <c r="J10" s="1">
        <f>IF(ISERROR(INDEX(Sheet2!$B$2:$O$7,MATCH($AG10,Sheet2!$B$2:$B$7,0),MATCH(J$2,Sheet2!$B$2:$O$2,0))),0,INDEX(Sheet2!$B$2:$O$7,MATCH($AG10,Sheet2!$B$2:$B$7,0),MATCH(J$2,Sheet2!$B$2:$O$2,0)))</f>
        <v>0</v>
      </c>
      <c r="K10" s="1">
        <f>IF(ISERROR(INDEX(Sheet2!$B$2:$O$7,MATCH($AG10,Sheet2!$B$2:$B$7,0),MATCH(K$2,Sheet2!$B$2:$O$2,0))),0,INDEX(Sheet2!$B$2:$O$7,MATCH($AG10,Sheet2!$B$2:$B$7,0),MATCH(K$2,Sheet2!$B$2:$O$2,0)))</f>
        <v>0</v>
      </c>
      <c r="L10" s="1">
        <f>IF(ISERROR(INDEX(Sheet2!$B$2:$O$7,MATCH($AG10,Sheet2!$B$2:$B$7,0),MATCH(L$2,Sheet2!$B$2:$O$2,0))),0,INDEX(Sheet2!$B$2:$O$7,MATCH($AG10,Sheet2!$B$2:$B$7,0),MATCH(L$2,Sheet2!$B$2:$O$2,0)))</f>
        <v>0</v>
      </c>
      <c r="M10" s="1">
        <f>IF(ISERROR(INDEX(Sheet2!$B$2:$O$7,MATCH($AG10,Sheet2!$B$2:$B$7,0),MATCH(M$2,Sheet2!$B$2:$O$2,0))),0,INDEX(Sheet2!$B$2:$O$7,MATCH($AG10,Sheet2!$B$2:$B$7,0),MATCH(M$2,Sheet2!$B$2:$O$2,0)))</f>
        <v>0</v>
      </c>
      <c r="N10" s="1">
        <f>IF(ISERROR(INDEX(Sheet2!$B$2:$O$7,MATCH($AG10,Sheet2!$B$2:$B$7,0),MATCH(N$2,Sheet2!$B$2:$O$2,0))),0,INDEX(Sheet2!$B$2:$O$7,MATCH($AG10,Sheet2!$B$2:$B$7,0),MATCH(N$2,Sheet2!$B$2:$O$2,0)))</f>
        <v>750</v>
      </c>
      <c r="O10" s="1">
        <f>IF(ISERROR(INDEX(Sheet2!$B$2:$O$7,MATCH($AG10,Sheet2!$B$2:$B$7,0),MATCH(O$2,Sheet2!$B$2:$O$2,0))),0,INDEX(Sheet2!$B$2:$O$7,MATCH($AG10,Sheet2!$B$2:$B$7,0),MATCH(O$2,Sheet2!$B$2:$O$2,0)))</f>
        <v>30</v>
      </c>
      <c r="P10" s="1">
        <f>IF(ISERROR(INDEX(Sheet2!$B$2:$O$7,MATCH($AG10,Sheet2!$B$2:$B$7,0),MATCH(P$2,Sheet2!$B$2:$O$2,0))),0,INDEX(Sheet2!$B$2:$O$7,MATCH($AG10,Sheet2!$B$2:$B$7,0),MATCH(P$2,Sheet2!$B$2:$O$2,0)))</f>
        <v>15</v>
      </c>
      <c r="Q10" s="1">
        <f>IF(ISERROR(INDEX(Sheet2!$B$2:$O$7,MATCH($AG10,Sheet2!$B$2:$B$7,0),MATCH(Q$2,Sheet2!$B$2:$O$2,0))),0,INDEX(Sheet2!$B$2:$O$7,MATCH($AG10,Sheet2!$B$2:$B$7,0),MATCH(Q$2,Sheet2!$B$2:$O$2,0)))</f>
        <v>15</v>
      </c>
      <c r="R10" s="1">
        <f>IF(ISERROR(INDEX(Sheet2!$B$2:$O$7,MATCH($AG10,Sheet2!$B$2:$B$7,0),MATCH(R$2,Sheet2!$B$2:$O$2,0))),0,INDEX(Sheet2!$B$2:$O$7,MATCH($AG10,Sheet2!$B$2:$B$7,0),MATCH(R$2,Sheet2!$B$2:$O$2,0)))</f>
        <v>0</v>
      </c>
      <c r="S10" s="1">
        <f>IF(ISERROR(INDEX(Sheet2!$B$2:$O$7,MATCH($AG10,Sheet2!$B$2:$B$7,0),MATCH(S$2,Sheet2!$B$2:$O$2,0))),0,INDEX(Sheet2!$B$2:$O$7,MATCH($AG10,Sheet2!$B$2:$B$7,0),MATCH(S$2,Sheet2!$B$2:$O$2,0)))</f>
        <v>0</v>
      </c>
      <c r="T10" s="1">
        <f>IF(ISERROR(INDEX(Sheet2!$B$2:$O$7,MATCH($AG10,Sheet2!$B$2:$B$7,0),MATCH(T$2,Sheet2!$B$2:$O$2,0))),0,INDEX(Sheet2!$B$2:$O$7,MATCH($AG10,Sheet2!$B$2:$B$7,0),MATCH(T$2,Sheet2!$B$2:$O$2,0)))</f>
        <v>0</v>
      </c>
      <c r="U10" s="1">
        <f>IF(ISERROR(INDEX(Sheet2!$B$2:$O$7,MATCH($AG10,Sheet2!$B$2:$B$7,0),MATCH(U$2,Sheet2!$B$2:$O$2,0))),0,INDEX(Sheet2!$B$2:$O$7,MATCH($AG10,Sheet2!$B$2:$B$7,0),MATCH(U$2,Sheet2!$B$2:$O$2,0)))</f>
        <v>0</v>
      </c>
      <c r="V10" s="1">
        <f>IF(ISERROR(INDEX(Sheet2!$B$2:$O$7,MATCH($AG10,Sheet2!$B$2:$B$7,0),MATCH(V$2,Sheet2!$B$2:$O$2,0))),0,INDEX(Sheet2!$B$2:$O$7,MATCH($AG10,Sheet2!$B$2:$B$7,0),MATCH(V$2,Sheet2!$B$2:$O$2,0)))</f>
        <v>12500</v>
      </c>
      <c r="W10" s="1">
        <f>IF(ISERROR(INDEX(Sheet2!$B$2:$O$7,MATCH($AG10,Sheet2!$B$2:$B$7,0),MATCH(W$2,Sheet2!$B$2:$O$2,0))),0,INDEX(Sheet2!$B$2:$O$7,MATCH($AG10,Sheet2!$B$2:$B$7,0),MATCH(W$2,Sheet2!$B$2:$O$2,0)))</f>
        <v>500</v>
      </c>
      <c r="X10" s="1">
        <f>IF(ISERROR(INDEX(Sheet2!$B$2:$O$7,MATCH($AG10,Sheet2!$B$2:$B$7,0),MATCH(X$2,Sheet2!$B$2:$O$2,0))),0,INDEX(Sheet2!$B$2:$O$7,MATCH($AG10,Sheet2!$B$2:$B$7,0),MATCH(X$2,Sheet2!$B$2:$O$2,0)))</f>
        <v>250</v>
      </c>
      <c r="Y10" s="1">
        <f>IF(ISERROR(INDEX(Sheet2!$B$2:$O$7,MATCH($AG10,Sheet2!$B$2:$B$7,0),MATCH(Y$2,Sheet2!$B$2:$O$2,0))),0,INDEX(Sheet2!$B$2:$O$7,MATCH($AG10,Sheet2!$B$2:$B$7,0),MATCH(Y$2,Sheet2!$B$2:$O$2,0)))</f>
        <v>250</v>
      </c>
      <c r="Z10" s="1">
        <f>IF(ISERROR(INDEX(Sheet2!$B$2:$O$7,MATCH($AG10,Sheet2!$B$2:$B$7,0),MATCH(Z$2,Sheet2!$B$2:$O$2,0))),0,INDEX(Sheet2!$B$2:$O$7,MATCH($AG10,Sheet2!$B$2:$B$7,0),MATCH(Z$2,Sheet2!$B$2:$O$2,0)))</f>
        <v>0</v>
      </c>
      <c r="AA10" s="1">
        <f>IF(ISERROR(INDEX(Sheet2!$B$2:$O$7,MATCH($AG10,Sheet2!$B$2:$B$7,0),MATCH(AA$2,Sheet2!$B$2:$O$2,0))),0,INDEX(Sheet2!$B$2:$O$7,MATCH($AG10,Sheet2!$B$2:$B$7,0),MATCH(AA$2,Sheet2!$B$2:$O$2,0)))</f>
        <v>0</v>
      </c>
      <c r="AB10" s="1">
        <f>IF(ISERROR(INDEX(Sheet2!$B$2:$O$7,MATCH($AG10,Sheet2!$B$2:$B$7,0),MATCH(AB$2,Sheet2!$B$2:$O$2,0))),0,INDEX(Sheet2!$B$2:$O$7,MATCH($AG10,Sheet2!$B$2:$B$7,0),MATCH(AB$2,Sheet2!$B$2:$O$2,0)))</f>
        <v>0</v>
      </c>
      <c r="AC10" s="1">
        <f>IF(ISERROR(INDEX(Sheet2!$B$2:$O$7,MATCH($AG10,Sheet2!$B$2:$B$7,0),MATCH(AC$2,Sheet2!$B$2:$O$2,0))),0,INDEX(Sheet2!$B$2:$O$7,MATCH($AG10,Sheet2!$B$2:$B$7,0),MATCH(AC$2,Sheet2!$B$2:$O$2,0)))</f>
        <v>0</v>
      </c>
      <c r="AD10" s="12" t="s">
        <v>220</v>
      </c>
      <c r="AE10" s="27">
        <v>17107</v>
      </c>
      <c r="AF10" s="20" t="s">
        <v>199</v>
      </c>
      <c r="AG10" s="1">
        <f>INDEX([1]Sheet1!$U:$U,MATCH($A10,[1]Sheet1!$BN:$BN,0),0)</f>
        <v>16</v>
      </c>
      <c r="AH10" s="15"/>
    </row>
    <row r="11" spans="1:38">
      <c r="A11" s="1">
        <v>1120</v>
      </c>
      <c r="B11" s="1" t="s">
        <v>81</v>
      </c>
      <c r="C11" s="1" t="s">
        <v>122</v>
      </c>
      <c r="D11" s="1" t="str">
        <f t="shared" si="0"/>
        <v>[[90000,11200],[90001,11201],[90002,11202],[90003,11203],[90004,11204],[90005,11205],[90006,11206]]</v>
      </c>
      <c r="E11" s="44">
        <v>5</v>
      </c>
      <c r="F11" s="1">
        <f>IF(ISERROR(INDEX(Sheet2!$B$2:$O$7,MATCH($AG11,Sheet2!$B$2:$B$7,0),MATCH(F$2,Sheet2!$B$2:$O$2,0))),0,INDEX(Sheet2!$B$2:$O$7,MATCH($AG11,Sheet2!$B$2:$B$7,0),MATCH(F$2,Sheet2!$B$2:$O$2,0)))</f>
        <v>10000</v>
      </c>
      <c r="G11" s="1">
        <f>IF(ISERROR(INDEX(Sheet2!$B$2:$O$7,MATCH($AG11,Sheet2!$B$2:$B$7,0),MATCH(G$2,Sheet2!$B$2:$O$2,0))),0,INDEX(Sheet2!$B$2:$O$7,MATCH($AG11,Sheet2!$B$2:$B$7,0),MATCH(G$2,Sheet2!$B$2:$O$2,0)))</f>
        <v>400</v>
      </c>
      <c r="H11" s="1">
        <f>IF(ISERROR(INDEX(Sheet2!$B$2:$O$7,MATCH($AG11,Sheet2!$B$2:$B$7,0),MATCH(H$2,Sheet2!$B$2:$O$2,0))),0,INDEX(Sheet2!$B$2:$O$7,MATCH($AG11,Sheet2!$B$2:$B$7,0),MATCH(H$2,Sheet2!$B$2:$O$2,0)))</f>
        <v>200</v>
      </c>
      <c r="I11" s="1">
        <f>IF(ISERROR(INDEX(Sheet2!$B$2:$O$7,MATCH($AG11,Sheet2!$B$2:$B$7,0),MATCH(I$2,Sheet2!$B$2:$O$2,0))),0,INDEX(Sheet2!$B$2:$O$7,MATCH($AG11,Sheet2!$B$2:$B$7,0),MATCH(I$2,Sheet2!$B$2:$O$2,0)))</f>
        <v>200</v>
      </c>
      <c r="J11" s="1">
        <f>IF(ISERROR(INDEX(Sheet2!$B$2:$O$7,MATCH($AG11,Sheet2!$B$2:$B$7,0),MATCH(J$2,Sheet2!$B$2:$O$2,0))),0,INDEX(Sheet2!$B$2:$O$7,MATCH($AG11,Sheet2!$B$2:$B$7,0),MATCH(J$2,Sheet2!$B$2:$O$2,0)))</f>
        <v>0</v>
      </c>
      <c r="K11" s="1">
        <f>IF(ISERROR(INDEX(Sheet2!$B$2:$O$7,MATCH($AG11,Sheet2!$B$2:$B$7,0),MATCH(K$2,Sheet2!$B$2:$O$2,0))),0,INDEX(Sheet2!$B$2:$O$7,MATCH($AG11,Sheet2!$B$2:$B$7,0),MATCH(K$2,Sheet2!$B$2:$O$2,0)))</f>
        <v>0</v>
      </c>
      <c r="L11" s="1">
        <f>IF(ISERROR(INDEX(Sheet2!$B$2:$O$7,MATCH($AG11,Sheet2!$B$2:$B$7,0),MATCH(L$2,Sheet2!$B$2:$O$2,0))),0,INDEX(Sheet2!$B$2:$O$7,MATCH($AG11,Sheet2!$B$2:$B$7,0),MATCH(L$2,Sheet2!$B$2:$O$2,0)))</f>
        <v>0</v>
      </c>
      <c r="M11" s="1">
        <f>IF(ISERROR(INDEX(Sheet2!$B$2:$O$7,MATCH($AG11,Sheet2!$B$2:$B$7,0),MATCH(M$2,Sheet2!$B$2:$O$2,0))),0,INDEX(Sheet2!$B$2:$O$7,MATCH($AG11,Sheet2!$B$2:$B$7,0),MATCH(M$2,Sheet2!$B$2:$O$2,0)))</f>
        <v>0</v>
      </c>
      <c r="N11" s="1">
        <f>IF(ISERROR(INDEX(Sheet2!$B$2:$O$7,MATCH($AG11,Sheet2!$B$2:$B$7,0),MATCH(N$2,Sheet2!$B$2:$O$2,0))),0,INDEX(Sheet2!$B$2:$O$7,MATCH($AG11,Sheet2!$B$2:$B$7,0),MATCH(N$2,Sheet2!$B$2:$O$2,0)))</f>
        <v>750</v>
      </c>
      <c r="O11" s="1">
        <f>IF(ISERROR(INDEX(Sheet2!$B$2:$O$7,MATCH($AG11,Sheet2!$B$2:$B$7,0),MATCH(O$2,Sheet2!$B$2:$O$2,0))),0,INDEX(Sheet2!$B$2:$O$7,MATCH($AG11,Sheet2!$B$2:$B$7,0),MATCH(O$2,Sheet2!$B$2:$O$2,0)))</f>
        <v>30</v>
      </c>
      <c r="P11" s="1">
        <f>IF(ISERROR(INDEX(Sheet2!$B$2:$O$7,MATCH($AG11,Sheet2!$B$2:$B$7,0),MATCH(P$2,Sheet2!$B$2:$O$2,0))),0,INDEX(Sheet2!$B$2:$O$7,MATCH($AG11,Sheet2!$B$2:$B$7,0),MATCH(P$2,Sheet2!$B$2:$O$2,0)))</f>
        <v>15</v>
      </c>
      <c r="Q11" s="1">
        <f>IF(ISERROR(INDEX(Sheet2!$B$2:$O$7,MATCH($AG11,Sheet2!$B$2:$B$7,0),MATCH(Q$2,Sheet2!$B$2:$O$2,0))),0,INDEX(Sheet2!$B$2:$O$7,MATCH($AG11,Sheet2!$B$2:$B$7,0),MATCH(Q$2,Sheet2!$B$2:$O$2,0)))</f>
        <v>15</v>
      </c>
      <c r="R11" s="1">
        <f>IF(ISERROR(INDEX(Sheet2!$B$2:$O$7,MATCH($AG11,Sheet2!$B$2:$B$7,0),MATCH(R$2,Sheet2!$B$2:$O$2,0))),0,INDEX(Sheet2!$B$2:$O$7,MATCH($AG11,Sheet2!$B$2:$B$7,0),MATCH(R$2,Sheet2!$B$2:$O$2,0)))</f>
        <v>0</v>
      </c>
      <c r="S11" s="1">
        <f>IF(ISERROR(INDEX(Sheet2!$B$2:$O$7,MATCH($AG11,Sheet2!$B$2:$B$7,0),MATCH(S$2,Sheet2!$B$2:$O$2,0))),0,INDEX(Sheet2!$B$2:$O$7,MATCH($AG11,Sheet2!$B$2:$B$7,0),MATCH(S$2,Sheet2!$B$2:$O$2,0)))</f>
        <v>0</v>
      </c>
      <c r="T11" s="1">
        <f>IF(ISERROR(INDEX(Sheet2!$B$2:$O$7,MATCH($AG11,Sheet2!$B$2:$B$7,0),MATCH(T$2,Sheet2!$B$2:$O$2,0))),0,INDEX(Sheet2!$B$2:$O$7,MATCH($AG11,Sheet2!$B$2:$B$7,0),MATCH(T$2,Sheet2!$B$2:$O$2,0)))</f>
        <v>0</v>
      </c>
      <c r="U11" s="1">
        <f>IF(ISERROR(INDEX(Sheet2!$B$2:$O$7,MATCH($AG11,Sheet2!$B$2:$B$7,0),MATCH(U$2,Sheet2!$B$2:$O$2,0))),0,INDEX(Sheet2!$B$2:$O$7,MATCH($AG11,Sheet2!$B$2:$B$7,0),MATCH(U$2,Sheet2!$B$2:$O$2,0)))</f>
        <v>0</v>
      </c>
      <c r="V11" s="1">
        <f>IF(ISERROR(INDEX(Sheet2!$B$2:$O$7,MATCH($AG11,Sheet2!$B$2:$B$7,0),MATCH(V$2,Sheet2!$B$2:$O$2,0))),0,INDEX(Sheet2!$B$2:$O$7,MATCH($AG11,Sheet2!$B$2:$B$7,0),MATCH(V$2,Sheet2!$B$2:$O$2,0)))</f>
        <v>12500</v>
      </c>
      <c r="W11" s="1">
        <f>IF(ISERROR(INDEX(Sheet2!$B$2:$O$7,MATCH($AG11,Sheet2!$B$2:$B$7,0),MATCH(W$2,Sheet2!$B$2:$O$2,0))),0,INDEX(Sheet2!$B$2:$O$7,MATCH($AG11,Sheet2!$B$2:$B$7,0),MATCH(W$2,Sheet2!$B$2:$O$2,0)))</f>
        <v>500</v>
      </c>
      <c r="X11" s="1">
        <f>IF(ISERROR(INDEX(Sheet2!$B$2:$O$7,MATCH($AG11,Sheet2!$B$2:$B$7,0),MATCH(X$2,Sheet2!$B$2:$O$2,0))),0,INDEX(Sheet2!$B$2:$O$7,MATCH($AG11,Sheet2!$B$2:$B$7,0),MATCH(X$2,Sheet2!$B$2:$O$2,0)))</f>
        <v>250</v>
      </c>
      <c r="Y11" s="1">
        <f>IF(ISERROR(INDEX(Sheet2!$B$2:$O$7,MATCH($AG11,Sheet2!$B$2:$B$7,0),MATCH(Y$2,Sheet2!$B$2:$O$2,0))),0,INDEX(Sheet2!$B$2:$O$7,MATCH($AG11,Sheet2!$B$2:$B$7,0),MATCH(Y$2,Sheet2!$B$2:$O$2,0)))</f>
        <v>250</v>
      </c>
      <c r="Z11" s="1">
        <f>IF(ISERROR(INDEX(Sheet2!$B$2:$O$7,MATCH($AG11,Sheet2!$B$2:$B$7,0),MATCH(Z$2,Sheet2!$B$2:$O$2,0))),0,INDEX(Sheet2!$B$2:$O$7,MATCH($AG11,Sheet2!$B$2:$B$7,0),MATCH(Z$2,Sheet2!$B$2:$O$2,0)))</f>
        <v>0</v>
      </c>
      <c r="AA11" s="1">
        <f>IF(ISERROR(INDEX(Sheet2!$B$2:$O$7,MATCH($AG11,Sheet2!$B$2:$B$7,0),MATCH(AA$2,Sheet2!$B$2:$O$2,0))),0,INDEX(Sheet2!$B$2:$O$7,MATCH($AG11,Sheet2!$B$2:$B$7,0),MATCH(AA$2,Sheet2!$B$2:$O$2,0)))</f>
        <v>0</v>
      </c>
      <c r="AB11" s="1">
        <f>IF(ISERROR(INDEX(Sheet2!$B$2:$O$7,MATCH($AG11,Sheet2!$B$2:$B$7,0),MATCH(AB$2,Sheet2!$B$2:$O$2,0))),0,INDEX(Sheet2!$B$2:$O$7,MATCH($AG11,Sheet2!$B$2:$B$7,0),MATCH(AB$2,Sheet2!$B$2:$O$2,0)))</f>
        <v>0</v>
      </c>
      <c r="AC11" s="1">
        <f>IF(ISERROR(INDEX(Sheet2!$B$2:$O$7,MATCH($AG11,Sheet2!$B$2:$B$7,0),MATCH(AC$2,Sheet2!$B$2:$O$2,0))),0,INDEX(Sheet2!$B$2:$O$7,MATCH($AG11,Sheet2!$B$2:$B$7,0),MATCH(AC$2,Sheet2!$B$2:$O$2,0)))</f>
        <v>0</v>
      </c>
      <c r="AD11" s="12" t="s">
        <v>220</v>
      </c>
      <c r="AE11" s="27">
        <v>17108</v>
      </c>
      <c r="AF11" s="20" t="s">
        <v>200</v>
      </c>
      <c r="AG11" s="1">
        <f>INDEX([1]Sheet1!$U:$U,MATCH($A11,[1]Sheet1!$BN:$BN,0),0)</f>
        <v>16</v>
      </c>
      <c r="AH11" s="15"/>
    </row>
    <row r="12" spans="1:38">
      <c r="A12" s="1">
        <v>1127</v>
      </c>
      <c r="B12" s="1" t="s">
        <v>82</v>
      </c>
      <c r="C12" s="1" t="s">
        <v>64</v>
      </c>
      <c r="D12" s="1" t="str">
        <f t="shared" si="0"/>
        <v>[[90000,11270],[90001,11271],[90002,11272],[90003,11273],[90004,11274],[90005,11275],[90006,11276]]</v>
      </c>
      <c r="E12" s="44">
        <v>5</v>
      </c>
      <c r="F12" s="1">
        <f>IF(ISERROR(INDEX(Sheet2!$B$2:$O$7,MATCH($AG12,Sheet2!$B$2:$B$7,0),MATCH(F$2,Sheet2!$B$2:$O$2,0))),0,INDEX(Sheet2!$B$2:$O$7,MATCH($AG12,Sheet2!$B$2:$B$7,0),MATCH(F$2,Sheet2!$B$2:$O$2,0)))</f>
        <v>10000</v>
      </c>
      <c r="G12" s="1">
        <f>IF(ISERROR(INDEX(Sheet2!$B$2:$O$7,MATCH($AG12,Sheet2!$B$2:$B$7,0),MATCH(G$2,Sheet2!$B$2:$O$2,0))),0,INDEX(Sheet2!$B$2:$O$7,MATCH($AG12,Sheet2!$B$2:$B$7,0),MATCH(G$2,Sheet2!$B$2:$O$2,0)))</f>
        <v>400</v>
      </c>
      <c r="H12" s="1">
        <f>IF(ISERROR(INDEX(Sheet2!$B$2:$O$7,MATCH($AG12,Sheet2!$B$2:$B$7,0),MATCH(H$2,Sheet2!$B$2:$O$2,0))),0,INDEX(Sheet2!$B$2:$O$7,MATCH($AG12,Sheet2!$B$2:$B$7,0),MATCH(H$2,Sheet2!$B$2:$O$2,0)))</f>
        <v>200</v>
      </c>
      <c r="I12" s="1">
        <f>IF(ISERROR(INDEX(Sheet2!$B$2:$O$7,MATCH($AG12,Sheet2!$B$2:$B$7,0),MATCH(I$2,Sheet2!$B$2:$O$2,0))),0,INDEX(Sheet2!$B$2:$O$7,MATCH($AG12,Sheet2!$B$2:$B$7,0),MATCH(I$2,Sheet2!$B$2:$O$2,0)))</f>
        <v>200</v>
      </c>
      <c r="J12" s="1">
        <f>IF(ISERROR(INDEX(Sheet2!$B$2:$O$7,MATCH($AG12,Sheet2!$B$2:$B$7,0),MATCH(J$2,Sheet2!$B$2:$O$2,0))),0,INDEX(Sheet2!$B$2:$O$7,MATCH($AG12,Sheet2!$B$2:$B$7,0),MATCH(J$2,Sheet2!$B$2:$O$2,0)))</f>
        <v>0</v>
      </c>
      <c r="K12" s="1">
        <f>IF(ISERROR(INDEX(Sheet2!$B$2:$O$7,MATCH($AG12,Sheet2!$B$2:$B$7,0),MATCH(K$2,Sheet2!$B$2:$O$2,0))),0,INDEX(Sheet2!$B$2:$O$7,MATCH($AG12,Sheet2!$B$2:$B$7,0),MATCH(K$2,Sheet2!$B$2:$O$2,0)))</f>
        <v>0</v>
      </c>
      <c r="L12" s="1">
        <f>IF(ISERROR(INDEX(Sheet2!$B$2:$O$7,MATCH($AG12,Sheet2!$B$2:$B$7,0),MATCH(L$2,Sheet2!$B$2:$O$2,0))),0,INDEX(Sheet2!$B$2:$O$7,MATCH($AG12,Sheet2!$B$2:$B$7,0),MATCH(L$2,Sheet2!$B$2:$O$2,0)))</f>
        <v>0</v>
      </c>
      <c r="M12" s="1">
        <f>IF(ISERROR(INDEX(Sheet2!$B$2:$O$7,MATCH($AG12,Sheet2!$B$2:$B$7,0),MATCH(M$2,Sheet2!$B$2:$O$2,0))),0,INDEX(Sheet2!$B$2:$O$7,MATCH($AG12,Sheet2!$B$2:$B$7,0),MATCH(M$2,Sheet2!$B$2:$O$2,0)))</f>
        <v>0</v>
      </c>
      <c r="N12" s="1">
        <f>IF(ISERROR(INDEX(Sheet2!$B$2:$O$7,MATCH($AG12,Sheet2!$B$2:$B$7,0),MATCH(N$2,Sheet2!$B$2:$O$2,0))),0,INDEX(Sheet2!$B$2:$O$7,MATCH($AG12,Sheet2!$B$2:$B$7,0),MATCH(N$2,Sheet2!$B$2:$O$2,0)))</f>
        <v>750</v>
      </c>
      <c r="O12" s="1">
        <f>IF(ISERROR(INDEX(Sheet2!$B$2:$O$7,MATCH($AG12,Sheet2!$B$2:$B$7,0),MATCH(O$2,Sheet2!$B$2:$O$2,0))),0,INDEX(Sheet2!$B$2:$O$7,MATCH($AG12,Sheet2!$B$2:$B$7,0),MATCH(O$2,Sheet2!$B$2:$O$2,0)))</f>
        <v>30</v>
      </c>
      <c r="P12" s="1">
        <f>IF(ISERROR(INDEX(Sheet2!$B$2:$O$7,MATCH($AG12,Sheet2!$B$2:$B$7,0),MATCH(P$2,Sheet2!$B$2:$O$2,0))),0,INDEX(Sheet2!$B$2:$O$7,MATCH($AG12,Sheet2!$B$2:$B$7,0),MATCH(P$2,Sheet2!$B$2:$O$2,0)))</f>
        <v>15</v>
      </c>
      <c r="Q12" s="1">
        <f>IF(ISERROR(INDEX(Sheet2!$B$2:$O$7,MATCH($AG12,Sheet2!$B$2:$B$7,0),MATCH(Q$2,Sheet2!$B$2:$O$2,0))),0,INDEX(Sheet2!$B$2:$O$7,MATCH($AG12,Sheet2!$B$2:$B$7,0),MATCH(Q$2,Sheet2!$B$2:$O$2,0)))</f>
        <v>15</v>
      </c>
      <c r="R12" s="1">
        <f>IF(ISERROR(INDEX(Sheet2!$B$2:$O$7,MATCH($AG12,Sheet2!$B$2:$B$7,0),MATCH(R$2,Sheet2!$B$2:$O$2,0))),0,INDEX(Sheet2!$B$2:$O$7,MATCH($AG12,Sheet2!$B$2:$B$7,0),MATCH(R$2,Sheet2!$B$2:$O$2,0)))</f>
        <v>0</v>
      </c>
      <c r="S12" s="1">
        <f>IF(ISERROR(INDEX(Sheet2!$B$2:$O$7,MATCH($AG12,Sheet2!$B$2:$B$7,0),MATCH(S$2,Sheet2!$B$2:$O$2,0))),0,INDEX(Sheet2!$B$2:$O$7,MATCH($AG12,Sheet2!$B$2:$B$7,0),MATCH(S$2,Sheet2!$B$2:$O$2,0)))</f>
        <v>0</v>
      </c>
      <c r="T12" s="1">
        <f>IF(ISERROR(INDEX(Sheet2!$B$2:$O$7,MATCH($AG12,Sheet2!$B$2:$B$7,0),MATCH(T$2,Sheet2!$B$2:$O$2,0))),0,INDEX(Sheet2!$B$2:$O$7,MATCH($AG12,Sheet2!$B$2:$B$7,0),MATCH(T$2,Sheet2!$B$2:$O$2,0)))</f>
        <v>0</v>
      </c>
      <c r="U12" s="1">
        <f>IF(ISERROR(INDEX(Sheet2!$B$2:$O$7,MATCH($AG12,Sheet2!$B$2:$B$7,0),MATCH(U$2,Sheet2!$B$2:$O$2,0))),0,INDEX(Sheet2!$B$2:$O$7,MATCH($AG12,Sheet2!$B$2:$B$7,0),MATCH(U$2,Sheet2!$B$2:$O$2,0)))</f>
        <v>0</v>
      </c>
      <c r="V12" s="1">
        <f>IF(ISERROR(INDEX(Sheet2!$B$2:$O$7,MATCH($AG12,Sheet2!$B$2:$B$7,0),MATCH(V$2,Sheet2!$B$2:$O$2,0))),0,INDEX(Sheet2!$B$2:$O$7,MATCH($AG12,Sheet2!$B$2:$B$7,0),MATCH(V$2,Sheet2!$B$2:$O$2,0)))</f>
        <v>12500</v>
      </c>
      <c r="W12" s="1">
        <f>IF(ISERROR(INDEX(Sheet2!$B$2:$O$7,MATCH($AG12,Sheet2!$B$2:$B$7,0),MATCH(W$2,Sheet2!$B$2:$O$2,0))),0,INDEX(Sheet2!$B$2:$O$7,MATCH($AG12,Sheet2!$B$2:$B$7,0),MATCH(W$2,Sheet2!$B$2:$O$2,0)))</f>
        <v>500</v>
      </c>
      <c r="X12" s="1">
        <f>IF(ISERROR(INDEX(Sheet2!$B$2:$O$7,MATCH($AG12,Sheet2!$B$2:$B$7,0),MATCH(X$2,Sheet2!$B$2:$O$2,0))),0,INDEX(Sheet2!$B$2:$O$7,MATCH($AG12,Sheet2!$B$2:$B$7,0),MATCH(X$2,Sheet2!$B$2:$O$2,0)))</f>
        <v>250</v>
      </c>
      <c r="Y12" s="1">
        <f>IF(ISERROR(INDEX(Sheet2!$B$2:$O$7,MATCH($AG12,Sheet2!$B$2:$B$7,0),MATCH(Y$2,Sheet2!$B$2:$O$2,0))),0,INDEX(Sheet2!$B$2:$O$7,MATCH($AG12,Sheet2!$B$2:$B$7,0),MATCH(Y$2,Sheet2!$B$2:$O$2,0)))</f>
        <v>250</v>
      </c>
      <c r="Z12" s="1">
        <f>IF(ISERROR(INDEX(Sheet2!$B$2:$O$7,MATCH($AG12,Sheet2!$B$2:$B$7,0),MATCH(Z$2,Sheet2!$B$2:$O$2,0))),0,INDEX(Sheet2!$B$2:$O$7,MATCH($AG12,Sheet2!$B$2:$B$7,0),MATCH(Z$2,Sheet2!$B$2:$O$2,0)))</f>
        <v>0</v>
      </c>
      <c r="AA12" s="1">
        <f>IF(ISERROR(INDEX(Sheet2!$B$2:$O$7,MATCH($AG12,Sheet2!$B$2:$B$7,0),MATCH(AA$2,Sheet2!$B$2:$O$2,0))),0,INDEX(Sheet2!$B$2:$O$7,MATCH($AG12,Sheet2!$B$2:$B$7,0),MATCH(AA$2,Sheet2!$B$2:$O$2,0)))</f>
        <v>0</v>
      </c>
      <c r="AB12" s="1">
        <f>IF(ISERROR(INDEX(Sheet2!$B$2:$O$7,MATCH($AG12,Sheet2!$B$2:$B$7,0),MATCH(AB$2,Sheet2!$B$2:$O$2,0))),0,INDEX(Sheet2!$B$2:$O$7,MATCH($AG12,Sheet2!$B$2:$B$7,0),MATCH(AB$2,Sheet2!$B$2:$O$2,0)))</f>
        <v>0</v>
      </c>
      <c r="AC12" s="1">
        <f>IF(ISERROR(INDEX(Sheet2!$B$2:$O$7,MATCH($AG12,Sheet2!$B$2:$B$7,0),MATCH(AC$2,Sheet2!$B$2:$O$2,0))),0,INDEX(Sheet2!$B$2:$O$7,MATCH($AG12,Sheet2!$B$2:$B$7,0),MATCH(AC$2,Sheet2!$B$2:$O$2,0)))</f>
        <v>0</v>
      </c>
      <c r="AD12" s="12" t="s">
        <v>220</v>
      </c>
      <c r="AE12" s="27">
        <v>17109</v>
      </c>
      <c r="AF12" s="20" t="s">
        <v>201</v>
      </c>
      <c r="AG12" s="1">
        <f>INDEX([1]Sheet1!$U:$U,MATCH($A12,[1]Sheet1!$BN:$BN,0),0)</f>
        <v>16</v>
      </c>
      <c r="AH12" s="15"/>
    </row>
    <row r="13" spans="1:38">
      <c r="A13" s="1">
        <v>1212</v>
      </c>
      <c r="B13" s="1" t="s">
        <v>83</v>
      </c>
      <c r="C13" s="1" t="s">
        <v>123</v>
      </c>
      <c r="D13" s="1" t="str">
        <f t="shared" si="0"/>
        <v>[[90000,12120],[90001,12121],[90002,12122],[90003,12123],[90004,12124],[90005,12125],[90006,12126]]</v>
      </c>
      <c r="E13" s="44">
        <v>5</v>
      </c>
      <c r="F13" s="1">
        <f>IF(ISERROR(INDEX(Sheet2!$B$2:$O$7,MATCH($AG13,Sheet2!$B$2:$B$7,0),MATCH(F$2,Sheet2!$B$2:$O$2,0))),0,INDEX(Sheet2!$B$2:$O$7,MATCH($AG13,Sheet2!$B$2:$B$7,0),MATCH(F$2,Sheet2!$B$2:$O$2,0)))</f>
        <v>10000</v>
      </c>
      <c r="G13" s="1">
        <f>IF(ISERROR(INDEX(Sheet2!$B$2:$O$7,MATCH($AG13,Sheet2!$B$2:$B$7,0),MATCH(G$2,Sheet2!$B$2:$O$2,0))),0,INDEX(Sheet2!$B$2:$O$7,MATCH($AG13,Sheet2!$B$2:$B$7,0),MATCH(G$2,Sheet2!$B$2:$O$2,0)))</f>
        <v>400</v>
      </c>
      <c r="H13" s="1">
        <f>IF(ISERROR(INDEX(Sheet2!$B$2:$O$7,MATCH($AG13,Sheet2!$B$2:$B$7,0),MATCH(H$2,Sheet2!$B$2:$O$2,0))),0,INDEX(Sheet2!$B$2:$O$7,MATCH($AG13,Sheet2!$B$2:$B$7,0),MATCH(H$2,Sheet2!$B$2:$O$2,0)))</f>
        <v>200</v>
      </c>
      <c r="I13" s="1">
        <f>IF(ISERROR(INDEX(Sheet2!$B$2:$O$7,MATCH($AG13,Sheet2!$B$2:$B$7,0),MATCH(I$2,Sheet2!$B$2:$O$2,0))),0,INDEX(Sheet2!$B$2:$O$7,MATCH($AG13,Sheet2!$B$2:$B$7,0),MATCH(I$2,Sheet2!$B$2:$O$2,0)))</f>
        <v>200</v>
      </c>
      <c r="J13" s="1">
        <f>IF(ISERROR(INDEX(Sheet2!$B$2:$O$7,MATCH($AG13,Sheet2!$B$2:$B$7,0),MATCH(J$2,Sheet2!$B$2:$O$2,0))),0,INDEX(Sheet2!$B$2:$O$7,MATCH($AG13,Sheet2!$B$2:$B$7,0),MATCH(J$2,Sheet2!$B$2:$O$2,0)))</f>
        <v>0</v>
      </c>
      <c r="K13" s="1">
        <f>IF(ISERROR(INDEX(Sheet2!$B$2:$O$7,MATCH($AG13,Sheet2!$B$2:$B$7,0),MATCH(K$2,Sheet2!$B$2:$O$2,0))),0,INDEX(Sheet2!$B$2:$O$7,MATCH($AG13,Sheet2!$B$2:$B$7,0),MATCH(K$2,Sheet2!$B$2:$O$2,0)))</f>
        <v>0</v>
      </c>
      <c r="L13" s="1">
        <f>IF(ISERROR(INDEX(Sheet2!$B$2:$O$7,MATCH($AG13,Sheet2!$B$2:$B$7,0),MATCH(L$2,Sheet2!$B$2:$O$2,0))),0,INDEX(Sheet2!$B$2:$O$7,MATCH($AG13,Sheet2!$B$2:$B$7,0),MATCH(L$2,Sheet2!$B$2:$O$2,0)))</f>
        <v>0</v>
      </c>
      <c r="M13" s="1">
        <f>IF(ISERROR(INDEX(Sheet2!$B$2:$O$7,MATCH($AG13,Sheet2!$B$2:$B$7,0),MATCH(M$2,Sheet2!$B$2:$O$2,0))),0,INDEX(Sheet2!$B$2:$O$7,MATCH($AG13,Sheet2!$B$2:$B$7,0),MATCH(M$2,Sheet2!$B$2:$O$2,0)))</f>
        <v>0</v>
      </c>
      <c r="N13" s="1">
        <f>IF(ISERROR(INDEX(Sheet2!$B$2:$O$7,MATCH($AG13,Sheet2!$B$2:$B$7,0),MATCH(N$2,Sheet2!$B$2:$O$2,0))),0,INDEX(Sheet2!$B$2:$O$7,MATCH($AG13,Sheet2!$B$2:$B$7,0),MATCH(N$2,Sheet2!$B$2:$O$2,0)))</f>
        <v>750</v>
      </c>
      <c r="O13" s="1">
        <f>IF(ISERROR(INDEX(Sheet2!$B$2:$O$7,MATCH($AG13,Sheet2!$B$2:$B$7,0),MATCH(O$2,Sheet2!$B$2:$O$2,0))),0,INDEX(Sheet2!$B$2:$O$7,MATCH($AG13,Sheet2!$B$2:$B$7,0),MATCH(O$2,Sheet2!$B$2:$O$2,0)))</f>
        <v>30</v>
      </c>
      <c r="P13" s="1">
        <f>IF(ISERROR(INDEX(Sheet2!$B$2:$O$7,MATCH($AG13,Sheet2!$B$2:$B$7,0),MATCH(P$2,Sheet2!$B$2:$O$2,0))),0,INDEX(Sheet2!$B$2:$O$7,MATCH($AG13,Sheet2!$B$2:$B$7,0),MATCH(P$2,Sheet2!$B$2:$O$2,0)))</f>
        <v>15</v>
      </c>
      <c r="Q13" s="1">
        <f>IF(ISERROR(INDEX(Sheet2!$B$2:$O$7,MATCH($AG13,Sheet2!$B$2:$B$7,0),MATCH(Q$2,Sheet2!$B$2:$O$2,0))),0,INDEX(Sheet2!$B$2:$O$7,MATCH($AG13,Sheet2!$B$2:$B$7,0),MATCH(Q$2,Sheet2!$B$2:$O$2,0)))</f>
        <v>15</v>
      </c>
      <c r="R13" s="1">
        <f>IF(ISERROR(INDEX(Sheet2!$B$2:$O$7,MATCH($AG13,Sheet2!$B$2:$B$7,0),MATCH(R$2,Sheet2!$B$2:$O$2,0))),0,INDEX(Sheet2!$B$2:$O$7,MATCH($AG13,Sheet2!$B$2:$B$7,0),MATCH(R$2,Sheet2!$B$2:$O$2,0)))</f>
        <v>0</v>
      </c>
      <c r="S13" s="1">
        <f>IF(ISERROR(INDEX(Sheet2!$B$2:$O$7,MATCH($AG13,Sheet2!$B$2:$B$7,0),MATCH(S$2,Sheet2!$B$2:$O$2,0))),0,INDEX(Sheet2!$B$2:$O$7,MATCH($AG13,Sheet2!$B$2:$B$7,0),MATCH(S$2,Sheet2!$B$2:$O$2,0)))</f>
        <v>0</v>
      </c>
      <c r="T13" s="1">
        <f>IF(ISERROR(INDEX(Sheet2!$B$2:$O$7,MATCH($AG13,Sheet2!$B$2:$B$7,0),MATCH(T$2,Sheet2!$B$2:$O$2,0))),0,INDEX(Sheet2!$B$2:$O$7,MATCH($AG13,Sheet2!$B$2:$B$7,0),MATCH(T$2,Sheet2!$B$2:$O$2,0)))</f>
        <v>0</v>
      </c>
      <c r="U13" s="1">
        <f>IF(ISERROR(INDEX(Sheet2!$B$2:$O$7,MATCH($AG13,Sheet2!$B$2:$B$7,0),MATCH(U$2,Sheet2!$B$2:$O$2,0))),0,INDEX(Sheet2!$B$2:$O$7,MATCH($AG13,Sheet2!$B$2:$B$7,0),MATCH(U$2,Sheet2!$B$2:$O$2,0)))</f>
        <v>0</v>
      </c>
      <c r="V13" s="1">
        <f>IF(ISERROR(INDEX(Sheet2!$B$2:$O$7,MATCH($AG13,Sheet2!$B$2:$B$7,0),MATCH(V$2,Sheet2!$B$2:$O$2,0))),0,INDEX(Sheet2!$B$2:$O$7,MATCH($AG13,Sheet2!$B$2:$B$7,0),MATCH(V$2,Sheet2!$B$2:$O$2,0)))</f>
        <v>12500</v>
      </c>
      <c r="W13" s="1">
        <f>IF(ISERROR(INDEX(Sheet2!$B$2:$O$7,MATCH($AG13,Sheet2!$B$2:$B$7,0),MATCH(W$2,Sheet2!$B$2:$O$2,0))),0,INDEX(Sheet2!$B$2:$O$7,MATCH($AG13,Sheet2!$B$2:$B$7,0),MATCH(W$2,Sheet2!$B$2:$O$2,0)))</f>
        <v>500</v>
      </c>
      <c r="X13" s="1">
        <f>IF(ISERROR(INDEX(Sheet2!$B$2:$O$7,MATCH($AG13,Sheet2!$B$2:$B$7,0),MATCH(X$2,Sheet2!$B$2:$O$2,0))),0,INDEX(Sheet2!$B$2:$O$7,MATCH($AG13,Sheet2!$B$2:$B$7,0),MATCH(X$2,Sheet2!$B$2:$O$2,0)))</f>
        <v>250</v>
      </c>
      <c r="Y13" s="1">
        <f>IF(ISERROR(INDEX(Sheet2!$B$2:$O$7,MATCH($AG13,Sheet2!$B$2:$B$7,0),MATCH(Y$2,Sheet2!$B$2:$O$2,0))),0,INDEX(Sheet2!$B$2:$O$7,MATCH($AG13,Sheet2!$B$2:$B$7,0),MATCH(Y$2,Sheet2!$B$2:$O$2,0)))</f>
        <v>250</v>
      </c>
      <c r="Z13" s="1">
        <f>IF(ISERROR(INDEX(Sheet2!$B$2:$O$7,MATCH($AG13,Sheet2!$B$2:$B$7,0),MATCH(Z$2,Sheet2!$B$2:$O$2,0))),0,INDEX(Sheet2!$B$2:$O$7,MATCH($AG13,Sheet2!$B$2:$B$7,0),MATCH(Z$2,Sheet2!$B$2:$O$2,0)))</f>
        <v>0</v>
      </c>
      <c r="AA13" s="1">
        <f>IF(ISERROR(INDEX(Sheet2!$B$2:$O$7,MATCH($AG13,Sheet2!$B$2:$B$7,0),MATCH(AA$2,Sheet2!$B$2:$O$2,0))),0,INDEX(Sheet2!$B$2:$O$7,MATCH($AG13,Sheet2!$B$2:$B$7,0),MATCH(AA$2,Sheet2!$B$2:$O$2,0)))</f>
        <v>0</v>
      </c>
      <c r="AB13" s="1">
        <f>IF(ISERROR(INDEX(Sheet2!$B$2:$O$7,MATCH($AG13,Sheet2!$B$2:$B$7,0),MATCH(AB$2,Sheet2!$B$2:$O$2,0))),0,INDEX(Sheet2!$B$2:$O$7,MATCH($AG13,Sheet2!$B$2:$B$7,0),MATCH(AB$2,Sheet2!$B$2:$O$2,0)))</f>
        <v>0</v>
      </c>
      <c r="AC13" s="1">
        <f>IF(ISERROR(INDEX(Sheet2!$B$2:$O$7,MATCH($AG13,Sheet2!$B$2:$B$7,0),MATCH(AC$2,Sheet2!$B$2:$O$2,0))),0,INDEX(Sheet2!$B$2:$O$7,MATCH($AG13,Sheet2!$B$2:$B$7,0),MATCH(AC$2,Sheet2!$B$2:$O$2,0)))</f>
        <v>0</v>
      </c>
      <c r="AD13" s="12" t="s">
        <v>220</v>
      </c>
      <c r="AE13" s="27">
        <v>17110</v>
      </c>
      <c r="AF13" s="20" t="s">
        <v>202</v>
      </c>
      <c r="AG13" s="1">
        <f>INDEX([1]Sheet1!$U:$U,MATCH($A13,[1]Sheet1!$BN:$BN,0),0)</f>
        <v>16</v>
      </c>
      <c r="AH13" s="15"/>
    </row>
    <row r="14" spans="1:38">
      <c r="A14" s="1">
        <v>1219</v>
      </c>
      <c r="B14" s="1" t="s">
        <v>84</v>
      </c>
      <c r="C14" s="1" t="s">
        <v>124</v>
      </c>
      <c r="D14" s="1" t="str">
        <f t="shared" si="0"/>
        <v>[[90000,12190],[90001,12191],[90002,12192],[90003,12193],[90004,12194],[90005,12195],[90006,12196]]</v>
      </c>
      <c r="E14" s="44">
        <v>5</v>
      </c>
      <c r="F14" s="1">
        <f>IF(ISERROR(INDEX(Sheet2!$B$2:$O$7,MATCH($AG14,Sheet2!$B$2:$B$7,0),MATCH(F$2,Sheet2!$B$2:$O$2,0))),0,INDEX(Sheet2!$B$2:$O$7,MATCH($AG14,Sheet2!$B$2:$B$7,0),MATCH(F$2,Sheet2!$B$2:$O$2,0)))</f>
        <v>10000</v>
      </c>
      <c r="G14" s="1">
        <f>IF(ISERROR(INDEX(Sheet2!$B$2:$O$7,MATCH($AG14,Sheet2!$B$2:$B$7,0),MATCH(G$2,Sheet2!$B$2:$O$2,0))),0,INDEX(Sheet2!$B$2:$O$7,MATCH($AG14,Sheet2!$B$2:$B$7,0),MATCH(G$2,Sheet2!$B$2:$O$2,0)))</f>
        <v>400</v>
      </c>
      <c r="H14" s="1">
        <f>IF(ISERROR(INDEX(Sheet2!$B$2:$O$7,MATCH($AG14,Sheet2!$B$2:$B$7,0),MATCH(H$2,Sheet2!$B$2:$O$2,0))),0,INDEX(Sheet2!$B$2:$O$7,MATCH($AG14,Sheet2!$B$2:$B$7,0),MATCH(H$2,Sheet2!$B$2:$O$2,0)))</f>
        <v>200</v>
      </c>
      <c r="I14" s="1">
        <f>IF(ISERROR(INDEX(Sheet2!$B$2:$O$7,MATCH($AG14,Sheet2!$B$2:$B$7,0),MATCH(I$2,Sheet2!$B$2:$O$2,0))),0,INDEX(Sheet2!$B$2:$O$7,MATCH($AG14,Sheet2!$B$2:$B$7,0),MATCH(I$2,Sheet2!$B$2:$O$2,0)))</f>
        <v>200</v>
      </c>
      <c r="J14" s="1">
        <f>IF(ISERROR(INDEX(Sheet2!$B$2:$O$7,MATCH($AG14,Sheet2!$B$2:$B$7,0),MATCH(J$2,Sheet2!$B$2:$O$2,0))),0,INDEX(Sheet2!$B$2:$O$7,MATCH($AG14,Sheet2!$B$2:$B$7,0),MATCH(J$2,Sheet2!$B$2:$O$2,0)))</f>
        <v>0</v>
      </c>
      <c r="K14" s="1">
        <f>IF(ISERROR(INDEX(Sheet2!$B$2:$O$7,MATCH($AG14,Sheet2!$B$2:$B$7,0),MATCH(K$2,Sheet2!$B$2:$O$2,0))),0,INDEX(Sheet2!$B$2:$O$7,MATCH($AG14,Sheet2!$B$2:$B$7,0),MATCH(K$2,Sheet2!$B$2:$O$2,0)))</f>
        <v>0</v>
      </c>
      <c r="L14" s="1">
        <f>IF(ISERROR(INDEX(Sheet2!$B$2:$O$7,MATCH($AG14,Sheet2!$B$2:$B$7,0),MATCH(L$2,Sheet2!$B$2:$O$2,0))),0,INDEX(Sheet2!$B$2:$O$7,MATCH($AG14,Sheet2!$B$2:$B$7,0),MATCH(L$2,Sheet2!$B$2:$O$2,0)))</f>
        <v>0</v>
      </c>
      <c r="M14" s="1">
        <f>IF(ISERROR(INDEX(Sheet2!$B$2:$O$7,MATCH($AG14,Sheet2!$B$2:$B$7,0),MATCH(M$2,Sheet2!$B$2:$O$2,0))),0,INDEX(Sheet2!$B$2:$O$7,MATCH($AG14,Sheet2!$B$2:$B$7,0),MATCH(M$2,Sheet2!$B$2:$O$2,0)))</f>
        <v>0</v>
      </c>
      <c r="N14" s="1">
        <f>IF(ISERROR(INDEX(Sheet2!$B$2:$O$7,MATCH($AG14,Sheet2!$B$2:$B$7,0),MATCH(N$2,Sheet2!$B$2:$O$2,0))),0,INDEX(Sheet2!$B$2:$O$7,MATCH($AG14,Sheet2!$B$2:$B$7,0),MATCH(N$2,Sheet2!$B$2:$O$2,0)))</f>
        <v>750</v>
      </c>
      <c r="O14" s="1">
        <f>IF(ISERROR(INDEX(Sheet2!$B$2:$O$7,MATCH($AG14,Sheet2!$B$2:$B$7,0),MATCH(O$2,Sheet2!$B$2:$O$2,0))),0,INDEX(Sheet2!$B$2:$O$7,MATCH($AG14,Sheet2!$B$2:$B$7,0),MATCH(O$2,Sheet2!$B$2:$O$2,0)))</f>
        <v>30</v>
      </c>
      <c r="P14" s="1">
        <f>IF(ISERROR(INDEX(Sheet2!$B$2:$O$7,MATCH($AG14,Sheet2!$B$2:$B$7,0),MATCH(P$2,Sheet2!$B$2:$O$2,0))),0,INDEX(Sheet2!$B$2:$O$7,MATCH($AG14,Sheet2!$B$2:$B$7,0),MATCH(P$2,Sheet2!$B$2:$O$2,0)))</f>
        <v>15</v>
      </c>
      <c r="Q14" s="1">
        <f>IF(ISERROR(INDEX(Sheet2!$B$2:$O$7,MATCH($AG14,Sheet2!$B$2:$B$7,0),MATCH(Q$2,Sheet2!$B$2:$O$2,0))),0,INDEX(Sheet2!$B$2:$O$7,MATCH($AG14,Sheet2!$B$2:$B$7,0),MATCH(Q$2,Sheet2!$B$2:$O$2,0)))</f>
        <v>15</v>
      </c>
      <c r="R14" s="1">
        <f>IF(ISERROR(INDEX(Sheet2!$B$2:$O$7,MATCH($AG14,Sheet2!$B$2:$B$7,0),MATCH(R$2,Sheet2!$B$2:$O$2,0))),0,INDEX(Sheet2!$B$2:$O$7,MATCH($AG14,Sheet2!$B$2:$B$7,0),MATCH(R$2,Sheet2!$B$2:$O$2,0)))</f>
        <v>0</v>
      </c>
      <c r="S14" s="1">
        <f>IF(ISERROR(INDEX(Sheet2!$B$2:$O$7,MATCH($AG14,Sheet2!$B$2:$B$7,0),MATCH(S$2,Sheet2!$B$2:$O$2,0))),0,INDEX(Sheet2!$B$2:$O$7,MATCH($AG14,Sheet2!$B$2:$B$7,0),MATCH(S$2,Sheet2!$B$2:$O$2,0)))</f>
        <v>0</v>
      </c>
      <c r="T14" s="1">
        <f>IF(ISERROR(INDEX(Sheet2!$B$2:$O$7,MATCH($AG14,Sheet2!$B$2:$B$7,0),MATCH(T$2,Sheet2!$B$2:$O$2,0))),0,INDEX(Sheet2!$B$2:$O$7,MATCH($AG14,Sheet2!$B$2:$B$7,0),MATCH(T$2,Sheet2!$B$2:$O$2,0)))</f>
        <v>0</v>
      </c>
      <c r="U14" s="1">
        <f>IF(ISERROR(INDEX(Sheet2!$B$2:$O$7,MATCH($AG14,Sheet2!$B$2:$B$7,0),MATCH(U$2,Sheet2!$B$2:$O$2,0))),0,INDEX(Sheet2!$B$2:$O$7,MATCH($AG14,Sheet2!$B$2:$B$7,0),MATCH(U$2,Sheet2!$B$2:$O$2,0)))</f>
        <v>0</v>
      </c>
      <c r="V14" s="1">
        <f>IF(ISERROR(INDEX(Sheet2!$B$2:$O$7,MATCH($AG14,Sheet2!$B$2:$B$7,0),MATCH(V$2,Sheet2!$B$2:$O$2,0))),0,INDEX(Sheet2!$B$2:$O$7,MATCH($AG14,Sheet2!$B$2:$B$7,0),MATCH(V$2,Sheet2!$B$2:$O$2,0)))</f>
        <v>12500</v>
      </c>
      <c r="W14" s="1">
        <f>IF(ISERROR(INDEX(Sheet2!$B$2:$O$7,MATCH($AG14,Sheet2!$B$2:$B$7,0),MATCH(W$2,Sheet2!$B$2:$O$2,0))),0,INDEX(Sheet2!$B$2:$O$7,MATCH($AG14,Sheet2!$B$2:$B$7,0),MATCH(W$2,Sheet2!$B$2:$O$2,0)))</f>
        <v>500</v>
      </c>
      <c r="X14" s="1">
        <f>IF(ISERROR(INDEX(Sheet2!$B$2:$O$7,MATCH($AG14,Sheet2!$B$2:$B$7,0),MATCH(X$2,Sheet2!$B$2:$O$2,0))),0,INDEX(Sheet2!$B$2:$O$7,MATCH($AG14,Sheet2!$B$2:$B$7,0),MATCH(X$2,Sheet2!$B$2:$O$2,0)))</f>
        <v>250</v>
      </c>
      <c r="Y14" s="1">
        <f>IF(ISERROR(INDEX(Sheet2!$B$2:$O$7,MATCH($AG14,Sheet2!$B$2:$B$7,0),MATCH(Y$2,Sheet2!$B$2:$O$2,0))),0,INDEX(Sheet2!$B$2:$O$7,MATCH($AG14,Sheet2!$B$2:$B$7,0),MATCH(Y$2,Sheet2!$B$2:$O$2,0)))</f>
        <v>250</v>
      </c>
      <c r="Z14" s="1">
        <f>IF(ISERROR(INDEX(Sheet2!$B$2:$O$7,MATCH($AG14,Sheet2!$B$2:$B$7,0),MATCH(Z$2,Sheet2!$B$2:$O$2,0))),0,INDEX(Sheet2!$B$2:$O$7,MATCH($AG14,Sheet2!$B$2:$B$7,0),MATCH(Z$2,Sheet2!$B$2:$O$2,0)))</f>
        <v>0</v>
      </c>
      <c r="AA14" s="1">
        <f>IF(ISERROR(INDEX(Sheet2!$B$2:$O$7,MATCH($AG14,Sheet2!$B$2:$B$7,0),MATCH(AA$2,Sheet2!$B$2:$O$2,0))),0,INDEX(Sheet2!$B$2:$O$7,MATCH($AG14,Sheet2!$B$2:$B$7,0),MATCH(AA$2,Sheet2!$B$2:$O$2,0)))</f>
        <v>0</v>
      </c>
      <c r="AB14" s="1">
        <f>IF(ISERROR(INDEX(Sheet2!$B$2:$O$7,MATCH($AG14,Sheet2!$B$2:$B$7,0),MATCH(AB$2,Sheet2!$B$2:$O$2,0))),0,INDEX(Sheet2!$B$2:$O$7,MATCH($AG14,Sheet2!$B$2:$B$7,0),MATCH(AB$2,Sheet2!$B$2:$O$2,0)))</f>
        <v>0</v>
      </c>
      <c r="AC14" s="1">
        <f>IF(ISERROR(INDEX(Sheet2!$B$2:$O$7,MATCH($AG14,Sheet2!$B$2:$B$7,0),MATCH(AC$2,Sheet2!$B$2:$O$2,0))),0,INDEX(Sheet2!$B$2:$O$7,MATCH($AG14,Sheet2!$B$2:$B$7,0),MATCH(AC$2,Sheet2!$B$2:$O$2,0)))</f>
        <v>0</v>
      </c>
      <c r="AD14" s="12" t="s">
        <v>220</v>
      </c>
      <c r="AE14" s="27">
        <v>17111</v>
      </c>
      <c r="AF14" s="20" t="s">
        <v>203</v>
      </c>
      <c r="AG14" s="1">
        <f>INDEX([1]Sheet1!$U:$U,MATCH($A14,[1]Sheet1!$BN:$BN,0),0)</f>
        <v>16</v>
      </c>
    </row>
    <row r="15" spans="1:38">
      <c r="A15" s="1">
        <v>1112</v>
      </c>
      <c r="B15" s="1" t="s">
        <v>85</v>
      </c>
      <c r="C15" s="1" t="s">
        <v>125</v>
      </c>
      <c r="D15" s="1" t="str">
        <f t="shared" si="0"/>
        <v>[[90000,11120],[90001,11121],[90002,11122],[90003,11123],[90004,11124],[90005,11125],[90006,11126]]</v>
      </c>
      <c r="E15" s="44">
        <v>5</v>
      </c>
      <c r="F15" s="1">
        <f>IF(ISERROR(INDEX(Sheet2!$B$2:$O$7,MATCH($AG15,Sheet2!$B$2:$B$7,0),MATCH(F$2,Sheet2!$B$2:$O$2,0))),0,INDEX(Sheet2!$B$2:$O$7,MATCH($AG15,Sheet2!$B$2:$B$7,0),MATCH(F$2,Sheet2!$B$2:$O$2,0)))</f>
        <v>10000</v>
      </c>
      <c r="G15" s="1">
        <f>IF(ISERROR(INDEX(Sheet2!$B$2:$O$7,MATCH($AG15,Sheet2!$B$2:$B$7,0),MATCH(G$2,Sheet2!$B$2:$O$2,0))),0,INDEX(Sheet2!$B$2:$O$7,MATCH($AG15,Sheet2!$B$2:$B$7,0),MATCH(G$2,Sheet2!$B$2:$O$2,0)))</f>
        <v>400</v>
      </c>
      <c r="H15" s="1">
        <f>IF(ISERROR(INDEX(Sheet2!$B$2:$O$7,MATCH($AG15,Sheet2!$B$2:$B$7,0),MATCH(H$2,Sheet2!$B$2:$O$2,0))),0,INDEX(Sheet2!$B$2:$O$7,MATCH($AG15,Sheet2!$B$2:$B$7,0),MATCH(H$2,Sheet2!$B$2:$O$2,0)))</f>
        <v>200</v>
      </c>
      <c r="I15" s="1">
        <f>IF(ISERROR(INDEX(Sheet2!$B$2:$O$7,MATCH($AG15,Sheet2!$B$2:$B$7,0),MATCH(I$2,Sheet2!$B$2:$O$2,0))),0,INDEX(Sheet2!$B$2:$O$7,MATCH($AG15,Sheet2!$B$2:$B$7,0),MATCH(I$2,Sheet2!$B$2:$O$2,0)))</f>
        <v>200</v>
      </c>
      <c r="J15" s="1">
        <f>IF(ISERROR(INDEX(Sheet2!$B$2:$O$7,MATCH($AG15,Sheet2!$B$2:$B$7,0),MATCH(J$2,Sheet2!$B$2:$O$2,0))),0,INDEX(Sheet2!$B$2:$O$7,MATCH($AG15,Sheet2!$B$2:$B$7,0),MATCH(J$2,Sheet2!$B$2:$O$2,0)))</f>
        <v>0</v>
      </c>
      <c r="K15" s="1">
        <f>IF(ISERROR(INDEX(Sheet2!$B$2:$O$7,MATCH($AG15,Sheet2!$B$2:$B$7,0),MATCH(K$2,Sheet2!$B$2:$O$2,0))),0,INDEX(Sheet2!$B$2:$O$7,MATCH($AG15,Sheet2!$B$2:$B$7,0),MATCH(K$2,Sheet2!$B$2:$O$2,0)))</f>
        <v>0</v>
      </c>
      <c r="L15" s="1">
        <f>IF(ISERROR(INDEX(Sheet2!$B$2:$O$7,MATCH($AG15,Sheet2!$B$2:$B$7,0),MATCH(L$2,Sheet2!$B$2:$O$2,0))),0,INDEX(Sheet2!$B$2:$O$7,MATCH($AG15,Sheet2!$B$2:$B$7,0),MATCH(L$2,Sheet2!$B$2:$O$2,0)))</f>
        <v>0</v>
      </c>
      <c r="M15" s="1">
        <f>IF(ISERROR(INDEX(Sheet2!$B$2:$O$7,MATCH($AG15,Sheet2!$B$2:$B$7,0),MATCH(M$2,Sheet2!$B$2:$O$2,0))),0,INDEX(Sheet2!$B$2:$O$7,MATCH($AG15,Sheet2!$B$2:$B$7,0),MATCH(M$2,Sheet2!$B$2:$O$2,0)))</f>
        <v>0</v>
      </c>
      <c r="N15" s="1">
        <f>IF(ISERROR(INDEX(Sheet2!$B$2:$O$7,MATCH($AG15,Sheet2!$B$2:$B$7,0),MATCH(N$2,Sheet2!$B$2:$O$2,0))),0,INDEX(Sheet2!$B$2:$O$7,MATCH($AG15,Sheet2!$B$2:$B$7,0),MATCH(N$2,Sheet2!$B$2:$O$2,0)))</f>
        <v>750</v>
      </c>
      <c r="O15" s="1">
        <f>IF(ISERROR(INDEX(Sheet2!$B$2:$O$7,MATCH($AG15,Sheet2!$B$2:$B$7,0),MATCH(O$2,Sheet2!$B$2:$O$2,0))),0,INDEX(Sheet2!$B$2:$O$7,MATCH($AG15,Sheet2!$B$2:$B$7,0),MATCH(O$2,Sheet2!$B$2:$O$2,0)))</f>
        <v>30</v>
      </c>
      <c r="P15" s="1">
        <f>IF(ISERROR(INDEX(Sheet2!$B$2:$O$7,MATCH($AG15,Sheet2!$B$2:$B$7,0),MATCH(P$2,Sheet2!$B$2:$O$2,0))),0,INDEX(Sheet2!$B$2:$O$7,MATCH($AG15,Sheet2!$B$2:$B$7,0),MATCH(P$2,Sheet2!$B$2:$O$2,0)))</f>
        <v>15</v>
      </c>
      <c r="Q15" s="1">
        <f>IF(ISERROR(INDEX(Sheet2!$B$2:$O$7,MATCH($AG15,Sheet2!$B$2:$B$7,0),MATCH(Q$2,Sheet2!$B$2:$O$2,0))),0,INDEX(Sheet2!$B$2:$O$7,MATCH($AG15,Sheet2!$B$2:$B$7,0),MATCH(Q$2,Sheet2!$B$2:$O$2,0)))</f>
        <v>15</v>
      </c>
      <c r="R15" s="1">
        <f>IF(ISERROR(INDEX(Sheet2!$B$2:$O$7,MATCH($AG15,Sheet2!$B$2:$B$7,0),MATCH(R$2,Sheet2!$B$2:$O$2,0))),0,INDEX(Sheet2!$B$2:$O$7,MATCH($AG15,Sheet2!$B$2:$B$7,0),MATCH(R$2,Sheet2!$B$2:$O$2,0)))</f>
        <v>0</v>
      </c>
      <c r="S15" s="1">
        <f>IF(ISERROR(INDEX(Sheet2!$B$2:$O$7,MATCH($AG15,Sheet2!$B$2:$B$7,0),MATCH(S$2,Sheet2!$B$2:$O$2,0))),0,INDEX(Sheet2!$B$2:$O$7,MATCH($AG15,Sheet2!$B$2:$B$7,0),MATCH(S$2,Sheet2!$B$2:$O$2,0)))</f>
        <v>0</v>
      </c>
      <c r="T15" s="1">
        <f>IF(ISERROR(INDEX(Sheet2!$B$2:$O$7,MATCH($AG15,Sheet2!$B$2:$B$7,0),MATCH(T$2,Sheet2!$B$2:$O$2,0))),0,INDEX(Sheet2!$B$2:$O$7,MATCH($AG15,Sheet2!$B$2:$B$7,0),MATCH(T$2,Sheet2!$B$2:$O$2,0)))</f>
        <v>0</v>
      </c>
      <c r="U15" s="1">
        <f>IF(ISERROR(INDEX(Sheet2!$B$2:$O$7,MATCH($AG15,Sheet2!$B$2:$B$7,0),MATCH(U$2,Sheet2!$B$2:$O$2,0))),0,INDEX(Sheet2!$B$2:$O$7,MATCH($AG15,Sheet2!$B$2:$B$7,0),MATCH(U$2,Sheet2!$B$2:$O$2,0)))</f>
        <v>0</v>
      </c>
      <c r="V15" s="1">
        <f>IF(ISERROR(INDEX(Sheet2!$B$2:$O$7,MATCH($AG15,Sheet2!$B$2:$B$7,0),MATCH(V$2,Sheet2!$B$2:$O$2,0))),0,INDEX(Sheet2!$B$2:$O$7,MATCH($AG15,Sheet2!$B$2:$B$7,0),MATCH(V$2,Sheet2!$B$2:$O$2,0)))</f>
        <v>12500</v>
      </c>
      <c r="W15" s="1">
        <f>IF(ISERROR(INDEX(Sheet2!$B$2:$O$7,MATCH($AG15,Sheet2!$B$2:$B$7,0),MATCH(W$2,Sheet2!$B$2:$O$2,0))),0,INDEX(Sheet2!$B$2:$O$7,MATCH($AG15,Sheet2!$B$2:$B$7,0),MATCH(W$2,Sheet2!$B$2:$O$2,0)))</f>
        <v>500</v>
      </c>
      <c r="X15" s="1">
        <f>IF(ISERROR(INDEX(Sheet2!$B$2:$O$7,MATCH($AG15,Sheet2!$B$2:$B$7,0),MATCH(X$2,Sheet2!$B$2:$O$2,0))),0,INDEX(Sheet2!$B$2:$O$7,MATCH($AG15,Sheet2!$B$2:$B$7,0),MATCH(X$2,Sheet2!$B$2:$O$2,0)))</f>
        <v>250</v>
      </c>
      <c r="Y15" s="1">
        <f>IF(ISERROR(INDEX(Sheet2!$B$2:$O$7,MATCH($AG15,Sheet2!$B$2:$B$7,0),MATCH(Y$2,Sheet2!$B$2:$O$2,0))),0,INDEX(Sheet2!$B$2:$O$7,MATCH($AG15,Sheet2!$B$2:$B$7,0),MATCH(Y$2,Sheet2!$B$2:$O$2,0)))</f>
        <v>250</v>
      </c>
      <c r="Z15" s="1">
        <f>IF(ISERROR(INDEX(Sheet2!$B$2:$O$7,MATCH($AG15,Sheet2!$B$2:$B$7,0),MATCH(Z$2,Sheet2!$B$2:$O$2,0))),0,INDEX(Sheet2!$B$2:$O$7,MATCH($AG15,Sheet2!$B$2:$B$7,0),MATCH(Z$2,Sheet2!$B$2:$O$2,0)))</f>
        <v>0</v>
      </c>
      <c r="AA15" s="1">
        <f>IF(ISERROR(INDEX(Sheet2!$B$2:$O$7,MATCH($AG15,Sheet2!$B$2:$B$7,0),MATCH(AA$2,Sheet2!$B$2:$O$2,0))),0,INDEX(Sheet2!$B$2:$O$7,MATCH($AG15,Sheet2!$B$2:$B$7,0),MATCH(AA$2,Sheet2!$B$2:$O$2,0)))</f>
        <v>0</v>
      </c>
      <c r="AB15" s="1">
        <f>IF(ISERROR(INDEX(Sheet2!$B$2:$O$7,MATCH($AG15,Sheet2!$B$2:$B$7,0),MATCH(AB$2,Sheet2!$B$2:$O$2,0))),0,INDEX(Sheet2!$B$2:$O$7,MATCH($AG15,Sheet2!$B$2:$B$7,0),MATCH(AB$2,Sheet2!$B$2:$O$2,0)))</f>
        <v>0</v>
      </c>
      <c r="AC15" s="1">
        <f>IF(ISERROR(INDEX(Sheet2!$B$2:$O$7,MATCH($AG15,Sheet2!$B$2:$B$7,0),MATCH(AC$2,Sheet2!$B$2:$O$2,0))),0,INDEX(Sheet2!$B$2:$O$7,MATCH($AG15,Sheet2!$B$2:$B$7,0),MATCH(AC$2,Sheet2!$B$2:$O$2,0)))</f>
        <v>0</v>
      </c>
      <c r="AD15" s="12" t="s">
        <v>220</v>
      </c>
      <c r="AE15" s="27">
        <v>17112</v>
      </c>
      <c r="AF15" s="20" t="s">
        <v>204</v>
      </c>
      <c r="AG15" s="1">
        <f>INDEX([1]Sheet1!$U:$U,MATCH($A15,[1]Sheet1!$BN:$BN,0),0)</f>
        <v>16</v>
      </c>
    </row>
    <row r="16" spans="1:38">
      <c r="A16" s="1">
        <v>1119</v>
      </c>
      <c r="B16" s="1" t="s">
        <v>86</v>
      </c>
      <c r="C16" s="1" t="s">
        <v>126</v>
      </c>
      <c r="D16" s="1" t="str">
        <f t="shared" si="0"/>
        <v>[[90000,11190],[90001,11191],[90002,11192],[90003,11193],[90004,11194],[90005,11195],[90006,11196]]</v>
      </c>
      <c r="E16" s="44">
        <v>6</v>
      </c>
      <c r="F16" s="1">
        <f>IF(ISERROR(INDEX(Sheet2!$B$2:$O$7,MATCH($AG16,Sheet2!$B$2:$B$7,0),MATCH(F$2,Sheet2!$B$2:$O$2,0))),0,INDEX(Sheet2!$B$2:$O$7,MATCH($AG16,Sheet2!$B$2:$B$7,0),MATCH(F$2,Sheet2!$B$2:$O$2,0)))</f>
        <v>20000</v>
      </c>
      <c r="G16" s="1">
        <f>IF(ISERROR(INDEX(Sheet2!$B$2:$O$7,MATCH($AG16,Sheet2!$B$2:$B$7,0),MATCH(G$2,Sheet2!$B$2:$O$2,0))),0,INDEX(Sheet2!$B$2:$O$7,MATCH($AG16,Sheet2!$B$2:$B$7,0),MATCH(G$2,Sheet2!$B$2:$O$2,0)))</f>
        <v>800</v>
      </c>
      <c r="H16" s="1">
        <f>IF(ISERROR(INDEX(Sheet2!$B$2:$O$7,MATCH($AG16,Sheet2!$B$2:$B$7,0),MATCH(H$2,Sheet2!$B$2:$O$2,0))),0,INDEX(Sheet2!$B$2:$O$7,MATCH($AG16,Sheet2!$B$2:$B$7,0),MATCH(H$2,Sheet2!$B$2:$O$2,0)))</f>
        <v>400</v>
      </c>
      <c r="I16" s="1">
        <f>IF(ISERROR(INDEX(Sheet2!$B$2:$O$7,MATCH($AG16,Sheet2!$B$2:$B$7,0),MATCH(I$2,Sheet2!$B$2:$O$2,0))),0,INDEX(Sheet2!$B$2:$O$7,MATCH($AG16,Sheet2!$B$2:$B$7,0),MATCH(I$2,Sheet2!$B$2:$O$2,0)))</f>
        <v>400</v>
      </c>
      <c r="J16" s="1">
        <f>IF(ISERROR(INDEX(Sheet2!$B$2:$O$7,MATCH($AG16,Sheet2!$B$2:$B$7,0),MATCH(J$2,Sheet2!$B$2:$O$2,0))),0,INDEX(Sheet2!$B$2:$O$7,MATCH($AG16,Sheet2!$B$2:$B$7,0),MATCH(J$2,Sheet2!$B$2:$O$2,0)))</f>
        <v>0</v>
      </c>
      <c r="K16" s="1">
        <f>IF(ISERROR(INDEX(Sheet2!$B$2:$O$7,MATCH($AG16,Sheet2!$B$2:$B$7,0),MATCH(K$2,Sheet2!$B$2:$O$2,0))),0,INDEX(Sheet2!$B$2:$O$7,MATCH($AG16,Sheet2!$B$2:$B$7,0),MATCH(K$2,Sheet2!$B$2:$O$2,0)))</f>
        <v>0</v>
      </c>
      <c r="L16" s="1">
        <f>IF(ISERROR(INDEX(Sheet2!$B$2:$O$7,MATCH($AG16,Sheet2!$B$2:$B$7,0),MATCH(L$2,Sheet2!$B$2:$O$2,0))),0,INDEX(Sheet2!$B$2:$O$7,MATCH($AG16,Sheet2!$B$2:$B$7,0),MATCH(L$2,Sheet2!$B$2:$O$2,0)))</f>
        <v>0</v>
      </c>
      <c r="M16" s="1">
        <f>IF(ISERROR(INDEX(Sheet2!$B$2:$O$7,MATCH($AG16,Sheet2!$B$2:$B$7,0),MATCH(M$2,Sheet2!$B$2:$O$2,0))),0,INDEX(Sheet2!$B$2:$O$7,MATCH($AG16,Sheet2!$B$2:$B$7,0),MATCH(M$2,Sheet2!$B$2:$O$2,0)))</f>
        <v>0</v>
      </c>
      <c r="N16" s="1">
        <f>IF(ISERROR(INDEX(Sheet2!$B$2:$O$7,MATCH($AG16,Sheet2!$B$2:$B$7,0),MATCH(N$2,Sheet2!$B$2:$O$2,0))),0,INDEX(Sheet2!$B$2:$O$7,MATCH($AG16,Sheet2!$B$2:$B$7,0),MATCH(N$2,Sheet2!$B$2:$O$2,0)))</f>
        <v>1200</v>
      </c>
      <c r="O16" s="1">
        <f>IF(ISERROR(INDEX(Sheet2!$B$2:$O$7,MATCH($AG16,Sheet2!$B$2:$B$7,0),MATCH(O$2,Sheet2!$B$2:$O$2,0))),0,INDEX(Sheet2!$B$2:$O$7,MATCH($AG16,Sheet2!$B$2:$B$7,0),MATCH(O$2,Sheet2!$B$2:$O$2,0)))</f>
        <v>48</v>
      </c>
      <c r="P16" s="1">
        <f>IF(ISERROR(INDEX(Sheet2!$B$2:$O$7,MATCH($AG16,Sheet2!$B$2:$B$7,0),MATCH(P$2,Sheet2!$B$2:$O$2,0))),0,INDEX(Sheet2!$B$2:$O$7,MATCH($AG16,Sheet2!$B$2:$B$7,0),MATCH(P$2,Sheet2!$B$2:$O$2,0)))</f>
        <v>24</v>
      </c>
      <c r="Q16" s="1">
        <f>IF(ISERROR(INDEX(Sheet2!$B$2:$O$7,MATCH($AG16,Sheet2!$B$2:$B$7,0),MATCH(Q$2,Sheet2!$B$2:$O$2,0))),0,INDEX(Sheet2!$B$2:$O$7,MATCH($AG16,Sheet2!$B$2:$B$7,0),MATCH(Q$2,Sheet2!$B$2:$O$2,0)))</f>
        <v>24</v>
      </c>
      <c r="R16" s="1">
        <f>IF(ISERROR(INDEX(Sheet2!$B$2:$O$7,MATCH($AG16,Sheet2!$B$2:$B$7,0),MATCH(R$2,Sheet2!$B$2:$O$2,0))),0,INDEX(Sheet2!$B$2:$O$7,MATCH($AG16,Sheet2!$B$2:$B$7,0),MATCH(R$2,Sheet2!$B$2:$O$2,0)))</f>
        <v>0</v>
      </c>
      <c r="S16" s="1">
        <f>IF(ISERROR(INDEX(Sheet2!$B$2:$O$7,MATCH($AG16,Sheet2!$B$2:$B$7,0),MATCH(S$2,Sheet2!$B$2:$O$2,0))),0,INDEX(Sheet2!$B$2:$O$7,MATCH($AG16,Sheet2!$B$2:$B$7,0),MATCH(S$2,Sheet2!$B$2:$O$2,0)))</f>
        <v>0</v>
      </c>
      <c r="T16" s="1">
        <f>IF(ISERROR(INDEX(Sheet2!$B$2:$O$7,MATCH($AG16,Sheet2!$B$2:$B$7,0),MATCH(T$2,Sheet2!$B$2:$O$2,0))),0,INDEX(Sheet2!$B$2:$O$7,MATCH($AG16,Sheet2!$B$2:$B$7,0),MATCH(T$2,Sheet2!$B$2:$O$2,0)))</f>
        <v>0</v>
      </c>
      <c r="U16" s="1">
        <f>IF(ISERROR(INDEX(Sheet2!$B$2:$O$7,MATCH($AG16,Sheet2!$B$2:$B$7,0),MATCH(U$2,Sheet2!$B$2:$O$2,0))),0,INDEX(Sheet2!$B$2:$O$7,MATCH($AG16,Sheet2!$B$2:$B$7,0),MATCH(U$2,Sheet2!$B$2:$O$2,0)))</f>
        <v>0</v>
      </c>
      <c r="V16" s="1">
        <f>IF(ISERROR(INDEX(Sheet2!$B$2:$O$7,MATCH($AG16,Sheet2!$B$2:$B$7,0),MATCH(V$2,Sheet2!$B$2:$O$2,0))),0,INDEX(Sheet2!$B$2:$O$7,MATCH($AG16,Sheet2!$B$2:$B$7,0),MATCH(V$2,Sheet2!$B$2:$O$2,0)))</f>
        <v>20000</v>
      </c>
      <c r="W16" s="1">
        <f>IF(ISERROR(INDEX(Sheet2!$B$2:$O$7,MATCH($AG16,Sheet2!$B$2:$B$7,0),MATCH(W$2,Sheet2!$B$2:$O$2,0))),0,INDEX(Sheet2!$B$2:$O$7,MATCH($AG16,Sheet2!$B$2:$B$7,0),MATCH(W$2,Sheet2!$B$2:$O$2,0)))</f>
        <v>800</v>
      </c>
      <c r="X16" s="1">
        <f>IF(ISERROR(INDEX(Sheet2!$B$2:$O$7,MATCH($AG16,Sheet2!$B$2:$B$7,0),MATCH(X$2,Sheet2!$B$2:$O$2,0))),0,INDEX(Sheet2!$B$2:$O$7,MATCH($AG16,Sheet2!$B$2:$B$7,0),MATCH(X$2,Sheet2!$B$2:$O$2,0)))</f>
        <v>400</v>
      </c>
      <c r="Y16" s="1">
        <f>IF(ISERROR(INDEX(Sheet2!$B$2:$O$7,MATCH($AG16,Sheet2!$B$2:$B$7,0),MATCH(Y$2,Sheet2!$B$2:$O$2,0))),0,INDEX(Sheet2!$B$2:$O$7,MATCH($AG16,Sheet2!$B$2:$B$7,0),MATCH(Y$2,Sheet2!$B$2:$O$2,0)))</f>
        <v>400</v>
      </c>
      <c r="Z16" s="1">
        <f>IF(ISERROR(INDEX(Sheet2!$B$2:$O$7,MATCH($AG16,Sheet2!$B$2:$B$7,0),MATCH(Z$2,Sheet2!$B$2:$O$2,0))),0,INDEX(Sheet2!$B$2:$O$7,MATCH($AG16,Sheet2!$B$2:$B$7,0),MATCH(Z$2,Sheet2!$B$2:$O$2,0)))</f>
        <v>0</v>
      </c>
      <c r="AA16" s="1">
        <f>IF(ISERROR(INDEX(Sheet2!$B$2:$O$7,MATCH($AG16,Sheet2!$B$2:$B$7,0),MATCH(AA$2,Sheet2!$B$2:$O$2,0))),0,INDEX(Sheet2!$B$2:$O$7,MATCH($AG16,Sheet2!$B$2:$B$7,0),MATCH(AA$2,Sheet2!$B$2:$O$2,0)))</f>
        <v>0</v>
      </c>
      <c r="AB16" s="1">
        <f>IF(ISERROR(INDEX(Sheet2!$B$2:$O$7,MATCH($AG16,Sheet2!$B$2:$B$7,0),MATCH(AB$2,Sheet2!$B$2:$O$2,0))),0,INDEX(Sheet2!$B$2:$O$7,MATCH($AG16,Sheet2!$B$2:$B$7,0),MATCH(AB$2,Sheet2!$B$2:$O$2,0)))</f>
        <v>0</v>
      </c>
      <c r="AC16" s="1">
        <f>IF(ISERROR(INDEX(Sheet2!$B$2:$O$7,MATCH($AG16,Sheet2!$B$2:$B$7,0),MATCH(AC$2,Sheet2!$B$2:$O$2,0))),0,INDEX(Sheet2!$B$2:$O$7,MATCH($AG16,Sheet2!$B$2:$B$7,0),MATCH(AC$2,Sheet2!$B$2:$O$2,0)))</f>
        <v>0</v>
      </c>
      <c r="AD16" s="12" t="s">
        <v>221</v>
      </c>
      <c r="AE16" s="27">
        <v>17113</v>
      </c>
      <c r="AF16" s="20" t="s">
        <v>205</v>
      </c>
      <c r="AG16" s="1">
        <f>INDEX([1]Sheet1!$U:$U,MATCH($A16,[1]Sheet1!$BN:$BN,0),0)</f>
        <v>20</v>
      </c>
    </row>
    <row r="17" spans="1:33">
      <c r="A17" s="1">
        <v>1105</v>
      </c>
      <c r="B17" s="1" t="s">
        <v>87</v>
      </c>
      <c r="C17" s="1" t="s">
        <v>127</v>
      </c>
      <c r="D17" s="1" t="str">
        <f t="shared" si="0"/>
        <v>[[90000,11050],[90001,11051],[90002,11052],[90003,11053],[90004,11054],[90005,11055],[90006,11056]]</v>
      </c>
      <c r="E17" s="44">
        <v>6</v>
      </c>
      <c r="F17" s="1">
        <f>IF(ISERROR(INDEX(Sheet2!$B$2:$O$7,MATCH($AG17,Sheet2!$B$2:$B$7,0),MATCH(F$2,Sheet2!$B$2:$O$2,0))),0,INDEX(Sheet2!$B$2:$O$7,MATCH($AG17,Sheet2!$B$2:$B$7,0),MATCH(F$2,Sheet2!$B$2:$O$2,0)))</f>
        <v>20000</v>
      </c>
      <c r="G17" s="1">
        <f>IF(ISERROR(INDEX(Sheet2!$B$2:$O$7,MATCH($AG17,Sheet2!$B$2:$B$7,0),MATCH(G$2,Sheet2!$B$2:$O$2,0))),0,INDEX(Sheet2!$B$2:$O$7,MATCH($AG17,Sheet2!$B$2:$B$7,0),MATCH(G$2,Sheet2!$B$2:$O$2,0)))</f>
        <v>800</v>
      </c>
      <c r="H17" s="1">
        <f>IF(ISERROR(INDEX(Sheet2!$B$2:$O$7,MATCH($AG17,Sheet2!$B$2:$B$7,0),MATCH(H$2,Sheet2!$B$2:$O$2,0))),0,INDEX(Sheet2!$B$2:$O$7,MATCH($AG17,Sheet2!$B$2:$B$7,0),MATCH(H$2,Sheet2!$B$2:$O$2,0)))</f>
        <v>400</v>
      </c>
      <c r="I17" s="1">
        <f>IF(ISERROR(INDEX(Sheet2!$B$2:$O$7,MATCH($AG17,Sheet2!$B$2:$B$7,0),MATCH(I$2,Sheet2!$B$2:$O$2,0))),0,INDEX(Sheet2!$B$2:$O$7,MATCH($AG17,Sheet2!$B$2:$B$7,0),MATCH(I$2,Sheet2!$B$2:$O$2,0)))</f>
        <v>400</v>
      </c>
      <c r="J17" s="1">
        <f>IF(ISERROR(INDEX(Sheet2!$B$2:$O$7,MATCH($AG17,Sheet2!$B$2:$B$7,0),MATCH(J$2,Sheet2!$B$2:$O$2,0))),0,INDEX(Sheet2!$B$2:$O$7,MATCH($AG17,Sheet2!$B$2:$B$7,0),MATCH(J$2,Sheet2!$B$2:$O$2,0)))</f>
        <v>0</v>
      </c>
      <c r="K17" s="1">
        <f>IF(ISERROR(INDEX(Sheet2!$B$2:$O$7,MATCH($AG17,Sheet2!$B$2:$B$7,0),MATCH(K$2,Sheet2!$B$2:$O$2,0))),0,INDEX(Sheet2!$B$2:$O$7,MATCH($AG17,Sheet2!$B$2:$B$7,0),MATCH(K$2,Sheet2!$B$2:$O$2,0)))</f>
        <v>0</v>
      </c>
      <c r="L17" s="1">
        <f>IF(ISERROR(INDEX(Sheet2!$B$2:$O$7,MATCH($AG17,Sheet2!$B$2:$B$7,0),MATCH(L$2,Sheet2!$B$2:$O$2,0))),0,INDEX(Sheet2!$B$2:$O$7,MATCH($AG17,Sheet2!$B$2:$B$7,0),MATCH(L$2,Sheet2!$B$2:$O$2,0)))</f>
        <v>0</v>
      </c>
      <c r="M17" s="1">
        <f>IF(ISERROR(INDEX(Sheet2!$B$2:$O$7,MATCH($AG17,Sheet2!$B$2:$B$7,0),MATCH(M$2,Sheet2!$B$2:$O$2,0))),0,INDEX(Sheet2!$B$2:$O$7,MATCH($AG17,Sheet2!$B$2:$B$7,0),MATCH(M$2,Sheet2!$B$2:$O$2,0)))</f>
        <v>0</v>
      </c>
      <c r="N17" s="1">
        <f>IF(ISERROR(INDEX(Sheet2!$B$2:$O$7,MATCH($AG17,Sheet2!$B$2:$B$7,0),MATCH(N$2,Sheet2!$B$2:$O$2,0))),0,INDEX(Sheet2!$B$2:$O$7,MATCH($AG17,Sheet2!$B$2:$B$7,0),MATCH(N$2,Sheet2!$B$2:$O$2,0)))</f>
        <v>1200</v>
      </c>
      <c r="O17" s="1">
        <f>IF(ISERROR(INDEX(Sheet2!$B$2:$O$7,MATCH($AG17,Sheet2!$B$2:$B$7,0),MATCH(O$2,Sheet2!$B$2:$O$2,0))),0,INDEX(Sheet2!$B$2:$O$7,MATCH($AG17,Sheet2!$B$2:$B$7,0),MATCH(O$2,Sheet2!$B$2:$O$2,0)))</f>
        <v>48</v>
      </c>
      <c r="P17" s="1">
        <f>IF(ISERROR(INDEX(Sheet2!$B$2:$O$7,MATCH($AG17,Sheet2!$B$2:$B$7,0),MATCH(P$2,Sheet2!$B$2:$O$2,0))),0,INDEX(Sheet2!$B$2:$O$7,MATCH($AG17,Sheet2!$B$2:$B$7,0),MATCH(P$2,Sheet2!$B$2:$O$2,0)))</f>
        <v>24</v>
      </c>
      <c r="Q17" s="1">
        <f>IF(ISERROR(INDEX(Sheet2!$B$2:$O$7,MATCH($AG17,Sheet2!$B$2:$B$7,0),MATCH(Q$2,Sheet2!$B$2:$O$2,0))),0,INDEX(Sheet2!$B$2:$O$7,MATCH($AG17,Sheet2!$B$2:$B$7,0),MATCH(Q$2,Sheet2!$B$2:$O$2,0)))</f>
        <v>24</v>
      </c>
      <c r="R17" s="1">
        <f>IF(ISERROR(INDEX(Sheet2!$B$2:$O$7,MATCH($AG17,Sheet2!$B$2:$B$7,0),MATCH(R$2,Sheet2!$B$2:$O$2,0))),0,INDEX(Sheet2!$B$2:$O$7,MATCH($AG17,Sheet2!$B$2:$B$7,0),MATCH(R$2,Sheet2!$B$2:$O$2,0)))</f>
        <v>0</v>
      </c>
      <c r="S17" s="1">
        <f>IF(ISERROR(INDEX(Sheet2!$B$2:$O$7,MATCH($AG17,Sheet2!$B$2:$B$7,0),MATCH(S$2,Sheet2!$B$2:$O$2,0))),0,INDEX(Sheet2!$B$2:$O$7,MATCH($AG17,Sheet2!$B$2:$B$7,0),MATCH(S$2,Sheet2!$B$2:$O$2,0)))</f>
        <v>0</v>
      </c>
      <c r="T17" s="1">
        <f>IF(ISERROR(INDEX(Sheet2!$B$2:$O$7,MATCH($AG17,Sheet2!$B$2:$B$7,0),MATCH(T$2,Sheet2!$B$2:$O$2,0))),0,INDEX(Sheet2!$B$2:$O$7,MATCH($AG17,Sheet2!$B$2:$B$7,0),MATCH(T$2,Sheet2!$B$2:$O$2,0)))</f>
        <v>0</v>
      </c>
      <c r="U17" s="1">
        <f>IF(ISERROR(INDEX(Sheet2!$B$2:$O$7,MATCH($AG17,Sheet2!$B$2:$B$7,0),MATCH(U$2,Sheet2!$B$2:$O$2,0))),0,INDEX(Sheet2!$B$2:$O$7,MATCH($AG17,Sheet2!$B$2:$B$7,0),MATCH(U$2,Sheet2!$B$2:$O$2,0)))</f>
        <v>0</v>
      </c>
      <c r="V17" s="1">
        <f>IF(ISERROR(INDEX(Sheet2!$B$2:$O$7,MATCH($AG17,Sheet2!$B$2:$B$7,0),MATCH(V$2,Sheet2!$B$2:$O$2,0))),0,INDEX(Sheet2!$B$2:$O$7,MATCH($AG17,Sheet2!$B$2:$B$7,0),MATCH(V$2,Sheet2!$B$2:$O$2,0)))</f>
        <v>20000</v>
      </c>
      <c r="W17" s="1">
        <f>IF(ISERROR(INDEX(Sheet2!$B$2:$O$7,MATCH($AG17,Sheet2!$B$2:$B$7,0),MATCH(W$2,Sheet2!$B$2:$O$2,0))),0,INDEX(Sheet2!$B$2:$O$7,MATCH($AG17,Sheet2!$B$2:$B$7,0),MATCH(W$2,Sheet2!$B$2:$O$2,0)))</f>
        <v>800</v>
      </c>
      <c r="X17" s="1">
        <f>IF(ISERROR(INDEX(Sheet2!$B$2:$O$7,MATCH($AG17,Sheet2!$B$2:$B$7,0),MATCH(X$2,Sheet2!$B$2:$O$2,0))),0,INDEX(Sheet2!$B$2:$O$7,MATCH($AG17,Sheet2!$B$2:$B$7,0),MATCH(X$2,Sheet2!$B$2:$O$2,0)))</f>
        <v>400</v>
      </c>
      <c r="Y17" s="1">
        <f>IF(ISERROR(INDEX(Sheet2!$B$2:$O$7,MATCH($AG17,Sheet2!$B$2:$B$7,0),MATCH(Y$2,Sheet2!$B$2:$O$2,0))),0,INDEX(Sheet2!$B$2:$O$7,MATCH($AG17,Sheet2!$B$2:$B$7,0),MATCH(Y$2,Sheet2!$B$2:$O$2,0)))</f>
        <v>400</v>
      </c>
      <c r="Z17" s="1">
        <f>IF(ISERROR(INDEX(Sheet2!$B$2:$O$7,MATCH($AG17,Sheet2!$B$2:$B$7,0),MATCH(Z$2,Sheet2!$B$2:$O$2,0))),0,INDEX(Sheet2!$B$2:$O$7,MATCH($AG17,Sheet2!$B$2:$B$7,0),MATCH(Z$2,Sheet2!$B$2:$O$2,0)))</f>
        <v>0</v>
      </c>
      <c r="AA17" s="1">
        <f>IF(ISERROR(INDEX(Sheet2!$B$2:$O$7,MATCH($AG17,Sheet2!$B$2:$B$7,0),MATCH(AA$2,Sheet2!$B$2:$O$2,0))),0,INDEX(Sheet2!$B$2:$O$7,MATCH($AG17,Sheet2!$B$2:$B$7,0),MATCH(AA$2,Sheet2!$B$2:$O$2,0)))</f>
        <v>0</v>
      </c>
      <c r="AB17" s="1">
        <f>IF(ISERROR(INDEX(Sheet2!$B$2:$O$7,MATCH($AG17,Sheet2!$B$2:$B$7,0),MATCH(AB$2,Sheet2!$B$2:$O$2,0))),0,INDEX(Sheet2!$B$2:$O$7,MATCH($AG17,Sheet2!$B$2:$B$7,0),MATCH(AB$2,Sheet2!$B$2:$O$2,0)))</f>
        <v>0</v>
      </c>
      <c r="AC17" s="1">
        <f>IF(ISERROR(INDEX(Sheet2!$B$2:$O$7,MATCH($AG17,Sheet2!$B$2:$B$7,0),MATCH(AC$2,Sheet2!$B$2:$O$2,0))),0,INDEX(Sheet2!$B$2:$O$7,MATCH($AG17,Sheet2!$B$2:$B$7,0),MATCH(AC$2,Sheet2!$B$2:$O$2,0)))</f>
        <v>0</v>
      </c>
      <c r="AD17" s="12" t="s">
        <v>221</v>
      </c>
      <c r="AE17" s="27">
        <v>17114</v>
      </c>
      <c r="AF17" s="20" t="s">
        <v>206</v>
      </c>
      <c r="AG17" s="1">
        <f>INDEX([1]Sheet1!$U:$U,MATCH($A17,[1]Sheet1!$BN:$BN,0),0)</f>
        <v>20</v>
      </c>
    </row>
    <row r="18" spans="1:33">
      <c r="A18" s="1">
        <v>1218</v>
      </c>
      <c r="B18" s="1" t="s">
        <v>88</v>
      </c>
      <c r="C18" s="1" t="s">
        <v>128</v>
      </c>
      <c r="D18" s="1" t="str">
        <f t="shared" si="0"/>
        <v>[[90000,12180],[90001,12181],[90002,12182],[90003,12183],[90004,12184],[90005,12185],[90006,12186]]</v>
      </c>
      <c r="E18" s="44">
        <v>5</v>
      </c>
      <c r="F18" s="1">
        <f>IF(ISERROR(INDEX(Sheet2!$B$2:$O$7,MATCH($AG18,Sheet2!$B$2:$B$7,0),MATCH(F$2,Sheet2!$B$2:$O$2,0))),0,INDEX(Sheet2!$B$2:$O$7,MATCH($AG18,Sheet2!$B$2:$B$7,0),MATCH(F$2,Sheet2!$B$2:$O$2,0)))</f>
        <v>10000</v>
      </c>
      <c r="G18" s="1">
        <f>IF(ISERROR(INDEX(Sheet2!$B$2:$O$7,MATCH($AG18,Sheet2!$B$2:$B$7,0),MATCH(G$2,Sheet2!$B$2:$O$2,0))),0,INDEX(Sheet2!$B$2:$O$7,MATCH($AG18,Sheet2!$B$2:$B$7,0),MATCH(G$2,Sheet2!$B$2:$O$2,0)))</f>
        <v>400</v>
      </c>
      <c r="H18" s="1">
        <f>IF(ISERROR(INDEX(Sheet2!$B$2:$O$7,MATCH($AG18,Sheet2!$B$2:$B$7,0),MATCH(H$2,Sheet2!$B$2:$O$2,0))),0,INDEX(Sheet2!$B$2:$O$7,MATCH($AG18,Sheet2!$B$2:$B$7,0),MATCH(H$2,Sheet2!$B$2:$O$2,0)))</f>
        <v>200</v>
      </c>
      <c r="I18" s="1">
        <f>IF(ISERROR(INDEX(Sheet2!$B$2:$O$7,MATCH($AG18,Sheet2!$B$2:$B$7,0),MATCH(I$2,Sheet2!$B$2:$O$2,0))),0,INDEX(Sheet2!$B$2:$O$7,MATCH($AG18,Sheet2!$B$2:$B$7,0),MATCH(I$2,Sheet2!$B$2:$O$2,0)))</f>
        <v>200</v>
      </c>
      <c r="J18" s="1">
        <f>IF(ISERROR(INDEX(Sheet2!$B$2:$O$7,MATCH($AG18,Sheet2!$B$2:$B$7,0),MATCH(J$2,Sheet2!$B$2:$O$2,0))),0,INDEX(Sheet2!$B$2:$O$7,MATCH($AG18,Sheet2!$B$2:$B$7,0),MATCH(J$2,Sheet2!$B$2:$O$2,0)))</f>
        <v>0</v>
      </c>
      <c r="K18" s="1">
        <f>IF(ISERROR(INDEX(Sheet2!$B$2:$O$7,MATCH($AG18,Sheet2!$B$2:$B$7,0),MATCH(K$2,Sheet2!$B$2:$O$2,0))),0,INDEX(Sheet2!$B$2:$O$7,MATCH($AG18,Sheet2!$B$2:$B$7,0),MATCH(K$2,Sheet2!$B$2:$O$2,0)))</f>
        <v>0</v>
      </c>
      <c r="L18" s="1">
        <f>IF(ISERROR(INDEX(Sheet2!$B$2:$O$7,MATCH($AG18,Sheet2!$B$2:$B$7,0),MATCH(L$2,Sheet2!$B$2:$O$2,0))),0,INDEX(Sheet2!$B$2:$O$7,MATCH($AG18,Sheet2!$B$2:$B$7,0),MATCH(L$2,Sheet2!$B$2:$O$2,0)))</f>
        <v>0</v>
      </c>
      <c r="M18" s="1">
        <f>IF(ISERROR(INDEX(Sheet2!$B$2:$O$7,MATCH($AG18,Sheet2!$B$2:$B$7,0),MATCH(M$2,Sheet2!$B$2:$O$2,0))),0,INDEX(Sheet2!$B$2:$O$7,MATCH($AG18,Sheet2!$B$2:$B$7,0),MATCH(M$2,Sheet2!$B$2:$O$2,0)))</f>
        <v>0</v>
      </c>
      <c r="N18" s="1">
        <f>IF(ISERROR(INDEX(Sheet2!$B$2:$O$7,MATCH($AG18,Sheet2!$B$2:$B$7,0),MATCH(N$2,Sheet2!$B$2:$O$2,0))),0,INDEX(Sheet2!$B$2:$O$7,MATCH($AG18,Sheet2!$B$2:$B$7,0),MATCH(N$2,Sheet2!$B$2:$O$2,0)))</f>
        <v>750</v>
      </c>
      <c r="O18" s="1">
        <f>IF(ISERROR(INDEX(Sheet2!$B$2:$O$7,MATCH($AG18,Sheet2!$B$2:$B$7,0),MATCH(O$2,Sheet2!$B$2:$O$2,0))),0,INDEX(Sheet2!$B$2:$O$7,MATCH($AG18,Sheet2!$B$2:$B$7,0),MATCH(O$2,Sheet2!$B$2:$O$2,0)))</f>
        <v>30</v>
      </c>
      <c r="P18" s="1">
        <f>IF(ISERROR(INDEX(Sheet2!$B$2:$O$7,MATCH($AG18,Sheet2!$B$2:$B$7,0),MATCH(P$2,Sheet2!$B$2:$O$2,0))),0,INDEX(Sheet2!$B$2:$O$7,MATCH($AG18,Sheet2!$B$2:$B$7,0),MATCH(P$2,Sheet2!$B$2:$O$2,0)))</f>
        <v>15</v>
      </c>
      <c r="Q18" s="1">
        <f>IF(ISERROR(INDEX(Sheet2!$B$2:$O$7,MATCH($AG18,Sheet2!$B$2:$B$7,0),MATCH(Q$2,Sheet2!$B$2:$O$2,0))),0,INDEX(Sheet2!$B$2:$O$7,MATCH($AG18,Sheet2!$B$2:$B$7,0),MATCH(Q$2,Sheet2!$B$2:$O$2,0)))</f>
        <v>15</v>
      </c>
      <c r="R18" s="1">
        <f>IF(ISERROR(INDEX(Sheet2!$B$2:$O$7,MATCH($AG18,Sheet2!$B$2:$B$7,0),MATCH(R$2,Sheet2!$B$2:$O$2,0))),0,INDEX(Sheet2!$B$2:$O$7,MATCH($AG18,Sheet2!$B$2:$B$7,0),MATCH(R$2,Sheet2!$B$2:$O$2,0)))</f>
        <v>0</v>
      </c>
      <c r="S18" s="1">
        <f>IF(ISERROR(INDEX(Sheet2!$B$2:$O$7,MATCH($AG18,Sheet2!$B$2:$B$7,0),MATCH(S$2,Sheet2!$B$2:$O$2,0))),0,INDEX(Sheet2!$B$2:$O$7,MATCH($AG18,Sheet2!$B$2:$B$7,0),MATCH(S$2,Sheet2!$B$2:$O$2,0)))</f>
        <v>0</v>
      </c>
      <c r="T18" s="1">
        <f>IF(ISERROR(INDEX(Sheet2!$B$2:$O$7,MATCH($AG18,Sheet2!$B$2:$B$7,0),MATCH(T$2,Sheet2!$B$2:$O$2,0))),0,INDEX(Sheet2!$B$2:$O$7,MATCH($AG18,Sheet2!$B$2:$B$7,0),MATCH(T$2,Sheet2!$B$2:$O$2,0)))</f>
        <v>0</v>
      </c>
      <c r="U18" s="1">
        <f>IF(ISERROR(INDEX(Sheet2!$B$2:$O$7,MATCH($AG18,Sheet2!$B$2:$B$7,0),MATCH(U$2,Sheet2!$B$2:$O$2,0))),0,INDEX(Sheet2!$B$2:$O$7,MATCH($AG18,Sheet2!$B$2:$B$7,0),MATCH(U$2,Sheet2!$B$2:$O$2,0)))</f>
        <v>0</v>
      </c>
      <c r="V18" s="1">
        <f>IF(ISERROR(INDEX(Sheet2!$B$2:$O$7,MATCH($AG18,Sheet2!$B$2:$B$7,0),MATCH(V$2,Sheet2!$B$2:$O$2,0))),0,INDEX(Sheet2!$B$2:$O$7,MATCH($AG18,Sheet2!$B$2:$B$7,0),MATCH(V$2,Sheet2!$B$2:$O$2,0)))</f>
        <v>12500</v>
      </c>
      <c r="W18" s="1">
        <f>IF(ISERROR(INDEX(Sheet2!$B$2:$O$7,MATCH($AG18,Sheet2!$B$2:$B$7,0),MATCH(W$2,Sheet2!$B$2:$O$2,0))),0,INDEX(Sheet2!$B$2:$O$7,MATCH($AG18,Sheet2!$B$2:$B$7,0),MATCH(W$2,Sheet2!$B$2:$O$2,0)))</f>
        <v>500</v>
      </c>
      <c r="X18" s="1">
        <f>IF(ISERROR(INDEX(Sheet2!$B$2:$O$7,MATCH($AG18,Sheet2!$B$2:$B$7,0),MATCH(X$2,Sheet2!$B$2:$O$2,0))),0,INDEX(Sheet2!$B$2:$O$7,MATCH($AG18,Sheet2!$B$2:$B$7,0),MATCH(X$2,Sheet2!$B$2:$O$2,0)))</f>
        <v>250</v>
      </c>
      <c r="Y18" s="1">
        <f>IF(ISERROR(INDEX(Sheet2!$B$2:$O$7,MATCH($AG18,Sheet2!$B$2:$B$7,0),MATCH(Y$2,Sheet2!$B$2:$O$2,0))),0,INDEX(Sheet2!$B$2:$O$7,MATCH($AG18,Sheet2!$B$2:$B$7,0),MATCH(Y$2,Sheet2!$B$2:$O$2,0)))</f>
        <v>250</v>
      </c>
      <c r="Z18" s="1">
        <f>IF(ISERROR(INDEX(Sheet2!$B$2:$O$7,MATCH($AG18,Sheet2!$B$2:$B$7,0),MATCH(Z$2,Sheet2!$B$2:$O$2,0))),0,INDEX(Sheet2!$B$2:$O$7,MATCH($AG18,Sheet2!$B$2:$B$7,0),MATCH(Z$2,Sheet2!$B$2:$O$2,0)))</f>
        <v>0</v>
      </c>
      <c r="AA18" s="1">
        <f>IF(ISERROR(INDEX(Sheet2!$B$2:$O$7,MATCH($AG18,Sheet2!$B$2:$B$7,0),MATCH(AA$2,Sheet2!$B$2:$O$2,0))),0,INDEX(Sheet2!$B$2:$O$7,MATCH($AG18,Sheet2!$B$2:$B$7,0),MATCH(AA$2,Sheet2!$B$2:$O$2,0)))</f>
        <v>0</v>
      </c>
      <c r="AB18" s="1">
        <f>IF(ISERROR(INDEX(Sheet2!$B$2:$O$7,MATCH($AG18,Sheet2!$B$2:$B$7,0),MATCH(AB$2,Sheet2!$B$2:$O$2,0))),0,INDEX(Sheet2!$B$2:$O$7,MATCH($AG18,Sheet2!$B$2:$B$7,0),MATCH(AB$2,Sheet2!$B$2:$O$2,0)))</f>
        <v>0</v>
      </c>
      <c r="AC18" s="1">
        <f>IF(ISERROR(INDEX(Sheet2!$B$2:$O$7,MATCH($AG18,Sheet2!$B$2:$B$7,0),MATCH(AC$2,Sheet2!$B$2:$O$2,0))),0,INDEX(Sheet2!$B$2:$O$7,MATCH($AG18,Sheet2!$B$2:$B$7,0),MATCH(AC$2,Sheet2!$B$2:$O$2,0)))</f>
        <v>0</v>
      </c>
      <c r="AD18" s="12" t="s">
        <v>220</v>
      </c>
      <c r="AE18" s="27">
        <v>17115</v>
      </c>
      <c r="AF18" s="20" t="s">
        <v>207</v>
      </c>
      <c r="AG18" s="1">
        <f>INDEX([1]Sheet1!$U:$U,MATCH($A18,[1]Sheet1!$BN:$BN,0),0)</f>
        <v>16</v>
      </c>
    </row>
    <row r="19" spans="1:33">
      <c r="A19" s="1">
        <v>1124</v>
      </c>
      <c r="B19" s="1" t="s">
        <v>89</v>
      </c>
      <c r="C19" s="1" t="s">
        <v>129</v>
      </c>
      <c r="D19" s="1" t="str">
        <f t="shared" si="0"/>
        <v>[[90000,11240],[90001,11241],[90002,11242],[90003,11243],[90004,11244],[90005,11245],[90006,11246]]</v>
      </c>
      <c r="E19" s="44">
        <v>6</v>
      </c>
      <c r="F19" s="1">
        <f>IF(ISERROR(INDEX(Sheet2!$B$2:$O$7,MATCH($AG19,Sheet2!$B$2:$B$7,0),MATCH(F$2,Sheet2!$B$2:$O$2,0))),0,INDEX(Sheet2!$B$2:$O$7,MATCH($AG19,Sheet2!$B$2:$B$7,0),MATCH(F$2,Sheet2!$B$2:$O$2,0)))</f>
        <v>20000</v>
      </c>
      <c r="G19" s="1">
        <f>IF(ISERROR(INDEX(Sheet2!$B$2:$O$7,MATCH($AG19,Sheet2!$B$2:$B$7,0),MATCH(G$2,Sheet2!$B$2:$O$2,0))),0,INDEX(Sheet2!$B$2:$O$7,MATCH($AG19,Sheet2!$B$2:$B$7,0),MATCH(G$2,Sheet2!$B$2:$O$2,0)))</f>
        <v>800</v>
      </c>
      <c r="H19" s="1">
        <f>IF(ISERROR(INDEX(Sheet2!$B$2:$O$7,MATCH($AG19,Sheet2!$B$2:$B$7,0),MATCH(H$2,Sheet2!$B$2:$O$2,0))),0,INDEX(Sheet2!$B$2:$O$7,MATCH($AG19,Sheet2!$B$2:$B$7,0),MATCH(H$2,Sheet2!$B$2:$O$2,0)))</f>
        <v>400</v>
      </c>
      <c r="I19" s="1">
        <f>IF(ISERROR(INDEX(Sheet2!$B$2:$O$7,MATCH($AG19,Sheet2!$B$2:$B$7,0),MATCH(I$2,Sheet2!$B$2:$O$2,0))),0,INDEX(Sheet2!$B$2:$O$7,MATCH($AG19,Sheet2!$B$2:$B$7,0),MATCH(I$2,Sheet2!$B$2:$O$2,0)))</f>
        <v>400</v>
      </c>
      <c r="J19" s="1">
        <f>IF(ISERROR(INDEX(Sheet2!$B$2:$O$7,MATCH($AG19,Sheet2!$B$2:$B$7,0),MATCH(J$2,Sheet2!$B$2:$O$2,0))),0,INDEX(Sheet2!$B$2:$O$7,MATCH($AG19,Sheet2!$B$2:$B$7,0),MATCH(J$2,Sheet2!$B$2:$O$2,0)))</f>
        <v>0</v>
      </c>
      <c r="K19" s="1">
        <f>IF(ISERROR(INDEX(Sheet2!$B$2:$O$7,MATCH($AG19,Sheet2!$B$2:$B$7,0),MATCH(K$2,Sheet2!$B$2:$O$2,0))),0,INDEX(Sheet2!$B$2:$O$7,MATCH($AG19,Sheet2!$B$2:$B$7,0),MATCH(K$2,Sheet2!$B$2:$O$2,0)))</f>
        <v>0</v>
      </c>
      <c r="L19" s="1">
        <f>IF(ISERROR(INDEX(Sheet2!$B$2:$O$7,MATCH($AG19,Sheet2!$B$2:$B$7,0),MATCH(L$2,Sheet2!$B$2:$O$2,0))),0,INDEX(Sheet2!$B$2:$O$7,MATCH($AG19,Sheet2!$B$2:$B$7,0),MATCH(L$2,Sheet2!$B$2:$O$2,0)))</f>
        <v>0</v>
      </c>
      <c r="M19" s="1">
        <f>IF(ISERROR(INDEX(Sheet2!$B$2:$O$7,MATCH($AG19,Sheet2!$B$2:$B$7,0),MATCH(M$2,Sheet2!$B$2:$O$2,0))),0,INDEX(Sheet2!$B$2:$O$7,MATCH($AG19,Sheet2!$B$2:$B$7,0),MATCH(M$2,Sheet2!$B$2:$O$2,0)))</f>
        <v>0</v>
      </c>
      <c r="N19" s="1">
        <f>IF(ISERROR(INDEX(Sheet2!$B$2:$O$7,MATCH($AG19,Sheet2!$B$2:$B$7,0),MATCH(N$2,Sheet2!$B$2:$O$2,0))),0,INDEX(Sheet2!$B$2:$O$7,MATCH($AG19,Sheet2!$B$2:$B$7,0),MATCH(N$2,Sheet2!$B$2:$O$2,0)))</f>
        <v>1200</v>
      </c>
      <c r="O19" s="1">
        <f>IF(ISERROR(INDEX(Sheet2!$B$2:$O$7,MATCH($AG19,Sheet2!$B$2:$B$7,0),MATCH(O$2,Sheet2!$B$2:$O$2,0))),0,INDEX(Sheet2!$B$2:$O$7,MATCH($AG19,Sheet2!$B$2:$B$7,0),MATCH(O$2,Sheet2!$B$2:$O$2,0)))</f>
        <v>48</v>
      </c>
      <c r="P19" s="1">
        <f>IF(ISERROR(INDEX(Sheet2!$B$2:$O$7,MATCH($AG19,Sheet2!$B$2:$B$7,0),MATCH(P$2,Sheet2!$B$2:$O$2,0))),0,INDEX(Sheet2!$B$2:$O$7,MATCH($AG19,Sheet2!$B$2:$B$7,0),MATCH(P$2,Sheet2!$B$2:$O$2,0)))</f>
        <v>24</v>
      </c>
      <c r="Q19" s="1">
        <f>IF(ISERROR(INDEX(Sheet2!$B$2:$O$7,MATCH($AG19,Sheet2!$B$2:$B$7,0),MATCH(Q$2,Sheet2!$B$2:$O$2,0))),0,INDEX(Sheet2!$B$2:$O$7,MATCH($AG19,Sheet2!$B$2:$B$7,0),MATCH(Q$2,Sheet2!$B$2:$O$2,0)))</f>
        <v>24</v>
      </c>
      <c r="R19" s="1">
        <f>IF(ISERROR(INDEX(Sheet2!$B$2:$O$7,MATCH($AG19,Sheet2!$B$2:$B$7,0),MATCH(R$2,Sheet2!$B$2:$O$2,0))),0,INDEX(Sheet2!$B$2:$O$7,MATCH($AG19,Sheet2!$B$2:$B$7,0),MATCH(R$2,Sheet2!$B$2:$O$2,0)))</f>
        <v>0</v>
      </c>
      <c r="S19" s="1">
        <f>IF(ISERROR(INDEX(Sheet2!$B$2:$O$7,MATCH($AG19,Sheet2!$B$2:$B$7,0),MATCH(S$2,Sheet2!$B$2:$O$2,0))),0,INDEX(Sheet2!$B$2:$O$7,MATCH($AG19,Sheet2!$B$2:$B$7,0),MATCH(S$2,Sheet2!$B$2:$O$2,0)))</f>
        <v>0</v>
      </c>
      <c r="T19" s="1">
        <f>IF(ISERROR(INDEX(Sheet2!$B$2:$O$7,MATCH($AG19,Sheet2!$B$2:$B$7,0),MATCH(T$2,Sheet2!$B$2:$O$2,0))),0,INDEX(Sheet2!$B$2:$O$7,MATCH($AG19,Sheet2!$B$2:$B$7,0),MATCH(T$2,Sheet2!$B$2:$O$2,0)))</f>
        <v>0</v>
      </c>
      <c r="U19" s="1">
        <f>IF(ISERROR(INDEX(Sheet2!$B$2:$O$7,MATCH($AG19,Sheet2!$B$2:$B$7,0),MATCH(U$2,Sheet2!$B$2:$O$2,0))),0,INDEX(Sheet2!$B$2:$O$7,MATCH($AG19,Sheet2!$B$2:$B$7,0),MATCH(U$2,Sheet2!$B$2:$O$2,0)))</f>
        <v>0</v>
      </c>
      <c r="V19" s="1">
        <f>IF(ISERROR(INDEX(Sheet2!$B$2:$O$7,MATCH($AG19,Sheet2!$B$2:$B$7,0),MATCH(V$2,Sheet2!$B$2:$O$2,0))),0,INDEX(Sheet2!$B$2:$O$7,MATCH($AG19,Sheet2!$B$2:$B$7,0),MATCH(V$2,Sheet2!$B$2:$O$2,0)))</f>
        <v>20000</v>
      </c>
      <c r="W19" s="1">
        <f>IF(ISERROR(INDEX(Sheet2!$B$2:$O$7,MATCH($AG19,Sheet2!$B$2:$B$7,0),MATCH(W$2,Sheet2!$B$2:$O$2,0))),0,INDEX(Sheet2!$B$2:$O$7,MATCH($AG19,Sheet2!$B$2:$B$7,0),MATCH(W$2,Sheet2!$B$2:$O$2,0)))</f>
        <v>800</v>
      </c>
      <c r="X19" s="1">
        <f>IF(ISERROR(INDEX(Sheet2!$B$2:$O$7,MATCH($AG19,Sheet2!$B$2:$B$7,0),MATCH(X$2,Sheet2!$B$2:$O$2,0))),0,INDEX(Sheet2!$B$2:$O$7,MATCH($AG19,Sheet2!$B$2:$B$7,0),MATCH(X$2,Sheet2!$B$2:$O$2,0)))</f>
        <v>400</v>
      </c>
      <c r="Y19" s="1">
        <f>IF(ISERROR(INDEX(Sheet2!$B$2:$O$7,MATCH($AG19,Sheet2!$B$2:$B$7,0),MATCH(Y$2,Sheet2!$B$2:$O$2,0))),0,INDEX(Sheet2!$B$2:$O$7,MATCH($AG19,Sheet2!$B$2:$B$7,0),MATCH(Y$2,Sheet2!$B$2:$O$2,0)))</f>
        <v>400</v>
      </c>
      <c r="Z19" s="1">
        <f>IF(ISERROR(INDEX(Sheet2!$B$2:$O$7,MATCH($AG19,Sheet2!$B$2:$B$7,0),MATCH(Z$2,Sheet2!$B$2:$O$2,0))),0,INDEX(Sheet2!$B$2:$O$7,MATCH($AG19,Sheet2!$B$2:$B$7,0),MATCH(Z$2,Sheet2!$B$2:$O$2,0)))</f>
        <v>0</v>
      </c>
      <c r="AA19" s="1">
        <f>IF(ISERROR(INDEX(Sheet2!$B$2:$O$7,MATCH($AG19,Sheet2!$B$2:$B$7,0),MATCH(AA$2,Sheet2!$B$2:$O$2,0))),0,INDEX(Sheet2!$B$2:$O$7,MATCH($AG19,Sheet2!$B$2:$B$7,0),MATCH(AA$2,Sheet2!$B$2:$O$2,0)))</f>
        <v>0</v>
      </c>
      <c r="AB19" s="1">
        <f>IF(ISERROR(INDEX(Sheet2!$B$2:$O$7,MATCH($AG19,Sheet2!$B$2:$B$7,0),MATCH(AB$2,Sheet2!$B$2:$O$2,0))),0,INDEX(Sheet2!$B$2:$O$7,MATCH($AG19,Sheet2!$B$2:$B$7,0),MATCH(AB$2,Sheet2!$B$2:$O$2,0)))</f>
        <v>0</v>
      </c>
      <c r="AC19" s="1">
        <f>IF(ISERROR(INDEX(Sheet2!$B$2:$O$7,MATCH($AG19,Sheet2!$B$2:$B$7,0),MATCH(AC$2,Sheet2!$B$2:$O$2,0))),0,INDEX(Sheet2!$B$2:$O$7,MATCH($AG19,Sheet2!$B$2:$B$7,0),MATCH(AC$2,Sheet2!$B$2:$O$2,0)))</f>
        <v>0</v>
      </c>
      <c r="AD19" s="12" t="s">
        <v>221</v>
      </c>
      <c r="AE19" s="27">
        <v>17116</v>
      </c>
      <c r="AF19" s="20" t="s">
        <v>208</v>
      </c>
      <c r="AG19" s="1">
        <f>INDEX([1]Sheet1!$U:$U,MATCH($A19,[1]Sheet1!$BN:$BN,0),0)</f>
        <v>20</v>
      </c>
    </row>
    <row r="20" spans="1:33" s="14" customFormat="1">
      <c r="A20" s="13">
        <v>1126</v>
      </c>
      <c r="B20" s="1" t="s">
        <v>90</v>
      </c>
      <c r="C20" s="13" t="s">
        <v>71</v>
      </c>
      <c r="D20" s="1" t="str">
        <f t="shared" si="0"/>
        <v>[[90000,11260],[90001,11261],[90002,11262],[90003,11263],[90004,11264],[90005,11265],[90006,11266]]</v>
      </c>
      <c r="E20" s="45">
        <v>4</v>
      </c>
      <c r="F20" s="1">
        <f>IF(ISERROR(INDEX(Sheet2!$B$2:$O$7,MATCH($AG20,Sheet2!$B$2:$B$7,0),MATCH(F$2,Sheet2!$B$2:$O$2,0))),0,INDEX(Sheet2!$B$2:$O$7,MATCH($AG20,Sheet2!$B$2:$B$7,0),MATCH(F$2,Sheet2!$B$2:$O$2,0)))</f>
        <v>5000</v>
      </c>
      <c r="G20" s="1">
        <f>IF(ISERROR(INDEX(Sheet2!$B$2:$O$7,MATCH($AG20,Sheet2!$B$2:$B$7,0),MATCH(G$2,Sheet2!$B$2:$O$2,0))),0,INDEX(Sheet2!$B$2:$O$7,MATCH($AG20,Sheet2!$B$2:$B$7,0),MATCH(G$2,Sheet2!$B$2:$O$2,0)))</f>
        <v>200</v>
      </c>
      <c r="H20" s="1">
        <f>IF(ISERROR(INDEX(Sheet2!$B$2:$O$7,MATCH($AG20,Sheet2!$B$2:$B$7,0),MATCH(H$2,Sheet2!$B$2:$O$2,0))),0,INDEX(Sheet2!$B$2:$O$7,MATCH($AG20,Sheet2!$B$2:$B$7,0),MATCH(H$2,Sheet2!$B$2:$O$2,0)))</f>
        <v>100</v>
      </c>
      <c r="I20" s="1">
        <f>IF(ISERROR(INDEX(Sheet2!$B$2:$O$7,MATCH($AG20,Sheet2!$B$2:$B$7,0),MATCH(I$2,Sheet2!$B$2:$O$2,0))),0,INDEX(Sheet2!$B$2:$O$7,MATCH($AG20,Sheet2!$B$2:$B$7,0),MATCH(I$2,Sheet2!$B$2:$O$2,0)))</f>
        <v>100</v>
      </c>
      <c r="J20" s="1">
        <f>IF(ISERROR(INDEX(Sheet2!$B$2:$O$7,MATCH($AG20,Sheet2!$B$2:$B$7,0),MATCH(J$2,Sheet2!$B$2:$O$2,0))),0,INDEX(Sheet2!$B$2:$O$7,MATCH($AG20,Sheet2!$B$2:$B$7,0),MATCH(J$2,Sheet2!$B$2:$O$2,0)))</f>
        <v>0</v>
      </c>
      <c r="K20" s="1">
        <f>IF(ISERROR(INDEX(Sheet2!$B$2:$O$7,MATCH($AG20,Sheet2!$B$2:$B$7,0),MATCH(K$2,Sheet2!$B$2:$O$2,0))),0,INDEX(Sheet2!$B$2:$O$7,MATCH($AG20,Sheet2!$B$2:$B$7,0),MATCH(K$2,Sheet2!$B$2:$O$2,0)))</f>
        <v>0</v>
      </c>
      <c r="L20" s="1">
        <f>IF(ISERROR(INDEX(Sheet2!$B$2:$O$7,MATCH($AG20,Sheet2!$B$2:$B$7,0),MATCH(L$2,Sheet2!$B$2:$O$2,0))),0,INDEX(Sheet2!$B$2:$O$7,MATCH($AG20,Sheet2!$B$2:$B$7,0),MATCH(L$2,Sheet2!$B$2:$O$2,0)))</f>
        <v>0</v>
      </c>
      <c r="M20" s="1">
        <f>IF(ISERROR(INDEX(Sheet2!$B$2:$O$7,MATCH($AG20,Sheet2!$B$2:$B$7,0),MATCH(M$2,Sheet2!$B$2:$O$2,0))),0,INDEX(Sheet2!$B$2:$O$7,MATCH($AG20,Sheet2!$B$2:$B$7,0),MATCH(M$2,Sheet2!$B$2:$O$2,0)))</f>
        <v>0</v>
      </c>
      <c r="N20" s="1">
        <f>IF(ISERROR(INDEX(Sheet2!$B$2:$O$7,MATCH($AG20,Sheet2!$B$2:$B$7,0),MATCH(N$2,Sheet2!$B$2:$O$2,0))),0,INDEX(Sheet2!$B$2:$O$7,MATCH($AG20,Sheet2!$B$2:$B$7,0),MATCH(N$2,Sheet2!$B$2:$O$2,0)))</f>
        <v>600</v>
      </c>
      <c r="O20" s="1">
        <f>IF(ISERROR(INDEX(Sheet2!$B$2:$O$7,MATCH($AG20,Sheet2!$B$2:$B$7,0),MATCH(O$2,Sheet2!$B$2:$O$2,0))),0,INDEX(Sheet2!$B$2:$O$7,MATCH($AG20,Sheet2!$B$2:$B$7,0),MATCH(O$2,Sheet2!$B$2:$O$2,0)))</f>
        <v>24</v>
      </c>
      <c r="P20" s="1">
        <f>IF(ISERROR(INDEX(Sheet2!$B$2:$O$7,MATCH($AG20,Sheet2!$B$2:$B$7,0),MATCH(P$2,Sheet2!$B$2:$O$2,0))),0,INDEX(Sheet2!$B$2:$O$7,MATCH($AG20,Sheet2!$B$2:$B$7,0),MATCH(P$2,Sheet2!$B$2:$O$2,0)))</f>
        <v>12</v>
      </c>
      <c r="Q20" s="1">
        <f>IF(ISERROR(INDEX(Sheet2!$B$2:$O$7,MATCH($AG20,Sheet2!$B$2:$B$7,0),MATCH(Q$2,Sheet2!$B$2:$O$2,0))),0,INDEX(Sheet2!$B$2:$O$7,MATCH($AG20,Sheet2!$B$2:$B$7,0),MATCH(Q$2,Sheet2!$B$2:$O$2,0)))</f>
        <v>12</v>
      </c>
      <c r="R20" s="1">
        <f>IF(ISERROR(INDEX(Sheet2!$B$2:$O$7,MATCH($AG20,Sheet2!$B$2:$B$7,0),MATCH(R$2,Sheet2!$B$2:$O$2,0))),0,INDEX(Sheet2!$B$2:$O$7,MATCH($AG20,Sheet2!$B$2:$B$7,0),MATCH(R$2,Sheet2!$B$2:$O$2,0)))</f>
        <v>0</v>
      </c>
      <c r="S20" s="1">
        <f>IF(ISERROR(INDEX(Sheet2!$B$2:$O$7,MATCH($AG20,Sheet2!$B$2:$B$7,0),MATCH(S$2,Sheet2!$B$2:$O$2,0))),0,INDEX(Sheet2!$B$2:$O$7,MATCH($AG20,Sheet2!$B$2:$B$7,0),MATCH(S$2,Sheet2!$B$2:$O$2,0)))</f>
        <v>0</v>
      </c>
      <c r="T20" s="1">
        <f>IF(ISERROR(INDEX(Sheet2!$B$2:$O$7,MATCH($AG20,Sheet2!$B$2:$B$7,0),MATCH(T$2,Sheet2!$B$2:$O$2,0))),0,INDEX(Sheet2!$B$2:$O$7,MATCH($AG20,Sheet2!$B$2:$B$7,0),MATCH(T$2,Sheet2!$B$2:$O$2,0)))</f>
        <v>0</v>
      </c>
      <c r="U20" s="1">
        <f>IF(ISERROR(INDEX(Sheet2!$B$2:$O$7,MATCH($AG20,Sheet2!$B$2:$B$7,0),MATCH(U$2,Sheet2!$B$2:$O$2,0))),0,INDEX(Sheet2!$B$2:$O$7,MATCH($AG20,Sheet2!$B$2:$B$7,0),MATCH(U$2,Sheet2!$B$2:$O$2,0)))</f>
        <v>0</v>
      </c>
      <c r="V20" s="1">
        <f>IF(ISERROR(INDEX(Sheet2!$B$2:$O$7,MATCH($AG20,Sheet2!$B$2:$B$7,0),MATCH(V$2,Sheet2!$B$2:$O$2,0))),0,INDEX(Sheet2!$B$2:$O$7,MATCH($AG20,Sheet2!$B$2:$B$7,0),MATCH(V$2,Sheet2!$B$2:$O$2,0)))</f>
        <v>10000</v>
      </c>
      <c r="W20" s="1">
        <f>IF(ISERROR(INDEX(Sheet2!$B$2:$O$7,MATCH($AG20,Sheet2!$B$2:$B$7,0),MATCH(W$2,Sheet2!$B$2:$O$2,0))),0,INDEX(Sheet2!$B$2:$O$7,MATCH($AG20,Sheet2!$B$2:$B$7,0),MATCH(W$2,Sheet2!$B$2:$O$2,0)))</f>
        <v>400</v>
      </c>
      <c r="X20" s="1">
        <f>IF(ISERROR(INDEX(Sheet2!$B$2:$O$7,MATCH($AG20,Sheet2!$B$2:$B$7,0),MATCH(X$2,Sheet2!$B$2:$O$2,0))),0,INDEX(Sheet2!$B$2:$O$7,MATCH($AG20,Sheet2!$B$2:$B$7,0),MATCH(X$2,Sheet2!$B$2:$O$2,0)))</f>
        <v>200</v>
      </c>
      <c r="Y20" s="1">
        <f>IF(ISERROR(INDEX(Sheet2!$B$2:$O$7,MATCH($AG20,Sheet2!$B$2:$B$7,0),MATCH(Y$2,Sheet2!$B$2:$O$2,0))),0,INDEX(Sheet2!$B$2:$O$7,MATCH($AG20,Sheet2!$B$2:$B$7,0),MATCH(Y$2,Sheet2!$B$2:$O$2,0)))</f>
        <v>200</v>
      </c>
      <c r="Z20" s="1">
        <f>IF(ISERROR(INDEX(Sheet2!$B$2:$O$7,MATCH($AG20,Sheet2!$B$2:$B$7,0),MATCH(Z$2,Sheet2!$B$2:$O$2,0))),0,INDEX(Sheet2!$B$2:$O$7,MATCH($AG20,Sheet2!$B$2:$B$7,0),MATCH(Z$2,Sheet2!$B$2:$O$2,0)))</f>
        <v>0</v>
      </c>
      <c r="AA20" s="1">
        <f>IF(ISERROR(INDEX(Sheet2!$B$2:$O$7,MATCH($AG20,Sheet2!$B$2:$B$7,0),MATCH(AA$2,Sheet2!$B$2:$O$2,0))),0,INDEX(Sheet2!$B$2:$O$7,MATCH($AG20,Sheet2!$B$2:$B$7,0),MATCH(AA$2,Sheet2!$B$2:$O$2,0)))</f>
        <v>0</v>
      </c>
      <c r="AB20" s="1">
        <f>IF(ISERROR(INDEX(Sheet2!$B$2:$O$7,MATCH($AG20,Sheet2!$B$2:$B$7,0),MATCH(AB$2,Sheet2!$B$2:$O$2,0))),0,INDEX(Sheet2!$B$2:$O$7,MATCH($AG20,Sheet2!$B$2:$B$7,0),MATCH(AB$2,Sheet2!$B$2:$O$2,0)))</f>
        <v>0</v>
      </c>
      <c r="AC20" s="1">
        <f>IF(ISERROR(INDEX(Sheet2!$B$2:$O$7,MATCH($AG20,Sheet2!$B$2:$B$7,0),MATCH(AC$2,Sheet2!$B$2:$O$2,0))),0,INDEX(Sheet2!$B$2:$O$7,MATCH($AG20,Sheet2!$B$2:$B$7,0),MATCH(AC$2,Sheet2!$B$2:$O$2,0)))</f>
        <v>0</v>
      </c>
      <c r="AD20" s="12" t="s">
        <v>219</v>
      </c>
      <c r="AE20" s="25">
        <v>17117</v>
      </c>
      <c r="AF20" s="21" t="s">
        <v>174</v>
      </c>
      <c r="AG20" s="13">
        <f>INDEX([1]Sheet1!$U:$U,MATCH($A20,[1]Sheet1!$BN:$BN,0),0)</f>
        <v>13</v>
      </c>
    </row>
    <row r="21" spans="1:33" s="14" customFormat="1">
      <c r="A21" s="13">
        <v>1213</v>
      </c>
      <c r="B21" s="1" t="s">
        <v>91</v>
      </c>
      <c r="C21" s="13" t="s">
        <v>65</v>
      </c>
      <c r="D21" s="1" t="str">
        <f t="shared" si="0"/>
        <v>[[90000,12130],[90001,12131],[90002,12132],[90003,12133],[90004,12134],[90005,12135],[90006,12136]]</v>
      </c>
      <c r="E21" s="45">
        <v>5</v>
      </c>
      <c r="F21" s="1">
        <f>IF(ISERROR(INDEX(Sheet2!$B$2:$O$7,MATCH($AG21,Sheet2!$B$2:$B$7,0),MATCH(F$2,Sheet2!$B$2:$O$2,0))),0,INDEX(Sheet2!$B$2:$O$7,MATCH($AG21,Sheet2!$B$2:$B$7,0),MATCH(F$2,Sheet2!$B$2:$O$2,0)))</f>
        <v>10000</v>
      </c>
      <c r="G21" s="1">
        <f>IF(ISERROR(INDEX(Sheet2!$B$2:$O$7,MATCH($AG21,Sheet2!$B$2:$B$7,0),MATCH(G$2,Sheet2!$B$2:$O$2,0))),0,INDEX(Sheet2!$B$2:$O$7,MATCH($AG21,Sheet2!$B$2:$B$7,0),MATCH(G$2,Sheet2!$B$2:$O$2,0)))</f>
        <v>400</v>
      </c>
      <c r="H21" s="1">
        <f>IF(ISERROR(INDEX(Sheet2!$B$2:$O$7,MATCH($AG21,Sheet2!$B$2:$B$7,0),MATCH(H$2,Sheet2!$B$2:$O$2,0))),0,INDEX(Sheet2!$B$2:$O$7,MATCH($AG21,Sheet2!$B$2:$B$7,0),MATCH(H$2,Sheet2!$B$2:$O$2,0)))</f>
        <v>200</v>
      </c>
      <c r="I21" s="1">
        <f>IF(ISERROR(INDEX(Sheet2!$B$2:$O$7,MATCH($AG21,Sheet2!$B$2:$B$7,0),MATCH(I$2,Sheet2!$B$2:$O$2,0))),0,INDEX(Sheet2!$B$2:$O$7,MATCH($AG21,Sheet2!$B$2:$B$7,0),MATCH(I$2,Sheet2!$B$2:$O$2,0)))</f>
        <v>200</v>
      </c>
      <c r="J21" s="1">
        <f>IF(ISERROR(INDEX(Sheet2!$B$2:$O$7,MATCH($AG21,Sheet2!$B$2:$B$7,0),MATCH(J$2,Sheet2!$B$2:$O$2,0))),0,INDEX(Sheet2!$B$2:$O$7,MATCH($AG21,Sheet2!$B$2:$B$7,0),MATCH(J$2,Sheet2!$B$2:$O$2,0)))</f>
        <v>0</v>
      </c>
      <c r="K21" s="1">
        <f>IF(ISERROR(INDEX(Sheet2!$B$2:$O$7,MATCH($AG21,Sheet2!$B$2:$B$7,0),MATCH(K$2,Sheet2!$B$2:$O$2,0))),0,INDEX(Sheet2!$B$2:$O$7,MATCH($AG21,Sheet2!$B$2:$B$7,0),MATCH(K$2,Sheet2!$B$2:$O$2,0)))</f>
        <v>0</v>
      </c>
      <c r="L21" s="1">
        <f>IF(ISERROR(INDEX(Sheet2!$B$2:$O$7,MATCH($AG21,Sheet2!$B$2:$B$7,0),MATCH(L$2,Sheet2!$B$2:$O$2,0))),0,INDEX(Sheet2!$B$2:$O$7,MATCH($AG21,Sheet2!$B$2:$B$7,0),MATCH(L$2,Sheet2!$B$2:$O$2,0)))</f>
        <v>0</v>
      </c>
      <c r="M21" s="1">
        <f>IF(ISERROR(INDEX(Sheet2!$B$2:$O$7,MATCH($AG21,Sheet2!$B$2:$B$7,0),MATCH(M$2,Sheet2!$B$2:$O$2,0))),0,INDEX(Sheet2!$B$2:$O$7,MATCH($AG21,Sheet2!$B$2:$B$7,0),MATCH(M$2,Sheet2!$B$2:$O$2,0)))</f>
        <v>0</v>
      </c>
      <c r="N21" s="1">
        <f>IF(ISERROR(INDEX(Sheet2!$B$2:$O$7,MATCH($AG21,Sheet2!$B$2:$B$7,0),MATCH(N$2,Sheet2!$B$2:$O$2,0))),0,INDEX(Sheet2!$B$2:$O$7,MATCH($AG21,Sheet2!$B$2:$B$7,0),MATCH(N$2,Sheet2!$B$2:$O$2,0)))</f>
        <v>750</v>
      </c>
      <c r="O21" s="1">
        <f>IF(ISERROR(INDEX(Sheet2!$B$2:$O$7,MATCH($AG21,Sheet2!$B$2:$B$7,0),MATCH(O$2,Sheet2!$B$2:$O$2,0))),0,INDEX(Sheet2!$B$2:$O$7,MATCH($AG21,Sheet2!$B$2:$B$7,0),MATCH(O$2,Sheet2!$B$2:$O$2,0)))</f>
        <v>30</v>
      </c>
      <c r="P21" s="1">
        <f>IF(ISERROR(INDEX(Sheet2!$B$2:$O$7,MATCH($AG21,Sheet2!$B$2:$B$7,0),MATCH(P$2,Sheet2!$B$2:$O$2,0))),0,INDEX(Sheet2!$B$2:$O$7,MATCH($AG21,Sheet2!$B$2:$B$7,0),MATCH(P$2,Sheet2!$B$2:$O$2,0)))</f>
        <v>15</v>
      </c>
      <c r="Q21" s="1">
        <f>IF(ISERROR(INDEX(Sheet2!$B$2:$O$7,MATCH($AG21,Sheet2!$B$2:$B$7,0),MATCH(Q$2,Sheet2!$B$2:$O$2,0))),0,INDEX(Sheet2!$B$2:$O$7,MATCH($AG21,Sheet2!$B$2:$B$7,0),MATCH(Q$2,Sheet2!$B$2:$O$2,0)))</f>
        <v>15</v>
      </c>
      <c r="R21" s="1">
        <f>IF(ISERROR(INDEX(Sheet2!$B$2:$O$7,MATCH($AG21,Sheet2!$B$2:$B$7,0),MATCH(R$2,Sheet2!$B$2:$O$2,0))),0,INDEX(Sheet2!$B$2:$O$7,MATCH($AG21,Sheet2!$B$2:$B$7,0),MATCH(R$2,Sheet2!$B$2:$O$2,0)))</f>
        <v>0</v>
      </c>
      <c r="S21" s="1">
        <f>IF(ISERROR(INDEX(Sheet2!$B$2:$O$7,MATCH($AG21,Sheet2!$B$2:$B$7,0),MATCH(S$2,Sheet2!$B$2:$O$2,0))),0,INDEX(Sheet2!$B$2:$O$7,MATCH($AG21,Sheet2!$B$2:$B$7,0),MATCH(S$2,Sheet2!$B$2:$O$2,0)))</f>
        <v>0</v>
      </c>
      <c r="T21" s="1">
        <f>IF(ISERROR(INDEX(Sheet2!$B$2:$O$7,MATCH($AG21,Sheet2!$B$2:$B$7,0),MATCH(T$2,Sheet2!$B$2:$O$2,0))),0,INDEX(Sheet2!$B$2:$O$7,MATCH($AG21,Sheet2!$B$2:$B$7,0),MATCH(T$2,Sheet2!$B$2:$O$2,0)))</f>
        <v>0</v>
      </c>
      <c r="U21" s="1">
        <f>IF(ISERROR(INDEX(Sheet2!$B$2:$O$7,MATCH($AG21,Sheet2!$B$2:$B$7,0),MATCH(U$2,Sheet2!$B$2:$O$2,0))),0,INDEX(Sheet2!$B$2:$O$7,MATCH($AG21,Sheet2!$B$2:$B$7,0),MATCH(U$2,Sheet2!$B$2:$O$2,0)))</f>
        <v>0</v>
      </c>
      <c r="V21" s="1">
        <f>IF(ISERROR(INDEX(Sheet2!$B$2:$O$7,MATCH($AG21,Sheet2!$B$2:$B$7,0),MATCH(V$2,Sheet2!$B$2:$O$2,0))),0,INDEX(Sheet2!$B$2:$O$7,MATCH($AG21,Sheet2!$B$2:$B$7,0),MATCH(V$2,Sheet2!$B$2:$O$2,0)))</f>
        <v>12500</v>
      </c>
      <c r="W21" s="1">
        <f>IF(ISERROR(INDEX(Sheet2!$B$2:$O$7,MATCH($AG21,Sheet2!$B$2:$B$7,0),MATCH(W$2,Sheet2!$B$2:$O$2,0))),0,INDEX(Sheet2!$B$2:$O$7,MATCH($AG21,Sheet2!$B$2:$B$7,0),MATCH(W$2,Sheet2!$B$2:$O$2,0)))</f>
        <v>500</v>
      </c>
      <c r="X21" s="1">
        <f>IF(ISERROR(INDEX(Sheet2!$B$2:$O$7,MATCH($AG21,Sheet2!$B$2:$B$7,0),MATCH(X$2,Sheet2!$B$2:$O$2,0))),0,INDEX(Sheet2!$B$2:$O$7,MATCH($AG21,Sheet2!$B$2:$B$7,0),MATCH(X$2,Sheet2!$B$2:$O$2,0)))</f>
        <v>250</v>
      </c>
      <c r="Y21" s="1">
        <f>IF(ISERROR(INDEX(Sheet2!$B$2:$O$7,MATCH($AG21,Sheet2!$B$2:$B$7,0),MATCH(Y$2,Sheet2!$B$2:$O$2,0))),0,INDEX(Sheet2!$B$2:$O$7,MATCH($AG21,Sheet2!$B$2:$B$7,0),MATCH(Y$2,Sheet2!$B$2:$O$2,0)))</f>
        <v>250</v>
      </c>
      <c r="Z21" s="1">
        <f>IF(ISERROR(INDEX(Sheet2!$B$2:$O$7,MATCH($AG21,Sheet2!$B$2:$B$7,0),MATCH(Z$2,Sheet2!$B$2:$O$2,0))),0,INDEX(Sheet2!$B$2:$O$7,MATCH($AG21,Sheet2!$B$2:$B$7,0),MATCH(Z$2,Sheet2!$B$2:$O$2,0)))</f>
        <v>0</v>
      </c>
      <c r="AA21" s="1">
        <f>IF(ISERROR(INDEX(Sheet2!$B$2:$O$7,MATCH($AG21,Sheet2!$B$2:$B$7,0),MATCH(AA$2,Sheet2!$B$2:$O$2,0))),0,INDEX(Sheet2!$B$2:$O$7,MATCH($AG21,Sheet2!$B$2:$B$7,0),MATCH(AA$2,Sheet2!$B$2:$O$2,0)))</f>
        <v>0</v>
      </c>
      <c r="AB21" s="1">
        <f>IF(ISERROR(INDEX(Sheet2!$B$2:$O$7,MATCH($AG21,Sheet2!$B$2:$B$7,0),MATCH(AB$2,Sheet2!$B$2:$O$2,0))),0,INDEX(Sheet2!$B$2:$O$7,MATCH($AG21,Sheet2!$B$2:$B$7,0),MATCH(AB$2,Sheet2!$B$2:$O$2,0)))</f>
        <v>0</v>
      </c>
      <c r="AC21" s="1">
        <f>IF(ISERROR(INDEX(Sheet2!$B$2:$O$7,MATCH($AG21,Sheet2!$B$2:$B$7,0),MATCH(AC$2,Sheet2!$B$2:$O$2,0))),0,INDEX(Sheet2!$B$2:$O$7,MATCH($AG21,Sheet2!$B$2:$B$7,0),MATCH(AC$2,Sheet2!$B$2:$O$2,0)))</f>
        <v>0</v>
      </c>
      <c r="AD21" s="12" t="s">
        <v>220</v>
      </c>
      <c r="AE21" s="25">
        <v>17118</v>
      </c>
      <c r="AF21" s="21" t="s">
        <v>209</v>
      </c>
      <c r="AG21" s="13">
        <f>INDEX([1]Sheet1!$U:$U,MATCH($A21,[1]Sheet1!$BN:$BN,0),0)</f>
        <v>16</v>
      </c>
    </row>
    <row r="22" spans="1:33" s="14" customFormat="1">
      <c r="A22" s="13">
        <v>1214</v>
      </c>
      <c r="B22" s="1" t="s">
        <v>92</v>
      </c>
      <c r="C22" s="13" t="s">
        <v>66</v>
      </c>
      <c r="D22" s="1" t="str">
        <f t="shared" si="0"/>
        <v>[[90000,12140],[90001,12141],[90002,12142],[90003,12143],[90004,12144],[90005,12145],[90006,12146]]</v>
      </c>
      <c r="E22" s="45">
        <v>5</v>
      </c>
      <c r="F22" s="1">
        <f>IF(ISERROR(INDEX(Sheet2!$B$2:$O$7,MATCH($AG22,Sheet2!$B$2:$B$7,0),MATCH(F$2,Sheet2!$B$2:$O$2,0))),0,INDEX(Sheet2!$B$2:$O$7,MATCH($AG22,Sheet2!$B$2:$B$7,0),MATCH(F$2,Sheet2!$B$2:$O$2,0)))</f>
        <v>10000</v>
      </c>
      <c r="G22" s="1">
        <f>IF(ISERROR(INDEX(Sheet2!$B$2:$O$7,MATCH($AG22,Sheet2!$B$2:$B$7,0),MATCH(G$2,Sheet2!$B$2:$O$2,0))),0,INDEX(Sheet2!$B$2:$O$7,MATCH($AG22,Sheet2!$B$2:$B$7,0),MATCH(G$2,Sheet2!$B$2:$O$2,0)))</f>
        <v>400</v>
      </c>
      <c r="H22" s="1">
        <f>IF(ISERROR(INDEX(Sheet2!$B$2:$O$7,MATCH($AG22,Sheet2!$B$2:$B$7,0),MATCH(H$2,Sheet2!$B$2:$O$2,0))),0,INDEX(Sheet2!$B$2:$O$7,MATCH($AG22,Sheet2!$B$2:$B$7,0),MATCH(H$2,Sheet2!$B$2:$O$2,0)))</f>
        <v>200</v>
      </c>
      <c r="I22" s="1">
        <f>IF(ISERROR(INDEX(Sheet2!$B$2:$O$7,MATCH($AG22,Sheet2!$B$2:$B$7,0),MATCH(I$2,Sheet2!$B$2:$O$2,0))),0,INDEX(Sheet2!$B$2:$O$7,MATCH($AG22,Sheet2!$B$2:$B$7,0),MATCH(I$2,Sheet2!$B$2:$O$2,0)))</f>
        <v>200</v>
      </c>
      <c r="J22" s="1">
        <f>IF(ISERROR(INDEX(Sheet2!$B$2:$O$7,MATCH($AG22,Sheet2!$B$2:$B$7,0),MATCH(J$2,Sheet2!$B$2:$O$2,0))),0,INDEX(Sheet2!$B$2:$O$7,MATCH($AG22,Sheet2!$B$2:$B$7,0),MATCH(J$2,Sheet2!$B$2:$O$2,0)))</f>
        <v>0</v>
      </c>
      <c r="K22" s="1">
        <f>IF(ISERROR(INDEX(Sheet2!$B$2:$O$7,MATCH($AG22,Sheet2!$B$2:$B$7,0),MATCH(K$2,Sheet2!$B$2:$O$2,0))),0,INDEX(Sheet2!$B$2:$O$7,MATCH($AG22,Sheet2!$B$2:$B$7,0),MATCH(K$2,Sheet2!$B$2:$O$2,0)))</f>
        <v>0</v>
      </c>
      <c r="L22" s="1">
        <f>IF(ISERROR(INDEX(Sheet2!$B$2:$O$7,MATCH($AG22,Sheet2!$B$2:$B$7,0),MATCH(L$2,Sheet2!$B$2:$O$2,0))),0,INDEX(Sheet2!$B$2:$O$7,MATCH($AG22,Sheet2!$B$2:$B$7,0),MATCH(L$2,Sheet2!$B$2:$O$2,0)))</f>
        <v>0</v>
      </c>
      <c r="M22" s="1">
        <f>IF(ISERROR(INDEX(Sheet2!$B$2:$O$7,MATCH($AG22,Sheet2!$B$2:$B$7,0),MATCH(M$2,Sheet2!$B$2:$O$2,0))),0,INDEX(Sheet2!$B$2:$O$7,MATCH($AG22,Sheet2!$B$2:$B$7,0),MATCH(M$2,Sheet2!$B$2:$O$2,0)))</f>
        <v>0</v>
      </c>
      <c r="N22" s="1">
        <f>IF(ISERROR(INDEX(Sheet2!$B$2:$O$7,MATCH($AG22,Sheet2!$B$2:$B$7,0),MATCH(N$2,Sheet2!$B$2:$O$2,0))),0,INDEX(Sheet2!$B$2:$O$7,MATCH($AG22,Sheet2!$B$2:$B$7,0),MATCH(N$2,Sheet2!$B$2:$O$2,0)))</f>
        <v>750</v>
      </c>
      <c r="O22" s="1">
        <f>IF(ISERROR(INDEX(Sheet2!$B$2:$O$7,MATCH($AG22,Sheet2!$B$2:$B$7,0),MATCH(O$2,Sheet2!$B$2:$O$2,0))),0,INDEX(Sheet2!$B$2:$O$7,MATCH($AG22,Sheet2!$B$2:$B$7,0),MATCH(O$2,Sheet2!$B$2:$O$2,0)))</f>
        <v>30</v>
      </c>
      <c r="P22" s="1">
        <f>IF(ISERROR(INDEX(Sheet2!$B$2:$O$7,MATCH($AG22,Sheet2!$B$2:$B$7,0),MATCH(P$2,Sheet2!$B$2:$O$2,0))),0,INDEX(Sheet2!$B$2:$O$7,MATCH($AG22,Sheet2!$B$2:$B$7,0),MATCH(P$2,Sheet2!$B$2:$O$2,0)))</f>
        <v>15</v>
      </c>
      <c r="Q22" s="1">
        <f>IF(ISERROR(INDEX(Sheet2!$B$2:$O$7,MATCH($AG22,Sheet2!$B$2:$B$7,0),MATCH(Q$2,Sheet2!$B$2:$O$2,0))),0,INDEX(Sheet2!$B$2:$O$7,MATCH($AG22,Sheet2!$B$2:$B$7,0),MATCH(Q$2,Sheet2!$B$2:$O$2,0)))</f>
        <v>15</v>
      </c>
      <c r="R22" s="1">
        <f>IF(ISERROR(INDEX(Sheet2!$B$2:$O$7,MATCH($AG22,Sheet2!$B$2:$B$7,0),MATCH(R$2,Sheet2!$B$2:$O$2,0))),0,INDEX(Sheet2!$B$2:$O$7,MATCH($AG22,Sheet2!$B$2:$B$7,0),MATCH(R$2,Sheet2!$B$2:$O$2,0)))</f>
        <v>0</v>
      </c>
      <c r="S22" s="1">
        <f>IF(ISERROR(INDEX(Sheet2!$B$2:$O$7,MATCH($AG22,Sheet2!$B$2:$B$7,0),MATCH(S$2,Sheet2!$B$2:$O$2,0))),0,INDEX(Sheet2!$B$2:$O$7,MATCH($AG22,Sheet2!$B$2:$B$7,0),MATCH(S$2,Sheet2!$B$2:$O$2,0)))</f>
        <v>0</v>
      </c>
      <c r="T22" s="1">
        <f>IF(ISERROR(INDEX(Sheet2!$B$2:$O$7,MATCH($AG22,Sheet2!$B$2:$B$7,0),MATCH(T$2,Sheet2!$B$2:$O$2,0))),0,INDEX(Sheet2!$B$2:$O$7,MATCH($AG22,Sheet2!$B$2:$B$7,0),MATCH(T$2,Sheet2!$B$2:$O$2,0)))</f>
        <v>0</v>
      </c>
      <c r="U22" s="1">
        <f>IF(ISERROR(INDEX(Sheet2!$B$2:$O$7,MATCH($AG22,Sheet2!$B$2:$B$7,0),MATCH(U$2,Sheet2!$B$2:$O$2,0))),0,INDEX(Sheet2!$B$2:$O$7,MATCH($AG22,Sheet2!$B$2:$B$7,0),MATCH(U$2,Sheet2!$B$2:$O$2,0)))</f>
        <v>0</v>
      </c>
      <c r="V22" s="1">
        <f>IF(ISERROR(INDEX(Sheet2!$B$2:$O$7,MATCH($AG22,Sheet2!$B$2:$B$7,0),MATCH(V$2,Sheet2!$B$2:$O$2,0))),0,INDEX(Sheet2!$B$2:$O$7,MATCH($AG22,Sheet2!$B$2:$B$7,0),MATCH(V$2,Sheet2!$B$2:$O$2,0)))</f>
        <v>12500</v>
      </c>
      <c r="W22" s="1">
        <f>IF(ISERROR(INDEX(Sheet2!$B$2:$O$7,MATCH($AG22,Sheet2!$B$2:$B$7,0),MATCH(W$2,Sheet2!$B$2:$O$2,0))),0,INDEX(Sheet2!$B$2:$O$7,MATCH($AG22,Sheet2!$B$2:$B$7,0),MATCH(W$2,Sheet2!$B$2:$O$2,0)))</f>
        <v>500</v>
      </c>
      <c r="X22" s="1">
        <f>IF(ISERROR(INDEX(Sheet2!$B$2:$O$7,MATCH($AG22,Sheet2!$B$2:$B$7,0),MATCH(X$2,Sheet2!$B$2:$O$2,0))),0,INDEX(Sheet2!$B$2:$O$7,MATCH($AG22,Sheet2!$B$2:$B$7,0),MATCH(X$2,Sheet2!$B$2:$O$2,0)))</f>
        <v>250</v>
      </c>
      <c r="Y22" s="1">
        <f>IF(ISERROR(INDEX(Sheet2!$B$2:$O$7,MATCH($AG22,Sheet2!$B$2:$B$7,0),MATCH(Y$2,Sheet2!$B$2:$O$2,0))),0,INDEX(Sheet2!$B$2:$O$7,MATCH($AG22,Sheet2!$B$2:$B$7,0),MATCH(Y$2,Sheet2!$B$2:$O$2,0)))</f>
        <v>250</v>
      </c>
      <c r="Z22" s="1">
        <f>IF(ISERROR(INDEX(Sheet2!$B$2:$O$7,MATCH($AG22,Sheet2!$B$2:$B$7,0),MATCH(Z$2,Sheet2!$B$2:$O$2,0))),0,INDEX(Sheet2!$B$2:$O$7,MATCH($AG22,Sheet2!$B$2:$B$7,0),MATCH(Z$2,Sheet2!$B$2:$O$2,0)))</f>
        <v>0</v>
      </c>
      <c r="AA22" s="1">
        <f>IF(ISERROR(INDEX(Sheet2!$B$2:$O$7,MATCH($AG22,Sheet2!$B$2:$B$7,0),MATCH(AA$2,Sheet2!$B$2:$O$2,0))),0,INDEX(Sheet2!$B$2:$O$7,MATCH($AG22,Sheet2!$B$2:$B$7,0),MATCH(AA$2,Sheet2!$B$2:$O$2,0)))</f>
        <v>0</v>
      </c>
      <c r="AB22" s="1">
        <f>IF(ISERROR(INDEX(Sheet2!$B$2:$O$7,MATCH($AG22,Sheet2!$B$2:$B$7,0),MATCH(AB$2,Sheet2!$B$2:$O$2,0))),0,INDEX(Sheet2!$B$2:$O$7,MATCH($AG22,Sheet2!$B$2:$B$7,0),MATCH(AB$2,Sheet2!$B$2:$O$2,0)))</f>
        <v>0</v>
      </c>
      <c r="AC22" s="1">
        <f>IF(ISERROR(INDEX(Sheet2!$B$2:$O$7,MATCH($AG22,Sheet2!$B$2:$B$7,0),MATCH(AC$2,Sheet2!$B$2:$O$2,0))),0,INDEX(Sheet2!$B$2:$O$7,MATCH($AG22,Sheet2!$B$2:$B$7,0),MATCH(AC$2,Sheet2!$B$2:$O$2,0)))</f>
        <v>0</v>
      </c>
      <c r="AD22" s="12" t="s">
        <v>220</v>
      </c>
      <c r="AE22" s="25">
        <v>17119</v>
      </c>
      <c r="AF22" s="21" t="s">
        <v>210</v>
      </c>
      <c r="AG22" s="13">
        <f>INDEX([1]Sheet1!$U:$U,MATCH($A22,[1]Sheet1!$BN:$BN,0),0)</f>
        <v>16</v>
      </c>
    </row>
    <row r="23" spans="1:33" s="14" customFormat="1">
      <c r="A23" s="13">
        <v>1103</v>
      </c>
      <c r="B23" s="1" t="s">
        <v>93</v>
      </c>
      <c r="C23" s="13" t="s">
        <v>130</v>
      </c>
      <c r="D23" s="1" t="str">
        <f t="shared" si="0"/>
        <v>[[90000,11030],[90001,11031],[90002,11032],[90003,11033],[90004,11034],[90005,11035],[90006,11036]]</v>
      </c>
      <c r="E23" s="45">
        <v>5</v>
      </c>
      <c r="F23" s="1">
        <f>IF(ISERROR(INDEX(Sheet2!$B$2:$O$7,MATCH($AG23,Sheet2!$B$2:$B$7,0),MATCH(F$2,Sheet2!$B$2:$O$2,0))),0,INDEX(Sheet2!$B$2:$O$7,MATCH($AG23,Sheet2!$B$2:$B$7,0),MATCH(F$2,Sheet2!$B$2:$O$2,0)))</f>
        <v>10000</v>
      </c>
      <c r="G23" s="1">
        <f>IF(ISERROR(INDEX(Sheet2!$B$2:$O$7,MATCH($AG23,Sheet2!$B$2:$B$7,0),MATCH(G$2,Sheet2!$B$2:$O$2,0))),0,INDEX(Sheet2!$B$2:$O$7,MATCH($AG23,Sheet2!$B$2:$B$7,0),MATCH(G$2,Sheet2!$B$2:$O$2,0)))</f>
        <v>400</v>
      </c>
      <c r="H23" s="1">
        <f>IF(ISERROR(INDEX(Sheet2!$B$2:$O$7,MATCH($AG23,Sheet2!$B$2:$B$7,0),MATCH(H$2,Sheet2!$B$2:$O$2,0))),0,INDEX(Sheet2!$B$2:$O$7,MATCH($AG23,Sheet2!$B$2:$B$7,0),MATCH(H$2,Sheet2!$B$2:$O$2,0)))</f>
        <v>200</v>
      </c>
      <c r="I23" s="1">
        <f>IF(ISERROR(INDEX(Sheet2!$B$2:$O$7,MATCH($AG23,Sheet2!$B$2:$B$7,0),MATCH(I$2,Sheet2!$B$2:$O$2,0))),0,INDEX(Sheet2!$B$2:$O$7,MATCH($AG23,Sheet2!$B$2:$B$7,0),MATCH(I$2,Sheet2!$B$2:$O$2,0)))</f>
        <v>200</v>
      </c>
      <c r="J23" s="1">
        <f>IF(ISERROR(INDEX(Sheet2!$B$2:$O$7,MATCH($AG23,Sheet2!$B$2:$B$7,0),MATCH(J$2,Sheet2!$B$2:$O$2,0))),0,INDEX(Sheet2!$B$2:$O$7,MATCH($AG23,Sheet2!$B$2:$B$7,0),MATCH(J$2,Sheet2!$B$2:$O$2,0)))</f>
        <v>0</v>
      </c>
      <c r="K23" s="1">
        <f>IF(ISERROR(INDEX(Sheet2!$B$2:$O$7,MATCH($AG23,Sheet2!$B$2:$B$7,0),MATCH(K$2,Sheet2!$B$2:$O$2,0))),0,INDEX(Sheet2!$B$2:$O$7,MATCH($AG23,Sheet2!$B$2:$B$7,0),MATCH(K$2,Sheet2!$B$2:$O$2,0)))</f>
        <v>0</v>
      </c>
      <c r="L23" s="1">
        <f>IF(ISERROR(INDEX(Sheet2!$B$2:$O$7,MATCH($AG23,Sheet2!$B$2:$B$7,0),MATCH(L$2,Sheet2!$B$2:$O$2,0))),0,INDEX(Sheet2!$B$2:$O$7,MATCH($AG23,Sheet2!$B$2:$B$7,0),MATCH(L$2,Sheet2!$B$2:$O$2,0)))</f>
        <v>0</v>
      </c>
      <c r="M23" s="1">
        <f>IF(ISERROR(INDEX(Sheet2!$B$2:$O$7,MATCH($AG23,Sheet2!$B$2:$B$7,0),MATCH(M$2,Sheet2!$B$2:$O$2,0))),0,INDEX(Sheet2!$B$2:$O$7,MATCH($AG23,Sheet2!$B$2:$B$7,0),MATCH(M$2,Sheet2!$B$2:$O$2,0)))</f>
        <v>0</v>
      </c>
      <c r="N23" s="1">
        <f>IF(ISERROR(INDEX(Sheet2!$B$2:$O$7,MATCH($AG23,Sheet2!$B$2:$B$7,0),MATCH(N$2,Sheet2!$B$2:$O$2,0))),0,INDEX(Sheet2!$B$2:$O$7,MATCH($AG23,Sheet2!$B$2:$B$7,0),MATCH(N$2,Sheet2!$B$2:$O$2,0)))</f>
        <v>750</v>
      </c>
      <c r="O23" s="1">
        <f>IF(ISERROR(INDEX(Sheet2!$B$2:$O$7,MATCH($AG23,Sheet2!$B$2:$B$7,0),MATCH(O$2,Sheet2!$B$2:$O$2,0))),0,INDEX(Sheet2!$B$2:$O$7,MATCH($AG23,Sheet2!$B$2:$B$7,0),MATCH(O$2,Sheet2!$B$2:$O$2,0)))</f>
        <v>30</v>
      </c>
      <c r="P23" s="1">
        <f>IF(ISERROR(INDEX(Sheet2!$B$2:$O$7,MATCH($AG23,Sheet2!$B$2:$B$7,0),MATCH(P$2,Sheet2!$B$2:$O$2,0))),0,INDEX(Sheet2!$B$2:$O$7,MATCH($AG23,Sheet2!$B$2:$B$7,0),MATCH(P$2,Sheet2!$B$2:$O$2,0)))</f>
        <v>15</v>
      </c>
      <c r="Q23" s="1">
        <f>IF(ISERROR(INDEX(Sheet2!$B$2:$O$7,MATCH($AG23,Sheet2!$B$2:$B$7,0),MATCH(Q$2,Sheet2!$B$2:$O$2,0))),0,INDEX(Sheet2!$B$2:$O$7,MATCH($AG23,Sheet2!$B$2:$B$7,0),MATCH(Q$2,Sheet2!$B$2:$O$2,0)))</f>
        <v>15</v>
      </c>
      <c r="R23" s="1">
        <f>IF(ISERROR(INDEX(Sheet2!$B$2:$O$7,MATCH($AG23,Sheet2!$B$2:$B$7,0),MATCH(R$2,Sheet2!$B$2:$O$2,0))),0,INDEX(Sheet2!$B$2:$O$7,MATCH($AG23,Sheet2!$B$2:$B$7,0),MATCH(R$2,Sheet2!$B$2:$O$2,0)))</f>
        <v>0</v>
      </c>
      <c r="S23" s="1">
        <f>IF(ISERROR(INDEX(Sheet2!$B$2:$O$7,MATCH($AG23,Sheet2!$B$2:$B$7,0),MATCH(S$2,Sheet2!$B$2:$O$2,0))),0,INDEX(Sheet2!$B$2:$O$7,MATCH($AG23,Sheet2!$B$2:$B$7,0),MATCH(S$2,Sheet2!$B$2:$O$2,0)))</f>
        <v>0</v>
      </c>
      <c r="T23" s="1">
        <f>IF(ISERROR(INDEX(Sheet2!$B$2:$O$7,MATCH($AG23,Sheet2!$B$2:$B$7,0),MATCH(T$2,Sheet2!$B$2:$O$2,0))),0,INDEX(Sheet2!$B$2:$O$7,MATCH($AG23,Sheet2!$B$2:$B$7,0),MATCH(T$2,Sheet2!$B$2:$O$2,0)))</f>
        <v>0</v>
      </c>
      <c r="U23" s="1">
        <f>IF(ISERROR(INDEX(Sheet2!$B$2:$O$7,MATCH($AG23,Sheet2!$B$2:$B$7,0),MATCH(U$2,Sheet2!$B$2:$O$2,0))),0,INDEX(Sheet2!$B$2:$O$7,MATCH($AG23,Sheet2!$B$2:$B$7,0),MATCH(U$2,Sheet2!$B$2:$O$2,0)))</f>
        <v>0</v>
      </c>
      <c r="V23" s="1">
        <f>IF(ISERROR(INDEX(Sheet2!$B$2:$O$7,MATCH($AG23,Sheet2!$B$2:$B$7,0),MATCH(V$2,Sheet2!$B$2:$O$2,0))),0,INDEX(Sheet2!$B$2:$O$7,MATCH($AG23,Sheet2!$B$2:$B$7,0),MATCH(V$2,Sheet2!$B$2:$O$2,0)))</f>
        <v>12500</v>
      </c>
      <c r="W23" s="1">
        <f>IF(ISERROR(INDEX(Sheet2!$B$2:$O$7,MATCH($AG23,Sheet2!$B$2:$B$7,0),MATCH(W$2,Sheet2!$B$2:$O$2,0))),0,INDEX(Sheet2!$B$2:$O$7,MATCH($AG23,Sheet2!$B$2:$B$7,0),MATCH(W$2,Sheet2!$B$2:$O$2,0)))</f>
        <v>500</v>
      </c>
      <c r="X23" s="1">
        <f>IF(ISERROR(INDEX(Sheet2!$B$2:$O$7,MATCH($AG23,Sheet2!$B$2:$B$7,0),MATCH(X$2,Sheet2!$B$2:$O$2,0))),0,INDEX(Sheet2!$B$2:$O$7,MATCH($AG23,Sheet2!$B$2:$B$7,0),MATCH(X$2,Sheet2!$B$2:$O$2,0)))</f>
        <v>250</v>
      </c>
      <c r="Y23" s="1">
        <f>IF(ISERROR(INDEX(Sheet2!$B$2:$O$7,MATCH($AG23,Sheet2!$B$2:$B$7,0),MATCH(Y$2,Sheet2!$B$2:$O$2,0))),0,INDEX(Sheet2!$B$2:$O$7,MATCH($AG23,Sheet2!$B$2:$B$7,0),MATCH(Y$2,Sheet2!$B$2:$O$2,0)))</f>
        <v>250</v>
      </c>
      <c r="Z23" s="1">
        <f>IF(ISERROR(INDEX(Sheet2!$B$2:$O$7,MATCH($AG23,Sheet2!$B$2:$B$7,0),MATCH(Z$2,Sheet2!$B$2:$O$2,0))),0,INDEX(Sheet2!$B$2:$O$7,MATCH($AG23,Sheet2!$B$2:$B$7,0),MATCH(Z$2,Sheet2!$B$2:$O$2,0)))</f>
        <v>0</v>
      </c>
      <c r="AA23" s="1">
        <f>IF(ISERROR(INDEX(Sheet2!$B$2:$O$7,MATCH($AG23,Sheet2!$B$2:$B$7,0),MATCH(AA$2,Sheet2!$B$2:$O$2,0))),0,INDEX(Sheet2!$B$2:$O$7,MATCH($AG23,Sheet2!$B$2:$B$7,0),MATCH(AA$2,Sheet2!$B$2:$O$2,0)))</f>
        <v>0</v>
      </c>
      <c r="AB23" s="1">
        <f>IF(ISERROR(INDEX(Sheet2!$B$2:$O$7,MATCH($AG23,Sheet2!$B$2:$B$7,0),MATCH(AB$2,Sheet2!$B$2:$O$2,0))),0,INDEX(Sheet2!$B$2:$O$7,MATCH($AG23,Sheet2!$B$2:$B$7,0),MATCH(AB$2,Sheet2!$B$2:$O$2,0)))</f>
        <v>0</v>
      </c>
      <c r="AC23" s="1">
        <f>IF(ISERROR(INDEX(Sheet2!$B$2:$O$7,MATCH($AG23,Sheet2!$B$2:$B$7,0),MATCH(AC$2,Sheet2!$B$2:$O$2,0))),0,INDEX(Sheet2!$B$2:$O$7,MATCH($AG23,Sheet2!$B$2:$B$7,0),MATCH(AC$2,Sheet2!$B$2:$O$2,0)))</f>
        <v>0</v>
      </c>
      <c r="AD23" s="12" t="s">
        <v>220</v>
      </c>
      <c r="AE23" s="25">
        <v>17120</v>
      </c>
      <c r="AF23" s="21" t="s">
        <v>211</v>
      </c>
      <c r="AG23" s="13">
        <f>INDEX([1]Sheet1!$U:$U,MATCH($A23,[1]Sheet1!$BN:$BN,0),0)</f>
        <v>16</v>
      </c>
    </row>
    <row r="24" spans="1:33">
      <c r="A24" s="1">
        <v>1109</v>
      </c>
      <c r="B24" s="1" t="s">
        <v>94</v>
      </c>
      <c r="C24" s="13" t="s">
        <v>131</v>
      </c>
      <c r="D24" s="1" t="str">
        <f t="shared" si="0"/>
        <v>[[90000,11090],[90001,11091],[90002,11092],[90003,11093],[90004,11094],[90005,11095],[90006,11096]]</v>
      </c>
      <c r="E24" s="45">
        <v>4</v>
      </c>
      <c r="F24" s="1">
        <f>IF(ISERROR(INDEX(Sheet2!$B$2:$O$7,MATCH($AG24,Sheet2!$B$2:$B$7,0),MATCH(F$2,Sheet2!$B$2:$O$2,0))),0,INDEX(Sheet2!$B$2:$O$7,MATCH($AG24,Sheet2!$B$2:$B$7,0),MATCH(F$2,Sheet2!$B$2:$O$2,0)))</f>
        <v>5000</v>
      </c>
      <c r="G24" s="1">
        <f>IF(ISERROR(INDEX(Sheet2!$B$2:$O$7,MATCH($AG24,Sheet2!$B$2:$B$7,0),MATCH(G$2,Sheet2!$B$2:$O$2,0))),0,INDEX(Sheet2!$B$2:$O$7,MATCH($AG24,Sheet2!$B$2:$B$7,0),MATCH(G$2,Sheet2!$B$2:$O$2,0)))</f>
        <v>200</v>
      </c>
      <c r="H24" s="1">
        <f>IF(ISERROR(INDEX(Sheet2!$B$2:$O$7,MATCH($AG24,Sheet2!$B$2:$B$7,0),MATCH(H$2,Sheet2!$B$2:$O$2,0))),0,INDEX(Sheet2!$B$2:$O$7,MATCH($AG24,Sheet2!$B$2:$B$7,0),MATCH(H$2,Sheet2!$B$2:$O$2,0)))</f>
        <v>100</v>
      </c>
      <c r="I24" s="1">
        <f>IF(ISERROR(INDEX(Sheet2!$B$2:$O$7,MATCH($AG24,Sheet2!$B$2:$B$7,0),MATCH(I$2,Sheet2!$B$2:$O$2,0))),0,INDEX(Sheet2!$B$2:$O$7,MATCH($AG24,Sheet2!$B$2:$B$7,0),MATCH(I$2,Sheet2!$B$2:$O$2,0)))</f>
        <v>100</v>
      </c>
      <c r="J24" s="1">
        <f>IF(ISERROR(INDEX(Sheet2!$B$2:$O$7,MATCH($AG24,Sheet2!$B$2:$B$7,0),MATCH(J$2,Sheet2!$B$2:$O$2,0))),0,INDEX(Sheet2!$B$2:$O$7,MATCH($AG24,Sheet2!$B$2:$B$7,0),MATCH(J$2,Sheet2!$B$2:$O$2,0)))</f>
        <v>0</v>
      </c>
      <c r="K24" s="1">
        <f>IF(ISERROR(INDEX(Sheet2!$B$2:$O$7,MATCH($AG24,Sheet2!$B$2:$B$7,0),MATCH(K$2,Sheet2!$B$2:$O$2,0))),0,INDEX(Sheet2!$B$2:$O$7,MATCH($AG24,Sheet2!$B$2:$B$7,0),MATCH(K$2,Sheet2!$B$2:$O$2,0)))</f>
        <v>0</v>
      </c>
      <c r="L24" s="1">
        <f>IF(ISERROR(INDEX(Sheet2!$B$2:$O$7,MATCH($AG24,Sheet2!$B$2:$B$7,0),MATCH(L$2,Sheet2!$B$2:$O$2,0))),0,INDEX(Sheet2!$B$2:$O$7,MATCH($AG24,Sheet2!$B$2:$B$7,0),MATCH(L$2,Sheet2!$B$2:$O$2,0)))</f>
        <v>0</v>
      </c>
      <c r="M24" s="1">
        <f>IF(ISERROR(INDEX(Sheet2!$B$2:$O$7,MATCH($AG24,Sheet2!$B$2:$B$7,0),MATCH(M$2,Sheet2!$B$2:$O$2,0))),0,INDEX(Sheet2!$B$2:$O$7,MATCH($AG24,Sheet2!$B$2:$B$7,0),MATCH(M$2,Sheet2!$B$2:$O$2,0)))</f>
        <v>0</v>
      </c>
      <c r="N24" s="1">
        <f>IF(ISERROR(INDEX(Sheet2!$B$2:$O$7,MATCH($AG24,Sheet2!$B$2:$B$7,0),MATCH(N$2,Sheet2!$B$2:$O$2,0))),0,INDEX(Sheet2!$B$2:$O$7,MATCH($AG24,Sheet2!$B$2:$B$7,0),MATCH(N$2,Sheet2!$B$2:$O$2,0)))</f>
        <v>600</v>
      </c>
      <c r="O24" s="1">
        <f>IF(ISERROR(INDEX(Sheet2!$B$2:$O$7,MATCH($AG24,Sheet2!$B$2:$B$7,0),MATCH(O$2,Sheet2!$B$2:$O$2,0))),0,INDEX(Sheet2!$B$2:$O$7,MATCH($AG24,Sheet2!$B$2:$B$7,0),MATCH(O$2,Sheet2!$B$2:$O$2,0)))</f>
        <v>24</v>
      </c>
      <c r="P24" s="1">
        <f>IF(ISERROR(INDEX(Sheet2!$B$2:$O$7,MATCH($AG24,Sheet2!$B$2:$B$7,0),MATCH(P$2,Sheet2!$B$2:$O$2,0))),0,INDEX(Sheet2!$B$2:$O$7,MATCH($AG24,Sheet2!$B$2:$B$7,0),MATCH(P$2,Sheet2!$B$2:$O$2,0)))</f>
        <v>12</v>
      </c>
      <c r="Q24" s="1">
        <f>IF(ISERROR(INDEX(Sheet2!$B$2:$O$7,MATCH($AG24,Sheet2!$B$2:$B$7,0),MATCH(Q$2,Sheet2!$B$2:$O$2,0))),0,INDEX(Sheet2!$B$2:$O$7,MATCH($AG24,Sheet2!$B$2:$B$7,0),MATCH(Q$2,Sheet2!$B$2:$O$2,0)))</f>
        <v>12</v>
      </c>
      <c r="R24" s="1">
        <f>IF(ISERROR(INDEX(Sheet2!$B$2:$O$7,MATCH($AG24,Sheet2!$B$2:$B$7,0),MATCH(R$2,Sheet2!$B$2:$O$2,0))),0,INDEX(Sheet2!$B$2:$O$7,MATCH($AG24,Sheet2!$B$2:$B$7,0),MATCH(R$2,Sheet2!$B$2:$O$2,0)))</f>
        <v>0</v>
      </c>
      <c r="S24" s="1">
        <f>IF(ISERROR(INDEX(Sheet2!$B$2:$O$7,MATCH($AG24,Sheet2!$B$2:$B$7,0),MATCH(S$2,Sheet2!$B$2:$O$2,0))),0,INDEX(Sheet2!$B$2:$O$7,MATCH($AG24,Sheet2!$B$2:$B$7,0),MATCH(S$2,Sheet2!$B$2:$O$2,0)))</f>
        <v>0</v>
      </c>
      <c r="T24" s="1">
        <f>IF(ISERROR(INDEX(Sheet2!$B$2:$O$7,MATCH($AG24,Sheet2!$B$2:$B$7,0),MATCH(T$2,Sheet2!$B$2:$O$2,0))),0,INDEX(Sheet2!$B$2:$O$7,MATCH($AG24,Sheet2!$B$2:$B$7,0),MATCH(T$2,Sheet2!$B$2:$O$2,0)))</f>
        <v>0</v>
      </c>
      <c r="U24" s="1">
        <f>IF(ISERROR(INDEX(Sheet2!$B$2:$O$7,MATCH($AG24,Sheet2!$B$2:$B$7,0),MATCH(U$2,Sheet2!$B$2:$O$2,0))),0,INDEX(Sheet2!$B$2:$O$7,MATCH($AG24,Sheet2!$B$2:$B$7,0),MATCH(U$2,Sheet2!$B$2:$O$2,0)))</f>
        <v>0</v>
      </c>
      <c r="V24" s="1">
        <f>IF(ISERROR(INDEX(Sheet2!$B$2:$O$7,MATCH($AG24,Sheet2!$B$2:$B$7,0),MATCH(V$2,Sheet2!$B$2:$O$2,0))),0,INDEX(Sheet2!$B$2:$O$7,MATCH($AG24,Sheet2!$B$2:$B$7,0),MATCH(V$2,Sheet2!$B$2:$O$2,0)))</f>
        <v>10000</v>
      </c>
      <c r="W24" s="1">
        <f>IF(ISERROR(INDEX(Sheet2!$B$2:$O$7,MATCH($AG24,Sheet2!$B$2:$B$7,0),MATCH(W$2,Sheet2!$B$2:$O$2,0))),0,INDEX(Sheet2!$B$2:$O$7,MATCH($AG24,Sheet2!$B$2:$B$7,0),MATCH(W$2,Sheet2!$B$2:$O$2,0)))</f>
        <v>400</v>
      </c>
      <c r="X24" s="1">
        <f>IF(ISERROR(INDEX(Sheet2!$B$2:$O$7,MATCH($AG24,Sheet2!$B$2:$B$7,0),MATCH(X$2,Sheet2!$B$2:$O$2,0))),0,INDEX(Sheet2!$B$2:$O$7,MATCH($AG24,Sheet2!$B$2:$B$7,0),MATCH(X$2,Sheet2!$B$2:$O$2,0)))</f>
        <v>200</v>
      </c>
      <c r="Y24" s="1">
        <f>IF(ISERROR(INDEX(Sheet2!$B$2:$O$7,MATCH($AG24,Sheet2!$B$2:$B$7,0),MATCH(Y$2,Sheet2!$B$2:$O$2,0))),0,INDEX(Sheet2!$B$2:$O$7,MATCH($AG24,Sheet2!$B$2:$B$7,0),MATCH(Y$2,Sheet2!$B$2:$O$2,0)))</f>
        <v>200</v>
      </c>
      <c r="Z24" s="1">
        <f>IF(ISERROR(INDEX(Sheet2!$B$2:$O$7,MATCH($AG24,Sheet2!$B$2:$B$7,0),MATCH(Z$2,Sheet2!$B$2:$O$2,0))),0,INDEX(Sheet2!$B$2:$O$7,MATCH($AG24,Sheet2!$B$2:$B$7,0),MATCH(Z$2,Sheet2!$B$2:$O$2,0)))</f>
        <v>0</v>
      </c>
      <c r="AA24" s="1">
        <f>IF(ISERROR(INDEX(Sheet2!$B$2:$O$7,MATCH($AG24,Sheet2!$B$2:$B$7,0),MATCH(AA$2,Sheet2!$B$2:$O$2,0))),0,INDEX(Sheet2!$B$2:$O$7,MATCH($AG24,Sheet2!$B$2:$B$7,0),MATCH(AA$2,Sheet2!$B$2:$O$2,0)))</f>
        <v>0</v>
      </c>
      <c r="AB24" s="1">
        <f>IF(ISERROR(INDEX(Sheet2!$B$2:$O$7,MATCH($AG24,Sheet2!$B$2:$B$7,0),MATCH(AB$2,Sheet2!$B$2:$O$2,0))),0,INDEX(Sheet2!$B$2:$O$7,MATCH($AG24,Sheet2!$B$2:$B$7,0),MATCH(AB$2,Sheet2!$B$2:$O$2,0)))</f>
        <v>0</v>
      </c>
      <c r="AC24" s="1">
        <f>IF(ISERROR(INDEX(Sheet2!$B$2:$O$7,MATCH($AG24,Sheet2!$B$2:$B$7,0),MATCH(AC$2,Sheet2!$B$2:$O$2,0))),0,INDEX(Sheet2!$B$2:$O$7,MATCH($AG24,Sheet2!$B$2:$B$7,0),MATCH(AC$2,Sheet2!$B$2:$O$2,0)))</f>
        <v>0</v>
      </c>
      <c r="AD24" s="12" t="s">
        <v>219</v>
      </c>
      <c r="AE24" s="25">
        <v>17121</v>
      </c>
      <c r="AF24" s="21" t="s">
        <v>175</v>
      </c>
      <c r="AG24" s="13">
        <f>INDEX([1]Sheet1!$U:$U,MATCH($A24,[1]Sheet1!$BN:$BN,0),0)</f>
        <v>13</v>
      </c>
    </row>
    <row r="25" spans="1:33">
      <c r="A25" s="1">
        <v>1111</v>
      </c>
      <c r="B25" s="1" t="s">
        <v>95</v>
      </c>
      <c r="C25" s="13" t="s">
        <v>132</v>
      </c>
      <c r="D25" s="1" t="str">
        <f t="shared" si="0"/>
        <v>[[90000,11110],[90001,11111],[90002,11112],[90003,11113],[90004,11114],[90005,11115],[90006,11116]]</v>
      </c>
      <c r="E25" s="45">
        <v>5</v>
      </c>
      <c r="F25" s="1">
        <f>IF(ISERROR(INDEX(Sheet2!$B$2:$O$7,MATCH($AG25,Sheet2!$B$2:$B$7,0),MATCH(F$2,Sheet2!$B$2:$O$2,0))),0,INDEX(Sheet2!$B$2:$O$7,MATCH($AG25,Sheet2!$B$2:$B$7,0),MATCH(F$2,Sheet2!$B$2:$O$2,0)))</f>
        <v>10000</v>
      </c>
      <c r="G25" s="1">
        <f>IF(ISERROR(INDEX(Sheet2!$B$2:$O$7,MATCH($AG25,Sheet2!$B$2:$B$7,0),MATCH(G$2,Sheet2!$B$2:$O$2,0))),0,INDEX(Sheet2!$B$2:$O$7,MATCH($AG25,Sheet2!$B$2:$B$7,0),MATCH(G$2,Sheet2!$B$2:$O$2,0)))</f>
        <v>400</v>
      </c>
      <c r="H25" s="1">
        <f>IF(ISERROR(INDEX(Sheet2!$B$2:$O$7,MATCH($AG25,Sheet2!$B$2:$B$7,0),MATCH(H$2,Sheet2!$B$2:$O$2,0))),0,INDEX(Sheet2!$B$2:$O$7,MATCH($AG25,Sheet2!$B$2:$B$7,0),MATCH(H$2,Sheet2!$B$2:$O$2,0)))</f>
        <v>200</v>
      </c>
      <c r="I25" s="1">
        <f>IF(ISERROR(INDEX(Sheet2!$B$2:$O$7,MATCH($AG25,Sheet2!$B$2:$B$7,0),MATCH(I$2,Sheet2!$B$2:$O$2,0))),0,INDEX(Sheet2!$B$2:$O$7,MATCH($AG25,Sheet2!$B$2:$B$7,0),MATCH(I$2,Sheet2!$B$2:$O$2,0)))</f>
        <v>200</v>
      </c>
      <c r="J25" s="1">
        <f>IF(ISERROR(INDEX(Sheet2!$B$2:$O$7,MATCH($AG25,Sheet2!$B$2:$B$7,0),MATCH(J$2,Sheet2!$B$2:$O$2,0))),0,INDEX(Sheet2!$B$2:$O$7,MATCH($AG25,Sheet2!$B$2:$B$7,0),MATCH(J$2,Sheet2!$B$2:$O$2,0)))</f>
        <v>0</v>
      </c>
      <c r="K25" s="1">
        <f>IF(ISERROR(INDEX(Sheet2!$B$2:$O$7,MATCH($AG25,Sheet2!$B$2:$B$7,0),MATCH(K$2,Sheet2!$B$2:$O$2,0))),0,INDEX(Sheet2!$B$2:$O$7,MATCH($AG25,Sheet2!$B$2:$B$7,0),MATCH(K$2,Sheet2!$B$2:$O$2,0)))</f>
        <v>0</v>
      </c>
      <c r="L25" s="1">
        <f>IF(ISERROR(INDEX(Sheet2!$B$2:$O$7,MATCH($AG25,Sheet2!$B$2:$B$7,0),MATCH(L$2,Sheet2!$B$2:$O$2,0))),0,INDEX(Sheet2!$B$2:$O$7,MATCH($AG25,Sheet2!$B$2:$B$7,0),MATCH(L$2,Sheet2!$B$2:$O$2,0)))</f>
        <v>0</v>
      </c>
      <c r="M25" s="1">
        <f>IF(ISERROR(INDEX(Sheet2!$B$2:$O$7,MATCH($AG25,Sheet2!$B$2:$B$7,0),MATCH(M$2,Sheet2!$B$2:$O$2,0))),0,INDEX(Sheet2!$B$2:$O$7,MATCH($AG25,Sheet2!$B$2:$B$7,0),MATCH(M$2,Sheet2!$B$2:$O$2,0)))</f>
        <v>0</v>
      </c>
      <c r="N25" s="1">
        <f>IF(ISERROR(INDEX(Sheet2!$B$2:$O$7,MATCH($AG25,Sheet2!$B$2:$B$7,0),MATCH(N$2,Sheet2!$B$2:$O$2,0))),0,INDEX(Sheet2!$B$2:$O$7,MATCH($AG25,Sheet2!$B$2:$B$7,0),MATCH(N$2,Sheet2!$B$2:$O$2,0)))</f>
        <v>750</v>
      </c>
      <c r="O25" s="1">
        <f>IF(ISERROR(INDEX(Sheet2!$B$2:$O$7,MATCH($AG25,Sheet2!$B$2:$B$7,0),MATCH(O$2,Sheet2!$B$2:$O$2,0))),0,INDEX(Sheet2!$B$2:$O$7,MATCH($AG25,Sheet2!$B$2:$B$7,0),MATCH(O$2,Sheet2!$B$2:$O$2,0)))</f>
        <v>30</v>
      </c>
      <c r="P25" s="1">
        <f>IF(ISERROR(INDEX(Sheet2!$B$2:$O$7,MATCH($AG25,Sheet2!$B$2:$B$7,0),MATCH(P$2,Sheet2!$B$2:$O$2,0))),0,INDEX(Sheet2!$B$2:$O$7,MATCH($AG25,Sheet2!$B$2:$B$7,0),MATCH(P$2,Sheet2!$B$2:$O$2,0)))</f>
        <v>15</v>
      </c>
      <c r="Q25" s="1">
        <f>IF(ISERROR(INDEX(Sheet2!$B$2:$O$7,MATCH($AG25,Sheet2!$B$2:$B$7,0),MATCH(Q$2,Sheet2!$B$2:$O$2,0))),0,INDEX(Sheet2!$B$2:$O$7,MATCH($AG25,Sheet2!$B$2:$B$7,0),MATCH(Q$2,Sheet2!$B$2:$O$2,0)))</f>
        <v>15</v>
      </c>
      <c r="R25" s="1">
        <f>IF(ISERROR(INDEX(Sheet2!$B$2:$O$7,MATCH($AG25,Sheet2!$B$2:$B$7,0),MATCH(R$2,Sheet2!$B$2:$O$2,0))),0,INDEX(Sheet2!$B$2:$O$7,MATCH($AG25,Sheet2!$B$2:$B$7,0),MATCH(R$2,Sheet2!$B$2:$O$2,0)))</f>
        <v>0</v>
      </c>
      <c r="S25" s="1">
        <f>IF(ISERROR(INDEX(Sheet2!$B$2:$O$7,MATCH($AG25,Sheet2!$B$2:$B$7,0),MATCH(S$2,Sheet2!$B$2:$O$2,0))),0,INDEX(Sheet2!$B$2:$O$7,MATCH($AG25,Sheet2!$B$2:$B$7,0),MATCH(S$2,Sheet2!$B$2:$O$2,0)))</f>
        <v>0</v>
      </c>
      <c r="T25" s="1">
        <f>IF(ISERROR(INDEX(Sheet2!$B$2:$O$7,MATCH($AG25,Sheet2!$B$2:$B$7,0),MATCH(T$2,Sheet2!$B$2:$O$2,0))),0,INDEX(Sheet2!$B$2:$O$7,MATCH($AG25,Sheet2!$B$2:$B$7,0),MATCH(T$2,Sheet2!$B$2:$O$2,0)))</f>
        <v>0</v>
      </c>
      <c r="U25" s="1">
        <f>IF(ISERROR(INDEX(Sheet2!$B$2:$O$7,MATCH($AG25,Sheet2!$B$2:$B$7,0),MATCH(U$2,Sheet2!$B$2:$O$2,0))),0,INDEX(Sheet2!$B$2:$O$7,MATCH($AG25,Sheet2!$B$2:$B$7,0),MATCH(U$2,Sheet2!$B$2:$O$2,0)))</f>
        <v>0</v>
      </c>
      <c r="V25" s="1">
        <f>IF(ISERROR(INDEX(Sheet2!$B$2:$O$7,MATCH($AG25,Sheet2!$B$2:$B$7,0),MATCH(V$2,Sheet2!$B$2:$O$2,0))),0,INDEX(Sheet2!$B$2:$O$7,MATCH($AG25,Sheet2!$B$2:$B$7,0),MATCH(V$2,Sheet2!$B$2:$O$2,0)))</f>
        <v>12500</v>
      </c>
      <c r="W25" s="1">
        <f>IF(ISERROR(INDEX(Sheet2!$B$2:$O$7,MATCH($AG25,Sheet2!$B$2:$B$7,0),MATCH(W$2,Sheet2!$B$2:$O$2,0))),0,INDEX(Sheet2!$B$2:$O$7,MATCH($AG25,Sheet2!$B$2:$B$7,0),MATCH(W$2,Sheet2!$B$2:$O$2,0)))</f>
        <v>500</v>
      </c>
      <c r="X25" s="1">
        <f>IF(ISERROR(INDEX(Sheet2!$B$2:$O$7,MATCH($AG25,Sheet2!$B$2:$B$7,0),MATCH(X$2,Sheet2!$B$2:$O$2,0))),0,INDEX(Sheet2!$B$2:$O$7,MATCH($AG25,Sheet2!$B$2:$B$7,0),MATCH(X$2,Sheet2!$B$2:$O$2,0)))</f>
        <v>250</v>
      </c>
      <c r="Y25" s="1">
        <f>IF(ISERROR(INDEX(Sheet2!$B$2:$O$7,MATCH($AG25,Sheet2!$B$2:$B$7,0),MATCH(Y$2,Sheet2!$B$2:$O$2,0))),0,INDEX(Sheet2!$B$2:$O$7,MATCH($AG25,Sheet2!$B$2:$B$7,0),MATCH(Y$2,Sheet2!$B$2:$O$2,0)))</f>
        <v>250</v>
      </c>
      <c r="Z25" s="1">
        <f>IF(ISERROR(INDEX(Sheet2!$B$2:$O$7,MATCH($AG25,Sheet2!$B$2:$B$7,0),MATCH(Z$2,Sheet2!$B$2:$O$2,0))),0,INDEX(Sheet2!$B$2:$O$7,MATCH($AG25,Sheet2!$B$2:$B$7,0),MATCH(Z$2,Sheet2!$B$2:$O$2,0)))</f>
        <v>0</v>
      </c>
      <c r="AA25" s="1">
        <f>IF(ISERROR(INDEX(Sheet2!$B$2:$O$7,MATCH($AG25,Sheet2!$B$2:$B$7,0),MATCH(AA$2,Sheet2!$B$2:$O$2,0))),0,INDEX(Sheet2!$B$2:$O$7,MATCH($AG25,Sheet2!$B$2:$B$7,0),MATCH(AA$2,Sheet2!$B$2:$O$2,0)))</f>
        <v>0</v>
      </c>
      <c r="AB25" s="1">
        <f>IF(ISERROR(INDEX(Sheet2!$B$2:$O$7,MATCH($AG25,Sheet2!$B$2:$B$7,0),MATCH(AB$2,Sheet2!$B$2:$O$2,0))),0,INDEX(Sheet2!$B$2:$O$7,MATCH($AG25,Sheet2!$B$2:$B$7,0),MATCH(AB$2,Sheet2!$B$2:$O$2,0)))</f>
        <v>0</v>
      </c>
      <c r="AC25" s="1">
        <f>IF(ISERROR(INDEX(Sheet2!$B$2:$O$7,MATCH($AG25,Sheet2!$B$2:$B$7,0),MATCH(AC$2,Sheet2!$B$2:$O$2,0))),0,INDEX(Sheet2!$B$2:$O$7,MATCH($AG25,Sheet2!$B$2:$B$7,0),MATCH(AC$2,Sheet2!$B$2:$O$2,0)))</f>
        <v>0</v>
      </c>
      <c r="AD25" s="12" t="s">
        <v>220</v>
      </c>
      <c r="AE25" s="25">
        <v>17122</v>
      </c>
      <c r="AF25" s="21" t="s">
        <v>212</v>
      </c>
      <c r="AG25" s="13">
        <f>INDEX([1]Sheet1!$U:$U,MATCH($A25,[1]Sheet1!$BN:$BN,0),0)</f>
        <v>16</v>
      </c>
    </row>
    <row r="26" spans="1:33">
      <c r="A26" s="1">
        <v>1116</v>
      </c>
      <c r="B26" s="1" t="s">
        <v>96</v>
      </c>
      <c r="C26" s="13" t="s">
        <v>150</v>
      </c>
      <c r="D26" s="1" t="str">
        <f t="shared" si="0"/>
        <v>[[90000,11160],[90001,11161],[90002,11162],[90003,11163],[90004,11164],[90005,11165],[90006,11166]]</v>
      </c>
      <c r="E26" s="45">
        <v>4</v>
      </c>
      <c r="F26" s="1">
        <f>IF(ISERROR(INDEX(Sheet2!$B$2:$O$7,MATCH($AG26,Sheet2!$B$2:$B$7,0),MATCH(F$2,Sheet2!$B$2:$O$2,0))),0,INDEX(Sheet2!$B$2:$O$7,MATCH($AG26,Sheet2!$B$2:$B$7,0),MATCH(F$2,Sheet2!$B$2:$O$2,0)))</f>
        <v>5000</v>
      </c>
      <c r="G26" s="1">
        <f>IF(ISERROR(INDEX(Sheet2!$B$2:$O$7,MATCH($AG26,Sheet2!$B$2:$B$7,0),MATCH(G$2,Sheet2!$B$2:$O$2,0))),0,INDEX(Sheet2!$B$2:$O$7,MATCH($AG26,Sheet2!$B$2:$B$7,0),MATCH(G$2,Sheet2!$B$2:$O$2,0)))</f>
        <v>200</v>
      </c>
      <c r="H26" s="1">
        <f>IF(ISERROR(INDEX(Sheet2!$B$2:$O$7,MATCH($AG26,Sheet2!$B$2:$B$7,0),MATCH(H$2,Sheet2!$B$2:$O$2,0))),0,INDEX(Sheet2!$B$2:$O$7,MATCH($AG26,Sheet2!$B$2:$B$7,0),MATCH(H$2,Sheet2!$B$2:$O$2,0)))</f>
        <v>100</v>
      </c>
      <c r="I26" s="1">
        <f>IF(ISERROR(INDEX(Sheet2!$B$2:$O$7,MATCH($AG26,Sheet2!$B$2:$B$7,0),MATCH(I$2,Sheet2!$B$2:$O$2,0))),0,INDEX(Sheet2!$B$2:$O$7,MATCH($AG26,Sheet2!$B$2:$B$7,0),MATCH(I$2,Sheet2!$B$2:$O$2,0)))</f>
        <v>100</v>
      </c>
      <c r="J26" s="1">
        <f>IF(ISERROR(INDEX(Sheet2!$B$2:$O$7,MATCH($AG26,Sheet2!$B$2:$B$7,0),MATCH(J$2,Sheet2!$B$2:$O$2,0))),0,INDEX(Sheet2!$B$2:$O$7,MATCH($AG26,Sheet2!$B$2:$B$7,0),MATCH(J$2,Sheet2!$B$2:$O$2,0)))</f>
        <v>0</v>
      </c>
      <c r="K26" s="1">
        <f>IF(ISERROR(INDEX(Sheet2!$B$2:$O$7,MATCH($AG26,Sheet2!$B$2:$B$7,0),MATCH(K$2,Sheet2!$B$2:$O$2,0))),0,INDEX(Sheet2!$B$2:$O$7,MATCH($AG26,Sheet2!$B$2:$B$7,0),MATCH(K$2,Sheet2!$B$2:$O$2,0)))</f>
        <v>0</v>
      </c>
      <c r="L26" s="1">
        <f>IF(ISERROR(INDEX(Sheet2!$B$2:$O$7,MATCH($AG26,Sheet2!$B$2:$B$7,0),MATCH(L$2,Sheet2!$B$2:$O$2,0))),0,INDEX(Sheet2!$B$2:$O$7,MATCH($AG26,Sheet2!$B$2:$B$7,0),MATCH(L$2,Sheet2!$B$2:$O$2,0)))</f>
        <v>0</v>
      </c>
      <c r="M26" s="1">
        <f>IF(ISERROR(INDEX(Sheet2!$B$2:$O$7,MATCH($AG26,Sheet2!$B$2:$B$7,0),MATCH(M$2,Sheet2!$B$2:$O$2,0))),0,INDEX(Sheet2!$B$2:$O$7,MATCH($AG26,Sheet2!$B$2:$B$7,0),MATCH(M$2,Sheet2!$B$2:$O$2,0)))</f>
        <v>0</v>
      </c>
      <c r="N26" s="1">
        <f>IF(ISERROR(INDEX(Sheet2!$B$2:$O$7,MATCH($AG26,Sheet2!$B$2:$B$7,0),MATCH(N$2,Sheet2!$B$2:$O$2,0))),0,INDEX(Sheet2!$B$2:$O$7,MATCH($AG26,Sheet2!$B$2:$B$7,0),MATCH(N$2,Sheet2!$B$2:$O$2,0)))</f>
        <v>600</v>
      </c>
      <c r="O26" s="1">
        <f>IF(ISERROR(INDEX(Sheet2!$B$2:$O$7,MATCH($AG26,Sheet2!$B$2:$B$7,0),MATCH(O$2,Sheet2!$B$2:$O$2,0))),0,INDEX(Sheet2!$B$2:$O$7,MATCH($AG26,Sheet2!$B$2:$B$7,0),MATCH(O$2,Sheet2!$B$2:$O$2,0)))</f>
        <v>24</v>
      </c>
      <c r="P26" s="1">
        <f>IF(ISERROR(INDEX(Sheet2!$B$2:$O$7,MATCH($AG26,Sheet2!$B$2:$B$7,0),MATCH(P$2,Sheet2!$B$2:$O$2,0))),0,INDEX(Sheet2!$B$2:$O$7,MATCH($AG26,Sheet2!$B$2:$B$7,0),MATCH(P$2,Sheet2!$B$2:$O$2,0)))</f>
        <v>12</v>
      </c>
      <c r="Q26" s="1">
        <f>IF(ISERROR(INDEX(Sheet2!$B$2:$O$7,MATCH($AG26,Sheet2!$B$2:$B$7,0),MATCH(Q$2,Sheet2!$B$2:$O$2,0))),0,INDEX(Sheet2!$B$2:$O$7,MATCH($AG26,Sheet2!$B$2:$B$7,0),MATCH(Q$2,Sheet2!$B$2:$O$2,0)))</f>
        <v>12</v>
      </c>
      <c r="R26" s="1">
        <f>IF(ISERROR(INDEX(Sheet2!$B$2:$O$7,MATCH($AG26,Sheet2!$B$2:$B$7,0),MATCH(R$2,Sheet2!$B$2:$O$2,0))),0,INDEX(Sheet2!$B$2:$O$7,MATCH($AG26,Sheet2!$B$2:$B$7,0),MATCH(R$2,Sheet2!$B$2:$O$2,0)))</f>
        <v>0</v>
      </c>
      <c r="S26" s="1">
        <f>IF(ISERROR(INDEX(Sheet2!$B$2:$O$7,MATCH($AG26,Sheet2!$B$2:$B$7,0),MATCH(S$2,Sheet2!$B$2:$O$2,0))),0,INDEX(Sheet2!$B$2:$O$7,MATCH($AG26,Sheet2!$B$2:$B$7,0),MATCH(S$2,Sheet2!$B$2:$O$2,0)))</f>
        <v>0</v>
      </c>
      <c r="T26" s="1">
        <f>IF(ISERROR(INDEX(Sheet2!$B$2:$O$7,MATCH($AG26,Sheet2!$B$2:$B$7,0),MATCH(T$2,Sheet2!$B$2:$O$2,0))),0,INDEX(Sheet2!$B$2:$O$7,MATCH($AG26,Sheet2!$B$2:$B$7,0),MATCH(T$2,Sheet2!$B$2:$O$2,0)))</f>
        <v>0</v>
      </c>
      <c r="U26" s="1">
        <f>IF(ISERROR(INDEX(Sheet2!$B$2:$O$7,MATCH($AG26,Sheet2!$B$2:$B$7,0),MATCH(U$2,Sheet2!$B$2:$O$2,0))),0,INDEX(Sheet2!$B$2:$O$7,MATCH($AG26,Sheet2!$B$2:$B$7,0),MATCH(U$2,Sheet2!$B$2:$O$2,0)))</f>
        <v>0</v>
      </c>
      <c r="V26" s="1">
        <f>IF(ISERROR(INDEX(Sheet2!$B$2:$O$7,MATCH($AG26,Sheet2!$B$2:$B$7,0),MATCH(V$2,Sheet2!$B$2:$O$2,0))),0,INDEX(Sheet2!$B$2:$O$7,MATCH($AG26,Sheet2!$B$2:$B$7,0),MATCH(V$2,Sheet2!$B$2:$O$2,0)))</f>
        <v>10000</v>
      </c>
      <c r="W26" s="1">
        <f>IF(ISERROR(INDEX(Sheet2!$B$2:$O$7,MATCH($AG26,Sheet2!$B$2:$B$7,0),MATCH(W$2,Sheet2!$B$2:$O$2,0))),0,INDEX(Sheet2!$B$2:$O$7,MATCH($AG26,Sheet2!$B$2:$B$7,0),MATCH(W$2,Sheet2!$B$2:$O$2,0)))</f>
        <v>400</v>
      </c>
      <c r="X26" s="1">
        <f>IF(ISERROR(INDEX(Sheet2!$B$2:$O$7,MATCH($AG26,Sheet2!$B$2:$B$7,0),MATCH(X$2,Sheet2!$B$2:$O$2,0))),0,INDEX(Sheet2!$B$2:$O$7,MATCH($AG26,Sheet2!$B$2:$B$7,0),MATCH(X$2,Sheet2!$B$2:$O$2,0)))</f>
        <v>200</v>
      </c>
      <c r="Y26" s="1">
        <f>IF(ISERROR(INDEX(Sheet2!$B$2:$O$7,MATCH($AG26,Sheet2!$B$2:$B$7,0),MATCH(Y$2,Sheet2!$B$2:$O$2,0))),0,INDEX(Sheet2!$B$2:$O$7,MATCH($AG26,Sheet2!$B$2:$B$7,0),MATCH(Y$2,Sheet2!$B$2:$O$2,0)))</f>
        <v>200</v>
      </c>
      <c r="Z26" s="1">
        <f>IF(ISERROR(INDEX(Sheet2!$B$2:$O$7,MATCH($AG26,Sheet2!$B$2:$B$7,0),MATCH(Z$2,Sheet2!$B$2:$O$2,0))),0,INDEX(Sheet2!$B$2:$O$7,MATCH($AG26,Sheet2!$B$2:$B$7,0),MATCH(Z$2,Sheet2!$B$2:$O$2,0)))</f>
        <v>0</v>
      </c>
      <c r="AA26" s="1">
        <f>IF(ISERROR(INDEX(Sheet2!$B$2:$O$7,MATCH($AG26,Sheet2!$B$2:$B$7,0),MATCH(AA$2,Sheet2!$B$2:$O$2,0))),0,INDEX(Sheet2!$B$2:$O$7,MATCH($AG26,Sheet2!$B$2:$B$7,0),MATCH(AA$2,Sheet2!$B$2:$O$2,0)))</f>
        <v>0</v>
      </c>
      <c r="AB26" s="1">
        <f>IF(ISERROR(INDEX(Sheet2!$B$2:$O$7,MATCH($AG26,Sheet2!$B$2:$B$7,0),MATCH(AB$2,Sheet2!$B$2:$O$2,0))),0,INDEX(Sheet2!$B$2:$O$7,MATCH($AG26,Sheet2!$B$2:$B$7,0),MATCH(AB$2,Sheet2!$B$2:$O$2,0)))</f>
        <v>0</v>
      </c>
      <c r="AC26" s="1">
        <f>IF(ISERROR(INDEX(Sheet2!$B$2:$O$7,MATCH($AG26,Sheet2!$B$2:$B$7,0),MATCH(AC$2,Sheet2!$B$2:$O$2,0))),0,INDEX(Sheet2!$B$2:$O$7,MATCH($AG26,Sheet2!$B$2:$B$7,0),MATCH(AC$2,Sheet2!$B$2:$O$2,0)))</f>
        <v>0</v>
      </c>
      <c r="AD26" s="12" t="s">
        <v>219</v>
      </c>
      <c r="AE26" s="25">
        <v>17123</v>
      </c>
      <c r="AF26" s="21" t="s">
        <v>176</v>
      </c>
      <c r="AG26" s="13">
        <f>INDEX([1]Sheet1!$U:$U,MATCH($A26,[1]Sheet1!$BN:$BN,0),0)</f>
        <v>13</v>
      </c>
    </row>
    <row r="27" spans="1:33">
      <c r="A27" s="1">
        <v>1121</v>
      </c>
      <c r="B27" s="1" t="s">
        <v>97</v>
      </c>
      <c r="C27" s="13" t="s">
        <v>133</v>
      </c>
      <c r="D27" s="1" t="str">
        <f t="shared" si="0"/>
        <v>[[90000,11210],[90001,11211],[90002,11212],[90003,11213],[90004,11214],[90005,11215],[90006,11216]]</v>
      </c>
      <c r="E27" s="45">
        <v>6</v>
      </c>
      <c r="F27" s="1">
        <f>IF(ISERROR(INDEX(Sheet2!$B$2:$O$7,MATCH($AG27,Sheet2!$B$2:$B$7,0),MATCH(F$2,Sheet2!$B$2:$O$2,0))),0,INDEX(Sheet2!$B$2:$O$7,MATCH($AG27,Sheet2!$B$2:$B$7,0),MATCH(F$2,Sheet2!$B$2:$O$2,0)))</f>
        <v>20000</v>
      </c>
      <c r="G27" s="1">
        <f>IF(ISERROR(INDEX(Sheet2!$B$2:$O$7,MATCH($AG27,Sheet2!$B$2:$B$7,0),MATCH(G$2,Sheet2!$B$2:$O$2,0))),0,INDEX(Sheet2!$B$2:$O$7,MATCH($AG27,Sheet2!$B$2:$B$7,0),MATCH(G$2,Sheet2!$B$2:$O$2,0)))</f>
        <v>800</v>
      </c>
      <c r="H27" s="1">
        <f>IF(ISERROR(INDEX(Sheet2!$B$2:$O$7,MATCH($AG27,Sheet2!$B$2:$B$7,0),MATCH(H$2,Sheet2!$B$2:$O$2,0))),0,INDEX(Sheet2!$B$2:$O$7,MATCH($AG27,Sheet2!$B$2:$B$7,0),MATCH(H$2,Sheet2!$B$2:$O$2,0)))</f>
        <v>400</v>
      </c>
      <c r="I27" s="1">
        <f>IF(ISERROR(INDEX(Sheet2!$B$2:$O$7,MATCH($AG27,Sheet2!$B$2:$B$7,0),MATCH(I$2,Sheet2!$B$2:$O$2,0))),0,INDEX(Sheet2!$B$2:$O$7,MATCH($AG27,Sheet2!$B$2:$B$7,0),MATCH(I$2,Sheet2!$B$2:$O$2,0)))</f>
        <v>400</v>
      </c>
      <c r="J27" s="1">
        <f>IF(ISERROR(INDEX(Sheet2!$B$2:$O$7,MATCH($AG27,Sheet2!$B$2:$B$7,0),MATCH(J$2,Sheet2!$B$2:$O$2,0))),0,INDEX(Sheet2!$B$2:$O$7,MATCH($AG27,Sheet2!$B$2:$B$7,0),MATCH(J$2,Sheet2!$B$2:$O$2,0)))</f>
        <v>0</v>
      </c>
      <c r="K27" s="1">
        <f>IF(ISERROR(INDEX(Sheet2!$B$2:$O$7,MATCH($AG27,Sheet2!$B$2:$B$7,0),MATCH(K$2,Sheet2!$B$2:$O$2,0))),0,INDEX(Sheet2!$B$2:$O$7,MATCH($AG27,Sheet2!$B$2:$B$7,0),MATCH(K$2,Sheet2!$B$2:$O$2,0)))</f>
        <v>0</v>
      </c>
      <c r="L27" s="1">
        <f>IF(ISERROR(INDEX(Sheet2!$B$2:$O$7,MATCH($AG27,Sheet2!$B$2:$B$7,0),MATCH(L$2,Sheet2!$B$2:$O$2,0))),0,INDEX(Sheet2!$B$2:$O$7,MATCH($AG27,Sheet2!$B$2:$B$7,0),MATCH(L$2,Sheet2!$B$2:$O$2,0)))</f>
        <v>0</v>
      </c>
      <c r="M27" s="1">
        <f>IF(ISERROR(INDEX(Sheet2!$B$2:$O$7,MATCH($AG27,Sheet2!$B$2:$B$7,0),MATCH(M$2,Sheet2!$B$2:$O$2,0))),0,INDEX(Sheet2!$B$2:$O$7,MATCH($AG27,Sheet2!$B$2:$B$7,0),MATCH(M$2,Sheet2!$B$2:$O$2,0)))</f>
        <v>0</v>
      </c>
      <c r="N27" s="1">
        <f>IF(ISERROR(INDEX(Sheet2!$B$2:$O$7,MATCH($AG27,Sheet2!$B$2:$B$7,0),MATCH(N$2,Sheet2!$B$2:$O$2,0))),0,INDEX(Sheet2!$B$2:$O$7,MATCH($AG27,Sheet2!$B$2:$B$7,0),MATCH(N$2,Sheet2!$B$2:$O$2,0)))</f>
        <v>1200</v>
      </c>
      <c r="O27" s="1">
        <f>IF(ISERROR(INDEX(Sheet2!$B$2:$O$7,MATCH($AG27,Sheet2!$B$2:$B$7,0),MATCH(O$2,Sheet2!$B$2:$O$2,0))),0,INDEX(Sheet2!$B$2:$O$7,MATCH($AG27,Sheet2!$B$2:$B$7,0),MATCH(O$2,Sheet2!$B$2:$O$2,0)))</f>
        <v>48</v>
      </c>
      <c r="P27" s="1">
        <f>IF(ISERROR(INDEX(Sheet2!$B$2:$O$7,MATCH($AG27,Sheet2!$B$2:$B$7,0),MATCH(P$2,Sheet2!$B$2:$O$2,0))),0,INDEX(Sheet2!$B$2:$O$7,MATCH($AG27,Sheet2!$B$2:$B$7,0),MATCH(P$2,Sheet2!$B$2:$O$2,0)))</f>
        <v>24</v>
      </c>
      <c r="Q27" s="1">
        <f>IF(ISERROR(INDEX(Sheet2!$B$2:$O$7,MATCH($AG27,Sheet2!$B$2:$B$7,0),MATCH(Q$2,Sheet2!$B$2:$O$2,0))),0,INDEX(Sheet2!$B$2:$O$7,MATCH($AG27,Sheet2!$B$2:$B$7,0),MATCH(Q$2,Sheet2!$B$2:$O$2,0)))</f>
        <v>24</v>
      </c>
      <c r="R27" s="1">
        <f>IF(ISERROR(INDEX(Sheet2!$B$2:$O$7,MATCH($AG27,Sheet2!$B$2:$B$7,0),MATCH(R$2,Sheet2!$B$2:$O$2,0))),0,INDEX(Sheet2!$B$2:$O$7,MATCH($AG27,Sheet2!$B$2:$B$7,0),MATCH(R$2,Sheet2!$B$2:$O$2,0)))</f>
        <v>0</v>
      </c>
      <c r="S27" s="1">
        <f>IF(ISERROR(INDEX(Sheet2!$B$2:$O$7,MATCH($AG27,Sheet2!$B$2:$B$7,0),MATCH(S$2,Sheet2!$B$2:$O$2,0))),0,INDEX(Sheet2!$B$2:$O$7,MATCH($AG27,Sheet2!$B$2:$B$7,0),MATCH(S$2,Sheet2!$B$2:$O$2,0)))</f>
        <v>0</v>
      </c>
      <c r="T27" s="1">
        <f>IF(ISERROR(INDEX(Sheet2!$B$2:$O$7,MATCH($AG27,Sheet2!$B$2:$B$7,0),MATCH(T$2,Sheet2!$B$2:$O$2,0))),0,INDEX(Sheet2!$B$2:$O$7,MATCH($AG27,Sheet2!$B$2:$B$7,0),MATCH(T$2,Sheet2!$B$2:$O$2,0)))</f>
        <v>0</v>
      </c>
      <c r="U27" s="1">
        <f>IF(ISERROR(INDEX(Sheet2!$B$2:$O$7,MATCH($AG27,Sheet2!$B$2:$B$7,0),MATCH(U$2,Sheet2!$B$2:$O$2,0))),0,INDEX(Sheet2!$B$2:$O$7,MATCH($AG27,Sheet2!$B$2:$B$7,0),MATCH(U$2,Sheet2!$B$2:$O$2,0)))</f>
        <v>0</v>
      </c>
      <c r="V27" s="1">
        <f>IF(ISERROR(INDEX(Sheet2!$B$2:$O$7,MATCH($AG27,Sheet2!$B$2:$B$7,0),MATCH(V$2,Sheet2!$B$2:$O$2,0))),0,INDEX(Sheet2!$B$2:$O$7,MATCH($AG27,Sheet2!$B$2:$B$7,0),MATCH(V$2,Sheet2!$B$2:$O$2,0)))</f>
        <v>20000</v>
      </c>
      <c r="W27" s="1">
        <f>IF(ISERROR(INDEX(Sheet2!$B$2:$O$7,MATCH($AG27,Sheet2!$B$2:$B$7,0),MATCH(W$2,Sheet2!$B$2:$O$2,0))),0,INDEX(Sheet2!$B$2:$O$7,MATCH($AG27,Sheet2!$B$2:$B$7,0),MATCH(W$2,Sheet2!$B$2:$O$2,0)))</f>
        <v>800</v>
      </c>
      <c r="X27" s="1">
        <f>IF(ISERROR(INDEX(Sheet2!$B$2:$O$7,MATCH($AG27,Sheet2!$B$2:$B$7,0),MATCH(X$2,Sheet2!$B$2:$O$2,0))),0,INDEX(Sheet2!$B$2:$O$7,MATCH($AG27,Sheet2!$B$2:$B$7,0),MATCH(X$2,Sheet2!$B$2:$O$2,0)))</f>
        <v>400</v>
      </c>
      <c r="Y27" s="1">
        <f>IF(ISERROR(INDEX(Sheet2!$B$2:$O$7,MATCH($AG27,Sheet2!$B$2:$B$7,0),MATCH(Y$2,Sheet2!$B$2:$O$2,0))),0,INDEX(Sheet2!$B$2:$O$7,MATCH($AG27,Sheet2!$B$2:$B$7,0),MATCH(Y$2,Sheet2!$B$2:$O$2,0)))</f>
        <v>400</v>
      </c>
      <c r="Z27" s="1">
        <f>IF(ISERROR(INDEX(Sheet2!$B$2:$O$7,MATCH($AG27,Sheet2!$B$2:$B$7,0),MATCH(Z$2,Sheet2!$B$2:$O$2,0))),0,INDEX(Sheet2!$B$2:$O$7,MATCH($AG27,Sheet2!$B$2:$B$7,0),MATCH(Z$2,Sheet2!$B$2:$O$2,0)))</f>
        <v>0</v>
      </c>
      <c r="AA27" s="1">
        <f>IF(ISERROR(INDEX(Sheet2!$B$2:$O$7,MATCH($AG27,Sheet2!$B$2:$B$7,0),MATCH(AA$2,Sheet2!$B$2:$O$2,0))),0,INDEX(Sheet2!$B$2:$O$7,MATCH($AG27,Sheet2!$B$2:$B$7,0),MATCH(AA$2,Sheet2!$B$2:$O$2,0)))</f>
        <v>0</v>
      </c>
      <c r="AB27" s="1">
        <f>IF(ISERROR(INDEX(Sheet2!$B$2:$O$7,MATCH($AG27,Sheet2!$B$2:$B$7,0),MATCH(AB$2,Sheet2!$B$2:$O$2,0))),0,INDEX(Sheet2!$B$2:$O$7,MATCH($AG27,Sheet2!$B$2:$B$7,0),MATCH(AB$2,Sheet2!$B$2:$O$2,0)))</f>
        <v>0</v>
      </c>
      <c r="AC27" s="1">
        <f>IF(ISERROR(INDEX(Sheet2!$B$2:$O$7,MATCH($AG27,Sheet2!$B$2:$B$7,0),MATCH(AC$2,Sheet2!$B$2:$O$2,0))),0,INDEX(Sheet2!$B$2:$O$7,MATCH($AG27,Sheet2!$B$2:$B$7,0),MATCH(AC$2,Sheet2!$B$2:$O$2,0)))</f>
        <v>0</v>
      </c>
      <c r="AD27" s="12" t="s">
        <v>221</v>
      </c>
      <c r="AE27" s="25">
        <v>17124</v>
      </c>
      <c r="AF27" s="21" t="s">
        <v>213</v>
      </c>
      <c r="AG27" s="13">
        <f>INDEX([1]Sheet1!$U:$U,MATCH($A27,[1]Sheet1!$BN:$BN,0),0)</f>
        <v>20</v>
      </c>
    </row>
    <row r="28" spans="1:33">
      <c r="A28" s="1">
        <v>1215</v>
      </c>
      <c r="B28" s="1" t="s">
        <v>98</v>
      </c>
      <c r="C28" s="13" t="s">
        <v>151</v>
      </c>
      <c r="D28" s="1" t="str">
        <f t="shared" si="0"/>
        <v>[[90000,12150],[90001,12151],[90002,12152],[90003,12153],[90004,12154],[90005,12155],[90006,12156]]</v>
      </c>
      <c r="E28" s="45">
        <v>5</v>
      </c>
      <c r="F28" s="1">
        <f>IF(ISERROR(INDEX(Sheet2!$B$2:$O$7,MATCH($AG28,Sheet2!$B$2:$B$7,0),MATCH(F$2,Sheet2!$B$2:$O$2,0))),0,INDEX(Sheet2!$B$2:$O$7,MATCH($AG28,Sheet2!$B$2:$B$7,0),MATCH(F$2,Sheet2!$B$2:$O$2,0)))</f>
        <v>10000</v>
      </c>
      <c r="G28" s="1">
        <f>IF(ISERROR(INDEX(Sheet2!$B$2:$O$7,MATCH($AG28,Sheet2!$B$2:$B$7,0),MATCH(G$2,Sheet2!$B$2:$O$2,0))),0,INDEX(Sheet2!$B$2:$O$7,MATCH($AG28,Sheet2!$B$2:$B$7,0),MATCH(G$2,Sheet2!$B$2:$O$2,0)))</f>
        <v>400</v>
      </c>
      <c r="H28" s="1">
        <f>IF(ISERROR(INDEX(Sheet2!$B$2:$O$7,MATCH($AG28,Sheet2!$B$2:$B$7,0),MATCH(H$2,Sheet2!$B$2:$O$2,0))),0,INDEX(Sheet2!$B$2:$O$7,MATCH($AG28,Sheet2!$B$2:$B$7,0),MATCH(H$2,Sheet2!$B$2:$O$2,0)))</f>
        <v>200</v>
      </c>
      <c r="I28" s="1">
        <f>IF(ISERROR(INDEX(Sheet2!$B$2:$O$7,MATCH($AG28,Sheet2!$B$2:$B$7,0),MATCH(I$2,Sheet2!$B$2:$O$2,0))),0,INDEX(Sheet2!$B$2:$O$7,MATCH($AG28,Sheet2!$B$2:$B$7,0),MATCH(I$2,Sheet2!$B$2:$O$2,0)))</f>
        <v>200</v>
      </c>
      <c r="J28" s="1">
        <f>IF(ISERROR(INDEX(Sheet2!$B$2:$O$7,MATCH($AG28,Sheet2!$B$2:$B$7,0),MATCH(J$2,Sheet2!$B$2:$O$2,0))),0,INDEX(Sheet2!$B$2:$O$7,MATCH($AG28,Sheet2!$B$2:$B$7,0),MATCH(J$2,Sheet2!$B$2:$O$2,0)))</f>
        <v>0</v>
      </c>
      <c r="K28" s="1">
        <f>IF(ISERROR(INDEX(Sheet2!$B$2:$O$7,MATCH($AG28,Sheet2!$B$2:$B$7,0),MATCH(K$2,Sheet2!$B$2:$O$2,0))),0,INDEX(Sheet2!$B$2:$O$7,MATCH($AG28,Sheet2!$B$2:$B$7,0),MATCH(K$2,Sheet2!$B$2:$O$2,0)))</f>
        <v>0</v>
      </c>
      <c r="L28" s="1">
        <f>IF(ISERROR(INDEX(Sheet2!$B$2:$O$7,MATCH($AG28,Sheet2!$B$2:$B$7,0),MATCH(L$2,Sheet2!$B$2:$O$2,0))),0,INDEX(Sheet2!$B$2:$O$7,MATCH($AG28,Sheet2!$B$2:$B$7,0),MATCH(L$2,Sheet2!$B$2:$O$2,0)))</f>
        <v>0</v>
      </c>
      <c r="M28" s="1">
        <f>IF(ISERROR(INDEX(Sheet2!$B$2:$O$7,MATCH($AG28,Sheet2!$B$2:$B$7,0),MATCH(M$2,Sheet2!$B$2:$O$2,0))),0,INDEX(Sheet2!$B$2:$O$7,MATCH($AG28,Sheet2!$B$2:$B$7,0),MATCH(M$2,Sheet2!$B$2:$O$2,0)))</f>
        <v>0</v>
      </c>
      <c r="N28" s="1">
        <f>IF(ISERROR(INDEX(Sheet2!$B$2:$O$7,MATCH($AG28,Sheet2!$B$2:$B$7,0),MATCH(N$2,Sheet2!$B$2:$O$2,0))),0,INDEX(Sheet2!$B$2:$O$7,MATCH($AG28,Sheet2!$B$2:$B$7,0),MATCH(N$2,Sheet2!$B$2:$O$2,0)))</f>
        <v>750</v>
      </c>
      <c r="O28" s="1">
        <f>IF(ISERROR(INDEX(Sheet2!$B$2:$O$7,MATCH($AG28,Sheet2!$B$2:$B$7,0),MATCH(O$2,Sheet2!$B$2:$O$2,0))),0,INDEX(Sheet2!$B$2:$O$7,MATCH($AG28,Sheet2!$B$2:$B$7,0),MATCH(O$2,Sheet2!$B$2:$O$2,0)))</f>
        <v>30</v>
      </c>
      <c r="P28" s="1">
        <f>IF(ISERROR(INDEX(Sheet2!$B$2:$O$7,MATCH($AG28,Sheet2!$B$2:$B$7,0),MATCH(P$2,Sheet2!$B$2:$O$2,0))),0,INDEX(Sheet2!$B$2:$O$7,MATCH($AG28,Sheet2!$B$2:$B$7,0),MATCH(P$2,Sheet2!$B$2:$O$2,0)))</f>
        <v>15</v>
      </c>
      <c r="Q28" s="1">
        <f>IF(ISERROR(INDEX(Sheet2!$B$2:$O$7,MATCH($AG28,Sheet2!$B$2:$B$7,0),MATCH(Q$2,Sheet2!$B$2:$O$2,0))),0,INDEX(Sheet2!$B$2:$O$7,MATCH($AG28,Sheet2!$B$2:$B$7,0),MATCH(Q$2,Sheet2!$B$2:$O$2,0)))</f>
        <v>15</v>
      </c>
      <c r="R28" s="1">
        <f>IF(ISERROR(INDEX(Sheet2!$B$2:$O$7,MATCH($AG28,Sheet2!$B$2:$B$7,0),MATCH(R$2,Sheet2!$B$2:$O$2,0))),0,INDEX(Sheet2!$B$2:$O$7,MATCH($AG28,Sheet2!$B$2:$B$7,0),MATCH(R$2,Sheet2!$B$2:$O$2,0)))</f>
        <v>0</v>
      </c>
      <c r="S28" s="1">
        <f>IF(ISERROR(INDEX(Sheet2!$B$2:$O$7,MATCH($AG28,Sheet2!$B$2:$B$7,0),MATCH(S$2,Sheet2!$B$2:$O$2,0))),0,INDEX(Sheet2!$B$2:$O$7,MATCH($AG28,Sheet2!$B$2:$B$7,0),MATCH(S$2,Sheet2!$B$2:$O$2,0)))</f>
        <v>0</v>
      </c>
      <c r="T28" s="1">
        <f>IF(ISERROR(INDEX(Sheet2!$B$2:$O$7,MATCH($AG28,Sheet2!$B$2:$B$7,0),MATCH(T$2,Sheet2!$B$2:$O$2,0))),0,INDEX(Sheet2!$B$2:$O$7,MATCH($AG28,Sheet2!$B$2:$B$7,0),MATCH(T$2,Sheet2!$B$2:$O$2,0)))</f>
        <v>0</v>
      </c>
      <c r="U28" s="1">
        <f>IF(ISERROR(INDEX(Sheet2!$B$2:$O$7,MATCH($AG28,Sheet2!$B$2:$B$7,0),MATCH(U$2,Sheet2!$B$2:$O$2,0))),0,INDEX(Sheet2!$B$2:$O$7,MATCH($AG28,Sheet2!$B$2:$B$7,0),MATCH(U$2,Sheet2!$B$2:$O$2,0)))</f>
        <v>0</v>
      </c>
      <c r="V28" s="1">
        <f>IF(ISERROR(INDEX(Sheet2!$B$2:$O$7,MATCH($AG28,Sheet2!$B$2:$B$7,0),MATCH(V$2,Sheet2!$B$2:$O$2,0))),0,INDEX(Sheet2!$B$2:$O$7,MATCH($AG28,Sheet2!$B$2:$B$7,0),MATCH(V$2,Sheet2!$B$2:$O$2,0)))</f>
        <v>12500</v>
      </c>
      <c r="W28" s="1">
        <f>IF(ISERROR(INDEX(Sheet2!$B$2:$O$7,MATCH($AG28,Sheet2!$B$2:$B$7,0),MATCH(W$2,Sheet2!$B$2:$O$2,0))),0,INDEX(Sheet2!$B$2:$O$7,MATCH($AG28,Sheet2!$B$2:$B$7,0),MATCH(W$2,Sheet2!$B$2:$O$2,0)))</f>
        <v>500</v>
      </c>
      <c r="X28" s="1">
        <f>IF(ISERROR(INDEX(Sheet2!$B$2:$O$7,MATCH($AG28,Sheet2!$B$2:$B$7,0),MATCH(X$2,Sheet2!$B$2:$O$2,0))),0,INDEX(Sheet2!$B$2:$O$7,MATCH($AG28,Sheet2!$B$2:$B$7,0),MATCH(X$2,Sheet2!$B$2:$O$2,0)))</f>
        <v>250</v>
      </c>
      <c r="Y28" s="1">
        <f>IF(ISERROR(INDEX(Sheet2!$B$2:$O$7,MATCH($AG28,Sheet2!$B$2:$B$7,0),MATCH(Y$2,Sheet2!$B$2:$O$2,0))),0,INDEX(Sheet2!$B$2:$O$7,MATCH($AG28,Sheet2!$B$2:$B$7,0),MATCH(Y$2,Sheet2!$B$2:$O$2,0)))</f>
        <v>250</v>
      </c>
      <c r="Z28" s="1">
        <f>IF(ISERROR(INDEX(Sheet2!$B$2:$O$7,MATCH($AG28,Sheet2!$B$2:$B$7,0),MATCH(Z$2,Sheet2!$B$2:$O$2,0))),0,INDEX(Sheet2!$B$2:$O$7,MATCH($AG28,Sheet2!$B$2:$B$7,0),MATCH(Z$2,Sheet2!$B$2:$O$2,0)))</f>
        <v>0</v>
      </c>
      <c r="AA28" s="1">
        <f>IF(ISERROR(INDEX(Sheet2!$B$2:$O$7,MATCH($AG28,Sheet2!$B$2:$B$7,0),MATCH(AA$2,Sheet2!$B$2:$O$2,0))),0,INDEX(Sheet2!$B$2:$O$7,MATCH($AG28,Sheet2!$B$2:$B$7,0),MATCH(AA$2,Sheet2!$B$2:$O$2,0)))</f>
        <v>0</v>
      </c>
      <c r="AB28" s="1">
        <f>IF(ISERROR(INDEX(Sheet2!$B$2:$O$7,MATCH($AG28,Sheet2!$B$2:$B$7,0),MATCH(AB$2,Sheet2!$B$2:$O$2,0))),0,INDEX(Sheet2!$B$2:$O$7,MATCH($AG28,Sheet2!$B$2:$B$7,0),MATCH(AB$2,Sheet2!$B$2:$O$2,0)))</f>
        <v>0</v>
      </c>
      <c r="AC28" s="1">
        <f>IF(ISERROR(INDEX(Sheet2!$B$2:$O$7,MATCH($AG28,Sheet2!$B$2:$B$7,0),MATCH(AC$2,Sheet2!$B$2:$O$2,0))),0,INDEX(Sheet2!$B$2:$O$7,MATCH($AG28,Sheet2!$B$2:$B$7,0),MATCH(AC$2,Sheet2!$B$2:$O$2,0)))</f>
        <v>0</v>
      </c>
      <c r="AD28" s="12" t="s">
        <v>220</v>
      </c>
      <c r="AE28" s="25">
        <v>17125</v>
      </c>
      <c r="AF28" s="21" t="s">
        <v>214</v>
      </c>
      <c r="AG28" s="13">
        <f>INDEX([1]Sheet1!$U:$U,MATCH($A28,[1]Sheet1!$BN:$BN,0),0)</f>
        <v>16</v>
      </c>
    </row>
    <row r="29" spans="1:33">
      <c r="A29" s="1">
        <v>1114</v>
      </c>
      <c r="B29" s="1" t="s">
        <v>99</v>
      </c>
      <c r="C29" s="13" t="s">
        <v>147</v>
      </c>
      <c r="D29" s="1" t="str">
        <f t="shared" si="0"/>
        <v>[[90000,11140],[90001,11141],[90002,11142],[90003,11143],[90004,11144],[90005,11145],[90006,11146]]</v>
      </c>
      <c r="E29" s="45">
        <v>4</v>
      </c>
      <c r="F29" s="1">
        <f>IF(ISERROR(INDEX(Sheet2!$B$2:$O$7,MATCH($AG29,Sheet2!$B$2:$B$7,0),MATCH(F$2,Sheet2!$B$2:$O$2,0))),0,INDEX(Sheet2!$B$2:$O$7,MATCH($AG29,Sheet2!$B$2:$B$7,0),MATCH(F$2,Sheet2!$B$2:$O$2,0)))</f>
        <v>5000</v>
      </c>
      <c r="G29" s="1">
        <f>IF(ISERROR(INDEX(Sheet2!$B$2:$O$7,MATCH($AG29,Sheet2!$B$2:$B$7,0),MATCH(G$2,Sheet2!$B$2:$O$2,0))),0,INDEX(Sheet2!$B$2:$O$7,MATCH($AG29,Sheet2!$B$2:$B$7,0),MATCH(G$2,Sheet2!$B$2:$O$2,0)))</f>
        <v>200</v>
      </c>
      <c r="H29" s="1">
        <f>IF(ISERROR(INDEX(Sheet2!$B$2:$O$7,MATCH($AG29,Sheet2!$B$2:$B$7,0),MATCH(H$2,Sheet2!$B$2:$O$2,0))),0,INDEX(Sheet2!$B$2:$O$7,MATCH($AG29,Sheet2!$B$2:$B$7,0),MATCH(H$2,Sheet2!$B$2:$O$2,0)))</f>
        <v>100</v>
      </c>
      <c r="I29" s="1">
        <f>IF(ISERROR(INDEX(Sheet2!$B$2:$O$7,MATCH($AG29,Sheet2!$B$2:$B$7,0),MATCH(I$2,Sheet2!$B$2:$O$2,0))),0,INDEX(Sheet2!$B$2:$O$7,MATCH($AG29,Sheet2!$B$2:$B$7,0),MATCH(I$2,Sheet2!$B$2:$O$2,0)))</f>
        <v>100</v>
      </c>
      <c r="J29" s="1">
        <f>IF(ISERROR(INDEX(Sheet2!$B$2:$O$7,MATCH($AG29,Sheet2!$B$2:$B$7,0),MATCH(J$2,Sheet2!$B$2:$O$2,0))),0,INDEX(Sheet2!$B$2:$O$7,MATCH($AG29,Sheet2!$B$2:$B$7,0),MATCH(J$2,Sheet2!$B$2:$O$2,0)))</f>
        <v>0</v>
      </c>
      <c r="K29" s="1">
        <f>IF(ISERROR(INDEX(Sheet2!$B$2:$O$7,MATCH($AG29,Sheet2!$B$2:$B$7,0),MATCH(K$2,Sheet2!$B$2:$O$2,0))),0,INDEX(Sheet2!$B$2:$O$7,MATCH($AG29,Sheet2!$B$2:$B$7,0),MATCH(K$2,Sheet2!$B$2:$O$2,0)))</f>
        <v>0</v>
      </c>
      <c r="L29" s="1">
        <f>IF(ISERROR(INDEX(Sheet2!$B$2:$O$7,MATCH($AG29,Sheet2!$B$2:$B$7,0),MATCH(L$2,Sheet2!$B$2:$O$2,0))),0,INDEX(Sheet2!$B$2:$O$7,MATCH($AG29,Sheet2!$B$2:$B$7,0),MATCH(L$2,Sheet2!$B$2:$O$2,0)))</f>
        <v>0</v>
      </c>
      <c r="M29" s="1">
        <f>IF(ISERROR(INDEX(Sheet2!$B$2:$O$7,MATCH($AG29,Sheet2!$B$2:$B$7,0),MATCH(M$2,Sheet2!$B$2:$O$2,0))),0,INDEX(Sheet2!$B$2:$O$7,MATCH($AG29,Sheet2!$B$2:$B$7,0),MATCH(M$2,Sheet2!$B$2:$O$2,0)))</f>
        <v>0</v>
      </c>
      <c r="N29" s="1">
        <f>IF(ISERROR(INDEX(Sheet2!$B$2:$O$7,MATCH($AG29,Sheet2!$B$2:$B$7,0),MATCH(N$2,Sheet2!$B$2:$O$2,0))),0,INDEX(Sheet2!$B$2:$O$7,MATCH($AG29,Sheet2!$B$2:$B$7,0),MATCH(N$2,Sheet2!$B$2:$O$2,0)))</f>
        <v>600</v>
      </c>
      <c r="O29" s="1">
        <f>IF(ISERROR(INDEX(Sheet2!$B$2:$O$7,MATCH($AG29,Sheet2!$B$2:$B$7,0),MATCH(O$2,Sheet2!$B$2:$O$2,0))),0,INDEX(Sheet2!$B$2:$O$7,MATCH($AG29,Sheet2!$B$2:$B$7,0),MATCH(O$2,Sheet2!$B$2:$O$2,0)))</f>
        <v>24</v>
      </c>
      <c r="P29" s="1">
        <f>IF(ISERROR(INDEX(Sheet2!$B$2:$O$7,MATCH($AG29,Sheet2!$B$2:$B$7,0),MATCH(P$2,Sheet2!$B$2:$O$2,0))),0,INDEX(Sheet2!$B$2:$O$7,MATCH($AG29,Sheet2!$B$2:$B$7,0),MATCH(P$2,Sheet2!$B$2:$O$2,0)))</f>
        <v>12</v>
      </c>
      <c r="Q29" s="1">
        <f>IF(ISERROR(INDEX(Sheet2!$B$2:$O$7,MATCH($AG29,Sheet2!$B$2:$B$7,0),MATCH(Q$2,Sheet2!$B$2:$O$2,0))),0,INDEX(Sheet2!$B$2:$O$7,MATCH($AG29,Sheet2!$B$2:$B$7,0),MATCH(Q$2,Sheet2!$B$2:$O$2,0)))</f>
        <v>12</v>
      </c>
      <c r="R29" s="1">
        <f>IF(ISERROR(INDEX(Sheet2!$B$2:$O$7,MATCH($AG29,Sheet2!$B$2:$B$7,0),MATCH(R$2,Sheet2!$B$2:$O$2,0))),0,INDEX(Sheet2!$B$2:$O$7,MATCH($AG29,Sheet2!$B$2:$B$7,0),MATCH(R$2,Sheet2!$B$2:$O$2,0)))</f>
        <v>0</v>
      </c>
      <c r="S29" s="1">
        <f>IF(ISERROR(INDEX(Sheet2!$B$2:$O$7,MATCH($AG29,Sheet2!$B$2:$B$7,0),MATCH(S$2,Sheet2!$B$2:$O$2,0))),0,INDEX(Sheet2!$B$2:$O$7,MATCH($AG29,Sheet2!$B$2:$B$7,0),MATCH(S$2,Sheet2!$B$2:$O$2,0)))</f>
        <v>0</v>
      </c>
      <c r="T29" s="1">
        <f>IF(ISERROR(INDEX(Sheet2!$B$2:$O$7,MATCH($AG29,Sheet2!$B$2:$B$7,0),MATCH(T$2,Sheet2!$B$2:$O$2,0))),0,INDEX(Sheet2!$B$2:$O$7,MATCH($AG29,Sheet2!$B$2:$B$7,0),MATCH(T$2,Sheet2!$B$2:$O$2,0)))</f>
        <v>0</v>
      </c>
      <c r="U29" s="1">
        <f>IF(ISERROR(INDEX(Sheet2!$B$2:$O$7,MATCH($AG29,Sheet2!$B$2:$B$7,0),MATCH(U$2,Sheet2!$B$2:$O$2,0))),0,INDEX(Sheet2!$B$2:$O$7,MATCH($AG29,Sheet2!$B$2:$B$7,0),MATCH(U$2,Sheet2!$B$2:$O$2,0)))</f>
        <v>0</v>
      </c>
      <c r="V29" s="1">
        <f>IF(ISERROR(INDEX(Sheet2!$B$2:$O$7,MATCH($AG29,Sheet2!$B$2:$B$7,0),MATCH(V$2,Sheet2!$B$2:$O$2,0))),0,INDEX(Sheet2!$B$2:$O$7,MATCH($AG29,Sheet2!$B$2:$B$7,0),MATCH(V$2,Sheet2!$B$2:$O$2,0)))</f>
        <v>10000</v>
      </c>
      <c r="W29" s="1">
        <f>IF(ISERROR(INDEX(Sheet2!$B$2:$O$7,MATCH($AG29,Sheet2!$B$2:$B$7,0),MATCH(W$2,Sheet2!$B$2:$O$2,0))),0,INDEX(Sheet2!$B$2:$O$7,MATCH($AG29,Sheet2!$B$2:$B$7,0),MATCH(W$2,Sheet2!$B$2:$O$2,0)))</f>
        <v>400</v>
      </c>
      <c r="X29" s="1">
        <f>IF(ISERROR(INDEX(Sheet2!$B$2:$O$7,MATCH($AG29,Sheet2!$B$2:$B$7,0),MATCH(X$2,Sheet2!$B$2:$O$2,0))),0,INDEX(Sheet2!$B$2:$O$7,MATCH($AG29,Sheet2!$B$2:$B$7,0),MATCH(X$2,Sheet2!$B$2:$O$2,0)))</f>
        <v>200</v>
      </c>
      <c r="Y29" s="1">
        <f>IF(ISERROR(INDEX(Sheet2!$B$2:$O$7,MATCH($AG29,Sheet2!$B$2:$B$7,0),MATCH(Y$2,Sheet2!$B$2:$O$2,0))),0,INDEX(Sheet2!$B$2:$O$7,MATCH($AG29,Sheet2!$B$2:$B$7,0),MATCH(Y$2,Sheet2!$B$2:$O$2,0)))</f>
        <v>200</v>
      </c>
      <c r="Z29" s="1">
        <f>IF(ISERROR(INDEX(Sheet2!$B$2:$O$7,MATCH($AG29,Sheet2!$B$2:$B$7,0),MATCH(Z$2,Sheet2!$B$2:$O$2,0))),0,INDEX(Sheet2!$B$2:$O$7,MATCH($AG29,Sheet2!$B$2:$B$7,0),MATCH(Z$2,Sheet2!$B$2:$O$2,0)))</f>
        <v>0</v>
      </c>
      <c r="AA29" s="1">
        <f>IF(ISERROR(INDEX(Sheet2!$B$2:$O$7,MATCH($AG29,Sheet2!$B$2:$B$7,0),MATCH(AA$2,Sheet2!$B$2:$O$2,0))),0,INDEX(Sheet2!$B$2:$O$7,MATCH($AG29,Sheet2!$B$2:$B$7,0),MATCH(AA$2,Sheet2!$B$2:$O$2,0)))</f>
        <v>0</v>
      </c>
      <c r="AB29" s="1">
        <f>IF(ISERROR(INDEX(Sheet2!$B$2:$O$7,MATCH($AG29,Sheet2!$B$2:$B$7,0),MATCH(AB$2,Sheet2!$B$2:$O$2,0))),0,INDEX(Sheet2!$B$2:$O$7,MATCH($AG29,Sheet2!$B$2:$B$7,0),MATCH(AB$2,Sheet2!$B$2:$O$2,0)))</f>
        <v>0</v>
      </c>
      <c r="AC29" s="1">
        <f>IF(ISERROR(INDEX(Sheet2!$B$2:$O$7,MATCH($AG29,Sheet2!$B$2:$B$7,0),MATCH(AC$2,Sheet2!$B$2:$O$2,0))),0,INDEX(Sheet2!$B$2:$O$7,MATCH($AG29,Sheet2!$B$2:$B$7,0),MATCH(AC$2,Sheet2!$B$2:$O$2,0)))</f>
        <v>0</v>
      </c>
      <c r="AD29" s="12" t="s">
        <v>219</v>
      </c>
      <c r="AE29" s="25">
        <v>17126</v>
      </c>
      <c r="AF29" s="21" t="s">
        <v>177</v>
      </c>
      <c r="AG29" s="13">
        <f>INDEX([1]Sheet1!$U:$U,MATCH($A29,[1]Sheet1!$BN:$BN,0),0)</f>
        <v>13</v>
      </c>
    </row>
    <row r="30" spans="1:33">
      <c r="A30" s="1">
        <v>1110</v>
      </c>
      <c r="B30" s="1" t="s">
        <v>100</v>
      </c>
      <c r="C30" s="13" t="s">
        <v>148</v>
      </c>
      <c r="D30" s="1" t="str">
        <f t="shared" si="0"/>
        <v>[[90000,11100],[90001,11101],[90002,11102],[90003,11103],[90004,11104],[90005,11105],[90006,11106]]</v>
      </c>
      <c r="E30" s="45">
        <v>4</v>
      </c>
      <c r="F30" s="1">
        <f>IF(ISERROR(INDEX(Sheet2!$B$2:$O$7,MATCH($AG30,Sheet2!$B$2:$B$7,0),MATCH(F$2,Sheet2!$B$2:$O$2,0))),0,INDEX(Sheet2!$B$2:$O$7,MATCH($AG30,Sheet2!$B$2:$B$7,0),MATCH(F$2,Sheet2!$B$2:$O$2,0)))</f>
        <v>5000</v>
      </c>
      <c r="G30" s="1">
        <f>IF(ISERROR(INDEX(Sheet2!$B$2:$O$7,MATCH($AG30,Sheet2!$B$2:$B$7,0),MATCH(G$2,Sheet2!$B$2:$O$2,0))),0,INDEX(Sheet2!$B$2:$O$7,MATCH($AG30,Sheet2!$B$2:$B$7,0),MATCH(G$2,Sheet2!$B$2:$O$2,0)))</f>
        <v>200</v>
      </c>
      <c r="H30" s="1">
        <f>IF(ISERROR(INDEX(Sheet2!$B$2:$O$7,MATCH($AG30,Sheet2!$B$2:$B$7,0),MATCH(H$2,Sheet2!$B$2:$O$2,0))),0,INDEX(Sheet2!$B$2:$O$7,MATCH($AG30,Sheet2!$B$2:$B$7,0),MATCH(H$2,Sheet2!$B$2:$O$2,0)))</f>
        <v>100</v>
      </c>
      <c r="I30" s="1">
        <f>IF(ISERROR(INDEX(Sheet2!$B$2:$O$7,MATCH($AG30,Sheet2!$B$2:$B$7,0),MATCH(I$2,Sheet2!$B$2:$O$2,0))),0,INDEX(Sheet2!$B$2:$O$7,MATCH($AG30,Sheet2!$B$2:$B$7,0),MATCH(I$2,Sheet2!$B$2:$O$2,0)))</f>
        <v>100</v>
      </c>
      <c r="J30" s="1">
        <f>IF(ISERROR(INDEX(Sheet2!$B$2:$O$7,MATCH($AG30,Sheet2!$B$2:$B$7,0),MATCH(J$2,Sheet2!$B$2:$O$2,0))),0,INDEX(Sheet2!$B$2:$O$7,MATCH($AG30,Sheet2!$B$2:$B$7,0),MATCH(J$2,Sheet2!$B$2:$O$2,0)))</f>
        <v>0</v>
      </c>
      <c r="K30" s="1">
        <f>IF(ISERROR(INDEX(Sheet2!$B$2:$O$7,MATCH($AG30,Sheet2!$B$2:$B$7,0),MATCH(K$2,Sheet2!$B$2:$O$2,0))),0,INDEX(Sheet2!$B$2:$O$7,MATCH($AG30,Sheet2!$B$2:$B$7,0),MATCH(K$2,Sheet2!$B$2:$O$2,0)))</f>
        <v>0</v>
      </c>
      <c r="L30" s="1">
        <f>IF(ISERROR(INDEX(Sheet2!$B$2:$O$7,MATCH($AG30,Sheet2!$B$2:$B$7,0),MATCH(L$2,Sheet2!$B$2:$O$2,0))),0,INDEX(Sheet2!$B$2:$O$7,MATCH($AG30,Sheet2!$B$2:$B$7,0),MATCH(L$2,Sheet2!$B$2:$O$2,0)))</f>
        <v>0</v>
      </c>
      <c r="M30" s="1">
        <f>IF(ISERROR(INDEX(Sheet2!$B$2:$O$7,MATCH($AG30,Sheet2!$B$2:$B$7,0),MATCH(M$2,Sheet2!$B$2:$O$2,0))),0,INDEX(Sheet2!$B$2:$O$7,MATCH($AG30,Sheet2!$B$2:$B$7,0),MATCH(M$2,Sheet2!$B$2:$O$2,0)))</f>
        <v>0</v>
      </c>
      <c r="N30" s="1">
        <f>IF(ISERROR(INDEX(Sheet2!$B$2:$O$7,MATCH($AG30,Sheet2!$B$2:$B$7,0),MATCH(N$2,Sheet2!$B$2:$O$2,0))),0,INDEX(Sheet2!$B$2:$O$7,MATCH($AG30,Sheet2!$B$2:$B$7,0),MATCH(N$2,Sheet2!$B$2:$O$2,0)))</f>
        <v>600</v>
      </c>
      <c r="O30" s="1">
        <f>IF(ISERROR(INDEX(Sheet2!$B$2:$O$7,MATCH($AG30,Sheet2!$B$2:$B$7,0),MATCH(O$2,Sheet2!$B$2:$O$2,0))),0,INDEX(Sheet2!$B$2:$O$7,MATCH($AG30,Sheet2!$B$2:$B$7,0),MATCH(O$2,Sheet2!$B$2:$O$2,0)))</f>
        <v>24</v>
      </c>
      <c r="P30" s="1">
        <f>IF(ISERROR(INDEX(Sheet2!$B$2:$O$7,MATCH($AG30,Sheet2!$B$2:$B$7,0),MATCH(P$2,Sheet2!$B$2:$O$2,0))),0,INDEX(Sheet2!$B$2:$O$7,MATCH($AG30,Sheet2!$B$2:$B$7,0),MATCH(P$2,Sheet2!$B$2:$O$2,0)))</f>
        <v>12</v>
      </c>
      <c r="Q30" s="1">
        <f>IF(ISERROR(INDEX(Sheet2!$B$2:$O$7,MATCH($AG30,Sheet2!$B$2:$B$7,0),MATCH(Q$2,Sheet2!$B$2:$O$2,0))),0,INDEX(Sheet2!$B$2:$O$7,MATCH($AG30,Sheet2!$B$2:$B$7,0),MATCH(Q$2,Sheet2!$B$2:$O$2,0)))</f>
        <v>12</v>
      </c>
      <c r="R30" s="1">
        <f>IF(ISERROR(INDEX(Sheet2!$B$2:$O$7,MATCH($AG30,Sheet2!$B$2:$B$7,0),MATCH(R$2,Sheet2!$B$2:$O$2,0))),0,INDEX(Sheet2!$B$2:$O$7,MATCH($AG30,Sheet2!$B$2:$B$7,0),MATCH(R$2,Sheet2!$B$2:$O$2,0)))</f>
        <v>0</v>
      </c>
      <c r="S30" s="1">
        <f>IF(ISERROR(INDEX(Sheet2!$B$2:$O$7,MATCH($AG30,Sheet2!$B$2:$B$7,0),MATCH(S$2,Sheet2!$B$2:$O$2,0))),0,INDEX(Sheet2!$B$2:$O$7,MATCH($AG30,Sheet2!$B$2:$B$7,0),MATCH(S$2,Sheet2!$B$2:$O$2,0)))</f>
        <v>0</v>
      </c>
      <c r="T30" s="1">
        <f>IF(ISERROR(INDEX(Sheet2!$B$2:$O$7,MATCH($AG30,Sheet2!$B$2:$B$7,0),MATCH(T$2,Sheet2!$B$2:$O$2,0))),0,INDEX(Sheet2!$B$2:$O$7,MATCH($AG30,Sheet2!$B$2:$B$7,0),MATCH(T$2,Sheet2!$B$2:$O$2,0)))</f>
        <v>0</v>
      </c>
      <c r="U30" s="1">
        <f>IF(ISERROR(INDEX(Sheet2!$B$2:$O$7,MATCH($AG30,Sheet2!$B$2:$B$7,0),MATCH(U$2,Sheet2!$B$2:$O$2,0))),0,INDEX(Sheet2!$B$2:$O$7,MATCH($AG30,Sheet2!$B$2:$B$7,0),MATCH(U$2,Sheet2!$B$2:$O$2,0)))</f>
        <v>0</v>
      </c>
      <c r="V30" s="1">
        <f>IF(ISERROR(INDEX(Sheet2!$B$2:$O$7,MATCH($AG30,Sheet2!$B$2:$B$7,0),MATCH(V$2,Sheet2!$B$2:$O$2,0))),0,INDEX(Sheet2!$B$2:$O$7,MATCH($AG30,Sheet2!$B$2:$B$7,0),MATCH(V$2,Sheet2!$B$2:$O$2,0)))</f>
        <v>10000</v>
      </c>
      <c r="W30" s="1">
        <f>IF(ISERROR(INDEX(Sheet2!$B$2:$O$7,MATCH($AG30,Sheet2!$B$2:$B$7,0),MATCH(W$2,Sheet2!$B$2:$O$2,0))),0,INDEX(Sheet2!$B$2:$O$7,MATCH($AG30,Sheet2!$B$2:$B$7,0),MATCH(W$2,Sheet2!$B$2:$O$2,0)))</f>
        <v>400</v>
      </c>
      <c r="X30" s="1">
        <f>IF(ISERROR(INDEX(Sheet2!$B$2:$O$7,MATCH($AG30,Sheet2!$B$2:$B$7,0),MATCH(X$2,Sheet2!$B$2:$O$2,0))),0,INDEX(Sheet2!$B$2:$O$7,MATCH($AG30,Sheet2!$B$2:$B$7,0),MATCH(X$2,Sheet2!$B$2:$O$2,0)))</f>
        <v>200</v>
      </c>
      <c r="Y30" s="1">
        <f>IF(ISERROR(INDEX(Sheet2!$B$2:$O$7,MATCH($AG30,Sheet2!$B$2:$B$7,0),MATCH(Y$2,Sheet2!$B$2:$O$2,0))),0,INDEX(Sheet2!$B$2:$O$7,MATCH($AG30,Sheet2!$B$2:$B$7,0),MATCH(Y$2,Sheet2!$B$2:$O$2,0)))</f>
        <v>200</v>
      </c>
      <c r="Z30" s="1">
        <f>IF(ISERROR(INDEX(Sheet2!$B$2:$O$7,MATCH($AG30,Sheet2!$B$2:$B$7,0),MATCH(Z$2,Sheet2!$B$2:$O$2,0))),0,INDEX(Sheet2!$B$2:$O$7,MATCH($AG30,Sheet2!$B$2:$B$7,0),MATCH(Z$2,Sheet2!$B$2:$O$2,0)))</f>
        <v>0</v>
      </c>
      <c r="AA30" s="1">
        <f>IF(ISERROR(INDEX(Sheet2!$B$2:$O$7,MATCH($AG30,Sheet2!$B$2:$B$7,0),MATCH(AA$2,Sheet2!$B$2:$O$2,0))),0,INDEX(Sheet2!$B$2:$O$7,MATCH($AG30,Sheet2!$B$2:$B$7,0),MATCH(AA$2,Sheet2!$B$2:$O$2,0)))</f>
        <v>0</v>
      </c>
      <c r="AB30" s="1">
        <f>IF(ISERROR(INDEX(Sheet2!$B$2:$O$7,MATCH($AG30,Sheet2!$B$2:$B$7,0),MATCH(AB$2,Sheet2!$B$2:$O$2,0))),0,INDEX(Sheet2!$B$2:$O$7,MATCH($AG30,Sheet2!$B$2:$B$7,0),MATCH(AB$2,Sheet2!$B$2:$O$2,0)))</f>
        <v>0</v>
      </c>
      <c r="AC30" s="1">
        <f>IF(ISERROR(INDEX(Sheet2!$B$2:$O$7,MATCH($AG30,Sheet2!$B$2:$B$7,0),MATCH(AC$2,Sheet2!$B$2:$O$2,0))),0,INDEX(Sheet2!$B$2:$O$7,MATCH($AG30,Sheet2!$B$2:$B$7,0),MATCH(AC$2,Sheet2!$B$2:$O$2,0)))</f>
        <v>0</v>
      </c>
      <c r="AD30" s="12" t="s">
        <v>219</v>
      </c>
      <c r="AE30" s="25">
        <v>17127</v>
      </c>
      <c r="AF30" s="21" t="s">
        <v>178</v>
      </c>
      <c r="AG30" s="13">
        <f>INDEX([1]Sheet1!$U:$U,MATCH($A30,[1]Sheet1!$BN:$BN,0),0)</f>
        <v>13</v>
      </c>
    </row>
    <row r="31" spans="1:33">
      <c r="A31" s="1">
        <v>1104</v>
      </c>
      <c r="B31" s="1" t="s">
        <v>101</v>
      </c>
      <c r="C31" s="13" t="s">
        <v>67</v>
      </c>
      <c r="D31" s="1" t="str">
        <f t="shared" si="0"/>
        <v>[[90000,11040],[90001,11041],[90002,11042],[90003,11043],[90004,11044],[90005,11045],[90006,11046]]</v>
      </c>
      <c r="E31" s="45">
        <v>4</v>
      </c>
      <c r="F31" s="1">
        <f>IF(ISERROR(INDEX(Sheet2!$B$2:$O$7,MATCH($AG31,Sheet2!$B$2:$B$7,0),MATCH(F$2,Sheet2!$B$2:$O$2,0))),0,INDEX(Sheet2!$B$2:$O$7,MATCH($AG31,Sheet2!$B$2:$B$7,0),MATCH(F$2,Sheet2!$B$2:$O$2,0)))</f>
        <v>5000</v>
      </c>
      <c r="G31" s="1">
        <f>IF(ISERROR(INDEX(Sheet2!$B$2:$O$7,MATCH($AG31,Sheet2!$B$2:$B$7,0),MATCH(G$2,Sheet2!$B$2:$O$2,0))),0,INDEX(Sheet2!$B$2:$O$7,MATCH($AG31,Sheet2!$B$2:$B$7,0),MATCH(G$2,Sheet2!$B$2:$O$2,0)))</f>
        <v>200</v>
      </c>
      <c r="H31" s="1">
        <f>IF(ISERROR(INDEX(Sheet2!$B$2:$O$7,MATCH($AG31,Sheet2!$B$2:$B$7,0),MATCH(H$2,Sheet2!$B$2:$O$2,0))),0,INDEX(Sheet2!$B$2:$O$7,MATCH($AG31,Sheet2!$B$2:$B$7,0),MATCH(H$2,Sheet2!$B$2:$O$2,0)))</f>
        <v>100</v>
      </c>
      <c r="I31" s="1">
        <f>IF(ISERROR(INDEX(Sheet2!$B$2:$O$7,MATCH($AG31,Sheet2!$B$2:$B$7,0),MATCH(I$2,Sheet2!$B$2:$O$2,0))),0,INDEX(Sheet2!$B$2:$O$7,MATCH($AG31,Sheet2!$B$2:$B$7,0),MATCH(I$2,Sheet2!$B$2:$O$2,0)))</f>
        <v>100</v>
      </c>
      <c r="J31" s="1">
        <f>IF(ISERROR(INDEX(Sheet2!$B$2:$O$7,MATCH($AG31,Sheet2!$B$2:$B$7,0),MATCH(J$2,Sheet2!$B$2:$O$2,0))),0,INDEX(Sheet2!$B$2:$O$7,MATCH($AG31,Sheet2!$B$2:$B$7,0),MATCH(J$2,Sheet2!$B$2:$O$2,0)))</f>
        <v>0</v>
      </c>
      <c r="K31" s="1">
        <f>IF(ISERROR(INDEX(Sheet2!$B$2:$O$7,MATCH($AG31,Sheet2!$B$2:$B$7,0),MATCH(K$2,Sheet2!$B$2:$O$2,0))),0,INDEX(Sheet2!$B$2:$O$7,MATCH($AG31,Sheet2!$B$2:$B$7,0),MATCH(K$2,Sheet2!$B$2:$O$2,0)))</f>
        <v>0</v>
      </c>
      <c r="L31" s="1">
        <f>IF(ISERROR(INDEX(Sheet2!$B$2:$O$7,MATCH($AG31,Sheet2!$B$2:$B$7,0),MATCH(L$2,Sheet2!$B$2:$O$2,0))),0,INDEX(Sheet2!$B$2:$O$7,MATCH($AG31,Sheet2!$B$2:$B$7,0),MATCH(L$2,Sheet2!$B$2:$O$2,0)))</f>
        <v>0</v>
      </c>
      <c r="M31" s="1">
        <f>IF(ISERROR(INDEX(Sheet2!$B$2:$O$7,MATCH($AG31,Sheet2!$B$2:$B$7,0),MATCH(M$2,Sheet2!$B$2:$O$2,0))),0,INDEX(Sheet2!$B$2:$O$7,MATCH($AG31,Sheet2!$B$2:$B$7,0),MATCH(M$2,Sheet2!$B$2:$O$2,0)))</f>
        <v>0</v>
      </c>
      <c r="N31" s="1">
        <f>IF(ISERROR(INDEX(Sheet2!$B$2:$O$7,MATCH($AG31,Sheet2!$B$2:$B$7,0),MATCH(N$2,Sheet2!$B$2:$O$2,0))),0,INDEX(Sheet2!$B$2:$O$7,MATCH($AG31,Sheet2!$B$2:$B$7,0),MATCH(N$2,Sheet2!$B$2:$O$2,0)))</f>
        <v>600</v>
      </c>
      <c r="O31" s="1">
        <f>IF(ISERROR(INDEX(Sheet2!$B$2:$O$7,MATCH($AG31,Sheet2!$B$2:$B$7,0),MATCH(O$2,Sheet2!$B$2:$O$2,0))),0,INDEX(Sheet2!$B$2:$O$7,MATCH($AG31,Sheet2!$B$2:$B$7,0),MATCH(O$2,Sheet2!$B$2:$O$2,0)))</f>
        <v>24</v>
      </c>
      <c r="P31" s="1">
        <f>IF(ISERROR(INDEX(Sheet2!$B$2:$O$7,MATCH($AG31,Sheet2!$B$2:$B$7,0),MATCH(P$2,Sheet2!$B$2:$O$2,0))),0,INDEX(Sheet2!$B$2:$O$7,MATCH($AG31,Sheet2!$B$2:$B$7,0),MATCH(P$2,Sheet2!$B$2:$O$2,0)))</f>
        <v>12</v>
      </c>
      <c r="Q31" s="1">
        <f>IF(ISERROR(INDEX(Sheet2!$B$2:$O$7,MATCH($AG31,Sheet2!$B$2:$B$7,0),MATCH(Q$2,Sheet2!$B$2:$O$2,0))),0,INDEX(Sheet2!$B$2:$O$7,MATCH($AG31,Sheet2!$B$2:$B$7,0),MATCH(Q$2,Sheet2!$B$2:$O$2,0)))</f>
        <v>12</v>
      </c>
      <c r="R31" s="1">
        <f>IF(ISERROR(INDEX(Sheet2!$B$2:$O$7,MATCH($AG31,Sheet2!$B$2:$B$7,0),MATCH(R$2,Sheet2!$B$2:$O$2,0))),0,INDEX(Sheet2!$B$2:$O$7,MATCH($AG31,Sheet2!$B$2:$B$7,0),MATCH(R$2,Sheet2!$B$2:$O$2,0)))</f>
        <v>0</v>
      </c>
      <c r="S31" s="1">
        <f>IF(ISERROR(INDEX(Sheet2!$B$2:$O$7,MATCH($AG31,Sheet2!$B$2:$B$7,0),MATCH(S$2,Sheet2!$B$2:$O$2,0))),0,INDEX(Sheet2!$B$2:$O$7,MATCH($AG31,Sheet2!$B$2:$B$7,0),MATCH(S$2,Sheet2!$B$2:$O$2,0)))</f>
        <v>0</v>
      </c>
      <c r="T31" s="1">
        <f>IF(ISERROR(INDEX(Sheet2!$B$2:$O$7,MATCH($AG31,Sheet2!$B$2:$B$7,0),MATCH(T$2,Sheet2!$B$2:$O$2,0))),0,INDEX(Sheet2!$B$2:$O$7,MATCH($AG31,Sheet2!$B$2:$B$7,0),MATCH(T$2,Sheet2!$B$2:$O$2,0)))</f>
        <v>0</v>
      </c>
      <c r="U31" s="1">
        <f>IF(ISERROR(INDEX(Sheet2!$B$2:$O$7,MATCH($AG31,Sheet2!$B$2:$B$7,0),MATCH(U$2,Sheet2!$B$2:$O$2,0))),0,INDEX(Sheet2!$B$2:$O$7,MATCH($AG31,Sheet2!$B$2:$B$7,0),MATCH(U$2,Sheet2!$B$2:$O$2,0)))</f>
        <v>0</v>
      </c>
      <c r="V31" s="1">
        <f>IF(ISERROR(INDEX(Sheet2!$B$2:$O$7,MATCH($AG31,Sheet2!$B$2:$B$7,0),MATCH(V$2,Sheet2!$B$2:$O$2,0))),0,INDEX(Sheet2!$B$2:$O$7,MATCH($AG31,Sheet2!$B$2:$B$7,0),MATCH(V$2,Sheet2!$B$2:$O$2,0)))</f>
        <v>10000</v>
      </c>
      <c r="W31" s="1">
        <f>IF(ISERROR(INDEX(Sheet2!$B$2:$O$7,MATCH($AG31,Sheet2!$B$2:$B$7,0),MATCH(W$2,Sheet2!$B$2:$O$2,0))),0,INDEX(Sheet2!$B$2:$O$7,MATCH($AG31,Sheet2!$B$2:$B$7,0),MATCH(W$2,Sheet2!$B$2:$O$2,0)))</f>
        <v>400</v>
      </c>
      <c r="X31" s="1">
        <f>IF(ISERROR(INDEX(Sheet2!$B$2:$O$7,MATCH($AG31,Sheet2!$B$2:$B$7,0),MATCH(X$2,Sheet2!$B$2:$O$2,0))),0,INDEX(Sheet2!$B$2:$O$7,MATCH($AG31,Sheet2!$B$2:$B$7,0),MATCH(X$2,Sheet2!$B$2:$O$2,0)))</f>
        <v>200</v>
      </c>
      <c r="Y31" s="1">
        <f>IF(ISERROR(INDEX(Sheet2!$B$2:$O$7,MATCH($AG31,Sheet2!$B$2:$B$7,0),MATCH(Y$2,Sheet2!$B$2:$O$2,0))),0,INDEX(Sheet2!$B$2:$O$7,MATCH($AG31,Sheet2!$B$2:$B$7,0),MATCH(Y$2,Sheet2!$B$2:$O$2,0)))</f>
        <v>200</v>
      </c>
      <c r="Z31" s="1">
        <f>IF(ISERROR(INDEX(Sheet2!$B$2:$O$7,MATCH($AG31,Sheet2!$B$2:$B$7,0),MATCH(Z$2,Sheet2!$B$2:$O$2,0))),0,INDEX(Sheet2!$B$2:$O$7,MATCH($AG31,Sheet2!$B$2:$B$7,0),MATCH(Z$2,Sheet2!$B$2:$O$2,0)))</f>
        <v>0</v>
      </c>
      <c r="AA31" s="1">
        <f>IF(ISERROR(INDEX(Sheet2!$B$2:$O$7,MATCH($AG31,Sheet2!$B$2:$B$7,0),MATCH(AA$2,Sheet2!$B$2:$O$2,0))),0,INDEX(Sheet2!$B$2:$O$7,MATCH($AG31,Sheet2!$B$2:$B$7,0),MATCH(AA$2,Sheet2!$B$2:$O$2,0)))</f>
        <v>0</v>
      </c>
      <c r="AB31" s="1">
        <f>IF(ISERROR(INDEX(Sheet2!$B$2:$O$7,MATCH($AG31,Sheet2!$B$2:$B$7,0),MATCH(AB$2,Sheet2!$B$2:$O$2,0))),0,INDEX(Sheet2!$B$2:$O$7,MATCH($AG31,Sheet2!$B$2:$B$7,0),MATCH(AB$2,Sheet2!$B$2:$O$2,0)))</f>
        <v>0</v>
      </c>
      <c r="AC31" s="1">
        <f>IF(ISERROR(INDEX(Sheet2!$B$2:$O$7,MATCH($AG31,Sheet2!$B$2:$B$7,0),MATCH(AC$2,Sheet2!$B$2:$O$2,0))),0,INDEX(Sheet2!$B$2:$O$7,MATCH($AG31,Sheet2!$B$2:$B$7,0),MATCH(AC$2,Sheet2!$B$2:$O$2,0)))</f>
        <v>0</v>
      </c>
      <c r="AD31" s="12" t="s">
        <v>219</v>
      </c>
      <c r="AE31" s="25">
        <v>17128</v>
      </c>
      <c r="AF31" s="21" t="s">
        <v>179</v>
      </c>
      <c r="AG31" s="13">
        <f>INDEX([1]Sheet1!$U:$U,MATCH($A31,[1]Sheet1!$BN:$BN,0),0)</f>
        <v>13</v>
      </c>
    </row>
    <row r="32" spans="1:33">
      <c r="A32" s="1">
        <v>1135</v>
      </c>
      <c r="B32" s="1" t="s">
        <v>102</v>
      </c>
      <c r="C32" s="13" t="s">
        <v>134</v>
      </c>
      <c r="D32" s="1" t="str">
        <f t="shared" si="0"/>
        <v>[[90000,11350],[90001,11351],[90002,11352],[90003,11353],[90004,11354],[90005,11355],[90006,11356]]</v>
      </c>
      <c r="E32" s="45">
        <v>4</v>
      </c>
      <c r="F32" s="1">
        <f>IF(ISERROR(INDEX(Sheet2!$B$2:$O$7,MATCH($AG32,Sheet2!$B$2:$B$7,0),MATCH(F$2,Sheet2!$B$2:$O$2,0))),0,INDEX(Sheet2!$B$2:$O$7,MATCH($AG32,Sheet2!$B$2:$B$7,0),MATCH(F$2,Sheet2!$B$2:$O$2,0)))</f>
        <v>5000</v>
      </c>
      <c r="G32" s="1">
        <f>IF(ISERROR(INDEX(Sheet2!$B$2:$O$7,MATCH($AG32,Sheet2!$B$2:$B$7,0),MATCH(G$2,Sheet2!$B$2:$O$2,0))),0,INDEX(Sheet2!$B$2:$O$7,MATCH($AG32,Sheet2!$B$2:$B$7,0),MATCH(G$2,Sheet2!$B$2:$O$2,0)))</f>
        <v>200</v>
      </c>
      <c r="H32" s="1">
        <f>IF(ISERROR(INDEX(Sheet2!$B$2:$O$7,MATCH($AG32,Sheet2!$B$2:$B$7,0),MATCH(H$2,Sheet2!$B$2:$O$2,0))),0,INDEX(Sheet2!$B$2:$O$7,MATCH($AG32,Sheet2!$B$2:$B$7,0),MATCH(H$2,Sheet2!$B$2:$O$2,0)))</f>
        <v>100</v>
      </c>
      <c r="I32" s="1">
        <f>IF(ISERROR(INDEX(Sheet2!$B$2:$O$7,MATCH($AG32,Sheet2!$B$2:$B$7,0),MATCH(I$2,Sheet2!$B$2:$O$2,0))),0,INDEX(Sheet2!$B$2:$O$7,MATCH($AG32,Sheet2!$B$2:$B$7,0),MATCH(I$2,Sheet2!$B$2:$O$2,0)))</f>
        <v>100</v>
      </c>
      <c r="J32" s="1">
        <f>IF(ISERROR(INDEX(Sheet2!$B$2:$O$7,MATCH($AG32,Sheet2!$B$2:$B$7,0),MATCH(J$2,Sheet2!$B$2:$O$2,0))),0,INDEX(Sheet2!$B$2:$O$7,MATCH($AG32,Sheet2!$B$2:$B$7,0),MATCH(J$2,Sheet2!$B$2:$O$2,0)))</f>
        <v>0</v>
      </c>
      <c r="K32" s="1">
        <f>IF(ISERROR(INDEX(Sheet2!$B$2:$O$7,MATCH($AG32,Sheet2!$B$2:$B$7,0),MATCH(K$2,Sheet2!$B$2:$O$2,0))),0,INDEX(Sheet2!$B$2:$O$7,MATCH($AG32,Sheet2!$B$2:$B$7,0),MATCH(K$2,Sheet2!$B$2:$O$2,0)))</f>
        <v>0</v>
      </c>
      <c r="L32" s="1">
        <f>IF(ISERROR(INDEX(Sheet2!$B$2:$O$7,MATCH($AG32,Sheet2!$B$2:$B$7,0),MATCH(L$2,Sheet2!$B$2:$O$2,0))),0,INDEX(Sheet2!$B$2:$O$7,MATCH($AG32,Sheet2!$B$2:$B$7,0),MATCH(L$2,Sheet2!$B$2:$O$2,0)))</f>
        <v>0</v>
      </c>
      <c r="M32" s="1">
        <f>IF(ISERROR(INDEX(Sheet2!$B$2:$O$7,MATCH($AG32,Sheet2!$B$2:$B$7,0),MATCH(M$2,Sheet2!$B$2:$O$2,0))),0,INDEX(Sheet2!$B$2:$O$7,MATCH($AG32,Sheet2!$B$2:$B$7,0),MATCH(M$2,Sheet2!$B$2:$O$2,0)))</f>
        <v>0</v>
      </c>
      <c r="N32" s="1">
        <f>IF(ISERROR(INDEX(Sheet2!$B$2:$O$7,MATCH($AG32,Sheet2!$B$2:$B$7,0),MATCH(N$2,Sheet2!$B$2:$O$2,0))),0,INDEX(Sheet2!$B$2:$O$7,MATCH($AG32,Sheet2!$B$2:$B$7,0),MATCH(N$2,Sheet2!$B$2:$O$2,0)))</f>
        <v>600</v>
      </c>
      <c r="O32" s="1">
        <f>IF(ISERROR(INDEX(Sheet2!$B$2:$O$7,MATCH($AG32,Sheet2!$B$2:$B$7,0),MATCH(O$2,Sheet2!$B$2:$O$2,0))),0,INDEX(Sheet2!$B$2:$O$7,MATCH($AG32,Sheet2!$B$2:$B$7,0),MATCH(O$2,Sheet2!$B$2:$O$2,0)))</f>
        <v>24</v>
      </c>
      <c r="P32" s="1">
        <f>IF(ISERROR(INDEX(Sheet2!$B$2:$O$7,MATCH($AG32,Sheet2!$B$2:$B$7,0),MATCH(P$2,Sheet2!$B$2:$O$2,0))),0,INDEX(Sheet2!$B$2:$O$7,MATCH($AG32,Sheet2!$B$2:$B$7,0),MATCH(P$2,Sheet2!$B$2:$O$2,0)))</f>
        <v>12</v>
      </c>
      <c r="Q32" s="1">
        <f>IF(ISERROR(INDEX(Sheet2!$B$2:$O$7,MATCH($AG32,Sheet2!$B$2:$B$7,0),MATCH(Q$2,Sheet2!$B$2:$O$2,0))),0,INDEX(Sheet2!$B$2:$O$7,MATCH($AG32,Sheet2!$B$2:$B$7,0),MATCH(Q$2,Sheet2!$B$2:$O$2,0)))</f>
        <v>12</v>
      </c>
      <c r="R32" s="1">
        <f>IF(ISERROR(INDEX(Sheet2!$B$2:$O$7,MATCH($AG32,Sheet2!$B$2:$B$7,0),MATCH(R$2,Sheet2!$B$2:$O$2,0))),0,INDEX(Sheet2!$B$2:$O$7,MATCH($AG32,Sheet2!$B$2:$B$7,0),MATCH(R$2,Sheet2!$B$2:$O$2,0)))</f>
        <v>0</v>
      </c>
      <c r="S32" s="1">
        <f>IF(ISERROR(INDEX(Sheet2!$B$2:$O$7,MATCH($AG32,Sheet2!$B$2:$B$7,0),MATCH(S$2,Sheet2!$B$2:$O$2,0))),0,INDEX(Sheet2!$B$2:$O$7,MATCH($AG32,Sheet2!$B$2:$B$7,0),MATCH(S$2,Sheet2!$B$2:$O$2,0)))</f>
        <v>0</v>
      </c>
      <c r="T32" s="1">
        <f>IF(ISERROR(INDEX(Sheet2!$B$2:$O$7,MATCH($AG32,Sheet2!$B$2:$B$7,0),MATCH(T$2,Sheet2!$B$2:$O$2,0))),0,INDEX(Sheet2!$B$2:$O$7,MATCH($AG32,Sheet2!$B$2:$B$7,0),MATCH(T$2,Sheet2!$B$2:$O$2,0)))</f>
        <v>0</v>
      </c>
      <c r="U32" s="1">
        <f>IF(ISERROR(INDEX(Sheet2!$B$2:$O$7,MATCH($AG32,Sheet2!$B$2:$B$7,0),MATCH(U$2,Sheet2!$B$2:$O$2,0))),0,INDEX(Sheet2!$B$2:$O$7,MATCH($AG32,Sheet2!$B$2:$B$7,0),MATCH(U$2,Sheet2!$B$2:$O$2,0)))</f>
        <v>0</v>
      </c>
      <c r="V32" s="1">
        <f>IF(ISERROR(INDEX(Sheet2!$B$2:$O$7,MATCH($AG32,Sheet2!$B$2:$B$7,0),MATCH(V$2,Sheet2!$B$2:$O$2,0))),0,INDEX(Sheet2!$B$2:$O$7,MATCH($AG32,Sheet2!$B$2:$B$7,0),MATCH(V$2,Sheet2!$B$2:$O$2,0)))</f>
        <v>10000</v>
      </c>
      <c r="W32" s="1">
        <f>IF(ISERROR(INDEX(Sheet2!$B$2:$O$7,MATCH($AG32,Sheet2!$B$2:$B$7,0),MATCH(W$2,Sheet2!$B$2:$O$2,0))),0,INDEX(Sheet2!$B$2:$O$7,MATCH($AG32,Sheet2!$B$2:$B$7,0),MATCH(W$2,Sheet2!$B$2:$O$2,0)))</f>
        <v>400</v>
      </c>
      <c r="X32" s="1">
        <f>IF(ISERROR(INDEX(Sheet2!$B$2:$O$7,MATCH($AG32,Sheet2!$B$2:$B$7,0),MATCH(X$2,Sheet2!$B$2:$O$2,0))),0,INDEX(Sheet2!$B$2:$O$7,MATCH($AG32,Sheet2!$B$2:$B$7,0),MATCH(X$2,Sheet2!$B$2:$O$2,0)))</f>
        <v>200</v>
      </c>
      <c r="Y32" s="1">
        <f>IF(ISERROR(INDEX(Sheet2!$B$2:$O$7,MATCH($AG32,Sheet2!$B$2:$B$7,0),MATCH(Y$2,Sheet2!$B$2:$O$2,0))),0,INDEX(Sheet2!$B$2:$O$7,MATCH($AG32,Sheet2!$B$2:$B$7,0),MATCH(Y$2,Sheet2!$B$2:$O$2,0)))</f>
        <v>200</v>
      </c>
      <c r="Z32" s="1">
        <f>IF(ISERROR(INDEX(Sheet2!$B$2:$O$7,MATCH($AG32,Sheet2!$B$2:$B$7,0),MATCH(Z$2,Sheet2!$B$2:$O$2,0))),0,INDEX(Sheet2!$B$2:$O$7,MATCH($AG32,Sheet2!$B$2:$B$7,0),MATCH(Z$2,Sheet2!$B$2:$O$2,0)))</f>
        <v>0</v>
      </c>
      <c r="AA32" s="1">
        <f>IF(ISERROR(INDEX(Sheet2!$B$2:$O$7,MATCH($AG32,Sheet2!$B$2:$B$7,0),MATCH(AA$2,Sheet2!$B$2:$O$2,0))),0,INDEX(Sheet2!$B$2:$O$7,MATCH($AG32,Sheet2!$B$2:$B$7,0),MATCH(AA$2,Sheet2!$B$2:$O$2,0)))</f>
        <v>0</v>
      </c>
      <c r="AB32" s="1">
        <f>IF(ISERROR(INDEX(Sheet2!$B$2:$O$7,MATCH($AG32,Sheet2!$B$2:$B$7,0),MATCH(AB$2,Sheet2!$B$2:$O$2,0))),0,INDEX(Sheet2!$B$2:$O$7,MATCH($AG32,Sheet2!$B$2:$B$7,0),MATCH(AB$2,Sheet2!$B$2:$O$2,0)))</f>
        <v>0</v>
      </c>
      <c r="AC32" s="1">
        <f>IF(ISERROR(INDEX(Sheet2!$B$2:$O$7,MATCH($AG32,Sheet2!$B$2:$B$7,0),MATCH(AC$2,Sheet2!$B$2:$O$2,0))),0,INDEX(Sheet2!$B$2:$O$7,MATCH($AG32,Sheet2!$B$2:$B$7,0),MATCH(AC$2,Sheet2!$B$2:$O$2,0)))</f>
        <v>0</v>
      </c>
      <c r="AD32" s="12" t="s">
        <v>219</v>
      </c>
      <c r="AE32" s="25">
        <v>17129</v>
      </c>
      <c r="AF32" s="21" t="s">
        <v>180</v>
      </c>
      <c r="AG32" s="13">
        <f>INDEX([1]Sheet1!$U:$U,MATCH($A32,[1]Sheet1!$BN:$BN,0),0)</f>
        <v>13</v>
      </c>
    </row>
    <row r="33" spans="1:34">
      <c r="A33" s="1">
        <v>1132</v>
      </c>
      <c r="B33" s="1" t="s">
        <v>103</v>
      </c>
      <c r="C33" s="13" t="s">
        <v>135</v>
      </c>
      <c r="D33" s="1" t="str">
        <f t="shared" si="0"/>
        <v>[[90000,11320],[90001,11321],[90002,11322],[90003,11323],[90004,11324],[90005,11325],[90006,11326]]</v>
      </c>
      <c r="E33" s="45">
        <v>4</v>
      </c>
      <c r="F33" s="1">
        <f>IF(ISERROR(INDEX(Sheet2!$B$2:$O$7,MATCH($AG33,Sheet2!$B$2:$B$7,0),MATCH(F$2,Sheet2!$B$2:$O$2,0))),0,INDEX(Sheet2!$B$2:$O$7,MATCH($AG33,Sheet2!$B$2:$B$7,0),MATCH(F$2,Sheet2!$B$2:$O$2,0)))</f>
        <v>5000</v>
      </c>
      <c r="G33" s="1">
        <f>IF(ISERROR(INDEX(Sheet2!$B$2:$O$7,MATCH($AG33,Sheet2!$B$2:$B$7,0),MATCH(G$2,Sheet2!$B$2:$O$2,0))),0,INDEX(Sheet2!$B$2:$O$7,MATCH($AG33,Sheet2!$B$2:$B$7,0),MATCH(G$2,Sheet2!$B$2:$O$2,0)))</f>
        <v>200</v>
      </c>
      <c r="H33" s="1">
        <f>IF(ISERROR(INDEX(Sheet2!$B$2:$O$7,MATCH($AG33,Sheet2!$B$2:$B$7,0),MATCH(H$2,Sheet2!$B$2:$O$2,0))),0,INDEX(Sheet2!$B$2:$O$7,MATCH($AG33,Sheet2!$B$2:$B$7,0),MATCH(H$2,Sheet2!$B$2:$O$2,0)))</f>
        <v>100</v>
      </c>
      <c r="I33" s="1">
        <f>IF(ISERROR(INDEX(Sheet2!$B$2:$O$7,MATCH($AG33,Sheet2!$B$2:$B$7,0),MATCH(I$2,Sheet2!$B$2:$O$2,0))),0,INDEX(Sheet2!$B$2:$O$7,MATCH($AG33,Sheet2!$B$2:$B$7,0),MATCH(I$2,Sheet2!$B$2:$O$2,0)))</f>
        <v>100</v>
      </c>
      <c r="J33" s="1">
        <f>IF(ISERROR(INDEX(Sheet2!$B$2:$O$7,MATCH($AG33,Sheet2!$B$2:$B$7,0),MATCH(J$2,Sheet2!$B$2:$O$2,0))),0,INDEX(Sheet2!$B$2:$O$7,MATCH($AG33,Sheet2!$B$2:$B$7,0),MATCH(J$2,Sheet2!$B$2:$O$2,0)))</f>
        <v>0</v>
      </c>
      <c r="K33" s="1">
        <f>IF(ISERROR(INDEX(Sheet2!$B$2:$O$7,MATCH($AG33,Sheet2!$B$2:$B$7,0),MATCH(K$2,Sheet2!$B$2:$O$2,0))),0,INDEX(Sheet2!$B$2:$O$7,MATCH($AG33,Sheet2!$B$2:$B$7,0),MATCH(K$2,Sheet2!$B$2:$O$2,0)))</f>
        <v>0</v>
      </c>
      <c r="L33" s="1">
        <f>IF(ISERROR(INDEX(Sheet2!$B$2:$O$7,MATCH($AG33,Sheet2!$B$2:$B$7,0),MATCH(L$2,Sheet2!$B$2:$O$2,0))),0,INDEX(Sheet2!$B$2:$O$7,MATCH($AG33,Sheet2!$B$2:$B$7,0),MATCH(L$2,Sheet2!$B$2:$O$2,0)))</f>
        <v>0</v>
      </c>
      <c r="M33" s="1">
        <f>IF(ISERROR(INDEX(Sheet2!$B$2:$O$7,MATCH($AG33,Sheet2!$B$2:$B$7,0),MATCH(M$2,Sheet2!$B$2:$O$2,0))),0,INDEX(Sheet2!$B$2:$O$7,MATCH($AG33,Sheet2!$B$2:$B$7,0),MATCH(M$2,Sheet2!$B$2:$O$2,0)))</f>
        <v>0</v>
      </c>
      <c r="N33" s="1">
        <f>IF(ISERROR(INDEX(Sheet2!$B$2:$O$7,MATCH($AG33,Sheet2!$B$2:$B$7,0),MATCH(N$2,Sheet2!$B$2:$O$2,0))),0,INDEX(Sheet2!$B$2:$O$7,MATCH($AG33,Sheet2!$B$2:$B$7,0),MATCH(N$2,Sheet2!$B$2:$O$2,0)))</f>
        <v>600</v>
      </c>
      <c r="O33" s="1">
        <f>IF(ISERROR(INDEX(Sheet2!$B$2:$O$7,MATCH($AG33,Sheet2!$B$2:$B$7,0),MATCH(O$2,Sheet2!$B$2:$O$2,0))),0,INDEX(Sheet2!$B$2:$O$7,MATCH($AG33,Sheet2!$B$2:$B$7,0),MATCH(O$2,Sheet2!$B$2:$O$2,0)))</f>
        <v>24</v>
      </c>
      <c r="P33" s="1">
        <f>IF(ISERROR(INDEX(Sheet2!$B$2:$O$7,MATCH($AG33,Sheet2!$B$2:$B$7,0),MATCH(P$2,Sheet2!$B$2:$O$2,0))),0,INDEX(Sheet2!$B$2:$O$7,MATCH($AG33,Sheet2!$B$2:$B$7,0),MATCH(P$2,Sheet2!$B$2:$O$2,0)))</f>
        <v>12</v>
      </c>
      <c r="Q33" s="1">
        <f>IF(ISERROR(INDEX(Sheet2!$B$2:$O$7,MATCH($AG33,Sheet2!$B$2:$B$7,0),MATCH(Q$2,Sheet2!$B$2:$O$2,0))),0,INDEX(Sheet2!$B$2:$O$7,MATCH($AG33,Sheet2!$B$2:$B$7,0),MATCH(Q$2,Sheet2!$B$2:$O$2,0)))</f>
        <v>12</v>
      </c>
      <c r="R33" s="1">
        <f>IF(ISERROR(INDEX(Sheet2!$B$2:$O$7,MATCH($AG33,Sheet2!$B$2:$B$7,0),MATCH(R$2,Sheet2!$B$2:$O$2,0))),0,INDEX(Sheet2!$B$2:$O$7,MATCH($AG33,Sheet2!$B$2:$B$7,0),MATCH(R$2,Sheet2!$B$2:$O$2,0)))</f>
        <v>0</v>
      </c>
      <c r="S33" s="1">
        <f>IF(ISERROR(INDEX(Sheet2!$B$2:$O$7,MATCH($AG33,Sheet2!$B$2:$B$7,0),MATCH(S$2,Sheet2!$B$2:$O$2,0))),0,INDEX(Sheet2!$B$2:$O$7,MATCH($AG33,Sheet2!$B$2:$B$7,0),MATCH(S$2,Sheet2!$B$2:$O$2,0)))</f>
        <v>0</v>
      </c>
      <c r="T33" s="1">
        <f>IF(ISERROR(INDEX(Sheet2!$B$2:$O$7,MATCH($AG33,Sheet2!$B$2:$B$7,0),MATCH(T$2,Sheet2!$B$2:$O$2,0))),0,INDEX(Sheet2!$B$2:$O$7,MATCH($AG33,Sheet2!$B$2:$B$7,0),MATCH(T$2,Sheet2!$B$2:$O$2,0)))</f>
        <v>0</v>
      </c>
      <c r="U33" s="1">
        <f>IF(ISERROR(INDEX(Sheet2!$B$2:$O$7,MATCH($AG33,Sheet2!$B$2:$B$7,0),MATCH(U$2,Sheet2!$B$2:$O$2,0))),0,INDEX(Sheet2!$B$2:$O$7,MATCH($AG33,Sheet2!$B$2:$B$7,0),MATCH(U$2,Sheet2!$B$2:$O$2,0)))</f>
        <v>0</v>
      </c>
      <c r="V33" s="1">
        <f>IF(ISERROR(INDEX(Sheet2!$B$2:$O$7,MATCH($AG33,Sheet2!$B$2:$B$7,0),MATCH(V$2,Sheet2!$B$2:$O$2,0))),0,INDEX(Sheet2!$B$2:$O$7,MATCH($AG33,Sheet2!$B$2:$B$7,0),MATCH(V$2,Sheet2!$B$2:$O$2,0)))</f>
        <v>10000</v>
      </c>
      <c r="W33" s="1">
        <f>IF(ISERROR(INDEX(Sheet2!$B$2:$O$7,MATCH($AG33,Sheet2!$B$2:$B$7,0),MATCH(W$2,Sheet2!$B$2:$O$2,0))),0,INDEX(Sheet2!$B$2:$O$7,MATCH($AG33,Sheet2!$B$2:$B$7,0),MATCH(W$2,Sheet2!$B$2:$O$2,0)))</f>
        <v>400</v>
      </c>
      <c r="X33" s="1">
        <f>IF(ISERROR(INDEX(Sheet2!$B$2:$O$7,MATCH($AG33,Sheet2!$B$2:$B$7,0),MATCH(X$2,Sheet2!$B$2:$O$2,0))),0,INDEX(Sheet2!$B$2:$O$7,MATCH($AG33,Sheet2!$B$2:$B$7,0),MATCH(X$2,Sheet2!$B$2:$O$2,0)))</f>
        <v>200</v>
      </c>
      <c r="Y33" s="1">
        <f>IF(ISERROR(INDEX(Sheet2!$B$2:$O$7,MATCH($AG33,Sheet2!$B$2:$B$7,0),MATCH(Y$2,Sheet2!$B$2:$O$2,0))),0,INDEX(Sheet2!$B$2:$O$7,MATCH($AG33,Sheet2!$B$2:$B$7,0),MATCH(Y$2,Sheet2!$B$2:$O$2,0)))</f>
        <v>200</v>
      </c>
      <c r="Z33" s="1">
        <f>IF(ISERROR(INDEX(Sheet2!$B$2:$O$7,MATCH($AG33,Sheet2!$B$2:$B$7,0),MATCH(Z$2,Sheet2!$B$2:$O$2,0))),0,INDEX(Sheet2!$B$2:$O$7,MATCH($AG33,Sheet2!$B$2:$B$7,0),MATCH(Z$2,Sheet2!$B$2:$O$2,0)))</f>
        <v>0</v>
      </c>
      <c r="AA33" s="1">
        <f>IF(ISERROR(INDEX(Sheet2!$B$2:$O$7,MATCH($AG33,Sheet2!$B$2:$B$7,0),MATCH(AA$2,Sheet2!$B$2:$O$2,0))),0,INDEX(Sheet2!$B$2:$O$7,MATCH($AG33,Sheet2!$B$2:$B$7,0),MATCH(AA$2,Sheet2!$B$2:$O$2,0)))</f>
        <v>0</v>
      </c>
      <c r="AB33" s="1">
        <f>IF(ISERROR(INDEX(Sheet2!$B$2:$O$7,MATCH($AG33,Sheet2!$B$2:$B$7,0),MATCH(AB$2,Sheet2!$B$2:$O$2,0))),0,INDEX(Sheet2!$B$2:$O$7,MATCH($AG33,Sheet2!$B$2:$B$7,0),MATCH(AB$2,Sheet2!$B$2:$O$2,0)))</f>
        <v>0</v>
      </c>
      <c r="AC33" s="1">
        <f>IF(ISERROR(INDEX(Sheet2!$B$2:$O$7,MATCH($AG33,Sheet2!$B$2:$B$7,0),MATCH(AC$2,Sheet2!$B$2:$O$2,0))),0,INDEX(Sheet2!$B$2:$O$7,MATCH($AG33,Sheet2!$B$2:$B$7,0),MATCH(AC$2,Sheet2!$B$2:$O$2,0)))</f>
        <v>0</v>
      </c>
      <c r="AD33" s="12" t="s">
        <v>219</v>
      </c>
      <c r="AE33" s="25">
        <v>17130</v>
      </c>
      <c r="AF33" s="21" t="s">
        <v>181</v>
      </c>
      <c r="AG33" s="13">
        <f>INDEX([1]Sheet1!$U:$U,MATCH($A33,[1]Sheet1!$BN:$BN,0),0)</f>
        <v>13</v>
      </c>
    </row>
    <row r="34" spans="1:34">
      <c r="A34" s="1">
        <v>1125</v>
      </c>
      <c r="B34" s="1" t="s">
        <v>104</v>
      </c>
      <c r="C34" s="13" t="s">
        <v>136</v>
      </c>
      <c r="D34" s="1" t="str">
        <f t="shared" si="0"/>
        <v>[[90000,11250],[90001,11251],[90002,11252],[90003,11253],[90004,11254],[90005,11255],[90006,11256]]</v>
      </c>
      <c r="E34" s="45">
        <v>4</v>
      </c>
      <c r="F34" s="1">
        <f>IF(ISERROR(INDEX(Sheet2!$B$2:$O$7,MATCH($AG34,Sheet2!$B$2:$B$7,0),MATCH(F$2,Sheet2!$B$2:$O$2,0))),0,INDEX(Sheet2!$B$2:$O$7,MATCH($AG34,Sheet2!$B$2:$B$7,0),MATCH(F$2,Sheet2!$B$2:$O$2,0)))</f>
        <v>5000</v>
      </c>
      <c r="G34" s="1">
        <f>IF(ISERROR(INDEX(Sheet2!$B$2:$O$7,MATCH($AG34,Sheet2!$B$2:$B$7,0),MATCH(G$2,Sheet2!$B$2:$O$2,0))),0,INDEX(Sheet2!$B$2:$O$7,MATCH($AG34,Sheet2!$B$2:$B$7,0),MATCH(G$2,Sheet2!$B$2:$O$2,0)))</f>
        <v>200</v>
      </c>
      <c r="H34" s="1">
        <f>IF(ISERROR(INDEX(Sheet2!$B$2:$O$7,MATCH($AG34,Sheet2!$B$2:$B$7,0),MATCH(H$2,Sheet2!$B$2:$O$2,0))),0,INDEX(Sheet2!$B$2:$O$7,MATCH($AG34,Sheet2!$B$2:$B$7,0),MATCH(H$2,Sheet2!$B$2:$O$2,0)))</f>
        <v>100</v>
      </c>
      <c r="I34" s="1">
        <f>IF(ISERROR(INDEX(Sheet2!$B$2:$O$7,MATCH($AG34,Sheet2!$B$2:$B$7,0),MATCH(I$2,Sheet2!$B$2:$O$2,0))),0,INDEX(Sheet2!$B$2:$O$7,MATCH($AG34,Sheet2!$B$2:$B$7,0),MATCH(I$2,Sheet2!$B$2:$O$2,0)))</f>
        <v>100</v>
      </c>
      <c r="J34" s="1">
        <f>IF(ISERROR(INDEX(Sheet2!$B$2:$O$7,MATCH($AG34,Sheet2!$B$2:$B$7,0),MATCH(J$2,Sheet2!$B$2:$O$2,0))),0,INDEX(Sheet2!$B$2:$O$7,MATCH($AG34,Sheet2!$B$2:$B$7,0),MATCH(J$2,Sheet2!$B$2:$O$2,0)))</f>
        <v>0</v>
      </c>
      <c r="K34" s="1">
        <f>IF(ISERROR(INDEX(Sheet2!$B$2:$O$7,MATCH($AG34,Sheet2!$B$2:$B$7,0),MATCH(K$2,Sheet2!$B$2:$O$2,0))),0,INDEX(Sheet2!$B$2:$O$7,MATCH($AG34,Sheet2!$B$2:$B$7,0),MATCH(K$2,Sheet2!$B$2:$O$2,0)))</f>
        <v>0</v>
      </c>
      <c r="L34" s="1">
        <f>IF(ISERROR(INDEX(Sheet2!$B$2:$O$7,MATCH($AG34,Sheet2!$B$2:$B$7,0),MATCH(L$2,Sheet2!$B$2:$O$2,0))),0,INDEX(Sheet2!$B$2:$O$7,MATCH($AG34,Sheet2!$B$2:$B$7,0),MATCH(L$2,Sheet2!$B$2:$O$2,0)))</f>
        <v>0</v>
      </c>
      <c r="M34" s="1">
        <f>IF(ISERROR(INDEX(Sheet2!$B$2:$O$7,MATCH($AG34,Sheet2!$B$2:$B$7,0),MATCH(M$2,Sheet2!$B$2:$O$2,0))),0,INDEX(Sheet2!$B$2:$O$7,MATCH($AG34,Sheet2!$B$2:$B$7,0),MATCH(M$2,Sheet2!$B$2:$O$2,0)))</f>
        <v>0</v>
      </c>
      <c r="N34" s="1">
        <f>IF(ISERROR(INDEX(Sheet2!$B$2:$O$7,MATCH($AG34,Sheet2!$B$2:$B$7,0),MATCH(N$2,Sheet2!$B$2:$O$2,0))),0,INDEX(Sheet2!$B$2:$O$7,MATCH($AG34,Sheet2!$B$2:$B$7,0),MATCH(N$2,Sheet2!$B$2:$O$2,0)))</f>
        <v>600</v>
      </c>
      <c r="O34" s="1">
        <f>IF(ISERROR(INDEX(Sheet2!$B$2:$O$7,MATCH($AG34,Sheet2!$B$2:$B$7,0),MATCH(O$2,Sheet2!$B$2:$O$2,0))),0,INDEX(Sheet2!$B$2:$O$7,MATCH($AG34,Sheet2!$B$2:$B$7,0),MATCH(O$2,Sheet2!$B$2:$O$2,0)))</f>
        <v>24</v>
      </c>
      <c r="P34" s="1">
        <f>IF(ISERROR(INDEX(Sheet2!$B$2:$O$7,MATCH($AG34,Sheet2!$B$2:$B$7,0),MATCH(P$2,Sheet2!$B$2:$O$2,0))),0,INDEX(Sheet2!$B$2:$O$7,MATCH($AG34,Sheet2!$B$2:$B$7,0),MATCH(P$2,Sheet2!$B$2:$O$2,0)))</f>
        <v>12</v>
      </c>
      <c r="Q34" s="1">
        <f>IF(ISERROR(INDEX(Sheet2!$B$2:$O$7,MATCH($AG34,Sheet2!$B$2:$B$7,0),MATCH(Q$2,Sheet2!$B$2:$O$2,0))),0,INDEX(Sheet2!$B$2:$O$7,MATCH($AG34,Sheet2!$B$2:$B$7,0),MATCH(Q$2,Sheet2!$B$2:$O$2,0)))</f>
        <v>12</v>
      </c>
      <c r="R34" s="1">
        <f>IF(ISERROR(INDEX(Sheet2!$B$2:$O$7,MATCH($AG34,Sheet2!$B$2:$B$7,0),MATCH(R$2,Sheet2!$B$2:$O$2,0))),0,INDEX(Sheet2!$B$2:$O$7,MATCH($AG34,Sheet2!$B$2:$B$7,0),MATCH(R$2,Sheet2!$B$2:$O$2,0)))</f>
        <v>0</v>
      </c>
      <c r="S34" s="1">
        <f>IF(ISERROR(INDEX(Sheet2!$B$2:$O$7,MATCH($AG34,Sheet2!$B$2:$B$7,0),MATCH(S$2,Sheet2!$B$2:$O$2,0))),0,INDEX(Sheet2!$B$2:$O$7,MATCH($AG34,Sheet2!$B$2:$B$7,0),MATCH(S$2,Sheet2!$B$2:$O$2,0)))</f>
        <v>0</v>
      </c>
      <c r="T34" s="1">
        <f>IF(ISERROR(INDEX(Sheet2!$B$2:$O$7,MATCH($AG34,Sheet2!$B$2:$B$7,0),MATCH(T$2,Sheet2!$B$2:$O$2,0))),0,INDEX(Sheet2!$B$2:$O$7,MATCH($AG34,Sheet2!$B$2:$B$7,0),MATCH(T$2,Sheet2!$B$2:$O$2,0)))</f>
        <v>0</v>
      </c>
      <c r="U34" s="1">
        <f>IF(ISERROR(INDEX(Sheet2!$B$2:$O$7,MATCH($AG34,Sheet2!$B$2:$B$7,0),MATCH(U$2,Sheet2!$B$2:$O$2,0))),0,INDEX(Sheet2!$B$2:$O$7,MATCH($AG34,Sheet2!$B$2:$B$7,0),MATCH(U$2,Sheet2!$B$2:$O$2,0)))</f>
        <v>0</v>
      </c>
      <c r="V34" s="1">
        <f>IF(ISERROR(INDEX(Sheet2!$B$2:$O$7,MATCH($AG34,Sheet2!$B$2:$B$7,0),MATCH(V$2,Sheet2!$B$2:$O$2,0))),0,INDEX(Sheet2!$B$2:$O$7,MATCH($AG34,Sheet2!$B$2:$B$7,0),MATCH(V$2,Sheet2!$B$2:$O$2,0)))</f>
        <v>10000</v>
      </c>
      <c r="W34" s="1">
        <f>IF(ISERROR(INDEX(Sheet2!$B$2:$O$7,MATCH($AG34,Sheet2!$B$2:$B$7,0),MATCH(W$2,Sheet2!$B$2:$O$2,0))),0,INDEX(Sheet2!$B$2:$O$7,MATCH($AG34,Sheet2!$B$2:$B$7,0),MATCH(W$2,Sheet2!$B$2:$O$2,0)))</f>
        <v>400</v>
      </c>
      <c r="X34" s="1">
        <f>IF(ISERROR(INDEX(Sheet2!$B$2:$O$7,MATCH($AG34,Sheet2!$B$2:$B$7,0),MATCH(X$2,Sheet2!$B$2:$O$2,0))),0,INDEX(Sheet2!$B$2:$O$7,MATCH($AG34,Sheet2!$B$2:$B$7,0),MATCH(X$2,Sheet2!$B$2:$O$2,0)))</f>
        <v>200</v>
      </c>
      <c r="Y34" s="1">
        <f>IF(ISERROR(INDEX(Sheet2!$B$2:$O$7,MATCH($AG34,Sheet2!$B$2:$B$7,0),MATCH(Y$2,Sheet2!$B$2:$O$2,0))),0,INDEX(Sheet2!$B$2:$O$7,MATCH($AG34,Sheet2!$B$2:$B$7,0),MATCH(Y$2,Sheet2!$B$2:$O$2,0)))</f>
        <v>200</v>
      </c>
      <c r="Z34" s="1">
        <f>IF(ISERROR(INDEX(Sheet2!$B$2:$O$7,MATCH($AG34,Sheet2!$B$2:$B$7,0),MATCH(Z$2,Sheet2!$B$2:$O$2,0))),0,INDEX(Sheet2!$B$2:$O$7,MATCH($AG34,Sheet2!$B$2:$B$7,0),MATCH(Z$2,Sheet2!$B$2:$O$2,0)))</f>
        <v>0</v>
      </c>
      <c r="AA34" s="1">
        <f>IF(ISERROR(INDEX(Sheet2!$B$2:$O$7,MATCH($AG34,Sheet2!$B$2:$B$7,0),MATCH(AA$2,Sheet2!$B$2:$O$2,0))),0,INDEX(Sheet2!$B$2:$O$7,MATCH($AG34,Sheet2!$B$2:$B$7,0),MATCH(AA$2,Sheet2!$B$2:$O$2,0)))</f>
        <v>0</v>
      </c>
      <c r="AB34" s="1">
        <f>IF(ISERROR(INDEX(Sheet2!$B$2:$O$7,MATCH($AG34,Sheet2!$B$2:$B$7,0),MATCH(AB$2,Sheet2!$B$2:$O$2,0))),0,INDEX(Sheet2!$B$2:$O$7,MATCH($AG34,Sheet2!$B$2:$B$7,0),MATCH(AB$2,Sheet2!$B$2:$O$2,0)))</f>
        <v>0</v>
      </c>
      <c r="AC34" s="1">
        <f>IF(ISERROR(INDEX(Sheet2!$B$2:$O$7,MATCH($AG34,Sheet2!$B$2:$B$7,0),MATCH(AC$2,Sheet2!$B$2:$O$2,0))),0,INDEX(Sheet2!$B$2:$O$7,MATCH($AG34,Sheet2!$B$2:$B$7,0),MATCH(AC$2,Sheet2!$B$2:$O$2,0)))</f>
        <v>0</v>
      </c>
      <c r="AD34" s="12" t="s">
        <v>219</v>
      </c>
      <c r="AE34" s="25">
        <v>17131</v>
      </c>
      <c r="AF34" s="21" t="s">
        <v>182</v>
      </c>
      <c r="AG34" s="13">
        <f>INDEX([1]Sheet1!$U:$U,MATCH($A34,[1]Sheet1!$BN:$BN,0),0)</f>
        <v>13</v>
      </c>
    </row>
    <row r="35" spans="1:34">
      <c r="A35" s="1">
        <v>1202</v>
      </c>
      <c r="B35" s="1" t="s">
        <v>105</v>
      </c>
      <c r="C35" s="13" t="s">
        <v>137</v>
      </c>
      <c r="D35" s="1" t="str">
        <f t="shared" si="0"/>
        <v>[[90000,12020],[90001,12021],[90002,12022],[90003,12023],[90004,12024],[90005,12025],[90006,12026]]</v>
      </c>
      <c r="E35" s="45">
        <v>4</v>
      </c>
      <c r="F35" s="1">
        <f>IF(ISERROR(INDEX(Sheet2!$B$2:$O$7,MATCH($AG35,Sheet2!$B$2:$B$7,0),MATCH(F$2,Sheet2!$B$2:$O$2,0))),0,INDEX(Sheet2!$B$2:$O$7,MATCH($AG35,Sheet2!$B$2:$B$7,0),MATCH(F$2,Sheet2!$B$2:$O$2,0)))</f>
        <v>5000</v>
      </c>
      <c r="G35" s="1">
        <f>IF(ISERROR(INDEX(Sheet2!$B$2:$O$7,MATCH($AG35,Sheet2!$B$2:$B$7,0),MATCH(G$2,Sheet2!$B$2:$O$2,0))),0,INDEX(Sheet2!$B$2:$O$7,MATCH($AG35,Sheet2!$B$2:$B$7,0),MATCH(G$2,Sheet2!$B$2:$O$2,0)))</f>
        <v>200</v>
      </c>
      <c r="H35" s="1">
        <f>IF(ISERROR(INDEX(Sheet2!$B$2:$O$7,MATCH($AG35,Sheet2!$B$2:$B$7,0),MATCH(H$2,Sheet2!$B$2:$O$2,0))),0,INDEX(Sheet2!$B$2:$O$7,MATCH($AG35,Sheet2!$B$2:$B$7,0),MATCH(H$2,Sheet2!$B$2:$O$2,0)))</f>
        <v>100</v>
      </c>
      <c r="I35" s="1">
        <f>IF(ISERROR(INDEX(Sheet2!$B$2:$O$7,MATCH($AG35,Sheet2!$B$2:$B$7,0),MATCH(I$2,Sheet2!$B$2:$O$2,0))),0,INDEX(Sheet2!$B$2:$O$7,MATCH($AG35,Sheet2!$B$2:$B$7,0),MATCH(I$2,Sheet2!$B$2:$O$2,0)))</f>
        <v>100</v>
      </c>
      <c r="J35" s="1">
        <f>IF(ISERROR(INDEX(Sheet2!$B$2:$O$7,MATCH($AG35,Sheet2!$B$2:$B$7,0),MATCH(J$2,Sheet2!$B$2:$O$2,0))),0,INDEX(Sheet2!$B$2:$O$7,MATCH($AG35,Sheet2!$B$2:$B$7,0),MATCH(J$2,Sheet2!$B$2:$O$2,0)))</f>
        <v>0</v>
      </c>
      <c r="K35" s="1">
        <f>IF(ISERROR(INDEX(Sheet2!$B$2:$O$7,MATCH($AG35,Sheet2!$B$2:$B$7,0),MATCH(K$2,Sheet2!$B$2:$O$2,0))),0,INDEX(Sheet2!$B$2:$O$7,MATCH($AG35,Sheet2!$B$2:$B$7,0),MATCH(K$2,Sheet2!$B$2:$O$2,0)))</f>
        <v>0</v>
      </c>
      <c r="L35" s="1">
        <f>IF(ISERROR(INDEX(Sheet2!$B$2:$O$7,MATCH($AG35,Sheet2!$B$2:$B$7,0),MATCH(L$2,Sheet2!$B$2:$O$2,0))),0,INDEX(Sheet2!$B$2:$O$7,MATCH($AG35,Sheet2!$B$2:$B$7,0),MATCH(L$2,Sheet2!$B$2:$O$2,0)))</f>
        <v>0</v>
      </c>
      <c r="M35" s="1">
        <f>IF(ISERROR(INDEX(Sheet2!$B$2:$O$7,MATCH($AG35,Sheet2!$B$2:$B$7,0),MATCH(M$2,Sheet2!$B$2:$O$2,0))),0,INDEX(Sheet2!$B$2:$O$7,MATCH($AG35,Sheet2!$B$2:$B$7,0),MATCH(M$2,Sheet2!$B$2:$O$2,0)))</f>
        <v>0</v>
      </c>
      <c r="N35" s="1">
        <f>IF(ISERROR(INDEX(Sheet2!$B$2:$O$7,MATCH($AG35,Sheet2!$B$2:$B$7,0),MATCH(N$2,Sheet2!$B$2:$O$2,0))),0,INDEX(Sheet2!$B$2:$O$7,MATCH($AG35,Sheet2!$B$2:$B$7,0),MATCH(N$2,Sheet2!$B$2:$O$2,0)))</f>
        <v>600</v>
      </c>
      <c r="O35" s="1">
        <f>IF(ISERROR(INDEX(Sheet2!$B$2:$O$7,MATCH($AG35,Sheet2!$B$2:$B$7,0),MATCH(O$2,Sheet2!$B$2:$O$2,0))),0,INDEX(Sheet2!$B$2:$O$7,MATCH($AG35,Sheet2!$B$2:$B$7,0),MATCH(O$2,Sheet2!$B$2:$O$2,0)))</f>
        <v>24</v>
      </c>
      <c r="P35" s="1">
        <f>IF(ISERROR(INDEX(Sheet2!$B$2:$O$7,MATCH($AG35,Sheet2!$B$2:$B$7,0),MATCH(P$2,Sheet2!$B$2:$O$2,0))),0,INDEX(Sheet2!$B$2:$O$7,MATCH($AG35,Sheet2!$B$2:$B$7,0),MATCH(P$2,Sheet2!$B$2:$O$2,0)))</f>
        <v>12</v>
      </c>
      <c r="Q35" s="1">
        <f>IF(ISERROR(INDEX(Sheet2!$B$2:$O$7,MATCH($AG35,Sheet2!$B$2:$B$7,0),MATCH(Q$2,Sheet2!$B$2:$O$2,0))),0,INDEX(Sheet2!$B$2:$O$7,MATCH($AG35,Sheet2!$B$2:$B$7,0),MATCH(Q$2,Sheet2!$B$2:$O$2,0)))</f>
        <v>12</v>
      </c>
      <c r="R35" s="1">
        <f>IF(ISERROR(INDEX(Sheet2!$B$2:$O$7,MATCH($AG35,Sheet2!$B$2:$B$7,0),MATCH(R$2,Sheet2!$B$2:$O$2,0))),0,INDEX(Sheet2!$B$2:$O$7,MATCH($AG35,Sheet2!$B$2:$B$7,0),MATCH(R$2,Sheet2!$B$2:$O$2,0)))</f>
        <v>0</v>
      </c>
      <c r="S35" s="1">
        <f>IF(ISERROR(INDEX(Sheet2!$B$2:$O$7,MATCH($AG35,Sheet2!$B$2:$B$7,0),MATCH(S$2,Sheet2!$B$2:$O$2,0))),0,INDEX(Sheet2!$B$2:$O$7,MATCH($AG35,Sheet2!$B$2:$B$7,0),MATCH(S$2,Sheet2!$B$2:$O$2,0)))</f>
        <v>0</v>
      </c>
      <c r="T35" s="1">
        <f>IF(ISERROR(INDEX(Sheet2!$B$2:$O$7,MATCH($AG35,Sheet2!$B$2:$B$7,0),MATCH(T$2,Sheet2!$B$2:$O$2,0))),0,INDEX(Sheet2!$B$2:$O$7,MATCH($AG35,Sheet2!$B$2:$B$7,0),MATCH(T$2,Sheet2!$B$2:$O$2,0)))</f>
        <v>0</v>
      </c>
      <c r="U35" s="1">
        <f>IF(ISERROR(INDEX(Sheet2!$B$2:$O$7,MATCH($AG35,Sheet2!$B$2:$B$7,0),MATCH(U$2,Sheet2!$B$2:$O$2,0))),0,INDEX(Sheet2!$B$2:$O$7,MATCH($AG35,Sheet2!$B$2:$B$7,0),MATCH(U$2,Sheet2!$B$2:$O$2,0)))</f>
        <v>0</v>
      </c>
      <c r="V35" s="1">
        <f>IF(ISERROR(INDEX(Sheet2!$B$2:$O$7,MATCH($AG35,Sheet2!$B$2:$B$7,0),MATCH(V$2,Sheet2!$B$2:$O$2,0))),0,INDEX(Sheet2!$B$2:$O$7,MATCH($AG35,Sheet2!$B$2:$B$7,0),MATCH(V$2,Sheet2!$B$2:$O$2,0)))</f>
        <v>10000</v>
      </c>
      <c r="W35" s="1">
        <f>IF(ISERROR(INDEX(Sheet2!$B$2:$O$7,MATCH($AG35,Sheet2!$B$2:$B$7,0),MATCH(W$2,Sheet2!$B$2:$O$2,0))),0,INDEX(Sheet2!$B$2:$O$7,MATCH($AG35,Sheet2!$B$2:$B$7,0),MATCH(W$2,Sheet2!$B$2:$O$2,0)))</f>
        <v>400</v>
      </c>
      <c r="X35" s="1">
        <f>IF(ISERROR(INDEX(Sheet2!$B$2:$O$7,MATCH($AG35,Sheet2!$B$2:$B$7,0),MATCH(X$2,Sheet2!$B$2:$O$2,0))),0,INDEX(Sheet2!$B$2:$O$7,MATCH($AG35,Sheet2!$B$2:$B$7,0),MATCH(X$2,Sheet2!$B$2:$O$2,0)))</f>
        <v>200</v>
      </c>
      <c r="Y35" s="1">
        <f>IF(ISERROR(INDEX(Sheet2!$B$2:$O$7,MATCH($AG35,Sheet2!$B$2:$B$7,0),MATCH(Y$2,Sheet2!$B$2:$O$2,0))),0,INDEX(Sheet2!$B$2:$O$7,MATCH($AG35,Sheet2!$B$2:$B$7,0),MATCH(Y$2,Sheet2!$B$2:$O$2,0)))</f>
        <v>200</v>
      </c>
      <c r="Z35" s="1">
        <f>IF(ISERROR(INDEX(Sheet2!$B$2:$O$7,MATCH($AG35,Sheet2!$B$2:$B$7,0),MATCH(Z$2,Sheet2!$B$2:$O$2,0))),0,INDEX(Sheet2!$B$2:$O$7,MATCH($AG35,Sheet2!$B$2:$B$7,0),MATCH(Z$2,Sheet2!$B$2:$O$2,0)))</f>
        <v>0</v>
      </c>
      <c r="AA35" s="1">
        <f>IF(ISERROR(INDEX(Sheet2!$B$2:$O$7,MATCH($AG35,Sheet2!$B$2:$B$7,0),MATCH(AA$2,Sheet2!$B$2:$O$2,0))),0,INDEX(Sheet2!$B$2:$O$7,MATCH($AG35,Sheet2!$B$2:$B$7,0),MATCH(AA$2,Sheet2!$B$2:$O$2,0)))</f>
        <v>0</v>
      </c>
      <c r="AB35" s="1">
        <f>IF(ISERROR(INDEX(Sheet2!$B$2:$O$7,MATCH($AG35,Sheet2!$B$2:$B$7,0),MATCH(AB$2,Sheet2!$B$2:$O$2,0))),0,INDEX(Sheet2!$B$2:$O$7,MATCH($AG35,Sheet2!$B$2:$B$7,0),MATCH(AB$2,Sheet2!$B$2:$O$2,0)))</f>
        <v>0</v>
      </c>
      <c r="AC35" s="1">
        <f>IF(ISERROR(INDEX(Sheet2!$B$2:$O$7,MATCH($AG35,Sheet2!$B$2:$B$7,0),MATCH(AC$2,Sheet2!$B$2:$O$2,0))),0,INDEX(Sheet2!$B$2:$O$7,MATCH($AG35,Sheet2!$B$2:$B$7,0),MATCH(AC$2,Sheet2!$B$2:$O$2,0)))</f>
        <v>0</v>
      </c>
      <c r="AD35" s="12" t="s">
        <v>219</v>
      </c>
      <c r="AE35" s="25">
        <v>17132</v>
      </c>
      <c r="AF35" s="21" t="s">
        <v>183</v>
      </c>
      <c r="AG35" s="13">
        <f>INDEX([1]Sheet1!$U:$U,MATCH($A35,[1]Sheet1!$BN:$BN,0),0)</f>
        <v>13</v>
      </c>
    </row>
    <row r="36" spans="1:34">
      <c r="A36" s="1">
        <v>1123</v>
      </c>
      <c r="B36" s="1" t="s">
        <v>106</v>
      </c>
      <c r="C36" s="13" t="s">
        <v>138</v>
      </c>
      <c r="D36" s="1" t="str">
        <f t="shared" si="0"/>
        <v>[[90000,11230],[90001,11231],[90002,11232],[90003,11233],[90004,11234],[90005,11235],[90006,11236]]</v>
      </c>
      <c r="E36" s="45">
        <v>4</v>
      </c>
      <c r="F36" s="1">
        <f>IF(ISERROR(INDEX(Sheet2!$B$2:$O$7,MATCH($AG36,Sheet2!$B$2:$B$7,0),MATCH(F$2,Sheet2!$B$2:$O$2,0))),0,INDEX(Sheet2!$B$2:$O$7,MATCH($AG36,Sheet2!$B$2:$B$7,0),MATCH(F$2,Sheet2!$B$2:$O$2,0)))</f>
        <v>5000</v>
      </c>
      <c r="G36" s="1">
        <f>IF(ISERROR(INDEX(Sheet2!$B$2:$O$7,MATCH($AG36,Sheet2!$B$2:$B$7,0),MATCH(G$2,Sheet2!$B$2:$O$2,0))),0,INDEX(Sheet2!$B$2:$O$7,MATCH($AG36,Sheet2!$B$2:$B$7,0),MATCH(G$2,Sheet2!$B$2:$O$2,0)))</f>
        <v>200</v>
      </c>
      <c r="H36" s="1">
        <f>IF(ISERROR(INDEX(Sheet2!$B$2:$O$7,MATCH($AG36,Sheet2!$B$2:$B$7,0),MATCH(H$2,Sheet2!$B$2:$O$2,0))),0,INDEX(Sheet2!$B$2:$O$7,MATCH($AG36,Sheet2!$B$2:$B$7,0),MATCH(H$2,Sheet2!$B$2:$O$2,0)))</f>
        <v>100</v>
      </c>
      <c r="I36" s="1">
        <f>IF(ISERROR(INDEX(Sheet2!$B$2:$O$7,MATCH($AG36,Sheet2!$B$2:$B$7,0),MATCH(I$2,Sheet2!$B$2:$O$2,0))),0,INDEX(Sheet2!$B$2:$O$7,MATCH($AG36,Sheet2!$B$2:$B$7,0),MATCH(I$2,Sheet2!$B$2:$O$2,0)))</f>
        <v>100</v>
      </c>
      <c r="J36" s="1">
        <f>IF(ISERROR(INDEX(Sheet2!$B$2:$O$7,MATCH($AG36,Sheet2!$B$2:$B$7,0),MATCH(J$2,Sheet2!$B$2:$O$2,0))),0,INDEX(Sheet2!$B$2:$O$7,MATCH($AG36,Sheet2!$B$2:$B$7,0),MATCH(J$2,Sheet2!$B$2:$O$2,0)))</f>
        <v>0</v>
      </c>
      <c r="K36" s="1">
        <f>IF(ISERROR(INDEX(Sheet2!$B$2:$O$7,MATCH($AG36,Sheet2!$B$2:$B$7,0),MATCH(K$2,Sheet2!$B$2:$O$2,0))),0,INDEX(Sheet2!$B$2:$O$7,MATCH($AG36,Sheet2!$B$2:$B$7,0),MATCH(K$2,Sheet2!$B$2:$O$2,0)))</f>
        <v>0</v>
      </c>
      <c r="L36" s="1">
        <f>IF(ISERROR(INDEX(Sheet2!$B$2:$O$7,MATCH($AG36,Sheet2!$B$2:$B$7,0),MATCH(L$2,Sheet2!$B$2:$O$2,0))),0,INDEX(Sheet2!$B$2:$O$7,MATCH($AG36,Sheet2!$B$2:$B$7,0),MATCH(L$2,Sheet2!$B$2:$O$2,0)))</f>
        <v>0</v>
      </c>
      <c r="M36" s="1">
        <f>IF(ISERROR(INDEX(Sheet2!$B$2:$O$7,MATCH($AG36,Sheet2!$B$2:$B$7,0),MATCH(M$2,Sheet2!$B$2:$O$2,0))),0,INDEX(Sheet2!$B$2:$O$7,MATCH($AG36,Sheet2!$B$2:$B$7,0),MATCH(M$2,Sheet2!$B$2:$O$2,0)))</f>
        <v>0</v>
      </c>
      <c r="N36" s="1">
        <f>IF(ISERROR(INDEX(Sheet2!$B$2:$O$7,MATCH($AG36,Sheet2!$B$2:$B$7,0),MATCH(N$2,Sheet2!$B$2:$O$2,0))),0,INDEX(Sheet2!$B$2:$O$7,MATCH($AG36,Sheet2!$B$2:$B$7,0),MATCH(N$2,Sheet2!$B$2:$O$2,0)))</f>
        <v>600</v>
      </c>
      <c r="O36" s="1">
        <f>IF(ISERROR(INDEX(Sheet2!$B$2:$O$7,MATCH($AG36,Sheet2!$B$2:$B$7,0),MATCH(O$2,Sheet2!$B$2:$O$2,0))),0,INDEX(Sheet2!$B$2:$O$7,MATCH($AG36,Sheet2!$B$2:$B$7,0),MATCH(O$2,Sheet2!$B$2:$O$2,0)))</f>
        <v>24</v>
      </c>
      <c r="P36" s="1">
        <f>IF(ISERROR(INDEX(Sheet2!$B$2:$O$7,MATCH($AG36,Sheet2!$B$2:$B$7,0),MATCH(P$2,Sheet2!$B$2:$O$2,0))),0,INDEX(Sheet2!$B$2:$O$7,MATCH($AG36,Sheet2!$B$2:$B$7,0),MATCH(P$2,Sheet2!$B$2:$O$2,0)))</f>
        <v>12</v>
      </c>
      <c r="Q36" s="1">
        <f>IF(ISERROR(INDEX(Sheet2!$B$2:$O$7,MATCH($AG36,Sheet2!$B$2:$B$7,0),MATCH(Q$2,Sheet2!$B$2:$O$2,0))),0,INDEX(Sheet2!$B$2:$O$7,MATCH($AG36,Sheet2!$B$2:$B$7,0),MATCH(Q$2,Sheet2!$B$2:$O$2,0)))</f>
        <v>12</v>
      </c>
      <c r="R36" s="1">
        <f>IF(ISERROR(INDEX(Sheet2!$B$2:$O$7,MATCH($AG36,Sheet2!$B$2:$B$7,0),MATCH(R$2,Sheet2!$B$2:$O$2,0))),0,INDEX(Sheet2!$B$2:$O$7,MATCH($AG36,Sheet2!$B$2:$B$7,0),MATCH(R$2,Sheet2!$B$2:$O$2,0)))</f>
        <v>0</v>
      </c>
      <c r="S36" s="1">
        <f>IF(ISERROR(INDEX(Sheet2!$B$2:$O$7,MATCH($AG36,Sheet2!$B$2:$B$7,0),MATCH(S$2,Sheet2!$B$2:$O$2,0))),0,INDEX(Sheet2!$B$2:$O$7,MATCH($AG36,Sheet2!$B$2:$B$7,0),MATCH(S$2,Sheet2!$B$2:$O$2,0)))</f>
        <v>0</v>
      </c>
      <c r="T36" s="1">
        <f>IF(ISERROR(INDEX(Sheet2!$B$2:$O$7,MATCH($AG36,Sheet2!$B$2:$B$7,0),MATCH(T$2,Sheet2!$B$2:$O$2,0))),0,INDEX(Sheet2!$B$2:$O$7,MATCH($AG36,Sheet2!$B$2:$B$7,0),MATCH(T$2,Sheet2!$B$2:$O$2,0)))</f>
        <v>0</v>
      </c>
      <c r="U36" s="1">
        <f>IF(ISERROR(INDEX(Sheet2!$B$2:$O$7,MATCH($AG36,Sheet2!$B$2:$B$7,0),MATCH(U$2,Sheet2!$B$2:$O$2,0))),0,INDEX(Sheet2!$B$2:$O$7,MATCH($AG36,Sheet2!$B$2:$B$7,0),MATCH(U$2,Sheet2!$B$2:$O$2,0)))</f>
        <v>0</v>
      </c>
      <c r="V36" s="1">
        <f>IF(ISERROR(INDEX(Sheet2!$B$2:$O$7,MATCH($AG36,Sheet2!$B$2:$B$7,0),MATCH(V$2,Sheet2!$B$2:$O$2,0))),0,INDEX(Sheet2!$B$2:$O$7,MATCH($AG36,Sheet2!$B$2:$B$7,0),MATCH(V$2,Sheet2!$B$2:$O$2,0)))</f>
        <v>10000</v>
      </c>
      <c r="W36" s="1">
        <f>IF(ISERROR(INDEX(Sheet2!$B$2:$O$7,MATCH($AG36,Sheet2!$B$2:$B$7,0),MATCH(W$2,Sheet2!$B$2:$O$2,0))),0,INDEX(Sheet2!$B$2:$O$7,MATCH($AG36,Sheet2!$B$2:$B$7,0),MATCH(W$2,Sheet2!$B$2:$O$2,0)))</f>
        <v>400</v>
      </c>
      <c r="X36" s="1">
        <f>IF(ISERROR(INDEX(Sheet2!$B$2:$O$7,MATCH($AG36,Sheet2!$B$2:$B$7,0),MATCH(X$2,Sheet2!$B$2:$O$2,0))),0,INDEX(Sheet2!$B$2:$O$7,MATCH($AG36,Sheet2!$B$2:$B$7,0),MATCH(X$2,Sheet2!$B$2:$O$2,0)))</f>
        <v>200</v>
      </c>
      <c r="Y36" s="1">
        <f>IF(ISERROR(INDEX(Sheet2!$B$2:$O$7,MATCH($AG36,Sheet2!$B$2:$B$7,0),MATCH(Y$2,Sheet2!$B$2:$O$2,0))),0,INDEX(Sheet2!$B$2:$O$7,MATCH($AG36,Sheet2!$B$2:$B$7,0),MATCH(Y$2,Sheet2!$B$2:$O$2,0)))</f>
        <v>200</v>
      </c>
      <c r="Z36" s="1">
        <f>IF(ISERROR(INDEX(Sheet2!$B$2:$O$7,MATCH($AG36,Sheet2!$B$2:$B$7,0),MATCH(Z$2,Sheet2!$B$2:$O$2,0))),0,INDEX(Sheet2!$B$2:$O$7,MATCH($AG36,Sheet2!$B$2:$B$7,0),MATCH(Z$2,Sheet2!$B$2:$O$2,0)))</f>
        <v>0</v>
      </c>
      <c r="AA36" s="1">
        <f>IF(ISERROR(INDEX(Sheet2!$B$2:$O$7,MATCH($AG36,Sheet2!$B$2:$B$7,0),MATCH(AA$2,Sheet2!$B$2:$O$2,0))),0,INDEX(Sheet2!$B$2:$O$7,MATCH($AG36,Sheet2!$B$2:$B$7,0),MATCH(AA$2,Sheet2!$B$2:$O$2,0)))</f>
        <v>0</v>
      </c>
      <c r="AB36" s="1">
        <f>IF(ISERROR(INDEX(Sheet2!$B$2:$O$7,MATCH($AG36,Sheet2!$B$2:$B$7,0),MATCH(AB$2,Sheet2!$B$2:$O$2,0))),0,INDEX(Sheet2!$B$2:$O$7,MATCH($AG36,Sheet2!$B$2:$B$7,0),MATCH(AB$2,Sheet2!$B$2:$O$2,0)))</f>
        <v>0</v>
      </c>
      <c r="AC36" s="1">
        <f>IF(ISERROR(INDEX(Sheet2!$B$2:$O$7,MATCH($AG36,Sheet2!$B$2:$B$7,0),MATCH(AC$2,Sheet2!$B$2:$O$2,0))),0,INDEX(Sheet2!$B$2:$O$7,MATCH($AG36,Sheet2!$B$2:$B$7,0),MATCH(AC$2,Sheet2!$B$2:$O$2,0)))</f>
        <v>0</v>
      </c>
      <c r="AD36" s="12" t="s">
        <v>219</v>
      </c>
      <c r="AE36" s="25">
        <v>17133</v>
      </c>
      <c r="AF36" s="21" t="s">
        <v>184</v>
      </c>
      <c r="AG36" s="13">
        <f>INDEX([1]Sheet1!$U:$U,MATCH($A36,[1]Sheet1!$BN:$BN,0),0)</f>
        <v>13</v>
      </c>
    </row>
    <row r="37" spans="1:34">
      <c r="A37" s="1">
        <v>1117</v>
      </c>
      <c r="B37" s="1" t="s">
        <v>107</v>
      </c>
      <c r="C37" s="13" t="s">
        <v>149</v>
      </c>
      <c r="D37" s="1" t="str">
        <f t="shared" si="0"/>
        <v>[[90000,11170],[90001,11171],[90002,11172],[90003,11173],[90004,11174],[90005,11175],[90006,11176]]</v>
      </c>
      <c r="E37" s="45">
        <v>4</v>
      </c>
      <c r="F37" s="1">
        <f>IF(ISERROR(INDEX(Sheet2!$B$2:$O$7,MATCH($AG37,Sheet2!$B$2:$B$7,0),MATCH(F$2,Sheet2!$B$2:$O$2,0))),0,INDEX(Sheet2!$B$2:$O$7,MATCH($AG37,Sheet2!$B$2:$B$7,0),MATCH(F$2,Sheet2!$B$2:$O$2,0)))</f>
        <v>5000</v>
      </c>
      <c r="G37" s="1">
        <f>IF(ISERROR(INDEX(Sheet2!$B$2:$O$7,MATCH($AG37,Sheet2!$B$2:$B$7,0),MATCH(G$2,Sheet2!$B$2:$O$2,0))),0,INDEX(Sheet2!$B$2:$O$7,MATCH($AG37,Sheet2!$B$2:$B$7,0),MATCH(G$2,Sheet2!$B$2:$O$2,0)))</f>
        <v>200</v>
      </c>
      <c r="H37" s="1">
        <f>IF(ISERROR(INDEX(Sheet2!$B$2:$O$7,MATCH($AG37,Sheet2!$B$2:$B$7,0),MATCH(H$2,Sheet2!$B$2:$O$2,0))),0,INDEX(Sheet2!$B$2:$O$7,MATCH($AG37,Sheet2!$B$2:$B$7,0),MATCH(H$2,Sheet2!$B$2:$O$2,0)))</f>
        <v>100</v>
      </c>
      <c r="I37" s="1">
        <f>IF(ISERROR(INDEX(Sheet2!$B$2:$O$7,MATCH($AG37,Sheet2!$B$2:$B$7,0),MATCH(I$2,Sheet2!$B$2:$O$2,0))),0,INDEX(Sheet2!$B$2:$O$7,MATCH($AG37,Sheet2!$B$2:$B$7,0),MATCH(I$2,Sheet2!$B$2:$O$2,0)))</f>
        <v>100</v>
      </c>
      <c r="J37" s="1">
        <f>IF(ISERROR(INDEX(Sheet2!$B$2:$O$7,MATCH($AG37,Sheet2!$B$2:$B$7,0),MATCH(J$2,Sheet2!$B$2:$O$2,0))),0,INDEX(Sheet2!$B$2:$O$7,MATCH($AG37,Sheet2!$B$2:$B$7,0),MATCH(J$2,Sheet2!$B$2:$O$2,0)))</f>
        <v>0</v>
      </c>
      <c r="K37" s="1">
        <f>IF(ISERROR(INDEX(Sheet2!$B$2:$O$7,MATCH($AG37,Sheet2!$B$2:$B$7,0),MATCH(K$2,Sheet2!$B$2:$O$2,0))),0,INDEX(Sheet2!$B$2:$O$7,MATCH($AG37,Sheet2!$B$2:$B$7,0),MATCH(K$2,Sheet2!$B$2:$O$2,0)))</f>
        <v>0</v>
      </c>
      <c r="L37" s="1">
        <f>IF(ISERROR(INDEX(Sheet2!$B$2:$O$7,MATCH($AG37,Sheet2!$B$2:$B$7,0),MATCH(L$2,Sheet2!$B$2:$O$2,0))),0,INDEX(Sheet2!$B$2:$O$7,MATCH($AG37,Sheet2!$B$2:$B$7,0),MATCH(L$2,Sheet2!$B$2:$O$2,0)))</f>
        <v>0</v>
      </c>
      <c r="M37" s="1">
        <f>IF(ISERROR(INDEX(Sheet2!$B$2:$O$7,MATCH($AG37,Sheet2!$B$2:$B$7,0),MATCH(M$2,Sheet2!$B$2:$O$2,0))),0,INDEX(Sheet2!$B$2:$O$7,MATCH($AG37,Sheet2!$B$2:$B$7,0),MATCH(M$2,Sheet2!$B$2:$O$2,0)))</f>
        <v>0</v>
      </c>
      <c r="N37" s="1">
        <f>IF(ISERROR(INDEX(Sheet2!$B$2:$O$7,MATCH($AG37,Sheet2!$B$2:$B$7,0),MATCH(N$2,Sheet2!$B$2:$O$2,0))),0,INDEX(Sheet2!$B$2:$O$7,MATCH($AG37,Sheet2!$B$2:$B$7,0),MATCH(N$2,Sheet2!$B$2:$O$2,0)))</f>
        <v>600</v>
      </c>
      <c r="O37" s="1">
        <f>IF(ISERROR(INDEX(Sheet2!$B$2:$O$7,MATCH($AG37,Sheet2!$B$2:$B$7,0),MATCH(O$2,Sheet2!$B$2:$O$2,0))),0,INDEX(Sheet2!$B$2:$O$7,MATCH($AG37,Sheet2!$B$2:$B$7,0),MATCH(O$2,Sheet2!$B$2:$O$2,0)))</f>
        <v>24</v>
      </c>
      <c r="P37" s="1">
        <f>IF(ISERROR(INDEX(Sheet2!$B$2:$O$7,MATCH($AG37,Sheet2!$B$2:$B$7,0),MATCH(P$2,Sheet2!$B$2:$O$2,0))),0,INDEX(Sheet2!$B$2:$O$7,MATCH($AG37,Sheet2!$B$2:$B$7,0),MATCH(P$2,Sheet2!$B$2:$O$2,0)))</f>
        <v>12</v>
      </c>
      <c r="Q37" s="1">
        <f>IF(ISERROR(INDEX(Sheet2!$B$2:$O$7,MATCH($AG37,Sheet2!$B$2:$B$7,0),MATCH(Q$2,Sheet2!$B$2:$O$2,0))),0,INDEX(Sheet2!$B$2:$O$7,MATCH($AG37,Sheet2!$B$2:$B$7,0),MATCH(Q$2,Sheet2!$B$2:$O$2,0)))</f>
        <v>12</v>
      </c>
      <c r="R37" s="1">
        <f>IF(ISERROR(INDEX(Sheet2!$B$2:$O$7,MATCH($AG37,Sheet2!$B$2:$B$7,0),MATCH(R$2,Sheet2!$B$2:$O$2,0))),0,INDEX(Sheet2!$B$2:$O$7,MATCH($AG37,Sheet2!$B$2:$B$7,0),MATCH(R$2,Sheet2!$B$2:$O$2,0)))</f>
        <v>0</v>
      </c>
      <c r="S37" s="1">
        <f>IF(ISERROR(INDEX(Sheet2!$B$2:$O$7,MATCH($AG37,Sheet2!$B$2:$B$7,0),MATCH(S$2,Sheet2!$B$2:$O$2,0))),0,INDEX(Sheet2!$B$2:$O$7,MATCH($AG37,Sheet2!$B$2:$B$7,0),MATCH(S$2,Sheet2!$B$2:$O$2,0)))</f>
        <v>0</v>
      </c>
      <c r="T37" s="1">
        <f>IF(ISERROR(INDEX(Sheet2!$B$2:$O$7,MATCH($AG37,Sheet2!$B$2:$B$7,0),MATCH(T$2,Sheet2!$B$2:$O$2,0))),0,INDEX(Sheet2!$B$2:$O$7,MATCH($AG37,Sheet2!$B$2:$B$7,0),MATCH(T$2,Sheet2!$B$2:$O$2,0)))</f>
        <v>0</v>
      </c>
      <c r="U37" s="1">
        <f>IF(ISERROR(INDEX(Sheet2!$B$2:$O$7,MATCH($AG37,Sheet2!$B$2:$B$7,0),MATCH(U$2,Sheet2!$B$2:$O$2,0))),0,INDEX(Sheet2!$B$2:$O$7,MATCH($AG37,Sheet2!$B$2:$B$7,0),MATCH(U$2,Sheet2!$B$2:$O$2,0)))</f>
        <v>0</v>
      </c>
      <c r="V37" s="1">
        <f>IF(ISERROR(INDEX(Sheet2!$B$2:$O$7,MATCH($AG37,Sheet2!$B$2:$B$7,0),MATCH(V$2,Sheet2!$B$2:$O$2,0))),0,INDEX(Sheet2!$B$2:$O$7,MATCH($AG37,Sheet2!$B$2:$B$7,0),MATCH(V$2,Sheet2!$B$2:$O$2,0)))</f>
        <v>10000</v>
      </c>
      <c r="W37" s="1">
        <f>IF(ISERROR(INDEX(Sheet2!$B$2:$O$7,MATCH($AG37,Sheet2!$B$2:$B$7,0),MATCH(W$2,Sheet2!$B$2:$O$2,0))),0,INDEX(Sheet2!$B$2:$O$7,MATCH($AG37,Sheet2!$B$2:$B$7,0),MATCH(W$2,Sheet2!$B$2:$O$2,0)))</f>
        <v>400</v>
      </c>
      <c r="X37" s="1">
        <f>IF(ISERROR(INDEX(Sheet2!$B$2:$O$7,MATCH($AG37,Sheet2!$B$2:$B$7,0),MATCH(X$2,Sheet2!$B$2:$O$2,0))),0,INDEX(Sheet2!$B$2:$O$7,MATCH($AG37,Sheet2!$B$2:$B$7,0),MATCH(X$2,Sheet2!$B$2:$O$2,0)))</f>
        <v>200</v>
      </c>
      <c r="Y37" s="1">
        <f>IF(ISERROR(INDEX(Sheet2!$B$2:$O$7,MATCH($AG37,Sheet2!$B$2:$B$7,0),MATCH(Y$2,Sheet2!$B$2:$O$2,0))),0,INDEX(Sheet2!$B$2:$O$7,MATCH($AG37,Sheet2!$B$2:$B$7,0),MATCH(Y$2,Sheet2!$B$2:$O$2,0)))</f>
        <v>200</v>
      </c>
      <c r="Z37" s="1">
        <f>IF(ISERROR(INDEX(Sheet2!$B$2:$O$7,MATCH($AG37,Sheet2!$B$2:$B$7,0),MATCH(Z$2,Sheet2!$B$2:$O$2,0))),0,INDEX(Sheet2!$B$2:$O$7,MATCH($AG37,Sheet2!$B$2:$B$7,0),MATCH(Z$2,Sheet2!$B$2:$O$2,0)))</f>
        <v>0</v>
      </c>
      <c r="AA37" s="1">
        <f>IF(ISERROR(INDEX(Sheet2!$B$2:$O$7,MATCH($AG37,Sheet2!$B$2:$B$7,0),MATCH(AA$2,Sheet2!$B$2:$O$2,0))),0,INDEX(Sheet2!$B$2:$O$7,MATCH($AG37,Sheet2!$B$2:$B$7,0),MATCH(AA$2,Sheet2!$B$2:$O$2,0)))</f>
        <v>0</v>
      </c>
      <c r="AB37" s="1">
        <f>IF(ISERROR(INDEX(Sheet2!$B$2:$O$7,MATCH($AG37,Sheet2!$B$2:$B$7,0),MATCH(AB$2,Sheet2!$B$2:$O$2,0))),0,INDEX(Sheet2!$B$2:$O$7,MATCH($AG37,Sheet2!$B$2:$B$7,0),MATCH(AB$2,Sheet2!$B$2:$O$2,0)))</f>
        <v>0</v>
      </c>
      <c r="AC37" s="1">
        <f>IF(ISERROR(INDEX(Sheet2!$B$2:$O$7,MATCH($AG37,Sheet2!$B$2:$B$7,0),MATCH(AC$2,Sheet2!$B$2:$O$2,0))),0,INDEX(Sheet2!$B$2:$O$7,MATCH($AG37,Sheet2!$B$2:$B$7,0),MATCH(AC$2,Sheet2!$B$2:$O$2,0)))</f>
        <v>0</v>
      </c>
      <c r="AD37" s="12" t="s">
        <v>219</v>
      </c>
      <c r="AE37" s="25">
        <v>17134</v>
      </c>
      <c r="AF37" s="21" t="s">
        <v>185</v>
      </c>
      <c r="AG37" s="13">
        <f>INDEX([1]Sheet1!$U:$U,MATCH($A37,[1]Sheet1!$BN:$BN,0),0)</f>
        <v>13</v>
      </c>
    </row>
    <row r="38" spans="1:34">
      <c r="A38" s="1">
        <v>1201</v>
      </c>
      <c r="B38" s="1" t="s">
        <v>108</v>
      </c>
      <c r="C38" s="13" t="s">
        <v>139</v>
      </c>
      <c r="D38" s="1" t="str">
        <f t="shared" si="0"/>
        <v>[[90000,12010],[90001,12011],[90002,12012],[90003,12013],[90004,12014],[90005,12015],[90006,12016]]</v>
      </c>
      <c r="E38" s="45">
        <v>4</v>
      </c>
      <c r="F38" s="1">
        <f>IF(ISERROR(INDEX(Sheet2!$B$2:$O$7,MATCH($AG38,Sheet2!$B$2:$B$7,0),MATCH(F$2,Sheet2!$B$2:$O$2,0))),0,INDEX(Sheet2!$B$2:$O$7,MATCH($AG38,Sheet2!$B$2:$B$7,0),MATCH(F$2,Sheet2!$B$2:$O$2,0)))</f>
        <v>5000</v>
      </c>
      <c r="G38" s="1">
        <f>IF(ISERROR(INDEX(Sheet2!$B$2:$O$7,MATCH($AG38,Sheet2!$B$2:$B$7,0),MATCH(G$2,Sheet2!$B$2:$O$2,0))),0,INDEX(Sheet2!$B$2:$O$7,MATCH($AG38,Sheet2!$B$2:$B$7,0),MATCH(G$2,Sheet2!$B$2:$O$2,0)))</f>
        <v>200</v>
      </c>
      <c r="H38" s="1">
        <f>IF(ISERROR(INDEX(Sheet2!$B$2:$O$7,MATCH($AG38,Sheet2!$B$2:$B$7,0),MATCH(H$2,Sheet2!$B$2:$O$2,0))),0,INDEX(Sheet2!$B$2:$O$7,MATCH($AG38,Sheet2!$B$2:$B$7,0),MATCH(H$2,Sheet2!$B$2:$O$2,0)))</f>
        <v>100</v>
      </c>
      <c r="I38" s="1">
        <f>IF(ISERROR(INDEX(Sheet2!$B$2:$O$7,MATCH($AG38,Sheet2!$B$2:$B$7,0),MATCH(I$2,Sheet2!$B$2:$O$2,0))),0,INDEX(Sheet2!$B$2:$O$7,MATCH($AG38,Sheet2!$B$2:$B$7,0),MATCH(I$2,Sheet2!$B$2:$O$2,0)))</f>
        <v>100</v>
      </c>
      <c r="J38" s="1">
        <f>IF(ISERROR(INDEX(Sheet2!$B$2:$O$7,MATCH($AG38,Sheet2!$B$2:$B$7,0),MATCH(J$2,Sheet2!$B$2:$O$2,0))),0,INDEX(Sheet2!$B$2:$O$7,MATCH($AG38,Sheet2!$B$2:$B$7,0),MATCH(J$2,Sheet2!$B$2:$O$2,0)))</f>
        <v>0</v>
      </c>
      <c r="K38" s="1">
        <f>IF(ISERROR(INDEX(Sheet2!$B$2:$O$7,MATCH($AG38,Sheet2!$B$2:$B$7,0),MATCH(K$2,Sheet2!$B$2:$O$2,0))),0,INDEX(Sheet2!$B$2:$O$7,MATCH($AG38,Sheet2!$B$2:$B$7,0),MATCH(K$2,Sheet2!$B$2:$O$2,0)))</f>
        <v>0</v>
      </c>
      <c r="L38" s="1">
        <f>IF(ISERROR(INDEX(Sheet2!$B$2:$O$7,MATCH($AG38,Sheet2!$B$2:$B$7,0),MATCH(L$2,Sheet2!$B$2:$O$2,0))),0,INDEX(Sheet2!$B$2:$O$7,MATCH($AG38,Sheet2!$B$2:$B$7,0),MATCH(L$2,Sheet2!$B$2:$O$2,0)))</f>
        <v>0</v>
      </c>
      <c r="M38" s="1">
        <f>IF(ISERROR(INDEX(Sheet2!$B$2:$O$7,MATCH($AG38,Sheet2!$B$2:$B$7,0),MATCH(M$2,Sheet2!$B$2:$O$2,0))),0,INDEX(Sheet2!$B$2:$O$7,MATCH($AG38,Sheet2!$B$2:$B$7,0),MATCH(M$2,Sheet2!$B$2:$O$2,0)))</f>
        <v>0</v>
      </c>
      <c r="N38" s="1">
        <f>IF(ISERROR(INDEX(Sheet2!$B$2:$O$7,MATCH($AG38,Sheet2!$B$2:$B$7,0),MATCH(N$2,Sheet2!$B$2:$O$2,0))),0,INDEX(Sheet2!$B$2:$O$7,MATCH($AG38,Sheet2!$B$2:$B$7,0),MATCH(N$2,Sheet2!$B$2:$O$2,0)))</f>
        <v>600</v>
      </c>
      <c r="O38" s="1">
        <f>IF(ISERROR(INDEX(Sheet2!$B$2:$O$7,MATCH($AG38,Sheet2!$B$2:$B$7,0),MATCH(O$2,Sheet2!$B$2:$O$2,0))),0,INDEX(Sheet2!$B$2:$O$7,MATCH($AG38,Sheet2!$B$2:$B$7,0),MATCH(O$2,Sheet2!$B$2:$O$2,0)))</f>
        <v>24</v>
      </c>
      <c r="P38" s="1">
        <f>IF(ISERROR(INDEX(Sheet2!$B$2:$O$7,MATCH($AG38,Sheet2!$B$2:$B$7,0),MATCH(P$2,Sheet2!$B$2:$O$2,0))),0,INDEX(Sheet2!$B$2:$O$7,MATCH($AG38,Sheet2!$B$2:$B$7,0),MATCH(P$2,Sheet2!$B$2:$O$2,0)))</f>
        <v>12</v>
      </c>
      <c r="Q38" s="1">
        <f>IF(ISERROR(INDEX(Sheet2!$B$2:$O$7,MATCH($AG38,Sheet2!$B$2:$B$7,0),MATCH(Q$2,Sheet2!$B$2:$O$2,0))),0,INDEX(Sheet2!$B$2:$O$7,MATCH($AG38,Sheet2!$B$2:$B$7,0),MATCH(Q$2,Sheet2!$B$2:$O$2,0)))</f>
        <v>12</v>
      </c>
      <c r="R38" s="1">
        <f>IF(ISERROR(INDEX(Sheet2!$B$2:$O$7,MATCH($AG38,Sheet2!$B$2:$B$7,0),MATCH(R$2,Sheet2!$B$2:$O$2,0))),0,INDEX(Sheet2!$B$2:$O$7,MATCH($AG38,Sheet2!$B$2:$B$7,0),MATCH(R$2,Sheet2!$B$2:$O$2,0)))</f>
        <v>0</v>
      </c>
      <c r="S38" s="1">
        <f>IF(ISERROR(INDEX(Sheet2!$B$2:$O$7,MATCH($AG38,Sheet2!$B$2:$B$7,0),MATCH(S$2,Sheet2!$B$2:$O$2,0))),0,INDEX(Sheet2!$B$2:$O$7,MATCH($AG38,Sheet2!$B$2:$B$7,0),MATCH(S$2,Sheet2!$B$2:$O$2,0)))</f>
        <v>0</v>
      </c>
      <c r="T38" s="1">
        <f>IF(ISERROR(INDEX(Sheet2!$B$2:$O$7,MATCH($AG38,Sheet2!$B$2:$B$7,0),MATCH(T$2,Sheet2!$B$2:$O$2,0))),0,INDEX(Sheet2!$B$2:$O$7,MATCH($AG38,Sheet2!$B$2:$B$7,0),MATCH(T$2,Sheet2!$B$2:$O$2,0)))</f>
        <v>0</v>
      </c>
      <c r="U38" s="1">
        <f>IF(ISERROR(INDEX(Sheet2!$B$2:$O$7,MATCH($AG38,Sheet2!$B$2:$B$7,0),MATCH(U$2,Sheet2!$B$2:$O$2,0))),0,INDEX(Sheet2!$B$2:$O$7,MATCH($AG38,Sheet2!$B$2:$B$7,0),MATCH(U$2,Sheet2!$B$2:$O$2,0)))</f>
        <v>0</v>
      </c>
      <c r="V38" s="1">
        <f>IF(ISERROR(INDEX(Sheet2!$B$2:$O$7,MATCH($AG38,Sheet2!$B$2:$B$7,0),MATCH(V$2,Sheet2!$B$2:$O$2,0))),0,INDEX(Sheet2!$B$2:$O$7,MATCH($AG38,Sheet2!$B$2:$B$7,0),MATCH(V$2,Sheet2!$B$2:$O$2,0)))</f>
        <v>10000</v>
      </c>
      <c r="W38" s="1">
        <f>IF(ISERROR(INDEX(Sheet2!$B$2:$O$7,MATCH($AG38,Sheet2!$B$2:$B$7,0),MATCH(W$2,Sheet2!$B$2:$O$2,0))),0,INDEX(Sheet2!$B$2:$O$7,MATCH($AG38,Sheet2!$B$2:$B$7,0),MATCH(W$2,Sheet2!$B$2:$O$2,0)))</f>
        <v>400</v>
      </c>
      <c r="X38" s="1">
        <f>IF(ISERROR(INDEX(Sheet2!$B$2:$O$7,MATCH($AG38,Sheet2!$B$2:$B$7,0),MATCH(X$2,Sheet2!$B$2:$O$2,0))),0,INDEX(Sheet2!$B$2:$O$7,MATCH($AG38,Sheet2!$B$2:$B$7,0),MATCH(X$2,Sheet2!$B$2:$O$2,0)))</f>
        <v>200</v>
      </c>
      <c r="Y38" s="1">
        <f>IF(ISERROR(INDEX(Sheet2!$B$2:$O$7,MATCH($AG38,Sheet2!$B$2:$B$7,0),MATCH(Y$2,Sheet2!$B$2:$O$2,0))),0,INDEX(Sheet2!$B$2:$O$7,MATCH($AG38,Sheet2!$B$2:$B$7,0),MATCH(Y$2,Sheet2!$B$2:$O$2,0)))</f>
        <v>200</v>
      </c>
      <c r="Z38" s="1">
        <f>IF(ISERROR(INDEX(Sheet2!$B$2:$O$7,MATCH($AG38,Sheet2!$B$2:$B$7,0),MATCH(Z$2,Sheet2!$B$2:$O$2,0))),0,INDEX(Sheet2!$B$2:$O$7,MATCH($AG38,Sheet2!$B$2:$B$7,0),MATCH(Z$2,Sheet2!$B$2:$O$2,0)))</f>
        <v>0</v>
      </c>
      <c r="AA38" s="1">
        <f>IF(ISERROR(INDEX(Sheet2!$B$2:$O$7,MATCH($AG38,Sheet2!$B$2:$B$7,0),MATCH(AA$2,Sheet2!$B$2:$O$2,0))),0,INDEX(Sheet2!$B$2:$O$7,MATCH($AG38,Sheet2!$B$2:$B$7,0),MATCH(AA$2,Sheet2!$B$2:$O$2,0)))</f>
        <v>0</v>
      </c>
      <c r="AB38" s="1">
        <f>IF(ISERROR(INDEX(Sheet2!$B$2:$O$7,MATCH($AG38,Sheet2!$B$2:$B$7,0),MATCH(AB$2,Sheet2!$B$2:$O$2,0))),0,INDEX(Sheet2!$B$2:$O$7,MATCH($AG38,Sheet2!$B$2:$B$7,0),MATCH(AB$2,Sheet2!$B$2:$O$2,0)))</f>
        <v>0</v>
      </c>
      <c r="AC38" s="1">
        <f>IF(ISERROR(INDEX(Sheet2!$B$2:$O$7,MATCH($AG38,Sheet2!$B$2:$B$7,0),MATCH(AC$2,Sheet2!$B$2:$O$2,0))),0,INDEX(Sheet2!$B$2:$O$7,MATCH($AG38,Sheet2!$B$2:$B$7,0),MATCH(AC$2,Sheet2!$B$2:$O$2,0)))</f>
        <v>0</v>
      </c>
      <c r="AD38" s="12" t="s">
        <v>219</v>
      </c>
      <c r="AE38" s="25">
        <v>17135</v>
      </c>
      <c r="AF38" s="21" t="s">
        <v>186</v>
      </c>
      <c r="AG38" s="13">
        <f>INDEX([1]Sheet1!$U:$U,MATCH($A38,[1]Sheet1!$BN:$BN,0),0)</f>
        <v>13</v>
      </c>
    </row>
    <row r="39" spans="1:34">
      <c r="A39" s="1">
        <v>1131</v>
      </c>
      <c r="B39" s="1" t="s">
        <v>109</v>
      </c>
      <c r="C39" s="13" t="s">
        <v>140</v>
      </c>
      <c r="D39" s="1" t="str">
        <f t="shared" si="0"/>
        <v>[[90000,11310],[90001,11311],[90002,11312],[90003,11313],[90004,11314],[90005,11315],[90006,11316]]</v>
      </c>
      <c r="E39" s="45">
        <v>4</v>
      </c>
      <c r="F39" s="1">
        <f>IF(ISERROR(INDEX(Sheet2!$B$2:$O$7,MATCH($AG39,Sheet2!$B$2:$B$7,0),MATCH(F$2,Sheet2!$B$2:$O$2,0))),0,INDEX(Sheet2!$B$2:$O$7,MATCH($AG39,Sheet2!$B$2:$B$7,0),MATCH(F$2,Sheet2!$B$2:$O$2,0)))</f>
        <v>5000</v>
      </c>
      <c r="G39" s="1">
        <f>IF(ISERROR(INDEX(Sheet2!$B$2:$O$7,MATCH($AG39,Sheet2!$B$2:$B$7,0),MATCH(G$2,Sheet2!$B$2:$O$2,0))),0,INDEX(Sheet2!$B$2:$O$7,MATCH($AG39,Sheet2!$B$2:$B$7,0),MATCH(G$2,Sheet2!$B$2:$O$2,0)))</f>
        <v>200</v>
      </c>
      <c r="H39" s="1">
        <f>IF(ISERROR(INDEX(Sheet2!$B$2:$O$7,MATCH($AG39,Sheet2!$B$2:$B$7,0),MATCH(H$2,Sheet2!$B$2:$O$2,0))),0,INDEX(Sheet2!$B$2:$O$7,MATCH($AG39,Sheet2!$B$2:$B$7,0),MATCH(H$2,Sheet2!$B$2:$O$2,0)))</f>
        <v>100</v>
      </c>
      <c r="I39" s="1">
        <f>IF(ISERROR(INDEX(Sheet2!$B$2:$O$7,MATCH($AG39,Sheet2!$B$2:$B$7,0),MATCH(I$2,Sheet2!$B$2:$O$2,0))),0,INDEX(Sheet2!$B$2:$O$7,MATCH($AG39,Sheet2!$B$2:$B$7,0),MATCH(I$2,Sheet2!$B$2:$O$2,0)))</f>
        <v>100</v>
      </c>
      <c r="J39" s="1">
        <f>IF(ISERROR(INDEX(Sheet2!$B$2:$O$7,MATCH($AG39,Sheet2!$B$2:$B$7,0),MATCH(J$2,Sheet2!$B$2:$O$2,0))),0,INDEX(Sheet2!$B$2:$O$7,MATCH($AG39,Sheet2!$B$2:$B$7,0),MATCH(J$2,Sheet2!$B$2:$O$2,0)))</f>
        <v>0</v>
      </c>
      <c r="K39" s="1">
        <f>IF(ISERROR(INDEX(Sheet2!$B$2:$O$7,MATCH($AG39,Sheet2!$B$2:$B$7,0),MATCH(K$2,Sheet2!$B$2:$O$2,0))),0,INDEX(Sheet2!$B$2:$O$7,MATCH($AG39,Sheet2!$B$2:$B$7,0),MATCH(K$2,Sheet2!$B$2:$O$2,0)))</f>
        <v>0</v>
      </c>
      <c r="L39" s="1">
        <f>IF(ISERROR(INDEX(Sheet2!$B$2:$O$7,MATCH($AG39,Sheet2!$B$2:$B$7,0),MATCH(L$2,Sheet2!$B$2:$O$2,0))),0,INDEX(Sheet2!$B$2:$O$7,MATCH($AG39,Sheet2!$B$2:$B$7,0),MATCH(L$2,Sheet2!$B$2:$O$2,0)))</f>
        <v>0</v>
      </c>
      <c r="M39" s="1">
        <f>IF(ISERROR(INDEX(Sheet2!$B$2:$O$7,MATCH($AG39,Sheet2!$B$2:$B$7,0),MATCH(M$2,Sheet2!$B$2:$O$2,0))),0,INDEX(Sheet2!$B$2:$O$7,MATCH($AG39,Sheet2!$B$2:$B$7,0),MATCH(M$2,Sheet2!$B$2:$O$2,0)))</f>
        <v>0</v>
      </c>
      <c r="N39" s="1">
        <f>IF(ISERROR(INDEX(Sheet2!$B$2:$O$7,MATCH($AG39,Sheet2!$B$2:$B$7,0),MATCH(N$2,Sheet2!$B$2:$O$2,0))),0,INDEX(Sheet2!$B$2:$O$7,MATCH($AG39,Sheet2!$B$2:$B$7,0),MATCH(N$2,Sheet2!$B$2:$O$2,0)))</f>
        <v>600</v>
      </c>
      <c r="O39" s="1">
        <f>IF(ISERROR(INDEX(Sheet2!$B$2:$O$7,MATCH($AG39,Sheet2!$B$2:$B$7,0),MATCH(O$2,Sheet2!$B$2:$O$2,0))),0,INDEX(Sheet2!$B$2:$O$7,MATCH($AG39,Sheet2!$B$2:$B$7,0),MATCH(O$2,Sheet2!$B$2:$O$2,0)))</f>
        <v>24</v>
      </c>
      <c r="P39" s="1">
        <f>IF(ISERROR(INDEX(Sheet2!$B$2:$O$7,MATCH($AG39,Sheet2!$B$2:$B$7,0),MATCH(P$2,Sheet2!$B$2:$O$2,0))),0,INDEX(Sheet2!$B$2:$O$7,MATCH($AG39,Sheet2!$B$2:$B$7,0),MATCH(P$2,Sheet2!$B$2:$O$2,0)))</f>
        <v>12</v>
      </c>
      <c r="Q39" s="1">
        <f>IF(ISERROR(INDEX(Sheet2!$B$2:$O$7,MATCH($AG39,Sheet2!$B$2:$B$7,0),MATCH(Q$2,Sheet2!$B$2:$O$2,0))),0,INDEX(Sheet2!$B$2:$O$7,MATCH($AG39,Sheet2!$B$2:$B$7,0),MATCH(Q$2,Sheet2!$B$2:$O$2,0)))</f>
        <v>12</v>
      </c>
      <c r="R39" s="1">
        <f>IF(ISERROR(INDEX(Sheet2!$B$2:$O$7,MATCH($AG39,Sheet2!$B$2:$B$7,0),MATCH(R$2,Sheet2!$B$2:$O$2,0))),0,INDEX(Sheet2!$B$2:$O$7,MATCH($AG39,Sheet2!$B$2:$B$7,0),MATCH(R$2,Sheet2!$B$2:$O$2,0)))</f>
        <v>0</v>
      </c>
      <c r="S39" s="1">
        <f>IF(ISERROR(INDEX(Sheet2!$B$2:$O$7,MATCH($AG39,Sheet2!$B$2:$B$7,0),MATCH(S$2,Sheet2!$B$2:$O$2,0))),0,INDEX(Sheet2!$B$2:$O$7,MATCH($AG39,Sheet2!$B$2:$B$7,0),MATCH(S$2,Sheet2!$B$2:$O$2,0)))</f>
        <v>0</v>
      </c>
      <c r="T39" s="1">
        <f>IF(ISERROR(INDEX(Sheet2!$B$2:$O$7,MATCH($AG39,Sheet2!$B$2:$B$7,0),MATCH(T$2,Sheet2!$B$2:$O$2,0))),0,INDEX(Sheet2!$B$2:$O$7,MATCH($AG39,Sheet2!$B$2:$B$7,0),MATCH(T$2,Sheet2!$B$2:$O$2,0)))</f>
        <v>0</v>
      </c>
      <c r="U39" s="1">
        <f>IF(ISERROR(INDEX(Sheet2!$B$2:$O$7,MATCH($AG39,Sheet2!$B$2:$B$7,0),MATCH(U$2,Sheet2!$B$2:$O$2,0))),0,INDEX(Sheet2!$B$2:$O$7,MATCH($AG39,Sheet2!$B$2:$B$7,0),MATCH(U$2,Sheet2!$B$2:$O$2,0)))</f>
        <v>0</v>
      </c>
      <c r="V39" s="1">
        <f>IF(ISERROR(INDEX(Sheet2!$B$2:$O$7,MATCH($AG39,Sheet2!$B$2:$B$7,0),MATCH(V$2,Sheet2!$B$2:$O$2,0))),0,INDEX(Sheet2!$B$2:$O$7,MATCH($AG39,Sheet2!$B$2:$B$7,0),MATCH(V$2,Sheet2!$B$2:$O$2,0)))</f>
        <v>10000</v>
      </c>
      <c r="W39" s="1">
        <f>IF(ISERROR(INDEX(Sheet2!$B$2:$O$7,MATCH($AG39,Sheet2!$B$2:$B$7,0),MATCH(W$2,Sheet2!$B$2:$O$2,0))),0,INDEX(Sheet2!$B$2:$O$7,MATCH($AG39,Sheet2!$B$2:$B$7,0),MATCH(W$2,Sheet2!$B$2:$O$2,0)))</f>
        <v>400</v>
      </c>
      <c r="X39" s="1">
        <f>IF(ISERROR(INDEX(Sheet2!$B$2:$O$7,MATCH($AG39,Sheet2!$B$2:$B$7,0),MATCH(X$2,Sheet2!$B$2:$O$2,0))),0,INDEX(Sheet2!$B$2:$O$7,MATCH($AG39,Sheet2!$B$2:$B$7,0),MATCH(X$2,Sheet2!$B$2:$O$2,0)))</f>
        <v>200</v>
      </c>
      <c r="Y39" s="1">
        <f>IF(ISERROR(INDEX(Sheet2!$B$2:$O$7,MATCH($AG39,Sheet2!$B$2:$B$7,0),MATCH(Y$2,Sheet2!$B$2:$O$2,0))),0,INDEX(Sheet2!$B$2:$O$7,MATCH($AG39,Sheet2!$B$2:$B$7,0),MATCH(Y$2,Sheet2!$B$2:$O$2,0)))</f>
        <v>200</v>
      </c>
      <c r="Z39" s="1">
        <f>IF(ISERROR(INDEX(Sheet2!$B$2:$O$7,MATCH($AG39,Sheet2!$B$2:$B$7,0),MATCH(Z$2,Sheet2!$B$2:$O$2,0))),0,INDEX(Sheet2!$B$2:$O$7,MATCH($AG39,Sheet2!$B$2:$B$7,0),MATCH(Z$2,Sheet2!$B$2:$O$2,0)))</f>
        <v>0</v>
      </c>
      <c r="AA39" s="1">
        <f>IF(ISERROR(INDEX(Sheet2!$B$2:$O$7,MATCH($AG39,Sheet2!$B$2:$B$7,0),MATCH(AA$2,Sheet2!$B$2:$O$2,0))),0,INDEX(Sheet2!$B$2:$O$7,MATCH($AG39,Sheet2!$B$2:$B$7,0),MATCH(AA$2,Sheet2!$B$2:$O$2,0)))</f>
        <v>0</v>
      </c>
      <c r="AB39" s="1">
        <f>IF(ISERROR(INDEX(Sheet2!$B$2:$O$7,MATCH($AG39,Sheet2!$B$2:$B$7,0),MATCH(AB$2,Sheet2!$B$2:$O$2,0))),0,INDEX(Sheet2!$B$2:$O$7,MATCH($AG39,Sheet2!$B$2:$B$7,0),MATCH(AB$2,Sheet2!$B$2:$O$2,0)))</f>
        <v>0</v>
      </c>
      <c r="AC39" s="1">
        <f>IF(ISERROR(INDEX(Sheet2!$B$2:$O$7,MATCH($AG39,Sheet2!$B$2:$B$7,0),MATCH(AC$2,Sheet2!$B$2:$O$2,0))),0,INDEX(Sheet2!$B$2:$O$7,MATCH($AG39,Sheet2!$B$2:$B$7,0),MATCH(AC$2,Sheet2!$B$2:$O$2,0)))</f>
        <v>0</v>
      </c>
      <c r="AD39" s="12" t="s">
        <v>219</v>
      </c>
      <c r="AE39" s="25">
        <v>17136</v>
      </c>
      <c r="AF39" s="21" t="s">
        <v>187</v>
      </c>
      <c r="AG39" s="13">
        <f>INDEX([1]Sheet1!$U:$U,MATCH($A39,[1]Sheet1!$BN:$BN,0),0)</f>
        <v>13</v>
      </c>
    </row>
    <row r="40" spans="1:34">
      <c r="A40" s="1">
        <v>1137</v>
      </c>
      <c r="B40" s="1" t="s">
        <v>110</v>
      </c>
      <c r="C40" s="13" t="s">
        <v>141</v>
      </c>
      <c r="D40" s="1" t="str">
        <f t="shared" si="0"/>
        <v>[[90000,11370],[90001,11371],[90002,11372],[90003,11373],[90004,11374],[90005,11375],[90006,11376]]</v>
      </c>
      <c r="E40" s="45">
        <v>4</v>
      </c>
      <c r="F40" s="1">
        <f>IF(ISERROR(INDEX(Sheet2!$B$2:$O$7,MATCH($AG40,Sheet2!$B$2:$B$7,0),MATCH(F$2,Sheet2!$B$2:$O$2,0))),0,INDEX(Sheet2!$B$2:$O$7,MATCH($AG40,Sheet2!$B$2:$B$7,0),MATCH(F$2,Sheet2!$B$2:$O$2,0)))</f>
        <v>5000</v>
      </c>
      <c r="G40" s="1">
        <f>IF(ISERROR(INDEX(Sheet2!$B$2:$O$7,MATCH($AG40,Sheet2!$B$2:$B$7,0),MATCH(G$2,Sheet2!$B$2:$O$2,0))),0,INDEX(Sheet2!$B$2:$O$7,MATCH($AG40,Sheet2!$B$2:$B$7,0),MATCH(G$2,Sheet2!$B$2:$O$2,0)))</f>
        <v>200</v>
      </c>
      <c r="H40" s="1">
        <f>IF(ISERROR(INDEX(Sheet2!$B$2:$O$7,MATCH($AG40,Sheet2!$B$2:$B$7,0),MATCH(H$2,Sheet2!$B$2:$O$2,0))),0,INDEX(Sheet2!$B$2:$O$7,MATCH($AG40,Sheet2!$B$2:$B$7,0),MATCH(H$2,Sheet2!$B$2:$O$2,0)))</f>
        <v>100</v>
      </c>
      <c r="I40" s="1">
        <f>IF(ISERROR(INDEX(Sheet2!$B$2:$O$7,MATCH($AG40,Sheet2!$B$2:$B$7,0),MATCH(I$2,Sheet2!$B$2:$O$2,0))),0,INDEX(Sheet2!$B$2:$O$7,MATCH($AG40,Sheet2!$B$2:$B$7,0),MATCH(I$2,Sheet2!$B$2:$O$2,0)))</f>
        <v>100</v>
      </c>
      <c r="J40" s="1">
        <f>IF(ISERROR(INDEX(Sheet2!$B$2:$O$7,MATCH($AG40,Sheet2!$B$2:$B$7,0),MATCH(J$2,Sheet2!$B$2:$O$2,0))),0,INDEX(Sheet2!$B$2:$O$7,MATCH($AG40,Sheet2!$B$2:$B$7,0),MATCH(J$2,Sheet2!$B$2:$O$2,0)))</f>
        <v>0</v>
      </c>
      <c r="K40" s="1">
        <f>IF(ISERROR(INDEX(Sheet2!$B$2:$O$7,MATCH($AG40,Sheet2!$B$2:$B$7,0),MATCH(K$2,Sheet2!$B$2:$O$2,0))),0,INDEX(Sheet2!$B$2:$O$7,MATCH($AG40,Sheet2!$B$2:$B$7,0),MATCH(K$2,Sheet2!$B$2:$O$2,0)))</f>
        <v>0</v>
      </c>
      <c r="L40" s="1">
        <f>IF(ISERROR(INDEX(Sheet2!$B$2:$O$7,MATCH($AG40,Sheet2!$B$2:$B$7,0),MATCH(L$2,Sheet2!$B$2:$O$2,0))),0,INDEX(Sheet2!$B$2:$O$7,MATCH($AG40,Sheet2!$B$2:$B$7,0),MATCH(L$2,Sheet2!$B$2:$O$2,0)))</f>
        <v>0</v>
      </c>
      <c r="M40" s="1">
        <f>IF(ISERROR(INDEX(Sheet2!$B$2:$O$7,MATCH($AG40,Sheet2!$B$2:$B$7,0),MATCH(M$2,Sheet2!$B$2:$O$2,0))),0,INDEX(Sheet2!$B$2:$O$7,MATCH($AG40,Sheet2!$B$2:$B$7,0),MATCH(M$2,Sheet2!$B$2:$O$2,0)))</f>
        <v>0</v>
      </c>
      <c r="N40" s="1">
        <f>IF(ISERROR(INDEX(Sheet2!$B$2:$O$7,MATCH($AG40,Sheet2!$B$2:$B$7,0),MATCH(N$2,Sheet2!$B$2:$O$2,0))),0,INDEX(Sheet2!$B$2:$O$7,MATCH($AG40,Sheet2!$B$2:$B$7,0),MATCH(N$2,Sheet2!$B$2:$O$2,0)))</f>
        <v>600</v>
      </c>
      <c r="O40" s="1">
        <f>IF(ISERROR(INDEX(Sheet2!$B$2:$O$7,MATCH($AG40,Sheet2!$B$2:$B$7,0),MATCH(O$2,Sheet2!$B$2:$O$2,0))),0,INDEX(Sheet2!$B$2:$O$7,MATCH($AG40,Sheet2!$B$2:$B$7,0),MATCH(O$2,Sheet2!$B$2:$O$2,0)))</f>
        <v>24</v>
      </c>
      <c r="P40" s="1">
        <f>IF(ISERROR(INDEX(Sheet2!$B$2:$O$7,MATCH($AG40,Sheet2!$B$2:$B$7,0),MATCH(P$2,Sheet2!$B$2:$O$2,0))),0,INDEX(Sheet2!$B$2:$O$7,MATCH($AG40,Sheet2!$B$2:$B$7,0),MATCH(P$2,Sheet2!$B$2:$O$2,0)))</f>
        <v>12</v>
      </c>
      <c r="Q40" s="1">
        <f>IF(ISERROR(INDEX(Sheet2!$B$2:$O$7,MATCH($AG40,Sheet2!$B$2:$B$7,0),MATCH(Q$2,Sheet2!$B$2:$O$2,0))),0,INDEX(Sheet2!$B$2:$O$7,MATCH($AG40,Sheet2!$B$2:$B$7,0),MATCH(Q$2,Sheet2!$B$2:$O$2,0)))</f>
        <v>12</v>
      </c>
      <c r="R40" s="1">
        <f>IF(ISERROR(INDEX(Sheet2!$B$2:$O$7,MATCH($AG40,Sheet2!$B$2:$B$7,0),MATCH(R$2,Sheet2!$B$2:$O$2,0))),0,INDEX(Sheet2!$B$2:$O$7,MATCH($AG40,Sheet2!$B$2:$B$7,0),MATCH(R$2,Sheet2!$B$2:$O$2,0)))</f>
        <v>0</v>
      </c>
      <c r="S40" s="1">
        <f>IF(ISERROR(INDEX(Sheet2!$B$2:$O$7,MATCH($AG40,Sheet2!$B$2:$B$7,0),MATCH(S$2,Sheet2!$B$2:$O$2,0))),0,INDEX(Sheet2!$B$2:$O$7,MATCH($AG40,Sheet2!$B$2:$B$7,0),MATCH(S$2,Sheet2!$B$2:$O$2,0)))</f>
        <v>0</v>
      </c>
      <c r="T40" s="1">
        <f>IF(ISERROR(INDEX(Sheet2!$B$2:$O$7,MATCH($AG40,Sheet2!$B$2:$B$7,0),MATCH(T$2,Sheet2!$B$2:$O$2,0))),0,INDEX(Sheet2!$B$2:$O$7,MATCH($AG40,Sheet2!$B$2:$B$7,0),MATCH(T$2,Sheet2!$B$2:$O$2,0)))</f>
        <v>0</v>
      </c>
      <c r="U40" s="1">
        <f>IF(ISERROR(INDEX(Sheet2!$B$2:$O$7,MATCH($AG40,Sheet2!$B$2:$B$7,0),MATCH(U$2,Sheet2!$B$2:$O$2,0))),0,INDEX(Sheet2!$B$2:$O$7,MATCH($AG40,Sheet2!$B$2:$B$7,0),MATCH(U$2,Sheet2!$B$2:$O$2,0)))</f>
        <v>0</v>
      </c>
      <c r="V40" s="1">
        <f>IF(ISERROR(INDEX(Sheet2!$B$2:$O$7,MATCH($AG40,Sheet2!$B$2:$B$7,0),MATCH(V$2,Sheet2!$B$2:$O$2,0))),0,INDEX(Sheet2!$B$2:$O$7,MATCH($AG40,Sheet2!$B$2:$B$7,0),MATCH(V$2,Sheet2!$B$2:$O$2,0)))</f>
        <v>10000</v>
      </c>
      <c r="W40" s="1">
        <f>IF(ISERROR(INDEX(Sheet2!$B$2:$O$7,MATCH($AG40,Sheet2!$B$2:$B$7,0),MATCH(W$2,Sheet2!$B$2:$O$2,0))),0,INDEX(Sheet2!$B$2:$O$7,MATCH($AG40,Sheet2!$B$2:$B$7,0),MATCH(W$2,Sheet2!$B$2:$O$2,0)))</f>
        <v>400</v>
      </c>
      <c r="X40" s="1">
        <f>IF(ISERROR(INDEX(Sheet2!$B$2:$O$7,MATCH($AG40,Sheet2!$B$2:$B$7,0),MATCH(X$2,Sheet2!$B$2:$O$2,0))),0,INDEX(Sheet2!$B$2:$O$7,MATCH($AG40,Sheet2!$B$2:$B$7,0),MATCH(X$2,Sheet2!$B$2:$O$2,0)))</f>
        <v>200</v>
      </c>
      <c r="Y40" s="1">
        <f>IF(ISERROR(INDEX(Sheet2!$B$2:$O$7,MATCH($AG40,Sheet2!$B$2:$B$7,0),MATCH(Y$2,Sheet2!$B$2:$O$2,0))),0,INDEX(Sheet2!$B$2:$O$7,MATCH($AG40,Sheet2!$B$2:$B$7,0),MATCH(Y$2,Sheet2!$B$2:$O$2,0)))</f>
        <v>200</v>
      </c>
      <c r="Z40" s="1">
        <f>IF(ISERROR(INDEX(Sheet2!$B$2:$O$7,MATCH($AG40,Sheet2!$B$2:$B$7,0),MATCH(Z$2,Sheet2!$B$2:$O$2,0))),0,INDEX(Sheet2!$B$2:$O$7,MATCH($AG40,Sheet2!$B$2:$B$7,0),MATCH(Z$2,Sheet2!$B$2:$O$2,0)))</f>
        <v>0</v>
      </c>
      <c r="AA40" s="1">
        <f>IF(ISERROR(INDEX(Sheet2!$B$2:$O$7,MATCH($AG40,Sheet2!$B$2:$B$7,0),MATCH(AA$2,Sheet2!$B$2:$O$2,0))),0,INDEX(Sheet2!$B$2:$O$7,MATCH($AG40,Sheet2!$B$2:$B$7,0),MATCH(AA$2,Sheet2!$B$2:$O$2,0)))</f>
        <v>0</v>
      </c>
      <c r="AB40" s="1">
        <f>IF(ISERROR(INDEX(Sheet2!$B$2:$O$7,MATCH($AG40,Sheet2!$B$2:$B$7,0),MATCH(AB$2,Sheet2!$B$2:$O$2,0))),0,INDEX(Sheet2!$B$2:$O$7,MATCH($AG40,Sheet2!$B$2:$B$7,0),MATCH(AB$2,Sheet2!$B$2:$O$2,0)))</f>
        <v>0</v>
      </c>
      <c r="AC40" s="1">
        <f>IF(ISERROR(INDEX(Sheet2!$B$2:$O$7,MATCH($AG40,Sheet2!$B$2:$B$7,0),MATCH(AC$2,Sheet2!$B$2:$O$2,0))),0,INDEX(Sheet2!$B$2:$O$7,MATCH($AG40,Sheet2!$B$2:$B$7,0),MATCH(AC$2,Sheet2!$B$2:$O$2,0)))</f>
        <v>0</v>
      </c>
      <c r="AD40" s="12" t="s">
        <v>219</v>
      </c>
      <c r="AE40" s="25">
        <v>17137</v>
      </c>
      <c r="AF40" s="21" t="s">
        <v>188</v>
      </c>
      <c r="AG40" s="13">
        <f>INDEX([1]Sheet1!$U:$U,MATCH($A40,[1]Sheet1!$BN:$BN,0),0)</f>
        <v>13</v>
      </c>
    </row>
    <row r="41" spans="1:34">
      <c r="A41" s="1">
        <v>1216</v>
      </c>
      <c r="B41" s="1" t="s">
        <v>111</v>
      </c>
      <c r="C41" s="13" t="s">
        <v>142</v>
      </c>
      <c r="D41" s="1" t="str">
        <f t="shared" si="0"/>
        <v>[[90000,12160],[90001,12161],[90002,12162],[90003,12163],[90004,12164],[90005,12165],[90006,12166]]</v>
      </c>
      <c r="E41" s="45">
        <v>4</v>
      </c>
      <c r="F41" s="1">
        <f>IF(ISERROR(INDEX(Sheet2!$B$2:$O$7,MATCH($AG41,Sheet2!$B$2:$B$7,0),MATCH(F$2,Sheet2!$B$2:$O$2,0))),0,INDEX(Sheet2!$B$2:$O$7,MATCH($AG41,Sheet2!$B$2:$B$7,0),MATCH(F$2,Sheet2!$B$2:$O$2,0)))</f>
        <v>5000</v>
      </c>
      <c r="G41" s="1">
        <f>IF(ISERROR(INDEX(Sheet2!$B$2:$O$7,MATCH($AG41,Sheet2!$B$2:$B$7,0),MATCH(G$2,Sheet2!$B$2:$O$2,0))),0,INDEX(Sheet2!$B$2:$O$7,MATCH($AG41,Sheet2!$B$2:$B$7,0),MATCH(G$2,Sheet2!$B$2:$O$2,0)))</f>
        <v>200</v>
      </c>
      <c r="H41" s="1">
        <f>IF(ISERROR(INDEX(Sheet2!$B$2:$O$7,MATCH($AG41,Sheet2!$B$2:$B$7,0),MATCH(H$2,Sheet2!$B$2:$O$2,0))),0,INDEX(Sheet2!$B$2:$O$7,MATCH($AG41,Sheet2!$B$2:$B$7,0),MATCH(H$2,Sheet2!$B$2:$O$2,0)))</f>
        <v>100</v>
      </c>
      <c r="I41" s="1">
        <f>IF(ISERROR(INDEX(Sheet2!$B$2:$O$7,MATCH($AG41,Sheet2!$B$2:$B$7,0),MATCH(I$2,Sheet2!$B$2:$O$2,0))),0,INDEX(Sheet2!$B$2:$O$7,MATCH($AG41,Sheet2!$B$2:$B$7,0),MATCH(I$2,Sheet2!$B$2:$O$2,0)))</f>
        <v>100</v>
      </c>
      <c r="J41" s="1">
        <f>IF(ISERROR(INDEX(Sheet2!$B$2:$O$7,MATCH($AG41,Sheet2!$B$2:$B$7,0),MATCH(J$2,Sheet2!$B$2:$O$2,0))),0,INDEX(Sheet2!$B$2:$O$7,MATCH($AG41,Sheet2!$B$2:$B$7,0),MATCH(J$2,Sheet2!$B$2:$O$2,0)))</f>
        <v>0</v>
      </c>
      <c r="K41" s="1">
        <f>IF(ISERROR(INDEX(Sheet2!$B$2:$O$7,MATCH($AG41,Sheet2!$B$2:$B$7,0),MATCH(K$2,Sheet2!$B$2:$O$2,0))),0,INDEX(Sheet2!$B$2:$O$7,MATCH($AG41,Sheet2!$B$2:$B$7,0),MATCH(K$2,Sheet2!$B$2:$O$2,0)))</f>
        <v>0</v>
      </c>
      <c r="L41" s="1">
        <f>IF(ISERROR(INDEX(Sheet2!$B$2:$O$7,MATCH($AG41,Sheet2!$B$2:$B$7,0),MATCH(L$2,Sheet2!$B$2:$O$2,0))),0,INDEX(Sheet2!$B$2:$O$7,MATCH($AG41,Sheet2!$B$2:$B$7,0),MATCH(L$2,Sheet2!$B$2:$O$2,0)))</f>
        <v>0</v>
      </c>
      <c r="M41" s="1">
        <f>IF(ISERROR(INDEX(Sheet2!$B$2:$O$7,MATCH($AG41,Sheet2!$B$2:$B$7,0),MATCH(M$2,Sheet2!$B$2:$O$2,0))),0,INDEX(Sheet2!$B$2:$O$7,MATCH($AG41,Sheet2!$B$2:$B$7,0),MATCH(M$2,Sheet2!$B$2:$O$2,0)))</f>
        <v>0</v>
      </c>
      <c r="N41" s="1">
        <f>IF(ISERROR(INDEX(Sheet2!$B$2:$O$7,MATCH($AG41,Sheet2!$B$2:$B$7,0),MATCH(N$2,Sheet2!$B$2:$O$2,0))),0,INDEX(Sheet2!$B$2:$O$7,MATCH($AG41,Sheet2!$B$2:$B$7,0),MATCH(N$2,Sheet2!$B$2:$O$2,0)))</f>
        <v>600</v>
      </c>
      <c r="O41" s="1">
        <f>IF(ISERROR(INDEX(Sheet2!$B$2:$O$7,MATCH($AG41,Sheet2!$B$2:$B$7,0),MATCH(O$2,Sheet2!$B$2:$O$2,0))),0,INDEX(Sheet2!$B$2:$O$7,MATCH($AG41,Sheet2!$B$2:$B$7,0),MATCH(O$2,Sheet2!$B$2:$O$2,0)))</f>
        <v>24</v>
      </c>
      <c r="P41" s="1">
        <f>IF(ISERROR(INDEX(Sheet2!$B$2:$O$7,MATCH($AG41,Sheet2!$B$2:$B$7,0),MATCH(P$2,Sheet2!$B$2:$O$2,0))),0,INDEX(Sheet2!$B$2:$O$7,MATCH($AG41,Sheet2!$B$2:$B$7,0),MATCH(P$2,Sheet2!$B$2:$O$2,0)))</f>
        <v>12</v>
      </c>
      <c r="Q41" s="1">
        <f>IF(ISERROR(INDEX(Sheet2!$B$2:$O$7,MATCH($AG41,Sheet2!$B$2:$B$7,0),MATCH(Q$2,Sheet2!$B$2:$O$2,0))),0,INDEX(Sheet2!$B$2:$O$7,MATCH($AG41,Sheet2!$B$2:$B$7,0),MATCH(Q$2,Sheet2!$B$2:$O$2,0)))</f>
        <v>12</v>
      </c>
      <c r="R41" s="1">
        <f>IF(ISERROR(INDEX(Sheet2!$B$2:$O$7,MATCH($AG41,Sheet2!$B$2:$B$7,0),MATCH(R$2,Sheet2!$B$2:$O$2,0))),0,INDEX(Sheet2!$B$2:$O$7,MATCH($AG41,Sheet2!$B$2:$B$7,0),MATCH(R$2,Sheet2!$B$2:$O$2,0)))</f>
        <v>0</v>
      </c>
      <c r="S41" s="1">
        <f>IF(ISERROR(INDEX(Sheet2!$B$2:$O$7,MATCH($AG41,Sheet2!$B$2:$B$7,0),MATCH(S$2,Sheet2!$B$2:$O$2,0))),0,INDEX(Sheet2!$B$2:$O$7,MATCH($AG41,Sheet2!$B$2:$B$7,0),MATCH(S$2,Sheet2!$B$2:$O$2,0)))</f>
        <v>0</v>
      </c>
      <c r="T41" s="1">
        <f>IF(ISERROR(INDEX(Sheet2!$B$2:$O$7,MATCH($AG41,Sheet2!$B$2:$B$7,0),MATCH(T$2,Sheet2!$B$2:$O$2,0))),0,INDEX(Sheet2!$B$2:$O$7,MATCH($AG41,Sheet2!$B$2:$B$7,0),MATCH(T$2,Sheet2!$B$2:$O$2,0)))</f>
        <v>0</v>
      </c>
      <c r="U41" s="1">
        <f>IF(ISERROR(INDEX(Sheet2!$B$2:$O$7,MATCH($AG41,Sheet2!$B$2:$B$7,0),MATCH(U$2,Sheet2!$B$2:$O$2,0))),0,INDEX(Sheet2!$B$2:$O$7,MATCH($AG41,Sheet2!$B$2:$B$7,0),MATCH(U$2,Sheet2!$B$2:$O$2,0)))</f>
        <v>0</v>
      </c>
      <c r="V41" s="1">
        <f>IF(ISERROR(INDEX(Sheet2!$B$2:$O$7,MATCH($AG41,Sheet2!$B$2:$B$7,0),MATCH(V$2,Sheet2!$B$2:$O$2,0))),0,INDEX(Sheet2!$B$2:$O$7,MATCH($AG41,Sheet2!$B$2:$B$7,0),MATCH(V$2,Sheet2!$B$2:$O$2,0)))</f>
        <v>10000</v>
      </c>
      <c r="W41" s="1">
        <f>IF(ISERROR(INDEX(Sheet2!$B$2:$O$7,MATCH($AG41,Sheet2!$B$2:$B$7,0),MATCH(W$2,Sheet2!$B$2:$O$2,0))),0,INDEX(Sheet2!$B$2:$O$7,MATCH($AG41,Sheet2!$B$2:$B$7,0),MATCH(W$2,Sheet2!$B$2:$O$2,0)))</f>
        <v>400</v>
      </c>
      <c r="X41" s="1">
        <f>IF(ISERROR(INDEX(Sheet2!$B$2:$O$7,MATCH($AG41,Sheet2!$B$2:$B$7,0),MATCH(X$2,Sheet2!$B$2:$O$2,0))),0,INDEX(Sheet2!$B$2:$O$7,MATCH($AG41,Sheet2!$B$2:$B$7,0),MATCH(X$2,Sheet2!$B$2:$O$2,0)))</f>
        <v>200</v>
      </c>
      <c r="Y41" s="1">
        <f>IF(ISERROR(INDEX(Sheet2!$B$2:$O$7,MATCH($AG41,Sheet2!$B$2:$B$7,0),MATCH(Y$2,Sheet2!$B$2:$O$2,0))),0,INDEX(Sheet2!$B$2:$O$7,MATCH($AG41,Sheet2!$B$2:$B$7,0),MATCH(Y$2,Sheet2!$B$2:$O$2,0)))</f>
        <v>200</v>
      </c>
      <c r="Z41" s="1">
        <f>IF(ISERROR(INDEX(Sheet2!$B$2:$O$7,MATCH($AG41,Sheet2!$B$2:$B$7,0),MATCH(Z$2,Sheet2!$B$2:$O$2,0))),0,INDEX(Sheet2!$B$2:$O$7,MATCH($AG41,Sheet2!$B$2:$B$7,0),MATCH(Z$2,Sheet2!$B$2:$O$2,0)))</f>
        <v>0</v>
      </c>
      <c r="AA41" s="1">
        <f>IF(ISERROR(INDEX(Sheet2!$B$2:$O$7,MATCH($AG41,Sheet2!$B$2:$B$7,0),MATCH(AA$2,Sheet2!$B$2:$O$2,0))),0,INDEX(Sheet2!$B$2:$O$7,MATCH($AG41,Sheet2!$B$2:$B$7,0),MATCH(AA$2,Sheet2!$B$2:$O$2,0)))</f>
        <v>0</v>
      </c>
      <c r="AB41" s="1">
        <f>IF(ISERROR(INDEX(Sheet2!$B$2:$O$7,MATCH($AG41,Sheet2!$B$2:$B$7,0),MATCH(AB$2,Sheet2!$B$2:$O$2,0))),0,INDEX(Sheet2!$B$2:$O$7,MATCH($AG41,Sheet2!$B$2:$B$7,0),MATCH(AB$2,Sheet2!$B$2:$O$2,0)))</f>
        <v>0</v>
      </c>
      <c r="AC41" s="1">
        <f>IF(ISERROR(INDEX(Sheet2!$B$2:$O$7,MATCH($AG41,Sheet2!$B$2:$B$7,0),MATCH(AC$2,Sheet2!$B$2:$O$2,0))),0,INDEX(Sheet2!$B$2:$O$7,MATCH($AG41,Sheet2!$B$2:$B$7,0),MATCH(AC$2,Sheet2!$B$2:$O$2,0)))</f>
        <v>0</v>
      </c>
      <c r="AD41" s="12" t="s">
        <v>219</v>
      </c>
      <c r="AE41" s="25">
        <v>17138</v>
      </c>
      <c r="AF41" s="21" t="s">
        <v>189</v>
      </c>
      <c r="AG41" s="13">
        <f>INDEX([1]Sheet1!$U:$U,MATCH($A41,[1]Sheet1!$BN:$BN,0),0)</f>
        <v>13</v>
      </c>
    </row>
    <row r="42" spans="1:34">
      <c r="A42" s="1">
        <v>1106</v>
      </c>
      <c r="B42" s="1" t="s">
        <v>112</v>
      </c>
      <c r="C42" s="13" t="s">
        <v>173</v>
      </c>
      <c r="D42" s="1" t="str">
        <f t="shared" si="0"/>
        <v>[[90000,11060],[90001,11061],[90002,11062],[90003,11063],[90004,11064],[90005,11065],[90006,11066]]</v>
      </c>
      <c r="E42" s="45">
        <v>4</v>
      </c>
      <c r="F42" s="1">
        <f>IF(ISERROR(INDEX(Sheet2!$B$2:$O$7,MATCH($AG42,Sheet2!$B$2:$B$7,0),MATCH(F$2,Sheet2!$B$2:$O$2,0))),0,INDEX(Sheet2!$B$2:$O$7,MATCH($AG42,Sheet2!$B$2:$B$7,0),MATCH(F$2,Sheet2!$B$2:$O$2,0)))</f>
        <v>5000</v>
      </c>
      <c r="G42" s="1">
        <f>IF(ISERROR(INDEX(Sheet2!$B$2:$O$7,MATCH($AG42,Sheet2!$B$2:$B$7,0),MATCH(G$2,Sheet2!$B$2:$O$2,0))),0,INDEX(Sheet2!$B$2:$O$7,MATCH($AG42,Sheet2!$B$2:$B$7,0),MATCH(G$2,Sheet2!$B$2:$O$2,0)))</f>
        <v>200</v>
      </c>
      <c r="H42" s="1">
        <f>IF(ISERROR(INDEX(Sheet2!$B$2:$O$7,MATCH($AG42,Sheet2!$B$2:$B$7,0),MATCH(H$2,Sheet2!$B$2:$O$2,0))),0,INDEX(Sheet2!$B$2:$O$7,MATCH($AG42,Sheet2!$B$2:$B$7,0),MATCH(H$2,Sheet2!$B$2:$O$2,0)))</f>
        <v>100</v>
      </c>
      <c r="I42" s="1">
        <f>IF(ISERROR(INDEX(Sheet2!$B$2:$O$7,MATCH($AG42,Sheet2!$B$2:$B$7,0),MATCH(I$2,Sheet2!$B$2:$O$2,0))),0,INDEX(Sheet2!$B$2:$O$7,MATCH($AG42,Sheet2!$B$2:$B$7,0),MATCH(I$2,Sheet2!$B$2:$O$2,0)))</f>
        <v>100</v>
      </c>
      <c r="J42" s="1">
        <f>IF(ISERROR(INDEX(Sheet2!$B$2:$O$7,MATCH($AG42,Sheet2!$B$2:$B$7,0),MATCH(J$2,Sheet2!$B$2:$O$2,0))),0,INDEX(Sheet2!$B$2:$O$7,MATCH($AG42,Sheet2!$B$2:$B$7,0),MATCH(J$2,Sheet2!$B$2:$O$2,0)))</f>
        <v>0</v>
      </c>
      <c r="K42" s="1">
        <f>IF(ISERROR(INDEX(Sheet2!$B$2:$O$7,MATCH($AG42,Sheet2!$B$2:$B$7,0),MATCH(K$2,Sheet2!$B$2:$O$2,0))),0,INDEX(Sheet2!$B$2:$O$7,MATCH($AG42,Sheet2!$B$2:$B$7,0),MATCH(K$2,Sheet2!$B$2:$O$2,0)))</f>
        <v>0</v>
      </c>
      <c r="L42" s="1">
        <f>IF(ISERROR(INDEX(Sheet2!$B$2:$O$7,MATCH($AG42,Sheet2!$B$2:$B$7,0),MATCH(L$2,Sheet2!$B$2:$O$2,0))),0,INDEX(Sheet2!$B$2:$O$7,MATCH($AG42,Sheet2!$B$2:$B$7,0),MATCH(L$2,Sheet2!$B$2:$O$2,0)))</f>
        <v>0</v>
      </c>
      <c r="M42" s="1">
        <f>IF(ISERROR(INDEX(Sheet2!$B$2:$O$7,MATCH($AG42,Sheet2!$B$2:$B$7,0),MATCH(M$2,Sheet2!$B$2:$O$2,0))),0,INDEX(Sheet2!$B$2:$O$7,MATCH($AG42,Sheet2!$B$2:$B$7,0),MATCH(M$2,Sheet2!$B$2:$O$2,0)))</f>
        <v>0</v>
      </c>
      <c r="N42" s="1">
        <f>IF(ISERROR(INDEX(Sheet2!$B$2:$O$7,MATCH($AG42,Sheet2!$B$2:$B$7,0),MATCH(N$2,Sheet2!$B$2:$O$2,0))),0,INDEX(Sheet2!$B$2:$O$7,MATCH($AG42,Sheet2!$B$2:$B$7,0),MATCH(N$2,Sheet2!$B$2:$O$2,0)))</f>
        <v>600</v>
      </c>
      <c r="O42" s="1">
        <f>IF(ISERROR(INDEX(Sheet2!$B$2:$O$7,MATCH($AG42,Sheet2!$B$2:$B$7,0),MATCH(O$2,Sheet2!$B$2:$O$2,0))),0,INDEX(Sheet2!$B$2:$O$7,MATCH($AG42,Sheet2!$B$2:$B$7,0),MATCH(O$2,Sheet2!$B$2:$O$2,0)))</f>
        <v>24</v>
      </c>
      <c r="P42" s="1">
        <f>IF(ISERROR(INDEX(Sheet2!$B$2:$O$7,MATCH($AG42,Sheet2!$B$2:$B$7,0),MATCH(P$2,Sheet2!$B$2:$O$2,0))),0,INDEX(Sheet2!$B$2:$O$7,MATCH($AG42,Sheet2!$B$2:$B$7,0),MATCH(P$2,Sheet2!$B$2:$O$2,0)))</f>
        <v>12</v>
      </c>
      <c r="Q42" s="1">
        <f>IF(ISERROR(INDEX(Sheet2!$B$2:$O$7,MATCH($AG42,Sheet2!$B$2:$B$7,0),MATCH(Q$2,Sheet2!$B$2:$O$2,0))),0,INDEX(Sheet2!$B$2:$O$7,MATCH($AG42,Sheet2!$B$2:$B$7,0),MATCH(Q$2,Sheet2!$B$2:$O$2,0)))</f>
        <v>12</v>
      </c>
      <c r="R42" s="1">
        <f>IF(ISERROR(INDEX(Sheet2!$B$2:$O$7,MATCH($AG42,Sheet2!$B$2:$B$7,0),MATCH(R$2,Sheet2!$B$2:$O$2,0))),0,INDEX(Sheet2!$B$2:$O$7,MATCH($AG42,Sheet2!$B$2:$B$7,0),MATCH(R$2,Sheet2!$B$2:$O$2,0)))</f>
        <v>0</v>
      </c>
      <c r="S42" s="1">
        <f>IF(ISERROR(INDEX(Sheet2!$B$2:$O$7,MATCH($AG42,Sheet2!$B$2:$B$7,0),MATCH(S$2,Sheet2!$B$2:$O$2,0))),0,INDEX(Sheet2!$B$2:$O$7,MATCH($AG42,Sheet2!$B$2:$B$7,0),MATCH(S$2,Sheet2!$B$2:$O$2,0)))</f>
        <v>0</v>
      </c>
      <c r="T42" s="1">
        <f>IF(ISERROR(INDEX(Sheet2!$B$2:$O$7,MATCH($AG42,Sheet2!$B$2:$B$7,0),MATCH(T$2,Sheet2!$B$2:$O$2,0))),0,INDEX(Sheet2!$B$2:$O$7,MATCH($AG42,Sheet2!$B$2:$B$7,0),MATCH(T$2,Sheet2!$B$2:$O$2,0)))</f>
        <v>0</v>
      </c>
      <c r="U42" s="1">
        <f>IF(ISERROR(INDEX(Sheet2!$B$2:$O$7,MATCH($AG42,Sheet2!$B$2:$B$7,0),MATCH(U$2,Sheet2!$B$2:$O$2,0))),0,INDEX(Sheet2!$B$2:$O$7,MATCH($AG42,Sheet2!$B$2:$B$7,0),MATCH(U$2,Sheet2!$B$2:$O$2,0)))</f>
        <v>0</v>
      </c>
      <c r="V42" s="1">
        <f>IF(ISERROR(INDEX(Sheet2!$B$2:$O$7,MATCH($AG42,Sheet2!$B$2:$B$7,0),MATCH(V$2,Sheet2!$B$2:$O$2,0))),0,INDEX(Sheet2!$B$2:$O$7,MATCH($AG42,Sheet2!$B$2:$B$7,0),MATCH(V$2,Sheet2!$B$2:$O$2,0)))</f>
        <v>10000</v>
      </c>
      <c r="W42" s="1">
        <f>IF(ISERROR(INDEX(Sheet2!$B$2:$O$7,MATCH($AG42,Sheet2!$B$2:$B$7,0),MATCH(W$2,Sheet2!$B$2:$O$2,0))),0,INDEX(Sheet2!$B$2:$O$7,MATCH($AG42,Sheet2!$B$2:$B$7,0),MATCH(W$2,Sheet2!$B$2:$O$2,0)))</f>
        <v>400</v>
      </c>
      <c r="X42" s="1">
        <f>IF(ISERROR(INDEX(Sheet2!$B$2:$O$7,MATCH($AG42,Sheet2!$B$2:$B$7,0),MATCH(X$2,Sheet2!$B$2:$O$2,0))),0,INDEX(Sheet2!$B$2:$O$7,MATCH($AG42,Sheet2!$B$2:$B$7,0),MATCH(X$2,Sheet2!$B$2:$O$2,0)))</f>
        <v>200</v>
      </c>
      <c r="Y42" s="1">
        <f>IF(ISERROR(INDEX(Sheet2!$B$2:$O$7,MATCH($AG42,Sheet2!$B$2:$B$7,0),MATCH(Y$2,Sheet2!$B$2:$O$2,0))),0,INDEX(Sheet2!$B$2:$O$7,MATCH($AG42,Sheet2!$B$2:$B$7,0),MATCH(Y$2,Sheet2!$B$2:$O$2,0)))</f>
        <v>200</v>
      </c>
      <c r="Z42" s="1">
        <f>IF(ISERROR(INDEX(Sheet2!$B$2:$O$7,MATCH($AG42,Sheet2!$B$2:$B$7,0),MATCH(Z$2,Sheet2!$B$2:$O$2,0))),0,INDEX(Sheet2!$B$2:$O$7,MATCH($AG42,Sheet2!$B$2:$B$7,0),MATCH(Z$2,Sheet2!$B$2:$O$2,0)))</f>
        <v>0</v>
      </c>
      <c r="AA42" s="1">
        <f>IF(ISERROR(INDEX(Sheet2!$B$2:$O$7,MATCH($AG42,Sheet2!$B$2:$B$7,0),MATCH(AA$2,Sheet2!$B$2:$O$2,0))),0,INDEX(Sheet2!$B$2:$O$7,MATCH($AG42,Sheet2!$B$2:$B$7,0),MATCH(AA$2,Sheet2!$B$2:$O$2,0)))</f>
        <v>0</v>
      </c>
      <c r="AB42" s="1">
        <f>IF(ISERROR(INDEX(Sheet2!$B$2:$O$7,MATCH($AG42,Sheet2!$B$2:$B$7,0),MATCH(AB$2,Sheet2!$B$2:$O$2,0))),0,INDEX(Sheet2!$B$2:$O$7,MATCH($AG42,Sheet2!$B$2:$B$7,0),MATCH(AB$2,Sheet2!$B$2:$O$2,0)))</f>
        <v>0</v>
      </c>
      <c r="AC42" s="1">
        <f>IF(ISERROR(INDEX(Sheet2!$B$2:$O$7,MATCH($AG42,Sheet2!$B$2:$B$7,0),MATCH(AC$2,Sheet2!$B$2:$O$2,0))),0,INDEX(Sheet2!$B$2:$O$7,MATCH($AG42,Sheet2!$B$2:$B$7,0),MATCH(AC$2,Sheet2!$B$2:$O$2,0)))</f>
        <v>0</v>
      </c>
      <c r="AD42" s="12" t="s">
        <v>219</v>
      </c>
      <c r="AE42" s="25">
        <v>17139</v>
      </c>
      <c r="AF42" s="21" t="s">
        <v>190</v>
      </c>
      <c r="AG42" s="13">
        <f>INDEX([1]Sheet1!$U:$U,MATCH($A42,[1]Sheet1!$BN:$BN,0),0)</f>
        <v>13</v>
      </c>
    </row>
    <row r="43" spans="1:34">
      <c r="A43" s="1">
        <v>1115</v>
      </c>
      <c r="B43" s="1" t="s">
        <v>113</v>
      </c>
      <c r="C43" s="13" t="s">
        <v>143</v>
      </c>
      <c r="D43" s="1" t="str">
        <f t="shared" si="0"/>
        <v>[[90000,11150],[90001,11151],[90002,11152],[90003,11153],[90004,11154],[90005,11155],[90006,11156]]</v>
      </c>
      <c r="E43" s="45">
        <v>5</v>
      </c>
      <c r="F43" s="1">
        <f>IF(ISERROR(INDEX(Sheet2!$B$2:$O$7,MATCH($AG43,Sheet2!$B$2:$B$7,0),MATCH(F$2,Sheet2!$B$2:$O$2,0))),0,INDEX(Sheet2!$B$2:$O$7,MATCH($AG43,Sheet2!$B$2:$B$7,0),MATCH(F$2,Sheet2!$B$2:$O$2,0)))</f>
        <v>10000</v>
      </c>
      <c r="G43" s="1">
        <f>IF(ISERROR(INDEX(Sheet2!$B$2:$O$7,MATCH($AG43,Sheet2!$B$2:$B$7,0),MATCH(G$2,Sheet2!$B$2:$O$2,0))),0,INDEX(Sheet2!$B$2:$O$7,MATCH($AG43,Sheet2!$B$2:$B$7,0),MATCH(G$2,Sheet2!$B$2:$O$2,0)))</f>
        <v>400</v>
      </c>
      <c r="H43" s="1">
        <f>IF(ISERROR(INDEX(Sheet2!$B$2:$O$7,MATCH($AG43,Sheet2!$B$2:$B$7,0),MATCH(H$2,Sheet2!$B$2:$O$2,0))),0,INDEX(Sheet2!$B$2:$O$7,MATCH($AG43,Sheet2!$B$2:$B$7,0),MATCH(H$2,Sheet2!$B$2:$O$2,0)))</f>
        <v>200</v>
      </c>
      <c r="I43" s="1">
        <f>IF(ISERROR(INDEX(Sheet2!$B$2:$O$7,MATCH($AG43,Sheet2!$B$2:$B$7,0),MATCH(I$2,Sheet2!$B$2:$O$2,0))),0,INDEX(Sheet2!$B$2:$O$7,MATCH($AG43,Sheet2!$B$2:$B$7,0),MATCH(I$2,Sheet2!$B$2:$O$2,0)))</f>
        <v>200</v>
      </c>
      <c r="J43" s="1">
        <f>IF(ISERROR(INDEX(Sheet2!$B$2:$O$7,MATCH($AG43,Sheet2!$B$2:$B$7,0),MATCH(J$2,Sheet2!$B$2:$O$2,0))),0,INDEX(Sheet2!$B$2:$O$7,MATCH($AG43,Sheet2!$B$2:$B$7,0),MATCH(J$2,Sheet2!$B$2:$O$2,0)))</f>
        <v>0</v>
      </c>
      <c r="K43" s="1">
        <f>IF(ISERROR(INDEX(Sheet2!$B$2:$O$7,MATCH($AG43,Sheet2!$B$2:$B$7,0),MATCH(K$2,Sheet2!$B$2:$O$2,0))),0,INDEX(Sheet2!$B$2:$O$7,MATCH($AG43,Sheet2!$B$2:$B$7,0),MATCH(K$2,Sheet2!$B$2:$O$2,0)))</f>
        <v>0</v>
      </c>
      <c r="L43" s="1">
        <f>IF(ISERROR(INDEX(Sheet2!$B$2:$O$7,MATCH($AG43,Sheet2!$B$2:$B$7,0),MATCH(L$2,Sheet2!$B$2:$O$2,0))),0,INDEX(Sheet2!$B$2:$O$7,MATCH($AG43,Sheet2!$B$2:$B$7,0),MATCH(L$2,Sheet2!$B$2:$O$2,0)))</f>
        <v>0</v>
      </c>
      <c r="M43" s="1">
        <f>IF(ISERROR(INDEX(Sheet2!$B$2:$O$7,MATCH($AG43,Sheet2!$B$2:$B$7,0),MATCH(M$2,Sheet2!$B$2:$O$2,0))),0,INDEX(Sheet2!$B$2:$O$7,MATCH($AG43,Sheet2!$B$2:$B$7,0),MATCH(M$2,Sheet2!$B$2:$O$2,0)))</f>
        <v>0</v>
      </c>
      <c r="N43" s="1">
        <f>IF(ISERROR(INDEX(Sheet2!$B$2:$O$7,MATCH($AG43,Sheet2!$B$2:$B$7,0),MATCH(N$2,Sheet2!$B$2:$O$2,0))),0,INDEX(Sheet2!$B$2:$O$7,MATCH($AG43,Sheet2!$B$2:$B$7,0),MATCH(N$2,Sheet2!$B$2:$O$2,0)))</f>
        <v>750</v>
      </c>
      <c r="O43" s="1">
        <f>IF(ISERROR(INDEX(Sheet2!$B$2:$O$7,MATCH($AG43,Sheet2!$B$2:$B$7,0),MATCH(O$2,Sheet2!$B$2:$O$2,0))),0,INDEX(Sheet2!$B$2:$O$7,MATCH($AG43,Sheet2!$B$2:$B$7,0),MATCH(O$2,Sheet2!$B$2:$O$2,0)))</f>
        <v>30</v>
      </c>
      <c r="P43" s="1">
        <f>IF(ISERROR(INDEX(Sheet2!$B$2:$O$7,MATCH($AG43,Sheet2!$B$2:$B$7,0),MATCH(P$2,Sheet2!$B$2:$O$2,0))),0,INDEX(Sheet2!$B$2:$O$7,MATCH($AG43,Sheet2!$B$2:$B$7,0),MATCH(P$2,Sheet2!$B$2:$O$2,0)))</f>
        <v>15</v>
      </c>
      <c r="Q43" s="1">
        <f>IF(ISERROR(INDEX(Sheet2!$B$2:$O$7,MATCH($AG43,Sheet2!$B$2:$B$7,0),MATCH(Q$2,Sheet2!$B$2:$O$2,0))),0,INDEX(Sheet2!$B$2:$O$7,MATCH($AG43,Sheet2!$B$2:$B$7,0),MATCH(Q$2,Sheet2!$B$2:$O$2,0)))</f>
        <v>15</v>
      </c>
      <c r="R43" s="1">
        <f>IF(ISERROR(INDEX(Sheet2!$B$2:$O$7,MATCH($AG43,Sheet2!$B$2:$B$7,0),MATCH(R$2,Sheet2!$B$2:$O$2,0))),0,INDEX(Sheet2!$B$2:$O$7,MATCH($AG43,Sheet2!$B$2:$B$7,0),MATCH(R$2,Sheet2!$B$2:$O$2,0)))</f>
        <v>0</v>
      </c>
      <c r="S43" s="1">
        <f>IF(ISERROR(INDEX(Sheet2!$B$2:$O$7,MATCH($AG43,Sheet2!$B$2:$B$7,0),MATCH(S$2,Sheet2!$B$2:$O$2,0))),0,INDEX(Sheet2!$B$2:$O$7,MATCH($AG43,Sheet2!$B$2:$B$7,0),MATCH(S$2,Sheet2!$B$2:$O$2,0)))</f>
        <v>0</v>
      </c>
      <c r="T43" s="1">
        <f>IF(ISERROR(INDEX(Sheet2!$B$2:$O$7,MATCH($AG43,Sheet2!$B$2:$B$7,0),MATCH(T$2,Sheet2!$B$2:$O$2,0))),0,INDEX(Sheet2!$B$2:$O$7,MATCH($AG43,Sheet2!$B$2:$B$7,0),MATCH(T$2,Sheet2!$B$2:$O$2,0)))</f>
        <v>0</v>
      </c>
      <c r="U43" s="1">
        <f>IF(ISERROR(INDEX(Sheet2!$B$2:$O$7,MATCH($AG43,Sheet2!$B$2:$B$7,0),MATCH(U$2,Sheet2!$B$2:$O$2,0))),0,INDEX(Sheet2!$B$2:$O$7,MATCH($AG43,Sheet2!$B$2:$B$7,0),MATCH(U$2,Sheet2!$B$2:$O$2,0)))</f>
        <v>0</v>
      </c>
      <c r="V43" s="1">
        <f>IF(ISERROR(INDEX(Sheet2!$B$2:$O$7,MATCH($AG43,Sheet2!$B$2:$B$7,0),MATCH(V$2,Sheet2!$B$2:$O$2,0))),0,INDEX(Sheet2!$B$2:$O$7,MATCH($AG43,Sheet2!$B$2:$B$7,0),MATCH(V$2,Sheet2!$B$2:$O$2,0)))</f>
        <v>12500</v>
      </c>
      <c r="W43" s="1">
        <f>IF(ISERROR(INDEX(Sheet2!$B$2:$O$7,MATCH($AG43,Sheet2!$B$2:$B$7,0),MATCH(W$2,Sheet2!$B$2:$O$2,0))),0,INDEX(Sheet2!$B$2:$O$7,MATCH($AG43,Sheet2!$B$2:$B$7,0),MATCH(W$2,Sheet2!$B$2:$O$2,0)))</f>
        <v>500</v>
      </c>
      <c r="X43" s="1">
        <f>IF(ISERROR(INDEX(Sheet2!$B$2:$O$7,MATCH($AG43,Sheet2!$B$2:$B$7,0),MATCH(X$2,Sheet2!$B$2:$O$2,0))),0,INDEX(Sheet2!$B$2:$O$7,MATCH($AG43,Sheet2!$B$2:$B$7,0),MATCH(X$2,Sheet2!$B$2:$O$2,0)))</f>
        <v>250</v>
      </c>
      <c r="Y43" s="1">
        <f>IF(ISERROR(INDEX(Sheet2!$B$2:$O$7,MATCH($AG43,Sheet2!$B$2:$B$7,0),MATCH(Y$2,Sheet2!$B$2:$O$2,0))),0,INDEX(Sheet2!$B$2:$O$7,MATCH($AG43,Sheet2!$B$2:$B$7,0),MATCH(Y$2,Sheet2!$B$2:$O$2,0)))</f>
        <v>250</v>
      </c>
      <c r="Z43" s="1">
        <f>IF(ISERROR(INDEX(Sheet2!$B$2:$O$7,MATCH($AG43,Sheet2!$B$2:$B$7,0),MATCH(Z$2,Sheet2!$B$2:$O$2,0))),0,INDEX(Sheet2!$B$2:$O$7,MATCH($AG43,Sheet2!$B$2:$B$7,0),MATCH(Z$2,Sheet2!$B$2:$O$2,0)))</f>
        <v>0</v>
      </c>
      <c r="AA43" s="1">
        <f>IF(ISERROR(INDEX(Sheet2!$B$2:$O$7,MATCH($AG43,Sheet2!$B$2:$B$7,0),MATCH(AA$2,Sheet2!$B$2:$O$2,0))),0,INDEX(Sheet2!$B$2:$O$7,MATCH($AG43,Sheet2!$B$2:$B$7,0),MATCH(AA$2,Sheet2!$B$2:$O$2,0)))</f>
        <v>0</v>
      </c>
      <c r="AB43" s="1">
        <f>IF(ISERROR(INDEX(Sheet2!$B$2:$O$7,MATCH($AG43,Sheet2!$B$2:$B$7,0),MATCH(AB$2,Sheet2!$B$2:$O$2,0))),0,INDEX(Sheet2!$B$2:$O$7,MATCH($AG43,Sheet2!$B$2:$B$7,0),MATCH(AB$2,Sheet2!$B$2:$O$2,0)))</f>
        <v>0</v>
      </c>
      <c r="AC43" s="1">
        <f>IF(ISERROR(INDEX(Sheet2!$B$2:$O$7,MATCH($AG43,Sheet2!$B$2:$B$7,0),MATCH(AC$2,Sheet2!$B$2:$O$2,0))),0,INDEX(Sheet2!$B$2:$O$7,MATCH($AG43,Sheet2!$B$2:$B$7,0),MATCH(AC$2,Sheet2!$B$2:$O$2,0)))</f>
        <v>0</v>
      </c>
      <c r="AD43" s="12" t="s">
        <v>220</v>
      </c>
      <c r="AE43" s="25">
        <v>17140</v>
      </c>
      <c r="AF43" s="21" t="s">
        <v>215</v>
      </c>
      <c r="AG43" s="13">
        <f>INDEX([1]Sheet1!$U:$U,MATCH($A43,[1]Sheet1!$BN:$BN,0),0)</f>
        <v>16</v>
      </c>
    </row>
    <row r="44" spans="1:34">
      <c r="A44" s="1">
        <v>1208</v>
      </c>
      <c r="B44" s="1" t="s">
        <v>114</v>
      </c>
      <c r="C44" s="13" t="s">
        <v>144</v>
      </c>
      <c r="D44" s="1" t="str">
        <f t="shared" si="0"/>
        <v>[[90000,12080],[90001,12081],[90002,12082],[90003,12083],[90004,12084],[90005,12085],[90006,12086]]</v>
      </c>
      <c r="E44" s="45">
        <v>4</v>
      </c>
      <c r="F44" s="1">
        <f>IF(ISERROR(INDEX(Sheet2!$B$2:$O$7,MATCH($AG44,Sheet2!$B$2:$B$7,0),MATCH(F$2,Sheet2!$B$2:$O$2,0))),0,INDEX(Sheet2!$B$2:$O$7,MATCH($AG44,Sheet2!$B$2:$B$7,0),MATCH(F$2,Sheet2!$B$2:$O$2,0)))</f>
        <v>5000</v>
      </c>
      <c r="G44" s="1">
        <f>IF(ISERROR(INDEX(Sheet2!$B$2:$O$7,MATCH($AG44,Sheet2!$B$2:$B$7,0),MATCH(G$2,Sheet2!$B$2:$O$2,0))),0,INDEX(Sheet2!$B$2:$O$7,MATCH($AG44,Sheet2!$B$2:$B$7,0),MATCH(G$2,Sheet2!$B$2:$O$2,0)))</f>
        <v>200</v>
      </c>
      <c r="H44" s="1">
        <f>IF(ISERROR(INDEX(Sheet2!$B$2:$O$7,MATCH($AG44,Sheet2!$B$2:$B$7,0),MATCH(H$2,Sheet2!$B$2:$O$2,0))),0,INDEX(Sheet2!$B$2:$O$7,MATCH($AG44,Sheet2!$B$2:$B$7,0),MATCH(H$2,Sheet2!$B$2:$O$2,0)))</f>
        <v>100</v>
      </c>
      <c r="I44" s="1">
        <f>IF(ISERROR(INDEX(Sheet2!$B$2:$O$7,MATCH($AG44,Sheet2!$B$2:$B$7,0),MATCH(I$2,Sheet2!$B$2:$O$2,0))),0,INDEX(Sheet2!$B$2:$O$7,MATCH($AG44,Sheet2!$B$2:$B$7,0),MATCH(I$2,Sheet2!$B$2:$O$2,0)))</f>
        <v>100</v>
      </c>
      <c r="J44" s="1">
        <f>IF(ISERROR(INDEX(Sheet2!$B$2:$O$7,MATCH($AG44,Sheet2!$B$2:$B$7,0),MATCH(J$2,Sheet2!$B$2:$O$2,0))),0,INDEX(Sheet2!$B$2:$O$7,MATCH($AG44,Sheet2!$B$2:$B$7,0),MATCH(J$2,Sheet2!$B$2:$O$2,0)))</f>
        <v>0</v>
      </c>
      <c r="K44" s="1">
        <f>IF(ISERROR(INDEX(Sheet2!$B$2:$O$7,MATCH($AG44,Sheet2!$B$2:$B$7,0),MATCH(K$2,Sheet2!$B$2:$O$2,0))),0,INDEX(Sheet2!$B$2:$O$7,MATCH($AG44,Sheet2!$B$2:$B$7,0),MATCH(K$2,Sheet2!$B$2:$O$2,0)))</f>
        <v>0</v>
      </c>
      <c r="L44" s="1">
        <f>IF(ISERROR(INDEX(Sheet2!$B$2:$O$7,MATCH($AG44,Sheet2!$B$2:$B$7,0),MATCH(L$2,Sheet2!$B$2:$O$2,0))),0,INDEX(Sheet2!$B$2:$O$7,MATCH($AG44,Sheet2!$B$2:$B$7,0),MATCH(L$2,Sheet2!$B$2:$O$2,0)))</f>
        <v>0</v>
      </c>
      <c r="M44" s="1">
        <f>IF(ISERROR(INDEX(Sheet2!$B$2:$O$7,MATCH($AG44,Sheet2!$B$2:$B$7,0),MATCH(M$2,Sheet2!$B$2:$O$2,0))),0,INDEX(Sheet2!$B$2:$O$7,MATCH($AG44,Sheet2!$B$2:$B$7,0),MATCH(M$2,Sheet2!$B$2:$O$2,0)))</f>
        <v>0</v>
      </c>
      <c r="N44" s="1">
        <f>IF(ISERROR(INDEX(Sheet2!$B$2:$O$7,MATCH($AG44,Sheet2!$B$2:$B$7,0),MATCH(N$2,Sheet2!$B$2:$O$2,0))),0,INDEX(Sheet2!$B$2:$O$7,MATCH($AG44,Sheet2!$B$2:$B$7,0),MATCH(N$2,Sheet2!$B$2:$O$2,0)))</f>
        <v>600</v>
      </c>
      <c r="O44" s="1">
        <f>IF(ISERROR(INDEX(Sheet2!$B$2:$O$7,MATCH($AG44,Sheet2!$B$2:$B$7,0),MATCH(O$2,Sheet2!$B$2:$O$2,0))),0,INDEX(Sheet2!$B$2:$O$7,MATCH($AG44,Sheet2!$B$2:$B$7,0),MATCH(O$2,Sheet2!$B$2:$O$2,0)))</f>
        <v>24</v>
      </c>
      <c r="P44" s="1">
        <f>IF(ISERROR(INDEX(Sheet2!$B$2:$O$7,MATCH($AG44,Sheet2!$B$2:$B$7,0),MATCH(P$2,Sheet2!$B$2:$O$2,0))),0,INDEX(Sheet2!$B$2:$O$7,MATCH($AG44,Sheet2!$B$2:$B$7,0),MATCH(P$2,Sheet2!$B$2:$O$2,0)))</f>
        <v>12</v>
      </c>
      <c r="Q44" s="1">
        <f>IF(ISERROR(INDEX(Sheet2!$B$2:$O$7,MATCH($AG44,Sheet2!$B$2:$B$7,0),MATCH(Q$2,Sheet2!$B$2:$O$2,0))),0,INDEX(Sheet2!$B$2:$O$7,MATCH($AG44,Sheet2!$B$2:$B$7,0),MATCH(Q$2,Sheet2!$B$2:$O$2,0)))</f>
        <v>12</v>
      </c>
      <c r="R44" s="1">
        <f>IF(ISERROR(INDEX(Sheet2!$B$2:$O$7,MATCH($AG44,Sheet2!$B$2:$B$7,0),MATCH(R$2,Sheet2!$B$2:$O$2,0))),0,INDEX(Sheet2!$B$2:$O$7,MATCH($AG44,Sheet2!$B$2:$B$7,0),MATCH(R$2,Sheet2!$B$2:$O$2,0)))</f>
        <v>0</v>
      </c>
      <c r="S44" s="1">
        <f>IF(ISERROR(INDEX(Sheet2!$B$2:$O$7,MATCH($AG44,Sheet2!$B$2:$B$7,0),MATCH(S$2,Sheet2!$B$2:$O$2,0))),0,INDEX(Sheet2!$B$2:$O$7,MATCH($AG44,Sheet2!$B$2:$B$7,0),MATCH(S$2,Sheet2!$B$2:$O$2,0)))</f>
        <v>0</v>
      </c>
      <c r="T44" s="1">
        <f>IF(ISERROR(INDEX(Sheet2!$B$2:$O$7,MATCH($AG44,Sheet2!$B$2:$B$7,0),MATCH(T$2,Sheet2!$B$2:$O$2,0))),0,INDEX(Sheet2!$B$2:$O$7,MATCH($AG44,Sheet2!$B$2:$B$7,0),MATCH(T$2,Sheet2!$B$2:$O$2,0)))</f>
        <v>0</v>
      </c>
      <c r="U44" s="1">
        <f>IF(ISERROR(INDEX(Sheet2!$B$2:$O$7,MATCH($AG44,Sheet2!$B$2:$B$7,0),MATCH(U$2,Sheet2!$B$2:$O$2,0))),0,INDEX(Sheet2!$B$2:$O$7,MATCH($AG44,Sheet2!$B$2:$B$7,0),MATCH(U$2,Sheet2!$B$2:$O$2,0)))</f>
        <v>0</v>
      </c>
      <c r="V44" s="1">
        <f>IF(ISERROR(INDEX(Sheet2!$B$2:$O$7,MATCH($AG44,Sheet2!$B$2:$B$7,0),MATCH(V$2,Sheet2!$B$2:$O$2,0))),0,INDEX(Sheet2!$B$2:$O$7,MATCH($AG44,Sheet2!$B$2:$B$7,0),MATCH(V$2,Sheet2!$B$2:$O$2,0)))</f>
        <v>10000</v>
      </c>
      <c r="W44" s="1">
        <f>IF(ISERROR(INDEX(Sheet2!$B$2:$O$7,MATCH($AG44,Sheet2!$B$2:$B$7,0),MATCH(W$2,Sheet2!$B$2:$O$2,0))),0,INDEX(Sheet2!$B$2:$O$7,MATCH($AG44,Sheet2!$B$2:$B$7,0),MATCH(W$2,Sheet2!$B$2:$O$2,0)))</f>
        <v>400</v>
      </c>
      <c r="X44" s="1">
        <f>IF(ISERROR(INDEX(Sheet2!$B$2:$O$7,MATCH($AG44,Sheet2!$B$2:$B$7,0),MATCH(X$2,Sheet2!$B$2:$O$2,0))),0,INDEX(Sheet2!$B$2:$O$7,MATCH($AG44,Sheet2!$B$2:$B$7,0),MATCH(X$2,Sheet2!$B$2:$O$2,0)))</f>
        <v>200</v>
      </c>
      <c r="Y44" s="1">
        <f>IF(ISERROR(INDEX(Sheet2!$B$2:$O$7,MATCH($AG44,Sheet2!$B$2:$B$7,0),MATCH(Y$2,Sheet2!$B$2:$O$2,0))),0,INDEX(Sheet2!$B$2:$O$7,MATCH($AG44,Sheet2!$B$2:$B$7,0),MATCH(Y$2,Sheet2!$B$2:$O$2,0)))</f>
        <v>200</v>
      </c>
      <c r="Z44" s="1">
        <f>IF(ISERROR(INDEX(Sheet2!$B$2:$O$7,MATCH($AG44,Sheet2!$B$2:$B$7,0),MATCH(Z$2,Sheet2!$B$2:$O$2,0))),0,INDEX(Sheet2!$B$2:$O$7,MATCH($AG44,Sheet2!$B$2:$B$7,0),MATCH(Z$2,Sheet2!$B$2:$O$2,0)))</f>
        <v>0</v>
      </c>
      <c r="AA44" s="1">
        <f>IF(ISERROR(INDEX(Sheet2!$B$2:$O$7,MATCH($AG44,Sheet2!$B$2:$B$7,0),MATCH(AA$2,Sheet2!$B$2:$O$2,0))),0,INDEX(Sheet2!$B$2:$O$7,MATCH($AG44,Sheet2!$B$2:$B$7,0),MATCH(AA$2,Sheet2!$B$2:$O$2,0)))</f>
        <v>0</v>
      </c>
      <c r="AB44" s="1">
        <f>IF(ISERROR(INDEX(Sheet2!$B$2:$O$7,MATCH($AG44,Sheet2!$B$2:$B$7,0),MATCH(AB$2,Sheet2!$B$2:$O$2,0))),0,INDEX(Sheet2!$B$2:$O$7,MATCH($AG44,Sheet2!$B$2:$B$7,0),MATCH(AB$2,Sheet2!$B$2:$O$2,0)))</f>
        <v>0</v>
      </c>
      <c r="AC44" s="1">
        <f>IF(ISERROR(INDEX(Sheet2!$B$2:$O$7,MATCH($AG44,Sheet2!$B$2:$B$7,0),MATCH(AC$2,Sheet2!$B$2:$O$2,0))),0,INDEX(Sheet2!$B$2:$O$7,MATCH($AG44,Sheet2!$B$2:$B$7,0),MATCH(AC$2,Sheet2!$B$2:$O$2,0)))</f>
        <v>0</v>
      </c>
      <c r="AD44" s="12" t="s">
        <v>219</v>
      </c>
      <c r="AE44" s="25">
        <v>17141</v>
      </c>
      <c r="AF44" s="21" t="s">
        <v>191</v>
      </c>
      <c r="AG44" s="13">
        <f>INDEX([1]Sheet1!$U:$U,MATCH($A44,[1]Sheet1!$BN:$BN,0),0)</f>
        <v>13</v>
      </c>
    </row>
    <row r="45" spans="1:34">
      <c r="A45" s="1">
        <v>1122</v>
      </c>
      <c r="B45" s="1" t="s">
        <v>115</v>
      </c>
      <c r="C45" s="13" t="s">
        <v>145</v>
      </c>
      <c r="D45" s="1" t="str">
        <f t="shared" si="0"/>
        <v>[[90000,11220],[90001,11221],[90002,11222],[90003,11223],[90004,11224],[90005,11225],[90006,11226]]</v>
      </c>
      <c r="E45" s="45">
        <v>4</v>
      </c>
      <c r="F45" s="1">
        <f>IF(ISERROR(INDEX(Sheet2!$B$2:$O$7,MATCH($AG45,Sheet2!$B$2:$B$7,0),MATCH(F$2,Sheet2!$B$2:$O$2,0))),0,INDEX(Sheet2!$B$2:$O$7,MATCH($AG45,Sheet2!$B$2:$B$7,0),MATCH(F$2,Sheet2!$B$2:$O$2,0)))</f>
        <v>5000</v>
      </c>
      <c r="G45" s="1">
        <f>IF(ISERROR(INDEX(Sheet2!$B$2:$O$7,MATCH($AG45,Sheet2!$B$2:$B$7,0),MATCH(G$2,Sheet2!$B$2:$O$2,0))),0,INDEX(Sheet2!$B$2:$O$7,MATCH($AG45,Sheet2!$B$2:$B$7,0),MATCH(G$2,Sheet2!$B$2:$O$2,0)))</f>
        <v>200</v>
      </c>
      <c r="H45" s="1">
        <f>IF(ISERROR(INDEX(Sheet2!$B$2:$O$7,MATCH($AG45,Sheet2!$B$2:$B$7,0),MATCH(H$2,Sheet2!$B$2:$O$2,0))),0,INDEX(Sheet2!$B$2:$O$7,MATCH($AG45,Sheet2!$B$2:$B$7,0),MATCH(H$2,Sheet2!$B$2:$O$2,0)))</f>
        <v>100</v>
      </c>
      <c r="I45" s="1">
        <f>IF(ISERROR(INDEX(Sheet2!$B$2:$O$7,MATCH($AG45,Sheet2!$B$2:$B$7,0),MATCH(I$2,Sheet2!$B$2:$O$2,0))),0,INDEX(Sheet2!$B$2:$O$7,MATCH($AG45,Sheet2!$B$2:$B$7,0),MATCH(I$2,Sheet2!$B$2:$O$2,0)))</f>
        <v>100</v>
      </c>
      <c r="J45" s="1">
        <f>IF(ISERROR(INDEX(Sheet2!$B$2:$O$7,MATCH($AG45,Sheet2!$B$2:$B$7,0),MATCH(J$2,Sheet2!$B$2:$O$2,0))),0,INDEX(Sheet2!$B$2:$O$7,MATCH($AG45,Sheet2!$B$2:$B$7,0),MATCH(J$2,Sheet2!$B$2:$O$2,0)))</f>
        <v>0</v>
      </c>
      <c r="K45" s="1">
        <f>IF(ISERROR(INDEX(Sheet2!$B$2:$O$7,MATCH($AG45,Sheet2!$B$2:$B$7,0),MATCH(K$2,Sheet2!$B$2:$O$2,0))),0,INDEX(Sheet2!$B$2:$O$7,MATCH($AG45,Sheet2!$B$2:$B$7,0),MATCH(K$2,Sheet2!$B$2:$O$2,0)))</f>
        <v>0</v>
      </c>
      <c r="L45" s="1">
        <f>IF(ISERROR(INDEX(Sheet2!$B$2:$O$7,MATCH($AG45,Sheet2!$B$2:$B$7,0),MATCH(L$2,Sheet2!$B$2:$O$2,0))),0,INDEX(Sheet2!$B$2:$O$7,MATCH($AG45,Sheet2!$B$2:$B$7,0),MATCH(L$2,Sheet2!$B$2:$O$2,0)))</f>
        <v>0</v>
      </c>
      <c r="M45" s="1">
        <f>IF(ISERROR(INDEX(Sheet2!$B$2:$O$7,MATCH($AG45,Sheet2!$B$2:$B$7,0),MATCH(M$2,Sheet2!$B$2:$O$2,0))),0,INDEX(Sheet2!$B$2:$O$7,MATCH($AG45,Sheet2!$B$2:$B$7,0),MATCH(M$2,Sheet2!$B$2:$O$2,0)))</f>
        <v>0</v>
      </c>
      <c r="N45" s="1">
        <f>IF(ISERROR(INDEX(Sheet2!$B$2:$O$7,MATCH($AG45,Sheet2!$B$2:$B$7,0),MATCH(N$2,Sheet2!$B$2:$O$2,0))),0,INDEX(Sheet2!$B$2:$O$7,MATCH($AG45,Sheet2!$B$2:$B$7,0),MATCH(N$2,Sheet2!$B$2:$O$2,0)))</f>
        <v>600</v>
      </c>
      <c r="O45" s="1">
        <f>IF(ISERROR(INDEX(Sheet2!$B$2:$O$7,MATCH($AG45,Sheet2!$B$2:$B$7,0),MATCH(O$2,Sheet2!$B$2:$O$2,0))),0,INDEX(Sheet2!$B$2:$O$7,MATCH($AG45,Sheet2!$B$2:$B$7,0),MATCH(O$2,Sheet2!$B$2:$O$2,0)))</f>
        <v>24</v>
      </c>
      <c r="P45" s="1">
        <f>IF(ISERROR(INDEX(Sheet2!$B$2:$O$7,MATCH($AG45,Sheet2!$B$2:$B$7,0),MATCH(P$2,Sheet2!$B$2:$O$2,0))),0,INDEX(Sheet2!$B$2:$O$7,MATCH($AG45,Sheet2!$B$2:$B$7,0),MATCH(P$2,Sheet2!$B$2:$O$2,0)))</f>
        <v>12</v>
      </c>
      <c r="Q45" s="1">
        <f>IF(ISERROR(INDEX(Sheet2!$B$2:$O$7,MATCH($AG45,Sheet2!$B$2:$B$7,0),MATCH(Q$2,Sheet2!$B$2:$O$2,0))),0,INDEX(Sheet2!$B$2:$O$7,MATCH($AG45,Sheet2!$B$2:$B$7,0),MATCH(Q$2,Sheet2!$B$2:$O$2,0)))</f>
        <v>12</v>
      </c>
      <c r="R45" s="1">
        <f>IF(ISERROR(INDEX(Sheet2!$B$2:$O$7,MATCH($AG45,Sheet2!$B$2:$B$7,0),MATCH(R$2,Sheet2!$B$2:$O$2,0))),0,INDEX(Sheet2!$B$2:$O$7,MATCH($AG45,Sheet2!$B$2:$B$7,0),MATCH(R$2,Sheet2!$B$2:$O$2,0)))</f>
        <v>0</v>
      </c>
      <c r="S45" s="1">
        <f>IF(ISERROR(INDEX(Sheet2!$B$2:$O$7,MATCH($AG45,Sheet2!$B$2:$B$7,0),MATCH(S$2,Sheet2!$B$2:$O$2,0))),0,INDEX(Sheet2!$B$2:$O$7,MATCH($AG45,Sheet2!$B$2:$B$7,0),MATCH(S$2,Sheet2!$B$2:$O$2,0)))</f>
        <v>0</v>
      </c>
      <c r="T45" s="1">
        <f>IF(ISERROR(INDEX(Sheet2!$B$2:$O$7,MATCH($AG45,Sheet2!$B$2:$B$7,0),MATCH(T$2,Sheet2!$B$2:$O$2,0))),0,INDEX(Sheet2!$B$2:$O$7,MATCH($AG45,Sheet2!$B$2:$B$7,0),MATCH(T$2,Sheet2!$B$2:$O$2,0)))</f>
        <v>0</v>
      </c>
      <c r="U45" s="1">
        <f>IF(ISERROR(INDEX(Sheet2!$B$2:$O$7,MATCH($AG45,Sheet2!$B$2:$B$7,0),MATCH(U$2,Sheet2!$B$2:$O$2,0))),0,INDEX(Sheet2!$B$2:$O$7,MATCH($AG45,Sheet2!$B$2:$B$7,0),MATCH(U$2,Sheet2!$B$2:$O$2,0)))</f>
        <v>0</v>
      </c>
      <c r="V45" s="1">
        <f>IF(ISERROR(INDEX(Sheet2!$B$2:$O$7,MATCH($AG45,Sheet2!$B$2:$B$7,0),MATCH(V$2,Sheet2!$B$2:$O$2,0))),0,INDEX(Sheet2!$B$2:$O$7,MATCH($AG45,Sheet2!$B$2:$B$7,0),MATCH(V$2,Sheet2!$B$2:$O$2,0)))</f>
        <v>10000</v>
      </c>
      <c r="W45" s="1">
        <f>IF(ISERROR(INDEX(Sheet2!$B$2:$O$7,MATCH($AG45,Sheet2!$B$2:$B$7,0),MATCH(W$2,Sheet2!$B$2:$O$2,0))),0,INDEX(Sheet2!$B$2:$O$7,MATCH($AG45,Sheet2!$B$2:$B$7,0),MATCH(W$2,Sheet2!$B$2:$O$2,0)))</f>
        <v>400</v>
      </c>
      <c r="X45" s="1">
        <f>IF(ISERROR(INDEX(Sheet2!$B$2:$O$7,MATCH($AG45,Sheet2!$B$2:$B$7,0),MATCH(X$2,Sheet2!$B$2:$O$2,0))),0,INDEX(Sheet2!$B$2:$O$7,MATCH($AG45,Sheet2!$B$2:$B$7,0),MATCH(X$2,Sheet2!$B$2:$O$2,0)))</f>
        <v>200</v>
      </c>
      <c r="Y45" s="1">
        <f>IF(ISERROR(INDEX(Sheet2!$B$2:$O$7,MATCH($AG45,Sheet2!$B$2:$B$7,0),MATCH(Y$2,Sheet2!$B$2:$O$2,0))),0,INDEX(Sheet2!$B$2:$O$7,MATCH($AG45,Sheet2!$B$2:$B$7,0),MATCH(Y$2,Sheet2!$B$2:$O$2,0)))</f>
        <v>200</v>
      </c>
      <c r="Z45" s="1">
        <f>IF(ISERROR(INDEX(Sheet2!$B$2:$O$7,MATCH($AG45,Sheet2!$B$2:$B$7,0),MATCH(Z$2,Sheet2!$B$2:$O$2,0))),0,INDEX(Sheet2!$B$2:$O$7,MATCH($AG45,Sheet2!$B$2:$B$7,0),MATCH(Z$2,Sheet2!$B$2:$O$2,0)))</f>
        <v>0</v>
      </c>
      <c r="AA45" s="1">
        <f>IF(ISERROR(INDEX(Sheet2!$B$2:$O$7,MATCH($AG45,Sheet2!$B$2:$B$7,0),MATCH(AA$2,Sheet2!$B$2:$O$2,0))),0,INDEX(Sheet2!$B$2:$O$7,MATCH($AG45,Sheet2!$B$2:$B$7,0),MATCH(AA$2,Sheet2!$B$2:$O$2,0)))</f>
        <v>0</v>
      </c>
      <c r="AB45" s="1">
        <f>IF(ISERROR(INDEX(Sheet2!$B$2:$O$7,MATCH($AG45,Sheet2!$B$2:$B$7,0),MATCH(AB$2,Sheet2!$B$2:$O$2,0))),0,INDEX(Sheet2!$B$2:$O$7,MATCH($AG45,Sheet2!$B$2:$B$7,0),MATCH(AB$2,Sheet2!$B$2:$O$2,0)))</f>
        <v>0</v>
      </c>
      <c r="AC45" s="1">
        <f>IF(ISERROR(INDEX(Sheet2!$B$2:$O$7,MATCH($AG45,Sheet2!$B$2:$B$7,0),MATCH(AC$2,Sheet2!$B$2:$O$2,0))),0,INDEX(Sheet2!$B$2:$O$7,MATCH($AG45,Sheet2!$B$2:$B$7,0),MATCH(AC$2,Sheet2!$B$2:$O$2,0)))</f>
        <v>0</v>
      </c>
      <c r="AD45" s="12" t="s">
        <v>219</v>
      </c>
      <c r="AE45" s="25">
        <v>17142</v>
      </c>
      <c r="AF45" s="21" t="s">
        <v>192</v>
      </c>
      <c r="AG45" s="13">
        <f>INDEX([1]Sheet1!$U:$U,MATCH($A45,[1]Sheet1!$BN:$BN,0),0)</f>
        <v>13</v>
      </c>
    </row>
    <row r="46" spans="1:34">
      <c r="A46" s="1">
        <v>1207</v>
      </c>
      <c r="B46" s="1" t="s">
        <v>116</v>
      </c>
      <c r="C46" s="13" t="s">
        <v>146</v>
      </c>
      <c r="D46" s="1" t="str">
        <f t="shared" si="0"/>
        <v>[[90000,12070],[90001,12071],[90002,12072],[90003,12073],[90004,12074],[90005,12075],[90006,12076]]</v>
      </c>
      <c r="E46" s="45">
        <v>4</v>
      </c>
      <c r="F46" s="1">
        <f>IF(ISERROR(INDEX(Sheet2!$B$2:$O$7,MATCH($AG46,Sheet2!$B$2:$B$7,0),MATCH(F$2,Sheet2!$B$2:$O$2,0))),0,INDEX(Sheet2!$B$2:$O$7,MATCH($AG46,Sheet2!$B$2:$B$7,0),MATCH(F$2,Sheet2!$B$2:$O$2,0)))</f>
        <v>5000</v>
      </c>
      <c r="G46" s="1">
        <f>IF(ISERROR(INDEX(Sheet2!$B$2:$O$7,MATCH($AG46,Sheet2!$B$2:$B$7,0),MATCH(G$2,Sheet2!$B$2:$O$2,0))),0,INDEX(Sheet2!$B$2:$O$7,MATCH($AG46,Sheet2!$B$2:$B$7,0),MATCH(G$2,Sheet2!$B$2:$O$2,0)))</f>
        <v>200</v>
      </c>
      <c r="H46" s="1">
        <f>IF(ISERROR(INDEX(Sheet2!$B$2:$O$7,MATCH($AG46,Sheet2!$B$2:$B$7,0),MATCH(H$2,Sheet2!$B$2:$O$2,0))),0,INDEX(Sheet2!$B$2:$O$7,MATCH($AG46,Sheet2!$B$2:$B$7,0),MATCH(H$2,Sheet2!$B$2:$O$2,0)))</f>
        <v>100</v>
      </c>
      <c r="I46" s="1">
        <f>IF(ISERROR(INDEX(Sheet2!$B$2:$O$7,MATCH($AG46,Sheet2!$B$2:$B$7,0),MATCH(I$2,Sheet2!$B$2:$O$2,0))),0,INDEX(Sheet2!$B$2:$O$7,MATCH($AG46,Sheet2!$B$2:$B$7,0),MATCH(I$2,Sheet2!$B$2:$O$2,0)))</f>
        <v>100</v>
      </c>
      <c r="J46" s="1">
        <f>IF(ISERROR(INDEX(Sheet2!$B$2:$O$7,MATCH($AG46,Sheet2!$B$2:$B$7,0),MATCH(J$2,Sheet2!$B$2:$O$2,0))),0,INDEX(Sheet2!$B$2:$O$7,MATCH($AG46,Sheet2!$B$2:$B$7,0),MATCH(J$2,Sheet2!$B$2:$O$2,0)))</f>
        <v>0</v>
      </c>
      <c r="K46" s="1">
        <f>IF(ISERROR(INDEX(Sheet2!$B$2:$O$7,MATCH($AG46,Sheet2!$B$2:$B$7,0),MATCH(K$2,Sheet2!$B$2:$O$2,0))),0,INDEX(Sheet2!$B$2:$O$7,MATCH($AG46,Sheet2!$B$2:$B$7,0),MATCH(K$2,Sheet2!$B$2:$O$2,0)))</f>
        <v>0</v>
      </c>
      <c r="L46" s="1">
        <f>IF(ISERROR(INDEX(Sheet2!$B$2:$O$7,MATCH($AG46,Sheet2!$B$2:$B$7,0),MATCH(L$2,Sheet2!$B$2:$O$2,0))),0,INDEX(Sheet2!$B$2:$O$7,MATCH($AG46,Sheet2!$B$2:$B$7,0),MATCH(L$2,Sheet2!$B$2:$O$2,0)))</f>
        <v>0</v>
      </c>
      <c r="M46" s="1">
        <f>IF(ISERROR(INDEX(Sheet2!$B$2:$O$7,MATCH($AG46,Sheet2!$B$2:$B$7,0),MATCH(M$2,Sheet2!$B$2:$O$2,0))),0,INDEX(Sheet2!$B$2:$O$7,MATCH($AG46,Sheet2!$B$2:$B$7,0),MATCH(M$2,Sheet2!$B$2:$O$2,0)))</f>
        <v>0</v>
      </c>
      <c r="N46" s="1">
        <f>IF(ISERROR(INDEX(Sheet2!$B$2:$O$7,MATCH($AG46,Sheet2!$B$2:$B$7,0),MATCH(N$2,Sheet2!$B$2:$O$2,0))),0,INDEX(Sheet2!$B$2:$O$7,MATCH($AG46,Sheet2!$B$2:$B$7,0),MATCH(N$2,Sheet2!$B$2:$O$2,0)))</f>
        <v>600</v>
      </c>
      <c r="O46" s="1">
        <f>IF(ISERROR(INDEX(Sheet2!$B$2:$O$7,MATCH($AG46,Sheet2!$B$2:$B$7,0),MATCH(O$2,Sheet2!$B$2:$O$2,0))),0,INDEX(Sheet2!$B$2:$O$7,MATCH($AG46,Sheet2!$B$2:$B$7,0),MATCH(O$2,Sheet2!$B$2:$O$2,0)))</f>
        <v>24</v>
      </c>
      <c r="P46" s="1">
        <f>IF(ISERROR(INDEX(Sheet2!$B$2:$O$7,MATCH($AG46,Sheet2!$B$2:$B$7,0),MATCH(P$2,Sheet2!$B$2:$O$2,0))),0,INDEX(Sheet2!$B$2:$O$7,MATCH($AG46,Sheet2!$B$2:$B$7,0),MATCH(P$2,Sheet2!$B$2:$O$2,0)))</f>
        <v>12</v>
      </c>
      <c r="Q46" s="1">
        <f>IF(ISERROR(INDEX(Sheet2!$B$2:$O$7,MATCH($AG46,Sheet2!$B$2:$B$7,0),MATCH(Q$2,Sheet2!$B$2:$O$2,0))),0,INDEX(Sheet2!$B$2:$O$7,MATCH($AG46,Sheet2!$B$2:$B$7,0),MATCH(Q$2,Sheet2!$B$2:$O$2,0)))</f>
        <v>12</v>
      </c>
      <c r="R46" s="1">
        <f>IF(ISERROR(INDEX(Sheet2!$B$2:$O$7,MATCH($AG46,Sheet2!$B$2:$B$7,0),MATCH(R$2,Sheet2!$B$2:$O$2,0))),0,INDEX(Sheet2!$B$2:$O$7,MATCH($AG46,Sheet2!$B$2:$B$7,0),MATCH(R$2,Sheet2!$B$2:$O$2,0)))</f>
        <v>0</v>
      </c>
      <c r="S46" s="1">
        <f>IF(ISERROR(INDEX(Sheet2!$B$2:$O$7,MATCH($AG46,Sheet2!$B$2:$B$7,0),MATCH(S$2,Sheet2!$B$2:$O$2,0))),0,INDEX(Sheet2!$B$2:$O$7,MATCH($AG46,Sheet2!$B$2:$B$7,0),MATCH(S$2,Sheet2!$B$2:$O$2,0)))</f>
        <v>0</v>
      </c>
      <c r="T46" s="1">
        <f>IF(ISERROR(INDEX(Sheet2!$B$2:$O$7,MATCH($AG46,Sheet2!$B$2:$B$7,0),MATCH(T$2,Sheet2!$B$2:$O$2,0))),0,INDEX(Sheet2!$B$2:$O$7,MATCH($AG46,Sheet2!$B$2:$B$7,0),MATCH(T$2,Sheet2!$B$2:$O$2,0)))</f>
        <v>0</v>
      </c>
      <c r="U46" s="1">
        <f>IF(ISERROR(INDEX(Sheet2!$B$2:$O$7,MATCH($AG46,Sheet2!$B$2:$B$7,0),MATCH(U$2,Sheet2!$B$2:$O$2,0))),0,INDEX(Sheet2!$B$2:$O$7,MATCH($AG46,Sheet2!$B$2:$B$7,0),MATCH(U$2,Sheet2!$B$2:$O$2,0)))</f>
        <v>0</v>
      </c>
      <c r="V46" s="1">
        <f>IF(ISERROR(INDEX(Sheet2!$B$2:$O$7,MATCH($AG46,Sheet2!$B$2:$B$7,0),MATCH(V$2,Sheet2!$B$2:$O$2,0))),0,INDEX(Sheet2!$B$2:$O$7,MATCH($AG46,Sheet2!$B$2:$B$7,0),MATCH(V$2,Sheet2!$B$2:$O$2,0)))</f>
        <v>10000</v>
      </c>
      <c r="W46" s="1">
        <f>IF(ISERROR(INDEX(Sheet2!$B$2:$O$7,MATCH($AG46,Sheet2!$B$2:$B$7,0),MATCH(W$2,Sheet2!$B$2:$O$2,0))),0,INDEX(Sheet2!$B$2:$O$7,MATCH($AG46,Sheet2!$B$2:$B$7,0),MATCH(W$2,Sheet2!$B$2:$O$2,0)))</f>
        <v>400</v>
      </c>
      <c r="X46" s="1">
        <f>IF(ISERROR(INDEX(Sheet2!$B$2:$O$7,MATCH($AG46,Sheet2!$B$2:$B$7,0),MATCH(X$2,Sheet2!$B$2:$O$2,0))),0,INDEX(Sheet2!$B$2:$O$7,MATCH($AG46,Sheet2!$B$2:$B$7,0),MATCH(X$2,Sheet2!$B$2:$O$2,0)))</f>
        <v>200</v>
      </c>
      <c r="Y46" s="1">
        <f>IF(ISERROR(INDEX(Sheet2!$B$2:$O$7,MATCH($AG46,Sheet2!$B$2:$B$7,0),MATCH(Y$2,Sheet2!$B$2:$O$2,0))),0,INDEX(Sheet2!$B$2:$O$7,MATCH($AG46,Sheet2!$B$2:$B$7,0),MATCH(Y$2,Sheet2!$B$2:$O$2,0)))</f>
        <v>200</v>
      </c>
      <c r="Z46" s="1">
        <f>IF(ISERROR(INDEX(Sheet2!$B$2:$O$7,MATCH($AG46,Sheet2!$B$2:$B$7,0),MATCH(Z$2,Sheet2!$B$2:$O$2,0))),0,INDEX(Sheet2!$B$2:$O$7,MATCH($AG46,Sheet2!$B$2:$B$7,0),MATCH(Z$2,Sheet2!$B$2:$O$2,0)))</f>
        <v>0</v>
      </c>
      <c r="AA46" s="1">
        <f>IF(ISERROR(INDEX(Sheet2!$B$2:$O$7,MATCH($AG46,Sheet2!$B$2:$B$7,0),MATCH(AA$2,Sheet2!$B$2:$O$2,0))),0,INDEX(Sheet2!$B$2:$O$7,MATCH($AG46,Sheet2!$B$2:$B$7,0),MATCH(AA$2,Sheet2!$B$2:$O$2,0)))</f>
        <v>0</v>
      </c>
      <c r="AB46" s="1">
        <f>IF(ISERROR(INDEX(Sheet2!$B$2:$O$7,MATCH($AG46,Sheet2!$B$2:$B$7,0),MATCH(AB$2,Sheet2!$B$2:$O$2,0))),0,INDEX(Sheet2!$B$2:$O$7,MATCH($AG46,Sheet2!$B$2:$B$7,0),MATCH(AB$2,Sheet2!$B$2:$O$2,0)))</f>
        <v>0</v>
      </c>
      <c r="AC46" s="1">
        <f>IF(ISERROR(INDEX(Sheet2!$B$2:$O$7,MATCH($AG46,Sheet2!$B$2:$B$7,0),MATCH(AC$2,Sheet2!$B$2:$O$2,0))),0,INDEX(Sheet2!$B$2:$O$7,MATCH($AG46,Sheet2!$B$2:$B$7,0),MATCH(AC$2,Sheet2!$B$2:$O$2,0)))</f>
        <v>0</v>
      </c>
      <c r="AD46" s="12" t="s">
        <v>219</v>
      </c>
      <c r="AE46" s="25">
        <v>17143</v>
      </c>
      <c r="AF46" s="21" t="s">
        <v>193</v>
      </c>
      <c r="AG46" s="13">
        <f>INDEX([1]Sheet1!$U:$U,MATCH($A46,[1]Sheet1!$BN:$BN,0),0)</f>
        <v>13</v>
      </c>
    </row>
    <row r="47" spans="1:34">
      <c r="A47" s="1">
        <v>1107</v>
      </c>
      <c r="B47" s="1" t="s">
        <v>153</v>
      </c>
      <c r="C47" s="13" t="s">
        <v>154</v>
      </c>
      <c r="D47" s="12" t="str">
        <f t="shared" si="0"/>
        <v>[[90000,11070],[90001,11071],[90002,11072],[90003,11073],[90004,11074],[90005,11075],[90006,11076]]</v>
      </c>
      <c r="E47" s="45">
        <v>4</v>
      </c>
      <c r="F47" s="1">
        <f>IF(ISERROR(INDEX(Sheet2!$B$2:$O$7,MATCH($AG47,Sheet2!$B$2:$B$7,0),MATCH(F$2,Sheet2!$B$2:$O$2,0))),0,INDEX(Sheet2!$B$2:$O$7,MATCH($AG47,Sheet2!$B$2:$B$7,0),MATCH(F$2,Sheet2!$B$2:$O$2,0)))</f>
        <v>5000</v>
      </c>
      <c r="G47" s="1">
        <f>IF(ISERROR(INDEX(Sheet2!$B$2:$O$7,MATCH($AG47,Sheet2!$B$2:$B$7,0),MATCH(G$2,Sheet2!$B$2:$O$2,0))),0,INDEX(Sheet2!$B$2:$O$7,MATCH($AG47,Sheet2!$B$2:$B$7,0),MATCH(G$2,Sheet2!$B$2:$O$2,0)))</f>
        <v>200</v>
      </c>
      <c r="H47" s="1">
        <f>IF(ISERROR(INDEX(Sheet2!$B$2:$O$7,MATCH($AG47,Sheet2!$B$2:$B$7,0),MATCH(H$2,Sheet2!$B$2:$O$2,0))),0,INDEX(Sheet2!$B$2:$O$7,MATCH($AG47,Sheet2!$B$2:$B$7,0),MATCH(H$2,Sheet2!$B$2:$O$2,0)))</f>
        <v>100</v>
      </c>
      <c r="I47" s="1">
        <f>IF(ISERROR(INDEX(Sheet2!$B$2:$O$7,MATCH($AG47,Sheet2!$B$2:$B$7,0),MATCH(I$2,Sheet2!$B$2:$O$2,0))),0,INDEX(Sheet2!$B$2:$O$7,MATCH($AG47,Sheet2!$B$2:$B$7,0),MATCH(I$2,Sheet2!$B$2:$O$2,0)))</f>
        <v>100</v>
      </c>
      <c r="J47" s="1">
        <f>IF(ISERROR(INDEX(Sheet2!$B$2:$O$7,MATCH($AG47,Sheet2!$B$2:$B$7,0),MATCH(J$2,Sheet2!$B$2:$O$2,0))),0,INDEX(Sheet2!$B$2:$O$7,MATCH($AG47,Sheet2!$B$2:$B$7,0),MATCH(J$2,Sheet2!$B$2:$O$2,0)))</f>
        <v>0</v>
      </c>
      <c r="K47" s="1">
        <f>IF(ISERROR(INDEX(Sheet2!$B$2:$O$7,MATCH($AG47,Sheet2!$B$2:$B$7,0),MATCH(K$2,Sheet2!$B$2:$O$2,0))),0,INDEX(Sheet2!$B$2:$O$7,MATCH($AG47,Sheet2!$B$2:$B$7,0),MATCH(K$2,Sheet2!$B$2:$O$2,0)))</f>
        <v>0</v>
      </c>
      <c r="L47" s="1">
        <f>IF(ISERROR(INDEX(Sheet2!$B$2:$O$7,MATCH($AG47,Sheet2!$B$2:$B$7,0),MATCH(L$2,Sheet2!$B$2:$O$2,0))),0,INDEX(Sheet2!$B$2:$O$7,MATCH($AG47,Sheet2!$B$2:$B$7,0),MATCH(L$2,Sheet2!$B$2:$O$2,0)))</f>
        <v>0</v>
      </c>
      <c r="M47" s="1">
        <f>IF(ISERROR(INDEX(Sheet2!$B$2:$O$7,MATCH($AG47,Sheet2!$B$2:$B$7,0),MATCH(M$2,Sheet2!$B$2:$O$2,0))),0,INDEX(Sheet2!$B$2:$O$7,MATCH($AG47,Sheet2!$B$2:$B$7,0),MATCH(M$2,Sheet2!$B$2:$O$2,0)))</f>
        <v>0</v>
      </c>
      <c r="N47" s="1">
        <f>IF(ISERROR(INDEX(Sheet2!$B$2:$O$7,MATCH($AG47,Sheet2!$B$2:$B$7,0),MATCH(N$2,Sheet2!$B$2:$O$2,0))),0,INDEX(Sheet2!$B$2:$O$7,MATCH($AG47,Sheet2!$B$2:$B$7,0),MATCH(N$2,Sheet2!$B$2:$O$2,0)))</f>
        <v>600</v>
      </c>
      <c r="O47" s="1">
        <f>IF(ISERROR(INDEX(Sheet2!$B$2:$O$7,MATCH($AG47,Sheet2!$B$2:$B$7,0),MATCH(O$2,Sheet2!$B$2:$O$2,0))),0,INDEX(Sheet2!$B$2:$O$7,MATCH($AG47,Sheet2!$B$2:$B$7,0),MATCH(O$2,Sheet2!$B$2:$O$2,0)))</f>
        <v>24</v>
      </c>
      <c r="P47" s="1">
        <f>IF(ISERROR(INDEX(Sheet2!$B$2:$O$7,MATCH($AG47,Sheet2!$B$2:$B$7,0),MATCH(P$2,Sheet2!$B$2:$O$2,0))),0,INDEX(Sheet2!$B$2:$O$7,MATCH($AG47,Sheet2!$B$2:$B$7,0),MATCH(P$2,Sheet2!$B$2:$O$2,0)))</f>
        <v>12</v>
      </c>
      <c r="Q47" s="1">
        <f>IF(ISERROR(INDEX(Sheet2!$B$2:$O$7,MATCH($AG47,Sheet2!$B$2:$B$7,0),MATCH(Q$2,Sheet2!$B$2:$O$2,0))),0,INDEX(Sheet2!$B$2:$O$7,MATCH($AG47,Sheet2!$B$2:$B$7,0),MATCH(Q$2,Sheet2!$B$2:$O$2,0)))</f>
        <v>12</v>
      </c>
      <c r="R47" s="1">
        <f>IF(ISERROR(INDEX(Sheet2!$B$2:$O$7,MATCH($AG47,Sheet2!$B$2:$B$7,0),MATCH(R$2,Sheet2!$B$2:$O$2,0))),0,INDEX(Sheet2!$B$2:$O$7,MATCH($AG47,Sheet2!$B$2:$B$7,0),MATCH(R$2,Sheet2!$B$2:$O$2,0)))</f>
        <v>0</v>
      </c>
      <c r="S47" s="1">
        <f>IF(ISERROR(INDEX(Sheet2!$B$2:$O$7,MATCH($AG47,Sheet2!$B$2:$B$7,0),MATCH(S$2,Sheet2!$B$2:$O$2,0))),0,INDEX(Sheet2!$B$2:$O$7,MATCH($AG47,Sheet2!$B$2:$B$7,0),MATCH(S$2,Sheet2!$B$2:$O$2,0)))</f>
        <v>0</v>
      </c>
      <c r="T47" s="1">
        <f>IF(ISERROR(INDEX(Sheet2!$B$2:$O$7,MATCH($AG47,Sheet2!$B$2:$B$7,0),MATCH(T$2,Sheet2!$B$2:$O$2,0))),0,INDEX(Sheet2!$B$2:$O$7,MATCH($AG47,Sheet2!$B$2:$B$7,0),MATCH(T$2,Sheet2!$B$2:$O$2,0)))</f>
        <v>0</v>
      </c>
      <c r="U47" s="1">
        <f>IF(ISERROR(INDEX(Sheet2!$B$2:$O$7,MATCH($AG47,Sheet2!$B$2:$B$7,0),MATCH(U$2,Sheet2!$B$2:$O$2,0))),0,INDEX(Sheet2!$B$2:$O$7,MATCH($AG47,Sheet2!$B$2:$B$7,0),MATCH(U$2,Sheet2!$B$2:$O$2,0)))</f>
        <v>0</v>
      </c>
      <c r="V47" s="1">
        <f>IF(ISERROR(INDEX(Sheet2!$B$2:$O$7,MATCH($AG47,Sheet2!$B$2:$B$7,0),MATCH(V$2,Sheet2!$B$2:$O$2,0))),0,INDEX(Sheet2!$B$2:$O$7,MATCH($AG47,Sheet2!$B$2:$B$7,0),MATCH(V$2,Sheet2!$B$2:$O$2,0)))</f>
        <v>10000</v>
      </c>
      <c r="W47" s="1">
        <f>IF(ISERROR(INDEX(Sheet2!$B$2:$O$7,MATCH($AG47,Sheet2!$B$2:$B$7,0),MATCH(W$2,Sheet2!$B$2:$O$2,0))),0,INDEX(Sheet2!$B$2:$O$7,MATCH($AG47,Sheet2!$B$2:$B$7,0),MATCH(W$2,Sheet2!$B$2:$O$2,0)))</f>
        <v>400</v>
      </c>
      <c r="X47" s="1">
        <f>IF(ISERROR(INDEX(Sheet2!$B$2:$O$7,MATCH($AG47,Sheet2!$B$2:$B$7,0),MATCH(X$2,Sheet2!$B$2:$O$2,0))),0,INDEX(Sheet2!$B$2:$O$7,MATCH($AG47,Sheet2!$B$2:$B$7,0),MATCH(X$2,Sheet2!$B$2:$O$2,0)))</f>
        <v>200</v>
      </c>
      <c r="Y47" s="1">
        <f>IF(ISERROR(INDEX(Sheet2!$B$2:$O$7,MATCH($AG47,Sheet2!$B$2:$B$7,0),MATCH(Y$2,Sheet2!$B$2:$O$2,0))),0,INDEX(Sheet2!$B$2:$O$7,MATCH($AG47,Sheet2!$B$2:$B$7,0),MATCH(Y$2,Sheet2!$B$2:$O$2,0)))</f>
        <v>200</v>
      </c>
      <c r="Z47" s="1">
        <f>IF(ISERROR(INDEX(Sheet2!$B$2:$O$7,MATCH($AG47,Sheet2!$B$2:$B$7,0),MATCH(Z$2,Sheet2!$B$2:$O$2,0))),0,INDEX(Sheet2!$B$2:$O$7,MATCH($AG47,Sheet2!$B$2:$B$7,0),MATCH(Z$2,Sheet2!$B$2:$O$2,0)))</f>
        <v>0</v>
      </c>
      <c r="AA47" s="1">
        <f>IF(ISERROR(INDEX(Sheet2!$B$2:$O$7,MATCH($AG47,Sheet2!$B$2:$B$7,0),MATCH(AA$2,Sheet2!$B$2:$O$2,0))),0,INDEX(Sheet2!$B$2:$O$7,MATCH($AG47,Sheet2!$B$2:$B$7,0),MATCH(AA$2,Sheet2!$B$2:$O$2,0)))</f>
        <v>0</v>
      </c>
      <c r="AB47" s="1">
        <f>IF(ISERROR(INDEX(Sheet2!$B$2:$O$7,MATCH($AG47,Sheet2!$B$2:$B$7,0),MATCH(AB$2,Sheet2!$B$2:$O$2,0))),0,INDEX(Sheet2!$B$2:$O$7,MATCH($AG47,Sheet2!$B$2:$B$7,0),MATCH(AB$2,Sheet2!$B$2:$O$2,0)))</f>
        <v>0</v>
      </c>
      <c r="AC47" s="1">
        <f>IF(ISERROR(INDEX(Sheet2!$B$2:$O$7,MATCH($AG47,Sheet2!$B$2:$B$7,0),MATCH(AC$2,Sheet2!$B$2:$O$2,0))),0,INDEX(Sheet2!$B$2:$O$7,MATCH($AG47,Sheet2!$B$2:$B$7,0),MATCH(AC$2,Sheet2!$B$2:$O$2,0)))</f>
        <v>0</v>
      </c>
      <c r="AD47" s="12" t="s">
        <v>219</v>
      </c>
      <c r="AE47" s="25">
        <v>17144</v>
      </c>
      <c r="AF47" s="21" t="s">
        <v>194</v>
      </c>
      <c r="AG47" s="13">
        <f>INDEX([1]Sheet1!$U:$U,MATCH($A47,[1]Sheet1!$BN:$BN,0),0)</f>
        <v>13</v>
      </c>
    </row>
    <row r="48" spans="1:34">
      <c r="A48" s="1">
        <v>100000</v>
      </c>
      <c r="B48" s="1" t="s">
        <v>223</v>
      </c>
      <c r="C48" s="1" t="s">
        <v>223</v>
      </c>
      <c r="D48" s="1" t="s">
        <v>224</v>
      </c>
      <c r="E48" s="44">
        <v>6</v>
      </c>
      <c r="F48" s="1">
        <f>IF(ISERROR(INDEX(Sheet2!$B$2:$O$7,MATCH($AG48,Sheet2!$B$2:$B$7,0),MATCH(F$2,Sheet2!$B$2:$O$2,0))),0,INDEX(Sheet2!$B$2:$O$7,MATCH($AG48,Sheet2!$B$2:$B$7,0),MATCH(F$2,Sheet2!$B$2:$O$2,0)))</f>
        <v>0</v>
      </c>
      <c r="G48" s="1">
        <f>IF(ISERROR(INDEX(Sheet2!$B$2:$O$7,MATCH($AG48,Sheet2!$B$2:$B$7,0),MATCH(G$2,Sheet2!$B$2:$O$2,0))),0,INDEX(Sheet2!$B$2:$O$7,MATCH($AG48,Sheet2!$B$2:$B$7,0),MATCH(G$2,Sheet2!$B$2:$O$2,0)))</f>
        <v>0</v>
      </c>
      <c r="H48" s="1">
        <f>IF(ISERROR(INDEX(Sheet2!$B$2:$O$7,MATCH($AG48,Sheet2!$B$2:$B$7,0),MATCH(H$2,Sheet2!$B$2:$O$2,0))),0,INDEX(Sheet2!$B$2:$O$7,MATCH($AG48,Sheet2!$B$2:$B$7,0),MATCH(H$2,Sheet2!$B$2:$O$2,0)))</f>
        <v>0</v>
      </c>
      <c r="I48" s="1">
        <f>IF(ISERROR(INDEX(Sheet2!$B$2:$O$7,MATCH($AG48,Sheet2!$B$2:$B$7,0),MATCH(I$2,Sheet2!$B$2:$O$2,0))),0,INDEX(Sheet2!$B$2:$O$7,MATCH($AG48,Sheet2!$B$2:$B$7,0),MATCH(I$2,Sheet2!$B$2:$O$2,0)))</f>
        <v>0</v>
      </c>
      <c r="J48" s="1">
        <f>IF(ISERROR(INDEX(Sheet2!$B$2:$O$7,MATCH($AG48,Sheet2!$B$2:$B$7,0),MATCH(J$2,Sheet2!$B$2:$O$2,0))),0,INDEX(Sheet2!$B$2:$O$7,MATCH($AG48,Sheet2!$B$2:$B$7,0),MATCH(J$2,Sheet2!$B$2:$O$2,0)))</f>
        <v>0</v>
      </c>
      <c r="K48" s="1">
        <f>IF(ISERROR(INDEX(Sheet2!$B$2:$O$7,MATCH($AG48,Sheet2!$B$2:$B$7,0),MATCH(K$2,Sheet2!$B$2:$O$2,0))),0,INDEX(Sheet2!$B$2:$O$7,MATCH($AG48,Sheet2!$B$2:$B$7,0),MATCH(K$2,Sheet2!$B$2:$O$2,0)))</f>
        <v>0</v>
      </c>
      <c r="L48" s="1">
        <f>IF(ISERROR(INDEX(Sheet2!$B$2:$O$7,MATCH($AG48,Sheet2!$B$2:$B$7,0),MATCH(L$2,Sheet2!$B$2:$O$2,0))),0,INDEX(Sheet2!$B$2:$O$7,MATCH($AG48,Sheet2!$B$2:$B$7,0),MATCH(L$2,Sheet2!$B$2:$O$2,0)))</f>
        <v>0</v>
      </c>
      <c r="M48" s="1">
        <f>IF(ISERROR(INDEX(Sheet2!$B$2:$O$7,MATCH($AG48,Sheet2!$B$2:$B$7,0),MATCH(M$2,Sheet2!$B$2:$O$2,0))),0,INDEX(Sheet2!$B$2:$O$7,MATCH($AG48,Sheet2!$B$2:$B$7,0),MATCH(M$2,Sheet2!$B$2:$O$2,0)))</f>
        <v>0</v>
      </c>
      <c r="N48" s="1">
        <f>IF(ISERROR(INDEX(Sheet2!$B$2:$O$7,MATCH($AG48,Sheet2!$B$2:$B$7,0),MATCH(N$2,Sheet2!$B$2:$O$2,0))),0,INDEX(Sheet2!$B$2:$O$7,MATCH($AG48,Sheet2!$B$2:$B$7,0),MATCH(N$2,Sheet2!$B$2:$O$2,0)))</f>
        <v>0</v>
      </c>
      <c r="O48" s="1">
        <f>IF(ISERROR(INDEX(Sheet2!$B$2:$O$7,MATCH($AG48,Sheet2!$B$2:$B$7,0),MATCH(O$2,Sheet2!$B$2:$O$2,0))),0,INDEX(Sheet2!$B$2:$O$7,MATCH($AG48,Sheet2!$B$2:$B$7,0),MATCH(O$2,Sheet2!$B$2:$O$2,0)))</f>
        <v>0</v>
      </c>
      <c r="P48" s="1">
        <f>IF(ISERROR(INDEX(Sheet2!$B$2:$O$7,MATCH($AG48,Sheet2!$B$2:$B$7,0),MATCH(P$2,Sheet2!$B$2:$O$2,0))),0,INDEX(Sheet2!$B$2:$O$7,MATCH($AG48,Sheet2!$B$2:$B$7,0),MATCH(P$2,Sheet2!$B$2:$O$2,0)))</f>
        <v>0</v>
      </c>
      <c r="Q48" s="1">
        <f>IF(ISERROR(INDEX(Sheet2!$B$2:$O$7,MATCH($AG48,Sheet2!$B$2:$B$7,0),MATCH(Q$2,Sheet2!$B$2:$O$2,0))),0,INDEX(Sheet2!$B$2:$O$7,MATCH($AG48,Sheet2!$B$2:$B$7,0),MATCH(Q$2,Sheet2!$B$2:$O$2,0)))</f>
        <v>0</v>
      </c>
      <c r="R48" s="1">
        <f>IF(ISERROR(INDEX(Sheet2!$B$2:$O$7,MATCH($AG48,Sheet2!$B$2:$B$7,0),MATCH(R$2,Sheet2!$B$2:$O$2,0))),0,INDEX(Sheet2!$B$2:$O$7,MATCH($AG48,Sheet2!$B$2:$B$7,0),MATCH(R$2,Sheet2!$B$2:$O$2,0)))</f>
        <v>0</v>
      </c>
      <c r="S48" s="1">
        <f>IF(ISERROR(INDEX(Sheet2!$B$2:$O$7,MATCH($AG48,Sheet2!$B$2:$B$7,0),MATCH(S$2,Sheet2!$B$2:$O$2,0))),0,INDEX(Sheet2!$B$2:$O$7,MATCH($AG48,Sheet2!$B$2:$B$7,0),MATCH(S$2,Sheet2!$B$2:$O$2,0)))</f>
        <v>0</v>
      </c>
      <c r="T48" s="1">
        <f>IF(ISERROR(INDEX(Sheet2!$B$2:$O$7,MATCH($AG48,Sheet2!$B$2:$B$7,0),MATCH(T$2,Sheet2!$B$2:$O$2,0))),0,INDEX(Sheet2!$B$2:$O$7,MATCH($AG48,Sheet2!$B$2:$B$7,0),MATCH(T$2,Sheet2!$B$2:$O$2,0)))</f>
        <v>0</v>
      </c>
      <c r="U48" s="1">
        <f>IF(ISERROR(INDEX(Sheet2!$B$2:$O$7,MATCH($AG48,Sheet2!$B$2:$B$7,0),MATCH(U$2,Sheet2!$B$2:$O$2,0))),0,INDEX(Sheet2!$B$2:$O$7,MATCH($AG48,Sheet2!$B$2:$B$7,0),MATCH(U$2,Sheet2!$B$2:$O$2,0)))</f>
        <v>0</v>
      </c>
      <c r="V48" s="1">
        <f>IF(ISERROR(INDEX(Sheet2!$B$2:$O$7,MATCH($AG48,Sheet2!$B$2:$B$7,0),MATCH(V$2,Sheet2!$B$2:$O$2,0))),0,INDEX(Sheet2!$B$2:$O$7,MATCH($AG48,Sheet2!$B$2:$B$7,0),MATCH(V$2,Sheet2!$B$2:$O$2,0)))</f>
        <v>0</v>
      </c>
      <c r="W48" s="1">
        <f>IF(ISERROR(INDEX(Sheet2!$B$2:$O$7,MATCH($AG48,Sheet2!$B$2:$B$7,0),MATCH(W$2,Sheet2!$B$2:$O$2,0))),0,INDEX(Sheet2!$B$2:$O$7,MATCH($AG48,Sheet2!$B$2:$B$7,0),MATCH(W$2,Sheet2!$B$2:$O$2,0)))</f>
        <v>0</v>
      </c>
      <c r="X48" s="1">
        <f>IF(ISERROR(INDEX(Sheet2!$B$2:$O$7,MATCH($AG48,Sheet2!$B$2:$B$7,0),MATCH(X$2,Sheet2!$B$2:$O$2,0))),0,INDEX(Sheet2!$B$2:$O$7,MATCH($AG48,Sheet2!$B$2:$B$7,0),MATCH(X$2,Sheet2!$B$2:$O$2,0)))</f>
        <v>0</v>
      </c>
      <c r="Y48" s="1">
        <f>IF(ISERROR(INDEX(Sheet2!$B$2:$O$7,MATCH($AG48,Sheet2!$B$2:$B$7,0),MATCH(Y$2,Sheet2!$B$2:$O$2,0))),0,INDEX(Sheet2!$B$2:$O$7,MATCH($AG48,Sheet2!$B$2:$B$7,0),MATCH(Y$2,Sheet2!$B$2:$O$2,0)))</f>
        <v>0</v>
      </c>
      <c r="Z48" s="1">
        <f>IF(ISERROR(INDEX(Sheet2!$B$2:$O$7,MATCH($AG48,Sheet2!$B$2:$B$7,0),MATCH(Z$2,Sheet2!$B$2:$O$2,0))),0,INDEX(Sheet2!$B$2:$O$7,MATCH($AG48,Sheet2!$B$2:$B$7,0),MATCH(Z$2,Sheet2!$B$2:$O$2,0)))</f>
        <v>0</v>
      </c>
      <c r="AA48" s="1">
        <f>IF(ISERROR(INDEX(Sheet2!$B$2:$O$7,MATCH($AG48,Sheet2!$B$2:$B$7,0),MATCH(AA$2,Sheet2!$B$2:$O$2,0))),0,INDEX(Sheet2!$B$2:$O$7,MATCH($AG48,Sheet2!$B$2:$B$7,0),MATCH(AA$2,Sheet2!$B$2:$O$2,0)))</f>
        <v>0</v>
      </c>
      <c r="AB48" s="1">
        <f>IF(ISERROR(INDEX(Sheet2!$B$2:$O$7,MATCH($AG48,Sheet2!$B$2:$B$7,0),MATCH(AB$2,Sheet2!$B$2:$O$2,0))),0,INDEX(Sheet2!$B$2:$O$7,MATCH($AG48,Sheet2!$B$2:$B$7,0),MATCH(AB$2,Sheet2!$B$2:$O$2,0)))</f>
        <v>0</v>
      </c>
      <c r="AC48" s="1">
        <f>IF(ISERROR(INDEX(Sheet2!$B$2:$O$7,MATCH($AG48,Sheet2!$B$2:$B$7,0),MATCH(AC$2,Sheet2!$B$2:$O$2,0))),0,INDEX(Sheet2!$B$2:$O$7,MATCH($AG48,Sheet2!$B$2:$B$7,0),MATCH(AC$2,Sheet2!$B$2:$O$2,0)))</f>
        <v>0</v>
      </c>
      <c r="AD48" s="12" t="s">
        <v>222</v>
      </c>
      <c r="AE48" s="27" t="s">
        <v>222</v>
      </c>
      <c r="AF48" s="20" t="s">
        <v>222</v>
      </c>
      <c r="AG48" s="1" t="e">
        <f>INDEX([1]Sheet1!$U:$U,MATCH($A48,[1]Sheet1!$BN:$BN,0),0)</f>
        <v>#N/A</v>
      </c>
      <c r="AH48" s="15"/>
    </row>
    <row r="49" spans="5:33">
      <c r="E49" s="16"/>
      <c r="AE49" s="26"/>
      <c r="AF49" s="22"/>
      <c r="AG49" s="4"/>
    </row>
    <row r="50" spans="5:33">
      <c r="E50" s="16"/>
      <c r="AE50" s="26"/>
      <c r="AF50" s="22"/>
      <c r="AG50" s="4"/>
    </row>
    <row r="51" spans="5:33">
      <c r="E51" s="16"/>
      <c r="AE51" s="26"/>
      <c r="AF51" s="22"/>
      <c r="AG51" s="4"/>
    </row>
    <row r="52" spans="5:33">
      <c r="E52" s="16"/>
      <c r="AE52" s="26"/>
      <c r="AF52" s="22"/>
      <c r="AG52" s="4"/>
    </row>
    <row r="53" spans="5:33">
      <c r="E53" s="16"/>
      <c r="AE53" s="26"/>
      <c r="AF53" s="22"/>
      <c r="AG53" s="4"/>
    </row>
    <row r="54" spans="5:33">
      <c r="E54" s="16"/>
      <c r="AE54" s="26"/>
      <c r="AF54" s="22"/>
      <c r="AG54" s="4"/>
    </row>
    <row r="55" spans="5:33">
      <c r="E55" s="16"/>
      <c r="AE55" s="26"/>
      <c r="AF55" s="22"/>
      <c r="AG55" s="4"/>
    </row>
    <row r="56" spans="5:33">
      <c r="E56" s="16"/>
      <c r="AE56" s="26"/>
      <c r="AF56" s="22"/>
      <c r="AG56" s="4"/>
    </row>
    <row r="57" spans="5:33">
      <c r="E57" s="16"/>
      <c r="AE57" s="26"/>
      <c r="AF57" s="22"/>
      <c r="AG57" s="4"/>
    </row>
    <row r="58" spans="5:33">
      <c r="E58" s="16"/>
      <c r="AE58" s="26"/>
      <c r="AF58" s="22"/>
      <c r="AG58" s="4"/>
    </row>
    <row r="59" spans="5:33">
      <c r="E59" s="16"/>
      <c r="AE59" s="26"/>
      <c r="AF59" s="22"/>
      <c r="AG59" s="4"/>
    </row>
    <row r="60" spans="5:33">
      <c r="E60" s="16"/>
      <c r="AE60" s="26"/>
      <c r="AF60" s="22"/>
      <c r="AG60" s="4"/>
    </row>
    <row r="61" spans="5:33">
      <c r="E61" s="16"/>
      <c r="AE61" s="26"/>
      <c r="AF61" s="22"/>
      <c r="AG61" s="4"/>
    </row>
    <row r="62" spans="5:33">
      <c r="E62" s="16"/>
      <c r="AE62" s="26"/>
      <c r="AF62" s="22"/>
      <c r="AG62" s="4"/>
    </row>
    <row r="63" spans="5:33">
      <c r="E63" s="16"/>
      <c r="AE63" s="26"/>
      <c r="AF63" s="22"/>
      <c r="AG63" s="4"/>
    </row>
    <row r="64" spans="5:33">
      <c r="E64" s="16"/>
      <c r="AE64" s="26"/>
      <c r="AF64" s="22"/>
      <c r="AG64" s="4"/>
    </row>
    <row r="65" spans="5:33">
      <c r="E65" s="16"/>
      <c r="AE65" s="26"/>
      <c r="AF65" s="22"/>
      <c r="AG65" s="4"/>
    </row>
    <row r="66" spans="5:33">
      <c r="E66" s="16"/>
      <c r="AE66" s="26"/>
      <c r="AF66" s="22"/>
      <c r="AG66" s="4"/>
    </row>
    <row r="67" spans="5:33">
      <c r="E67" s="16"/>
      <c r="AE67" s="26"/>
      <c r="AF67" s="22"/>
      <c r="AG67" s="4"/>
    </row>
    <row r="68" spans="5:33">
      <c r="E68" s="16"/>
      <c r="AE68" s="26"/>
      <c r="AF68" s="22"/>
      <c r="AG68" s="4"/>
    </row>
    <row r="69" spans="5:33">
      <c r="E69" s="16"/>
      <c r="AE69" s="26"/>
      <c r="AF69" s="22"/>
      <c r="AG69" s="4"/>
    </row>
    <row r="70" spans="5:33">
      <c r="E70" s="16"/>
      <c r="AE70" s="26"/>
      <c r="AF70" s="22"/>
      <c r="AG70" s="4"/>
    </row>
    <row r="71" spans="5:33">
      <c r="E71" s="16"/>
      <c r="AE71" s="26"/>
      <c r="AF71" s="22"/>
      <c r="AG71" s="4"/>
    </row>
    <row r="72" spans="5:33">
      <c r="E72" s="16"/>
      <c r="AE72" s="26"/>
      <c r="AF72" s="22"/>
      <c r="AG72" s="4"/>
    </row>
    <row r="73" spans="5:33">
      <c r="E73" s="16"/>
      <c r="AE73" s="26"/>
      <c r="AF73" s="22"/>
      <c r="AG73" s="4"/>
    </row>
    <row r="74" spans="5:33">
      <c r="E74" s="16"/>
      <c r="AE74" s="26"/>
      <c r="AF74" s="22"/>
      <c r="AG74" s="4"/>
    </row>
    <row r="75" spans="5:33">
      <c r="E75" s="16"/>
      <c r="AE75" s="26"/>
      <c r="AF75" s="22"/>
      <c r="AG75" s="4"/>
    </row>
    <row r="76" spans="5:33">
      <c r="E76" s="16"/>
      <c r="AE76" s="26"/>
      <c r="AF76" s="22"/>
      <c r="AG76" s="4"/>
    </row>
    <row r="77" spans="5:33">
      <c r="E77" s="16"/>
      <c r="AE77" s="26"/>
      <c r="AF77" s="22"/>
      <c r="AG77" s="4"/>
    </row>
    <row r="78" spans="5:33">
      <c r="E78" s="16"/>
      <c r="AE78" s="26"/>
      <c r="AF78" s="22"/>
      <c r="AG78" s="4"/>
    </row>
    <row r="79" spans="5:33">
      <c r="E79" s="16"/>
      <c r="AE79" s="26"/>
      <c r="AF79" s="22"/>
      <c r="AG79" s="4"/>
    </row>
    <row r="80" spans="5:33">
      <c r="E80" s="16"/>
      <c r="AE80" s="26"/>
      <c r="AF80" s="22"/>
      <c r="AG80" s="4"/>
    </row>
    <row r="81" spans="5:33">
      <c r="E81" s="16"/>
      <c r="AE81" s="26"/>
      <c r="AF81" s="22"/>
      <c r="AG81" s="4"/>
    </row>
    <row r="82" spans="5:33">
      <c r="E82" s="16"/>
      <c r="AE82" s="26"/>
      <c r="AF82" s="22"/>
      <c r="AG82" s="4"/>
    </row>
    <row r="83" spans="5:33">
      <c r="E83" s="16"/>
      <c r="AE83" s="26"/>
      <c r="AF83" s="22"/>
      <c r="AG83" s="4"/>
    </row>
    <row r="84" spans="5:33">
      <c r="E84" s="16"/>
      <c r="AE84" s="26"/>
      <c r="AF84" s="22"/>
      <c r="AG84" s="4"/>
    </row>
    <row r="85" spans="5:33">
      <c r="E85" s="16"/>
      <c r="AE85" s="26"/>
      <c r="AF85" s="22"/>
      <c r="AG85" s="4"/>
    </row>
    <row r="86" spans="5:33">
      <c r="E86" s="16"/>
      <c r="AE86" s="26"/>
      <c r="AF86" s="22"/>
      <c r="AG86" s="4"/>
    </row>
    <row r="87" spans="5:33">
      <c r="E87" s="16"/>
      <c r="AE87" s="26"/>
      <c r="AF87" s="22"/>
      <c r="AG87" s="4"/>
    </row>
    <row r="88" spans="5:33">
      <c r="E88" s="16"/>
      <c r="AE88" s="26"/>
      <c r="AF88" s="22"/>
      <c r="AG88" s="4"/>
    </row>
    <row r="89" spans="5:33">
      <c r="E89" s="16"/>
      <c r="AE89" s="26"/>
      <c r="AF89" s="22"/>
      <c r="AG89" s="4"/>
    </row>
    <row r="90" spans="5:33">
      <c r="E90" s="16"/>
      <c r="AE90" s="26"/>
      <c r="AF90" s="22"/>
      <c r="AG90" s="4"/>
    </row>
    <row r="91" spans="5:33">
      <c r="E91" s="16"/>
      <c r="AE91" s="26"/>
      <c r="AF91" s="22"/>
      <c r="AG91" s="4"/>
    </row>
    <row r="92" spans="5:33">
      <c r="E92" s="16"/>
      <c r="AE92" s="26"/>
      <c r="AF92" s="22"/>
      <c r="AG92" s="4"/>
    </row>
    <row r="93" spans="5:33">
      <c r="E93" s="16"/>
      <c r="AE93" s="26"/>
      <c r="AF93" s="22"/>
      <c r="AG93" s="4"/>
    </row>
    <row r="94" spans="5:33">
      <c r="E94" s="16"/>
      <c r="AE94" s="26"/>
      <c r="AF94" s="22"/>
      <c r="AG94" s="4"/>
    </row>
    <row r="95" spans="5:33">
      <c r="E95" s="16"/>
      <c r="AE95" s="26"/>
      <c r="AF95" s="22"/>
      <c r="AG95" s="4"/>
    </row>
    <row r="96" spans="5:33">
      <c r="E96" s="16"/>
      <c r="AE96" s="26"/>
      <c r="AF96" s="22"/>
      <c r="AG96" s="4"/>
    </row>
    <row r="97" spans="5:33">
      <c r="E97" s="16"/>
      <c r="AE97" s="26"/>
      <c r="AF97" s="22"/>
      <c r="AG97" s="4"/>
    </row>
    <row r="98" spans="5:33">
      <c r="E98" s="16"/>
      <c r="AE98" s="26"/>
      <c r="AF98" s="22"/>
      <c r="AG98" s="4"/>
    </row>
    <row r="99" spans="5:33">
      <c r="E99" s="16"/>
      <c r="AE99" s="26"/>
      <c r="AF99" s="22"/>
      <c r="AG99" s="4"/>
    </row>
    <row r="100" spans="5:33">
      <c r="E100" s="16"/>
      <c r="AE100" s="26"/>
      <c r="AF100" s="22"/>
      <c r="AG100" s="4"/>
    </row>
    <row r="101" spans="5:33">
      <c r="E101" s="16"/>
      <c r="AE101" s="26"/>
      <c r="AF101" s="22"/>
      <c r="AG101" s="4"/>
    </row>
    <row r="102" spans="5:33">
      <c r="E102" s="16"/>
      <c r="AE102" s="26"/>
      <c r="AF102" s="22"/>
      <c r="AG102" s="4"/>
    </row>
    <row r="103" spans="5:33">
      <c r="E103" s="16"/>
      <c r="AE103" s="26"/>
      <c r="AF103" s="22"/>
      <c r="AG103" s="4"/>
    </row>
    <row r="104" spans="5:33">
      <c r="E104" s="16"/>
      <c r="AE104" s="26"/>
      <c r="AF104" s="22"/>
      <c r="AG104" s="4"/>
    </row>
    <row r="105" spans="5:33">
      <c r="E105" s="16"/>
      <c r="AE105" s="26"/>
      <c r="AF105" s="22"/>
      <c r="AG105" s="4"/>
    </row>
    <row r="106" spans="5:33">
      <c r="E106" s="16"/>
      <c r="AE106" s="26"/>
      <c r="AF106" s="22"/>
      <c r="AG106" s="4"/>
    </row>
    <row r="107" spans="5:33">
      <c r="E107" s="16"/>
      <c r="AE107" s="26"/>
      <c r="AF107" s="22"/>
      <c r="AG107" s="4"/>
    </row>
    <row r="108" spans="5:33">
      <c r="E108" s="16"/>
      <c r="AE108" s="26"/>
      <c r="AF108" s="22"/>
      <c r="AG108" s="4"/>
    </row>
    <row r="109" spans="5:33">
      <c r="E109" s="16"/>
      <c r="AE109" s="26"/>
      <c r="AF109" s="22"/>
      <c r="AG109" s="4"/>
    </row>
    <row r="110" spans="5:33">
      <c r="E110" s="16"/>
      <c r="AE110" s="26"/>
      <c r="AF110" s="22"/>
      <c r="AG110" s="4"/>
    </row>
    <row r="111" spans="5:33">
      <c r="E111" s="16"/>
      <c r="AE111" s="26"/>
      <c r="AF111" s="22"/>
      <c r="AG111" s="4"/>
    </row>
    <row r="112" spans="5:33">
      <c r="E112" s="16"/>
      <c r="AE112" s="26"/>
      <c r="AF112" s="22"/>
      <c r="AG112" s="4"/>
    </row>
    <row r="113" spans="5:33">
      <c r="E113" s="16"/>
      <c r="AE113" s="26"/>
      <c r="AF113" s="22"/>
      <c r="AG113" s="4"/>
    </row>
    <row r="114" spans="5:33">
      <c r="E114" s="16"/>
      <c r="AE114" s="26"/>
      <c r="AF114" s="22"/>
      <c r="AG114" s="4"/>
    </row>
    <row r="115" spans="5:33">
      <c r="E115" s="16"/>
      <c r="AE115" s="26"/>
      <c r="AF115" s="22"/>
      <c r="AG115" s="4"/>
    </row>
    <row r="116" spans="5:33">
      <c r="E116" s="16"/>
      <c r="AE116" s="26"/>
      <c r="AF116" s="22"/>
      <c r="AG116" s="4"/>
    </row>
    <row r="117" spans="5:33">
      <c r="E117" s="16"/>
      <c r="AE117" s="26"/>
      <c r="AF117" s="22"/>
      <c r="AG117" s="4"/>
    </row>
    <row r="118" spans="5:33">
      <c r="E118" s="16"/>
      <c r="AE118" s="26"/>
      <c r="AF118" s="22"/>
      <c r="AG118" s="4"/>
    </row>
    <row r="119" spans="5:33">
      <c r="E119" s="16"/>
      <c r="AE119" s="26"/>
      <c r="AF119" s="22"/>
      <c r="AG119" s="4"/>
    </row>
    <row r="120" spans="5:33">
      <c r="E120" s="16"/>
      <c r="AE120" s="26"/>
      <c r="AF120" s="22"/>
      <c r="AG120" s="4"/>
    </row>
    <row r="121" spans="5:33">
      <c r="E121" s="16"/>
      <c r="AE121" s="26"/>
      <c r="AF121" s="22"/>
      <c r="AG121" s="4"/>
    </row>
    <row r="122" spans="5:33">
      <c r="E122" s="16"/>
      <c r="AE122" s="26"/>
      <c r="AF122" s="22"/>
      <c r="AG122" s="4"/>
    </row>
    <row r="123" spans="5:33">
      <c r="E123" s="16"/>
      <c r="AE123" s="26"/>
      <c r="AF123" s="22"/>
      <c r="AG123" s="4"/>
    </row>
    <row r="124" spans="5:33">
      <c r="E124" s="16"/>
      <c r="AE124" s="26"/>
      <c r="AF124" s="22"/>
      <c r="AG124" s="4"/>
    </row>
    <row r="125" spans="5:33">
      <c r="E125" s="16"/>
      <c r="AE125" s="26"/>
      <c r="AF125" s="22"/>
      <c r="AG125" s="4"/>
    </row>
    <row r="126" spans="5:33">
      <c r="E126" s="16"/>
      <c r="AE126" s="26"/>
      <c r="AF126" s="22"/>
      <c r="AG126" s="4"/>
    </row>
    <row r="127" spans="5:33">
      <c r="E127" s="16"/>
      <c r="AE127" s="26"/>
      <c r="AF127" s="22"/>
      <c r="AG127" s="4"/>
    </row>
    <row r="128" spans="5:33">
      <c r="E128" s="16"/>
      <c r="AE128" s="26"/>
      <c r="AF128" s="22"/>
      <c r="AG128" s="4"/>
    </row>
    <row r="129" spans="5:33">
      <c r="E129" s="16"/>
      <c r="AE129" s="26"/>
      <c r="AF129" s="22"/>
      <c r="AG129" s="4"/>
    </row>
    <row r="130" spans="5:33">
      <c r="E130" s="16"/>
      <c r="AE130" s="26"/>
      <c r="AF130" s="22"/>
      <c r="AG130" s="4"/>
    </row>
    <row r="131" spans="5:33">
      <c r="E131" s="16"/>
      <c r="AE131" s="26"/>
      <c r="AF131" s="22"/>
      <c r="AG131" s="4"/>
    </row>
    <row r="132" spans="5:33">
      <c r="E132" s="16"/>
      <c r="AE132" s="26"/>
      <c r="AF132" s="22"/>
      <c r="AG132" s="4"/>
    </row>
    <row r="133" spans="5:33">
      <c r="E133" s="16"/>
      <c r="AE133" s="26"/>
      <c r="AF133" s="22"/>
      <c r="AG133" s="4"/>
    </row>
    <row r="134" spans="5:33">
      <c r="E134" s="16"/>
      <c r="AE134" s="26"/>
      <c r="AF134" s="22"/>
      <c r="AG134" s="4"/>
    </row>
    <row r="135" spans="5:33">
      <c r="E135" s="16"/>
      <c r="AE135" s="26"/>
      <c r="AF135" s="22"/>
      <c r="AG135" s="4"/>
    </row>
    <row r="136" spans="5:33">
      <c r="E136" s="16"/>
      <c r="AE136" s="26"/>
      <c r="AF136" s="22"/>
      <c r="AG136" s="4"/>
    </row>
    <row r="137" spans="5:33">
      <c r="E137" s="16"/>
      <c r="AE137" s="26"/>
      <c r="AF137" s="22"/>
      <c r="AG137" s="4"/>
    </row>
    <row r="138" spans="5:33">
      <c r="E138" s="16"/>
      <c r="AE138" s="26"/>
      <c r="AF138" s="22"/>
      <c r="AG138" s="4"/>
    </row>
    <row r="139" spans="5:33">
      <c r="E139" s="16"/>
      <c r="AE139" s="26"/>
      <c r="AF139" s="22"/>
      <c r="AG139" s="4"/>
    </row>
    <row r="140" spans="5:33">
      <c r="E140" s="16"/>
      <c r="AE140" s="26"/>
      <c r="AF140" s="22"/>
      <c r="AG140" s="4"/>
    </row>
    <row r="141" spans="5:33">
      <c r="E141" s="46"/>
      <c r="AE141" s="28"/>
      <c r="AF141" s="23"/>
      <c r="AG141" s="30"/>
    </row>
    <row r="142" spans="5:33">
      <c r="E142" s="46"/>
      <c r="AE142" s="28"/>
      <c r="AF142" s="23"/>
      <c r="AG142" s="30"/>
    </row>
    <row r="143" spans="5:33">
      <c r="E143" s="46"/>
      <c r="AE143" s="28"/>
      <c r="AF143" s="23"/>
      <c r="AG143" s="30"/>
    </row>
    <row r="144" spans="5:33">
      <c r="E144" s="46"/>
      <c r="AE144" s="28"/>
      <c r="AF144" s="23"/>
      <c r="AG144" s="3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B2:O8"/>
  <sheetViews>
    <sheetView workbookViewId="0">
      <selection activeCell="D5" sqref="D5:G7"/>
    </sheetView>
  </sheetViews>
  <sheetFormatPr defaultRowHeight="13.5"/>
  <cols>
    <col min="2" max="2" width="5.875" customWidth="1"/>
    <col min="3" max="3" width="9.25" bestFit="1" customWidth="1"/>
    <col min="4" max="4" width="6.5" bestFit="1" customWidth="1"/>
    <col min="5" max="5" width="7.25" bestFit="1" customWidth="1"/>
    <col min="6" max="6" width="11.25" bestFit="1" customWidth="1"/>
    <col min="7" max="7" width="11.75" bestFit="1" customWidth="1"/>
    <col min="8" max="8" width="7" bestFit="1" customWidth="1"/>
    <col min="9" max="9" width="10.125" bestFit="1" customWidth="1"/>
    <col min="10" max="10" width="14.375" bestFit="1" customWidth="1"/>
    <col min="11" max="11" width="15" bestFit="1" customWidth="1"/>
    <col min="12" max="12" width="8.375" bestFit="1" customWidth="1"/>
    <col min="13" max="13" width="11.625" bestFit="1" customWidth="1"/>
    <col min="14" max="14" width="15.875" bestFit="1" customWidth="1"/>
    <col min="15" max="15" width="16.5" bestFit="1" customWidth="1"/>
  </cols>
  <sheetData>
    <row r="2" spans="2:15" ht="16.5">
      <c r="D2" s="10" t="s">
        <v>4</v>
      </c>
      <c r="E2" s="10" t="s">
        <v>6</v>
      </c>
      <c r="F2" s="10" t="s">
        <v>171</v>
      </c>
      <c r="G2" s="10" t="s">
        <v>172</v>
      </c>
      <c r="H2" s="10" t="s">
        <v>14</v>
      </c>
      <c r="I2" s="10" t="s">
        <v>15</v>
      </c>
      <c r="J2" s="10" t="s">
        <v>16</v>
      </c>
      <c r="K2" s="10" t="s">
        <v>17</v>
      </c>
      <c r="L2" s="10" t="s">
        <v>46</v>
      </c>
      <c r="M2" s="10" t="s">
        <v>47</v>
      </c>
      <c r="N2" s="10" t="s">
        <v>48</v>
      </c>
      <c r="O2" s="10" t="s">
        <v>49</v>
      </c>
    </row>
    <row r="3" spans="2:15" ht="16.5">
      <c r="B3" s="32"/>
      <c r="C3" s="33"/>
      <c r="D3" s="51" t="s">
        <v>161</v>
      </c>
      <c r="E3" s="51"/>
      <c r="F3" s="51"/>
      <c r="G3" s="51"/>
      <c r="H3" s="52" t="s">
        <v>162</v>
      </c>
      <c r="I3" s="53"/>
      <c r="J3" s="53"/>
      <c r="K3" s="54"/>
      <c r="L3" s="52" t="s">
        <v>162</v>
      </c>
      <c r="M3" s="53"/>
      <c r="N3" s="53"/>
      <c r="O3" s="54"/>
    </row>
    <row r="4" spans="2:15" ht="16.5">
      <c r="B4" s="32"/>
      <c r="C4" s="34" t="s">
        <v>163</v>
      </c>
      <c r="D4" s="33" t="s">
        <v>164</v>
      </c>
      <c r="E4" s="33" t="s">
        <v>165</v>
      </c>
      <c r="F4" s="33" t="s">
        <v>166</v>
      </c>
      <c r="G4" s="33" t="s">
        <v>167</v>
      </c>
      <c r="H4" s="33" t="s">
        <v>164</v>
      </c>
      <c r="I4" s="33" t="s">
        <v>165</v>
      </c>
      <c r="J4" s="33" t="s">
        <v>166</v>
      </c>
      <c r="K4" s="33" t="s">
        <v>167</v>
      </c>
      <c r="L4" s="33" t="s">
        <v>164</v>
      </c>
      <c r="M4" s="33" t="s">
        <v>165</v>
      </c>
      <c r="N4" s="33" t="s">
        <v>166</v>
      </c>
      <c r="O4" s="33" t="s">
        <v>167</v>
      </c>
    </row>
    <row r="5" spans="2:15" ht="16.5">
      <c r="B5" s="32">
        <v>20</v>
      </c>
      <c r="C5" s="35" t="s">
        <v>168</v>
      </c>
      <c r="D5" s="36">
        <v>20000</v>
      </c>
      <c r="E5" s="36">
        <v>800</v>
      </c>
      <c r="F5" s="36">
        <v>400</v>
      </c>
      <c r="G5" s="36">
        <v>400</v>
      </c>
      <c r="H5" s="36">
        <v>1200</v>
      </c>
      <c r="I5" s="36">
        <v>48</v>
      </c>
      <c r="J5" s="36">
        <v>24</v>
      </c>
      <c r="K5" s="36">
        <v>24</v>
      </c>
      <c r="L5" s="36">
        <v>20000</v>
      </c>
      <c r="M5" s="36">
        <v>800</v>
      </c>
      <c r="N5" s="36">
        <v>400</v>
      </c>
      <c r="O5" s="36">
        <v>400</v>
      </c>
    </row>
    <row r="6" spans="2:15" ht="16.5">
      <c r="B6" s="32">
        <v>16</v>
      </c>
      <c r="C6" s="37" t="s">
        <v>169</v>
      </c>
      <c r="D6" s="38">
        <v>10000</v>
      </c>
      <c r="E6" s="38">
        <v>400</v>
      </c>
      <c r="F6" s="38">
        <v>200</v>
      </c>
      <c r="G6" s="38">
        <v>200</v>
      </c>
      <c r="H6" s="38">
        <v>750</v>
      </c>
      <c r="I6" s="38">
        <v>30</v>
      </c>
      <c r="J6" s="38">
        <v>15</v>
      </c>
      <c r="K6" s="38">
        <v>15</v>
      </c>
      <c r="L6" s="38">
        <v>12500</v>
      </c>
      <c r="M6" s="38">
        <v>500</v>
      </c>
      <c r="N6" s="38">
        <v>250</v>
      </c>
      <c r="O6" s="38">
        <v>250</v>
      </c>
    </row>
    <row r="7" spans="2:15" ht="16.5">
      <c r="B7" s="32">
        <v>13</v>
      </c>
      <c r="C7" s="39" t="s">
        <v>170</v>
      </c>
      <c r="D7" s="40">
        <v>5000</v>
      </c>
      <c r="E7" s="40">
        <v>200</v>
      </c>
      <c r="F7" s="40">
        <v>100</v>
      </c>
      <c r="G7" s="40">
        <v>100</v>
      </c>
      <c r="H7" s="40">
        <v>600</v>
      </c>
      <c r="I7" s="40">
        <v>24</v>
      </c>
      <c r="J7" s="40">
        <v>12</v>
      </c>
      <c r="K7" s="40">
        <v>12</v>
      </c>
      <c r="L7" s="40">
        <v>10000</v>
      </c>
      <c r="M7" s="40">
        <v>400</v>
      </c>
      <c r="N7" s="40">
        <v>200</v>
      </c>
      <c r="O7" s="40">
        <v>200</v>
      </c>
    </row>
    <row r="8" spans="2:15" ht="16.5">
      <c r="B8" s="32"/>
      <c r="C8" s="32"/>
    </row>
  </sheetData>
  <mergeCells count="3">
    <mergeCell ref="D3:G3"/>
    <mergeCell ref="H3:K3"/>
    <mergeCell ref="L3:O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微软用户</cp:lastModifiedBy>
  <dcterms:created xsi:type="dcterms:W3CDTF">2006-09-16T00:00:00Z</dcterms:created>
  <dcterms:modified xsi:type="dcterms:W3CDTF">2018-01-24T04:13:36Z</dcterms:modified>
</cp:coreProperties>
</file>