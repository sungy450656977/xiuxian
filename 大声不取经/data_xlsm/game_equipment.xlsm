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/>
  <definedNames>
    <definedName name="_xlnm._FilterDatabase" localSheetId="0" hidden="1">Sheet1!$A$1:$AP$667</definedName>
  </definedNames>
  <calcPr calcId="125725"/>
</workbook>
</file>

<file path=xl/calcChain.xml><?xml version="1.0" encoding="utf-8"?>
<calcChain xmlns="http://schemas.openxmlformats.org/spreadsheetml/2006/main">
  <c r="N2" i="4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1"/>
  <c r="H68" i="6"/>
  <c r="H69"/>
  <c r="H70"/>
  <c r="H71"/>
  <c r="H72"/>
  <c r="H73"/>
  <c r="H74"/>
  <c r="H75"/>
  <c r="H76"/>
  <c r="H77"/>
  <c r="H78"/>
  <c r="H79"/>
  <c r="H80"/>
  <c r="H81"/>
  <c r="H82"/>
  <c r="H83"/>
  <c r="H84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34"/>
  <c r="H35"/>
  <c r="H36"/>
  <c r="H37"/>
  <c r="H38"/>
  <c r="H39"/>
  <c r="H40"/>
  <c r="H41"/>
  <c r="H42"/>
  <c r="H43"/>
  <c r="H44"/>
  <c r="H45"/>
  <c r="H46"/>
  <c r="H47"/>
  <c r="H48"/>
  <c r="H49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2"/>
  <c r="H3"/>
  <c r="H4"/>
  <c r="H5"/>
  <c r="H6"/>
  <c r="H7"/>
  <c r="H8"/>
  <c r="H9"/>
  <c r="H10"/>
  <c r="H11"/>
  <c r="H12"/>
  <c r="H13"/>
  <c r="H14"/>
  <c r="H15"/>
  <c r="H1"/>
  <c r="AM4" i="1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AM385"/>
  <c r="AM386"/>
  <c r="AM387"/>
  <c r="AM388"/>
  <c r="AM389"/>
  <c r="AM390"/>
  <c r="AM391"/>
  <c r="AM392"/>
  <c r="AM393"/>
  <c r="AM394"/>
  <c r="AM395"/>
  <c r="AM396"/>
  <c r="AM397"/>
  <c r="AM398"/>
  <c r="AM399"/>
  <c r="AM400"/>
  <c r="AM401"/>
  <c r="AM402"/>
  <c r="AM403"/>
  <c r="AM404"/>
  <c r="AM405"/>
  <c r="AM406"/>
  <c r="AM407"/>
  <c r="AM408"/>
  <c r="AM409"/>
  <c r="AM410"/>
  <c r="AM411"/>
  <c r="AM412"/>
  <c r="AM413"/>
  <c r="AM414"/>
  <c r="AM415"/>
  <c r="AM416"/>
  <c r="AM417"/>
  <c r="AM418"/>
  <c r="AM419"/>
  <c r="AM420"/>
  <c r="AM421"/>
  <c r="AM422"/>
  <c r="AM423"/>
  <c r="AM424"/>
  <c r="AM425"/>
  <c r="AM426"/>
  <c r="AM427"/>
  <c r="AM428"/>
  <c r="AM429"/>
  <c r="AM430"/>
  <c r="AM431"/>
  <c r="AM432"/>
  <c r="AM433"/>
  <c r="AM434"/>
  <c r="AM435"/>
  <c r="AM436"/>
  <c r="AM437"/>
  <c r="AM438"/>
  <c r="AM439"/>
  <c r="AM440"/>
  <c r="AM441"/>
  <c r="AM442"/>
  <c r="AM443"/>
  <c r="AM444"/>
  <c r="AM445"/>
  <c r="AM446"/>
  <c r="AM447"/>
  <c r="AM448"/>
  <c r="AM449"/>
  <c r="AM450"/>
  <c r="AM451"/>
  <c r="AM452"/>
  <c r="AM453"/>
  <c r="AM454"/>
  <c r="AM455"/>
  <c r="AM456"/>
  <c r="AM457"/>
  <c r="AM458"/>
  <c r="AM459"/>
  <c r="AM460"/>
  <c r="AM461"/>
  <c r="AM462"/>
  <c r="AM463"/>
  <c r="AM464"/>
  <c r="AM465"/>
  <c r="AM466"/>
  <c r="AM467"/>
  <c r="AM468"/>
  <c r="AM469"/>
  <c r="AM470"/>
  <c r="AM471"/>
  <c r="AM472"/>
  <c r="AM473"/>
  <c r="AM474"/>
  <c r="AM475"/>
  <c r="AM476"/>
  <c r="AM477"/>
  <c r="AM478"/>
  <c r="AM479"/>
  <c r="AM480"/>
  <c r="AM481"/>
  <c r="AM482"/>
  <c r="AM483"/>
  <c r="AM484"/>
  <c r="AM485"/>
  <c r="AM486"/>
  <c r="AM487"/>
  <c r="AM488"/>
  <c r="AM489"/>
  <c r="AM490"/>
  <c r="AM491"/>
  <c r="AM492"/>
  <c r="AM493"/>
  <c r="AM494"/>
  <c r="AM495"/>
  <c r="AM496"/>
  <c r="AM497"/>
  <c r="AM498"/>
  <c r="AM499"/>
  <c r="AM500"/>
  <c r="AM501"/>
  <c r="AM502"/>
  <c r="AM503"/>
  <c r="AM504"/>
  <c r="AM505"/>
  <c r="AM506"/>
  <c r="AM507"/>
  <c r="AM508"/>
  <c r="AM509"/>
  <c r="AM510"/>
  <c r="AM511"/>
  <c r="AM512"/>
  <c r="AM513"/>
  <c r="AM514"/>
  <c r="AM515"/>
  <c r="AM516"/>
  <c r="AM517"/>
  <c r="AM518"/>
  <c r="AM519"/>
  <c r="AM520"/>
  <c r="AM521"/>
  <c r="AM522"/>
  <c r="AM523"/>
  <c r="AM524"/>
  <c r="AM525"/>
  <c r="AM526"/>
  <c r="AM527"/>
  <c r="AM528"/>
  <c r="AM529"/>
  <c r="AM530"/>
  <c r="AM531"/>
  <c r="AM532"/>
  <c r="AM533"/>
  <c r="AM534"/>
  <c r="AM535"/>
  <c r="AM536"/>
  <c r="AM537"/>
  <c r="AM538"/>
  <c r="AM539"/>
  <c r="AM540"/>
  <c r="AM541"/>
  <c r="AM542"/>
  <c r="AM543"/>
  <c r="AM544"/>
  <c r="AM545"/>
  <c r="AM546"/>
  <c r="AM547"/>
  <c r="AM548"/>
  <c r="AM549"/>
  <c r="AM550"/>
  <c r="AM551"/>
  <c r="AM552"/>
  <c r="AM553"/>
  <c r="AM554"/>
  <c r="AM555"/>
  <c r="AM556"/>
  <c r="AM557"/>
  <c r="AM558"/>
  <c r="AM559"/>
  <c r="AM560"/>
  <c r="AM561"/>
  <c r="AM562"/>
  <c r="AM563"/>
  <c r="AM564"/>
  <c r="AM565"/>
  <c r="AM566"/>
  <c r="AM567"/>
  <c r="AM568"/>
  <c r="AM569"/>
  <c r="AM570"/>
  <c r="AM571"/>
  <c r="AM572"/>
  <c r="AM573"/>
  <c r="AM574"/>
  <c r="AM575"/>
  <c r="AM576"/>
  <c r="AM577"/>
  <c r="AM578"/>
  <c r="AM579"/>
  <c r="AM580"/>
  <c r="AM581"/>
  <c r="AM582"/>
  <c r="AM583"/>
  <c r="AM584"/>
  <c r="AM585"/>
  <c r="AM586"/>
  <c r="AM587"/>
  <c r="AM588"/>
  <c r="AM589"/>
  <c r="AM590"/>
  <c r="AM591"/>
  <c r="AM592"/>
  <c r="AM593"/>
  <c r="AM594"/>
  <c r="AM595"/>
  <c r="AM596"/>
  <c r="AM597"/>
  <c r="AM598"/>
  <c r="AM599"/>
  <c r="AM600"/>
  <c r="AM601"/>
  <c r="AM602"/>
  <c r="AM603"/>
  <c r="AM608"/>
  <c r="AM609"/>
  <c r="AM610"/>
  <c r="AM611"/>
  <c r="AM612"/>
  <c r="AM613"/>
  <c r="AM614"/>
  <c r="AM615"/>
  <c r="AM616"/>
  <c r="AM617"/>
  <c r="AM618"/>
  <c r="AM619"/>
  <c r="AM620"/>
  <c r="AM621"/>
  <c r="AM622"/>
  <c r="AM623"/>
  <c r="AM624"/>
  <c r="AM625"/>
  <c r="AM626"/>
  <c r="AM627"/>
  <c r="AM628"/>
  <c r="AM629"/>
  <c r="AM630"/>
  <c r="AM631"/>
  <c r="AM632"/>
  <c r="AM633"/>
  <c r="AM634"/>
  <c r="AM635"/>
  <c r="AM636"/>
  <c r="AM637"/>
  <c r="AM638"/>
  <c r="AM639"/>
  <c r="AM640"/>
  <c r="AM641"/>
  <c r="AM642"/>
  <c r="AM643"/>
  <c r="AM644"/>
  <c r="AM645"/>
  <c r="AM646"/>
  <c r="AM647"/>
  <c r="AM648"/>
  <c r="AM649"/>
  <c r="AM650"/>
  <c r="AM651"/>
  <c r="AM652"/>
  <c r="AM653"/>
  <c r="AM654"/>
  <c r="AM655"/>
  <c r="AM656"/>
  <c r="AM657"/>
  <c r="AM658"/>
  <c r="AM659"/>
  <c r="AM660"/>
  <c r="AM661"/>
  <c r="AM662"/>
  <c r="AM663"/>
  <c r="AM664"/>
  <c r="AM665"/>
  <c r="AM666"/>
  <c r="AM667"/>
  <c r="AM15"/>
  <c r="AM16"/>
  <c r="AM17"/>
  <c r="AM18"/>
  <c r="AM19"/>
  <c r="AM20"/>
  <c r="AM7"/>
  <c r="AM8"/>
  <c r="AM9"/>
  <c r="AM10"/>
  <c r="AM11"/>
  <c r="AM12"/>
  <c r="AM13"/>
  <c r="AM14"/>
  <c r="AM5"/>
  <c r="AM6"/>
  <c r="D2" i="4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1"/>
  <c r="AO607" i="1"/>
  <c r="AO606"/>
  <c r="AO605"/>
  <c r="AO604"/>
  <c r="AO604" i="3"/>
  <c r="AO603"/>
  <c r="AO602"/>
  <c r="AO601"/>
  <c r="A9" i="2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2"/>
  <c r="A3"/>
  <c r="A4"/>
  <c r="A5"/>
  <c r="A6"/>
  <c r="A7"/>
  <c r="A8"/>
  <c r="A1"/>
  <c r="P1"/>
  <c r="P2"/>
  <c r="P3"/>
  <c r="P4"/>
  <c r="P5"/>
  <c r="P6"/>
  <c r="P7"/>
  <c r="P8"/>
  <c r="N1"/>
  <c r="N2"/>
  <c r="N3"/>
  <c r="N4"/>
  <c r="N5"/>
  <c r="N6"/>
  <c r="N7"/>
  <c r="N8"/>
  <c r="P26"/>
  <c r="P30"/>
  <c r="P31"/>
  <c r="P42"/>
  <c r="P46"/>
  <c r="P50"/>
  <c r="P66"/>
  <c r="P70"/>
  <c r="P72"/>
  <c r="P90"/>
  <c r="P94"/>
  <c r="P106"/>
  <c r="P110"/>
  <c r="P114"/>
  <c r="P130"/>
  <c r="P134"/>
  <c r="P138"/>
  <c r="P154"/>
  <c r="P158"/>
  <c r="P160"/>
  <c r="P178"/>
  <c r="P9"/>
  <c r="N10"/>
  <c r="P10"/>
  <c r="N11"/>
  <c r="P11"/>
  <c r="N12"/>
  <c r="P12"/>
  <c r="N13"/>
  <c r="P13"/>
  <c r="N14"/>
  <c r="P14"/>
  <c r="N15"/>
  <c r="P15"/>
  <c r="N16"/>
  <c r="P16"/>
  <c r="N17"/>
  <c r="P17"/>
  <c r="N18"/>
  <c r="P18"/>
  <c r="N19"/>
  <c r="P19"/>
  <c r="N20"/>
  <c r="P20"/>
  <c r="N21"/>
  <c r="P21"/>
  <c r="N22"/>
  <c r="P22"/>
  <c r="N23"/>
  <c r="P23"/>
  <c r="N24"/>
  <c r="P24"/>
  <c r="N25"/>
  <c r="P25"/>
  <c r="N26"/>
  <c r="N27"/>
  <c r="P27"/>
  <c r="N28"/>
  <c r="P28"/>
  <c r="N29"/>
  <c r="P29"/>
  <c r="N30"/>
  <c r="N31"/>
  <c r="N32"/>
  <c r="P32"/>
  <c r="N33"/>
  <c r="P33"/>
  <c r="N34"/>
  <c r="P34"/>
  <c r="N35"/>
  <c r="P35"/>
  <c r="N36"/>
  <c r="P36"/>
  <c r="N37"/>
  <c r="P37"/>
  <c r="N38"/>
  <c r="P38"/>
  <c r="N39"/>
  <c r="P39"/>
  <c r="N40"/>
  <c r="P40"/>
  <c r="N41"/>
  <c r="P41"/>
  <c r="N42"/>
  <c r="N43"/>
  <c r="P43"/>
  <c r="N44"/>
  <c r="P44"/>
  <c r="N45"/>
  <c r="P45"/>
  <c r="N46"/>
  <c r="N47"/>
  <c r="P47"/>
  <c r="N48"/>
  <c r="P48"/>
  <c r="N49"/>
  <c r="P49"/>
  <c r="N50"/>
  <c r="N51"/>
  <c r="P51"/>
  <c r="N52"/>
  <c r="P52"/>
  <c r="N53"/>
  <c r="P53"/>
  <c r="N54"/>
  <c r="P54"/>
  <c r="N55"/>
  <c r="P55"/>
  <c r="N56"/>
  <c r="P56"/>
  <c r="N57"/>
  <c r="P57"/>
  <c r="N58"/>
  <c r="P58"/>
  <c r="N59"/>
  <c r="P59"/>
  <c r="N60"/>
  <c r="P60"/>
  <c r="N61"/>
  <c r="P61"/>
  <c r="N62"/>
  <c r="P62"/>
  <c r="N63"/>
  <c r="P63"/>
  <c r="N64"/>
  <c r="P64"/>
  <c r="N65"/>
  <c r="P65"/>
  <c r="N66"/>
  <c r="N67"/>
  <c r="P67"/>
  <c r="N68"/>
  <c r="P68"/>
  <c r="N69"/>
  <c r="P69"/>
  <c r="N70"/>
  <c r="N71"/>
  <c r="P71"/>
  <c r="N72"/>
  <c r="N73"/>
  <c r="P73"/>
  <c r="N74"/>
  <c r="P74"/>
  <c r="N75"/>
  <c r="P75"/>
  <c r="N76"/>
  <c r="P76"/>
  <c r="N77"/>
  <c r="P77"/>
  <c r="N78"/>
  <c r="P78"/>
  <c r="N79"/>
  <c r="P79"/>
  <c r="N80"/>
  <c r="P80"/>
  <c r="N81"/>
  <c r="P81"/>
  <c r="N82"/>
  <c r="P82"/>
  <c r="N83"/>
  <c r="P83"/>
  <c r="N84"/>
  <c r="P84"/>
  <c r="N85"/>
  <c r="P85"/>
  <c r="N86"/>
  <c r="P86"/>
  <c r="N87"/>
  <c r="P87"/>
  <c r="N88"/>
  <c r="P88"/>
  <c r="N89"/>
  <c r="P89"/>
  <c r="N90"/>
  <c r="N91"/>
  <c r="P91"/>
  <c r="N92"/>
  <c r="P92"/>
  <c r="N93"/>
  <c r="P93"/>
  <c r="N94"/>
  <c r="N95"/>
  <c r="P95"/>
  <c r="N96"/>
  <c r="P96"/>
  <c r="N97"/>
  <c r="P97"/>
  <c r="N98"/>
  <c r="P98"/>
  <c r="N99"/>
  <c r="P99"/>
  <c r="N100"/>
  <c r="P100"/>
  <c r="N101"/>
  <c r="P101"/>
  <c r="N102"/>
  <c r="P102"/>
  <c r="N103"/>
  <c r="P103"/>
  <c r="N104"/>
  <c r="P104"/>
  <c r="N105"/>
  <c r="P105"/>
  <c r="N106"/>
  <c r="N107"/>
  <c r="P107"/>
  <c r="N108"/>
  <c r="P108"/>
  <c r="N109"/>
  <c r="P109"/>
  <c r="N110"/>
  <c r="N111"/>
  <c r="P111"/>
  <c r="N112"/>
  <c r="P112"/>
  <c r="N113"/>
  <c r="P113"/>
  <c r="N114"/>
  <c r="N115"/>
  <c r="P115"/>
  <c r="N116"/>
  <c r="P116"/>
  <c r="N117"/>
  <c r="P117"/>
  <c r="N118"/>
  <c r="P118"/>
  <c r="N119"/>
  <c r="P119"/>
  <c r="N120"/>
  <c r="P120"/>
  <c r="N121"/>
  <c r="P121"/>
  <c r="N122"/>
  <c r="P122"/>
  <c r="N123"/>
  <c r="P123"/>
  <c r="N124"/>
  <c r="P124"/>
  <c r="N125"/>
  <c r="P125"/>
  <c r="N126"/>
  <c r="P126"/>
  <c r="N127"/>
  <c r="P127"/>
  <c r="N128"/>
  <c r="P128"/>
  <c r="N129"/>
  <c r="P129"/>
  <c r="N130"/>
  <c r="N131"/>
  <c r="P131"/>
  <c r="N132"/>
  <c r="P132"/>
  <c r="N133"/>
  <c r="P133"/>
  <c r="N134"/>
  <c r="N135"/>
  <c r="P135"/>
  <c r="N136"/>
  <c r="P136"/>
  <c r="N137"/>
  <c r="P137"/>
  <c r="N138"/>
  <c r="N139"/>
  <c r="P139"/>
  <c r="N140"/>
  <c r="P140"/>
  <c r="N141"/>
  <c r="P141"/>
  <c r="N142"/>
  <c r="P142"/>
  <c r="N143"/>
  <c r="P143"/>
  <c r="N144"/>
  <c r="P144"/>
  <c r="N145"/>
  <c r="P145"/>
  <c r="N146"/>
  <c r="P146"/>
  <c r="N147"/>
  <c r="P147"/>
  <c r="N148"/>
  <c r="P148"/>
  <c r="N149"/>
  <c r="P149"/>
  <c r="N150"/>
  <c r="P150"/>
  <c r="N151"/>
  <c r="P151"/>
  <c r="N152"/>
  <c r="P152"/>
  <c r="N153"/>
  <c r="P153"/>
  <c r="N154"/>
  <c r="N155"/>
  <c r="P155"/>
  <c r="N156"/>
  <c r="P156"/>
  <c r="N157"/>
  <c r="P157"/>
  <c r="N158"/>
  <c r="N159"/>
  <c r="P159"/>
  <c r="N160"/>
  <c r="N161"/>
  <c r="P161"/>
  <c r="N162"/>
  <c r="P162"/>
  <c r="N163"/>
  <c r="P163"/>
  <c r="N164"/>
  <c r="P164"/>
  <c r="N165"/>
  <c r="P165"/>
  <c r="N166"/>
  <c r="P166"/>
  <c r="N167"/>
  <c r="P167"/>
  <c r="N168"/>
  <c r="P168"/>
  <c r="N169"/>
  <c r="P169"/>
  <c r="N170"/>
  <c r="P170"/>
  <c r="N171"/>
  <c r="P171"/>
  <c r="N172"/>
  <c r="P172"/>
  <c r="N173"/>
  <c r="P173"/>
  <c r="N174"/>
  <c r="P174"/>
  <c r="N175"/>
  <c r="P175"/>
  <c r="N176"/>
  <c r="P176"/>
  <c r="N177"/>
  <c r="P177"/>
  <c r="N178"/>
  <c r="N179"/>
  <c r="P179"/>
  <c r="N9"/>
  <c r="C2"/>
  <c r="C3"/>
  <c r="C4"/>
  <c r="C5"/>
  <c r="C6"/>
  <c r="C7"/>
  <c r="D7"/>
  <c r="C8"/>
  <c r="C9"/>
  <c r="C10"/>
  <c r="D10"/>
  <c r="C11"/>
  <c r="C12"/>
  <c r="C13"/>
  <c r="C14"/>
  <c r="C15"/>
  <c r="C16"/>
  <c r="C17"/>
  <c r="C18"/>
  <c r="D18"/>
  <c r="C19"/>
  <c r="C20"/>
  <c r="C21"/>
  <c r="C22"/>
  <c r="C23"/>
  <c r="D23"/>
  <c r="C24"/>
  <c r="C25"/>
  <c r="C26"/>
  <c r="D26"/>
  <c r="C27"/>
  <c r="C28"/>
  <c r="C29"/>
  <c r="C30"/>
  <c r="C31"/>
  <c r="C32"/>
  <c r="C33"/>
  <c r="C34"/>
  <c r="D34"/>
  <c r="C35"/>
  <c r="C36"/>
  <c r="C37"/>
  <c r="C38"/>
  <c r="C39"/>
  <c r="D39"/>
  <c r="C40"/>
  <c r="C41"/>
  <c r="C42"/>
  <c r="D42"/>
  <c r="C43"/>
  <c r="C44"/>
  <c r="C45"/>
  <c r="C46"/>
  <c r="C47"/>
  <c r="C48"/>
  <c r="C49"/>
  <c r="C50"/>
  <c r="D50"/>
  <c r="C51"/>
  <c r="C52"/>
  <c r="C53"/>
  <c r="C54"/>
  <c r="C55"/>
  <c r="D55"/>
  <c r="C56"/>
  <c r="C57"/>
  <c r="C58"/>
  <c r="D58"/>
  <c r="C59"/>
  <c r="C60"/>
  <c r="C61"/>
  <c r="C62"/>
  <c r="C63"/>
  <c r="C64"/>
  <c r="C65"/>
  <c r="C66"/>
  <c r="D66"/>
  <c r="C67"/>
  <c r="C68"/>
  <c r="C69"/>
  <c r="C70"/>
  <c r="C71"/>
  <c r="D71"/>
  <c r="C72"/>
  <c r="C73"/>
  <c r="C74"/>
  <c r="D74"/>
  <c r="C75"/>
  <c r="C76"/>
  <c r="C77"/>
  <c r="C78"/>
  <c r="C79"/>
  <c r="C80"/>
  <c r="C81"/>
  <c r="C82"/>
  <c r="D82"/>
  <c r="C83"/>
  <c r="C84"/>
  <c r="C85"/>
  <c r="C86"/>
  <c r="C87"/>
  <c r="D87"/>
  <c r="C88"/>
  <c r="C89"/>
  <c r="C90"/>
  <c r="D90"/>
  <c r="C91"/>
  <c r="C92"/>
  <c r="C93"/>
  <c r="C94"/>
  <c r="C95"/>
  <c r="C96"/>
  <c r="C97"/>
  <c r="C98"/>
  <c r="D98"/>
  <c r="C99"/>
  <c r="C100"/>
  <c r="C101"/>
  <c r="C102"/>
  <c r="C103"/>
  <c r="D103"/>
  <c r="C104"/>
  <c r="C105"/>
  <c r="C106"/>
  <c r="D106"/>
  <c r="C107"/>
  <c r="C108"/>
  <c r="C109"/>
  <c r="C110"/>
  <c r="C111"/>
  <c r="C112"/>
  <c r="C113"/>
  <c r="C114"/>
  <c r="D114"/>
  <c r="C115"/>
  <c r="C116"/>
  <c r="C117"/>
  <c r="C118"/>
  <c r="C119"/>
  <c r="D119"/>
  <c r="C120"/>
  <c r="C121"/>
  <c r="C122"/>
  <c r="D122"/>
  <c r="C123"/>
  <c r="C124"/>
  <c r="C125"/>
  <c r="C126"/>
  <c r="C127"/>
  <c r="C128"/>
  <c r="C129"/>
  <c r="C130"/>
  <c r="D130"/>
  <c r="C131"/>
  <c r="C132"/>
  <c r="C133"/>
  <c r="C134"/>
  <c r="C135"/>
  <c r="D135"/>
  <c r="C136"/>
  <c r="C137"/>
  <c r="C138"/>
  <c r="D138"/>
  <c r="C139"/>
  <c r="C140"/>
  <c r="C141"/>
  <c r="C142"/>
  <c r="C143"/>
  <c r="C144"/>
  <c r="C145"/>
  <c r="C146"/>
  <c r="D146"/>
  <c r="C147"/>
  <c r="C148"/>
  <c r="C149"/>
  <c r="C150"/>
  <c r="C151"/>
  <c r="D151"/>
  <c r="C152"/>
  <c r="C153"/>
  <c r="C154"/>
  <c r="D154"/>
  <c r="C155"/>
  <c r="C156"/>
  <c r="C157"/>
  <c r="C158"/>
  <c r="C159"/>
  <c r="C160"/>
  <c r="C161"/>
  <c r="C162"/>
  <c r="D162"/>
  <c r="C163"/>
  <c r="C164"/>
  <c r="C165"/>
  <c r="C166"/>
  <c r="C167"/>
  <c r="D167"/>
  <c r="C168"/>
  <c r="C169"/>
  <c r="C170"/>
  <c r="D170"/>
  <c r="C171"/>
  <c r="C172"/>
  <c r="C173"/>
  <c r="C174"/>
  <c r="C175"/>
  <c r="C176"/>
  <c r="C177"/>
  <c r="C178"/>
  <c r="D178"/>
  <c r="C179"/>
  <c r="D179"/>
  <c r="C1"/>
  <c r="D1"/>
  <c r="D176"/>
  <c r="D168"/>
  <c r="D160"/>
  <c r="D152"/>
  <c r="D143"/>
  <c r="D136"/>
  <c r="D128"/>
  <c r="D120"/>
  <c r="D111"/>
  <c r="D104"/>
  <c r="D96"/>
  <c r="D88"/>
  <c r="D79"/>
  <c r="D72"/>
  <c r="D64"/>
  <c r="D56"/>
  <c r="D47"/>
  <c r="D40"/>
  <c r="D32"/>
  <c r="D24"/>
  <c r="D15"/>
  <c r="D8"/>
  <c r="D166"/>
  <c r="D158"/>
  <c r="D126"/>
  <c r="D102"/>
  <c r="D70"/>
  <c r="D38"/>
  <c r="D30"/>
  <c r="D6"/>
  <c r="D148"/>
  <c r="D140"/>
  <c r="D132"/>
  <c r="D124"/>
  <c r="D116"/>
  <c r="D108"/>
  <c r="D100"/>
  <c r="D92"/>
  <c r="D84"/>
  <c r="D76"/>
  <c r="D68"/>
  <c r="D60"/>
  <c r="D52"/>
  <c r="D44"/>
  <c r="D36"/>
  <c r="D28"/>
  <c r="D20"/>
  <c r="D12"/>
  <c r="D4"/>
  <c r="D174"/>
  <c r="D142"/>
  <c r="D134"/>
  <c r="D110"/>
  <c r="D86"/>
  <c r="D78"/>
  <c r="D46"/>
  <c r="D22"/>
  <c r="D172"/>
  <c r="D156"/>
  <c r="D150"/>
  <c r="D118"/>
  <c r="D94"/>
  <c r="D62"/>
  <c r="D54"/>
  <c r="D14"/>
  <c r="D164"/>
  <c r="D2"/>
  <c r="D159"/>
  <c r="D127"/>
  <c r="D95"/>
  <c r="D63"/>
  <c r="D31"/>
  <c r="D171"/>
  <c r="D163"/>
  <c r="D155"/>
  <c r="D147"/>
  <c r="D139"/>
  <c r="D131"/>
  <c r="D123"/>
  <c r="D115"/>
  <c r="D107"/>
  <c r="D99"/>
  <c r="D91"/>
  <c r="D83"/>
  <c r="D75"/>
  <c r="D67"/>
  <c r="D59"/>
  <c r="D51"/>
  <c r="D43"/>
  <c r="D35"/>
  <c r="D27"/>
  <c r="D19"/>
  <c r="D11"/>
  <c r="D3"/>
  <c r="D169"/>
  <c r="D137"/>
  <c r="D113"/>
  <c r="D89"/>
  <c r="D81"/>
  <c r="D49"/>
  <c r="D25"/>
  <c r="D175"/>
  <c r="D177"/>
  <c r="D145"/>
  <c r="D121"/>
  <c r="D105"/>
  <c r="D65"/>
  <c r="D41"/>
  <c r="D17"/>
  <c r="D161"/>
  <c r="D153"/>
  <c r="D129"/>
  <c r="D97"/>
  <c r="D73"/>
  <c r="D57"/>
  <c r="D33"/>
  <c r="D9"/>
  <c r="D144"/>
  <c r="D112"/>
  <c r="D80"/>
  <c r="D48"/>
  <c r="D16"/>
  <c r="D173"/>
  <c r="D165"/>
  <c r="D157"/>
  <c r="D149"/>
  <c r="D141"/>
  <c r="D133"/>
  <c r="D125"/>
  <c r="D117"/>
  <c r="D109"/>
  <c r="D101"/>
  <c r="D93"/>
  <c r="D85"/>
  <c r="D77"/>
  <c r="D69"/>
  <c r="D61"/>
  <c r="D53"/>
  <c r="D45"/>
  <c r="D37"/>
  <c r="D29"/>
  <c r="D21"/>
  <c r="D13"/>
  <c r="D5"/>
</calcChain>
</file>

<file path=xl/sharedStrings.xml><?xml version="1.0" encoding="utf-8"?>
<sst xmlns="http://schemas.openxmlformats.org/spreadsheetml/2006/main" count="13925" uniqueCount="2315">
  <si>
    <t>装备名称
[字符串]</t>
    <phoneticPr fontId="6" type="noConversion"/>
  </si>
  <si>
    <t>初始资质（不参与数值计算，仅用于显示）
[整型]</t>
    <phoneticPr fontId="6" type="noConversion"/>
  </si>
  <si>
    <t xml:space="preserve">生命初始值
[整型] </t>
  </si>
  <si>
    <t>命中初始值
（百分比）</t>
    <phoneticPr fontId="6" type="noConversion"/>
  </si>
  <si>
    <t>闪避初始值
（百分比）</t>
    <phoneticPr fontId="6" type="noConversion"/>
  </si>
  <si>
    <t>暴击初始值
（百分比）</t>
    <phoneticPr fontId="6" type="noConversion"/>
  </si>
  <si>
    <t>抗暴击初始值       （百分比）</t>
    <phoneticPr fontId="6" type="noConversion"/>
  </si>
  <si>
    <t>name</t>
  </si>
  <si>
    <t>description</t>
  </si>
  <si>
    <t>s</t>
    <phoneticPr fontId="6" type="noConversion"/>
  </si>
  <si>
    <t>s</t>
  </si>
  <si>
    <t>装备描述
[字符串]</t>
    <phoneticPr fontId="5" type="noConversion"/>
  </si>
  <si>
    <t>s</t>
    <phoneticPr fontId="6" type="noConversion"/>
  </si>
  <si>
    <t>zhuangbei_icon</t>
    <phoneticPr fontId="5" type="noConversion"/>
  </si>
  <si>
    <t>pinzhi</t>
    <phoneticPr fontId="6" type="noConversion"/>
  </si>
  <si>
    <t>i</t>
  </si>
  <si>
    <t>zizhi</t>
    <phoneticPr fontId="6" type="noConversion"/>
  </si>
  <si>
    <t>hp</t>
  </si>
  <si>
    <t>i</t>
    <phoneticPr fontId="6" type="noConversion"/>
  </si>
  <si>
    <t>attack</t>
  </si>
  <si>
    <t>defense_p</t>
    <phoneticPr fontId="6" type="noConversion"/>
  </si>
  <si>
    <t>defense_m</t>
    <phoneticPr fontId="6" type="noConversion"/>
  </si>
  <si>
    <t>hit_prop</t>
  </si>
  <si>
    <t>dodge_prop</t>
  </si>
  <si>
    <t>crit_prop</t>
  </si>
  <si>
    <t>uncrit_prop</t>
  </si>
  <si>
    <t>n</t>
  </si>
  <si>
    <t>hp_lvl</t>
    <phoneticPr fontId="6" type="noConversion"/>
  </si>
  <si>
    <t>attack_lvl</t>
    <phoneticPr fontId="6" type="noConversion"/>
  </si>
  <si>
    <t>defense_p_lvl</t>
    <phoneticPr fontId="6" type="noConversion"/>
  </si>
  <si>
    <t>defense_m_lvl</t>
    <phoneticPr fontId="6" type="noConversion"/>
  </si>
  <si>
    <t>hit_prop_lvl</t>
    <phoneticPr fontId="6" type="noConversion"/>
  </si>
  <si>
    <t>dodge_prop_lvl</t>
    <phoneticPr fontId="6" type="noConversion"/>
  </si>
  <si>
    <t>crit_prop_lvl</t>
    <phoneticPr fontId="6" type="noConversion"/>
  </si>
  <si>
    <t>uncrit_prop_lvl</t>
    <phoneticPr fontId="6" type="noConversion"/>
  </si>
  <si>
    <t>taozhuang_id</t>
    <phoneticPr fontId="6" type="noConversion"/>
  </si>
  <si>
    <t>套装                          调用zhuangbei_taozhuang</t>
    <phoneticPr fontId="5" type="noConversion"/>
  </si>
  <si>
    <t>zhuangbei_id</t>
    <phoneticPr fontId="5" type="noConversion"/>
  </si>
  <si>
    <t>出售价格</t>
    <phoneticPr fontId="5" type="noConversion"/>
  </si>
  <si>
    <t>zhuangbei_jiage</t>
    <phoneticPr fontId="5" type="noConversion"/>
  </si>
  <si>
    <t>i</t>
    <phoneticPr fontId="5" type="noConversion"/>
  </si>
  <si>
    <t>hp_jinglian</t>
  </si>
  <si>
    <t>attack_jinglian</t>
  </si>
  <si>
    <t>defense_m_jinglian</t>
  </si>
  <si>
    <t>hit_prop_jinglian</t>
  </si>
  <si>
    <t>dodge_prop_jinglian</t>
  </si>
  <si>
    <t>crit_prop_jinglian</t>
  </si>
  <si>
    <t>uncrit_prop_jinglian</t>
  </si>
  <si>
    <t>[]</t>
    <phoneticPr fontId="5" type="noConversion"/>
  </si>
  <si>
    <t>attribute_type</t>
    <phoneticPr fontId="5" type="noConversion"/>
  </si>
  <si>
    <t>s</t>
    <phoneticPr fontId="5" type="noConversion"/>
  </si>
  <si>
    <t>n</t>
    <phoneticPr fontId="5" type="noConversion"/>
  </si>
  <si>
    <t>i</t>
    <phoneticPr fontId="6" type="noConversion"/>
  </si>
  <si>
    <t>装备强化等级上限</t>
    <phoneticPr fontId="5" type="noConversion"/>
  </si>
  <si>
    <t>i</t>
    <phoneticPr fontId="5" type="noConversion"/>
  </si>
  <si>
    <t>zhuangbei_lvl_max</t>
    <phoneticPr fontId="5" type="noConversion"/>
  </si>
  <si>
    <t>equi_id</t>
    <phoneticPr fontId="5" type="noConversion"/>
  </si>
  <si>
    <t>i</t>
    <phoneticPr fontId="5" type="noConversion"/>
  </si>
  <si>
    <t>zhuangbei_fenjie</t>
    <phoneticPr fontId="5" type="noConversion"/>
  </si>
  <si>
    <t>分解得到货币器魂数量（即玄铁）</t>
    <phoneticPr fontId="5" type="noConversion"/>
  </si>
  <si>
    <t>行者战甲</t>
  </si>
  <si>
    <t>行者头盔</t>
  </si>
  <si>
    <t>sp</t>
    <phoneticPr fontId="5" type="noConversion"/>
  </si>
  <si>
    <t>[]</t>
    <phoneticPr fontId="5" type="noConversion"/>
  </si>
  <si>
    <t>base_dis</t>
    <phoneticPr fontId="5" type="noConversion"/>
  </si>
  <si>
    <t>i</t>
    <phoneticPr fontId="5" type="noConversion"/>
  </si>
  <si>
    <t>[]</t>
    <phoneticPr fontId="5" type="noConversion"/>
  </si>
  <si>
    <t>装备碎片基础显示（客户端显示）</t>
    <phoneticPr fontId="5" type="noConversion"/>
  </si>
  <si>
    <t>tianfu_eff</t>
    <phoneticPr fontId="6" type="noConversion"/>
  </si>
  <si>
    <t>装备碎片ID                          调用game_items的item_id</t>
    <phoneticPr fontId="5" type="noConversion"/>
  </si>
  <si>
    <t xml:space="preserve">资源ID     [字符串]              调用game_res                    </t>
    <phoneticPr fontId="6" type="noConversion"/>
  </si>
  <si>
    <t xml:space="preserve">天赋属性                                                       调用hero_effect（暂时无用，预留做装备的天赋属性）                                                       </t>
    <phoneticPr fontId="5" type="noConversion"/>
  </si>
  <si>
    <t>pojun_hujia</t>
  </si>
  <si>
    <t>pojun_wuqi</t>
  </si>
  <si>
    <t>破军长剑</t>
  </si>
  <si>
    <t>破军头盔</t>
  </si>
  <si>
    <t>装备ID
[字符串]</t>
    <phoneticPr fontId="5" type="noConversion"/>
  </si>
  <si>
    <t>装备位置
（2-护甲,1-武器,3-头盔,4-腰带）</t>
    <phoneticPr fontId="5" type="noConversion"/>
  </si>
  <si>
    <t>i</t>
    <phoneticPr fontId="6" type="noConversion"/>
  </si>
  <si>
    <t>雁虞长剑</t>
  </si>
  <si>
    <t>雁虞头盔</t>
  </si>
  <si>
    <t>岚影战甲</t>
  </si>
  <si>
    <t>岚影头盔</t>
  </si>
  <si>
    <t>朔雪长剑</t>
  </si>
  <si>
    <t>朔雪头盔</t>
  </si>
  <si>
    <t>封魂长剑</t>
  </si>
  <si>
    <t>封魂头盔</t>
  </si>
  <si>
    <t>游龙长剑</t>
  </si>
  <si>
    <t>游龙头盔</t>
  </si>
  <si>
    <t>蚩灵长剑</t>
  </si>
  <si>
    <t>蚩灵头盔</t>
  </si>
  <si>
    <t>烛天长剑</t>
  </si>
  <si>
    <t>烛天头盔</t>
  </si>
  <si>
    <t>太虚长剑</t>
  </si>
  <si>
    <t>太虚头盔</t>
  </si>
  <si>
    <t>青锋长剑</t>
  </si>
  <si>
    <t>青锋头盔</t>
  </si>
  <si>
    <t>赤血长剑</t>
  </si>
  <si>
    <t>赤血头盔</t>
  </si>
  <si>
    <t>defense_p_jinglian</t>
    <phoneticPr fontId="5" type="noConversion"/>
  </si>
  <si>
    <t>n</t>
    <phoneticPr fontId="6" type="noConversion"/>
  </si>
  <si>
    <r>
      <t>c</t>
    </r>
    <r>
      <rPr>
        <sz val="10"/>
        <color theme="1"/>
        <rFont val="微软雅黑"/>
        <family val="2"/>
        <charset val="134"/>
      </rPr>
      <t>hixue</t>
    </r>
    <r>
      <rPr>
        <sz val="10"/>
        <color theme="1"/>
        <rFont val="微软雅黑"/>
        <family val="2"/>
        <charset val="134"/>
      </rPr>
      <t>_hujia</t>
    </r>
    <phoneticPr fontId="5" type="noConversion"/>
  </si>
  <si>
    <t>chixue_wuqi</t>
    <phoneticPr fontId="5" type="noConversion"/>
  </si>
  <si>
    <t>chixue_toukui</t>
    <phoneticPr fontId="5" type="noConversion"/>
  </si>
  <si>
    <t>chixue_xie</t>
    <phoneticPr fontId="5" type="noConversion"/>
  </si>
  <si>
    <t>yanyu_hujia</t>
  </si>
  <si>
    <r>
      <t>yanyu_</t>
    </r>
    <r>
      <rPr>
        <sz val="10"/>
        <color theme="1"/>
        <rFont val="微软雅黑"/>
        <family val="2"/>
        <charset val="134"/>
      </rPr>
      <t>wuqi</t>
    </r>
    <phoneticPr fontId="5" type="noConversion"/>
  </si>
  <si>
    <t>yanyu_toukui</t>
    <phoneticPr fontId="5" type="noConversion"/>
  </si>
  <si>
    <t>yanyu_xie</t>
    <phoneticPr fontId="5" type="noConversion"/>
  </si>
  <si>
    <t>lanying_hujia</t>
  </si>
  <si>
    <r>
      <t>lanying_</t>
    </r>
    <r>
      <rPr>
        <sz val="10"/>
        <color theme="1"/>
        <rFont val="微软雅黑"/>
        <family val="2"/>
        <charset val="134"/>
      </rPr>
      <t>toukui</t>
    </r>
    <phoneticPr fontId="5" type="noConversion"/>
  </si>
  <si>
    <t>lanying_xie</t>
  </si>
  <si>
    <t>shuoxue_hujia</t>
  </si>
  <si>
    <t>shuoxue_wuqi</t>
  </si>
  <si>
    <t>shuoxue_toukui</t>
  </si>
  <si>
    <t>shuoxue_xie</t>
  </si>
  <si>
    <t>fenghun_hujia</t>
  </si>
  <si>
    <t>fenghun_wuqi</t>
  </si>
  <si>
    <t>fenghun_toukui</t>
  </si>
  <si>
    <t>fenghun_xie</t>
  </si>
  <si>
    <t>chiling_hujia</t>
  </si>
  <si>
    <t>chiling_wuqi</t>
  </si>
  <si>
    <t>chiling_toukui</t>
  </si>
  <si>
    <t>chiling_xie</t>
  </si>
  <si>
    <t>pojun_toukui</t>
    <phoneticPr fontId="5" type="noConversion"/>
  </si>
  <si>
    <t>pojun_xie</t>
  </si>
  <si>
    <t>zhutian_hujia</t>
  </si>
  <si>
    <t>zhutian_wuqi</t>
  </si>
  <si>
    <t>zhutian_toukui</t>
  </si>
  <si>
    <t>zhutian_xie</t>
  </si>
  <si>
    <t>taixu_hujia</t>
    <phoneticPr fontId="5" type="noConversion"/>
  </si>
  <si>
    <t>taixu_toukui</t>
  </si>
  <si>
    <t>taixu_wuqi</t>
  </si>
  <si>
    <t>taixu_xie</t>
  </si>
  <si>
    <r>
      <t>lanying</t>
    </r>
    <r>
      <rPr>
        <sz val="10"/>
        <color theme="1"/>
        <rFont val="微软雅黑"/>
        <family val="2"/>
        <charset val="134"/>
      </rPr>
      <t>_wuqi</t>
    </r>
    <phoneticPr fontId="5" type="noConversion"/>
  </si>
  <si>
    <t>GM战靴</t>
    <phoneticPr fontId="5" type="noConversion"/>
  </si>
  <si>
    <t>GM战甲</t>
  </si>
  <si>
    <t>GM长剑</t>
  </si>
  <si>
    <t>GM头盔</t>
  </si>
  <si>
    <t xml:space="preserve">物防初始值
[整型] </t>
    <phoneticPr fontId="5" type="noConversion"/>
  </si>
  <si>
    <t>攻击初始值        [整型]</t>
    <phoneticPr fontId="5" type="noConversion"/>
  </si>
  <si>
    <t xml:space="preserve">法防初始值
[整型] </t>
    <phoneticPr fontId="6" type="noConversion"/>
  </si>
  <si>
    <t>生命强化成长值
[浮点型]</t>
  </si>
  <si>
    <t>攻击强化成长值
[浮点型]</t>
  </si>
  <si>
    <t>物防强化成长值
[浮点型]</t>
  </si>
  <si>
    <t>法防强化成长值
[浮点型]</t>
  </si>
  <si>
    <t>命中强化成长值
[浮点型]</t>
  </si>
  <si>
    <t>闪避强化成长值
[浮点型]</t>
  </si>
  <si>
    <t>暴击强化成长值
[浮点型]</t>
  </si>
  <si>
    <t>抗暴强化成长值
[浮点型]</t>
  </si>
  <si>
    <t>生命精炼成长值
[浮点型]</t>
  </si>
  <si>
    <t>攻击精炼成长值
[浮点型]</t>
  </si>
  <si>
    <t>物防精炼成长值
[浮点型]</t>
  </si>
  <si>
    <t>法防精炼成长值
[浮点型]</t>
  </si>
  <si>
    <t>命中精炼成长值
[浮点型]</t>
  </si>
  <si>
    <t>闪避精炼成长值
[浮点型]</t>
  </si>
  <si>
    <t>暴击精炼成长值
[浮点型]</t>
  </si>
  <si>
    <t>抗暴精炼成长值
[浮点型]</t>
  </si>
  <si>
    <t>装备的属性显示1=HP
2=MP
3=Attack
4=DefenseP
5=DefenseM
6=HitProp
7=DodgeProp
8=CritProp
9=UnCritProp
10=DamageR
11=DamageB
12=MoveSpeed
13=AttackSpeed
14=AttackRange
15=warningRange
16=HpMax
17=MpMax
18=MpRestore</t>
    <phoneticPr fontId="5" type="noConversion"/>
  </si>
  <si>
    <t>5,7</t>
  </si>
  <si>
    <t>千里独行，道义尊者</t>
    <phoneticPr fontId="5" type="noConversion"/>
  </si>
  <si>
    <t>玄铁赤炎，血祭四方</t>
    <phoneticPr fontId="5" type="noConversion"/>
  </si>
  <si>
    <t>雁过无痕，尔虞我诈</t>
    <phoneticPr fontId="5" type="noConversion"/>
  </si>
  <si>
    <t>雾岚遁阙，难辨其真</t>
    <phoneticPr fontId="5" type="noConversion"/>
  </si>
  <si>
    <t>关外飞雪，剑指龙城</t>
    <phoneticPr fontId="5" type="noConversion"/>
  </si>
  <si>
    <t>追封千里，魂归盛唐</t>
    <phoneticPr fontId="5" type="noConversion"/>
  </si>
  <si>
    <t>蚩霸天下，灵动九洲</t>
    <phoneticPr fontId="5" type="noConversion"/>
  </si>
  <si>
    <t>烛照龟卜，天地低昂</t>
    <phoneticPr fontId="5" type="noConversion"/>
  </si>
  <si>
    <t>两仪太极，凭虚御风</t>
    <phoneticPr fontId="5" type="noConversion"/>
  </si>
  <si>
    <t>获取途径
途径type：
[]-无获取途径
1-game_module的id
2-battle_scene的id
3-store的id
填写格式：
[[1,[1,2]],[2,[10001,10002]]]</t>
    <phoneticPr fontId="5" type="noConversion"/>
  </si>
  <si>
    <t>行者长剑</t>
  </si>
  <si>
    <t>行者战靴</t>
  </si>
  <si>
    <t>烛天战靴</t>
  </si>
  <si>
    <t>烛天战甲</t>
  </si>
  <si>
    <t>游龙战靴</t>
  </si>
  <si>
    <t>游龙战甲</t>
  </si>
  <si>
    <t>雁虞战靴</t>
  </si>
  <si>
    <t>雁虞战甲</t>
  </si>
  <si>
    <t>太虚战靴</t>
  </si>
  <si>
    <t>太虚战甲</t>
  </si>
  <si>
    <t>朔雪战靴</t>
  </si>
  <si>
    <t>朔雪战甲</t>
  </si>
  <si>
    <t>破军战靴</t>
  </si>
  <si>
    <t>破军战甲</t>
  </si>
  <si>
    <t>岚影战靴</t>
  </si>
  <si>
    <t>封魂战靴</t>
  </si>
  <si>
    <t>封魂战甲</t>
  </si>
  <si>
    <t>蚩灵战靴</t>
  </si>
  <si>
    <t>蚩灵战甲</t>
  </si>
  <si>
    <t>岚影长剑</t>
  </si>
  <si>
    <t>白骨夫人</t>
  </si>
  <si>
    <t>白龙公主</t>
  </si>
  <si>
    <t>白无常</t>
  </si>
  <si>
    <t>嫦娥</t>
  </si>
  <si>
    <t>赤脚大仙</t>
  </si>
  <si>
    <t>地藏王</t>
  </si>
  <si>
    <t>蝶妖</t>
  </si>
  <si>
    <t>东海龙王</t>
  </si>
  <si>
    <t>鬼使白</t>
  </si>
  <si>
    <t>鬼使黑</t>
  </si>
  <si>
    <t>红孩儿</t>
  </si>
  <si>
    <t>虎力大仙</t>
  </si>
  <si>
    <t>混沌</t>
  </si>
  <si>
    <t>混世魔王</t>
  </si>
  <si>
    <t>金蝉子</t>
  </si>
  <si>
    <t>金钱豹王</t>
  </si>
  <si>
    <t>泾河龙王</t>
  </si>
  <si>
    <t>九天玄女</t>
  </si>
  <si>
    <t>雷公</t>
  </si>
  <si>
    <t>六耳猕猴</t>
  </si>
  <si>
    <t>鹿力大仙</t>
  </si>
  <si>
    <t>马面</t>
  </si>
  <si>
    <t>弥勒佛</t>
  </si>
  <si>
    <t>墨鱼精</t>
  </si>
  <si>
    <t>牛头</t>
  </si>
  <si>
    <t>女儿国国王</t>
  </si>
  <si>
    <t>人参娃</t>
  </si>
  <si>
    <t>赛太岁</t>
  </si>
  <si>
    <t>沙和尚</t>
  </si>
  <si>
    <t>扇子精</t>
  </si>
  <si>
    <t>太白金星</t>
  </si>
  <si>
    <t>唐三藏</t>
  </si>
  <si>
    <t>铁扇公主</t>
  </si>
  <si>
    <t>王母娘娘</t>
  </si>
  <si>
    <t>文殊菩萨</t>
  </si>
  <si>
    <t>小白龙</t>
  </si>
  <si>
    <t>蝎子精</t>
  </si>
  <si>
    <t>阎罗王</t>
  </si>
  <si>
    <t>羊力大仙</t>
  </si>
  <si>
    <t>幽萤魂</t>
  </si>
  <si>
    <t>玉皇大帝</t>
  </si>
  <si>
    <t>玉面夫人</t>
  </si>
  <si>
    <t>玉兔</t>
  </si>
  <si>
    <t>蜘蛛精</t>
  </si>
  <si>
    <t>紫霞仙子</t>
  </si>
  <si>
    <t>托塔天王</t>
  </si>
  <si>
    <t>猪八戒</t>
  </si>
  <si>
    <t>龙帝</t>
  </si>
  <si>
    <t>二郎神</t>
  </si>
  <si>
    <t>斗战胜佛</t>
  </si>
  <si>
    <t>牛魔王</t>
  </si>
  <si>
    <t>哪吒</t>
  </si>
  <si>
    <t>八部天龙</t>
  </si>
  <si>
    <t>孙悟空</t>
  </si>
  <si>
    <t>装备ID
[字符串]</t>
  </si>
  <si>
    <t>装备名称
[字符串]</t>
  </si>
  <si>
    <t>zhuangbei_id</t>
  </si>
  <si>
    <t>青锋战甲</t>
  </si>
  <si>
    <t>青锋战靴</t>
  </si>
  <si>
    <t>赤血战甲</t>
  </si>
  <si>
    <t>赤血战靴</t>
  </si>
  <si>
    <t>GM战靴</t>
  </si>
  <si>
    <t>[</t>
    <phoneticPr fontId="5" type="noConversion"/>
  </si>
  <si>
    <t>,</t>
    <phoneticPr fontId="5" type="noConversion"/>
  </si>
  <si>
    <t>]</t>
    <phoneticPr fontId="5" type="noConversion"/>
  </si>
  <si>
    <t>[3,[4]],[2,[]]</t>
  </si>
  <si>
    <t>[3,[4]],[2,[10489,10429]]</t>
  </si>
  <si>
    <t>[3,[4]],[2,[10549,10489,10429]]</t>
  </si>
  <si>
    <t>[3,[4]],[2,[10609,10549,10489,10429]]</t>
  </si>
  <si>
    <t>[3,[4]],[2,[10669,10609,10549,10489,10429]]</t>
  </si>
  <si>
    <t>[3,[4]],[2,[10729,10669,10609,10549,10489,10429]]</t>
  </si>
  <si>
    <t>[3,[4]],[2,[10789,10729,10669,10609,10549,10489,10429]]</t>
  </si>
  <si>
    <t>[3,[4]],[2,[10849,10789,10729,10669,10609,10549,10489,10429]]</t>
  </si>
  <si>
    <t>[3,[4]],[2,[10439]]</t>
  </si>
  <si>
    <t>[3,[4]],[2,[10499,10439]]</t>
  </si>
  <si>
    <t>[3,[4]],[2,[10559,10499,10439]]</t>
  </si>
  <si>
    <t>[3,[4]],[2,[10619,10559,10499,10439]]</t>
  </si>
  <si>
    <t>[3,[4]],[2,[10679,10619,10559,10499,10439]]</t>
  </si>
  <si>
    <t>[3,[4]],[2,[10739,10679,10619,10559,10499,10439]]</t>
  </si>
  <si>
    <t>[3,[4]],[2,[10799,10739,10679,10619,10559,10499,10439]]</t>
  </si>
  <si>
    <t>[3,[4]],[2,[10859,10799,10739,10679,10619,10559,10499,10439]]</t>
  </si>
  <si>
    <t>[3,[4]],[2,[10189]]</t>
  </si>
  <si>
    <t>[3,[4]],[2,[10249,10189]]</t>
  </si>
  <si>
    <t>[3,[4]],[2,[10309,10249,10189]]</t>
  </si>
  <si>
    <t>[3,[4]],[2,[10369,10309,10249,10189]]</t>
  </si>
  <si>
    <t>[3,[4]],[2,[10199]]</t>
  </si>
  <si>
    <t>[3,[4]],[2,[10259,10199]]</t>
  </si>
  <si>
    <t>[3,[4]],[2,[10319,10259,10199]]</t>
  </si>
  <si>
    <t>[3,[4]],[2,[10379,10319,10259,10199]]</t>
  </si>
  <si>
    <t>[3,[4]],[2,[10049]]</t>
  </si>
  <si>
    <t>[3,[4]],[2,[10109,10049]]</t>
  </si>
  <si>
    <t>[3,[4]],[2,[10059]]</t>
  </si>
  <si>
    <t>[3,[4]],[2,[10119,10059]]</t>
  </si>
  <si>
    <t>[3,[4]],[2,[10449]]</t>
  </si>
  <si>
    <t>[3,[4]],[2,[10509,10449]]</t>
  </si>
  <si>
    <t>[3,[4]],[2,[10569,10509,10449]]</t>
  </si>
  <si>
    <t>[3,[4]],[2,[10629,10569,10509,10449]]</t>
  </si>
  <si>
    <t>[3,[4]],[2,[10689,10629,10569,10509,10449]]</t>
  </si>
  <si>
    <t>[3,[4]],[2,[10749,10689,10629,10569,10509,10449]]</t>
  </si>
  <si>
    <t>[3,[4]],[2,[10809,10749,10689,10629,10569,10509,10449]]</t>
  </si>
  <si>
    <t>[3,[4]],[2,[10869,10809,10749,10689,10629,10569,10509,10449]]</t>
  </si>
  <si>
    <t>[3,[4]],[2,[10459]]</t>
  </si>
  <si>
    <t>[3,[4]],[2,[10519,10459]]</t>
  </si>
  <si>
    <t>[3,[4]],[2,[10579,10519,10459]]</t>
  </si>
  <si>
    <t>[3,[4]],[2,[10639,10579,10519,10459]]</t>
  </si>
  <si>
    <t>[3,[4]],[2,[10699,10639,10579,10519,10459]]</t>
  </si>
  <si>
    <t>[3,[4]],[2,[10759,10699,10639,10579,10519,10459]]</t>
  </si>
  <si>
    <t>[3,[4]],[2,[10819,10759,10699,10639,10579,10519,10459]]</t>
  </si>
  <si>
    <t>[3,[4]],[2,[10879,10819,10759,10699,10639,10579,10519,10459]]</t>
  </si>
  <si>
    <t>[3,[4]],[2,[10089]]</t>
  </si>
  <si>
    <t>[3,[4]],[2,[10149,10089]]</t>
  </si>
  <si>
    <t>[3,[4]],[2,[10099]]</t>
  </si>
  <si>
    <t>[3,[4]],[2,[10159,10099]]</t>
  </si>
  <si>
    <t>[3,[4]],[2,[10409]]</t>
  </si>
  <si>
    <t>[3,[4]],[2,[10469,10409]]</t>
  </si>
  <si>
    <t>[3,[4]],[2,[10529,10469,10409]]</t>
  </si>
  <si>
    <t>[3,[4]],[2,[10589,10529,10469,10409]]</t>
  </si>
  <si>
    <t>[3,[4]],[2,[10649,10589,10529,10469,10409]]</t>
  </si>
  <si>
    <t>[3,[4]],[2,[10709,10649,10589,10529,10469,10409]]</t>
  </si>
  <si>
    <t>[3,[4]],[2,[10769,10709,10649,10589,10529,10469,10409]]</t>
  </si>
  <si>
    <t>[3,[4]],[2,[10829,10769,10709,10649,10589,10529,10469,10409]]</t>
  </si>
  <si>
    <t>[3,[4]],[2,[10889,10829,10769,10709,10649,10589,10529,10469,10409]]</t>
  </si>
  <si>
    <t>[3,[4]],[2,[10419]]</t>
  </si>
  <si>
    <t>[3,[4]],[2,[10479,10419]]</t>
  </si>
  <si>
    <t>[3,[4]],[2,[10539,10479,10419]]</t>
  </si>
  <si>
    <t>[3,[4]],[2,[10599,10539,10479,10419]]</t>
  </si>
  <si>
    <t>[3,[4]],[2,[10659,10599,10539,10479,10419]]</t>
  </si>
  <si>
    <t>[3,[4]],[2,[10719,10659,10599,10539,10479,10419]]</t>
  </si>
  <si>
    <t>[3,[4]],[2,[10779,10719,10659,10599,10539,10479,10419]]</t>
  </si>
  <si>
    <t>[3,[4]],[2,[10839,10779,10719,10659,10599,10539,10479,10419]]</t>
  </si>
  <si>
    <t>[3,[4]],[2,[10899,10839,10779,10719,10659,10599,10539,10479,10419]]</t>
  </si>
  <si>
    <t>[3,[4]],[2,[10069]]</t>
  </si>
  <si>
    <t>[3,[4]],[2,[10129,10069]]</t>
  </si>
  <si>
    <t>[3,[4]],[2,[10079]]</t>
  </si>
  <si>
    <t>[3,[4]],[2,[10139,10079]]</t>
  </si>
  <si>
    <t>[3,[4]],[2,[10169]]</t>
  </si>
  <si>
    <t>[3,[4]],[2,[10229,10169]]</t>
  </si>
  <si>
    <t>[3,[4]],[2,[10289,10229,10169]]</t>
  </si>
  <si>
    <t>[3,[4]],[2,[10349,10289,10229,10169]]</t>
  </si>
  <si>
    <t>[3,[4]],[2,[10179]]</t>
  </si>
  <si>
    <t>[3,[4]],[2,[10239,10179]]</t>
  </si>
  <si>
    <t>[3,[4]],[2,[10299,10239,10179]]</t>
  </si>
  <si>
    <t>[3,[4]],[2,[10359,10299,10239,10179]]</t>
  </si>
  <si>
    <t>[3,[4]],[2,[10209]]</t>
  </si>
  <si>
    <t>[3,[4]],[2,[10269,10209]]</t>
  </si>
  <si>
    <t>[3,[4]],[2,[10329,10269,10209]]</t>
  </si>
  <si>
    <t>[3,[4]],[2,[10389,10329,10269,10209]]</t>
  </si>
  <si>
    <t>[3,[4]],[2,[10219]]</t>
  </si>
  <si>
    <t>[3,[4]],[2,[10279,10219]]</t>
  </si>
  <si>
    <t>[3,[4]],[2,[10339,10279,10219]]</t>
  </si>
  <si>
    <t>[3,[4]],[2,[10399,10339,10279,10219]]</t>
  </si>
  <si>
    <t>[3,[4]],[2,[10210]]</t>
  </si>
  <si>
    <t>[3,[4]],[2,[10270,10210]]</t>
  </si>
  <si>
    <t>[3,[4]],[2,[10330,10270,10210]]</t>
  </si>
  <si>
    <t>[3,[4]],[2,[10390,10330,10270,10210]]</t>
  </si>
  <si>
    <t>[3,[4]],[2,[10220]]</t>
  </si>
  <si>
    <t>[3,[4]],[2,[10280,10220]]</t>
  </si>
  <si>
    <t>[3,[4]],[2,[10340,10280,10220]]</t>
  </si>
  <si>
    <t>[3,[4]],[2,[10400,10340,10280,10220]]</t>
  </si>
  <si>
    <t>[3,[4]],[2,[10170]]</t>
  </si>
  <si>
    <t>[3,[4]],[2,[10230,10170]]</t>
  </si>
  <si>
    <t>[3,[4]],[2,[10290,10230,10170]]</t>
  </si>
  <si>
    <t>[3,[4]],[2,[10350,10290,10230,10170]]</t>
  </si>
  <si>
    <t>[3,[4]],[2,[10180]]</t>
  </si>
  <si>
    <t>[3,[4]],[2,[10240,10180]]</t>
  </si>
  <si>
    <t>[3,[4]],[2,[10300,10240,10180]]</t>
  </si>
  <si>
    <t>[3,[4]],[2,[10360,10300,10240,10180]]</t>
  </si>
  <si>
    <t>[3,[4]],[2,[10070]]</t>
  </si>
  <si>
    <t>[3,[4]],[2,[10130,10070]]</t>
  </si>
  <si>
    <t>[3,[4]],[2,[10080]]</t>
  </si>
  <si>
    <t>[3,[4]],[2,[10140,10080]]</t>
  </si>
  <si>
    <t>[3,[4]],[2,[10410]]</t>
  </si>
  <si>
    <t>[3,[4]],[2,[10470,10410]]</t>
  </si>
  <si>
    <t>[3,[4]],[2,[10530,10470,10410]]</t>
  </si>
  <si>
    <t>[3,[4]],[2,[10590,10530,10470,10410]]</t>
  </si>
  <si>
    <t>[3,[4]],[2,[10650,10590,10530,10470,10410]]</t>
  </si>
  <si>
    <t>[3,[4]],[2,[10710,10650,10590,10530,10470,10410]]</t>
  </si>
  <si>
    <t>[3,[4]],[2,[10770,10710,10650,10590,10530,10470,10410]]</t>
  </si>
  <si>
    <t>[3,[4]],[2,[10830,10770,10710,10650,10590,10530,10470,10410]]</t>
  </si>
  <si>
    <t>[3,[4]],[2,[10890,10830,10770,10710,10650,10590,10530,10470,10410]]</t>
  </si>
  <si>
    <t>[3,[4]],[2,[10420]]</t>
  </si>
  <si>
    <t>[3,[4]],[2,[10480,10420]]</t>
  </si>
  <si>
    <t>[3,[4]],[2,[10540,10480,10420]]</t>
  </si>
  <si>
    <t>[3,[4]],[2,[10600,10540,10480,10420]]</t>
  </si>
  <si>
    <t>[3,[4]],[2,[10660,10600,10540,10480,10420]]</t>
  </si>
  <si>
    <t>[3,[4]],[2,[10720,10660,10600,10540,10480,10420]]</t>
  </si>
  <si>
    <t>[3,[4]],[2,[10780,10720,10660,10600,10540,10480,10420]]</t>
  </si>
  <si>
    <t>[3,[4]],[2,[10840,10780,10720,10660,10600,10540,10480,10420]]</t>
  </si>
  <si>
    <t>[3,[4]],[2,[10090]]</t>
  </si>
  <si>
    <t>[3,[4]],[2,[10150,10090]]</t>
  </si>
  <si>
    <t>[3,[4]],[2,[10100]]</t>
  </si>
  <si>
    <t>[3,[4]],[2,[10160,10100]]</t>
  </si>
  <si>
    <t>[3,[4]],[2,[10450]]</t>
  </si>
  <si>
    <t>[3,[4]],[2,[10510,10450]]</t>
  </si>
  <si>
    <t>[3,[4]],[2,[10570,10510,10450]]</t>
  </si>
  <si>
    <t>[3,[4]],[2,[10630,10570,10510,10450]]</t>
  </si>
  <si>
    <t>[3,[4]],[2,[10690,10630,10570,10510,10450]]</t>
  </si>
  <si>
    <t>[3,[4]],[2,[10750,10690,10630,10570,10510,10450]]</t>
  </si>
  <si>
    <t>[3,[4]],[2,[10810,10750,10690,10630,10570,10510,10450]]</t>
  </si>
  <si>
    <t>[3,[4]],[2,[10870,10810,10750,10690,10630,10570,10510,10450]]</t>
  </si>
  <si>
    <t>[3,[4]],[2,[10460]]</t>
  </si>
  <si>
    <t>[3,[4]],[2,[10520,10460]]</t>
  </si>
  <si>
    <t>[3,[4]],[2,[10580,10520,10460]]</t>
  </si>
  <si>
    <t>[3,[4]],[2,[10640,10580,10520,10460]]</t>
  </si>
  <si>
    <t>[3,[4]],[2,[10700,10640,10580,10520,10460]]</t>
  </si>
  <si>
    <t>[3,[4]],[2,[10760,10700,10640,10580,10520,10460]]</t>
  </si>
  <si>
    <t>[3,[4]],[2,[10820,10760,10700,10640,10580,10520,10460]]</t>
  </si>
  <si>
    <t>[3,[4]],[2,[10880,10820,10760,10700,10640,10580,10520,10460]]</t>
  </si>
  <si>
    <t>[3,[4]],[2,[10050]]</t>
  </si>
  <si>
    <t>[3,[4]],[2,[10110,10050]]</t>
  </si>
  <si>
    <t>[3,[4]],[2,[10060]]</t>
  </si>
  <si>
    <t>[3,[4]],[2,[10120,10060]]</t>
  </si>
  <si>
    <t>[3,[4]],[2,[10190]]</t>
  </si>
  <si>
    <t>[3,[4]],[2,[10250,10190]]</t>
  </si>
  <si>
    <t>[3,[4]],[2,[10310,10250,10190]]</t>
  </si>
  <si>
    <t>[3,[4]],[2,[10370,10310,10250,10190]]</t>
  </si>
  <si>
    <t>[3,[4]],[2,[10200]]</t>
  </si>
  <si>
    <t>[3,[4]],[2,[10260,10200]]</t>
  </si>
  <si>
    <t>[3,[4]],[2,[10320,10260,10200]]</t>
  </si>
  <si>
    <t>[3,[4]],[2,[10380,10320,10260,10200]]</t>
  </si>
  <si>
    <t>[3,[4]],[2,[10430]]</t>
  </si>
  <si>
    <t>[3,[4]],[2,[10490,10430]]</t>
  </si>
  <si>
    <t>[3,[4]],[2,[10550,10490,10430]]</t>
  </si>
  <si>
    <t>[3,[4]],[2,[10610,10550,10490,10430]]</t>
  </si>
  <si>
    <t>[3,[4]],[2,[10670,10610,10550,10490,10430]]</t>
  </si>
  <si>
    <t>[3,[4]],[2,[10730,10670,10610,10550,10490,10430]]</t>
  </si>
  <si>
    <t>[3,[4]],[2,[10790,10730,10670,10610,10550,10490,10430]]</t>
  </si>
  <si>
    <t>[3,[4]],[2,[10850,10790,10730,10670,10610,10550,10490,10430]]</t>
  </si>
  <si>
    <t>[3,[4]],[2,[10440]]</t>
  </si>
  <si>
    <t>[3,[4]],[2,[10500,10440]]</t>
  </si>
  <si>
    <t>[3,[4]],[2,[10560,10500,10440]]</t>
  </si>
  <si>
    <t>[3,[4]],[2,[10620,10560,10500,10440]]</t>
  </si>
  <si>
    <t>[3,[4]],[2,[10680,10620,10560,10500,10440]]</t>
  </si>
  <si>
    <t>[3,[4]],[2,[10740,10680,10620,10560,10500,10440]]</t>
  </si>
  <si>
    <t>[3,[4]],[2,[10800,10740,10680,10620,10560,10500,10440]]</t>
  </si>
  <si>
    <t>[3,[4]],[2,[10860,10800,10740,10680,10620,10560,10500,10440]]</t>
  </si>
  <si>
    <t>[3,[10016]],[2,[10230]]</t>
  </si>
  <si>
    <t>[3,[10016]],[2,[10350,10230]]</t>
  </si>
  <si>
    <t>[3,[10016]],[2,[10470,10350,10230]]</t>
  </si>
  <si>
    <t>[3,[10016]],[2,[10590,10470,10350,10230]]</t>
  </si>
  <si>
    <t>[3,[10016]],[2,[10710,10590,10470,10350,10230]]</t>
  </si>
  <si>
    <t>[3,[10016]],[2,[10830,10710,10590,10470,10350,10230]]</t>
  </si>
  <si>
    <t>[2,[10156]]</t>
  </si>
  <si>
    <t>[2,[10316,10156]]</t>
  </si>
  <si>
    <t>[2,[10476,10316,10156]]</t>
  </si>
  <si>
    <t>[2,[10636,10476,10316,10156]]</t>
  </si>
  <si>
    <t>[2,[10796,10636,10476,10316,10156]]</t>
  </si>
  <si>
    <t>[2,[10099,10796,10636,10476,10316,10156]]</t>
  </si>
  <si>
    <t>[2,[10170]]</t>
  </si>
  <si>
    <t>[2,[10290,10170]]</t>
  </si>
  <si>
    <t>[2,[10410,10290,10170]]</t>
  </si>
  <si>
    <t>[2,[10530,10410,10290,10170]]</t>
  </si>
  <si>
    <t>[2,[10650,10530,10410,10290,10170]]</t>
  </si>
  <si>
    <t>[2,[10770,10650,10530,10410,10290,10170]]</t>
  </si>
  <si>
    <t>[2,[10890,10770,10650,10530,10410,10290,10170]]</t>
  </si>
  <si>
    <t>[3,[10003]],[2,[10200]]</t>
  </si>
  <si>
    <t>[3,[10003]],[2,[10320,10200]]</t>
  </si>
  <si>
    <t>[3,[10003]],[2,[10440,10320,10200]]</t>
  </si>
  <si>
    <t>[3,[10003]],[2,[10560,10440,10320,10200]]</t>
  </si>
  <si>
    <t>[3,[10003]],[2,[10680,10560,10440,10320,10200]]</t>
  </si>
  <si>
    <t>[3,[10003]],[2,[10800,10680,10560,10440,10320,10200]]</t>
  </si>
  <si>
    <t>[2,[10056]]</t>
  </si>
  <si>
    <t>[2,[10216,10056]]</t>
  </si>
  <si>
    <t>[2,[10376,10216,10056]]</t>
  </si>
  <si>
    <t>[2,[10536,10376,10216,10056]]</t>
  </si>
  <si>
    <t>[2,[10696,10536,10376,10216,10056]]</t>
  </si>
  <si>
    <t>[2,[10856,10696,10536,10376,10216,10056]]</t>
  </si>
  <si>
    <t>[2,[10086]]</t>
  </si>
  <si>
    <t>[2,[10246,10086]]</t>
  </si>
  <si>
    <t>[2,[10406,10246,10086]]</t>
  </si>
  <si>
    <t>[2,[10566,10406,10246,10086]]</t>
  </si>
  <si>
    <t>[2,[10726,10566,10406,10246,10086]]</t>
  </si>
  <si>
    <t>[2,[10886,10726,10566,10406,10246,10086]]</t>
  </si>
  <si>
    <t>[2,[10169]]</t>
  </si>
  <si>
    <t>[2,[10339,10169]]</t>
  </si>
  <si>
    <t>[2,[10509,10339,10169]]</t>
  </si>
  <si>
    <t>[2,[10679,10509,10339,10169]]</t>
  </si>
  <si>
    <t>[2,[10849,10679,10509,10339,10169]]</t>
  </si>
  <si>
    <t>[2,[10229]]</t>
  </si>
  <si>
    <t>[2,[10399,10229]]</t>
  </si>
  <si>
    <t>[2,[10569,10399,10229]]</t>
  </si>
  <si>
    <t>[2,[10739,10569,10399,10229]]</t>
  </si>
  <si>
    <t>[2,[10060,10739,10569,10399,10229]]</t>
  </si>
  <si>
    <t>[2,[10126]]</t>
  </si>
  <si>
    <t>[2,[10286,10126]]</t>
  </si>
  <si>
    <t>[2,[10446,10286,10126]]</t>
  </si>
  <si>
    <t>[2,[10606,10446,10286,10126]]</t>
  </si>
  <si>
    <t>[2,[10766,10606,10446,10286,10126]]</t>
  </si>
  <si>
    <t>[2,[10069,10766,10606,10446,10286,10126]]</t>
  </si>
  <si>
    <t>[2,[10096]]</t>
  </si>
  <si>
    <t>[2,[10256,10096]]</t>
  </si>
  <si>
    <t>[2,[10416,10256,10096]]</t>
  </si>
  <si>
    <t>[2,[10576,10416,10256,10096]]</t>
  </si>
  <si>
    <t>[2,[10736,10576,10416,10256,10096]]</t>
  </si>
  <si>
    <t>[2,[10896,10736,10576,10416,10256,10096]]</t>
  </si>
  <si>
    <t>[2,[10038,10896,10736,10576,10416,10256,10096]]</t>
  </si>
  <si>
    <t>[2,[10209]]</t>
  </si>
  <si>
    <t>[2,[10379,10209]]</t>
  </si>
  <si>
    <t>[2,[10549,10379,10209]]</t>
  </si>
  <si>
    <t>[2,[10719,10549,10379,10209]]</t>
  </si>
  <si>
    <t>[2,[10889,10719,10549,10379,10209]]</t>
  </si>
  <si>
    <t>[2,[10130]]</t>
  </si>
  <si>
    <t>[2,[10250,10130]]</t>
  </si>
  <si>
    <t>[2,[10370,10250,10130]]</t>
  </si>
  <si>
    <t>[2,[10490,10370,10250,10130]]</t>
  </si>
  <si>
    <t>[2,[10610,10490,10370,10250,10130]]</t>
  </si>
  <si>
    <t>[2,[10730,10610,10490,10370,10250,10130]]</t>
  </si>
  <si>
    <t>[2,[10850,10730,10610,10490,10370,10250,10130]]</t>
  </si>
  <si>
    <t>[2,[10146]]</t>
  </si>
  <si>
    <t>[2,[10306,10146]]</t>
  </si>
  <si>
    <t>[2,[10466,10306,10146]]</t>
  </si>
  <si>
    <t>[2,[10626,10466,10306,10146]]</t>
  </si>
  <si>
    <t>[2,[10786,10626,10466,10306,10146]]</t>
  </si>
  <si>
    <t>[2,[10089,10786,10626,10466,10306,10146]]</t>
  </si>
  <si>
    <t>[2,[10239]]</t>
  </si>
  <si>
    <t>[2,[10409,10239]]</t>
  </si>
  <si>
    <t>[2,[10579,10409,10239]]</t>
  </si>
  <si>
    <t>[2,[10749,10579,10409,10239]]</t>
  </si>
  <si>
    <t>[2,[10070,10749,10579,10409,10239]]</t>
  </si>
  <si>
    <t>[2,[10150]]</t>
  </si>
  <si>
    <t>[2,[10270,10150]]</t>
  </si>
  <si>
    <t>[2,[10390,10270,10150]]</t>
  </si>
  <si>
    <t>[2,[10510,10390,10270,10150]]</t>
  </si>
  <si>
    <t>[2,[10630,10510,10390,10270,10150]]</t>
  </si>
  <si>
    <t>[2,[10750,10630,10510,10390,10270,10150]]</t>
  </si>
  <si>
    <t>[2,[10870,10750,10630,10510,10390,10270,10150]]</t>
  </si>
  <si>
    <t>[2,[10035]]</t>
  </si>
  <si>
    <t>[2,[10196,10035]]</t>
  </si>
  <si>
    <t>[2,[10356,10196,10035]]</t>
  </si>
  <si>
    <t>[2,[10516,10356,10196,10035]]</t>
  </si>
  <si>
    <t>[2,[10676,10516,10356,10196,10035]]</t>
  </si>
  <si>
    <t>[2,[10836,10676,10516,10356,10196,10035]]</t>
  </si>
  <si>
    <t>[2,[10066]]</t>
  </si>
  <si>
    <t>[2,[10226,10066]]</t>
  </si>
  <si>
    <t>[2,[10386,10226,10066]]</t>
  </si>
  <si>
    <t>[2,[10546,10386,10226,10066]]</t>
  </si>
  <si>
    <t>[2,[10706,10546,10386,10226,10066]]</t>
  </si>
  <si>
    <t>[2,[10866,10706,10546,10386,10226,10066]]</t>
  </si>
  <si>
    <t>[3,[10009]],[2,[10210]]</t>
  </si>
  <si>
    <t>[3,[10009]],[2,[10330,10210]]</t>
  </si>
  <si>
    <t>[3,[10009]],[2,[10450,10330,10210]]</t>
  </si>
  <si>
    <t>[3,[10009]],[2,[10570,10450,10330,10210]]</t>
  </si>
  <si>
    <t>[3,[10009]],[2,[10690,10570,10450,10330,10210]]</t>
  </si>
  <si>
    <t>[3,[10009]],[2,[10810,10690,10570,10450,10330,10210]]</t>
  </si>
  <si>
    <t>[2,[10116]]</t>
  </si>
  <si>
    <t>[2,[10276,10116]]</t>
  </si>
  <si>
    <t>[2,[10436,10276,10116]]</t>
  </si>
  <si>
    <t>[2,[10596,10436,10276,10116]]</t>
  </si>
  <si>
    <t>[2,[10756,10596,10436,10276,10116]]</t>
  </si>
  <si>
    <t>[2,[10059,10756,10596,10436,10276,10116]]</t>
  </si>
  <si>
    <t>[2,[10269]]</t>
  </si>
  <si>
    <t>[2,[10439,10269]]</t>
  </si>
  <si>
    <t>[2,[10609,10439,10269]]</t>
  </si>
  <si>
    <t>[2,[10779,10609,10439,10269]]</t>
  </si>
  <si>
    <t>[2,[10100,10779,10609,10439,10269]]</t>
  </si>
  <si>
    <t>[2,[10199]]</t>
  </si>
  <si>
    <t>[2,[10369,10199]]</t>
  </si>
  <si>
    <t>[2,[10539,10369,10199]]</t>
  </si>
  <si>
    <t>[2,[10709,10539,10369,10199]]</t>
  </si>
  <si>
    <t>[2,[10879,10709,10539,10369,10199]]</t>
  </si>
  <si>
    <t>[2,[10106]]</t>
  </si>
  <si>
    <t>[2,[10266,10106]]</t>
  </si>
  <si>
    <t>[2,[10426,10266,10106]]</t>
  </si>
  <si>
    <t>[2,[10586,10426,10266,10106]]</t>
  </si>
  <si>
    <t>[2,[10746,10586,10426,10266,10106]]</t>
  </si>
  <si>
    <t>[2,[10049,10746,10586,10426,10266,10106]]</t>
  </si>
  <si>
    <t>[3,[10027]],[2,[10140]]</t>
  </si>
  <si>
    <t>[3,[10027]],[2,[10260,10140]]</t>
  </si>
  <si>
    <t>[3,[10027]],[2,[10380,10260,10140]]</t>
  </si>
  <si>
    <t>[3,[10027]],[2,[10500,10380,10260,10140]]</t>
  </si>
  <si>
    <t>[3,[10027]],[2,[10620,10500,10380,10260,10140]]</t>
  </si>
  <si>
    <t>[3,[10027]],[2,[10740,10620,10500,10380,10260,10140]]</t>
  </si>
  <si>
    <t>[3,[10027]],[2,[10860,10740,10620,10500,10380,10260,10140]]</t>
  </si>
  <si>
    <t>[2,[10046]]</t>
  </si>
  <si>
    <t>[2,[10206,10046]]</t>
  </si>
  <si>
    <t>[2,[10366,10206,10046]]</t>
  </si>
  <si>
    <t>[2,[10526,10366,10206,10046]]</t>
  </si>
  <si>
    <t>[2,[10686,10526,10366,10206,10046]]</t>
  </si>
  <si>
    <t>[2,[10846,10686,10526,10366,10206,10046]]</t>
  </si>
  <si>
    <t>[2,[10076]]</t>
  </si>
  <si>
    <t>[2,[10236,10076]]</t>
  </si>
  <si>
    <t>[2,[10396,10236,10076]]</t>
  </si>
  <si>
    <t>[2,[10556,10396,10236,10076]]</t>
  </si>
  <si>
    <t>[2,[10716,10556,10396,10236,10076]]</t>
  </si>
  <si>
    <t>[2,[10876,10716,10556,10396,10236,10076]]</t>
  </si>
  <si>
    <t>[2,[10139]]</t>
  </si>
  <si>
    <t>[2,[10309,10139]]</t>
  </si>
  <si>
    <t>[2,[10479,10309,10139]]</t>
  </si>
  <si>
    <t>[2,[10649,10479,10309,10139]]</t>
  </si>
  <si>
    <t>[2,[10819,10649,10479,10309,10139]]</t>
  </si>
  <si>
    <t>[2,[10249]]</t>
  </si>
  <si>
    <t>[2,[10419,10249]]</t>
  </si>
  <si>
    <t>[2,[10589,10419,10249]]</t>
  </si>
  <si>
    <t>[2,[10759,10589,10419,10249]]</t>
  </si>
  <si>
    <t>[2,[10080,10759,10589,10419,10249]]</t>
  </si>
  <si>
    <t>[2,[10136]]</t>
  </si>
  <si>
    <t>[2,[10296,10136]]</t>
  </si>
  <si>
    <t>[2,[10456,10296,10136]]</t>
  </si>
  <si>
    <t>[2,[10616,10456,10296,10136]]</t>
  </si>
  <si>
    <t>[2,[10776,10616,10456,10296,10136]]</t>
  </si>
  <si>
    <t>[2,[10079,10776,10616,10456,10296,10136]]</t>
  </si>
  <si>
    <t>[3,[10024]],[2,[10180]]</t>
  </si>
  <si>
    <t>[3,[10024]],[2,[10300,10180]]</t>
  </si>
  <si>
    <t>[3,[10024]],[2,[10420,10300,10180]]</t>
  </si>
  <si>
    <t>[3,[10024]],[2,[10540,10420,10300,10180]]</t>
  </si>
  <si>
    <t>[3,[10024]],[2,[10660,10540,10420,10300,10180]]</t>
  </si>
  <si>
    <t>[3,[10024]],[2,[10780,10660,10540,10420,10300,10180]]</t>
  </si>
  <si>
    <t>[2,[10186]]</t>
  </si>
  <si>
    <t>[2,[10346,10186]]</t>
  </si>
  <si>
    <t>[2,[10506,10346,10186]]</t>
  </si>
  <si>
    <t>[2,[10666,10506,10346,10186]]</t>
  </si>
  <si>
    <t>[2,[10826,10666,10506,10346,10186]]</t>
  </si>
  <si>
    <t>[2,[10149]]</t>
  </si>
  <si>
    <t>[2,[10319,10149]]</t>
  </si>
  <si>
    <t>[2,[10489,10319,10149]]</t>
  </si>
  <si>
    <t>[2,[10659,10489,10319,10149]]</t>
  </si>
  <si>
    <t>[2,[10829,10659,10489,10319,10149]]</t>
  </si>
  <si>
    <t>[2,[10179]]</t>
  </si>
  <si>
    <t>[2,[10349,10179]]</t>
  </si>
  <si>
    <t>[2,[10519,10349,10179]]</t>
  </si>
  <si>
    <t>[2,[10689,10519,10349,10179]]</t>
  </si>
  <si>
    <t>[2,[10859,10689,10519,10349,10179]]</t>
  </si>
  <si>
    <t>[3,[10011]],[2,[10220]]</t>
  </si>
  <si>
    <t>[3,[10011]],[2,[10340,10220]]</t>
  </si>
  <si>
    <t>[3,[10011]],[2,[10460,10340,10220]]</t>
  </si>
  <si>
    <t>[3,[10011]],[2,[10580,10460,10340,10220]]</t>
  </si>
  <si>
    <t>[3,[10011]],[2,[10700,10580,10460,10340,10220]]</t>
  </si>
  <si>
    <t>[3,[10011]],[2,[10820,10700,10580,10460,10340,10220]]</t>
  </si>
  <si>
    <t>[3,[10005]],[2,[10160]]</t>
  </si>
  <si>
    <t>[3,[10005]],[2,[10280,10160]]</t>
  </si>
  <si>
    <t>[3,[10005]],[2,[10400,10280,10160]]</t>
  </si>
  <si>
    <t>[3,[10005]],[2,[10520,10400,10280,10160]]</t>
  </si>
  <si>
    <t>[3,[10005]],[2,[10640,10520,10400,10280,10160]]</t>
  </si>
  <si>
    <t>[3,[10005]],[2,[10760,10640,10520,10400,10280,10160]]</t>
  </si>
  <si>
    <t>[3,[10005]],[2,[10880,10760,10640,10520,10400,10280,10160]]</t>
  </si>
  <si>
    <t>[3,[10026]],[2,[10190]]</t>
  </si>
  <si>
    <t>[3,[10026]],[2,[10310,10190]]</t>
  </si>
  <si>
    <t>[3,[10026]],[2,[10430,10310,10190]]</t>
  </si>
  <si>
    <t>[3,[10026]],[2,[10550,10430,10310,10190]]</t>
  </si>
  <si>
    <t>[3,[10026]],[2,[10670,10550,10430,10310,10190]]</t>
  </si>
  <si>
    <t>[3,[10026]],[2,[10790,10670,10550,10430,10310,10190]]</t>
  </si>
  <si>
    <t>[2,[10259]]</t>
  </si>
  <si>
    <t>[2,[10429,10259]]</t>
  </si>
  <si>
    <t>[2,[10599,10429,10259]]</t>
  </si>
  <si>
    <t>[2,[10769,10599,10429,10259]]</t>
  </si>
  <si>
    <t>[2,[10090,10769,10599,10429,10259]]</t>
  </si>
  <si>
    <t>[2,[10289]]</t>
  </si>
  <si>
    <t>[2,[10459,10289]]</t>
  </si>
  <si>
    <t>[2,[10629,10459,10289]]</t>
  </si>
  <si>
    <t>[2,[10799,10629,10459,10289]]</t>
  </si>
  <si>
    <t>[2,[10120,10799,10629,10459,10289]]</t>
  </si>
  <si>
    <t>[2,[10279]]</t>
  </si>
  <si>
    <t>[2,[10449,10279]]</t>
  </si>
  <si>
    <t>[2,[10619,10449,10279]]</t>
  </si>
  <si>
    <t>[2,[10789,10619,10449,10279]]</t>
  </si>
  <si>
    <t>[2,[10110,10789,10619,10449,10279]]</t>
  </si>
  <si>
    <t>[2,[10159]]</t>
  </si>
  <si>
    <t>[2,[10329,10159]]</t>
  </si>
  <si>
    <t>[2,[10499,10329,10159]]</t>
  </si>
  <si>
    <t>[2,[10669,10499,10329,10159]]</t>
  </si>
  <si>
    <t>[2,[10839,10669,10499,10329,10159]]</t>
  </si>
  <si>
    <t>[2,[10189]]</t>
  </si>
  <si>
    <t>[2,[10359,10189]]</t>
  </si>
  <si>
    <t>[2,[10529,10359,10189]]</t>
  </si>
  <si>
    <t>[2,[10699,10529,10359,10189]]</t>
  </si>
  <si>
    <t>[2,[10869,10699,10529,10359,10189]]</t>
  </si>
  <si>
    <t>[2,[10219]]</t>
  </si>
  <si>
    <t>[2,[10389,10219]]</t>
  </si>
  <si>
    <t>[2,[10559,10389,10219]]</t>
  </si>
  <si>
    <t>[2,[10729,10559,10389,10219]]</t>
  </si>
  <si>
    <t>[2,[10899,10729,10559,10389,10219]]</t>
  </si>
  <si>
    <t>[2,[10050,10899,10729,10559,10389,10219]]</t>
  </si>
  <si>
    <t>[2,[10176]]</t>
  </si>
  <si>
    <t>[2,[10336,10176]]</t>
  </si>
  <si>
    <t>[2,[10496,10336,10176]]</t>
  </si>
  <si>
    <t>[2,[10656,10496,10336,10176]]</t>
  </si>
  <si>
    <t>[2,[10816,10656,10496,10336,10176]]</t>
  </si>
  <si>
    <t>[2,[10119,10816,10656,10496,10336,10176]]</t>
  </si>
  <si>
    <t>[2,[10166]]</t>
  </si>
  <si>
    <t>[2,[10326,10166]]</t>
  </si>
  <si>
    <t>[2,[10486,10326,10166]]</t>
  </si>
  <si>
    <t>[2,[10646,10486,10326,10166]]</t>
  </si>
  <si>
    <t>[2,[10806,10646,10486,10326,10166]]</t>
  </si>
  <si>
    <t>[2,[10109,10806,10646,10486,10326,10166]]</t>
  </si>
  <si>
    <t>[2,[10129]]</t>
  </si>
  <si>
    <t>[2,[10299,10129]]</t>
  </si>
  <si>
    <t>[2,[10469,10299,10129]]</t>
  </si>
  <si>
    <t>[2,[10639,10469,10299,10129]]</t>
  </si>
  <si>
    <t>[2,[10809,10639,10469,10299,10129]]</t>
  </si>
  <si>
    <t>[3,[10021]],[2,[10240]]</t>
  </si>
  <si>
    <t>[3,[10021]],[2,[10360,10240]]</t>
  </si>
  <si>
    <t>[3,[10021]],[2,[10480,10360,10240]]</t>
  </si>
  <si>
    <t>[3,[10021]],[2,[10600,10480,10360,10240]]</t>
  </si>
  <si>
    <t>[3,[10021]],[2,[10720,10600,10480,10360,10240]]</t>
  </si>
  <si>
    <t>[3,[10021]],[2,[10840,10720,10600,10480,10360,10240]]</t>
  </si>
  <si>
    <t>[3,[3]]</t>
  </si>
  <si>
    <t>[3,[5]]</t>
  </si>
  <si>
    <t>[3,[7]]</t>
  </si>
  <si>
    <t>[3,[4]],[2,[10004,10025,20002,20022]]</t>
    <phoneticPr fontId="5" type="noConversion"/>
  </si>
  <si>
    <t>[3,[4]],[2,[10018,10040,20013,20034]]</t>
    <phoneticPr fontId="5" type="noConversion"/>
  </si>
  <si>
    <t>[3,[4]],[2,[10015,10039,20012,20033]]</t>
    <phoneticPr fontId="5" type="noConversion"/>
  </si>
  <si>
    <t>[3,[4]],[2,[10006,10028,20003,20023]]</t>
    <phoneticPr fontId="5" type="noConversion"/>
  </si>
  <si>
    <t>get_way</t>
    <phoneticPr fontId="6" type="noConversion"/>
  </si>
  <si>
    <t>na</t>
    <phoneticPr fontId="6" type="noConversion"/>
  </si>
  <si>
    <t>名垂青史，锋转流云</t>
    <phoneticPr fontId="5" type="noConversion"/>
  </si>
  <si>
    <t>来去自如，无影无踪</t>
    <phoneticPr fontId="5" type="noConversion"/>
  </si>
  <si>
    <t>烛照九幽，光耀日月</t>
    <phoneticPr fontId="5" type="noConversion"/>
  </si>
  <si>
    <t>光耀千里，动如雷霆</t>
    <phoneticPr fontId="5" type="noConversion"/>
  </si>
  <si>
    <t>烽火连天，残云血雨</t>
    <phoneticPr fontId="5" type="noConversion"/>
  </si>
  <si>
    <t>血魔再临，苍生罹难</t>
    <phoneticPr fontId="5" type="noConversion"/>
  </si>
  <si>
    <t>赤霄冲天，万剑齐鸣</t>
    <phoneticPr fontId="5" type="noConversion"/>
  </si>
  <si>
    <t>万兽炼魂，神灭魂离</t>
    <phoneticPr fontId="5" type="noConversion"/>
  </si>
  <si>
    <t>麒麟破阵，万夫难挡</t>
    <phoneticPr fontId="5" type="noConversion"/>
  </si>
  <si>
    <t>初始品质[整型]             
0=无品质
1=绿色       
2=蓝色     
3=紫色       
4=橙13        
5=橙16
6=红色</t>
    <phoneticPr fontId="6" type="noConversion"/>
  </si>
  <si>
    <t>chiyou_hujia</t>
  </si>
  <si>
    <t>chiyou_wuqi</t>
  </si>
  <si>
    <t>chiyou_toukui</t>
  </si>
  <si>
    <t>chiyou_xie</t>
  </si>
  <si>
    <t>自知者明，行者有志</t>
    <phoneticPr fontId="5" type="noConversion"/>
  </si>
  <si>
    <t>三尺长剑，独走天涯</t>
    <phoneticPr fontId="5" type="noConversion"/>
  </si>
  <si>
    <t>君行千里，勿忘所归</t>
    <phoneticPr fontId="5" type="noConversion"/>
  </si>
  <si>
    <t>魔主万世，弑神逆天</t>
    <phoneticPr fontId="5" type="noConversion"/>
  </si>
  <si>
    <t>魔主万世，弑神逆天</t>
    <phoneticPr fontId="5" type="noConversion"/>
  </si>
  <si>
    <t>[]</t>
    <phoneticPr fontId="5" type="noConversion"/>
  </si>
  <si>
    <t>[]</t>
  </si>
  <si>
    <r>
      <t>1,</t>
    </r>
    <r>
      <rPr>
        <sz val="10"/>
        <color theme="1"/>
        <rFont val="微软雅黑"/>
        <family val="2"/>
        <charset val="134"/>
      </rPr>
      <t>6</t>
    </r>
    <phoneticPr fontId="5" type="noConversion"/>
  </si>
  <si>
    <r>
      <t>3,</t>
    </r>
    <r>
      <rPr>
        <sz val="10"/>
        <color theme="1"/>
        <rFont val="微软雅黑"/>
        <family val="2"/>
        <charset val="134"/>
      </rPr>
      <t>8</t>
    </r>
    <phoneticPr fontId="5" type="noConversion"/>
  </si>
  <si>
    <r>
      <t>4,</t>
    </r>
    <r>
      <rPr>
        <sz val="10"/>
        <color theme="1"/>
        <rFont val="微软雅黑"/>
        <family val="2"/>
        <charset val="134"/>
      </rPr>
      <t>9</t>
    </r>
    <phoneticPr fontId="5" type="noConversion"/>
  </si>
  <si>
    <t>4,9</t>
  </si>
  <si>
    <t>3,8</t>
  </si>
  <si>
    <t>1,6</t>
  </si>
  <si>
    <t>装备精炼等级上限</t>
    <phoneticPr fontId="5" type="noConversion"/>
  </si>
  <si>
    <t>zhuangbei_jinglian_max</t>
    <phoneticPr fontId="5" type="noConversion"/>
  </si>
  <si>
    <t>i</t>
    <phoneticPr fontId="5" type="noConversion"/>
  </si>
  <si>
    <t>[[1,[48]]]</t>
  </si>
  <si>
    <t>[[1,[15]],[3,[4]],[2,[10059,10119]]]</t>
  </si>
  <si>
    <t>[[1,[15]],[3,[4]],[2,[10060,10120]]]</t>
  </si>
  <si>
    <t>[[1,[15]],[3,[4]],[2,[10050,10110]]]</t>
  </si>
  <si>
    <t>[[1,[15]],[3,[4]],[2,[10049,10109]]]</t>
  </si>
  <si>
    <t>[[1,[15]],[3,[4]],[2,[10099,10159]]]</t>
  </si>
  <si>
    <t>[[1,[15]],[3,[4]],[2,[10100,10160]]]</t>
  </si>
  <si>
    <t>[[1,[15]],[3,[4]],[2,[10090,10150]]]</t>
  </si>
  <si>
    <t>[[1,[15]],[3,[4]],[2,[10089,10149]]]</t>
  </si>
  <si>
    <t>[[1,[15]],[3,[4]],[2,[10079,10139]]]</t>
  </si>
  <si>
    <t>[[1,[15]],[3,[4]],[2,[10080,10140]]]</t>
  </si>
  <si>
    <t>[[1,[15]],[3,[4]],[2,[10070,10130]]]</t>
  </si>
  <si>
    <t>[[1,[15]],[3,[4]],[2,[10069,10129]]]</t>
  </si>
  <si>
    <t>[[1,[15]],[3,[4]],[2,[10179,10239,10299,10359]]]</t>
  </si>
  <si>
    <t>[[1,[15]],[3,[4]],[2,[10180,10240,10300,10360]]]</t>
  </si>
  <si>
    <t>[[1,[15]],[3,[4]],[2,[10170,10230,10290,10350]]]</t>
  </si>
  <si>
    <t>[[1,[15]],[3,[4]],[2,[10169,10229,10289,10349]]]</t>
  </si>
  <si>
    <t>[[1,[15]],[3,[4]],[2,[10219,10279,10339,10399]]]</t>
  </si>
  <si>
    <t>[[1,[15]],[3,[4]],[2,[10220,10280,10340,10400]]]</t>
  </si>
  <si>
    <t>[[1,[15]],[3,[4]],[2,[10210,10270,10330,10390]]]</t>
  </si>
  <si>
    <t>[[1,[15]],[3,[4]],[2,[10209,10269,10329,10389]]]</t>
  </si>
  <si>
    <t>[[1,[15]],[3,[4]],[2,[10419,10479,10539]]]</t>
  </si>
  <si>
    <t>[[1,[15]],[3,[4]],[2,[10420,10480,10540]]]</t>
  </si>
  <si>
    <t>[[1,[15]],[3,[4]],[2,[10410,10470,10530,10590]]]</t>
  </si>
  <si>
    <t>[[1,[15]],[3,[4]],[2,[10409,10469,10529,10589]]]</t>
  </si>
  <si>
    <t>[[1,[15]],[3,[4]],[2,[10439,10499,10559]]]</t>
  </si>
  <si>
    <t>[[1,[15]],[3,[4]],[2,[10440,10500,10560]]]</t>
  </si>
  <si>
    <t>[[1,[15]],[3,[4]],[2,[10430,10490,10550]]]</t>
  </si>
  <si>
    <t>[[1,[15]],[3,[4]],[2,[10429,10489,10549]]]</t>
  </si>
  <si>
    <t>[[1,[15]],[3,[4]],[2,[10459,10519,10579]]]</t>
  </si>
  <si>
    <t>[[1,[15]],[3,[4]],[2,[10460,10520,10580]]]</t>
  </si>
  <si>
    <t>[[1,[15]],[3,[4]],[2,[10450,10510,10570]]]</t>
  </si>
  <si>
    <t>[[1,[15]],[3,[4]],[2,[10449,10509,10569]]]</t>
  </si>
  <si>
    <t>[[2,[10004,10025]]]</t>
    <phoneticPr fontId="5" type="noConversion"/>
  </si>
  <si>
    <t>[[2,[10018,10040]]]</t>
    <phoneticPr fontId="5" type="noConversion"/>
  </si>
  <si>
    <t>[[2,[10006,10028]]]</t>
    <phoneticPr fontId="5" type="noConversion"/>
  </si>
  <si>
    <t>[[2,[10015,10039]]]</t>
    <phoneticPr fontId="5" type="noConversion"/>
  </si>
  <si>
    <t>蚩尤长剑10</t>
    <phoneticPr fontId="5" type="noConversion"/>
  </si>
  <si>
    <t>蚩尤长剑20</t>
    <phoneticPr fontId="5" type="noConversion"/>
  </si>
  <si>
    <t>蚩尤长剑30</t>
  </si>
  <si>
    <t>蚩尤长剑40</t>
  </si>
  <si>
    <t>蚩尤长剑50</t>
  </si>
  <si>
    <t>蚩尤长剑60</t>
  </si>
  <si>
    <t>蚩尤长剑70</t>
  </si>
  <si>
    <t>蚩尤长剑80</t>
  </si>
  <si>
    <t>蚩尤长剑90</t>
  </si>
  <si>
    <t>蚩尤长剑100</t>
  </si>
  <si>
    <t>蚩尤长剑110</t>
  </si>
  <si>
    <t>蚩尤长剑120</t>
  </si>
  <si>
    <t>蚩尤长剑130</t>
  </si>
  <si>
    <t>蚩尤长剑140</t>
  </si>
  <si>
    <t>蚩尤长剑150</t>
  </si>
  <si>
    <t>蚩尤战甲20</t>
    <phoneticPr fontId="5" type="noConversion"/>
  </si>
  <si>
    <t>蚩尤战甲30</t>
  </si>
  <si>
    <t>蚩尤战甲40</t>
  </si>
  <si>
    <t>蚩尤战甲50</t>
  </si>
  <si>
    <t>蚩尤战甲60</t>
  </si>
  <si>
    <t>蚩尤战甲70</t>
  </si>
  <si>
    <t>蚩尤战甲80</t>
  </si>
  <si>
    <t>蚩尤战甲90</t>
  </si>
  <si>
    <t>蚩尤战甲100</t>
  </si>
  <si>
    <t>蚩尤战甲110</t>
  </si>
  <si>
    <t>蚩尤战甲120</t>
  </si>
  <si>
    <t>蚩尤战甲130</t>
  </si>
  <si>
    <t>蚩尤战甲140</t>
  </si>
  <si>
    <t>蚩尤战甲150</t>
  </si>
  <si>
    <t>蚩尤头盔10</t>
    <phoneticPr fontId="5" type="noConversion"/>
  </si>
  <si>
    <t>蚩尤头盔20</t>
    <phoneticPr fontId="5" type="noConversion"/>
  </si>
  <si>
    <t>蚩尤头盔30</t>
  </si>
  <si>
    <t>蚩尤头盔40</t>
  </si>
  <si>
    <t>蚩尤头盔50</t>
  </si>
  <si>
    <t>蚩尤头盔60</t>
  </si>
  <si>
    <t>蚩尤头盔70</t>
  </si>
  <si>
    <t>蚩尤头盔80</t>
  </si>
  <si>
    <t>蚩尤头盔90</t>
  </si>
  <si>
    <t>蚩尤头盔100</t>
  </si>
  <si>
    <t>蚩尤头盔110</t>
  </si>
  <si>
    <t>蚩尤头盔120</t>
  </si>
  <si>
    <t>蚩尤头盔130</t>
  </si>
  <si>
    <t>蚩尤头盔140</t>
  </si>
  <si>
    <t>蚩尤头盔150</t>
  </si>
  <si>
    <t>蚩尤战靴10</t>
    <phoneticPr fontId="5" type="noConversion"/>
  </si>
  <si>
    <t>蚩尤战靴20</t>
    <phoneticPr fontId="5" type="noConversion"/>
  </si>
  <si>
    <t>蚩尤战靴30</t>
  </si>
  <si>
    <t>蚩尤战靴40</t>
  </si>
  <si>
    <t>蚩尤战靴50</t>
  </si>
  <si>
    <t>蚩尤战靴60</t>
  </si>
  <si>
    <t>蚩尤战靴70</t>
  </si>
  <si>
    <t>蚩尤战靴80</t>
  </si>
  <si>
    <t>蚩尤战靴90</t>
  </si>
  <si>
    <t>蚩尤战靴100</t>
  </si>
  <si>
    <t>蚩尤战靴110</t>
  </si>
  <si>
    <t>蚩尤战靴120</t>
  </si>
  <si>
    <t>蚩尤战靴130</t>
  </si>
  <si>
    <t>蚩尤战靴140</t>
  </si>
  <si>
    <t>蚩尤战靴150</t>
  </si>
  <si>
    <t>天罡战甲10</t>
    <phoneticPr fontId="5" type="noConversion"/>
  </si>
  <si>
    <t>天罡战甲20</t>
    <phoneticPr fontId="5" type="noConversion"/>
  </si>
  <si>
    <t>天罡战甲30</t>
  </si>
  <si>
    <t>天罡战甲40</t>
  </si>
  <si>
    <t>天罡战甲50</t>
  </si>
  <si>
    <t>天罡战甲60</t>
  </si>
  <si>
    <t>天罡战甲70</t>
  </si>
  <si>
    <t>天罡战甲80</t>
  </si>
  <si>
    <t>天罡战甲90</t>
  </si>
  <si>
    <t>天罡战甲100</t>
  </si>
  <si>
    <t>天罡战甲110</t>
  </si>
  <si>
    <t>天罡战甲120</t>
  </si>
  <si>
    <t>天罡战甲130</t>
  </si>
  <si>
    <t>天罡战甲140</t>
  </si>
  <si>
    <t>天罡战甲150</t>
  </si>
  <si>
    <t>天罡长剑10</t>
    <phoneticPr fontId="5" type="noConversion"/>
  </si>
  <si>
    <t>天罡长剑20</t>
    <phoneticPr fontId="5" type="noConversion"/>
  </si>
  <si>
    <t>天罡长剑30</t>
  </si>
  <si>
    <t>天罡长剑40</t>
  </si>
  <si>
    <t>天罡长剑50</t>
  </si>
  <si>
    <t>天罡长剑60</t>
  </si>
  <si>
    <t>天罡长剑70</t>
  </si>
  <si>
    <t>天罡长剑80</t>
  </si>
  <si>
    <t>天罡长剑90</t>
  </si>
  <si>
    <t>天罡长剑100</t>
  </si>
  <si>
    <t>天罡长剑110</t>
  </si>
  <si>
    <t>天罡长剑120</t>
  </si>
  <si>
    <t>天罡长剑130</t>
  </si>
  <si>
    <t>天罡长剑140</t>
  </si>
  <si>
    <t>天罡长剑150</t>
  </si>
  <si>
    <t>天罡头盔10</t>
    <phoneticPr fontId="5" type="noConversion"/>
  </si>
  <si>
    <t>天罡头盔20</t>
    <phoneticPr fontId="5" type="noConversion"/>
  </si>
  <si>
    <t>天罡头盔30</t>
  </si>
  <si>
    <t>天罡头盔40</t>
  </si>
  <si>
    <t>天罡头盔50</t>
  </si>
  <si>
    <t>天罡头盔60</t>
  </si>
  <si>
    <t>天罡头盔70</t>
  </si>
  <si>
    <t>天罡头盔80</t>
  </si>
  <si>
    <t>天罡头盔90</t>
  </si>
  <si>
    <t>天罡头盔100</t>
  </si>
  <si>
    <t>天罡头盔110</t>
  </si>
  <si>
    <t>天罡头盔120</t>
  </si>
  <si>
    <t>天罡头盔130</t>
  </si>
  <si>
    <t>天罡头盔140</t>
  </si>
  <si>
    <t>天罡头盔150</t>
  </si>
  <si>
    <t>天罡战靴10</t>
    <phoneticPr fontId="5" type="noConversion"/>
  </si>
  <si>
    <t>天罡战靴20</t>
    <phoneticPr fontId="5" type="noConversion"/>
  </si>
  <si>
    <t>天罡战靴30</t>
  </si>
  <si>
    <t>天罡战靴40</t>
  </si>
  <si>
    <t>天罡战靴50</t>
  </si>
  <si>
    <t>天罡战靴60</t>
  </si>
  <si>
    <t>天罡战靴70</t>
  </si>
  <si>
    <t>天罡战靴80</t>
  </si>
  <si>
    <t>天罡战靴90</t>
  </si>
  <si>
    <t>天罡战靴100</t>
  </si>
  <si>
    <t>天罡战靴110</t>
  </si>
  <si>
    <t>天罡战靴120</t>
  </si>
  <si>
    <t>天罡战靴130</t>
  </si>
  <si>
    <t>天罡战靴140</t>
  </si>
  <si>
    <t>天罡战靴150</t>
  </si>
  <si>
    <t>降魔战甲10</t>
    <phoneticPr fontId="5" type="noConversion"/>
  </si>
  <si>
    <t>降魔战甲20</t>
    <phoneticPr fontId="5" type="noConversion"/>
  </si>
  <si>
    <t>降魔战甲30</t>
  </si>
  <si>
    <t>降魔战甲40</t>
  </si>
  <si>
    <t>降魔战甲50</t>
  </si>
  <si>
    <t>降魔战甲60</t>
  </si>
  <si>
    <t>降魔战甲70</t>
  </si>
  <si>
    <t>降魔战甲80</t>
  </si>
  <si>
    <t>降魔战甲90</t>
  </si>
  <si>
    <t>降魔战甲100</t>
  </si>
  <si>
    <t>降魔战甲110</t>
  </si>
  <si>
    <t>降魔战甲120</t>
  </si>
  <si>
    <t>降魔战甲130</t>
  </si>
  <si>
    <t>降魔战甲140</t>
  </si>
  <si>
    <t>降魔战甲150</t>
  </si>
  <si>
    <t>降魔长剑10</t>
    <phoneticPr fontId="5" type="noConversion"/>
  </si>
  <si>
    <t>降魔长剑20</t>
    <phoneticPr fontId="5" type="noConversion"/>
  </si>
  <si>
    <t>降魔长剑30</t>
  </si>
  <si>
    <t>降魔长剑40</t>
  </si>
  <si>
    <t>降魔长剑50</t>
  </si>
  <si>
    <t>降魔长剑60</t>
  </si>
  <si>
    <t>降魔长剑70</t>
  </si>
  <si>
    <t>降魔长剑80</t>
  </si>
  <si>
    <t>降魔长剑90</t>
  </si>
  <si>
    <t>降魔长剑100</t>
  </si>
  <si>
    <t>降魔长剑110</t>
  </si>
  <si>
    <t>降魔长剑120</t>
  </si>
  <si>
    <t>降魔长剑130</t>
  </si>
  <si>
    <t>降魔长剑140</t>
  </si>
  <si>
    <t>降魔长剑150</t>
  </si>
  <si>
    <r>
      <t>降魔头盔1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</si>
  <si>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降魔头盔2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</si>
  <si>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降魔头盔30</t>
    </r>
    <r>
      <rPr>
        <sz val="10"/>
        <color theme="1"/>
        <rFont val="微软雅黑"/>
        <family val="2"/>
        <charset val="134"/>
      </rPr>
      <t/>
    </r>
  </si>
  <si>
    <r>
      <t>降魔头盔40</t>
    </r>
    <r>
      <rPr>
        <sz val="10"/>
        <color theme="1"/>
        <rFont val="微软雅黑"/>
        <family val="2"/>
        <charset val="134"/>
      </rPr>
      <t/>
    </r>
  </si>
  <si>
    <r>
      <t>降魔头盔50</t>
    </r>
    <r>
      <rPr>
        <sz val="10"/>
        <color theme="1"/>
        <rFont val="微软雅黑"/>
        <family val="2"/>
        <charset val="134"/>
      </rPr>
      <t/>
    </r>
  </si>
  <si>
    <r>
      <t>降魔头盔60</t>
    </r>
    <r>
      <rPr>
        <sz val="10"/>
        <color theme="1"/>
        <rFont val="微软雅黑"/>
        <family val="2"/>
        <charset val="134"/>
      </rPr>
      <t/>
    </r>
  </si>
  <si>
    <r>
      <t>降魔头盔70</t>
    </r>
    <r>
      <rPr>
        <sz val="10"/>
        <color theme="1"/>
        <rFont val="微软雅黑"/>
        <family val="2"/>
        <charset val="134"/>
      </rPr>
      <t/>
    </r>
  </si>
  <si>
    <r>
      <t>降魔头盔80</t>
    </r>
    <r>
      <rPr>
        <sz val="10"/>
        <color theme="1"/>
        <rFont val="微软雅黑"/>
        <family val="2"/>
        <charset val="134"/>
      </rPr>
      <t/>
    </r>
  </si>
  <si>
    <r>
      <t>降魔头盔90</t>
    </r>
    <r>
      <rPr>
        <sz val="10"/>
        <color theme="1"/>
        <rFont val="微软雅黑"/>
        <family val="2"/>
        <charset val="134"/>
      </rPr>
      <t/>
    </r>
  </si>
  <si>
    <r>
      <t>降魔头盔100</t>
    </r>
    <r>
      <rPr>
        <sz val="10"/>
        <color theme="1"/>
        <rFont val="微软雅黑"/>
        <family val="2"/>
        <charset val="134"/>
      </rPr>
      <t/>
    </r>
  </si>
  <si>
    <r>
      <t>降魔头盔110</t>
    </r>
    <r>
      <rPr>
        <sz val="10"/>
        <color theme="1"/>
        <rFont val="微软雅黑"/>
        <family val="2"/>
        <charset val="134"/>
      </rPr>
      <t/>
    </r>
  </si>
  <si>
    <r>
      <t>降魔头盔120</t>
    </r>
    <r>
      <rPr>
        <sz val="10"/>
        <color theme="1"/>
        <rFont val="微软雅黑"/>
        <family val="2"/>
        <charset val="134"/>
      </rPr>
      <t/>
    </r>
  </si>
  <si>
    <r>
      <t>降魔头盔130</t>
    </r>
    <r>
      <rPr>
        <sz val="10"/>
        <color theme="1"/>
        <rFont val="微软雅黑"/>
        <family val="2"/>
        <charset val="134"/>
      </rPr>
      <t/>
    </r>
  </si>
  <si>
    <r>
      <t>降魔头盔140</t>
    </r>
    <r>
      <rPr>
        <sz val="10"/>
        <color theme="1"/>
        <rFont val="微软雅黑"/>
        <family val="2"/>
        <charset val="134"/>
      </rPr>
      <t/>
    </r>
  </si>
  <si>
    <r>
      <t>降魔头盔150</t>
    </r>
    <r>
      <rPr>
        <sz val="10"/>
        <color theme="1"/>
        <rFont val="微软雅黑"/>
        <family val="2"/>
        <charset val="134"/>
      </rPr>
      <t/>
    </r>
  </si>
  <si>
    <t>蚩尤战甲10</t>
    <phoneticPr fontId="5" type="noConversion"/>
  </si>
  <si>
    <r>
      <t>降魔战靴1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</si>
  <si>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降魔战靴2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</si>
  <si>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降魔战靴30</t>
    </r>
    <r>
      <rPr>
        <sz val="10"/>
        <color theme="1"/>
        <rFont val="微软雅黑"/>
        <family val="2"/>
        <charset val="134"/>
      </rPr>
      <t/>
    </r>
  </si>
  <si>
    <r>
      <t>降魔战靴40</t>
    </r>
    <r>
      <rPr>
        <sz val="10"/>
        <color theme="1"/>
        <rFont val="微软雅黑"/>
        <family val="2"/>
        <charset val="134"/>
      </rPr>
      <t/>
    </r>
  </si>
  <si>
    <r>
      <t>降魔战靴50</t>
    </r>
    <r>
      <rPr>
        <sz val="10"/>
        <color theme="1"/>
        <rFont val="微软雅黑"/>
        <family val="2"/>
        <charset val="134"/>
      </rPr>
      <t/>
    </r>
  </si>
  <si>
    <r>
      <t>降魔战靴60</t>
    </r>
    <r>
      <rPr>
        <sz val="10"/>
        <color theme="1"/>
        <rFont val="微软雅黑"/>
        <family val="2"/>
        <charset val="134"/>
      </rPr>
      <t/>
    </r>
  </si>
  <si>
    <r>
      <t>降魔战靴70</t>
    </r>
    <r>
      <rPr>
        <sz val="10"/>
        <color theme="1"/>
        <rFont val="微软雅黑"/>
        <family val="2"/>
        <charset val="134"/>
      </rPr>
      <t/>
    </r>
  </si>
  <si>
    <r>
      <t>降魔战靴80</t>
    </r>
    <r>
      <rPr>
        <sz val="10"/>
        <color theme="1"/>
        <rFont val="微软雅黑"/>
        <family val="2"/>
        <charset val="134"/>
      </rPr>
      <t/>
    </r>
  </si>
  <si>
    <r>
      <t>降魔战靴90</t>
    </r>
    <r>
      <rPr>
        <sz val="10"/>
        <color theme="1"/>
        <rFont val="微软雅黑"/>
        <family val="2"/>
        <charset val="134"/>
      </rPr>
      <t/>
    </r>
  </si>
  <si>
    <r>
      <t>降魔战靴100</t>
    </r>
    <r>
      <rPr>
        <sz val="10"/>
        <color theme="1"/>
        <rFont val="微软雅黑"/>
        <family val="2"/>
        <charset val="134"/>
      </rPr>
      <t/>
    </r>
  </si>
  <si>
    <r>
      <t>降魔战靴110</t>
    </r>
    <r>
      <rPr>
        <sz val="10"/>
        <color theme="1"/>
        <rFont val="微软雅黑"/>
        <family val="2"/>
        <charset val="134"/>
      </rPr>
      <t/>
    </r>
  </si>
  <si>
    <r>
      <t>降魔战靴120</t>
    </r>
    <r>
      <rPr>
        <sz val="10"/>
        <color theme="1"/>
        <rFont val="微软雅黑"/>
        <family val="2"/>
        <charset val="134"/>
      </rPr>
      <t/>
    </r>
  </si>
  <si>
    <r>
      <t>降魔战靴130</t>
    </r>
    <r>
      <rPr>
        <sz val="10"/>
        <color theme="1"/>
        <rFont val="微软雅黑"/>
        <family val="2"/>
        <charset val="134"/>
      </rPr>
      <t/>
    </r>
  </si>
  <si>
    <r>
      <t>降魔战靴140</t>
    </r>
    <r>
      <rPr>
        <sz val="10"/>
        <color theme="1"/>
        <rFont val="微软雅黑"/>
        <family val="2"/>
        <charset val="134"/>
      </rPr>
      <t/>
    </r>
  </si>
  <si>
    <r>
      <t>降魔战靴150</t>
    </r>
    <r>
      <rPr>
        <sz val="10"/>
        <color theme="1"/>
        <rFont val="微软雅黑"/>
        <family val="2"/>
        <charset val="134"/>
      </rPr>
      <t/>
    </r>
  </si>
  <si>
    <t>血魔战甲10</t>
    <phoneticPr fontId="5" type="noConversion"/>
  </si>
  <si>
    <t>血魔战甲20</t>
    <phoneticPr fontId="5" type="noConversion"/>
  </si>
  <si>
    <t>血魔战甲30</t>
  </si>
  <si>
    <t>血魔战甲40</t>
  </si>
  <si>
    <t>血魔战甲50</t>
  </si>
  <si>
    <t>血魔战甲60</t>
  </si>
  <si>
    <t>血魔战甲70</t>
  </si>
  <si>
    <t>血魔战甲80</t>
  </si>
  <si>
    <t>血魔战甲90</t>
  </si>
  <si>
    <t>血魔战甲100</t>
  </si>
  <si>
    <t>血魔战甲110</t>
  </si>
  <si>
    <t>血魔战甲120</t>
  </si>
  <si>
    <t>血魔战甲130</t>
  </si>
  <si>
    <t>血魔战甲140</t>
  </si>
  <si>
    <t>血魔战甲150</t>
  </si>
  <si>
    <t>赤霄长剑10</t>
    <phoneticPr fontId="5" type="noConversion"/>
  </si>
  <si>
    <t>赤霄长剑20</t>
    <phoneticPr fontId="5" type="noConversion"/>
  </si>
  <si>
    <t>赤霄长剑30</t>
  </si>
  <si>
    <t>赤霄长剑40</t>
  </si>
  <si>
    <t>赤霄长剑50</t>
  </si>
  <si>
    <t>赤霄长剑60</t>
  </si>
  <si>
    <t>赤霄长剑70</t>
  </si>
  <si>
    <t>赤霄长剑80</t>
  </si>
  <si>
    <t>赤霄长剑90</t>
  </si>
  <si>
    <t>赤霄长剑100</t>
  </si>
  <si>
    <t>赤霄长剑110</t>
  </si>
  <si>
    <t>赤霄长剑120</t>
  </si>
  <si>
    <t>赤霄长剑130</t>
  </si>
  <si>
    <t>赤霄长剑140</t>
  </si>
  <si>
    <t>赤霄长剑150</t>
  </si>
  <si>
    <t>麒麟头盔10</t>
    <phoneticPr fontId="5" type="noConversion"/>
  </si>
  <si>
    <t>麒麟头盔20</t>
    <phoneticPr fontId="5" type="noConversion"/>
  </si>
  <si>
    <t>麒麟头盔30</t>
  </si>
  <si>
    <t>麒麟头盔40</t>
  </si>
  <si>
    <t>麒麟头盔50</t>
  </si>
  <si>
    <t>麒麟头盔60</t>
  </si>
  <si>
    <t>麒麟头盔70</t>
  </si>
  <si>
    <t>麒麟头盔80</t>
  </si>
  <si>
    <t>麒麟头盔90</t>
  </si>
  <si>
    <t>麒麟头盔100</t>
  </si>
  <si>
    <t>麒麟头盔110</t>
  </si>
  <si>
    <t>麒麟头盔120</t>
  </si>
  <si>
    <t>麒麟头盔130</t>
  </si>
  <si>
    <t>麒麟头盔140</t>
  </si>
  <si>
    <t>麒麟头盔150</t>
  </si>
  <si>
    <t>兽魂战靴10</t>
    <phoneticPr fontId="5" type="noConversion"/>
  </si>
  <si>
    <t>兽魂战靴20</t>
    <phoneticPr fontId="5" type="noConversion"/>
  </si>
  <si>
    <t>兽魂战靴30</t>
  </si>
  <si>
    <t>兽魂战靴40</t>
  </si>
  <si>
    <t>兽魂战靴50</t>
  </si>
  <si>
    <t>兽魂战靴60</t>
  </si>
  <si>
    <t>兽魂战靴70</t>
  </si>
  <si>
    <t>兽魂战靴80</t>
  </si>
  <si>
    <t>兽魂战靴90</t>
  </si>
  <si>
    <t>兽魂战靴100</t>
  </si>
  <si>
    <t>兽魂战靴110</t>
  </si>
  <si>
    <t>兽魂战靴120</t>
  </si>
  <si>
    <t>兽魂战靴130</t>
  </si>
  <si>
    <t>兽魂战靴140</t>
  </si>
  <si>
    <t>兽魂战靴150</t>
  </si>
  <si>
    <t>磐石战甲10</t>
    <phoneticPr fontId="5" type="noConversion"/>
  </si>
  <si>
    <t>磐石战甲20</t>
    <phoneticPr fontId="5" type="noConversion"/>
  </si>
  <si>
    <t>磐石战甲30</t>
  </si>
  <si>
    <t>磐石战甲40</t>
  </si>
  <si>
    <t>磐石战甲50</t>
  </si>
  <si>
    <t>磐石战甲60</t>
  </si>
  <si>
    <t>磐石战甲70</t>
  </si>
  <si>
    <t>磐石战甲80</t>
  </si>
  <si>
    <t>磐石战甲90</t>
  </si>
  <si>
    <t>磐石战甲100</t>
  </si>
  <si>
    <t>磐石战甲110</t>
  </si>
  <si>
    <t>磐石战甲120</t>
  </si>
  <si>
    <t>磐石战甲130</t>
  </si>
  <si>
    <t>磐石战甲140</t>
  </si>
  <si>
    <t>磐石战甲150</t>
  </si>
  <si>
    <t>磐石长剑10</t>
    <phoneticPr fontId="5" type="noConversion"/>
  </si>
  <si>
    <t>磐石长剑20</t>
    <phoneticPr fontId="5" type="noConversion"/>
  </si>
  <si>
    <t>磐石长剑30</t>
  </si>
  <si>
    <t>磐石长剑40</t>
  </si>
  <si>
    <t>磐石长剑50</t>
  </si>
  <si>
    <t>磐石长剑60</t>
  </si>
  <si>
    <t>磐石长剑70</t>
  </si>
  <si>
    <t>磐石长剑80</t>
  </si>
  <si>
    <t>磐石长剑90</t>
  </si>
  <si>
    <t>磐石长剑100</t>
  </si>
  <si>
    <t>磐石长剑110</t>
  </si>
  <si>
    <t>磐石长剑120</t>
  </si>
  <si>
    <t>磐石长剑130</t>
  </si>
  <si>
    <t>磐石长剑140</t>
  </si>
  <si>
    <t>磐石长剑150</t>
  </si>
  <si>
    <t>磐石头盔10</t>
    <phoneticPr fontId="5" type="noConversion"/>
  </si>
  <si>
    <t>磐石头盔20</t>
    <phoneticPr fontId="5" type="noConversion"/>
  </si>
  <si>
    <t>磐石头盔30</t>
  </si>
  <si>
    <t>磐石头盔40</t>
  </si>
  <si>
    <t>磐石头盔50</t>
  </si>
  <si>
    <t>磐石头盔60</t>
  </si>
  <si>
    <t>磐石头盔70</t>
  </si>
  <si>
    <t>磐石头盔80</t>
  </si>
  <si>
    <t>磐石头盔90</t>
  </si>
  <si>
    <t>磐石头盔100</t>
  </si>
  <si>
    <t>磐石头盔110</t>
  </si>
  <si>
    <t>磐石头盔120</t>
  </si>
  <si>
    <t>磐石头盔130</t>
  </si>
  <si>
    <t>磐石头盔140</t>
  </si>
  <si>
    <t>磐石头盔150</t>
  </si>
  <si>
    <t>磐石战靴10</t>
    <phoneticPr fontId="5" type="noConversion"/>
  </si>
  <si>
    <t>磐石战靴20</t>
    <phoneticPr fontId="5" type="noConversion"/>
  </si>
  <si>
    <t>磐石战靴30</t>
  </si>
  <si>
    <t>磐石战靴40</t>
  </si>
  <si>
    <t>磐石战靴50</t>
  </si>
  <si>
    <t>磐石战靴60</t>
  </si>
  <si>
    <t>磐石战靴70</t>
  </si>
  <si>
    <t>磐石战靴80</t>
  </si>
  <si>
    <t>磐石战靴90</t>
  </si>
  <si>
    <t>磐石战靴100</t>
  </si>
  <si>
    <t>磐石战靴110</t>
  </si>
  <si>
    <t>磐石战靴120</t>
  </si>
  <si>
    <t>磐石战靴130</t>
  </si>
  <si>
    <t>磐石战靴140</t>
  </si>
  <si>
    <t>磐石战靴150</t>
  </si>
  <si>
    <t>连云战甲10</t>
    <phoneticPr fontId="5" type="noConversion"/>
  </si>
  <si>
    <t>连云战甲20</t>
    <phoneticPr fontId="5" type="noConversion"/>
  </si>
  <si>
    <t>连云战甲30</t>
  </si>
  <si>
    <t>连云战甲40</t>
  </si>
  <si>
    <t>连云战甲50</t>
  </si>
  <si>
    <t>连云战甲60</t>
  </si>
  <si>
    <t>连云战甲70</t>
  </si>
  <si>
    <t>连云战甲80</t>
  </si>
  <si>
    <t>连云战甲90</t>
  </si>
  <si>
    <t>连云战甲100</t>
  </si>
  <si>
    <t>连云战甲110</t>
  </si>
  <si>
    <t>连云战甲120</t>
  </si>
  <si>
    <t>连云战甲130</t>
  </si>
  <si>
    <t>连云战甲140</t>
  </si>
  <si>
    <t>连云战甲150</t>
  </si>
  <si>
    <t>紫阳长剑10</t>
    <phoneticPr fontId="5" type="noConversion"/>
  </si>
  <si>
    <t>紫阳长剑20</t>
    <phoneticPr fontId="5" type="noConversion"/>
  </si>
  <si>
    <t>紫阳长剑30</t>
  </si>
  <si>
    <t>紫阳长剑40</t>
  </si>
  <si>
    <t>紫阳长剑50</t>
  </si>
  <si>
    <t>紫阳长剑60</t>
  </si>
  <si>
    <t>紫阳长剑70</t>
  </si>
  <si>
    <t>紫阳长剑80</t>
  </si>
  <si>
    <t>紫阳长剑90</t>
  </si>
  <si>
    <t>紫阳长剑100</t>
  </si>
  <si>
    <t>紫阳长剑110</t>
  </si>
  <si>
    <t>紫阳长剑120</t>
  </si>
  <si>
    <t>紫阳长剑130</t>
  </si>
  <si>
    <t>紫阳长剑140</t>
  </si>
  <si>
    <t>紫阳长剑150</t>
  </si>
  <si>
    <t>耀日头盔10</t>
    <phoneticPr fontId="5" type="noConversion"/>
  </si>
  <si>
    <t>耀日头盔20</t>
    <phoneticPr fontId="5" type="noConversion"/>
  </si>
  <si>
    <t>耀日头盔30</t>
  </si>
  <si>
    <t>耀日头盔40</t>
  </si>
  <si>
    <t>耀日头盔50</t>
  </si>
  <si>
    <t>耀日头盔60</t>
  </si>
  <si>
    <t>耀日头盔70</t>
  </si>
  <si>
    <t>耀日头盔80</t>
  </si>
  <si>
    <t>耀日头盔90</t>
  </si>
  <si>
    <t>耀日头盔100</t>
  </si>
  <si>
    <t>耀日头盔110</t>
  </si>
  <si>
    <t>耀日头盔120</t>
  </si>
  <si>
    <t>耀日头盔130</t>
  </si>
  <si>
    <t>耀日头盔140</t>
  </si>
  <si>
    <t>耀日头盔150</t>
  </si>
  <si>
    <t>雷霆战靴10</t>
    <phoneticPr fontId="5" type="noConversion"/>
  </si>
  <si>
    <t>雷霆战靴20</t>
    <phoneticPr fontId="5" type="noConversion"/>
  </si>
  <si>
    <t>雷霆战靴30</t>
  </si>
  <si>
    <t>雷霆战靴40</t>
  </si>
  <si>
    <t>雷霆战靴50</t>
  </si>
  <si>
    <t>雷霆战靴60</t>
  </si>
  <si>
    <t>雷霆战靴70</t>
  </si>
  <si>
    <t>雷霆战靴80</t>
  </si>
  <si>
    <t>雷霆战靴90</t>
  </si>
  <si>
    <t>雷霆战靴100</t>
  </si>
  <si>
    <t>雷霆战靴110</t>
  </si>
  <si>
    <t>雷霆战靴120</t>
  </si>
  <si>
    <t>雷霆战靴130</t>
  </si>
  <si>
    <t>雷霆战靴140</t>
  </si>
  <si>
    <t>雷霆战靴150</t>
  </si>
  <si>
    <t>护卫战甲10</t>
    <phoneticPr fontId="5" type="noConversion"/>
  </si>
  <si>
    <t>护卫战甲20</t>
    <phoneticPr fontId="5" type="noConversion"/>
  </si>
  <si>
    <t>护卫战甲30</t>
  </si>
  <si>
    <t>护卫战甲40</t>
  </si>
  <si>
    <t>护卫战甲50</t>
  </si>
  <si>
    <t>护卫战甲60</t>
  </si>
  <si>
    <t>护卫战甲70</t>
  </si>
  <si>
    <t>护卫战甲80</t>
  </si>
  <si>
    <t>护卫战甲90</t>
  </si>
  <si>
    <t>护卫战甲100</t>
  </si>
  <si>
    <t>护卫战甲110</t>
  </si>
  <si>
    <t>护卫战甲120</t>
  </si>
  <si>
    <t>护卫战甲130</t>
  </si>
  <si>
    <t>护卫战甲140</t>
  </si>
  <si>
    <t>护卫战甲150</t>
  </si>
  <si>
    <t>护卫长剑10</t>
    <phoneticPr fontId="5" type="noConversion"/>
  </si>
  <si>
    <t>护卫长剑20</t>
    <phoneticPr fontId="5" type="noConversion"/>
  </si>
  <si>
    <t>护卫长剑30</t>
  </si>
  <si>
    <t>护卫长剑40</t>
  </si>
  <si>
    <t>护卫长剑50</t>
  </si>
  <si>
    <t>护卫长剑60</t>
  </si>
  <si>
    <t>护卫长剑70</t>
  </si>
  <si>
    <t>护卫长剑80</t>
  </si>
  <si>
    <t>护卫长剑90</t>
  </si>
  <si>
    <t>护卫长剑100</t>
  </si>
  <si>
    <t>护卫长剑110</t>
  </si>
  <si>
    <t>护卫长剑120</t>
  </si>
  <si>
    <t>护卫长剑130</t>
  </si>
  <si>
    <t>护卫长剑140</t>
  </si>
  <si>
    <t>护卫长剑150</t>
  </si>
  <si>
    <t>护卫头盔10</t>
    <phoneticPr fontId="5" type="noConversion"/>
  </si>
  <si>
    <t>护卫头盔20</t>
    <phoneticPr fontId="5" type="noConversion"/>
  </si>
  <si>
    <t>护卫头盔30</t>
  </si>
  <si>
    <t>护卫头盔40</t>
  </si>
  <si>
    <t>护卫头盔50</t>
  </si>
  <si>
    <t>护卫头盔60</t>
  </si>
  <si>
    <t>护卫头盔70</t>
  </si>
  <si>
    <t>护卫头盔80</t>
  </si>
  <si>
    <t>护卫头盔90</t>
  </si>
  <si>
    <t>护卫头盔100</t>
  </si>
  <si>
    <t>护卫头盔110</t>
  </si>
  <si>
    <t>护卫头盔120</t>
  </si>
  <si>
    <t>护卫头盔130</t>
  </si>
  <si>
    <t>护卫头盔140</t>
  </si>
  <si>
    <t>护卫头盔150</t>
  </si>
  <si>
    <t>护卫战靴10</t>
    <phoneticPr fontId="5" type="noConversion"/>
  </si>
  <si>
    <t>护卫战靴20</t>
    <phoneticPr fontId="5" type="noConversion"/>
  </si>
  <si>
    <t>护卫战靴30</t>
  </si>
  <si>
    <t>护卫战靴40</t>
  </si>
  <si>
    <t>护卫战靴50</t>
  </si>
  <si>
    <t>护卫战靴60</t>
  </si>
  <si>
    <t>护卫战靴70</t>
  </si>
  <si>
    <t>护卫战靴80</t>
  </si>
  <si>
    <t>护卫战靴90</t>
  </si>
  <si>
    <t>护卫战靴100</t>
  </si>
  <si>
    <t>护卫战靴110</t>
  </si>
  <si>
    <t>护卫战靴120</t>
  </si>
  <si>
    <t>护卫战靴130</t>
  </si>
  <si>
    <t>护卫战靴140</t>
  </si>
  <si>
    <t>护卫战靴150</t>
  </si>
  <si>
    <t>破魔战甲10</t>
    <phoneticPr fontId="5" type="noConversion"/>
  </si>
  <si>
    <t>破魔战甲20</t>
    <phoneticPr fontId="5" type="noConversion"/>
  </si>
  <si>
    <t>破魔战甲30</t>
  </si>
  <si>
    <t>破魔战甲40</t>
  </si>
  <si>
    <t>破魔战甲50</t>
  </si>
  <si>
    <t>破魔战甲60</t>
  </si>
  <si>
    <t>破魔战甲70</t>
  </si>
  <si>
    <t>破魔战甲80</t>
  </si>
  <si>
    <t>破魔战甲90</t>
  </si>
  <si>
    <t>破魔战甲100</t>
  </si>
  <si>
    <t>破魔战甲110</t>
  </si>
  <si>
    <t>破魔战甲120</t>
  </si>
  <si>
    <t>破魔战甲130</t>
  </si>
  <si>
    <t>破魔战甲140</t>
  </si>
  <si>
    <t>破魔战甲150</t>
  </si>
  <si>
    <t>破魔长剑10</t>
    <phoneticPr fontId="5" type="noConversion"/>
  </si>
  <si>
    <t>破魔长剑20</t>
    <phoneticPr fontId="5" type="noConversion"/>
  </si>
  <si>
    <t>破魔长剑30</t>
  </si>
  <si>
    <t>破魔长剑40</t>
  </si>
  <si>
    <t>破魔长剑50</t>
  </si>
  <si>
    <t>破魔长剑60</t>
  </si>
  <si>
    <t>破魔长剑70</t>
  </si>
  <si>
    <t>破魔长剑80</t>
  </si>
  <si>
    <t>破魔长剑90</t>
  </si>
  <si>
    <t>破魔长剑100</t>
  </si>
  <si>
    <t>破魔长剑110</t>
  </si>
  <si>
    <t>破魔长剑120</t>
  </si>
  <si>
    <t>破魔长剑130</t>
  </si>
  <si>
    <t>破魔长剑140</t>
  </si>
  <si>
    <t>破魔长剑150</t>
  </si>
  <si>
    <t>破魔头盔10</t>
    <phoneticPr fontId="5" type="noConversion"/>
  </si>
  <si>
    <t>破魔头盔20</t>
    <phoneticPr fontId="5" type="noConversion"/>
  </si>
  <si>
    <t>破魔头盔30</t>
  </si>
  <si>
    <t>破魔头盔40</t>
  </si>
  <si>
    <t>破魔头盔50</t>
  </si>
  <si>
    <t>破魔头盔60</t>
  </si>
  <si>
    <t>破魔头盔70</t>
  </si>
  <si>
    <t>破魔头盔80</t>
  </si>
  <si>
    <t>破魔头盔90</t>
  </si>
  <si>
    <t>破魔头盔100</t>
  </si>
  <si>
    <t>破魔头盔110</t>
  </si>
  <si>
    <t>破魔头盔120</t>
  </si>
  <si>
    <t>破魔头盔130</t>
  </si>
  <si>
    <t>破魔头盔140</t>
  </si>
  <si>
    <t>破魔头盔150</t>
  </si>
  <si>
    <t>破魔战靴10</t>
    <phoneticPr fontId="5" type="noConversion"/>
  </si>
  <si>
    <t>破魔战靴20</t>
    <phoneticPr fontId="5" type="noConversion"/>
  </si>
  <si>
    <t>破魔战靴30</t>
  </si>
  <si>
    <t>破魔战靴40</t>
  </si>
  <si>
    <t>破魔战靴50</t>
  </si>
  <si>
    <t>破魔战靴60</t>
  </si>
  <si>
    <t>破魔战靴70</t>
  </si>
  <si>
    <t>破魔战靴80</t>
  </si>
  <si>
    <t>破魔战靴90</t>
  </si>
  <si>
    <t>破魔战靴100</t>
  </si>
  <si>
    <t>破魔战靴110</t>
  </si>
  <si>
    <t>破魔战靴120</t>
  </si>
  <si>
    <t>破魔战靴130</t>
  </si>
  <si>
    <t>破魔战靴140</t>
  </si>
  <si>
    <t>破魔战靴150</t>
  </si>
  <si>
    <t>赤血战甲10</t>
    <phoneticPr fontId="5" type="noConversion"/>
  </si>
  <si>
    <t>赤血战甲20</t>
    <phoneticPr fontId="5" type="noConversion"/>
  </si>
  <si>
    <t>赤血战甲30</t>
  </si>
  <si>
    <t>赤血战甲40</t>
  </si>
  <si>
    <t>赤血战甲50</t>
  </si>
  <si>
    <t>赤血战甲60</t>
  </si>
  <si>
    <t>赤血战甲70</t>
  </si>
  <si>
    <t>赤血战甲80</t>
  </si>
  <si>
    <t>赤血战甲90</t>
  </si>
  <si>
    <t>赤血战甲100</t>
  </si>
  <si>
    <t>赤血战甲110</t>
  </si>
  <si>
    <t>赤血战甲120</t>
  </si>
  <si>
    <t>赤血战甲130</t>
  </si>
  <si>
    <t>赤血战甲140</t>
  </si>
  <si>
    <t>赤血战甲150</t>
  </si>
  <si>
    <t>青锋长剑10</t>
    <phoneticPr fontId="5" type="noConversion"/>
  </si>
  <si>
    <t>青锋长剑20</t>
    <phoneticPr fontId="5" type="noConversion"/>
  </si>
  <si>
    <t>青锋长剑30</t>
  </si>
  <si>
    <t>青锋长剑40</t>
  </si>
  <si>
    <t>青锋长剑50</t>
  </si>
  <si>
    <t>青锋长剑60</t>
  </si>
  <si>
    <t>青锋长剑70</t>
  </si>
  <si>
    <t>青锋长剑80</t>
  </si>
  <si>
    <t>青锋长剑90</t>
  </si>
  <si>
    <t>青锋长剑100</t>
  </si>
  <si>
    <t>青锋长剑110</t>
  </si>
  <si>
    <t>青锋长剑120</t>
  </si>
  <si>
    <t>青锋长剑130</t>
  </si>
  <si>
    <t>青锋长剑140</t>
  </si>
  <si>
    <t>青锋长剑150</t>
  </si>
  <si>
    <r>
      <t>雁虞头盔1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</si>
  <si>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雁虞头盔2</t>
    </r>
    <r>
      <rPr>
        <sz val="10"/>
        <color theme="1"/>
        <rFont val="微软雅黑"/>
        <family val="2"/>
        <charset val="134"/>
      </rPr>
      <t>0</t>
    </r>
    <phoneticPr fontId="5" type="noConversion"/>
  </si>
  <si>
    <r>
      <t>雁虞头盔30</t>
    </r>
    <r>
      <rPr>
        <sz val="10"/>
        <color theme="1"/>
        <rFont val="微软雅黑"/>
        <family val="2"/>
        <charset val="134"/>
      </rPr>
      <t/>
    </r>
  </si>
  <si>
    <r>
      <t>雁虞头盔40</t>
    </r>
    <r>
      <rPr>
        <sz val="10"/>
        <color theme="1"/>
        <rFont val="微软雅黑"/>
        <family val="2"/>
        <charset val="134"/>
      </rPr>
      <t/>
    </r>
  </si>
  <si>
    <r>
      <t>雁虞头盔50</t>
    </r>
    <r>
      <rPr>
        <sz val="10"/>
        <color theme="1"/>
        <rFont val="微软雅黑"/>
        <family val="2"/>
        <charset val="134"/>
      </rPr>
      <t/>
    </r>
  </si>
  <si>
    <r>
      <t>雁虞头盔60</t>
    </r>
    <r>
      <rPr>
        <sz val="10"/>
        <color theme="1"/>
        <rFont val="微软雅黑"/>
        <family val="2"/>
        <charset val="134"/>
      </rPr>
      <t/>
    </r>
  </si>
  <si>
    <r>
      <t>雁虞头盔70</t>
    </r>
    <r>
      <rPr>
        <sz val="10"/>
        <color theme="1"/>
        <rFont val="微软雅黑"/>
        <family val="2"/>
        <charset val="134"/>
      </rPr>
      <t/>
    </r>
  </si>
  <si>
    <r>
      <t>雁虞头盔80</t>
    </r>
    <r>
      <rPr>
        <sz val="10"/>
        <color theme="1"/>
        <rFont val="微软雅黑"/>
        <family val="2"/>
        <charset val="134"/>
      </rPr>
      <t/>
    </r>
  </si>
  <si>
    <r>
      <t>雁虞头盔90</t>
    </r>
    <r>
      <rPr>
        <sz val="10"/>
        <color theme="1"/>
        <rFont val="微软雅黑"/>
        <family val="2"/>
        <charset val="134"/>
      </rPr>
      <t/>
    </r>
  </si>
  <si>
    <r>
      <t>雁虞头盔100</t>
    </r>
    <r>
      <rPr>
        <sz val="10"/>
        <color theme="1"/>
        <rFont val="微软雅黑"/>
        <family val="2"/>
        <charset val="134"/>
      </rPr>
      <t/>
    </r>
  </si>
  <si>
    <r>
      <t>雁虞头盔110</t>
    </r>
    <r>
      <rPr>
        <sz val="10"/>
        <color theme="1"/>
        <rFont val="微软雅黑"/>
        <family val="2"/>
        <charset val="134"/>
      </rPr>
      <t/>
    </r>
  </si>
  <si>
    <r>
      <t>雁虞头盔120</t>
    </r>
    <r>
      <rPr>
        <sz val="10"/>
        <color theme="1"/>
        <rFont val="微软雅黑"/>
        <family val="2"/>
        <charset val="134"/>
      </rPr>
      <t/>
    </r>
  </si>
  <si>
    <r>
      <t>雁虞头盔130</t>
    </r>
    <r>
      <rPr>
        <sz val="10"/>
        <color theme="1"/>
        <rFont val="微软雅黑"/>
        <family val="2"/>
        <charset val="134"/>
      </rPr>
      <t/>
    </r>
  </si>
  <si>
    <r>
      <t>雁虞头盔140</t>
    </r>
    <r>
      <rPr>
        <sz val="10"/>
        <color theme="1"/>
        <rFont val="微软雅黑"/>
        <family val="2"/>
        <charset val="134"/>
      </rPr>
      <t/>
    </r>
  </si>
  <si>
    <r>
      <t>雁虞头盔150</t>
    </r>
    <r>
      <rPr>
        <sz val="10"/>
        <color theme="1"/>
        <rFont val="微软雅黑"/>
        <family val="2"/>
        <charset val="134"/>
      </rPr>
      <t/>
    </r>
  </si>
  <si>
    <t>无影战靴10</t>
    <phoneticPr fontId="5" type="noConversion"/>
  </si>
  <si>
    <t>无影战靴20</t>
    <phoneticPr fontId="5" type="noConversion"/>
  </si>
  <si>
    <t>无影战靴30</t>
  </si>
  <si>
    <t>无影战靴40</t>
  </si>
  <si>
    <t>无影战靴50</t>
  </si>
  <si>
    <t>无影战靴60</t>
  </si>
  <si>
    <t>无影战靴70</t>
  </si>
  <si>
    <t>无影战靴80</t>
  </si>
  <si>
    <t>无影战靴90</t>
  </si>
  <si>
    <t>无影战靴100</t>
  </si>
  <si>
    <t>无影战靴110</t>
  </si>
  <si>
    <t>无影战靴120</t>
  </si>
  <si>
    <t>无影战靴130</t>
  </si>
  <si>
    <t>无影战靴140</t>
  </si>
  <si>
    <t>无影战靴150</t>
  </si>
  <si>
    <t>行者战甲10</t>
    <phoneticPr fontId="5" type="noConversion"/>
  </si>
  <si>
    <t>行者战甲20</t>
    <phoneticPr fontId="5" type="noConversion"/>
  </si>
  <si>
    <t>行者战甲30</t>
  </si>
  <si>
    <t>行者战甲40</t>
  </si>
  <si>
    <t>行者战甲50</t>
  </si>
  <si>
    <t>行者战甲60</t>
  </si>
  <si>
    <t>行者战甲70</t>
  </si>
  <si>
    <t>行者战甲80</t>
  </si>
  <si>
    <t>行者战甲90</t>
  </si>
  <si>
    <t>行者战甲100</t>
  </si>
  <si>
    <t>行者战甲110</t>
  </si>
  <si>
    <t>行者战甲120</t>
  </si>
  <si>
    <t>行者战甲130</t>
  </si>
  <si>
    <t>行者战甲140</t>
  </si>
  <si>
    <t>行者战甲150</t>
  </si>
  <si>
    <t>精铁长剑10</t>
    <phoneticPr fontId="5" type="noConversion"/>
  </si>
  <si>
    <t>精铁长剑20</t>
    <phoneticPr fontId="5" type="noConversion"/>
  </si>
  <si>
    <t>精铁长剑30</t>
  </si>
  <si>
    <t>精铁长剑40</t>
  </si>
  <si>
    <t>精铁长剑50</t>
  </si>
  <si>
    <t>精铁长剑60</t>
  </si>
  <si>
    <t>精铁长剑70</t>
  </si>
  <si>
    <t>精铁长剑80</t>
  </si>
  <si>
    <t>精铁长剑90</t>
  </si>
  <si>
    <t>精铁长剑100</t>
  </si>
  <si>
    <t>精铁长剑110</t>
  </si>
  <si>
    <t>精铁长剑120</t>
  </si>
  <si>
    <t>精铁长剑130</t>
  </si>
  <si>
    <t>精铁长剑140</t>
  </si>
  <si>
    <t>精铁长剑150</t>
  </si>
  <si>
    <t>虹影头盔10</t>
    <phoneticPr fontId="5" type="noConversion"/>
  </si>
  <si>
    <t>虹影头盔20</t>
    <phoneticPr fontId="5" type="noConversion"/>
  </si>
  <si>
    <t>虹影头盔30</t>
  </si>
  <si>
    <t>虹影头盔40</t>
  </si>
  <si>
    <t>虹影头盔50</t>
  </si>
  <si>
    <t>虹影头盔60</t>
  </si>
  <si>
    <t>虹影头盔70</t>
  </si>
  <si>
    <t>虹影头盔80</t>
  </si>
  <si>
    <t>虹影头盔90</t>
  </si>
  <si>
    <t>虹影头盔100</t>
  </si>
  <si>
    <t>虹影头盔110</t>
  </si>
  <si>
    <t>虹影头盔120</t>
  </si>
  <si>
    <t>虹影头盔130</t>
  </si>
  <si>
    <t>虹影头盔140</t>
  </si>
  <si>
    <t>虹影头盔150</t>
  </si>
  <si>
    <t>千里战靴10</t>
    <phoneticPr fontId="5" type="noConversion"/>
  </si>
  <si>
    <t>千里战靴20</t>
    <phoneticPr fontId="5" type="noConversion"/>
  </si>
  <si>
    <t>千里战靴30</t>
  </si>
  <si>
    <t>千里战靴40</t>
  </si>
  <si>
    <t>千里战靴50</t>
  </si>
  <si>
    <t>千里战靴60</t>
  </si>
  <si>
    <t>千里战靴70</t>
  </si>
  <si>
    <t>千里战靴80</t>
  </si>
  <si>
    <t>千里战靴90</t>
  </si>
  <si>
    <t>千里战靴100</t>
  </si>
  <si>
    <t>千里战靴110</t>
  </si>
  <si>
    <t>千里战靴120</t>
  </si>
  <si>
    <t>千里战靴130</t>
  </si>
  <si>
    <t>千里战靴140</t>
  </si>
  <si>
    <t>千里战靴150</t>
  </si>
  <si>
    <t>封魔战甲</t>
  </si>
  <si>
    <t>霸碎翻江，龙吟笑醉</t>
  </si>
  <si>
    <t>youlong_hujia</t>
  </si>
  <si>
    <t>[[1,[15]],[3,[4]],[2,[10199,10259,10319,10379]]]</t>
  </si>
  <si>
    <t>封魔长剑</t>
  </si>
  <si>
    <t>youlong_wuqi</t>
  </si>
  <si>
    <t>[[1,[15]],[3,[4]],[2,[10200,10260,10320,10380]]]</t>
  </si>
  <si>
    <t>封魔头盔</t>
  </si>
  <si>
    <t>youlong_toukui</t>
  </si>
  <si>
    <t>[[1,[15]],[3,[4]],[2,[10190,10250,10310,10370]]]</t>
  </si>
  <si>
    <t>封魔战靴</t>
  </si>
  <si>
    <t>youlong_xie</t>
  </si>
  <si>
    <t>[[1,[15]],[3,[4]],[2,[10189,10249,10309,10369]]]</t>
  </si>
  <si>
    <t>封魔战甲10</t>
    <phoneticPr fontId="5" type="noConversion"/>
  </si>
  <si>
    <t>封魔战甲20</t>
    <phoneticPr fontId="5" type="noConversion"/>
  </si>
  <si>
    <t>封魔战甲30</t>
  </si>
  <si>
    <t>封魔战甲40</t>
  </si>
  <si>
    <t>封魔战甲50</t>
  </si>
  <si>
    <t>封魔战甲60</t>
  </si>
  <si>
    <t>封魔战甲70</t>
  </si>
  <si>
    <t>封魔战甲80</t>
  </si>
  <si>
    <t>封魔战甲90</t>
  </si>
  <si>
    <t>封魔战甲100</t>
  </si>
  <si>
    <t>封魔战甲110</t>
  </si>
  <si>
    <t>封魔战甲120</t>
  </si>
  <si>
    <t>封魔战甲130</t>
  </si>
  <si>
    <t>封魔战甲140</t>
  </si>
  <si>
    <t>封魔战甲150</t>
  </si>
  <si>
    <t>封魔长剑10</t>
    <phoneticPr fontId="5" type="noConversion"/>
  </si>
  <si>
    <t>封魔长剑20</t>
    <phoneticPr fontId="5" type="noConversion"/>
  </si>
  <si>
    <t>封魔长剑30</t>
  </si>
  <si>
    <t>封魔长剑40</t>
  </si>
  <si>
    <t>封魔长剑50</t>
  </si>
  <si>
    <t>封魔长剑60</t>
  </si>
  <si>
    <t>封魔长剑70</t>
  </si>
  <si>
    <t>封魔长剑80</t>
  </si>
  <si>
    <t>封魔长剑90</t>
  </si>
  <si>
    <t>封魔长剑100</t>
  </si>
  <si>
    <t>封魔长剑110</t>
  </si>
  <si>
    <t>封魔长剑120</t>
  </si>
  <si>
    <t>封魔长剑130</t>
  </si>
  <si>
    <t>封魔长剑140</t>
  </si>
  <si>
    <t>封魔长剑150</t>
  </si>
  <si>
    <t>封魔头盔10</t>
    <phoneticPr fontId="5" type="noConversion"/>
  </si>
  <si>
    <t>封魔头盔20</t>
    <phoneticPr fontId="5" type="noConversion"/>
  </si>
  <si>
    <t>封魔头盔30</t>
  </si>
  <si>
    <t>封魔头盔40</t>
  </si>
  <si>
    <t>封魔头盔50</t>
  </si>
  <si>
    <t>封魔头盔60</t>
  </si>
  <si>
    <t>封魔头盔70</t>
  </si>
  <si>
    <t>封魔头盔80</t>
  </si>
  <si>
    <t>封魔头盔90</t>
  </si>
  <si>
    <t>封魔头盔100</t>
  </si>
  <si>
    <t>封魔头盔110</t>
  </si>
  <si>
    <t>封魔头盔120</t>
  </si>
  <si>
    <t>封魔头盔130</t>
  </si>
  <si>
    <t>封魔头盔140</t>
  </si>
  <si>
    <t>封魔头盔150</t>
  </si>
  <si>
    <t>封魔战靴10</t>
    <phoneticPr fontId="5" type="noConversion"/>
  </si>
  <si>
    <t>封魔战靴20</t>
    <phoneticPr fontId="5" type="noConversion"/>
  </si>
  <si>
    <t>封魔战靴30</t>
  </si>
  <si>
    <t>封魔战靴40</t>
  </si>
  <si>
    <t>封魔战靴50</t>
  </si>
  <si>
    <t>封魔战靴60</t>
  </si>
  <si>
    <t>封魔战靴70</t>
  </si>
  <si>
    <t>封魔战靴80</t>
  </si>
  <si>
    <t>封魔战靴90</t>
  </si>
  <si>
    <t>封魔战靴100</t>
  </si>
  <si>
    <t>封魔战靴110</t>
  </si>
  <si>
    <t>封魔战靴120</t>
  </si>
  <si>
    <t>封魔战靴130</t>
  </si>
  <si>
    <t>封魔战靴140</t>
  </si>
  <si>
    <t>封魔战靴150</t>
  </si>
  <si>
    <t>蚩尤战甲</t>
  </si>
  <si>
    <t>蚩尤长剑</t>
  </si>
  <si>
    <t>蚩尤头盔</t>
  </si>
  <si>
    <t>蚩尤战靴</t>
  </si>
  <si>
    <t>天罡战甲</t>
  </si>
  <si>
    <t>天罡长剑</t>
  </si>
  <si>
    <t>天罡头盔</t>
  </si>
  <si>
    <t>天罡战靴</t>
  </si>
  <si>
    <t>降魔战甲</t>
  </si>
  <si>
    <t>降魔长剑</t>
  </si>
  <si>
    <t>降魔头盔</t>
  </si>
  <si>
    <t>降魔战靴</t>
  </si>
  <si>
    <t>血魔战甲</t>
  </si>
  <si>
    <t>赤霄长剑</t>
  </si>
  <si>
    <t>麒麟头盔</t>
  </si>
  <si>
    <t>兽魂战靴</t>
  </si>
  <si>
    <t>磐石战甲</t>
  </si>
  <si>
    <t>磐石长剑</t>
  </si>
  <si>
    <t>磐石头盔</t>
  </si>
  <si>
    <t>磐石战靴</t>
  </si>
  <si>
    <t>连云战甲</t>
  </si>
  <si>
    <t>紫阳长剑</t>
  </si>
  <si>
    <t>耀日头盔</t>
  </si>
  <si>
    <t>雷霆战靴</t>
  </si>
  <si>
    <t>护卫战甲</t>
  </si>
  <si>
    <t>护卫长剑</t>
  </si>
  <si>
    <t>护卫头盔</t>
  </si>
  <si>
    <t>护卫战靴</t>
  </si>
  <si>
    <t>破魔战甲</t>
  </si>
  <si>
    <t>破魔长剑</t>
  </si>
  <si>
    <t>破魔头盔</t>
  </si>
  <si>
    <t>破魔战靴</t>
  </si>
  <si>
    <t>无影战靴</t>
  </si>
  <si>
    <t>精铁长剑</t>
  </si>
  <si>
    <t>虹影头盔</t>
  </si>
  <si>
    <t>千里战靴</t>
  </si>
  <si>
    <t>a01</t>
    <phoneticPr fontId="5" type="noConversion"/>
  </si>
  <si>
    <t>a02</t>
    <phoneticPr fontId="5" type="noConversion"/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</si>
  <si>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</si>
  <si>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</si>
  <si>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</si>
  <si>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</si>
  <si>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</si>
  <si>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</si>
  <si>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</si>
  <si>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</si>
  <si>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</si>
  <si>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</si>
  <si>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</si>
  <si>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</si>
  <si>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</si>
  <si>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[]</t>
    <phoneticPr fontId="5" type="noConversion"/>
  </si>
  <si>
    <t>[]</t>
    <phoneticPr fontId="5" type="noConversion"/>
  </si>
  <si>
    <t>[]</t>
    <phoneticPr fontId="5" type="noConversion"/>
  </si>
  <si>
    <t>[]</t>
    <phoneticPr fontId="5" type="noConversion"/>
  </si>
  <si>
    <t>[]</t>
    <phoneticPr fontId="5" type="noConversion"/>
  </si>
  <si>
    <t>lanying_wuqi</t>
    <phoneticPr fontId="5" type="noConversion"/>
  </si>
  <si>
    <t>lanying_toukui</t>
    <phoneticPr fontId="5" type="noConversion"/>
  </si>
  <si>
    <t>yanyu_wuqi</t>
    <phoneticPr fontId="5" type="noConversion"/>
  </si>
  <si>
    <t>chixue_hujia</t>
    <phoneticPr fontId="5" type="noConversion"/>
  </si>
  <si>
    <t>4,9</t>
    <phoneticPr fontId="5" type="noConversion"/>
  </si>
  <si>
    <t>3,8</t>
    <phoneticPr fontId="5" type="noConversion"/>
  </si>
  <si>
    <t>1,6</t>
    <phoneticPr fontId="5" type="noConversion"/>
  </si>
  <si>
    <t>[[2,[10015,10039]]]</t>
    <phoneticPr fontId="5" type="noConversion"/>
  </si>
  <si>
    <t>攻击</t>
    <phoneticPr fontId="5" type="noConversion"/>
  </si>
  <si>
    <t>防御</t>
    <phoneticPr fontId="5" type="noConversion"/>
  </si>
  <si>
    <t>生命</t>
    <phoneticPr fontId="5" type="noConversion"/>
  </si>
  <si>
    <t>分解</t>
    <phoneticPr fontId="5" type="noConversion"/>
  </si>
  <si>
    <t>,</t>
    <phoneticPr fontId="5" type="noConversion"/>
  </si>
  <si>
    <t>天罡</t>
    <phoneticPr fontId="5" type="noConversion"/>
  </si>
  <si>
    <t>降魔</t>
    <phoneticPr fontId="5" type="noConversion"/>
  </si>
  <si>
    <t>磐石</t>
    <phoneticPr fontId="5" type="noConversion"/>
  </si>
  <si>
    <t>[]</t>
    <phoneticPr fontId="5" type="noConversion"/>
  </si>
  <si>
    <t>神器，同级别最强</t>
    <phoneticPr fontId="5" type="noConversion"/>
  </si>
  <si>
    <t>火云道衣</t>
  </si>
  <si>
    <t>四象仙甲</t>
  </si>
  <si>
    <t>刑天战甲</t>
  </si>
  <si>
    <t>盘古开天甲</t>
  </si>
  <si>
    <t>蛟龙覆海甲</t>
  </si>
  <si>
    <t>震天将神铠</t>
  </si>
  <si>
    <t>大自在修罗甲</t>
  </si>
  <si>
    <t>蚩尤魔神甲</t>
  </si>
  <si>
    <t>轩辕帝王铠</t>
  </si>
  <si>
    <t>佛祖宝象袈裟</t>
  </si>
  <si>
    <t>太清圣极甲</t>
  </si>
  <si>
    <t>光暗仙魔铠</t>
  </si>
  <si>
    <t>日月星辰铠</t>
  </si>
  <si>
    <t>大道无极铠</t>
  </si>
  <si>
    <t>万古不灭铠</t>
  </si>
  <si>
    <t>七星剑</t>
  </si>
  <si>
    <t>倚天剑</t>
  </si>
  <si>
    <t>屠龙刀</t>
  </si>
  <si>
    <t>九齿钉耙</t>
  </si>
  <si>
    <t>三尖两刃刀</t>
  </si>
  <si>
    <t>中央戊己杏黄旗</t>
  </si>
  <si>
    <t>冰漓剑</t>
  </si>
  <si>
    <t>蚩尤魔神剑</t>
  </si>
  <si>
    <t>射日神弓</t>
  </si>
  <si>
    <t>蜀山仙灵剑</t>
  </si>
  <si>
    <t>轩辕神剑</t>
  </si>
  <si>
    <t>太阴日月神刀</t>
  </si>
  <si>
    <t>星空凤舞杖</t>
  </si>
  <si>
    <t>诛仙弓</t>
  </si>
  <si>
    <t>彼约胜利剑</t>
  </si>
  <si>
    <t>道法头冠</t>
  </si>
  <si>
    <t>仙晶战盔</t>
  </si>
  <si>
    <t>凤翅紫金冠</t>
  </si>
  <si>
    <t>刑天战盔</t>
  </si>
  <si>
    <t>虚无幻神帽</t>
  </si>
  <si>
    <t>清源妙道冠</t>
  </si>
  <si>
    <t>光明普照冠</t>
  </si>
  <si>
    <t>蚩尤魔神冠</t>
  </si>
  <si>
    <t>上清圣法冠</t>
  </si>
  <si>
    <t>弑圣修罗面</t>
  </si>
  <si>
    <t>天元星辰巾</t>
  </si>
  <si>
    <t>金乌妖皇冠</t>
  </si>
  <si>
    <t>降魔佛冠</t>
  </si>
  <si>
    <t>霊源仙法冠</t>
  </si>
  <si>
    <t>皇极至尊盔</t>
  </si>
  <si>
    <t>道法鞋</t>
  </si>
  <si>
    <t>火云道履</t>
  </si>
  <si>
    <t>藕丝步云履</t>
  </si>
  <si>
    <t>冰梦鞋</t>
  </si>
  <si>
    <t>刑天战靴</t>
  </si>
  <si>
    <t>镇地千重鞋</t>
  </si>
  <si>
    <t>梦幻天履</t>
  </si>
  <si>
    <t>蚩尤魔神靴</t>
  </si>
  <si>
    <t>风火轮</t>
  </si>
  <si>
    <t>自在逍遥靴</t>
  </si>
  <si>
    <t>燃灯佛法履</t>
  </si>
  <si>
    <t>巨灵神足</t>
  </si>
  <si>
    <t>玉清圣道履</t>
  </si>
  <si>
    <t>仙道传承法靴</t>
  </si>
  <si>
    <t>伏羲造物靴</t>
  </si>
  <si>
    <t>业火红莲铠甲</t>
  </si>
  <si>
    <t>天罡铠甲</t>
  </si>
  <si>
    <t>六道轮回铠甲</t>
  </si>
  <si>
    <t>光明普照铠甲</t>
  </si>
  <si>
    <t>天地阴阳铠甲</t>
  </si>
  <si>
    <t>业火红莲剑</t>
  </si>
  <si>
    <t>天罡剑</t>
  </si>
  <si>
    <t>六道轮回剑</t>
  </si>
  <si>
    <t>光明普照剑</t>
  </si>
  <si>
    <t>天地阴阳剑</t>
  </si>
  <si>
    <t>业火红莲冠</t>
  </si>
  <si>
    <t>天罡冠</t>
  </si>
  <si>
    <t>六道轮回冠</t>
  </si>
  <si>
    <t>天地阴阳冠</t>
  </si>
  <si>
    <t>业火红莲履</t>
  </si>
  <si>
    <t>天罡履</t>
  </si>
  <si>
    <t>六道轮回履</t>
  </si>
  <si>
    <t>光明普照履</t>
  </si>
  <si>
    <t>天地阴阳履</t>
  </si>
  <si>
    <t>司雨战甲</t>
  </si>
  <si>
    <t>河图洛书战甲</t>
  </si>
  <si>
    <t>佛光渡厄战甲</t>
  </si>
  <si>
    <t>龙血玄黄战甲</t>
  </si>
  <si>
    <t>司雨剑</t>
  </si>
  <si>
    <t>降魔剑</t>
  </si>
  <si>
    <t>河图洛书剑</t>
  </si>
  <si>
    <t>佛光渡厄剑</t>
  </si>
  <si>
    <t>龙血玄黄剑</t>
  </si>
  <si>
    <t>司雨冠</t>
  </si>
  <si>
    <t>降魔冠</t>
  </si>
  <si>
    <t>河图洛书冠</t>
  </si>
  <si>
    <t>佛光渡厄冠</t>
  </si>
  <si>
    <t>龙血玄黄冠</t>
  </si>
  <si>
    <t>司雨靴</t>
  </si>
  <si>
    <t>降魔靴</t>
  </si>
  <si>
    <t>河图洛书靴</t>
  </si>
  <si>
    <t>佛光渡厄靴</t>
  </si>
  <si>
    <t>龙血玄黄靴</t>
  </si>
  <si>
    <t>不屈战魂战甲</t>
  </si>
  <si>
    <t>灭天焚火战甲</t>
  </si>
  <si>
    <t>不灭血灵战甲</t>
  </si>
  <si>
    <t>忘情战甲</t>
  </si>
  <si>
    <t>纹铁剑</t>
  </si>
  <si>
    <t>旗修剑</t>
  </si>
  <si>
    <t>雷音剑</t>
  </si>
  <si>
    <t>封魔剑</t>
  </si>
  <si>
    <t>杀神剑</t>
  </si>
  <si>
    <t>轩辕剑</t>
  </si>
  <si>
    <t>腾空剑</t>
  </si>
  <si>
    <t>元屠剑</t>
  </si>
  <si>
    <t>阿鼻剑</t>
  </si>
  <si>
    <t>青萍剑</t>
  </si>
  <si>
    <t>墨琴古剑</t>
  </si>
  <si>
    <t>大罗飞仙剑</t>
  </si>
  <si>
    <t>火云道冠</t>
  </si>
  <si>
    <t>法相冠</t>
  </si>
  <si>
    <t>天师道冠</t>
  </si>
  <si>
    <t>源光法冠</t>
  </si>
  <si>
    <t>弑王鳞盔</t>
  </si>
  <si>
    <t>欲色迷魂冠</t>
  </si>
  <si>
    <t>西王帝后冠</t>
  </si>
  <si>
    <t>神农百草冠</t>
  </si>
  <si>
    <t>遁地法鞋</t>
  </si>
  <si>
    <t>兽幻魔妖鞋</t>
  </si>
  <si>
    <t>星灵法履</t>
  </si>
  <si>
    <t>魂翼羽靴</t>
  </si>
  <si>
    <t>断涯皮鞋</t>
  </si>
  <si>
    <t>降魔佛履</t>
  </si>
  <si>
    <t>顺天靴</t>
  </si>
  <si>
    <t>宽恕战铠</t>
  </si>
  <si>
    <t>宽恕道剑</t>
  </si>
  <si>
    <t>宽恕头盔</t>
  </si>
  <si>
    <t>宽恕战履</t>
  </si>
  <si>
    <t>·壹</t>
    <phoneticPr fontId="5" type="noConversion"/>
  </si>
  <si>
    <t>·贰</t>
    <phoneticPr fontId="5" type="noConversion"/>
  </si>
  <si>
    <t>·叁</t>
    <phoneticPr fontId="5" type="noConversion"/>
  </si>
  <si>
    <t>·肆</t>
    <phoneticPr fontId="5" type="noConversion"/>
  </si>
  <si>
    <t>·伍</t>
    <phoneticPr fontId="5" type="noConversion"/>
  </si>
  <si>
    <t>·陆</t>
    <phoneticPr fontId="5" type="noConversion"/>
  </si>
  <si>
    <t>·柒</t>
    <phoneticPr fontId="5" type="noConversion"/>
  </si>
  <si>
    <t>·捌</t>
    <phoneticPr fontId="5" type="noConversion"/>
  </si>
  <si>
    <t>·玖</t>
    <phoneticPr fontId="5" type="noConversion"/>
  </si>
  <si>
    <t>·十</t>
    <phoneticPr fontId="5" type="noConversion"/>
  </si>
  <si>
    <t>·凡</t>
    <phoneticPr fontId="5" type="noConversion"/>
  </si>
  <si>
    <t>·皇</t>
    <phoneticPr fontId="5" type="noConversion"/>
  </si>
  <si>
    <t>·玄</t>
    <phoneticPr fontId="5" type="noConversion"/>
  </si>
  <si>
    <t>·地</t>
    <phoneticPr fontId="5" type="noConversion"/>
  </si>
  <si>
    <t>·天</t>
    <phoneticPr fontId="5" type="noConversion"/>
  </si>
  <si>
    <t>火云道衣·壹</t>
  </si>
  <si>
    <t>四象仙甲·贰</t>
  </si>
  <si>
    <t>刑天战甲·叁</t>
  </si>
  <si>
    <t>盘古开天甲·肆</t>
  </si>
  <si>
    <t>蛟龙覆海甲·伍</t>
  </si>
  <si>
    <t>震天将神铠·陆</t>
  </si>
  <si>
    <t>大自在修罗甲·柒</t>
  </si>
  <si>
    <t>蚩尤魔神甲·捌</t>
  </si>
  <si>
    <t>轩辕帝王铠·玖</t>
  </si>
  <si>
    <t>佛祖宝象袈裟·十</t>
  </si>
  <si>
    <t>太清圣极甲·凡</t>
  </si>
  <si>
    <t>光暗仙魔铠·皇</t>
  </si>
  <si>
    <t>日月星辰铠·玄</t>
  </si>
  <si>
    <t>大道无极铠·地</t>
  </si>
  <si>
    <t>万古不灭铠·天</t>
  </si>
  <si>
    <t>七星剑·壹</t>
  </si>
  <si>
    <t>倚天剑·贰</t>
  </si>
  <si>
    <t>屠龙刀·叁</t>
  </si>
  <si>
    <t>九齿钉耙·肆</t>
  </si>
  <si>
    <t>三尖两刃刀·伍</t>
  </si>
  <si>
    <t>中央戊己杏黄旗·陆</t>
  </si>
  <si>
    <t>冰漓剑·柒</t>
  </si>
  <si>
    <t>蚩尤魔神剑·捌</t>
  </si>
  <si>
    <t>射日神弓·玖</t>
  </si>
  <si>
    <t>蜀山仙灵剑·十</t>
  </si>
  <si>
    <t>轩辕神剑·凡</t>
  </si>
  <si>
    <t>太阴日月神刀·皇</t>
  </si>
  <si>
    <t>星空凤舞杖·玄</t>
  </si>
  <si>
    <t>诛仙弓·地</t>
  </si>
  <si>
    <t>彼约胜利剑·天</t>
  </si>
  <si>
    <t>道法头冠·壹</t>
  </si>
  <si>
    <t>仙晶战盔·贰</t>
  </si>
  <si>
    <t>凤翅紫金冠·叁</t>
  </si>
  <si>
    <t>刑天战盔·肆</t>
  </si>
  <si>
    <t>虚无幻神帽·伍</t>
  </si>
  <si>
    <t>清源妙道冠·陆</t>
  </si>
  <si>
    <t>光明普照冠·柒</t>
  </si>
  <si>
    <t>蚩尤魔神冠·捌</t>
  </si>
  <si>
    <t>上清圣法冠·玖</t>
  </si>
  <si>
    <t>弑圣修罗面·十</t>
  </si>
  <si>
    <t>天元星辰巾·凡</t>
  </si>
  <si>
    <t>金乌妖皇冠·皇</t>
  </si>
  <si>
    <t>降魔佛冠·玄</t>
  </si>
  <si>
    <t>霊源仙法冠·地</t>
  </si>
  <si>
    <t>皇极至尊盔·天</t>
  </si>
  <si>
    <t>道法鞋·壹</t>
  </si>
  <si>
    <t>火云道履·贰</t>
  </si>
  <si>
    <t>藕丝步云履·叁</t>
  </si>
  <si>
    <t>冰梦鞋·肆</t>
  </si>
  <si>
    <t>刑天战靴·伍</t>
  </si>
  <si>
    <t>镇地千重鞋·陆</t>
  </si>
  <si>
    <t>梦幻天履·柒</t>
  </si>
  <si>
    <t>蚩尤魔神靴·捌</t>
  </si>
  <si>
    <t>风火轮·玖</t>
  </si>
  <si>
    <t>自在逍遥靴·十</t>
  </si>
  <si>
    <t>燃灯佛法履·凡</t>
  </si>
  <si>
    <t>巨灵神足·皇</t>
  </si>
  <si>
    <t>玉清圣道履·玄</t>
  </si>
  <si>
    <t>仙道传承法靴·地</t>
  </si>
  <si>
    <t>伏羲造物靴·天</t>
  </si>
  <si>
    <t>业火红莲铠甲·壹</t>
  </si>
  <si>
    <t>业火红莲铠甲·贰</t>
  </si>
  <si>
    <t>业火红莲铠甲·叁</t>
  </si>
  <si>
    <t>天罡铠甲·肆</t>
  </si>
  <si>
    <t>天罡铠甲·伍</t>
  </si>
  <si>
    <t>天罡铠甲·陆</t>
  </si>
  <si>
    <t>六道轮回铠甲·柒</t>
  </si>
  <si>
    <t>六道轮回铠甲·捌</t>
  </si>
  <si>
    <t>六道轮回铠甲·玖</t>
  </si>
  <si>
    <t>光明普照铠甲·十</t>
  </si>
  <si>
    <t>光明普照铠甲·凡</t>
  </si>
  <si>
    <t>光明普照铠甲·皇</t>
  </si>
  <si>
    <t>天地阴阳铠甲·玄</t>
  </si>
  <si>
    <t>天地阴阳铠甲·地</t>
  </si>
  <si>
    <t>天地阴阳铠甲·天</t>
  </si>
  <si>
    <t>业火红莲剑·壹</t>
  </si>
  <si>
    <t>业火红莲剑·贰</t>
  </si>
  <si>
    <t>业火红莲剑·叁</t>
  </si>
  <si>
    <t>天罡剑·肆</t>
  </si>
  <si>
    <t>天罡剑·伍</t>
  </si>
  <si>
    <t>天罡剑·陆</t>
  </si>
  <si>
    <t>六道轮回剑·柒</t>
  </si>
  <si>
    <t>六道轮回剑·捌</t>
  </si>
  <si>
    <t>六道轮回剑·玖</t>
  </si>
  <si>
    <t>光明普照剑·十</t>
  </si>
  <si>
    <t>光明普照剑·凡</t>
  </si>
  <si>
    <t>光明普照剑·皇</t>
  </si>
  <si>
    <t>天地阴阳剑·玄</t>
  </si>
  <si>
    <t>天地阴阳剑·地</t>
  </si>
  <si>
    <t>天地阴阳剑·天</t>
  </si>
  <si>
    <t>业火红莲冠·壹</t>
  </si>
  <si>
    <t>业火红莲冠·贰</t>
  </si>
  <si>
    <t>业火红莲冠·叁</t>
  </si>
  <si>
    <t>天罡冠·肆</t>
  </si>
  <si>
    <t>天罡冠·伍</t>
  </si>
  <si>
    <t>天罡冠·陆</t>
  </si>
  <si>
    <t>六道轮回冠·柒</t>
  </si>
  <si>
    <t>六道轮回冠·捌</t>
  </si>
  <si>
    <t>六道轮回冠·玖</t>
  </si>
  <si>
    <t>光明普照冠·十</t>
  </si>
  <si>
    <t>光明普照冠·凡</t>
  </si>
  <si>
    <t>光明普照冠·皇</t>
  </si>
  <si>
    <t>天地阴阳冠·玄</t>
  </si>
  <si>
    <t>天地阴阳冠·地</t>
  </si>
  <si>
    <t>天地阴阳冠·天</t>
  </si>
  <si>
    <t>业火红莲履·壹</t>
  </si>
  <si>
    <t>业火红莲履·贰</t>
  </si>
  <si>
    <t>业火红莲履·叁</t>
  </si>
  <si>
    <t>天罡履·肆</t>
  </si>
  <si>
    <t>天罡履·伍</t>
  </si>
  <si>
    <t>天罡履·陆</t>
  </si>
  <si>
    <t>六道轮回履·柒</t>
  </si>
  <si>
    <t>六道轮回履·捌</t>
  </si>
  <si>
    <t>六道轮回履·玖</t>
  </si>
  <si>
    <t>光明普照履·十</t>
  </si>
  <si>
    <t>光明普照履·凡</t>
  </si>
  <si>
    <t>光明普照履·皇</t>
  </si>
  <si>
    <t>天地阴阳履·玄</t>
  </si>
  <si>
    <t>天地阴阳履·地</t>
  </si>
  <si>
    <t>天地阴阳履·天</t>
  </si>
  <si>
    <t>司雨战甲·壹</t>
  </si>
  <si>
    <t>司雨战甲·贰</t>
  </si>
  <si>
    <t>司雨战甲·叁</t>
  </si>
  <si>
    <t>降魔战甲·肆</t>
  </si>
  <si>
    <t>降魔战甲·伍</t>
  </si>
  <si>
    <t>降魔战甲·陆</t>
  </si>
  <si>
    <t>河图洛书战甲·柒</t>
  </si>
  <si>
    <t>河图洛书战甲·捌</t>
  </si>
  <si>
    <t>河图洛书战甲·玖</t>
  </si>
  <si>
    <t>佛光渡厄战甲·十</t>
  </si>
  <si>
    <t>佛光渡厄战甲·凡</t>
  </si>
  <si>
    <t>佛光渡厄战甲·皇</t>
  </si>
  <si>
    <t>龙血玄黄战甲·玄</t>
  </si>
  <si>
    <t>龙血玄黄战甲·地</t>
  </si>
  <si>
    <t>龙血玄黄战甲·天</t>
  </si>
  <si>
    <t>司雨剑·壹</t>
  </si>
  <si>
    <t>司雨剑·贰</t>
  </si>
  <si>
    <t>司雨剑·叁</t>
  </si>
  <si>
    <t>降魔剑·肆</t>
  </si>
  <si>
    <t>降魔剑·伍</t>
  </si>
  <si>
    <t>降魔剑·陆</t>
  </si>
  <si>
    <t>河图洛书剑·柒</t>
  </si>
  <si>
    <t>河图洛书剑·捌</t>
  </si>
  <si>
    <t>河图洛书剑·玖</t>
  </si>
  <si>
    <t>佛光渡厄剑·十</t>
  </si>
  <si>
    <t>佛光渡厄剑·凡</t>
  </si>
  <si>
    <t>佛光渡厄剑·皇</t>
  </si>
  <si>
    <t>龙血玄黄剑·玄</t>
  </si>
  <si>
    <t>龙血玄黄剑·地</t>
  </si>
  <si>
    <t>龙血玄黄剑·天</t>
  </si>
  <si>
    <t>司雨冠·壹</t>
  </si>
  <si>
    <t>司雨冠·贰</t>
  </si>
  <si>
    <t>司雨冠·叁</t>
  </si>
  <si>
    <t>降魔冠·肆</t>
  </si>
  <si>
    <t>降魔冠·伍</t>
  </si>
  <si>
    <t>降魔冠·陆</t>
  </si>
  <si>
    <t>河图洛书冠·柒</t>
  </si>
  <si>
    <t>河图洛书冠·捌</t>
  </si>
  <si>
    <t>河图洛书冠·玖</t>
  </si>
  <si>
    <t>佛光渡厄冠·十</t>
  </si>
  <si>
    <t>佛光渡厄冠·凡</t>
  </si>
  <si>
    <t>佛光渡厄冠·皇</t>
  </si>
  <si>
    <t>龙血玄黄冠·玄</t>
  </si>
  <si>
    <t>龙血玄黄冠·地</t>
  </si>
  <si>
    <t>龙血玄黄冠·天</t>
  </si>
  <si>
    <t>司雨靴·壹</t>
  </si>
  <si>
    <t>司雨靴·贰</t>
  </si>
  <si>
    <t>司雨靴·叁</t>
  </si>
  <si>
    <t>降魔靴·肆</t>
  </si>
  <si>
    <t>降魔靴·伍</t>
  </si>
  <si>
    <t>降魔靴·陆</t>
  </si>
  <si>
    <t>河图洛书靴·柒</t>
  </si>
  <si>
    <t>河图洛书靴·捌</t>
  </si>
  <si>
    <t>河图洛书靴·玖</t>
  </si>
  <si>
    <t>佛光渡厄靴·十</t>
  </si>
  <si>
    <t>佛光渡厄靴·凡</t>
  </si>
  <si>
    <t>佛光渡厄靴·皇</t>
  </si>
  <si>
    <t>龙血玄黄靴·玄</t>
  </si>
  <si>
    <t>龙血玄黄靴·地</t>
  </si>
  <si>
    <t>龙血玄黄靴·天</t>
  </si>
  <si>
    <t>不屈战魂战甲·壹</t>
  </si>
  <si>
    <t>不屈战魂战甲·贰</t>
  </si>
  <si>
    <t>不屈战魂战甲·叁</t>
  </si>
  <si>
    <t>血魔战甲·肆</t>
  </si>
  <si>
    <t>血魔战甲·伍</t>
  </si>
  <si>
    <t>血魔战甲·陆</t>
  </si>
  <si>
    <t>灭天焚火战甲·柒</t>
  </si>
  <si>
    <t>灭天焚火战甲·捌</t>
  </si>
  <si>
    <t>灭天焚火战甲·玖</t>
  </si>
  <si>
    <t>不灭血灵战甲·十</t>
  </si>
  <si>
    <t>不灭血灵战甲·凡</t>
  </si>
  <si>
    <t>不灭血灵战甲·皇</t>
  </si>
  <si>
    <t>忘情战甲·玄</t>
  </si>
  <si>
    <t>忘情战甲·地</t>
  </si>
  <si>
    <t>忘情战甲·天</t>
  </si>
  <si>
    <t>纹铁剑·壹</t>
  </si>
  <si>
    <t>纹铁剑·贰</t>
  </si>
  <si>
    <t>旗修剑·叁</t>
  </si>
  <si>
    <t>旗修剑·肆</t>
  </si>
  <si>
    <t>雷音剑·伍</t>
  </si>
  <si>
    <t>雷音剑·陆</t>
  </si>
  <si>
    <t>封魔剑·柒</t>
  </si>
  <si>
    <t>杀神剑·捌</t>
  </si>
  <si>
    <t>轩辕剑·玖</t>
  </si>
  <si>
    <t>腾空剑·十</t>
  </si>
  <si>
    <t>元屠剑·凡</t>
  </si>
  <si>
    <t>阿鼻剑·皇</t>
  </si>
  <si>
    <t>青萍剑·玄</t>
  </si>
  <si>
    <t>墨琴古剑·地</t>
  </si>
  <si>
    <t>大罗飞仙剑·天</t>
  </si>
  <si>
    <t>火云道冠·贰</t>
  </si>
  <si>
    <t>仙晶战盔·叁</t>
  </si>
  <si>
    <t>麒麟头盔·肆</t>
  </si>
  <si>
    <t>凤翅紫金冠·伍</t>
  </si>
  <si>
    <t>法相冠·陆</t>
  </si>
  <si>
    <t>天师道冠·柒</t>
  </si>
  <si>
    <t>源光法冠·捌</t>
  </si>
  <si>
    <t>降魔佛冠·玖</t>
  </si>
  <si>
    <t>弑王鳞盔·十</t>
  </si>
  <si>
    <t>清源妙道冠·凡</t>
  </si>
  <si>
    <t>欲色迷魂冠·皇</t>
  </si>
  <si>
    <t>西王帝后冠·玄</t>
  </si>
  <si>
    <t>神农百草冠·地</t>
  </si>
  <si>
    <t>上清圣法冠·天</t>
  </si>
  <si>
    <t>遁地法鞋·壹</t>
  </si>
  <si>
    <t>兽幻魔妖鞋·贰</t>
  </si>
  <si>
    <t>梦幻天履·叁</t>
  </si>
  <si>
    <t>兽魂战靴·肆</t>
  </si>
  <si>
    <t>星灵法履·伍</t>
  </si>
  <si>
    <t>魂翼羽靴·陆</t>
  </si>
  <si>
    <t>断涯皮鞋·柒</t>
  </si>
  <si>
    <t>兽魂战靴·捌</t>
  </si>
  <si>
    <t>降魔佛履·玖</t>
  </si>
  <si>
    <t>顺天靴·十</t>
  </si>
  <si>
    <t>镇地千重鞋·凡</t>
  </si>
  <si>
    <t>风火轮·皇</t>
  </si>
  <si>
    <t>自在逍遥靴·玄</t>
  </si>
  <si>
    <t>燃灯佛法履·地</t>
  </si>
  <si>
    <t>仙道传承法靴·天</t>
  </si>
  <si>
    <t>磐石战甲·壹</t>
  </si>
  <si>
    <t>磐石战甲·贰</t>
  </si>
  <si>
    <t>磐石战甲·叁</t>
  </si>
  <si>
    <t>磐石战甲·肆</t>
  </si>
  <si>
    <t>磐石战甲·伍</t>
  </si>
  <si>
    <t>磐石战甲·陆</t>
  </si>
  <si>
    <t>磐石战甲·柒</t>
  </si>
  <si>
    <t>磐石战甲·捌</t>
  </si>
  <si>
    <t>磐石战甲·玖</t>
  </si>
  <si>
    <t>磐石战甲·十</t>
  </si>
  <si>
    <t>磐石战甲·凡</t>
  </si>
  <si>
    <t>磐石战甲·皇</t>
  </si>
  <si>
    <t>磐石战甲·玄</t>
  </si>
  <si>
    <t>磐石战甲·地</t>
  </si>
  <si>
    <t>磐石战甲·天</t>
  </si>
  <si>
    <t>磐石长剑·壹</t>
  </si>
  <si>
    <t>磐石长剑·贰</t>
  </si>
  <si>
    <t>磐石长剑·叁</t>
  </si>
  <si>
    <t>磐石长剑·肆</t>
  </si>
  <si>
    <t>磐石长剑·伍</t>
  </si>
  <si>
    <t>磐石长剑·陆</t>
  </si>
  <si>
    <t>磐石长剑·柒</t>
  </si>
  <si>
    <t>磐石长剑·捌</t>
  </si>
  <si>
    <t>磐石长剑·玖</t>
  </si>
  <si>
    <t>磐石长剑·十</t>
  </si>
  <si>
    <t>磐石长剑·凡</t>
  </si>
  <si>
    <t>磐石长剑·皇</t>
  </si>
  <si>
    <t>磐石长剑·玄</t>
  </si>
  <si>
    <t>磐石长剑·地</t>
  </si>
  <si>
    <t>磐石长剑·天</t>
  </si>
  <si>
    <t>磐石头盔·壹</t>
  </si>
  <si>
    <t>磐石头盔·贰</t>
  </si>
  <si>
    <t>磐石头盔·叁</t>
  </si>
  <si>
    <t>磐石头盔·肆</t>
  </si>
  <si>
    <t>磐石头盔·伍</t>
  </si>
  <si>
    <t>磐石头盔·陆</t>
  </si>
  <si>
    <t>磐石头盔·柒</t>
  </si>
  <si>
    <t>磐石头盔·捌</t>
  </si>
  <si>
    <t>磐石头盔·玖</t>
  </si>
  <si>
    <t>磐石头盔·十</t>
  </si>
  <si>
    <t>磐石头盔·凡</t>
  </si>
  <si>
    <t>磐石头盔·皇</t>
  </si>
  <si>
    <t>磐石头盔·玄</t>
  </si>
  <si>
    <t>磐石头盔·地</t>
  </si>
  <si>
    <t>磐石头盔·天</t>
  </si>
  <si>
    <t>磐石战靴·壹</t>
  </si>
  <si>
    <t>磐石战靴·贰</t>
  </si>
  <si>
    <t>磐石战靴·叁</t>
  </si>
  <si>
    <t>磐石战靴·肆</t>
  </si>
  <si>
    <t>磐石战靴·伍</t>
  </si>
  <si>
    <t>磐石战靴·陆</t>
  </si>
  <si>
    <t>磐石战靴·柒</t>
  </si>
  <si>
    <t>磐石战靴·捌</t>
  </si>
  <si>
    <t>磐石战靴·玖</t>
  </si>
  <si>
    <t>磐石战靴·十</t>
  </si>
  <si>
    <t>磐石战靴·凡</t>
  </si>
  <si>
    <t>磐石战靴·皇</t>
  </si>
  <si>
    <t>磐石战靴·玄</t>
  </si>
  <si>
    <t>磐石战靴·地</t>
  </si>
  <si>
    <t>磐石战靴·天</t>
  </si>
  <si>
    <t>连云战甲·壹</t>
  </si>
  <si>
    <t>连云战甲·贰</t>
  </si>
  <si>
    <t>连云战甲·叁</t>
  </si>
  <si>
    <t>连云战甲·肆</t>
  </si>
  <si>
    <t>连云战甲·伍</t>
  </si>
  <si>
    <t>连云战甲·陆</t>
  </si>
  <si>
    <t>连云战甲·柒</t>
  </si>
  <si>
    <t>连云战甲·捌</t>
  </si>
  <si>
    <t>连云战甲·玖</t>
  </si>
  <si>
    <t>连云战甲·十</t>
  </si>
  <si>
    <t>连云战甲·凡</t>
  </si>
  <si>
    <t>连云战甲·皇</t>
  </si>
  <si>
    <t>连云战甲·玄</t>
  </si>
  <si>
    <t>连云战甲·地</t>
  </si>
  <si>
    <t>连云战甲·天</t>
  </si>
  <si>
    <t>紫阳长剑·壹</t>
  </si>
  <si>
    <t>紫阳长剑·贰</t>
  </si>
  <si>
    <t>紫阳长剑·叁</t>
  </si>
  <si>
    <t>紫阳长剑·肆</t>
  </si>
  <si>
    <t>紫阳长剑·伍</t>
  </si>
  <si>
    <t>紫阳长剑·陆</t>
  </si>
  <si>
    <t>紫阳长剑·柒</t>
  </si>
  <si>
    <t>紫阳长剑·捌</t>
  </si>
  <si>
    <t>紫阳长剑·玖</t>
  </si>
  <si>
    <t>紫阳长剑·十</t>
  </si>
  <si>
    <t>紫阳长剑·凡</t>
  </si>
  <si>
    <t>紫阳长剑·皇</t>
  </si>
  <si>
    <t>紫阳长剑·玄</t>
  </si>
  <si>
    <t>紫阳长剑·地</t>
  </si>
  <si>
    <t>紫阳长剑·天</t>
  </si>
  <si>
    <t>耀日头盔·壹</t>
  </si>
  <si>
    <t>耀日头盔·贰</t>
  </si>
  <si>
    <t>耀日头盔·叁</t>
  </si>
  <si>
    <t>耀日头盔·肆</t>
  </si>
  <si>
    <t>耀日头盔·伍</t>
  </si>
  <si>
    <t>耀日头盔·陆</t>
  </si>
  <si>
    <t>耀日头盔·柒</t>
  </si>
  <si>
    <t>耀日头盔·捌</t>
  </si>
  <si>
    <t>耀日头盔·玖</t>
  </si>
  <si>
    <t>耀日头盔·十</t>
  </si>
  <si>
    <t>耀日头盔·凡</t>
  </si>
  <si>
    <t>耀日头盔·皇</t>
  </si>
  <si>
    <t>耀日头盔·玄</t>
  </si>
  <si>
    <t>耀日头盔·地</t>
  </si>
  <si>
    <t>耀日头盔·天</t>
  </si>
  <si>
    <t>雷霆战靴·壹</t>
  </si>
  <si>
    <t>雷霆战靴·贰</t>
  </si>
  <si>
    <t>雷霆战靴·叁</t>
  </si>
  <si>
    <t>雷霆战靴·肆</t>
  </si>
  <si>
    <t>雷霆战靴·伍</t>
  </si>
  <si>
    <t>雷霆战靴·陆</t>
  </si>
  <si>
    <t>雷霆战靴·柒</t>
  </si>
  <si>
    <t>雷霆战靴·捌</t>
  </si>
  <si>
    <t>雷霆战靴·玖</t>
  </si>
  <si>
    <t>雷霆战靴·十</t>
  </si>
  <si>
    <t>雷霆战靴·凡</t>
  </si>
  <si>
    <t>雷霆战靴·皇</t>
  </si>
  <si>
    <t>雷霆战靴·玄</t>
  </si>
  <si>
    <t>雷霆战靴·地</t>
  </si>
  <si>
    <t>雷霆战靴·天</t>
  </si>
  <si>
    <t>护卫战甲·壹</t>
  </si>
  <si>
    <t>护卫战甲·贰</t>
  </si>
  <si>
    <t>护卫战甲·叁</t>
  </si>
  <si>
    <t>护卫战甲·肆</t>
  </si>
  <si>
    <t>护卫战甲·伍</t>
  </si>
  <si>
    <t>护卫战甲·陆</t>
  </si>
  <si>
    <t>护卫战甲·柒</t>
  </si>
  <si>
    <t>护卫战甲·捌</t>
  </si>
  <si>
    <t>护卫战甲·玖</t>
  </si>
  <si>
    <t>护卫战甲·十</t>
  </si>
  <si>
    <t>护卫战甲·凡</t>
  </si>
  <si>
    <t>护卫战甲·皇</t>
  </si>
  <si>
    <t>护卫战甲·玄</t>
  </si>
  <si>
    <t>护卫战甲·地</t>
  </si>
  <si>
    <t>护卫战甲·天</t>
  </si>
  <si>
    <t>护卫长剑·壹</t>
  </si>
  <si>
    <t>护卫长剑·贰</t>
  </si>
  <si>
    <t>护卫长剑·叁</t>
  </si>
  <si>
    <t>护卫长剑·肆</t>
  </si>
  <si>
    <t>护卫长剑·伍</t>
  </si>
  <si>
    <t>护卫长剑·陆</t>
  </si>
  <si>
    <t>护卫长剑·柒</t>
  </si>
  <si>
    <t>护卫长剑·捌</t>
  </si>
  <si>
    <t>护卫长剑·玖</t>
  </si>
  <si>
    <t>护卫长剑·十</t>
  </si>
  <si>
    <t>护卫长剑·凡</t>
  </si>
  <si>
    <t>护卫长剑·皇</t>
  </si>
  <si>
    <t>护卫长剑·玄</t>
  </si>
  <si>
    <t>护卫长剑·地</t>
  </si>
  <si>
    <t>护卫长剑·天</t>
  </si>
  <si>
    <t>护卫头盔·壹</t>
  </si>
  <si>
    <t>护卫头盔·贰</t>
  </si>
  <si>
    <t>护卫头盔·叁</t>
  </si>
  <si>
    <t>护卫头盔·肆</t>
  </si>
  <si>
    <t>护卫头盔·伍</t>
  </si>
  <si>
    <t>护卫头盔·陆</t>
  </si>
  <si>
    <t>护卫头盔·柒</t>
  </si>
  <si>
    <t>护卫头盔·捌</t>
  </si>
  <si>
    <t>护卫头盔·玖</t>
  </si>
  <si>
    <t>护卫头盔·十</t>
  </si>
  <si>
    <t>护卫头盔·凡</t>
  </si>
  <si>
    <t>护卫头盔·皇</t>
  </si>
  <si>
    <t>护卫头盔·玄</t>
  </si>
  <si>
    <t>护卫头盔·地</t>
  </si>
  <si>
    <t>护卫头盔·天</t>
  </si>
  <si>
    <t>护卫战靴·壹</t>
  </si>
  <si>
    <t>护卫战靴·贰</t>
  </si>
  <si>
    <t>护卫战靴·叁</t>
  </si>
  <si>
    <t>护卫战靴·肆</t>
  </si>
  <si>
    <t>护卫战靴·伍</t>
  </si>
  <si>
    <t>护卫战靴·陆</t>
  </si>
  <si>
    <t>护卫战靴·柒</t>
  </si>
  <si>
    <t>护卫战靴·捌</t>
  </si>
  <si>
    <t>护卫战靴·玖</t>
  </si>
  <si>
    <t>护卫战靴·十</t>
  </si>
  <si>
    <t>护卫战靴·凡</t>
  </si>
  <si>
    <t>护卫战靴·皇</t>
  </si>
  <si>
    <t>护卫战靴·玄</t>
  </si>
  <si>
    <t>护卫战靴·地</t>
  </si>
  <si>
    <t>护卫战靴·天</t>
  </si>
  <si>
    <t>破魔战甲·壹</t>
  </si>
  <si>
    <t>破魔战甲·贰</t>
  </si>
  <si>
    <t>破魔战甲·叁</t>
  </si>
  <si>
    <t>破魔战甲·肆</t>
  </si>
  <si>
    <t>破魔战甲·伍</t>
  </si>
  <si>
    <t>破魔战甲·陆</t>
  </si>
  <si>
    <t>破魔战甲·柒</t>
  </si>
  <si>
    <t>破魔战甲·捌</t>
  </si>
  <si>
    <t>破魔战甲·玖</t>
  </si>
  <si>
    <t>破魔战甲·十</t>
  </si>
  <si>
    <t>破魔战甲·凡</t>
  </si>
  <si>
    <t>破魔战甲·皇</t>
  </si>
  <si>
    <t>破魔战甲·玄</t>
  </si>
  <si>
    <t>破魔战甲·地</t>
  </si>
  <si>
    <t>破魔战甲·天</t>
  </si>
  <si>
    <t>破魔长剑·壹</t>
  </si>
  <si>
    <t>破魔长剑·贰</t>
  </si>
  <si>
    <t>破魔长剑·叁</t>
  </si>
  <si>
    <t>破魔长剑·肆</t>
  </si>
  <si>
    <t>破魔长剑·伍</t>
  </si>
  <si>
    <t>破魔长剑·陆</t>
  </si>
  <si>
    <t>破魔长剑·柒</t>
  </si>
  <si>
    <t>破魔长剑·捌</t>
  </si>
  <si>
    <t>破魔长剑·玖</t>
  </si>
  <si>
    <t>破魔长剑·十</t>
  </si>
  <si>
    <t>破魔长剑·凡</t>
  </si>
  <si>
    <t>破魔长剑·皇</t>
  </si>
  <si>
    <t>破魔长剑·玄</t>
  </si>
  <si>
    <t>破魔长剑·地</t>
  </si>
  <si>
    <t>破魔长剑·天</t>
  </si>
  <si>
    <t>破魔头盔·壹</t>
  </si>
  <si>
    <t>破魔头盔·贰</t>
  </si>
  <si>
    <t>破魔头盔·叁</t>
  </si>
  <si>
    <t>破魔头盔·肆</t>
  </si>
  <si>
    <t>破魔头盔·伍</t>
  </si>
  <si>
    <t>破魔头盔·陆</t>
  </si>
  <si>
    <t>破魔头盔·柒</t>
  </si>
  <si>
    <t>破魔头盔·捌</t>
  </si>
  <si>
    <t>破魔头盔·玖</t>
  </si>
  <si>
    <t>破魔头盔·十</t>
  </si>
  <si>
    <t>破魔头盔·凡</t>
  </si>
  <si>
    <t>破魔头盔·皇</t>
  </si>
  <si>
    <t>破魔头盔·玄</t>
  </si>
  <si>
    <t>破魔头盔·地</t>
  </si>
  <si>
    <t>破魔头盔·天</t>
  </si>
  <si>
    <t>破魔战靴·壹</t>
  </si>
  <si>
    <t>破魔战靴·贰</t>
  </si>
  <si>
    <t>破魔战靴·叁</t>
  </si>
  <si>
    <t>破魔战靴·肆</t>
  </si>
  <si>
    <t>破魔战靴·伍</t>
  </si>
  <si>
    <t>破魔战靴·陆</t>
  </si>
  <si>
    <t>破魔战靴·柒</t>
  </si>
  <si>
    <t>破魔战靴·捌</t>
  </si>
  <si>
    <t>破魔战靴·玖</t>
  </si>
  <si>
    <t>破魔战靴·十</t>
  </si>
  <si>
    <t>破魔战靴·凡</t>
  </si>
  <si>
    <t>破魔战靴·皇</t>
  </si>
  <si>
    <t>破魔战靴·玄</t>
  </si>
  <si>
    <t>破魔战靴·地</t>
  </si>
  <si>
    <t>破魔战靴·天</t>
  </si>
  <si>
    <t>赤血战甲·壹</t>
  </si>
  <si>
    <t>赤血战甲·贰</t>
  </si>
  <si>
    <t>赤血战甲·叁</t>
  </si>
  <si>
    <t>赤血战甲·肆</t>
  </si>
  <si>
    <t>赤血战甲·伍</t>
  </si>
  <si>
    <t>赤血战甲·陆</t>
  </si>
  <si>
    <t>赤血战甲·柒</t>
  </si>
  <si>
    <t>赤血战甲·捌</t>
  </si>
  <si>
    <t>赤血战甲·玖</t>
  </si>
  <si>
    <t>赤血战甲·十</t>
  </si>
  <si>
    <t>赤血战甲·凡</t>
  </si>
  <si>
    <t>赤血战甲·皇</t>
  </si>
  <si>
    <t>赤血战甲·玄</t>
  </si>
  <si>
    <t>赤血战甲·地</t>
  </si>
  <si>
    <t>赤血战甲·天</t>
  </si>
  <si>
    <t>青锋长剑·壹</t>
  </si>
  <si>
    <t>青锋长剑·贰</t>
  </si>
  <si>
    <t>青锋长剑·叁</t>
  </si>
  <si>
    <t>青锋长剑·肆</t>
  </si>
  <si>
    <t>青锋长剑·伍</t>
  </si>
  <si>
    <t>青锋长剑·陆</t>
  </si>
  <si>
    <t>青锋长剑·柒</t>
  </si>
  <si>
    <t>青锋长剑·捌</t>
  </si>
  <si>
    <t>青锋长剑·玖</t>
  </si>
  <si>
    <t>青锋长剑·十</t>
  </si>
  <si>
    <t>青锋长剑·凡</t>
  </si>
  <si>
    <t>青锋长剑·皇</t>
  </si>
  <si>
    <t>青锋长剑·玄</t>
  </si>
  <si>
    <t>青锋长剑·地</t>
  </si>
  <si>
    <t>青锋长剑·天</t>
  </si>
  <si>
    <t>雁虞头盔·壹</t>
  </si>
  <si>
    <t>雁虞头盔·贰</t>
  </si>
  <si>
    <t>雁虞头盔·叁</t>
  </si>
  <si>
    <t>雁虞头盔·肆</t>
  </si>
  <si>
    <t>雁虞头盔·伍</t>
  </si>
  <si>
    <t>雁虞头盔·陆</t>
  </si>
  <si>
    <t>雁虞头盔·柒</t>
  </si>
  <si>
    <t>雁虞头盔·捌</t>
  </si>
  <si>
    <t>雁虞头盔·玖</t>
  </si>
  <si>
    <t>雁虞头盔·十</t>
  </si>
  <si>
    <t>雁虞头盔·凡</t>
  </si>
  <si>
    <t>雁虞头盔·皇</t>
  </si>
  <si>
    <t>雁虞头盔·玄</t>
  </si>
  <si>
    <t>雁虞头盔·地</t>
  </si>
  <si>
    <t>雁虞头盔·天</t>
  </si>
  <si>
    <t>无影战靴·壹</t>
  </si>
  <si>
    <t>无影战靴·贰</t>
  </si>
  <si>
    <t>无影战靴·叁</t>
  </si>
  <si>
    <t>无影战靴·肆</t>
  </si>
  <si>
    <t>无影战靴·伍</t>
  </si>
  <si>
    <t>无影战靴·陆</t>
  </si>
  <si>
    <t>无影战靴·柒</t>
  </si>
  <si>
    <t>无影战靴·捌</t>
  </si>
  <si>
    <t>无影战靴·玖</t>
  </si>
  <si>
    <t>无影战靴·十</t>
  </si>
  <si>
    <t>无影战靴·凡</t>
  </si>
  <si>
    <t>无影战靴·皇</t>
  </si>
  <si>
    <t>无影战靴·玄</t>
  </si>
  <si>
    <t>无影战靴·地</t>
  </si>
  <si>
    <t>无影战靴·天</t>
  </si>
  <si>
    <t>宽恕战铠·壹</t>
  </si>
  <si>
    <t>宽恕战铠·贰</t>
  </si>
  <si>
    <t>宽恕战铠·叁</t>
  </si>
  <si>
    <t>宽恕战铠·肆</t>
  </si>
  <si>
    <t>宽恕战铠·伍</t>
  </si>
  <si>
    <t>宽恕战铠·陆</t>
  </si>
  <si>
    <t>宽恕战铠·柒</t>
  </si>
  <si>
    <t>宽恕战铠·捌</t>
  </si>
  <si>
    <t>宽恕战铠·玖</t>
  </si>
  <si>
    <t>宽恕战铠·十</t>
  </si>
  <si>
    <t>宽恕战铠·凡</t>
  </si>
  <si>
    <t>宽恕战铠·皇</t>
  </si>
  <si>
    <t>宽恕战铠·玄</t>
  </si>
  <si>
    <t>宽恕战铠·地</t>
  </si>
  <si>
    <t>宽恕战铠·天</t>
  </si>
  <si>
    <t>宽恕道剑·壹</t>
  </si>
  <si>
    <t>宽恕道剑·贰</t>
  </si>
  <si>
    <t>宽恕道剑·叁</t>
  </si>
  <si>
    <t>宽恕道剑·肆</t>
  </si>
  <si>
    <t>宽恕道剑·伍</t>
  </si>
  <si>
    <t>宽恕道剑·陆</t>
  </si>
  <si>
    <t>宽恕道剑·柒</t>
  </si>
  <si>
    <t>宽恕道剑·捌</t>
  </si>
  <si>
    <t>宽恕道剑·玖</t>
  </si>
  <si>
    <t>宽恕道剑·十</t>
  </si>
  <si>
    <t>宽恕道剑·凡</t>
  </si>
  <si>
    <t>宽恕道剑·皇</t>
  </si>
  <si>
    <t>宽恕道剑·玄</t>
  </si>
  <si>
    <t>宽恕道剑·地</t>
  </si>
  <si>
    <t>宽恕道剑·天</t>
  </si>
  <si>
    <t>宽恕头盔·壹</t>
  </si>
  <si>
    <t>宽恕头盔·贰</t>
  </si>
  <si>
    <t>宽恕头盔·叁</t>
  </si>
  <si>
    <t>宽恕头盔·肆</t>
  </si>
  <si>
    <t>宽恕头盔·伍</t>
  </si>
  <si>
    <t>宽恕头盔·陆</t>
  </si>
  <si>
    <t>宽恕头盔·柒</t>
  </si>
  <si>
    <t>宽恕头盔·捌</t>
  </si>
  <si>
    <t>宽恕头盔·玖</t>
  </si>
  <si>
    <t>宽恕头盔·十</t>
  </si>
  <si>
    <t>宽恕头盔·凡</t>
  </si>
  <si>
    <t>宽恕头盔·皇</t>
  </si>
  <si>
    <t>宽恕头盔·玄</t>
  </si>
  <si>
    <t>宽恕头盔·地</t>
  </si>
  <si>
    <t>宽恕头盔·天</t>
  </si>
  <si>
    <t>宽恕战履·壹</t>
  </si>
  <si>
    <t>宽恕战履·贰</t>
  </si>
  <si>
    <t>宽恕战履·叁</t>
  </si>
  <si>
    <t>宽恕战履·肆</t>
  </si>
  <si>
    <t>宽恕战履·伍</t>
  </si>
  <si>
    <t>宽恕战履·陆</t>
  </si>
  <si>
    <t>宽恕战履·柒</t>
  </si>
  <si>
    <t>宽恕战履·捌</t>
  </si>
  <si>
    <t>宽恕战履·玖</t>
  </si>
  <si>
    <t>宽恕战履·十</t>
  </si>
  <si>
    <t>宽恕战履·凡</t>
  </si>
  <si>
    <t>宽恕战履·皇</t>
  </si>
  <si>
    <t>宽恕战履·玄</t>
  </si>
  <si>
    <t>宽恕战履·地</t>
  </si>
  <si>
    <t>宽恕战履·天</t>
  </si>
  <si>
    <t>封魔战甲·壹</t>
  </si>
  <si>
    <t>封魔战甲·贰</t>
  </si>
  <si>
    <t>封魔战甲·叁</t>
  </si>
  <si>
    <t>封魔战甲·肆</t>
  </si>
  <si>
    <t>封魔战甲·伍</t>
  </si>
  <si>
    <t>封魔战甲·陆</t>
  </si>
  <si>
    <t>封魔战甲·柒</t>
  </si>
  <si>
    <t>封魔战甲·捌</t>
  </si>
  <si>
    <t>封魔战甲·玖</t>
  </si>
  <si>
    <t>封魔战甲·十</t>
  </si>
  <si>
    <t>封魔战甲·凡</t>
  </si>
  <si>
    <t>封魔战甲·皇</t>
  </si>
  <si>
    <t>封魔战甲·玄</t>
  </si>
  <si>
    <t>封魔战甲·地</t>
  </si>
  <si>
    <t>封魔战甲·天</t>
  </si>
  <si>
    <t>封魔长剑·壹</t>
  </si>
  <si>
    <t>封魔长剑·贰</t>
  </si>
  <si>
    <t>封魔长剑·叁</t>
  </si>
  <si>
    <t>封魔长剑·肆</t>
  </si>
  <si>
    <t>封魔长剑·伍</t>
  </si>
  <si>
    <t>封魔长剑·陆</t>
  </si>
  <si>
    <t>封魔长剑·柒</t>
  </si>
  <si>
    <t>封魔长剑·捌</t>
  </si>
  <si>
    <t>封魔长剑·玖</t>
  </si>
  <si>
    <t>封魔长剑·十</t>
  </si>
  <si>
    <t>封魔长剑·凡</t>
  </si>
  <si>
    <t>封魔长剑·皇</t>
  </si>
  <si>
    <t>封魔长剑·玄</t>
  </si>
  <si>
    <t>封魔长剑·地</t>
  </si>
  <si>
    <t>封魔长剑·天</t>
  </si>
  <si>
    <t>封魔头盔·壹</t>
  </si>
  <si>
    <t>封魔头盔·贰</t>
  </si>
  <si>
    <t>封魔头盔·叁</t>
  </si>
  <si>
    <t>封魔头盔·肆</t>
  </si>
  <si>
    <t>封魔头盔·伍</t>
  </si>
  <si>
    <t>封魔头盔·陆</t>
  </si>
  <si>
    <t>封魔头盔·柒</t>
  </si>
  <si>
    <t>封魔头盔·捌</t>
  </si>
  <si>
    <t>封魔头盔·玖</t>
  </si>
  <si>
    <t>封魔头盔·十</t>
  </si>
  <si>
    <t>封魔头盔·凡</t>
  </si>
  <si>
    <t>封魔头盔·皇</t>
  </si>
  <si>
    <t>封魔头盔·玄</t>
  </si>
  <si>
    <t>封魔头盔·地</t>
  </si>
  <si>
    <t>封魔头盔·天</t>
  </si>
  <si>
    <t>封魔战靴·壹</t>
  </si>
  <si>
    <t>封魔战靴·贰</t>
  </si>
  <si>
    <t>封魔战靴·叁</t>
  </si>
  <si>
    <t>封魔战靴·肆</t>
  </si>
  <si>
    <t>封魔战靴·伍</t>
  </si>
  <si>
    <t>封魔战靴·陆</t>
  </si>
  <si>
    <t>封魔战靴·柒</t>
  </si>
  <si>
    <t>封魔战靴·捌</t>
  </si>
  <si>
    <t>封魔战靴·玖</t>
  </si>
  <si>
    <t>封魔战靴·十</t>
  </si>
  <si>
    <t>封魔战靴·凡</t>
  </si>
  <si>
    <t>封魔战靴·皇</t>
  </si>
  <si>
    <t>封魔战靴·玄</t>
  </si>
  <si>
    <t>封魔战靴·地</t>
  </si>
  <si>
    <t>封魔战靴·天</t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</si>
</sst>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1"/>
      <name val="宋体"/>
      <family val="2"/>
      <scheme val="minor"/>
    </font>
    <font>
      <sz val="11"/>
      <color indexed="8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sz val="10"/>
      <name val="宋体"/>
      <family val="2"/>
      <scheme val="minor"/>
    </font>
    <font>
      <sz val="10"/>
      <color rgb="FF0070C0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0"/>
      <color rgb="FF0070C0"/>
      <name val="宋体"/>
      <family val="2"/>
      <scheme val="minor"/>
    </font>
    <font>
      <sz val="10"/>
      <color rgb="FFFFFF00"/>
      <name val="微软雅黑"/>
      <family val="2"/>
      <charset val="134"/>
    </font>
    <font>
      <sz val="11"/>
      <color rgb="FFFFFF00"/>
      <name val="微软雅黑"/>
      <family val="2"/>
      <charset val="134"/>
    </font>
    <font>
      <sz val="10"/>
      <color rgb="FFFFFF00"/>
      <name val="宋体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center" vertical="center" wrapText="1"/>
    </xf>
    <xf numFmtId="0" fontId="7" fillId="6" borderId="1" xfId="0" applyNumberFormat="1" applyFont="1" applyFill="1" applyBorder="1" applyAlignment="1">
      <alignment horizontal="center" vertical="center"/>
    </xf>
    <xf numFmtId="0" fontId="7" fillId="6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center"/>
    </xf>
    <xf numFmtId="0" fontId="3" fillId="8" borderId="1" xfId="0" applyNumberFormat="1" applyFont="1" applyFill="1" applyBorder="1" applyAlignment="1">
      <alignment horizontal="center" vertical="center"/>
    </xf>
    <xf numFmtId="0" fontId="10" fillId="8" borderId="1" xfId="0" applyNumberFormat="1" applyFont="1" applyFill="1" applyBorder="1" applyAlignment="1">
      <alignment horizontal="center" vertical="center"/>
    </xf>
    <xf numFmtId="0" fontId="2" fillId="8" borderId="1" xfId="0" applyNumberFormat="1" applyFont="1" applyFill="1" applyBorder="1" applyAlignment="1">
      <alignment horizontal="center" vertical="center"/>
    </xf>
    <xf numFmtId="0" fontId="4" fillId="8" borderId="0" xfId="0" applyNumberFormat="1" applyFont="1" applyFill="1"/>
    <xf numFmtId="0" fontId="3" fillId="2" borderId="1" xfId="0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2" borderId="0" xfId="0" applyNumberFormat="1" applyFont="1" applyFill="1"/>
    <xf numFmtId="0" fontId="9" fillId="8" borderId="1" xfId="0" applyNumberFormat="1" applyFont="1" applyFill="1" applyBorder="1" applyAlignment="1">
      <alignment horizontal="center" vertical="center"/>
    </xf>
    <xf numFmtId="0" fontId="4" fillId="9" borderId="0" xfId="0" applyNumberFormat="1" applyFont="1" applyFill="1"/>
    <xf numFmtId="0" fontId="3" fillId="6" borderId="1" xfId="0" applyNumberFormat="1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 vertical="center"/>
    </xf>
    <xf numFmtId="0" fontId="10" fillId="6" borderId="1" xfId="0" applyNumberFormat="1" applyFont="1" applyFill="1" applyBorder="1" applyAlignment="1">
      <alignment horizontal="center" vertical="center"/>
    </xf>
    <xf numFmtId="0" fontId="2" fillId="6" borderId="1" xfId="0" applyNumberFormat="1" applyFont="1" applyFill="1" applyBorder="1" applyAlignment="1">
      <alignment horizontal="center" vertical="center"/>
    </xf>
    <xf numFmtId="0" fontId="4" fillId="6" borderId="0" xfId="0" applyNumberFormat="1" applyFont="1" applyFill="1"/>
    <xf numFmtId="0" fontId="1" fillId="2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11" fillId="10" borderId="1" xfId="0" applyNumberFormat="1" applyFont="1" applyFill="1" applyBorder="1" applyAlignment="1">
      <alignment horizontal="center" vertical="center"/>
    </xf>
    <xf numFmtId="0" fontId="12" fillId="10" borderId="1" xfId="0" applyNumberFormat="1" applyFont="1" applyFill="1" applyBorder="1" applyAlignment="1">
      <alignment horizontal="center" vertical="center"/>
    </xf>
    <xf numFmtId="0" fontId="11" fillId="10" borderId="0" xfId="0" applyNumberFormat="1" applyFont="1" applyFill="1"/>
    <xf numFmtId="0" fontId="10" fillId="2" borderId="1" xfId="0" quotePrefix="1" applyNumberFormat="1" applyFont="1" applyFill="1" applyBorder="1" applyAlignment="1">
      <alignment horizontal="center" vertical="center"/>
    </xf>
    <xf numFmtId="0" fontId="10" fillId="6" borderId="1" xfId="0" quotePrefix="1" applyNumberFormat="1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>
      <alignment horizontal="left" vertical="top" wrapText="1"/>
    </xf>
    <xf numFmtId="0" fontId="7" fillId="3" borderId="1" xfId="0" applyNumberFormat="1" applyFont="1" applyFill="1" applyBorder="1" applyAlignment="1">
      <alignment horizontal="center" vertical="top" wrapText="1"/>
    </xf>
    <xf numFmtId="0" fontId="7" fillId="4" borderId="1" xfId="0" applyNumberFormat="1" applyFont="1" applyFill="1" applyBorder="1" applyAlignment="1">
      <alignment horizontal="center" vertical="top" wrapText="1"/>
    </xf>
    <xf numFmtId="0" fontId="7" fillId="2" borderId="1" xfId="0" applyNumberFormat="1" applyFont="1" applyFill="1" applyBorder="1" applyAlignment="1">
      <alignment horizontal="left" vertical="top" wrapText="1"/>
    </xf>
    <xf numFmtId="0" fontId="7" fillId="2" borderId="1" xfId="0" applyNumberFormat="1" applyFont="1" applyFill="1" applyBorder="1" applyAlignment="1">
      <alignment horizontal="center" vertical="top" wrapText="1"/>
    </xf>
    <xf numFmtId="0" fontId="7" fillId="5" borderId="1" xfId="0" applyNumberFormat="1" applyFont="1" applyFill="1" applyBorder="1" applyAlignment="1">
      <alignment horizontal="center" vertical="top" wrapText="1"/>
    </xf>
    <xf numFmtId="0" fontId="7" fillId="7" borderId="1" xfId="0" applyNumberFormat="1" applyFont="1" applyFill="1" applyBorder="1" applyAlignment="1">
      <alignment horizontal="center" vertical="top" wrapText="1"/>
    </xf>
    <xf numFmtId="0" fontId="8" fillId="0" borderId="0" xfId="0" applyNumberFormat="1" applyFont="1" applyAlignment="1">
      <alignment vertical="top"/>
    </xf>
    <xf numFmtId="0" fontId="13" fillId="6" borderId="1" xfId="0" applyNumberFormat="1" applyFont="1" applyFill="1" applyBorder="1" applyAlignment="1">
      <alignment horizontal="center" vertical="center"/>
    </xf>
    <xf numFmtId="0" fontId="14" fillId="6" borderId="1" xfId="0" applyNumberFormat="1" applyFont="1" applyFill="1" applyBorder="1" applyAlignment="1">
      <alignment horizontal="center" vertical="center"/>
    </xf>
    <xf numFmtId="0" fontId="13" fillId="6" borderId="1" xfId="0" quotePrefix="1" applyNumberFormat="1" applyFont="1" applyFill="1" applyBorder="1" applyAlignment="1">
      <alignment horizontal="center" vertical="center"/>
    </xf>
    <xf numFmtId="0" fontId="13" fillId="6" borderId="0" xfId="0" applyNumberFormat="1" applyFont="1" applyFill="1"/>
    <xf numFmtId="0" fontId="13" fillId="11" borderId="1" xfId="0" applyNumberFormat="1" applyFont="1" applyFill="1" applyBorder="1" applyAlignment="1">
      <alignment horizontal="center" vertical="center"/>
    </xf>
    <xf numFmtId="0" fontId="14" fillId="11" borderId="1" xfId="0" applyNumberFormat="1" applyFont="1" applyFill="1" applyBorder="1" applyAlignment="1">
      <alignment horizontal="center" vertical="center"/>
    </xf>
    <xf numFmtId="0" fontId="13" fillId="11" borderId="1" xfId="0" quotePrefix="1" applyNumberFormat="1" applyFont="1" applyFill="1" applyBorder="1" applyAlignment="1">
      <alignment horizontal="center" vertical="center"/>
    </xf>
    <xf numFmtId="0" fontId="13" fillId="11" borderId="0" xfId="0" applyNumberFormat="1" applyFont="1" applyFill="1"/>
    <xf numFmtId="0" fontId="3" fillId="12" borderId="1" xfId="0" applyNumberFormat="1" applyFont="1" applyFill="1" applyBorder="1" applyAlignment="1">
      <alignment horizontal="center" vertical="center"/>
    </xf>
    <xf numFmtId="0" fontId="1" fillId="12" borderId="1" xfId="0" applyNumberFormat="1" applyFont="1" applyFill="1" applyBorder="1" applyAlignment="1">
      <alignment horizontal="center" vertical="center"/>
    </xf>
    <xf numFmtId="0" fontId="2" fillId="12" borderId="1" xfId="0" applyNumberFormat="1" applyFont="1" applyFill="1" applyBorder="1" applyAlignment="1">
      <alignment horizontal="center" vertical="center"/>
    </xf>
    <xf numFmtId="0" fontId="9" fillId="12" borderId="1" xfId="0" applyNumberFormat="1" applyFont="1" applyFill="1" applyBorder="1" applyAlignment="1">
      <alignment horizontal="center" vertical="center"/>
    </xf>
    <xf numFmtId="0" fontId="10" fillId="12" borderId="1" xfId="0" applyNumberFormat="1" applyFont="1" applyFill="1" applyBorder="1" applyAlignment="1">
      <alignment horizontal="center" vertical="center"/>
    </xf>
    <xf numFmtId="0" fontId="10" fillId="12" borderId="1" xfId="0" quotePrefix="1" applyNumberFormat="1" applyFont="1" applyFill="1" applyBorder="1" applyAlignment="1">
      <alignment horizontal="center" vertical="center"/>
    </xf>
    <xf numFmtId="0" fontId="4" fillId="12" borderId="0" xfId="0" applyNumberFormat="1" applyFont="1" applyFill="1"/>
    <xf numFmtId="0" fontId="3" fillId="13" borderId="1" xfId="0" applyNumberFormat="1" applyFont="1" applyFill="1" applyBorder="1" applyAlignment="1">
      <alignment horizontal="center" vertical="center"/>
    </xf>
    <xf numFmtId="0" fontId="1" fillId="13" borderId="1" xfId="0" applyNumberFormat="1" applyFont="1" applyFill="1" applyBorder="1" applyAlignment="1">
      <alignment horizontal="center" vertical="center"/>
    </xf>
    <xf numFmtId="0" fontId="2" fillId="13" borderId="1" xfId="0" applyNumberFormat="1" applyFont="1" applyFill="1" applyBorder="1" applyAlignment="1">
      <alignment horizontal="center" vertical="center"/>
    </xf>
    <xf numFmtId="0" fontId="9" fillId="13" borderId="1" xfId="0" applyNumberFormat="1" applyFont="1" applyFill="1" applyBorder="1" applyAlignment="1">
      <alignment horizontal="center" vertical="center"/>
    </xf>
    <xf numFmtId="0" fontId="10" fillId="13" borderId="1" xfId="0" applyNumberFormat="1" applyFont="1" applyFill="1" applyBorder="1" applyAlignment="1">
      <alignment horizontal="center" vertical="center"/>
    </xf>
    <xf numFmtId="0" fontId="10" fillId="13" borderId="1" xfId="0" quotePrefix="1" applyNumberFormat="1" applyFont="1" applyFill="1" applyBorder="1" applyAlignment="1">
      <alignment horizontal="center" vertical="center"/>
    </xf>
    <xf numFmtId="0" fontId="4" fillId="13" borderId="0" xfId="0" applyNumberFormat="1" applyFont="1" applyFill="1"/>
    <xf numFmtId="0" fontId="13" fillId="9" borderId="1" xfId="0" applyNumberFormat="1" applyFont="1" applyFill="1" applyBorder="1" applyAlignment="1">
      <alignment horizontal="center" vertical="center"/>
    </xf>
    <xf numFmtId="0" fontId="14" fillId="9" borderId="1" xfId="0" applyNumberFormat="1" applyFont="1" applyFill="1" applyBorder="1" applyAlignment="1">
      <alignment horizontal="center" vertical="center"/>
    </xf>
    <xf numFmtId="0" fontId="13" fillId="9" borderId="1" xfId="0" quotePrefix="1" applyNumberFormat="1" applyFont="1" applyFill="1" applyBorder="1" applyAlignment="1">
      <alignment horizontal="center" vertical="center"/>
    </xf>
    <xf numFmtId="0" fontId="13" fillId="9" borderId="0" xfId="0" applyNumberFormat="1" applyFont="1" applyFill="1"/>
    <xf numFmtId="0" fontId="13" fillId="4" borderId="1" xfId="0" applyNumberFormat="1" applyFont="1" applyFill="1" applyBorder="1" applyAlignment="1">
      <alignment horizontal="center" vertical="top" wrapText="1"/>
    </xf>
    <xf numFmtId="0" fontId="13" fillId="2" borderId="1" xfId="0" applyNumberFormat="1" applyFont="1" applyFill="1" applyBorder="1" applyAlignment="1">
      <alignment horizontal="center" vertical="center"/>
    </xf>
    <xf numFmtId="0" fontId="13" fillId="8" borderId="1" xfId="0" applyNumberFormat="1" applyFont="1" applyFill="1" applyBorder="1" applyAlignment="1">
      <alignment horizontal="center" vertical="center"/>
    </xf>
    <xf numFmtId="0" fontId="13" fillId="13" borderId="1" xfId="0" applyNumberFormat="1" applyFont="1" applyFill="1" applyBorder="1" applyAlignment="1">
      <alignment horizontal="center" vertical="center"/>
    </xf>
    <xf numFmtId="0" fontId="13" fillId="12" borderId="1" xfId="0" applyNumberFormat="1" applyFont="1" applyFill="1" applyBorder="1" applyAlignment="1">
      <alignment horizontal="center" vertical="center"/>
    </xf>
    <xf numFmtId="0" fontId="13" fillId="10" borderId="1" xfId="0" applyNumberFormat="1" applyFont="1" applyFill="1" applyBorder="1" applyAlignment="1">
      <alignment horizontal="center" vertical="center"/>
    </xf>
    <xf numFmtId="0" fontId="15" fillId="0" borderId="0" xfId="0" applyNumberFormat="1" applyFont="1"/>
    <xf numFmtId="0" fontId="3" fillId="14" borderId="1" xfId="0" applyNumberFormat="1" applyFont="1" applyFill="1" applyBorder="1" applyAlignment="1">
      <alignment horizontal="center" vertical="center"/>
    </xf>
    <xf numFmtId="0" fontId="1" fillId="14" borderId="1" xfId="0" applyNumberFormat="1" applyFont="1" applyFill="1" applyBorder="1" applyAlignment="1">
      <alignment horizontal="center" vertical="center"/>
    </xf>
    <xf numFmtId="0" fontId="2" fillId="14" borderId="1" xfId="0" applyNumberFormat="1" applyFont="1" applyFill="1" applyBorder="1" applyAlignment="1">
      <alignment horizontal="center" vertical="center"/>
    </xf>
    <xf numFmtId="0" fontId="9" fillId="14" borderId="1" xfId="0" applyNumberFormat="1" applyFont="1" applyFill="1" applyBorder="1" applyAlignment="1">
      <alignment horizontal="center" vertical="center"/>
    </xf>
    <xf numFmtId="0" fontId="13" fillId="14" borderId="1" xfId="0" applyNumberFormat="1" applyFont="1" applyFill="1" applyBorder="1" applyAlignment="1">
      <alignment horizontal="center" vertical="center"/>
    </xf>
    <xf numFmtId="0" fontId="10" fillId="14" borderId="1" xfId="0" applyNumberFormat="1" applyFont="1" applyFill="1" applyBorder="1" applyAlignment="1">
      <alignment horizontal="center" vertical="center"/>
    </xf>
    <xf numFmtId="0" fontId="4" fillId="14" borderId="0" xfId="0" applyNumberFormat="1" applyFont="1" applyFill="1"/>
    <xf numFmtId="0" fontId="1" fillId="9" borderId="1" xfId="0" applyNumberFormat="1" applyFont="1" applyFill="1" applyBorder="1" applyAlignment="1">
      <alignment horizontal="center" vertical="center"/>
    </xf>
    <xf numFmtId="0" fontId="9" fillId="9" borderId="1" xfId="0" applyNumberFormat="1" applyFont="1" applyFill="1" applyBorder="1" applyAlignment="1">
      <alignment horizontal="center" vertical="center"/>
    </xf>
    <xf numFmtId="0" fontId="10" fillId="9" borderId="1" xfId="0" applyNumberFormat="1" applyFont="1" applyFill="1" applyBorder="1" applyAlignment="1">
      <alignment horizontal="center" vertical="center"/>
    </xf>
    <xf numFmtId="0" fontId="13" fillId="9" borderId="1" xfId="0" applyNumberFormat="1" applyFont="1" applyFill="1" applyBorder="1" applyAlignment="1">
      <alignment horizontal="center" vertical="center"/>
    </xf>
    <xf numFmtId="0" fontId="16" fillId="11" borderId="1" xfId="0" applyNumberFormat="1" applyFont="1" applyFill="1" applyBorder="1" applyAlignment="1">
      <alignment horizontal="center" vertical="center"/>
    </xf>
    <xf numFmtId="0" fontId="17" fillId="11" borderId="1" xfId="0" applyNumberFormat="1" applyFont="1" applyFill="1" applyBorder="1" applyAlignment="1">
      <alignment horizontal="center" vertical="center"/>
    </xf>
    <xf numFmtId="0" fontId="16" fillId="14" borderId="0" xfId="0" applyNumberFormat="1" applyFont="1" applyFill="1"/>
    <xf numFmtId="0" fontId="16" fillId="11" borderId="1" xfId="0" quotePrefix="1" applyNumberFormat="1" applyFont="1" applyFill="1" applyBorder="1" applyAlignment="1">
      <alignment horizontal="center" vertical="center"/>
    </xf>
    <xf numFmtId="0" fontId="16" fillId="6" borderId="0" xfId="0" applyNumberFormat="1" applyFont="1" applyFill="1"/>
    <xf numFmtId="0" fontId="16" fillId="9" borderId="0" xfId="0" applyNumberFormat="1" applyFont="1" applyFill="1"/>
    <xf numFmtId="0" fontId="18" fillId="0" borderId="0" xfId="0" applyNumberFormat="1" applyFont="1"/>
    <xf numFmtId="0" fontId="16" fillId="6" borderId="1" xfId="0" applyNumberFormat="1" applyFont="1" applyFill="1" applyBorder="1" applyAlignment="1">
      <alignment horizontal="center" vertical="center"/>
    </xf>
    <xf numFmtId="0" fontId="17" fillId="6" borderId="1" xfId="0" applyNumberFormat="1" applyFont="1" applyFill="1" applyBorder="1" applyAlignment="1">
      <alignment horizontal="center" vertical="center"/>
    </xf>
    <xf numFmtId="0" fontId="16" fillId="6" borderId="1" xfId="0" quotePrefix="1" applyNumberFormat="1" applyFont="1" applyFill="1" applyBorder="1" applyAlignment="1">
      <alignment horizontal="center" vertical="center"/>
    </xf>
    <xf numFmtId="0" fontId="16" fillId="12" borderId="1" xfId="0" applyNumberFormat="1" applyFont="1" applyFill="1" applyBorder="1" applyAlignment="1">
      <alignment horizontal="center" vertical="center"/>
    </xf>
    <xf numFmtId="0" fontId="17" fillId="12" borderId="1" xfId="0" applyNumberFormat="1" applyFont="1" applyFill="1" applyBorder="1" applyAlignment="1">
      <alignment horizontal="center" vertical="center"/>
    </xf>
    <xf numFmtId="0" fontId="16" fillId="12" borderId="1" xfId="0" quotePrefix="1" applyNumberFormat="1" applyFont="1" applyFill="1" applyBorder="1" applyAlignment="1">
      <alignment horizontal="center" vertical="center"/>
    </xf>
    <xf numFmtId="0" fontId="16" fillId="9" borderId="1" xfId="0" applyNumberFormat="1" applyFont="1" applyFill="1" applyBorder="1" applyAlignment="1">
      <alignment horizontal="center" vertical="center"/>
    </xf>
    <xf numFmtId="0" fontId="17" fillId="9" borderId="1" xfId="0" applyNumberFormat="1" applyFont="1" applyFill="1" applyBorder="1" applyAlignment="1">
      <alignment horizontal="center" vertical="center"/>
    </xf>
    <xf numFmtId="0" fontId="16" fillId="9" borderId="1" xfId="0" quotePrefix="1" applyNumberFormat="1" applyFont="1" applyFill="1" applyBorder="1" applyAlignment="1">
      <alignment horizontal="center" vertical="center"/>
    </xf>
    <xf numFmtId="0" fontId="16" fillId="13" borderId="1" xfId="0" applyNumberFormat="1" applyFont="1" applyFill="1" applyBorder="1" applyAlignment="1">
      <alignment horizontal="center" vertical="center"/>
    </xf>
    <xf numFmtId="0" fontId="17" fillId="13" borderId="1" xfId="0" applyNumberFormat="1" applyFont="1" applyFill="1" applyBorder="1" applyAlignment="1">
      <alignment horizontal="center" vertical="center"/>
    </xf>
    <xf numFmtId="0" fontId="16" fillId="13" borderId="1" xfId="0" quotePrefix="1" applyNumberFormat="1" applyFont="1" applyFill="1" applyBorder="1" applyAlignment="1">
      <alignment horizontal="center" vertical="center"/>
    </xf>
    <xf numFmtId="0" fontId="19" fillId="8" borderId="1" xfId="0" applyNumberFormat="1" applyFont="1" applyFill="1" applyBorder="1" applyAlignment="1">
      <alignment horizontal="center" vertical="center"/>
    </xf>
    <xf numFmtId="0" fontId="20" fillId="8" borderId="1" xfId="0" applyNumberFormat="1" applyFont="1" applyFill="1" applyBorder="1" applyAlignment="1">
      <alignment horizontal="center" vertical="center"/>
    </xf>
    <xf numFmtId="0" fontId="21" fillId="0" borderId="0" xfId="0" applyNumberFormat="1" applyFont="1"/>
    <xf numFmtId="0" fontId="19" fillId="14" borderId="1" xfId="0" applyNumberFormat="1" applyFont="1" applyFill="1" applyBorder="1" applyAlignment="1">
      <alignment horizontal="center" vertical="center"/>
    </xf>
    <xf numFmtId="0" fontId="20" fillId="14" borderId="1" xfId="0" applyNumberFormat="1" applyFont="1" applyFill="1" applyBorder="1" applyAlignment="1">
      <alignment horizontal="center" vertical="center"/>
    </xf>
    <xf numFmtId="0" fontId="19" fillId="2" borderId="1" xfId="0" applyNumberFormat="1" applyFont="1" applyFill="1" applyBorder="1" applyAlignment="1">
      <alignment horizontal="center" vertical="center"/>
    </xf>
    <xf numFmtId="0" fontId="19" fillId="2" borderId="1" xfId="0" applyNumberFormat="1" applyFont="1" applyFill="1" applyBorder="1" applyAlignment="1">
      <alignment horizontal="center" vertical="center" wrapText="1"/>
    </xf>
    <xf numFmtId="0" fontId="19" fillId="2" borderId="1" xfId="0" quotePrefix="1" applyNumberFormat="1" applyFont="1" applyFill="1" applyBorder="1" applyAlignment="1">
      <alignment horizontal="center" vertical="center"/>
    </xf>
    <xf numFmtId="0" fontId="19" fillId="9" borderId="1" xfId="0" applyNumberFormat="1" applyFont="1" applyFill="1" applyBorder="1" applyAlignment="1">
      <alignment horizontal="center" vertical="center"/>
    </xf>
    <xf numFmtId="0" fontId="20" fillId="9" borderId="1" xfId="0" applyNumberFormat="1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0" fillId="0" borderId="0" xfId="0"/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0" fillId="0" borderId="0" xfId="0"/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0" fillId="0" borderId="0" xfId="0"/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  <xf numFmtId="0" fontId="13" fillId="11" borderId="1" xfId="0" applyFont="1" applyFill="1" applyBorder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Q667"/>
  <sheetViews>
    <sheetView tabSelected="1" zoomScale="115" zoomScaleNormal="115" workbookViewId="0">
      <pane xSplit="2" ySplit="3" topLeftCell="E663" activePane="bottomRight" state="frozen"/>
      <selection pane="topRight" activeCell="C1" sqref="C1"/>
      <selection pane="bottomLeft" activeCell="A4" sqref="A4"/>
      <selection pane="bottomRight" activeCell="I678" sqref="I678"/>
    </sheetView>
  </sheetViews>
  <sheetFormatPr defaultRowHeight="12"/>
  <cols>
    <col min="1" max="1" width="18.75" style="1" customWidth="1"/>
    <col min="2" max="2" width="19.375" style="1" customWidth="1"/>
    <col min="3" max="3" width="16.75" style="1" bestFit="1" customWidth="1"/>
    <col min="4" max="4" width="22" style="1" customWidth="1"/>
    <col min="5" max="5" width="22" style="5" customWidth="1"/>
    <col min="6" max="6" width="14.875" style="69" customWidth="1"/>
    <col min="7" max="8" width="14.875" style="1" customWidth="1"/>
    <col min="9" max="9" width="15" style="1" customWidth="1"/>
    <col min="10" max="10" width="15.5" style="1" customWidth="1"/>
    <col min="11" max="12" width="9" style="1" customWidth="1"/>
    <col min="13" max="13" width="9.5" style="1" customWidth="1"/>
    <col min="14" max="28" width="9" style="1" customWidth="1"/>
    <col min="29" max="29" width="9.625" style="1" customWidth="1"/>
    <col min="30" max="30" width="13.125" style="1" customWidth="1"/>
    <col min="31" max="31" width="16" style="1" customWidth="1"/>
    <col min="32" max="32" width="16.5" style="1" customWidth="1"/>
    <col min="33" max="33" width="14.375" style="1" bestFit="1" customWidth="1"/>
    <col min="34" max="34" width="17.625" style="1" bestFit="1" customWidth="1"/>
    <col min="35" max="35" width="15" style="1" bestFit="1" customWidth="1"/>
    <col min="36" max="36" width="17.25" style="1" bestFit="1" customWidth="1"/>
    <col min="37" max="37" width="16.875" style="1" bestFit="1" customWidth="1"/>
    <col min="38" max="38" width="16.25" style="1" bestFit="1" customWidth="1"/>
    <col min="39" max="39" width="14.75" style="1" bestFit="1" customWidth="1"/>
    <col min="40" max="40" width="35.5" style="1" bestFit="1" customWidth="1"/>
    <col min="41" max="41" width="49" style="1" customWidth="1"/>
    <col min="42" max="16384" width="9" style="1"/>
  </cols>
  <sheetData>
    <row r="1" spans="1:43" s="36" customFormat="1" ht="156" customHeight="1">
      <c r="A1" s="30" t="s">
        <v>76</v>
      </c>
      <c r="B1" s="30" t="s">
        <v>0</v>
      </c>
      <c r="C1" s="30" t="s">
        <v>11</v>
      </c>
      <c r="D1" s="31" t="s">
        <v>70</v>
      </c>
      <c r="E1" s="31" t="s">
        <v>69</v>
      </c>
      <c r="F1" s="63" t="s">
        <v>38</v>
      </c>
      <c r="G1" s="31" t="s">
        <v>53</v>
      </c>
      <c r="H1" s="31" t="s">
        <v>721</v>
      </c>
      <c r="I1" s="29" t="s">
        <v>158</v>
      </c>
      <c r="J1" s="32" t="s">
        <v>703</v>
      </c>
      <c r="K1" s="33" t="s">
        <v>1</v>
      </c>
      <c r="L1" s="33" t="s">
        <v>67</v>
      </c>
      <c r="M1" s="34" t="s">
        <v>2</v>
      </c>
      <c r="N1" s="34" t="s">
        <v>140</v>
      </c>
      <c r="O1" s="34" t="s">
        <v>139</v>
      </c>
      <c r="P1" s="34" t="s">
        <v>141</v>
      </c>
      <c r="Q1" s="34" t="s">
        <v>3</v>
      </c>
      <c r="R1" s="34" t="s">
        <v>4</v>
      </c>
      <c r="S1" s="34" t="s">
        <v>5</v>
      </c>
      <c r="T1" s="34" t="s">
        <v>6</v>
      </c>
      <c r="U1" s="33" t="s">
        <v>142</v>
      </c>
      <c r="V1" s="33" t="s">
        <v>143</v>
      </c>
      <c r="W1" s="33" t="s">
        <v>144</v>
      </c>
      <c r="X1" s="33" t="s">
        <v>145</v>
      </c>
      <c r="Y1" s="35" t="s">
        <v>146</v>
      </c>
      <c r="Z1" s="35" t="s">
        <v>147</v>
      </c>
      <c r="AA1" s="35" t="s">
        <v>148</v>
      </c>
      <c r="AB1" s="35" t="s">
        <v>149</v>
      </c>
      <c r="AC1" s="33" t="s">
        <v>150</v>
      </c>
      <c r="AD1" s="33" t="s">
        <v>151</v>
      </c>
      <c r="AE1" s="33" t="s">
        <v>152</v>
      </c>
      <c r="AF1" s="33" t="s">
        <v>153</v>
      </c>
      <c r="AG1" s="35" t="s">
        <v>154</v>
      </c>
      <c r="AH1" s="35" t="s">
        <v>155</v>
      </c>
      <c r="AI1" s="35" t="s">
        <v>156</v>
      </c>
      <c r="AJ1" s="35" t="s">
        <v>157</v>
      </c>
      <c r="AK1" s="35" t="s">
        <v>36</v>
      </c>
      <c r="AL1" s="35" t="s">
        <v>77</v>
      </c>
      <c r="AM1" s="31" t="s">
        <v>59</v>
      </c>
      <c r="AN1" s="35" t="s">
        <v>71</v>
      </c>
      <c r="AO1" s="35" t="s">
        <v>169</v>
      </c>
    </row>
    <row r="2" spans="1:43" ht="16.5">
      <c r="A2" s="3" t="s">
        <v>37</v>
      </c>
      <c r="B2" s="3" t="s">
        <v>7</v>
      </c>
      <c r="C2" s="3" t="s">
        <v>8</v>
      </c>
      <c r="D2" s="3" t="s">
        <v>13</v>
      </c>
      <c r="E2" s="3" t="s">
        <v>62</v>
      </c>
      <c r="F2" s="37" t="s">
        <v>39</v>
      </c>
      <c r="G2" s="3" t="s">
        <v>55</v>
      </c>
      <c r="H2" s="3" t="s">
        <v>722</v>
      </c>
      <c r="I2" s="3" t="s">
        <v>49</v>
      </c>
      <c r="J2" s="3" t="s">
        <v>14</v>
      </c>
      <c r="K2" s="3" t="s">
        <v>16</v>
      </c>
      <c r="L2" s="3" t="s">
        <v>64</v>
      </c>
      <c r="M2" s="3" t="s">
        <v>17</v>
      </c>
      <c r="N2" s="3" t="s">
        <v>19</v>
      </c>
      <c r="O2" s="3" t="s">
        <v>20</v>
      </c>
      <c r="P2" s="3" t="s">
        <v>21</v>
      </c>
      <c r="Q2" s="3" t="s">
        <v>22</v>
      </c>
      <c r="R2" s="3" t="s">
        <v>23</v>
      </c>
      <c r="S2" s="3" t="s">
        <v>24</v>
      </c>
      <c r="T2" s="3" t="s">
        <v>25</v>
      </c>
      <c r="U2" s="3" t="s">
        <v>27</v>
      </c>
      <c r="V2" s="3" t="s">
        <v>28</v>
      </c>
      <c r="W2" s="3" t="s">
        <v>29</v>
      </c>
      <c r="X2" s="3" t="s">
        <v>30</v>
      </c>
      <c r="Y2" s="3" t="s">
        <v>31</v>
      </c>
      <c r="Z2" s="3" t="s">
        <v>32</v>
      </c>
      <c r="AA2" s="3" t="s">
        <v>33</v>
      </c>
      <c r="AB2" s="3" t="s">
        <v>34</v>
      </c>
      <c r="AC2" s="3" t="s">
        <v>41</v>
      </c>
      <c r="AD2" s="3" t="s">
        <v>42</v>
      </c>
      <c r="AE2" s="3" t="s">
        <v>99</v>
      </c>
      <c r="AF2" s="3" t="s">
        <v>43</v>
      </c>
      <c r="AG2" s="3" t="s">
        <v>44</v>
      </c>
      <c r="AH2" s="3" t="s">
        <v>45</v>
      </c>
      <c r="AI2" s="3" t="s">
        <v>46</v>
      </c>
      <c r="AJ2" s="3" t="s">
        <v>47</v>
      </c>
      <c r="AK2" s="3" t="s">
        <v>35</v>
      </c>
      <c r="AL2" s="3" t="s">
        <v>56</v>
      </c>
      <c r="AM2" s="3" t="s">
        <v>58</v>
      </c>
      <c r="AN2" s="3" t="s">
        <v>68</v>
      </c>
      <c r="AO2" s="3" t="s">
        <v>692</v>
      </c>
    </row>
    <row r="3" spans="1:43" ht="16.5">
      <c r="A3" s="3" t="s">
        <v>9</v>
      </c>
      <c r="B3" s="3" t="s">
        <v>10</v>
      </c>
      <c r="C3" s="3" t="s">
        <v>9</v>
      </c>
      <c r="D3" s="3" t="s">
        <v>12</v>
      </c>
      <c r="E3" s="3" t="s">
        <v>9</v>
      </c>
      <c r="F3" s="37" t="s">
        <v>40</v>
      </c>
      <c r="G3" s="3" t="s">
        <v>54</v>
      </c>
      <c r="H3" s="3" t="s">
        <v>723</v>
      </c>
      <c r="I3" s="3" t="s">
        <v>50</v>
      </c>
      <c r="J3" s="4" t="s">
        <v>15</v>
      </c>
      <c r="K3" s="4" t="s">
        <v>15</v>
      </c>
      <c r="L3" s="4" t="s">
        <v>65</v>
      </c>
      <c r="M3" s="4" t="s">
        <v>18</v>
      </c>
      <c r="N3" s="4" t="s">
        <v>18</v>
      </c>
      <c r="O3" s="4" t="s">
        <v>18</v>
      </c>
      <c r="P3" s="4" t="s">
        <v>18</v>
      </c>
      <c r="Q3" s="4" t="s">
        <v>26</v>
      </c>
      <c r="R3" s="4" t="s">
        <v>26</v>
      </c>
      <c r="S3" s="4" t="s">
        <v>26</v>
      </c>
      <c r="T3" s="4" t="s">
        <v>26</v>
      </c>
      <c r="U3" s="4" t="s">
        <v>100</v>
      </c>
      <c r="V3" s="4" t="s">
        <v>100</v>
      </c>
      <c r="W3" s="4" t="s">
        <v>100</v>
      </c>
      <c r="X3" s="4" t="s">
        <v>100</v>
      </c>
      <c r="Y3" s="4" t="s">
        <v>26</v>
      </c>
      <c r="Z3" s="4" t="s">
        <v>26</v>
      </c>
      <c r="AA3" s="4" t="s">
        <v>26</v>
      </c>
      <c r="AB3" s="4" t="s">
        <v>26</v>
      </c>
      <c r="AC3" s="4" t="s">
        <v>18</v>
      </c>
      <c r="AD3" s="4" t="s">
        <v>18</v>
      </c>
      <c r="AE3" s="4" t="s">
        <v>52</v>
      </c>
      <c r="AF3" s="4" t="s">
        <v>78</v>
      </c>
      <c r="AG3" s="4" t="s">
        <v>51</v>
      </c>
      <c r="AH3" s="4" t="s">
        <v>51</v>
      </c>
      <c r="AI3" s="4" t="s">
        <v>51</v>
      </c>
      <c r="AJ3" s="4" t="s">
        <v>51</v>
      </c>
      <c r="AK3" s="4" t="s">
        <v>50</v>
      </c>
      <c r="AL3" s="4" t="s">
        <v>57</v>
      </c>
      <c r="AM3" s="3" t="s">
        <v>40</v>
      </c>
      <c r="AN3" s="3" t="s">
        <v>9</v>
      </c>
      <c r="AO3" s="3" t="s">
        <v>693</v>
      </c>
    </row>
    <row r="4" spans="1:43" s="13" customFormat="1" ht="16.5">
      <c r="A4" s="41">
        <v>2100</v>
      </c>
      <c r="B4" s="41" t="s">
        <v>1656</v>
      </c>
      <c r="C4" s="41" t="s">
        <v>1507</v>
      </c>
      <c r="D4" s="41" t="s">
        <v>704</v>
      </c>
      <c r="E4" s="42" t="s">
        <v>1485</v>
      </c>
      <c r="F4" s="41">
        <v>10000</v>
      </c>
      <c r="G4" s="41">
        <v>300</v>
      </c>
      <c r="H4" s="41">
        <v>50</v>
      </c>
      <c r="I4" s="41" t="s">
        <v>718</v>
      </c>
      <c r="J4" s="41">
        <v>6</v>
      </c>
      <c r="K4" s="41">
        <v>20</v>
      </c>
      <c r="L4" s="41">
        <v>60</v>
      </c>
      <c r="M4" s="41">
        <v>0</v>
      </c>
      <c r="N4" s="41">
        <v>0</v>
      </c>
      <c r="O4">
        <v>1280</v>
      </c>
      <c r="P4" s="41">
        <v>0</v>
      </c>
      <c r="Q4" s="41">
        <v>0</v>
      </c>
      <c r="R4" s="41">
        <v>0</v>
      </c>
      <c r="S4" s="41">
        <v>0</v>
      </c>
      <c r="T4" s="41">
        <v>0</v>
      </c>
      <c r="U4" s="41">
        <v>0</v>
      </c>
      <c r="V4" s="41">
        <v>0</v>
      </c>
      <c r="W4" s="41">
        <v>9</v>
      </c>
      <c r="X4" s="41">
        <v>0</v>
      </c>
      <c r="Y4" s="41">
        <v>0</v>
      </c>
      <c r="Z4" s="41">
        <v>0</v>
      </c>
      <c r="AA4" s="41">
        <v>0</v>
      </c>
      <c r="AB4" s="41">
        <v>0</v>
      </c>
      <c r="AC4" s="41">
        <v>0</v>
      </c>
      <c r="AD4" s="41">
        <v>0</v>
      </c>
      <c r="AE4" s="41">
        <v>36</v>
      </c>
      <c r="AF4" s="41">
        <v>0</v>
      </c>
      <c r="AG4" s="41">
        <v>0</v>
      </c>
      <c r="AH4" s="41">
        <v>0</v>
      </c>
      <c r="AI4" s="41">
        <v>0</v>
      </c>
      <c r="AJ4" s="41">
        <v>1.8000000000000002E-2</v>
      </c>
      <c r="AK4" s="110">
        <v>20014</v>
      </c>
      <c r="AL4" s="41">
        <v>2</v>
      </c>
      <c r="AM4" s="41">
        <f>INDEX(Sheet5!$B$19:$G$33,MATCH(Sheet1!AQ4,Sheet5!$A$19:$A$33,0),MATCH(J4,Sheet5!$B$18:$G$18,0))</f>
        <v>1000</v>
      </c>
      <c r="AN4" s="41" t="s">
        <v>48</v>
      </c>
      <c r="AO4" s="41" t="s">
        <v>724</v>
      </c>
      <c r="AP4" s="41">
        <v>181</v>
      </c>
      <c r="AQ4" s="13">
        <v>10</v>
      </c>
    </row>
    <row r="5" spans="1:43" s="13" customFormat="1" ht="16.5">
      <c r="A5" s="41">
        <v>2101</v>
      </c>
      <c r="B5" s="41" t="s">
        <v>1657</v>
      </c>
      <c r="C5" s="41" t="s">
        <v>1507</v>
      </c>
      <c r="D5" s="41" t="s">
        <v>704</v>
      </c>
      <c r="E5" s="42" t="s">
        <v>1485</v>
      </c>
      <c r="F5" s="41">
        <v>10000</v>
      </c>
      <c r="G5" s="41">
        <v>300</v>
      </c>
      <c r="H5" s="41">
        <v>50</v>
      </c>
      <c r="I5" s="41" t="s">
        <v>718</v>
      </c>
      <c r="J5" s="41">
        <v>6</v>
      </c>
      <c r="K5" s="41">
        <v>20</v>
      </c>
      <c r="L5" s="41">
        <v>60</v>
      </c>
      <c r="M5" s="41">
        <v>0</v>
      </c>
      <c r="N5" s="41">
        <v>0</v>
      </c>
      <c r="O5">
        <v>2560</v>
      </c>
      <c r="P5" s="41">
        <v>0</v>
      </c>
      <c r="Q5" s="41">
        <v>0</v>
      </c>
      <c r="R5" s="41">
        <v>0</v>
      </c>
      <c r="S5" s="41">
        <v>0</v>
      </c>
      <c r="T5" s="41">
        <v>0</v>
      </c>
      <c r="U5" s="41">
        <v>0</v>
      </c>
      <c r="V5" s="41">
        <v>0</v>
      </c>
      <c r="W5" s="41">
        <v>9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36</v>
      </c>
      <c r="AF5" s="41">
        <v>0</v>
      </c>
      <c r="AG5" s="41">
        <v>0</v>
      </c>
      <c r="AH5" s="41">
        <v>0</v>
      </c>
      <c r="AI5" s="41">
        <v>0</v>
      </c>
      <c r="AJ5" s="41">
        <v>1.8000000000000002E-2</v>
      </c>
      <c r="AK5" s="110">
        <v>20015</v>
      </c>
      <c r="AL5" s="41">
        <v>2</v>
      </c>
      <c r="AM5" s="41">
        <f>INDEX(Sheet5!$B$19:$G$33,MATCH(Sheet1!AQ5,Sheet5!$A$19:$A$33,0),MATCH(J5,Sheet5!$B$18:$G$18,0))</f>
        <v>2000</v>
      </c>
      <c r="AN5" s="41" t="s">
        <v>48</v>
      </c>
      <c r="AO5" s="41" t="s">
        <v>724</v>
      </c>
      <c r="AP5" s="41">
        <v>182</v>
      </c>
      <c r="AQ5" s="13">
        <v>20</v>
      </c>
    </row>
    <row r="6" spans="1:43" s="13" customFormat="1" ht="16.5">
      <c r="A6" s="41">
        <v>2102</v>
      </c>
      <c r="B6" s="41" t="s">
        <v>1658</v>
      </c>
      <c r="C6" s="41" t="s">
        <v>1507</v>
      </c>
      <c r="D6" s="41" t="s">
        <v>704</v>
      </c>
      <c r="E6" s="42" t="s">
        <v>1485</v>
      </c>
      <c r="F6" s="41">
        <v>10000</v>
      </c>
      <c r="G6" s="41">
        <v>300</v>
      </c>
      <c r="H6" s="41">
        <v>50</v>
      </c>
      <c r="I6" s="41" t="s">
        <v>718</v>
      </c>
      <c r="J6" s="41">
        <v>6</v>
      </c>
      <c r="K6" s="41">
        <v>20</v>
      </c>
      <c r="L6" s="41">
        <v>60</v>
      </c>
      <c r="M6" s="41">
        <v>0</v>
      </c>
      <c r="N6" s="41">
        <v>0</v>
      </c>
      <c r="O6">
        <v>3840</v>
      </c>
      <c r="P6" s="41">
        <v>0</v>
      </c>
      <c r="Q6" s="41">
        <v>0</v>
      </c>
      <c r="R6" s="41">
        <v>0</v>
      </c>
      <c r="S6" s="41">
        <v>0</v>
      </c>
      <c r="T6" s="41">
        <v>0</v>
      </c>
      <c r="U6" s="41">
        <v>0</v>
      </c>
      <c r="V6" s="41">
        <v>0</v>
      </c>
      <c r="W6" s="41">
        <v>9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36</v>
      </c>
      <c r="AF6" s="41">
        <v>0</v>
      </c>
      <c r="AG6" s="41">
        <v>0</v>
      </c>
      <c r="AH6" s="41">
        <v>0</v>
      </c>
      <c r="AI6" s="41">
        <v>0</v>
      </c>
      <c r="AJ6" s="41">
        <v>1.8000000000000002E-2</v>
      </c>
      <c r="AK6" s="110">
        <v>20016</v>
      </c>
      <c r="AL6" s="41">
        <v>2</v>
      </c>
      <c r="AM6" s="41">
        <f>INDEX(Sheet5!$B$19:$G$33,MATCH(Sheet1!AQ6,Sheet5!$A$19:$A$33,0),MATCH(J6,Sheet5!$B$18:$G$18,0))</f>
        <v>3000</v>
      </c>
      <c r="AN6" s="41" t="s">
        <v>48</v>
      </c>
      <c r="AO6" s="41" t="s">
        <v>724</v>
      </c>
      <c r="AP6" s="41">
        <v>183</v>
      </c>
      <c r="AQ6" s="13">
        <v>30</v>
      </c>
    </row>
    <row r="7" spans="1:43" s="13" customFormat="1" ht="16.5">
      <c r="A7" s="41">
        <v>2103</v>
      </c>
      <c r="B7" s="41" t="s">
        <v>1659</v>
      </c>
      <c r="C7" s="41" t="s">
        <v>1507</v>
      </c>
      <c r="D7" s="41" t="s">
        <v>704</v>
      </c>
      <c r="E7" s="42" t="s">
        <v>1485</v>
      </c>
      <c r="F7" s="41">
        <v>10000</v>
      </c>
      <c r="G7" s="41">
        <v>300</v>
      </c>
      <c r="H7" s="41">
        <v>50</v>
      </c>
      <c r="I7" s="41" t="s">
        <v>718</v>
      </c>
      <c r="J7" s="41">
        <v>6</v>
      </c>
      <c r="K7" s="41">
        <v>20</v>
      </c>
      <c r="L7" s="41">
        <v>60</v>
      </c>
      <c r="M7" s="41">
        <v>0</v>
      </c>
      <c r="N7" s="41">
        <v>0</v>
      </c>
      <c r="O7">
        <v>5120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W7" s="41">
        <v>9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36</v>
      </c>
      <c r="AF7" s="41">
        <v>0</v>
      </c>
      <c r="AG7" s="41">
        <v>0</v>
      </c>
      <c r="AH7" s="41">
        <v>0</v>
      </c>
      <c r="AI7" s="41">
        <v>0</v>
      </c>
      <c r="AJ7" s="41">
        <v>1.8000000000000002E-2</v>
      </c>
      <c r="AK7" s="110">
        <v>20017</v>
      </c>
      <c r="AL7" s="41">
        <v>2</v>
      </c>
      <c r="AM7" s="41">
        <f>INDEX(Sheet5!$B$19:$G$33,MATCH(Sheet1!AQ7,Sheet5!$A$19:$A$33,0),MATCH(J7,Sheet5!$B$18:$G$18,0))</f>
        <v>4000</v>
      </c>
      <c r="AN7" s="41" t="s">
        <v>48</v>
      </c>
      <c r="AO7" s="41" t="s">
        <v>724</v>
      </c>
      <c r="AP7" s="41">
        <v>184</v>
      </c>
      <c r="AQ7" s="13">
        <v>40</v>
      </c>
    </row>
    <row r="8" spans="1:43" s="76" customFormat="1" ht="16.5">
      <c r="A8" s="41">
        <v>2104</v>
      </c>
      <c r="B8" s="41" t="s">
        <v>1660</v>
      </c>
      <c r="C8" s="41" t="s">
        <v>1507</v>
      </c>
      <c r="D8" s="41" t="s">
        <v>704</v>
      </c>
      <c r="E8" s="42" t="s">
        <v>1485</v>
      </c>
      <c r="F8" s="41">
        <v>10000</v>
      </c>
      <c r="G8" s="41">
        <v>300</v>
      </c>
      <c r="H8" s="41">
        <v>50</v>
      </c>
      <c r="I8" s="41" t="s">
        <v>718</v>
      </c>
      <c r="J8" s="41">
        <v>6</v>
      </c>
      <c r="K8" s="41">
        <v>20</v>
      </c>
      <c r="L8" s="41">
        <v>60</v>
      </c>
      <c r="M8" s="41">
        <v>0</v>
      </c>
      <c r="N8" s="41">
        <v>0</v>
      </c>
      <c r="O8">
        <v>6400</v>
      </c>
      <c r="P8" s="41">
        <v>0</v>
      </c>
      <c r="Q8" s="41">
        <v>0</v>
      </c>
      <c r="R8" s="41">
        <v>0</v>
      </c>
      <c r="S8" s="41">
        <v>0</v>
      </c>
      <c r="T8" s="41">
        <v>0</v>
      </c>
      <c r="U8" s="41">
        <v>0</v>
      </c>
      <c r="V8" s="41">
        <v>0</v>
      </c>
      <c r="W8" s="41">
        <v>9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36</v>
      </c>
      <c r="AF8" s="41">
        <v>0</v>
      </c>
      <c r="AG8" s="41">
        <v>0</v>
      </c>
      <c r="AH8" s="41">
        <v>0</v>
      </c>
      <c r="AI8" s="41">
        <v>0</v>
      </c>
      <c r="AJ8" s="41">
        <v>1.8000000000000002E-2</v>
      </c>
      <c r="AK8" s="110">
        <v>20018</v>
      </c>
      <c r="AL8" s="41">
        <v>2</v>
      </c>
      <c r="AM8" s="41">
        <f>INDEX(Sheet5!$B$19:$G$33,MATCH(Sheet1!AQ8,Sheet5!$A$19:$A$33,0),MATCH(J8,Sheet5!$B$18:$G$18,0))</f>
        <v>5000</v>
      </c>
      <c r="AN8" s="41" t="s">
        <v>48</v>
      </c>
      <c r="AO8" s="41" t="s">
        <v>724</v>
      </c>
      <c r="AP8" s="41">
        <v>185</v>
      </c>
      <c r="AQ8" s="13">
        <v>50</v>
      </c>
    </row>
    <row r="9" spans="1:43" s="76" customFormat="1" ht="16.5">
      <c r="A9" s="41">
        <v>2105</v>
      </c>
      <c r="B9" s="41" t="s">
        <v>1661</v>
      </c>
      <c r="C9" s="41" t="s">
        <v>1507</v>
      </c>
      <c r="D9" s="41" t="s">
        <v>704</v>
      </c>
      <c r="E9" s="42" t="s">
        <v>1485</v>
      </c>
      <c r="F9" s="41">
        <v>10000</v>
      </c>
      <c r="G9" s="41">
        <v>300</v>
      </c>
      <c r="H9" s="41">
        <v>50</v>
      </c>
      <c r="I9" s="41" t="s">
        <v>718</v>
      </c>
      <c r="J9" s="41">
        <v>6</v>
      </c>
      <c r="K9" s="41">
        <v>20</v>
      </c>
      <c r="L9" s="41">
        <v>60</v>
      </c>
      <c r="M9" s="41">
        <v>0</v>
      </c>
      <c r="N9" s="41">
        <v>0</v>
      </c>
      <c r="O9">
        <v>7680</v>
      </c>
      <c r="P9" s="41">
        <v>0</v>
      </c>
      <c r="Q9" s="41">
        <v>0</v>
      </c>
      <c r="R9" s="41">
        <v>0</v>
      </c>
      <c r="S9" s="41">
        <v>0</v>
      </c>
      <c r="T9" s="41">
        <v>0</v>
      </c>
      <c r="U9" s="41">
        <v>0</v>
      </c>
      <c r="V9" s="41">
        <v>0</v>
      </c>
      <c r="W9" s="41">
        <v>9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36</v>
      </c>
      <c r="AF9" s="41">
        <v>0</v>
      </c>
      <c r="AG9" s="41">
        <v>0</v>
      </c>
      <c r="AH9" s="41">
        <v>0</v>
      </c>
      <c r="AI9" s="41">
        <v>0</v>
      </c>
      <c r="AJ9" s="41">
        <v>1.8000000000000002E-2</v>
      </c>
      <c r="AK9" s="110">
        <v>20019</v>
      </c>
      <c r="AL9" s="41">
        <v>2</v>
      </c>
      <c r="AM9" s="41">
        <f>INDEX(Sheet5!$B$19:$G$33,MATCH(Sheet1!AQ9,Sheet5!$A$19:$A$33,0),MATCH(J9,Sheet5!$B$18:$G$18,0))</f>
        <v>6000</v>
      </c>
      <c r="AN9" s="41" t="s">
        <v>48</v>
      </c>
      <c r="AO9" s="41" t="s">
        <v>724</v>
      </c>
      <c r="AP9" s="41">
        <v>186</v>
      </c>
      <c r="AQ9" s="13">
        <v>60</v>
      </c>
    </row>
    <row r="10" spans="1:43" s="76" customFormat="1" ht="16.5">
      <c r="A10" s="41">
        <v>2106</v>
      </c>
      <c r="B10" s="41" t="s">
        <v>1662</v>
      </c>
      <c r="C10" s="41" t="s">
        <v>1507</v>
      </c>
      <c r="D10" s="41" t="s">
        <v>704</v>
      </c>
      <c r="E10" s="42" t="s">
        <v>1485</v>
      </c>
      <c r="F10" s="41">
        <v>10000</v>
      </c>
      <c r="G10" s="41">
        <v>300</v>
      </c>
      <c r="H10" s="41">
        <v>50</v>
      </c>
      <c r="I10" s="41" t="s">
        <v>718</v>
      </c>
      <c r="J10" s="41">
        <v>6</v>
      </c>
      <c r="K10" s="41">
        <v>20</v>
      </c>
      <c r="L10" s="41">
        <v>60</v>
      </c>
      <c r="M10" s="41">
        <v>0</v>
      </c>
      <c r="N10" s="41">
        <v>0</v>
      </c>
      <c r="O10">
        <v>8960</v>
      </c>
      <c r="P10" s="41">
        <v>0</v>
      </c>
      <c r="Q10" s="41">
        <v>0</v>
      </c>
      <c r="R10" s="41">
        <v>0</v>
      </c>
      <c r="S10" s="41">
        <v>0</v>
      </c>
      <c r="T10" s="41">
        <v>0</v>
      </c>
      <c r="U10" s="41">
        <v>0</v>
      </c>
      <c r="V10" s="41">
        <v>0</v>
      </c>
      <c r="W10" s="41">
        <v>9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36</v>
      </c>
      <c r="AF10" s="41">
        <v>0</v>
      </c>
      <c r="AG10" s="41">
        <v>0</v>
      </c>
      <c r="AH10" s="41">
        <v>0</v>
      </c>
      <c r="AI10" s="41">
        <v>0</v>
      </c>
      <c r="AJ10" s="41">
        <v>1.8000000000000002E-2</v>
      </c>
      <c r="AK10" s="110">
        <v>20020</v>
      </c>
      <c r="AL10" s="41">
        <v>2</v>
      </c>
      <c r="AM10" s="41">
        <f>INDEX(Sheet5!$B$19:$G$33,MATCH(Sheet1!AQ10,Sheet5!$A$19:$A$33,0),MATCH(J10,Sheet5!$B$18:$G$18,0))</f>
        <v>7000</v>
      </c>
      <c r="AN10" s="41" t="s">
        <v>48</v>
      </c>
      <c r="AO10" s="41" t="s">
        <v>724</v>
      </c>
      <c r="AP10" s="41">
        <v>187</v>
      </c>
      <c r="AQ10" s="13">
        <v>70</v>
      </c>
    </row>
    <row r="11" spans="1:43" s="83" customFormat="1" ht="16.5">
      <c r="A11" s="81">
        <v>2081</v>
      </c>
      <c r="B11" s="81" t="s">
        <v>1663</v>
      </c>
      <c r="C11" s="41" t="s">
        <v>1507</v>
      </c>
      <c r="D11" s="81" t="s">
        <v>704</v>
      </c>
      <c r="E11" s="82">
        <v>11037</v>
      </c>
      <c r="F11" s="81">
        <v>10000</v>
      </c>
      <c r="G11" s="81">
        <v>300</v>
      </c>
      <c r="H11" s="81">
        <v>50</v>
      </c>
      <c r="I11" s="81" t="s">
        <v>718</v>
      </c>
      <c r="J11" s="81">
        <v>6</v>
      </c>
      <c r="K11" s="81">
        <v>20</v>
      </c>
      <c r="L11" s="81">
        <v>60</v>
      </c>
      <c r="M11" s="81">
        <v>0</v>
      </c>
      <c r="N11" s="81">
        <v>0</v>
      </c>
      <c r="O11">
        <v>10240</v>
      </c>
      <c r="P11" s="81">
        <v>0</v>
      </c>
      <c r="Q11" s="81">
        <v>0</v>
      </c>
      <c r="R11" s="81">
        <v>0</v>
      </c>
      <c r="S11" s="81">
        <v>0</v>
      </c>
      <c r="T11" s="81">
        <v>0</v>
      </c>
      <c r="U11" s="81">
        <v>0</v>
      </c>
      <c r="V11" s="81">
        <v>0</v>
      </c>
      <c r="W11" s="81">
        <v>9</v>
      </c>
      <c r="X11" s="81">
        <v>0</v>
      </c>
      <c r="Y11" s="81">
        <v>0</v>
      </c>
      <c r="Z11" s="81">
        <v>0</v>
      </c>
      <c r="AA11" s="81">
        <v>0</v>
      </c>
      <c r="AB11" s="81">
        <v>0</v>
      </c>
      <c r="AC11" s="81">
        <v>0</v>
      </c>
      <c r="AD11" s="81">
        <v>0</v>
      </c>
      <c r="AE11" s="81">
        <v>36</v>
      </c>
      <c r="AF11" s="81">
        <v>0</v>
      </c>
      <c r="AG11" s="81">
        <v>0</v>
      </c>
      <c r="AH11" s="81">
        <v>0</v>
      </c>
      <c r="AI11" s="81">
        <v>0</v>
      </c>
      <c r="AJ11" s="81">
        <v>1.8000000000000002E-2</v>
      </c>
      <c r="AK11" s="110">
        <v>20021</v>
      </c>
      <c r="AL11" s="81">
        <v>2</v>
      </c>
      <c r="AM11" s="41">
        <f>INDEX(Sheet5!$B$19:$G$33,MATCH(Sheet1!AQ11,Sheet5!$A$19:$A$33,0),MATCH(J11,Sheet5!$B$18:$G$18,0))</f>
        <v>8000</v>
      </c>
      <c r="AN11" s="81" t="s">
        <v>1486</v>
      </c>
      <c r="AO11" s="81" t="s">
        <v>724</v>
      </c>
      <c r="AP11" s="81">
        <v>2081</v>
      </c>
      <c r="AQ11" s="13">
        <v>80</v>
      </c>
    </row>
    <row r="12" spans="1:43" s="9" customFormat="1" ht="16.5">
      <c r="A12" s="41">
        <v>2107</v>
      </c>
      <c r="B12" s="81" t="s">
        <v>1664</v>
      </c>
      <c r="C12" s="41" t="s">
        <v>1507</v>
      </c>
      <c r="D12" s="41" t="s">
        <v>704</v>
      </c>
      <c r="E12" s="42" t="s">
        <v>1485</v>
      </c>
      <c r="F12" s="41">
        <v>10000</v>
      </c>
      <c r="G12" s="41">
        <v>300</v>
      </c>
      <c r="H12" s="41">
        <v>50</v>
      </c>
      <c r="I12" s="41" t="s">
        <v>718</v>
      </c>
      <c r="J12" s="41">
        <v>6</v>
      </c>
      <c r="K12" s="41">
        <v>20</v>
      </c>
      <c r="L12" s="41">
        <v>60</v>
      </c>
      <c r="M12" s="41">
        <v>0</v>
      </c>
      <c r="N12" s="41">
        <v>0</v>
      </c>
      <c r="O12">
        <v>11520</v>
      </c>
      <c r="P12" s="41">
        <v>0</v>
      </c>
      <c r="Q12" s="41">
        <v>0</v>
      </c>
      <c r="R12" s="41">
        <v>0</v>
      </c>
      <c r="S12" s="41">
        <v>0</v>
      </c>
      <c r="T12" s="41">
        <v>0</v>
      </c>
      <c r="U12" s="41">
        <v>0</v>
      </c>
      <c r="V12" s="41">
        <v>0</v>
      </c>
      <c r="W12" s="41">
        <v>9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36</v>
      </c>
      <c r="AF12" s="41">
        <v>0</v>
      </c>
      <c r="AG12" s="41">
        <v>0</v>
      </c>
      <c r="AH12" s="41">
        <v>0</v>
      </c>
      <c r="AI12" s="41">
        <v>0</v>
      </c>
      <c r="AJ12" s="41">
        <v>1.8000000000000002E-2</v>
      </c>
      <c r="AK12" s="110">
        <v>20022</v>
      </c>
      <c r="AL12" s="41">
        <v>2</v>
      </c>
      <c r="AM12" s="41">
        <f>INDEX(Sheet5!$B$19:$G$33,MATCH(Sheet1!AQ12,Sheet5!$A$19:$A$33,0),MATCH(J12,Sheet5!$B$18:$G$18,0))</f>
        <v>9000</v>
      </c>
      <c r="AN12" s="41" t="s">
        <v>48</v>
      </c>
      <c r="AO12" s="41" t="s">
        <v>724</v>
      </c>
      <c r="AP12" s="41">
        <v>20811</v>
      </c>
      <c r="AQ12" s="13">
        <v>90</v>
      </c>
    </row>
    <row r="13" spans="1:43" s="9" customFormat="1" ht="16.5">
      <c r="A13" s="41">
        <v>2108</v>
      </c>
      <c r="B13" s="81" t="s">
        <v>1665</v>
      </c>
      <c r="C13" s="41" t="s">
        <v>1507</v>
      </c>
      <c r="D13" s="41" t="s">
        <v>704</v>
      </c>
      <c r="E13" s="42" t="s">
        <v>1485</v>
      </c>
      <c r="F13" s="41">
        <v>10000</v>
      </c>
      <c r="G13" s="41">
        <v>300</v>
      </c>
      <c r="H13" s="41">
        <v>50</v>
      </c>
      <c r="I13" s="41" t="s">
        <v>718</v>
      </c>
      <c r="J13" s="41">
        <v>6</v>
      </c>
      <c r="K13" s="41">
        <v>20</v>
      </c>
      <c r="L13" s="41">
        <v>60</v>
      </c>
      <c r="M13" s="41">
        <v>0</v>
      </c>
      <c r="N13" s="41">
        <v>0</v>
      </c>
      <c r="O13">
        <v>12800</v>
      </c>
      <c r="P13" s="41">
        <v>0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W13" s="41">
        <v>9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36</v>
      </c>
      <c r="AF13" s="41">
        <v>0</v>
      </c>
      <c r="AG13" s="41">
        <v>0</v>
      </c>
      <c r="AH13" s="41">
        <v>0</v>
      </c>
      <c r="AI13" s="41">
        <v>0</v>
      </c>
      <c r="AJ13" s="41">
        <v>1.8000000000000002E-2</v>
      </c>
      <c r="AK13" s="110">
        <v>20023</v>
      </c>
      <c r="AL13" s="41">
        <v>2</v>
      </c>
      <c r="AM13" s="41">
        <f>INDEX(Sheet5!$B$19:$G$33,MATCH(Sheet1!AQ13,Sheet5!$A$19:$A$33,0),MATCH(J13,Sheet5!$B$18:$G$18,0))</f>
        <v>10000</v>
      </c>
      <c r="AN13" s="41" t="s">
        <v>48</v>
      </c>
      <c r="AO13" s="41" t="s">
        <v>724</v>
      </c>
      <c r="AP13" s="41">
        <v>20812</v>
      </c>
      <c r="AQ13" s="13">
        <v>100</v>
      </c>
    </row>
    <row r="14" spans="1:43" s="9" customFormat="1" ht="16.5">
      <c r="A14" s="41">
        <v>2109</v>
      </c>
      <c r="B14" s="41" t="s">
        <v>1666</v>
      </c>
      <c r="C14" s="41" t="s">
        <v>1507</v>
      </c>
      <c r="D14" s="41" t="s">
        <v>704</v>
      </c>
      <c r="E14" s="42" t="s">
        <v>1485</v>
      </c>
      <c r="F14" s="41">
        <v>10000</v>
      </c>
      <c r="G14" s="41">
        <v>300</v>
      </c>
      <c r="H14" s="41">
        <v>50</v>
      </c>
      <c r="I14" s="41" t="s">
        <v>718</v>
      </c>
      <c r="J14" s="41">
        <v>6</v>
      </c>
      <c r="K14" s="41">
        <v>20</v>
      </c>
      <c r="L14" s="41">
        <v>60</v>
      </c>
      <c r="M14" s="41">
        <v>0</v>
      </c>
      <c r="N14" s="41">
        <v>0</v>
      </c>
      <c r="O14">
        <v>14080</v>
      </c>
      <c r="P14" s="41">
        <v>0</v>
      </c>
      <c r="Q14" s="41">
        <v>0</v>
      </c>
      <c r="R14" s="41">
        <v>0</v>
      </c>
      <c r="S14" s="41">
        <v>0</v>
      </c>
      <c r="T14" s="41">
        <v>0</v>
      </c>
      <c r="U14" s="41">
        <v>0</v>
      </c>
      <c r="V14" s="41">
        <v>0</v>
      </c>
      <c r="W14" s="41">
        <v>9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36</v>
      </c>
      <c r="AF14" s="41">
        <v>0</v>
      </c>
      <c r="AG14" s="41">
        <v>0</v>
      </c>
      <c r="AH14" s="41">
        <v>0</v>
      </c>
      <c r="AI14" s="41">
        <v>0</v>
      </c>
      <c r="AJ14" s="41">
        <v>1.8000000000000002E-2</v>
      </c>
      <c r="AK14" s="110">
        <v>20024</v>
      </c>
      <c r="AL14" s="41">
        <v>2</v>
      </c>
      <c r="AM14" s="41">
        <f>INDEX(Sheet5!$B$19:$G$33,MATCH(Sheet1!AQ14,Sheet5!$A$19:$A$33,0),MATCH(J14,Sheet5!$B$18:$G$18,0))</f>
        <v>11000</v>
      </c>
      <c r="AN14" s="41" t="s">
        <v>48</v>
      </c>
      <c r="AO14" s="41" t="s">
        <v>724</v>
      </c>
      <c r="AP14" s="41">
        <v>20813</v>
      </c>
      <c r="AQ14" s="13">
        <v>110</v>
      </c>
    </row>
    <row r="15" spans="1:43" s="9" customFormat="1" ht="16.5">
      <c r="A15" s="41">
        <v>2110</v>
      </c>
      <c r="B15" s="41" t="s">
        <v>1667</v>
      </c>
      <c r="C15" s="41" t="s">
        <v>1507</v>
      </c>
      <c r="D15" s="41" t="s">
        <v>704</v>
      </c>
      <c r="E15" s="42" t="s">
        <v>1485</v>
      </c>
      <c r="F15" s="41">
        <v>10000</v>
      </c>
      <c r="G15" s="41">
        <v>300</v>
      </c>
      <c r="H15" s="41">
        <v>50</v>
      </c>
      <c r="I15" s="41" t="s">
        <v>718</v>
      </c>
      <c r="J15" s="41">
        <v>6</v>
      </c>
      <c r="K15" s="41">
        <v>20</v>
      </c>
      <c r="L15" s="41">
        <v>60</v>
      </c>
      <c r="M15" s="41">
        <v>0</v>
      </c>
      <c r="N15" s="41">
        <v>0</v>
      </c>
      <c r="O15">
        <v>15360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W15" s="41">
        <v>9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36</v>
      </c>
      <c r="AF15" s="41">
        <v>0</v>
      </c>
      <c r="AG15" s="41">
        <v>0</v>
      </c>
      <c r="AH15" s="41">
        <v>0</v>
      </c>
      <c r="AI15" s="41">
        <v>0</v>
      </c>
      <c r="AJ15" s="41">
        <v>1.8000000000000002E-2</v>
      </c>
      <c r="AK15" s="110">
        <v>20025</v>
      </c>
      <c r="AL15" s="41">
        <v>2</v>
      </c>
      <c r="AM15" s="41">
        <f>INDEX(Sheet5!$B$19:$G$33,MATCH(Sheet1!AQ15,Sheet5!$A$19:$A$33,0),MATCH(J15,Sheet5!$B$18:$G$18,0))</f>
        <v>12000</v>
      </c>
      <c r="AN15" s="41" t="s">
        <v>48</v>
      </c>
      <c r="AO15" s="41" t="s">
        <v>724</v>
      </c>
      <c r="AP15" s="41">
        <v>20814</v>
      </c>
      <c r="AQ15" s="13">
        <v>120</v>
      </c>
    </row>
    <row r="16" spans="1:43" s="9" customFormat="1" ht="16.5">
      <c r="A16" s="41">
        <v>2111</v>
      </c>
      <c r="B16" s="41" t="s">
        <v>1668</v>
      </c>
      <c r="C16" s="41" t="s">
        <v>1507</v>
      </c>
      <c r="D16" s="41" t="s">
        <v>704</v>
      </c>
      <c r="E16" s="42" t="s">
        <v>1485</v>
      </c>
      <c r="F16" s="41">
        <v>10000</v>
      </c>
      <c r="G16" s="41">
        <v>300</v>
      </c>
      <c r="H16" s="41">
        <v>50</v>
      </c>
      <c r="I16" s="41" t="s">
        <v>718</v>
      </c>
      <c r="J16" s="41">
        <v>6</v>
      </c>
      <c r="K16" s="41">
        <v>20</v>
      </c>
      <c r="L16" s="41">
        <v>60</v>
      </c>
      <c r="M16" s="41">
        <v>0</v>
      </c>
      <c r="N16" s="41">
        <v>0</v>
      </c>
      <c r="O16">
        <v>16640</v>
      </c>
      <c r="P16" s="41">
        <v>0</v>
      </c>
      <c r="Q16" s="41">
        <v>0</v>
      </c>
      <c r="R16" s="41">
        <v>0</v>
      </c>
      <c r="S16" s="41">
        <v>0</v>
      </c>
      <c r="T16" s="41">
        <v>0</v>
      </c>
      <c r="U16" s="41">
        <v>0</v>
      </c>
      <c r="V16" s="41">
        <v>0</v>
      </c>
      <c r="W16" s="41">
        <v>9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36</v>
      </c>
      <c r="AF16" s="41">
        <v>0</v>
      </c>
      <c r="AG16" s="41">
        <v>0</v>
      </c>
      <c r="AH16" s="41">
        <v>0</v>
      </c>
      <c r="AI16" s="41">
        <v>0</v>
      </c>
      <c r="AJ16" s="41">
        <v>1.8000000000000002E-2</v>
      </c>
      <c r="AK16" s="110">
        <v>20026</v>
      </c>
      <c r="AL16" s="41">
        <v>2</v>
      </c>
      <c r="AM16" s="41">
        <f>INDEX(Sheet5!$B$19:$G$33,MATCH(Sheet1!AQ16,Sheet5!$A$19:$A$33,0),MATCH(J16,Sheet5!$B$18:$G$18,0))</f>
        <v>13000</v>
      </c>
      <c r="AN16" s="41" t="s">
        <v>48</v>
      </c>
      <c r="AO16" s="41" t="s">
        <v>724</v>
      </c>
      <c r="AP16" s="41">
        <v>20815</v>
      </c>
      <c r="AQ16" s="13">
        <v>130</v>
      </c>
    </row>
    <row r="17" spans="1:43" s="9" customFormat="1" ht="16.5">
      <c r="A17" s="41">
        <v>2112</v>
      </c>
      <c r="B17" s="41" t="s">
        <v>1669</v>
      </c>
      <c r="C17" s="41" t="s">
        <v>1507</v>
      </c>
      <c r="D17" s="41" t="s">
        <v>704</v>
      </c>
      <c r="E17" s="42" t="s">
        <v>1485</v>
      </c>
      <c r="F17" s="41">
        <v>10000</v>
      </c>
      <c r="G17" s="41">
        <v>300</v>
      </c>
      <c r="H17" s="41">
        <v>50</v>
      </c>
      <c r="I17" s="41" t="s">
        <v>718</v>
      </c>
      <c r="J17" s="41">
        <v>6</v>
      </c>
      <c r="K17" s="41">
        <v>20</v>
      </c>
      <c r="L17" s="41">
        <v>60</v>
      </c>
      <c r="M17" s="41">
        <v>0</v>
      </c>
      <c r="N17" s="41">
        <v>0</v>
      </c>
      <c r="O17">
        <v>17920</v>
      </c>
      <c r="P17" s="41">
        <v>0</v>
      </c>
      <c r="Q17" s="41">
        <v>0</v>
      </c>
      <c r="R17" s="41">
        <v>0</v>
      </c>
      <c r="S17" s="41">
        <v>0</v>
      </c>
      <c r="T17" s="41">
        <v>0</v>
      </c>
      <c r="U17" s="41">
        <v>0</v>
      </c>
      <c r="V17" s="41">
        <v>0</v>
      </c>
      <c r="W17" s="41">
        <v>9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36</v>
      </c>
      <c r="AF17" s="41">
        <v>0</v>
      </c>
      <c r="AG17" s="41">
        <v>0</v>
      </c>
      <c r="AH17" s="41">
        <v>0</v>
      </c>
      <c r="AI17" s="41">
        <v>0</v>
      </c>
      <c r="AJ17" s="41">
        <v>1.8000000000000002E-2</v>
      </c>
      <c r="AK17" s="110">
        <v>20027</v>
      </c>
      <c r="AL17" s="41">
        <v>2</v>
      </c>
      <c r="AM17" s="41">
        <f>INDEX(Sheet5!$B$19:$G$33,MATCH(Sheet1!AQ17,Sheet5!$A$19:$A$33,0),MATCH(J17,Sheet5!$B$18:$G$18,0))</f>
        <v>14000</v>
      </c>
      <c r="AN17" s="41" t="s">
        <v>48</v>
      </c>
      <c r="AO17" s="41" t="s">
        <v>724</v>
      </c>
      <c r="AP17" s="41">
        <v>20816</v>
      </c>
      <c r="AQ17" s="13">
        <v>140</v>
      </c>
    </row>
    <row r="18" spans="1:43" s="9" customFormat="1" ht="16.5">
      <c r="A18" s="41">
        <v>2113</v>
      </c>
      <c r="B18" s="41" t="s">
        <v>1670</v>
      </c>
      <c r="C18" s="41" t="s">
        <v>1507</v>
      </c>
      <c r="D18" s="41" t="s">
        <v>704</v>
      </c>
      <c r="E18" s="42" t="s">
        <v>1485</v>
      </c>
      <c r="F18" s="41">
        <v>10000</v>
      </c>
      <c r="G18" s="41">
        <v>300</v>
      </c>
      <c r="H18" s="41">
        <v>50</v>
      </c>
      <c r="I18" s="41" t="s">
        <v>718</v>
      </c>
      <c r="J18" s="41">
        <v>6</v>
      </c>
      <c r="K18" s="41">
        <v>20</v>
      </c>
      <c r="L18" s="41">
        <v>60</v>
      </c>
      <c r="M18" s="41">
        <v>0</v>
      </c>
      <c r="N18" s="41">
        <v>0</v>
      </c>
      <c r="O18">
        <v>19200</v>
      </c>
      <c r="P18" s="41">
        <v>0</v>
      </c>
      <c r="Q18" s="41">
        <v>0</v>
      </c>
      <c r="R18" s="41">
        <v>0</v>
      </c>
      <c r="S18" s="41">
        <v>0</v>
      </c>
      <c r="T18" s="41">
        <v>0</v>
      </c>
      <c r="U18" s="41">
        <v>0</v>
      </c>
      <c r="V18" s="41">
        <v>0</v>
      </c>
      <c r="W18" s="41">
        <v>9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  <c r="AE18" s="41">
        <v>36</v>
      </c>
      <c r="AF18" s="41">
        <v>0</v>
      </c>
      <c r="AG18" s="41">
        <v>0</v>
      </c>
      <c r="AH18" s="41">
        <v>0</v>
      </c>
      <c r="AI18" s="41">
        <v>0</v>
      </c>
      <c r="AJ18" s="41">
        <v>1.8000000000000002E-2</v>
      </c>
      <c r="AK18" s="110">
        <v>20028</v>
      </c>
      <c r="AL18" s="41">
        <v>2</v>
      </c>
      <c r="AM18" s="41">
        <f>INDEX(Sheet5!$B$19:$G$33,MATCH(Sheet1!AQ18,Sheet5!$A$19:$A$33,0),MATCH(J18,Sheet5!$B$18:$G$18,0))</f>
        <v>15000</v>
      </c>
      <c r="AN18" s="41" t="s">
        <v>48</v>
      </c>
      <c r="AO18" s="41" t="s">
        <v>724</v>
      </c>
      <c r="AP18" s="41">
        <v>20817</v>
      </c>
      <c r="AQ18" s="13">
        <v>150</v>
      </c>
    </row>
    <row r="19" spans="1:43" s="9" customFormat="1" ht="16.5">
      <c r="A19" s="41">
        <v>2114</v>
      </c>
      <c r="B19" s="41" t="s">
        <v>1671</v>
      </c>
      <c r="C19" s="41" t="s">
        <v>1507</v>
      </c>
      <c r="D19" s="41" t="s">
        <v>705</v>
      </c>
      <c r="E19" s="42">
        <v>11038</v>
      </c>
      <c r="F19" s="41">
        <v>10000</v>
      </c>
      <c r="G19" s="41">
        <v>300</v>
      </c>
      <c r="H19" s="41">
        <v>50</v>
      </c>
      <c r="I19" s="41" t="s">
        <v>719</v>
      </c>
      <c r="J19" s="41">
        <v>6</v>
      </c>
      <c r="K19" s="41">
        <v>20</v>
      </c>
      <c r="L19" s="41">
        <v>60</v>
      </c>
      <c r="M19" s="41">
        <v>0</v>
      </c>
      <c r="N19">
        <v>2560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18</v>
      </c>
      <c r="W19" s="41">
        <v>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72</v>
      </c>
      <c r="AE19" s="41">
        <v>0</v>
      </c>
      <c r="AF19" s="41">
        <v>0</v>
      </c>
      <c r="AG19" s="43">
        <v>0</v>
      </c>
      <c r="AH19" s="41">
        <v>0</v>
      </c>
      <c r="AI19" s="41">
        <v>1.8000000000000002E-2</v>
      </c>
      <c r="AJ19" s="41">
        <v>0</v>
      </c>
      <c r="AK19" s="111">
        <v>20014</v>
      </c>
      <c r="AL19" s="41">
        <v>1</v>
      </c>
      <c r="AM19" s="41">
        <f>INDEX(Sheet5!$B$19:$G$33,MATCH(Sheet1!AQ19,Sheet5!$A$19:$A$33,0),MATCH(J19,Sheet5!$B$18:$G$18,0))</f>
        <v>1000</v>
      </c>
      <c r="AN19" s="41" t="s">
        <v>48</v>
      </c>
      <c r="AO19" s="41" t="s">
        <v>724</v>
      </c>
      <c r="AP19" s="41">
        <v>281</v>
      </c>
      <c r="AQ19" s="13">
        <v>10</v>
      </c>
    </row>
    <row r="20" spans="1:43" s="58" customFormat="1" ht="16.5">
      <c r="A20" s="41">
        <v>2115</v>
      </c>
      <c r="B20" s="41" t="s">
        <v>1672</v>
      </c>
      <c r="C20" s="41" t="s">
        <v>1507</v>
      </c>
      <c r="D20" s="41" t="s">
        <v>705</v>
      </c>
      <c r="E20" s="42">
        <v>11038</v>
      </c>
      <c r="F20" s="41">
        <v>10000</v>
      </c>
      <c r="G20" s="41">
        <v>300</v>
      </c>
      <c r="H20" s="41">
        <v>50</v>
      </c>
      <c r="I20" s="41" t="s">
        <v>719</v>
      </c>
      <c r="J20" s="41">
        <v>6</v>
      </c>
      <c r="K20" s="41">
        <v>20</v>
      </c>
      <c r="L20" s="41">
        <v>60</v>
      </c>
      <c r="M20" s="41">
        <v>0</v>
      </c>
      <c r="N20">
        <v>5120</v>
      </c>
      <c r="O20" s="41">
        <v>0</v>
      </c>
      <c r="P20" s="41">
        <v>0</v>
      </c>
      <c r="Q20" s="41">
        <v>0</v>
      </c>
      <c r="R20" s="41">
        <v>0</v>
      </c>
      <c r="S20" s="41">
        <v>0</v>
      </c>
      <c r="T20" s="41">
        <v>0</v>
      </c>
      <c r="U20" s="41">
        <v>0</v>
      </c>
      <c r="V20" s="41">
        <v>18</v>
      </c>
      <c r="W20" s="41"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72</v>
      </c>
      <c r="AE20" s="41">
        <v>0</v>
      </c>
      <c r="AF20" s="41">
        <v>0</v>
      </c>
      <c r="AG20" s="43">
        <v>0</v>
      </c>
      <c r="AH20" s="41">
        <v>0</v>
      </c>
      <c r="AI20" s="41">
        <v>1.8000000000000002E-2</v>
      </c>
      <c r="AJ20" s="41">
        <v>0</v>
      </c>
      <c r="AK20" s="111">
        <v>20015</v>
      </c>
      <c r="AL20" s="41">
        <v>1</v>
      </c>
      <c r="AM20" s="41">
        <f>INDEX(Sheet5!$B$19:$G$33,MATCH(Sheet1!AQ20,Sheet5!$A$19:$A$33,0),MATCH(J20,Sheet5!$B$18:$G$18,0))</f>
        <v>2000</v>
      </c>
      <c r="AN20" s="41" t="s">
        <v>48</v>
      </c>
      <c r="AO20" s="41" t="s">
        <v>724</v>
      </c>
      <c r="AP20" s="41">
        <v>282</v>
      </c>
      <c r="AQ20" s="13">
        <v>20</v>
      </c>
    </row>
    <row r="21" spans="1:43" s="58" customFormat="1" ht="16.5">
      <c r="A21" s="41">
        <v>2116</v>
      </c>
      <c r="B21" s="41" t="s">
        <v>1673</v>
      </c>
      <c r="C21" s="41" t="s">
        <v>1507</v>
      </c>
      <c r="D21" s="41" t="s">
        <v>705</v>
      </c>
      <c r="E21" s="42">
        <v>11038</v>
      </c>
      <c r="F21" s="41">
        <v>10000</v>
      </c>
      <c r="G21" s="41">
        <v>300</v>
      </c>
      <c r="H21" s="41">
        <v>50</v>
      </c>
      <c r="I21" s="41" t="s">
        <v>719</v>
      </c>
      <c r="J21" s="41">
        <v>6</v>
      </c>
      <c r="K21" s="41">
        <v>20</v>
      </c>
      <c r="L21" s="41">
        <v>60</v>
      </c>
      <c r="M21" s="41">
        <v>0</v>
      </c>
      <c r="N21">
        <v>7680</v>
      </c>
      <c r="O21" s="41">
        <v>0</v>
      </c>
      <c r="P21" s="41"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18</v>
      </c>
      <c r="W21" s="41">
        <v>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72</v>
      </c>
      <c r="AE21" s="41">
        <v>0</v>
      </c>
      <c r="AF21" s="41">
        <v>0</v>
      </c>
      <c r="AG21" s="43">
        <v>0</v>
      </c>
      <c r="AH21" s="41">
        <v>0</v>
      </c>
      <c r="AI21" s="41">
        <v>1.7999999999999999E-2</v>
      </c>
      <c r="AJ21" s="41">
        <v>0</v>
      </c>
      <c r="AK21" s="111">
        <v>20016</v>
      </c>
      <c r="AL21" s="41">
        <v>1</v>
      </c>
      <c r="AM21" s="41">
        <f>INDEX(Sheet5!$B$19:$G$33,MATCH(Sheet1!AQ21,Sheet5!$A$19:$A$33,0),MATCH(J21,Sheet5!$B$18:$G$18,0))</f>
        <v>3000</v>
      </c>
      <c r="AN21" s="41" t="s">
        <v>48</v>
      </c>
      <c r="AO21" s="41" t="s">
        <v>724</v>
      </c>
      <c r="AP21" s="41">
        <v>283</v>
      </c>
      <c r="AQ21" s="13">
        <v>30</v>
      </c>
    </row>
    <row r="22" spans="1:43" s="58" customFormat="1" ht="16.5">
      <c r="A22" s="41">
        <v>2117</v>
      </c>
      <c r="B22" s="41" t="s">
        <v>1674</v>
      </c>
      <c r="C22" s="41" t="s">
        <v>1507</v>
      </c>
      <c r="D22" s="41" t="s">
        <v>705</v>
      </c>
      <c r="E22" s="42">
        <v>11038</v>
      </c>
      <c r="F22" s="41">
        <v>10000</v>
      </c>
      <c r="G22" s="41">
        <v>300</v>
      </c>
      <c r="H22" s="41">
        <v>50</v>
      </c>
      <c r="I22" s="41" t="s">
        <v>719</v>
      </c>
      <c r="J22" s="41">
        <v>6</v>
      </c>
      <c r="K22" s="41">
        <v>20</v>
      </c>
      <c r="L22" s="41">
        <v>60</v>
      </c>
      <c r="M22" s="41">
        <v>0</v>
      </c>
      <c r="N22">
        <v>10240</v>
      </c>
      <c r="O22" s="41">
        <v>0</v>
      </c>
      <c r="P22" s="41">
        <v>0</v>
      </c>
      <c r="Q22" s="41">
        <v>0</v>
      </c>
      <c r="R22" s="41">
        <v>0</v>
      </c>
      <c r="S22" s="41">
        <v>0</v>
      </c>
      <c r="T22" s="41">
        <v>0</v>
      </c>
      <c r="U22" s="41">
        <v>0</v>
      </c>
      <c r="V22" s="41">
        <v>18</v>
      </c>
      <c r="W22" s="41"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72</v>
      </c>
      <c r="AE22" s="41">
        <v>0</v>
      </c>
      <c r="AF22" s="41">
        <v>0</v>
      </c>
      <c r="AG22" s="43">
        <v>0</v>
      </c>
      <c r="AH22" s="41">
        <v>0</v>
      </c>
      <c r="AI22" s="41">
        <v>1.7999999999999999E-2</v>
      </c>
      <c r="AJ22" s="41">
        <v>0</v>
      </c>
      <c r="AK22" s="111">
        <v>20017</v>
      </c>
      <c r="AL22" s="41">
        <v>1</v>
      </c>
      <c r="AM22" s="41">
        <f>INDEX(Sheet5!$B$19:$G$33,MATCH(Sheet1!AQ22,Sheet5!$A$19:$A$33,0),MATCH(J22,Sheet5!$B$18:$G$18,0))</f>
        <v>4000</v>
      </c>
      <c r="AN22" s="41" t="s">
        <v>48</v>
      </c>
      <c r="AO22" s="41" t="s">
        <v>724</v>
      </c>
      <c r="AP22" s="41">
        <v>284</v>
      </c>
      <c r="AQ22" s="13">
        <v>40</v>
      </c>
    </row>
    <row r="23" spans="1:43" s="58" customFormat="1" ht="16.5">
      <c r="A23" s="41">
        <v>2118</v>
      </c>
      <c r="B23" s="41" t="s">
        <v>1675</v>
      </c>
      <c r="C23" s="41" t="s">
        <v>1507</v>
      </c>
      <c r="D23" s="41" t="s">
        <v>705</v>
      </c>
      <c r="E23" s="42">
        <v>11038</v>
      </c>
      <c r="F23" s="41">
        <v>10000</v>
      </c>
      <c r="G23" s="41">
        <v>300</v>
      </c>
      <c r="H23" s="41">
        <v>50</v>
      </c>
      <c r="I23" s="41" t="s">
        <v>719</v>
      </c>
      <c r="J23" s="41">
        <v>6</v>
      </c>
      <c r="K23" s="41">
        <v>20</v>
      </c>
      <c r="L23" s="41">
        <v>60</v>
      </c>
      <c r="M23" s="41">
        <v>0</v>
      </c>
      <c r="N23">
        <v>12800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18</v>
      </c>
      <c r="W23" s="41">
        <v>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41">
        <v>72</v>
      </c>
      <c r="AE23" s="41">
        <v>0</v>
      </c>
      <c r="AF23" s="41">
        <v>0</v>
      </c>
      <c r="AG23" s="43">
        <v>0</v>
      </c>
      <c r="AH23" s="41">
        <v>0</v>
      </c>
      <c r="AI23" s="41">
        <v>1.7999999999999999E-2</v>
      </c>
      <c r="AJ23" s="41">
        <v>0</v>
      </c>
      <c r="AK23" s="111">
        <v>20018</v>
      </c>
      <c r="AL23" s="41">
        <v>1</v>
      </c>
      <c r="AM23" s="41">
        <f>INDEX(Sheet5!$B$19:$G$33,MATCH(Sheet1!AQ23,Sheet5!$A$19:$A$33,0),MATCH(J23,Sheet5!$B$18:$G$18,0))</f>
        <v>5000</v>
      </c>
      <c r="AN23" s="41" t="s">
        <v>48</v>
      </c>
      <c r="AO23" s="41" t="s">
        <v>724</v>
      </c>
      <c r="AP23" s="41">
        <v>285</v>
      </c>
      <c r="AQ23" s="13">
        <v>50</v>
      </c>
    </row>
    <row r="24" spans="1:43" s="15" customFormat="1" ht="16.5">
      <c r="A24" s="41">
        <v>2119</v>
      </c>
      <c r="B24" s="41" t="s">
        <v>1676</v>
      </c>
      <c r="C24" s="41" t="s">
        <v>1507</v>
      </c>
      <c r="D24" s="41" t="s">
        <v>705</v>
      </c>
      <c r="E24" s="42">
        <v>11038</v>
      </c>
      <c r="F24" s="41">
        <v>10000</v>
      </c>
      <c r="G24" s="41">
        <v>300</v>
      </c>
      <c r="H24" s="41">
        <v>50</v>
      </c>
      <c r="I24" s="41" t="s">
        <v>719</v>
      </c>
      <c r="J24" s="41">
        <v>6</v>
      </c>
      <c r="K24" s="41">
        <v>20</v>
      </c>
      <c r="L24" s="41">
        <v>60</v>
      </c>
      <c r="M24" s="41">
        <v>0</v>
      </c>
      <c r="N24">
        <v>15360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18</v>
      </c>
      <c r="W24" s="41">
        <v>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72</v>
      </c>
      <c r="AE24" s="41">
        <v>0</v>
      </c>
      <c r="AF24" s="41">
        <v>0</v>
      </c>
      <c r="AG24" s="43">
        <v>0</v>
      </c>
      <c r="AH24" s="41">
        <v>0</v>
      </c>
      <c r="AI24" s="41">
        <v>1.7999999999999999E-2</v>
      </c>
      <c r="AJ24" s="41">
        <v>0</v>
      </c>
      <c r="AK24" s="111">
        <v>20019</v>
      </c>
      <c r="AL24" s="41">
        <v>1</v>
      </c>
      <c r="AM24" s="41">
        <f>INDEX(Sheet5!$B$19:$G$33,MATCH(Sheet1!AQ24,Sheet5!$A$19:$A$33,0),MATCH(J24,Sheet5!$B$18:$G$18,0))</f>
        <v>6000</v>
      </c>
      <c r="AN24" s="41" t="s">
        <v>48</v>
      </c>
      <c r="AO24" s="41" t="s">
        <v>724</v>
      </c>
      <c r="AP24" s="41">
        <v>286</v>
      </c>
      <c r="AQ24" s="13">
        <v>60</v>
      </c>
    </row>
    <row r="25" spans="1:43" s="15" customFormat="1" ht="16.5">
      <c r="A25" s="41">
        <v>2120</v>
      </c>
      <c r="B25" s="41" t="s">
        <v>1677</v>
      </c>
      <c r="C25" s="41" t="s">
        <v>1507</v>
      </c>
      <c r="D25" s="41" t="s">
        <v>705</v>
      </c>
      <c r="E25" s="42">
        <v>11038</v>
      </c>
      <c r="F25" s="41">
        <v>10000</v>
      </c>
      <c r="G25" s="41">
        <v>300</v>
      </c>
      <c r="H25" s="41">
        <v>50</v>
      </c>
      <c r="I25" s="41" t="s">
        <v>719</v>
      </c>
      <c r="J25" s="41">
        <v>6</v>
      </c>
      <c r="K25" s="41">
        <v>20</v>
      </c>
      <c r="L25" s="41">
        <v>60</v>
      </c>
      <c r="M25" s="41">
        <v>0</v>
      </c>
      <c r="N25">
        <v>17920</v>
      </c>
      <c r="O25" s="41">
        <v>0</v>
      </c>
      <c r="P25" s="41">
        <v>0</v>
      </c>
      <c r="Q25" s="41">
        <v>0</v>
      </c>
      <c r="R25" s="41">
        <v>0</v>
      </c>
      <c r="S25" s="41">
        <v>0</v>
      </c>
      <c r="T25" s="41">
        <v>0</v>
      </c>
      <c r="U25" s="41">
        <v>0</v>
      </c>
      <c r="V25" s="41">
        <v>18</v>
      </c>
      <c r="W25" s="41">
        <v>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41">
        <v>0</v>
      </c>
      <c r="AD25" s="41">
        <v>72</v>
      </c>
      <c r="AE25" s="41">
        <v>0</v>
      </c>
      <c r="AF25" s="41">
        <v>0</v>
      </c>
      <c r="AG25" s="43">
        <v>0</v>
      </c>
      <c r="AH25" s="41">
        <v>0</v>
      </c>
      <c r="AI25" s="41">
        <v>1.7999999999999999E-2</v>
      </c>
      <c r="AJ25" s="41">
        <v>0</v>
      </c>
      <c r="AK25" s="111">
        <v>20020</v>
      </c>
      <c r="AL25" s="41">
        <v>1</v>
      </c>
      <c r="AM25" s="41">
        <f>INDEX(Sheet5!$B$19:$G$33,MATCH(Sheet1!AQ25,Sheet5!$A$19:$A$33,0),MATCH(J25,Sheet5!$B$18:$G$18,0))</f>
        <v>7000</v>
      </c>
      <c r="AN25" s="41" t="s">
        <v>48</v>
      </c>
      <c r="AO25" s="41" t="s">
        <v>724</v>
      </c>
      <c r="AP25" s="41">
        <v>287</v>
      </c>
      <c r="AQ25" s="13">
        <v>70</v>
      </c>
    </row>
    <row r="26" spans="1:43" s="86" customFormat="1" ht="16.5">
      <c r="A26" s="81">
        <v>2082</v>
      </c>
      <c r="B26" s="81" t="s">
        <v>1678</v>
      </c>
      <c r="C26" s="41" t="s">
        <v>1507</v>
      </c>
      <c r="D26" s="81" t="s">
        <v>705</v>
      </c>
      <c r="E26" s="82">
        <v>11038</v>
      </c>
      <c r="F26" s="81">
        <v>10000</v>
      </c>
      <c r="G26" s="81">
        <v>300</v>
      </c>
      <c r="H26" s="81">
        <v>50</v>
      </c>
      <c r="I26" s="81" t="s">
        <v>719</v>
      </c>
      <c r="J26" s="81">
        <v>6</v>
      </c>
      <c r="K26" s="81">
        <v>20</v>
      </c>
      <c r="L26" s="81">
        <v>60</v>
      </c>
      <c r="M26" s="81">
        <v>0</v>
      </c>
      <c r="N26">
        <v>20480</v>
      </c>
      <c r="O26" s="81">
        <v>0</v>
      </c>
      <c r="P26" s="81">
        <v>0</v>
      </c>
      <c r="Q26" s="81">
        <v>0</v>
      </c>
      <c r="R26" s="81">
        <v>0</v>
      </c>
      <c r="S26" s="81">
        <v>0</v>
      </c>
      <c r="T26" s="81">
        <v>0</v>
      </c>
      <c r="U26" s="81">
        <v>0</v>
      </c>
      <c r="V26" s="81">
        <v>18</v>
      </c>
      <c r="W26" s="81">
        <v>0</v>
      </c>
      <c r="X26" s="81">
        <v>0</v>
      </c>
      <c r="Y26" s="81">
        <v>0</v>
      </c>
      <c r="Z26" s="81">
        <v>0</v>
      </c>
      <c r="AA26" s="81">
        <v>0</v>
      </c>
      <c r="AB26" s="81">
        <v>0</v>
      </c>
      <c r="AC26" s="81">
        <v>0</v>
      </c>
      <c r="AD26" s="81">
        <v>72</v>
      </c>
      <c r="AE26" s="81">
        <v>0</v>
      </c>
      <c r="AF26" s="81">
        <v>0</v>
      </c>
      <c r="AG26" s="84">
        <v>0</v>
      </c>
      <c r="AH26" s="81">
        <v>0</v>
      </c>
      <c r="AI26" s="81">
        <v>1.7999999999999999E-2</v>
      </c>
      <c r="AJ26" s="81">
        <v>0</v>
      </c>
      <c r="AK26" s="111">
        <v>20021</v>
      </c>
      <c r="AL26" s="81">
        <v>1</v>
      </c>
      <c r="AM26" s="41">
        <f>INDEX(Sheet5!$B$19:$G$33,MATCH(Sheet1!AQ26,Sheet5!$A$19:$A$33,0),MATCH(J26,Sheet5!$B$18:$G$18,0))</f>
        <v>8000</v>
      </c>
      <c r="AN26" s="81" t="s">
        <v>1488</v>
      </c>
      <c r="AO26" s="81" t="s">
        <v>724</v>
      </c>
      <c r="AP26" s="81">
        <v>2082</v>
      </c>
      <c r="AQ26" s="13">
        <v>80</v>
      </c>
    </row>
    <row r="27" spans="1:43" s="15" customFormat="1" ht="16.5">
      <c r="A27" s="41">
        <v>2121</v>
      </c>
      <c r="B27" s="81" t="s">
        <v>1679</v>
      </c>
      <c r="C27" s="41" t="s">
        <v>1507</v>
      </c>
      <c r="D27" s="41" t="s">
        <v>705</v>
      </c>
      <c r="E27" s="42">
        <v>11038</v>
      </c>
      <c r="F27" s="41">
        <v>10000</v>
      </c>
      <c r="G27" s="41">
        <v>300</v>
      </c>
      <c r="H27" s="41">
        <v>50</v>
      </c>
      <c r="I27" s="41" t="s">
        <v>719</v>
      </c>
      <c r="J27" s="41">
        <v>6</v>
      </c>
      <c r="K27" s="41">
        <v>20</v>
      </c>
      <c r="L27" s="41">
        <v>60</v>
      </c>
      <c r="M27" s="41">
        <v>0</v>
      </c>
      <c r="N27">
        <v>23040</v>
      </c>
      <c r="O27" s="41">
        <v>0</v>
      </c>
      <c r="P27" s="41">
        <v>0</v>
      </c>
      <c r="Q27" s="41">
        <v>0</v>
      </c>
      <c r="R27" s="41">
        <v>0</v>
      </c>
      <c r="S27" s="41">
        <v>0</v>
      </c>
      <c r="T27" s="41">
        <v>0</v>
      </c>
      <c r="U27" s="41">
        <v>0</v>
      </c>
      <c r="V27" s="41">
        <v>18</v>
      </c>
      <c r="W27" s="41">
        <v>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41">
        <v>0</v>
      </c>
      <c r="AD27" s="41">
        <v>72</v>
      </c>
      <c r="AE27" s="41">
        <v>0</v>
      </c>
      <c r="AF27" s="41">
        <v>0</v>
      </c>
      <c r="AG27" s="43">
        <v>0</v>
      </c>
      <c r="AH27" s="41">
        <v>0</v>
      </c>
      <c r="AI27" s="41">
        <v>1.7999999999999999E-2</v>
      </c>
      <c r="AJ27" s="41">
        <v>0</v>
      </c>
      <c r="AK27" s="111">
        <v>20022</v>
      </c>
      <c r="AL27" s="41">
        <v>1</v>
      </c>
      <c r="AM27" s="41">
        <f>INDEX(Sheet5!$B$19:$G$33,MATCH(Sheet1!AQ27,Sheet5!$A$19:$A$33,0),MATCH(J27,Sheet5!$B$18:$G$18,0))</f>
        <v>9000</v>
      </c>
      <c r="AN27" s="41" t="s">
        <v>48</v>
      </c>
      <c r="AO27" s="41" t="s">
        <v>724</v>
      </c>
      <c r="AP27" s="41">
        <v>20821</v>
      </c>
      <c r="AQ27" s="13">
        <v>90</v>
      </c>
    </row>
    <row r="28" spans="1:43" s="62" customFormat="1" ht="16.5">
      <c r="A28" s="41">
        <v>2122</v>
      </c>
      <c r="B28" s="81" t="s">
        <v>1680</v>
      </c>
      <c r="C28" s="41" t="s">
        <v>1507</v>
      </c>
      <c r="D28" s="41" t="s">
        <v>705</v>
      </c>
      <c r="E28" s="42">
        <v>11038</v>
      </c>
      <c r="F28" s="41">
        <v>10000</v>
      </c>
      <c r="G28" s="41">
        <v>300</v>
      </c>
      <c r="H28" s="41">
        <v>50</v>
      </c>
      <c r="I28" s="41" t="s">
        <v>719</v>
      </c>
      <c r="J28" s="41">
        <v>6</v>
      </c>
      <c r="K28" s="41">
        <v>20</v>
      </c>
      <c r="L28" s="41">
        <v>60</v>
      </c>
      <c r="M28" s="41">
        <v>0</v>
      </c>
      <c r="N28">
        <v>25600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18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72</v>
      </c>
      <c r="AE28" s="41">
        <v>0</v>
      </c>
      <c r="AF28" s="41">
        <v>0</v>
      </c>
      <c r="AG28" s="43">
        <v>0</v>
      </c>
      <c r="AH28" s="41">
        <v>0</v>
      </c>
      <c r="AI28" s="41">
        <v>1.7999999999999999E-2</v>
      </c>
      <c r="AJ28" s="41">
        <v>0</v>
      </c>
      <c r="AK28" s="111">
        <v>20023</v>
      </c>
      <c r="AL28" s="41">
        <v>1</v>
      </c>
      <c r="AM28" s="41">
        <f>INDEX(Sheet5!$B$19:$G$33,MATCH(Sheet1!AQ28,Sheet5!$A$19:$A$33,0),MATCH(J28,Sheet5!$B$18:$G$18,0))</f>
        <v>10000</v>
      </c>
      <c r="AN28" s="41" t="s">
        <v>48</v>
      </c>
      <c r="AO28" s="41" t="s">
        <v>724</v>
      </c>
      <c r="AP28" s="41">
        <v>20822</v>
      </c>
      <c r="AQ28" s="13">
        <v>100</v>
      </c>
    </row>
    <row r="29" spans="1:43" s="62" customFormat="1" ht="16.5">
      <c r="A29" s="41">
        <v>2123</v>
      </c>
      <c r="B29" s="41" t="s">
        <v>1681</v>
      </c>
      <c r="C29" s="41" t="s">
        <v>1507</v>
      </c>
      <c r="D29" s="41" t="s">
        <v>705</v>
      </c>
      <c r="E29" s="42">
        <v>11038</v>
      </c>
      <c r="F29" s="41">
        <v>10000</v>
      </c>
      <c r="G29" s="41">
        <v>300</v>
      </c>
      <c r="H29" s="41">
        <v>50</v>
      </c>
      <c r="I29" s="41" t="s">
        <v>719</v>
      </c>
      <c r="J29" s="41">
        <v>6</v>
      </c>
      <c r="K29" s="41">
        <v>20</v>
      </c>
      <c r="L29" s="41">
        <v>60</v>
      </c>
      <c r="M29" s="41">
        <v>0</v>
      </c>
      <c r="N29">
        <v>28160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1">
        <v>0</v>
      </c>
      <c r="U29" s="41">
        <v>0</v>
      </c>
      <c r="V29" s="41">
        <v>18</v>
      </c>
      <c r="W29" s="41">
        <v>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41">
        <v>0</v>
      </c>
      <c r="AD29" s="41">
        <v>72</v>
      </c>
      <c r="AE29" s="41">
        <v>0</v>
      </c>
      <c r="AF29" s="41">
        <v>0</v>
      </c>
      <c r="AG29" s="43">
        <v>0</v>
      </c>
      <c r="AH29" s="41">
        <v>0</v>
      </c>
      <c r="AI29" s="41">
        <v>1.7999999999999999E-2</v>
      </c>
      <c r="AJ29" s="41">
        <v>0</v>
      </c>
      <c r="AK29" s="111">
        <v>20024</v>
      </c>
      <c r="AL29" s="41">
        <v>1</v>
      </c>
      <c r="AM29" s="41">
        <f>INDEX(Sheet5!$B$19:$G$33,MATCH(Sheet1!AQ29,Sheet5!$A$19:$A$33,0),MATCH(J29,Sheet5!$B$18:$G$18,0))</f>
        <v>11000</v>
      </c>
      <c r="AN29" s="41" t="s">
        <v>48</v>
      </c>
      <c r="AO29" s="41" t="s">
        <v>724</v>
      </c>
      <c r="AP29" s="41">
        <v>20823</v>
      </c>
      <c r="AQ29" s="13">
        <v>110</v>
      </c>
    </row>
    <row r="30" spans="1:43" s="62" customFormat="1" ht="16.5">
      <c r="A30" s="41">
        <v>2124</v>
      </c>
      <c r="B30" s="41" t="s">
        <v>1682</v>
      </c>
      <c r="C30" s="41" t="s">
        <v>1507</v>
      </c>
      <c r="D30" s="41" t="s">
        <v>705</v>
      </c>
      <c r="E30" s="42">
        <v>11038</v>
      </c>
      <c r="F30" s="41">
        <v>10000</v>
      </c>
      <c r="G30" s="41">
        <v>300</v>
      </c>
      <c r="H30" s="41">
        <v>50</v>
      </c>
      <c r="I30" s="41" t="s">
        <v>719</v>
      </c>
      <c r="J30" s="41">
        <v>6</v>
      </c>
      <c r="K30" s="41">
        <v>20</v>
      </c>
      <c r="L30" s="41">
        <v>60</v>
      </c>
      <c r="M30" s="41">
        <v>0</v>
      </c>
      <c r="N30">
        <v>30720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18</v>
      </c>
      <c r="W30" s="41">
        <v>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41">
        <v>0</v>
      </c>
      <c r="AD30" s="41">
        <v>72</v>
      </c>
      <c r="AE30" s="41">
        <v>0</v>
      </c>
      <c r="AF30" s="41">
        <v>0</v>
      </c>
      <c r="AG30" s="43">
        <v>0</v>
      </c>
      <c r="AH30" s="41">
        <v>0</v>
      </c>
      <c r="AI30" s="41">
        <v>1.7999999999999999E-2</v>
      </c>
      <c r="AJ30" s="41">
        <v>0</v>
      </c>
      <c r="AK30" s="111">
        <v>20025</v>
      </c>
      <c r="AL30" s="41">
        <v>1</v>
      </c>
      <c r="AM30" s="41">
        <f>INDEX(Sheet5!$B$19:$G$33,MATCH(Sheet1!AQ30,Sheet5!$A$19:$A$33,0),MATCH(J30,Sheet5!$B$18:$G$18,0))</f>
        <v>12000</v>
      </c>
      <c r="AN30" s="41" t="s">
        <v>48</v>
      </c>
      <c r="AO30" s="41" t="s">
        <v>724</v>
      </c>
      <c r="AP30" s="41">
        <v>20824</v>
      </c>
      <c r="AQ30" s="13">
        <v>120</v>
      </c>
    </row>
    <row r="31" spans="1:43" s="62" customFormat="1" ht="16.5">
      <c r="A31" s="41">
        <v>2125</v>
      </c>
      <c r="B31" s="41" t="s">
        <v>1683</v>
      </c>
      <c r="C31" s="41" t="s">
        <v>1507</v>
      </c>
      <c r="D31" s="41" t="s">
        <v>705</v>
      </c>
      <c r="E31" s="42">
        <v>11038</v>
      </c>
      <c r="F31" s="41">
        <v>10000</v>
      </c>
      <c r="G31" s="41">
        <v>300</v>
      </c>
      <c r="H31" s="41">
        <v>50</v>
      </c>
      <c r="I31" s="41" t="s">
        <v>719</v>
      </c>
      <c r="J31" s="41">
        <v>6</v>
      </c>
      <c r="K31" s="41">
        <v>20</v>
      </c>
      <c r="L31" s="41">
        <v>60</v>
      </c>
      <c r="M31" s="41">
        <v>0</v>
      </c>
      <c r="N31">
        <v>33280</v>
      </c>
      <c r="O31" s="41">
        <v>0</v>
      </c>
      <c r="P31" s="41">
        <v>0</v>
      </c>
      <c r="Q31" s="41">
        <v>0</v>
      </c>
      <c r="R31" s="41">
        <v>0</v>
      </c>
      <c r="S31" s="41">
        <v>0</v>
      </c>
      <c r="T31" s="41">
        <v>0</v>
      </c>
      <c r="U31" s="41">
        <v>0</v>
      </c>
      <c r="V31" s="41">
        <v>18</v>
      </c>
      <c r="W31" s="41">
        <v>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41">
        <v>0</v>
      </c>
      <c r="AD31" s="41">
        <v>72</v>
      </c>
      <c r="AE31" s="41">
        <v>0</v>
      </c>
      <c r="AF31" s="41">
        <v>0</v>
      </c>
      <c r="AG31" s="43">
        <v>0</v>
      </c>
      <c r="AH31" s="41">
        <v>0</v>
      </c>
      <c r="AI31" s="41">
        <v>1.7999999999999999E-2</v>
      </c>
      <c r="AJ31" s="41">
        <v>0</v>
      </c>
      <c r="AK31" s="111">
        <v>20026</v>
      </c>
      <c r="AL31" s="41">
        <v>1</v>
      </c>
      <c r="AM31" s="41">
        <f>INDEX(Sheet5!$B$19:$G$33,MATCH(Sheet1!AQ31,Sheet5!$A$19:$A$33,0),MATCH(J31,Sheet5!$B$18:$G$18,0))</f>
        <v>13000</v>
      </c>
      <c r="AN31" s="41" t="s">
        <v>48</v>
      </c>
      <c r="AO31" s="41" t="s">
        <v>724</v>
      </c>
      <c r="AP31" s="41">
        <v>20825</v>
      </c>
      <c r="AQ31" s="13">
        <v>130</v>
      </c>
    </row>
    <row r="32" spans="1:43" s="51" customFormat="1" ht="16.5">
      <c r="A32" s="41">
        <v>2126</v>
      </c>
      <c r="B32" s="41" t="s">
        <v>1684</v>
      </c>
      <c r="C32" s="41" t="s">
        <v>1507</v>
      </c>
      <c r="D32" s="41" t="s">
        <v>705</v>
      </c>
      <c r="E32" s="42">
        <v>11038</v>
      </c>
      <c r="F32" s="41">
        <v>10000</v>
      </c>
      <c r="G32" s="41">
        <v>300</v>
      </c>
      <c r="H32" s="41">
        <v>50</v>
      </c>
      <c r="I32" s="41" t="s">
        <v>719</v>
      </c>
      <c r="J32" s="41">
        <v>6</v>
      </c>
      <c r="K32" s="41">
        <v>20</v>
      </c>
      <c r="L32" s="41">
        <v>60</v>
      </c>
      <c r="M32" s="41">
        <v>0</v>
      </c>
      <c r="N32">
        <v>35840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18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41">
        <v>72</v>
      </c>
      <c r="AE32" s="41">
        <v>0</v>
      </c>
      <c r="AF32" s="41">
        <v>0</v>
      </c>
      <c r="AG32" s="43">
        <v>0</v>
      </c>
      <c r="AH32" s="41">
        <v>0</v>
      </c>
      <c r="AI32" s="41">
        <v>1.7999999999999999E-2</v>
      </c>
      <c r="AJ32" s="41">
        <v>0</v>
      </c>
      <c r="AK32" s="111">
        <v>20027</v>
      </c>
      <c r="AL32" s="41">
        <v>1</v>
      </c>
      <c r="AM32" s="41">
        <f>INDEX(Sheet5!$B$19:$G$33,MATCH(Sheet1!AQ32,Sheet5!$A$19:$A$33,0),MATCH(J32,Sheet5!$B$18:$G$18,0))</f>
        <v>14000</v>
      </c>
      <c r="AN32" s="41" t="s">
        <v>48</v>
      </c>
      <c r="AO32" s="41" t="s">
        <v>724</v>
      </c>
      <c r="AP32" s="41">
        <v>20826</v>
      </c>
      <c r="AQ32" s="13">
        <v>140</v>
      </c>
    </row>
    <row r="33" spans="1:43" s="51" customFormat="1" ht="16.5">
      <c r="A33" s="41">
        <v>2127</v>
      </c>
      <c r="B33" s="41" t="s">
        <v>1685</v>
      </c>
      <c r="C33" s="41" t="s">
        <v>1507</v>
      </c>
      <c r="D33" s="41" t="s">
        <v>705</v>
      </c>
      <c r="E33" s="42">
        <v>11038</v>
      </c>
      <c r="F33" s="41">
        <v>10000</v>
      </c>
      <c r="G33" s="41">
        <v>300</v>
      </c>
      <c r="H33" s="41">
        <v>50</v>
      </c>
      <c r="I33" s="41" t="s">
        <v>719</v>
      </c>
      <c r="J33" s="41">
        <v>6</v>
      </c>
      <c r="K33" s="41">
        <v>20</v>
      </c>
      <c r="L33" s="41">
        <v>60</v>
      </c>
      <c r="M33" s="41">
        <v>0</v>
      </c>
      <c r="N33">
        <v>38400</v>
      </c>
      <c r="O33" s="41">
        <v>0</v>
      </c>
      <c r="P33" s="41">
        <v>0</v>
      </c>
      <c r="Q33" s="41">
        <v>0</v>
      </c>
      <c r="R33" s="41">
        <v>0</v>
      </c>
      <c r="S33" s="41">
        <v>0</v>
      </c>
      <c r="T33" s="41">
        <v>0</v>
      </c>
      <c r="U33" s="41">
        <v>0</v>
      </c>
      <c r="V33" s="41">
        <v>18</v>
      </c>
      <c r="W33" s="41">
        <v>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41">
        <v>0</v>
      </c>
      <c r="AD33" s="41">
        <v>72</v>
      </c>
      <c r="AE33" s="41">
        <v>0</v>
      </c>
      <c r="AF33" s="41">
        <v>0</v>
      </c>
      <c r="AG33" s="43">
        <v>0</v>
      </c>
      <c r="AH33" s="41">
        <v>0</v>
      </c>
      <c r="AI33" s="41">
        <v>1.7999999999999999E-2</v>
      </c>
      <c r="AJ33" s="41">
        <v>0</v>
      </c>
      <c r="AK33" s="111">
        <v>20028</v>
      </c>
      <c r="AL33" s="41">
        <v>1</v>
      </c>
      <c r="AM33" s="41">
        <f>INDEX(Sheet5!$B$19:$G$33,MATCH(Sheet1!AQ33,Sheet5!$A$19:$A$33,0),MATCH(J33,Sheet5!$B$18:$G$18,0))</f>
        <v>15000</v>
      </c>
      <c r="AN33" s="41" t="s">
        <v>48</v>
      </c>
      <c r="AO33" s="41" t="s">
        <v>724</v>
      </c>
      <c r="AP33" s="41">
        <v>20827</v>
      </c>
      <c r="AQ33" s="13">
        <v>150</v>
      </c>
    </row>
    <row r="34" spans="1:43" s="51" customFormat="1" ht="16.5">
      <c r="A34" s="41">
        <v>2128</v>
      </c>
      <c r="B34" s="41" t="s">
        <v>1686</v>
      </c>
      <c r="C34" s="41" t="s">
        <v>1507</v>
      </c>
      <c r="D34" s="41" t="s">
        <v>706</v>
      </c>
      <c r="E34" s="42">
        <v>11039</v>
      </c>
      <c r="F34" s="41">
        <v>10000</v>
      </c>
      <c r="G34" s="41">
        <v>300</v>
      </c>
      <c r="H34" s="41">
        <v>50</v>
      </c>
      <c r="I34" s="41" t="s">
        <v>720</v>
      </c>
      <c r="J34" s="41">
        <v>6</v>
      </c>
      <c r="K34" s="41">
        <v>20</v>
      </c>
      <c r="L34" s="41">
        <v>60</v>
      </c>
      <c r="M34">
        <v>6400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41">
        <v>0</v>
      </c>
      <c r="T34" s="41">
        <v>0</v>
      </c>
      <c r="U34" s="41">
        <v>450</v>
      </c>
      <c r="V34" s="41">
        <v>0</v>
      </c>
      <c r="W34" s="41">
        <v>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41">
        <v>1800</v>
      </c>
      <c r="AD34" s="41">
        <v>0</v>
      </c>
      <c r="AE34" s="41">
        <v>0</v>
      </c>
      <c r="AF34" s="41">
        <v>0</v>
      </c>
      <c r="AG34" s="41">
        <v>9.0000000000000011E-3</v>
      </c>
      <c r="AH34" s="41">
        <v>0</v>
      </c>
      <c r="AI34" s="41">
        <v>0</v>
      </c>
      <c r="AJ34" s="43">
        <v>0</v>
      </c>
      <c r="AK34" s="112">
        <v>20014</v>
      </c>
      <c r="AL34" s="41">
        <v>3</v>
      </c>
      <c r="AM34" s="41">
        <f>INDEX(Sheet5!$B$19:$G$33,MATCH(Sheet1!AQ34,Sheet5!$A$19:$A$33,0),MATCH(J34,Sheet5!$B$18:$G$18,0))</f>
        <v>1000</v>
      </c>
      <c r="AN34" s="41" t="s">
        <v>48</v>
      </c>
      <c r="AO34" s="41" t="s">
        <v>724</v>
      </c>
      <c r="AP34" s="41">
        <v>381</v>
      </c>
      <c r="AQ34" s="13">
        <v>10</v>
      </c>
    </row>
    <row r="35" spans="1:43" s="51" customFormat="1" ht="16.5">
      <c r="A35" s="41">
        <v>2129</v>
      </c>
      <c r="B35" s="41" t="s">
        <v>1687</v>
      </c>
      <c r="C35" s="41" t="s">
        <v>1507</v>
      </c>
      <c r="D35" s="41" t="s">
        <v>706</v>
      </c>
      <c r="E35" s="42">
        <v>11039</v>
      </c>
      <c r="F35" s="41">
        <v>10000</v>
      </c>
      <c r="G35" s="41">
        <v>300</v>
      </c>
      <c r="H35" s="41">
        <v>50</v>
      </c>
      <c r="I35" s="41" t="s">
        <v>720</v>
      </c>
      <c r="J35" s="41">
        <v>6</v>
      </c>
      <c r="K35" s="41">
        <v>20</v>
      </c>
      <c r="L35" s="41">
        <v>60</v>
      </c>
      <c r="M35">
        <v>12800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1">
        <v>0</v>
      </c>
      <c r="U35" s="41">
        <v>450</v>
      </c>
      <c r="V35" s="41">
        <v>0</v>
      </c>
      <c r="W35" s="41">
        <v>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41">
        <v>1800</v>
      </c>
      <c r="AD35" s="41">
        <v>0</v>
      </c>
      <c r="AE35" s="41">
        <v>0</v>
      </c>
      <c r="AF35" s="41">
        <v>0</v>
      </c>
      <c r="AG35" s="41">
        <v>9.0000000000000011E-3</v>
      </c>
      <c r="AH35" s="41">
        <v>0</v>
      </c>
      <c r="AI35" s="41">
        <v>0</v>
      </c>
      <c r="AJ35" s="43">
        <v>0</v>
      </c>
      <c r="AK35" s="112">
        <v>20015</v>
      </c>
      <c r="AL35" s="41">
        <v>3</v>
      </c>
      <c r="AM35" s="41">
        <f>INDEX(Sheet5!$B$19:$G$33,MATCH(Sheet1!AQ35,Sheet5!$A$19:$A$33,0),MATCH(J35,Sheet5!$B$18:$G$18,0))</f>
        <v>2000</v>
      </c>
      <c r="AN35" s="41" t="s">
        <v>48</v>
      </c>
      <c r="AO35" s="41" t="s">
        <v>724</v>
      </c>
      <c r="AP35" s="41">
        <v>382</v>
      </c>
      <c r="AQ35" s="13">
        <v>20</v>
      </c>
    </row>
    <row r="36" spans="1:43" s="20" customFormat="1" ht="16.5">
      <c r="A36" s="41">
        <v>2130</v>
      </c>
      <c r="B36" s="41" t="s">
        <v>1688</v>
      </c>
      <c r="C36" s="41" t="s">
        <v>1507</v>
      </c>
      <c r="D36" s="41" t="s">
        <v>706</v>
      </c>
      <c r="E36" s="42">
        <v>11039</v>
      </c>
      <c r="F36" s="41">
        <v>10000</v>
      </c>
      <c r="G36" s="41">
        <v>300</v>
      </c>
      <c r="H36" s="41">
        <v>50</v>
      </c>
      <c r="I36" s="41" t="s">
        <v>720</v>
      </c>
      <c r="J36" s="41">
        <v>6</v>
      </c>
      <c r="K36" s="41">
        <v>20</v>
      </c>
      <c r="L36" s="41">
        <v>60</v>
      </c>
      <c r="M36">
        <v>19200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41">
        <v>0</v>
      </c>
      <c r="T36" s="41">
        <v>0</v>
      </c>
      <c r="U36" s="41">
        <v>450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41">
        <v>1800</v>
      </c>
      <c r="AD36" s="41">
        <v>0</v>
      </c>
      <c r="AE36" s="41">
        <v>0</v>
      </c>
      <c r="AF36" s="41">
        <v>0</v>
      </c>
      <c r="AG36" s="41">
        <v>9.0000000000000011E-3</v>
      </c>
      <c r="AH36" s="41">
        <v>0</v>
      </c>
      <c r="AI36" s="41">
        <v>0</v>
      </c>
      <c r="AJ36" s="43">
        <v>0</v>
      </c>
      <c r="AK36" s="112">
        <v>20016</v>
      </c>
      <c r="AL36" s="41">
        <v>3</v>
      </c>
      <c r="AM36" s="41">
        <f>INDEX(Sheet5!$B$19:$G$33,MATCH(Sheet1!AQ36,Sheet5!$A$19:$A$33,0),MATCH(J36,Sheet5!$B$18:$G$18,0))</f>
        <v>3000</v>
      </c>
      <c r="AN36" s="41" t="s">
        <v>48</v>
      </c>
      <c r="AO36" s="41" t="s">
        <v>724</v>
      </c>
      <c r="AP36" s="41">
        <v>383</v>
      </c>
      <c r="AQ36" s="13">
        <v>30</v>
      </c>
    </row>
    <row r="37" spans="1:43" s="20" customFormat="1" ht="16.5">
      <c r="A37" s="41">
        <v>2131</v>
      </c>
      <c r="B37" s="41" t="s">
        <v>1689</v>
      </c>
      <c r="C37" s="41" t="s">
        <v>1507</v>
      </c>
      <c r="D37" s="41" t="s">
        <v>706</v>
      </c>
      <c r="E37" s="42">
        <v>11039</v>
      </c>
      <c r="F37" s="41">
        <v>10000</v>
      </c>
      <c r="G37" s="41">
        <v>300</v>
      </c>
      <c r="H37" s="41">
        <v>50</v>
      </c>
      <c r="I37" s="41" t="s">
        <v>720</v>
      </c>
      <c r="J37" s="41">
        <v>6</v>
      </c>
      <c r="K37" s="41">
        <v>20</v>
      </c>
      <c r="L37" s="41">
        <v>60</v>
      </c>
      <c r="M37">
        <v>25600</v>
      </c>
      <c r="N37" s="41">
        <v>0</v>
      </c>
      <c r="O37" s="41">
        <v>0</v>
      </c>
      <c r="P37" s="41">
        <v>0</v>
      </c>
      <c r="Q37" s="41">
        <v>0</v>
      </c>
      <c r="R37" s="41">
        <v>0</v>
      </c>
      <c r="S37" s="41">
        <v>0</v>
      </c>
      <c r="T37" s="41">
        <v>0</v>
      </c>
      <c r="U37" s="41">
        <v>450</v>
      </c>
      <c r="V37" s="41">
        <v>0</v>
      </c>
      <c r="W37" s="41">
        <v>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41">
        <v>1800</v>
      </c>
      <c r="AD37" s="41">
        <v>0</v>
      </c>
      <c r="AE37" s="41">
        <v>0</v>
      </c>
      <c r="AF37" s="41">
        <v>0</v>
      </c>
      <c r="AG37" s="41">
        <v>9.0000000000000011E-3</v>
      </c>
      <c r="AH37" s="41">
        <v>0</v>
      </c>
      <c r="AI37" s="41">
        <v>0</v>
      </c>
      <c r="AJ37" s="43">
        <v>0</v>
      </c>
      <c r="AK37" s="112">
        <v>20017</v>
      </c>
      <c r="AL37" s="41">
        <v>3</v>
      </c>
      <c r="AM37" s="41">
        <f>INDEX(Sheet5!$B$19:$G$33,MATCH(Sheet1!AQ37,Sheet5!$A$19:$A$33,0),MATCH(J37,Sheet5!$B$18:$G$18,0))</f>
        <v>4000</v>
      </c>
      <c r="AN37" s="41" t="s">
        <v>48</v>
      </c>
      <c r="AO37" s="41" t="s">
        <v>724</v>
      </c>
      <c r="AP37" s="41">
        <v>384</v>
      </c>
      <c r="AQ37" s="13">
        <v>40</v>
      </c>
    </row>
    <row r="38" spans="1:43" s="20" customFormat="1" ht="16.5">
      <c r="A38" s="41">
        <v>2132</v>
      </c>
      <c r="B38" s="41" t="s">
        <v>1690</v>
      </c>
      <c r="C38" s="41" t="s">
        <v>1507</v>
      </c>
      <c r="D38" s="41" t="s">
        <v>706</v>
      </c>
      <c r="E38" s="42">
        <v>11039</v>
      </c>
      <c r="F38" s="41">
        <v>10000</v>
      </c>
      <c r="G38" s="41">
        <v>300</v>
      </c>
      <c r="H38" s="41">
        <v>50</v>
      </c>
      <c r="I38" s="41" t="s">
        <v>720</v>
      </c>
      <c r="J38" s="41">
        <v>6</v>
      </c>
      <c r="K38" s="41">
        <v>20</v>
      </c>
      <c r="L38" s="41">
        <v>60</v>
      </c>
      <c r="M38">
        <v>32000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450</v>
      </c>
      <c r="V38" s="41">
        <v>0</v>
      </c>
      <c r="W38" s="41">
        <v>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41">
        <v>1800</v>
      </c>
      <c r="AD38" s="41">
        <v>0</v>
      </c>
      <c r="AE38" s="41">
        <v>0</v>
      </c>
      <c r="AF38" s="41">
        <v>0</v>
      </c>
      <c r="AG38" s="41">
        <v>9.0000000000000011E-3</v>
      </c>
      <c r="AH38" s="41">
        <v>0</v>
      </c>
      <c r="AI38" s="41">
        <v>0</v>
      </c>
      <c r="AJ38" s="43">
        <v>0</v>
      </c>
      <c r="AK38" s="112">
        <v>20018</v>
      </c>
      <c r="AL38" s="41">
        <v>3</v>
      </c>
      <c r="AM38" s="41">
        <f>INDEX(Sheet5!$B$19:$G$33,MATCH(Sheet1!AQ38,Sheet5!$A$19:$A$33,0),MATCH(J38,Sheet5!$B$18:$G$18,0))</f>
        <v>5000</v>
      </c>
      <c r="AN38" s="41" t="s">
        <v>48</v>
      </c>
      <c r="AO38" s="41" t="s">
        <v>724</v>
      </c>
      <c r="AP38" s="41">
        <v>385</v>
      </c>
      <c r="AQ38" s="13">
        <v>50</v>
      </c>
    </row>
    <row r="39" spans="1:43" s="20" customFormat="1" ht="16.5">
      <c r="A39" s="41">
        <v>2133</v>
      </c>
      <c r="B39" s="41" t="s">
        <v>1691</v>
      </c>
      <c r="C39" s="41" t="s">
        <v>1507</v>
      </c>
      <c r="D39" s="41" t="s">
        <v>706</v>
      </c>
      <c r="E39" s="42">
        <v>11039</v>
      </c>
      <c r="F39" s="41">
        <v>10000</v>
      </c>
      <c r="G39" s="41">
        <v>300</v>
      </c>
      <c r="H39" s="41">
        <v>50</v>
      </c>
      <c r="I39" s="41" t="s">
        <v>720</v>
      </c>
      <c r="J39" s="41">
        <v>6</v>
      </c>
      <c r="K39" s="41">
        <v>20</v>
      </c>
      <c r="L39" s="41">
        <v>60</v>
      </c>
      <c r="M39">
        <v>38400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1">
        <v>0</v>
      </c>
      <c r="U39" s="41">
        <v>450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41">
        <v>1800</v>
      </c>
      <c r="AD39" s="41">
        <v>0</v>
      </c>
      <c r="AE39" s="41">
        <v>0</v>
      </c>
      <c r="AF39" s="41">
        <v>0</v>
      </c>
      <c r="AG39" s="41">
        <v>9.0000000000000011E-3</v>
      </c>
      <c r="AH39" s="41">
        <v>0</v>
      </c>
      <c r="AI39" s="41">
        <v>0</v>
      </c>
      <c r="AJ39" s="43">
        <v>0</v>
      </c>
      <c r="AK39" s="112">
        <v>20019</v>
      </c>
      <c r="AL39" s="41">
        <v>3</v>
      </c>
      <c r="AM39" s="41">
        <f>INDEX(Sheet5!$B$19:$G$33,MATCH(Sheet1!AQ39,Sheet5!$A$19:$A$33,0),MATCH(J39,Sheet5!$B$18:$G$18,0))</f>
        <v>6000</v>
      </c>
      <c r="AN39" s="41" t="s">
        <v>48</v>
      </c>
      <c r="AO39" s="41" t="s">
        <v>724</v>
      </c>
      <c r="AP39" s="41">
        <v>386</v>
      </c>
      <c r="AQ39" s="13">
        <v>60</v>
      </c>
    </row>
    <row r="40" spans="1:43" s="40" customFormat="1" ht="16.5">
      <c r="A40" s="41">
        <v>2134</v>
      </c>
      <c r="B40" s="41" t="s">
        <v>1692</v>
      </c>
      <c r="C40" s="41" t="s">
        <v>1507</v>
      </c>
      <c r="D40" s="41" t="s">
        <v>706</v>
      </c>
      <c r="E40" s="42">
        <v>11039</v>
      </c>
      <c r="F40" s="41">
        <v>10000</v>
      </c>
      <c r="G40" s="41">
        <v>300</v>
      </c>
      <c r="H40" s="41">
        <v>50</v>
      </c>
      <c r="I40" s="41" t="s">
        <v>720</v>
      </c>
      <c r="J40" s="41">
        <v>6</v>
      </c>
      <c r="K40" s="41">
        <v>20</v>
      </c>
      <c r="L40" s="41">
        <v>60</v>
      </c>
      <c r="M40">
        <v>44800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450</v>
      </c>
      <c r="V40" s="41">
        <v>0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1800</v>
      </c>
      <c r="AD40" s="41">
        <v>0</v>
      </c>
      <c r="AE40" s="41">
        <v>0</v>
      </c>
      <c r="AF40" s="41">
        <v>0</v>
      </c>
      <c r="AG40" s="41">
        <v>9.0000000000000011E-3</v>
      </c>
      <c r="AH40" s="41">
        <v>0</v>
      </c>
      <c r="AI40" s="41">
        <v>0</v>
      </c>
      <c r="AJ40" s="43">
        <v>0</v>
      </c>
      <c r="AK40" s="112">
        <v>20020</v>
      </c>
      <c r="AL40" s="41">
        <v>3</v>
      </c>
      <c r="AM40" s="41">
        <f>INDEX(Sheet5!$B$19:$G$33,MATCH(Sheet1!AQ40,Sheet5!$A$19:$A$33,0),MATCH(J40,Sheet5!$B$18:$G$18,0))</f>
        <v>7000</v>
      </c>
      <c r="AN40" s="41" t="s">
        <v>48</v>
      </c>
      <c r="AO40" s="41" t="s">
        <v>724</v>
      </c>
      <c r="AP40" s="41">
        <v>387</v>
      </c>
      <c r="AQ40" s="13">
        <v>70</v>
      </c>
    </row>
    <row r="41" spans="1:43" s="85" customFormat="1" ht="16.5">
      <c r="A41" s="81">
        <v>2083</v>
      </c>
      <c r="B41" s="81" t="s">
        <v>1693</v>
      </c>
      <c r="C41" s="41" t="s">
        <v>1507</v>
      </c>
      <c r="D41" s="81" t="s">
        <v>706</v>
      </c>
      <c r="E41" s="82">
        <v>11039</v>
      </c>
      <c r="F41" s="81">
        <v>10000</v>
      </c>
      <c r="G41" s="81">
        <v>300</v>
      </c>
      <c r="H41" s="81">
        <v>50</v>
      </c>
      <c r="I41" s="81" t="s">
        <v>720</v>
      </c>
      <c r="J41" s="81">
        <v>6</v>
      </c>
      <c r="K41" s="81">
        <v>20</v>
      </c>
      <c r="L41" s="81">
        <v>60</v>
      </c>
      <c r="M41">
        <v>51200</v>
      </c>
      <c r="N41" s="81">
        <v>0</v>
      </c>
      <c r="O41" s="81">
        <v>0</v>
      </c>
      <c r="P41" s="81">
        <v>0</v>
      </c>
      <c r="Q41" s="81">
        <v>0</v>
      </c>
      <c r="R41" s="81">
        <v>0</v>
      </c>
      <c r="S41" s="81">
        <v>0</v>
      </c>
      <c r="T41" s="81">
        <v>0</v>
      </c>
      <c r="U41" s="81">
        <v>450</v>
      </c>
      <c r="V41" s="81">
        <v>0</v>
      </c>
      <c r="W41" s="81">
        <v>0</v>
      </c>
      <c r="X41" s="81">
        <v>0</v>
      </c>
      <c r="Y41" s="81">
        <v>0</v>
      </c>
      <c r="Z41" s="81">
        <v>0</v>
      </c>
      <c r="AA41" s="81">
        <v>0</v>
      </c>
      <c r="AB41" s="81">
        <v>0</v>
      </c>
      <c r="AC41" s="81">
        <v>1800</v>
      </c>
      <c r="AD41" s="81">
        <v>0</v>
      </c>
      <c r="AE41" s="81">
        <v>0</v>
      </c>
      <c r="AF41" s="81">
        <v>0</v>
      </c>
      <c r="AG41" s="81">
        <v>9.0000000000000011E-3</v>
      </c>
      <c r="AH41" s="81">
        <v>0</v>
      </c>
      <c r="AI41" s="81">
        <v>0</v>
      </c>
      <c r="AJ41" s="84">
        <v>0</v>
      </c>
      <c r="AK41" s="112">
        <v>20021</v>
      </c>
      <c r="AL41" s="81">
        <v>3</v>
      </c>
      <c r="AM41" s="41">
        <f>INDEX(Sheet5!$B$19:$G$33,MATCH(Sheet1!AQ41,Sheet5!$A$19:$A$33,0),MATCH(J41,Sheet5!$B$18:$G$18,0))</f>
        <v>8000</v>
      </c>
      <c r="AN41" s="81" t="s">
        <v>1487</v>
      </c>
      <c r="AO41" s="81" t="s">
        <v>724</v>
      </c>
      <c r="AP41" s="81">
        <v>2083</v>
      </c>
      <c r="AQ41" s="13">
        <v>80</v>
      </c>
    </row>
    <row r="42" spans="1:43" s="40" customFormat="1" ht="16.5">
      <c r="A42" s="41">
        <v>2135</v>
      </c>
      <c r="B42" s="81" t="s">
        <v>1694</v>
      </c>
      <c r="C42" s="41" t="s">
        <v>1507</v>
      </c>
      <c r="D42" s="41" t="s">
        <v>706</v>
      </c>
      <c r="E42" s="42">
        <v>11039</v>
      </c>
      <c r="F42" s="41">
        <v>10000</v>
      </c>
      <c r="G42" s="41">
        <v>300</v>
      </c>
      <c r="H42" s="41">
        <v>50</v>
      </c>
      <c r="I42" s="41" t="s">
        <v>720</v>
      </c>
      <c r="J42" s="41">
        <v>6</v>
      </c>
      <c r="K42" s="41">
        <v>20</v>
      </c>
      <c r="L42" s="41">
        <v>60</v>
      </c>
      <c r="M42">
        <v>57600</v>
      </c>
      <c r="N42" s="41">
        <v>0</v>
      </c>
      <c r="O42" s="41">
        <v>0</v>
      </c>
      <c r="P42" s="41">
        <v>0</v>
      </c>
      <c r="Q42" s="41">
        <v>0</v>
      </c>
      <c r="R42" s="41">
        <v>0</v>
      </c>
      <c r="S42" s="41">
        <v>0</v>
      </c>
      <c r="T42" s="41">
        <v>0</v>
      </c>
      <c r="U42" s="41">
        <v>450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41">
        <v>1800</v>
      </c>
      <c r="AD42" s="41">
        <v>0</v>
      </c>
      <c r="AE42" s="41">
        <v>0</v>
      </c>
      <c r="AF42" s="41">
        <v>0</v>
      </c>
      <c r="AG42" s="41">
        <v>9.0000000000000011E-3</v>
      </c>
      <c r="AH42" s="41">
        <v>0</v>
      </c>
      <c r="AI42" s="41">
        <v>0</v>
      </c>
      <c r="AJ42" s="43">
        <v>0</v>
      </c>
      <c r="AK42" s="112">
        <v>20022</v>
      </c>
      <c r="AL42" s="41">
        <v>3</v>
      </c>
      <c r="AM42" s="41">
        <f>INDEX(Sheet5!$B$19:$G$33,MATCH(Sheet1!AQ42,Sheet5!$A$19:$A$33,0),MATCH(J42,Sheet5!$B$18:$G$18,0))</f>
        <v>9000</v>
      </c>
      <c r="AN42" s="41" t="s">
        <v>48</v>
      </c>
      <c r="AO42" s="41" t="s">
        <v>724</v>
      </c>
      <c r="AP42" s="41">
        <v>20831</v>
      </c>
      <c r="AQ42" s="13">
        <v>90</v>
      </c>
    </row>
    <row r="43" spans="1:43" s="40" customFormat="1" ht="16.5">
      <c r="A43" s="41">
        <v>2136</v>
      </c>
      <c r="B43" s="81" t="s">
        <v>1695</v>
      </c>
      <c r="C43" s="41" t="s">
        <v>1507</v>
      </c>
      <c r="D43" s="41" t="s">
        <v>706</v>
      </c>
      <c r="E43" s="42">
        <v>11039</v>
      </c>
      <c r="F43" s="41">
        <v>10000</v>
      </c>
      <c r="G43" s="41">
        <v>300</v>
      </c>
      <c r="H43" s="41">
        <v>50</v>
      </c>
      <c r="I43" s="41" t="s">
        <v>720</v>
      </c>
      <c r="J43" s="41">
        <v>6</v>
      </c>
      <c r="K43" s="41">
        <v>20</v>
      </c>
      <c r="L43" s="41">
        <v>60</v>
      </c>
      <c r="M43">
        <v>64000</v>
      </c>
      <c r="N43" s="41">
        <v>0</v>
      </c>
      <c r="O43" s="41">
        <v>0</v>
      </c>
      <c r="P43" s="41">
        <v>0</v>
      </c>
      <c r="Q43" s="41">
        <v>0</v>
      </c>
      <c r="R43" s="41">
        <v>0</v>
      </c>
      <c r="S43" s="41">
        <v>0</v>
      </c>
      <c r="T43" s="41">
        <v>0</v>
      </c>
      <c r="U43" s="41">
        <v>450</v>
      </c>
      <c r="V43" s="41">
        <v>0</v>
      </c>
      <c r="W43" s="41">
        <v>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41">
        <v>1800</v>
      </c>
      <c r="AD43" s="41">
        <v>0</v>
      </c>
      <c r="AE43" s="41">
        <v>0</v>
      </c>
      <c r="AF43" s="41">
        <v>0</v>
      </c>
      <c r="AG43" s="41">
        <v>9.0000000000000011E-3</v>
      </c>
      <c r="AH43" s="41">
        <v>0</v>
      </c>
      <c r="AI43" s="41">
        <v>0</v>
      </c>
      <c r="AJ43" s="43">
        <v>0</v>
      </c>
      <c r="AK43" s="112">
        <v>20023</v>
      </c>
      <c r="AL43" s="41">
        <v>3</v>
      </c>
      <c r="AM43" s="41">
        <f>INDEX(Sheet5!$B$19:$G$33,MATCH(Sheet1!AQ43,Sheet5!$A$19:$A$33,0),MATCH(J43,Sheet5!$B$18:$G$18,0))</f>
        <v>10000</v>
      </c>
      <c r="AN43" s="41" t="s">
        <v>48</v>
      </c>
      <c r="AO43" s="41" t="s">
        <v>724</v>
      </c>
      <c r="AP43" s="41">
        <v>20832</v>
      </c>
      <c r="AQ43" s="13">
        <v>100</v>
      </c>
    </row>
    <row r="44" spans="1:43" s="44" customFormat="1" ht="16.5">
      <c r="A44" s="41">
        <v>2137</v>
      </c>
      <c r="B44" s="81" t="s">
        <v>1696</v>
      </c>
      <c r="C44" s="41" t="s">
        <v>1507</v>
      </c>
      <c r="D44" s="41" t="s">
        <v>706</v>
      </c>
      <c r="E44" s="42">
        <v>11039</v>
      </c>
      <c r="F44" s="41">
        <v>10000</v>
      </c>
      <c r="G44" s="41">
        <v>300</v>
      </c>
      <c r="H44" s="41">
        <v>50</v>
      </c>
      <c r="I44" s="41" t="s">
        <v>720</v>
      </c>
      <c r="J44" s="41">
        <v>6</v>
      </c>
      <c r="K44" s="41">
        <v>20</v>
      </c>
      <c r="L44" s="41">
        <v>60</v>
      </c>
      <c r="M44">
        <v>70400</v>
      </c>
      <c r="N44" s="41">
        <v>0</v>
      </c>
      <c r="O44" s="41">
        <v>0</v>
      </c>
      <c r="P44" s="41">
        <v>0</v>
      </c>
      <c r="Q44" s="41">
        <v>0</v>
      </c>
      <c r="R44" s="41">
        <v>0</v>
      </c>
      <c r="S44" s="41">
        <v>0</v>
      </c>
      <c r="T44" s="41">
        <v>0</v>
      </c>
      <c r="U44" s="41">
        <v>450</v>
      </c>
      <c r="V44" s="41">
        <v>0</v>
      </c>
      <c r="W44" s="41">
        <v>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41">
        <v>1800</v>
      </c>
      <c r="AD44" s="41">
        <v>0</v>
      </c>
      <c r="AE44" s="41">
        <v>0</v>
      </c>
      <c r="AF44" s="41">
        <v>0</v>
      </c>
      <c r="AG44" s="41">
        <v>9.0000000000000011E-3</v>
      </c>
      <c r="AH44" s="41">
        <v>0</v>
      </c>
      <c r="AI44" s="41">
        <v>0</v>
      </c>
      <c r="AJ44" s="43">
        <v>0</v>
      </c>
      <c r="AK44" s="112">
        <v>20024</v>
      </c>
      <c r="AL44" s="41">
        <v>3</v>
      </c>
      <c r="AM44" s="41">
        <f>INDEX(Sheet5!$B$19:$G$33,MATCH(Sheet1!AQ44,Sheet5!$A$19:$A$33,0),MATCH(J44,Sheet5!$B$18:$G$18,0))</f>
        <v>11000</v>
      </c>
      <c r="AN44" s="41" t="s">
        <v>48</v>
      </c>
      <c r="AO44" s="41" t="s">
        <v>724</v>
      </c>
      <c r="AP44" s="41">
        <v>20833</v>
      </c>
      <c r="AQ44" s="13">
        <v>110</v>
      </c>
    </row>
    <row r="45" spans="1:43" s="44" customFormat="1" ht="16.5">
      <c r="A45" s="41">
        <v>2138</v>
      </c>
      <c r="B45" s="81" t="s">
        <v>1697</v>
      </c>
      <c r="C45" s="41" t="s">
        <v>1507</v>
      </c>
      <c r="D45" s="41" t="s">
        <v>706</v>
      </c>
      <c r="E45" s="42">
        <v>11039</v>
      </c>
      <c r="F45" s="41">
        <v>10000</v>
      </c>
      <c r="G45" s="41">
        <v>300</v>
      </c>
      <c r="H45" s="41">
        <v>50</v>
      </c>
      <c r="I45" s="41" t="s">
        <v>720</v>
      </c>
      <c r="J45" s="41">
        <v>6</v>
      </c>
      <c r="K45" s="41">
        <v>20</v>
      </c>
      <c r="L45" s="41">
        <v>60</v>
      </c>
      <c r="M45">
        <v>76800</v>
      </c>
      <c r="N45" s="41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1">
        <v>0</v>
      </c>
      <c r="U45" s="41">
        <v>450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41">
        <v>1800</v>
      </c>
      <c r="AD45" s="41">
        <v>0</v>
      </c>
      <c r="AE45" s="41">
        <v>0</v>
      </c>
      <c r="AF45" s="41">
        <v>0</v>
      </c>
      <c r="AG45" s="41">
        <v>9.0000000000000011E-3</v>
      </c>
      <c r="AH45" s="41">
        <v>0</v>
      </c>
      <c r="AI45" s="41">
        <v>0</v>
      </c>
      <c r="AJ45" s="43">
        <v>0</v>
      </c>
      <c r="AK45" s="112">
        <v>20025</v>
      </c>
      <c r="AL45" s="41">
        <v>3</v>
      </c>
      <c r="AM45" s="41">
        <f>INDEX(Sheet5!$B$19:$G$33,MATCH(Sheet1!AQ45,Sheet5!$A$19:$A$33,0),MATCH(J45,Sheet5!$B$18:$G$18,0))</f>
        <v>12000</v>
      </c>
      <c r="AN45" s="41" t="s">
        <v>48</v>
      </c>
      <c r="AO45" s="41" t="s">
        <v>724</v>
      </c>
      <c r="AP45" s="41">
        <v>20834</v>
      </c>
      <c r="AQ45" s="13">
        <v>120</v>
      </c>
    </row>
    <row r="46" spans="1:43" s="44" customFormat="1" ht="16.5">
      <c r="A46" s="41">
        <v>2139</v>
      </c>
      <c r="B46" s="81" t="s">
        <v>1698</v>
      </c>
      <c r="C46" s="41" t="s">
        <v>1507</v>
      </c>
      <c r="D46" s="41" t="s">
        <v>706</v>
      </c>
      <c r="E46" s="42">
        <v>11039</v>
      </c>
      <c r="F46" s="41">
        <v>10000</v>
      </c>
      <c r="G46" s="41">
        <v>300</v>
      </c>
      <c r="H46" s="41">
        <v>50</v>
      </c>
      <c r="I46" s="41" t="s">
        <v>720</v>
      </c>
      <c r="J46" s="41">
        <v>6</v>
      </c>
      <c r="K46" s="41">
        <v>20</v>
      </c>
      <c r="L46" s="41">
        <v>60</v>
      </c>
      <c r="M46">
        <v>83200</v>
      </c>
      <c r="N46" s="41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1">
        <v>0</v>
      </c>
      <c r="U46" s="41">
        <v>450</v>
      </c>
      <c r="V46" s="41">
        <v>0</v>
      </c>
      <c r="W46" s="41">
        <v>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41">
        <v>1800</v>
      </c>
      <c r="AD46" s="41">
        <v>0</v>
      </c>
      <c r="AE46" s="41">
        <v>0</v>
      </c>
      <c r="AF46" s="41">
        <v>0</v>
      </c>
      <c r="AG46" s="41">
        <v>9.0000000000000011E-3</v>
      </c>
      <c r="AH46" s="41">
        <v>0</v>
      </c>
      <c r="AI46" s="41">
        <v>0</v>
      </c>
      <c r="AJ46" s="43">
        <v>0</v>
      </c>
      <c r="AK46" s="112">
        <v>20026</v>
      </c>
      <c r="AL46" s="41">
        <v>3</v>
      </c>
      <c r="AM46" s="41">
        <f>INDEX(Sheet5!$B$19:$G$33,MATCH(Sheet1!AQ46,Sheet5!$A$19:$A$33,0),MATCH(J46,Sheet5!$B$18:$G$18,0))</f>
        <v>13000</v>
      </c>
      <c r="AN46" s="41" t="s">
        <v>48</v>
      </c>
      <c r="AO46" s="41" t="s">
        <v>724</v>
      </c>
      <c r="AP46" s="41">
        <v>20835</v>
      </c>
      <c r="AQ46" s="13">
        <v>130</v>
      </c>
    </row>
    <row r="47" spans="1:43" s="44" customFormat="1" ht="16.5">
      <c r="A47" s="41">
        <v>2140</v>
      </c>
      <c r="B47" s="81" t="s">
        <v>1699</v>
      </c>
      <c r="C47" s="41" t="s">
        <v>1507</v>
      </c>
      <c r="D47" s="41" t="s">
        <v>706</v>
      </c>
      <c r="E47" s="42">
        <v>11039</v>
      </c>
      <c r="F47" s="41">
        <v>10000</v>
      </c>
      <c r="G47" s="41">
        <v>300</v>
      </c>
      <c r="H47" s="41">
        <v>50</v>
      </c>
      <c r="I47" s="41" t="s">
        <v>720</v>
      </c>
      <c r="J47" s="41">
        <v>6</v>
      </c>
      <c r="K47" s="41">
        <v>20</v>
      </c>
      <c r="L47" s="41">
        <v>60</v>
      </c>
      <c r="M47">
        <v>89600</v>
      </c>
      <c r="N47" s="41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1">
        <v>0</v>
      </c>
      <c r="U47" s="41">
        <v>450</v>
      </c>
      <c r="V47" s="41">
        <v>0</v>
      </c>
      <c r="W47" s="41">
        <v>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41">
        <v>1800</v>
      </c>
      <c r="AD47" s="41">
        <v>0</v>
      </c>
      <c r="AE47" s="41">
        <v>0</v>
      </c>
      <c r="AF47" s="41">
        <v>0</v>
      </c>
      <c r="AG47" s="41">
        <v>9.0000000000000011E-3</v>
      </c>
      <c r="AH47" s="41">
        <v>0</v>
      </c>
      <c r="AI47" s="41">
        <v>0</v>
      </c>
      <c r="AJ47" s="43">
        <v>0</v>
      </c>
      <c r="AK47" s="112">
        <v>20027</v>
      </c>
      <c r="AL47" s="41">
        <v>3</v>
      </c>
      <c r="AM47" s="41">
        <f>INDEX(Sheet5!$B$19:$G$33,MATCH(Sheet1!AQ47,Sheet5!$A$19:$A$33,0),MATCH(J47,Sheet5!$B$18:$G$18,0))</f>
        <v>14000</v>
      </c>
      <c r="AN47" s="41" t="s">
        <v>48</v>
      </c>
      <c r="AO47" s="41" t="s">
        <v>724</v>
      </c>
      <c r="AP47" s="41">
        <v>20836</v>
      </c>
      <c r="AQ47" s="13">
        <v>140</v>
      </c>
    </row>
    <row r="48" spans="1:43" s="26" customFormat="1" ht="16.5">
      <c r="A48" s="41">
        <v>2141</v>
      </c>
      <c r="B48" s="81" t="s">
        <v>1700</v>
      </c>
      <c r="C48" s="41" t="s">
        <v>1507</v>
      </c>
      <c r="D48" s="41" t="s">
        <v>706</v>
      </c>
      <c r="E48" s="42">
        <v>11039</v>
      </c>
      <c r="F48" s="41">
        <v>10000</v>
      </c>
      <c r="G48" s="41">
        <v>300</v>
      </c>
      <c r="H48" s="41">
        <v>50</v>
      </c>
      <c r="I48" s="41" t="s">
        <v>720</v>
      </c>
      <c r="J48" s="41">
        <v>6</v>
      </c>
      <c r="K48" s="41">
        <v>20</v>
      </c>
      <c r="L48" s="41">
        <v>60</v>
      </c>
      <c r="M48">
        <v>96000</v>
      </c>
      <c r="N48" s="41">
        <v>0</v>
      </c>
      <c r="O48" s="41">
        <v>0</v>
      </c>
      <c r="P48" s="41">
        <v>0</v>
      </c>
      <c r="Q48" s="41">
        <v>0</v>
      </c>
      <c r="R48" s="41">
        <v>0</v>
      </c>
      <c r="S48" s="41">
        <v>0</v>
      </c>
      <c r="T48" s="41">
        <v>0</v>
      </c>
      <c r="U48" s="41">
        <v>450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41">
        <v>1800</v>
      </c>
      <c r="AD48" s="41">
        <v>0</v>
      </c>
      <c r="AE48" s="41">
        <v>0</v>
      </c>
      <c r="AF48" s="41">
        <v>0</v>
      </c>
      <c r="AG48" s="41">
        <v>9.0000000000000011E-3</v>
      </c>
      <c r="AH48" s="41">
        <v>0</v>
      </c>
      <c r="AI48" s="41">
        <v>0</v>
      </c>
      <c r="AJ48" s="43">
        <v>0</v>
      </c>
      <c r="AK48" s="112">
        <v>20028</v>
      </c>
      <c r="AL48" s="41">
        <v>3</v>
      </c>
      <c r="AM48" s="41">
        <f>INDEX(Sheet5!$B$19:$G$33,MATCH(Sheet1!AQ48,Sheet5!$A$19:$A$33,0),MATCH(J48,Sheet5!$B$18:$G$18,0))</f>
        <v>15000</v>
      </c>
      <c r="AN48" s="41" t="s">
        <v>48</v>
      </c>
      <c r="AO48" s="41" t="s">
        <v>724</v>
      </c>
      <c r="AP48" s="41">
        <v>20837</v>
      </c>
      <c r="AQ48" s="13">
        <v>150</v>
      </c>
    </row>
    <row r="49" spans="1:43" s="26" customFormat="1" ht="16.5">
      <c r="A49" s="41">
        <v>2142</v>
      </c>
      <c r="B49" s="41" t="s">
        <v>1701</v>
      </c>
      <c r="C49" s="41" t="s">
        <v>1507</v>
      </c>
      <c r="D49" s="41" t="s">
        <v>707</v>
      </c>
      <c r="E49" s="42">
        <v>11040</v>
      </c>
      <c r="F49" s="41">
        <v>10000</v>
      </c>
      <c r="G49" s="41">
        <v>300</v>
      </c>
      <c r="H49" s="41">
        <v>50</v>
      </c>
      <c r="I49" s="41" t="s">
        <v>159</v>
      </c>
      <c r="J49" s="41">
        <v>6</v>
      </c>
      <c r="K49" s="41">
        <v>20</v>
      </c>
      <c r="L49" s="41">
        <v>60</v>
      </c>
      <c r="M49" s="41">
        <v>0</v>
      </c>
      <c r="N49" s="41">
        <v>0</v>
      </c>
      <c r="O49" s="41">
        <v>0</v>
      </c>
      <c r="P49">
        <v>1280</v>
      </c>
      <c r="Q49" s="41">
        <v>0</v>
      </c>
      <c r="R49" s="41">
        <v>0</v>
      </c>
      <c r="S49" s="41">
        <v>0</v>
      </c>
      <c r="T49" s="41">
        <v>0</v>
      </c>
      <c r="U49" s="41">
        <v>0</v>
      </c>
      <c r="V49" s="41">
        <v>0</v>
      </c>
      <c r="W49" s="41">
        <v>0</v>
      </c>
      <c r="X49" s="41">
        <v>9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41">
        <v>0</v>
      </c>
      <c r="AE49" s="41">
        <v>0</v>
      </c>
      <c r="AF49" s="41">
        <v>36</v>
      </c>
      <c r="AG49" s="41">
        <v>0</v>
      </c>
      <c r="AH49" s="41">
        <v>9.0000000000000011E-3</v>
      </c>
      <c r="AI49" s="41">
        <v>0</v>
      </c>
      <c r="AJ49" s="41">
        <v>0</v>
      </c>
      <c r="AK49" s="113">
        <v>20014</v>
      </c>
      <c r="AL49" s="41">
        <v>4</v>
      </c>
      <c r="AM49" s="41">
        <f>INDEX(Sheet5!$B$19:$G$33,MATCH(Sheet1!AQ49,Sheet5!$A$19:$A$33,0),MATCH(J49,Sheet5!$B$18:$G$18,0))</f>
        <v>1000</v>
      </c>
      <c r="AN49" s="41" t="s">
        <v>48</v>
      </c>
      <c r="AO49" s="41" t="s">
        <v>724</v>
      </c>
      <c r="AP49" s="41">
        <v>481</v>
      </c>
      <c r="AQ49" s="13">
        <v>10</v>
      </c>
    </row>
    <row r="50" spans="1:43" s="26" customFormat="1" ht="16.5">
      <c r="A50" s="41">
        <v>2143</v>
      </c>
      <c r="B50" s="41" t="s">
        <v>1702</v>
      </c>
      <c r="C50" s="41" t="s">
        <v>1507</v>
      </c>
      <c r="D50" s="41" t="s">
        <v>707</v>
      </c>
      <c r="E50" s="42">
        <v>11040</v>
      </c>
      <c r="F50" s="41">
        <v>10000</v>
      </c>
      <c r="G50" s="41">
        <v>300</v>
      </c>
      <c r="H50" s="41">
        <v>50</v>
      </c>
      <c r="I50" s="41" t="s">
        <v>159</v>
      </c>
      <c r="J50" s="41">
        <v>6</v>
      </c>
      <c r="K50" s="41">
        <v>20</v>
      </c>
      <c r="L50" s="41">
        <v>60</v>
      </c>
      <c r="M50" s="41">
        <v>0</v>
      </c>
      <c r="N50" s="41">
        <v>0</v>
      </c>
      <c r="O50" s="41">
        <v>0</v>
      </c>
      <c r="P50">
        <v>2560</v>
      </c>
      <c r="Q50" s="41">
        <v>0</v>
      </c>
      <c r="R50" s="41">
        <v>0</v>
      </c>
      <c r="S50" s="41">
        <v>0</v>
      </c>
      <c r="T50" s="41">
        <v>0</v>
      </c>
      <c r="U50" s="41">
        <v>0</v>
      </c>
      <c r="V50" s="41">
        <v>0</v>
      </c>
      <c r="W50" s="41">
        <v>0</v>
      </c>
      <c r="X50" s="41">
        <v>9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41">
        <v>0</v>
      </c>
      <c r="AE50" s="41">
        <v>0</v>
      </c>
      <c r="AF50" s="41">
        <v>36</v>
      </c>
      <c r="AG50" s="41">
        <v>0</v>
      </c>
      <c r="AH50" s="41">
        <v>9.0000000000000011E-3</v>
      </c>
      <c r="AI50" s="41">
        <v>0</v>
      </c>
      <c r="AJ50" s="41">
        <v>0</v>
      </c>
      <c r="AK50" s="113">
        <v>20015</v>
      </c>
      <c r="AL50" s="41">
        <v>4</v>
      </c>
      <c r="AM50" s="41">
        <f>INDEX(Sheet5!$B$19:$G$33,MATCH(Sheet1!AQ50,Sheet5!$A$19:$A$33,0),MATCH(J50,Sheet5!$B$18:$G$18,0))</f>
        <v>2000</v>
      </c>
      <c r="AN50" s="41" t="s">
        <v>48</v>
      </c>
      <c r="AO50" s="41" t="s">
        <v>724</v>
      </c>
      <c r="AP50" s="41">
        <v>482</v>
      </c>
      <c r="AQ50" s="13">
        <v>20</v>
      </c>
    </row>
    <row r="51" spans="1:43" s="26" customFormat="1" ht="18" customHeight="1">
      <c r="A51" s="41">
        <v>2144</v>
      </c>
      <c r="B51" s="41" t="s">
        <v>1703</v>
      </c>
      <c r="C51" s="41" t="s">
        <v>1507</v>
      </c>
      <c r="D51" s="41" t="s">
        <v>707</v>
      </c>
      <c r="E51" s="42">
        <v>11040</v>
      </c>
      <c r="F51" s="41">
        <v>10000</v>
      </c>
      <c r="G51" s="41">
        <v>300</v>
      </c>
      <c r="H51" s="41">
        <v>50</v>
      </c>
      <c r="I51" s="41" t="s">
        <v>159</v>
      </c>
      <c r="J51" s="41">
        <v>6</v>
      </c>
      <c r="K51" s="41">
        <v>20</v>
      </c>
      <c r="L51" s="41">
        <v>60</v>
      </c>
      <c r="M51" s="41">
        <v>0</v>
      </c>
      <c r="N51" s="41">
        <v>0</v>
      </c>
      <c r="O51" s="41">
        <v>0</v>
      </c>
      <c r="P51">
        <v>3840</v>
      </c>
      <c r="Q51" s="41">
        <v>0</v>
      </c>
      <c r="R51" s="41">
        <v>0</v>
      </c>
      <c r="S51" s="41">
        <v>0</v>
      </c>
      <c r="T51" s="41">
        <v>0</v>
      </c>
      <c r="U51" s="41">
        <v>0</v>
      </c>
      <c r="V51" s="41">
        <v>0</v>
      </c>
      <c r="W51" s="41">
        <v>0</v>
      </c>
      <c r="X51" s="41">
        <v>9</v>
      </c>
      <c r="Y51" s="41">
        <v>0</v>
      </c>
      <c r="Z51" s="41">
        <v>0</v>
      </c>
      <c r="AA51" s="41">
        <v>0</v>
      </c>
      <c r="AB51" s="41">
        <v>0</v>
      </c>
      <c r="AC51" s="41">
        <v>0</v>
      </c>
      <c r="AD51" s="41">
        <v>0</v>
      </c>
      <c r="AE51" s="41">
        <v>0</v>
      </c>
      <c r="AF51" s="41">
        <v>36</v>
      </c>
      <c r="AG51" s="41">
        <v>0</v>
      </c>
      <c r="AH51" s="41">
        <v>9.0000000000000011E-3</v>
      </c>
      <c r="AI51" s="41">
        <v>0</v>
      </c>
      <c r="AJ51" s="41">
        <v>0</v>
      </c>
      <c r="AK51" s="113">
        <v>20016</v>
      </c>
      <c r="AL51" s="41">
        <v>4</v>
      </c>
      <c r="AM51" s="41">
        <f>INDEX(Sheet5!$B$19:$G$33,MATCH(Sheet1!AQ51,Sheet5!$A$19:$A$33,0),MATCH(J51,Sheet5!$B$18:$G$18,0))</f>
        <v>3000</v>
      </c>
      <c r="AN51" s="41" t="s">
        <v>48</v>
      </c>
      <c r="AO51" s="41" t="s">
        <v>724</v>
      </c>
      <c r="AP51" s="41">
        <v>483</v>
      </c>
      <c r="AQ51" s="13">
        <v>30</v>
      </c>
    </row>
    <row r="52" spans="1:43" ht="19.5" customHeight="1">
      <c r="A52" s="41">
        <v>2145</v>
      </c>
      <c r="B52" s="41" t="s">
        <v>1704</v>
      </c>
      <c r="C52" s="41" t="s">
        <v>1507</v>
      </c>
      <c r="D52" s="41" t="s">
        <v>707</v>
      </c>
      <c r="E52" s="42">
        <v>11040</v>
      </c>
      <c r="F52" s="41">
        <v>10000</v>
      </c>
      <c r="G52" s="41">
        <v>300</v>
      </c>
      <c r="H52" s="41">
        <v>50</v>
      </c>
      <c r="I52" s="41" t="s">
        <v>159</v>
      </c>
      <c r="J52" s="41">
        <v>6</v>
      </c>
      <c r="K52" s="41">
        <v>20</v>
      </c>
      <c r="L52" s="41">
        <v>60</v>
      </c>
      <c r="M52" s="41">
        <v>0</v>
      </c>
      <c r="N52" s="41">
        <v>0</v>
      </c>
      <c r="O52" s="41">
        <v>0</v>
      </c>
      <c r="P52">
        <v>5120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9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36</v>
      </c>
      <c r="AG52" s="41">
        <v>0</v>
      </c>
      <c r="AH52" s="41">
        <v>9.0000000000000011E-3</v>
      </c>
      <c r="AI52" s="41">
        <v>0</v>
      </c>
      <c r="AJ52" s="41">
        <v>0</v>
      </c>
      <c r="AK52" s="113">
        <v>20017</v>
      </c>
      <c r="AL52" s="41">
        <v>4</v>
      </c>
      <c r="AM52" s="41">
        <f>INDEX(Sheet5!$B$19:$G$33,MATCH(Sheet1!AQ52,Sheet5!$A$19:$A$33,0),MATCH(J52,Sheet5!$B$18:$G$18,0))</f>
        <v>4000</v>
      </c>
      <c r="AN52" s="41" t="s">
        <v>48</v>
      </c>
      <c r="AO52" s="41" t="s">
        <v>724</v>
      </c>
      <c r="AP52" s="41">
        <v>484</v>
      </c>
      <c r="AQ52" s="13">
        <v>40</v>
      </c>
    </row>
    <row r="53" spans="1:43" ht="16.5">
      <c r="A53" s="41">
        <v>2146</v>
      </c>
      <c r="B53" s="41" t="s">
        <v>1705</v>
      </c>
      <c r="C53" s="41" t="s">
        <v>1507</v>
      </c>
      <c r="D53" s="41" t="s">
        <v>707</v>
      </c>
      <c r="E53" s="42">
        <v>11040</v>
      </c>
      <c r="F53" s="41">
        <v>10000</v>
      </c>
      <c r="G53" s="41">
        <v>300</v>
      </c>
      <c r="H53" s="41">
        <v>50</v>
      </c>
      <c r="I53" s="41" t="s">
        <v>159</v>
      </c>
      <c r="J53" s="41">
        <v>6</v>
      </c>
      <c r="K53" s="41">
        <v>20</v>
      </c>
      <c r="L53" s="41">
        <v>60</v>
      </c>
      <c r="M53" s="41">
        <v>0</v>
      </c>
      <c r="N53" s="41">
        <v>0</v>
      </c>
      <c r="O53" s="41">
        <v>0</v>
      </c>
      <c r="P53">
        <v>6400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W53" s="41">
        <v>0</v>
      </c>
      <c r="X53" s="41">
        <v>9</v>
      </c>
      <c r="Y53" s="41">
        <v>0</v>
      </c>
      <c r="Z53" s="41">
        <v>0</v>
      </c>
      <c r="AA53" s="41">
        <v>0</v>
      </c>
      <c r="AB53" s="41">
        <v>0</v>
      </c>
      <c r="AC53" s="41">
        <v>0</v>
      </c>
      <c r="AD53" s="41">
        <v>0</v>
      </c>
      <c r="AE53" s="41">
        <v>0</v>
      </c>
      <c r="AF53" s="41">
        <v>36</v>
      </c>
      <c r="AG53" s="41">
        <v>0</v>
      </c>
      <c r="AH53" s="41">
        <v>9.0000000000000011E-3</v>
      </c>
      <c r="AI53" s="41">
        <v>0</v>
      </c>
      <c r="AJ53" s="41">
        <v>0</v>
      </c>
      <c r="AK53" s="113">
        <v>20018</v>
      </c>
      <c r="AL53" s="41">
        <v>4</v>
      </c>
      <c r="AM53" s="41">
        <f>INDEX(Sheet5!$B$19:$G$33,MATCH(Sheet1!AQ53,Sheet5!$A$19:$A$33,0),MATCH(J53,Sheet5!$B$18:$G$18,0))</f>
        <v>5000</v>
      </c>
      <c r="AN53" s="41" t="s">
        <v>48</v>
      </c>
      <c r="AO53" s="41" t="s">
        <v>724</v>
      </c>
      <c r="AP53" s="41">
        <v>485</v>
      </c>
      <c r="AQ53" s="13">
        <v>50</v>
      </c>
    </row>
    <row r="54" spans="1:43" ht="16.5">
      <c r="A54" s="41">
        <v>2147</v>
      </c>
      <c r="B54" s="41" t="s">
        <v>1706</v>
      </c>
      <c r="C54" s="41" t="s">
        <v>1507</v>
      </c>
      <c r="D54" s="41" t="s">
        <v>707</v>
      </c>
      <c r="E54" s="42">
        <v>11040</v>
      </c>
      <c r="F54" s="41">
        <v>10000</v>
      </c>
      <c r="G54" s="41">
        <v>300</v>
      </c>
      <c r="H54" s="41">
        <v>50</v>
      </c>
      <c r="I54" s="41" t="s">
        <v>159</v>
      </c>
      <c r="J54" s="41">
        <v>6</v>
      </c>
      <c r="K54" s="41">
        <v>20</v>
      </c>
      <c r="L54" s="41">
        <v>60</v>
      </c>
      <c r="M54" s="41">
        <v>0</v>
      </c>
      <c r="N54" s="41">
        <v>0</v>
      </c>
      <c r="O54" s="41">
        <v>0</v>
      </c>
      <c r="P54">
        <v>7680</v>
      </c>
      <c r="Q54" s="41">
        <v>0</v>
      </c>
      <c r="R54" s="41">
        <v>0</v>
      </c>
      <c r="S54" s="41">
        <v>0</v>
      </c>
      <c r="T54" s="41">
        <v>0</v>
      </c>
      <c r="U54" s="41">
        <v>0</v>
      </c>
      <c r="V54" s="41">
        <v>0</v>
      </c>
      <c r="W54" s="41">
        <v>0</v>
      </c>
      <c r="X54" s="41">
        <v>9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41">
        <v>0</v>
      </c>
      <c r="AE54" s="41">
        <v>0</v>
      </c>
      <c r="AF54" s="41">
        <v>36</v>
      </c>
      <c r="AG54" s="41">
        <v>0</v>
      </c>
      <c r="AH54" s="41">
        <v>9.0000000000000011E-3</v>
      </c>
      <c r="AI54" s="41">
        <v>0</v>
      </c>
      <c r="AJ54" s="41">
        <v>0</v>
      </c>
      <c r="AK54" s="113">
        <v>20019</v>
      </c>
      <c r="AL54" s="41">
        <v>4</v>
      </c>
      <c r="AM54" s="41">
        <f>INDEX(Sheet5!$B$19:$G$33,MATCH(Sheet1!AQ54,Sheet5!$A$19:$A$33,0),MATCH(J54,Sheet5!$B$18:$G$18,0))</f>
        <v>6000</v>
      </c>
      <c r="AN54" s="41" t="s">
        <v>48</v>
      </c>
      <c r="AO54" s="41" t="s">
        <v>724</v>
      </c>
      <c r="AP54" s="41">
        <v>486</v>
      </c>
      <c r="AQ54" s="13">
        <v>60</v>
      </c>
    </row>
    <row r="55" spans="1:43" ht="16.5">
      <c r="A55" s="41">
        <v>2148</v>
      </c>
      <c r="B55" s="41" t="s">
        <v>1707</v>
      </c>
      <c r="C55" s="41" t="s">
        <v>1507</v>
      </c>
      <c r="D55" s="41" t="s">
        <v>707</v>
      </c>
      <c r="E55" s="42">
        <v>11040</v>
      </c>
      <c r="F55" s="41">
        <v>10000</v>
      </c>
      <c r="G55" s="41">
        <v>300</v>
      </c>
      <c r="H55" s="41">
        <v>50</v>
      </c>
      <c r="I55" s="41" t="s">
        <v>159</v>
      </c>
      <c r="J55" s="41">
        <v>6</v>
      </c>
      <c r="K55" s="41">
        <v>20</v>
      </c>
      <c r="L55" s="41">
        <v>60</v>
      </c>
      <c r="M55" s="41">
        <v>0</v>
      </c>
      <c r="N55" s="41">
        <v>0</v>
      </c>
      <c r="O55" s="41">
        <v>0</v>
      </c>
      <c r="P55">
        <v>8960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W55" s="41">
        <v>0</v>
      </c>
      <c r="X55" s="41">
        <v>9</v>
      </c>
      <c r="Y55" s="41">
        <v>0</v>
      </c>
      <c r="Z55" s="41">
        <v>0</v>
      </c>
      <c r="AA55" s="41">
        <v>0</v>
      </c>
      <c r="AB55" s="41">
        <v>0</v>
      </c>
      <c r="AC55" s="41">
        <v>0</v>
      </c>
      <c r="AD55" s="41">
        <v>0</v>
      </c>
      <c r="AE55" s="41">
        <v>0</v>
      </c>
      <c r="AF55" s="41">
        <v>36</v>
      </c>
      <c r="AG55" s="41">
        <v>0</v>
      </c>
      <c r="AH55" s="41">
        <v>9.0000000000000011E-3</v>
      </c>
      <c r="AI55" s="41">
        <v>0</v>
      </c>
      <c r="AJ55" s="41">
        <v>0</v>
      </c>
      <c r="AK55" s="113">
        <v>20020</v>
      </c>
      <c r="AL55" s="41">
        <v>4</v>
      </c>
      <c r="AM55" s="41">
        <f>INDEX(Sheet5!$B$19:$G$33,MATCH(Sheet1!AQ55,Sheet5!$A$19:$A$33,0),MATCH(J55,Sheet5!$B$18:$G$18,0))</f>
        <v>7000</v>
      </c>
      <c r="AN55" s="41" t="s">
        <v>48</v>
      </c>
      <c r="AO55" s="41" t="s">
        <v>724</v>
      </c>
      <c r="AP55" s="41">
        <v>487</v>
      </c>
      <c r="AQ55" s="13">
        <v>70</v>
      </c>
    </row>
    <row r="56" spans="1:43" s="87" customFormat="1" ht="16.5">
      <c r="A56" s="81">
        <v>2084</v>
      </c>
      <c r="B56" s="81" t="s">
        <v>1708</v>
      </c>
      <c r="C56" s="41" t="s">
        <v>1507</v>
      </c>
      <c r="D56" s="81" t="s">
        <v>707</v>
      </c>
      <c r="E56" s="82">
        <v>11040</v>
      </c>
      <c r="F56" s="81">
        <v>10000</v>
      </c>
      <c r="G56" s="81">
        <v>300</v>
      </c>
      <c r="H56" s="81">
        <v>50</v>
      </c>
      <c r="I56" s="81" t="s">
        <v>159</v>
      </c>
      <c r="J56" s="81">
        <v>6</v>
      </c>
      <c r="K56" s="81">
        <v>20</v>
      </c>
      <c r="L56" s="81">
        <v>60</v>
      </c>
      <c r="M56" s="81">
        <v>0</v>
      </c>
      <c r="N56" s="81">
        <v>0</v>
      </c>
      <c r="O56" s="81">
        <v>0</v>
      </c>
      <c r="P56">
        <v>10240</v>
      </c>
      <c r="Q56" s="81">
        <v>0</v>
      </c>
      <c r="R56" s="81">
        <v>0</v>
      </c>
      <c r="S56" s="81">
        <v>0</v>
      </c>
      <c r="T56" s="81">
        <v>0</v>
      </c>
      <c r="U56" s="81">
        <v>0</v>
      </c>
      <c r="V56" s="81">
        <v>0</v>
      </c>
      <c r="W56" s="81">
        <v>0</v>
      </c>
      <c r="X56" s="81">
        <v>9</v>
      </c>
      <c r="Y56" s="81">
        <v>0</v>
      </c>
      <c r="Z56" s="81">
        <v>0</v>
      </c>
      <c r="AA56" s="81">
        <v>0</v>
      </c>
      <c r="AB56" s="81">
        <v>0</v>
      </c>
      <c r="AC56" s="81">
        <v>0</v>
      </c>
      <c r="AD56" s="81">
        <v>0</v>
      </c>
      <c r="AE56" s="81">
        <v>0</v>
      </c>
      <c r="AF56" s="81">
        <v>36</v>
      </c>
      <c r="AG56" s="81">
        <v>0</v>
      </c>
      <c r="AH56" s="81">
        <v>9.0000000000000011E-3</v>
      </c>
      <c r="AI56" s="81">
        <v>0</v>
      </c>
      <c r="AJ56" s="81">
        <v>0</v>
      </c>
      <c r="AK56" s="113">
        <v>20021</v>
      </c>
      <c r="AL56" s="81">
        <v>4</v>
      </c>
      <c r="AM56" s="41">
        <f>INDEX(Sheet5!$B$19:$G$33,MATCH(Sheet1!AQ56,Sheet5!$A$19:$A$33,0),MATCH(J56,Sheet5!$B$18:$G$18,0))</f>
        <v>8000</v>
      </c>
      <c r="AN56" s="81" t="s">
        <v>1489</v>
      </c>
      <c r="AO56" s="81" t="s">
        <v>724</v>
      </c>
      <c r="AP56" s="81">
        <v>2084</v>
      </c>
      <c r="AQ56" s="13">
        <v>80</v>
      </c>
    </row>
    <row r="57" spans="1:43" ht="16.5">
      <c r="A57" s="41">
        <v>2149</v>
      </c>
      <c r="B57" s="81" t="s">
        <v>1709</v>
      </c>
      <c r="C57" s="41" t="s">
        <v>1507</v>
      </c>
      <c r="D57" s="41" t="s">
        <v>707</v>
      </c>
      <c r="E57" s="42">
        <v>11040</v>
      </c>
      <c r="F57" s="41">
        <v>10000</v>
      </c>
      <c r="G57" s="41">
        <v>300</v>
      </c>
      <c r="H57" s="41">
        <v>50</v>
      </c>
      <c r="I57" s="41" t="s">
        <v>159</v>
      </c>
      <c r="J57" s="41">
        <v>6</v>
      </c>
      <c r="K57" s="41">
        <v>20</v>
      </c>
      <c r="L57" s="41">
        <v>60</v>
      </c>
      <c r="M57" s="41">
        <v>0</v>
      </c>
      <c r="N57" s="41">
        <v>0</v>
      </c>
      <c r="O57" s="41">
        <v>0</v>
      </c>
      <c r="P57">
        <v>11520</v>
      </c>
      <c r="Q57" s="41">
        <v>0</v>
      </c>
      <c r="R57" s="41">
        <v>0</v>
      </c>
      <c r="S57" s="41">
        <v>0</v>
      </c>
      <c r="T57" s="41">
        <v>0</v>
      </c>
      <c r="U57" s="41">
        <v>0</v>
      </c>
      <c r="V57" s="41">
        <v>0</v>
      </c>
      <c r="W57" s="41">
        <v>0</v>
      </c>
      <c r="X57" s="41">
        <v>9</v>
      </c>
      <c r="Y57" s="41">
        <v>0</v>
      </c>
      <c r="Z57" s="41">
        <v>0</v>
      </c>
      <c r="AA57" s="41">
        <v>0</v>
      </c>
      <c r="AB57" s="41">
        <v>0</v>
      </c>
      <c r="AC57" s="41">
        <v>0</v>
      </c>
      <c r="AD57" s="41">
        <v>0</v>
      </c>
      <c r="AE57" s="41">
        <v>0</v>
      </c>
      <c r="AF57" s="41">
        <v>36</v>
      </c>
      <c r="AG57" s="41">
        <v>0</v>
      </c>
      <c r="AH57" s="41">
        <v>9.0000000000000011E-3</v>
      </c>
      <c r="AI57" s="41">
        <v>0</v>
      </c>
      <c r="AJ57" s="41">
        <v>0</v>
      </c>
      <c r="AK57" s="113">
        <v>20022</v>
      </c>
      <c r="AL57" s="41">
        <v>4</v>
      </c>
      <c r="AM57" s="41">
        <f>INDEX(Sheet5!$B$19:$G$33,MATCH(Sheet1!AQ57,Sheet5!$A$19:$A$33,0),MATCH(J57,Sheet5!$B$18:$G$18,0))</f>
        <v>9000</v>
      </c>
      <c r="AN57" s="41" t="s">
        <v>48</v>
      </c>
      <c r="AO57" s="41" t="s">
        <v>724</v>
      </c>
      <c r="AP57" s="41">
        <v>20841</v>
      </c>
      <c r="AQ57" s="13">
        <v>90</v>
      </c>
    </row>
    <row r="58" spans="1:43" ht="16.5">
      <c r="A58" s="41">
        <v>2150</v>
      </c>
      <c r="B58" s="81" t="s">
        <v>1710</v>
      </c>
      <c r="C58" s="41" t="s">
        <v>1507</v>
      </c>
      <c r="D58" s="41" t="s">
        <v>707</v>
      </c>
      <c r="E58" s="42">
        <v>11040</v>
      </c>
      <c r="F58" s="41">
        <v>10000</v>
      </c>
      <c r="G58" s="41">
        <v>300</v>
      </c>
      <c r="H58" s="41">
        <v>50</v>
      </c>
      <c r="I58" s="41" t="s">
        <v>159</v>
      </c>
      <c r="J58" s="41">
        <v>6</v>
      </c>
      <c r="K58" s="41">
        <v>20</v>
      </c>
      <c r="L58" s="41">
        <v>60</v>
      </c>
      <c r="M58" s="41">
        <v>0</v>
      </c>
      <c r="N58" s="41">
        <v>0</v>
      </c>
      <c r="O58" s="41">
        <v>0</v>
      </c>
      <c r="P58">
        <v>12800</v>
      </c>
      <c r="Q58" s="41">
        <v>0</v>
      </c>
      <c r="R58" s="41">
        <v>0</v>
      </c>
      <c r="S58" s="41">
        <v>0</v>
      </c>
      <c r="T58" s="41">
        <v>0</v>
      </c>
      <c r="U58" s="41">
        <v>0</v>
      </c>
      <c r="V58" s="41">
        <v>0</v>
      </c>
      <c r="W58" s="41">
        <v>0</v>
      </c>
      <c r="X58" s="41">
        <v>9</v>
      </c>
      <c r="Y58" s="41">
        <v>0</v>
      </c>
      <c r="Z58" s="41">
        <v>0</v>
      </c>
      <c r="AA58" s="41">
        <v>0</v>
      </c>
      <c r="AB58" s="41">
        <v>0</v>
      </c>
      <c r="AC58" s="41">
        <v>0</v>
      </c>
      <c r="AD58" s="41">
        <v>0</v>
      </c>
      <c r="AE58" s="41">
        <v>0</v>
      </c>
      <c r="AF58" s="41">
        <v>36</v>
      </c>
      <c r="AG58" s="41">
        <v>0</v>
      </c>
      <c r="AH58" s="41">
        <v>9.0000000000000011E-3</v>
      </c>
      <c r="AI58" s="41">
        <v>0</v>
      </c>
      <c r="AJ58" s="41">
        <v>0</v>
      </c>
      <c r="AK58" s="113">
        <v>20023</v>
      </c>
      <c r="AL58" s="41">
        <v>4</v>
      </c>
      <c r="AM58" s="41">
        <f>INDEX(Sheet5!$B$19:$G$33,MATCH(Sheet1!AQ58,Sheet5!$A$19:$A$33,0),MATCH(J58,Sheet5!$B$18:$G$18,0))</f>
        <v>10000</v>
      </c>
      <c r="AN58" s="41" t="s">
        <v>48</v>
      </c>
      <c r="AO58" s="41" t="s">
        <v>724</v>
      </c>
      <c r="AP58" s="41">
        <v>20842</v>
      </c>
      <c r="AQ58" s="13">
        <v>100</v>
      </c>
    </row>
    <row r="59" spans="1:43" ht="16.5">
      <c r="A59" s="41">
        <v>2151</v>
      </c>
      <c r="B59" s="81" t="s">
        <v>1711</v>
      </c>
      <c r="C59" s="41" t="s">
        <v>1507</v>
      </c>
      <c r="D59" s="41" t="s">
        <v>707</v>
      </c>
      <c r="E59" s="42">
        <v>11040</v>
      </c>
      <c r="F59" s="41">
        <v>10000</v>
      </c>
      <c r="G59" s="41">
        <v>300</v>
      </c>
      <c r="H59" s="41">
        <v>50</v>
      </c>
      <c r="I59" s="41" t="s">
        <v>159</v>
      </c>
      <c r="J59" s="41">
        <v>6</v>
      </c>
      <c r="K59" s="41">
        <v>20</v>
      </c>
      <c r="L59" s="41">
        <v>60</v>
      </c>
      <c r="M59" s="41">
        <v>0</v>
      </c>
      <c r="N59" s="41">
        <v>0</v>
      </c>
      <c r="O59" s="41">
        <v>0</v>
      </c>
      <c r="P59">
        <v>14080</v>
      </c>
      <c r="Q59" s="41">
        <v>0</v>
      </c>
      <c r="R59" s="41">
        <v>0</v>
      </c>
      <c r="S59" s="41">
        <v>0</v>
      </c>
      <c r="T59" s="41">
        <v>0</v>
      </c>
      <c r="U59" s="41">
        <v>0</v>
      </c>
      <c r="V59" s="41">
        <v>0</v>
      </c>
      <c r="W59" s="41">
        <v>0</v>
      </c>
      <c r="X59" s="41">
        <v>9</v>
      </c>
      <c r="Y59" s="41">
        <v>0</v>
      </c>
      <c r="Z59" s="41">
        <v>0</v>
      </c>
      <c r="AA59" s="41">
        <v>0</v>
      </c>
      <c r="AB59" s="41">
        <v>0</v>
      </c>
      <c r="AC59" s="41">
        <v>0</v>
      </c>
      <c r="AD59" s="41">
        <v>0</v>
      </c>
      <c r="AE59" s="41">
        <v>0</v>
      </c>
      <c r="AF59" s="41">
        <v>36</v>
      </c>
      <c r="AG59" s="41">
        <v>0</v>
      </c>
      <c r="AH59" s="41">
        <v>9.0000000000000011E-3</v>
      </c>
      <c r="AI59" s="41">
        <v>0</v>
      </c>
      <c r="AJ59" s="41">
        <v>0</v>
      </c>
      <c r="AK59" s="113">
        <v>20024</v>
      </c>
      <c r="AL59" s="41">
        <v>4</v>
      </c>
      <c r="AM59" s="41">
        <f>INDEX(Sheet5!$B$19:$G$33,MATCH(Sheet1!AQ59,Sheet5!$A$19:$A$33,0),MATCH(J59,Sheet5!$B$18:$G$18,0))</f>
        <v>11000</v>
      </c>
      <c r="AN59" s="41" t="s">
        <v>48</v>
      </c>
      <c r="AO59" s="41" t="s">
        <v>724</v>
      </c>
      <c r="AP59" s="41">
        <v>20843</v>
      </c>
      <c r="AQ59" s="13">
        <v>110</v>
      </c>
    </row>
    <row r="60" spans="1:43" ht="16.5">
      <c r="A60" s="41">
        <v>2152</v>
      </c>
      <c r="B60" s="81" t="s">
        <v>1712</v>
      </c>
      <c r="C60" s="41" t="s">
        <v>1507</v>
      </c>
      <c r="D60" s="41" t="s">
        <v>707</v>
      </c>
      <c r="E60" s="42">
        <v>11040</v>
      </c>
      <c r="F60" s="41">
        <v>10000</v>
      </c>
      <c r="G60" s="41">
        <v>300</v>
      </c>
      <c r="H60" s="41">
        <v>50</v>
      </c>
      <c r="I60" s="41" t="s">
        <v>159</v>
      </c>
      <c r="J60" s="41">
        <v>6</v>
      </c>
      <c r="K60" s="41">
        <v>20</v>
      </c>
      <c r="L60" s="41">
        <v>60</v>
      </c>
      <c r="M60" s="41">
        <v>0</v>
      </c>
      <c r="N60" s="41">
        <v>0</v>
      </c>
      <c r="O60" s="41">
        <v>0</v>
      </c>
      <c r="P60">
        <v>15360</v>
      </c>
      <c r="Q60" s="41">
        <v>0</v>
      </c>
      <c r="R60" s="41">
        <v>0</v>
      </c>
      <c r="S60" s="41">
        <v>0</v>
      </c>
      <c r="T60" s="41">
        <v>0</v>
      </c>
      <c r="U60" s="41">
        <v>0</v>
      </c>
      <c r="V60" s="41">
        <v>0</v>
      </c>
      <c r="W60" s="41">
        <v>0</v>
      </c>
      <c r="X60" s="41">
        <v>9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41">
        <v>0</v>
      </c>
      <c r="AE60" s="41">
        <v>0</v>
      </c>
      <c r="AF60" s="41">
        <v>36</v>
      </c>
      <c r="AG60" s="41">
        <v>0</v>
      </c>
      <c r="AH60" s="41">
        <v>9.0000000000000011E-3</v>
      </c>
      <c r="AI60" s="41">
        <v>0</v>
      </c>
      <c r="AJ60" s="41">
        <v>0</v>
      </c>
      <c r="AK60" s="113">
        <v>20025</v>
      </c>
      <c r="AL60" s="41">
        <v>4</v>
      </c>
      <c r="AM60" s="41">
        <f>INDEX(Sheet5!$B$19:$G$33,MATCH(Sheet1!AQ60,Sheet5!$A$19:$A$33,0),MATCH(J60,Sheet5!$B$18:$G$18,0))</f>
        <v>12000</v>
      </c>
      <c r="AN60" s="41" t="s">
        <v>48</v>
      </c>
      <c r="AO60" s="41" t="s">
        <v>724</v>
      </c>
      <c r="AP60" s="41">
        <v>20844</v>
      </c>
      <c r="AQ60" s="13">
        <v>120</v>
      </c>
    </row>
    <row r="61" spans="1:43" ht="16.5">
      <c r="A61" s="41">
        <v>2153</v>
      </c>
      <c r="B61" s="81" t="s">
        <v>1713</v>
      </c>
      <c r="C61" s="41" t="s">
        <v>1507</v>
      </c>
      <c r="D61" s="41" t="s">
        <v>707</v>
      </c>
      <c r="E61" s="42">
        <v>11040</v>
      </c>
      <c r="F61" s="41">
        <v>10000</v>
      </c>
      <c r="G61" s="41">
        <v>300</v>
      </c>
      <c r="H61" s="41">
        <v>50</v>
      </c>
      <c r="I61" s="41" t="s">
        <v>159</v>
      </c>
      <c r="J61" s="41">
        <v>6</v>
      </c>
      <c r="K61" s="41">
        <v>20</v>
      </c>
      <c r="L61" s="41">
        <v>60</v>
      </c>
      <c r="M61" s="41">
        <v>0</v>
      </c>
      <c r="N61" s="41">
        <v>0</v>
      </c>
      <c r="O61" s="41">
        <v>0</v>
      </c>
      <c r="P61">
        <v>16640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0</v>
      </c>
      <c r="W61" s="41">
        <v>0</v>
      </c>
      <c r="X61" s="41">
        <v>9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41">
        <v>0</v>
      </c>
      <c r="AE61" s="41">
        <v>0</v>
      </c>
      <c r="AF61" s="41">
        <v>36</v>
      </c>
      <c r="AG61" s="41">
        <v>0</v>
      </c>
      <c r="AH61" s="41">
        <v>9.0000000000000011E-3</v>
      </c>
      <c r="AI61" s="41">
        <v>0</v>
      </c>
      <c r="AJ61" s="41">
        <v>0</v>
      </c>
      <c r="AK61" s="113">
        <v>20026</v>
      </c>
      <c r="AL61" s="41">
        <v>4</v>
      </c>
      <c r="AM61" s="41">
        <f>INDEX(Sheet5!$B$19:$G$33,MATCH(Sheet1!AQ61,Sheet5!$A$19:$A$33,0),MATCH(J61,Sheet5!$B$18:$G$18,0))</f>
        <v>13000</v>
      </c>
      <c r="AN61" s="41" t="s">
        <v>48</v>
      </c>
      <c r="AO61" s="41" t="s">
        <v>724</v>
      </c>
      <c r="AP61" s="41">
        <v>20845</v>
      </c>
      <c r="AQ61" s="13">
        <v>130</v>
      </c>
    </row>
    <row r="62" spans="1:43" ht="16.5">
      <c r="A62" s="41">
        <v>2154</v>
      </c>
      <c r="B62" s="81" t="s">
        <v>1714</v>
      </c>
      <c r="C62" s="41" t="s">
        <v>1507</v>
      </c>
      <c r="D62" s="41" t="s">
        <v>707</v>
      </c>
      <c r="E62" s="42">
        <v>11040</v>
      </c>
      <c r="F62" s="41">
        <v>10000</v>
      </c>
      <c r="G62" s="41">
        <v>300</v>
      </c>
      <c r="H62" s="41">
        <v>50</v>
      </c>
      <c r="I62" s="41" t="s">
        <v>159</v>
      </c>
      <c r="J62" s="41">
        <v>6</v>
      </c>
      <c r="K62" s="41">
        <v>20</v>
      </c>
      <c r="L62" s="41">
        <v>60</v>
      </c>
      <c r="M62" s="41">
        <v>0</v>
      </c>
      <c r="N62" s="41">
        <v>0</v>
      </c>
      <c r="O62" s="41">
        <v>0</v>
      </c>
      <c r="P62">
        <v>17920</v>
      </c>
      <c r="Q62" s="41">
        <v>0</v>
      </c>
      <c r="R62" s="41">
        <v>0</v>
      </c>
      <c r="S62" s="41">
        <v>0</v>
      </c>
      <c r="T62" s="41">
        <v>0</v>
      </c>
      <c r="U62" s="41">
        <v>0</v>
      </c>
      <c r="V62" s="41">
        <v>0</v>
      </c>
      <c r="W62" s="41">
        <v>0</v>
      </c>
      <c r="X62" s="41">
        <v>9</v>
      </c>
      <c r="Y62" s="41">
        <v>0</v>
      </c>
      <c r="Z62" s="41">
        <v>0</v>
      </c>
      <c r="AA62" s="41">
        <v>0</v>
      </c>
      <c r="AB62" s="41">
        <v>0</v>
      </c>
      <c r="AC62" s="41">
        <v>0</v>
      </c>
      <c r="AD62" s="41">
        <v>0</v>
      </c>
      <c r="AE62" s="41">
        <v>0</v>
      </c>
      <c r="AF62" s="41">
        <v>36</v>
      </c>
      <c r="AG62" s="41">
        <v>0</v>
      </c>
      <c r="AH62" s="41">
        <v>9.0000000000000011E-3</v>
      </c>
      <c r="AI62" s="41">
        <v>0</v>
      </c>
      <c r="AJ62" s="41">
        <v>0</v>
      </c>
      <c r="AK62" s="113">
        <v>20027</v>
      </c>
      <c r="AL62" s="41">
        <v>4</v>
      </c>
      <c r="AM62" s="41">
        <f>INDEX(Sheet5!$B$19:$G$33,MATCH(Sheet1!AQ62,Sheet5!$A$19:$A$33,0),MATCH(J62,Sheet5!$B$18:$G$18,0))</f>
        <v>14000</v>
      </c>
      <c r="AN62" s="41" t="s">
        <v>48</v>
      </c>
      <c r="AO62" s="41" t="s">
        <v>724</v>
      </c>
      <c r="AP62" s="41">
        <v>20846</v>
      </c>
      <c r="AQ62" s="13">
        <v>140</v>
      </c>
    </row>
    <row r="63" spans="1:43" ht="16.5">
      <c r="A63" s="41">
        <v>2155</v>
      </c>
      <c r="B63" s="81" t="s">
        <v>1715</v>
      </c>
      <c r="C63" s="41" t="s">
        <v>1507</v>
      </c>
      <c r="D63" s="41" t="s">
        <v>707</v>
      </c>
      <c r="E63" s="42">
        <v>11040</v>
      </c>
      <c r="F63" s="41">
        <v>10000</v>
      </c>
      <c r="G63" s="41">
        <v>300</v>
      </c>
      <c r="H63" s="41">
        <v>50</v>
      </c>
      <c r="I63" s="41" t="s">
        <v>159</v>
      </c>
      <c r="J63" s="41">
        <v>6</v>
      </c>
      <c r="K63" s="41">
        <v>20</v>
      </c>
      <c r="L63" s="41">
        <v>60</v>
      </c>
      <c r="M63" s="41">
        <v>0</v>
      </c>
      <c r="N63" s="41">
        <v>0</v>
      </c>
      <c r="O63" s="41">
        <v>0</v>
      </c>
      <c r="P63">
        <v>19200</v>
      </c>
      <c r="Q63" s="41">
        <v>0</v>
      </c>
      <c r="R63" s="41">
        <v>0</v>
      </c>
      <c r="S63" s="41">
        <v>0</v>
      </c>
      <c r="T63" s="41">
        <v>0</v>
      </c>
      <c r="U63" s="41">
        <v>0</v>
      </c>
      <c r="V63" s="41">
        <v>0</v>
      </c>
      <c r="W63" s="41">
        <v>0</v>
      </c>
      <c r="X63" s="41">
        <v>9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41">
        <v>0</v>
      </c>
      <c r="AE63" s="41">
        <v>0</v>
      </c>
      <c r="AF63" s="41">
        <v>36</v>
      </c>
      <c r="AG63" s="41">
        <v>0</v>
      </c>
      <c r="AH63" s="41">
        <v>9.0000000000000011E-3</v>
      </c>
      <c r="AI63" s="41">
        <v>0</v>
      </c>
      <c r="AJ63" s="41">
        <v>0</v>
      </c>
      <c r="AK63" s="113">
        <v>20028</v>
      </c>
      <c r="AL63" s="41">
        <v>4</v>
      </c>
      <c r="AM63" s="41">
        <f>INDEX(Sheet5!$B$19:$G$33,MATCH(Sheet1!AQ63,Sheet5!$A$19:$A$33,0),MATCH(J63,Sheet5!$B$18:$G$18,0))</f>
        <v>15000</v>
      </c>
      <c r="AN63" s="41" t="s">
        <v>48</v>
      </c>
      <c r="AO63" s="41" t="s">
        <v>724</v>
      </c>
      <c r="AP63" s="41">
        <v>20847</v>
      </c>
      <c r="AQ63" s="13">
        <v>150</v>
      </c>
    </row>
    <row r="64" spans="1:43" ht="16.5">
      <c r="A64" s="41">
        <v>2156</v>
      </c>
      <c r="B64" s="37" t="s">
        <v>1716</v>
      </c>
      <c r="C64" s="37" t="s">
        <v>168</v>
      </c>
      <c r="D64" s="37" t="s">
        <v>130</v>
      </c>
      <c r="E64" s="38">
        <v>11033</v>
      </c>
      <c r="F64" s="37">
        <v>10000</v>
      </c>
      <c r="G64" s="37">
        <v>300</v>
      </c>
      <c r="H64" s="37">
        <v>50</v>
      </c>
      <c r="I64" s="37" t="s">
        <v>718</v>
      </c>
      <c r="J64" s="37">
        <v>5</v>
      </c>
      <c r="K64" s="16">
        <v>16</v>
      </c>
      <c r="L64" s="37">
        <v>40</v>
      </c>
      <c r="M64" s="37">
        <v>0</v>
      </c>
      <c r="N64" s="37">
        <v>0</v>
      </c>
      <c r="O64">
        <v>640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7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28</v>
      </c>
      <c r="AF64" s="37">
        <v>0</v>
      </c>
      <c r="AG64" s="37">
        <v>0</v>
      </c>
      <c r="AH64" s="37">
        <v>0</v>
      </c>
      <c r="AI64" s="39">
        <v>0</v>
      </c>
      <c r="AJ64" s="37">
        <v>1.4E-2</v>
      </c>
      <c r="AK64" s="114">
        <v>20029</v>
      </c>
      <c r="AL64" s="37">
        <v>2</v>
      </c>
      <c r="AM64" s="41">
        <f>INDEX(Sheet5!$B$19:$G$33,MATCH(Sheet1!AQ64,Sheet5!$A$19:$A$33,0),MATCH(J64,Sheet5!$B$18:$G$18,0))</f>
        <v>500</v>
      </c>
      <c r="AN64" s="37" t="s">
        <v>48</v>
      </c>
      <c r="AO64" s="37" t="s">
        <v>753</v>
      </c>
      <c r="AP64" s="37">
        <v>1691</v>
      </c>
      <c r="AQ64" s="13">
        <v>10</v>
      </c>
    </row>
    <row r="65" spans="1:43" ht="16.5">
      <c r="A65" s="41">
        <v>2157</v>
      </c>
      <c r="B65" s="37" t="s">
        <v>1717</v>
      </c>
      <c r="C65" s="37" t="s">
        <v>168</v>
      </c>
      <c r="D65" s="37" t="s">
        <v>130</v>
      </c>
      <c r="E65" s="38">
        <v>11033</v>
      </c>
      <c r="F65" s="37">
        <v>10000</v>
      </c>
      <c r="G65" s="37">
        <v>300</v>
      </c>
      <c r="H65" s="37">
        <v>50</v>
      </c>
      <c r="I65" s="37" t="s">
        <v>718</v>
      </c>
      <c r="J65" s="37">
        <v>5</v>
      </c>
      <c r="K65" s="16">
        <v>16</v>
      </c>
      <c r="L65" s="37">
        <v>40</v>
      </c>
      <c r="M65" s="37">
        <v>0</v>
      </c>
      <c r="N65" s="37">
        <v>0</v>
      </c>
      <c r="O65">
        <v>1280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7</v>
      </c>
      <c r="X65" s="37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28</v>
      </c>
      <c r="AF65" s="37">
        <v>0</v>
      </c>
      <c r="AG65" s="37">
        <v>0</v>
      </c>
      <c r="AH65" s="37">
        <v>0</v>
      </c>
      <c r="AI65" s="39">
        <v>0</v>
      </c>
      <c r="AJ65" s="37">
        <v>1.4E-2</v>
      </c>
      <c r="AK65" s="114">
        <v>20030</v>
      </c>
      <c r="AL65" s="37">
        <v>2</v>
      </c>
      <c r="AM65" s="41">
        <f>INDEX(Sheet5!$B$19:$G$33,MATCH(Sheet1!AQ65,Sheet5!$A$19:$A$33,0),MATCH(J65,Sheet5!$B$18:$G$18,0))</f>
        <v>1000</v>
      </c>
      <c r="AN65" s="37" t="s">
        <v>48</v>
      </c>
      <c r="AO65" s="37" t="s">
        <v>753</v>
      </c>
      <c r="AP65" s="37">
        <v>1692</v>
      </c>
      <c r="AQ65" s="13">
        <v>20</v>
      </c>
    </row>
    <row r="66" spans="1:43" ht="16.5">
      <c r="A66" s="41">
        <v>2158</v>
      </c>
      <c r="B66" s="37" t="s">
        <v>1718</v>
      </c>
      <c r="C66" s="37" t="s">
        <v>168</v>
      </c>
      <c r="D66" s="37" t="s">
        <v>130</v>
      </c>
      <c r="E66" s="38">
        <v>11033</v>
      </c>
      <c r="F66" s="37">
        <v>10000</v>
      </c>
      <c r="G66" s="37">
        <v>300</v>
      </c>
      <c r="H66" s="37">
        <v>50</v>
      </c>
      <c r="I66" s="37" t="s">
        <v>718</v>
      </c>
      <c r="J66" s="37">
        <v>5</v>
      </c>
      <c r="K66" s="16">
        <v>16</v>
      </c>
      <c r="L66" s="37">
        <v>40</v>
      </c>
      <c r="M66" s="37">
        <v>0</v>
      </c>
      <c r="N66" s="37">
        <v>0</v>
      </c>
      <c r="O66">
        <v>1920</v>
      </c>
      <c r="P66" s="37">
        <v>0</v>
      </c>
      <c r="Q66" s="37">
        <v>0</v>
      </c>
      <c r="R66" s="37">
        <v>0</v>
      </c>
      <c r="S66" s="37">
        <v>0</v>
      </c>
      <c r="T66" s="37">
        <v>0</v>
      </c>
      <c r="U66" s="37">
        <v>0</v>
      </c>
      <c r="V66" s="37">
        <v>0</v>
      </c>
      <c r="W66" s="37">
        <v>7</v>
      </c>
      <c r="X66" s="37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28</v>
      </c>
      <c r="AF66" s="37">
        <v>0</v>
      </c>
      <c r="AG66" s="37">
        <v>0</v>
      </c>
      <c r="AH66" s="37">
        <v>0</v>
      </c>
      <c r="AI66" s="39">
        <v>0</v>
      </c>
      <c r="AJ66" s="37">
        <v>1.4E-2</v>
      </c>
      <c r="AK66" s="114">
        <v>20031</v>
      </c>
      <c r="AL66" s="37">
        <v>2</v>
      </c>
      <c r="AM66" s="41">
        <f>INDEX(Sheet5!$B$19:$G$33,MATCH(Sheet1!AQ66,Sheet5!$A$19:$A$33,0),MATCH(J66,Sheet5!$B$18:$G$18,0))</f>
        <v>1500</v>
      </c>
      <c r="AN66" s="37" t="s">
        <v>48</v>
      </c>
      <c r="AO66" s="37" t="s">
        <v>753</v>
      </c>
      <c r="AP66" s="37">
        <v>1693</v>
      </c>
      <c r="AQ66" s="13">
        <v>30</v>
      </c>
    </row>
    <row r="67" spans="1:43" ht="16.5">
      <c r="A67" s="41">
        <v>2159</v>
      </c>
      <c r="B67" s="37" t="s">
        <v>1719</v>
      </c>
      <c r="C67" s="37" t="s">
        <v>168</v>
      </c>
      <c r="D67" s="37" t="s">
        <v>130</v>
      </c>
      <c r="E67" s="38">
        <v>11033</v>
      </c>
      <c r="F67" s="37">
        <v>10000</v>
      </c>
      <c r="G67" s="37">
        <v>300</v>
      </c>
      <c r="H67" s="37">
        <v>50</v>
      </c>
      <c r="I67" s="37" t="s">
        <v>718</v>
      </c>
      <c r="J67" s="37">
        <v>5</v>
      </c>
      <c r="K67" s="16">
        <v>16</v>
      </c>
      <c r="L67" s="37">
        <v>40</v>
      </c>
      <c r="M67" s="37">
        <v>0</v>
      </c>
      <c r="N67" s="37">
        <v>0</v>
      </c>
      <c r="O67">
        <v>2560</v>
      </c>
      <c r="P67" s="37">
        <v>0</v>
      </c>
      <c r="Q67" s="37">
        <v>0</v>
      </c>
      <c r="R67" s="37">
        <v>0</v>
      </c>
      <c r="S67" s="37">
        <v>0</v>
      </c>
      <c r="T67" s="37">
        <v>0</v>
      </c>
      <c r="U67" s="37">
        <v>0</v>
      </c>
      <c r="V67" s="37">
        <v>0</v>
      </c>
      <c r="W67" s="37">
        <v>7</v>
      </c>
      <c r="X67" s="37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28</v>
      </c>
      <c r="AF67" s="37">
        <v>0</v>
      </c>
      <c r="AG67" s="37">
        <v>0</v>
      </c>
      <c r="AH67" s="37">
        <v>0</v>
      </c>
      <c r="AI67" s="39">
        <v>0</v>
      </c>
      <c r="AJ67" s="37">
        <v>1.4E-2</v>
      </c>
      <c r="AK67" s="114">
        <v>20032</v>
      </c>
      <c r="AL67" s="37">
        <v>2</v>
      </c>
      <c r="AM67" s="41">
        <f>INDEX(Sheet5!$B$19:$G$33,MATCH(Sheet1!AQ67,Sheet5!$A$19:$A$33,0),MATCH(J67,Sheet5!$B$18:$G$18,0))</f>
        <v>2000</v>
      </c>
      <c r="AN67" s="37" t="s">
        <v>48</v>
      </c>
      <c r="AO67" s="37" t="s">
        <v>753</v>
      </c>
      <c r="AP67" s="37">
        <v>1694</v>
      </c>
      <c r="AQ67" s="13">
        <v>40</v>
      </c>
    </row>
    <row r="68" spans="1:43" s="87" customFormat="1" ht="16.5">
      <c r="A68" s="88">
        <v>2069</v>
      </c>
      <c r="B68" s="88" t="s">
        <v>1720</v>
      </c>
      <c r="C68" s="88" t="s">
        <v>168</v>
      </c>
      <c r="D68" s="88" t="s">
        <v>130</v>
      </c>
      <c r="E68" s="89">
        <v>11033</v>
      </c>
      <c r="F68" s="88">
        <v>10000</v>
      </c>
      <c r="G68" s="88">
        <v>300</v>
      </c>
      <c r="H68" s="88">
        <v>50</v>
      </c>
      <c r="I68" s="88" t="s">
        <v>718</v>
      </c>
      <c r="J68" s="88">
        <v>5</v>
      </c>
      <c r="K68" s="88">
        <v>16</v>
      </c>
      <c r="L68" s="88">
        <v>40</v>
      </c>
      <c r="M68" s="88">
        <v>0</v>
      </c>
      <c r="N68" s="88">
        <v>0</v>
      </c>
      <c r="O68">
        <v>3200</v>
      </c>
      <c r="P68" s="88">
        <v>0</v>
      </c>
      <c r="Q68" s="88">
        <v>0</v>
      </c>
      <c r="R68" s="88">
        <v>0</v>
      </c>
      <c r="S68" s="88">
        <v>0</v>
      </c>
      <c r="T68" s="88">
        <v>0</v>
      </c>
      <c r="U68" s="88">
        <v>0</v>
      </c>
      <c r="V68" s="88">
        <v>0</v>
      </c>
      <c r="W68" s="88">
        <v>7</v>
      </c>
      <c r="X68" s="88">
        <v>0</v>
      </c>
      <c r="Y68" s="88">
        <v>0</v>
      </c>
      <c r="Z68" s="88">
        <v>0</v>
      </c>
      <c r="AA68" s="88">
        <v>0</v>
      </c>
      <c r="AB68" s="88">
        <v>0</v>
      </c>
      <c r="AC68" s="88">
        <v>0</v>
      </c>
      <c r="AD68" s="88">
        <v>0</v>
      </c>
      <c r="AE68" s="88">
        <v>28</v>
      </c>
      <c r="AF68" s="88">
        <v>0</v>
      </c>
      <c r="AG68" s="88">
        <v>0</v>
      </c>
      <c r="AH68" s="88">
        <v>0</v>
      </c>
      <c r="AI68" s="90">
        <v>0</v>
      </c>
      <c r="AJ68" s="88">
        <v>1.4E-2</v>
      </c>
      <c r="AK68" s="114">
        <v>20033</v>
      </c>
      <c r="AL68" s="88">
        <v>2</v>
      </c>
      <c r="AM68" s="41">
        <f>INDEX(Sheet5!$B$19:$G$33,MATCH(Sheet1!AQ68,Sheet5!$A$19:$A$33,0),MATCH(J68,Sheet5!$B$18:$G$18,0))</f>
        <v>2500</v>
      </c>
      <c r="AN68" s="88" t="s">
        <v>1486</v>
      </c>
      <c r="AO68" s="88" t="s">
        <v>753</v>
      </c>
      <c r="AP68" s="88">
        <v>2069</v>
      </c>
      <c r="AQ68" s="13">
        <v>50</v>
      </c>
    </row>
    <row r="69" spans="1:43" ht="16.5">
      <c r="A69" s="37">
        <v>2160</v>
      </c>
      <c r="B69" s="37" t="s">
        <v>1721</v>
      </c>
      <c r="C69" s="37" t="s">
        <v>168</v>
      </c>
      <c r="D69" s="37" t="s">
        <v>130</v>
      </c>
      <c r="E69" s="38">
        <v>11033</v>
      </c>
      <c r="F69" s="37">
        <v>10000</v>
      </c>
      <c r="G69" s="37">
        <v>300</v>
      </c>
      <c r="H69" s="37">
        <v>50</v>
      </c>
      <c r="I69" s="37" t="s">
        <v>718</v>
      </c>
      <c r="J69" s="37">
        <v>5</v>
      </c>
      <c r="K69" s="16">
        <v>16</v>
      </c>
      <c r="L69" s="37">
        <v>40</v>
      </c>
      <c r="M69" s="37">
        <v>0</v>
      </c>
      <c r="N69" s="37">
        <v>0</v>
      </c>
      <c r="O69">
        <v>3840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7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28</v>
      </c>
      <c r="AF69" s="37">
        <v>0</v>
      </c>
      <c r="AG69" s="37">
        <v>0</v>
      </c>
      <c r="AH69" s="37">
        <v>0</v>
      </c>
      <c r="AI69" s="39">
        <v>0</v>
      </c>
      <c r="AJ69" s="37">
        <v>1.4E-2</v>
      </c>
      <c r="AK69" s="114">
        <v>20034</v>
      </c>
      <c r="AL69" s="37">
        <v>2</v>
      </c>
      <c r="AM69" s="41">
        <f>INDEX(Sheet5!$B$19:$G$33,MATCH(Sheet1!AQ69,Sheet5!$A$19:$A$33,0),MATCH(J69,Sheet5!$B$18:$G$18,0))</f>
        <v>3000</v>
      </c>
      <c r="AN69" s="37" t="s">
        <v>48</v>
      </c>
      <c r="AO69" s="37" t="s">
        <v>753</v>
      </c>
      <c r="AP69" s="37">
        <v>20691</v>
      </c>
      <c r="AQ69" s="13">
        <v>60</v>
      </c>
    </row>
    <row r="70" spans="1:43" ht="16.5">
      <c r="A70" s="37">
        <v>2161</v>
      </c>
      <c r="B70" s="37" t="s">
        <v>1722</v>
      </c>
      <c r="C70" s="37" t="s">
        <v>168</v>
      </c>
      <c r="D70" s="37" t="s">
        <v>130</v>
      </c>
      <c r="E70" s="38">
        <v>11033</v>
      </c>
      <c r="F70" s="37">
        <v>10000</v>
      </c>
      <c r="G70" s="37">
        <v>300</v>
      </c>
      <c r="H70" s="37">
        <v>50</v>
      </c>
      <c r="I70" s="37" t="s">
        <v>718</v>
      </c>
      <c r="J70" s="37">
        <v>5</v>
      </c>
      <c r="K70" s="16">
        <v>16</v>
      </c>
      <c r="L70" s="37">
        <v>40</v>
      </c>
      <c r="M70" s="37">
        <v>0</v>
      </c>
      <c r="N70" s="37">
        <v>0</v>
      </c>
      <c r="O70">
        <v>4480</v>
      </c>
      <c r="P70" s="37">
        <v>0</v>
      </c>
      <c r="Q70" s="37">
        <v>0</v>
      </c>
      <c r="R70" s="37">
        <v>0</v>
      </c>
      <c r="S70" s="37">
        <v>0</v>
      </c>
      <c r="T70" s="37">
        <v>0</v>
      </c>
      <c r="U70" s="37">
        <v>0</v>
      </c>
      <c r="V70" s="37">
        <v>0</v>
      </c>
      <c r="W70" s="37">
        <v>7</v>
      </c>
      <c r="X70" s="37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28</v>
      </c>
      <c r="AF70" s="37">
        <v>0</v>
      </c>
      <c r="AG70" s="37">
        <v>0</v>
      </c>
      <c r="AH70" s="37">
        <v>0</v>
      </c>
      <c r="AI70" s="39">
        <v>0</v>
      </c>
      <c r="AJ70" s="37">
        <v>1.4E-2</v>
      </c>
      <c r="AK70" s="114">
        <v>20035</v>
      </c>
      <c r="AL70" s="37">
        <v>2</v>
      </c>
      <c r="AM70" s="41">
        <f>INDEX(Sheet5!$B$19:$G$33,MATCH(Sheet1!AQ70,Sheet5!$A$19:$A$33,0),MATCH(J70,Sheet5!$B$18:$G$18,0))</f>
        <v>3500</v>
      </c>
      <c r="AN70" s="37" t="s">
        <v>48</v>
      </c>
      <c r="AO70" s="37" t="s">
        <v>753</v>
      </c>
      <c r="AP70" s="37">
        <v>20692</v>
      </c>
      <c r="AQ70" s="13">
        <v>70</v>
      </c>
    </row>
    <row r="71" spans="1:43" ht="16.5">
      <c r="A71" s="37">
        <v>2162</v>
      </c>
      <c r="B71" s="37" t="s">
        <v>1723</v>
      </c>
      <c r="C71" s="37" t="s">
        <v>168</v>
      </c>
      <c r="D71" s="37" t="s">
        <v>130</v>
      </c>
      <c r="E71" s="38">
        <v>11033</v>
      </c>
      <c r="F71" s="37">
        <v>10000</v>
      </c>
      <c r="G71" s="37">
        <v>300</v>
      </c>
      <c r="H71" s="37">
        <v>50</v>
      </c>
      <c r="I71" s="37" t="s">
        <v>718</v>
      </c>
      <c r="J71" s="37">
        <v>5</v>
      </c>
      <c r="K71" s="16">
        <v>16</v>
      </c>
      <c r="L71" s="37">
        <v>40</v>
      </c>
      <c r="M71" s="37">
        <v>0</v>
      </c>
      <c r="N71" s="37">
        <v>0</v>
      </c>
      <c r="O71">
        <v>5120</v>
      </c>
      <c r="P71" s="37">
        <v>0</v>
      </c>
      <c r="Q71" s="37">
        <v>0</v>
      </c>
      <c r="R71" s="37">
        <v>0</v>
      </c>
      <c r="S71" s="37">
        <v>0</v>
      </c>
      <c r="T71" s="37">
        <v>0</v>
      </c>
      <c r="U71" s="37">
        <v>0</v>
      </c>
      <c r="V71" s="37">
        <v>0</v>
      </c>
      <c r="W71" s="37">
        <v>7</v>
      </c>
      <c r="X71" s="37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28</v>
      </c>
      <c r="AF71" s="37">
        <v>0</v>
      </c>
      <c r="AG71" s="37">
        <v>0</v>
      </c>
      <c r="AH71" s="37">
        <v>0</v>
      </c>
      <c r="AI71" s="39">
        <v>0</v>
      </c>
      <c r="AJ71" s="37">
        <v>1.4E-2</v>
      </c>
      <c r="AK71" s="114">
        <v>20036</v>
      </c>
      <c r="AL71" s="37">
        <v>2</v>
      </c>
      <c r="AM71" s="41">
        <f>INDEX(Sheet5!$B$19:$G$33,MATCH(Sheet1!AQ71,Sheet5!$A$19:$A$33,0),MATCH(J71,Sheet5!$B$18:$G$18,0))</f>
        <v>4000</v>
      </c>
      <c r="AN71" s="37" t="s">
        <v>48</v>
      </c>
      <c r="AO71" s="37" t="s">
        <v>753</v>
      </c>
      <c r="AP71" s="37">
        <v>20693</v>
      </c>
      <c r="AQ71" s="13">
        <v>80</v>
      </c>
    </row>
    <row r="72" spans="1:43" ht="16.5">
      <c r="A72" s="37">
        <v>2163</v>
      </c>
      <c r="B72" s="37" t="s">
        <v>1724</v>
      </c>
      <c r="C72" s="37" t="s">
        <v>168</v>
      </c>
      <c r="D72" s="37" t="s">
        <v>130</v>
      </c>
      <c r="E72" s="38">
        <v>11033</v>
      </c>
      <c r="F72" s="37">
        <v>10000</v>
      </c>
      <c r="G72" s="37">
        <v>300</v>
      </c>
      <c r="H72" s="37">
        <v>50</v>
      </c>
      <c r="I72" s="37" t="s">
        <v>718</v>
      </c>
      <c r="J72" s="37">
        <v>5</v>
      </c>
      <c r="K72" s="16">
        <v>16</v>
      </c>
      <c r="L72" s="37">
        <v>40</v>
      </c>
      <c r="M72" s="37">
        <v>0</v>
      </c>
      <c r="N72" s="37">
        <v>0</v>
      </c>
      <c r="O72">
        <v>5760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7</v>
      </c>
      <c r="X72" s="37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28</v>
      </c>
      <c r="AF72" s="37">
        <v>0</v>
      </c>
      <c r="AG72" s="37">
        <v>0</v>
      </c>
      <c r="AH72" s="37">
        <v>0</v>
      </c>
      <c r="AI72" s="39">
        <v>0</v>
      </c>
      <c r="AJ72" s="37">
        <v>1.4E-2</v>
      </c>
      <c r="AK72" s="114">
        <v>20037</v>
      </c>
      <c r="AL72" s="37">
        <v>2</v>
      </c>
      <c r="AM72" s="41">
        <f>INDEX(Sheet5!$B$19:$G$33,MATCH(Sheet1!AQ72,Sheet5!$A$19:$A$33,0),MATCH(J72,Sheet5!$B$18:$G$18,0))</f>
        <v>4500</v>
      </c>
      <c r="AN72" s="37" t="s">
        <v>48</v>
      </c>
      <c r="AO72" s="37" t="s">
        <v>753</v>
      </c>
      <c r="AP72" s="37">
        <v>20694</v>
      </c>
      <c r="AQ72" s="13">
        <v>90</v>
      </c>
    </row>
    <row r="73" spans="1:43" ht="16.5">
      <c r="A73" s="37">
        <v>2164</v>
      </c>
      <c r="B73" s="37" t="s">
        <v>1725</v>
      </c>
      <c r="C73" s="37" t="s">
        <v>168</v>
      </c>
      <c r="D73" s="37" t="s">
        <v>130</v>
      </c>
      <c r="E73" s="38">
        <v>11033</v>
      </c>
      <c r="F73" s="37">
        <v>10000</v>
      </c>
      <c r="G73" s="37">
        <v>300</v>
      </c>
      <c r="H73" s="37">
        <v>50</v>
      </c>
      <c r="I73" s="37" t="s">
        <v>718</v>
      </c>
      <c r="J73" s="37">
        <v>5</v>
      </c>
      <c r="K73" s="16">
        <v>16</v>
      </c>
      <c r="L73" s="37">
        <v>40</v>
      </c>
      <c r="M73" s="37">
        <v>0</v>
      </c>
      <c r="N73" s="37">
        <v>0</v>
      </c>
      <c r="O73">
        <v>6400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7</v>
      </c>
      <c r="X73" s="37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28</v>
      </c>
      <c r="AF73" s="37">
        <v>0</v>
      </c>
      <c r="AG73" s="37">
        <v>0</v>
      </c>
      <c r="AH73" s="37">
        <v>0</v>
      </c>
      <c r="AI73" s="39">
        <v>0</v>
      </c>
      <c r="AJ73" s="37">
        <v>1.4E-2</v>
      </c>
      <c r="AK73" s="114">
        <v>20038</v>
      </c>
      <c r="AL73" s="37">
        <v>2</v>
      </c>
      <c r="AM73" s="41">
        <f>INDEX(Sheet5!$B$19:$G$33,MATCH(Sheet1!AQ73,Sheet5!$A$19:$A$33,0),MATCH(J73,Sheet5!$B$18:$G$18,0))</f>
        <v>5000</v>
      </c>
      <c r="AN73" s="37" t="s">
        <v>48</v>
      </c>
      <c r="AO73" s="37" t="s">
        <v>753</v>
      </c>
      <c r="AP73" s="37">
        <v>20695</v>
      </c>
      <c r="AQ73" s="13">
        <v>100</v>
      </c>
    </row>
    <row r="74" spans="1:43" ht="16.5">
      <c r="A74" s="37">
        <v>2165</v>
      </c>
      <c r="B74" s="37" t="s">
        <v>1726</v>
      </c>
      <c r="C74" s="37" t="s">
        <v>168</v>
      </c>
      <c r="D74" s="37" t="s">
        <v>130</v>
      </c>
      <c r="E74" s="38">
        <v>11033</v>
      </c>
      <c r="F74" s="37">
        <v>10000</v>
      </c>
      <c r="G74" s="37">
        <v>300</v>
      </c>
      <c r="H74" s="37">
        <v>50</v>
      </c>
      <c r="I74" s="37" t="s">
        <v>718</v>
      </c>
      <c r="J74" s="37">
        <v>5</v>
      </c>
      <c r="K74" s="16">
        <v>16</v>
      </c>
      <c r="L74" s="37">
        <v>40</v>
      </c>
      <c r="M74" s="37">
        <v>0</v>
      </c>
      <c r="N74" s="37">
        <v>0</v>
      </c>
      <c r="O74">
        <v>7040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7</v>
      </c>
      <c r="X74" s="37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28</v>
      </c>
      <c r="AF74" s="37">
        <v>0</v>
      </c>
      <c r="AG74" s="37">
        <v>0</v>
      </c>
      <c r="AH74" s="37">
        <v>0</v>
      </c>
      <c r="AI74" s="39">
        <v>0</v>
      </c>
      <c r="AJ74" s="37">
        <v>1.4E-2</v>
      </c>
      <c r="AK74" s="114">
        <v>20039</v>
      </c>
      <c r="AL74" s="37">
        <v>2</v>
      </c>
      <c r="AM74" s="41">
        <f>INDEX(Sheet5!$B$19:$G$33,MATCH(Sheet1!AQ74,Sheet5!$A$19:$A$33,0),MATCH(J74,Sheet5!$B$18:$G$18,0))</f>
        <v>5500</v>
      </c>
      <c r="AN74" s="37" t="s">
        <v>48</v>
      </c>
      <c r="AO74" s="37" t="s">
        <v>753</v>
      </c>
      <c r="AP74" s="37">
        <v>20696</v>
      </c>
      <c r="AQ74" s="13">
        <v>110</v>
      </c>
    </row>
    <row r="75" spans="1:43" ht="16.5">
      <c r="A75" s="37">
        <v>2166</v>
      </c>
      <c r="B75" s="37" t="s">
        <v>1727</v>
      </c>
      <c r="C75" s="37" t="s">
        <v>168</v>
      </c>
      <c r="D75" s="37" t="s">
        <v>130</v>
      </c>
      <c r="E75" s="38">
        <v>11033</v>
      </c>
      <c r="F75" s="37">
        <v>10000</v>
      </c>
      <c r="G75" s="37">
        <v>300</v>
      </c>
      <c r="H75" s="37">
        <v>50</v>
      </c>
      <c r="I75" s="37" t="s">
        <v>718</v>
      </c>
      <c r="J75" s="37">
        <v>5</v>
      </c>
      <c r="K75" s="16">
        <v>16</v>
      </c>
      <c r="L75" s="37">
        <v>40</v>
      </c>
      <c r="M75" s="37">
        <v>0</v>
      </c>
      <c r="N75" s="37">
        <v>0</v>
      </c>
      <c r="O75">
        <v>7680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7</v>
      </c>
      <c r="X75" s="37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28</v>
      </c>
      <c r="AF75" s="37">
        <v>0</v>
      </c>
      <c r="AG75" s="37">
        <v>0</v>
      </c>
      <c r="AH75" s="37">
        <v>0</v>
      </c>
      <c r="AI75" s="39">
        <v>0</v>
      </c>
      <c r="AJ75" s="37">
        <v>1.4E-2</v>
      </c>
      <c r="AK75" s="114">
        <v>20040</v>
      </c>
      <c r="AL75" s="37">
        <v>2</v>
      </c>
      <c r="AM75" s="41">
        <f>INDEX(Sheet5!$B$19:$G$33,MATCH(Sheet1!AQ75,Sheet5!$A$19:$A$33,0),MATCH(J75,Sheet5!$B$18:$G$18,0))</f>
        <v>6000</v>
      </c>
      <c r="AN75" s="37" t="s">
        <v>48</v>
      </c>
      <c r="AO75" s="37" t="s">
        <v>753</v>
      </c>
      <c r="AP75" s="37">
        <v>20697</v>
      </c>
      <c r="AQ75" s="13">
        <v>120</v>
      </c>
    </row>
    <row r="76" spans="1:43" ht="16.5">
      <c r="A76" s="37">
        <v>2167</v>
      </c>
      <c r="B76" s="37" t="s">
        <v>1728</v>
      </c>
      <c r="C76" s="37" t="s">
        <v>168</v>
      </c>
      <c r="D76" s="37" t="s">
        <v>130</v>
      </c>
      <c r="E76" s="38">
        <v>11033</v>
      </c>
      <c r="F76" s="37">
        <v>10000</v>
      </c>
      <c r="G76" s="37">
        <v>300</v>
      </c>
      <c r="H76" s="37">
        <v>50</v>
      </c>
      <c r="I76" s="37" t="s">
        <v>718</v>
      </c>
      <c r="J76" s="37">
        <v>5</v>
      </c>
      <c r="K76" s="16">
        <v>16</v>
      </c>
      <c r="L76" s="37">
        <v>40</v>
      </c>
      <c r="M76" s="37">
        <v>0</v>
      </c>
      <c r="N76" s="37">
        <v>0</v>
      </c>
      <c r="O76">
        <v>8320</v>
      </c>
      <c r="P76" s="37">
        <v>0</v>
      </c>
      <c r="Q76" s="37">
        <v>0</v>
      </c>
      <c r="R76" s="37">
        <v>0</v>
      </c>
      <c r="S76" s="37">
        <v>0</v>
      </c>
      <c r="T76" s="37">
        <v>0</v>
      </c>
      <c r="U76" s="37">
        <v>0</v>
      </c>
      <c r="V76" s="37">
        <v>0</v>
      </c>
      <c r="W76" s="37">
        <v>7</v>
      </c>
      <c r="X76" s="37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28</v>
      </c>
      <c r="AF76" s="37">
        <v>0</v>
      </c>
      <c r="AG76" s="37">
        <v>0</v>
      </c>
      <c r="AH76" s="37">
        <v>0</v>
      </c>
      <c r="AI76" s="39">
        <v>0</v>
      </c>
      <c r="AJ76" s="37">
        <v>1.4E-2</v>
      </c>
      <c r="AK76" s="114">
        <v>20041</v>
      </c>
      <c r="AL76" s="37">
        <v>2</v>
      </c>
      <c r="AM76" s="41">
        <f>INDEX(Sheet5!$B$19:$G$33,MATCH(Sheet1!AQ76,Sheet5!$A$19:$A$33,0),MATCH(J76,Sheet5!$B$18:$G$18,0))</f>
        <v>6500</v>
      </c>
      <c r="AN76" s="37" t="s">
        <v>48</v>
      </c>
      <c r="AO76" s="37" t="s">
        <v>753</v>
      </c>
      <c r="AP76" s="37">
        <v>20698</v>
      </c>
      <c r="AQ76" s="13">
        <v>130</v>
      </c>
    </row>
    <row r="77" spans="1:43" ht="16.5">
      <c r="A77" s="37">
        <v>2168</v>
      </c>
      <c r="B77" s="37" t="s">
        <v>1729</v>
      </c>
      <c r="C77" s="37" t="s">
        <v>168</v>
      </c>
      <c r="D77" s="37" t="s">
        <v>130</v>
      </c>
      <c r="E77" s="38">
        <v>11033</v>
      </c>
      <c r="F77" s="37">
        <v>10000</v>
      </c>
      <c r="G77" s="37">
        <v>300</v>
      </c>
      <c r="H77" s="37">
        <v>50</v>
      </c>
      <c r="I77" s="37" t="s">
        <v>718</v>
      </c>
      <c r="J77" s="37">
        <v>5</v>
      </c>
      <c r="K77" s="16">
        <v>16</v>
      </c>
      <c r="L77" s="37">
        <v>40</v>
      </c>
      <c r="M77" s="37">
        <v>0</v>
      </c>
      <c r="N77" s="37">
        <v>0</v>
      </c>
      <c r="O77">
        <v>8960</v>
      </c>
      <c r="P77" s="37">
        <v>0</v>
      </c>
      <c r="Q77" s="37">
        <v>0</v>
      </c>
      <c r="R77" s="37">
        <v>0</v>
      </c>
      <c r="S77" s="37">
        <v>0</v>
      </c>
      <c r="T77" s="37">
        <v>0</v>
      </c>
      <c r="U77" s="37">
        <v>0</v>
      </c>
      <c r="V77" s="37">
        <v>0</v>
      </c>
      <c r="W77" s="37">
        <v>7</v>
      </c>
      <c r="X77" s="37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28</v>
      </c>
      <c r="AF77" s="37">
        <v>0</v>
      </c>
      <c r="AG77" s="37">
        <v>0</v>
      </c>
      <c r="AH77" s="37">
        <v>0</v>
      </c>
      <c r="AI77" s="39">
        <v>0</v>
      </c>
      <c r="AJ77" s="37">
        <v>1.4E-2</v>
      </c>
      <c r="AK77" s="114">
        <v>20042</v>
      </c>
      <c r="AL77" s="37">
        <v>2</v>
      </c>
      <c r="AM77" s="41">
        <f>INDEX(Sheet5!$B$19:$G$33,MATCH(Sheet1!AQ77,Sheet5!$A$19:$A$33,0),MATCH(J77,Sheet5!$B$18:$G$18,0))</f>
        <v>7000</v>
      </c>
      <c r="AN77" s="37" t="s">
        <v>48</v>
      </c>
      <c r="AO77" s="37" t="s">
        <v>753</v>
      </c>
      <c r="AP77" s="37">
        <v>20699</v>
      </c>
      <c r="AQ77" s="13">
        <v>140</v>
      </c>
    </row>
    <row r="78" spans="1:43" ht="16.5">
      <c r="A78" s="37">
        <v>2169</v>
      </c>
      <c r="B78" s="37" t="s">
        <v>1730</v>
      </c>
      <c r="C78" s="37" t="s">
        <v>168</v>
      </c>
      <c r="D78" s="37" t="s">
        <v>130</v>
      </c>
      <c r="E78" s="38">
        <v>11033</v>
      </c>
      <c r="F78" s="37">
        <v>10000</v>
      </c>
      <c r="G78" s="37">
        <v>300</v>
      </c>
      <c r="H78" s="37">
        <v>50</v>
      </c>
      <c r="I78" s="37" t="s">
        <v>718</v>
      </c>
      <c r="J78" s="37">
        <v>5</v>
      </c>
      <c r="K78" s="16">
        <v>16</v>
      </c>
      <c r="L78" s="37">
        <v>40</v>
      </c>
      <c r="M78" s="37">
        <v>0</v>
      </c>
      <c r="N78" s="37">
        <v>0</v>
      </c>
      <c r="O78">
        <v>9600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7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28</v>
      </c>
      <c r="AF78" s="37">
        <v>0</v>
      </c>
      <c r="AG78" s="37">
        <v>0</v>
      </c>
      <c r="AH78" s="37">
        <v>0</v>
      </c>
      <c r="AI78" s="39">
        <v>0</v>
      </c>
      <c r="AJ78" s="37">
        <v>1.4E-2</v>
      </c>
      <c r="AK78" s="114">
        <v>20043</v>
      </c>
      <c r="AL78" s="37">
        <v>2</v>
      </c>
      <c r="AM78" s="41">
        <f>INDEX(Sheet5!$B$19:$G$33,MATCH(Sheet1!AQ78,Sheet5!$A$19:$A$33,0),MATCH(J78,Sheet5!$B$18:$G$18,0))</f>
        <v>7500</v>
      </c>
      <c r="AN78" s="37" t="s">
        <v>48</v>
      </c>
      <c r="AO78" s="37" t="s">
        <v>753</v>
      </c>
      <c r="AP78" s="37">
        <v>20700</v>
      </c>
      <c r="AQ78" s="13">
        <v>150</v>
      </c>
    </row>
    <row r="79" spans="1:43" ht="16.5">
      <c r="A79" s="37">
        <v>2170</v>
      </c>
      <c r="B79" s="37" t="s">
        <v>1731</v>
      </c>
      <c r="C79" s="37" t="s">
        <v>168</v>
      </c>
      <c r="D79" s="37" t="s">
        <v>132</v>
      </c>
      <c r="E79" s="38">
        <v>11034</v>
      </c>
      <c r="F79" s="37">
        <v>10000</v>
      </c>
      <c r="G79" s="37">
        <v>300</v>
      </c>
      <c r="H79" s="37">
        <v>50</v>
      </c>
      <c r="I79" s="37" t="s">
        <v>719</v>
      </c>
      <c r="J79" s="37">
        <v>5</v>
      </c>
      <c r="K79" s="16">
        <v>16</v>
      </c>
      <c r="L79" s="37">
        <v>40</v>
      </c>
      <c r="M79" s="37">
        <v>0</v>
      </c>
      <c r="N79">
        <v>1280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14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56</v>
      </c>
      <c r="AE79" s="37">
        <v>0</v>
      </c>
      <c r="AF79" s="37">
        <v>0</v>
      </c>
      <c r="AG79" s="39">
        <v>0</v>
      </c>
      <c r="AH79" s="37">
        <v>0</v>
      </c>
      <c r="AI79" s="37">
        <v>1.4E-2</v>
      </c>
      <c r="AJ79" s="37">
        <v>0</v>
      </c>
      <c r="AK79" s="115">
        <v>20029</v>
      </c>
      <c r="AL79" s="37">
        <v>1</v>
      </c>
      <c r="AM79" s="41">
        <f>INDEX(Sheet5!$B$19:$G$33,MATCH(Sheet1!AQ79,Sheet5!$A$19:$A$33,0),MATCH(J79,Sheet5!$B$18:$G$18,0))</f>
        <v>500</v>
      </c>
      <c r="AN79" s="37" t="s">
        <v>48</v>
      </c>
      <c r="AO79" s="37" t="s">
        <v>754</v>
      </c>
      <c r="AP79" s="37">
        <v>1701</v>
      </c>
      <c r="AQ79" s="13">
        <v>10</v>
      </c>
    </row>
    <row r="80" spans="1:43" ht="16.5">
      <c r="A80" s="37">
        <v>2171</v>
      </c>
      <c r="B80" s="37" t="s">
        <v>1732</v>
      </c>
      <c r="C80" s="37" t="s">
        <v>168</v>
      </c>
      <c r="D80" s="37" t="s">
        <v>132</v>
      </c>
      <c r="E80" s="38">
        <v>11034</v>
      </c>
      <c r="F80" s="37">
        <v>10000</v>
      </c>
      <c r="G80" s="37">
        <v>300</v>
      </c>
      <c r="H80" s="37">
        <v>50</v>
      </c>
      <c r="I80" s="37" t="s">
        <v>719</v>
      </c>
      <c r="J80" s="37">
        <v>5</v>
      </c>
      <c r="K80" s="16">
        <v>16</v>
      </c>
      <c r="L80" s="37">
        <v>40</v>
      </c>
      <c r="M80" s="37">
        <v>0</v>
      </c>
      <c r="N80">
        <v>2560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14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56</v>
      </c>
      <c r="AE80" s="37">
        <v>0</v>
      </c>
      <c r="AF80" s="37">
        <v>0</v>
      </c>
      <c r="AG80" s="39">
        <v>0</v>
      </c>
      <c r="AH80" s="37">
        <v>0</v>
      </c>
      <c r="AI80" s="37">
        <v>1.4E-2</v>
      </c>
      <c r="AJ80" s="37">
        <v>0</v>
      </c>
      <c r="AK80" s="115">
        <v>20030</v>
      </c>
      <c r="AL80" s="37">
        <v>1</v>
      </c>
      <c r="AM80" s="41">
        <f>INDEX(Sheet5!$B$19:$G$33,MATCH(Sheet1!AQ80,Sheet5!$A$19:$A$33,0),MATCH(J80,Sheet5!$B$18:$G$18,0))</f>
        <v>1000</v>
      </c>
      <c r="AN80" s="37" t="s">
        <v>48</v>
      </c>
      <c r="AO80" s="37" t="s">
        <v>754</v>
      </c>
      <c r="AP80" s="37">
        <v>1702</v>
      </c>
      <c r="AQ80" s="13">
        <v>20</v>
      </c>
    </row>
    <row r="81" spans="1:43" ht="16.5">
      <c r="A81" s="37">
        <v>2172</v>
      </c>
      <c r="B81" s="37" t="s">
        <v>1733</v>
      </c>
      <c r="C81" s="37" t="s">
        <v>168</v>
      </c>
      <c r="D81" s="37" t="s">
        <v>132</v>
      </c>
      <c r="E81" s="38">
        <v>11034</v>
      </c>
      <c r="F81" s="37">
        <v>10000</v>
      </c>
      <c r="G81" s="37">
        <v>300</v>
      </c>
      <c r="H81" s="37">
        <v>50</v>
      </c>
      <c r="I81" s="37" t="s">
        <v>719</v>
      </c>
      <c r="J81" s="37">
        <v>5</v>
      </c>
      <c r="K81" s="16">
        <v>16</v>
      </c>
      <c r="L81" s="37">
        <v>40</v>
      </c>
      <c r="M81" s="37">
        <v>0</v>
      </c>
      <c r="N81">
        <v>3840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14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56</v>
      </c>
      <c r="AE81" s="37">
        <v>0</v>
      </c>
      <c r="AF81" s="37">
        <v>0</v>
      </c>
      <c r="AG81" s="39">
        <v>0</v>
      </c>
      <c r="AH81" s="37">
        <v>0</v>
      </c>
      <c r="AI81" s="37">
        <v>1.4E-2</v>
      </c>
      <c r="AJ81" s="37">
        <v>0</v>
      </c>
      <c r="AK81" s="115">
        <v>20031</v>
      </c>
      <c r="AL81" s="37">
        <v>1</v>
      </c>
      <c r="AM81" s="41">
        <f>INDEX(Sheet5!$B$19:$G$33,MATCH(Sheet1!AQ81,Sheet5!$A$19:$A$33,0),MATCH(J81,Sheet5!$B$18:$G$18,0))</f>
        <v>1500</v>
      </c>
      <c r="AN81" s="37" t="s">
        <v>48</v>
      </c>
      <c r="AO81" s="37" t="s">
        <v>754</v>
      </c>
      <c r="AP81" s="37">
        <v>1703</v>
      </c>
      <c r="AQ81" s="13">
        <v>30</v>
      </c>
    </row>
    <row r="82" spans="1:43" ht="16.5">
      <c r="A82" s="37">
        <v>2173</v>
      </c>
      <c r="B82" s="37" t="s">
        <v>1734</v>
      </c>
      <c r="C82" s="37" t="s">
        <v>168</v>
      </c>
      <c r="D82" s="37" t="s">
        <v>132</v>
      </c>
      <c r="E82" s="38">
        <v>11034</v>
      </c>
      <c r="F82" s="37">
        <v>10000</v>
      </c>
      <c r="G82" s="37">
        <v>300</v>
      </c>
      <c r="H82" s="37">
        <v>50</v>
      </c>
      <c r="I82" s="37" t="s">
        <v>719</v>
      </c>
      <c r="J82" s="37">
        <v>5</v>
      </c>
      <c r="K82" s="16">
        <v>16</v>
      </c>
      <c r="L82" s="37">
        <v>40</v>
      </c>
      <c r="M82" s="37">
        <v>0</v>
      </c>
      <c r="N82">
        <v>5120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>
        <v>0</v>
      </c>
      <c r="V82" s="37">
        <v>14</v>
      </c>
      <c r="W82" s="37">
        <v>0</v>
      </c>
      <c r="X82" s="37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56</v>
      </c>
      <c r="AE82" s="37">
        <v>0</v>
      </c>
      <c r="AF82" s="37">
        <v>0</v>
      </c>
      <c r="AG82" s="39">
        <v>0</v>
      </c>
      <c r="AH82" s="37">
        <v>0</v>
      </c>
      <c r="AI82" s="37">
        <v>1.4E-2</v>
      </c>
      <c r="AJ82" s="37">
        <v>0</v>
      </c>
      <c r="AK82" s="115">
        <v>20032</v>
      </c>
      <c r="AL82" s="37">
        <v>1</v>
      </c>
      <c r="AM82" s="41">
        <f>INDEX(Sheet5!$B$19:$G$33,MATCH(Sheet1!AQ82,Sheet5!$A$19:$A$33,0),MATCH(J82,Sheet5!$B$18:$G$18,0))</f>
        <v>2000</v>
      </c>
      <c r="AN82" s="37" t="s">
        <v>48</v>
      </c>
      <c r="AO82" s="37" t="s">
        <v>754</v>
      </c>
      <c r="AP82" s="37">
        <v>1704</v>
      </c>
      <c r="AQ82" s="13">
        <v>40</v>
      </c>
    </row>
    <row r="83" spans="1:43" s="87" customFormat="1" ht="16.5">
      <c r="A83" s="88">
        <v>2070</v>
      </c>
      <c r="B83" s="88" t="s">
        <v>1735</v>
      </c>
      <c r="C83" s="88" t="s">
        <v>168</v>
      </c>
      <c r="D83" s="88" t="s">
        <v>132</v>
      </c>
      <c r="E83" s="89">
        <v>11034</v>
      </c>
      <c r="F83" s="88">
        <v>10000</v>
      </c>
      <c r="G83" s="88">
        <v>300</v>
      </c>
      <c r="H83" s="88">
        <v>50</v>
      </c>
      <c r="I83" s="88" t="s">
        <v>719</v>
      </c>
      <c r="J83" s="88">
        <v>5</v>
      </c>
      <c r="K83" s="88">
        <v>16</v>
      </c>
      <c r="L83" s="88">
        <v>40</v>
      </c>
      <c r="M83" s="88">
        <v>0</v>
      </c>
      <c r="N83">
        <v>6400</v>
      </c>
      <c r="O83" s="88">
        <v>0</v>
      </c>
      <c r="P83" s="88">
        <v>0</v>
      </c>
      <c r="Q83" s="88">
        <v>0</v>
      </c>
      <c r="R83" s="88">
        <v>0</v>
      </c>
      <c r="S83" s="88">
        <v>0</v>
      </c>
      <c r="T83" s="88">
        <v>0</v>
      </c>
      <c r="U83" s="88">
        <v>0</v>
      </c>
      <c r="V83" s="88">
        <v>14</v>
      </c>
      <c r="W83" s="88">
        <v>0</v>
      </c>
      <c r="X83" s="88">
        <v>0</v>
      </c>
      <c r="Y83" s="88">
        <v>0</v>
      </c>
      <c r="Z83" s="88">
        <v>0</v>
      </c>
      <c r="AA83" s="88">
        <v>0</v>
      </c>
      <c r="AB83" s="88">
        <v>0</v>
      </c>
      <c r="AC83" s="88">
        <v>0</v>
      </c>
      <c r="AD83" s="88">
        <v>56</v>
      </c>
      <c r="AE83" s="88">
        <v>0</v>
      </c>
      <c r="AF83" s="88">
        <v>0</v>
      </c>
      <c r="AG83" s="90">
        <v>0</v>
      </c>
      <c r="AH83" s="88">
        <v>0</v>
      </c>
      <c r="AI83" s="88">
        <v>1.4E-2</v>
      </c>
      <c r="AJ83" s="88">
        <v>0</v>
      </c>
      <c r="AK83" s="115">
        <v>20033</v>
      </c>
      <c r="AL83" s="88">
        <v>1</v>
      </c>
      <c r="AM83" s="41">
        <f>INDEX(Sheet5!$B$19:$G$33,MATCH(Sheet1!AQ83,Sheet5!$A$19:$A$33,0),MATCH(J83,Sheet5!$B$18:$G$18,0))</f>
        <v>2500</v>
      </c>
      <c r="AN83" s="88" t="s">
        <v>1488</v>
      </c>
      <c r="AO83" s="88" t="s">
        <v>754</v>
      </c>
      <c r="AP83" s="88">
        <v>2070</v>
      </c>
      <c r="AQ83" s="13">
        <v>50</v>
      </c>
    </row>
    <row r="84" spans="1:43" ht="16.5">
      <c r="A84" s="37">
        <v>2174</v>
      </c>
      <c r="B84" s="37" t="s">
        <v>1736</v>
      </c>
      <c r="C84" s="37" t="s">
        <v>168</v>
      </c>
      <c r="D84" s="37" t="s">
        <v>132</v>
      </c>
      <c r="E84" s="38">
        <v>11034</v>
      </c>
      <c r="F84" s="37">
        <v>10000</v>
      </c>
      <c r="G84" s="37">
        <v>300</v>
      </c>
      <c r="H84" s="37">
        <v>50</v>
      </c>
      <c r="I84" s="37" t="s">
        <v>719</v>
      </c>
      <c r="J84" s="37">
        <v>5</v>
      </c>
      <c r="K84" s="16">
        <v>16</v>
      </c>
      <c r="L84" s="37">
        <v>40</v>
      </c>
      <c r="M84" s="37">
        <v>0</v>
      </c>
      <c r="N84">
        <v>7680</v>
      </c>
      <c r="O84" s="37">
        <v>0</v>
      </c>
      <c r="P84" s="37">
        <v>0</v>
      </c>
      <c r="Q84" s="37">
        <v>0</v>
      </c>
      <c r="R84" s="37">
        <v>0</v>
      </c>
      <c r="S84" s="37">
        <v>0</v>
      </c>
      <c r="T84" s="37">
        <v>0</v>
      </c>
      <c r="U84" s="37">
        <v>0</v>
      </c>
      <c r="V84" s="37">
        <v>14</v>
      </c>
      <c r="W84" s="37">
        <v>0</v>
      </c>
      <c r="X84" s="37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56</v>
      </c>
      <c r="AE84" s="37">
        <v>0</v>
      </c>
      <c r="AF84" s="37">
        <v>0</v>
      </c>
      <c r="AG84" s="39">
        <v>0</v>
      </c>
      <c r="AH84" s="37">
        <v>0</v>
      </c>
      <c r="AI84" s="37">
        <v>1.4E-2</v>
      </c>
      <c r="AJ84" s="37">
        <v>0</v>
      </c>
      <c r="AK84" s="115">
        <v>20034</v>
      </c>
      <c r="AL84" s="37">
        <v>1</v>
      </c>
      <c r="AM84" s="41">
        <f>INDEX(Sheet5!$B$19:$G$33,MATCH(Sheet1!AQ84,Sheet5!$A$19:$A$33,0),MATCH(J84,Sheet5!$B$18:$G$18,0))</f>
        <v>3000</v>
      </c>
      <c r="AN84" s="37" t="s">
        <v>48</v>
      </c>
      <c r="AO84" s="37" t="s">
        <v>754</v>
      </c>
      <c r="AP84" s="37">
        <v>20701</v>
      </c>
      <c r="AQ84" s="13">
        <v>60</v>
      </c>
    </row>
    <row r="85" spans="1:43" ht="16.5">
      <c r="A85" s="37">
        <v>2175</v>
      </c>
      <c r="B85" s="37" t="s">
        <v>1737</v>
      </c>
      <c r="C85" s="37" t="s">
        <v>168</v>
      </c>
      <c r="D85" s="37" t="s">
        <v>132</v>
      </c>
      <c r="E85" s="38">
        <v>11034</v>
      </c>
      <c r="F85" s="37">
        <v>10000</v>
      </c>
      <c r="G85" s="37">
        <v>300</v>
      </c>
      <c r="H85" s="37">
        <v>50</v>
      </c>
      <c r="I85" s="37" t="s">
        <v>719</v>
      </c>
      <c r="J85" s="37">
        <v>5</v>
      </c>
      <c r="K85" s="16">
        <v>16</v>
      </c>
      <c r="L85" s="37">
        <v>40</v>
      </c>
      <c r="M85" s="37">
        <v>0</v>
      </c>
      <c r="N85">
        <v>8960</v>
      </c>
      <c r="O85" s="37">
        <v>0</v>
      </c>
      <c r="P85" s="37">
        <v>0</v>
      </c>
      <c r="Q85" s="37">
        <v>0</v>
      </c>
      <c r="R85" s="37">
        <v>0</v>
      </c>
      <c r="S85" s="37">
        <v>0</v>
      </c>
      <c r="T85" s="37">
        <v>0</v>
      </c>
      <c r="U85" s="37">
        <v>0</v>
      </c>
      <c r="V85" s="37">
        <v>14</v>
      </c>
      <c r="W85" s="37">
        <v>0</v>
      </c>
      <c r="X85" s="37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56</v>
      </c>
      <c r="AE85" s="37">
        <v>0</v>
      </c>
      <c r="AF85" s="37">
        <v>0</v>
      </c>
      <c r="AG85" s="39">
        <v>0</v>
      </c>
      <c r="AH85" s="37">
        <v>0</v>
      </c>
      <c r="AI85" s="37">
        <v>1.4E-2</v>
      </c>
      <c r="AJ85" s="37">
        <v>0</v>
      </c>
      <c r="AK85" s="115">
        <v>20035</v>
      </c>
      <c r="AL85" s="37">
        <v>1</v>
      </c>
      <c r="AM85" s="41">
        <f>INDEX(Sheet5!$B$19:$G$33,MATCH(Sheet1!AQ85,Sheet5!$A$19:$A$33,0),MATCH(J85,Sheet5!$B$18:$G$18,0))</f>
        <v>3500</v>
      </c>
      <c r="AN85" s="37" t="s">
        <v>48</v>
      </c>
      <c r="AO85" s="37" t="s">
        <v>754</v>
      </c>
      <c r="AP85" s="37">
        <v>20702</v>
      </c>
      <c r="AQ85" s="13">
        <v>70</v>
      </c>
    </row>
    <row r="86" spans="1:43" ht="16.5">
      <c r="A86" s="37">
        <v>2176</v>
      </c>
      <c r="B86" s="37" t="s">
        <v>1738</v>
      </c>
      <c r="C86" s="37" t="s">
        <v>168</v>
      </c>
      <c r="D86" s="37" t="s">
        <v>132</v>
      </c>
      <c r="E86" s="38">
        <v>11034</v>
      </c>
      <c r="F86" s="37">
        <v>10000</v>
      </c>
      <c r="G86" s="37">
        <v>300</v>
      </c>
      <c r="H86" s="37">
        <v>50</v>
      </c>
      <c r="I86" s="37" t="s">
        <v>719</v>
      </c>
      <c r="J86" s="37">
        <v>5</v>
      </c>
      <c r="K86" s="16">
        <v>16</v>
      </c>
      <c r="L86" s="37">
        <v>40</v>
      </c>
      <c r="M86" s="37">
        <v>0</v>
      </c>
      <c r="N86">
        <v>10240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>
        <v>14</v>
      </c>
      <c r="W86" s="37">
        <v>0</v>
      </c>
      <c r="X86" s="37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56</v>
      </c>
      <c r="AE86" s="37">
        <v>0</v>
      </c>
      <c r="AF86" s="37">
        <v>0</v>
      </c>
      <c r="AG86" s="39">
        <v>0</v>
      </c>
      <c r="AH86" s="37">
        <v>0</v>
      </c>
      <c r="AI86" s="37">
        <v>1.4E-2</v>
      </c>
      <c r="AJ86" s="37">
        <v>0</v>
      </c>
      <c r="AK86" s="115">
        <v>20036</v>
      </c>
      <c r="AL86" s="37">
        <v>1</v>
      </c>
      <c r="AM86" s="41">
        <f>INDEX(Sheet5!$B$19:$G$33,MATCH(Sheet1!AQ86,Sheet5!$A$19:$A$33,0),MATCH(J86,Sheet5!$B$18:$G$18,0))</f>
        <v>4000</v>
      </c>
      <c r="AN86" s="37" t="s">
        <v>48</v>
      </c>
      <c r="AO86" s="37" t="s">
        <v>754</v>
      </c>
      <c r="AP86" s="37">
        <v>20703</v>
      </c>
      <c r="AQ86" s="13">
        <v>80</v>
      </c>
    </row>
    <row r="87" spans="1:43" ht="16.5">
      <c r="A87" s="37">
        <v>2177</v>
      </c>
      <c r="B87" s="37" t="s">
        <v>1739</v>
      </c>
      <c r="C87" s="37" t="s">
        <v>168</v>
      </c>
      <c r="D87" s="37" t="s">
        <v>132</v>
      </c>
      <c r="E87" s="38">
        <v>11034</v>
      </c>
      <c r="F87" s="37">
        <v>10000</v>
      </c>
      <c r="G87" s="37">
        <v>300</v>
      </c>
      <c r="H87" s="37">
        <v>50</v>
      </c>
      <c r="I87" s="37" t="s">
        <v>719</v>
      </c>
      <c r="J87" s="37">
        <v>5</v>
      </c>
      <c r="K87" s="16">
        <v>16</v>
      </c>
      <c r="L87" s="37">
        <v>40</v>
      </c>
      <c r="M87" s="37">
        <v>0</v>
      </c>
      <c r="N87">
        <v>11520</v>
      </c>
      <c r="O87" s="37">
        <v>0</v>
      </c>
      <c r="P87" s="37">
        <v>0</v>
      </c>
      <c r="Q87" s="37">
        <v>0</v>
      </c>
      <c r="R87" s="37">
        <v>0</v>
      </c>
      <c r="S87" s="37">
        <v>0</v>
      </c>
      <c r="T87" s="37">
        <v>0</v>
      </c>
      <c r="U87" s="37">
        <v>0</v>
      </c>
      <c r="V87" s="37">
        <v>14</v>
      </c>
      <c r="W87" s="37">
        <v>0</v>
      </c>
      <c r="X87" s="37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56</v>
      </c>
      <c r="AE87" s="37">
        <v>0</v>
      </c>
      <c r="AF87" s="37">
        <v>0</v>
      </c>
      <c r="AG87" s="39">
        <v>0</v>
      </c>
      <c r="AH87" s="37">
        <v>0</v>
      </c>
      <c r="AI87" s="37">
        <v>1.4E-2</v>
      </c>
      <c r="AJ87" s="37">
        <v>0</v>
      </c>
      <c r="AK87" s="115">
        <v>20037</v>
      </c>
      <c r="AL87" s="37">
        <v>1</v>
      </c>
      <c r="AM87" s="41">
        <f>INDEX(Sheet5!$B$19:$G$33,MATCH(Sheet1!AQ87,Sheet5!$A$19:$A$33,0),MATCH(J87,Sheet5!$B$18:$G$18,0))</f>
        <v>4500</v>
      </c>
      <c r="AN87" s="37" t="s">
        <v>48</v>
      </c>
      <c r="AO87" s="37" t="s">
        <v>754</v>
      </c>
      <c r="AP87" s="37">
        <v>20704</v>
      </c>
      <c r="AQ87" s="13">
        <v>90</v>
      </c>
    </row>
    <row r="88" spans="1:43" ht="16.5">
      <c r="A88" s="37">
        <v>2178</v>
      </c>
      <c r="B88" s="37" t="s">
        <v>1740</v>
      </c>
      <c r="C88" s="37" t="s">
        <v>168</v>
      </c>
      <c r="D88" s="37" t="s">
        <v>132</v>
      </c>
      <c r="E88" s="38">
        <v>11034</v>
      </c>
      <c r="F88" s="37">
        <v>10000</v>
      </c>
      <c r="G88" s="37">
        <v>300</v>
      </c>
      <c r="H88" s="37">
        <v>50</v>
      </c>
      <c r="I88" s="37" t="s">
        <v>719</v>
      </c>
      <c r="J88" s="37">
        <v>5</v>
      </c>
      <c r="K88" s="16">
        <v>16</v>
      </c>
      <c r="L88" s="37">
        <v>40</v>
      </c>
      <c r="M88" s="37">
        <v>0</v>
      </c>
      <c r="N88">
        <v>12800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>
        <v>14</v>
      </c>
      <c r="W88" s="37">
        <v>0</v>
      </c>
      <c r="X88" s="37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56</v>
      </c>
      <c r="AE88" s="37">
        <v>0</v>
      </c>
      <c r="AF88" s="37">
        <v>0</v>
      </c>
      <c r="AG88" s="39">
        <v>0</v>
      </c>
      <c r="AH88" s="37">
        <v>0</v>
      </c>
      <c r="AI88" s="37">
        <v>1.4E-2</v>
      </c>
      <c r="AJ88" s="37">
        <v>0</v>
      </c>
      <c r="AK88" s="115">
        <v>20038</v>
      </c>
      <c r="AL88" s="37">
        <v>1</v>
      </c>
      <c r="AM88" s="41">
        <f>INDEX(Sheet5!$B$19:$G$33,MATCH(Sheet1!AQ88,Sheet5!$A$19:$A$33,0),MATCH(J88,Sheet5!$B$18:$G$18,0))</f>
        <v>5000</v>
      </c>
      <c r="AN88" s="37" t="s">
        <v>48</v>
      </c>
      <c r="AO88" s="37" t="s">
        <v>754</v>
      </c>
      <c r="AP88" s="37">
        <v>20705</v>
      </c>
      <c r="AQ88" s="13">
        <v>100</v>
      </c>
    </row>
    <row r="89" spans="1:43" ht="16.5">
      <c r="A89" s="37">
        <v>2179</v>
      </c>
      <c r="B89" s="37" t="s">
        <v>1741</v>
      </c>
      <c r="C89" s="37" t="s">
        <v>168</v>
      </c>
      <c r="D89" s="37" t="s">
        <v>132</v>
      </c>
      <c r="E89" s="38">
        <v>11034</v>
      </c>
      <c r="F89" s="37">
        <v>10000</v>
      </c>
      <c r="G89" s="37">
        <v>300</v>
      </c>
      <c r="H89" s="37">
        <v>50</v>
      </c>
      <c r="I89" s="37" t="s">
        <v>719</v>
      </c>
      <c r="J89" s="37">
        <v>5</v>
      </c>
      <c r="K89" s="16">
        <v>16</v>
      </c>
      <c r="L89" s="37">
        <v>40</v>
      </c>
      <c r="M89" s="37">
        <v>0</v>
      </c>
      <c r="N89">
        <v>14080</v>
      </c>
      <c r="O89" s="37">
        <v>0</v>
      </c>
      <c r="P89" s="37">
        <v>0</v>
      </c>
      <c r="Q89" s="37">
        <v>0</v>
      </c>
      <c r="R89" s="37">
        <v>0</v>
      </c>
      <c r="S89" s="37">
        <v>0</v>
      </c>
      <c r="T89" s="37">
        <v>0</v>
      </c>
      <c r="U89" s="37">
        <v>0</v>
      </c>
      <c r="V89" s="37">
        <v>14</v>
      </c>
      <c r="W89" s="37">
        <v>0</v>
      </c>
      <c r="X89" s="37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56</v>
      </c>
      <c r="AE89" s="37">
        <v>0</v>
      </c>
      <c r="AF89" s="37">
        <v>0</v>
      </c>
      <c r="AG89" s="39">
        <v>0</v>
      </c>
      <c r="AH89" s="37">
        <v>0</v>
      </c>
      <c r="AI89" s="37">
        <v>1.4E-2</v>
      </c>
      <c r="AJ89" s="37">
        <v>0</v>
      </c>
      <c r="AK89" s="115">
        <v>20039</v>
      </c>
      <c r="AL89" s="37">
        <v>1</v>
      </c>
      <c r="AM89" s="41">
        <f>INDEX(Sheet5!$B$19:$G$33,MATCH(Sheet1!AQ89,Sheet5!$A$19:$A$33,0),MATCH(J89,Sheet5!$B$18:$G$18,0))</f>
        <v>5500</v>
      </c>
      <c r="AN89" s="37" t="s">
        <v>48</v>
      </c>
      <c r="AO89" s="37" t="s">
        <v>754</v>
      </c>
      <c r="AP89" s="37">
        <v>20706</v>
      </c>
      <c r="AQ89" s="13">
        <v>110</v>
      </c>
    </row>
    <row r="90" spans="1:43" ht="16.5">
      <c r="A90" s="37">
        <v>2180</v>
      </c>
      <c r="B90" s="37" t="s">
        <v>1742</v>
      </c>
      <c r="C90" s="37" t="s">
        <v>168</v>
      </c>
      <c r="D90" s="37" t="s">
        <v>132</v>
      </c>
      <c r="E90" s="38">
        <v>11034</v>
      </c>
      <c r="F90" s="37">
        <v>10000</v>
      </c>
      <c r="G90" s="37">
        <v>300</v>
      </c>
      <c r="H90" s="37">
        <v>50</v>
      </c>
      <c r="I90" s="37" t="s">
        <v>719</v>
      </c>
      <c r="J90" s="37">
        <v>5</v>
      </c>
      <c r="K90" s="16">
        <v>16</v>
      </c>
      <c r="L90" s="37">
        <v>40</v>
      </c>
      <c r="M90" s="37">
        <v>0</v>
      </c>
      <c r="N90">
        <v>15360</v>
      </c>
      <c r="O90" s="37">
        <v>0</v>
      </c>
      <c r="P90" s="37">
        <v>0</v>
      </c>
      <c r="Q90" s="37">
        <v>0</v>
      </c>
      <c r="R90" s="37">
        <v>0</v>
      </c>
      <c r="S90" s="37">
        <v>0</v>
      </c>
      <c r="T90" s="37">
        <v>0</v>
      </c>
      <c r="U90" s="37">
        <v>0</v>
      </c>
      <c r="V90" s="37">
        <v>14</v>
      </c>
      <c r="W90" s="37">
        <v>0</v>
      </c>
      <c r="X90" s="37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56</v>
      </c>
      <c r="AE90" s="37">
        <v>0</v>
      </c>
      <c r="AF90" s="37">
        <v>0</v>
      </c>
      <c r="AG90" s="39">
        <v>0</v>
      </c>
      <c r="AH90" s="37">
        <v>0</v>
      </c>
      <c r="AI90" s="37">
        <v>1.4E-2</v>
      </c>
      <c r="AJ90" s="37">
        <v>0</v>
      </c>
      <c r="AK90" s="115">
        <v>20040</v>
      </c>
      <c r="AL90" s="37">
        <v>1</v>
      </c>
      <c r="AM90" s="41">
        <f>INDEX(Sheet5!$B$19:$G$33,MATCH(Sheet1!AQ90,Sheet5!$A$19:$A$33,0),MATCH(J90,Sheet5!$B$18:$G$18,0))</f>
        <v>6000</v>
      </c>
      <c r="AN90" s="37" t="s">
        <v>48</v>
      </c>
      <c r="AO90" s="37" t="s">
        <v>754</v>
      </c>
      <c r="AP90" s="37">
        <v>20707</v>
      </c>
      <c r="AQ90" s="13">
        <v>120</v>
      </c>
    </row>
    <row r="91" spans="1:43" ht="16.5">
      <c r="A91" s="37">
        <v>2181</v>
      </c>
      <c r="B91" s="37" t="s">
        <v>1743</v>
      </c>
      <c r="C91" s="37" t="s">
        <v>168</v>
      </c>
      <c r="D91" s="37" t="s">
        <v>132</v>
      </c>
      <c r="E91" s="38">
        <v>11034</v>
      </c>
      <c r="F91" s="37">
        <v>10000</v>
      </c>
      <c r="G91" s="37">
        <v>300</v>
      </c>
      <c r="H91" s="37">
        <v>50</v>
      </c>
      <c r="I91" s="37" t="s">
        <v>719</v>
      </c>
      <c r="J91" s="37">
        <v>5</v>
      </c>
      <c r="K91" s="16">
        <v>16</v>
      </c>
      <c r="L91" s="37">
        <v>40</v>
      </c>
      <c r="M91" s="37">
        <v>0</v>
      </c>
      <c r="N91">
        <v>16640</v>
      </c>
      <c r="O91" s="37">
        <v>0</v>
      </c>
      <c r="P91" s="37">
        <v>0</v>
      </c>
      <c r="Q91" s="37">
        <v>0</v>
      </c>
      <c r="R91" s="37">
        <v>0</v>
      </c>
      <c r="S91" s="37">
        <v>0</v>
      </c>
      <c r="T91" s="37">
        <v>0</v>
      </c>
      <c r="U91" s="37">
        <v>0</v>
      </c>
      <c r="V91" s="37">
        <v>14</v>
      </c>
      <c r="W91" s="37">
        <v>0</v>
      </c>
      <c r="X91" s="37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56</v>
      </c>
      <c r="AE91" s="37">
        <v>0</v>
      </c>
      <c r="AF91" s="37">
        <v>0</v>
      </c>
      <c r="AG91" s="39">
        <v>0</v>
      </c>
      <c r="AH91" s="37">
        <v>0</v>
      </c>
      <c r="AI91" s="37">
        <v>1.4E-2</v>
      </c>
      <c r="AJ91" s="37">
        <v>0</v>
      </c>
      <c r="AK91" s="115">
        <v>20041</v>
      </c>
      <c r="AL91" s="37">
        <v>1</v>
      </c>
      <c r="AM91" s="41">
        <f>INDEX(Sheet5!$B$19:$G$33,MATCH(Sheet1!AQ91,Sheet5!$A$19:$A$33,0),MATCH(J91,Sheet5!$B$18:$G$18,0))</f>
        <v>6500</v>
      </c>
      <c r="AN91" s="37" t="s">
        <v>48</v>
      </c>
      <c r="AO91" s="37" t="s">
        <v>754</v>
      </c>
      <c r="AP91" s="37">
        <v>20708</v>
      </c>
      <c r="AQ91" s="13">
        <v>130</v>
      </c>
    </row>
    <row r="92" spans="1:43" ht="16.5">
      <c r="A92" s="37">
        <v>2182</v>
      </c>
      <c r="B92" s="37" t="s">
        <v>1744</v>
      </c>
      <c r="C92" s="37" t="s">
        <v>168</v>
      </c>
      <c r="D92" s="37" t="s">
        <v>132</v>
      </c>
      <c r="E92" s="38">
        <v>11034</v>
      </c>
      <c r="F92" s="37">
        <v>10000</v>
      </c>
      <c r="G92" s="37">
        <v>300</v>
      </c>
      <c r="H92" s="37">
        <v>50</v>
      </c>
      <c r="I92" s="37" t="s">
        <v>719</v>
      </c>
      <c r="J92" s="37">
        <v>5</v>
      </c>
      <c r="K92" s="16">
        <v>16</v>
      </c>
      <c r="L92" s="37">
        <v>40</v>
      </c>
      <c r="M92" s="37">
        <v>0</v>
      </c>
      <c r="N92">
        <v>17920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0</v>
      </c>
      <c r="V92" s="37">
        <v>14</v>
      </c>
      <c r="W92" s="37">
        <v>0</v>
      </c>
      <c r="X92" s="37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56</v>
      </c>
      <c r="AE92" s="37">
        <v>0</v>
      </c>
      <c r="AF92" s="37">
        <v>0</v>
      </c>
      <c r="AG92" s="39">
        <v>0</v>
      </c>
      <c r="AH92" s="37">
        <v>0</v>
      </c>
      <c r="AI92" s="37">
        <v>1.4E-2</v>
      </c>
      <c r="AJ92" s="37">
        <v>0</v>
      </c>
      <c r="AK92" s="115">
        <v>20042</v>
      </c>
      <c r="AL92" s="37">
        <v>1</v>
      </c>
      <c r="AM92" s="41">
        <f>INDEX(Sheet5!$B$19:$G$33,MATCH(Sheet1!AQ92,Sheet5!$A$19:$A$33,0),MATCH(J92,Sheet5!$B$18:$G$18,0))</f>
        <v>7000</v>
      </c>
      <c r="AN92" s="37" t="s">
        <v>48</v>
      </c>
      <c r="AO92" s="37" t="s">
        <v>754</v>
      </c>
      <c r="AP92" s="37">
        <v>20709</v>
      </c>
      <c r="AQ92" s="13">
        <v>140</v>
      </c>
    </row>
    <row r="93" spans="1:43" ht="16.5">
      <c r="A93" s="37">
        <v>2183</v>
      </c>
      <c r="B93" s="37" t="s">
        <v>1745</v>
      </c>
      <c r="C93" s="37" t="s">
        <v>168</v>
      </c>
      <c r="D93" s="37" t="s">
        <v>132</v>
      </c>
      <c r="E93" s="38">
        <v>11034</v>
      </c>
      <c r="F93" s="37">
        <v>10000</v>
      </c>
      <c r="G93" s="37">
        <v>300</v>
      </c>
      <c r="H93" s="37">
        <v>50</v>
      </c>
      <c r="I93" s="37" t="s">
        <v>719</v>
      </c>
      <c r="J93" s="37">
        <v>5</v>
      </c>
      <c r="K93" s="16">
        <v>16</v>
      </c>
      <c r="L93" s="37">
        <v>40</v>
      </c>
      <c r="M93" s="37">
        <v>0</v>
      </c>
      <c r="N93">
        <v>19200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>
        <v>14</v>
      </c>
      <c r="W93" s="37">
        <v>0</v>
      </c>
      <c r="X93" s="37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56</v>
      </c>
      <c r="AE93" s="37">
        <v>0</v>
      </c>
      <c r="AF93" s="37">
        <v>0</v>
      </c>
      <c r="AG93" s="39">
        <v>0</v>
      </c>
      <c r="AH93" s="37">
        <v>0</v>
      </c>
      <c r="AI93" s="37">
        <v>1.4E-2</v>
      </c>
      <c r="AJ93" s="37">
        <v>0</v>
      </c>
      <c r="AK93" s="115">
        <v>20043</v>
      </c>
      <c r="AL93" s="37">
        <v>1</v>
      </c>
      <c r="AM93" s="41">
        <f>INDEX(Sheet5!$B$19:$G$33,MATCH(Sheet1!AQ93,Sheet5!$A$19:$A$33,0),MATCH(J93,Sheet5!$B$18:$G$18,0))</f>
        <v>7500</v>
      </c>
      <c r="AN93" s="37" t="s">
        <v>48</v>
      </c>
      <c r="AO93" s="37" t="s">
        <v>754</v>
      </c>
      <c r="AP93" s="37">
        <v>20710</v>
      </c>
      <c r="AQ93" s="13">
        <v>150</v>
      </c>
    </row>
    <row r="94" spans="1:43" ht="16.5">
      <c r="A94" s="37">
        <v>2184</v>
      </c>
      <c r="B94" s="37" t="s">
        <v>1746</v>
      </c>
      <c r="C94" s="37" t="s">
        <v>168</v>
      </c>
      <c r="D94" s="37" t="s">
        <v>131</v>
      </c>
      <c r="E94" s="38">
        <v>11035</v>
      </c>
      <c r="F94" s="37">
        <v>10000</v>
      </c>
      <c r="G94" s="37">
        <v>300</v>
      </c>
      <c r="H94" s="37">
        <v>50</v>
      </c>
      <c r="I94" s="37" t="s">
        <v>720</v>
      </c>
      <c r="J94" s="37">
        <v>5</v>
      </c>
      <c r="K94" s="16">
        <v>16</v>
      </c>
      <c r="L94" s="37">
        <v>40</v>
      </c>
      <c r="M94">
        <v>3200</v>
      </c>
      <c r="N94" s="37">
        <v>0</v>
      </c>
      <c r="O94" s="37">
        <v>0</v>
      </c>
      <c r="P94" s="37">
        <v>0</v>
      </c>
      <c r="Q94" s="37">
        <v>0</v>
      </c>
      <c r="R94" s="37">
        <v>0</v>
      </c>
      <c r="S94" s="37">
        <v>0</v>
      </c>
      <c r="T94" s="37">
        <v>0</v>
      </c>
      <c r="U94" s="37">
        <v>350</v>
      </c>
      <c r="V94" s="37">
        <v>0</v>
      </c>
      <c r="W94" s="37">
        <v>0</v>
      </c>
      <c r="X94" s="37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1400</v>
      </c>
      <c r="AD94" s="37">
        <v>0</v>
      </c>
      <c r="AE94" s="37">
        <v>0</v>
      </c>
      <c r="AF94" s="37">
        <v>0</v>
      </c>
      <c r="AG94" s="37">
        <v>7.0000000000000001E-3</v>
      </c>
      <c r="AH94" s="37">
        <v>0</v>
      </c>
      <c r="AI94" s="37">
        <v>0</v>
      </c>
      <c r="AJ94" s="39">
        <v>0</v>
      </c>
      <c r="AK94" s="116">
        <v>20029</v>
      </c>
      <c r="AL94" s="37">
        <v>3</v>
      </c>
      <c r="AM94" s="41">
        <f>INDEX(Sheet5!$B$19:$G$33,MATCH(Sheet1!AQ94,Sheet5!$A$19:$A$33,0),MATCH(J94,Sheet5!$B$18:$G$18,0))</f>
        <v>500</v>
      </c>
      <c r="AN94" s="37" t="s">
        <v>48</v>
      </c>
      <c r="AO94" s="37" t="s">
        <v>755</v>
      </c>
      <c r="AP94" s="37">
        <v>1711</v>
      </c>
      <c r="AQ94" s="13">
        <v>10</v>
      </c>
    </row>
    <row r="95" spans="1:43" ht="16.5">
      <c r="A95" s="37">
        <v>2185</v>
      </c>
      <c r="B95" s="37" t="s">
        <v>1747</v>
      </c>
      <c r="C95" s="37" t="s">
        <v>168</v>
      </c>
      <c r="D95" s="37" t="s">
        <v>131</v>
      </c>
      <c r="E95" s="38">
        <v>11035</v>
      </c>
      <c r="F95" s="37">
        <v>10000</v>
      </c>
      <c r="G95" s="37">
        <v>300</v>
      </c>
      <c r="H95" s="37">
        <v>50</v>
      </c>
      <c r="I95" s="37" t="s">
        <v>720</v>
      </c>
      <c r="J95" s="37">
        <v>5</v>
      </c>
      <c r="K95" s="16">
        <v>16</v>
      </c>
      <c r="L95" s="37">
        <v>40</v>
      </c>
      <c r="M95">
        <v>6400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350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1400</v>
      </c>
      <c r="AD95" s="37">
        <v>0</v>
      </c>
      <c r="AE95" s="37">
        <v>0</v>
      </c>
      <c r="AF95" s="37">
        <v>0</v>
      </c>
      <c r="AG95" s="37">
        <v>7.0000000000000001E-3</v>
      </c>
      <c r="AH95" s="37">
        <v>0</v>
      </c>
      <c r="AI95" s="37">
        <v>0</v>
      </c>
      <c r="AJ95" s="39">
        <v>0</v>
      </c>
      <c r="AK95" s="116">
        <v>20030</v>
      </c>
      <c r="AL95" s="37">
        <v>3</v>
      </c>
      <c r="AM95" s="41">
        <f>INDEX(Sheet5!$B$19:$G$33,MATCH(Sheet1!AQ95,Sheet5!$A$19:$A$33,0),MATCH(J95,Sheet5!$B$18:$G$18,0))</f>
        <v>1000</v>
      </c>
      <c r="AN95" s="37" t="s">
        <v>48</v>
      </c>
      <c r="AO95" s="37" t="s">
        <v>755</v>
      </c>
      <c r="AP95" s="37">
        <v>1712</v>
      </c>
      <c r="AQ95" s="13">
        <v>20</v>
      </c>
    </row>
    <row r="96" spans="1:43" ht="16.5">
      <c r="A96" s="37">
        <v>2186</v>
      </c>
      <c r="B96" s="37" t="s">
        <v>1748</v>
      </c>
      <c r="C96" s="37" t="s">
        <v>168</v>
      </c>
      <c r="D96" s="37" t="s">
        <v>131</v>
      </c>
      <c r="E96" s="38">
        <v>11035</v>
      </c>
      <c r="F96" s="37">
        <v>10000</v>
      </c>
      <c r="G96" s="37">
        <v>300</v>
      </c>
      <c r="H96" s="37">
        <v>50</v>
      </c>
      <c r="I96" s="37" t="s">
        <v>720</v>
      </c>
      <c r="J96" s="37">
        <v>5</v>
      </c>
      <c r="K96" s="16">
        <v>16</v>
      </c>
      <c r="L96" s="37">
        <v>40</v>
      </c>
      <c r="M96">
        <v>9600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350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1400</v>
      </c>
      <c r="AD96" s="37">
        <v>0</v>
      </c>
      <c r="AE96" s="37">
        <v>0</v>
      </c>
      <c r="AF96" s="37">
        <v>0</v>
      </c>
      <c r="AG96" s="37">
        <v>7.0000000000000001E-3</v>
      </c>
      <c r="AH96" s="37">
        <v>0</v>
      </c>
      <c r="AI96" s="37">
        <v>0</v>
      </c>
      <c r="AJ96" s="39">
        <v>0</v>
      </c>
      <c r="AK96" s="116">
        <v>20031</v>
      </c>
      <c r="AL96" s="37">
        <v>3</v>
      </c>
      <c r="AM96" s="41">
        <f>INDEX(Sheet5!$B$19:$G$33,MATCH(Sheet1!AQ96,Sheet5!$A$19:$A$33,0),MATCH(J96,Sheet5!$B$18:$G$18,0))</f>
        <v>1500</v>
      </c>
      <c r="AN96" s="37" t="s">
        <v>48</v>
      </c>
      <c r="AO96" s="37" t="s">
        <v>755</v>
      </c>
      <c r="AP96" s="37">
        <v>1713</v>
      </c>
      <c r="AQ96" s="13">
        <v>30</v>
      </c>
    </row>
    <row r="97" spans="1:43" ht="16.5">
      <c r="A97" s="37">
        <v>2187</v>
      </c>
      <c r="B97" s="37" t="s">
        <v>1749</v>
      </c>
      <c r="C97" s="37" t="s">
        <v>168</v>
      </c>
      <c r="D97" s="37" t="s">
        <v>131</v>
      </c>
      <c r="E97" s="38">
        <v>11035</v>
      </c>
      <c r="F97" s="37">
        <v>10000</v>
      </c>
      <c r="G97" s="37">
        <v>300</v>
      </c>
      <c r="H97" s="37">
        <v>50</v>
      </c>
      <c r="I97" s="37" t="s">
        <v>720</v>
      </c>
      <c r="J97" s="37">
        <v>5</v>
      </c>
      <c r="K97" s="16">
        <v>16</v>
      </c>
      <c r="L97" s="37">
        <v>40</v>
      </c>
      <c r="M97">
        <v>12800</v>
      </c>
      <c r="N97" s="37">
        <v>0</v>
      </c>
      <c r="O97" s="37">
        <v>0</v>
      </c>
      <c r="P97" s="37">
        <v>0</v>
      </c>
      <c r="Q97" s="37">
        <v>0</v>
      </c>
      <c r="R97" s="37">
        <v>0</v>
      </c>
      <c r="S97" s="37">
        <v>0</v>
      </c>
      <c r="T97" s="37">
        <v>0</v>
      </c>
      <c r="U97" s="37">
        <v>350</v>
      </c>
      <c r="V97" s="37">
        <v>0</v>
      </c>
      <c r="W97" s="37">
        <v>0</v>
      </c>
      <c r="X97" s="37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1400</v>
      </c>
      <c r="AD97" s="37">
        <v>0</v>
      </c>
      <c r="AE97" s="37">
        <v>0</v>
      </c>
      <c r="AF97" s="37">
        <v>0</v>
      </c>
      <c r="AG97" s="37">
        <v>7.0000000000000001E-3</v>
      </c>
      <c r="AH97" s="37">
        <v>0</v>
      </c>
      <c r="AI97" s="37">
        <v>0</v>
      </c>
      <c r="AJ97" s="39">
        <v>0</v>
      </c>
      <c r="AK97" s="116">
        <v>20032</v>
      </c>
      <c r="AL97" s="37">
        <v>3</v>
      </c>
      <c r="AM97" s="41">
        <f>INDEX(Sheet5!$B$19:$G$33,MATCH(Sheet1!AQ97,Sheet5!$A$19:$A$33,0),MATCH(J97,Sheet5!$B$18:$G$18,0))</f>
        <v>2000</v>
      </c>
      <c r="AN97" s="37" t="s">
        <v>48</v>
      </c>
      <c r="AO97" s="37" t="s">
        <v>755</v>
      </c>
      <c r="AP97" s="37">
        <v>1714</v>
      </c>
      <c r="AQ97" s="13">
        <v>40</v>
      </c>
    </row>
    <row r="98" spans="1:43" s="87" customFormat="1" ht="16.5">
      <c r="A98" s="88">
        <v>2071</v>
      </c>
      <c r="B98" s="88" t="s">
        <v>1750</v>
      </c>
      <c r="C98" s="88" t="s">
        <v>168</v>
      </c>
      <c r="D98" s="88" t="s">
        <v>131</v>
      </c>
      <c r="E98" s="89">
        <v>11035</v>
      </c>
      <c r="F98" s="88">
        <v>10000</v>
      </c>
      <c r="G98" s="88">
        <v>300</v>
      </c>
      <c r="H98" s="88">
        <v>50</v>
      </c>
      <c r="I98" s="88" t="s">
        <v>720</v>
      </c>
      <c r="J98" s="88">
        <v>5</v>
      </c>
      <c r="K98" s="88">
        <v>16</v>
      </c>
      <c r="L98" s="88">
        <v>40</v>
      </c>
      <c r="M98">
        <v>16000</v>
      </c>
      <c r="N98" s="88">
        <v>0</v>
      </c>
      <c r="O98" s="88">
        <v>0</v>
      </c>
      <c r="P98" s="88">
        <v>0</v>
      </c>
      <c r="Q98" s="88">
        <v>0</v>
      </c>
      <c r="R98" s="88">
        <v>0</v>
      </c>
      <c r="S98" s="88">
        <v>0</v>
      </c>
      <c r="T98" s="88">
        <v>0</v>
      </c>
      <c r="U98" s="88">
        <v>350</v>
      </c>
      <c r="V98" s="88">
        <v>0</v>
      </c>
      <c r="W98" s="88">
        <v>0</v>
      </c>
      <c r="X98" s="88">
        <v>0</v>
      </c>
      <c r="Y98" s="88">
        <v>0</v>
      </c>
      <c r="Z98" s="88">
        <v>0</v>
      </c>
      <c r="AA98" s="88">
        <v>0</v>
      </c>
      <c r="AB98" s="88">
        <v>0</v>
      </c>
      <c r="AC98" s="88">
        <v>1400</v>
      </c>
      <c r="AD98" s="88">
        <v>0</v>
      </c>
      <c r="AE98" s="88">
        <v>0</v>
      </c>
      <c r="AF98" s="88">
        <v>0</v>
      </c>
      <c r="AG98" s="88">
        <v>7.0000000000000001E-3</v>
      </c>
      <c r="AH98" s="88">
        <v>0</v>
      </c>
      <c r="AI98" s="88">
        <v>0</v>
      </c>
      <c r="AJ98" s="90">
        <v>0</v>
      </c>
      <c r="AK98" s="116">
        <v>20033</v>
      </c>
      <c r="AL98" s="88">
        <v>3</v>
      </c>
      <c r="AM98" s="41">
        <f>INDEX(Sheet5!$B$19:$G$33,MATCH(Sheet1!AQ98,Sheet5!$A$19:$A$33,0),MATCH(J98,Sheet5!$B$18:$G$18,0))</f>
        <v>2500</v>
      </c>
      <c r="AN98" s="88" t="s">
        <v>1487</v>
      </c>
      <c r="AO98" s="88" t="s">
        <v>755</v>
      </c>
      <c r="AP98" s="88">
        <v>2071</v>
      </c>
      <c r="AQ98" s="13">
        <v>50</v>
      </c>
    </row>
    <row r="99" spans="1:43" ht="16.5">
      <c r="A99" s="37">
        <v>2188</v>
      </c>
      <c r="B99" s="37" t="s">
        <v>1751</v>
      </c>
      <c r="C99" s="37" t="s">
        <v>168</v>
      </c>
      <c r="D99" s="37" t="s">
        <v>131</v>
      </c>
      <c r="E99" s="38">
        <v>11035</v>
      </c>
      <c r="F99" s="37">
        <v>10000</v>
      </c>
      <c r="G99" s="37">
        <v>300</v>
      </c>
      <c r="H99" s="37">
        <v>50</v>
      </c>
      <c r="I99" s="37" t="s">
        <v>720</v>
      </c>
      <c r="J99" s="37">
        <v>5</v>
      </c>
      <c r="K99" s="16">
        <v>16</v>
      </c>
      <c r="L99" s="37">
        <v>40</v>
      </c>
      <c r="M99">
        <v>19200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350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1400</v>
      </c>
      <c r="AD99" s="37">
        <v>0</v>
      </c>
      <c r="AE99" s="37">
        <v>0</v>
      </c>
      <c r="AF99" s="37">
        <v>0</v>
      </c>
      <c r="AG99" s="37">
        <v>7.0000000000000001E-3</v>
      </c>
      <c r="AH99" s="37">
        <v>0</v>
      </c>
      <c r="AI99" s="37">
        <v>0</v>
      </c>
      <c r="AJ99" s="39">
        <v>0</v>
      </c>
      <c r="AK99" s="116">
        <v>20034</v>
      </c>
      <c r="AL99" s="37">
        <v>3</v>
      </c>
      <c r="AM99" s="41">
        <f>INDEX(Sheet5!$B$19:$G$33,MATCH(Sheet1!AQ99,Sheet5!$A$19:$A$33,0),MATCH(J99,Sheet5!$B$18:$G$18,0))</f>
        <v>3000</v>
      </c>
      <c r="AN99" s="37" t="s">
        <v>48</v>
      </c>
      <c r="AO99" s="37" t="s">
        <v>755</v>
      </c>
      <c r="AP99" s="37">
        <v>20711</v>
      </c>
      <c r="AQ99" s="13">
        <v>60</v>
      </c>
    </row>
    <row r="100" spans="1:43" ht="16.5">
      <c r="A100" s="37">
        <v>2189</v>
      </c>
      <c r="B100" s="37" t="s">
        <v>1752</v>
      </c>
      <c r="C100" s="37" t="s">
        <v>168</v>
      </c>
      <c r="D100" s="37" t="s">
        <v>131</v>
      </c>
      <c r="E100" s="38">
        <v>11035</v>
      </c>
      <c r="F100" s="37">
        <v>10000</v>
      </c>
      <c r="G100" s="37">
        <v>300</v>
      </c>
      <c r="H100" s="37">
        <v>50</v>
      </c>
      <c r="I100" s="37" t="s">
        <v>720</v>
      </c>
      <c r="J100" s="37">
        <v>5</v>
      </c>
      <c r="K100" s="16">
        <v>16</v>
      </c>
      <c r="L100" s="37">
        <v>40</v>
      </c>
      <c r="M100">
        <v>22400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350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1400</v>
      </c>
      <c r="AD100" s="37">
        <v>0</v>
      </c>
      <c r="AE100" s="37">
        <v>0</v>
      </c>
      <c r="AF100" s="37">
        <v>0</v>
      </c>
      <c r="AG100" s="37">
        <v>7.0000000000000001E-3</v>
      </c>
      <c r="AH100" s="37">
        <v>0</v>
      </c>
      <c r="AI100" s="37">
        <v>0</v>
      </c>
      <c r="AJ100" s="39">
        <v>0</v>
      </c>
      <c r="AK100" s="116">
        <v>20035</v>
      </c>
      <c r="AL100" s="37">
        <v>3</v>
      </c>
      <c r="AM100" s="41">
        <f>INDEX(Sheet5!$B$19:$G$33,MATCH(Sheet1!AQ100,Sheet5!$A$19:$A$33,0),MATCH(J100,Sheet5!$B$18:$G$18,0))</f>
        <v>3500</v>
      </c>
      <c r="AN100" s="37" t="s">
        <v>48</v>
      </c>
      <c r="AO100" s="37" t="s">
        <v>755</v>
      </c>
      <c r="AP100" s="37">
        <v>20712</v>
      </c>
      <c r="AQ100" s="13">
        <v>70</v>
      </c>
    </row>
    <row r="101" spans="1:43" ht="16.5">
      <c r="A101" s="37">
        <v>2190</v>
      </c>
      <c r="B101" s="37" t="s">
        <v>1753</v>
      </c>
      <c r="C101" s="37" t="s">
        <v>168</v>
      </c>
      <c r="D101" s="37" t="s">
        <v>131</v>
      </c>
      <c r="E101" s="38">
        <v>11035</v>
      </c>
      <c r="F101" s="37">
        <v>10000</v>
      </c>
      <c r="G101" s="37">
        <v>300</v>
      </c>
      <c r="H101" s="37">
        <v>50</v>
      </c>
      <c r="I101" s="37" t="s">
        <v>720</v>
      </c>
      <c r="J101" s="37">
        <v>5</v>
      </c>
      <c r="K101" s="16">
        <v>16</v>
      </c>
      <c r="L101" s="37">
        <v>40</v>
      </c>
      <c r="M101">
        <v>25600</v>
      </c>
      <c r="N101" s="37">
        <v>0</v>
      </c>
      <c r="O101" s="37">
        <v>0</v>
      </c>
      <c r="P101" s="37">
        <v>0</v>
      </c>
      <c r="Q101" s="37">
        <v>0</v>
      </c>
      <c r="R101" s="37">
        <v>0</v>
      </c>
      <c r="S101" s="37">
        <v>0</v>
      </c>
      <c r="T101" s="37">
        <v>0</v>
      </c>
      <c r="U101" s="37">
        <v>350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1400</v>
      </c>
      <c r="AD101" s="37">
        <v>0</v>
      </c>
      <c r="AE101" s="37">
        <v>0</v>
      </c>
      <c r="AF101" s="37">
        <v>0</v>
      </c>
      <c r="AG101" s="37">
        <v>7.0000000000000001E-3</v>
      </c>
      <c r="AH101" s="37">
        <v>0</v>
      </c>
      <c r="AI101" s="37">
        <v>0</v>
      </c>
      <c r="AJ101" s="39">
        <v>0</v>
      </c>
      <c r="AK101" s="116">
        <v>20036</v>
      </c>
      <c r="AL101" s="37">
        <v>3</v>
      </c>
      <c r="AM101" s="41">
        <f>INDEX(Sheet5!$B$19:$G$33,MATCH(Sheet1!AQ101,Sheet5!$A$19:$A$33,0),MATCH(J101,Sheet5!$B$18:$G$18,0))</f>
        <v>4000</v>
      </c>
      <c r="AN101" s="37" t="s">
        <v>48</v>
      </c>
      <c r="AO101" s="37" t="s">
        <v>755</v>
      </c>
      <c r="AP101" s="37">
        <v>20713</v>
      </c>
      <c r="AQ101" s="13">
        <v>80</v>
      </c>
    </row>
    <row r="102" spans="1:43" ht="16.5">
      <c r="A102" s="37">
        <v>2191</v>
      </c>
      <c r="B102" s="37" t="s">
        <v>1754</v>
      </c>
      <c r="C102" s="37" t="s">
        <v>168</v>
      </c>
      <c r="D102" s="37" t="s">
        <v>131</v>
      </c>
      <c r="E102" s="38">
        <v>11035</v>
      </c>
      <c r="F102" s="37">
        <v>10000</v>
      </c>
      <c r="G102" s="37">
        <v>300</v>
      </c>
      <c r="H102" s="37">
        <v>50</v>
      </c>
      <c r="I102" s="37" t="s">
        <v>720</v>
      </c>
      <c r="J102" s="37">
        <v>5</v>
      </c>
      <c r="K102" s="16">
        <v>16</v>
      </c>
      <c r="L102" s="37">
        <v>40</v>
      </c>
      <c r="M102">
        <v>28800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350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1400</v>
      </c>
      <c r="AD102" s="37">
        <v>0</v>
      </c>
      <c r="AE102" s="37">
        <v>0</v>
      </c>
      <c r="AF102" s="37">
        <v>0</v>
      </c>
      <c r="AG102" s="37">
        <v>7.0000000000000001E-3</v>
      </c>
      <c r="AH102" s="37">
        <v>0</v>
      </c>
      <c r="AI102" s="37">
        <v>0</v>
      </c>
      <c r="AJ102" s="39">
        <v>0</v>
      </c>
      <c r="AK102" s="116">
        <v>20037</v>
      </c>
      <c r="AL102" s="37">
        <v>3</v>
      </c>
      <c r="AM102" s="41">
        <f>INDEX(Sheet5!$B$19:$G$33,MATCH(Sheet1!AQ102,Sheet5!$A$19:$A$33,0),MATCH(J102,Sheet5!$B$18:$G$18,0))</f>
        <v>4500</v>
      </c>
      <c r="AN102" s="37" t="s">
        <v>48</v>
      </c>
      <c r="AO102" s="37" t="s">
        <v>755</v>
      </c>
      <c r="AP102" s="37">
        <v>20714</v>
      </c>
      <c r="AQ102" s="13">
        <v>90</v>
      </c>
    </row>
    <row r="103" spans="1:43" ht="16.5">
      <c r="A103" s="37">
        <v>2192</v>
      </c>
      <c r="B103" s="37" t="s">
        <v>1755</v>
      </c>
      <c r="C103" s="37" t="s">
        <v>168</v>
      </c>
      <c r="D103" s="37" t="s">
        <v>131</v>
      </c>
      <c r="E103" s="38">
        <v>11035</v>
      </c>
      <c r="F103" s="37">
        <v>10000</v>
      </c>
      <c r="G103" s="37">
        <v>300</v>
      </c>
      <c r="H103" s="37">
        <v>50</v>
      </c>
      <c r="I103" s="37" t="s">
        <v>720</v>
      </c>
      <c r="J103" s="37">
        <v>5</v>
      </c>
      <c r="K103" s="16">
        <v>16</v>
      </c>
      <c r="L103" s="37">
        <v>40</v>
      </c>
      <c r="M103">
        <v>32000</v>
      </c>
      <c r="N103" s="37">
        <v>0</v>
      </c>
      <c r="O103" s="37">
        <v>0</v>
      </c>
      <c r="P103" s="37">
        <v>0</v>
      </c>
      <c r="Q103" s="37">
        <v>0</v>
      </c>
      <c r="R103" s="37">
        <v>0</v>
      </c>
      <c r="S103" s="37">
        <v>0</v>
      </c>
      <c r="T103" s="37">
        <v>0</v>
      </c>
      <c r="U103" s="37">
        <v>350</v>
      </c>
      <c r="V103" s="37">
        <v>0</v>
      </c>
      <c r="W103" s="37">
        <v>0</v>
      </c>
      <c r="X103" s="37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1400</v>
      </c>
      <c r="AD103" s="37">
        <v>0</v>
      </c>
      <c r="AE103" s="37">
        <v>0</v>
      </c>
      <c r="AF103" s="37">
        <v>0</v>
      </c>
      <c r="AG103" s="37">
        <v>7.0000000000000001E-3</v>
      </c>
      <c r="AH103" s="37">
        <v>0</v>
      </c>
      <c r="AI103" s="37">
        <v>0</v>
      </c>
      <c r="AJ103" s="39">
        <v>0</v>
      </c>
      <c r="AK103" s="116">
        <v>20038</v>
      </c>
      <c r="AL103" s="37">
        <v>3</v>
      </c>
      <c r="AM103" s="41">
        <f>INDEX(Sheet5!$B$19:$G$33,MATCH(Sheet1!AQ103,Sheet5!$A$19:$A$33,0),MATCH(J103,Sheet5!$B$18:$G$18,0))</f>
        <v>5000</v>
      </c>
      <c r="AN103" s="37" t="s">
        <v>48</v>
      </c>
      <c r="AO103" s="37" t="s">
        <v>755</v>
      </c>
      <c r="AP103" s="37">
        <v>20715</v>
      </c>
      <c r="AQ103" s="13">
        <v>100</v>
      </c>
    </row>
    <row r="104" spans="1:43" ht="16.5">
      <c r="A104" s="37">
        <v>2193</v>
      </c>
      <c r="B104" s="37" t="s">
        <v>1756</v>
      </c>
      <c r="C104" s="37" t="s">
        <v>168</v>
      </c>
      <c r="D104" s="37" t="s">
        <v>131</v>
      </c>
      <c r="E104" s="38">
        <v>11035</v>
      </c>
      <c r="F104" s="37">
        <v>10000</v>
      </c>
      <c r="G104" s="37">
        <v>300</v>
      </c>
      <c r="H104" s="37">
        <v>50</v>
      </c>
      <c r="I104" s="37" t="s">
        <v>720</v>
      </c>
      <c r="J104" s="37">
        <v>5</v>
      </c>
      <c r="K104" s="16">
        <v>16</v>
      </c>
      <c r="L104" s="37">
        <v>40</v>
      </c>
      <c r="M104">
        <v>35200</v>
      </c>
      <c r="N104" s="37">
        <v>0</v>
      </c>
      <c r="O104" s="37">
        <v>0</v>
      </c>
      <c r="P104" s="37">
        <v>0</v>
      </c>
      <c r="Q104" s="37">
        <v>0</v>
      </c>
      <c r="R104" s="37">
        <v>0</v>
      </c>
      <c r="S104" s="37">
        <v>0</v>
      </c>
      <c r="T104" s="37">
        <v>0</v>
      </c>
      <c r="U104" s="37">
        <v>350</v>
      </c>
      <c r="V104" s="37">
        <v>0</v>
      </c>
      <c r="W104" s="37">
        <v>0</v>
      </c>
      <c r="X104" s="37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1400</v>
      </c>
      <c r="AD104" s="37">
        <v>0</v>
      </c>
      <c r="AE104" s="37">
        <v>0</v>
      </c>
      <c r="AF104" s="37">
        <v>0</v>
      </c>
      <c r="AG104" s="37">
        <v>7.0000000000000001E-3</v>
      </c>
      <c r="AH104" s="37">
        <v>0</v>
      </c>
      <c r="AI104" s="37">
        <v>0</v>
      </c>
      <c r="AJ104" s="39">
        <v>0</v>
      </c>
      <c r="AK104" s="116">
        <v>20039</v>
      </c>
      <c r="AL104" s="37">
        <v>3</v>
      </c>
      <c r="AM104" s="41">
        <f>INDEX(Sheet5!$B$19:$G$33,MATCH(Sheet1!AQ104,Sheet5!$A$19:$A$33,0),MATCH(J104,Sheet5!$B$18:$G$18,0))</f>
        <v>5500</v>
      </c>
      <c r="AN104" s="37" t="s">
        <v>48</v>
      </c>
      <c r="AO104" s="37" t="s">
        <v>755</v>
      </c>
      <c r="AP104" s="37">
        <v>20716</v>
      </c>
      <c r="AQ104" s="13">
        <v>110</v>
      </c>
    </row>
    <row r="105" spans="1:43" ht="16.5">
      <c r="A105" s="37">
        <v>2194</v>
      </c>
      <c r="B105" s="37" t="s">
        <v>1757</v>
      </c>
      <c r="C105" s="37" t="s">
        <v>168</v>
      </c>
      <c r="D105" s="37" t="s">
        <v>131</v>
      </c>
      <c r="E105" s="38">
        <v>11035</v>
      </c>
      <c r="F105" s="37">
        <v>10000</v>
      </c>
      <c r="G105" s="37">
        <v>300</v>
      </c>
      <c r="H105" s="37">
        <v>50</v>
      </c>
      <c r="I105" s="37" t="s">
        <v>720</v>
      </c>
      <c r="J105" s="37">
        <v>5</v>
      </c>
      <c r="K105" s="16">
        <v>16</v>
      </c>
      <c r="L105" s="37">
        <v>40</v>
      </c>
      <c r="M105">
        <v>38400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350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1400</v>
      </c>
      <c r="AD105" s="37">
        <v>0</v>
      </c>
      <c r="AE105" s="37">
        <v>0</v>
      </c>
      <c r="AF105" s="37">
        <v>0</v>
      </c>
      <c r="AG105" s="37">
        <v>7.0000000000000001E-3</v>
      </c>
      <c r="AH105" s="37">
        <v>0</v>
      </c>
      <c r="AI105" s="37">
        <v>0</v>
      </c>
      <c r="AJ105" s="39">
        <v>0</v>
      </c>
      <c r="AK105" s="116">
        <v>20040</v>
      </c>
      <c r="AL105" s="37">
        <v>3</v>
      </c>
      <c r="AM105" s="41">
        <f>INDEX(Sheet5!$B$19:$G$33,MATCH(Sheet1!AQ105,Sheet5!$A$19:$A$33,0),MATCH(J105,Sheet5!$B$18:$G$18,0))</f>
        <v>6000</v>
      </c>
      <c r="AN105" s="37" t="s">
        <v>48</v>
      </c>
      <c r="AO105" s="37" t="s">
        <v>755</v>
      </c>
      <c r="AP105" s="37">
        <v>20717</v>
      </c>
      <c r="AQ105" s="13">
        <v>120</v>
      </c>
    </row>
    <row r="106" spans="1:43" ht="16.5">
      <c r="A106" s="37">
        <v>2195</v>
      </c>
      <c r="B106" s="37" t="s">
        <v>1758</v>
      </c>
      <c r="C106" s="37" t="s">
        <v>168</v>
      </c>
      <c r="D106" s="37" t="s">
        <v>131</v>
      </c>
      <c r="E106" s="38">
        <v>11035</v>
      </c>
      <c r="F106" s="37">
        <v>10000</v>
      </c>
      <c r="G106" s="37">
        <v>300</v>
      </c>
      <c r="H106" s="37">
        <v>50</v>
      </c>
      <c r="I106" s="37" t="s">
        <v>720</v>
      </c>
      <c r="J106" s="37">
        <v>5</v>
      </c>
      <c r="K106" s="16">
        <v>16</v>
      </c>
      <c r="L106" s="37">
        <v>40</v>
      </c>
      <c r="M106">
        <v>41600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350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1400</v>
      </c>
      <c r="AD106" s="37">
        <v>0</v>
      </c>
      <c r="AE106" s="37">
        <v>0</v>
      </c>
      <c r="AF106" s="37">
        <v>0</v>
      </c>
      <c r="AG106" s="37">
        <v>7.0000000000000001E-3</v>
      </c>
      <c r="AH106" s="37">
        <v>0</v>
      </c>
      <c r="AI106" s="37">
        <v>0</v>
      </c>
      <c r="AJ106" s="39">
        <v>0</v>
      </c>
      <c r="AK106" s="116">
        <v>20041</v>
      </c>
      <c r="AL106" s="37">
        <v>3</v>
      </c>
      <c r="AM106" s="41">
        <f>INDEX(Sheet5!$B$19:$G$33,MATCH(Sheet1!AQ106,Sheet5!$A$19:$A$33,0),MATCH(J106,Sheet5!$B$18:$G$18,0))</f>
        <v>6500</v>
      </c>
      <c r="AN106" s="37" t="s">
        <v>48</v>
      </c>
      <c r="AO106" s="37" t="s">
        <v>755</v>
      </c>
      <c r="AP106" s="37">
        <v>20718</v>
      </c>
      <c r="AQ106" s="13">
        <v>130</v>
      </c>
    </row>
    <row r="107" spans="1:43" ht="16.5">
      <c r="A107" s="37">
        <v>2196</v>
      </c>
      <c r="B107" s="37" t="s">
        <v>1759</v>
      </c>
      <c r="C107" s="37" t="s">
        <v>168</v>
      </c>
      <c r="D107" s="37" t="s">
        <v>131</v>
      </c>
      <c r="E107" s="38">
        <v>11035</v>
      </c>
      <c r="F107" s="37">
        <v>10000</v>
      </c>
      <c r="G107" s="37">
        <v>300</v>
      </c>
      <c r="H107" s="37">
        <v>50</v>
      </c>
      <c r="I107" s="37" t="s">
        <v>720</v>
      </c>
      <c r="J107" s="37">
        <v>5</v>
      </c>
      <c r="K107" s="16">
        <v>16</v>
      </c>
      <c r="L107" s="37">
        <v>40</v>
      </c>
      <c r="M107">
        <v>44800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350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1400</v>
      </c>
      <c r="AD107" s="37">
        <v>0</v>
      </c>
      <c r="AE107" s="37">
        <v>0</v>
      </c>
      <c r="AF107" s="37">
        <v>0</v>
      </c>
      <c r="AG107" s="37">
        <v>7.0000000000000001E-3</v>
      </c>
      <c r="AH107" s="37">
        <v>0</v>
      </c>
      <c r="AI107" s="37">
        <v>0</v>
      </c>
      <c r="AJ107" s="39">
        <v>0</v>
      </c>
      <c r="AK107" s="116">
        <v>20042</v>
      </c>
      <c r="AL107" s="37">
        <v>3</v>
      </c>
      <c r="AM107" s="41">
        <f>INDEX(Sheet5!$B$19:$G$33,MATCH(Sheet1!AQ107,Sheet5!$A$19:$A$33,0),MATCH(J107,Sheet5!$B$18:$G$18,0))</f>
        <v>7000</v>
      </c>
      <c r="AN107" s="37" t="s">
        <v>48</v>
      </c>
      <c r="AO107" s="37" t="s">
        <v>755</v>
      </c>
      <c r="AP107" s="37">
        <v>20719</v>
      </c>
      <c r="AQ107" s="13">
        <v>140</v>
      </c>
    </row>
    <row r="108" spans="1:43" ht="16.5">
      <c r="A108" s="37">
        <v>2197</v>
      </c>
      <c r="B108" s="37" t="s">
        <v>1760</v>
      </c>
      <c r="C108" s="37" t="s">
        <v>168</v>
      </c>
      <c r="D108" s="37" t="s">
        <v>131</v>
      </c>
      <c r="E108" s="38">
        <v>11035</v>
      </c>
      <c r="F108" s="37">
        <v>10000</v>
      </c>
      <c r="G108" s="37">
        <v>300</v>
      </c>
      <c r="H108" s="37">
        <v>50</v>
      </c>
      <c r="I108" s="37" t="s">
        <v>720</v>
      </c>
      <c r="J108" s="37">
        <v>5</v>
      </c>
      <c r="K108" s="16">
        <v>16</v>
      </c>
      <c r="L108" s="37">
        <v>40</v>
      </c>
      <c r="M108">
        <v>48000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350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1400</v>
      </c>
      <c r="AD108" s="37">
        <v>0</v>
      </c>
      <c r="AE108" s="37">
        <v>0</v>
      </c>
      <c r="AF108" s="37">
        <v>0</v>
      </c>
      <c r="AG108" s="37">
        <v>7.0000000000000001E-3</v>
      </c>
      <c r="AH108" s="37">
        <v>0</v>
      </c>
      <c r="AI108" s="37">
        <v>0</v>
      </c>
      <c r="AJ108" s="39">
        <v>0</v>
      </c>
      <c r="AK108" s="116">
        <v>20043</v>
      </c>
      <c r="AL108" s="37">
        <v>3</v>
      </c>
      <c r="AM108" s="41">
        <f>INDEX(Sheet5!$B$19:$G$33,MATCH(Sheet1!AQ108,Sheet5!$A$19:$A$33,0),MATCH(J108,Sheet5!$B$18:$G$18,0))</f>
        <v>7500</v>
      </c>
      <c r="AN108" s="37" t="s">
        <v>48</v>
      </c>
      <c r="AO108" s="37" t="s">
        <v>755</v>
      </c>
      <c r="AP108" s="37">
        <v>20720</v>
      </c>
      <c r="AQ108" s="13">
        <v>150</v>
      </c>
    </row>
    <row r="109" spans="1:43" ht="16.5">
      <c r="A109" s="37">
        <v>2198</v>
      </c>
      <c r="B109" s="37" t="s">
        <v>1761</v>
      </c>
      <c r="C109" s="37" t="s">
        <v>168</v>
      </c>
      <c r="D109" s="37" t="s">
        <v>133</v>
      </c>
      <c r="E109" s="38">
        <v>11036</v>
      </c>
      <c r="F109" s="37">
        <v>10000</v>
      </c>
      <c r="G109" s="37">
        <v>300</v>
      </c>
      <c r="H109" s="37">
        <v>50</v>
      </c>
      <c r="I109" s="37" t="s">
        <v>159</v>
      </c>
      <c r="J109" s="37">
        <v>5</v>
      </c>
      <c r="K109" s="16">
        <v>16</v>
      </c>
      <c r="L109" s="37">
        <v>40</v>
      </c>
      <c r="M109" s="37">
        <v>0</v>
      </c>
      <c r="N109" s="37">
        <v>0</v>
      </c>
      <c r="O109" s="37">
        <v>0</v>
      </c>
      <c r="P109">
        <v>640</v>
      </c>
      <c r="Q109" s="37">
        <v>0</v>
      </c>
      <c r="R109" s="37">
        <v>0</v>
      </c>
      <c r="S109" s="37">
        <v>0</v>
      </c>
      <c r="T109" s="37">
        <v>0</v>
      </c>
      <c r="U109" s="37">
        <v>0</v>
      </c>
      <c r="V109" s="37">
        <v>0</v>
      </c>
      <c r="W109" s="37">
        <v>0</v>
      </c>
      <c r="X109" s="37">
        <v>7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28</v>
      </c>
      <c r="AG109" s="37">
        <v>0</v>
      </c>
      <c r="AH109" s="37">
        <v>7.0000000000000001E-3</v>
      </c>
      <c r="AI109" s="37">
        <v>0</v>
      </c>
      <c r="AJ109" s="37">
        <v>0</v>
      </c>
      <c r="AK109" s="118">
        <v>20029</v>
      </c>
      <c r="AL109" s="37">
        <v>4</v>
      </c>
      <c r="AM109" s="41">
        <f>INDEX(Sheet5!$B$19:$G$33,MATCH(Sheet1!AQ109,Sheet5!$A$19:$A$33,0),MATCH(J109,Sheet5!$B$18:$G$18,0))</f>
        <v>500</v>
      </c>
      <c r="AN109" s="37" t="s">
        <v>48</v>
      </c>
      <c r="AO109" s="37" t="s">
        <v>756</v>
      </c>
      <c r="AP109" s="37">
        <v>1721</v>
      </c>
      <c r="AQ109" s="13">
        <v>10</v>
      </c>
    </row>
    <row r="110" spans="1:43" ht="16.5">
      <c r="A110" s="37">
        <v>2199</v>
      </c>
      <c r="B110" s="37" t="s">
        <v>1762</v>
      </c>
      <c r="C110" s="37" t="s">
        <v>168</v>
      </c>
      <c r="D110" s="37" t="s">
        <v>133</v>
      </c>
      <c r="E110" s="38">
        <v>11036</v>
      </c>
      <c r="F110" s="37">
        <v>10000</v>
      </c>
      <c r="G110" s="37">
        <v>300</v>
      </c>
      <c r="H110" s="37">
        <v>50</v>
      </c>
      <c r="I110" s="37" t="s">
        <v>159</v>
      </c>
      <c r="J110" s="37">
        <v>5</v>
      </c>
      <c r="K110" s="16">
        <v>16</v>
      </c>
      <c r="L110" s="37">
        <v>40</v>
      </c>
      <c r="M110" s="37">
        <v>0</v>
      </c>
      <c r="N110" s="37">
        <v>0</v>
      </c>
      <c r="O110" s="37">
        <v>0</v>
      </c>
      <c r="P110">
        <v>1280</v>
      </c>
      <c r="Q110" s="37">
        <v>0</v>
      </c>
      <c r="R110" s="37">
        <v>0</v>
      </c>
      <c r="S110" s="37">
        <v>0</v>
      </c>
      <c r="T110" s="37">
        <v>0</v>
      </c>
      <c r="U110" s="37">
        <v>0</v>
      </c>
      <c r="V110" s="37">
        <v>0</v>
      </c>
      <c r="W110" s="37">
        <v>0</v>
      </c>
      <c r="X110" s="37">
        <v>7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28</v>
      </c>
      <c r="AG110" s="37">
        <v>0</v>
      </c>
      <c r="AH110" s="37">
        <v>7.0000000000000001E-3</v>
      </c>
      <c r="AI110" s="37">
        <v>0</v>
      </c>
      <c r="AJ110" s="37">
        <v>0</v>
      </c>
      <c r="AK110" s="118">
        <v>20030</v>
      </c>
      <c r="AL110" s="37">
        <v>4</v>
      </c>
      <c r="AM110" s="41">
        <f>INDEX(Sheet5!$B$19:$G$33,MATCH(Sheet1!AQ110,Sheet5!$A$19:$A$33,0),MATCH(J110,Sheet5!$B$18:$G$18,0))</f>
        <v>1000</v>
      </c>
      <c r="AN110" s="37" t="s">
        <v>48</v>
      </c>
      <c r="AO110" s="37" t="s">
        <v>756</v>
      </c>
      <c r="AP110" s="37">
        <v>1722</v>
      </c>
      <c r="AQ110" s="13">
        <v>20</v>
      </c>
    </row>
    <row r="111" spans="1:43" ht="16.5">
      <c r="A111" s="37">
        <v>2200</v>
      </c>
      <c r="B111" s="37" t="s">
        <v>1763</v>
      </c>
      <c r="C111" s="37" t="s">
        <v>168</v>
      </c>
      <c r="D111" s="37" t="s">
        <v>133</v>
      </c>
      <c r="E111" s="38">
        <v>11036</v>
      </c>
      <c r="F111" s="37">
        <v>10000</v>
      </c>
      <c r="G111" s="37">
        <v>300</v>
      </c>
      <c r="H111" s="37">
        <v>50</v>
      </c>
      <c r="I111" s="37" t="s">
        <v>159</v>
      </c>
      <c r="J111" s="37">
        <v>5</v>
      </c>
      <c r="K111" s="16">
        <v>16</v>
      </c>
      <c r="L111" s="37">
        <v>40</v>
      </c>
      <c r="M111" s="37">
        <v>0</v>
      </c>
      <c r="N111" s="37">
        <v>0</v>
      </c>
      <c r="O111" s="37">
        <v>0</v>
      </c>
      <c r="P111">
        <v>1920</v>
      </c>
      <c r="Q111" s="37">
        <v>0</v>
      </c>
      <c r="R111" s="37">
        <v>0</v>
      </c>
      <c r="S111" s="37">
        <v>0</v>
      </c>
      <c r="T111" s="37">
        <v>0</v>
      </c>
      <c r="U111" s="37">
        <v>0</v>
      </c>
      <c r="V111" s="37">
        <v>0</v>
      </c>
      <c r="W111" s="37">
        <v>0</v>
      </c>
      <c r="X111" s="37">
        <v>7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28</v>
      </c>
      <c r="AG111" s="37">
        <v>0</v>
      </c>
      <c r="AH111" s="37">
        <v>7.0000000000000001E-3</v>
      </c>
      <c r="AI111" s="37">
        <v>0</v>
      </c>
      <c r="AJ111" s="37">
        <v>0</v>
      </c>
      <c r="AK111" s="118">
        <v>20031</v>
      </c>
      <c r="AL111" s="37">
        <v>4</v>
      </c>
      <c r="AM111" s="41">
        <f>INDEX(Sheet5!$B$19:$G$33,MATCH(Sheet1!AQ111,Sheet5!$A$19:$A$33,0),MATCH(J111,Sheet5!$B$18:$G$18,0))</f>
        <v>1500</v>
      </c>
      <c r="AN111" s="37" t="s">
        <v>48</v>
      </c>
      <c r="AO111" s="37" t="s">
        <v>756</v>
      </c>
      <c r="AP111" s="37">
        <v>1723</v>
      </c>
      <c r="AQ111" s="13">
        <v>30</v>
      </c>
    </row>
    <row r="112" spans="1:43" ht="16.5">
      <c r="A112" s="37">
        <v>2201</v>
      </c>
      <c r="B112" s="37" t="s">
        <v>1764</v>
      </c>
      <c r="C112" s="37" t="s">
        <v>168</v>
      </c>
      <c r="D112" s="37" t="s">
        <v>133</v>
      </c>
      <c r="E112" s="38">
        <v>11036</v>
      </c>
      <c r="F112" s="37">
        <v>10000</v>
      </c>
      <c r="G112" s="37">
        <v>300</v>
      </c>
      <c r="H112" s="37">
        <v>50</v>
      </c>
      <c r="I112" s="37" t="s">
        <v>159</v>
      </c>
      <c r="J112" s="37">
        <v>5</v>
      </c>
      <c r="K112" s="16">
        <v>16</v>
      </c>
      <c r="L112" s="37">
        <v>40</v>
      </c>
      <c r="M112" s="37">
        <v>0</v>
      </c>
      <c r="N112" s="37">
        <v>0</v>
      </c>
      <c r="O112" s="37">
        <v>0</v>
      </c>
      <c r="P112">
        <v>2560</v>
      </c>
      <c r="Q112" s="37">
        <v>0</v>
      </c>
      <c r="R112" s="37">
        <v>0</v>
      </c>
      <c r="S112" s="37">
        <v>0</v>
      </c>
      <c r="T112" s="37">
        <v>0</v>
      </c>
      <c r="U112" s="37">
        <v>0</v>
      </c>
      <c r="V112" s="37">
        <v>0</v>
      </c>
      <c r="W112" s="37">
        <v>0</v>
      </c>
      <c r="X112" s="37">
        <v>7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28</v>
      </c>
      <c r="AG112" s="37">
        <v>0</v>
      </c>
      <c r="AH112" s="37">
        <v>7.0000000000000001E-3</v>
      </c>
      <c r="AI112" s="37">
        <v>0</v>
      </c>
      <c r="AJ112" s="37">
        <v>0</v>
      </c>
      <c r="AK112" s="118">
        <v>20032</v>
      </c>
      <c r="AL112" s="37">
        <v>4</v>
      </c>
      <c r="AM112" s="41">
        <f>INDEX(Sheet5!$B$19:$G$33,MATCH(Sheet1!AQ112,Sheet5!$A$19:$A$33,0),MATCH(J112,Sheet5!$B$18:$G$18,0))</f>
        <v>2000</v>
      </c>
      <c r="AN112" s="37" t="s">
        <v>48</v>
      </c>
      <c r="AO112" s="37" t="s">
        <v>756</v>
      </c>
      <c r="AP112" s="37">
        <v>1724</v>
      </c>
      <c r="AQ112" s="13">
        <v>40</v>
      </c>
    </row>
    <row r="113" spans="1:43" s="87" customFormat="1" ht="16.5">
      <c r="A113" s="88">
        <v>2072</v>
      </c>
      <c r="B113" s="88" t="s">
        <v>1765</v>
      </c>
      <c r="C113" s="88" t="s">
        <v>168</v>
      </c>
      <c r="D113" s="88" t="s">
        <v>133</v>
      </c>
      <c r="E113" s="89">
        <v>11036</v>
      </c>
      <c r="F113" s="88">
        <v>10000</v>
      </c>
      <c r="G113" s="88">
        <v>300</v>
      </c>
      <c r="H113" s="88">
        <v>50</v>
      </c>
      <c r="I113" s="88" t="s">
        <v>159</v>
      </c>
      <c r="J113" s="88">
        <v>5</v>
      </c>
      <c r="K113" s="88">
        <v>16</v>
      </c>
      <c r="L113" s="88">
        <v>40</v>
      </c>
      <c r="M113" s="88">
        <v>0</v>
      </c>
      <c r="N113" s="88">
        <v>0</v>
      </c>
      <c r="O113" s="88">
        <v>0</v>
      </c>
      <c r="P113">
        <v>3200</v>
      </c>
      <c r="Q113" s="88">
        <v>0</v>
      </c>
      <c r="R113" s="88">
        <v>0</v>
      </c>
      <c r="S113" s="88">
        <v>0</v>
      </c>
      <c r="T113" s="88">
        <v>0</v>
      </c>
      <c r="U113" s="88">
        <v>0</v>
      </c>
      <c r="V113" s="88">
        <v>0</v>
      </c>
      <c r="W113" s="88">
        <v>0</v>
      </c>
      <c r="X113" s="88">
        <v>7</v>
      </c>
      <c r="Y113" s="88">
        <v>0</v>
      </c>
      <c r="Z113" s="88">
        <v>0</v>
      </c>
      <c r="AA113" s="88">
        <v>0</v>
      </c>
      <c r="AB113" s="88">
        <v>0</v>
      </c>
      <c r="AC113" s="88">
        <v>0</v>
      </c>
      <c r="AD113" s="88">
        <v>0</v>
      </c>
      <c r="AE113" s="88">
        <v>0</v>
      </c>
      <c r="AF113" s="88">
        <v>28</v>
      </c>
      <c r="AG113" s="88">
        <v>0</v>
      </c>
      <c r="AH113" s="88">
        <v>7.0000000000000001E-3</v>
      </c>
      <c r="AI113" s="88">
        <v>0</v>
      </c>
      <c r="AJ113" s="88">
        <v>0</v>
      </c>
      <c r="AK113" s="118">
        <v>20033</v>
      </c>
      <c r="AL113" s="88">
        <v>4</v>
      </c>
      <c r="AM113" s="41">
        <f>INDEX(Sheet5!$B$19:$G$33,MATCH(Sheet1!AQ113,Sheet5!$A$19:$A$33,0),MATCH(J113,Sheet5!$B$18:$G$18,0))</f>
        <v>2500</v>
      </c>
      <c r="AN113" s="88" t="s">
        <v>1489</v>
      </c>
      <c r="AO113" s="88" t="s">
        <v>756</v>
      </c>
      <c r="AP113" s="88">
        <v>2072</v>
      </c>
      <c r="AQ113" s="13">
        <v>50</v>
      </c>
    </row>
    <row r="114" spans="1:43" ht="16.5">
      <c r="A114" s="37">
        <v>2202</v>
      </c>
      <c r="B114" s="37" t="s">
        <v>1766</v>
      </c>
      <c r="C114" s="37" t="s">
        <v>168</v>
      </c>
      <c r="D114" s="37" t="s">
        <v>133</v>
      </c>
      <c r="E114" s="38">
        <v>11036</v>
      </c>
      <c r="F114" s="37">
        <v>10000</v>
      </c>
      <c r="G114" s="37">
        <v>300</v>
      </c>
      <c r="H114" s="37">
        <v>50</v>
      </c>
      <c r="I114" s="37" t="s">
        <v>159</v>
      </c>
      <c r="J114" s="37">
        <v>5</v>
      </c>
      <c r="K114" s="16">
        <v>16</v>
      </c>
      <c r="L114" s="37">
        <v>40</v>
      </c>
      <c r="M114" s="37">
        <v>0</v>
      </c>
      <c r="N114" s="37">
        <v>0</v>
      </c>
      <c r="O114" s="37">
        <v>0</v>
      </c>
      <c r="P114">
        <v>3840</v>
      </c>
      <c r="Q114" s="37">
        <v>0</v>
      </c>
      <c r="R114" s="37">
        <v>0</v>
      </c>
      <c r="S114" s="37">
        <v>0</v>
      </c>
      <c r="T114" s="37">
        <v>0</v>
      </c>
      <c r="U114" s="37">
        <v>0</v>
      </c>
      <c r="V114" s="37">
        <v>0</v>
      </c>
      <c r="W114" s="37">
        <v>0</v>
      </c>
      <c r="X114" s="37">
        <v>7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28</v>
      </c>
      <c r="AG114" s="37">
        <v>0</v>
      </c>
      <c r="AH114" s="37">
        <v>7.0000000000000001E-3</v>
      </c>
      <c r="AI114" s="37">
        <v>0</v>
      </c>
      <c r="AJ114" s="37">
        <v>0</v>
      </c>
      <c r="AK114" s="118">
        <v>20034</v>
      </c>
      <c r="AL114" s="37">
        <v>4</v>
      </c>
      <c r="AM114" s="41">
        <f>INDEX(Sheet5!$B$19:$G$33,MATCH(Sheet1!AQ114,Sheet5!$A$19:$A$33,0),MATCH(J114,Sheet5!$B$18:$G$18,0))</f>
        <v>3000</v>
      </c>
      <c r="AN114" s="37" t="s">
        <v>48</v>
      </c>
      <c r="AO114" s="37" t="s">
        <v>756</v>
      </c>
      <c r="AP114" s="37">
        <v>20721</v>
      </c>
      <c r="AQ114" s="13">
        <v>60</v>
      </c>
    </row>
    <row r="115" spans="1:43" ht="16.5">
      <c r="A115" s="37">
        <v>2203</v>
      </c>
      <c r="B115" s="37" t="s">
        <v>1767</v>
      </c>
      <c r="C115" s="37" t="s">
        <v>168</v>
      </c>
      <c r="D115" s="37" t="s">
        <v>133</v>
      </c>
      <c r="E115" s="38">
        <v>11036</v>
      </c>
      <c r="F115" s="37">
        <v>10000</v>
      </c>
      <c r="G115" s="37">
        <v>300</v>
      </c>
      <c r="H115" s="37">
        <v>50</v>
      </c>
      <c r="I115" s="37" t="s">
        <v>159</v>
      </c>
      <c r="J115" s="37">
        <v>5</v>
      </c>
      <c r="K115" s="16">
        <v>16</v>
      </c>
      <c r="L115" s="37">
        <v>40</v>
      </c>
      <c r="M115" s="37">
        <v>0</v>
      </c>
      <c r="N115" s="37">
        <v>0</v>
      </c>
      <c r="O115" s="37">
        <v>0</v>
      </c>
      <c r="P115">
        <v>4480</v>
      </c>
      <c r="Q115" s="37">
        <v>0</v>
      </c>
      <c r="R115" s="37">
        <v>0</v>
      </c>
      <c r="S115" s="37">
        <v>0</v>
      </c>
      <c r="T115" s="37">
        <v>0</v>
      </c>
      <c r="U115" s="37">
        <v>0</v>
      </c>
      <c r="V115" s="37">
        <v>0</v>
      </c>
      <c r="W115" s="37">
        <v>0</v>
      </c>
      <c r="X115" s="37">
        <v>7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28</v>
      </c>
      <c r="AG115" s="37">
        <v>0</v>
      </c>
      <c r="AH115" s="37">
        <v>7.0000000000000001E-3</v>
      </c>
      <c r="AI115" s="37">
        <v>0</v>
      </c>
      <c r="AJ115" s="37">
        <v>0</v>
      </c>
      <c r="AK115" s="118">
        <v>20035</v>
      </c>
      <c r="AL115" s="37">
        <v>4</v>
      </c>
      <c r="AM115" s="41">
        <f>INDEX(Sheet5!$B$19:$G$33,MATCH(Sheet1!AQ115,Sheet5!$A$19:$A$33,0),MATCH(J115,Sheet5!$B$18:$G$18,0))</f>
        <v>3500</v>
      </c>
      <c r="AN115" s="37" t="s">
        <v>48</v>
      </c>
      <c r="AO115" s="37" t="s">
        <v>756</v>
      </c>
      <c r="AP115" s="37">
        <v>20722</v>
      </c>
      <c r="AQ115" s="13">
        <v>70</v>
      </c>
    </row>
    <row r="116" spans="1:43" ht="16.5">
      <c r="A116" s="37">
        <v>2204</v>
      </c>
      <c r="B116" s="37" t="s">
        <v>1768</v>
      </c>
      <c r="C116" s="37" t="s">
        <v>168</v>
      </c>
      <c r="D116" s="37" t="s">
        <v>133</v>
      </c>
      <c r="E116" s="38">
        <v>11036</v>
      </c>
      <c r="F116" s="37">
        <v>10000</v>
      </c>
      <c r="G116" s="37">
        <v>300</v>
      </c>
      <c r="H116" s="37">
        <v>50</v>
      </c>
      <c r="I116" s="37" t="s">
        <v>159</v>
      </c>
      <c r="J116" s="37">
        <v>5</v>
      </c>
      <c r="K116" s="16">
        <v>16</v>
      </c>
      <c r="L116" s="37">
        <v>40</v>
      </c>
      <c r="M116" s="37">
        <v>0</v>
      </c>
      <c r="N116" s="37">
        <v>0</v>
      </c>
      <c r="O116" s="37">
        <v>0</v>
      </c>
      <c r="P116">
        <v>5120</v>
      </c>
      <c r="Q116" s="37">
        <v>0</v>
      </c>
      <c r="R116" s="37">
        <v>0</v>
      </c>
      <c r="S116" s="37">
        <v>0</v>
      </c>
      <c r="T116" s="37">
        <v>0</v>
      </c>
      <c r="U116" s="37">
        <v>0</v>
      </c>
      <c r="V116" s="37">
        <v>0</v>
      </c>
      <c r="W116" s="37">
        <v>0</v>
      </c>
      <c r="X116" s="37">
        <v>7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28</v>
      </c>
      <c r="AG116" s="37">
        <v>0</v>
      </c>
      <c r="AH116" s="37">
        <v>7.0000000000000001E-3</v>
      </c>
      <c r="AI116" s="37">
        <v>0</v>
      </c>
      <c r="AJ116" s="37">
        <v>0</v>
      </c>
      <c r="AK116" s="118">
        <v>20036</v>
      </c>
      <c r="AL116" s="37">
        <v>4</v>
      </c>
      <c r="AM116" s="41">
        <f>INDEX(Sheet5!$B$19:$G$33,MATCH(Sheet1!AQ116,Sheet5!$A$19:$A$33,0),MATCH(J116,Sheet5!$B$18:$G$18,0))</f>
        <v>4000</v>
      </c>
      <c r="AN116" s="37" t="s">
        <v>48</v>
      </c>
      <c r="AO116" s="37" t="s">
        <v>756</v>
      </c>
      <c r="AP116" s="37">
        <v>20723</v>
      </c>
      <c r="AQ116" s="13">
        <v>80</v>
      </c>
    </row>
    <row r="117" spans="1:43" ht="16.5">
      <c r="A117" s="37">
        <v>2205</v>
      </c>
      <c r="B117" s="37" t="s">
        <v>1769</v>
      </c>
      <c r="C117" s="37" t="s">
        <v>168</v>
      </c>
      <c r="D117" s="37" t="s">
        <v>133</v>
      </c>
      <c r="E117" s="38">
        <v>11036</v>
      </c>
      <c r="F117" s="37">
        <v>10000</v>
      </c>
      <c r="G117" s="37">
        <v>300</v>
      </c>
      <c r="H117" s="37">
        <v>50</v>
      </c>
      <c r="I117" s="37" t="s">
        <v>159</v>
      </c>
      <c r="J117" s="37">
        <v>5</v>
      </c>
      <c r="K117" s="16">
        <v>16</v>
      </c>
      <c r="L117" s="37">
        <v>40</v>
      </c>
      <c r="M117" s="37">
        <v>0</v>
      </c>
      <c r="N117" s="37">
        <v>0</v>
      </c>
      <c r="O117" s="37">
        <v>0</v>
      </c>
      <c r="P117">
        <v>5760</v>
      </c>
      <c r="Q117" s="37">
        <v>0</v>
      </c>
      <c r="R117" s="37">
        <v>0</v>
      </c>
      <c r="S117" s="37">
        <v>0</v>
      </c>
      <c r="T117" s="37">
        <v>0</v>
      </c>
      <c r="U117" s="37">
        <v>0</v>
      </c>
      <c r="V117" s="37">
        <v>0</v>
      </c>
      <c r="W117" s="37">
        <v>0</v>
      </c>
      <c r="X117" s="37">
        <v>7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28</v>
      </c>
      <c r="AG117" s="37">
        <v>0</v>
      </c>
      <c r="AH117" s="37">
        <v>7.0000000000000001E-3</v>
      </c>
      <c r="AI117" s="37">
        <v>0</v>
      </c>
      <c r="AJ117" s="37">
        <v>0</v>
      </c>
      <c r="AK117" s="118">
        <v>20037</v>
      </c>
      <c r="AL117" s="37">
        <v>4</v>
      </c>
      <c r="AM117" s="41">
        <f>INDEX(Sheet5!$B$19:$G$33,MATCH(Sheet1!AQ117,Sheet5!$A$19:$A$33,0),MATCH(J117,Sheet5!$B$18:$G$18,0))</f>
        <v>4500</v>
      </c>
      <c r="AN117" s="37" t="s">
        <v>48</v>
      </c>
      <c r="AO117" s="37" t="s">
        <v>756</v>
      </c>
      <c r="AP117" s="37">
        <v>20724</v>
      </c>
      <c r="AQ117" s="13">
        <v>90</v>
      </c>
    </row>
    <row r="118" spans="1:43" ht="16.5">
      <c r="A118" s="37">
        <v>2206</v>
      </c>
      <c r="B118" s="37" t="s">
        <v>1770</v>
      </c>
      <c r="C118" s="37" t="s">
        <v>168</v>
      </c>
      <c r="D118" s="37" t="s">
        <v>133</v>
      </c>
      <c r="E118" s="38">
        <v>11036</v>
      </c>
      <c r="F118" s="37">
        <v>10000</v>
      </c>
      <c r="G118" s="37">
        <v>300</v>
      </c>
      <c r="H118" s="37">
        <v>50</v>
      </c>
      <c r="I118" s="37" t="s">
        <v>159</v>
      </c>
      <c r="J118" s="37">
        <v>5</v>
      </c>
      <c r="K118" s="16">
        <v>16</v>
      </c>
      <c r="L118" s="37">
        <v>40</v>
      </c>
      <c r="M118" s="37">
        <v>0</v>
      </c>
      <c r="N118" s="37">
        <v>0</v>
      </c>
      <c r="O118" s="37">
        <v>0</v>
      </c>
      <c r="P118">
        <v>6400</v>
      </c>
      <c r="Q118" s="37">
        <v>0</v>
      </c>
      <c r="R118" s="37">
        <v>0</v>
      </c>
      <c r="S118" s="37">
        <v>0</v>
      </c>
      <c r="T118" s="37">
        <v>0</v>
      </c>
      <c r="U118" s="37">
        <v>0</v>
      </c>
      <c r="V118" s="37">
        <v>0</v>
      </c>
      <c r="W118" s="37">
        <v>0</v>
      </c>
      <c r="X118" s="37">
        <v>7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28</v>
      </c>
      <c r="AG118" s="37">
        <v>0</v>
      </c>
      <c r="AH118" s="37">
        <v>7.0000000000000001E-3</v>
      </c>
      <c r="AI118" s="37">
        <v>0</v>
      </c>
      <c r="AJ118" s="37">
        <v>0</v>
      </c>
      <c r="AK118" s="118">
        <v>20038</v>
      </c>
      <c r="AL118" s="37">
        <v>4</v>
      </c>
      <c r="AM118" s="41">
        <f>INDEX(Sheet5!$B$19:$G$33,MATCH(Sheet1!AQ118,Sheet5!$A$19:$A$33,0),MATCH(J118,Sheet5!$B$18:$G$18,0))</f>
        <v>5000</v>
      </c>
      <c r="AN118" s="37" t="s">
        <v>48</v>
      </c>
      <c r="AO118" s="37" t="s">
        <v>756</v>
      </c>
      <c r="AP118" s="37">
        <v>20725</v>
      </c>
      <c r="AQ118" s="13">
        <v>100</v>
      </c>
    </row>
    <row r="119" spans="1:43" ht="16.5">
      <c r="A119" s="37">
        <v>2207</v>
      </c>
      <c r="B119" s="37" t="s">
        <v>1771</v>
      </c>
      <c r="C119" s="37" t="s">
        <v>168</v>
      </c>
      <c r="D119" s="37" t="s">
        <v>133</v>
      </c>
      <c r="E119" s="38">
        <v>11036</v>
      </c>
      <c r="F119" s="37">
        <v>10000</v>
      </c>
      <c r="G119" s="37">
        <v>300</v>
      </c>
      <c r="H119" s="37">
        <v>50</v>
      </c>
      <c r="I119" s="37" t="s">
        <v>159</v>
      </c>
      <c r="J119" s="37">
        <v>5</v>
      </c>
      <c r="K119" s="16">
        <v>16</v>
      </c>
      <c r="L119" s="37">
        <v>40</v>
      </c>
      <c r="M119" s="37">
        <v>0</v>
      </c>
      <c r="N119" s="37">
        <v>0</v>
      </c>
      <c r="O119" s="37">
        <v>0</v>
      </c>
      <c r="P119">
        <v>7040</v>
      </c>
      <c r="Q119" s="37">
        <v>0</v>
      </c>
      <c r="R119" s="37">
        <v>0</v>
      </c>
      <c r="S119" s="37">
        <v>0</v>
      </c>
      <c r="T119" s="37">
        <v>0</v>
      </c>
      <c r="U119" s="37">
        <v>0</v>
      </c>
      <c r="V119" s="37">
        <v>0</v>
      </c>
      <c r="W119" s="37">
        <v>0</v>
      </c>
      <c r="X119" s="37">
        <v>7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28</v>
      </c>
      <c r="AG119" s="37">
        <v>0</v>
      </c>
      <c r="AH119" s="37">
        <v>7.0000000000000001E-3</v>
      </c>
      <c r="AI119" s="37">
        <v>0</v>
      </c>
      <c r="AJ119" s="37">
        <v>0</v>
      </c>
      <c r="AK119" s="118">
        <v>20039</v>
      </c>
      <c r="AL119" s="37">
        <v>4</v>
      </c>
      <c r="AM119" s="41">
        <f>INDEX(Sheet5!$B$19:$G$33,MATCH(Sheet1!AQ119,Sheet5!$A$19:$A$33,0),MATCH(J119,Sheet5!$B$18:$G$18,0))</f>
        <v>5500</v>
      </c>
      <c r="AN119" s="37" t="s">
        <v>48</v>
      </c>
      <c r="AO119" s="37" t="s">
        <v>756</v>
      </c>
      <c r="AP119" s="37">
        <v>20726</v>
      </c>
      <c r="AQ119" s="13">
        <v>110</v>
      </c>
    </row>
    <row r="120" spans="1:43" ht="16.5">
      <c r="A120" s="37">
        <v>2208</v>
      </c>
      <c r="B120" s="37" t="s">
        <v>1772</v>
      </c>
      <c r="C120" s="37" t="s">
        <v>168</v>
      </c>
      <c r="D120" s="37" t="s">
        <v>133</v>
      </c>
      <c r="E120" s="38">
        <v>11036</v>
      </c>
      <c r="F120" s="37">
        <v>10000</v>
      </c>
      <c r="G120" s="37">
        <v>300</v>
      </c>
      <c r="H120" s="37">
        <v>50</v>
      </c>
      <c r="I120" s="37" t="s">
        <v>159</v>
      </c>
      <c r="J120" s="37">
        <v>5</v>
      </c>
      <c r="K120" s="16">
        <v>16</v>
      </c>
      <c r="L120" s="37">
        <v>40</v>
      </c>
      <c r="M120" s="37">
        <v>0</v>
      </c>
      <c r="N120" s="37">
        <v>0</v>
      </c>
      <c r="O120" s="37">
        <v>0</v>
      </c>
      <c r="P120">
        <v>7680</v>
      </c>
      <c r="Q120" s="37">
        <v>0</v>
      </c>
      <c r="R120" s="37">
        <v>0</v>
      </c>
      <c r="S120" s="37">
        <v>0</v>
      </c>
      <c r="T120" s="37">
        <v>0</v>
      </c>
      <c r="U120" s="37">
        <v>0</v>
      </c>
      <c r="V120" s="37">
        <v>0</v>
      </c>
      <c r="W120" s="37">
        <v>0</v>
      </c>
      <c r="X120" s="37">
        <v>7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28</v>
      </c>
      <c r="AG120" s="37">
        <v>0</v>
      </c>
      <c r="AH120" s="37">
        <v>7.0000000000000001E-3</v>
      </c>
      <c r="AI120" s="37">
        <v>0</v>
      </c>
      <c r="AJ120" s="37">
        <v>0</v>
      </c>
      <c r="AK120" s="118">
        <v>20040</v>
      </c>
      <c r="AL120" s="37">
        <v>4</v>
      </c>
      <c r="AM120" s="41">
        <f>INDEX(Sheet5!$B$19:$G$33,MATCH(Sheet1!AQ120,Sheet5!$A$19:$A$33,0),MATCH(J120,Sheet5!$B$18:$G$18,0))</f>
        <v>6000</v>
      </c>
      <c r="AN120" s="37" t="s">
        <v>48</v>
      </c>
      <c r="AO120" s="37" t="s">
        <v>756</v>
      </c>
      <c r="AP120" s="37">
        <v>20727</v>
      </c>
      <c r="AQ120" s="13">
        <v>120</v>
      </c>
    </row>
    <row r="121" spans="1:43" ht="16.5">
      <c r="A121" s="37">
        <v>2209</v>
      </c>
      <c r="B121" s="37" t="s">
        <v>1773</v>
      </c>
      <c r="C121" s="37" t="s">
        <v>168</v>
      </c>
      <c r="D121" s="37" t="s">
        <v>133</v>
      </c>
      <c r="E121" s="38">
        <v>11036</v>
      </c>
      <c r="F121" s="37">
        <v>10000</v>
      </c>
      <c r="G121" s="37">
        <v>300</v>
      </c>
      <c r="H121" s="37">
        <v>50</v>
      </c>
      <c r="I121" s="37" t="s">
        <v>159</v>
      </c>
      <c r="J121" s="37">
        <v>5</v>
      </c>
      <c r="K121" s="16">
        <v>16</v>
      </c>
      <c r="L121" s="37">
        <v>40</v>
      </c>
      <c r="M121" s="37">
        <v>0</v>
      </c>
      <c r="N121" s="37">
        <v>0</v>
      </c>
      <c r="O121" s="37">
        <v>0</v>
      </c>
      <c r="P121">
        <v>8320</v>
      </c>
      <c r="Q121" s="37">
        <v>0</v>
      </c>
      <c r="R121" s="37">
        <v>0</v>
      </c>
      <c r="S121" s="37">
        <v>0</v>
      </c>
      <c r="T121" s="37">
        <v>0</v>
      </c>
      <c r="U121" s="37">
        <v>0</v>
      </c>
      <c r="V121" s="37">
        <v>0</v>
      </c>
      <c r="W121" s="37">
        <v>0</v>
      </c>
      <c r="X121" s="37">
        <v>7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28</v>
      </c>
      <c r="AG121" s="37">
        <v>0</v>
      </c>
      <c r="AH121" s="37">
        <v>7.0000000000000001E-3</v>
      </c>
      <c r="AI121" s="37">
        <v>0</v>
      </c>
      <c r="AJ121" s="37">
        <v>0</v>
      </c>
      <c r="AK121" s="118">
        <v>20041</v>
      </c>
      <c r="AL121" s="37">
        <v>4</v>
      </c>
      <c r="AM121" s="41">
        <f>INDEX(Sheet5!$B$19:$G$33,MATCH(Sheet1!AQ121,Sheet5!$A$19:$A$33,0),MATCH(J121,Sheet5!$B$18:$G$18,0))</f>
        <v>6500</v>
      </c>
      <c r="AN121" s="37" t="s">
        <v>48</v>
      </c>
      <c r="AO121" s="37" t="s">
        <v>756</v>
      </c>
      <c r="AP121" s="37">
        <v>20728</v>
      </c>
      <c r="AQ121" s="13">
        <v>130</v>
      </c>
    </row>
    <row r="122" spans="1:43" ht="16.5">
      <c r="A122" s="37">
        <v>2210</v>
      </c>
      <c r="B122" s="37" t="s">
        <v>1774</v>
      </c>
      <c r="C122" s="37" t="s">
        <v>168</v>
      </c>
      <c r="D122" s="37" t="s">
        <v>133</v>
      </c>
      <c r="E122" s="38">
        <v>11036</v>
      </c>
      <c r="F122" s="37">
        <v>10000</v>
      </c>
      <c r="G122" s="37">
        <v>300</v>
      </c>
      <c r="H122" s="37">
        <v>50</v>
      </c>
      <c r="I122" s="37" t="s">
        <v>159</v>
      </c>
      <c r="J122" s="37">
        <v>5</v>
      </c>
      <c r="K122" s="16">
        <v>16</v>
      </c>
      <c r="L122" s="37">
        <v>40</v>
      </c>
      <c r="M122" s="37">
        <v>0</v>
      </c>
      <c r="N122" s="37">
        <v>0</v>
      </c>
      <c r="O122" s="37">
        <v>0</v>
      </c>
      <c r="P122">
        <v>8960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7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28</v>
      </c>
      <c r="AG122" s="37">
        <v>0</v>
      </c>
      <c r="AH122" s="37">
        <v>7.0000000000000001E-3</v>
      </c>
      <c r="AI122" s="37">
        <v>0</v>
      </c>
      <c r="AJ122" s="37">
        <v>0</v>
      </c>
      <c r="AK122" s="118">
        <v>20042</v>
      </c>
      <c r="AL122" s="37">
        <v>4</v>
      </c>
      <c r="AM122" s="41">
        <f>INDEX(Sheet5!$B$19:$G$33,MATCH(Sheet1!AQ122,Sheet5!$A$19:$A$33,0),MATCH(J122,Sheet5!$B$18:$G$18,0))</f>
        <v>7000</v>
      </c>
      <c r="AN122" s="37" t="s">
        <v>48</v>
      </c>
      <c r="AO122" s="37" t="s">
        <v>756</v>
      </c>
      <c r="AP122" s="37">
        <v>20729</v>
      </c>
      <c r="AQ122" s="13">
        <v>140</v>
      </c>
    </row>
    <row r="123" spans="1:43" ht="16.5">
      <c r="A123" s="37">
        <v>2211</v>
      </c>
      <c r="B123" s="37" t="s">
        <v>1775</v>
      </c>
      <c r="C123" s="37" t="s">
        <v>168</v>
      </c>
      <c r="D123" s="37" t="s">
        <v>133</v>
      </c>
      <c r="E123" s="38">
        <v>11036</v>
      </c>
      <c r="F123" s="37">
        <v>10000</v>
      </c>
      <c r="G123" s="37">
        <v>300</v>
      </c>
      <c r="H123" s="37">
        <v>50</v>
      </c>
      <c r="I123" s="37" t="s">
        <v>159</v>
      </c>
      <c r="J123" s="37">
        <v>5</v>
      </c>
      <c r="K123" s="16">
        <v>16</v>
      </c>
      <c r="L123" s="37">
        <v>40</v>
      </c>
      <c r="M123" s="37">
        <v>0</v>
      </c>
      <c r="N123" s="37">
        <v>0</v>
      </c>
      <c r="O123" s="37">
        <v>0</v>
      </c>
      <c r="P123">
        <v>9600</v>
      </c>
      <c r="Q123" s="37">
        <v>0</v>
      </c>
      <c r="R123" s="37">
        <v>0</v>
      </c>
      <c r="S123" s="37">
        <v>0</v>
      </c>
      <c r="T123" s="37">
        <v>0</v>
      </c>
      <c r="U123" s="37">
        <v>0</v>
      </c>
      <c r="V123" s="37">
        <v>0</v>
      </c>
      <c r="W123" s="37">
        <v>0</v>
      </c>
      <c r="X123" s="37">
        <v>7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28</v>
      </c>
      <c r="AG123" s="37">
        <v>0</v>
      </c>
      <c r="AH123" s="37">
        <v>7.0000000000000001E-3</v>
      </c>
      <c r="AI123" s="37">
        <v>0</v>
      </c>
      <c r="AJ123" s="37">
        <v>0</v>
      </c>
      <c r="AK123" s="118">
        <v>20043</v>
      </c>
      <c r="AL123" s="37">
        <v>4</v>
      </c>
      <c r="AM123" s="41">
        <f>INDEX(Sheet5!$B$19:$G$33,MATCH(Sheet1!AQ123,Sheet5!$A$19:$A$33,0),MATCH(J123,Sheet5!$B$18:$G$18,0))</f>
        <v>7500</v>
      </c>
      <c r="AN123" s="37" t="s">
        <v>48</v>
      </c>
      <c r="AO123" s="37" t="s">
        <v>756</v>
      </c>
      <c r="AP123" s="37">
        <v>20730</v>
      </c>
      <c r="AQ123" s="13">
        <v>150</v>
      </c>
    </row>
    <row r="124" spans="1:43" ht="16.5">
      <c r="A124" s="37">
        <v>2212</v>
      </c>
      <c r="B124" s="23" t="s">
        <v>1776</v>
      </c>
      <c r="C124" s="23" t="s">
        <v>167</v>
      </c>
      <c r="D124" s="19" t="s">
        <v>126</v>
      </c>
      <c r="E124" s="17">
        <v>11029</v>
      </c>
      <c r="F124" s="37">
        <v>10000</v>
      </c>
      <c r="G124" s="16">
        <v>300</v>
      </c>
      <c r="H124" s="16">
        <v>50</v>
      </c>
      <c r="I124" s="19" t="s">
        <v>718</v>
      </c>
      <c r="J124" s="37">
        <v>5</v>
      </c>
      <c r="K124" s="16">
        <v>16</v>
      </c>
      <c r="L124" s="16">
        <v>40</v>
      </c>
      <c r="M124" s="37">
        <v>0</v>
      </c>
      <c r="N124" s="37">
        <v>0</v>
      </c>
      <c r="O124">
        <v>640</v>
      </c>
      <c r="P124" s="37">
        <v>0</v>
      </c>
      <c r="Q124" s="16">
        <v>0</v>
      </c>
      <c r="R124" s="16">
        <v>0</v>
      </c>
      <c r="S124" s="16">
        <v>0</v>
      </c>
      <c r="T124" s="16">
        <v>0</v>
      </c>
      <c r="U124" s="16">
        <v>0</v>
      </c>
      <c r="V124" s="16">
        <v>0</v>
      </c>
      <c r="W124" s="16">
        <v>7</v>
      </c>
      <c r="X124" s="16">
        <v>0</v>
      </c>
      <c r="Y124" s="16">
        <v>0</v>
      </c>
      <c r="Z124" s="16">
        <v>0</v>
      </c>
      <c r="AA124" s="16">
        <v>0</v>
      </c>
      <c r="AB124" s="16">
        <v>0</v>
      </c>
      <c r="AC124" s="18">
        <v>0</v>
      </c>
      <c r="AD124" s="18">
        <v>0</v>
      </c>
      <c r="AE124" s="18">
        <v>28</v>
      </c>
      <c r="AF124" s="18">
        <v>0</v>
      </c>
      <c r="AG124" s="18">
        <v>0</v>
      </c>
      <c r="AH124" s="18">
        <v>0</v>
      </c>
      <c r="AI124" s="28">
        <v>0</v>
      </c>
      <c r="AJ124" s="18">
        <v>1.4E-2</v>
      </c>
      <c r="AK124" s="119">
        <v>20044</v>
      </c>
      <c r="AL124" s="16">
        <v>2</v>
      </c>
      <c r="AM124" s="41">
        <f>INDEX(Sheet5!$B$19:$G$33,MATCH(Sheet1!AQ124,Sheet5!$A$19:$A$33,0),MATCH(J124,Sheet5!$B$18:$G$18,0))</f>
        <v>500</v>
      </c>
      <c r="AN124" s="16" t="s">
        <v>48</v>
      </c>
      <c r="AO124" s="16" t="s">
        <v>749</v>
      </c>
      <c r="AP124" s="16">
        <v>1651</v>
      </c>
      <c r="AQ124" s="13">
        <v>10</v>
      </c>
    </row>
    <row r="125" spans="1:43" ht="16.5">
      <c r="A125" s="37">
        <v>2213</v>
      </c>
      <c r="B125" s="23" t="s">
        <v>1777</v>
      </c>
      <c r="C125" s="23" t="s">
        <v>167</v>
      </c>
      <c r="D125" s="19" t="s">
        <v>126</v>
      </c>
      <c r="E125" s="17">
        <v>11029</v>
      </c>
      <c r="F125" s="37">
        <v>10000</v>
      </c>
      <c r="G125" s="16">
        <v>300</v>
      </c>
      <c r="H125" s="16">
        <v>50</v>
      </c>
      <c r="I125" s="19" t="s">
        <v>718</v>
      </c>
      <c r="J125" s="37">
        <v>5</v>
      </c>
      <c r="K125" s="16">
        <v>16</v>
      </c>
      <c r="L125" s="16">
        <v>40</v>
      </c>
      <c r="M125" s="37">
        <v>0</v>
      </c>
      <c r="N125" s="37">
        <v>0</v>
      </c>
      <c r="O125">
        <v>1280</v>
      </c>
      <c r="P125" s="37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v>0</v>
      </c>
      <c r="W125" s="16">
        <v>7</v>
      </c>
      <c r="X125" s="16">
        <v>0</v>
      </c>
      <c r="Y125" s="16">
        <v>0</v>
      </c>
      <c r="Z125" s="16">
        <v>0</v>
      </c>
      <c r="AA125" s="16">
        <v>0</v>
      </c>
      <c r="AB125" s="16">
        <v>0</v>
      </c>
      <c r="AC125" s="18">
        <v>0</v>
      </c>
      <c r="AD125" s="18">
        <v>0</v>
      </c>
      <c r="AE125" s="18">
        <v>28</v>
      </c>
      <c r="AF125" s="18">
        <v>0</v>
      </c>
      <c r="AG125" s="18">
        <v>0</v>
      </c>
      <c r="AH125" s="18">
        <v>0</v>
      </c>
      <c r="AI125" s="28">
        <v>0</v>
      </c>
      <c r="AJ125" s="18">
        <v>1.4E-2</v>
      </c>
      <c r="AK125" s="119">
        <v>20045</v>
      </c>
      <c r="AL125" s="16">
        <v>2</v>
      </c>
      <c r="AM125" s="41">
        <f>INDEX(Sheet5!$B$19:$G$33,MATCH(Sheet1!AQ125,Sheet5!$A$19:$A$33,0),MATCH(J125,Sheet5!$B$18:$G$18,0))</f>
        <v>1000</v>
      </c>
      <c r="AN125" s="16" t="s">
        <v>48</v>
      </c>
      <c r="AO125" s="16" t="s">
        <v>749</v>
      </c>
      <c r="AP125" s="16">
        <v>1652</v>
      </c>
      <c r="AQ125" s="13">
        <v>20</v>
      </c>
    </row>
    <row r="126" spans="1:43" ht="16.5">
      <c r="A126" s="37">
        <v>2214</v>
      </c>
      <c r="B126" s="23" t="s">
        <v>1778</v>
      </c>
      <c r="C126" s="23" t="s">
        <v>167</v>
      </c>
      <c r="D126" s="19" t="s">
        <v>126</v>
      </c>
      <c r="E126" s="17">
        <v>11029</v>
      </c>
      <c r="F126" s="37">
        <v>10000</v>
      </c>
      <c r="G126" s="16">
        <v>300</v>
      </c>
      <c r="H126" s="16">
        <v>50</v>
      </c>
      <c r="I126" s="19" t="s">
        <v>718</v>
      </c>
      <c r="J126" s="37">
        <v>5</v>
      </c>
      <c r="K126" s="16">
        <v>16</v>
      </c>
      <c r="L126" s="16">
        <v>40</v>
      </c>
      <c r="M126" s="37">
        <v>0</v>
      </c>
      <c r="N126" s="37">
        <v>0</v>
      </c>
      <c r="O126">
        <v>1920</v>
      </c>
      <c r="P126" s="37">
        <v>0</v>
      </c>
      <c r="Q126" s="16">
        <v>0</v>
      </c>
      <c r="R126" s="16">
        <v>0</v>
      </c>
      <c r="S126" s="16">
        <v>0</v>
      </c>
      <c r="T126" s="16">
        <v>0</v>
      </c>
      <c r="U126" s="16">
        <v>0</v>
      </c>
      <c r="V126" s="16">
        <v>0</v>
      </c>
      <c r="W126" s="16">
        <v>7</v>
      </c>
      <c r="X126" s="16">
        <v>0</v>
      </c>
      <c r="Y126" s="16">
        <v>0</v>
      </c>
      <c r="Z126" s="16">
        <v>0</v>
      </c>
      <c r="AA126" s="16">
        <v>0</v>
      </c>
      <c r="AB126" s="16">
        <v>0</v>
      </c>
      <c r="AC126" s="18">
        <v>0</v>
      </c>
      <c r="AD126" s="18">
        <v>0</v>
      </c>
      <c r="AE126" s="18">
        <v>28</v>
      </c>
      <c r="AF126" s="18">
        <v>0</v>
      </c>
      <c r="AG126" s="18">
        <v>0</v>
      </c>
      <c r="AH126" s="18">
        <v>0</v>
      </c>
      <c r="AI126" s="28">
        <v>0</v>
      </c>
      <c r="AJ126" s="18">
        <v>1.4E-2</v>
      </c>
      <c r="AK126" s="119">
        <v>20046</v>
      </c>
      <c r="AL126" s="16">
        <v>2</v>
      </c>
      <c r="AM126" s="41">
        <f>INDEX(Sheet5!$B$19:$G$33,MATCH(Sheet1!AQ126,Sheet5!$A$19:$A$33,0),MATCH(J126,Sheet5!$B$18:$G$18,0))</f>
        <v>1500</v>
      </c>
      <c r="AN126" s="16" t="s">
        <v>48</v>
      </c>
      <c r="AO126" s="16" t="s">
        <v>749</v>
      </c>
      <c r="AP126" s="16">
        <v>1653</v>
      </c>
      <c r="AQ126" s="13">
        <v>30</v>
      </c>
    </row>
    <row r="127" spans="1:43" ht="16.5">
      <c r="A127" s="37">
        <v>2215</v>
      </c>
      <c r="B127" s="23" t="s">
        <v>1779</v>
      </c>
      <c r="C127" s="23" t="s">
        <v>167</v>
      </c>
      <c r="D127" s="19" t="s">
        <v>126</v>
      </c>
      <c r="E127" s="17">
        <v>11029</v>
      </c>
      <c r="F127" s="37">
        <v>10000</v>
      </c>
      <c r="G127" s="16">
        <v>300</v>
      </c>
      <c r="H127" s="16">
        <v>50</v>
      </c>
      <c r="I127" s="19" t="s">
        <v>718</v>
      </c>
      <c r="J127" s="37">
        <v>5</v>
      </c>
      <c r="K127" s="16">
        <v>16</v>
      </c>
      <c r="L127" s="16">
        <v>40</v>
      </c>
      <c r="M127" s="37">
        <v>0</v>
      </c>
      <c r="N127" s="37">
        <v>0</v>
      </c>
      <c r="O127">
        <v>2560</v>
      </c>
      <c r="P127" s="37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v>0</v>
      </c>
      <c r="W127" s="16">
        <v>7</v>
      </c>
      <c r="X127" s="16">
        <v>0</v>
      </c>
      <c r="Y127" s="16">
        <v>0</v>
      </c>
      <c r="Z127" s="16">
        <v>0</v>
      </c>
      <c r="AA127" s="16">
        <v>0</v>
      </c>
      <c r="AB127" s="16">
        <v>0</v>
      </c>
      <c r="AC127" s="18">
        <v>0</v>
      </c>
      <c r="AD127" s="18">
        <v>0</v>
      </c>
      <c r="AE127" s="18">
        <v>28</v>
      </c>
      <c r="AF127" s="18">
        <v>0</v>
      </c>
      <c r="AG127" s="18">
        <v>0</v>
      </c>
      <c r="AH127" s="18">
        <v>0</v>
      </c>
      <c r="AI127" s="28">
        <v>0</v>
      </c>
      <c r="AJ127" s="18">
        <v>1.4E-2</v>
      </c>
      <c r="AK127" s="119">
        <v>20047</v>
      </c>
      <c r="AL127" s="16">
        <v>2</v>
      </c>
      <c r="AM127" s="41">
        <f>INDEX(Sheet5!$B$19:$G$33,MATCH(Sheet1!AQ127,Sheet5!$A$19:$A$33,0),MATCH(J127,Sheet5!$B$18:$G$18,0))</f>
        <v>2000</v>
      </c>
      <c r="AN127" s="16" t="s">
        <v>48</v>
      </c>
      <c r="AO127" s="16" t="s">
        <v>749</v>
      </c>
      <c r="AP127" s="16">
        <v>1654</v>
      </c>
      <c r="AQ127" s="13">
        <v>40</v>
      </c>
    </row>
    <row r="128" spans="1:43" s="87" customFormat="1" ht="16.5">
      <c r="A128" s="88">
        <v>2065</v>
      </c>
      <c r="B128" s="88" t="s">
        <v>1780</v>
      </c>
      <c r="C128" s="88" t="s">
        <v>167</v>
      </c>
      <c r="D128" s="88" t="s">
        <v>126</v>
      </c>
      <c r="E128" s="89">
        <v>11029</v>
      </c>
      <c r="F128" s="88">
        <v>10000</v>
      </c>
      <c r="G128" s="88">
        <v>300</v>
      </c>
      <c r="H128" s="88">
        <v>50</v>
      </c>
      <c r="I128" s="88" t="s">
        <v>718</v>
      </c>
      <c r="J128" s="88">
        <v>5</v>
      </c>
      <c r="K128" s="88">
        <v>16</v>
      </c>
      <c r="L128" s="88">
        <v>40</v>
      </c>
      <c r="M128" s="88">
        <v>0</v>
      </c>
      <c r="N128" s="88">
        <v>0</v>
      </c>
      <c r="O128">
        <v>3200</v>
      </c>
      <c r="P128" s="88">
        <v>0</v>
      </c>
      <c r="Q128" s="88">
        <v>0</v>
      </c>
      <c r="R128" s="88">
        <v>0</v>
      </c>
      <c r="S128" s="88">
        <v>0</v>
      </c>
      <c r="T128" s="88">
        <v>0</v>
      </c>
      <c r="U128" s="88">
        <v>0</v>
      </c>
      <c r="V128" s="88">
        <v>0</v>
      </c>
      <c r="W128" s="88">
        <v>7</v>
      </c>
      <c r="X128" s="88">
        <v>0</v>
      </c>
      <c r="Y128" s="88">
        <v>0</v>
      </c>
      <c r="Z128" s="88">
        <v>0</v>
      </c>
      <c r="AA128" s="88">
        <v>0</v>
      </c>
      <c r="AB128" s="88">
        <v>0</v>
      </c>
      <c r="AC128" s="88">
        <v>0</v>
      </c>
      <c r="AD128" s="88">
        <v>0</v>
      </c>
      <c r="AE128" s="88">
        <v>28</v>
      </c>
      <c r="AF128" s="88">
        <v>0</v>
      </c>
      <c r="AG128" s="88">
        <v>0</v>
      </c>
      <c r="AH128" s="88">
        <v>0</v>
      </c>
      <c r="AI128" s="90">
        <v>0</v>
      </c>
      <c r="AJ128" s="88">
        <v>1.4E-2</v>
      </c>
      <c r="AK128" s="119">
        <v>20048</v>
      </c>
      <c r="AL128" s="88">
        <v>2</v>
      </c>
      <c r="AM128" s="41">
        <f>INDEX(Sheet5!$B$19:$G$33,MATCH(Sheet1!AQ128,Sheet5!$A$19:$A$33,0),MATCH(J128,Sheet5!$B$18:$G$18,0))</f>
        <v>2500</v>
      </c>
      <c r="AN128" s="88" t="s">
        <v>1486</v>
      </c>
      <c r="AO128" s="88" t="s">
        <v>749</v>
      </c>
      <c r="AP128" s="88">
        <v>2065</v>
      </c>
      <c r="AQ128" s="13">
        <v>50</v>
      </c>
    </row>
    <row r="129" spans="1:43" ht="16.5">
      <c r="A129" s="16">
        <v>2216</v>
      </c>
      <c r="B129" s="23" t="s">
        <v>1781</v>
      </c>
      <c r="C129" s="23" t="s">
        <v>167</v>
      </c>
      <c r="D129" s="19" t="s">
        <v>126</v>
      </c>
      <c r="E129" s="17">
        <v>11029</v>
      </c>
      <c r="F129" s="37">
        <v>10000</v>
      </c>
      <c r="G129" s="16">
        <v>300</v>
      </c>
      <c r="H129" s="16">
        <v>50</v>
      </c>
      <c r="I129" s="19" t="s">
        <v>718</v>
      </c>
      <c r="J129" s="37">
        <v>5</v>
      </c>
      <c r="K129" s="16">
        <v>16</v>
      </c>
      <c r="L129" s="16">
        <v>40</v>
      </c>
      <c r="M129" s="37">
        <v>0</v>
      </c>
      <c r="N129" s="37">
        <v>0</v>
      </c>
      <c r="O129">
        <v>3840</v>
      </c>
      <c r="P129" s="37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v>0</v>
      </c>
      <c r="W129" s="16">
        <v>7</v>
      </c>
      <c r="X129" s="16">
        <v>0</v>
      </c>
      <c r="Y129" s="16">
        <v>0</v>
      </c>
      <c r="Z129" s="16">
        <v>0</v>
      </c>
      <c r="AA129" s="16">
        <v>0</v>
      </c>
      <c r="AB129" s="16">
        <v>0</v>
      </c>
      <c r="AC129" s="18">
        <v>0</v>
      </c>
      <c r="AD129" s="18">
        <v>0</v>
      </c>
      <c r="AE129" s="18">
        <v>28</v>
      </c>
      <c r="AF129" s="18">
        <v>0</v>
      </c>
      <c r="AG129" s="18">
        <v>0</v>
      </c>
      <c r="AH129" s="18">
        <v>0</v>
      </c>
      <c r="AI129" s="28">
        <v>0</v>
      </c>
      <c r="AJ129" s="18">
        <v>1.4E-2</v>
      </c>
      <c r="AK129" s="119">
        <v>20049</v>
      </c>
      <c r="AL129" s="16">
        <v>2</v>
      </c>
      <c r="AM129" s="41">
        <f>INDEX(Sheet5!$B$19:$G$33,MATCH(Sheet1!AQ129,Sheet5!$A$19:$A$33,0),MATCH(J129,Sheet5!$B$18:$G$18,0))</f>
        <v>3000</v>
      </c>
      <c r="AN129" s="16" t="s">
        <v>48</v>
      </c>
      <c r="AO129" s="16" t="s">
        <v>749</v>
      </c>
      <c r="AP129" s="16">
        <v>20651</v>
      </c>
      <c r="AQ129" s="13">
        <v>60</v>
      </c>
    </row>
    <row r="130" spans="1:43" ht="16.5">
      <c r="A130" s="16">
        <v>2217</v>
      </c>
      <c r="B130" s="23" t="s">
        <v>1782</v>
      </c>
      <c r="C130" s="23" t="s">
        <v>167</v>
      </c>
      <c r="D130" s="19" t="s">
        <v>126</v>
      </c>
      <c r="E130" s="17">
        <v>11029</v>
      </c>
      <c r="F130" s="37">
        <v>10000</v>
      </c>
      <c r="G130" s="16">
        <v>300</v>
      </c>
      <c r="H130" s="16">
        <v>50</v>
      </c>
      <c r="I130" s="19" t="s">
        <v>718</v>
      </c>
      <c r="J130" s="37">
        <v>5</v>
      </c>
      <c r="K130" s="16">
        <v>16</v>
      </c>
      <c r="L130" s="16">
        <v>40</v>
      </c>
      <c r="M130" s="37">
        <v>0</v>
      </c>
      <c r="N130" s="37">
        <v>0</v>
      </c>
      <c r="O130">
        <v>4480</v>
      </c>
      <c r="P130" s="37">
        <v>0</v>
      </c>
      <c r="Q130" s="16">
        <v>0</v>
      </c>
      <c r="R130" s="16">
        <v>0</v>
      </c>
      <c r="S130" s="16">
        <v>0</v>
      </c>
      <c r="T130" s="16">
        <v>0</v>
      </c>
      <c r="U130" s="16">
        <v>0</v>
      </c>
      <c r="V130" s="16">
        <v>0</v>
      </c>
      <c r="W130" s="16">
        <v>7</v>
      </c>
      <c r="X130" s="16">
        <v>0</v>
      </c>
      <c r="Y130" s="16">
        <v>0</v>
      </c>
      <c r="Z130" s="16">
        <v>0</v>
      </c>
      <c r="AA130" s="16">
        <v>0</v>
      </c>
      <c r="AB130" s="16">
        <v>0</v>
      </c>
      <c r="AC130" s="18">
        <v>0</v>
      </c>
      <c r="AD130" s="18">
        <v>0</v>
      </c>
      <c r="AE130" s="18">
        <v>28</v>
      </c>
      <c r="AF130" s="18">
        <v>0</v>
      </c>
      <c r="AG130" s="18">
        <v>0</v>
      </c>
      <c r="AH130" s="18">
        <v>0</v>
      </c>
      <c r="AI130" s="28">
        <v>0</v>
      </c>
      <c r="AJ130" s="18">
        <v>1.4E-2</v>
      </c>
      <c r="AK130" s="119">
        <v>20050</v>
      </c>
      <c r="AL130" s="16">
        <v>2</v>
      </c>
      <c r="AM130" s="41">
        <f>INDEX(Sheet5!$B$19:$G$33,MATCH(Sheet1!AQ130,Sheet5!$A$19:$A$33,0),MATCH(J130,Sheet5!$B$18:$G$18,0))</f>
        <v>3500</v>
      </c>
      <c r="AN130" s="16" t="s">
        <v>48</v>
      </c>
      <c r="AO130" s="16" t="s">
        <v>749</v>
      </c>
      <c r="AP130" s="16">
        <v>20652</v>
      </c>
      <c r="AQ130" s="13">
        <v>70</v>
      </c>
    </row>
    <row r="131" spans="1:43" ht="16.5">
      <c r="A131" s="16">
        <v>2218</v>
      </c>
      <c r="B131" s="23" t="s">
        <v>1783</v>
      </c>
      <c r="C131" s="23" t="s">
        <v>167</v>
      </c>
      <c r="D131" s="19" t="s">
        <v>126</v>
      </c>
      <c r="E131" s="17">
        <v>11029</v>
      </c>
      <c r="F131" s="37">
        <v>10000</v>
      </c>
      <c r="G131" s="16">
        <v>300</v>
      </c>
      <c r="H131" s="16">
        <v>50</v>
      </c>
      <c r="I131" s="19" t="s">
        <v>718</v>
      </c>
      <c r="J131" s="37">
        <v>5</v>
      </c>
      <c r="K131" s="16">
        <v>16</v>
      </c>
      <c r="L131" s="16">
        <v>40</v>
      </c>
      <c r="M131" s="37">
        <v>0</v>
      </c>
      <c r="N131" s="37">
        <v>0</v>
      </c>
      <c r="O131">
        <v>5120</v>
      </c>
      <c r="P131" s="37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v>0</v>
      </c>
      <c r="W131" s="16">
        <v>7</v>
      </c>
      <c r="X131" s="16">
        <v>0</v>
      </c>
      <c r="Y131" s="16">
        <v>0</v>
      </c>
      <c r="Z131" s="16">
        <v>0</v>
      </c>
      <c r="AA131" s="16">
        <v>0</v>
      </c>
      <c r="AB131" s="16">
        <v>0</v>
      </c>
      <c r="AC131" s="18">
        <v>0</v>
      </c>
      <c r="AD131" s="18">
        <v>0</v>
      </c>
      <c r="AE131" s="18">
        <v>28</v>
      </c>
      <c r="AF131" s="18">
        <v>0</v>
      </c>
      <c r="AG131" s="18">
        <v>0</v>
      </c>
      <c r="AH131" s="18">
        <v>0</v>
      </c>
      <c r="AI131" s="28">
        <v>0</v>
      </c>
      <c r="AJ131" s="18">
        <v>1.4E-2</v>
      </c>
      <c r="AK131" s="119">
        <v>20051</v>
      </c>
      <c r="AL131" s="16">
        <v>2</v>
      </c>
      <c r="AM131" s="41">
        <f>INDEX(Sheet5!$B$19:$G$33,MATCH(Sheet1!AQ131,Sheet5!$A$19:$A$33,0),MATCH(J131,Sheet5!$B$18:$G$18,0))</f>
        <v>4000</v>
      </c>
      <c r="AN131" s="16" t="s">
        <v>48</v>
      </c>
      <c r="AO131" s="16" t="s">
        <v>749</v>
      </c>
      <c r="AP131" s="16">
        <v>20653</v>
      </c>
      <c r="AQ131" s="13">
        <v>80</v>
      </c>
    </row>
    <row r="132" spans="1:43" ht="16.5">
      <c r="A132" s="16">
        <v>2219</v>
      </c>
      <c r="B132" s="23" t="s">
        <v>1784</v>
      </c>
      <c r="C132" s="23" t="s">
        <v>167</v>
      </c>
      <c r="D132" s="19" t="s">
        <v>126</v>
      </c>
      <c r="E132" s="17">
        <v>11029</v>
      </c>
      <c r="F132" s="37">
        <v>10000</v>
      </c>
      <c r="G132" s="16">
        <v>300</v>
      </c>
      <c r="H132" s="16">
        <v>50</v>
      </c>
      <c r="I132" s="19" t="s">
        <v>718</v>
      </c>
      <c r="J132" s="37">
        <v>5</v>
      </c>
      <c r="K132" s="16">
        <v>16</v>
      </c>
      <c r="L132" s="16">
        <v>40</v>
      </c>
      <c r="M132" s="37">
        <v>0</v>
      </c>
      <c r="N132" s="37">
        <v>0</v>
      </c>
      <c r="O132">
        <v>5760</v>
      </c>
      <c r="P132" s="37">
        <v>0</v>
      </c>
      <c r="Q132" s="16">
        <v>0</v>
      </c>
      <c r="R132" s="16">
        <v>0</v>
      </c>
      <c r="S132" s="16">
        <v>0</v>
      </c>
      <c r="T132" s="16">
        <v>0</v>
      </c>
      <c r="U132" s="16">
        <v>0</v>
      </c>
      <c r="V132" s="16">
        <v>0</v>
      </c>
      <c r="W132" s="16">
        <v>7</v>
      </c>
      <c r="X132" s="16">
        <v>0</v>
      </c>
      <c r="Y132" s="16">
        <v>0</v>
      </c>
      <c r="Z132" s="16">
        <v>0</v>
      </c>
      <c r="AA132" s="16">
        <v>0</v>
      </c>
      <c r="AB132" s="16">
        <v>0</v>
      </c>
      <c r="AC132" s="18">
        <v>0</v>
      </c>
      <c r="AD132" s="18">
        <v>0</v>
      </c>
      <c r="AE132" s="18">
        <v>28</v>
      </c>
      <c r="AF132" s="18">
        <v>0</v>
      </c>
      <c r="AG132" s="18">
        <v>0</v>
      </c>
      <c r="AH132" s="18">
        <v>0</v>
      </c>
      <c r="AI132" s="28">
        <v>0</v>
      </c>
      <c r="AJ132" s="18">
        <v>1.4E-2</v>
      </c>
      <c r="AK132" s="119">
        <v>20052</v>
      </c>
      <c r="AL132" s="16">
        <v>2</v>
      </c>
      <c r="AM132" s="41">
        <f>INDEX(Sheet5!$B$19:$G$33,MATCH(Sheet1!AQ132,Sheet5!$A$19:$A$33,0),MATCH(J132,Sheet5!$B$18:$G$18,0))</f>
        <v>4500</v>
      </c>
      <c r="AN132" s="16" t="s">
        <v>48</v>
      </c>
      <c r="AO132" s="16" t="s">
        <v>749</v>
      </c>
      <c r="AP132" s="16">
        <v>20654</v>
      </c>
      <c r="AQ132" s="13">
        <v>90</v>
      </c>
    </row>
    <row r="133" spans="1:43" ht="16.5">
      <c r="A133" s="16">
        <v>2220</v>
      </c>
      <c r="B133" s="23" t="s">
        <v>1785</v>
      </c>
      <c r="C133" s="23" t="s">
        <v>167</v>
      </c>
      <c r="D133" s="19" t="s">
        <v>126</v>
      </c>
      <c r="E133" s="17">
        <v>11029</v>
      </c>
      <c r="F133" s="37">
        <v>10000</v>
      </c>
      <c r="G133" s="16">
        <v>300</v>
      </c>
      <c r="H133" s="16">
        <v>50</v>
      </c>
      <c r="I133" s="19" t="s">
        <v>718</v>
      </c>
      <c r="J133" s="37">
        <v>5</v>
      </c>
      <c r="K133" s="16">
        <v>16</v>
      </c>
      <c r="L133" s="16">
        <v>40</v>
      </c>
      <c r="M133" s="37">
        <v>0</v>
      </c>
      <c r="N133" s="37">
        <v>0</v>
      </c>
      <c r="O133">
        <v>6400</v>
      </c>
      <c r="P133" s="37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v>0</v>
      </c>
      <c r="W133" s="16">
        <v>7</v>
      </c>
      <c r="X133" s="16">
        <v>0</v>
      </c>
      <c r="Y133" s="16">
        <v>0</v>
      </c>
      <c r="Z133" s="16">
        <v>0</v>
      </c>
      <c r="AA133" s="16">
        <v>0</v>
      </c>
      <c r="AB133" s="16">
        <v>0</v>
      </c>
      <c r="AC133" s="18">
        <v>0</v>
      </c>
      <c r="AD133" s="18">
        <v>0</v>
      </c>
      <c r="AE133" s="18">
        <v>28</v>
      </c>
      <c r="AF133" s="18">
        <v>0</v>
      </c>
      <c r="AG133" s="18">
        <v>0</v>
      </c>
      <c r="AH133" s="18">
        <v>0</v>
      </c>
      <c r="AI133" s="28">
        <v>0</v>
      </c>
      <c r="AJ133" s="18">
        <v>1.4E-2</v>
      </c>
      <c r="AK133" s="119">
        <v>20053</v>
      </c>
      <c r="AL133" s="16">
        <v>2</v>
      </c>
      <c r="AM133" s="41">
        <f>INDEX(Sheet5!$B$19:$G$33,MATCH(Sheet1!AQ133,Sheet5!$A$19:$A$33,0),MATCH(J133,Sheet5!$B$18:$G$18,0))</f>
        <v>5000</v>
      </c>
      <c r="AN133" s="16" t="s">
        <v>48</v>
      </c>
      <c r="AO133" s="16" t="s">
        <v>749</v>
      </c>
      <c r="AP133" s="16">
        <v>20655</v>
      </c>
      <c r="AQ133" s="13">
        <v>100</v>
      </c>
    </row>
    <row r="134" spans="1:43" ht="16.5">
      <c r="A134" s="16">
        <v>2221</v>
      </c>
      <c r="B134" s="23" t="s">
        <v>1786</v>
      </c>
      <c r="C134" s="23" t="s">
        <v>167</v>
      </c>
      <c r="D134" s="19" t="s">
        <v>126</v>
      </c>
      <c r="E134" s="17">
        <v>11029</v>
      </c>
      <c r="F134" s="37">
        <v>10000</v>
      </c>
      <c r="G134" s="16">
        <v>300</v>
      </c>
      <c r="H134" s="16">
        <v>50</v>
      </c>
      <c r="I134" s="19" t="s">
        <v>718</v>
      </c>
      <c r="J134" s="37">
        <v>5</v>
      </c>
      <c r="K134" s="16">
        <v>16</v>
      </c>
      <c r="L134" s="16">
        <v>40</v>
      </c>
      <c r="M134" s="37">
        <v>0</v>
      </c>
      <c r="N134" s="37">
        <v>0</v>
      </c>
      <c r="O134">
        <v>7040</v>
      </c>
      <c r="P134" s="37">
        <v>0</v>
      </c>
      <c r="Q134" s="16">
        <v>0</v>
      </c>
      <c r="R134" s="16">
        <v>0</v>
      </c>
      <c r="S134" s="16">
        <v>0</v>
      </c>
      <c r="T134" s="16">
        <v>0</v>
      </c>
      <c r="U134" s="16">
        <v>0</v>
      </c>
      <c r="V134" s="16">
        <v>0</v>
      </c>
      <c r="W134" s="16">
        <v>7</v>
      </c>
      <c r="X134" s="16">
        <v>0</v>
      </c>
      <c r="Y134" s="16">
        <v>0</v>
      </c>
      <c r="Z134" s="16">
        <v>0</v>
      </c>
      <c r="AA134" s="16">
        <v>0</v>
      </c>
      <c r="AB134" s="16">
        <v>0</v>
      </c>
      <c r="AC134" s="18">
        <v>0</v>
      </c>
      <c r="AD134" s="18">
        <v>0</v>
      </c>
      <c r="AE134" s="18">
        <v>28</v>
      </c>
      <c r="AF134" s="18">
        <v>0</v>
      </c>
      <c r="AG134" s="18">
        <v>0</v>
      </c>
      <c r="AH134" s="18">
        <v>0</v>
      </c>
      <c r="AI134" s="28">
        <v>0</v>
      </c>
      <c r="AJ134" s="18">
        <v>1.4E-2</v>
      </c>
      <c r="AK134" s="119">
        <v>20054</v>
      </c>
      <c r="AL134" s="16">
        <v>2</v>
      </c>
      <c r="AM134" s="41">
        <f>INDEX(Sheet5!$B$19:$G$33,MATCH(Sheet1!AQ134,Sheet5!$A$19:$A$33,0),MATCH(J134,Sheet5!$B$18:$G$18,0))</f>
        <v>5500</v>
      </c>
      <c r="AN134" s="16" t="s">
        <v>48</v>
      </c>
      <c r="AO134" s="16" t="s">
        <v>749</v>
      </c>
      <c r="AP134" s="16">
        <v>20656</v>
      </c>
      <c r="AQ134" s="13">
        <v>110</v>
      </c>
    </row>
    <row r="135" spans="1:43" ht="16.5">
      <c r="A135" s="16">
        <v>2222</v>
      </c>
      <c r="B135" s="23" t="s">
        <v>1787</v>
      </c>
      <c r="C135" s="23" t="s">
        <v>167</v>
      </c>
      <c r="D135" s="19" t="s">
        <v>126</v>
      </c>
      <c r="E135" s="17">
        <v>11029</v>
      </c>
      <c r="F135" s="37">
        <v>10000</v>
      </c>
      <c r="G135" s="16">
        <v>300</v>
      </c>
      <c r="H135" s="16">
        <v>50</v>
      </c>
      <c r="I135" s="19" t="s">
        <v>718</v>
      </c>
      <c r="J135" s="37">
        <v>5</v>
      </c>
      <c r="K135" s="16">
        <v>16</v>
      </c>
      <c r="L135" s="16">
        <v>40</v>
      </c>
      <c r="M135" s="37">
        <v>0</v>
      </c>
      <c r="N135" s="37">
        <v>0</v>
      </c>
      <c r="O135">
        <v>7680</v>
      </c>
      <c r="P135" s="37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v>0</v>
      </c>
      <c r="W135" s="16">
        <v>7</v>
      </c>
      <c r="X135" s="16">
        <v>0</v>
      </c>
      <c r="Y135" s="16">
        <v>0</v>
      </c>
      <c r="Z135" s="16">
        <v>0</v>
      </c>
      <c r="AA135" s="16">
        <v>0</v>
      </c>
      <c r="AB135" s="16">
        <v>0</v>
      </c>
      <c r="AC135" s="18">
        <v>0</v>
      </c>
      <c r="AD135" s="18">
        <v>0</v>
      </c>
      <c r="AE135" s="18">
        <v>28</v>
      </c>
      <c r="AF135" s="18">
        <v>0</v>
      </c>
      <c r="AG135" s="18">
        <v>0</v>
      </c>
      <c r="AH135" s="18">
        <v>0</v>
      </c>
      <c r="AI135" s="28">
        <v>0</v>
      </c>
      <c r="AJ135" s="18">
        <v>1.4E-2</v>
      </c>
      <c r="AK135" s="119">
        <v>20055</v>
      </c>
      <c r="AL135" s="16">
        <v>2</v>
      </c>
      <c r="AM135" s="41">
        <f>INDEX(Sheet5!$B$19:$G$33,MATCH(Sheet1!AQ135,Sheet5!$A$19:$A$33,0),MATCH(J135,Sheet5!$B$18:$G$18,0))</f>
        <v>6000</v>
      </c>
      <c r="AN135" s="16" t="s">
        <v>48</v>
      </c>
      <c r="AO135" s="16" t="s">
        <v>749</v>
      </c>
      <c r="AP135" s="16">
        <v>20657</v>
      </c>
      <c r="AQ135" s="13">
        <v>120</v>
      </c>
    </row>
    <row r="136" spans="1:43" ht="16.5">
      <c r="A136" s="16">
        <v>2223</v>
      </c>
      <c r="B136" s="23" t="s">
        <v>1788</v>
      </c>
      <c r="C136" s="23" t="s">
        <v>167</v>
      </c>
      <c r="D136" s="19" t="s">
        <v>126</v>
      </c>
      <c r="E136" s="17">
        <v>11029</v>
      </c>
      <c r="F136" s="37">
        <v>10000</v>
      </c>
      <c r="G136" s="16">
        <v>300</v>
      </c>
      <c r="H136" s="16">
        <v>50</v>
      </c>
      <c r="I136" s="19" t="s">
        <v>718</v>
      </c>
      <c r="J136" s="37">
        <v>5</v>
      </c>
      <c r="K136" s="16">
        <v>16</v>
      </c>
      <c r="L136" s="16">
        <v>40</v>
      </c>
      <c r="M136" s="37">
        <v>0</v>
      </c>
      <c r="N136" s="37">
        <v>0</v>
      </c>
      <c r="O136">
        <v>8320</v>
      </c>
      <c r="P136" s="37">
        <v>0</v>
      </c>
      <c r="Q136" s="16">
        <v>0</v>
      </c>
      <c r="R136" s="16">
        <v>0</v>
      </c>
      <c r="S136" s="16">
        <v>0</v>
      </c>
      <c r="T136" s="16">
        <v>0</v>
      </c>
      <c r="U136" s="16">
        <v>0</v>
      </c>
      <c r="V136" s="16">
        <v>0</v>
      </c>
      <c r="W136" s="16">
        <v>7</v>
      </c>
      <c r="X136" s="16">
        <v>0</v>
      </c>
      <c r="Y136" s="16">
        <v>0</v>
      </c>
      <c r="Z136" s="16">
        <v>0</v>
      </c>
      <c r="AA136" s="16">
        <v>0</v>
      </c>
      <c r="AB136" s="16">
        <v>0</v>
      </c>
      <c r="AC136" s="18">
        <v>0</v>
      </c>
      <c r="AD136" s="18">
        <v>0</v>
      </c>
      <c r="AE136" s="18">
        <v>28</v>
      </c>
      <c r="AF136" s="18">
        <v>0</v>
      </c>
      <c r="AG136" s="18">
        <v>0</v>
      </c>
      <c r="AH136" s="18">
        <v>0</v>
      </c>
      <c r="AI136" s="28">
        <v>0</v>
      </c>
      <c r="AJ136" s="18">
        <v>1.4E-2</v>
      </c>
      <c r="AK136" s="119">
        <v>20056</v>
      </c>
      <c r="AL136" s="16">
        <v>2</v>
      </c>
      <c r="AM136" s="41">
        <f>INDEX(Sheet5!$B$19:$G$33,MATCH(Sheet1!AQ136,Sheet5!$A$19:$A$33,0),MATCH(J136,Sheet5!$B$18:$G$18,0))</f>
        <v>6500</v>
      </c>
      <c r="AN136" s="16" t="s">
        <v>48</v>
      </c>
      <c r="AO136" s="16" t="s">
        <v>749</v>
      </c>
      <c r="AP136" s="16">
        <v>20658</v>
      </c>
      <c r="AQ136" s="13">
        <v>130</v>
      </c>
    </row>
    <row r="137" spans="1:43" ht="16.5">
      <c r="A137" s="16">
        <v>2224</v>
      </c>
      <c r="B137" s="23" t="s">
        <v>1789</v>
      </c>
      <c r="C137" s="23" t="s">
        <v>167</v>
      </c>
      <c r="D137" s="19" t="s">
        <v>126</v>
      </c>
      <c r="E137" s="17">
        <v>11029</v>
      </c>
      <c r="F137" s="37">
        <v>10000</v>
      </c>
      <c r="G137" s="16">
        <v>300</v>
      </c>
      <c r="H137" s="16">
        <v>50</v>
      </c>
      <c r="I137" s="19" t="s">
        <v>718</v>
      </c>
      <c r="J137" s="37">
        <v>5</v>
      </c>
      <c r="K137" s="16">
        <v>16</v>
      </c>
      <c r="L137" s="16">
        <v>40</v>
      </c>
      <c r="M137" s="37">
        <v>0</v>
      </c>
      <c r="N137" s="37">
        <v>0</v>
      </c>
      <c r="O137">
        <v>8960</v>
      </c>
      <c r="P137" s="37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v>0</v>
      </c>
      <c r="W137" s="16">
        <v>7</v>
      </c>
      <c r="X137" s="16">
        <v>0</v>
      </c>
      <c r="Y137" s="16">
        <v>0</v>
      </c>
      <c r="Z137" s="16">
        <v>0</v>
      </c>
      <c r="AA137" s="16">
        <v>0</v>
      </c>
      <c r="AB137" s="16">
        <v>0</v>
      </c>
      <c r="AC137" s="18">
        <v>0</v>
      </c>
      <c r="AD137" s="18">
        <v>0</v>
      </c>
      <c r="AE137" s="18">
        <v>28</v>
      </c>
      <c r="AF137" s="18">
        <v>0</v>
      </c>
      <c r="AG137" s="18">
        <v>0</v>
      </c>
      <c r="AH137" s="18">
        <v>0</v>
      </c>
      <c r="AI137" s="28">
        <v>0</v>
      </c>
      <c r="AJ137" s="18">
        <v>1.4E-2</v>
      </c>
      <c r="AK137" s="119">
        <v>20057</v>
      </c>
      <c r="AL137" s="16">
        <v>2</v>
      </c>
      <c r="AM137" s="41">
        <f>INDEX(Sheet5!$B$19:$G$33,MATCH(Sheet1!AQ137,Sheet5!$A$19:$A$33,0),MATCH(J137,Sheet5!$B$18:$G$18,0))</f>
        <v>7000</v>
      </c>
      <c r="AN137" s="16" t="s">
        <v>48</v>
      </c>
      <c r="AO137" s="16" t="s">
        <v>749</v>
      </c>
      <c r="AP137" s="16">
        <v>20659</v>
      </c>
      <c r="AQ137" s="13">
        <v>140</v>
      </c>
    </row>
    <row r="138" spans="1:43" ht="16.5">
      <c r="A138" s="16">
        <v>2225</v>
      </c>
      <c r="B138" s="23" t="s">
        <v>1790</v>
      </c>
      <c r="C138" s="23" t="s">
        <v>167</v>
      </c>
      <c r="D138" s="19" t="s">
        <v>126</v>
      </c>
      <c r="E138" s="17">
        <v>11029</v>
      </c>
      <c r="F138" s="37">
        <v>10000</v>
      </c>
      <c r="G138" s="16">
        <v>300</v>
      </c>
      <c r="H138" s="16">
        <v>50</v>
      </c>
      <c r="I138" s="19" t="s">
        <v>718</v>
      </c>
      <c r="J138" s="37">
        <v>5</v>
      </c>
      <c r="K138" s="16">
        <v>16</v>
      </c>
      <c r="L138" s="16">
        <v>40</v>
      </c>
      <c r="M138" s="37">
        <v>0</v>
      </c>
      <c r="N138" s="37">
        <v>0</v>
      </c>
      <c r="O138">
        <v>9600</v>
      </c>
      <c r="P138" s="37">
        <v>0</v>
      </c>
      <c r="Q138" s="16">
        <v>0</v>
      </c>
      <c r="R138" s="16">
        <v>0</v>
      </c>
      <c r="S138" s="16">
        <v>0</v>
      </c>
      <c r="T138" s="16">
        <v>0</v>
      </c>
      <c r="U138" s="16">
        <v>0</v>
      </c>
      <c r="V138" s="16">
        <v>0</v>
      </c>
      <c r="W138" s="16">
        <v>7</v>
      </c>
      <c r="X138" s="16">
        <v>0</v>
      </c>
      <c r="Y138" s="16">
        <v>0</v>
      </c>
      <c r="Z138" s="16">
        <v>0</v>
      </c>
      <c r="AA138" s="16">
        <v>0</v>
      </c>
      <c r="AB138" s="16">
        <v>0</v>
      </c>
      <c r="AC138" s="18">
        <v>0</v>
      </c>
      <c r="AD138" s="18">
        <v>0</v>
      </c>
      <c r="AE138" s="18">
        <v>28</v>
      </c>
      <c r="AF138" s="18">
        <v>0</v>
      </c>
      <c r="AG138" s="18">
        <v>0</v>
      </c>
      <c r="AH138" s="18">
        <v>0</v>
      </c>
      <c r="AI138" s="28">
        <v>0</v>
      </c>
      <c r="AJ138" s="18">
        <v>1.4E-2</v>
      </c>
      <c r="AK138" s="119">
        <v>20058</v>
      </c>
      <c r="AL138" s="16">
        <v>2</v>
      </c>
      <c r="AM138" s="41">
        <f>INDEX(Sheet5!$B$19:$G$33,MATCH(Sheet1!AQ138,Sheet5!$A$19:$A$33,0),MATCH(J138,Sheet5!$B$18:$G$18,0))</f>
        <v>7500</v>
      </c>
      <c r="AN138" s="16" t="s">
        <v>48</v>
      </c>
      <c r="AO138" s="16" t="s">
        <v>749</v>
      </c>
      <c r="AP138" s="16">
        <v>20660</v>
      </c>
      <c r="AQ138" s="13">
        <v>150</v>
      </c>
    </row>
    <row r="139" spans="1:43" ht="16.5">
      <c r="A139" s="16">
        <v>2226</v>
      </c>
      <c r="B139" s="23" t="s">
        <v>1791</v>
      </c>
      <c r="C139" s="23" t="s">
        <v>167</v>
      </c>
      <c r="D139" s="19" t="s">
        <v>127</v>
      </c>
      <c r="E139" s="17">
        <v>11030</v>
      </c>
      <c r="F139" s="37">
        <v>10000</v>
      </c>
      <c r="G139" s="16">
        <v>300</v>
      </c>
      <c r="H139" s="16">
        <v>50</v>
      </c>
      <c r="I139" s="19" t="s">
        <v>719</v>
      </c>
      <c r="J139" s="37">
        <v>5</v>
      </c>
      <c r="K139" s="16">
        <v>16</v>
      </c>
      <c r="L139" s="16">
        <v>40</v>
      </c>
      <c r="M139" s="37">
        <v>0</v>
      </c>
      <c r="N139">
        <v>1280</v>
      </c>
      <c r="O139" s="37">
        <v>0</v>
      </c>
      <c r="P139" s="37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v>14</v>
      </c>
      <c r="W139" s="16">
        <v>0</v>
      </c>
      <c r="X139" s="16">
        <v>0</v>
      </c>
      <c r="Y139" s="16">
        <v>0</v>
      </c>
      <c r="Z139" s="16">
        <v>0</v>
      </c>
      <c r="AA139" s="16">
        <v>0</v>
      </c>
      <c r="AB139" s="16">
        <v>0</v>
      </c>
      <c r="AC139" s="18">
        <v>0</v>
      </c>
      <c r="AD139" s="18">
        <v>56</v>
      </c>
      <c r="AE139" s="18">
        <v>0</v>
      </c>
      <c r="AF139" s="18">
        <v>0</v>
      </c>
      <c r="AG139" s="28">
        <v>0</v>
      </c>
      <c r="AH139" s="18">
        <v>0</v>
      </c>
      <c r="AI139" s="18">
        <v>1.4E-2</v>
      </c>
      <c r="AJ139" s="18">
        <v>0</v>
      </c>
      <c r="AK139" s="120">
        <v>20044</v>
      </c>
      <c r="AL139" s="16">
        <v>1</v>
      </c>
      <c r="AM139" s="41">
        <f>INDEX(Sheet5!$B$19:$G$33,MATCH(Sheet1!AQ139,Sheet5!$A$19:$A$33,0),MATCH(J139,Sheet5!$B$18:$G$18,0))</f>
        <v>500</v>
      </c>
      <c r="AN139" s="16" t="s">
        <v>48</v>
      </c>
      <c r="AO139" s="16" t="s">
        <v>750</v>
      </c>
      <c r="AP139" s="16">
        <v>1661</v>
      </c>
      <c r="AQ139" s="13">
        <v>10</v>
      </c>
    </row>
    <row r="140" spans="1:43" ht="16.5">
      <c r="A140" s="16">
        <v>2227</v>
      </c>
      <c r="B140" s="23" t="s">
        <v>1792</v>
      </c>
      <c r="C140" s="23" t="s">
        <v>167</v>
      </c>
      <c r="D140" s="19" t="s">
        <v>127</v>
      </c>
      <c r="E140" s="17">
        <v>11030</v>
      </c>
      <c r="F140" s="37">
        <v>10000</v>
      </c>
      <c r="G140" s="16">
        <v>300</v>
      </c>
      <c r="H140" s="16">
        <v>50</v>
      </c>
      <c r="I140" s="19" t="s">
        <v>719</v>
      </c>
      <c r="J140" s="37">
        <v>5</v>
      </c>
      <c r="K140" s="16">
        <v>16</v>
      </c>
      <c r="L140" s="16">
        <v>40</v>
      </c>
      <c r="M140" s="37">
        <v>0</v>
      </c>
      <c r="N140">
        <v>2560</v>
      </c>
      <c r="O140" s="37">
        <v>0</v>
      </c>
      <c r="P140" s="37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14</v>
      </c>
      <c r="W140" s="16">
        <v>0</v>
      </c>
      <c r="X140" s="16">
        <v>0</v>
      </c>
      <c r="Y140" s="16">
        <v>0</v>
      </c>
      <c r="Z140" s="16">
        <v>0</v>
      </c>
      <c r="AA140" s="16">
        <v>0</v>
      </c>
      <c r="AB140" s="16">
        <v>0</v>
      </c>
      <c r="AC140" s="18">
        <v>0</v>
      </c>
      <c r="AD140" s="18">
        <v>56</v>
      </c>
      <c r="AE140" s="18">
        <v>0</v>
      </c>
      <c r="AF140" s="18">
        <v>0</v>
      </c>
      <c r="AG140" s="28">
        <v>0</v>
      </c>
      <c r="AH140" s="18">
        <v>0</v>
      </c>
      <c r="AI140" s="18">
        <v>1.4E-2</v>
      </c>
      <c r="AJ140" s="18">
        <v>0</v>
      </c>
      <c r="AK140" s="120">
        <v>20045</v>
      </c>
      <c r="AL140" s="16">
        <v>1</v>
      </c>
      <c r="AM140" s="41">
        <f>INDEX(Sheet5!$B$19:$G$33,MATCH(Sheet1!AQ140,Sheet5!$A$19:$A$33,0),MATCH(J140,Sheet5!$B$18:$G$18,0))</f>
        <v>1000</v>
      </c>
      <c r="AN140" s="16" t="s">
        <v>48</v>
      </c>
      <c r="AO140" s="16" t="s">
        <v>750</v>
      </c>
      <c r="AP140" s="16">
        <v>1662</v>
      </c>
      <c r="AQ140" s="13">
        <v>20</v>
      </c>
    </row>
    <row r="141" spans="1:43" ht="16.5">
      <c r="A141" s="16">
        <v>2228</v>
      </c>
      <c r="B141" s="23" t="s">
        <v>1793</v>
      </c>
      <c r="C141" s="23" t="s">
        <v>167</v>
      </c>
      <c r="D141" s="19" t="s">
        <v>127</v>
      </c>
      <c r="E141" s="17">
        <v>11030</v>
      </c>
      <c r="F141" s="37">
        <v>10000</v>
      </c>
      <c r="G141" s="16">
        <v>300</v>
      </c>
      <c r="H141" s="16">
        <v>50</v>
      </c>
      <c r="I141" s="19" t="s">
        <v>719</v>
      </c>
      <c r="J141" s="37">
        <v>5</v>
      </c>
      <c r="K141" s="16">
        <v>16</v>
      </c>
      <c r="L141" s="16">
        <v>40</v>
      </c>
      <c r="M141" s="37">
        <v>0</v>
      </c>
      <c r="N141">
        <v>3840</v>
      </c>
      <c r="O141" s="37">
        <v>0</v>
      </c>
      <c r="P141" s="37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v>14</v>
      </c>
      <c r="W141" s="16">
        <v>0</v>
      </c>
      <c r="X141" s="16">
        <v>0</v>
      </c>
      <c r="Y141" s="16">
        <v>0</v>
      </c>
      <c r="Z141" s="16">
        <v>0</v>
      </c>
      <c r="AA141" s="16">
        <v>0</v>
      </c>
      <c r="AB141" s="16">
        <v>0</v>
      </c>
      <c r="AC141" s="18">
        <v>0</v>
      </c>
      <c r="AD141" s="18">
        <v>56</v>
      </c>
      <c r="AE141" s="18">
        <v>0</v>
      </c>
      <c r="AF141" s="18">
        <v>0</v>
      </c>
      <c r="AG141" s="28">
        <v>0</v>
      </c>
      <c r="AH141" s="18">
        <v>0</v>
      </c>
      <c r="AI141" s="18">
        <v>1.4E-2</v>
      </c>
      <c r="AJ141" s="18">
        <v>0</v>
      </c>
      <c r="AK141" s="120">
        <v>20046</v>
      </c>
      <c r="AL141" s="16">
        <v>1</v>
      </c>
      <c r="AM141" s="41">
        <f>INDEX(Sheet5!$B$19:$G$33,MATCH(Sheet1!AQ141,Sheet5!$A$19:$A$33,0),MATCH(J141,Sheet5!$B$18:$G$18,0))</f>
        <v>1500</v>
      </c>
      <c r="AN141" s="16" t="s">
        <v>48</v>
      </c>
      <c r="AO141" s="16" t="s">
        <v>750</v>
      </c>
      <c r="AP141" s="16">
        <v>1663</v>
      </c>
      <c r="AQ141" s="13">
        <v>30</v>
      </c>
    </row>
    <row r="142" spans="1:43" ht="16.5">
      <c r="A142" s="16">
        <v>2229</v>
      </c>
      <c r="B142" s="23" t="s">
        <v>1794</v>
      </c>
      <c r="C142" s="23" t="s">
        <v>167</v>
      </c>
      <c r="D142" s="19" t="s">
        <v>127</v>
      </c>
      <c r="E142" s="17">
        <v>11030</v>
      </c>
      <c r="F142" s="37">
        <v>10000</v>
      </c>
      <c r="G142" s="16">
        <v>300</v>
      </c>
      <c r="H142" s="16">
        <v>50</v>
      </c>
      <c r="I142" s="19" t="s">
        <v>719</v>
      </c>
      <c r="J142" s="37">
        <v>5</v>
      </c>
      <c r="K142" s="16">
        <v>16</v>
      </c>
      <c r="L142" s="16">
        <v>40</v>
      </c>
      <c r="M142" s="37">
        <v>0</v>
      </c>
      <c r="N142">
        <v>5120</v>
      </c>
      <c r="O142" s="37">
        <v>0</v>
      </c>
      <c r="P142" s="37">
        <v>0</v>
      </c>
      <c r="Q142" s="16">
        <v>0</v>
      </c>
      <c r="R142" s="16">
        <v>0</v>
      </c>
      <c r="S142" s="16">
        <v>0</v>
      </c>
      <c r="T142" s="16">
        <v>0</v>
      </c>
      <c r="U142" s="16">
        <v>0</v>
      </c>
      <c r="V142" s="16">
        <v>14</v>
      </c>
      <c r="W142" s="16">
        <v>0</v>
      </c>
      <c r="X142" s="16">
        <v>0</v>
      </c>
      <c r="Y142" s="16">
        <v>0</v>
      </c>
      <c r="Z142" s="16">
        <v>0</v>
      </c>
      <c r="AA142" s="16">
        <v>0</v>
      </c>
      <c r="AB142" s="16">
        <v>0</v>
      </c>
      <c r="AC142" s="18">
        <v>0</v>
      </c>
      <c r="AD142" s="18">
        <v>56</v>
      </c>
      <c r="AE142" s="18">
        <v>0</v>
      </c>
      <c r="AF142" s="18">
        <v>0</v>
      </c>
      <c r="AG142" s="28">
        <v>0</v>
      </c>
      <c r="AH142" s="18">
        <v>0</v>
      </c>
      <c r="AI142" s="18">
        <v>1.4E-2</v>
      </c>
      <c r="AJ142" s="18">
        <v>0</v>
      </c>
      <c r="AK142" s="120">
        <v>20047</v>
      </c>
      <c r="AL142" s="16">
        <v>1</v>
      </c>
      <c r="AM142" s="41">
        <f>INDEX(Sheet5!$B$19:$G$33,MATCH(Sheet1!AQ142,Sheet5!$A$19:$A$33,0),MATCH(J142,Sheet5!$B$18:$G$18,0))</f>
        <v>2000</v>
      </c>
      <c r="AN142" s="16" t="s">
        <v>48</v>
      </c>
      <c r="AO142" s="16" t="s">
        <v>750</v>
      </c>
      <c r="AP142" s="16">
        <v>1664</v>
      </c>
      <c r="AQ142" s="13">
        <v>40</v>
      </c>
    </row>
    <row r="143" spans="1:43" s="87" customFormat="1" ht="16.5">
      <c r="A143" s="88">
        <v>2066</v>
      </c>
      <c r="B143" s="88" t="s">
        <v>1795</v>
      </c>
      <c r="C143" s="88" t="s">
        <v>167</v>
      </c>
      <c r="D143" s="88" t="s">
        <v>127</v>
      </c>
      <c r="E143" s="89">
        <v>11030</v>
      </c>
      <c r="F143" s="88">
        <v>10000</v>
      </c>
      <c r="G143" s="88">
        <v>300</v>
      </c>
      <c r="H143" s="88">
        <v>50</v>
      </c>
      <c r="I143" s="88" t="s">
        <v>719</v>
      </c>
      <c r="J143" s="88">
        <v>5</v>
      </c>
      <c r="K143" s="88">
        <v>16</v>
      </c>
      <c r="L143" s="88">
        <v>40</v>
      </c>
      <c r="M143" s="88">
        <v>0</v>
      </c>
      <c r="N143">
        <v>6400</v>
      </c>
      <c r="O143" s="88">
        <v>0</v>
      </c>
      <c r="P143" s="88">
        <v>0</v>
      </c>
      <c r="Q143" s="88">
        <v>0</v>
      </c>
      <c r="R143" s="88">
        <v>0</v>
      </c>
      <c r="S143" s="88">
        <v>0</v>
      </c>
      <c r="T143" s="88">
        <v>0</v>
      </c>
      <c r="U143" s="88">
        <v>0</v>
      </c>
      <c r="V143" s="88">
        <v>14</v>
      </c>
      <c r="W143" s="88">
        <v>0</v>
      </c>
      <c r="X143" s="88">
        <v>0</v>
      </c>
      <c r="Y143" s="88">
        <v>0</v>
      </c>
      <c r="Z143" s="88">
        <v>0</v>
      </c>
      <c r="AA143" s="88">
        <v>0</v>
      </c>
      <c r="AB143" s="88">
        <v>0</v>
      </c>
      <c r="AC143" s="88">
        <v>0</v>
      </c>
      <c r="AD143" s="88">
        <v>56</v>
      </c>
      <c r="AE143" s="88">
        <v>0</v>
      </c>
      <c r="AF143" s="88">
        <v>0</v>
      </c>
      <c r="AG143" s="90">
        <v>0</v>
      </c>
      <c r="AH143" s="88">
        <v>0</v>
      </c>
      <c r="AI143" s="88">
        <v>1.4E-2</v>
      </c>
      <c r="AJ143" s="88">
        <v>0</v>
      </c>
      <c r="AK143" s="120">
        <v>20048</v>
      </c>
      <c r="AL143" s="88">
        <v>1</v>
      </c>
      <c r="AM143" s="41">
        <f>INDEX(Sheet5!$B$19:$G$33,MATCH(Sheet1!AQ143,Sheet5!$A$19:$A$33,0),MATCH(J143,Sheet5!$B$18:$G$18,0))</f>
        <v>2500</v>
      </c>
      <c r="AN143" s="88" t="s">
        <v>1488</v>
      </c>
      <c r="AO143" s="88" t="s">
        <v>750</v>
      </c>
      <c r="AP143" s="88">
        <v>2066</v>
      </c>
      <c r="AQ143" s="13">
        <v>50</v>
      </c>
    </row>
    <row r="144" spans="1:43" ht="16.5">
      <c r="A144" s="16">
        <v>2230</v>
      </c>
      <c r="B144" s="23" t="s">
        <v>1796</v>
      </c>
      <c r="C144" s="23" t="s">
        <v>167</v>
      </c>
      <c r="D144" s="19" t="s">
        <v>127</v>
      </c>
      <c r="E144" s="17">
        <v>11030</v>
      </c>
      <c r="F144" s="37">
        <v>10000</v>
      </c>
      <c r="G144" s="16">
        <v>300</v>
      </c>
      <c r="H144" s="16">
        <v>50</v>
      </c>
      <c r="I144" s="19" t="s">
        <v>719</v>
      </c>
      <c r="J144" s="37">
        <v>5</v>
      </c>
      <c r="K144" s="16">
        <v>16</v>
      </c>
      <c r="L144" s="16">
        <v>40</v>
      </c>
      <c r="M144" s="37">
        <v>0</v>
      </c>
      <c r="N144">
        <v>7680</v>
      </c>
      <c r="O144" s="37">
        <v>0</v>
      </c>
      <c r="P144" s="37">
        <v>0</v>
      </c>
      <c r="Q144" s="16">
        <v>0</v>
      </c>
      <c r="R144" s="16">
        <v>0</v>
      </c>
      <c r="S144" s="16">
        <v>0</v>
      </c>
      <c r="T144" s="16">
        <v>0</v>
      </c>
      <c r="U144" s="16">
        <v>0</v>
      </c>
      <c r="V144" s="16">
        <v>14</v>
      </c>
      <c r="W144" s="16">
        <v>0</v>
      </c>
      <c r="X144" s="16">
        <v>0</v>
      </c>
      <c r="Y144" s="16">
        <v>0</v>
      </c>
      <c r="Z144" s="16">
        <v>0</v>
      </c>
      <c r="AA144" s="16">
        <v>0</v>
      </c>
      <c r="AB144" s="16">
        <v>0</v>
      </c>
      <c r="AC144" s="18">
        <v>0</v>
      </c>
      <c r="AD144" s="18">
        <v>56</v>
      </c>
      <c r="AE144" s="18">
        <v>0</v>
      </c>
      <c r="AF144" s="18">
        <v>0</v>
      </c>
      <c r="AG144" s="28">
        <v>0</v>
      </c>
      <c r="AH144" s="18">
        <v>0</v>
      </c>
      <c r="AI144" s="18">
        <v>1.4E-2</v>
      </c>
      <c r="AJ144" s="18">
        <v>0</v>
      </c>
      <c r="AK144" s="120">
        <v>20049</v>
      </c>
      <c r="AL144" s="16">
        <v>1</v>
      </c>
      <c r="AM144" s="41">
        <f>INDEX(Sheet5!$B$19:$G$33,MATCH(Sheet1!AQ144,Sheet5!$A$19:$A$33,0),MATCH(J144,Sheet5!$B$18:$G$18,0))</f>
        <v>3000</v>
      </c>
      <c r="AN144" s="16" t="s">
        <v>48</v>
      </c>
      <c r="AO144" s="16" t="s">
        <v>750</v>
      </c>
      <c r="AP144" s="16">
        <v>20661</v>
      </c>
      <c r="AQ144" s="13">
        <v>60</v>
      </c>
    </row>
    <row r="145" spans="1:43" ht="16.5">
      <c r="A145" s="16">
        <v>2231</v>
      </c>
      <c r="B145" s="23" t="s">
        <v>1797</v>
      </c>
      <c r="C145" s="23" t="s">
        <v>167</v>
      </c>
      <c r="D145" s="19" t="s">
        <v>127</v>
      </c>
      <c r="E145" s="17">
        <v>11030</v>
      </c>
      <c r="F145" s="37">
        <v>10000</v>
      </c>
      <c r="G145" s="16">
        <v>300</v>
      </c>
      <c r="H145" s="16">
        <v>50</v>
      </c>
      <c r="I145" s="19" t="s">
        <v>719</v>
      </c>
      <c r="J145" s="37">
        <v>5</v>
      </c>
      <c r="K145" s="16">
        <v>16</v>
      </c>
      <c r="L145" s="16">
        <v>40</v>
      </c>
      <c r="M145" s="37">
        <v>0</v>
      </c>
      <c r="N145">
        <v>8960</v>
      </c>
      <c r="O145" s="37">
        <v>0</v>
      </c>
      <c r="P145" s="37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v>14</v>
      </c>
      <c r="W145" s="16">
        <v>0</v>
      </c>
      <c r="X145" s="16">
        <v>0</v>
      </c>
      <c r="Y145" s="16">
        <v>0</v>
      </c>
      <c r="Z145" s="16">
        <v>0</v>
      </c>
      <c r="AA145" s="16">
        <v>0</v>
      </c>
      <c r="AB145" s="16">
        <v>0</v>
      </c>
      <c r="AC145" s="18">
        <v>0</v>
      </c>
      <c r="AD145" s="18">
        <v>56</v>
      </c>
      <c r="AE145" s="18">
        <v>0</v>
      </c>
      <c r="AF145" s="18">
        <v>0</v>
      </c>
      <c r="AG145" s="28">
        <v>0</v>
      </c>
      <c r="AH145" s="18">
        <v>0</v>
      </c>
      <c r="AI145" s="18">
        <v>1.4E-2</v>
      </c>
      <c r="AJ145" s="18">
        <v>0</v>
      </c>
      <c r="AK145" s="120">
        <v>20050</v>
      </c>
      <c r="AL145" s="16">
        <v>1</v>
      </c>
      <c r="AM145" s="41">
        <f>INDEX(Sheet5!$B$19:$G$33,MATCH(Sheet1!AQ145,Sheet5!$A$19:$A$33,0),MATCH(J145,Sheet5!$B$18:$G$18,0))</f>
        <v>3500</v>
      </c>
      <c r="AN145" s="16" t="s">
        <v>48</v>
      </c>
      <c r="AO145" s="16" t="s">
        <v>750</v>
      </c>
      <c r="AP145" s="16">
        <v>20662</v>
      </c>
      <c r="AQ145" s="13">
        <v>70</v>
      </c>
    </row>
    <row r="146" spans="1:43" ht="16.5">
      <c r="A146" s="16">
        <v>2232</v>
      </c>
      <c r="B146" s="23" t="s">
        <v>1798</v>
      </c>
      <c r="C146" s="23" t="s">
        <v>167</v>
      </c>
      <c r="D146" s="19" t="s">
        <v>127</v>
      </c>
      <c r="E146" s="17">
        <v>11030</v>
      </c>
      <c r="F146" s="37">
        <v>10000</v>
      </c>
      <c r="G146" s="16">
        <v>300</v>
      </c>
      <c r="H146" s="16">
        <v>50</v>
      </c>
      <c r="I146" s="19" t="s">
        <v>719</v>
      </c>
      <c r="J146" s="37">
        <v>5</v>
      </c>
      <c r="K146" s="16">
        <v>16</v>
      </c>
      <c r="L146" s="16">
        <v>40</v>
      </c>
      <c r="M146" s="37">
        <v>0</v>
      </c>
      <c r="N146">
        <v>10240</v>
      </c>
      <c r="O146" s="37">
        <v>0</v>
      </c>
      <c r="P146" s="37">
        <v>0</v>
      </c>
      <c r="Q146" s="16">
        <v>0</v>
      </c>
      <c r="R146" s="16">
        <v>0</v>
      </c>
      <c r="S146" s="16">
        <v>0</v>
      </c>
      <c r="T146" s="16">
        <v>0</v>
      </c>
      <c r="U146" s="16">
        <v>0</v>
      </c>
      <c r="V146" s="16">
        <v>14</v>
      </c>
      <c r="W146" s="16">
        <v>0</v>
      </c>
      <c r="X146" s="16">
        <v>0</v>
      </c>
      <c r="Y146" s="16">
        <v>0</v>
      </c>
      <c r="Z146" s="16">
        <v>0</v>
      </c>
      <c r="AA146" s="16">
        <v>0</v>
      </c>
      <c r="AB146" s="16">
        <v>0</v>
      </c>
      <c r="AC146" s="18">
        <v>0</v>
      </c>
      <c r="AD146" s="18">
        <v>56</v>
      </c>
      <c r="AE146" s="18">
        <v>0</v>
      </c>
      <c r="AF146" s="18">
        <v>0</v>
      </c>
      <c r="AG146" s="28">
        <v>0</v>
      </c>
      <c r="AH146" s="18">
        <v>0</v>
      </c>
      <c r="AI146" s="18">
        <v>1.4E-2</v>
      </c>
      <c r="AJ146" s="18">
        <v>0</v>
      </c>
      <c r="AK146" s="120">
        <v>20051</v>
      </c>
      <c r="AL146" s="16">
        <v>1</v>
      </c>
      <c r="AM146" s="41">
        <f>INDEX(Sheet5!$B$19:$G$33,MATCH(Sheet1!AQ146,Sheet5!$A$19:$A$33,0),MATCH(J146,Sheet5!$B$18:$G$18,0))</f>
        <v>4000</v>
      </c>
      <c r="AN146" s="16" t="s">
        <v>48</v>
      </c>
      <c r="AO146" s="16" t="s">
        <v>750</v>
      </c>
      <c r="AP146" s="16">
        <v>20663</v>
      </c>
      <c r="AQ146" s="13">
        <v>80</v>
      </c>
    </row>
    <row r="147" spans="1:43" ht="16.5">
      <c r="A147" s="16">
        <v>2233</v>
      </c>
      <c r="B147" s="23" t="s">
        <v>1799</v>
      </c>
      <c r="C147" s="23" t="s">
        <v>167</v>
      </c>
      <c r="D147" s="19" t="s">
        <v>127</v>
      </c>
      <c r="E147" s="17">
        <v>11030</v>
      </c>
      <c r="F147" s="37">
        <v>10000</v>
      </c>
      <c r="G147" s="16">
        <v>300</v>
      </c>
      <c r="H147" s="16">
        <v>50</v>
      </c>
      <c r="I147" s="19" t="s">
        <v>719</v>
      </c>
      <c r="J147" s="37">
        <v>5</v>
      </c>
      <c r="K147" s="16">
        <v>16</v>
      </c>
      <c r="L147" s="16">
        <v>40</v>
      </c>
      <c r="M147" s="37">
        <v>0</v>
      </c>
      <c r="N147">
        <v>11520</v>
      </c>
      <c r="O147" s="37">
        <v>0</v>
      </c>
      <c r="P147" s="37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v>14</v>
      </c>
      <c r="W147" s="16">
        <v>0</v>
      </c>
      <c r="X147" s="16">
        <v>0</v>
      </c>
      <c r="Y147" s="16">
        <v>0</v>
      </c>
      <c r="Z147" s="16">
        <v>0</v>
      </c>
      <c r="AA147" s="16">
        <v>0</v>
      </c>
      <c r="AB147" s="16">
        <v>0</v>
      </c>
      <c r="AC147" s="18">
        <v>0</v>
      </c>
      <c r="AD147" s="18">
        <v>56</v>
      </c>
      <c r="AE147" s="18">
        <v>0</v>
      </c>
      <c r="AF147" s="18">
        <v>0</v>
      </c>
      <c r="AG147" s="28">
        <v>0</v>
      </c>
      <c r="AH147" s="18">
        <v>0</v>
      </c>
      <c r="AI147" s="18">
        <v>1.4E-2</v>
      </c>
      <c r="AJ147" s="18">
        <v>0</v>
      </c>
      <c r="AK147" s="120">
        <v>20052</v>
      </c>
      <c r="AL147" s="16">
        <v>1</v>
      </c>
      <c r="AM147" s="41">
        <f>INDEX(Sheet5!$B$19:$G$33,MATCH(Sheet1!AQ147,Sheet5!$A$19:$A$33,0),MATCH(J147,Sheet5!$B$18:$G$18,0))</f>
        <v>4500</v>
      </c>
      <c r="AN147" s="16" t="s">
        <v>48</v>
      </c>
      <c r="AO147" s="16" t="s">
        <v>750</v>
      </c>
      <c r="AP147" s="16">
        <v>20664</v>
      </c>
      <c r="AQ147" s="13">
        <v>90</v>
      </c>
    </row>
    <row r="148" spans="1:43" ht="16.5">
      <c r="A148" s="16">
        <v>2234</v>
      </c>
      <c r="B148" s="23" t="s">
        <v>1800</v>
      </c>
      <c r="C148" s="23" t="s">
        <v>167</v>
      </c>
      <c r="D148" s="19" t="s">
        <v>127</v>
      </c>
      <c r="E148" s="17">
        <v>11030</v>
      </c>
      <c r="F148" s="37">
        <v>10000</v>
      </c>
      <c r="G148" s="16">
        <v>300</v>
      </c>
      <c r="H148" s="16">
        <v>50</v>
      </c>
      <c r="I148" s="19" t="s">
        <v>719</v>
      </c>
      <c r="J148" s="37">
        <v>5</v>
      </c>
      <c r="K148" s="16">
        <v>16</v>
      </c>
      <c r="L148" s="16">
        <v>40</v>
      </c>
      <c r="M148" s="37">
        <v>0</v>
      </c>
      <c r="N148">
        <v>12800</v>
      </c>
      <c r="O148" s="37">
        <v>0</v>
      </c>
      <c r="P148" s="37">
        <v>0</v>
      </c>
      <c r="Q148" s="16">
        <v>0</v>
      </c>
      <c r="R148" s="16">
        <v>0</v>
      </c>
      <c r="S148" s="16">
        <v>0</v>
      </c>
      <c r="T148" s="16">
        <v>0</v>
      </c>
      <c r="U148" s="16">
        <v>0</v>
      </c>
      <c r="V148" s="16">
        <v>14</v>
      </c>
      <c r="W148" s="16">
        <v>0</v>
      </c>
      <c r="X148" s="16">
        <v>0</v>
      </c>
      <c r="Y148" s="16">
        <v>0</v>
      </c>
      <c r="Z148" s="16">
        <v>0</v>
      </c>
      <c r="AA148" s="16">
        <v>0</v>
      </c>
      <c r="AB148" s="16">
        <v>0</v>
      </c>
      <c r="AC148" s="18">
        <v>0</v>
      </c>
      <c r="AD148" s="18">
        <v>56</v>
      </c>
      <c r="AE148" s="18">
        <v>0</v>
      </c>
      <c r="AF148" s="18">
        <v>0</v>
      </c>
      <c r="AG148" s="28">
        <v>0</v>
      </c>
      <c r="AH148" s="18">
        <v>0</v>
      </c>
      <c r="AI148" s="18">
        <v>1.4E-2</v>
      </c>
      <c r="AJ148" s="18">
        <v>0</v>
      </c>
      <c r="AK148" s="120">
        <v>20053</v>
      </c>
      <c r="AL148" s="16">
        <v>1</v>
      </c>
      <c r="AM148" s="41">
        <f>INDEX(Sheet5!$B$19:$G$33,MATCH(Sheet1!AQ148,Sheet5!$A$19:$A$33,0),MATCH(J148,Sheet5!$B$18:$G$18,0))</f>
        <v>5000</v>
      </c>
      <c r="AN148" s="16" t="s">
        <v>48</v>
      </c>
      <c r="AO148" s="16" t="s">
        <v>750</v>
      </c>
      <c r="AP148" s="16">
        <v>20665</v>
      </c>
      <c r="AQ148" s="13">
        <v>100</v>
      </c>
    </row>
    <row r="149" spans="1:43" ht="16.5">
      <c r="A149" s="16">
        <v>2235</v>
      </c>
      <c r="B149" s="23" t="s">
        <v>1801</v>
      </c>
      <c r="C149" s="23" t="s">
        <v>167</v>
      </c>
      <c r="D149" s="19" t="s">
        <v>127</v>
      </c>
      <c r="E149" s="17">
        <v>11030</v>
      </c>
      <c r="F149" s="37">
        <v>10000</v>
      </c>
      <c r="G149" s="16">
        <v>300</v>
      </c>
      <c r="H149" s="16">
        <v>50</v>
      </c>
      <c r="I149" s="19" t="s">
        <v>719</v>
      </c>
      <c r="J149" s="37">
        <v>5</v>
      </c>
      <c r="K149" s="16">
        <v>16</v>
      </c>
      <c r="L149" s="16">
        <v>40</v>
      </c>
      <c r="M149" s="37">
        <v>0</v>
      </c>
      <c r="N149">
        <v>14080</v>
      </c>
      <c r="O149" s="37">
        <v>0</v>
      </c>
      <c r="P149" s="37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v>14</v>
      </c>
      <c r="W149" s="16">
        <v>0</v>
      </c>
      <c r="X149" s="16">
        <v>0</v>
      </c>
      <c r="Y149" s="16">
        <v>0</v>
      </c>
      <c r="Z149" s="16">
        <v>0</v>
      </c>
      <c r="AA149" s="16">
        <v>0</v>
      </c>
      <c r="AB149" s="16">
        <v>0</v>
      </c>
      <c r="AC149" s="18">
        <v>0</v>
      </c>
      <c r="AD149" s="18">
        <v>56</v>
      </c>
      <c r="AE149" s="18">
        <v>0</v>
      </c>
      <c r="AF149" s="18">
        <v>0</v>
      </c>
      <c r="AG149" s="28">
        <v>0</v>
      </c>
      <c r="AH149" s="18">
        <v>0</v>
      </c>
      <c r="AI149" s="18">
        <v>1.4E-2</v>
      </c>
      <c r="AJ149" s="18">
        <v>0</v>
      </c>
      <c r="AK149" s="120">
        <v>20054</v>
      </c>
      <c r="AL149" s="16">
        <v>1</v>
      </c>
      <c r="AM149" s="41">
        <f>INDEX(Sheet5!$B$19:$G$33,MATCH(Sheet1!AQ149,Sheet5!$A$19:$A$33,0),MATCH(J149,Sheet5!$B$18:$G$18,0))</f>
        <v>5500</v>
      </c>
      <c r="AN149" s="16" t="s">
        <v>48</v>
      </c>
      <c r="AO149" s="16" t="s">
        <v>750</v>
      </c>
      <c r="AP149" s="16">
        <v>20666</v>
      </c>
      <c r="AQ149" s="13">
        <v>110</v>
      </c>
    </row>
    <row r="150" spans="1:43" ht="16.5">
      <c r="A150" s="16">
        <v>2236</v>
      </c>
      <c r="B150" s="23" t="s">
        <v>1802</v>
      </c>
      <c r="C150" s="23" t="s">
        <v>167</v>
      </c>
      <c r="D150" s="19" t="s">
        <v>127</v>
      </c>
      <c r="E150" s="17">
        <v>11030</v>
      </c>
      <c r="F150" s="37">
        <v>10000</v>
      </c>
      <c r="G150" s="16">
        <v>300</v>
      </c>
      <c r="H150" s="16">
        <v>50</v>
      </c>
      <c r="I150" s="19" t="s">
        <v>719</v>
      </c>
      <c r="J150" s="37">
        <v>5</v>
      </c>
      <c r="K150" s="16">
        <v>16</v>
      </c>
      <c r="L150" s="16">
        <v>40</v>
      </c>
      <c r="M150" s="37">
        <v>0</v>
      </c>
      <c r="N150">
        <v>15360</v>
      </c>
      <c r="O150" s="37">
        <v>0</v>
      </c>
      <c r="P150" s="37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14</v>
      </c>
      <c r="W150" s="16">
        <v>0</v>
      </c>
      <c r="X150" s="16">
        <v>0</v>
      </c>
      <c r="Y150" s="16">
        <v>0</v>
      </c>
      <c r="Z150" s="16">
        <v>0</v>
      </c>
      <c r="AA150" s="16">
        <v>0</v>
      </c>
      <c r="AB150" s="16">
        <v>0</v>
      </c>
      <c r="AC150" s="18">
        <v>0</v>
      </c>
      <c r="AD150" s="18">
        <v>56</v>
      </c>
      <c r="AE150" s="18">
        <v>0</v>
      </c>
      <c r="AF150" s="18">
        <v>0</v>
      </c>
      <c r="AG150" s="28">
        <v>0</v>
      </c>
      <c r="AH150" s="18">
        <v>0</v>
      </c>
      <c r="AI150" s="18">
        <v>1.4E-2</v>
      </c>
      <c r="AJ150" s="18">
        <v>0</v>
      </c>
      <c r="AK150" s="120">
        <v>20055</v>
      </c>
      <c r="AL150" s="16">
        <v>1</v>
      </c>
      <c r="AM150" s="41">
        <f>INDEX(Sheet5!$B$19:$G$33,MATCH(Sheet1!AQ150,Sheet5!$A$19:$A$33,0),MATCH(J150,Sheet5!$B$18:$G$18,0))</f>
        <v>6000</v>
      </c>
      <c r="AN150" s="16" t="s">
        <v>48</v>
      </c>
      <c r="AO150" s="16" t="s">
        <v>750</v>
      </c>
      <c r="AP150" s="16">
        <v>20667</v>
      </c>
      <c r="AQ150" s="13">
        <v>120</v>
      </c>
    </row>
    <row r="151" spans="1:43" ht="16.5">
      <c r="A151" s="16">
        <v>2237</v>
      </c>
      <c r="B151" s="23" t="s">
        <v>1803</v>
      </c>
      <c r="C151" s="23" t="s">
        <v>167</v>
      </c>
      <c r="D151" s="19" t="s">
        <v>127</v>
      </c>
      <c r="E151" s="17">
        <v>11030</v>
      </c>
      <c r="F151" s="37">
        <v>10000</v>
      </c>
      <c r="G151" s="16">
        <v>300</v>
      </c>
      <c r="H151" s="16">
        <v>50</v>
      </c>
      <c r="I151" s="19" t="s">
        <v>719</v>
      </c>
      <c r="J151" s="37">
        <v>5</v>
      </c>
      <c r="K151" s="16">
        <v>16</v>
      </c>
      <c r="L151" s="16">
        <v>40</v>
      </c>
      <c r="M151" s="37">
        <v>0</v>
      </c>
      <c r="N151">
        <v>16640</v>
      </c>
      <c r="O151" s="37">
        <v>0</v>
      </c>
      <c r="P151" s="37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v>14</v>
      </c>
      <c r="W151" s="16">
        <v>0</v>
      </c>
      <c r="X151" s="16">
        <v>0</v>
      </c>
      <c r="Y151" s="16">
        <v>0</v>
      </c>
      <c r="Z151" s="16">
        <v>0</v>
      </c>
      <c r="AA151" s="16">
        <v>0</v>
      </c>
      <c r="AB151" s="16">
        <v>0</v>
      </c>
      <c r="AC151" s="18">
        <v>0</v>
      </c>
      <c r="AD151" s="18">
        <v>56</v>
      </c>
      <c r="AE151" s="18">
        <v>0</v>
      </c>
      <c r="AF151" s="18">
        <v>0</v>
      </c>
      <c r="AG151" s="28">
        <v>0</v>
      </c>
      <c r="AH151" s="18">
        <v>0</v>
      </c>
      <c r="AI151" s="18">
        <v>1.4E-2</v>
      </c>
      <c r="AJ151" s="18">
        <v>0</v>
      </c>
      <c r="AK151" s="120">
        <v>20056</v>
      </c>
      <c r="AL151" s="16">
        <v>1</v>
      </c>
      <c r="AM151" s="41">
        <f>INDEX(Sheet5!$B$19:$G$33,MATCH(Sheet1!AQ151,Sheet5!$A$19:$A$33,0),MATCH(J151,Sheet5!$B$18:$G$18,0))</f>
        <v>6500</v>
      </c>
      <c r="AN151" s="16" t="s">
        <v>48</v>
      </c>
      <c r="AO151" s="16" t="s">
        <v>750</v>
      </c>
      <c r="AP151" s="16">
        <v>20668</v>
      </c>
      <c r="AQ151" s="13">
        <v>130</v>
      </c>
    </row>
    <row r="152" spans="1:43" ht="16.5">
      <c r="A152" s="16">
        <v>2238</v>
      </c>
      <c r="B152" s="23" t="s">
        <v>1804</v>
      </c>
      <c r="C152" s="23" t="s">
        <v>167</v>
      </c>
      <c r="D152" s="19" t="s">
        <v>127</v>
      </c>
      <c r="E152" s="17">
        <v>11030</v>
      </c>
      <c r="F152" s="37">
        <v>10000</v>
      </c>
      <c r="G152" s="16">
        <v>300</v>
      </c>
      <c r="H152" s="16">
        <v>50</v>
      </c>
      <c r="I152" s="19" t="s">
        <v>719</v>
      </c>
      <c r="J152" s="37">
        <v>5</v>
      </c>
      <c r="K152" s="16">
        <v>16</v>
      </c>
      <c r="L152" s="16">
        <v>40</v>
      </c>
      <c r="M152" s="37">
        <v>0</v>
      </c>
      <c r="N152">
        <v>17920</v>
      </c>
      <c r="O152" s="37">
        <v>0</v>
      </c>
      <c r="P152" s="37">
        <v>0</v>
      </c>
      <c r="Q152" s="16">
        <v>0</v>
      </c>
      <c r="R152" s="16">
        <v>0</v>
      </c>
      <c r="S152" s="16">
        <v>0</v>
      </c>
      <c r="T152" s="16">
        <v>0</v>
      </c>
      <c r="U152" s="16">
        <v>0</v>
      </c>
      <c r="V152" s="16">
        <v>14</v>
      </c>
      <c r="W152" s="16">
        <v>0</v>
      </c>
      <c r="X152" s="16">
        <v>0</v>
      </c>
      <c r="Y152" s="16">
        <v>0</v>
      </c>
      <c r="Z152" s="16">
        <v>0</v>
      </c>
      <c r="AA152" s="16">
        <v>0</v>
      </c>
      <c r="AB152" s="16">
        <v>0</v>
      </c>
      <c r="AC152" s="18">
        <v>0</v>
      </c>
      <c r="AD152" s="18">
        <v>56</v>
      </c>
      <c r="AE152" s="18">
        <v>0</v>
      </c>
      <c r="AF152" s="18">
        <v>0</v>
      </c>
      <c r="AG152" s="28">
        <v>0</v>
      </c>
      <c r="AH152" s="18">
        <v>0</v>
      </c>
      <c r="AI152" s="18">
        <v>1.4E-2</v>
      </c>
      <c r="AJ152" s="18">
        <v>0</v>
      </c>
      <c r="AK152" s="120">
        <v>20057</v>
      </c>
      <c r="AL152" s="16">
        <v>1</v>
      </c>
      <c r="AM152" s="41">
        <f>INDEX(Sheet5!$B$19:$G$33,MATCH(Sheet1!AQ152,Sheet5!$A$19:$A$33,0),MATCH(J152,Sheet5!$B$18:$G$18,0))</f>
        <v>7000</v>
      </c>
      <c r="AN152" s="16" t="s">
        <v>48</v>
      </c>
      <c r="AO152" s="16" t="s">
        <v>750</v>
      </c>
      <c r="AP152" s="16">
        <v>20669</v>
      </c>
      <c r="AQ152" s="13">
        <v>140</v>
      </c>
    </row>
    <row r="153" spans="1:43" ht="16.5">
      <c r="A153" s="16">
        <v>2239</v>
      </c>
      <c r="B153" s="23" t="s">
        <v>1805</v>
      </c>
      <c r="C153" s="23" t="s">
        <v>167</v>
      </c>
      <c r="D153" s="19" t="s">
        <v>127</v>
      </c>
      <c r="E153" s="17">
        <v>11030</v>
      </c>
      <c r="F153" s="37">
        <v>10000</v>
      </c>
      <c r="G153" s="16">
        <v>300</v>
      </c>
      <c r="H153" s="16">
        <v>50</v>
      </c>
      <c r="I153" s="19" t="s">
        <v>719</v>
      </c>
      <c r="J153" s="37">
        <v>5</v>
      </c>
      <c r="K153" s="16">
        <v>16</v>
      </c>
      <c r="L153" s="16">
        <v>40</v>
      </c>
      <c r="M153" s="37">
        <v>0</v>
      </c>
      <c r="N153">
        <v>19200</v>
      </c>
      <c r="O153" s="37">
        <v>0</v>
      </c>
      <c r="P153" s="37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v>14</v>
      </c>
      <c r="W153" s="16">
        <v>0</v>
      </c>
      <c r="X153" s="16">
        <v>0</v>
      </c>
      <c r="Y153" s="16">
        <v>0</v>
      </c>
      <c r="Z153" s="16">
        <v>0</v>
      </c>
      <c r="AA153" s="16">
        <v>0</v>
      </c>
      <c r="AB153" s="16">
        <v>0</v>
      </c>
      <c r="AC153" s="18">
        <v>0</v>
      </c>
      <c r="AD153" s="18">
        <v>56</v>
      </c>
      <c r="AE153" s="18">
        <v>0</v>
      </c>
      <c r="AF153" s="18">
        <v>0</v>
      </c>
      <c r="AG153" s="28">
        <v>0</v>
      </c>
      <c r="AH153" s="18">
        <v>0</v>
      </c>
      <c r="AI153" s="18">
        <v>1.4E-2</v>
      </c>
      <c r="AJ153" s="18">
        <v>0</v>
      </c>
      <c r="AK153" s="120">
        <v>20058</v>
      </c>
      <c r="AL153" s="16">
        <v>1</v>
      </c>
      <c r="AM153" s="41">
        <f>INDEX(Sheet5!$B$19:$G$33,MATCH(Sheet1!AQ153,Sheet5!$A$19:$A$33,0),MATCH(J153,Sheet5!$B$18:$G$18,0))</f>
        <v>7500</v>
      </c>
      <c r="AN153" s="16" t="s">
        <v>48</v>
      </c>
      <c r="AO153" s="16" t="s">
        <v>750</v>
      </c>
      <c r="AP153" s="16">
        <v>20670</v>
      </c>
      <c r="AQ153" s="13">
        <v>150</v>
      </c>
    </row>
    <row r="154" spans="1:43" ht="16.5">
      <c r="A154" s="16">
        <v>2240</v>
      </c>
      <c r="B154" s="23" t="s">
        <v>1806</v>
      </c>
      <c r="C154" s="23" t="s">
        <v>167</v>
      </c>
      <c r="D154" s="19" t="s">
        <v>128</v>
      </c>
      <c r="E154" s="17">
        <v>11031</v>
      </c>
      <c r="F154" s="37">
        <v>10000</v>
      </c>
      <c r="G154" s="16">
        <v>300</v>
      </c>
      <c r="H154" s="16">
        <v>50</v>
      </c>
      <c r="I154" s="19" t="s">
        <v>720</v>
      </c>
      <c r="J154" s="37">
        <v>5</v>
      </c>
      <c r="K154" s="16">
        <v>16</v>
      </c>
      <c r="L154" s="16">
        <v>40</v>
      </c>
      <c r="M154">
        <v>3200</v>
      </c>
      <c r="N154" s="37">
        <v>0</v>
      </c>
      <c r="O154" s="37">
        <v>0</v>
      </c>
      <c r="P154" s="37">
        <v>0</v>
      </c>
      <c r="Q154" s="16">
        <v>0</v>
      </c>
      <c r="R154" s="16">
        <v>0</v>
      </c>
      <c r="S154" s="16">
        <v>0</v>
      </c>
      <c r="T154" s="16">
        <v>0</v>
      </c>
      <c r="U154" s="16">
        <v>350</v>
      </c>
      <c r="V154" s="16">
        <v>0</v>
      </c>
      <c r="W154" s="16">
        <v>0</v>
      </c>
      <c r="X154" s="16">
        <v>0</v>
      </c>
      <c r="Y154" s="16">
        <v>0</v>
      </c>
      <c r="Z154" s="16">
        <v>0</v>
      </c>
      <c r="AA154" s="16">
        <v>0</v>
      </c>
      <c r="AB154" s="16">
        <v>0</v>
      </c>
      <c r="AC154" s="18">
        <v>1400</v>
      </c>
      <c r="AD154" s="18">
        <v>0</v>
      </c>
      <c r="AE154" s="18">
        <v>0</v>
      </c>
      <c r="AF154" s="18">
        <v>0</v>
      </c>
      <c r="AG154" s="18">
        <v>7.0000000000000001E-3</v>
      </c>
      <c r="AH154" s="18">
        <v>0</v>
      </c>
      <c r="AI154" s="18">
        <v>0</v>
      </c>
      <c r="AJ154" s="28">
        <v>0</v>
      </c>
      <c r="AK154" s="121">
        <v>20044</v>
      </c>
      <c r="AL154" s="16">
        <v>3</v>
      </c>
      <c r="AM154" s="41">
        <f>INDEX(Sheet5!$B$19:$G$33,MATCH(Sheet1!AQ154,Sheet5!$A$19:$A$33,0),MATCH(J154,Sheet5!$B$18:$G$18,0))</f>
        <v>500</v>
      </c>
      <c r="AN154" s="16" t="s">
        <v>48</v>
      </c>
      <c r="AO154" s="16" t="s">
        <v>751</v>
      </c>
      <c r="AP154" s="16">
        <v>1671</v>
      </c>
      <c r="AQ154" s="13">
        <v>10</v>
      </c>
    </row>
    <row r="155" spans="1:43" ht="16.5">
      <c r="A155" s="16">
        <v>2241</v>
      </c>
      <c r="B155" s="23" t="s">
        <v>1807</v>
      </c>
      <c r="C155" s="23" t="s">
        <v>167</v>
      </c>
      <c r="D155" s="19" t="s">
        <v>128</v>
      </c>
      <c r="E155" s="17">
        <v>11031</v>
      </c>
      <c r="F155" s="37">
        <v>10000</v>
      </c>
      <c r="G155" s="16">
        <v>300</v>
      </c>
      <c r="H155" s="16">
        <v>50</v>
      </c>
      <c r="I155" s="19" t="s">
        <v>720</v>
      </c>
      <c r="J155" s="37">
        <v>5</v>
      </c>
      <c r="K155" s="16">
        <v>16</v>
      </c>
      <c r="L155" s="16">
        <v>40</v>
      </c>
      <c r="M155">
        <v>6400</v>
      </c>
      <c r="N155" s="37">
        <v>0</v>
      </c>
      <c r="O155" s="37">
        <v>0</v>
      </c>
      <c r="P155" s="37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350</v>
      </c>
      <c r="V155" s="16">
        <v>0</v>
      </c>
      <c r="W155" s="16">
        <v>0</v>
      </c>
      <c r="X155" s="16">
        <v>0</v>
      </c>
      <c r="Y155" s="16">
        <v>0</v>
      </c>
      <c r="Z155" s="16">
        <v>0</v>
      </c>
      <c r="AA155" s="16">
        <v>0</v>
      </c>
      <c r="AB155" s="16">
        <v>0</v>
      </c>
      <c r="AC155" s="18">
        <v>1400</v>
      </c>
      <c r="AD155" s="18">
        <v>0</v>
      </c>
      <c r="AE155" s="18">
        <v>0</v>
      </c>
      <c r="AF155" s="18">
        <v>0</v>
      </c>
      <c r="AG155" s="18">
        <v>7.0000000000000001E-3</v>
      </c>
      <c r="AH155" s="18">
        <v>0</v>
      </c>
      <c r="AI155" s="18">
        <v>0</v>
      </c>
      <c r="AJ155" s="28">
        <v>0</v>
      </c>
      <c r="AK155" s="121">
        <v>20045</v>
      </c>
      <c r="AL155" s="16">
        <v>3</v>
      </c>
      <c r="AM155" s="41">
        <f>INDEX(Sheet5!$B$19:$G$33,MATCH(Sheet1!AQ155,Sheet5!$A$19:$A$33,0),MATCH(J155,Sheet5!$B$18:$G$18,0))</f>
        <v>1000</v>
      </c>
      <c r="AN155" s="16" t="s">
        <v>48</v>
      </c>
      <c r="AO155" s="16" t="s">
        <v>751</v>
      </c>
      <c r="AP155" s="16">
        <v>1672</v>
      </c>
      <c r="AQ155" s="13">
        <v>20</v>
      </c>
    </row>
    <row r="156" spans="1:43" ht="16.5">
      <c r="A156" s="16">
        <v>2242</v>
      </c>
      <c r="B156" s="23" t="s">
        <v>1808</v>
      </c>
      <c r="C156" s="23" t="s">
        <v>167</v>
      </c>
      <c r="D156" s="19" t="s">
        <v>128</v>
      </c>
      <c r="E156" s="17">
        <v>11031</v>
      </c>
      <c r="F156" s="37">
        <v>10000</v>
      </c>
      <c r="G156" s="16">
        <v>300</v>
      </c>
      <c r="H156" s="16">
        <v>50</v>
      </c>
      <c r="I156" s="19" t="s">
        <v>720</v>
      </c>
      <c r="J156" s="37">
        <v>5</v>
      </c>
      <c r="K156" s="16">
        <v>16</v>
      </c>
      <c r="L156" s="16">
        <v>40</v>
      </c>
      <c r="M156">
        <v>9600</v>
      </c>
      <c r="N156" s="37">
        <v>0</v>
      </c>
      <c r="O156" s="37">
        <v>0</v>
      </c>
      <c r="P156" s="37">
        <v>0</v>
      </c>
      <c r="Q156" s="16">
        <v>0</v>
      </c>
      <c r="R156" s="16">
        <v>0</v>
      </c>
      <c r="S156" s="16">
        <v>0</v>
      </c>
      <c r="T156" s="16">
        <v>0</v>
      </c>
      <c r="U156" s="16">
        <v>350</v>
      </c>
      <c r="V156" s="16">
        <v>0</v>
      </c>
      <c r="W156" s="16">
        <v>0</v>
      </c>
      <c r="X156" s="16">
        <v>0</v>
      </c>
      <c r="Y156" s="16">
        <v>0</v>
      </c>
      <c r="Z156" s="16">
        <v>0</v>
      </c>
      <c r="AA156" s="16">
        <v>0</v>
      </c>
      <c r="AB156" s="16">
        <v>0</v>
      </c>
      <c r="AC156" s="18">
        <v>1400</v>
      </c>
      <c r="AD156" s="18">
        <v>0</v>
      </c>
      <c r="AE156" s="18">
        <v>0</v>
      </c>
      <c r="AF156" s="18">
        <v>0</v>
      </c>
      <c r="AG156" s="18">
        <v>7.0000000000000001E-3</v>
      </c>
      <c r="AH156" s="18">
        <v>0</v>
      </c>
      <c r="AI156" s="18">
        <v>0</v>
      </c>
      <c r="AJ156" s="28">
        <v>0</v>
      </c>
      <c r="AK156" s="121">
        <v>20046</v>
      </c>
      <c r="AL156" s="16">
        <v>3</v>
      </c>
      <c r="AM156" s="41">
        <f>INDEX(Sheet5!$B$19:$G$33,MATCH(Sheet1!AQ156,Sheet5!$A$19:$A$33,0),MATCH(J156,Sheet5!$B$18:$G$18,0))</f>
        <v>1500</v>
      </c>
      <c r="AN156" s="16" t="s">
        <v>48</v>
      </c>
      <c r="AO156" s="16" t="s">
        <v>751</v>
      </c>
      <c r="AP156" s="16">
        <v>1673</v>
      </c>
      <c r="AQ156" s="13">
        <v>30</v>
      </c>
    </row>
    <row r="157" spans="1:43" ht="16.5">
      <c r="A157" s="16">
        <v>2243</v>
      </c>
      <c r="B157" s="23" t="s">
        <v>1809</v>
      </c>
      <c r="C157" s="23" t="s">
        <v>167</v>
      </c>
      <c r="D157" s="19" t="s">
        <v>128</v>
      </c>
      <c r="E157" s="17">
        <v>11031</v>
      </c>
      <c r="F157" s="37">
        <v>10000</v>
      </c>
      <c r="G157" s="16">
        <v>300</v>
      </c>
      <c r="H157" s="16">
        <v>50</v>
      </c>
      <c r="I157" s="19" t="s">
        <v>720</v>
      </c>
      <c r="J157" s="37">
        <v>5</v>
      </c>
      <c r="K157" s="16">
        <v>16</v>
      </c>
      <c r="L157" s="16">
        <v>40</v>
      </c>
      <c r="M157">
        <v>12800</v>
      </c>
      <c r="N157" s="37">
        <v>0</v>
      </c>
      <c r="O157" s="37">
        <v>0</v>
      </c>
      <c r="P157" s="37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350</v>
      </c>
      <c r="V157" s="16">
        <v>0</v>
      </c>
      <c r="W157" s="16">
        <v>0</v>
      </c>
      <c r="X157" s="16">
        <v>0</v>
      </c>
      <c r="Y157" s="16">
        <v>0</v>
      </c>
      <c r="Z157" s="16">
        <v>0</v>
      </c>
      <c r="AA157" s="16">
        <v>0</v>
      </c>
      <c r="AB157" s="16">
        <v>0</v>
      </c>
      <c r="AC157" s="18">
        <v>1400</v>
      </c>
      <c r="AD157" s="18">
        <v>0</v>
      </c>
      <c r="AE157" s="18">
        <v>0</v>
      </c>
      <c r="AF157" s="18">
        <v>0</v>
      </c>
      <c r="AG157" s="18">
        <v>7.0000000000000001E-3</v>
      </c>
      <c r="AH157" s="18">
        <v>0</v>
      </c>
      <c r="AI157" s="18">
        <v>0</v>
      </c>
      <c r="AJ157" s="28">
        <v>0</v>
      </c>
      <c r="AK157" s="121">
        <v>20047</v>
      </c>
      <c r="AL157" s="16">
        <v>3</v>
      </c>
      <c r="AM157" s="41">
        <f>INDEX(Sheet5!$B$19:$G$33,MATCH(Sheet1!AQ157,Sheet5!$A$19:$A$33,0),MATCH(J157,Sheet5!$B$18:$G$18,0))</f>
        <v>2000</v>
      </c>
      <c r="AN157" s="16" t="s">
        <v>48</v>
      </c>
      <c r="AO157" s="16" t="s">
        <v>751</v>
      </c>
      <c r="AP157" s="16">
        <v>1674</v>
      </c>
      <c r="AQ157" s="13">
        <v>40</v>
      </c>
    </row>
    <row r="158" spans="1:43" s="87" customFormat="1" ht="16.5">
      <c r="A158" s="88">
        <v>2067</v>
      </c>
      <c r="B158" s="88" t="s">
        <v>1810</v>
      </c>
      <c r="C158" s="88" t="s">
        <v>167</v>
      </c>
      <c r="D158" s="88" t="s">
        <v>128</v>
      </c>
      <c r="E158" s="89">
        <v>11031</v>
      </c>
      <c r="F158" s="88">
        <v>10000</v>
      </c>
      <c r="G158" s="88">
        <v>300</v>
      </c>
      <c r="H158" s="88">
        <v>50</v>
      </c>
      <c r="I158" s="88" t="s">
        <v>720</v>
      </c>
      <c r="J158" s="88">
        <v>5</v>
      </c>
      <c r="K158" s="88">
        <v>16</v>
      </c>
      <c r="L158" s="88">
        <v>40</v>
      </c>
      <c r="M158">
        <v>16000</v>
      </c>
      <c r="N158" s="88">
        <v>0</v>
      </c>
      <c r="O158" s="88">
        <v>0</v>
      </c>
      <c r="P158" s="88">
        <v>0</v>
      </c>
      <c r="Q158" s="88">
        <v>0</v>
      </c>
      <c r="R158" s="88">
        <v>0</v>
      </c>
      <c r="S158" s="88">
        <v>0</v>
      </c>
      <c r="T158" s="88">
        <v>0</v>
      </c>
      <c r="U158" s="88">
        <v>350</v>
      </c>
      <c r="V158" s="88">
        <v>0</v>
      </c>
      <c r="W158" s="88">
        <v>0</v>
      </c>
      <c r="X158" s="88">
        <v>0</v>
      </c>
      <c r="Y158" s="88">
        <v>0</v>
      </c>
      <c r="Z158" s="88">
        <v>0</v>
      </c>
      <c r="AA158" s="88">
        <v>0</v>
      </c>
      <c r="AB158" s="88">
        <v>0</v>
      </c>
      <c r="AC158" s="88">
        <v>1400</v>
      </c>
      <c r="AD158" s="88">
        <v>0</v>
      </c>
      <c r="AE158" s="88">
        <v>0</v>
      </c>
      <c r="AF158" s="88">
        <v>0</v>
      </c>
      <c r="AG158" s="88">
        <v>7.0000000000000001E-3</v>
      </c>
      <c r="AH158" s="88">
        <v>0</v>
      </c>
      <c r="AI158" s="88">
        <v>0</v>
      </c>
      <c r="AJ158" s="90">
        <v>0</v>
      </c>
      <c r="AK158" s="121">
        <v>20048</v>
      </c>
      <c r="AL158" s="88">
        <v>3</v>
      </c>
      <c r="AM158" s="41">
        <f>INDEX(Sheet5!$B$19:$G$33,MATCH(Sheet1!AQ158,Sheet5!$A$19:$A$33,0),MATCH(J158,Sheet5!$B$18:$G$18,0))</f>
        <v>2500</v>
      </c>
      <c r="AN158" s="88" t="s">
        <v>1487</v>
      </c>
      <c r="AO158" s="88" t="s">
        <v>751</v>
      </c>
      <c r="AP158" s="88">
        <v>2067</v>
      </c>
      <c r="AQ158" s="13">
        <v>50</v>
      </c>
    </row>
    <row r="159" spans="1:43" ht="16.5">
      <c r="A159" s="16">
        <v>2244</v>
      </c>
      <c r="B159" s="23" t="s">
        <v>1811</v>
      </c>
      <c r="C159" s="23" t="s">
        <v>167</v>
      </c>
      <c r="D159" s="19" t="s">
        <v>128</v>
      </c>
      <c r="E159" s="17">
        <v>11031</v>
      </c>
      <c r="F159" s="37">
        <v>10000</v>
      </c>
      <c r="G159" s="16">
        <v>300</v>
      </c>
      <c r="H159" s="16">
        <v>50</v>
      </c>
      <c r="I159" s="19" t="s">
        <v>720</v>
      </c>
      <c r="J159" s="37">
        <v>5</v>
      </c>
      <c r="K159" s="16">
        <v>16</v>
      </c>
      <c r="L159" s="16">
        <v>40</v>
      </c>
      <c r="M159">
        <v>19200</v>
      </c>
      <c r="N159" s="37">
        <v>0</v>
      </c>
      <c r="O159" s="37">
        <v>0</v>
      </c>
      <c r="P159" s="37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350</v>
      </c>
      <c r="V159" s="16">
        <v>0</v>
      </c>
      <c r="W159" s="16">
        <v>0</v>
      </c>
      <c r="X159" s="16">
        <v>0</v>
      </c>
      <c r="Y159" s="16">
        <v>0</v>
      </c>
      <c r="Z159" s="16">
        <v>0</v>
      </c>
      <c r="AA159" s="16">
        <v>0</v>
      </c>
      <c r="AB159" s="16">
        <v>0</v>
      </c>
      <c r="AC159" s="18">
        <v>1400</v>
      </c>
      <c r="AD159" s="18">
        <v>0</v>
      </c>
      <c r="AE159" s="18">
        <v>0</v>
      </c>
      <c r="AF159" s="18">
        <v>0</v>
      </c>
      <c r="AG159" s="18">
        <v>7.0000000000000001E-3</v>
      </c>
      <c r="AH159" s="18">
        <v>0</v>
      </c>
      <c r="AI159" s="18">
        <v>0</v>
      </c>
      <c r="AJ159" s="28">
        <v>0</v>
      </c>
      <c r="AK159" s="121">
        <v>20049</v>
      </c>
      <c r="AL159" s="16">
        <v>3</v>
      </c>
      <c r="AM159" s="41">
        <f>INDEX(Sheet5!$B$19:$G$33,MATCH(Sheet1!AQ159,Sheet5!$A$19:$A$33,0),MATCH(J159,Sheet5!$B$18:$G$18,0))</f>
        <v>3000</v>
      </c>
      <c r="AN159" s="16" t="s">
        <v>48</v>
      </c>
      <c r="AO159" s="16" t="s">
        <v>751</v>
      </c>
      <c r="AP159" s="16">
        <v>20671</v>
      </c>
      <c r="AQ159" s="13">
        <v>60</v>
      </c>
    </row>
    <row r="160" spans="1:43" ht="16.5">
      <c r="A160" s="16">
        <v>2245</v>
      </c>
      <c r="B160" s="23" t="s">
        <v>1812</v>
      </c>
      <c r="C160" s="23" t="s">
        <v>167</v>
      </c>
      <c r="D160" s="19" t="s">
        <v>128</v>
      </c>
      <c r="E160" s="17">
        <v>11031</v>
      </c>
      <c r="F160" s="37">
        <v>10000</v>
      </c>
      <c r="G160" s="16">
        <v>300</v>
      </c>
      <c r="H160" s="16">
        <v>50</v>
      </c>
      <c r="I160" s="19" t="s">
        <v>720</v>
      </c>
      <c r="J160" s="37">
        <v>5</v>
      </c>
      <c r="K160" s="16">
        <v>16</v>
      </c>
      <c r="L160" s="16">
        <v>40</v>
      </c>
      <c r="M160">
        <v>22400</v>
      </c>
      <c r="N160" s="37">
        <v>0</v>
      </c>
      <c r="O160" s="37">
        <v>0</v>
      </c>
      <c r="P160" s="37">
        <v>0</v>
      </c>
      <c r="Q160" s="16">
        <v>0</v>
      </c>
      <c r="R160" s="16">
        <v>0</v>
      </c>
      <c r="S160" s="16">
        <v>0</v>
      </c>
      <c r="T160" s="16">
        <v>0</v>
      </c>
      <c r="U160" s="16">
        <v>350</v>
      </c>
      <c r="V160" s="16">
        <v>0</v>
      </c>
      <c r="W160" s="16">
        <v>0</v>
      </c>
      <c r="X160" s="16">
        <v>0</v>
      </c>
      <c r="Y160" s="16">
        <v>0</v>
      </c>
      <c r="Z160" s="16">
        <v>0</v>
      </c>
      <c r="AA160" s="16">
        <v>0</v>
      </c>
      <c r="AB160" s="16">
        <v>0</v>
      </c>
      <c r="AC160" s="18">
        <v>1400</v>
      </c>
      <c r="AD160" s="18">
        <v>0</v>
      </c>
      <c r="AE160" s="18">
        <v>0</v>
      </c>
      <c r="AF160" s="18">
        <v>0</v>
      </c>
      <c r="AG160" s="18">
        <v>7.0000000000000001E-3</v>
      </c>
      <c r="AH160" s="18">
        <v>0</v>
      </c>
      <c r="AI160" s="18">
        <v>0</v>
      </c>
      <c r="AJ160" s="28">
        <v>0</v>
      </c>
      <c r="AK160" s="121">
        <v>20050</v>
      </c>
      <c r="AL160" s="16">
        <v>3</v>
      </c>
      <c r="AM160" s="41">
        <f>INDEX(Sheet5!$B$19:$G$33,MATCH(Sheet1!AQ160,Sheet5!$A$19:$A$33,0),MATCH(J160,Sheet5!$B$18:$G$18,0))</f>
        <v>3500</v>
      </c>
      <c r="AN160" s="16" t="s">
        <v>48</v>
      </c>
      <c r="AO160" s="16" t="s">
        <v>751</v>
      </c>
      <c r="AP160" s="16">
        <v>20672</v>
      </c>
      <c r="AQ160" s="13">
        <v>70</v>
      </c>
    </row>
    <row r="161" spans="1:43" ht="16.5">
      <c r="A161" s="16">
        <v>2246</v>
      </c>
      <c r="B161" s="23" t="s">
        <v>1813</v>
      </c>
      <c r="C161" s="23" t="s">
        <v>167</v>
      </c>
      <c r="D161" s="19" t="s">
        <v>128</v>
      </c>
      <c r="E161" s="17">
        <v>11031</v>
      </c>
      <c r="F161" s="37">
        <v>10000</v>
      </c>
      <c r="G161" s="16">
        <v>300</v>
      </c>
      <c r="H161" s="16">
        <v>50</v>
      </c>
      <c r="I161" s="19" t="s">
        <v>720</v>
      </c>
      <c r="J161" s="37">
        <v>5</v>
      </c>
      <c r="K161" s="16">
        <v>16</v>
      </c>
      <c r="L161" s="16">
        <v>40</v>
      </c>
      <c r="M161">
        <v>25600</v>
      </c>
      <c r="N161" s="37">
        <v>0</v>
      </c>
      <c r="O161" s="37">
        <v>0</v>
      </c>
      <c r="P161" s="37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350</v>
      </c>
      <c r="V161" s="16">
        <v>0</v>
      </c>
      <c r="W161" s="16">
        <v>0</v>
      </c>
      <c r="X161" s="16">
        <v>0</v>
      </c>
      <c r="Y161" s="16">
        <v>0</v>
      </c>
      <c r="Z161" s="16">
        <v>0</v>
      </c>
      <c r="AA161" s="16">
        <v>0</v>
      </c>
      <c r="AB161" s="16">
        <v>0</v>
      </c>
      <c r="AC161" s="18">
        <v>1400</v>
      </c>
      <c r="AD161" s="18">
        <v>0</v>
      </c>
      <c r="AE161" s="18">
        <v>0</v>
      </c>
      <c r="AF161" s="18">
        <v>0</v>
      </c>
      <c r="AG161" s="18">
        <v>7.0000000000000001E-3</v>
      </c>
      <c r="AH161" s="18">
        <v>0</v>
      </c>
      <c r="AI161" s="18">
        <v>0</v>
      </c>
      <c r="AJ161" s="28">
        <v>0</v>
      </c>
      <c r="AK161" s="121">
        <v>20051</v>
      </c>
      <c r="AL161" s="16">
        <v>3</v>
      </c>
      <c r="AM161" s="41">
        <f>INDEX(Sheet5!$B$19:$G$33,MATCH(Sheet1!AQ161,Sheet5!$A$19:$A$33,0),MATCH(J161,Sheet5!$B$18:$G$18,0))</f>
        <v>4000</v>
      </c>
      <c r="AN161" s="16" t="s">
        <v>48</v>
      </c>
      <c r="AO161" s="16" t="s">
        <v>751</v>
      </c>
      <c r="AP161" s="16">
        <v>20673</v>
      </c>
      <c r="AQ161" s="13">
        <v>80</v>
      </c>
    </row>
    <row r="162" spans="1:43" ht="16.5">
      <c r="A162" s="16">
        <v>2247</v>
      </c>
      <c r="B162" s="23" t="s">
        <v>1814</v>
      </c>
      <c r="C162" s="23" t="s">
        <v>167</v>
      </c>
      <c r="D162" s="19" t="s">
        <v>128</v>
      </c>
      <c r="E162" s="17">
        <v>11031</v>
      </c>
      <c r="F162" s="37">
        <v>10000</v>
      </c>
      <c r="G162" s="16">
        <v>300</v>
      </c>
      <c r="H162" s="16">
        <v>50</v>
      </c>
      <c r="I162" s="19" t="s">
        <v>720</v>
      </c>
      <c r="J162" s="37">
        <v>5</v>
      </c>
      <c r="K162" s="16">
        <v>16</v>
      </c>
      <c r="L162" s="16">
        <v>40</v>
      </c>
      <c r="M162">
        <v>28800</v>
      </c>
      <c r="N162" s="37">
        <v>0</v>
      </c>
      <c r="O162" s="37">
        <v>0</v>
      </c>
      <c r="P162" s="37">
        <v>0</v>
      </c>
      <c r="Q162" s="16">
        <v>0</v>
      </c>
      <c r="R162" s="16">
        <v>0</v>
      </c>
      <c r="S162" s="16">
        <v>0</v>
      </c>
      <c r="T162" s="16">
        <v>0</v>
      </c>
      <c r="U162" s="16">
        <v>350</v>
      </c>
      <c r="V162" s="16">
        <v>0</v>
      </c>
      <c r="W162" s="16">
        <v>0</v>
      </c>
      <c r="X162" s="16">
        <v>0</v>
      </c>
      <c r="Y162" s="16">
        <v>0</v>
      </c>
      <c r="Z162" s="16">
        <v>0</v>
      </c>
      <c r="AA162" s="16">
        <v>0</v>
      </c>
      <c r="AB162" s="16">
        <v>0</v>
      </c>
      <c r="AC162" s="18">
        <v>1400</v>
      </c>
      <c r="AD162" s="18">
        <v>0</v>
      </c>
      <c r="AE162" s="18">
        <v>0</v>
      </c>
      <c r="AF162" s="18">
        <v>0</v>
      </c>
      <c r="AG162" s="18">
        <v>7.0000000000000001E-3</v>
      </c>
      <c r="AH162" s="18">
        <v>0</v>
      </c>
      <c r="AI162" s="18">
        <v>0</v>
      </c>
      <c r="AJ162" s="28">
        <v>0</v>
      </c>
      <c r="AK162" s="121">
        <v>20052</v>
      </c>
      <c r="AL162" s="16">
        <v>3</v>
      </c>
      <c r="AM162" s="41">
        <f>INDEX(Sheet5!$B$19:$G$33,MATCH(Sheet1!AQ162,Sheet5!$A$19:$A$33,0),MATCH(J162,Sheet5!$B$18:$G$18,0))</f>
        <v>4500</v>
      </c>
      <c r="AN162" s="16" t="s">
        <v>48</v>
      </c>
      <c r="AO162" s="16" t="s">
        <v>751</v>
      </c>
      <c r="AP162" s="16">
        <v>20674</v>
      </c>
      <c r="AQ162" s="13">
        <v>90</v>
      </c>
    </row>
    <row r="163" spans="1:43" ht="16.5">
      <c r="A163" s="16">
        <v>2248</v>
      </c>
      <c r="B163" s="23" t="s">
        <v>1815</v>
      </c>
      <c r="C163" s="23" t="s">
        <v>167</v>
      </c>
      <c r="D163" s="19" t="s">
        <v>128</v>
      </c>
      <c r="E163" s="17">
        <v>11031</v>
      </c>
      <c r="F163" s="37">
        <v>10000</v>
      </c>
      <c r="G163" s="16">
        <v>300</v>
      </c>
      <c r="H163" s="16">
        <v>50</v>
      </c>
      <c r="I163" s="19" t="s">
        <v>720</v>
      </c>
      <c r="J163" s="37">
        <v>5</v>
      </c>
      <c r="K163" s="16">
        <v>16</v>
      </c>
      <c r="L163" s="16">
        <v>40</v>
      </c>
      <c r="M163">
        <v>32000</v>
      </c>
      <c r="N163" s="37">
        <v>0</v>
      </c>
      <c r="O163" s="37">
        <v>0</v>
      </c>
      <c r="P163" s="37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350</v>
      </c>
      <c r="V163" s="16">
        <v>0</v>
      </c>
      <c r="W163" s="16">
        <v>0</v>
      </c>
      <c r="X163" s="16">
        <v>0</v>
      </c>
      <c r="Y163" s="16">
        <v>0</v>
      </c>
      <c r="Z163" s="16">
        <v>0</v>
      </c>
      <c r="AA163" s="16">
        <v>0</v>
      </c>
      <c r="AB163" s="16">
        <v>0</v>
      </c>
      <c r="AC163" s="18">
        <v>1400</v>
      </c>
      <c r="AD163" s="18">
        <v>0</v>
      </c>
      <c r="AE163" s="18">
        <v>0</v>
      </c>
      <c r="AF163" s="18">
        <v>0</v>
      </c>
      <c r="AG163" s="18">
        <v>7.0000000000000001E-3</v>
      </c>
      <c r="AH163" s="18">
        <v>0</v>
      </c>
      <c r="AI163" s="18">
        <v>0</v>
      </c>
      <c r="AJ163" s="28">
        <v>0</v>
      </c>
      <c r="AK163" s="121">
        <v>20053</v>
      </c>
      <c r="AL163" s="16">
        <v>3</v>
      </c>
      <c r="AM163" s="41">
        <f>INDEX(Sheet5!$B$19:$G$33,MATCH(Sheet1!AQ163,Sheet5!$A$19:$A$33,0),MATCH(J163,Sheet5!$B$18:$G$18,0))</f>
        <v>5000</v>
      </c>
      <c r="AN163" s="16" t="s">
        <v>48</v>
      </c>
      <c r="AO163" s="16" t="s">
        <v>751</v>
      </c>
      <c r="AP163" s="16">
        <v>20675</v>
      </c>
      <c r="AQ163" s="13">
        <v>100</v>
      </c>
    </row>
    <row r="164" spans="1:43" ht="16.5">
      <c r="A164" s="16">
        <v>2249</v>
      </c>
      <c r="B164" s="23" t="s">
        <v>1816</v>
      </c>
      <c r="C164" s="23" t="s">
        <v>167</v>
      </c>
      <c r="D164" s="19" t="s">
        <v>128</v>
      </c>
      <c r="E164" s="17">
        <v>11031</v>
      </c>
      <c r="F164" s="37">
        <v>10000</v>
      </c>
      <c r="G164" s="16">
        <v>300</v>
      </c>
      <c r="H164" s="16">
        <v>50</v>
      </c>
      <c r="I164" s="19" t="s">
        <v>720</v>
      </c>
      <c r="J164" s="37">
        <v>5</v>
      </c>
      <c r="K164" s="16">
        <v>16</v>
      </c>
      <c r="L164" s="16">
        <v>40</v>
      </c>
      <c r="M164">
        <v>35200</v>
      </c>
      <c r="N164" s="37">
        <v>0</v>
      </c>
      <c r="O164" s="37">
        <v>0</v>
      </c>
      <c r="P164" s="37">
        <v>0</v>
      </c>
      <c r="Q164" s="16">
        <v>0</v>
      </c>
      <c r="R164" s="16">
        <v>0</v>
      </c>
      <c r="S164" s="16">
        <v>0</v>
      </c>
      <c r="T164" s="16">
        <v>0</v>
      </c>
      <c r="U164" s="16">
        <v>350</v>
      </c>
      <c r="V164" s="16">
        <v>0</v>
      </c>
      <c r="W164" s="16">
        <v>0</v>
      </c>
      <c r="X164" s="16">
        <v>0</v>
      </c>
      <c r="Y164" s="16">
        <v>0</v>
      </c>
      <c r="Z164" s="16">
        <v>0</v>
      </c>
      <c r="AA164" s="16">
        <v>0</v>
      </c>
      <c r="AB164" s="16">
        <v>0</v>
      </c>
      <c r="AC164" s="18">
        <v>1400</v>
      </c>
      <c r="AD164" s="18">
        <v>0</v>
      </c>
      <c r="AE164" s="18">
        <v>0</v>
      </c>
      <c r="AF164" s="18">
        <v>0</v>
      </c>
      <c r="AG164" s="18">
        <v>7.0000000000000001E-3</v>
      </c>
      <c r="AH164" s="18">
        <v>0</v>
      </c>
      <c r="AI164" s="18">
        <v>0</v>
      </c>
      <c r="AJ164" s="28">
        <v>0</v>
      </c>
      <c r="AK164" s="121">
        <v>20054</v>
      </c>
      <c r="AL164" s="16">
        <v>3</v>
      </c>
      <c r="AM164" s="41">
        <f>INDEX(Sheet5!$B$19:$G$33,MATCH(Sheet1!AQ164,Sheet5!$A$19:$A$33,0),MATCH(J164,Sheet5!$B$18:$G$18,0))</f>
        <v>5500</v>
      </c>
      <c r="AN164" s="16" t="s">
        <v>48</v>
      </c>
      <c r="AO164" s="16" t="s">
        <v>751</v>
      </c>
      <c r="AP164" s="16">
        <v>20676</v>
      </c>
      <c r="AQ164" s="13">
        <v>110</v>
      </c>
    </row>
    <row r="165" spans="1:43" ht="16.5">
      <c r="A165" s="16">
        <v>2250</v>
      </c>
      <c r="B165" s="23" t="s">
        <v>1817</v>
      </c>
      <c r="C165" s="23" t="s">
        <v>167</v>
      </c>
      <c r="D165" s="19" t="s">
        <v>128</v>
      </c>
      <c r="E165" s="17">
        <v>11031</v>
      </c>
      <c r="F165" s="37">
        <v>10000</v>
      </c>
      <c r="G165" s="16">
        <v>300</v>
      </c>
      <c r="H165" s="16">
        <v>50</v>
      </c>
      <c r="I165" s="19" t="s">
        <v>720</v>
      </c>
      <c r="J165" s="37">
        <v>5</v>
      </c>
      <c r="K165" s="16">
        <v>16</v>
      </c>
      <c r="L165" s="16">
        <v>40</v>
      </c>
      <c r="M165">
        <v>38400</v>
      </c>
      <c r="N165" s="37">
        <v>0</v>
      </c>
      <c r="O165" s="37">
        <v>0</v>
      </c>
      <c r="P165" s="37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350</v>
      </c>
      <c r="V165" s="16">
        <v>0</v>
      </c>
      <c r="W165" s="16">
        <v>0</v>
      </c>
      <c r="X165" s="16">
        <v>0</v>
      </c>
      <c r="Y165" s="16">
        <v>0</v>
      </c>
      <c r="Z165" s="16">
        <v>0</v>
      </c>
      <c r="AA165" s="16">
        <v>0</v>
      </c>
      <c r="AB165" s="16">
        <v>0</v>
      </c>
      <c r="AC165" s="18">
        <v>1400</v>
      </c>
      <c r="AD165" s="18">
        <v>0</v>
      </c>
      <c r="AE165" s="18">
        <v>0</v>
      </c>
      <c r="AF165" s="18">
        <v>0</v>
      </c>
      <c r="AG165" s="18">
        <v>7.0000000000000001E-3</v>
      </c>
      <c r="AH165" s="18">
        <v>0</v>
      </c>
      <c r="AI165" s="18">
        <v>0</v>
      </c>
      <c r="AJ165" s="28">
        <v>0</v>
      </c>
      <c r="AK165" s="121">
        <v>20055</v>
      </c>
      <c r="AL165" s="16">
        <v>3</v>
      </c>
      <c r="AM165" s="41">
        <f>INDEX(Sheet5!$B$19:$G$33,MATCH(Sheet1!AQ165,Sheet5!$A$19:$A$33,0),MATCH(J165,Sheet5!$B$18:$G$18,0))</f>
        <v>6000</v>
      </c>
      <c r="AN165" s="16" t="s">
        <v>48</v>
      </c>
      <c r="AO165" s="16" t="s">
        <v>751</v>
      </c>
      <c r="AP165" s="16">
        <v>20677</v>
      </c>
      <c r="AQ165" s="13">
        <v>120</v>
      </c>
    </row>
    <row r="166" spans="1:43" ht="16.5">
      <c r="A166" s="16">
        <v>2251</v>
      </c>
      <c r="B166" s="23" t="s">
        <v>1818</v>
      </c>
      <c r="C166" s="23" t="s">
        <v>167</v>
      </c>
      <c r="D166" s="19" t="s">
        <v>128</v>
      </c>
      <c r="E166" s="17">
        <v>11031</v>
      </c>
      <c r="F166" s="37">
        <v>10000</v>
      </c>
      <c r="G166" s="16">
        <v>300</v>
      </c>
      <c r="H166" s="16">
        <v>50</v>
      </c>
      <c r="I166" s="19" t="s">
        <v>720</v>
      </c>
      <c r="J166" s="37">
        <v>5</v>
      </c>
      <c r="K166" s="16">
        <v>16</v>
      </c>
      <c r="L166" s="16">
        <v>40</v>
      </c>
      <c r="M166">
        <v>41600</v>
      </c>
      <c r="N166" s="37">
        <v>0</v>
      </c>
      <c r="O166" s="37">
        <v>0</v>
      </c>
      <c r="P166" s="37">
        <v>0</v>
      </c>
      <c r="Q166" s="16">
        <v>0</v>
      </c>
      <c r="R166" s="16">
        <v>0</v>
      </c>
      <c r="S166" s="16">
        <v>0</v>
      </c>
      <c r="T166" s="16">
        <v>0</v>
      </c>
      <c r="U166" s="16">
        <v>350</v>
      </c>
      <c r="V166" s="16">
        <v>0</v>
      </c>
      <c r="W166" s="16">
        <v>0</v>
      </c>
      <c r="X166" s="16">
        <v>0</v>
      </c>
      <c r="Y166" s="16">
        <v>0</v>
      </c>
      <c r="Z166" s="16">
        <v>0</v>
      </c>
      <c r="AA166" s="16">
        <v>0</v>
      </c>
      <c r="AB166" s="16">
        <v>0</v>
      </c>
      <c r="AC166" s="18">
        <v>1400</v>
      </c>
      <c r="AD166" s="18">
        <v>0</v>
      </c>
      <c r="AE166" s="18">
        <v>0</v>
      </c>
      <c r="AF166" s="18">
        <v>0</v>
      </c>
      <c r="AG166" s="18">
        <v>7.0000000000000001E-3</v>
      </c>
      <c r="AH166" s="18">
        <v>0</v>
      </c>
      <c r="AI166" s="18">
        <v>0</v>
      </c>
      <c r="AJ166" s="28">
        <v>0</v>
      </c>
      <c r="AK166" s="121">
        <v>20056</v>
      </c>
      <c r="AL166" s="16">
        <v>3</v>
      </c>
      <c r="AM166" s="41">
        <f>INDEX(Sheet5!$B$19:$G$33,MATCH(Sheet1!AQ166,Sheet5!$A$19:$A$33,0),MATCH(J166,Sheet5!$B$18:$G$18,0))</f>
        <v>6500</v>
      </c>
      <c r="AN166" s="16" t="s">
        <v>48</v>
      </c>
      <c r="AO166" s="16" t="s">
        <v>751</v>
      </c>
      <c r="AP166" s="16">
        <v>20678</v>
      </c>
      <c r="AQ166" s="13">
        <v>130</v>
      </c>
    </row>
    <row r="167" spans="1:43" ht="16.5">
      <c r="A167" s="16">
        <v>2252</v>
      </c>
      <c r="B167" s="23" t="s">
        <v>1819</v>
      </c>
      <c r="C167" s="23" t="s">
        <v>167</v>
      </c>
      <c r="D167" s="19" t="s">
        <v>128</v>
      </c>
      <c r="E167" s="17">
        <v>11031</v>
      </c>
      <c r="F167" s="37">
        <v>10000</v>
      </c>
      <c r="G167" s="16">
        <v>300</v>
      </c>
      <c r="H167" s="16">
        <v>50</v>
      </c>
      <c r="I167" s="19" t="s">
        <v>720</v>
      </c>
      <c r="J167" s="37">
        <v>5</v>
      </c>
      <c r="K167" s="16">
        <v>16</v>
      </c>
      <c r="L167" s="16">
        <v>40</v>
      </c>
      <c r="M167">
        <v>44800</v>
      </c>
      <c r="N167" s="37">
        <v>0</v>
      </c>
      <c r="O167" s="37">
        <v>0</v>
      </c>
      <c r="P167" s="37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350</v>
      </c>
      <c r="V167" s="16">
        <v>0</v>
      </c>
      <c r="W167" s="16">
        <v>0</v>
      </c>
      <c r="X167" s="16">
        <v>0</v>
      </c>
      <c r="Y167" s="16">
        <v>0</v>
      </c>
      <c r="Z167" s="16">
        <v>0</v>
      </c>
      <c r="AA167" s="16">
        <v>0</v>
      </c>
      <c r="AB167" s="16">
        <v>0</v>
      </c>
      <c r="AC167" s="18">
        <v>1400</v>
      </c>
      <c r="AD167" s="18">
        <v>0</v>
      </c>
      <c r="AE167" s="18">
        <v>0</v>
      </c>
      <c r="AF167" s="18">
        <v>0</v>
      </c>
      <c r="AG167" s="18">
        <v>7.0000000000000001E-3</v>
      </c>
      <c r="AH167" s="18">
        <v>0</v>
      </c>
      <c r="AI167" s="18">
        <v>0</v>
      </c>
      <c r="AJ167" s="28">
        <v>0</v>
      </c>
      <c r="AK167" s="121">
        <v>20057</v>
      </c>
      <c r="AL167" s="16">
        <v>3</v>
      </c>
      <c r="AM167" s="41">
        <f>INDEX(Sheet5!$B$19:$G$33,MATCH(Sheet1!AQ167,Sheet5!$A$19:$A$33,0),MATCH(J167,Sheet5!$B$18:$G$18,0))</f>
        <v>7000</v>
      </c>
      <c r="AN167" s="16" t="s">
        <v>48</v>
      </c>
      <c r="AO167" s="16" t="s">
        <v>751</v>
      </c>
      <c r="AP167" s="16">
        <v>20679</v>
      </c>
      <c r="AQ167" s="13">
        <v>140</v>
      </c>
    </row>
    <row r="168" spans="1:43" ht="16.5">
      <c r="A168" s="16">
        <v>2253</v>
      </c>
      <c r="B168" s="23" t="s">
        <v>1820</v>
      </c>
      <c r="C168" s="23" t="s">
        <v>167</v>
      </c>
      <c r="D168" s="19" t="s">
        <v>128</v>
      </c>
      <c r="E168" s="17">
        <v>11031</v>
      </c>
      <c r="F168" s="37">
        <v>10000</v>
      </c>
      <c r="G168" s="16">
        <v>300</v>
      </c>
      <c r="H168" s="16">
        <v>50</v>
      </c>
      <c r="I168" s="19" t="s">
        <v>720</v>
      </c>
      <c r="J168" s="37">
        <v>5</v>
      </c>
      <c r="K168" s="16">
        <v>16</v>
      </c>
      <c r="L168" s="16">
        <v>40</v>
      </c>
      <c r="M168">
        <v>48000</v>
      </c>
      <c r="N168" s="37">
        <v>0</v>
      </c>
      <c r="O168" s="37">
        <v>0</v>
      </c>
      <c r="P168" s="37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350</v>
      </c>
      <c r="V168" s="16">
        <v>0</v>
      </c>
      <c r="W168" s="16">
        <v>0</v>
      </c>
      <c r="X168" s="16">
        <v>0</v>
      </c>
      <c r="Y168" s="16">
        <v>0</v>
      </c>
      <c r="Z168" s="16">
        <v>0</v>
      </c>
      <c r="AA168" s="16">
        <v>0</v>
      </c>
      <c r="AB168" s="16">
        <v>0</v>
      </c>
      <c r="AC168" s="18">
        <v>1400</v>
      </c>
      <c r="AD168" s="18">
        <v>0</v>
      </c>
      <c r="AE168" s="18">
        <v>0</v>
      </c>
      <c r="AF168" s="18">
        <v>0</v>
      </c>
      <c r="AG168" s="18">
        <v>7.0000000000000001E-3</v>
      </c>
      <c r="AH168" s="18">
        <v>0</v>
      </c>
      <c r="AI168" s="18">
        <v>0</v>
      </c>
      <c r="AJ168" s="28">
        <v>0</v>
      </c>
      <c r="AK168" s="121">
        <v>20058</v>
      </c>
      <c r="AL168" s="16">
        <v>3</v>
      </c>
      <c r="AM168" s="41">
        <f>INDEX(Sheet5!$B$19:$G$33,MATCH(Sheet1!AQ168,Sheet5!$A$19:$A$33,0),MATCH(J168,Sheet5!$B$18:$G$18,0))</f>
        <v>7500</v>
      </c>
      <c r="AN168" s="16" t="s">
        <v>48</v>
      </c>
      <c r="AO168" s="16" t="s">
        <v>751</v>
      </c>
      <c r="AP168" s="16">
        <v>20680</v>
      </c>
      <c r="AQ168" s="13">
        <v>150</v>
      </c>
    </row>
    <row r="169" spans="1:43" ht="16.5">
      <c r="A169" s="16">
        <v>2254</v>
      </c>
      <c r="B169" s="23" t="s">
        <v>1821</v>
      </c>
      <c r="C169" s="23" t="s">
        <v>167</v>
      </c>
      <c r="D169" s="19" t="s">
        <v>129</v>
      </c>
      <c r="E169" s="17">
        <v>11032</v>
      </c>
      <c r="F169" s="37">
        <v>10000</v>
      </c>
      <c r="G169" s="16">
        <v>300</v>
      </c>
      <c r="H169" s="16">
        <v>50</v>
      </c>
      <c r="I169" s="19" t="s">
        <v>159</v>
      </c>
      <c r="J169" s="37">
        <v>5</v>
      </c>
      <c r="K169" s="16">
        <v>16</v>
      </c>
      <c r="L169" s="16">
        <v>40</v>
      </c>
      <c r="M169" s="37">
        <v>0</v>
      </c>
      <c r="N169" s="37">
        <v>0</v>
      </c>
      <c r="O169" s="37">
        <v>0</v>
      </c>
      <c r="P169">
        <v>640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v>0</v>
      </c>
      <c r="W169" s="16">
        <v>0</v>
      </c>
      <c r="X169" s="16">
        <v>7</v>
      </c>
      <c r="Y169" s="16">
        <v>0</v>
      </c>
      <c r="Z169" s="16">
        <v>0</v>
      </c>
      <c r="AA169" s="16">
        <v>0</v>
      </c>
      <c r="AB169" s="16">
        <v>0</v>
      </c>
      <c r="AC169" s="18">
        <v>0</v>
      </c>
      <c r="AD169" s="18">
        <v>0</v>
      </c>
      <c r="AE169" s="18">
        <v>0</v>
      </c>
      <c r="AF169" s="18">
        <v>28</v>
      </c>
      <c r="AG169" s="18">
        <v>0</v>
      </c>
      <c r="AH169" s="18">
        <v>7.0000000000000001E-3</v>
      </c>
      <c r="AI169" s="18">
        <v>0</v>
      </c>
      <c r="AJ169" s="18">
        <v>0</v>
      </c>
      <c r="AK169" s="123">
        <v>20044</v>
      </c>
      <c r="AL169" s="16">
        <v>4</v>
      </c>
      <c r="AM169" s="41">
        <f>INDEX(Sheet5!$B$19:$G$33,MATCH(Sheet1!AQ169,Sheet5!$A$19:$A$33,0),MATCH(J169,Sheet5!$B$18:$G$18,0))</f>
        <v>500</v>
      </c>
      <c r="AN169" s="16" t="s">
        <v>48</v>
      </c>
      <c r="AO169" s="16" t="s">
        <v>752</v>
      </c>
      <c r="AP169" s="16">
        <v>1681</v>
      </c>
      <c r="AQ169" s="13">
        <v>10</v>
      </c>
    </row>
    <row r="170" spans="1:43" ht="16.5">
      <c r="A170" s="16">
        <v>2255</v>
      </c>
      <c r="B170" s="23" t="s">
        <v>1822</v>
      </c>
      <c r="C170" s="23" t="s">
        <v>167</v>
      </c>
      <c r="D170" s="19" t="s">
        <v>129</v>
      </c>
      <c r="E170" s="17">
        <v>11032</v>
      </c>
      <c r="F170" s="37">
        <v>10000</v>
      </c>
      <c r="G170" s="16">
        <v>300</v>
      </c>
      <c r="H170" s="16">
        <v>50</v>
      </c>
      <c r="I170" s="19" t="s">
        <v>159</v>
      </c>
      <c r="J170" s="37">
        <v>5</v>
      </c>
      <c r="K170" s="16">
        <v>16</v>
      </c>
      <c r="L170" s="16">
        <v>40</v>
      </c>
      <c r="M170" s="37">
        <v>0</v>
      </c>
      <c r="N170" s="37">
        <v>0</v>
      </c>
      <c r="O170" s="37">
        <v>0</v>
      </c>
      <c r="P170">
        <v>1280</v>
      </c>
      <c r="Q170" s="16">
        <v>0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0</v>
      </c>
      <c r="X170" s="16">
        <v>7</v>
      </c>
      <c r="Y170" s="16">
        <v>0</v>
      </c>
      <c r="Z170" s="16">
        <v>0</v>
      </c>
      <c r="AA170" s="16">
        <v>0</v>
      </c>
      <c r="AB170" s="16">
        <v>0</v>
      </c>
      <c r="AC170" s="18">
        <v>0</v>
      </c>
      <c r="AD170" s="18">
        <v>0</v>
      </c>
      <c r="AE170" s="18">
        <v>0</v>
      </c>
      <c r="AF170" s="18">
        <v>28</v>
      </c>
      <c r="AG170" s="18">
        <v>0</v>
      </c>
      <c r="AH170" s="18">
        <v>7.0000000000000001E-3</v>
      </c>
      <c r="AI170" s="18">
        <v>0</v>
      </c>
      <c r="AJ170" s="18">
        <v>0</v>
      </c>
      <c r="AK170" s="123">
        <v>20045</v>
      </c>
      <c r="AL170" s="16">
        <v>4</v>
      </c>
      <c r="AM170" s="41">
        <f>INDEX(Sheet5!$B$19:$G$33,MATCH(Sheet1!AQ170,Sheet5!$A$19:$A$33,0),MATCH(J170,Sheet5!$B$18:$G$18,0))</f>
        <v>1000</v>
      </c>
      <c r="AN170" s="16" t="s">
        <v>48</v>
      </c>
      <c r="AO170" s="16" t="s">
        <v>752</v>
      </c>
      <c r="AP170" s="16">
        <v>1682</v>
      </c>
      <c r="AQ170" s="13">
        <v>20</v>
      </c>
    </row>
    <row r="171" spans="1:43" ht="16.5">
      <c r="A171" s="16">
        <v>2256</v>
      </c>
      <c r="B171" s="23" t="s">
        <v>1823</v>
      </c>
      <c r="C171" s="23" t="s">
        <v>167</v>
      </c>
      <c r="D171" s="19" t="s">
        <v>129</v>
      </c>
      <c r="E171" s="17">
        <v>11032</v>
      </c>
      <c r="F171" s="37">
        <v>10000</v>
      </c>
      <c r="G171" s="16">
        <v>300</v>
      </c>
      <c r="H171" s="16">
        <v>50</v>
      </c>
      <c r="I171" s="19" t="s">
        <v>159</v>
      </c>
      <c r="J171" s="37">
        <v>5</v>
      </c>
      <c r="K171" s="16">
        <v>16</v>
      </c>
      <c r="L171" s="16">
        <v>40</v>
      </c>
      <c r="M171" s="37">
        <v>0</v>
      </c>
      <c r="N171" s="37">
        <v>0</v>
      </c>
      <c r="O171" s="37">
        <v>0</v>
      </c>
      <c r="P171">
        <v>1920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v>0</v>
      </c>
      <c r="W171" s="16">
        <v>0</v>
      </c>
      <c r="X171" s="16">
        <v>7</v>
      </c>
      <c r="Y171" s="16">
        <v>0</v>
      </c>
      <c r="Z171" s="16">
        <v>0</v>
      </c>
      <c r="AA171" s="16">
        <v>0</v>
      </c>
      <c r="AB171" s="16">
        <v>0</v>
      </c>
      <c r="AC171" s="18">
        <v>0</v>
      </c>
      <c r="AD171" s="18">
        <v>0</v>
      </c>
      <c r="AE171" s="18">
        <v>0</v>
      </c>
      <c r="AF171" s="18">
        <v>28</v>
      </c>
      <c r="AG171" s="18">
        <v>0</v>
      </c>
      <c r="AH171" s="18">
        <v>7.0000000000000001E-3</v>
      </c>
      <c r="AI171" s="18">
        <v>0</v>
      </c>
      <c r="AJ171" s="18">
        <v>0</v>
      </c>
      <c r="AK171" s="123">
        <v>20046</v>
      </c>
      <c r="AL171" s="16">
        <v>4</v>
      </c>
      <c r="AM171" s="41">
        <f>INDEX(Sheet5!$B$19:$G$33,MATCH(Sheet1!AQ171,Sheet5!$A$19:$A$33,0),MATCH(J171,Sheet5!$B$18:$G$18,0))</f>
        <v>1500</v>
      </c>
      <c r="AN171" s="16" t="s">
        <v>48</v>
      </c>
      <c r="AO171" s="16" t="s">
        <v>752</v>
      </c>
      <c r="AP171" s="16">
        <v>1683</v>
      </c>
      <c r="AQ171" s="13">
        <v>30</v>
      </c>
    </row>
    <row r="172" spans="1:43" ht="16.5">
      <c r="A172" s="16">
        <v>2257</v>
      </c>
      <c r="B172" s="23" t="s">
        <v>1824</v>
      </c>
      <c r="C172" s="23" t="s">
        <v>167</v>
      </c>
      <c r="D172" s="19" t="s">
        <v>129</v>
      </c>
      <c r="E172" s="17">
        <v>11032</v>
      </c>
      <c r="F172" s="37">
        <v>10000</v>
      </c>
      <c r="G172" s="16">
        <v>300</v>
      </c>
      <c r="H172" s="16">
        <v>50</v>
      </c>
      <c r="I172" s="19" t="s">
        <v>159</v>
      </c>
      <c r="J172" s="37">
        <v>5</v>
      </c>
      <c r="K172" s="16">
        <v>16</v>
      </c>
      <c r="L172" s="16">
        <v>40</v>
      </c>
      <c r="M172" s="37">
        <v>0</v>
      </c>
      <c r="N172" s="37">
        <v>0</v>
      </c>
      <c r="O172" s="37">
        <v>0</v>
      </c>
      <c r="P172">
        <v>2560</v>
      </c>
      <c r="Q172" s="16">
        <v>0</v>
      </c>
      <c r="R172" s="16">
        <v>0</v>
      </c>
      <c r="S172" s="16">
        <v>0</v>
      </c>
      <c r="T172" s="16">
        <v>0</v>
      </c>
      <c r="U172" s="16">
        <v>0</v>
      </c>
      <c r="V172" s="16">
        <v>0</v>
      </c>
      <c r="W172" s="16">
        <v>0</v>
      </c>
      <c r="X172" s="16">
        <v>7</v>
      </c>
      <c r="Y172" s="16">
        <v>0</v>
      </c>
      <c r="Z172" s="16">
        <v>0</v>
      </c>
      <c r="AA172" s="16">
        <v>0</v>
      </c>
      <c r="AB172" s="16">
        <v>0</v>
      </c>
      <c r="AC172" s="18">
        <v>0</v>
      </c>
      <c r="AD172" s="18">
        <v>0</v>
      </c>
      <c r="AE172" s="18">
        <v>0</v>
      </c>
      <c r="AF172" s="18">
        <v>28</v>
      </c>
      <c r="AG172" s="18">
        <v>0</v>
      </c>
      <c r="AH172" s="18">
        <v>7.0000000000000001E-3</v>
      </c>
      <c r="AI172" s="18">
        <v>0</v>
      </c>
      <c r="AJ172" s="18">
        <v>0</v>
      </c>
      <c r="AK172" s="123">
        <v>20047</v>
      </c>
      <c r="AL172" s="16">
        <v>4</v>
      </c>
      <c r="AM172" s="41">
        <f>INDEX(Sheet5!$B$19:$G$33,MATCH(Sheet1!AQ172,Sheet5!$A$19:$A$33,0),MATCH(J172,Sheet5!$B$18:$G$18,0))</f>
        <v>2000</v>
      </c>
      <c r="AN172" s="16" t="s">
        <v>48</v>
      </c>
      <c r="AO172" s="16" t="s">
        <v>752</v>
      </c>
      <c r="AP172" s="16">
        <v>1684</v>
      </c>
      <c r="AQ172" s="13">
        <v>40</v>
      </c>
    </row>
    <row r="173" spans="1:43" s="87" customFormat="1" ht="16.5">
      <c r="A173" s="88">
        <v>2068</v>
      </c>
      <c r="B173" s="88" t="s">
        <v>1825</v>
      </c>
      <c r="C173" s="88" t="s">
        <v>167</v>
      </c>
      <c r="D173" s="88" t="s">
        <v>129</v>
      </c>
      <c r="E173" s="89">
        <v>11032</v>
      </c>
      <c r="F173" s="88">
        <v>10000</v>
      </c>
      <c r="G173" s="88">
        <v>300</v>
      </c>
      <c r="H173" s="88">
        <v>50</v>
      </c>
      <c r="I173" s="88" t="s">
        <v>159</v>
      </c>
      <c r="J173" s="88">
        <v>5</v>
      </c>
      <c r="K173" s="88">
        <v>16</v>
      </c>
      <c r="L173" s="88">
        <v>40</v>
      </c>
      <c r="M173" s="88">
        <v>0</v>
      </c>
      <c r="N173" s="88">
        <v>0</v>
      </c>
      <c r="O173" s="88">
        <v>0</v>
      </c>
      <c r="P173">
        <v>3200</v>
      </c>
      <c r="Q173" s="88">
        <v>0</v>
      </c>
      <c r="R173" s="88">
        <v>0</v>
      </c>
      <c r="S173" s="88">
        <v>0</v>
      </c>
      <c r="T173" s="88">
        <v>0</v>
      </c>
      <c r="U173" s="88">
        <v>0</v>
      </c>
      <c r="V173" s="88">
        <v>0</v>
      </c>
      <c r="W173" s="88">
        <v>0</v>
      </c>
      <c r="X173" s="88">
        <v>7</v>
      </c>
      <c r="Y173" s="88">
        <v>0</v>
      </c>
      <c r="Z173" s="88">
        <v>0</v>
      </c>
      <c r="AA173" s="88">
        <v>0</v>
      </c>
      <c r="AB173" s="88">
        <v>0</v>
      </c>
      <c r="AC173" s="88">
        <v>0</v>
      </c>
      <c r="AD173" s="88">
        <v>0</v>
      </c>
      <c r="AE173" s="88">
        <v>0</v>
      </c>
      <c r="AF173" s="88">
        <v>28</v>
      </c>
      <c r="AG173" s="88">
        <v>0</v>
      </c>
      <c r="AH173" s="88">
        <v>7.0000000000000001E-3</v>
      </c>
      <c r="AI173" s="88">
        <v>0</v>
      </c>
      <c r="AJ173" s="88">
        <v>0</v>
      </c>
      <c r="AK173" s="123">
        <v>20048</v>
      </c>
      <c r="AL173" s="88">
        <v>4</v>
      </c>
      <c r="AM173" s="41">
        <f>INDEX(Sheet5!$B$19:$G$33,MATCH(Sheet1!AQ173,Sheet5!$A$19:$A$33,0),MATCH(J173,Sheet5!$B$18:$G$18,0))</f>
        <v>2500</v>
      </c>
      <c r="AN173" s="88" t="s">
        <v>1489</v>
      </c>
      <c r="AO173" s="88" t="s">
        <v>752</v>
      </c>
      <c r="AP173" s="88">
        <v>2068</v>
      </c>
      <c r="AQ173" s="13">
        <v>50</v>
      </c>
    </row>
    <row r="174" spans="1:43" ht="16.5">
      <c r="A174" s="16">
        <v>2258</v>
      </c>
      <c r="B174" s="23" t="s">
        <v>1826</v>
      </c>
      <c r="C174" s="23" t="s">
        <v>167</v>
      </c>
      <c r="D174" s="19" t="s">
        <v>129</v>
      </c>
      <c r="E174" s="17">
        <v>11032</v>
      </c>
      <c r="F174" s="37">
        <v>10000</v>
      </c>
      <c r="G174" s="16">
        <v>300</v>
      </c>
      <c r="H174" s="16">
        <v>50</v>
      </c>
      <c r="I174" s="19" t="s">
        <v>159</v>
      </c>
      <c r="J174" s="37">
        <v>5</v>
      </c>
      <c r="K174" s="16">
        <v>16</v>
      </c>
      <c r="L174" s="16">
        <v>40</v>
      </c>
      <c r="M174" s="37">
        <v>0</v>
      </c>
      <c r="N174" s="37">
        <v>0</v>
      </c>
      <c r="O174" s="37">
        <v>0</v>
      </c>
      <c r="P174">
        <v>3840</v>
      </c>
      <c r="Q174" s="16">
        <v>0</v>
      </c>
      <c r="R174" s="16">
        <v>0</v>
      </c>
      <c r="S174" s="16">
        <v>0</v>
      </c>
      <c r="T174" s="16">
        <v>0</v>
      </c>
      <c r="U174" s="16">
        <v>0</v>
      </c>
      <c r="V174" s="16">
        <v>0</v>
      </c>
      <c r="W174" s="16">
        <v>0</v>
      </c>
      <c r="X174" s="16">
        <v>7</v>
      </c>
      <c r="Y174" s="16">
        <v>0</v>
      </c>
      <c r="Z174" s="16">
        <v>0</v>
      </c>
      <c r="AA174" s="16">
        <v>0</v>
      </c>
      <c r="AB174" s="16">
        <v>0</v>
      </c>
      <c r="AC174" s="18">
        <v>0</v>
      </c>
      <c r="AD174" s="18">
        <v>0</v>
      </c>
      <c r="AE174" s="18">
        <v>0</v>
      </c>
      <c r="AF174" s="18">
        <v>28</v>
      </c>
      <c r="AG174" s="18">
        <v>0</v>
      </c>
      <c r="AH174" s="18">
        <v>7.0000000000000001E-3</v>
      </c>
      <c r="AI174" s="18">
        <v>0</v>
      </c>
      <c r="AJ174" s="18">
        <v>0</v>
      </c>
      <c r="AK174" s="123">
        <v>20049</v>
      </c>
      <c r="AL174" s="16">
        <v>4</v>
      </c>
      <c r="AM174" s="41">
        <f>INDEX(Sheet5!$B$19:$G$33,MATCH(Sheet1!AQ174,Sheet5!$A$19:$A$33,0),MATCH(J174,Sheet5!$B$18:$G$18,0))</f>
        <v>3000</v>
      </c>
      <c r="AN174" s="16" t="s">
        <v>48</v>
      </c>
      <c r="AO174" s="16" t="s">
        <v>752</v>
      </c>
      <c r="AP174" s="16">
        <v>20681</v>
      </c>
      <c r="AQ174" s="13">
        <v>60</v>
      </c>
    </row>
    <row r="175" spans="1:43" ht="16.5">
      <c r="A175" s="16">
        <v>2259</v>
      </c>
      <c r="B175" s="23" t="s">
        <v>1827</v>
      </c>
      <c r="C175" s="23" t="s">
        <v>167</v>
      </c>
      <c r="D175" s="19" t="s">
        <v>129</v>
      </c>
      <c r="E175" s="17">
        <v>11032</v>
      </c>
      <c r="F175" s="37">
        <v>10000</v>
      </c>
      <c r="G175" s="16">
        <v>300</v>
      </c>
      <c r="H175" s="16">
        <v>50</v>
      </c>
      <c r="I175" s="19" t="s">
        <v>159</v>
      </c>
      <c r="J175" s="37">
        <v>5</v>
      </c>
      <c r="K175" s="16">
        <v>16</v>
      </c>
      <c r="L175" s="16">
        <v>40</v>
      </c>
      <c r="M175" s="37">
        <v>0</v>
      </c>
      <c r="N175" s="37">
        <v>0</v>
      </c>
      <c r="O175" s="37">
        <v>0</v>
      </c>
      <c r="P175">
        <v>4480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v>0</v>
      </c>
      <c r="W175" s="16">
        <v>0</v>
      </c>
      <c r="X175" s="16">
        <v>7</v>
      </c>
      <c r="Y175" s="16">
        <v>0</v>
      </c>
      <c r="Z175" s="16">
        <v>0</v>
      </c>
      <c r="AA175" s="16">
        <v>0</v>
      </c>
      <c r="AB175" s="16">
        <v>0</v>
      </c>
      <c r="AC175" s="18">
        <v>0</v>
      </c>
      <c r="AD175" s="18">
        <v>0</v>
      </c>
      <c r="AE175" s="18">
        <v>0</v>
      </c>
      <c r="AF175" s="18">
        <v>28</v>
      </c>
      <c r="AG175" s="18">
        <v>0</v>
      </c>
      <c r="AH175" s="18">
        <v>7.0000000000000001E-3</v>
      </c>
      <c r="AI175" s="18">
        <v>0</v>
      </c>
      <c r="AJ175" s="18">
        <v>0</v>
      </c>
      <c r="AK175" s="123">
        <v>20050</v>
      </c>
      <c r="AL175" s="16">
        <v>4</v>
      </c>
      <c r="AM175" s="41">
        <f>INDEX(Sheet5!$B$19:$G$33,MATCH(Sheet1!AQ175,Sheet5!$A$19:$A$33,0),MATCH(J175,Sheet5!$B$18:$G$18,0))</f>
        <v>3500</v>
      </c>
      <c r="AN175" s="16" t="s">
        <v>48</v>
      </c>
      <c r="AO175" s="16" t="s">
        <v>752</v>
      </c>
      <c r="AP175" s="16">
        <v>20682</v>
      </c>
      <c r="AQ175" s="13">
        <v>70</v>
      </c>
    </row>
    <row r="176" spans="1:43" ht="16.5">
      <c r="A176" s="16">
        <v>2260</v>
      </c>
      <c r="B176" s="23" t="s">
        <v>1828</v>
      </c>
      <c r="C176" s="23" t="s">
        <v>167</v>
      </c>
      <c r="D176" s="19" t="s">
        <v>129</v>
      </c>
      <c r="E176" s="17">
        <v>11032</v>
      </c>
      <c r="F176" s="37">
        <v>10000</v>
      </c>
      <c r="G176" s="16">
        <v>300</v>
      </c>
      <c r="H176" s="16">
        <v>50</v>
      </c>
      <c r="I176" s="19" t="s">
        <v>159</v>
      </c>
      <c r="J176" s="37">
        <v>5</v>
      </c>
      <c r="K176" s="16">
        <v>16</v>
      </c>
      <c r="L176" s="16">
        <v>40</v>
      </c>
      <c r="M176" s="37">
        <v>0</v>
      </c>
      <c r="N176" s="37">
        <v>0</v>
      </c>
      <c r="O176" s="37">
        <v>0</v>
      </c>
      <c r="P176">
        <v>5120</v>
      </c>
      <c r="Q176" s="16">
        <v>0</v>
      </c>
      <c r="R176" s="16">
        <v>0</v>
      </c>
      <c r="S176" s="16">
        <v>0</v>
      </c>
      <c r="T176" s="16">
        <v>0</v>
      </c>
      <c r="U176" s="16">
        <v>0</v>
      </c>
      <c r="V176" s="16">
        <v>0</v>
      </c>
      <c r="W176" s="16">
        <v>0</v>
      </c>
      <c r="X176" s="16">
        <v>7</v>
      </c>
      <c r="Y176" s="16">
        <v>0</v>
      </c>
      <c r="Z176" s="16">
        <v>0</v>
      </c>
      <c r="AA176" s="16">
        <v>0</v>
      </c>
      <c r="AB176" s="16">
        <v>0</v>
      </c>
      <c r="AC176" s="18">
        <v>0</v>
      </c>
      <c r="AD176" s="18">
        <v>0</v>
      </c>
      <c r="AE176" s="18">
        <v>0</v>
      </c>
      <c r="AF176" s="18">
        <v>28</v>
      </c>
      <c r="AG176" s="18">
        <v>0</v>
      </c>
      <c r="AH176" s="18">
        <v>7.0000000000000001E-3</v>
      </c>
      <c r="AI176" s="18">
        <v>0</v>
      </c>
      <c r="AJ176" s="18">
        <v>0</v>
      </c>
      <c r="AK176" s="123">
        <v>20051</v>
      </c>
      <c r="AL176" s="16">
        <v>4</v>
      </c>
      <c r="AM176" s="41">
        <f>INDEX(Sheet5!$B$19:$G$33,MATCH(Sheet1!AQ176,Sheet5!$A$19:$A$33,0),MATCH(J176,Sheet5!$B$18:$G$18,0))</f>
        <v>4000</v>
      </c>
      <c r="AN176" s="16" t="s">
        <v>48</v>
      </c>
      <c r="AO176" s="16" t="s">
        <v>752</v>
      </c>
      <c r="AP176" s="16">
        <v>20683</v>
      </c>
      <c r="AQ176" s="13">
        <v>80</v>
      </c>
    </row>
    <row r="177" spans="1:43" ht="16.5">
      <c r="A177" s="16">
        <v>2261</v>
      </c>
      <c r="B177" s="23" t="s">
        <v>1829</v>
      </c>
      <c r="C177" s="23" t="s">
        <v>167</v>
      </c>
      <c r="D177" s="19" t="s">
        <v>129</v>
      </c>
      <c r="E177" s="17">
        <v>11032</v>
      </c>
      <c r="F177" s="37">
        <v>10000</v>
      </c>
      <c r="G177" s="16">
        <v>300</v>
      </c>
      <c r="H177" s="16">
        <v>50</v>
      </c>
      <c r="I177" s="19" t="s">
        <v>159</v>
      </c>
      <c r="J177" s="37">
        <v>5</v>
      </c>
      <c r="K177" s="16">
        <v>16</v>
      </c>
      <c r="L177" s="16">
        <v>40</v>
      </c>
      <c r="M177" s="37">
        <v>0</v>
      </c>
      <c r="N177" s="37">
        <v>0</v>
      </c>
      <c r="O177" s="37">
        <v>0</v>
      </c>
      <c r="P177">
        <v>5760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v>0</v>
      </c>
      <c r="W177" s="16">
        <v>0</v>
      </c>
      <c r="X177" s="16">
        <v>7</v>
      </c>
      <c r="Y177" s="16">
        <v>0</v>
      </c>
      <c r="Z177" s="16">
        <v>0</v>
      </c>
      <c r="AA177" s="16">
        <v>0</v>
      </c>
      <c r="AB177" s="16">
        <v>0</v>
      </c>
      <c r="AC177" s="18">
        <v>0</v>
      </c>
      <c r="AD177" s="18">
        <v>0</v>
      </c>
      <c r="AE177" s="18">
        <v>0</v>
      </c>
      <c r="AF177" s="18">
        <v>28</v>
      </c>
      <c r="AG177" s="18">
        <v>0</v>
      </c>
      <c r="AH177" s="18">
        <v>7.0000000000000001E-3</v>
      </c>
      <c r="AI177" s="18">
        <v>0</v>
      </c>
      <c r="AJ177" s="18">
        <v>0</v>
      </c>
      <c r="AK177" s="123">
        <v>20052</v>
      </c>
      <c r="AL177" s="16">
        <v>4</v>
      </c>
      <c r="AM177" s="41">
        <f>INDEX(Sheet5!$B$19:$G$33,MATCH(Sheet1!AQ177,Sheet5!$A$19:$A$33,0),MATCH(J177,Sheet5!$B$18:$G$18,0))</f>
        <v>4500</v>
      </c>
      <c r="AN177" s="16" t="s">
        <v>48</v>
      </c>
      <c r="AO177" s="16" t="s">
        <v>752</v>
      </c>
      <c r="AP177" s="16">
        <v>20684</v>
      </c>
      <c r="AQ177" s="13">
        <v>90</v>
      </c>
    </row>
    <row r="178" spans="1:43" ht="16.5">
      <c r="A178" s="16">
        <v>2262</v>
      </c>
      <c r="B178" s="23" t="s">
        <v>1830</v>
      </c>
      <c r="C178" s="23" t="s">
        <v>167</v>
      </c>
      <c r="D178" s="19" t="s">
        <v>129</v>
      </c>
      <c r="E178" s="17">
        <v>11032</v>
      </c>
      <c r="F178" s="37">
        <v>10000</v>
      </c>
      <c r="G178" s="16">
        <v>300</v>
      </c>
      <c r="H178" s="16">
        <v>50</v>
      </c>
      <c r="I178" s="19" t="s">
        <v>159</v>
      </c>
      <c r="J178" s="37">
        <v>5</v>
      </c>
      <c r="K178" s="16">
        <v>16</v>
      </c>
      <c r="L178" s="16">
        <v>40</v>
      </c>
      <c r="M178" s="37">
        <v>0</v>
      </c>
      <c r="N178" s="37">
        <v>0</v>
      </c>
      <c r="O178" s="37">
        <v>0</v>
      </c>
      <c r="P178">
        <v>6400</v>
      </c>
      <c r="Q178" s="16">
        <v>0</v>
      </c>
      <c r="R178" s="16">
        <v>0</v>
      </c>
      <c r="S178" s="16">
        <v>0</v>
      </c>
      <c r="T178" s="16">
        <v>0</v>
      </c>
      <c r="U178" s="16">
        <v>0</v>
      </c>
      <c r="V178" s="16">
        <v>0</v>
      </c>
      <c r="W178" s="16">
        <v>0</v>
      </c>
      <c r="X178" s="16">
        <v>7</v>
      </c>
      <c r="Y178" s="16">
        <v>0</v>
      </c>
      <c r="Z178" s="16">
        <v>0</v>
      </c>
      <c r="AA178" s="16">
        <v>0</v>
      </c>
      <c r="AB178" s="16">
        <v>0</v>
      </c>
      <c r="AC178" s="18">
        <v>0</v>
      </c>
      <c r="AD178" s="18">
        <v>0</v>
      </c>
      <c r="AE178" s="18">
        <v>0</v>
      </c>
      <c r="AF178" s="18">
        <v>28</v>
      </c>
      <c r="AG178" s="18">
        <v>0</v>
      </c>
      <c r="AH178" s="18">
        <v>7.0000000000000001E-3</v>
      </c>
      <c r="AI178" s="18">
        <v>0</v>
      </c>
      <c r="AJ178" s="18">
        <v>0</v>
      </c>
      <c r="AK178" s="123">
        <v>20053</v>
      </c>
      <c r="AL178" s="16">
        <v>4</v>
      </c>
      <c r="AM178" s="41">
        <f>INDEX(Sheet5!$B$19:$G$33,MATCH(Sheet1!AQ178,Sheet5!$A$19:$A$33,0),MATCH(J178,Sheet5!$B$18:$G$18,0))</f>
        <v>5000</v>
      </c>
      <c r="AN178" s="16" t="s">
        <v>48</v>
      </c>
      <c r="AO178" s="16" t="s">
        <v>752</v>
      </c>
      <c r="AP178" s="16">
        <v>20685</v>
      </c>
      <c r="AQ178" s="13">
        <v>100</v>
      </c>
    </row>
    <row r="179" spans="1:43" ht="16.5">
      <c r="A179" s="16">
        <v>2263</v>
      </c>
      <c r="B179" s="23" t="s">
        <v>1831</v>
      </c>
      <c r="C179" s="23" t="s">
        <v>167</v>
      </c>
      <c r="D179" s="19" t="s">
        <v>129</v>
      </c>
      <c r="E179" s="17">
        <v>11032</v>
      </c>
      <c r="F179" s="37">
        <v>10000</v>
      </c>
      <c r="G179" s="16">
        <v>300</v>
      </c>
      <c r="H179" s="16">
        <v>50</v>
      </c>
      <c r="I179" s="19" t="s">
        <v>159</v>
      </c>
      <c r="J179" s="37">
        <v>5</v>
      </c>
      <c r="K179" s="16">
        <v>16</v>
      </c>
      <c r="L179" s="16">
        <v>40</v>
      </c>
      <c r="M179" s="37">
        <v>0</v>
      </c>
      <c r="N179" s="37">
        <v>0</v>
      </c>
      <c r="O179" s="37">
        <v>0</v>
      </c>
      <c r="P179">
        <v>7040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v>0</v>
      </c>
      <c r="W179" s="16">
        <v>0</v>
      </c>
      <c r="X179" s="16">
        <v>7</v>
      </c>
      <c r="Y179" s="16">
        <v>0</v>
      </c>
      <c r="Z179" s="16">
        <v>0</v>
      </c>
      <c r="AA179" s="16">
        <v>0</v>
      </c>
      <c r="AB179" s="16">
        <v>0</v>
      </c>
      <c r="AC179" s="18">
        <v>0</v>
      </c>
      <c r="AD179" s="18">
        <v>0</v>
      </c>
      <c r="AE179" s="18">
        <v>0</v>
      </c>
      <c r="AF179" s="18">
        <v>28</v>
      </c>
      <c r="AG179" s="18">
        <v>0</v>
      </c>
      <c r="AH179" s="18">
        <v>7.0000000000000001E-3</v>
      </c>
      <c r="AI179" s="18">
        <v>0</v>
      </c>
      <c r="AJ179" s="18">
        <v>0</v>
      </c>
      <c r="AK179" s="123">
        <v>20054</v>
      </c>
      <c r="AL179" s="16">
        <v>4</v>
      </c>
      <c r="AM179" s="41">
        <f>INDEX(Sheet5!$B$19:$G$33,MATCH(Sheet1!AQ179,Sheet5!$A$19:$A$33,0),MATCH(J179,Sheet5!$B$18:$G$18,0))</f>
        <v>5500</v>
      </c>
      <c r="AN179" s="16" t="s">
        <v>48</v>
      </c>
      <c r="AO179" s="16" t="s">
        <v>752</v>
      </c>
      <c r="AP179" s="16">
        <v>20686</v>
      </c>
      <c r="AQ179" s="13">
        <v>110</v>
      </c>
    </row>
    <row r="180" spans="1:43" ht="16.5">
      <c r="A180" s="16">
        <v>2264</v>
      </c>
      <c r="B180" s="23" t="s">
        <v>1832</v>
      </c>
      <c r="C180" s="23" t="s">
        <v>167</v>
      </c>
      <c r="D180" s="19" t="s">
        <v>129</v>
      </c>
      <c r="E180" s="17">
        <v>11032</v>
      </c>
      <c r="F180" s="37">
        <v>10000</v>
      </c>
      <c r="G180" s="16">
        <v>300</v>
      </c>
      <c r="H180" s="16">
        <v>50</v>
      </c>
      <c r="I180" s="19" t="s">
        <v>159</v>
      </c>
      <c r="J180" s="37">
        <v>5</v>
      </c>
      <c r="K180" s="16">
        <v>16</v>
      </c>
      <c r="L180" s="16">
        <v>40</v>
      </c>
      <c r="M180" s="37">
        <v>0</v>
      </c>
      <c r="N180" s="37">
        <v>0</v>
      </c>
      <c r="O180" s="37">
        <v>0</v>
      </c>
      <c r="P180">
        <v>7680</v>
      </c>
      <c r="Q180" s="16">
        <v>0</v>
      </c>
      <c r="R180" s="16">
        <v>0</v>
      </c>
      <c r="S180" s="16">
        <v>0</v>
      </c>
      <c r="T180" s="16">
        <v>0</v>
      </c>
      <c r="U180" s="16">
        <v>0</v>
      </c>
      <c r="V180" s="16">
        <v>0</v>
      </c>
      <c r="W180" s="16">
        <v>0</v>
      </c>
      <c r="X180" s="16">
        <v>7</v>
      </c>
      <c r="Y180" s="16">
        <v>0</v>
      </c>
      <c r="Z180" s="16">
        <v>0</v>
      </c>
      <c r="AA180" s="16">
        <v>0</v>
      </c>
      <c r="AB180" s="16">
        <v>0</v>
      </c>
      <c r="AC180" s="18">
        <v>0</v>
      </c>
      <c r="AD180" s="18">
        <v>0</v>
      </c>
      <c r="AE180" s="18">
        <v>0</v>
      </c>
      <c r="AF180" s="18">
        <v>28</v>
      </c>
      <c r="AG180" s="18">
        <v>0</v>
      </c>
      <c r="AH180" s="18">
        <v>7.0000000000000001E-3</v>
      </c>
      <c r="AI180" s="18">
        <v>0</v>
      </c>
      <c r="AJ180" s="18">
        <v>0</v>
      </c>
      <c r="AK180" s="123">
        <v>20055</v>
      </c>
      <c r="AL180" s="16">
        <v>4</v>
      </c>
      <c r="AM180" s="41">
        <f>INDEX(Sheet5!$B$19:$G$33,MATCH(Sheet1!AQ180,Sheet5!$A$19:$A$33,0),MATCH(J180,Sheet5!$B$18:$G$18,0))</f>
        <v>6000</v>
      </c>
      <c r="AN180" s="16" t="s">
        <v>48</v>
      </c>
      <c r="AO180" s="16" t="s">
        <v>752</v>
      </c>
      <c r="AP180" s="16">
        <v>20687</v>
      </c>
      <c r="AQ180" s="13">
        <v>120</v>
      </c>
    </row>
    <row r="181" spans="1:43" ht="16.5">
      <c r="A181" s="16">
        <v>2265</v>
      </c>
      <c r="B181" s="23" t="s">
        <v>1833</v>
      </c>
      <c r="C181" s="23" t="s">
        <v>167</v>
      </c>
      <c r="D181" s="19" t="s">
        <v>129</v>
      </c>
      <c r="E181" s="17">
        <v>11032</v>
      </c>
      <c r="F181" s="37">
        <v>10000</v>
      </c>
      <c r="G181" s="16">
        <v>300</v>
      </c>
      <c r="H181" s="16">
        <v>50</v>
      </c>
      <c r="I181" s="19" t="s">
        <v>159</v>
      </c>
      <c r="J181" s="37">
        <v>5</v>
      </c>
      <c r="K181" s="16">
        <v>16</v>
      </c>
      <c r="L181" s="16">
        <v>40</v>
      </c>
      <c r="M181" s="37">
        <v>0</v>
      </c>
      <c r="N181" s="37">
        <v>0</v>
      </c>
      <c r="O181" s="37">
        <v>0</v>
      </c>
      <c r="P181">
        <v>8320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v>0</v>
      </c>
      <c r="W181" s="16">
        <v>0</v>
      </c>
      <c r="X181" s="16">
        <v>7</v>
      </c>
      <c r="Y181" s="16">
        <v>0</v>
      </c>
      <c r="Z181" s="16">
        <v>0</v>
      </c>
      <c r="AA181" s="16">
        <v>0</v>
      </c>
      <c r="AB181" s="16">
        <v>0</v>
      </c>
      <c r="AC181" s="18">
        <v>0</v>
      </c>
      <c r="AD181" s="18">
        <v>0</v>
      </c>
      <c r="AE181" s="18">
        <v>0</v>
      </c>
      <c r="AF181" s="18">
        <v>28</v>
      </c>
      <c r="AG181" s="18">
        <v>0</v>
      </c>
      <c r="AH181" s="18">
        <v>7.0000000000000001E-3</v>
      </c>
      <c r="AI181" s="18">
        <v>0</v>
      </c>
      <c r="AJ181" s="18">
        <v>0</v>
      </c>
      <c r="AK181" s="123">
        <v>20056</v>
      </c>
      <c r="AL181" s="16">
        <v>4</v>
      </c>
      <c r="AM181" s="41">
        <f>INDEX(Sheet5!$B$19:$G$33,MATCH(Sheet1!AQ181,Sheet5!$A$19:$A$33,0),MATCH(J181,Sheet5!$B$18:$G$18,0))</f>
        <v>6500</v>
      </c>
      <c r="AN181" s="16" t="s">
        <v>48</v>
      </c>
      <c r="AO181" s="16" t="s">
        <v>752</v>
      </c>
      <c r="AP181" s="16">
        <v>20688</v>
      </c>
      <c r="AQ181" s="13">
        <v>130</v>
      </c>
    </row>
    <row r="182" spans="1:43" ht="16.5">
      <c r="A182" s="16">
        <v>2266</v>
      </c>
      <c r="B182" s="23" t="s">
        <v>1834</v>
      </c>
      <c r="C182" s="23" t="s">
        <v>167</v>
      </c>
      <c r="D182" s="19" t="s">
        <v>129</v>
      </c>
      <c r="E182" s="17">
        <v>11032</v>
      </c>
      <c r="F182" s="37">
        <v>10000</v>
      </c>
      <c r="G182" s="16">
        <v>300</v>
      </c>
      <c r="H182" s="16">
        <v>50</v>
      </c>
      <c r="I182" s="19" t="s">
        <v>159</v>
      </c>
      <c r="J182" s="37">
        <v>5</v>
      </c>
      <c r="K182" s="16">
        <v>16</v>
      </c>
      <c r="L182" s="16">
        <v>40</v>
      </c>
      <c r="M182" s="37">
        <v>0</v>
      </c>
      <c r="N182" s="37">
        <v>0</v>
      </c>
      <c r="O182" s="37">
        <v>0</v>
      </c>
      <c r="P182">
        <v>8960</v>
      </c>
      <c r="Q182" s="16">
        <v>0</v>
      </c>
      <c r="R182" s="16">
        <v>0</v>
      </c>
      <c r="S182" s="16">
        <v>0</v>
      </c>
      <c r="T182" s="16">
        <v>0</v>
      </c>
      <c r="U182" s="16">
        <v>0</v>
      </c>
      <c r="V182" s="16">
        <v>0</v>
      </c>
      <c r="W182" s="16">
        <v>0</v>
      </c>
      <c r="X182" s="16">
        <v>7</v>
      </c>
      <c r="Y182" s="16">
        <v>0</v>
      </c>
      <c r="Z182" s="16">
        <v>0</v>
      </c>
      <c r="AA182" s="16">
        <v>0</v>
      </c>
      <c r="AB182" s="16">
        <v>0</v>
      </c>
      <c r="AC182" s="18">
        <v>0</v>
      </c>
      <c r="AD182" s="18">
        <v>0</v>
      </c>
      <c r="AE182" s="18">
        <v>0</v>
      </c>
      <c r="AF182" s="18">
        <v>28</v>
      </c>
      <c r="AG182" s="18">
        <v>0</v>
      </c>
      <c r="AH182" s="18">
        <v>7.0000000000000001E-3</v>
      </c>
      <c r="AI182" s="18">
        <v>0</v>
      </c>
      <c r="AJ182" s="18">
        <v>0</v>
      </c>
      <c r="AK182" s="123">
        <v>20057</v>
      </c>
      <c r="AL182" s="16">
        <v>4</v>
      </c>
      <c r="AM182" s="41">
        <f>INDEX(Sheet5!$B$19:$G$33,MATCH(Sheet1!AQ182,Sheet5!$A$19:$A$33,0),MATCH(J182,Sheet5!$B$18:$G$18,0))</f>
        <v>7000</v>
      </c>
      <c r="AN182" s="16" t="s">
        <v>48</v>
      </c>
      <c r="AO182" s="16" t="s">
        <v>752</v>
      </c>
      <c r="AP182" s="16">
        <v>20689</v>
      </c>
      <c r="AQ182" s="13">
        <v>140</v>
      </c>
    </row>
    <row r="183" spans="1:43" ht="16.5">
      <c r="A183" s="16">
        <v>2267</v>
      </c>
      <c r="B183" s="23" t="s">
        <v>1835</v>
      </c>
      <c r="C183" s="23" t="s">
        <v>167</v>
      </c>
      <c r="D183" s="19" t="s">
        <v>129</v>
      </c>
      <c r="E183" s="17">
        <v>11032</v>
      </c>
      <c r="F183" s="37">
        <v>10000</v>
      </c>
      <c r="G183" s="16">
        <v>300</v>
      </c>
      <c r="H183" s="16">
        <v>50</v>
      </c>
      <c r="I183" s="19" t="s">
        <v>159</v>
      </c>
      <c r="J183" s="37">
        <v>5</v>
      </c>
      <c r="K183" s="16">
        <v>16</v>
      </c>
      <c r="L183" s="16">
        <v>40</v>
      </c>
      <c r="M183" s="37">
        <v>0</v>
      </c>
      <c r="N183" s="37">
        <v>0</v>
      </c>
      <c r="O183" s="37">
        <v>0</v>
      </c>
      <c r="P183">
        <v>9600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v>0</v>
      </c>
      <c r="W183" s="16">
        <v>0</v>
      </c>
      <c r="X183" s="16">
        <v>7</v>
      </c>
      <c r="Y183" s="16">
        <v>0</v>
      </c>
      <c r="Z183" s="16">
        <v>0</v>
      </c>
      <c r="AA183" s="16">
        <v>0</v>
      </c>
      <c r="AB183" s="16">
        <v>0</v>
      </c>
      <c r="AC183" s="18">
        <v>0</v>
      </c>
      <c r="AD183" s="18">
        <v>0</v>
      </c>
      <c r="AE183" s="18">
        <v>0</v>
      </c>
      <c r="AF183" s="18">
        <v>28</v>
      </c>
      <c r="AG183" s="18">
        <v>0</v>
      </c>
      <c r="AH183" s="18">
        <v>7.0000000000000001E-3</v>
      </c>
      <c r="AI183" s="18">
        <v>0</v>
      </c>
      <c r="AJ183" s="18">
        <v>0</v>
      </c>
      <c r="AK183" s="123">
        <v>20058</v>
      </c>
      <c r="AL183" s="16">
        <v>4</v>
      </c>
      <c r="AM183" s="41">
        <f>INDEX(Sheet5!$B$19:$G$33,MATCH(Sheet1!AQ183,Sheet5!$A$19:$A$33,0),MATCH(J183,Sheet5!$B$18:$G$18,0))</f>
        <v>7500</v>
      </c>
      <c r="AN183" s="16" t="s">
        <v>48</v>
      </c>
      <c r="AO183" s="16" t="s">
        <v>752</v>
      </c>
      <c r="AP183" s="16">
        <v>20690</v>
      </c>
      <c r="AQ183" s="13">
        <v>150</v>
      </c>
    </row>
    <row r="184" spans="1:43" ht="16.5">
      <c r="A184" s="16">
        <v>2268</v>
      </c>
      <c r="B184" s="46" t="s">
        <v>1836</v>
      </c>
      <c r="C184" s="46" t="s">
        <v>699</v>
      </c>
      <c r="D184" s="47" t="s">
        <v>72</v>
      </c>
      <c r="E184" s="48">
        <v>11025</v>
      </c>
      <c r="F184" s="67">
        <v>10000</v>
      </c>
      <c r="G184" s="45">
        <v>300</v>
      </c>
      <c r="H184" s="45">
        <v>50</v>
      </c>
      <c r="I184" s="47" t="s">
        <v>718</v>
      </c>
      <c r="J184" s="45">
        <v>4</v>
      </c>
      <c r="K184" s="45">
        <v>13</v>
      </c>
      <c r="L184" s="45">
        <v>40</v>
      </c>
      <c r="M184" s="45">
        <v>0</v>
      </c>
      <c r="N184" s="45">
        <v>0</v>
      </c>
      <c r="O184" s="77">
        <v>320</v>
      </c>
      <c r="P184" s="45">
        <v>0</v>
      </c>
      <c r="Q184" s="45">
        <v>0</v>
      </c>
      <c r="R184" s="45">
        <v>0</v>
      </c>
      <c r="S184" s="45">
        <v>0</v>
      </c>
      <c r="T184" s="45">
        <v>0</v>
      </c>
      <c r="U184" s="45">
        <v>0</v>
      </c>
      <c r="V184" s="45">
        <v>0</v>
      </c>
      <c r="W184" s="45">
        <v>6</v>
      </c>
      <c r="X184" s="45">
        <v>0</v>
      </c>
      <c r="Y184" s="45">
        <v>0</v>
      </c>
      <c r="Z184" s="45">
        <v>0</v>
      </c>
      <c r="AA184" s="45">
        <v>0</v>
      </c>
      <c r="AB184" s="45">
        <v>0</v>
      </c>
      <c r="AC184" s="49">
        <v>0</v>
      </c>
      <c r="AD184" s="49">
        <v>0</v>
      </c>
      <c r="AE184" s="49">
        <v>24</v>
      </c>
      <c r="AF184" s="49">
        <v>0</v>
      </c>
      <c r="AG184" s="50">
        <v>0</v>
      </c>
      <c r="AH184" s="50">
        <v>0</v>
      </c>
      <c r="AI184" s="50">
        <v>0</v>
      </c>
      <c r="AJ184" s="50">
        <v>1.2E-2</v>
      </c>
      <c r="AK184" s="49" t="s">
        <v>713</v>
      </c>
      <c r="AL184" s="45">
        <v>2</v>
      </c>
      <c r="AM184" s="41">
        <f>INDEX(Sheet5!$B$19:$G$33,MATCH(Sheet1!AQ184,Sheet5!$A$19:$A$33,0),MATCH(J184,Sheet5!$B$18:$G$18,0))</f>
        <v>400</v>
      </c>
      <c r="AN184" s="45" t="s">
        <v>48</v>
      </c>
      <c r="AO184" s="45" t="s">
        <v>745</v>
      </c>
      <c r="AP184" s="45">
        <v>1611</v>
      </c>
      <c r="AQ184" s="13">
        <v>10</v>
      </c>
    </row>
    <row r="185" spans="1:43" ht="16.5">
      <c r="A185" s="16">
        <v>2269</v>
      </c>
      <c r="B185" s="46" t="s">
        <v>1837</v>
      </c>
      <c r="C185" s="46" t="s">
        <v>699</v>
      </c>
      <c r="D185" s="47" t="s">
        <v>72</v>
      </c>
      <c r="E185" s="48">
        <v>11025</v>
      </c>
      <c r="F185" s="67">
        <v>10000</v>
      </c>
      <c r="G185" s="45">
        <v>300</v>
      </c>
      <c r="H185" s="45">
        <v>50</v>
      </c>
      <c r="I185" s="47" t="s">
        <v>718</v>
      </c>
      <c r="J185" s="45">
        <v>4</v>
      </c>
      <c r="K185" s="45">
        <v>13</v>
      </c>
      <c r="L185" s="45">
        <v>40</v>
      </c>
      <c r="M185" s="45">
        <v>0</v>
      </c>
      <c r="N185" s="45">
        <v>0</v>
      </c>
      <c r="O185" s="77">
        <v>640</v>
      </c>
      <c r="P185" s="45">
        <v>0</v>
      </c>
      <c r="Q185" s="45">
        <v>0</v>
      </c>
      <c r="R185" s="45">
        <v>0</v>
      </c>
      <c r="S185" s="45">
        <v>0</v>
      </c>
      <c r="T185" s="45">
        <v>0</v>
      </c>
      <c r="U185" s="45">
        <v>0</v>
      </c>
      <c r="V185" s="45">
        <v>0</v>
      </c>
      <c r="W185" s="45">
        <v>6</v>
      </c>
      <c r="X185" s="45">
        <v>0</v>
      </c>
      <c r="Y185" s="45">
        <v>0</v>
      </c>
      <c r="Z185" s="45">
        <v>0</v>
      </c>
      <c r="AA185" s="45">
        <v>0</v>
      </c>
      <c r="AB185" s="45">
        <v>0</v>
      </c>
      <c r="AC185" s="49">
        <v>0</v>
      </c>
      <c r="AD185" s="49">
        <v>0</v>
      </c>
      <c r="AE185" s="49">
        <v>24</v>
      </c>
      <c r="AF185" s="49">
        <v>0</v>
      </c>
      <c r="AG185" s="50">
        <v>0</v>
      </c>
      <c r="AH185" s="50">
        <v>0</v>
      </c>
      <c r="AI185" s="50">
        <v>0</v>
      </c>
      <c r="AJ185" s="50">
        <v>1.2E-2</v>
      </c>
      <c r="AK185" s="49" t="s">
        <v>713</v>
      </c>
      <c r="AL185" s="45">
        <v>2</v>
      </c>
      <c r="AM185" s="41">
        <f>INDEX(Sheet5!$B$19:$G$33,MATCH(Sheet1!AQ185,Sheet5!$A$19:$A$33,0),MATCH(J185,Sheet5!$B$18:$G$18,0))</f>
        <v>800</v>
      </c>
      <c r="AN185" s="45" t="s">
        <v>48</v>
      </c>
      <c r="AO185" s="45" t="s">
        <v>745</v>
      </c>
      <c r="AP185" s="45">
        <v>1612</v>
      </c>
      <c r="AQ185" s="13">
        <v>20</v>
      </c>
    </row>
    <row r="186" spans="1:43" ht="16.5">
      <c r="A186" s="16">
        <v>2270</v>
      </c>
      <c r="B186" s="46" t="s">
        <v>1838</v>
      </c>
      <c r="C186" s="46" t="s">
        <v>699</v>
      </c>
      <c r="D186" s="47" t="s">
        <v>72</v>
      </c>
      <c r="E186" s="48">
        <v>11025</v>
      </c>
      <c r="F186" s="67">
        <v>10000</v>
      </c>
      <c r="G186" s="45">
        <v>300</v>
      </c>
      <c r="H186" s="45">
        <v>50</v>
      </c>
      <c r="I186" s="47" t="s">
        <v>718</v>
      </c>
      <c r="J186" s="45">
        <v>4</v>
      </c>
      <c r="K186" s="45">
        <v>13</v>
      </c>
      <c r="L186" s="45">
        <v>40</v>
      </c>
      <c r="M186" s="45">
        <v>0</v>
      </c>
      <c r="N186" s="45">
        <v>0</v>
      </c>
      <c r="O186" s="77">
        <v>960</v>
      </c>
      <c r="P186" s="45">
        <v>0</v>
      </c>
      <c r="Q186" s="45">
        <v>0</v>
      </c>
      <c r="R186" s="45">
        <v>0</v>
      </c>
      <c r="S186" s="45">
        <v>0</v>
      </c>
      <c r="T186" s="45">
        <v>0</v>
      </c>
      <c r="U186" s="45">
        <v>0</v>
      </c>
      <c r="V186" s="45">
        <v>0</v>
      </c>
      <c r="W186" s="45">
        <v>6</v>
      </c>
      <c r="X186" s="45">
        <v>0</v>
      </c>
      <c r="Y186" s="45">
        <v>0</v>
      </c>
      <c r="Z186" s="45">
        <v>0</v>
      </c>
      <c r="AA186" s="45">
        <v>0</v>
      </c>
      <c r="AB186" s="45">
        <v>0</v>
      </c>
      <c r="AC186" s="49">
        <v>0</v>
      </c>
      <c r="AD186" s="49">
        <v>0</v>
      </c>
      <c r="AE186" s="49">
        <v>24</v>
      </c>
      <c r="AF186" s="49">
        <v>0</v>
      </c>
      <c r="AG186" s="50">
        <v>0</v>
      </c>
      <c r="AH186" s="50">
        <v>0</v>
      </c>
      <c r="AI186" s="50">
        <v>0</v>
      </c>
      <c r="AJ186" s="50">
        <v>1.2E-2</v>
      </c>
      <c r="AK186" s="49" t="s">
        <v>713</v>
      </c>
      <c r="AL186" s="45">
        <v>2</v>
      </c>
      <c r="AM186" s="41">
        <f>INDEX(Sheet5!$B$19:$G$33,MATCH(Sheet1!AQ186,Sheet5!$A$19:$A$33,0),MATCH(J186,Sheet5!$B$18:$G$18,0))</f>
        <v>1200</v>
      </c>
      <c r="AN186" s="45" t="s">
        <v>48</v>
      </c>
      <c r="AO186" s="45" t="s">
        <v>745</v>
      </c>
      <c r="AP186" s="45">
        <v>1613</v>
      </c>
      <c r="AQ186" s="13">
        <v>30</v>
      </c>
    </row>
    <row r="187" spans="1:43" s="87" customFormat="1" ht="16.5">
      <c r="A187" s="91">
        <v>2061</v>
      </c>
      <c r="B187" s="91" t="s">
        <v>1839</v>
      </c>
      <c r="C187" s="91" t="s">
        <v>699</v>
      </c>
      <c r="D187" s="91" t="s">
        <v>72</v>
      </c>
      <c r="E187" s="92">
        <v>11025</v>
      </c>
      <c r="F187" s="91">
        <v>10000</v>
      </c>
      <c r="G187" s="91">
        <v>300</v>
      </c>
      <c r="H187" s="91">
        <v>50</v>
      </c>
      <c r="I187" s="91" t="s">
        <v>718</v>
      </c>
      <c r="J187" s="91">
        <v>4</v>
      </c>
      <c r="K187" s="91">
        <v>13</v>
      </c>
      <c r="L187" s="91">
        <v>40</v>
      </c>
      <c r="M187" s="91">
        <v>0</v>
      </c>
      <c r="N187" s="91">
        <v>0</v>
      </c>
      <c r="O187" s="77">
        <v>1280</v>
      </c>
      <c r="P187" s="91">
        <v>0</v>
      </c>
      <c r="Q187" s="91">
        <v>0</v>
      </c>
      <c r="R187" s="91">
        <v>0</v>
      </c>
      <c r="S187" s="91">
        <v>0</v>
      </c>
      <c r="T187" s="91">
        <v>0</v>
      </c>
      <c r="U187" s="91">
        <v>0</v>
      </c>
      <c r="V187" s="91">
        <v>0</v>
      </c>
      <c r="W187" s="91">
        <v>6</v>
      </c>
      <c r="X187" s="91">
        <v>0</v>
      </c>
      <c r="Y187" s="91">
        <v>0</v>
      </c>
      <c r="Z187" s="91">
        <v>0</v>
      </c>
      <c r="AA187" s="91">
        <v>0</v>
      </c>
      <c r="AB187" s="91">
        <v>0</v>
      </c>
      <c r="AC187" s="91">
        <v>0</v>
      </c>
      <c r="AD187" s="91">
        <v>0</v>
      </c>
      <c r="AE187" s="91">
        <v>24</v>
      </c>
      <c r="AF187" s="91">
        <v>0</v>
      </c>
      <c r="AG187" s="93">
        <v>0</v>
      </c>
      <c r="AH187" s="93">
        <v>0</v>
      </c>
      <c r="AI187" s="93">
        <v>0</v>
      </c>
      <c r="AJ187" s="93">
        <v>1.2E-2</v>
      </c>
      <c r="AK187" s="91" t="s">
        <v>1486</v>
      </c>
      <c r="AL187" s="91">
        <v>2</v>
      </c>
      <c r="AM187" s="41">
        <f>INDEX(Sheet5!$B$19:$G$33,MATCH(Sheet1!AQ187,Sheet5!$A$19:$A$33,0),MATCH(J187,Sheet5!$B$18:$G$18,0))</f>
        <v>1600</v>
      </c>
      <c r="AN187" s="91" t="s">
        <v>1486</v>
      </c>
      <c r="AO187" s="91" t="s">
        <v>745</v>
      </c>
      <c r="AP187" s="91">
        <v>2061</v>
      </c>
      <c r="AQ187" s="13">
        <v>40</v>
      </c>
    </row>
    <row r="188" spans="1:43" ht="16.5">
      <c r="A188" s="45">
        <v>2271</v>
      </c>
      <c r="B188" s="46" t="s">
        <v>1840</v>
      </c>
      <c r="C188" s="46" t="s">
        <v>699</v>
      </c>
      <c r="D188" s="47" t="s">
        <v>72</v>
      </c>
      <c r="E188" s="48">
        <v>11025</v>
      </c>
      <c r="F188" s="67">
        <v>10000</v>
      </c>
      <c r="G188" s="45">
        <v>300</v>
      </c>
      <c r="H188" s="45">
        <v>50</v>
      </c>
      <c r="I188" s="47" t="s">
        <v>718</v>
      </c>
      <c r="J188" s="45">
        <v>4</v>
      </c>
      <c r="K188" s="45">
        <v>13</v>
      </c>
      <c r="L188" s="45">
        <v>40</v>
      </c>
      <c r="M188" s="45">
        <v>0</v>
      </c>
      <c r="N188" s="45">
        <v>0</v>
      </c>
      <c r="O188" s="77">
        <v>1600</v>
      </c>
      <c r="P188" s="45">
        <v>0</v>
      </c>
      <c r="Q188" s="45">
        <v>0</v>
      </c>
      <c r="R188" s="45">
        <v>0</v>
      </c>
      <c r="S188" s="45">
        <v>0</v>
      </c>
      <c r="T188" s="45">
        <v>0</v>
      </c>
      <c r="U188" s="45">
        <v>0</v>
      </c>
      <c r="V188" s="45">
        <v>0</v>
      </c>
      <c r="W188" s="45">
        <v>6</v>
      </c>
      <c r="X188" s="45">
        <v>0</v>
      </c>
      <c r="Y188" s="45">
        <v>0</v>
      </c>
      <c r="Z188" s="45">
        <v>0</v>
      </c>
      <c r="AA188" s="45">
        <v>0</v>
      </c>
      <c r="AB188" s="45">
        <v>0</v>
      </c>
      <c r="AC188" s="49">
        <v>0</v>
      </c>
      <c r="AD188" s="49">
        <v>0</v>
      </c>
      <c r="AE188" s="49">
        <v>24</v>
      </c>
      <c r="AF188" s="49">
        <v>0</v>
      </c>
      <c r="AG188" s="50">
        <v>0</v>
      </c>
      <c r="AH188" s="50">
        <v>0</v>
      </c>
      <c r="AI188" s="50">
        <v>0</v>
      </c>
      <c r="AJ188" s="50">
        <v>1.2E-2</v>
      </c>
      <c r="AK188" s="49" t="s">
        <v>713</v>
      </c>
      <c r="AL188" s="45">
        <v>2</v>
      </c>
      <c r="AM188" s="41">
        <f>INDEX(Sheet5!$B$19:$G$33,MATCH(Sheet1!AQ188,Sheet5!$A$19:$A$33,0),MATCH(J188,Sheet5!$B$18:$G$18,0))</f>
        <v>2000</v>
      </c>
      <c r="AN188" s="45" t="s">
        <v>48</v>
      </c>
      <c r="AO188" s="45" t="s">
        <v>745</v>
      </c>
      <c r="AP188" s="45">
        <v>20611</v>
      </c>
      <c r="AQ188" s="13">
        <v>50</v>
      </c>
    </row>
    <row r="189" spans="1:43" ht="16.5">
      <c r="A189" s="45">
        <v>2272</v>
      </c>
      <c r="B189" s="46" t="s">
        <v>1841</v>
      </c>
      <c r="C189" s="46" t="s">
        <v>699</v>
      </c>
      <c r="D189" s="47" t="s">
        <v>72</v>
      </c>
      <c r="E189" s="48">
        <v>11025</v>
      </c>
      <c r="F189" s="67">
        <v>10000</v>
      </c>
      <c r="G189" s="45">
        <v>300</v>
      </c>
      <c r="H189" s="45">
        <v>50</v>
      </c>
      <c r="I189" s="47" t="s">
        <v>718</v>
      </c>
      <c r="J189" s="45">
        <v>4</v>
      </c>
      <c r="K189" s="45">
        <v>13</v>
      </c>
      <c r="L189" s="45">
        <v>40</v>
      </c>
      <c r="M189" s="45">
        <v>0</v>
      </c>
      <c r="N189" s="45">
        <v>0</v>
      </c>
      <c r="O189" s="77">
        <v>1920</v>
      </c>
      <c r="P189" s="45">
        <v>0</v>
      </c>
      <c r="Q189" s="45">
        <v>0</v>
      </c>
      <c r="R189" s="45">
        <v>0</v>
      </c>
      <c r="S189" s="45">
        <v>0</v>
      </c>
      <c r="T189" s="45">
        <v>0</v>
      </c>
      <c r="U189" s="45">
        <v>0</v>
      </c>
      <c r="V189" s="45">
        <v>0</v>
      </c>
      <c r="W189" s="45">
        <v>6</v>
      </c>
      <c r="X189" s="45">
        <v>0</v>
      </c>
      <c r="Y189" s="45">
        <v>0</v>
      </c>
      <c r="Z189" s="45">
        <v>0</v>
      </c>
      <c r="AA189" s="45">
        <v>0</v>
      </c>
      <c r="AB189" s="45">
        <v>0</v>
      </c>
      <c r="AC189" s="49">
        <v>0</v>
      </c>
      <c r="AD189" s="49">
        <v>0</v>
      </c>
      <c r="AE189" s="49">
        <v>24</v>
      </c>
      <c r="AF189" s="49">
        <v>0</v>
      </c>
      <c r="AG189" s="50">
        <v>0</v>
      </c>
      <c r="AH189" s="50">
        <v>0</v>
      </c>
      <c r="AI189" s="50">
        <v>0</v>
      </c>
      <c r="AJ189" s="50">
        <v>1.2E-2</v>
      </c>
      <c r="AK189" s="49" t="s">
        <v>713</v>
      </c>
      <c r="AL189" s="45">
        <v>2</v>
      </c>
      <c r="AM189" s="41">
        <f>INDEX(Sheet5!$B$19:$G$33,MATCH(Sheet1!AQ189,Sheet5!$A$19:$A$33,0),MATCH(J189,Sheet5!$B$18:$G$18,0))</f>
        <v>2400</v>
      </c>
      <c r="AN189" s="45" t="s">
        <v>48</v>
      </c>
      <c r="AO189" s="45" t="s">
        <v>745</v>
      </c>
      <c r="AP189" s="45">
        <v>20612</v>
      </c>
      <c r="AQ189" s="13">
        <v>60</v>
      </c>
    </row>
    <row r="190" spans="1:43" ht="16.5">
      <c r="A190" s="45">
        <v>2273</v>
      </c>
      <c r="B190" s="46" t="s">
        <v>1842</v>
      </c>
      <c r="C190" s="46" t="s">
        <v>699</v>
      </c>
      <c r="D190" s="47" t="s">
        <v>72</v>
      </c>
      <c r="E190" s="48">
        <v>11025</v>
      </c>
      <c r="F190" s="67">
        <v>10000</v>
      </c>
      <c r="G190" s="45">
        <v>300</v>
      </c>
      <c r="H190" s="45">
        <v>50</v>
      </c>
      <c r="I190" s="47" t="s">
        <v>718</v>
      </c>
      <c r="J190" s="45">
        <v>4</v>
      </c>
      <c r="K190" s="45">
        <v>13</v>
      </c>
      <c r="L190" s="45">
        <v>40</v>
      </c>
      <c r="M190" s="45">
        <v>0</v>
      </c>
      <c r="N190" s="45">
        <v>0</v>
      </c>
      <c r="O190" s="77">
        <v>2240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6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9">
        <v>0</v>
      </c>
      <c r="AD190" s="49">
        <v>0</v>
      </c>
      <c r="AE190" s="49">
        <v>24</v>
      </c>
      <c r="AF190" s="49">
        <v>0</v>
      </c>
      <c r="AG190" s="50">
        <v>0</v>
      </c>
      <c r="AH190" s="50">
        <v>0</v>
      </c>
      <c r="AI190" s="50">
        <v>0</v>
      </c>
      <c r="AJ190" s="50">
        <v>1.2E-2</v>
      </c>
      <c r="AK190" s="49" t="s">
        <v>713</v>
      </c>
      <c r="AL190" s="45">
        <v>2</v>
      </c>
      <c r="AM190" s="41">
        <f>INDEX(Sheet5!$B$19:$G$33,MATCH(Sheet1!AQ190,Sheet5!$A$19:$A$33,0),MATCH(J190,Sheet5!$B$18:$G$18,0))</f>
        <v>2800</v>
      </c>
      <c r="AN190" s="45" t="s">
        <v>48</v>
      </c>
      <c r="AO190" s="45" t="s">
        <v>745</v>
      </c>
      <c r="AP190" s="45">
        <v>20613</v>
      </c>
      <c r="AQ190" s="13">
        <v>70</v>
      </c>
    </row>
    <row r="191" spans="1:43" ht="16.5">
      <c r="A191" s="45">
        <v>2274</v>
      </c>
      <c r="B191" s="46" t="s">
        <v>1843</v>
      </c>
      <c r="C191" s="46" t="s">
        <v>699</v>
      </c>
      <c r="D191" s="47" t="s">
        <v>72</v>
      </c>
      <c r="E191" s="48">
        <v>11025</v>
      </c>
      <c r="F191" s="67">
        <v>10000</v>
      </c>
      <c r="G191" s="45">
        <v>300</v>
      </c>
      <c r="H191" s="45">
        <v>50</v>
      </c>
      <c r="I191" s="47" t="s">
        <v>718</v>
      </c>
      <c r="J191" s="45">
        <v>4</v>
      </c>
      <c r="K191" s="45">
        <v>13</v>
      </c>
      <c r="L191" s="45">
        <v>40</v>
      </c>
      <c r="M191" s="45">
        <v>0</v>
      </c>
      <c r="N191" s="45">
        <v>0</v>
      </c>
      <c r="O191" s="77">
        <v>2560</v>
      </c>
      <c r="P191" s="45">
        <v>0</v>
      </c>
      <c r="Q191" s="45">
        <v>0</v>
      </c>
      <c r="R191" s="45">
        <v>0</v>
      </c>
      <c r="S191" s="45">
        <v>0</v>
      </c>
      <c r="T191" s="45">
        <v>0</v>
      </c>
      <c r="U191" s="45">
        <v>0</v>
      </c>
      <c r="V191" s="45">
        <v>0</v>
      </c>
      <c r="W191" s="45">
        <v>6</v>
      </c>
      <c r="X191" s="45">
        <v>0</v>
      </c>
      <c r="Y191" s="45">
        <v>0</v>
      </c>
      <c r="Z191" s="45">
        <v>0</v>
      </c>
      <c r="AA191" s="45">
        <v>0</v>
      </c>
      <c r="AB191" s="45">
        <v>0</v>
      </c>
      <c r="AC191" s="49">
        <v>0</v>
      </c>
      <c r="AD191" s="49">
        <v>0</v>
      </c>
      <c r="AE191" s="49">
        <v>24</v>
      </c>
      <c r="AF191" s="49">
        <v>0</v>
      </c>
      <c r="AG191" s="50">
        <v>0</v>
      </c>
      <c r="AH191" s="50">
        <v>0</v>
      </c>
      <c r="AI191" s="50">
        <v>0</v>
      </c>
      <c r="AJ191" s="50">
        <v>1.2E-2</v>
      </c>
      <c r="AK191" s="49" t="s">
        <v>713</v>
      </c>
      <c r="AL191" s="45">
        <v>2</v>
      </c>
      <c r="AM191" s="41">
        <f>INDEX(Sheet5!$B$19:$G$33,MATCH(Sheet1!AQ191,Sheet5!$A$19:$A$33,0),MATCH(J191,Sheet5!$B$18:$G$18,0))</f>
        <v>3200</v>
      </c>
      <c r="AN191" s="45" t="s">
        <v>48</v>
      </c>
      <c r="AO191" s="45" t="s">
        <v>745</v>
      </c>
      <c r="AP191" s="45">
        <v>20614</v>
      </c>
      <c r="AQ191" s="13">
        <v>80</v>
      </c>
    </row>
    <row r="192" spans="1:43" ht="16.5">
      <c r="A192" s="45">
        <v>2275</v>
      </c>
      <c r="B192" s="46" t="s">
        <v>1844</v>
      </c>
      <c r="C192" s="46" t="s">
        <v>699</v>
      </c>
      <c r="D192" s="47" t="s">
        <v>72</v>
      </c>
      <c r="E192" s="48">
        <v>11025</v>
      </c>
      <c r="F192" s="67">
        <v>10000</v>
      </c>
      <c r="G192" s="45">
        <v>300</v>
      </c>
      <c r="H192" s="45">
        <v>50</v>
      </c>
      <c r="I192" s="47" t="s">
        <v>718</v>
      </c>
      <c r="J192" s="45">
        <v>4</v>
      </c>
      <c r="K192" s="45">
        <v>13</v>
      </c>
      <c r="L192" s="45">
        <v>40</v>
      </c>
      <c r="M192" s="45">
        <v>0</v>
      </c>
      <c r="N192" s="45">
        <v>0</v>
      </c>
      <c r="O192" s="77">
        <v>2880</v>
      </c>
      <c r="P192" s="45">
        <v>0</v>
      </c>
      <c r="Q192" s="45">
        <v>0</v>
      </c>
      <c r="R192" s="45">
        <v>0</v>
      </c>
      <c r="S192" s="45">
        <v>0</v>
      </c>
      <c r="T192" s="45">
        <v>0</v>
      </c>
      <c r="U192" s="45">
        <v>0</v>
      </c>
      <c r="V192" s="45">
        <v>0</v>
      </c>
      <c r="W192" s="45">
        <v>6</v>
      </c>
      <c r="X192" s="45">
        <v>0</v>
      </c>
      <c r="Y192" s="45">
        <v>0</v>
      </c>
      <c r="Z192" s="45">
        <v>0</v>
      </c>
      <c r="AA192" s="45">
        <v>0</v>
      </c>
      <c r="AB192" s="45">
        <v>0</v>
      </c>
      <c r="AC192" s="49">
        <v>0</v>
      </c>
      <c r="AD192" s="49">
        <v>0</v>
      </c>
      <c r="AE192" s="49">
        <v>24</v>
      </c>
      <c r="AF192" s="49">
        <v>0</v>
      </c>
      <c r="AG192" s="50">
        <v>0</v>
      </c>
      <c r="AH192" s="50">
        <v>0</v>
      </c>
      <c r="AI192" s="50">
        <v>0</v>
      </c>
      <c r="AJ192" s="50">
        <v>1.2E-2</v>
      </c>
      <c r="AK192" s="49" t="s">
        <v>713</v>
      </c>
      <c r="AL192" s="45">
        <v>2</v>
      </c>
      <c r="AM192" s="41">
        <f>INDEX(Sheet5!$B$19:$G$33,MATCH(Sheet1!AQ192,Sheet5!$A$19:$A$33,0),MATCH(J192,Sheet5!$B$18:$G$18,0))</f>
        <v>3600</v>
      </c>
      <c r="AN192" s="45" t="s">
        <v>48</v>
      </c>
      <c r="AO192" s="45" t="s">
        <v>745</v>
      </c>
      <c r="AP192" s="45">
        <v>20615</v>
      </c>
      <c r="AQ192" s="13">
        <v>90</v>
      </c>
    </row>
    <row r="193" spans="1:43" ht="16.5">
      <c r="A193" s="45">
        <v>2276</v>
      </c>
      <c r="B193" s="46" t="s">
        <v>1845</v>
      </c>
      <c r="C193" s="46" t="s">
        <v>699</v>
      </c>
      <c r="D193" s="47" t="s">
        <v>72</v>
      </c>
      <c r="E193" s="48">
        <v>11025</v>
      </c>
      <c r="F193" s="67">
        <v>10000</v>
      </c>
      <c r="G193" s="45">
        <v>300</v>
      </c>
      <c r="H193" s="45">
        <v>50</v>
      </c>
      <c r="I193" s="47" t="s">
        <v>718</v>
      </c>
      <c r="J193" s="45">
        <v>4</v>
      </c>
      <c r="K193" s="45">
        <v>13</v>
      </c>
      <c r="L193" s="45">
        <v>40</v>
      </c>
      <c r="M193" s="45">
        <v>0</v>
      </c>
      <c r="N193" s="45">
        <v>0</v>
      </c>
      <c r="O193" s="77">
        <v>3200</v>
      </c>
      <c r="P193" s="45">
        <v>0</v>
      </c>
      <c r="Q193" s="45">
        <v>0</v>
      </c>
      <c r="R193" s="45">
        <v>0</v>
      </c>
      <c r="S193" s="45">
        <v>0</v>
      </c>
      <c r="T193" s="45">
        <v>0</v>
      </c>
      <c r="U193" s="45">
        <v>0</v>
      </c>
      <c r="V193" s="45">
        <v>0</v>
      </c>
      <c r="W193" s="45">
        <v>6</v>
      </c>
      <c r="X193" s="45">
        <v>0</v>
      </c>
      <c r="Y193" s="45">
        <v>0</v>
      </c>
      <c r="Z193" s="45">
        <v>0</v>
      </c>
      <c r="AA193" s="45">
        <v>0</v>
      </c>
      <c r="AB193" s="45">
        <v>0</v>
      </c>
      <c r="AC193" s="49">
        <v>0</v>
      </c>
      <c r="AD193" s="49">
        <v>0</v>
      </c>
      <c r="AE193" s="49">
        <v>24</v>
      </c>
      <c r="AF193" s="49">
        <v>0</v>
      </c>
      <c r="AG193" s="50">
        <v>0</v>
      </c>
      <c r="AH193" s="50">
        <v>0</v>
      </c>
      <c r="AI193" s="50">
        <v>0</v>
      </c>
      <c r="AJ193" s="50">
        <v>1.2E-2</v>
      </c>
      <c r="AK193" s="49" t="s">
        <v>713</v>
      </c>
      <c r="AL193" s="45">
        <v>2</v>
      </c>
      <c r="AM193" s="41">
        <f>INDEX(Sheet5!$B$19:$G$33,MATCH(Sheet1!AQ193,Sheet5!$A$19:$A$33,0),MATCH(J193,Sheet5!$B$18:$G$18,0))</f>
        <v>4000</v>
      </c>
      <c r="AN193" s="45" t="s">
        <v>48</v>
      </c>
      <c r="AO193" s="45" t="s">
        <v>745</v>
      </c>
      <c r="AP193" s="45">
        <v>20616</v>
      </c>
      <c r="AQ193" s="13">
        <v>100</v>
      </c>
    </row>
    <row r="194" spans="1:43" ht="16.5">
      <c r="A194" s="45">
        <v>2277</v>
      </c>
      <c r="B194" s="46" t="s">
        <v>1846</v>
      </c>
      <c r="C194" s="46" t="s">
        <v>699</v>
      </c>
      <c r="D194" s="47" t="s">
        <v>72</v>
      </c>
      <c r="E194" s="48">
        <v>11025</v>
      </c>
      <c r="F194" s="67">
        <v>10000</v>
      </c>
      <c r="G194" s="45">
        <v>300</v>
      </c>
      <c r="H194" s="45">
        <v>50</v>
      </c>
      <c r="I194" s="47" t="s">
        <v>718</v>
      </c>
      <c r="J194" s="45">
        <v>4</v>
      </c>
      <c r="K194" s="45">
        <v>13</v>
      </c>
      <c r="L194" s="45">
        <v>40</v>
      </c>
      <c r="M194" s="45">
        <v>0</v>
      </c>
      <c r="N194" s="45">
        <v>0</v>
      </c>
      <c r="O194" s="77">
        <v>3520</v>
      </c>
      <c r="P194" s="45">
        <v>0</v>
      </c>
      <c r="Q194" s="45">
        <v>0</v>
      </c>
      <c r="R194" s="45">
        <v>0</v>
      </c>
      <c r="S194" s="45">
        <v>0</v>
      </c>
      <c r="T194" s="45">
        <v>0</v>
      </c>
      <c r="U194" s="45">
        <v>0</v>
      </c>
      <c r="V194" s="45">
        <v>0</v>
      </c>
      <c r="W194" s="45">
        <v>6</v>
      </c>
      <c r="X194" s="45">
        <v>0</v>
      </c>
      <c r="Y194" s="45">
        <v>0</v>
      </c>
      <c r="Z194" s="45">
        <v>0</v>
      </c>
      <c r="AA194" s="45">
        <v>0</v>
      </c>
      <c r="AB194" s="45">
        <v>0</v>
      </c>
      <c r="AC194" s="49">
        <v>0</v>
      </c>
      <c r="AD194" s="49">
        <v>0</v>
      </c>
      <c r="AE194" s="49">
        <v>24</v>
      </c>
      <c r="AF194" s="49">
        <v>0</v>
      </c>
      <c r="AG194" s="50">
        <v>0</v>
      </c>
      <c r="AH194" s="50">
        <v>0</v>
      </c>
      <c r="AI194" s="50">
        <v>0</v>
      </c>
      <c r="AJ194" s="50">
        <v>1.2E-2</v>
      </c>
      <c r="AK194" s="49" t="s">
        <v>713</v>
      </c>
      <c r="AL194" s="45">
        <v>2</v>
      </c>
      <c r="AM194" s="41">
        <f>INDEX(Sheet5!$B$19:$G$33,MATCH(Sheet1!AQ194,Sheet5!$A$19:$A$33,0),MATCH(J194,Sheet5!$B$18:$G$18,0))</f>
        <v>4400</v>
      </c>
      <c r="AN194" s="45" t="s">
        <v>48</v>
      </c>
      <c r="AO194" s="45" t="s">
        <v>745</v>
      </c>
      <c r="AP194" s="45">
        <v>20617</v>
      </c>
      <c r="AQ194" s="13">
        <v>110</v>
      </c>
    </row>
    <row r="195" spans="1:43" ht="16.5">
      <c r="A195" s="45">
        <v>2278</v>
      </c>
      <c r="B195" s="46" t="s">
        <v>1847</v>
      </c>
      <c r="C195" s="46" t="s">
        <v>699</v>
      </c>
      <c r="D195" s="47" t="s">
        <v>72</v>
      </c>
      <c r="E195" s="48">
        <v>11025</v>
      </c>
      <c r="F195" s="67">
        <v>10000</v>
      </c>
      <c r="G195" s="45">
        <v>300</v>
      </c>
      <c r="H195" s="45">
        <v>50</v>
      </c>
      <c r="I195" s="47" t="s">
        <v>718</v>
      </c>
      <c r="J195" s="45">
        <v>4</v>
      </c>
      <c r="K195" s="45">
        <v>13</v>
      </c>
      <c r="L195" s="45">
        <v>40</v>
      </c>
      <c r="M195" s="45">
        <v>0</v>
      </c>
      <c r="N195" s="45">
        <v>0</v>
      </c>
      <c r="O195" s="77">
        <v>3840</v>
      </c>
      <c r="P195" s="45">
        <v>0</v>
      </c>
      <c r="Q195" s="45">
        <v>0</v>
      </c>
      <c r="R195" s="45">
        <v>0</v>
      </c>
      <c r="S195" s="45">
        <v>0</v>
      </c>
      <c r="T195" s="45">
        <v>0</v>
      </c>
      <c r="U195" s="45">
        <v>0</v>
      </c>
      <c r="V195" s="45">
        <v>0</v>
      </c>
      <c r="W195" s="45">
        <v>6</v>
      </c>
      <c r="X195" s="45">
        <v>0</v>
      </c>
      <c r="Y195" s="45">
        <v>0</v>
      </c>
      <c r="Z195" s="45">
        <v>0</v>
      </c>
      <c r="AA195" s="45">
        <v>0</v>
      </c>
      <c r="AB195" s="45">
        <v>0</v>
      </c>
      <c r="AC195" s="49">
        <v>0</v>
      </c>
      <c r="AD195" s="49">
        <v>0</v>
      </c>
      <c r="AE195" s="49">
        <v>24</v>
      </c>
      <c r="AF195" s="49">
        <v>0</v>
      </c>
      <c r="AG195" s="50">
        <v>0</v>
      </c>
      <c r="AH195" s="50">
        <v>0</v>
      </c>
      <c r="AI195" s="50">
        <v>0</v>
      </c>
      <c r="AJ195" s="50">
        <v>1.2E-2</v>
      </c>
      <c r="AK195" s="49" t="s">
        <v>713</v>
      </c>
      <c r="AL195" s="45">
        <v>2</v>
      </c>
      <c r="AM195" s="41">
        <f>INDEX(Sheet5!$B$19:$G$33,MATCH(Sheet1!AQ195,Sheet5!$A$19:$A$33,0),MATCH(J195,Sheet5!$B$18:$G$18,0))</f>
        <v>4800</v>
      </c>
      <c r="AN195" s="45" t="s">
        <v>48</v>
      </c>
      <c r="AO195" s="45" t="s">
        <v>745</v>
      </c>
      <c r="AP195" s="45">
        <v>20618</v>
      </c>
      <c r="AQ195" s="13">
        <v>120</v>
      </c>
    </row>
    <row r="196" spans="1:43" ht="16.5">
      <c r="A196" s="45">
        <v>2279</v>
      </c>
      <c r="B196" s="46" t="s">
        <v>1848</v>
      </c>
      <c r="C196" s="46" t="s">
        <v>699</v>
      </c>
      <c r="D196" s="47" t="s">
        <v>72</v>
      </c>
      <c r="E196" s="48">
        <v>11025</v>
      </c>
      <c r="F196" s="67">
        <v>10000</v>
      </c>
      <c r="G196" s="45">
        <v>300</v>
      </c>
      <c r="H196" s="45">
        <v>50</v>
      </c>
      <c r="I196" s="47" t="s">
        <v>718</v>
      </c>
      <c r="J196" s="45">
        <v>4</v>
      </c>
      <c r="K196" s="45">
        <v>13</v>
      </c>
      <c r="L196" s="45">
        <v>40</v>
      </c>
      <c r="M196" s="45">
        <v>0</v>
      </c>
      <c r="N196" s="45">
        <v>0</v>
      </c>
      <c r="O196" s="77">
        <v>4160</v>
      </c>
      <c r="P196" s="45">
        <v>0</v>
      </c>
      <c r="Q196" s="45">
        <v>0</v>
      </c>
      <c r="R196" s="45">
        <v>0</v>
      </c>
      <c r="S196" s="45">
        <v>0</v>
      </c>
      <c r="T196" s="45">
        <v>0</v>
      </c>
      <c r="U196" s="45">
        <v>0</v>
      </c>
      <c r="V196" s="45">
        <v>0</v>
      </c>
      <c r="W196" s="45">
        <v>6</v>
      </c>
      <c r="X196" s="45">
        <v>0</v>
      </c>
      <c r="Y196" s="45">
        <v>0</v>
      </c>
      <c r="Z196" s="45">
        <v>0</v>
      </c>
      <c r="AA196" s="45">
        <v>0</v>
      </c>
      <c r="AB196" s="45">
        <v>0</v>
      </c>
      <c r="AC196" s="49">
        <v>0</v>
      </c>
      <c r="AD196" s="49">
        <v>0</v>
      </c>
      <c r="AE196" s="49">
        <v>24</v>
      </c>
      <c r="AF196" s="49">
        <v>0</v>
      </c>
      <c r="AG196" s="50">
        <v>0</v>
      </c>
      <c r="AH196" s="50">
        <v>0</v>
      </c>
      <c r="AI196" s="50">
        <v>0</v>
      </c>
      <c r="AJ196" s="50">
        <v>1.2E-2</v>
      </c>
      <c r="AK196" s="49" t="s">
        <v>713</v>
      </c>
      <c r="AL196" s="45">
        <v>2</v>
      </c>
      <c r="AM196" s="41">
        <f>INDEX(Sheet5!$B$19:$G$33,MATCH(Sheet1!AQ196,Sheet5!$A$19:$A$33,0),MATCH(J196,Sheet5!$B$18:$G$18,0))</f>
        <v>5200</v>
      </c>
      <c r="AN196" s="45" t="s">
        <v>48</v>
      </c>
      <c r="AO196" s="45" t="s">
        <v>745</v>
      </c>
      <c r="AP196" s="45">
        <v>20619</v>
      </c>
      <c r="AQ196" s="13">
        <v>130</v>
      </c>
    </row>
    <row r="197" spans="1:43" ht="16.5">
      <c r="A197" s="45">
        <v>2280</v>
      </c>
      <c r="B197" s="46" t="s">
        <v>1849</v>
      </c>
      <c r="C197" s="46" t="s">
        <v>699</v>
      </c>
      <c r="D197" s="47" t="s">
        <v>72</v>
      </c>
      <c r="E197" s="48">
        <v>11025</v>
      </c>
      <c r="F197" s="67">
        <v>10000</v>
      </c>
      <c r="G197" s="45">
        <v>300</v>
      </c>
      <c r="H197" s="45">
        <v>50</v>
      </c>
      <c r="I197" s="47" t="s">
        <v>718</v>
      </c>
      <c r="J197" s="45">
        <v>4</v>
      </c>
      <c r="K197" s="45">
        <v>13</v>
      </c>
      <c r="L197" s="45">
        <v>40</v>
      </c>
      <c r="M197" s="45">
        <v>0</v>
      </c>
      <c r="N197" s="45">
        <v>0</v>
      </c>
      <c r="O197" s="77">
        <v>4480</v>
      </c>
      <c r="P197" s="45">
        <v>0</v>
      </c>
      <c r="Q197" s="45">
        <v>0</v>
      </c>
      <c r="R197" s="45">
        <v>0</v>
      </c>
      <c r="S197" s="45">
        <v>0</v>
      </c>
      <c r="T197" s="45">
        <v>0</v>
      </c>
      <c r="U197" s="45">
        <v>0</v>
      </c>
      <c r="V197" s="45">
        <v>0</v>
      </c>
      <c r="W197" s="45">
        <v>6</v>
      </c>
      <c r="X197" s="45">
        <v>0</v>
      </c>
      <c r="Y197" s="45">
        <v>0</v>
      </c>
      <c r="Z197" s="45">
        <v>0</v>
      </c>
      <c r="AA197" s="45">
        <v>0</v>
      </c>
      <c r="AB197" s="45">
        <v>0</v>
      </c>
      <c r="AC197" s="49">
        <v>0</v>
      </c>
      <c r="AD197" s="49">
        <v>0</v>
      </c>
      <c r="AE197" s="49">
        <v>24</v>
      </c>
      <c r="AF197" s="49">
        <v>0</v>
      </c>
      <c r="AG197" s="50">
        <v>0</v>
      </c>
      <c r="AH197" s="50">
        <v>0</v>
      </c>
      <c r="AI197" s="50">
        <v>0</v>
      </c>
      <c r="AJ197" s="50">
        <v>1.2E-2</v>
      </c>
      <c r="AK197" s="49" t="s">
        <v>713</v>
      </c>
      <c r="AL197" s="45">
        <v>2</v>
      </c>
      <c r="AM197" s="41">
        <f>INDEX(Sheet5!$B$19:$G$33,MATCH(Sheet1!AQ197,Sheet5!$A$19:$A$33,0),MATCH(J197,Sheet5!$B$18:$G$18,0))</f>
        <v>5600</v>
      </c>
      <c r="AN197" s="45" t="s">
        <v>48</v>
      </c>
      <c r="AO197" s="45" t="s">
        <v>745</v>
      </c>
      <c r="AP197" s="45">
        <v>20620</v>
      </c>
      <c r="AQ197" s="13">
        <v>140</v>
      </c>
    </row>
    <row r="198" spans="1:43" ht="16.5">
      <c r="A198" s="45">
        <v>2281</v>
      </c>
      <c r="B198" s="46" t="s">
        <v>1850</v>
      </c>
      <c r="C198" s="46" t="s">
        <v>699</v>
      </c>
      <c r="D198" s="47" t="s">
        <v>72</v>
      </c>
      <c r="E198" s="48">
        <v>11025</v>
      </c>
      <c r="F198" s="67">
        <v>10000</v>
      </c>
      <c r="G198" s="45">
        <v>300</v>
      </c>
      <c r="H198" s="45">
        <v>50</v>
      </c>
      <c r="I198" s="47" t="s">
        <v>718</v>
      </c>
      <c r="J198" s="45">
        <v>4</v>
      </c>
      <c r="K198" s="45">
        <v>13</v>
      </c>
      <c r="L198" s="45">
        <v>40</v>
      </c>
      <c r="M198" s="45">
        <v>0</v>
      </c>
      <c r="N198" s="45">
        <v>0</v>
      </c>
      <c r="O198" s="77">
        <v>4800</v>
      </c>
      <c r="P198" s="45">
        <v>0</v>
      </c>
      <c r="Q198" s="45">
        <v>0</v>
      </c>
      <c r="R198" s="45">
        <v>0</v>
      </c>
      <c r="S198" s="45">
        <v>0</v>
      </c>
      <c r="T198" s="45">
        <v>0</v>
      </c>
      <c r="U198" s="45">
        <v>0</v>
      </c>
      <c r="V198" s="45">
        <v>0</v>
      </c>
      <c r="W198" s="45">
        <v>6</v>
      </c>
      <c r="X198" s="45">
        <v>0</v>
      </c>
      <c r="Y198" s="45">
        <v>0</v>
      </c>
      <c r="Z198" s="45">
        <v>0</v>
      </c>
      <c r="AA198" s="45">
        <v>0</v>
      </c>
      <c r="AB198" s="45">
        <v>0</v>
      </c>
      <c r="AC198" s="49">
        <v>0</v>
      </c>
      <c r="AD198" s="49">
        <v>0</v>
      </c>
      <c r="AE198" s="49">
        <v>24</v>
      </c>
      <c r="AF198" s="49">
        <v>0</v>
      </c>
      <c r="AG198" s="50">
        <v>0</v>
      </c>
      <c r="AH198" s="50">
        <v>0</v>
      </c>
      <c r="AI198" s="50">
        <v>0</v>
      </c>
      <c r="AJ198" s="50">
        <v>1.2E-2</v>
      </c>
      <c r="AK198" s="49" t="s">
        <v>713</v>
      </c>
      <c r="AL198" s="45">
        <v>2</v>
      </c>
      <c r="AM198" s="41">
        <f>INDEX(Sheet5!$B$19:$G$33,MATCH(Sheet1!AQ198,Sheet5!$A$19:$A$33,0),MATCH(J198,Sheet5!$B$18:$G$18,0))</f>
        <v>6000</v>
      </c>
      <c r="AN198" s="45" t="s">
        <v>48</v>
      </c>
      <c r="AO198" s="45" t="s">
        <v>745</v>
      </c>
      <c r="AP198" s="45">
        <v>206211</v>
      </c>
      <c r="AQ198" s="13">
        <v>150</v>
      </c>
    </row>
    <row r="199" spans="1:43" ht="16.5">
      <c r="A199" s="45">
        <v>2282</v>
      </c>
      <c r="B199" s="46" t="s">
        <v>1851</v>
      </c>
      <c r="C199" s="46" t="s">
        <v>700</v>
      </c>
      <c r="D199" s="47" t="s">
        <v>73</v>
      </c>
      <c r="E199" s="48">
        <v>11026</v>
      </c>
      <c r="F199" s="67">
        <v>10000</v>
      </c>
      <c r="G199" s="45">
        <v>300</v>
      </c>
      <c r="H199" s="45">
        <v>50</v>
      </c>
      <c r="I199" s="47" t="s">
        <v>719</v>
      </c>
      <c r="J199" s="45">
        <v>4</v>
      </c>
      <c r="K199" s="45">
        <v>13</v>
      </c>
      <c r="L199" s="45">
        <v>40</v>
      </c>
      <c r="M199" s="45">
        <v>0</v>
      </c>
      <c r="N199" s="77">
        <v>640</v>
      </c>
      <c r="O199" s="45">
        <v>0</v>
      </c>
      <c r="P199" s="45">
        <v>0</v>
      </c>
      <c r="Q199" s="45">
        <v>0</v>
      </c>
      <c r="R199" s="45">
        <v>0</v>
      </c>
      <c r="S199" s="45">
        <v>0</v>
      </c>
      <c r="T199" s="45">
        <v>0</v>
      </c>
      <c r="U199" s="45">
        <v>0</v>
      </c>
      <c r="V199" s="45">
        <v>12</v>
      </c>
      <c r="W199" s="45">
        <v>0</v>
      </c>
      <c r="X199" s="45">
        <v>0</v>
      </c>
      <c r="Y199" s="45">
        <v>0</v>
      </c>
      <c r="Z199" s="45">
        <v>0</v>
      </c>
      <c r="AA199" s="45">
        <v>0</v>
      </c>
      <c r="AB199" s="45">
        <v>0</v>
      </c>
      <c r="AC199" s="49">
        <v>0</v>
      </c>
      <c r="AD199" s="49">
        <v>48</v>
      </c>
      <c r="AE199" s="49">
        <v>0</v>
      </c>
      <c r="AF199" s="49">
        <v>0</v>
      </c>
      <c r="AG199" s="50">
        <v>0</v>
      </c>
      <c r="AH199" s="49">
        <v>0</v>
      </c>
      <c r="AI199" s="49">
        <v>1.2E-2</v>
      </c>
      <c r="AJ199" s="49">
        <v>0</v>
      </c>
      <c r="AK199" s="49" t="s">
        <v>713</v>
      </c>
      <c r="AL199" s="45">
        <v>1</v>
      </c>
      <c r="AM199" s="41">
        <f>INDEX(Sheet5!$B$19:$G$33,MATCH(Sheet1!AQ199,Sheet5!$A$19:$A$33,0),MATCH(J199,Sheet5!$B$18:$G$18,0))</f>
        <v>400</v>
      </c>
      <c r="AN199" s="45" t="s">
        <v>48</v>
      </c>
      <c r="AO199" s="45" t="s">
        <v>746</v>
      </c>
      <c r="AP199" s="45">
        <v>621</v>
      </c>
      <c r="AQ199" s="13">
        <v>10</v>
      </c>
    </row>
    <row r="200" spans="1:43" ht="16.5">
      <c r="A200" s="45">
        <v>2283</v>
      </c>
      <c r="B200" s="46" t="s">
        <v>1852</v>
      </c>
      <c r="C200" s="46" t="s">
        <v>700</v>
      </c>
      <c r="D200" s="47" t="s">
        <v>73</v>
      </c>
      <c r="E200" s="48">
        <v>11026</v>
      </c>
      <c r="F200" s="67">
        <v>10000</v>
      </c>
      <c r="G200" s="45">
        <v>300</v>
      </c>
      <c r="H200" s="45">
        <v>50</v>
      </c>
      <c r="I200" s="47" t="s">
        <v>719</v>
      </c>
      <c r="J200" s="45">
        <v>4</v>
      </c>
      <c r="K200" s="45">
        <v>13</v>
      </c>
      <c r="L200" s="45">
        <v>40</v>
      </c>
      <c r="M200" s="45">
        <v>0</v>
      </c>
      <c r="N200" s="108">
        <v>1280</v>
      </c>
      <c r="O200" s="45">
        <v>0</v>
      </c>
      <c r="P200" s="45">
        <v>0</v>
      </c>
      <c r="Q200" s="45">
        <v>0</v>
      </c>
      <c r="R200" s="45">
        <v>0</v>
      </c>
      <c r="S200" s="45">
        <v>0</v>
      </c>
      <c r="T200" s="45">
        <v>0</v>
      </c>
      <c r="U200" s="45">
        <v>0</v>
      </c>
      <c r="V200" s="45">
        <v>12</v>
      </c>
      <c r="W200" s="45">
        <v>0</v>
      </c>
      <c r="X200" s="45">
        <v>0</v>
      </c>
      <c r="Y200" s="45">
        <v>0</v>
      </c>
      <c r="Z200" s="45">
        <v>0</v>
      </c>
      <c r="AA200" s="45">
        <v>0</v>
      </c>
      <c r="AB200" s="45">
        <v>0</v>
      </c>
      <c r="AC200" s="49">
        <v>0</v>
      </c>
      <c r="AD200" s="49">
        <v>48</v>
      </c>
      <c r="AE200" s="49">
        <v>0</v>
      </c>
      <c r="AF200" s="49">
        <v>0</v>
      </c>
      <c r="AG200" s="50">
        <v>0</v>
      </c>
      <c r="AH200" s="49">
        <v>0</v>
      </c>
      <c r="AI200" s="49">
        <v>1.2E-2</v>
      </c>
      <c r="AJ200" s="49">
        <v>0</v>
      </c>
      <c r="AK200" s="49" t="s">
        <v>713</v>
      </c>
      <c r="AL200" s="45">
        <v>1</v>
      </c>
      <c r="AM200" s="41">
        <f>INDEX(Sheet5!$B$19:$G$33,MATCH(Sheet1!AQ200,Sheet5!$A$19:$A$33,0),MATCH(J200,Sheet5!$B$18:$G$18,0))</f>
        <v>800</v>
      </c>
      <c r="AN200" s="45" t="s">
        <v>48</v>
      </c>
      <c r="AO200" s="45" t="s">
        <v>746</v>
      </c>
      <c r="AP200" s="45">
        <v>622</v>
      </c>
      <c r="AQ200" s="13">
        <v>20</v>
      </c>
    </row>
    <row r="201" spans="1:43" ht="16.5">
      <c r="A201" s="45">
        <v>2284</v>
      </c>
      <c r="B201" s="46" t="s">
        <v>1853</v>
      </c>
      <c r="C201" s="46" t="s">
        <v>700</v>
      </c>
      <c r="D201" s="47" t="s">
        <v>73</v>
      </c>
      <c r="E201" s="48">
        <v>11026</v>
      </c>
      <c r="F201" s="67">
        <v>10000</v>
      </c>
      <c r="G201" s="45">
        <v>300</v>
      </c>
      <c r="H201" s="45">
        <v>50</v>
      </c>
      <c r="I201" s="47" t="s">
        <v>719</v>
      </c>
      <c r="J201" s="45">
        <v>4</v>
      </c>
      <c r="K201" s="45">
        <v>13</v>
      </c>
      <c r="L201" s="45">
        <v>40</v>
      </c>
      <c r="M201" s="45">
        <v>0</v>
      </c>
      <c r="N201" s="77">
        <v>1920</v>
      </c>
      <c r="O201" s="45">
        <v>0</v>
      </c>
      <c r="P201" s="45">
        <v>0</v>
      </c>
      <c r="Q201" s="45">
        <v>0</v>
      </c>
      <c r="R201" s="45">
        <v>0</v>
      </c>
      <c r="S201" s="45">
        <v>0</v>
      </c>
      <c r="T201" s="45">
        <v>0</v>
      </c>
      <c r="U201" s="45">
        <v>0</v>
      </c>
      <c r="V201" s="45">
        <v>12</v>
      </c>
      <c r="W201" s="45">
        <v>0</v>
      </c>
      <c r="X201" s="45">
        <v>0</v>
      </c>
      <c r="Y201" s="45">
        <v>0</v>
      </c>
      <c r="Z201" s="45">
        <v>0</v>
      </c>
      <c r="AA201" s="45">
        <v>0</v>
      </c>
      <c r="AB201" s="45">
        <v>0</v>
      </c>
      <c r="AC201" s="49">
        <v>0</v>
      </c>
      <c r="AD201" s="49">
        <v>48</v>
      </c>
      <c r="AE201" s="49">
        <v>0</v>
      </c>
      <c r="AF201" s="49">
        <v>0</v>
      </c>
      <c r="AG201" s="50">
        <v>0</v>
      </c>
      <c r="AH201" s="49">
        <v>0</v>
      </c>
      <c r="AI201" s="49">
        <v>1.2E-2</v>
      </c>
      <c r="AJ201" s="49">
        <v>0</v>
      </c>
      <c r="AK201" s="49" t="s">
        <v>713</v>
      </c>
      <c r="AL201" s="45">
        <v>1</v>
      </c>
      <c r="AM201" s="41">
        <f>INDEX(Sheet5!$B$19:$G$33,MATCH(Sheet1!AQ201,Sheet5!$A$19:$A$33,0),MATCH(J201,Sheet5!$B$18:$G$18,0))</f>
        <v>1200</v>
      </c>
      <c r="AN201" s="45" t="s">
        <v>48</v>
      </c>
      <c r="AO201" s="45" t="s">
        <v>746</v>
      </c>
      <c r="AP201" s="45">
        <v>623</v>
      </c>
      <c r="AQ201" s="13">
        <v>30</v>
      </c>
    </row>
    <row r="202" spans="1:43" s="87" customFormat="1" ht="16.5">
      <c r="A202" s="91">
        <v>2062</v>
      </c>
      <c r="B202" s="91" t="s">
        <v>1854</v>
      </c>
      <c r="C202" s="91" t="s">
        <v>700</v>
      </c>
      <c r="D202" s="91" t="s">
        <v>73</v>
      </c>
      <c r="E202" s="92">
        <v>11026</v>
      </c>
      <c r="F202" s="91">
        <v>10000</v>
      </c>
      <c r="G202" s="91">
        <v>300</v>
      </c>
      <c r="H202" s="91">
        <v>50</v>
      </c>
      <c r="I202" s="91" t="s">
        <v>719</v>
      </c>
      <c r="J202" s="91">
        <v>4</v>
      </c>
      <c r="K202" s="91">
        <v>13</v>
      </c>
      <c r="L202" s="91">
        <v>40</v>
      </c>
      <c r="M202" s="91">
        <v>0</v>
      </c>
      <c r="N202" s="108">
        <v>2560</v>
      </c>
      <c r="O202" s="91">
        <v>0</v>
      </c>
      <c r="P202" s="91">
        <v>0</v>
      </c>
      <c r="Q202" s="91">
        <v>0</v>
      </c>
      <c r="R202" s="91">
        <v>0</v>
      </c>
      <c r="S202" s="91">
        <v>0</v>
      </c>
      <c r="T202" s="91">
        <v>0</v>
      </c>
      <c r="U202" s="91">
        <v>0</v>
      </c>
      <c r="V202" s="91">
        <v>12</v>
      </c>
      <c r="W202" s="91">
        <v>0</v>
      </c>
      <c r="X202" s="91">
        <v>0</v>
      </c>
      <c r="Y202" s="91">
        <v>0</v>
      </c>
      <c r="Z202" s="91">
        <v>0</v>
      </c>
      <c r="AA202" s="91">
        <v>0</v>
      </c>
      <c r="AB202" s="91">
        <v>0</v>
      </c>
      <c r="AC202" s="91">
        <v>0</v>
      </c>
      <c r="AD202" s="91">
        <v>48</v>
      </c>
      <c r="AE202" s="91">
        <v>0</v>
      </c>
      <c r="AF202" s="91">
        <v>0</v>
      </c>
      <c r="AG202" s="93">
        <v>0</v>
      </c>
      <c r="AH202" s="91">
        <v>0</v>
      </c>
      <c r="AI202" s="91">
        <v>1.2E-2</v>
      </c>
      <c r="AJ202" s="91">
        <v>0</v>
      </c>
      <c r="AK202" s="91" t="s">
        <v>1488</v>
      </c>
      <c r="AL202" s="91">
        <v>1</v>
      </c>
      <c r="AM202" s="41">
        <f>INDEX(Sheet5!$B$19:$G$33,MATCH(Sheet1!AQ202,Sheet5!$A$19:$A$33,0),MATCH(J202,Sheet5!$B$18:$G$18,0))</f>
        <v>1600</v>
      </c>
      <c r="AN202" s="91" t="s">
        <v>1488</v>
      </c>
      <c r="AO202" s="91" t="s">
        <v>746</v>
      </c>
      <c r="AP202" s="91">
        <v>2062</v>
      </c>
      <c r="AQ202" s="13">
        <v>40</v>
      </c>
    </row>
    <row r="203" spans="1:43" ht="16.5">
      <c r="A203" s="45">
        <v>2285</v>
      </c>
      <c r="B203" s="46" t="s">
        <v>1855</v>
      </c>
      <c r="C203" s="46" t="s">
        <v>700</v>
      </c>
      <c r="D203" s="47" t="s">
        <v>73</v>
      </c>
      <c r="E203" s="48">
        <v>11026</v>
      </c>
      <c r="F203" s="67">
        <v>10000</v>
      </c>
      <c r="G203" s="45">
        <v>300</v>
      </c>
      <c r="H203" s="45">
        <v>50</v>
      </c>
      <c r="I203" s="47" t="s">
        <v>719</v>
      </c>
      <c r="J203" s="45">
        <v>4</v>
      </c>
      <c r="K203" s="45">
        <v>13</v>
      </c>
      <c r="L203" s="45">
        <v>40</v>
      </c>
      <c r="M203" s="45">
        <v>0</v>
      </c>
      <c r="N203" s="77">
        <v>3200</v>
      </c>
      <c r="O203" s="45">
        <v>0</v>
      </c>
      <c r="P203" s="45">
        <v>0</v>
      </c>
      <c r="Q203" s="45">
        <v>0</v>
      </c>
      <c r="R203" s="45">
        <v>0</v>
      </c>
      <c r="S203" s="45">
        <v>0</v>
      </c>
      <c r="T203" s="45">
        <v>0</v>
      </c>
      <c r="U203" s="45">
        <v>0</v>
      </c>
      <c r="V203" s="45">
        <v>12</v>
      </c>
      <c r="W203" s="45">
        <v>0</v>
      </c>
      <c r="X203" s="45">
        <v>0</v>
      </c>
      <c r="Y203" s="45">
        <v>0</v>
      </c>
      <c r="Z203" s="45">
        <v>0</v>
      </c>
      <c r="AA203" s="45">
        <v>0</v>
      </c>
      <c r="AB203" s="45">
        <v>0</v>
      </c>
      <c r="AC203" s="49">
        <v>0</v>
      </c>
      <c r="AD203" s="49">
        <v>48</v>
      </c>
      <c r="AE203" s="49">
        <v>0</v>
      </c>
      <c r="AF203" s="49">
        <v>0</v>
      </c>
      <c r="AG203" s="50">
        <v>0</v>
      </c>
      <c r="AH203" s="49">
        <v>0</v>
      </c>
      <c r="AI203" s="49">
        <v>1.2E-2</v>
      </c>
      <c r="AJ203" s="49">
        <v>0</v>
      </c>
      <c r="AK203" s="49" t="s">
        <v>713</v>
      </c>
      <c r="AL203" s="45">
        <v>1</v>
      </c>
      <c r="AM203" s="41">
        <f>INDEX(Sheet5!$B$19:$G$33,MATCH(Sheet1!AQ203,Sheet5!$A$19:$A$33,0),MATCH(J203,Sheet5!$B$18:$G$18,0))</f>
        <v>2000</v>
      </c>
      <c r="AN203" s="45" t="s">
        <v>48</v>
      </c>
      <c r="AO203" s="45" t="s">
        <v>746</v>
      </c>
      <c r="AP203" s="45">
        <v>20621</v>
      </c>
      <c r="AQ203" s="13">
        <v>50</v>
      </c>
    </row>
    <row r="204" spans="1:43" ht="16.5">
      <c r="A204" s="45">
        <v>2286</v>
      </c>
      <c r="B204" s="46" t="s">
        <v>1856</v>
      </c>
      <c r="C204" s="46" t="s">
        <v>700</v>
      </c>
      <c r="D204" s="47" t="s">
        <v>73</v>
      </c>
      <c r="E204" s="48">
        <v>11026</v>
      </c>
      <c r="F204" s="67">
        <v>10000</v>
      </c>
      <c r="G204" s="45">
        <v>300</v>
      </c>
      <c r="H204" s="45">
        <v>50</v>
      </c>
      <c r="I204" s="47" t="s">
        <v>719</v>
      </c>
      <c r="J204" s="45">
        <v>4</v>
      </c>
      <c r="K204" s="45">
        <v>13</v>
      </c>
      <c r="L204" s="45">
        <v>40</v>
      </c>
      <c r="M204" s="45">
        <v>0</v>
      </c>
      <c r="N204" s="108">
        <v>3840</v>
      </c>
      <c r="O204" s="45">
        <v>0</v>
      </c>
      <c r="P204" s="45">
        <v>0</v>
      </c>
      <c r="Q204" s="45">
        <v>0</v>
      </c>
      <c r="R204" s="45">
        <v>0</v>
      </c>
      <c r="S204" s="45">
        <v>0</v>
      </c>
      <c r="T204" s="45">
        <v>0</v>
      </c>
      <c r="U204" s="45">
        <v>0</v>
      </c>
      <c r="V204" s="45">
        <v>12</v>
      </c>
      <c r="W204" s="45">
        <v>0</v>
      </c>
      <c r="X204" s="45">
        <v>0</v>
      </c>
      <c r="Y204" s="45">
        <v>0</v>
      </c>
      <c r="Z204" s="45">
        <v>0</v>
      </c>
      <c r="AA204" s="45">
        <v>0</v>
      </c>
      <c r="AB204" s="45">
        <v>0</v>
      </c>
      <c r="AC204" s="49">
        <v>0</v>
      </c>
      <c r="AD204" s="49">
        <v>48</v>
      </c>
      <c r="AE204" s="49">
        <v>0</v>
      </c>
      <c r="AF204" s="49">
        <v>0</v>
      </c>
      <c r="AG204" s="50">
        <v>0</v>
      </c>
      <c r="AH204" s="49">
        <v>0</v>
      </c>
      <c r="AI204" s="49">
        <v>1.2E-2</v>
      </c>
      <c r="AJ204" s="49">
        <v>0</v>
      </c>
      <c r="AK204" s="49" t="s">
        <v>713</v>
      </c>
      <c r="AL204" s="45">
        <v>1</v>
      </c>
      <c r="AM204" s="41">
        <f>INDEX(Sheet5!$B$19:$G$33,MATCH(Sheet1!AQ204,Sheet5!$A$19:$A$33,0),MATCH(J204,Sheet5!$B$18:$G$18,0))</f>
        <v>2400</v>
      </c>
      <c r="AN204" s="45" t="s">
        <v>48</v>
      </c>
      <c r="AO204" s="45" t="s">
        <v>746</v>
      </c>
      <c r="AP204" s="45">
        <v>20622</v>
      </c>
      <c r="AQ204" s="13">
        <v>60</v>
      </c>
    </row>
    <row r="205" spans="1:43" ht="16.5">
      <c r="A205" s="45">
        <v>2287</v>
      </c>
      <c r="B205" s="46" t="s">
        <v>1857</v>
      </c>
      <c r="C205" s="46" t="s">
        <v>700</v>
      </c>
      <c r="D205" s="47" t="s">
        <v>73</v>
      </c>
      <c r="E205" s="48">
        <v>11026</v>
      </c>
      <c r="F205" s="67">
        <v>10000</v>
      </c>
      <c r="G205" s="45">
        <v>300</v>
      </c>
      <c r="H205" s="45">
        <v>50</v>
      </c>
      <c r="I205" s="47" t="s">
        <v>719</v>
      </c>
      <c r="J205" s="45">
        <v>4</v>
      </c>
      <c r="K205" s="45">
        <v>13</v>
      </c>
      <c r="L205" s="45">
        <v>40</v>
      </c>
      <c r="M205" s="45">
        <v>0</v>
      </c>
      <c r="N205" s="77">
        <v>4480</v>
      </c>
      <c r="O205" s="45">
        <v>0</v>
      </c>
      <c r="P205" s="45">
        <v>0</v>
      </c>
      <c r="Q205" s="45">
        <v>0</v>
      </c>
      <c r="R205" s="45">
        <v>0</v>
      </c>
      <c r="S205" s="45">
        <v>0</v>
      </c>
      <c r="T205" s="45">
        <v>0</v>
      </c>
      <c r="U205" s="45">
        <v>0</v>
      </c>
      <c r="V205" s="45">
        <v>12</v>
      </c>
      <c r="W205" s="45">
        <v>0</v>
      </c>
      <c r="X205" s="45">
        <v>0</v>
      </c>
      <c r="Y205" s="45">
        <v>0</v>
      </c>
      <c r="Z205" s="45">
        <v>0</v>
      </c>
      <c r="AA205" s="45">
        <v>0</v>
      </c>
      <c r="AB205" s="45">
        <v>0</v>
      </c>
      <c r="AC205" s="49">
        <v>0</v>
      </c>
      <c r="AD205" s="49">
        <v>48</v>
      </c>
      <c r="AE205" s="49">
        <v>0</v>
      </c>
      <c r="AF205" s="49">
        <v>0</v>
      </c>
      <c r="AG205" s="50">
        <v>0</v>
      </c>
      <c r="AH205" s="49">
        <v>0</v>
      </c>
      <c r="AI205" s="49">
        <v>1.2E-2</v>
      </c>
      <c r="AJ205" s="49">
        <v>0</v>
      </c>
      <c r="AK205" s="49" t="s">
        <v>713</v>
      </c>
      <c r="AL205" s="45">
        <v>1</v>
      </c>
      <c r="AM205" s="41">
        <f>INDEX(Sheet5!$B$19:$G$33,MATCH(Sheet1!AQ205,Sheet5!$A$19:$A$33,0),MATCH(J205,Sheet5!$B$18:$G$18,0))</f>
        <v>2800</v>
      </c>
      <c r="AN205" s="45" t="s">
        <v>48</v>
      </c>
      <c r="AO205" s="45" t="s">
        <v>746</v>
      </c>
      <c r="AP205" s="45">
        <v>20623</v>
      </c>
      <c r="AQ205" s="13">
        <v>70</v>
      </c>
    </row>
    <row r="206" spans="1:43" ht="16.5">
      <c r="A206" s="45">
        <v>2288</v>
      </c>
      <c r="B206" s="46" t="s">
        <v>1858</v>
      </c>
      <c r="C206" s="46" t="s">
        <v>700</v>
      </c>
      <c r="D206" s="47" t="s">
        <v>73</v>
      </c>
      <c r="E206" s="48">
        <v>11026</v>
      </c>
      <c r="F206" s="67">
        <v>10000</v>
      </c>
      <c r="G206" s="45">
        <v>300</v>
      </c>
      <c r="H206" s="45">
        <v>50</v>
      </c>
      <c r="I206" s="47" t="s">
        <v>719</v>
      </c>
      <c r="J206" s="45">
        <v>4</v>
      </c>
      <c r="K206" s="45">
        <v>13</v>
      </c>
      <c r="L206" s="45">
        <v>40</v>
      </c>
      <c r="M206" s="45">
        <v>0</v>
      </c>
      <c r="N206" s="108">
        <v>5120</v>
      </c>
      <c r="O206" s="45">
        <v>0</v>
      </c>
      <c r="P206" s="45">
        <v>0</v>
      </c>
      <c r="Q206" s="45">
        <v>0</v>
      </c>
      <c r="R206" s="45">
        <v>0</v>
      </c>
      <c r="S206" s="45">
        <v>0</v>
      </c>
      <c r="T206" s="45">
        <v>0</v>
      </c>
      <c r="U206" s="45">
        <v>0</v>
      </c>
      <c r="V206" s="45">
        <v>12</v>
      </c>
      <c r="W206" s="45">
        <v>0</v>
      </c>
      <c r="X206" s="45">
        <v>0</v>
      </c>
      <c r="Y206" s="45">
        <v>0</v>
      </c>
      <c r="Z206" s="45">
        <v>0</v>
      </c>
      <c r="AA206" s="45">
        <v>0</v>
      </c>
      <c r="AB206" s="45">
        <v>0</v>
      </c>
      <c r="AC206" s="49">
        <v>0</v>
      </c>
      <c r="AD206" s="49">
        <v>48</v>
      </c>
      <c r="AE206" s="49">
        <v>0</v>
      </c>
      <c r="AF206" s="49">
        <v>0</v>
      </c>
      <c r="AG206" s="50">
        <v>0</v>
      </c>
      <c r="AH206" s="49">
        <v>0</v>
      </c>
      <c r="AI206" s="49">
        <v>1.2E-2</v>
      </c>
      <c r="AJ206" s="49">
        <v>0</v>
      </c>
      <c r="AK206" s="49" t="s">
        <v>713</v>
      </c>
      <c r="AL206" s="45">
        <v>1</v>
      </c>
      <c r="AM206" s="41">
        <f>INDEX(Sheet5!$B$19:$G$33,MATCH(Sheet1!AQ206,Sheet5!$A$19:$A$33,0),MATCH(J206,Sheet5!$B$18:$G$18,0))</f>
        <v>3200</v>
      </c>
      <c r="AN206" s="45" t="s">
        <v>48</v>
      </c>
      <c r="AO206" s="45" t="s">
        <v>746</v>
      </c>
      <c r="AP206" s="45">
        <v>20624</v>
      </c>
      <c r="AQ206" s="13">
        <v>80</v>
      </c>
    </row>
    <row r="207" spans="1:43" ht="16.5">
      <c r="A207" s="45">
        <v>2289</v>
      </c>
      <c r="B207" s="46" t="s">
        <v>1859</v>
      </c>
      <c r="C207" s="46" t="s">
        <v>700</v>
      </c>
      <c r="D207" s="47" t="s">
        <v>73</v>
      </c>
      <c r="E207" s="48">
        <v>11026</v>
      </c>
      <c r="F207" s="67">
        <v>10000</v>
      </c>
      <c r="G207" s="45">
        <v>300</v>
      </c>
      <c r="H207" s="45">
        <v>50</v>
      </c>
      <c r="I207" s="47" t="s">
        <v>719</v>
      </c>
      <c r="J207" s="45">
        <v>4</v>
      </c>
      <c r="K207" s="45">
        <v>13</v>
      </c>
      <c r="L207" s="45">
        <v>40</v>
      </c>
      <c r="M207" s="45">
        <v>0</v>
      </c>
      <c r="N207" s="77">
        <v>5760</v>
      </c>
      <c r="O207" s="45">
        <v>0</v>
      </c>
      <c r="P207" s="45">
        <v>0</v>
      </c>
      <c r="Q207" s="45">
        <v>0</v>
      </c>
      <c r="R207" s="45">
        <v>0</v>
      </c>
      <c r="S207" s="45">
        <v>0</v>
      </c>
      <c r="T207" s="45">
        <v>0</v>
      </c>
      <c r="U207" s="45">
        <v>0</v>
      </c>
      <c r="V207" s="45">
        <v>12</v>
      </c>
      <c r="W207" s="45">
        <v>0</v>
      </c>
      <c r="X207" s="45">
        <v>0</v>
      </c>
      <c r="Y207" s="45">
        <v>0</v>
      </c>
      <c r="Z207" s="45">
        <v>0</v>
      </c>
      <c r="AA207" s="45">
        <v>0</v>
      </c>
      <c r="AB207" s="45">
        <v>0</v>
      </c>
      <c r="AC207" s="49">
        <v>0</v>
      </c>
      <c r="AD207" s="49">
        <v>48</v>
      </c>
      <c r="AE207" s="49">
        <v>0</v>
      </c>
      <c r="AF207" s="49">
        <v>0</v>
      </c>
      <c r="AG207" s="50">
        <v>0</v>
      </c>
      <c r="AH207" s="49">
        <v>0</v>
      </c>
      <c r="AI207" s="49">
        <v>1.2E-2</v>
      </c>
      <c r="AJ207" s="49">
        <v>0</v>
      </c>
      <c r="AK207" s="49" t="s">
        <v>713</v>
      </c>
      <c r="AL207" s="45">
        <v>1</v>
      </c>
      <c r="AM207" s="41">
        <f>INDEX(Sheet5!$B$19:$G$33,MATCH(Sheet1!AQ207,Sheet5!$A$19:$A$33,0),MATCH(J207,Sheet5!$B$18:$G$18,0))</f>
        <v>3600</v>
      </c>
      <c r="AN207" s="45" t="s">
        <v>48</v>
      </c>
      <c r="AO207" s="45" t="s">
        <v>746</v>
      </c>
      <c r="AP207" s="45">
        <v>20625</v>
      </c>
      <c r="AQ207" s="13">
        <v>90</v>
      </c>
    </row>
    <row r="208" spans="1:43" ht="16.5">
      <c r="A208" s="45">
        <v>2290</v>
      </c>
      <c r="B208" s="46" t="s">
        <v>1860</v>
      </c>
      <c r="C208" s="46" t="s">
        <v>700</v>
      </c>
      <c r="D208" s="47" t="s">
        <v>73</v>
      </c>
      <c r="E208" s="48">
        <v>11026</v>
      </c>
      <c r="F208" s="67">
        <v>10000</v>
      </c>
      <c r="G208" s="45">
        <v>300</v>
      </c>
      <c r="H208" s="45">
        <v>50</v>
      </c>
      <c r="I208" s="47" t="s">
        <v>719</v>
      </c>
      <c r="J208" s="45">
        <v>4</v>
      </c>
      <c r="K208" s="45">
        <v>13</v>
      </c>
      <c r="L208" s="45">
        <v>40</v>
      </c>
      <c r="M208" s="45">
        <v>0</v>
      </c>
      <c r="N208" s="108">
        <v>6400</v>
      </c>
      <c r="O208" s="45">
        <v>0</v>
      </c>
      <c r="P208" s="45">
        <v>0</v>
      </c>
      <c r="Q208" s="45">
        <v>0</v>
      </c>
      <c r="R208" s="45">
        <v>0</v>
      </c>
      <c r="S208" s="45">
        <v>0</v>
      </c>
      <c r="T208" s="45">
        <v>0</v>
      </c>
      <c r="U208" s="45">
        <v>0</v>
      </c>
      <c r="V208" s="45">
        <v>12</v>
      </c>
      <c r="W208" s="45">
        <v>0</v>
      </c>
      <c r="X208" s="45">
        <v>0</v>
      </c>
      <c r="Y208" s="45">
        <v>0</v>
      </c>
      <c r="Z208" s="45">
        <v>0</v>
      </c>
      <c r="AA208" s="45">
        <v>0</v>
      </c>
      <c r="AB208" s="45">
        <v>0</v>
      </c>
      <c r="AC208" s="49">
        <v>0</v>
      </c>
      <c r="AD208" s="49">
        <v>48</v>
      </c>
      <c r="AE208" s="49">
        <v>0</v>
      </c>
      <c r="AF208" s="49">
        <v>0</v>
      </c>
      <c r="AG208" s="50">
        <v>0</v>
      </c>
      <c r="AH208" s="49">
        <v>0</v>
      </c>
      <c r="AI208" s="49">
        <v>1.2E-2</v>
      </c>
      <c r="AJ208" s="49">
        <v>0</v>
      </c>
      <c r="AK208" s="49" t="s">
        <v>713</v>
      </c>
      <c r="AL208" s="45">
        <v>1</v>
      </c>
      <c r="AM208" s="41">
        <f>INDEX(Sheet5!$B$19:$G$33,MATCH(Sheet1!AQ208,Sheet5!$A$19:$A$33,0),MATCH(J208,Sheet5!$B$18:$G$18,0))</f>
        <v>4000</v>
      </c>
      <c r="AN208" s="45" t="s">
        <v>48</v>
      </c>
      <c r="AO208" s="45" t="s">
        <v>746</v>
      </c>
      <c r="AP208" s="45">
        <v>20626</v>
      </c>
      <c r="AQ208" s="13">
        <v>100</v>
      </c>
    </row>
    <row r="209" spans="1:43" ht="16.5">
      <c r="A209" s="45">
        <v>2291</v>
      </c>
      <c r="B209" s="46" t="s">
        <v>1861</v>
      </c>
      <c r="C209" s="46" t="s">
        <v>700</v>
      </c>
      <c r="D209" s="47" t="s">
        <v>73</v>
      </c>
      <c r="E209" s="48">
        <v>11026</v>
      </c>
      <c r="F209" s="67">
        <v>10000</v>
      </c>
      <c r="G209" s="45">
        <v>300</v>
      </c>
      <c r="H209" s="45">
        <v>50</v>
      </c>
      <c r="I209" s="47" t="s">
        <v>719</v>
      </c>
      <c r="J209" s="45">
        <v>4</v>
      </c>
      <c r="K209" s="45">
        <v>13</v>
      </c>
      <c r="L209" s="45">
        <v>40</v>
      </c>
      <c r="M209" s="45">
        <v>0</v>
      </c>
      <c r="N209" s="77">
        <v>7040</v>
      </c>
      <c r="O209" s="45">
        <v>0</v>
      </c>
      <c r="P209" s="45">
        <v>0</v>
      </c>
      <c r="Q209" s="45">
        <v>0</v>
      </c>
      <c r="R209" s="45">
        <v>0</v>
      </c>
      <c r="S209" s="45">
        <v>0</v>
      </c>
      <c r="T209" s="45">
        <v>0</v>
      </c>
      <c r="U209" s="45">
        <v>0</v>
      </c>
      <c r="V209" s="45">
        <v>12</v>
      </c>
      <c r="W209" s="45">
        <v>0</v>
      </c>
      <c r="X209" s="45">
        <v>0</v>
      </c>
      <c r="Y209" s="45">
        <v>0</v>
      </c>
      <c r="Z209" s="45">
        <v>0</v>
      </c>
      <c r="AA209" s="45">
        <v>0</v>
      </c>
      <c r="AB209" s="45">
        <v>0</v>
      </c>
      <c r="AC209" s="49">
        <v>0</v>
      </c>
      <c r="AD209" s="49">
        <v>48</v>
      </c>
      <c r="AE209" s="49">
        <v>0</v>
      </c>
      <c r="AF209" s="49">
        <v>0</v>
      </c>
      <c r="AG209" s="50">
        <v>0</v>
      </c>
      <c r="AH209" s="49">
        <v>0</v>
      </c>
      <c r="AI209" s="49">
        <v>1.2E-2</v>
      </c>
      <c r="AJ209" s="49">
        <v>0</v>
      </c>
      <c r="AK209" s="49" t="s">
        <v>713</v>
      </c>
      <c r="AL209" s="45">
        <v>1</v>
      </c>
      <c r="AM209" s="41">
        <f>INDEX(Sheet5!$B$19:$G$33,MATCH(Sheet1!AQ209,Sheet5!$A$19:$A$33,0),MATCH(J209,Sheet5!$B$18:$G$18,0))</f>
        <v>4400</v>
      </c>
      <c r="AN209" s="45" t="s">
        <v>48</v>
      </c>
      <c r="AO209" s="45" t="s">
        <v>746</v>
      </c>
      <c r="AP209" s="45">
        <v>20627</v>
      </c>
      <c r="AQ209" s="13">
        <v>110</v>
      </c>
    </row>
    <row r="210" spans="1:43" ht="16.5">
      <c r="A210" s="45">
        <v>2292</v>
      </c>
      <c r="B210" s="46" t="s">
        <v>1862</v>
      </c>
      <c r="C210" s="46" t="s">
        <v>700</v>
      </c>
      <c r="D210" s="47" t="s">
        <v>73</v>
      </c>
      <c r="E210" s="48">
        <v>11026</v>
      </c>
      <c r="F210" s="67">
        <v>10000</v>
      </c>
      <c r="G210" s="45">
        <v>300</v>
      </c>
      <c r="H210" s="45">
        <v>50</v>
      </c>
      <c r="I210" s="47" t="s">
        <v>719</v>
      </c>
      <c r="J210" s="45">
        <v>4</v>
      </c>
      <c r="K210" s="45">
        <v>13</v>
      </c>
      <c r="L210" s="45">
        <v>40</v>
      </c>
      <c r="M210" s="45">
        <v>0</v>
      </c>
      <c r="N210" s="108">
        <v>7680</v>
      </c>
      <c r="O210" s="45">
        <v>0</v>
      </c>
      <c r="P210" s="45">
        <v>0</v>
      </c>
      <c r="Q210" s="45">
        <v>0</v>
      </c>
      <c r="R210" s="45">
        <v>0</v>
      </c>
      <c r="S210" s="45">
        <v>0</v>
      </c>
      <c r="T210" s="45">
        <v>0</v>
      </c>
      <c r="U210" s="45">
        <v>0</v>
      </c>
      <c r="V210" s="45">
        <v>12</v>
      </c>
      <c r="W210" s="45">
        <v>0</v>
      </c>
      <c r="X210" s="45">
        <v>0</v>
      </c>
      <c r="Y210" s="45">
        <v>0</v>
      </c>
      <c r="Z210" s="45">
        <v>0</v>
      </c>
      <c r="AA210" s="45">
        <v>0</v>
      </c>
      <c r="AB210" s="45">
        <v>0</v>
      </c>
      <c r="AC210" s="49">
        <v>0</v>
      </c>
      <c r="AD210" s="49">
        <v>48</v>
      </c>
      <c r="AE210" s="49">
        <v>0</v>
      </c>
      <c r="AF210" s="49">
        <v>0</v>
      </c>
      <c r="AG210" s="50">
        <v>0</v>
      </c>
      <c r="AH210" s="49">
        <v>0</v>
      </c>
      <c r="AI210" s="49">
        <v>1.2E-2</v>
      </c>
      <c r="AJ210" s="49">
        <v>0</v>
      </c>
      <c r="AK210" s="49" t="s">
        <v>713</v>
      </c>
      <c r="AL210" s="45">
        <v>1</v>
      </c>
      <c r="AM210" s="41">
        <f>INDEX(Sheet5!$B$19:$G$33,MATCH(Sheet1!AQ210,Sheet5!$A$19:$A$33,0),MATCH(J210,Sheet5!$B$18:$G$18,0))</f>
        <v>4800</v>
      </c>
      <c r="AN210" s="45" t="s">
        <v>48</v>
      </c>
      <c r="AO210" s="45" t="s">
        <v>746</v>
      </c>
      <c r="AP210" s="45">
        <v>20628</v>
      </c>
      <c r="AQ210" s="13">
        <v>120</v>
      </c>
    </row>
    <row r="211" spans="1:43" ht="16.5">
      <c r="A211" s="45">
        <v>2293</v>
      </c>
      <c r="B211" s="46" t="s">
        <v>1863</v>
      </c>
      <c r="C211" s="46" t="s">
        <v>700</v>
      </c>
      <c r="D211" s="47" t="s">
        <v>73</v>
      </c>
      <c r="E211" s="48">
        <v>11026</v>
      </c>
      <c r="F211" s="67">
        <v>10000</v>
      </c>
      <c r="G211" s="45">
        <v>300</v>
      </c>
      <c r="H211" s="45">
        <v>50</v>
      </c>
      <c r="I211" s="47" t="s">
        <v>719</v>
      </c>
      <c r="J211" s="45">
        <v>4</v>
      </c>
      <c r="K211" s="45">
        <v>13</v>
      </c>
      <c r="L211" s="45">
        <v>40</v>
      </c>
      <c r="M211" s="45">
        <v>0</v>
      </c>
      <c r="N211" s="77">
        <v>8320</v>
      </c>
      <c r="O211" s="45">
        <v>0</v>
      </c>
      <c r="P211" s="45">
        <v>0</v>
      </c>
      <c r="Q211" s="45">
        <v>0</v>
      </c>
      <c r="R211" s="45">
        <v>0</v>
      </c>
      <c r="S211" s="45">
        <v>0</v>
      </c>
      <c r="T211" s="45">
        <v>0</v>
      </c>
      <c r="U211" s="45">
        <v>0</v>
      </c>
      <c r="V211" s="45">
        <v>12</v>
      </c>
      <c r="W211" s="45">
        <v>0</v>
      </c>
      <c r="X211" s="45">
        <v>0</v>
      </c>
      <c r="Y211" s="45">
        <v>0</v>
      </c>
      <c r="Z211" s="45">
        <v>0</v>
      </c>
      <c r="AA211" s="45">
        <v>0</v>
      </c>
      <c r="AB211" s="45">
        <v>0</v>
      </c>
      <c r="AC211" s="49">
        <v>0</v>
      </c>
      <c r="AD211" s="49">
        <v>48</v>
      </c>
      <c r="AE211" s="49">
        <v>0</v>
      </c>
      <c r="AF211" s="49">
        <v>0</v>
      </c>
      <c r="AG211" s="50">
        <v>0</v>
      </c>
      <c r="AH211" s="49">
        <v>0</v>
      </c>
      <c r="AI211" s="49">
        <v>1.2E-2</v>
      </c>
      <c r="AJ211" s="49">
        <v>0</v>
      </c>
      <c r="AK211" s="49" t="s">
        <v>713</v>
      </c>
      <c r="AL211" s="45">
        <v>1</v>
      </c>
      <c r="AM211" s="41">
        <f>INDEX(Sheet5!$B$19:$G$33,MATCH(Sheet1!AQ211,Sheet5!$A$19:$A$33,0),MATCH(J211,Sheet5!$B$18:$G$18,0))</f>
        <v>5200</v>
      </c>
      <c r="AN211" s="45" t="s">
        <v>48</v>
      </c>
      <c r="AO211" s="45" t="s">
        <v>746</v>
      </c>
      <c r="AP211" s="45">
        <v>20629</v>
      </c>
      <c r="AQ211" s="13">
        <v>130</v>
      </c>
    </row>
    <row r="212" spans="1:43" ht="16.5">
      <c r="A212" s="45">
        <v>2294</v>
      </c>
      <c r="B212" s="46" t="s">
        <v>1864</v>
      </c>
      <c r="C212" s="46" t="s">
        <v>700</v>
      </c>
      <c r="D212" s="47" t="s">
        <v>73</v>
      </c>
      <c r="E212" s="48">
        <v>11026</v>
      </c>
      <c r="F212" s="67">
        <v>10000</v>
      </c>
      <c r="G212" s="45">
        <v>300</v>
      </c>
      <c r="H212" s="45">
        <v>50</v>
      </c>
      <c r="I212" s="47" t="s">
        <v>719</v>
      </c>
      <c r="J212" s="45">
        <v>4</v>
      </c>
      <c r="K212" s="45">
        <v>13</v>
      </c>
      <c r="L212" s="45">
        <v>40</v>
      </c>
      <c r="M212" s="45">
        <v>0</v>
      </c>
      <c r="N212" s="108">
        <v>8960</v>
      </c>
      <c r="O212" s="45">
        <v>0</v>
      </c>
      <c r="P212" s="45">
        <v>0</v>
      </c>
      <c r="Q212" s="45">
        <v>0</v>
      </c>
      <c r="R212" s="45">
        <v>0</v>
      </c>
      <c r="S212" s="45">
        <v>0</v>
      </c>
      <c r="T212" s="45">
        <v>0</v>
      </c>
      <c r="U212" s="45">
        <v>0</v>
      </c>
      <c r="V212" s="45">
        <v>12</v>
      </c>
      <c r="W212" s="45">
        <v>0</v>
      </c>
      <c r="X212" s="45">
        <v>0</v>
      </c>
      <c r="Y212" s="45">
        <v>0</v>
      </c>
      <c r="Z212" s="45">
        <v>0</v>
      </c>
      <c r="AA212" s="45">
        <v>0</v>
      </c>
      <c r="AB212" s="45">
        <v>0</v>
      </c>
      <c r="AC212" s="49">
        <v>0</v>
      </c>
      <c r="AD212" s="49">
        <v>48</v>
      </c>
      <c r="AE212" s="49">
        <v>0</v>
      </c>
      <c r="AF212" s="49">
        <v>0</v>
      </c>
      <c r="AG212" s="50">
        <v>0</v>
      </c>
      <c r="AH212" s="49">
        <v>0</v>
      </c>
      <c r="AI212" s="49">
        <v>1.2E-2</v>
      </c>
      <c r="AJ212" s="49">
        <v>0</v>
      </c>
      <c r="AK212" s="49" t="s">
        <v>713</v>
      </c>
      <c r="AL212" s="45">
        <v>1</v>
      </c>
      <c r="AM212" s="41">
        <f>INDEX(Sheet5!$B$19:$G$33,MATCH(Sheet1!AQ212,Sheet5!$A$19:$A$33,0),MATCH(J212,Sheet5!$B$18:$G$18,0))</f>
        <v>5600</v>
      </c>
      <c r="AN212" s="45" t="s">
        <v>48</v>
      </c>
      <c r="AO212" s="45" t="s">
        <v>746</v>
      </c>
      <c r="AP212" s="45">
        <v>20630</v>
      </c>
      <c r="AQ212" s="13">
        <v>140</v>
      </c>
    </row>
    <row r="213" spans="1:43" ht="16.5">
      <c r="A213" s="45">
        <v>2295</v>
      </c>
      <c r="B213" s="46" t="s">
        <v>1865</v>
      </c>
      <c r="C213" s="46" t="s">
        <v>700</v>
      </c>
      <c r="D213" s="47" t="s">
        <v>73</v>
      </c>
      <c r="E213" s="48">
        <v>11026</v>
      </c>
      <c r="F213" s="67">
        <v>10000</v>
      </c>
      <c r="G213" s="45">
        <v>300</v>
      </c>
      <c r="H213" s="45">
        <v>50</v>
      </c>
      <c r="I213" s="47" t="s">
        <v>719</v>
      </c>
      <c r="J213" s="45">
        <v>4</v>
      </c>
      <c r="K213" s="45">
        <v>13</v>
      </c>
      <c r="L213" s="45">
        <v>40</v>
      </c>
      <c r="M213" s="45">
        <v>0</v>
      </c>
      <c r="N213" s="77">
        <v>9600</v>
      </c>
      <c r="O213" s="45">
        <v>0</v>
      </c>
      <c r="P213" s="45">
        <v>0</v>
      </c>
      <c r="Q213" s="45">
        <v>0</v>
      </c>
      <c r="R213" s="45">
        <v>0</v>
      </c>
      <c r="S213" s="45">
        <v>0</v>
      </c>
      <c r="T213" s="45">
        <v>0</v>
      </c>
      <c r="U213" s="45">
        <v>0</v>
      </c>
      <c r="V213" s="45">
        <v>12</v>
      </c>
      <c r="W213" s="45">
        <v>0</v>
      </c>
      <c r="X213" s="45">
        <v>0</v>
      </c>
      <c r="Y213" s="45">
        <v>0</v>
      </c>
      <c r="Z213" s="45">
        <v>0</v>
      </c>
      <c r="AA213" s="45">
        <v>0</v>
      </c>
      <c r="AB213" s="45">
        <v>0</v>
      </c>
      <c r="AC213" s="49">
        <v>0</v>
      </c>
      <c r="AD213" s="49">
        <v>48</v>
      </c>
      <c r="AE213" s="49">
        <v>0</v>
      </c>
      <c r="AF213" s="49">
        <v>0</v>
      </c>
      <c r="AG213" s="50">
        <v>0</v>
      </c>
      <c r="AH213" s="49">
        <v>0</v>
      </c>
      <c r="AI213" s="49">
        <v>1.2E-2</v>
      </c>
      <c r="AJ213" s="49">
        <v>0</v>
      </c>
      <c r="AK213" s="49" t="s">
        <v>713</v>
      </c>
      <c r="AL213" s="45">
        <v>1</v>
      </c>
      <c r="AM213" s="41">
        <f>INDEX(Sheet5!$B$19:$G$33,MATCH(Sheet1!AQ213,Sheet5!$A$19:$A$33,0),MATCH(J213,Sheet5!$B$18:$G$18,0))</f>
        <v>6000</v>
      </c>
      <c r="AN213" s="45" t="s">
        <v>48</v>
      </c>
      <c r="AO213" s="45" t="s">
        <v>746</v>
      </c>
      <c r="AP213" s="45">
        <v>20631</v>
      </c>
      <c r="AQ213" s="13">
        <v>150</v>
      </c>
    </row>
    <row r="214" spans="1:43" ht="16.5">
      <c r="A214" s="45">
        <v>2296</v>
      </c>
      <c r="B214" s="46" t="s">
        <v>1686</v>
      </c>
      <c r="C214" s="46" t="s">
        <v>702</v>
      </c>
      <c r="D214" s="47" t="s">
        <v>124</v>
      </c>
      <c r="E214" s="48">
        <v>11027</v>
      </c>
      <c r="F214" s="67">
        <v>10000</v>
      </c>
      <c r="G214" s="45">
        <v>300</v>
      </c>
      <c r="H214" s="45">
        <v>50</v>
      </c>
      <c r="I214" s="47" t="s">
        <v>720</v>
      </c>
      <c r="J214" s="45">
        <v>4</v>
      </c>
      <c r="K214" s="45">
        <v>13</v>
      </c>
      <c r="L214" s="45">
        <v>40</v>
      </c>
      <c r="M214" s="77">
        <v>1600</v>
      </c>
      <c r="N214" s="45">
        <v>0</v>
      </c>
      <c r="O214" s="45">
        <v>0</v>
      </c>
      <c r="P214" s="45">
        <v>0</v>
      </c>
      <c r="Q214" s="45">
        <v>0</v>
      </c>
      <c r="R214" s="45">
        <v>0</v>
      </c>
      <c r="S214" s="45">
        <v>0</v>
      </c>
      <c r="T214" s="45">
        <v>0</v>
      </c>
      <c r="U214" s="45">
        <v>300</v>
      </c>
      <c r="V214" s="45">
        <v>0</v>
      </c>
      <c r="W214" s="45">
        <v>0</v>
      </c>
      <c r="X214" s="45">
        <v>0</v>
      </c>
      <c r="Y214" s="45">
        <v>0</v>
      </c>
      <c r="Z214" s="45">
        <v>0</v>
      </c>
      <c r="AA214" s="45">
        <v>0</v>
      </c>
      <c r="AB214" s="45">
        <v>0</v>
      </c>
      <c r="AC214" s="49">
        <v>1200</v>
      </c>
      <c r="AD214" s="49">
        <v>0</v>
      </c>
      <c r="AE214" s="49">
        <v>0</v>
      </c>
      <c r="AF214" s="49">
        <v>0</v>
      </c>
      <c r="AG214" s="49">
        <v>6.0000000000000001E-3</v>
      </c>
      <c r="AH214" s="49">
        <v>0</v>
      </c>
      <c r="AI214" s="49">
        <v>0</v>
      </c>
      <c r="AJ214" s="50">
        <v>0</v>
      </c>
      <c r="AK214" s="49" t="s">
        <v>713</v>
      </c>
      <c r="AL214" s="45">
        <v>3</v>
      </c>
      <c r="AM214" s="41">
        <f>INDEX(Sheet5!$B$19:$G$33,MATCH(Sheet1!AQ214,Sheet5!$A$19:$A$33,0),MATCH(J214,Sheet5!$B$18:$G$18,0))</f>
        <v>400</v>
      </c>
      <c r="AN214" s="45" t="s">
        <v>48</v>
      </c>
      <c r="AO214" s="45" t="s">
        <v>747</v>
      </c>
      <c r="AP214" s="45">
        <v>631</v>
      </c>
      <c r="AQ214" s="13">
        <v>10</v>
      </c>
    </row>
    <row r="215" spans="1:43" ht="16.5">
      <c r="A215" s="45">
        <v>2297</v>
      </c>
      <c r="B215" s="46" t="s">
        <v>1866</v>
      </c>
      <c r="C215" s="46" t="s">
        <v>702</v>
      </c>
      <c r="D215" s="47" t="s">
        <v>124</v>
      </c>
      <c r="E215" s="48">
        <v>11027</v>
      </c>
      <c r="F215" s="67">
        <v>10000</v>
      </c>
      <c r="G215" s="45">
        <v>300</v>
      </c>
      <c r="H215" s="45">
        <v>50</v>
      </c>
      <c r="I215" s="47" t="s">
        <v>720</v>
      </c>
      <c r="J215" s="45">
        <v>4</v>
      </c>
      <c r="K215" s="45">
        <v>13</v>
      </c>
      <c r="L215" s="45">
        <v>40</v>
      </c>
      <c r="M215" s="77">
        <v>3200</v>
      </c>
      <c r="N215" s="45">
        <v>0</v>
      </c>
      <c r="O215" s="45">
        <v>0</v>
      </c>
      <c r="P215" s="45">
        <v>0</v>
      </c>
      <c r="Q215" s="45">
        <v>0</v>
      </c>
      <c r="R215" s="45">
        <v>0</v>
      </c>
      <c r="S215" s="45">
        <v>0</v>
      </c>
      <c r="T215" s="45">
        <v>0</v>
      </c>
      <c r="U215" s="45">
        <v>300</v>
      </c>
      <c r="V215" s="45">
        <v>0</v>
      </c>
      <c r="W215" s="45">
        <v>0</v>
      </c>
      <c r="X215" s="45">
        <v>0</v>
      </c>
      <c r="Y215" s="45">
        <v>0</v>
      </c>
      <c r="Z215" s="45">
        <v>0</v>
      </c>
      <c r="AA215" s="45">
        <v>0</v>
      </c>
      <c r="AB215" s="45">
        <v>0</v>
      </c>
      <c r="AC215" s="49">
        <v>1200</v>
      </c>
      <c r="AD215" s="49">
        <v>0</v>
      </c>
      <c r="AE215" s="49">
        <v>0</v>
      </c>
      <c r="AF215" s="49">
        <v>0</v>
      </c>
      <c r="AG215" s="49">
        <v>6.0000000000000001E-3</v>
      </c>
      <c r="AH215" s="49">
        <v>0</v>
      </c>
      <c r="AI215" s="49">
        <v>0</v>
      </c>
      <c r="AJ215" s="50">
        <v>0</v>
      </c>
      <c r="AK215" s="49" t="s">
        <v>713</v>
      </c>
      <c r="AL215" s="45">
        <v>3</v>
      </c>
      <c r="AM215" s="41">
        <f>INDEX(Sheet5!$B$19:$G$33,MATCH(Sheet1!AQ215,Sheet5!$A$19:$A$33,0),MATCH(J215,Sheet5!$B$18:$G$18,0))</f>
        <v>800</v>
      </c>
      <c r="AN215" s="45" t="s">
        <v>48</v>
      </c>
      <c r="AO215" s="45" t="s">
        <v>747</v>
      </c>
      <c r="AP215" s="45">
        <v>632</v>
      </c>
      <c r="AQ215" s="13">
        <v>20</v>
      </c>
    </row>
    <row r="216" spans="1:43" ht="16.5">
      <c r="A216" s="45">
        <v>2298</v>
      </c>
      <c r="B216" s="46" t="s">
        <v>1867</v>
      </c>
      <c r="C216" s="46" t="s">
        <v>702</v>
      </c>
      <c r="D216" s="47" t="s">
        <v>124</v>
      </c>
      <c r="E216" s="48">
        <v>11027</v>
      </c>
      <c r="F216" s="67">
        <v>10000</v>
      </c>
      <c r="G216" s="45">
        <v>300</v>
      </c>
      <c r="H216" s="45">
        <v>50</v>
      </c>
      <c r="I216" s="47" t="s">
        <v>720</v>
      </c>
      <c r="J216" s="45">
        <v>4</v>
      </c>
      <c r="K216" s="45">
        <v>13</v>
      </c>
      <c r="L216" s="45">
        <v>40</v>
      </c>
      <c r="M216" s="77">
        <v>4800</v>
      </c>
      <c r="N216" s="45">
        <v>0</v>
      </c>
      <c r="O216" s="45">
        <v>0</v>
      </c>
      <c r="P216" s="45">
        <v>0</v>
      </c>
      <c r="Q216" s="45">
        <v>0</v>
      </c>
      <c r="R216" s="45">
        <v>0</v>
      </c>
      <c r="S216" s="45">
        <v>0</v>
      </c>
      <c r="T216" s="45">
        <v>0</v>
      </c>
      <c r="U216" s="45">
        <v>300</v>
      </c>
      <c r="V216" s="45">
        <v>0</v>
      </c>
      <c r="W216" s="45">
        <v>0</v>
      </c>
      <c r="X216" s="45">
        <v>0</v>
      </c>
      <c r="Y216" s="45">
        <v>0</v>
      </c>
      <c r="Z216" s="45">
        <v>0</v>
      </c>
      <c r="AA216" s="45">
        <v>0</v>
      </c>
      <c r="AB216" s="45">
        <v>0</v>
      </c>
      <c r="AC216" s="49">
        <v>1200</v>
      </c>
      <c r="AD216" s="49">
        <v>0</v>
      </c>
      <c r="AE216" s="49">
        <v>0</v>
      </c>
      <c r="AF216" s="49">
        <v>0</v>
      </c>
      <c r="AG216" s="49">
        <v>6.0000000000000001E-3</v>
      </c>
      <c r="AH216" s="49">
        <v>0</v>
      </c>
      <c r="AI216" s="49">
        <v>0</v>
      </c>
      <c r="AJ216" s="50">
        <v>0</v>
      </c>
      <c r="AK216" s="49" t="s">
        <v>713</v>
      </c>
      <c r="AL216" s="45">
        <v>3</v>
      </c>
      <c r="AM216" s="41">
        <f>INDEX(Sheet5!$B$19:$G$33,MATCH(Sheet1!AQ216,Sheet5!$A$19:$A$33,0),MATCH(J216,Sheet5!$B$18:$G$18,0))</f>
        <v>1200</v>
      </c>
      <c r="AN216" s="45" t="s">
        <v>48</v>
      </c>
      <c r="AO216" s="45" t="s">
        <v>747</v>
      </c>
      <c r="AP216" s="45">
        <v>633</v>
      </c>
      <c r="AQ216" s="13">
        <v>30</v>
      </c>
    </row>
    <row r="217" spans="1:43" s="87" customFormat="1" ht="16.5">
      <c r="A217" s="91">
        <v>2063</v>
      </c>
      <c r="B217" s="91" t="s">
        <v>1868</v>
      </c>
      <c r="C217" s="91" t="s">
        <v>702</v>
      </c>
      <c r="D217" s="91" t="s">
        <v>124</v>
      </c>
      <c r="E217" s="92">
        <v>11027</v>
      </c>
      <c r="F217" s="91">
        <v>10000</v>
      </c>
      <c r="G217" s="91">
        <v>300</v>
      </c>
      <c r="H217" s="91">
        <v>50</v>
      </c>
      <c r="I217" s="91" t="s">
        <v>720</v>
      </c>
      <c r="J217" s="91">
        <v>4</v>
      </c>
      <c r="K217" s="91">
        <v>13</v>
      </c>
      <c r="L217" s="91">
        <v>40</v>
      </c>
      <c r="M217" s="77">
        <v>6400</v>
      </c>
      <c r="N217" s="91">
        <v>0</v>
      </c>
      <c r="O217" s="91">
        <v>0</v>
      </c>
      <c r="P217" s="91">
        <v>0</v>
      </c>
      <c r="Q217" s="91">
        <v>0</v>
      </c>
      <c r="R217" s="91">
        <v>0</v>
      </c>
      <c r="S217" s="91">
        <v>0</v>
      </c>
      <c r="T217" s="91">
        <v>0</v>
      </c>
      <c r="U217" s="91">
        <v>300</v>
      </c>
      <c r="V217" s="91">
        <v>0</v>
      </c>
      <c r="W217" s="91">
        <v>0</v>
      </c>
      <c r="X217" s="91">
        <v>0</v>
      </c>
      <c r="Y217" s="91">
        <v>0</v>
      </c>
      <c r="Z217" s="91">
        <v>0</v>
      </c>
      <c r="AA217" s="91">
        <v>0</v>
      </c>
      <c r="AB217" s="91">
        <v>0</v>
      </c>
      <c r="AC217" s="91">
        <v>1200</v>
      </c>
      <c r="AD217" s="91">
        <v>0</v>
      </c>
      <c r="AE217" s="91">
        <v>0</v>
      </c>
      <c r="AF217" s="91">
        <v>0</v>
      </c>
      <c r="AG217" s="91">
        <v>6.0000000000000001E-3</v>
      </c>
      <c r="AH217" s="91">
        <v>0</v>
      </c>
      <c r="AI217" s="91">
        <v>0</v>
      </c>
      <c r="AJ217" s="93">
        <v>0</v>
      </c>
      <c r="AK217" s="91" t="s">
        <v>1487</v>
      </c>
      <c r="AL217" s="91">
        <v>3</v>
      </c>
      <c r="AM217" s="41">
        <f>INDEX(Sheet5!$B$19:$G$33,MATCH(Sheet1!AQ217,Sheet5!$A$19:$A$33,0),MATCH(J217,Sheet5!$B$18:$G$18,0))</f>
        <v>1600</v>
      </c>
      <c r="AN217" s="91" t="s">
        <v>1487</v>
      </c>
      <c r="AO217" s="91" t="s">
        <v>747</v>
      </c>
      <c r="AP217" s="91">
        <v>2063</v>
      </c>
      <c r="AQ217" s="13">
        <v>40</v>
      </c>
    </row>
    <row r="218" spans="1:43" ht="16.5">
      <c r="A218" s="45">
        <v>2299</v>
      </c>
      <c r="B218" s="46" t="s">
        <v>1869</v>
      </c>
      <c r="C218" s="46" t="s">
        <v>702</v>
      </c>
      <c r="D218" s="47" t="s">
        <v>124</v>
      </c>
      <c r="E218" s="48">
        <v>11027</v>
      </c>
      <c r="F218" s="67">
        <v>10000</v>
      </c>
      <c r="G218" s="45">
        <v>300</v>
      </c>
      <c r="H218" s="45">
        <v>50</v>
      </c>
      <c r="I218" s="47" t="s">
        <v>720</v>
      </c>
      <c r="J218" s="45">
        <v>4</v>
      </c>
      <c r="K218" s="45">
        <v>13</v>
      </c>
      <c r="L218" s="45">
        <v>40</v>
      </c>
      <c r="M218" s="77">
        <v>8000</v>
      </c>
      <c r="N218" s="45">
        <v>0</v>
      </c>
      <c r="O218" s="45">
        <v>0</v>
      </c>
      <c r="P218" s="45">
        <v>0</v>
      </c>
      <c r="Q218" s="45">
        <v>0</v>
      </c>
      <c r="R218" s="45">
        <v>0</v>
      </c>
      <c r="S218" s="45">
        <v>0</v>
      </c>
      <c r="T218" s="45">
        <v>0</v>
      </c>
      <c r="U218" s="45">
        <v>300</v>
      </c>
      <c r="V218" s="45">
        <v>0</v>
      </c>
      <c r="W218" s="45">
        <v>0</v>
      </c>
      <c r="X218" s="45">
        <v>0</v>
      </c>
      <c r="Y218" s="45">
        <v>0</v>
      </c>
      <c r="Z218" s="45">
        <v>0</v>
      </c>
      <c r="AA218" s="45">
        <v>0</v>
      </c>
      <c r="AB218" s="45">
        <v>0</v>
      </c>
      <c r="AC218" s="49">
        <v>1200</v>
      </c>
      <c r="AD218" s="49">
        <v>0</v>
      </c>
      <c r="AE218" s="49">
        <v>0</v>
      </c>
      <c r="AF218" s="49">
        <v>0</v>
      </c>
      <c r="AG218" s="49">
        <v>6.0000000000000001E-3</v>
      </c>
      <c r="AH218" s="49">
        <v>0</v>
      </c>
      <c r="AI218" s="49">
        <v>0</v>
      </c>
      <c r="AJ218" s="50">
        <v>0</v>
      </c>
      <c r="AK218" s="49" t="s">
        <v>713</v>
      </c>
      <c r="AL218" s="45">
        <v>3</v>
      </c>
      <c r="AM218" s="41">
        <f>INDEX(Sheet5!$B$19:$G$33,MATCH(Sheet1!AQ218,Sheet5!$A$19:$A$33,0),MATCH(J218,Sheet5!$B$18:$G$18,0))</f>
        <v>2000</v>
      </c>
      <c r="AN218" s="45" t="s">
        <v>48</v>
      </c>
      <c r="AO218" s="45" t="s">
        <v>747</v>
      </c>
      <c r="AP218" s="45">
        <v>20631</v>
      </c>
      <c r="AQ218" s="13">
        <v>50</v>
      </c>
    </row>
    <row r="219" spans="1:43" ht="16.5">
      <c r="A219" s="45">
        <v>2300</v>
      </c>
      <c r="B219" s="46" t="s">
        <v>1870</v>
      </c>
      <c r="C219" s="46" t="s">
        <v>702</v>
      </c>
      <c r="D219" s="47" t="s">
        <v>124</v>
      </c>
      <c r="E219" s="48">
        <v>11027</v>
      </c>
      <c r="F219" s="67">
        <v>10000</v>
      </c>
      <c r="G219" s="45">
        <v>300</v>
      </c>
      <c r="H219" s="45">
        <v>50</v>
      </c>
      <c r="I219" s="47" t="s">
        <v>720</v>
      </c>
      <c r="J219" s="45">
        <v>4</v>
      </c>
      <c r="K219" s="45">
        <v>13</v>
      </c>
      <c r="L219" s="45">
        <v>40</v>
      </c>
      <c r="M219" s="77">
        <v>9600</v>
      </c>
      <c r="N219" s="45">
        <v>0</v>
      </c>
      <c r="O219" s="45">
        <v>0</v>
      </c>
      <c r="P219" s="45">
        <v>0</v>
      </c>
      <c r="Q219" s="45">
        <v>0</v>
      </c>
      <c r="R219" s="45">
        <v>0</v>
      </c>
      <c r="S219" s="45">
        <v>0</v>
      </c>
      <c r="T219" s="45">
        <v>0</v>
      </c>
      <c r="U219" s="45">
        <v>300</v>
      </c>
      <c r="V219" s="45">
        <v>0</v>
      </c>
      <c r="W219" s="45">
        <v>0</v>
      </c>
      <c r="X219" s="45">
        <v>0</v>
      </c>
      <c r="Y219" s="45">
        <v>0</v>
      </c>
      <c r="Z219" s="45">
        <v>0</v>
      </c>
      <c r="AA219" s="45">
        <v>0</v>
      </c>
      <c r="AB219" s="45">
        <v>0</v>
      </c>
      <c r="AC219" s="49">
        <v>1200</v>
      </c>
      <c r="AD219" s="49">
        <v>0</v>
      </c>
      <c r="AE219" s="49">
        <v>0</v>
      </c>
      <c r="AF219" s="49">
        <v>0</v>
      </c>
      <c r="AG219" s="49">
        <v>6.0000000000000001E-3</v>
      </c>
      <c r="AH219" s="49">
        <v>0</v>
      </c>
      <c r="AI219" s="49">
        <v>0</v>
      </c>
      <c r="AJ219" s="50">
        <v>0</v>
      </c>
      <c r="AK219" s="49" t="s">
        <v>713</v>
      </c>
      <c r="AL219" s="45">
        <v>3</v>
      </c>
      <c r="AM219" s="41">
        <f>INDEX(Sheet5!$B$19:$G$33,MATCH(Sheet1!AQ219,Sheet5!$A$19:$A$33,0),MATCH(J219,Sheet5!$B$18:$G$18,0))</f>
        <v>2400</v>
      </c>
      <c r="AN219" s="45" t="s">
        <v>48</v>
      </c>
      <c r="AO219" s="45" t="s">
        <v>747</v>
      </c>
      <c r="AP219" s="45">
        <v>20632</v>
      </c>
      <c r="AQ219" s="13">
        <v>60</v>
      </c>
    </row>
    <row r="220" spans="1:43" ht="16.5">
      <c r="A220" s="45">
        <v>2301</v>
      </c>
      <c r="B220" s="46" t="s">
        <v>1871</v>
      </c>
      <c r="C220" s="46" t="s">
        <v>702</v>
      </c>
      <c r="D220" s="47" t="s">
        <v>124</v>
      </c>
      <c r="E220" s="48">
        <v>11027</v>
      </c>
      <c r="F220" s="67">
        <v>10000</v>
      </c>
      <c r="G220" s="45">
        <v>300</v>
      </c>
      <c r="H220" s="45">
        <v>50</v>
      </c>
      <c r="I220" s="47" t="s">
        <v>720</v>
      </c>
      <c r="J220" s="45">
        <v>4</v>
      </c>
      <c r="K220" s="45">
        <v>13</v>
      </c>
      <c r="L220" s="45">
        <v>40</v>
      </c>
      <c r="M220" s="77">
        <v>11200</v>
      </c>
      <c r="N220" s="45">
        <v>0</v>
      </c>
      <c r="O220" s="45">
        <v>0</v>
      </c>
      <c r="P220" s="45">
        <v>0</v>
      </c>
      <c r="Q220" s="45">
        <v>0</v>
      </c>
      <c r="R220" s="45">
        <v>0</v>
      </c>
      <c r="S220" s="45">
        <v>0</v>
      </c>
      <c r="T220" s="45">
        <v>0</v>
      </c>
      <c r="U220" s="45">
        <v>300</v>
      </c>
      <c r="V220" s="45">
        <v>0</v>
      </c>
      <c r="W220" s="45">
        <v>0</v>
      </c>
      <c r="X220" s="45">
        <v>0</v>
      </c>
      <c r="Y220" s="45">
        <v>0</v>
      </c>
      <c r="Z220" s="45">
        <v>0</v>
      </c>
      <c r="AA220" s="45">
        <v>0</v>
      </c>
      <c r="AB220" s="45">
        <v>0</v>
      </c>
      <c r="AC220" s="49">
        <v>1200</v>
      </c>
      <c r="AD220" s="49">
        <v>0</v>
      </c>
      <c r="AE220" s="49">
        <v>0</v>
      </c>
      <c r="AF220" s="49">
        <v>0</v>
      </c>
      <c r="AG220" s="49">
        <v>6.0000000000000001E-3</v>
      </c>
      <c r="AH220" s="49">
        <v>0</v>
      </c>
      <c r="AI220" s="49">
        <v>0</v>
      </c>
      <c r="AJ220" s="50">
        <v>0</v>
      </c>
      <c r="AK220" s="49" t="s">
        <v>713</v>
      </c>
      <c r="AL220" s="45">
        <v>3</v>
      </c>
      <c r="AM220" s="41">
        <f>INDEX(Sheet5!$B$19:$G$33,MATCH(Sheet1!AQ220,Sheet5!$A$19:$A$33,0),MATCH(J220,Sheet5!$B$18:$G$18,0))</f>
        <v>2800</v>
      </c>
      <c r="AN220" s="45" t="s">
        <v>48</v>
      </c>
      <c r="AO220" s="45" t="s">
        <v>747</v>
      </c>
      <c r="AP220" s="45">
        <v>20633</v>
      </c>
      <c r="AQ220" s="13">
        <v>70</v>
      </c>
    </row>
    <row r="221" spans="1:43" ht="16.5">
      <c r="A221" s="45">
        <v>2302</v>
      </c>
      <c r="B221" s="46" t="s">
        <v>1872</v>
      </c>
      <c r="C221" s="46" t="s">
        <v>702</v>
      </c>
      <c r="D221" s="47" t="s">
        <v>124</v>
      </c>
      <c r="E221" s="48">
        <v>11027</v>
      </c>
      <c r="F221" s="67">
        <v>10000</v>
      </c>
      <c r="G221" s="45">
        <v>300</v>
      </c>
      <c r="H221" s="45">
        <v>50</v>
      </c>
      <c r="I221" s="47" t="s">
        <v>720</v>
      </c>
      <c r="J221" s="45">
        <v>4</v>
      </c>
      <c r="K221" s="45">
        <v>13</v>
      </c>
      <c r="L221" s="45">
        <v>40</v>
      </c>
      <c r="M221" s="77">
        <v>12800</v>
      </c>
      <c r="N221" s="45">
        <v>0</v>
      </c>
      <c r="O221" s="45">
        <v>0</v>
      </c>
      <c r="P221" s="45">
        <v>0</v>
      </c>
      <c r="Q221" s="45">
        <v>0</v>
      </c>
      <c r="R221" s="45">
        <v>0</v>
      </c>
      <c r="S221" s="45">
        <v>0</v>
      </c>
      <c r="T221" s="45">
        <v>0</v>
      </c>
      <c r="U221" s="45">
        <v>300</v>
      </c>
      <c r="V221" s="45">
        <v>0</v>
      </c>
      <c r="W221" s="45">
        <v>0</v>
      </c>
      <c r="X221" s="45">
        <v>0</v>
      </c>
      <c r="Y221" s="45">
        <v>0</v>
      </c>
      <c r="Z221" s="45">
        <v>0</v>
      </c>
      <c r="AA221" s="45">
        <v>0</v>
      </c>
      <c r="AB221" s="45">
        <v>0</v>
      </c>
      <c r="AC221" s="49">
        <v>1200</v>
      </c>
      <c r="AD221" s="49">
        <v>0</v>
      </c>
      <c r="AE221" s="49">
        <v>0</v>
      </c>
      <c r="AF221" s="49">
        <v>0</v>
      </c>
      <c r="AG221" s="49">
        <v>6.0000000000000001E-3</v>
      </c>
      <c r="AH221" s="49">
        <v>0</v>
      </c>
      <c r="AI221" s="49">
        <v>0</v>
      </c>
      <c r="AJ221" s="50">
        <v>0</v>
      </c>
      <c r="AK221" s="49" t="s">
        <v>713</v>
      </c>
      <c r="AL221" s="45">
        <v>3</v>
      </c>
      <c r="AM221" s="41">
        <f>INDEX(Sheet5!$B$19:$G$33,MATCH(Sheet1!AQ221,Sheet5!$A$19:$A$33,0),MATCH(J221,Sheet5!$B$18:$G$18,0))</f>
        <v>3200</v>
      </c>
      <c r="AN221" s="45" t="s">
        <v>48</v>
      </c>
      <c r="AO221" s="45" t="s">
        <v>747</v>
      </c>
      <c r="AP221" s="45">
        <v>20634</v>
      </c>
      <c r="AQ221" s="13">
        <v>80</v>
      </c>
    </row>
    <row r="222" spans="1:43" ht="16.5">
      <c r="A222" s="45">
        <v>2303</v>
      </c>
      <c r="B222" s="46" t="s">
        <v>1873</v>
      </c>
      <c r="C222" s="46" t="s">
        <v>702</v>
      </c>
      <c r="D222" s="47" t="s">
        <v>124</v>
      </c>
      <c r="E222" s="48">
        <v>11027</v>
      </c>
      <c r="F222" s="67">
        <v>10000</v>
      </c>
      <c r="G222" s="45">
        <v>300</v>
      </c>
      <c r="H222" s="45">
        <v>50</v>
      </c>
      <c r="I222" s="47" t="s">
        <v>720</v>
      </c>
      <c r="J222" s="45">
        <v>4</v>
      </c>
      <c r="K222" s="45">
        <v>13</v>
      </c>
      <c r="L222" s="45">
        <v>40</v>
      </c>
      <c r="M222" s="77">
        <v>14400</v>
      </c>
      <c r="N222" s="45">
        <v>0</v>
      </c>
      <c r="O222" s="45">
        <v>0</v>
      </c>
      <c r="P222" s="45">
        <v>0</v>
      </c>
      <c r="Q222" s="45">
        <v>0</v>
      </c>
      <c r="R222" s="45">
        <v>0</v>
      </c>
      <c r="S222" s="45">
        <v>0</v>
      </c>
      <c r="T222" s="45">
        <v>0</v>
      </c>
      <c r="U222" s="45">
        <v>300</v>
      </c>
      <c r="V222" s="45">
        <v>0</v>
      </c>
      <c r="W222" s="45">
        <v>0</v>
      </c>
      <c r="X222" s="45">
        <v>0</v>
      </c>
      <c r="Y222" s="45">
        <v>0</v>
      </c>
      <c r="Z222" s="45">
        <v>0</v>
      </c>
      <c r="AA222" s="45">
        <v>0</v>
      </c>
      <c r="AB222" s="45">
        <v>0</v>
      </c>
      <c r="AC222" s="49">
        <v>1200</v>
      </c>
      <c r="AD222" s="49">
        <v>0</v>
      </c>
      <c r="AE222" s="49">
        <v>0</v>
      </c>
      <c r="AF222" s="49">
        <v>0</v>
      </c>
      <c r="AG222" s="49">
        <v>6.0000000000000001E-3</v>
      </c>
      <c r="AH222" s="49">
        <v>0</v>
      </c>
      <c r="AI222" s="49">
        <v>0</v>
      </c>
      <c r="AJ222" s="50">
        <v>0</v>
      </c>
      <c r="AK222" s="49" t="s">
        <v>713</v>
      </c>
      <c r="AL222" s="45">
        <v>3</v>
      </c>
      <c r="AM222" s="41">
        <f>INDEX(Sheet5!$B$19:$G$33,MATCH(Sheet1!AQ222,Sheet5!$A$19:$A$33,0),MATCH(J222,Sheet5!$B$18:$G$18,0))</f>
        <v>3600</v>
      </c>
      <c r="AN222" s="45" t="s">
        <v>48</v>
      </c>
      <c r="AO222" s="45" t="s">
        <v>747</v>
      </c>
      <c r="AP222" s="45">
        <v>20635</v>
      </c>
      <c r="AQ222" s="13">
        <v>90</v>
      </c>
    </row>
    <row r="223" spans="1:43" ht="16.5">
      <c r="A223" s="45">
        <v>2304</v>
      </c>
      <c r="B223" s="46" t="s">
        <v>1874</v>
      </c>
      <c r="C223" s="46" t="s">
        <v>702</v>
      </c>
      <c r="D223" s="47" t="s">
        <v>124</v>
      </c>
      <c r="E223" s="48">
        <v>11027</v>
      </c>
      <c r="F223" s="67">
        <v>10000</v>
      </c>
      <c r="G223" s="45">
        <v>300</v>
      </c>
      <c r="H223" s="45">
        <v>50</v>
      </c>
      <c r="I223" s="47" t="s">
        <v>720</v>
      </c>
      <c r="J223" s="45">
        <v>4</v>
      </c>
      <c r="K223" s="45">
        <v>13</v>
      </c>
      <c r="L223" s="45">
        <v>40</v>
      </c>
      <c r="M223" s="77">
        <v>16000</v>
      </c>
      <c r="N223" s="45">
        <v>0</v>
      </c>
      <c r="O223" s="45">
        <v>0</v>
      </c>
      <c r="P223" s="45">
        <v>0</v>
      </c>
      <c r="Q223" s="45">
        <v>0</v>
      </c>
      <c r="R223" s="45">
        <v>0</v>
      </c>
      <c r="S223" s="45">
        <v>0</v>
      </c>
      <c r="T223" s="45">
        <v>0</v>
      </c>
      <c r="U223" s="45">
        <v>300</v>
      </c>
      <c r="V223" s="45">
        <v>0</v>
      </c>
      <c r="W223" s="45">
        <v>0</v>
      </c>
      <c r="X223" s="45">
        <v>0</v>
      </c>
      <c r="Y223" s="45">
        <v>0</v>
      </c>
      <c r="Z223" s="45">
        <v>0</v>
      </c>
      <c r="AA223" s="45">
        <v>0</v>
      </c>
      <c r="AB223" s="45">
        <v>0</v>
      </c>
      <c r="AC223" s="49">
        <v>1200</v>
      </c>
      <c r="AD223" s="49">
        <v>0</v>
      </c>
      <c r="AE223" s="49">
        <v>0</v>
      </c>
      <c r="AF223" s="49">
        <v>0</v>
      </c>
      <c r="AG223" s="49">
        <v>6.0000000000000001E-3</v>
      </c>
      <c r="AH223" s="49">
        <v>0</v>
      </c>
      <c r="AI223" s="49">
        <v>0</v>
      </c>
      <c r="AJ223" s="50">
        <v>0</v>
      </c>
      <c r="AK223" s="49" t="s">
        <v>713</v>
      </c>
      <c r="AL223" s="45">
        <v>3</v>
      </c>
      <c r="AM223" s="41">
        <f>INDEX(Sheet5!$B$19:$G$33,MATCH(Sheet1!AQ223,Sheet5!$A$19:$A$33,0),MATCH(J223,Sheet5!$B$18:$G$18,0))</f>
        <v>4000</v>
      </c>
      <c r="AN223" s="45" t="s">
        <v>48</v>
      </c>
      <c r="AO223" s="45" t="s">
        <v>747</v>
      </c>
      <c r="AP223" s="45">
        <v>20636</v>
      </c>
      <c r="AQ223" s="13">
        <v>100</v>
      </c>
    </row>
    <row r="224" spans="1:43" ht="16.5">
      <c r="A224" s="45">
        <v>2305</v>
      </c>
      <c r="B224" s="46" t="s">
        <v>1875</v>
      </c>
      <c r="C224" s="46" t="s">
        <v>702</v>
      </c>
      <c r="D224" s="47" t="s">
        <v>124</v>
      </c>
      <c r="E224" s="48">
        <v>11027</v>
      </c>
      <c r="F224" s="67">
        <v>10000</v>
      </c>
      <c r="G224" s="45">
        <v>300</v>
      </c>
      <c r="H224" s="45">
        <v>50</v>
      </c>
      <c r="I224" s="47" t="s">
        <v>720</v>
      </c>
      <c r="J224" s="45">
        <v>4</v>
      </c>
      <c r="K224" s="45">
        <v>13</v>
      </c>
      <c r="L224" s="45">
        <v>40</v>
      </c>
      <c r="M224" s="77">
        <v>17600</v>
      </c>
      <c r="N224" s="45">
        <v>0</v>
      </c>
      <c r="O224" s="45">
        <v>0</v>
      </c>
      <c r="P224" s="45">
        <v>0</v>
      </c>
      <c r="Q224" s="45">
        <v>0</v>
      </c>
      <c r="R224" s="45">
        <v>0</v>
      </c>
      <c r="S224" s="45">
        <v>0</v>
      </c>
      <c r="T224" s="45">
        <v>0</v>
      </c>
      <c r="U224" s="45">
        <v>300</v>
      </c>
      <c r="V224" s="45">
        <v>0</v>
      </c>
      <c r="W224" s="45">
        <v>0</v>
      </c>
      <c r="X224" s="45">
        <v>0</v>
      </c>
      <c r="Y224" s="45">
        <v>0</v>
      </c>
      <c r="Z224" s="45">
        <v>0</v>
      </c>
      <c r="AA224" s="45">
        <v>0</v>
      </c>
      <c r="AB224" s="45">
        <v>0</v>
      </c>
      <c r="AC224" s="49">
        <v>1200</v>
      </c>
      <c r="AD224" s="49">
        <v>0</v>
      </c>
      <c r="AE224" s="49">
        <v>0</v>
      </c>
      <c r="AF224" s="49">
        <v>0</v>
      </c>
      <c r="AG224" s="49">
        <v>6.0000000000000001E-3</v>
      </c>
      <c r="AH224" s="49">
        <v>0</v>
      </c>
      <c r="AI224" s="49">
        <v>0</v>
      </c>
      <c r="AJ224" s="50">
        <v>0</v>
      </c>
      <c r="AK224" s="49" t="s">
        <v>713</v>
      </c>
      <c r="AL224" s="45">
        <v>3</v>
      </c>
      <c r="AM224" s="41">
        <f>INDEX(Sheet5!$B$19:$G$33,MATCH(Sheet1!AQ224,Sheet5!$A$19:$A$33,0),MATCH(J224,Sheet5!$B$18:$G$18,0))</f>
        <v>4400</v>
      </c>
      <c r="AN224" s="45" t="s">
        <v>48</v>
      </c>
      <c r="AO224" s="45" t="s">
        <v>747</v>
      </c>
      <c r="AP224" s="45">
        <v>20637</v>
      </c>
      <c r="AQ224" s="13">
        <v>110</v>
      </c>
    </row>
    <row r="225" spans="1:43" ht="16.5">
      <c r="A225" s="45">
        <v>2306</v>
      </c>
      <c r="B225" s="46" t="s">
        <v>1876</v>
      </c>
      <c r="C225" s="46" t="s">
        <v>702</v>
      </c>
      <c r="D225" s="47" t="s">
        <v>124</v>
      </c>
      <c r="E225" s="48">
        <v>11027</v>
      </c>
      <c r="F225" s="67">
        <v>10000</v>
      </c>
      <c r="G225" s="45">
        <v>300</v>
      </c>
      <c r="H225" s="45">
        <v>50</v>
      </c>
      <c r="I225" s="47" t="s">
        <v>720</v>
      </c>
      <c r="J225" s="45">
        <v>4</v>
      </c>
      <c r="K225" s="45">
        <v>13</v>
      </c>
      <c r="L225" s="45">
        <v>40</v>
      </c>
      <c r="M225" s="77">
        <v>19200</v>
      </c>
      <c r="N225" s="45">
        <v>0</v>
      </c>
      <c r="O225" s="45">
        <v>0</v>
      </c>
      <c r="P225" s="45">
        <v>0</v>
      </c>
      <c r="Q225" s="45">
        <v>0</v>
      </c>
      <c r="R225" s="45">
        <v>0</v>
      </c>
      <c r="S225" s="45">
        <v>0</v>
      </c>
      <c r="T225" s="45">
        <v>0</v>
      </c>
      <c r="U225" s="45">
        <v>300</v>
      </c>
      <c r="V225" s="45">
        <v>0</v>
      </c>
      <c r="W225" s="45">
        <v>0</v>
      </c>
      <c r="X225" s="45">
        <v>0</v>
      </c>
      <c r="Y225" s="45">
        <v>0</v>
      </c>
      <c r="Z225" s="45">
        <v>0</v>
      </c>
      <c r="AA225" s="45">
        <v>0</v>
      </c>
      <c r="AB225" s="45">
        <v>0</v>
      </c>
      <c r="AC225" s="49">
        <v>1200</v>
      </c>
      <c r="AD225" s="49">
        <v>0</v>
      </c>
      <c r="AE225" s="49">
        <v>0</v>
      </c>
      <c r="AF225" s="49">
        <v>0</v>
      </c>
      <c r="AG225" s="49">
        <v>6.0000000000000001E-3</v>
      </c>
      <c r="AH225" s="49">
        <v>0</v>
      </c>
      <c r="AI225" s="49">
        <v>0</v>
      </c>
      <c r="AJ225" s="50">
        <v>0</v>
      </c>
      <c r="AK225" s="49" t="s">
        <v>713</v>
      </c>
      <c r="AL225" s="45">
        <v>3</v>
      </c>
      <c r="AM225" s="41">
        <f>INDEX(Sheet5!$B$19:$G$33,MATCH(Sheet1!AQ225,Sheet5!$A$19:$A$33,0),MATCH(J225,Sheet5!$B$18:$G$18,0))</f>
        <v>4800</v>
      </c>
      <c r="AN225" s="45" t="s">
        <v>48</v>
      </c>
      <c r="AO225" s="45" t="s">
        <v>747</v>
      </c>
      <c r="AP225" s="45">
        <v>20638</v>
      </c>
      <c r="AQ225" s="13">
        <v>120</v>
      </c>
    </row>
    <row r="226" spans="1:43" ht="16.5">
      <c r="A226" s="45">
        <v>2307</v>
      </c>
      <c r="B226" s="46" t="s">
        <v>1877</v>
      </c>
      <c r="C226" s="46" t="s">
        <v>702</v>
      </c>
      <c r="D226" s="47" t="s">
        <v>124</v>
      </c>
      <c r="E226" s="48">
        <v>11027</v>
      </c>
      <c r="F226" s="67">
        <v>10000</v>
      </c>
      <c r="G226" s="45">
        <v>300</v>
      </c>
      <c r="H226" s="45">
        <v>50</v>
      </c>
      <c r="I226" s="47" t="s">
        <v>720</v>
      </c>
      <c r="J226" s="45">
        <v>4</v>
      </c>
      <c r="K226" s="45">
        <v>13</v>
      </c>
      <c r="L226" s="45">
        <v>40</v>
      </c>
      <c r="M226" s="77">
        <v>20800</v>
      </c>
      <c r="N226" s="45">
        <v>0</v>
      </c>
      <c r="O226" s="45">
        <v>0</v>
      </c>
      <c r="P226" s="45">
        <v>0</v>
      </c>
      <c r="Q226" s="45">
        <v>0</v>
      </c>
      <c r="R226" s="45">
        <v>0</v>
      </c>
      <c r="S226" s="45">
        <v>0</v>
      </c>
      <c r="T226" s="45">
        <v>0</v>
      </c>
      <c r="U226" s="45">
        <v>300</v>
      </c>
      <c r="V226" s="45">
        <v>0</v>
      </c>
      <c r="W226" s="45">
        <v>0</v>
      </c>
      <c r="X226" s="45">
        <v>0</v>
      </c>
      <c r="Y226" s="45">
        <v>0</v>
      </c>
      <c r="Z226" s="45">
        <v>0</v>
      </c>
      <c r="AA226" s="45">
        <v>0</v>
      </c>
      <c r="AB226" s="45">
        <v>0</v>
      </c>
      <c r="AC226" s="49">
        <v>1200</v>
      </c>
      <c r="AD226" s="49">
        <v>0</v>
      </c>
      <c r="AE226" s="49">
        <v>0</v>
      </c>
      <c r="AF226" s="49">
        <v>0</v>
      </c>
      <c r="AG226" s="49">
        <v>6.0000000000000001E-3</v>
      </c>
      <c r="AH226" s="49">
        <v>0</v>
      </c>
      <c r="AI226" s="49">
        <v>0</v>
      </c>
      <c r="AJ226" s="50">
        <v>0</v>
      </c>
      <c r="AK226" s="49" t="s">
        <v>713</v>
      </c>
      <c r="AL226" s="45">
        <v>3</v>
      </c>
      <c r="AM226" s="41">
        <f>INDEX(Sheet5!$B$19:$G$33,MATCH(Sheet1!AQ226,Sheet5!$A$19:$A$33,0),MATCH(J226,Sheet5!$B$18:$G$18,0))</f>
        <v>5200</v>
      </c>
      <c r="AN226" s="45" t="s">
        <v>48</v>
      </c>
      <c r="AO226" s="45" t="s">
        <v>747</v>
      </c>
      <c r="AP226" s="45">
        <v>20639</v>
      </c>
      <c r="AQ226" s="13">
        <v>130</v>
      </c>
    </row>
    <row r="227" spans="1:43" ht="16.5">
      <c r="A227" s="45">
        <v>2308</v>
      </c>
      <c r="B227" s="46" t="s">
        <v>1878</v>
      </c>
      <c r="C227" s="46" t="s">
        <v>702</v>
      </c>
      <c r="D227" s="47" t="s">
        <v>124</v>
      </c>
      <c r="E227" s="48">
        <v>11027</v>
      </c>
      <c r="F227" s="67">
        <v>10000</v>
      </c>
      <c r="G227" s="45">
        <v>300</v>
      </c>
      <c r="H227" s="45">
        <v>50</v>
      </c>
      <c r="I227" s="47" t="s">
        <v>720</v>
      </c>
      <c r="J227" s="45">
        <v>4</v>
      </c>
      <c r="K227" s="45">
        <v>13</v>
      </c>
      <c r="L227" s="45">
        <v>40</v>
      </c>
      <c r="M227" s="77">
        <v>22400</v>
      </c>
      <c r="N227" s="45">
        <v>0</v>
      </c>
      <c r="O227" s="45">
        <v>0</v>
      </c>
      <c r="P227" s="45">
        <v>0</v>
      </c>
      <c r="Q227" s="45">
        <v>0</v>
      </c>
      <c r="R227" s="45">
        <v>0</v>
      </c>
      <c r="S227" s="45">
        <v>0</v>
      </c>
      <c r="T227" s="45">
        <v>0</v>
      </c>
      <c r="U227" s="45">
        <v>300</v>
      </c>
      <c r="V227" s="45">
        <v>0</v>
      </c>
      <c r="W227" s="45">
        <v>0</v>
      </c>
      <c r="X227" s="45">
        <v>0</v>
      </c>
      <c r="Y227" s="45">
        <v>0</v>
      </c>
      <c r="Z227" s="45">
        <v>0</v>
      </c>
      <c r="AA227" s="45">
        <v>0</v>
      </c>
      <c r="AB227" s="45">
        <v>0</v>
      </c>
      <c r="AC227" s="49">
        <v>1200</v>
      </c>
      <c r="AD227" s="49">
        <v>0</v>
      </c>
      <c r="AE227" s="49">
        <v>0</v>
      </c>
      <c r="AF227" s="49">
        <v>0</v>
      </c>
      <c r="AG227" s="49">
        <v>6.0000000000000001E-3</v>
      </c>
      <c r="AH227" s="49">
        <v>0</v>
      </c>
      <c r="AI227" s="49">
        <v>0</v>
      </c>
      <c r="AJ227" s="50">
        <v>0</v>
      </c>
      <c r="AK227" s="49" t="s">
        <v>713</v>
      </c>
      <c r="AL227" s="45">
        <v>3</v>
      </c>
      <c r="AM227" s="41">
        <f>INDEX(Sheet5!$B$19:$G$33,MATCH(Sheet1!AQ227,Sheet5!$A$19:$A$33,0),MATCH(J227,Sheet5!$B$18:$G$18,0))</f>
        <v>5600</v>
      </c>
      <c r="AN227" s="45" t="s">
        <v>48</v>
      </c>
      <c r="AO227" s="45" t="s">
        <v>747</v>
      </c>
      <c r="AP227" s="45">
        <v>20640</v>
      </c>
      <c r="AQ227" s="13">
        <v>140</v>
      </c>
    </row>
    <row r="228" spans="1:43" ht="16.5">
      <c r="A228" s="45">
        <v>2309</v>
      </c>
      <c r="B228" s="46" t="s">
        <v>1879</v>
      </c>
      <c r="C228" s="46" t="s">
        <v>702</v>
      </c>
      <c r="D228" s="47" t="s">
        <v>124</v>
      </c>
      <c r="E228" s="48">
        <v>11027</v>
      </c>
      <c r="F228" s="67">
        <v>10000</v>
      </c>
      <c r="G228" s="45">
        <v>300</v>
      </c>
      <c r="H228" s="45">
        <v>50</v>
      </c>
      <c r="I228" s="47" t="s">
        <v>720</v>
      </c>
      <c r="J228" s="45">
        <v>4</v>
      </c>
      <c r="K228" s="45">
        <v>13</v>
      </c>
      <c r="L228" s="45">
        <v>40</v>
      </c>
      <c r="M228" s="77">
        <v>24000</v>
      </c>
      <c r="N228" s="45">
        <v>0</v>
      </c>
      <c r="O228" s="45">
        <v>0</v>
      </c>
      <c r="P228" s="45">
        <v>0</v>
      </c>
      <c r="Q228" s="45">
        <v>0</v>
      </c>
      <c r="R228" s="45">
        <v>0</v>
      </c>
      <c r="S228" s="45">
        <v>0</v>
      </c>
      <c r="T228" s="45">
        <v>0</v>
      </c>
      <c r="U228" s="45">
        <v>300</v>
      </c>
      <c r="V228" s="45">
        <v>0</v>
      </c>
      <c r="W228" s="45">
        <v>0</v>
      </c>
      <c r="X228" s="45">
        <v>0</v>
      </c>
      <c r="Y228" s="45">
        <v>0</v>
      </c>
      <c r="Z228" s="45">
        <v>0</v>
      </c>
      <c r="AA228" s="45">
        <v>0</v>
      </c>
      <c r="AB228" s="45">
        <v>0</v>
      </c>
      <c r="AC228" s="49">
        <v>1200</v>
      </c>
      <c r="AD228" s="49">
        <v>0</v>
      </c>
      <c r="AE228" s="49">
        <v>0</v>
      </c>
      <c r="AF228" s="49">
        <v>0</v>
      </c>
      <c r="AG228" s="49">
        <v>6.0000000000000001E-3</v>
      </c>
      <c r="AH228" s="49">
        <v>0</v>
      </c>
      <c r="AI228" s="49">
        <v>0</v>
      </c>
      <c r="AJ228" s="50">
        <v>0</v>
      </c>
      <c r="AK228" s="49" t="s">
        <v>713</v>
      </c>
      <c r="AL228" s="45">
        <v>3</v>
      </c>
      <c r="AM228" s="41">
        <f>INDEX(Sheet5!$B$19:$G$33,MATCH(Sheet1!AQ228,Sheet5!$A$19:$A$33,0),MATCH(J228,Sheet5!$B$18:$G$18,0))</f>
        <v>6000</v>
      </c>
      <c r="AN228" s="45" t="s">
        <v>48</v>
      </c>
      <c r="AO228" s="45" t="s">
        <v>747</v>
      </c>
      <c r="AP228" s="45">
        <v>20641</v>
      </c>
      <c r="AQ228" s="13">
        <v>150</v>
      </c>
    </row>
    <row r="229" spans="1:43" ht="16.5">
      <c r="A229" s="45">
        <v>2310</v>
      </c>
      <c r="B229" s="46" t="s">
        <v>1880</v>
      </c>
      <c r="C229" s="46" t="s">
        <v>701</v>
      </c>
      <c r="D229" s="47" t="s">
        <v>125</v>
      </c>
      <c r="E229" s="48">
        <v>11028</v>
      </c>
      <c r="F229" s="67">
        <v>10000</v>
      </c>
      <c r="G229" s="45">
        <v>300</v>
      </c>
      <c r="H229" s="45">
        <v>50</v>
      </c>
      <c r="I229" s="47" t="s">
        <v>159</v>
      </c>
      <c r="J229" s="45">
        <v>4</v>
      </c>
      <c r="K229" s="45">
        <v>13</v>
      </c>
      <c r="L229" s="45">
        <v>40</v>
      </c>
      <c r="M229" s="45">
        <v>0</v>
      </c>
      <c r="N229" s="45">
        <v>0</v>
      </c>
      <c r="O229" s="45">
        <v>0</v>
      </c>
      <c r="P229" s="77">
        <v>320</v>
      </c>
      <c r="Q229" s="45">
        <v>0</v>
      </c>
      <c r="R229" s="45">
        <v>0</v>
      </c>
      <c r="S229" s="45">
        <v>0</v>
      </c>
      <c r="T229" s="45">
        <v>0</v>
      </c>
      <c r="U229" s="45">
        <v>0</v>
      </c>
      <c r="V229" s="45">
        <v>0</v>
      </c>
      <c r="W229" s="45">
        <v>0</v>
      </c>
      <c r="X229" s="45">
        <v>6</v>
      </c>
      <c r="Y229" s="45">
        <v>0</v>
      </c>
      <c r="Z229" s="45">
        <v>0</v>
      </c>
      <c r="AA229" s="45">
        <v>0</v>
      </c>
      <c r="AB229" s="45">
        <v>0</v>
      </c>
      <c r="AC229" s="49">
        <v>0</v>
      </c>
      <c r="AD229" s="49">
        <v>0</v>
      </c>
      <c r="AE229" s="49">
        <v>0</v>
      </c>
      <c r="AF229" s="49">
        <v>24</v>
      </c>
      <c r="AG229" s="49">
        <v>0</v>
      </c>
      <c r="AH229" s="49">
        <v>6.0000000000000001E-3</v>
      </c>
      <c r="AI229" s="49">
        <v>0</v>
      </c>
      <c r="AJ229" s="49">
        <v>0</v>
      </c>
      <c r="AK229" s="49" t="s">
        <v>713</v>
      </c>
      <c r="AL229" s="45">
        <v>4</v>
      </c>
      <c r="AM229" s="41">
        <f>INDEX(Sheet5!$B$19:$G$33,MATCH(Sheet1!AQ229,Sheet5!$A$19:$A$33,0),MATCH(J229,Sheet5!$B$18:$G$18,0))</f>
        <v>400</v>
      </c>
      <c r="AN229" s="45" t="s">
        <v>48</v>
      </c>
      <c r="AO229" s="45" t="s">
        <v>748</v>
      </c>
      <c r="AP229" s="45">
        <v>641</v>
      </c>
      <c r="AQ229" s="13">
        <v>10</v>
      </c>
    </row>
    <row r="230" spans="1:43" ht="16.5">
      <c r="A230" s="45">
        <v>2311</v>
      </c>
      <c r="B230" s="46" t="s">
        <v>1881</v>
      </c>
      <c r="C230" s="46" t="s">
        <v>701</v>
      </c>
      <c r="D230" s="47" t="s">
        <v>125</v>
      </c>
      <c r="E230" s="48">
        <v>11028</v>
      </c>
      <c r="F230" s="67">
        <v>10000</v>
      </c>
      <c r="G230" s="45">
        <v>300</v>
      </c>
      <c r="H230" s="45">
        <v>50</v>
      </c>
      <c r="I230" s="47" t="s">
        <v>159</v>
      </c>
      <c r="J230" s="45">
        <v>4</v>
      </c>
      <c r="K230" s="45">
        <v>13</v>
      </c>
      <c r="L230" s="45">
        <v>40</v>
      </c>
      <c r="M230" s="45">
        <v>0</v>
      </c>
      <c r="N230" s="45">
        <v>0</v>
      </c>
      <c r="O230" s="45">
        <v>0</v>
      </c>
      <c r="P230" s="77">
        <v>640</v>
      </c>
      <c r="Q230" s="45">
        <v>0</v>
      </c>
      <c r="R230" s="45">
        <v>0</v>
      </c>
      <c r="S230" s="45">
        <v>0</v>
      </c>
      <c r="T230" s="45">
        <v>0</v>
      </c>
      <c r="U230" s="45">
        <v>0</v>
      </c>
      <c r="V230" s="45">
        <v>0</v>
      </c>
      <c r="W230" s="45">
        <v>0</v>
      </c>
      <c r="X230" s="45">
        <v>6</v>
      </c>
      <c r="Y230" s="45">
        <v>0</v>
      </c>
      <c r="Z230" s="45">
        <v>0</v>
      </c>
      <c r="AA230" s="45">
        <v>0</v>
      </c>
      <c r="AB230" s="45">
        <v>0</v>
      </c>
      <c r="AC230" s="49">
        <v>0</v>
      </c>
      <c r="AD230" s="49">
        <v>0</v>
      </c>
      <c r="AE230" s="49">
        <v>0</v>
      </c>
      <c r="AF230" s="49">
        <v>24</v>
      </c>
      <c r="AG230" s="49">
        <v>0</v>
      </c>
      <c r="AH230" s="49">
        <v>6.0000000000000001E-3</v>
      </c>
      <c r="AI230" s="49">
        <v>0</v>
      </c>
      <c r="AJ230" s="49">
        <v>0</v>
      </c>
      <c r="AK230" s="49" t="s">
        <v>713</v>
      </c>
      <c r="AL230" s="45">
        <v>4</v>
      </c>
      <c r="AM230" s="41">
        <f>INDEX(Sheet5!$B$19:$G$33,MATCH(Sheet1!AQ230,Sheet5!$A$19:$A$33,0),MATCH(J230,Sheet5!$B$18:$G$18,0))</f>
        <v>800</v>
      </c>
      <c r="AN230" s="45" t="s">
        <v>48</v>
      </c>
      <c r="AO230" s="45" t="s">
        <v>748</v>
      </c>
      <c r="AP230" s="45">
        <v>642</v>
      </c>
      <c r="AQ230" s="13">
        <v>20</v>
      </c>
    </row>
    <row r="231" spans="1:43" ht="16.5">
      <c r="A231" s="45">
        <v>2312</v>
      </c>
      <c r="B231" s="46" t="s">
        <v>1882</v>
      </c>
      <c r="C231" s="46" t="s">
        <v>701</v>
      </c>
      <c r="D231" s="47" t="s">
        <v>125</v>
      </c>
      <c r="E231" s="48">
        <v>11028</v>
      </c>
      <c r="F231" s="67">
        <v>10000</v>
      </c>
      <c r="G231" s="45">
        <v>300</v>
      </c>
      <c r="H231" s="45">
        <v>50</v>
      </c>
      <c r="I231" s="47" t="s">
        <v>159</v>
      </c>
      <c r="J231" s="45">
        <v>4</v>
      </c>
      <c r="K231" s="45">
        <v>13</v>
      </c>
      <c r="L231" s="45">
        <v>40</v>
      </c>
      <c r="M231" s="45">
        <v>0</v>
      </c>
      <c r="N231" s="45">
        <v>0</v>
      </c>
      <c r="O231" s="45">
        <v>0</v>
      </c>
      <c r="P231" s="77">
        <v>960</v>
      </c>
      <c r="Q231" s="45">
        <v>0</v>
      </c>
      <c r="R231" s="45">
        <v>0</v>
      </c>
      <c r="S231" s="45">
        <v>0</v>
      </c>
      <c r="T231" s="45">
        <v>0</v>
      </c>
      <c r="U231" s="45">
        <v>0</v>
      </c>
      <c r="V231" s="45">
        <v>0</v>
      </c>
      <c r="W231" s="45">
        <v>0</v>
      </c>
      <c r="X231" s="45">
        <v>6</v>
      </c>
      <c r="Y231" s="45">
        <v>0</v>
      </c>
      <c r="Z231" s="45">
        <v>0</v>
      </c>
      <c r="AA231" s="45">
        <v>0</v>
      </c>
      <c r="AB231" s="45">
        <v>0</v>
      </c>
      <c r="AC231" s="49">
        <v>0</v>
      </c>
      <c r="AD231" s="49">
        <v>0</v>
      </c>
      <c r="AE231" s="49">
        <v>0</v>
      </c>
      <c r="AF231" s="49">
        <v>24</v>
      </c>
      <c r="AG231" s="49">
        <v>0</v>
      </c>
      <c r="AH231" s="49">
        <v>6.0000000000000001E-3</v>
      </c>
      <c r="AI231" s="49">
        <v>0</v>
      </c>
      <c r="AJ231" s="49">
        <v>0</v>
      </c>
      <c r="AK231" s="49" t="s">
        <v>713</v>
      </c>
      <c r="AL231" s="45">
        <v>4</v>
      </c>
      <c r="AM231" s="41">
        <f>INDEX(Sheet5!$B$19:$G$33,MATCH(Sheet1!AQ231,Sheet5!$A$19:$A$33,0),MATCH(J231,Sheet5!$B$18:$G$18,0))</f>
        <v>1200</v>
      </c>
      <c r="AN231" s="45" t="s">
        <v>48</v>
      </c>
      <c r="AO231" s="45" t="s">
        <v>748</v>
      </c>
      <c r="AP231" s="45">
        <v>643</v>
      </c>
      <c r="AQ231" s="13">
        <v>30</v>
      </c>
    </row>
    <row r="232" spans="1:43" s="87" customFormat="1" ht="16.5">
      <c r="A232" s="91">
        <v>2064</v>
      </c>
      <c r="B232" s="91" t="s">
        <v>1883</v>
      </c>
      <c r="C232" s="91" t="s">
        <v>701</v>
      </c>
      <c r="D232" s="91" t="s">
        <v>125</v>
      </c>
      <c r="E232" s="92">
        <v>11028</v>
      </c>
      <c r="F232" s="91">
        <v>10000</v>
      </c>
      <c r="G232" s="91">
        <v>300</v>
      </c>
      <c r="H232" s="91">
        <v>50</v>
      </c>
      <c r="I232" s="91" t="s">
        <v>159</v>
      </c>
      <c r="J232" s="91">
        <v>4</v>
      </c>
      <c r="K232" s="91">
        <v>13</v>
      </c>
      <c r="L232" s="91">
        <v>40</v>
      </c>
      <c r="M232" s="91">
        <v>0</v>
      </c>
      <c r="N232" s="91">
        <v>0</v>
      </c>
      <c r="O232" s="91">
        <v>0</v>
      </c>
      <c r="P232" s="77">
        <v>1280</v>
      </c>
      <c r="Q232" s="91">
        <v>0</v>
      </c>
      <c r="R232" s="91">
        <v>0</v>
      </c>
      <c r="S232" s="91">
        <v>0</v>
      </c>
      <c r="T232" s="91">
        <v>0</v>
      </c>
      <c r="U232" s="91">
        <v>0</v>
      </c>
      <c r="V232" s="91">
        <v>0</v>
      </c>
      <c r="W232" s="91">
        <v>0</v>
      </c>
      <c r="X232" s="91">
        <v>6</v>
      </c>
      <c r="Y232" s="91">
        <v>0</v>
      </c>
      <c r="Z232" s="91">
        <v>0</v>
      </c>
      <c r="AA232" s="91">
        <v>0</v>
      </c>
      <c r="AB232" s="91">
        <v>0</v>
      </c>
      <c r="AC232" s="91">
        <v>0</v>
      </c>
      <c r="AD232" s="91">
        <v>0</v>
      </c>
      <c r="AE232" s="91">
        <v>0</v>
      </c>
      <c r="AF232" s="91">
        <v>24</v>
      </c>
      <c r="AG232" s="91">
        <v>0</v>
      </c>
      <c r="AH232" s="91">
        <v>6.0000000000000001E-3</v>
      </c>
      <c r="AI232" s="91">
        <v>0</v>
      </c>
      <c r="AJ232" s="91">
        <v>0</v>
      </c>
      <c r="AK232" s="91" t="s">
        <v>1489</v>
      </c>
      <c r="AL232" s="91">
        <v>4</v>
      </c>
      <c r="AM232" s="41">
        <f>INDEX(Sheet5!$B$19:$G$33,MATCH(Sheet1!AQ232,Sheet5!$A$19:$A$33,0),MATCH(J232,Sheet5!$B$18:$G$18,0))</f>
        <v>1600</v>
      </c>
      <c r="AN232" s="91" t="s">
        <v>1489</v>
      </c>
      <c r="AO232" s="91" t="s">
        <v>748</v>
      </c>
      <c r="AP232" s="91">
        <v>2064</v>
      </c>
      <c r="AQ232" s="13">
        <v>40</v>
      </c>
    </row>
    <row r="233" spans="1:43" ht="16.5">
      <c r="A233" s="45">
        <v>2313</v>
      </c>
      <c r="B233" s="46" t="s">
        <v>1884</v>
      </c>
      <c r="C233" s="46" t="s">
        <v>701</v>
      </c>
      <c r="D233" s="47" t="s">
        <v>125</v>
      </c>
      <c r="E233" s="48">
        <v>11028</v>
      </c>
      <c r="F233" s="67">
        <v>10000</v>
      </c>
      <c r="G233" s="45">
        <v>300</v>
      </c>
      <c r="H233" s="45">
        <v>50</v>
      </c>
      <c r="I233" s="47" t="s">
        <v>159</v>
      </c>
      <c r="J233" s="45">
        <v>4</v>
      </c>
      <c r="K233" s="45">
        <v>13</v>
      </c>
      <c r="L233" s="45">
        <v>40</v>
      </c>
      <c r="M233" s="45">
        <v>0</v>
      </c>
      <c r="N233" s="45">
        <v>0</v>
      </c>
      <c r="O233" s="45">
        <v>0</v>
      </c>
      <c r="P233" s="77">
        <v>1600</v>
      </c>
      <c r="Q233" s="45">
        <v>0</v>
      </c>
      <c r="R233" s="45">
        <v>0</v>
      </c>
      <c r="S233" s="45">
        <v>0</v>
      </c>
      <c r="T233" s="45">
        <v>0</v>
      </c>
      <c r="U233" s="45">
        <v>0</v>
      </c>
      <c r="V233" s="45">
        <v>0</v>
      </c>
      <c r="W233" s="45">
        <v>0</v>
      </c>
      <c r="X233" s="45">
        <v>6</v>
      </c>
      <c r="Y233" s="45">
        <v>0</v>
      </c>
      <c r="Z233" s="45">
        <v>0</v>
      </c>
      <c r="AA233" s="45">
        <v>0</v>
      </c>
      <c r="AB233" s="45">
        <v>0</v>
      </c>
      <c r="AC233" s="49">
        <v>0</v>
      </c>
      <c r="AD233" s="49">
        <v>0</v>
      </c>
      <c r="AE233" s="49">
        <v>0</v>
      </c>
      <c r="AF233" s="49">
        <v>24</v>
      </c>
      <c r="AG233" s="49">
        <v>0</v>
      </c>
      <c r="AH233" s="49">
        <v>6.0000000000000001E-3</v>
      </c>
      <c r="AI233" s="49">
        <v>0</v>
      </c>
      <c r="AJ233" s="49">
        <v>0</v>
      </c>
      <c r="AK233" s="49" t="s">
        <v>713</v>
      </c>
      <c r="AL233" s="45">
        <v>4</v>
      </c>
      <c r="AM233" s="41">
        <f>INDEX(Sheet5!$B$19:$G$33,MATCH(Sheet1!AQ233,Sheet5!$A$19:$A$33,0),MATCH(J233,Sheet5!$B$18:$G$18,0))</f>
        <v>2000</v>
      </c>
      <c r="AN233" s="45" t="s">
        <v>48</v>
      </c>
      <c r="AO233" s="45" t="s">
        <v>748</v>
      </c>
      <c r="AP233" s="45">
        <v>20641</v>
      </c>
      <c r="AQ233" s="13">
        <v>50</v>
      </c>
    </row>
    <row r="234" spans="1:43" ht="16.5">
      <c r="A234" s="45">
        <v>2314</v>
      </c>
      <c r="B234" s="46" t="s">
        <v>1885</v>
      </c>
      <c r="C234" s="46" t="s">
        <v>701</v>
      </c>
      <c r="D234" s="47" t="s">
        <v>125</v>
      </c>
      <c r="E234" s="48">
        <v>11028</v>
      </c>
      <c r="F234" s="67">
        <v>10000</v>
      </c>
      <c r="G234" s="45">
        <v>300</v>
      </c>
      <c r="H234" s="45">
        <v>50</v>
      </c>
      <c r="I234" s="47" t="s">
        <v>159</v>
      </c>
      <c r="J234" s="45">
        <v>4</v>
      </c>
      <c r="K234" s="45">
        <v>13</v>
      </c>
      <c r="L234" s="45">
        <v>40</v>
      </c>
      <c r="M234" s="45">
        <v>0</v>
      </c>
      <c r="N234" s="45">
        <v>0</v>
      </c>
      <c r="O234" s="45">
        <v>0</v>
      </c>
      <c r="P234" s="77">
        <v>1920</v>
      </c>
      <c r="Q234" s="45">
        <v>0</v>
      </c>
      <c r="R234" s="45">
        <v>0</v>
      </c>
      <c r="S234" s="45">
        <v>0</v>
      </c>
      <c r="T234" s="45">
        <v>0</v>
      </c>
      <c r="U234" s="45">
        <v>0</v>
      </c>
      <c r="V234" s="45">
        <v>0</v>
      </c>
      <c r="W234" s="45">
        <v>0</v>
      </c>
      <c r="X234" s="45">
        <v>6</v>
      </c>
      <c r="Y234" s="45">
        <v>0</v>
      </c>
      <c r="Z234" s="45">
        <v>0</v>
      </c>
      <c r="AA234" s="45">
        <v>0</v>
      </c>
      <c r="AB234" s="45">
        <v>0</v>
      </c>
      <c r="AC234" s="49">
        <v>0</v>
      </c>
      <c r="AD234" s="49">
        <v>0</v>
      </c>
      <c r="AE234" s="49">
        <v>0</v>
      </c>
      <c r="AF234" s="49">
        <v>24</v>
      </c>
      <c r="AG234" s="49">
        <v>0</v>
      </c>
      <c r="AH234" s="49">
        <v>6.0000000000000001E-3</v>
      </c>
      <c r="AI234" s="49">
        <v>0</v>
      </c>
      <c r="AJ234" s="49">
        <v>0</v>
      </c>
      <c r="AK234" s="49" t="s">
        <v>713</v>
      </c>
      <c r="AL234" s="45">
        <v>4</v>
      </c>
      <c r="AM234" s="41">
        <f>INDEX(Sheet5!$B$19:$G$33,MATCH(Sheet1!AQ234,Sheet5!$A$19:$A$33,0),MATCH(J234,Sheet5!$B$18:$G$18,0))</f>
        <v>2400</v>
      </c>
      <c r="AN234" s="45" t="s">
        <v>48</v>
      </c>
      <c r="AO234" s="45" t="s">
        <v>748</v>
      </c>
      <c r="AP234" s="45">
        <v>20642</v>
      </c>
      <c r="AQ234" s="13">
        <v>60</v>
      </c>
    </row>
    <row r="235" spans="1:43" ht="16.5">
      <c r="A235" s="45">
        <v>2315</v>
      </c>
      <c r="B235" s="46" t="s">
        <v>1886</v>
      </c>
      <c r="C235" s="46" t="s">
        <v>701</v>
      </c>
      <c r="D235" s="47" t="s">
        <v>125</v>
      </c>
      <c r="E235" s="48">
        <v>11028</v>
      </c>
      <c r="F235" s="67">
        <v>10000</v>
      </c>
      <c r="G235" s="45">
        <v>300</v>
      </c>
      <c r="H235" s="45">
        <v>50</v>
      </c>
      <c r="I235" s="47" t="s">
        <v>159</v>
      </c>
      <c r="J235" s="45">
        <v>4</v>
      </c>
      <c r="K235" s="45">
        <v>13</v>
      </c>
      <c r="L235" s="45">
        <v>40</v>
      </c>
      <c r="M235" s="45">
        <v>0</v>
      </c>
      <c r="N235" s="45">
        <v>0</v>
      </c>
      <c r="O235" s="45">
        <v>0</v>
      </c>
      <c r="P235" s="77">
        <v>2240</v>
      </c>
      <c r="Q235" s="45">
        <v>0</v>
      </c>
      <c r="R235" s="45">
        <v>0</v>
      </c>
      <c r="S235" s="45">
        <v>0</v>
      </c>
      <c r="T235" s="45">
        <v>0</v>
      </c>
      <c r="U235" s="45">
        <v>0</v>
      </c>
      <c r="V235" s="45">
        <v>0</v>
      </c>
      <c r="W235" s="45">
        <v>0</v>
      </c>
      <c r="X235" s="45">
        <v>6</v>
      </c>
      <c r="Y235" s="45">
        <v>0</v>
      </c>
      <c r="Z235" s="45">
        <v>0</v>
      </c>
      <c r="AA235" s="45">
        <v>0</v>
      </c>
      <c r="AB235" s="45">
        <v>0</v>
      </c>
      <c r="AC235" s="49">
        <v>0</v>
      </c>
      <c r="AD235" s="49">
        <v>0</v>
      </c>
      <c r="AE235" s="49">
        <v>0</v>
      </c>
      <c r="AF235" s="49">
        <v>24</v>
      </c>
      <c r="AG235" s="49">
        <v>0</v>
      </c>
      <c r="AH235" s="49">
        <v>6.0000000000000001E-3</v>
      </c>
      <c r="AI235" s="49">
        <v>0</v>
      </c>
      <c r="AJ235" s="49">
        <v>0</v>
      </c>
      <c r="AK235" s="49" t="s">
        <v>713</v>
      </c>
      <c r="AL235" s="45">
        <v>4</v>
      </c>
      <c r="AM235" s="41">
        <f>INDEX(Sheet5!$B$19:$G$33,MATCH(Sheet1!AQ235,Sheet5!$A$19:$A$33,0),MATCH(J235,Sheet5!$B$18:$G$18,0))</f>
        <v>2800</v>
      </c>
      <c r="AN235" s="45" t="s">
        <v>48</v>
      </c>
      <c r="AO235" s="45" t="s">
        <v>748</v>
      </c>
      <c r="AP235" s="45">
        <v>20643</v>
      </c>
      <c r="AQ235" s="13">
        <v>70</v>
      </c>
    </row>
    <row r="236" spans="1:43" ht="16.5">
      <c r="A236" s="45">
        <v>2316</v>
      </c>
      <c r="B236" s="46" t="s">
        <v>1887</v>
      </c>
      <c r="C236" s="46" t="s">
        <v>701</v>
      </c>
      <c r="D236" s="47" t="s">
        <v>125</v>
      </c>
      <c r="E236" s="48">
        <v>11028</v>
      </c>
      <c r="F236" s="67">
        <v>10000</v>
      </c>
      <c r="G236" s="45">
        <v>300</v>
      </c>
      <c r="H236" s="45">
        <v>50</v>
      </c>
      <c r="I236" s="47" t="s">
        <v>159</v>
      </c>
      <c r="J236" s="45">
        <v>4</v>
      </c>
      <c r="K236" s="45">
        <v>13</v>
      </c>
      <c r="L236" s="45">
        <v>40</v>
      </c>
      <c r="M236" s="45">
        <v>0</v>
      </c>
      <c r="N236" s="45">
        <v>0</v>
      </c>
      <c r="O236" s="45">
        <v>0</v>
      </c>
      <c r="P236" s="77">
        <v>2560</v>
      </c>
      <c r="Q236" s="45">
        <v>0</v>
      </c>
      <c r="R236" s="45">
        <v>0</v>
      </c>
      <c r="S236" s="45">
        <v>0</v>
      </c>
      <c r="T236" s="45">
        <v>0</v>
      </c>
      <c r="U236" s="45">
        <v>0</v>
      </c>
      <c r="V236" s="45">
        <v>0</v>
      </c>
      <c r="W236" s="45">
        <v>0</v>
      </c>
      <c r="X236" s="45">
        <v>6</v>
      </c>
      <c r="Y236" s="45">
        <v>0</v>
      </c>
      <c r="Z236" s="45">
        <v>0</v>
      </c>
      <c r="AA236" s="45">
        <v>0</v>
      </c>
      <c r="AB236" s="45">
        <v>0</v>
      </c>
      <c r="AC236" s="49">
        <v>0</v>
      </c>
      <c r="AD236" s="49">
        <v>0</v>
      </c>
      <c r="AE236" s="49">
        <v>0</v>
      </c>
      <c r="AF236" s="49">
        <v>24</v>
      </c>
      <c r="AG236" s="49">
        <v>0</v>
      </c>
      <c r="AH236" s="49">
        <v>6.0000000000000001E-3</v>
      </c>
      <c r="AI236" s="49">
        <v>0</v>
      </c>
      <c r="AJ236" s="49">
        <v>0</v>
      </c>
      <c r="AK236" s="49" t="s">
        <v>713</v>
      </c>
      <c r="AL236" s="45">
        <v>4</v>
      </c>
      <c r="AM236" s="41">
        <f>INDEX(Sheet5!$B$19:$G$33,MATCH(Sheet1!AQ236,Sheet5!$A$19:$A$33,0),MATCH(J236,Sheet5!$B$18:$G$18,0))</f>
        <v>3200</v>
      </c>
      <c r="AN236" s="45" t="s">
        <v>48</v>
      </c>
      <c r="AO236" s="45" t="s">
        <v>748</v>
      </c>
      <c r="AP236" s="45">
        <v>20644</v>
      </c>
      <c r="AQ236" s="13">
        <v>80</v>
      </c>
    </row>
    <row r="237" spans="1:43" ht="16.5">
      <c r="A237" s="45">
        <v>2317</v>
      </c>
      <c r="B237" s="46" t="s">
        <v>1888</v>
      </c>
      <c r="C237" s="46" t="s">
        <v>701</v>
      </c>
      <c r="D237" s="47" t="s">
        <v>125</v>
      </c>
      <c r="E237" s="48">
        <v>11028</v>
      </c>
      <c r="F237" s="67">
        <v>10000</v>
      </c>
      <c r="G237" s="45">
        <v>300</v>
      </c>
      <c r="H237" s="45">
        <v>50</v>
      </c>
      <c r="I237" s="47" t="s">
        <v>159</v>
      </c>
      <c r="J237" s="45">
        <v>4</v>
      </c>
      <c r="K237" s="45">
        <v>13</v>
      </c>
      <c r="L237" s="45">
        <v>40</v>
      </c>
      <c r="M237" s="45">
        <v>0</v>
      </c>
      <c r="N237" s="45">
        <v>0</v>
      </c>
      <c r="O237" s="45">
        <v>0</v>
      </c>
      <c r="P237" s="77">
        <v>2880</v>
      </c>
      <c r="Q237" s="45">
        <v>0</v>
      </c>
      <c r="R237" s="45">
        <v>0</v>
      </c>
      <c r="S237" s="45">
        <v>0</v>
      </c>
      <c r="T237" s="45">
        <v>0</v>
      </c>
      <c r="U237" s="45">
        <v>0</v>
      </c>
      <c r="V237" s="45">
        <v>0</v>
      </c>
      <c r="W237" s="45">
        <v>0</v>
      </c>
      <c r="X237" s="45">
        <v>6</v>
      </c>
      <c r="Y237" s="45">
        <v>0</v>
      </c>
      <c r="Z237" s="45">
        <v>0</v>
      </c>
      <c r="AA237" s="45">
        <v>0</v>
      </c>
      <c r="AB237" s="45">
        <v>0</v>
      </c>
      <c r="AC237" s="49">
        <v>0</v>
      </c>
      <c r="AD237" s="49">
        <v>0</v>
      </c>
      <c r="AE237" s="49">
        <v>0</v>
      </c>
      <c r="AF237" s="49">
        <v>24</v>
      </c>
      <c r="AG237" s="49">
        <v>0</v>
      </c>
      <c r="AH237" s="49">
        <v>6.0000000000000001E-3</v>
      </c>
      <c r="AI237" s="49">
        <v>0</v>
      </c>
      <c r="AJ237" s="49">
        <v>0</v>
      </c>
      <c r="AK237" s="49" t="s">
        <v>713</v>
      </c>
      <c r="AL237" s="45">
        <v>4</v>
      </c>
      <c r="AM237" s="41">
        <f>INDEX(Sheet5!$B$19:$G$33,MATCH(Sheet1!AQ237,Sheet5!$A$19:$A$33,0),MATCH(J237,Sheet5!$B$18:$G$18,0))</f>
        <v>3600</v>
      </c>
      <c r="AN237" s="45" t="s">
        <v>48</v>
      </c>
      <c r="AO237" s="45" t="s">
        <v>748</v>
      </c>
      <c r="AP237" s="45">
        <v>20645</v>
      </c>
      <c r="AQ237" s="13">
        <v>90</v>
      </c>
    </row>
    <row r="238" spans="1:43" ht="16.5">
      <c r="A238" s="45">
        <v>2318</v>
      </c>
      <c r="B238" s="46" t="s">
        <v>1889</v>
      </c>
      <c r="C238" s="46" t="s">
        <v>701</v>
      </c>
      <c r="D238" s="47" t="s">
        <v>125</v>
      </c>
      <c r="E238" s="48">
        <v>11028</v>
      </c>
      <c r="F238" s="67">
        <v>10000</v>
      </c>
      <c r="G238" s="45">
        <v>300</v>
      </c>
      <c r="H238" s="45">
        <v>50</v>
      </c>
      <c r="I238" s="47" t="s">
        <v>159</v>
      </c>
      <c r="J238" s="45">
        <v>4</v>
      </c>
      <c r="K238" s="45">
        <v>13</v>
      </c>
      <c r="L238" s="45">
        <v>40</v>
      </c>
      <c r="M238" s="45">
        <v>0</v>
      </c>
      <c r="N238" s="45">
        <v>0</v>
      </c>
      <c r="O238" s="45">
        <v>0</v>
      </c>
      <c r="P238" s="77">
        <v>3200</v>
      </c>
      <c r="Q238" s="45">
        <v>0</v>
      </c>
      <c r="R238" s="45">
        <v>0</v>
      </c>
      <c r="S238" s="45">
        <v>0</v>
      </c>
      <c r="T238" s="45">
        <v>0</v>
      </c>
      <c r="U238" s="45">
        <v>0</v>
      </c>
      <c r="V238" s="45">
        <v>0</v>
      </c>
      <c r="W238" s="45">
        <v>0</v>
      </c>
      <c r="X238" s="45">
        <v>6</v>
      </c>
      <c r="Y238" s="45">
        <v>0</v>
      </c>
      <c r="Z238" s="45">
        <v>0</v>
      </c>
      <c r="AA238" s="45">
        <v>0</v>
      </c>
      <c r="AB238" s="45">
        <v>0</v>
      </c>
      <c r="AC238" s="49">
        <v>0</v>
      </c>
      <c r="AD238" s="49">
        <v>0</v>
      </c>
      <c r="AE238" s="49">
        <v>0</v>
      </c>
      <c r="AF238" s="49">
        <v>24</v>
      </c>
      <c r="AG238" s="49">
        <v>0</v>
      </c>
      <c r="AH238" s="49">
        <v>6.0000000000000001E-3</v>
      </c>
      <c r="AI238" s="49">
        <v>0</v>
      </c>
      <c r="AJ238" s="49">
        <v>0</v>
      </c>
      <c r="AK238" s="49" t="s">
        <v>713</v>
      </c>
      <c r="AL238" s="45">
        <v>4</v>
      </c>
      <c r="AM238" s="41">
        <f>INDEX(Sheet5!$B$19:$G$33,MATCH(Sheet1!AQ238,Sheet5!$A$19:$A$33,0),MATCH(J238,Sheet5!$B$18:$G$18,0))</f>
        <v>4000</v>
      </c>
      <c r="AN238" s="45" t="s">
        <v>48</v>
      </c>
      <c r="AO238" s="45" t="s">
        <v>748</v>
      </c>
      <c r="AP238" s="45">
        <v>20646</v>
      </c>
      <c r="AQ238" s="13">
        <v>100</v>
      </c>
    </row>
    <row r="239" spans="1:43" ht="16.5">
      <c r="A239" s="45">
        <v>2319</v>
      </c>
      <c r="B239" s="46" t="s">
        <v>1890</v>
      </c>
      <c r="C239" s="46" t="s">
        <v>701</v>
      </c>
      <c r="D239" s="47" t="s">
        <v>125</v>
      </c>
      <c r="E239" s="48">
        <v>11028</v>
      </c>
      <c r="F239" s="67">
        <v>10000</v>
      </c>
      <c r="G239" s="45">
        <v>300</v>
      </c>
      <c r="H239" s="45">
        <v>50</v>
      </c>
      <c r="I239" s="47" t="s">
        <v>159</v>
      </c>
      <c r="J239" s="45">
        <v>4</v>
      </c>
      <c r="K239" s="45">
        <v>13</v>
      </c>
      <c r="L239" s="45">
        <v>40</v>
      </c>
      <c r="M239" s="45">
        <v>0</v>
      </c>
      <c r="N239" s="45">
        <v>0</v>
      </c>
      <c r="O239" s="45">
        <v>0</v>
      </c>
      <c r="P239" s="77">
        <v>3520</v>
      </c>
      <c r="Q239" s="45">
        <v>0</v>
      </c>
      <c r="R239" s="45">
        <v>0</v>
      </c>
      <c r="S239" s="45">
        <v>0</v>
      </c>
      <c r="T239" s="45">
        <v>0</v>
      </c>
      <c r="U239" s="45">
        <v>0</v>
      </c>
      <c r="V239" s="45">
        <v>0</v>
      </c>
      <c r="W239" s="45">
        <v>0</v>
      </c>
      <c r="X239" s="45">
        <v>6</v>
      </c>
      <c r="Y239" s="45">
        <v>0</v>
      </c>
      <c r="Z239" s="45">
        <v>0</v>
      </c>
      <c r="AA239" s="45">
        <v>0</v>
      </c>
      <c r="AB239" s="45">
        <v>0</v>
      </c>
      <c r="AC239" s="49">
        <v>0</v>
      </c>
      <c r="AD239" s="49">
        <v>0</v>
      </c>
      <c r="AE239" s="49">
        <v>0</v>
      </c>
      <c r="AF239" s="49">
        <v>24</v>
      </c>
      <c r="AG239" s="49">
        <v>0</v>
      </c>
      <c r="AH239" s="49">
        <v>6.0000000000000001E-3</v>
      </c>
      <c r="AI239" s="49">
        <v>0</v>
      </c>
      <c r="AJ239" s="49">
        <v>0</v>
      </c>
      <c r="AK239" s="49" t="s">
        <v>713</v>
      </c>
      <c r="AL239" s="45">
        <v>4</v>
      </c>
      <c r="AM239" s="41">
        <f>INDEX(Sheet5!$B$19:$G$33,MATCH(Sheet1!AQ239,Sheet5!$A$19:$A$33,0),MATCH(J239,Sheet5!$B$18:$G$18,0))</f>
        <v>4400</v>
      </c>
      <c r="AN239" s="45" t="s">
        <v>48</v>
      </c>
      <c r="AO239" s="45" t="s">
        <v>748</v>
      </c>
      <c r="AP239" s="45">
        <v>20647</v>
      </c>
      <c r="AQ239" s="13">
        <v>110</v>
      </c>
    </row>
    <row r="240" spans="1:43" ht="16.5">
      <c r="A240" s="45">
        <v>2320</v>
      </c>
      <c r="B240" s="46" t="s">
        <v>1891</v>
      </c>
      <c r="C240" s="46" t="s">
        <v>701</v>
      </c>
      <c r="D240" s="47" t="s">
        <v>125</v>
      </c>
      <c r="E240" s="48">
        <v>11028</v>
      </c>
      <c r="F240" s="67">
        <v>10000</v>
      </c>
      <c r="G240" s="45">
        <v>300</v>
      </c>
      <c r="H240" s="45">
        <v>50</v>
      </c>
      <c r="I240" s="47" t="s">
        <v>159</v>
      </c>
      <c r="J240" s="45">
        <v>4</v>
      </c>
      <c r="K240" s="45">
        <v>13</v>
      </c>
      <c r="L240" s="45">
        <v>40</v>
      </c>
      <c r="M240" s="45">
        <v>0</v>
      </c>
      <c r="N240" s="45">
        <v>0</v>
      </c>
      <c r="O240" s="45">
        <v>0</v>
      </c>
      <c r="P240" s="77">
        <v>3840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6</v>
      </c>
      <c r="Y240" s="45">
        <v>0</v>
      </c>
      <c r="Z240" s="45">
        <v>0</v>
      </c>
      <c r="AA240" s="45">
        <v>0</v>
      </c>
      <c r="AB240" s="45">
        <v>0</v>
      </c>
      <c r="AC240" s="49">
        <v>0</v>
      </c>
      <c r="AD240" s="49">
        <v>0</v>
      </c>
      <c r="AE240" s="49">
        <v>0</v>
      </c>
      <c r="AF240" s="49">
        <v>24</v>
      </c>
      <c r="AG240" s="49">
        <v>0</v>
      </c>
      <c r="AH240" s="49">
        <v>6.0000000000000001E-3</v>
      </c>
      <c r="AI240" s="49">
        <v>0</v>
      </c>
      <c r="AJ240" s="49">
        <v>0</v>
      </c>
      <c r="AK240" s="49" t="s">
        <v>713</v>
      </c>
      <c r="AL240" s="45">
        <v>4</v>
      </c>
      <c r="AM240" s="41">
        <f>INDEX(Sheet5!$B$19:$G$33,MATCH(Sheet1!AQ240,Sheet5!$A$19:$A$33,0),MATCH(J240,Sheet5!$B$18:$G$18,0))</f>
        <v>4800</v>
      </c>
      <c r="AN240" s="45" t="s">
        <v>48</v>
      </c>
      <c r="AO240" s="45" t="s">
        <v>748</v>
      </c>
      <c r="AP240" s="45">
        <v>20648</v>
      </c>
      <c r="AQ240" s="13">
        <v>120</v>
      </c>
    </row>
    <row r="241" spans="1:43" ht="16.5">
      <c r="A241" s="45">
        <v>2321</v>
      </c>
      <c r="B241" s="46" t="s">
        <v>1892</v>
      </c>
      <c r="C241" s="46" t="s">
        <v>701</v>
      </c>
      <c r="D241" s="47" t="s">
        <v>125</v>
      </c>
      <c r="E241" s="48">
        <v>11028</v>
      </c>
      <c r="F241" s="67">
        <v>10000</v>
      </c>
      <c r="G241" s="45">
        <v>300</v>
      </c>
      <c r="H241" s="45">
        <v>50</v>
      </c>
      <c r="I241" s="47" t="s">
        <v>159</v>
      </c>
      <c r="J241" s="45">
        <v>4</v>
      </c>
      <c r="K241" s="45">
        <v>13</v>
      </c>
      <c r="L241" s="45">
        <v>40</v>
      </c>
      <c r="M241" s="45">
        <v>0</v>
      </c>
      <c r="N241" s="45">
        <v>0</v>
      </c>
      <c r="O241" s="45">
        <v>0</v>
      </c>
      <c r="P241" s="77">
        <v>4160</v>
      </c>
      <c r="Q241" s="45">
        <v>0</v>
      </c>
      <c r="R241" s="45">
        <v>0</v>
      </c>
      <c r="S241" s="45">
        <v>0</v>
      </c>
      <c r="T241" s="45">
        <v>0</v>
      </c>
      <c r="U241" s="45">
        <v>0</v>
      </c>
      <c r="V241" s="45">
        <v>0</v>
      </c>
      <c r="W241" s="45">
        <v>0</v>
      </c>
      <c r="X241" s="45">
        <v>6</v>
      </c>
      <c r="Y241" s="45">
        <v>0</v>
      </c>
      <c r="Z241" s="45">
        <v>0</v>
      </c>
      <c r="AA241" s="45">
        <v>0</v>
      </c>
      <c r="AB241" s="45">
        <v>0</v>
      </c>
      <c r="AC241" s="49">
        <v>0</v>
      </c>
      <c r="AD241" s="49">
        <v>0</v>
      </c>
      <c r="AE241" s="49">
        <v>0</v>
      </c>
      <c r="AF241" s="49">
        <v>24</v>
      </c>
      <c r="AG241" s="49">
        <v>0</v>
      </c>
      <c r="AH241" s="49">
        <v>6.0000000000000001E-3</v>
      </c>
      <c r="AI241" s="49">
        <v>0</v>
      </c>
      <c r="AJ241" s="49">
        <v>0</v>
      </c>
      <c r="AK241" s="49" t="s">
        <v>713</v>
      </c>
      <c r="AL241" s="45">
        <v>4</v>
      </c>
      <c r="AM241" s="41">
        <f>INDEX(Sheet5!$B$19:$G$33,MATCH(Sheet1!AQ241,Sheet5!$A$19:$A$33,0),MATCH(J241,Sheet5!$B$18:$G$18,0))</f>
        <v>5200</v>
      </c>
      <c r="AN241" s="45" t="s">
        <v>48</v>
      </c>
      <c r="AO241" s="45" t="s">
        <v>748</v>
      </c>
      <c r="AP241" s="45">
        <v>20649</v>
      </c>
      <c r="AQ241" s="13">
        <v>130</v>
      </c>
    </row>
    <row r="242" spans="1:43" ht="16.5">
      <c r="A242" s="45">
        <v>2322</v>
      </c>
      <c r="B242" s="46" t="s">
        <v>1893</v>
      </c>
      <c r="C242" s="46" t="s">
        <v>701</v>
      </c>
      <c r="D242" s="47" t="s">
        <v>125</v>
      </c>
      <c r="E242" s="48">
        <v>11028</v>
      </c>
      <c r="F242" s="67">
        <v>10000</v>
      </c>
      <c r="G242" s="45">
        <v>300</v>
      </c>
      <c r="H242" s="45">
        <v>50</v>
      </c>
      <c r="I242" s="47" t="s">
        <v>159</v>
      </c>
      <c r="J242" s="45">
        <v>4</v>
      </c>
      <c r="K242" s="45">
        <v>13</v>
      </c>
      <c r="L242" s="45">
        <v>40</v>
      </c>
      <c r="M242" s="45">
        <v>0</v>
      </c>
      <c r="N242" s="45">
        <v>0</v>
      </c>
      <c r="O242" s="45">
        <v>0</v>
      </c>
      <c r="P242" s="77">
        <v>4480</v>
      </c>
      <c r="Q242" s="45">
        <v>0</v>
      </c>
      <c r="R242" s="45">
        <v>0</v>
      </c>
      <c r="S242" s="45">
        <v>0</v>
      </c>
      <c r="T242" s="45">
        <v>0</v>
      </c>
      <c r="U242" s="45">
        <v>0</v>
      </c>
      <c r="V242" s="45">
        <v>0</v>
      </c>
      <c r="W242" s="45">
        <v>0</v>
      </c>
      <c r="X242" s="45">
        <v>6</v>
      </c>
      <c r="Y242" s="45">
        <v>0</v>
      </c>
      <c r="Z242" s="45">
        <v>0</v>
      </c>
      <c r="AA242" s="45">
        <v>0</v>
      </c>
      <c r="AB242" s="45">
        <v>0</v>
      </c>
      <c r="AC242" s="49">
        <v>0</v>
      </c>
      <c r="AD242" s="49">
        <v>0</v>
      </c>
      <c r="AE242" s="49">
        <v>0</v>
      </c>
      <c r="AF242" s="49">
        <v>24</v>
      </c>
      <c r="AG242" s="49">
        <v>0</v>
      </c>
      <c r="AH242" s="49">
        <v>6.0000000000000001E-3</v>
      </c>
      <c r="AI242" s="49">
        <v>0</v>
      </c>
      <c r="AJ242" s="49">
        <v>0</v>
      </c>
      <c r="AK242" s="49" t="s">
        <v>713</v>
      </c>
      <c r="AL242" s="45">
        <v>4</v>
      </c>
      <c r="AM242" s="41">
        <f>INDEX(Sheet5!$B$19:$G$33,MATCH(Sheet1!AQ242,Sheet5!$A$19:$A$33,0),MATCH(J242,Sheet5!$B$18:$G$18,0))</f>
        <v>5600</v>
      </c>
      <c r="AN242" s="45" t="s">
        <v>48</v>
      </c>
      <c r="AO242" s="45" t="s">
        <v>748</v>
      </c>
      <c r="AP242" s="45">
        <v>20650</v>
      </c>
      <c r="AQ242" s="13">
        <v>140</v>
      </c>
    </row>
    <row r="243" spans="1:43" ht="16.5">
      <c r="A243" s="45">
        <v>2323</v>
      </c>
      <c r="B243" s="46" t="s">
        <v>1894</v>
      </c>
      <c r="C243" s="46" t="s">
        <v>701</v>
      </c>
      <c r="D243" s="47" t="s">
        <v>125</v>
      </c>
      <c r="E243" s="48">
        <v>11028</v>
      </c>
      <c r="F243" s="67">
        <v>10000</v>
      </c>
      <c r="G243" s="45">
        <v>300</v>
      </c>
      <c r="H243" s="45">
        <v>50</v>
      </c>
      <c r="I243" s="47" t="s">
        <v>159</v>
      </c>
      <c r="J243" s="45">
        <v>4</v>
      </c>
      <c r="K243" s="45">
        <v>13</v>
      </c>
      <c r="L243" s="45">
        <v>40</v>
      </c>
      <c r="M243" s="45">
        <v>0</v>
      </c>
      <c r="N243" s="45">
        <v>0</v>
      </c>
      <c r="O243" s="45">
        <v>0</v>
      </c>
      <c r="P243" s="77">
        <v>4800</v>
      </c>
      <c r="Q243" s="45">
        <v>0</v>
      </c>
      <c r="R243" s="45">
        <v>0</v>
      </c>
      <c r="S243" s="45">
        <v>0</v>
      </c>
      <c r="T243" s="45">
        <v>0</v>
      </c>
      <c r="U243" s="45">
        <v>0</v>
      </c>
      <c r="V243" s="45">
        <v>0</v>
      </c>
      <c r="W243" s="45">
        <v>0</v>
      </c>
      <c r="X243" s="45">
        <v>6</v>
      </c>
      <c r="Y243" s="45">
        <v>0</v>
      </c>
      <c r="Z243" s="45">
        <v>0</v>
      </c>
      <c r="AA243" s="45">
        <v>0</v>
      </c>
      <c r="AB243" s="45">
        <v>0</v>
      </c>
      <c r="AC243" s="49">
        <v>0</v>
      </c>
      <c r="AD243" s="49">
        <v>0</v>
      </c>
      <c r="AE243" s="49">
        <v>0</v>
      </c>
      <c r="AF243" s="49">
        <v>24</v>
      </c>
      <c r="AG243" s="49">
        <v>0</v>
      </c>
      <c r="AH243" s="49">
        <v>6.0000000000000001E-3</v>
      </c>
      <c r="AI243" s="49">
        <v>0</v>
      </c>
      <c r="AJ243" s="49">
        <v>0</v>
      </c>
      <c r="AK243" s="49" t="s">
        <v>713</v>
      </c>
      <c r="AL243" s="45">
        <v>4</v>
      </c>
      <c r="AM243" s="41">
        <f>INDEX(Sheet5!$B$19:$G$33,MATCH(Sheet1!AQ243,Sheet5!$A$19:$A$33,0),MATCH(J243,Sheet5!$B$18:$G$18,0))</f>
        <v>6000</v>
      </c>
      <c r="AN243" s="45" t="s">
        <v>48</v>
      </c>
      <c r="AO243" s="45" t="s">
        <v>748</v>
      </c>
      <c r="AP243" s="45">
        <v>20651</v>
      </c>
      <c r="AQ243" s="13">
        <v>150</v>
      </c>
    </row>
    <row r="244" spans="1:43" ht="16.5">
      <c r="A244" s="45">
        <v>2324</v>
      </c>
      <c r="B244" s="59" t="s">
        <v>1895</v>
      </c>
      <c r="C244" s="59" t="s">
        <v>166</v>
      </c>
      <c r="D244" s="59" t="s">
        <v>120</v>
      </c>
      <c r="E244" s="60">
        <v>11021</v>
      </c>
      <c r="F244" s="59">
        <v>5000</v>
      </c>
      <c r="G244" s="59">
        <v>300</v>
      </c>
      <c r="H244" s="59">
        <v>50</v>
      </c>
      <c r="I244" s="59" t="s">
        <v>718</v>
      </c>
      <c r="J244" s="59">
        <v>3</v>
      </c>
      <c r="K244" s="59">
        <v>10</v>
      </c>
      <c r="L244" s="59">
        <v>30</v>
      </c>
      <c r="M244" s="59">
        <v>0</v>
      </c>
      <c r="N244" s="59">
        <v>0</v>
      </c>
      <c r="O244">
        <v>160</v>
      </c>
      <c r="P244" s="59">
        <v>0</v>
      </c>
      <c r="Q244" s="59">
        <v>0</v>
      </c>
      <c r="R244" s="59">
        <v>0</v>
      </c>
      <c r="S244" s="59">
        <v>0</v>
      </c>
      <c r="T244" s="59">
        <v>0</v>
      </c>
      <c r="U244" s="59">
        <v>0</v>
      </c>
      <c r="V244" s="59">
        <v>0</v>
      </c>
      <c r="W244" s="59">
        <v>5</v>
      </c>
      <c r="X244" s="59">
        <v>0</v>
      </c>
      <c r="Y244" s="59">
        <v>0</v>
      </c>
      <c r="Z244" s="59">
        <v>0</v>
      </c>
      <c r="AA244" s="59">
        <v>0</v>
      </c>
      <c r="AB244" s="59">
        <v>0</v>
      </c>
      <c r="AC244" s="59">
        <v>0</v>
      </c>
      <c r="AD244" s="59">
        <v>0</v>
      </c>
      <c r="AE244" s="59">
        <v>20</v>
      </c>
      <c r="AF244" s="59">
        <v>0</v>
      </c>
      <c r="AG244" s="59">
        <v>0</v>
      </c>
      <c r="AH244" s="59">
        <v>0</v>
      </c>
      <c r="AI244" s="61">
        <v>0</v>
      </c>
      <c r="AJ244" s="59">
        <v>0.01</v>
      </c>
      <c r="AK244" s="124">
        <v>20059</v>
      </c>
      <c r="AL244" s="59">
        <v>2</v>
      </c>
      <c r="AM244" s="41">
        <f>INDEX(Sheet5!$B$19:$G$33,MATCH(Sheet1!AQ244,Sheet5!$A$19:$A$33,0),MATCH(J244,Sheet5!$B$18:$G$18,0))</f>
        <v>300</v>
      </c>
      <c r="AN244" s="59" t="s">
        <v>48</v>
      </c>
      <c r="AO244" s="59" t="s">
        <v>741</v>
      </c>
      <c r="AP244" s="80">
        <v>491</v>
      </c>
      <c r="AQ244" s="13">
        <v>10</v>
      </c>
    </row>
    <row r="245" spans="1:43" ht="16.5">
      <c r="A245" s="45">
        <v>2325</v>
      </c>
      <c r="B245" s="59" t="s">
        <v>1896</v>
      </c>
      <c r="C245" s="59" t="s">
        <v>166</v>
      </c>
      <c r="D245" s="59" t="s">
        <v>120</v>
      </c>
      <c r="E245" s="60">
        <v>11021</v>
      </c>
      <c r="F245" s="59">
        <v>5000</v>
      </c>
      <c r="G245" s="59">
        <v>300</v>
      </c>
      <c r="H245" s="59">
        <v>50</v>
      </c>
      <c r="I245" s="59" t="s">
        <v>718</v>
      </c>
      <c r="J245" s="59">
        <v>3</v>
      </c>
      <c r="K245" s="59">
        <v>10</v>
      </c>
      <c r="L245" s="59">
        <v>30</v>
      </c>
      <c r="M245" s="59">
        <v>0</v>
      </c>
      <c r="N245" s="59">
        <v>0</v>
      </c>
      <c r="O245">
        <v>320</v>
      </c>
      <c r="P245" s="59">
        <v>0</v>
      </c>
      <c r="Q245" s="59">
        <v>0</v>
      </c>
      <c r="R245" s="59">
        <v>0</v>
      </c>
      <c r="S245" s="59">
        <v>0</v>
      </c>
      <c r="T245" s="59">
        <v>0</v>
      </c>
      <c r="U245" s="59">
        <v>0</v>
      </c>
      <c r="V245" s="59">
        <v>0</v>
      </c>
      <c r="W245" s="59">
        <v>5</v>
      </c>
      <c r="X245" s="59">
        <v>0</v>
      </c>
      <c r="Y245" s="59">
        <v>0</v>
      </c>
      <c r="Z245" s="59">
        <v>0</v>
      </c>
      <c r="AA245" s="59">
        <v>0</v>
      </c>
      <c r="AB245" s="59">
        <v>0</v>
      </c>
      <c r="AC245" s="59">
        <v>0</v>
      </c>
      <c r="AD245" s="59">
        <v>0</v>
      </c>
      <c r="AE245" s="59">
        <v>20</v>
      </c>
      <c r="AF245" s="59">
        <v>0</v>
      </c>
      <c r="AG245" s="59">
        <v>0</v>
      </c>
      <c r="AH245" s="59">
        <v>0</v>
      </c>
      <c r="AI245" s="61">
        <v>0</v>
      </c>
      <c r="AJ245" s="59">
        <v>0.01</v>
      </c>
      <c r="AK245" s="124">
        <v>20060</v>
      </c>
      <c r="AL245" s="59">
        <v>2</v>
      </c>
      <c r="AM245" s="41">
        <f>INDEX(Sheet5!$B$19:$G$33,MATCH(Sheet1!AQ245,Sheet5!$A$19:$A$33,0),MATCH(J245,Sheet5!$B$18:$G$18,0))</f>
        <v>600</v>
      </c>
      <c r="AN245" s="59" t="s">
        <v>48</v>
      </c>
      <c r="AO245" s="59" t="s">
        <v>741</v>
      </c>
      <c r="AP245" s="80">
        <v>492</v>
      </c>
      <c r="AQ245" s="13">
        <v>20</v>
      </c>
    </row>
    <row r="246" spans="1:43" s="87" customFormat="1" ht="16.5">
      <c r="A246" s="94">
        <v>2049</v>
      </c>
      <c r="B246" s="94" t="s">
        <v>1897</v>
      </c>
      <c r="C246" s="94" t="s">
        <v>166</v>
      </c>
      <c r="D246" s="94" t="s">
        <v>120</v>
      </c>
      <c r="E246" s="95">
        <v>11021</v>
      </c>
      <c r="F246" s="94">
        <v>5000</v>
      </c>
      <c r="G246" s="94">
        <v>300</v>
      </c>
      <c r="H246" s="94">
        <v>50</v>
      </c>
      <c r="I246" s="94" t="s">
        <v>718</v>
      </c>
      <c r="J246" s="94">
        <v>3</v>
      </c>
      <c r="K246" s="94">
        <v>10</v>
      </c>
      <c r="L246" s="94">
        <v>30</v>
      </c>
      <c r="M246" s="94">
        <v>0</v>
      </c>
      <c r="N246" s="94">
        <v>0</v>
      </c>
      <c r="O246">
        <v>480</v>
      </c>
      <c r="P246" s="94">
        <v>0</v>
      </c>
      <c r="Q246" s="94">
        <v>0</v>
      </c>
      <c r="R246" s="94">
        <v>0</v>
      </c>
      <c r="S246" s="94">
        <v>0</v>
      </c>
      <c r="T246" s="94">
        <v>0</v>
      </c>
      <c r="U246" s="94">
        <v>0</v>
      </c>
      <c r="V246" s="94">
        <v>0</v>
      </c>
      <c r="W246" s="94">
        <v>5</v>
      </c>
      <c r="X246" s="94">
        <v>0</v>
      </c>
      <c r="Y246" s="94">
        <v>0</v>
      </c>
      <c r="Z246" s="94">
        <v>0</v>
      </c>
      <c r="AA246" s="94">
        <v>0</v>
      </c>
      <c r="AB246" s="94">
        <v>0</v>
      </c>
      <c r="AC246" s="94">
        <v>0</v>
      </c>
      <c r="AD246" s="94">
        <v>0</v>
      </c>
      <c r="AE246" s="94">
        <v>20</v>
      </c>
      <c r="AF246" s="94">
        <v>0</v>
      </c>
      <c r="AG246" s="94">
        <v>0</v>
      </c>
      <c r="AH246" s="94">
        <v>0</v>
      </c>
      <c r="AI246" s="96">
        <v>0</v>
      </c>
      <c r="AJ246" s="94">
        <v>0.01</v>
      </c>
      <c r="AK246" s="124">
        <v>20061</v>
      </c>
      <c r="AL246" s="94">
        <v>2</v>
      </c>
      <c r="AM246" s="41">
        <f>INDEX(Sheet5!$B$19:$G$33,MATCH(Sheet1!AQ246,Sheet5!$A$19:$A$33,0),MATCH(J246,Sheet5!$B$18:$G$18,0))</f>
        <v>900</v>
      </c>
      <c r="AN246" s="94" t="s">
        <v>1486</v>
      </c>
      <c r="AO246" s="94" t="s">
        <v>741</v>
      </c>
      <c r="AP246" s="94">
        <v>2049</v>
      </c>
      <c r="AQ246" s="13">
        <v>30</v>
      </c>
    </row>
    <row r="247" spans="1:43" ht="16.5">
      <c r="A247" s="59">
        <v>2326</v>
      </c>
      <c r="B247" s="59" t="s">
        <v>1898</v>
      </c>
      <c r="C247" s="59" t="s">
        <v>166</v>
      </c>
      <c r="D247" s="59" t="s">
        <v>120</v>
      </c>
      <c r="E247" s="60">
        <v>11021</v>
      </c>
      <c r="F247" s="59">
        <v>5000</v>
      </c>
      <c r="G247" s="59">
        <v>300</v>
      </c>
      <c r="H247" s="59">
        <v>50</v>
      </c>
      <c r="I247" s="59" t="s">
        <v>718</v>
      </c>
      <c r="J247" s="59">
        <v>3</v>
      </c>
      <c r="K247" s="59">
        <v>10</v>
      </c>
      <c r="L247" s="59">
        <v>30</v>
      </c>
      <c r="M247" s="59">
        <v>0</v>
      </c>
      <c r="N247" s="59">
        <v>0</v>
      </c>
      <c r="O247">
        <v>640</v>
      </c>
      <c r="P247" s="59">
        <v>0</v>
      </c>
      <c r="Q247" s="59">
        <v>0</v>
      </c>
      <c r="R247" s="59">
        <v>0</v>
      </c>
      <c r="S247" s="59">
        <v>0</v>
      </c>
      <c r="T247" s="59">
        <v>0</v>
      </c>
      <c r="U247" s="59">
        <v>0</v>
      </c>
      <c r="V247" s="59">
        <v>0</v>
      </c>
      <c r="W247" s="59">
        <v>5</v>
      </c>
      <c r="X247" s="59">
        <v>0</v>
      </c>
      <c r="Y247" s="59">
        <v>0</v>
      </c>
      <c r="Z247" s="59">
        <v>0</v>
      </c>
      <c r="AA247" s="59">
        <v>0</v>
      </c>
      <c r="AB247" s="59">
        <v>0</v>
      </c>
      <c r="AC247" s="59">
        <v>0</v>
      </c>
      <c r="AD247" s="59">
        <v>0</v>
      </c>
      <c r="AE247" s="59">
        <v>20</v>
      </c>
      <c r="AF247" s="59">
        <v>0</v>
      </c>
      <c r="AG247" s="59">
        <v>0</v>
      </c>
      <c r="AH247" s="59">
        <v>0</v>
      </c>
      <c r="AI247" s="61">
        <v>0</v>
      </c>
      <c r="AJ247" s="59">
        <v>0.01</v>
      </c>
      <c r="AK247" s="124">
        <v>20062</v>
      </c>
      <c r="AL247" s="59">
        <v>2</v>
      </c>
      <c r="AM247" s="41">
        <f>INDEX(Sheet5!$B$19:$G$33,MATCH(Sheet1!AQ247,Sheet5!$A$19:$A$33,0),MATCH(J247,Sheet5!$B$18:$G$18,0))</f>
        <v>1200</v>
      </c>
      <c r="AN247" s="59" t="s">
        <v>48</v>
      </c>
      <c r="AO247" s="59" t="s">
        <v>741</v>
      </c>
      <c r="AP247" s="80">
        <v>20491</v>
      </c>
      <c r="AQ247" s="13">
        <v>40</v>
      </c>
    </row>
    <row r="248" spans="1:43" ht="16.5">
      <c r="A248" s="59">
        <v>2327</v>
      </c>
      <c r="B248" s="59" t="s">
        <v>1899</v>
      </c>
      <c r="C248" s="59" t="s">
        <v>166</v>
      </c>
      <c r="D248" s="59" t="s">
        <v>120</v>
      </c>
      <c r="E248" s="60">
        <v>11021</v>
      </c>
      <c r="F248" s="59">
        <v>5000</v>
      </c>
      <c r="G248" s="59">
        <v>300</v>
      </c>
      <c r="H248" s="59">
        <v>50</v>
      </c>
      <c r="I248" s="59" t="s">
        <v>718</v>
      </c>
      <c r="J248" s="59">
        <v>3</v>
      </c>
      <c r="K248" s="59">
        <v>10</v>
      </c>
      <c r="L248" s="59">
        <v>30</v>
      </c>
      <c r="M248" s="59">
        <v>0</v>
      </c>
      <c r="N248" s="59">
        <v>0</v>
      </c>
      <c r="O248">
        <v>800</v>
      </c>
      <c r="P248" s="59">
        <v>0</v>
      </c>
      <c r="Q248" s="59">
        <v>0</v>
      </c>
      <c r="R248" s="59">
        <v>0</v>
      </c>
      <c r="S248" s="59">
        <v>0</v>
      </c>
      <c r="T248" s="59">
        <v>0</v>
      </c>
      <c r="U248" s="59">
        <v>0</v>
      </c>
      <c r="V248" s="59">
        <v>0</v>
      </c>
      <c r="W248" s="59">
        <v>5</v>
      </c>
      <c r="X248" s="59">
        <v>0</v>
      </c>
      <c r="Y248" s="59">
        <v>0</v>
      </c>
      <c r="Z248" s="59">
        <v>0</v>
      </c>
      <c r="AA248" s="59">
        <v>0</v>
      </c>
      <c r="AB248" s="59">
        <v>0</v>
      </c>
      <c r="AC248" s="59">
        <v>0</v>
      </c>
      <c r="AD248" s="59">
        <v>0</v>
      </c>
      <c r="AE248" s="59">
        <v>20</v>
      </c>
      <c r="AF248" s="59">
        <v>0</v>
      </c>
      <c r="AG248" s="59">
        <v>0</v>
      </c>
      <c r="AH248" s="59">
        <v>0</v>
      </c>
      <c r="AI248" s="61">
        <v>0</v>
      </c>
      <c r="AJ248" s="59">
        <v>0.01</v>
      </c>
      <c r="AK248" s="124">
        <v>20063</v>
      </c>
      <c r="AL248" s="59">
        <v>2</v>
      </c>
      <c r="AM248" s="41">
        <f>INDEX(Sheet5!$B$19:$G$33,MATCH(Sheet1!AQ248,Sheet5!$A$19:$A$33,0),MATCH(J248,Sheet5!$B$18:$G$18,0))</f>
        <v>1500</v>
      </c>
      <c r="AN248" s="59" t="s">
        <v>48</v>
      </c>
      <c r="AO248" s="59" t="s">
        <v>741</v>
      </c>
      <c r="AP248" s="80">
        <v>20492</v>
      </c>
      <c r="AQ248" s="13">
        <v>50</v>
      </c>
    </row>
    <row r="249" spans="1:43" ht="16.5">
      <c r="A249" s="80">
        <v>2328</v>
      </c>
      <c r="B249" s="59" t="s">
        <v>1900</v>
      </c>
      <c r="C249" s="59" t="s">
        <v>166</v>
      </c>
      <c r="D249" s="59" t="s">
        <v>120</v>
      </c>
      <c r="E249" s="60">
        <v>11021</v>
      </c>
      <c r="F249" s="59">
        <v>5000</v>
      </c>
      <c r="G249" s="59">
        <v>300</v>
      </c>
      <c r="H249" s="59">
        <v>50</v>
      </c>
      <c r="I249" s="59" t="s">
        <v>718</v>
      </c>
      <c r="J249" s="59">
        <v>3</v>
      </c>
      <c r="K249" s="59">
        <v>10</v>
      </c>
      <c r="L249" s="59">
        <v>30</v>
      </c>
      <c r="M249" s="59">
        <v>0</v>
      </c>
      <c r="N249" s="59">
        <v>0</v>
      </c>
      <c r="O249">
        <v>960</v>
      </c>
      <c r="P249" s="59">
        <v>0</v>
      </c>
      <c r="Q249" s="59">
        <v>0</v>
      </c>
      <c r="R249" s="59">
        <v>0</v>
      </c>
      <c r="S249" s="59">
        <v>0</v>
      </c>
      <c r="T249" s="59">
        <v>0</v>
      </c>
      <c r="U249" s="59">
        <v>0</v>
      </c>
      <c r="V249" s="59">
        <v>0</v>
      </c>
      <c r="W249" s="59">
        <v>5</v>
      </c>
      <c r="X249" s="59">
        <v>0</v>
      </c>
      <c r="Y249" s="59">
        <v>0</v>
      </c>
      <c r="Z249" s="59">
        <v>0</v>
      </c>
      <c r="AA249" s="59">
        <v>0</v>
      </c>
      <c r="AB249" s="59">
        <v>0</v>
      </c>
      <c r="AC249" s="59">
        <v>0</v>
      </c>
      <c r="AD249" s="59">
        <v>0</v>
      </c>
      <c r="AE249" s="59">
        <v>20</v>
      </c>
      <c r="AF249" s="59">
        <v>0</v>
      </c>
      <c r="AG249" s="59">
        <v>0</v>
      </c>
      <c r="AH249" s="59">
        <v>0</v>
      </c>
      <c r="AI249" s="61">
        <v>0</v>
      </c>
      <c r="AJ249" s="59">
        <v>0.01</v>
      </c>
      <c r="AK249" s="124">
        <v>20064</v>
      </c>
      <c r="AL249" s="59">
        <v>2</v>
      </c>
      <c r="AM249" s="41">
        <f>INDEX(Sheet5!$B$19:$G$33,MATCH(Sheet1!AQ249,Sheet5!$A$19:$A$33,0),MATCH(J249,Sheet5!$B$18:$G$18,0))</f>
        <v>1800</v>
      </c>
      <c r="AN249" s="59" t="s">
        <v>48</v>
      </c>
      <c r="AO249" s="59" t="s">
        <v>741</v>
      </c>
      <c r="AP249" s="80">
        <v>20493</v>
      </c>
      <c r="AQ249" s="13">
        <v>60</v>
      </c>
    </row>
    <row r="250" spans="1:43" ht="16.5">
      <c r="A250" s="80">
        <v>2329</v>
      </c>
      <c r="B250" s="59" t="s">
        <v>1901</v>
      </c>
      <c r="C250" s="59" t="s">
        <v>166</v>
      </c>
      <c r="D250" s="59" t="s">
        <v>120</v>
      </c>
      <c r="E250" s="60">
        <v>11021</v>
      </c>
      <c r="F250" s="59">
        <v>5000</v>
      </c>
      <c r="G250" s="59">
        <v>300</v>
      </c>
      <c r="H250" s="59">
        <v>50</v>
      </c>
      <c r="I250" s="59" t="s">
        <v>718</v>
      </c>
      <c r="J250" s="59">
        <v>3</v>
      </c>
      <c r="K250" s="59">
        <v>10</v>
      </c>
      <c r="L250" s="59">
        <v>30</v>
      </c>
      <c r="M250" s="59">
        <v>0</v>
      </c>
      <c r="N250" s="59">
        <v>0</v>
      </c>
      <c r="O250">
        <v>1120</v>
      </c>
      <c r="P250" s="59">
        <v>0</v>
      </c>
      <c r="Q250" s="59">
        <v>0</v>
      </c>
      <c r="R250" s="59">
        <v>0</v>
      </c>
      <c r="S250" s="59">
        <v>0</v>
      </c>
      <c r="T250" s="59">
        <v>0</v>
      </c>
      <c r="U250" s="59">
        <v>0</v>
      </c>
      <c r="V250" s="59">
        <v>0</v>
      </c>
      <c r="W250" s="59">
        <v>5</v>
      </c>
      <c r="X250" s="59">
        <v>0</v>
      </c>
      <c r="Y250" s="59">
        <v>0</v>
      </c>
      <c r="Z250" s="59">
        <v>0</v>
      </c>
      <c r="AA250" s="59">
        <v>0</v>
      </c>
      <c r="AB250" s="59">
        <v>0</v>
      </c>
      <c r="AC250" s="59">
        <v>0</v>
      </c>
      <c r="AD250" s="59">
        <v>0</v>
      </c>
      <c r="AE250" s="59">
        <v>20</v>
      </c>
      <c r="AF250" s="59">
        <v>0</v>
      </c>
      <c r="AG250" s="59">
        <v>0</v>
      </c>
      <c r="AH250" s="59">
        <v>0</v>
      </c>
      <c r="AI250" s="61">
        <v>0</v>
      </c>
      <c r="AJ250" s="59">
        <v>0.01</v>
      </c>
      <c r="AK250" s="124">
        <v>20065</v>
      </c>
      <c r="AL250" s="59">
        <v>2</v>
      </c>
      <c r="AM250" s="41">
        <f>INDEX(Sheet5!$B$19:$G$33,MATCH(Sheet1!AQ250,Sheet5!$A$19:$A$33,0),MATCH(J250,Sheet5!$B$18:$G$18,0))</f>
        <v>2100</v>
      </c>
      <c r="AN250" s="59" t="s">
        <v>48</v>
      </c>
      <c r="AO250" s="59" t="s">
        <v>741</v>
      </c>
      <c r="AP250" s="80">
        <v>20494</v>
      </c>
      <c r="AQ250" s="13">
        <v>70</v>
      </c>
    </row>
    <row r="251" spans="1:43" ht="16.5">
      <c r="A251" s="80">
        <v>2330</v>
      </c>
      <c r="B251" s="59" t="s">
        <v>1902</v>
      </c>
      <c r="C251" s="59" t="s">
        <v>166</v>
      </c>
      <c r="D251" s="59" t="s">
        <v>120</v>
      </c>
      <c r="E251" s="60">
        <v>11021</v>
      </c>
      <c r="F251" s="59">
        <v>5000</v>
      </c>
      <c r="G251" s="59">
        <v>300</v>
      </c>
      <c r="H251" s="59">
        <v>50</v>
      </c>
      <c r="I251" s="59" t="s">
        <v>718</v>
      </c>
      <c r="J251" s="59">
        <v>3</v>
      </c>
      <c r="K251" s="59">
        <v>10</v>
      </c>
      <c r="L251" s="59">
        <v>30</v>
      </c>
      <c r="M251" s="59">
        <v>0</v>
      </c>
      <c r="N251" s="59">
        <v>0</v>
      </c>
      <c r="O251">
        <v>1280</v>
      </c>
      <c r="P251" s="59">
        <v>0</v>
      </c>
      <c r="Q251" s="59">
        <v>0</v>
      </c>
      <c r="R251" s="59">
        <v>0</v>
      </c>
      <c r="S251" s="59">
        <v>0</v>
      </c>
      <c r="T251" s="59">
        <v>0</v>
      </c>
      <c r="U251" s="59">
        <v>0</v>
      </c>
      <c r="V251" s="59">
        <v>0</v>
      </c>
      <c r="W251" s="59">
        <v>5</v>
      </c>
      <c r="X251" s="59">
        <v>0</v>
      </c>
      <c r="Y251" s="59">
        <v>0</v>
      </c>
      <c r="Z251" s="59">
        <v>0</v>
      </c>
      <c r="AA251" s="59">
        <v>0</v>
      </c>
      <c r="AB251" s="59">
        <v>0</v>
      </c>
      <c r="AC251" s="59">
        <v>0</v>
      </c>
      <c r="AD251" s="59">
        <v>0</v>
      </c>
      <c r="AE251" s="59">
        <v>20</v>
      </c>
      <c r="AF251" s="59">
        <v>0</v>
      </c>
      <c r="AG251" s="59">
        <v>0</v>
      </c>
      <c r="AH251" s="59">
        <v>0</v>
      </c>
      <c r="AI251" s="61">
        <v>0</v>
      </c>
      <c r="AJ251" s="59">
        <v>0.01</v>
      </c>
      <c r="AK251" s="124">
        <v>20066</v>
      </c>
      <c r="AL251" s="59">
        <v>2</v>
      </c>
      <c r="AM251" s="41">
        <f>INDEX(Sheet5!$B$19:$G$33,MATCH(Sheet1!AQ251,Sheet5!$A$19:$A$33,0),MATCH(J251,Sheet5!$B$18:$G$18,0))</f>
        <v>2400</v>
      </c>
      <c r="AN251" s="59" t="s">
        <v>48</v>
      </c>
      <c r="AO251" s="59" t="s">
        <v>741</v>
      </c>
      <c r="AP251" s="80">
        <v>20495</v>
      </c>
      <c r="AQ251" s="13">
        <v>80</v>
      </c>
    </row>
    <row r="252" spans="1:43" ht="16.5">
      <c r="A252" s="80">
        <v>2331</v>
      </c>
      <c r="B252" s="59" t="s">
        <v>1903</v>
      </c>
      <c r="C252" s="59" t="s">
        <v>166</v>
      </c>
      <c r="D252" s="59" t="s">
        <v>120</v>
      </c>
      <c r="E252" s="60">
        <v>11021</v>
      </c>
      <c r="F252" s="59">
        <v>5000</v>
      </c>
      <c r="G252" s="59">
        <v>300</v>
      </c>
      <c r="H252" s="59">
        <v>50</v>
      </c>
      <c r="I252" s="59" t="s">
        <v>718</v>
      </c>
      <c r="J252" s="59">
        <v>3</v>
      </c>
      <c r="K252" s="59">
        <v>10</v>
      </c>
      <c r="L252" s="59">
        <v>30</v>
      </c>
      <c r="M252" s="59">
        <v>0</v>
      </c>
      <c r="N252" s="59">
        <v>0</v>
      </c>
      <c r="O252">
        <v>1440</v>
      </c>
      <c r="P252" s="59">
        <v>0</v>
      </c>
      <c r="Q252" s="59">
        <v>0</v>
      </c>
      <c r="R252" s="59">
        <v>0</v>
      </c>
      <c r="S252" s="59">
        <v>0</v>
      </c>
      <c r="T252" s="59">
        <v>0</v>
      </c>
      <c r="U252" s="59">
        <v>0</v>
      </c>
      <c r="V252" s="59">
        <v>0</v>
      </c>
      <c r="W252" s="59">
        <v>5</v>
      </c>
      <c r="X252" s="59">
        <v>0</v>
      </c>
      <c r="Y252" s="59">
        <v>0</v>
      </c>
      <c r="Z252" s="59">
        <v>0</v>
      </c>
      <c r="AA252" s="59">
        <v>0</v>
      </c>
      <c r="AB252" s="59">
        <v>0</v>
      </c>
      <c r="AC252" s="59">
        <v>0</v>
      </c>
      <c r="AD252" s="59">
        <v>0</v>
      </c>
      <c r="AE252" s="59">
        <v>20</v>
      </c>
      <c r="AF252" s="59">
        <v>0</v>
      </c>
      <c r="AG252" s="59">
        <v>0</v>
      </c>
      <c r="AH252" s="59">
        <v>0</v>
      </c>
      <c r="AI252" s="61">
        <v>0</v>
      </c>
      <c r="AJ252" s="59">
        <v>0.01</v>
      </c>
      <c r="AK252" s="124">
        <v>20067</v>
      </c>
      <c r="AL252" s="59">
        <v>2</v>
      </c>
      <c r="AM252" s="41">
        <f>INDEX(Sheet5!$B$19:$G$33,MATCH(Sheet1!AQ252,Sheet5!$A$19:$A$33,0),MATCH(J252,Sheet5!$B$18:$G$18,0))</f>
        <v>2700</v>
      </c>
      <c r="AN252" s="59" t="s">
        <v>48</v>
      </c>
      <c r="AO252" s="59" t="s">
        <v>741</v>
      </c>
      <c r="AP252" s="80">
        <v>20496</v>
      </c>
      <c r="AQ252" s="13">
        <v>90</v>
      </c>
    </row>
    <row r="253" spans="1:43" ht="16.5">
      <c r="A253" s="80">
        <v>2332</v>
      </c>
      <c r="B253" s="59" t="s">
        <v>1904</v>
      </c>
      <c r="C253" s="59" t="s">
        <v>166</v>
      </c>
      <c r="D253" s="59" t="s">
        <v>120</v>
      </c>
      <c r="E253" s="60">
        <v>11021</v>
      </c>
      <c r="F253" s="59">
        <v>5000</v>
      </c>
      <c r="G253" s="59">
        <v>300</v>
      </c>
      <c r="H253" s="59">
        <v>50</v>
      </c>
      <c r="I253" s="59" t="s">
        <v>718</v>
      </c>
      <c r="J253" s="59">
        <v>3</v>
      </c>
      <c r="K253" s="59">
        <v>10</v>
      </c>
      <c r="L253" s="59">
        <v>30</v>
      </c>
      <c r="M253" s="59">
        <v>0</v>
      </c>
      <c r="N253" s="59">
        <v>0</v>
      </c>
      <c r="O253">
        <v>1600</v>
      </c>
      <c r="P253" s="59">
        <v>0</v>
      </c>
      <c r="Q253" s="59">
        <v>0</v>
      </c>
      <c r="R253" s="59">
        <v>0</v>
      </c>
      <c r="S253" s="59">
        <v>0</v>
      </c>
      <c r="T253" s="59">
        <v>0</v>
      </c>
      <c r="U253" s="59">
        <v>0</v>
      </c>
      <c r="V253" s="59">
        <v>0</v>
      </c>
      <c r="W253" s="59">
        <v>5</v>
      </c>
      <c r="X253" s="59">
        <v>0</v>
      </c>
      <c r="Y253" s="59">
        <v>0</v>
      </c>
      <c r="Z253" s="59">
        <v>0</v>
      </c>
      <c r="AA253" s="59">
        <v>0</v>
      </c>
      <c r="AB253" s="59">
        <v>0</v>
      </c>
      <c r="AC253" s="59">
        <v>0</v>
      </c>
      <c r="AD253" s="59">
        <v>0</v>
      </c>
      <c r="AE253" s="59">
        <v>20</v>
      </c>
      <c r="AF253" s="59">
        <v>0</v>
      </c>
      <c r="AG253" s="59">
        <v>0</v>
      </c>
      <c r="AH253" s="59">
        <v>0</v>
      </c>
      <c r="AI253" s="61">
        <v>0</v>
      </c>
      <c r="AJ253" s="59">
        <v>0.01</v>
      </c>
      <c r="AK253" s="124">
        <v>20068</v>
      </c>
      <c r="AL253" s="59">
        <v>2</v>
      </c>
      <c r="AM253" s="41">
        <f>INDEX(Sheet5!$B$19:$G$33,MATCH(Sheet1!AQ253,Sheet5!$A$19:$A$33,0),MATCH(J253,Sheet5!$B$18:$G$18,0))</f>
        <v>3000</v>
      </c>
      <c r="AN253" s="59" t="s">
        <v>48</v>
      </c>
      <c r="AO253" s="59" t="s">
        <v>741</v>
      </c>
      <c r="AP253" s="80">
        <v>20497</v>
      </c>
      <c r="AQ253" s="13">
        <v>100</v>
      </c>
    </row>
    <row r="254" spans="1:43" ht="16.5">
      <c r="A254" s="80">
        <v>2333</v>
      </c>
      <c r="B254" s="59" t="s">
        <v>1905</v>
      </c>
      <c r="C254" s="59" t="s">
        <v>166</v>
      </c>
      <c r="D254" s="59" t="s">
        <v>120</v>
      </c>
      <c r="E254" s="60">
        <v>11021</v>
      </c>
      <c r="F254" s="59">
        <v>5000</v>
      </c>
      <c r="G254" s="59">
        <v>300</v>
      </c>
      <c r="H254" s="59">
        <v>50</v>
      </c>
      <c r="I254" s="59" t="s">
        <v>718</v>
      </c>
      <c r="J254" s="59">
        <v>3</v>
      </c>
      <c r="K254" s="59">
        <v>10</v>
      </c>
      <c r="L254" s="59">
        <v>30</v>
      </c>
      <c r="M254" s="59">
        <v>0</v>
      </c>
      <c r="N254" s="59">
        <v>0</v>
      </c>
      <c r="O254">
        <v>1760</v>
      </c>
      <c r="P254" s="59">
        <v>0</v>
      </c>
      <c r="Q254" s="59">
        <v>0</v>
      </c>
      <c r="R254" s="59">
        <v>0</v>
      </c>
      <c r="S254" s="59">
        <v>0</v>
      </c>
      <c r="T254" s="59">
        <v>0</v>
      </c>
      <c r="U254" s="59">
        <v>0</v>
      </c>
      <c r="V254" s="59">
        <v>0</v>
      </c>
      <c r="W254" s="59">
        <v>5</v>
      </c>
      <c r="X254" s="59">
        <v>0</v>
      </c>
      <c r="Y254" s="59">
        <v>0</v>
      </c>
      <c r="Z254" s="59">
        <v>0</v>
      </c>
      <c r="AA254" s="59">
        <v>0</v>
      </c>
      <c r="AB254" s="59">
        <v>0</v>
      </c>
      <c r="AC254" s="59">
        <v>0</v>
      </c>
      <c r="AD254" s="59">
        <v>0</v>
      </c>
      <c r="AE254" s="59">
        <v>20</v>
      </c>
      <c r="AF254" s="59">
        <v>0</v>
      </c>
      <c r="AG254" s="59">
        <v>0</v>
      </c>
      <c r="AH254" s="59">
        <v>0</v>
      </c>
      <c r="AI254" s="61">
        <v>0</v>
      </c>
      <c r="AJ254" s="59">
        <v>0.01</v>
      </c>
      <c r="AK254" s="124">
        <v>20069</v>
      </c>
      <c r="AL254" s="59">
        <v>2</v>
      </c>
      <c r="AM254" s="41">
        <f>INDEX(Sheet5!$B$19:$G$33,MATCH(Sheet1!AQ254,Sheet5!$A$19:$A$33,0),MATCH(J254,Sheet5!$B$18:$G$18,0))</f>
        <v>3300</v>
      </c>
      <c r="AN254" s="59" t="s">
        <v>48</v>
      </c>
      <c r="AO254" s="59" t="s">
        <v>741</v>
      </c>
      <c r="AP254" s="80">
        <v>20498</v>
      </c>
      <c r="AQ254" s="13">
        <v>110</v>
      </c>
    </row>
    <row r="255" spans="1:43" ht="16.5">
      <c r="A255" s="80">
        <v>2334</v>
      </c>
      <c r="B255" s="59" t="s">
        <v>1906</v>
      </c>
      <c r="C255" s="59" t="s">
        <v>166</v>
      </c>
      <c r="D255" s="59" t="s">
        <v>120</v>
      </c>
      <c r="E255" s="60">
        <v>11021</v>
      </c>
      <c r="F255" s="59">
        <v>5000</v>
      </c>
      <c r="G255" s="59">
        <v>300</v>
      </c>
      <c r="H255" s="59">
        <v>50</v>
      </c>
      <c r="I255" s="59" t="s">
        <v>718</v>
      </c>
      <c r="J255" s="59">
        <v>3</v>
      </c>
      <c r="K255" s="59">
        <v>10</v>
      </c>
      <c r="L255" s="59">
        <v>30</v>
      </c>
      <c r="M255" s="59">
        <v>0</v>
      </c>
      <c r="N255" s="59">
        <v>0</v>
      </c>
      <c r="O255">
        <v>1920</v>
      </c>
      <c r="P255" s="59">
        <v>0</v>
      </c>
      <c r="Q255" s="59">
        <v>0</v>
      </c>
      <c r="R255" s="59">
        <v>0</v>
      </c>
      <c r="S255" s="59">
        <v>0</v>
      </c>
      <c r="T255" s="59">
        <v>0</v>
      </c>
      <c r="U255" s="59">
        <v>0</v>
      </c>
      <c r="V255" s="59">
        <v>0</v>
      </c>
      <c r="W255" s="59">
        <v>5</v>
      </c>
      <c r="X255" s="59">
        <v>0</v>
      </c>
      <c r="Y255" s="59">
        <v>0</v>
      </c>
      <c r="Z255" s="59">
        <v>0</v>
      </c>
      <c r="AA255" s="59">
        <v>0</v>
      </c>
      <c r="AB255" s="59">
        <v>0</v>
      </c>
      <c r="AC255" s="59">
        <v>0</v>
      </c>
      <c r="AD255" s="59">
        <v>0</v>
      </c>
      <c r="AE255" s="59">
        <v>20</v>
      </c>
      <c r="AF255" s="59">
        <v>0</v>
      </c>
      <c r="AG255" s="59">
        <v>0</v>
      </c>
      <c r="AH255" s="59">
        <v>0</v>
      </c>
      <c r="AI255" s="61">
        <v>0</v>
      </c>
      <c r="AJ255" s="59">
        <v>0.01</v>
      </c>
      <c r="AK255" s="124">
        <v>20070</v>
      </c>
      <c r="AL255" s="59">
        <v>2</v>
      </c>
      <c r="AM255" s="41">
        <f>INDEX(Sheet5!$B$19:$G$33,MATCH(Sheet1!AQ255,Sheet5!$A$19:$A$33,0),MATCH(J255,Sheet5!$B$18:$G$18,0))</f>
        <v>3600</v>
      </c>
      <c r="AN255" s="59" t="s">
        <v>48</v>
      </c>
      <c r="AO255" s="59" t="s">
        <v>741</v>
      </c>
      <c r="AP255" s="80">
        <v>20499</v>
      </c>
      <c r="AQ255" s="13">
        <v>120</v>
      </c>
    </row>
    <row r="256" spans="1:43" ht="16.5">
      <c r="A256" s="80">
        <v>2335</v>
      </c>
      <c r="B256" s="59" t="s">
        <v>1907</v>
      </c>
      <c r="C256" s="59" t="s">
        <v>166</v>
      </c>
      <c r="D256" s="59" t="s">
        <v>120</v>
      </c>
      <c r="E256" s="60">
        <v>11021</v>
      </c>
      <c r="F256" s="59">
        <v>5000</v>
      </c>
      <c r="G256" s="59">
        <v>300</v>
      </c>
      <c r="H256" s="59">
        <v>50</v>
      </c>
      <c r="I256" s="59" t="s">
        <v>718</v>
      </c>
      <c r="J256" s="59">
        <v>3</v>
      </c>
      <c r="K256" s="59">
        <v>10</v>
      </c>
      <c r="L256" s="59">
        <v>30</v>
      </c>
      <c r="M256" s="59">
        <v>0</v>
      </c>
      <c r="N256" s="59">
        <v>0</v>
      </c>
      <c r="O256">
        <v>2080</v>
      </c>
      <c r="P256" s="59">
        <v>0</v>
      </c>
      <c r="Q256" s="59">
        <v>0</v>
      </c>
      <c r="R256" s="59">
        <v>0</v>
      </c>
      <c r="S256" s="59">
        <v>0</v>
      </c>
      <c r="T256" s="59">
        <v>0</v>
      </c>
      <c r="U256" s="59">
        <v>0</v>
      </c>
      <c r="V256" s="59">
        <v>0</v>
      </c>
      <c r="W256" s="59">
        <v>5</v>
      </c>
      <c r="X256" s="59">
        <v>0</v>
      </c>
      <c r="Y256" s="59">
        <v>0</v>
      </c>
      <c r="Z256" s="59">
        <v>0</v>
      </c>
      <c r="AA256" s="59">
        <v>0</v>
      </c>
      <c r="AB256" s="59">
        <v>0</v>
      </c>
      <c r="AC256" s="59">
        <v>0</v>
      </c>
      <c r="AD256" s="59">
        <v>0</v>
      </c>
      <c r="AE256" s="59">
        <v>20</v>
      </c>
      <c r="AF256" s="59">
        <v>0</v>
      </c>
      <c r="AG256" s="59">
        <v>0</v>
      </c>
      <c r="AH256" s="59">
        <v>0</v>
      </c>
      <c r="AI256" s="61">
        <v>0</v>
      </c>
      <c r="AJ256" s="59">
        <v>0.01</v>
      </c>
      <c r="AK256" s="124">
        <v>20071</v>
      </c>
      <c r="AL256" s="59">
        <v>2</v>
      </c>
      <c r="AM256" s="41">
        <f>INDEX(Sheet5!$B$19:$G$33,MATCH(Sheet1!AQ256,Sheet5!$A$19:$A$33,0),MATCH(J256,Sheet5!$B$18:$G$18,0))</f>
        <v>3900</v>
      </c>
      <c r="AN256" s="59" t="s">
        <v>48</v>
      </c>
      <c r="AO256" s="59" t="s">
        <v>741</v>
      </c>
      <c r="AP256" s="80">
        <v>20500</v>
      </c>
      <c r="AQ256" s="13">
        <v>130</v>
      </c>
    </row>
    <row r="257" spans="1:43" ht="16.5">
      <c r="A257" s="80">
        <v>2336</v>
      </c>
      <c r="B257" s="59" t="s">
        <v>1908</v>
      </c>
      <c r="C257" s="59" t="s">
        <v>166</v>
      </c>
      <c r="D257" s="59" t="s">
        <v>120</v>
      </c>
      <c r="E257" s="60">
        <v>11021</v>
      </c>
      <c r="F257" s="59">
        <v>5000</v>
      </c>
      <c r="G257" s="59">
        <v>300</v>
      </c>
      <c r="H257" s="59">
        <v>50</v>
      </c>
      <c r="I257" s="59" t="s">
        <v>718</v>
      </c>
      <c r="J257" s="59">
        <v>3</v>
      </c>
      <c r="K257" s="59">
        <v>10</v>
      </c>
      <c r="L257" s="59">
        <v>30</v>
      </c>
      <c r="M257" s="59">
        <v>0</v>
      </c>
      <c r="N257" s="59">
        <v>0</v>
      </c>
      <c r="O257">
        <v>2240</v>
      </c>
      <c r="P257" s="59">
        <v>0</v>
      </c>
      <c r="Q257" s="59">
        <v>0</v>
      </c>
      <c r="R257" s="59">
        <v>0</v>
      </c>
      <c r="S257" s="59">
        <v>0</v>
      </c>
      <c r="T257" s="59">
        <v>0</v>
      </c>
      <c r="U257" s="59">
        <v>0</v>
      </c>
      <c r="V257" s="59">
        <v>0</v>
      </c>
      <c r="W257" s="59">
        <v>5</v>
      </c>
      <c r="X257" s="59">
        <v>0</v>
      </c>
      <c r="Y257" s="59">
        <v>0</v>
      </c>
      <c r="Z257" s="59">
        <v>0</v>
      </c>
      <c r="AA257" s="59">
        <v>0</v>
      </c>
      <c r="AB257" s="59">
        <v>0</v>
      </c>
      <c r="AC257" s="59">
        <v>0</v>
      </c>
      <c r="AD257" s="59">
        <v>0</v>
      </c>
      <c r="AE257" s="59">
        <v>20</v>
      </c>
      <c r="AF257" s="59">
        <v>0</v>
      </c>
      <c r="AG257" s="59">
        <v>0</v>
      </c>
      <c r="AH257" s="59">
        <v>0</v>
      </c>
      <c r="AI257" s="61">
        <v>0</v>
      </c>
      <c r="AJ257" s="59">
        <v>0.01</v>
      </c>
      <c r="AK257" s="124">
        <v>20072</v>
      </c>
      <c r="AL257" s="59">
        <v>2</v>
      </c>
      <c r="AM257" s="41">
        <f>INDEX(Sheet5!$B$19:$G$33,MATCH(Sheet1!AQ257,Sheet5!$A$19:$A$33,0),MATCH(J257,Sheet5!$B$18:$G$18,0))</f>
        <v>4200</v>
      </c>
      <c r="AN257" s="59" t="s">
        <v>48</v>
      </c>
      <c r="AO257" s="59" t="s">
        <v>741</v>
      </c>
      <c r="AP257" s="80">
        <v>205011</v>
      </c>
      <c r="AQ257" s="13">
        <v>140</v>
      </c>
    </row>
    <row r="258" spans="1:43" ht="16.5">
      <c r="A258" s="80">
        <v>2337</v>
      </c>
      <c r="B258" s="59" t="s">
        <v>1909</v>
      </c>
      <c r="C258" s="59" t="s">
        <v>166</v>
      </c>
      <c r="D258" s="59" t="s">
        <v>120</v>
      </c>
      <c r="E258" s="60">
        <v>11021</v>
      </c>
      <c r="F258" s="59">
        <v>5000</v>
      </c>
      <c r="G258" s="59">
        <v>300</v>
      </c>
      <c r="H258" s="59">
        <v>50</v>
      </c>
      <c r="I258" s="59" t="s">
        <v>718</v>
      </c>
      <c r="J258" s="59">
        <v>3</v>
      </c>
      <c r="K258" s="59">
        <v>10</v>
      </c>
      <c r="L258" s="59">
        <v>30</v>
      </c>
      <c r="M258" s="59">
        <v>0</v>
      </c>
      <c r="N258" s="59">
        <v>0</v>
      </c>
      <c r="O258">
        <v>2400</v>
      </c>
      <c r="P258" s="59">
        <v>0</v>
      </c>
      <c r="Q258" s="59">
        <v>0</v>
      </c>
      <c r="R258" s="59">
        <v>0</v>
      </c>
      <c r="S258" s="59">
        <v>0</v>
      </c>
      <c r="T258" s="59">
        <v>0</v>
      </c>
      <c r="U258" s="59">
        <v>0</v>
      </c>
      <c r="V258" s="59">
        <v>0</v>
      </c>
      <c r="W258" s="59">
        <v>5</v>
      </c>
      <c r="X258" s="59">
        <v>0</v>
      </c>
      <c r="Y258" s="59">
        <v>0</v>
      </c>
      <c r="Z258" s="59">
        <v>0</v>
      </c>
      <c r="AA258" s="59">
        <v>0</v>
      </c>
      <c r="AB258" s="59">
        <v>0</v>
      </c>
      <c r="AC258" s="59">
        <v>0</v>
      </c>
      <c r="AD258" s="59">
        <v>0</v>
      </c>
      <c r="AE258" s="59">
        <v>20</v>
      </c>
      <c r="AF258" s="59">
        <v>0</v>
      </c>
      <c r="AG258" s="59">
        <v>0</v>
      </c>
      <c r="AH258" s="59">
        <v>0</v>
      </c>
      <c r="AI258" s="61">
        <v>0</v>
      </c>
      <c r="AJ258" s="59">
        <v>0.01</v>
      </c>
      <c r="AK258" s="124">
        <v>20073</v>
      </c>
      <c r="AL258" s="59">
        <v>2</v>
      </c>
      <c r="AM258" s="41">
        <f>INDEX(Sheet5!$B$19:$G$33,MATCH(Sheet1!AQ258,Sheet5!$A$19:$A$33,0),MATCH(J258,Sheet5!$B$18:$G$18,0))</f>
        <v>4500</v>
      </c>
      <c r="AN258" s="59" t="s">
        <v>48</v>
      </c>
      <c r="AO258" s="59" t="s">
        <v>741</v>
      </c>
      <c r="AP258" s="80">
        <v>205012</v>
      </c>
      <c r="AQ258" s="13">
        <v>150</v>
      </c>
    </row>
    <row r="259" spans="1:43" ht="16.5">
      <c r="A259" s="80">
        <v>2338</v>
      </c>
      <c r="B259" s="59" t="s">
        <v>1910</v>
      </c>
      <c r="C259" s="59" t="s">
        <v>166</v>
      </c>
      <c r="D259" s="59" t="s">
        <v>121</v>
      </c>
      <c r="E259" s="60">
        <v>11022</v>
      </c>
      <c r="F259" s="59">
        <v>5000</v>
      </c>
      <c r="G259" s="59">
        <v>300</v>
      </c>
      <c r="H259" s="59">
        <v>50</v>
      </c>
      <c r="I259" s="59" t="s">
        <v>719</v>
      </c>
      <c r="J259" s="59">
        <v>3</v>
      </c>
      <c r="K259" s="59">
        <v>10</v>
      </c>
      <c r="L259" s="59">
        <v>30</v>
      </c>
      <c r="M259" s="59">
        <v>0</v>
      </c>
      <c r="N259">
        <v>320</v>
      </c>
      <c r="O259" s="59">
        <v>0</v>
      </c>
      <c r="P259" s="59">
        <v>0</v>
      </c>
      <c r="Q259" s="59">
        <v>0</v>
      </c>
      <c r="R259" s="59">
        <v>0</v>
      </c>
      <c r="S259" s="59">
        <v>0</v>
      </c>
      <c r="T259" s="59">
        <v>0</v>
      </c>
      <c r="U259" s="59">
        <v>0</v>
      </c>
      <c r="V259" s="59">
        <v>10</v>
      </c>
      <c r="W259" s="59">
        <v>0</v>
      </c>
      <c r="X259" s="59">
        <v>0</v>
      </c>
      <c r="Y259" s="59">
        <v>0</v>
      </c>
      <c r="Z259" s="59">
        <v>0</v>
      </c>
      <c r="AA259" s="59">
        <v>0</v>
      </c>
      <c r="AB259" s="59">
        <v>0</v>
      </c>
      <c r="AC259" s="59">
        <v>0</v>
      </c>
      <c r="AD259" s="59">
        <v>40</v>
      </c>
      <c r="AE259" s="59">
        <v>0</v>
      </c>
      <c r="AF259" s="59">
        <v>0</v>
      </c>
      <c r="AG259" s="61">
        <v>0</v>
      </c>
      <c r="AH259" s="59">
        <v>0</v>
      </c>
      <c r="AI259" s="59">
        <v>0.01</v>
      </c>
      <c r="AJ259" s="59">
        <v>0</v>
      </c>
      <c r="AK259" s="125">
        <v>20059</v>
      </c>
      <c r="AL259" s="59">
        <v>1</v>
      </c>
      <c r="AM259" s="41">
        <f>INDEX(Sheet5!$B$19:$G$33,MATCH(Sheet1!AQ259,Sheet5!$A$19:$A$33,0),MATCH(J259,Sheet5!$B$18:$G$18,0))</f>
        <v>300</v>
      </c>
      <c r="AN259" s="59" t="s">
        <v>48</v>
      </c>
      <c r="AO259" s="59" t="s">
        <v>742</v>
      </c>
      <c r="AP259" s="80">
        <v>501</v>
      </c>
      <c r="AQ259" s="13">
        <v>10</v>
      </c>
    </row>
    <row r="260" spans="1:43" ht="16.5">
      <c r="A260" s="80">
        <v>2339</v>
      </c>
      <c r="B260" s="59" t="s">
        <v>1911</v>
      </c>
      <c r="C260" s="59" t="s">
        <v>166</v>
      </c>
      <c r="D260" s="59" t="s">
        <v>121</v>
      </c>
      <c r="E260" s="60">
        <v>11022</v>
      </c>
      <c r="F260" s="59">
        <v>5000</v>
      </c>
      <c r="G260" s="59">
        <v>300</v>
      </c>
      <c r="H260" s="59">
        <v>50</v>
      </c>
      <c r="I260" s="59" t="s">
        <v>719</v>
      </c>
      <c r="J260" s="59">
        <v>3</v>
      </c>
      <c r="K260" s="59">
        <v>10</v>
      </c>
      <c r="L260" s="59">
        <v>30</v>
      </c>
      <c r="M260" s="59">
        <v>0</v>
      </c>
      <c r="N260">
        <v>640</v>
      </c>
      <c r="O260" s="59">
        <v>0</v>
      </c>
      <c r="P260" s="59">
        <v>0</v>
      </c>
      <c r="Q260" s="59">
        <v>0</v>
      </c>
      <c r="R260" s="59">
        <v>0</v>
      </c>
      <c r="S260" s="59">
        <v>0</v>
      </c>
      <c r="T260" s="59">
        <v>0</v>
      </c>
      <c r="U260" s="59">
        <v>0</v>
      </c>
      <c r="V260" s="59">
        <v>10</v>
      </c>
      <c r="W260" s="59">
        <v>0</v>
      </c>
      <c r="X260" s="59">
        <v>0</v>
      </c>
      <c r="Y260" s="59">
        <v>0</v>
      </c>
      <c r="Z260" s="59">
        <v>0</v>
      </c>
      <c r="AA260" s="59">
        <v>0</v>
      </c>
      <c r="AB260" s="59">
        <v>0</v>
      </c>
      <c r="AC260" s="59">
        <v>0</v>
      </c>
      <c r="AD260" s="59">
        <v>40</v>
      </c>
      <c r="AE260" s="59">
        <v>0</v>
      </c>
      <c r="AF260" s="59">
        <v>0</v>
      </c>
      <c r="AG260" s="61">
        <v>0</v>
      </c>
      <c r="AH260" s="59">
        <v>0</v>
      </c>
      <c r="AI260" s="59">
        <v>0.01</v>
      </c>
      <c r="AJ260" s="59">
        <v>0</v>
      </c>
      <c r="AK260" s="125">
        <v>20060</v>
      </c>
      <c r="AL260" s="59">
        <v>1</v>
      </c>
      <c r="AM260" s="41">
        <f>INDEX(Sheet5!$B$19:$G$33,MATCH(Sheet1!AQ260,Sheet5!$A$19:$A$33,0),MATCH(J260,Sheet5!$B$18:$G$18,0))</f>
        <v>600</v>
      </c>
      <c r="AN260" s="59" t="s">
        <v>48</v>
      </c>
      <c r="AO260" s="59" t="s">
        <v>742</v>
      </c>
      <c r="AP260" s="80">
        <v>502</v>
      </c>
      <c r="AQ260" s="13">
        <v>20</v>
      </c>
    </row>
    <row r="261" spans="1:43" s="87" customFormat="1" ht="16.5">
      <c r="A261" s="94">
        <v>2050</v>
      </c>
      <c r="B261" s="94" t="s">
        <v>1912</v>
      </c>
      <c r="C261" s="94" t="s">
        <v>166</v>
      </c>
      <c r="D261" s="94" t="s">
        <v>121</v>
      </c>
      <c r="E261" s="95">
        <v>11022</v>
      </c>
      <c r="F261" s="94">
        <v>5000</v>
      </c>
      <c r="G261" s="94">
        <v>300</v>
      </c>
      <c r="H261" s="94">
        <v>50</v>
      </c>
      <c r="I261" s="94" t="s">
        <v>719</v>
      </c>
      <c r="J261" s="94">
        <v>3</v>
      </c>
      <c r="K261" s="94">
        <v>10</v>
      </c>
      <c r="L261" s="94">
        <v>30</v>
      </c>
      <c r="M261" s="94">
        <v>0</v>
      </c>
      <c r="N261">
        <v>960</v>
      </c>
      <c r="O261" s="94">
        <v>0</v>
      </c>
      <c r="P261" s="94">
        <v>0</v>
      </c>
      <c r="Q261" s="94">
        <v>0</v>
      </c>
      <c r="R261" s="94">
        <v>0</v>
      </c>
      <c r="S261" s="94">
        <v>0</v>
      </c>
      <c r="T261" s="94">
        <v>0</v>
      </c>
      <c r="U261" s="94">
        <v>0</v>
      </c>
      <c r="V261" s="94">
        <v>10</v>
      </c>
      <c r="W261" s="94">
        <v>0</v>
      </c>
      <c r="X261" s="94">
        <v>0</v>
      </c>
      <c r="Y261" s="94">
        <v>0</v>
      </c>
      <c r="Z261" s="94">
        <v>0</v>
      </c>
      <c r="AA261" s="94">
        <v>0</v>
      </c>
      <c r="AB261" s="94">
        <v>0</v>
      </c>
      <c r="AC261" s="94">
        <v>0</v>
      </c>
      <c r="AD261" s="94">
        <v>40</v>
      </c>
      <c r="AE261" s="94">
        <v>0</v>
      </c>
      <c r="AF261" s="94">
        <v>0</v>
      </c>
      <c r="AG261" s="96">
        <v>0</v>
      </c>
      <c r="AH261" s="94">
        <v>0</v>
      </c>
      <c r="AI261" s="94">
        <v>0.01</v>
      </c>
      <c r="AJ261" s="94">
        <v>0</v>
      </c>
      <c r="AK261" s="125">
        <v>20061</v>
      </c>
      <c r="AL261" s="94">
        <v>1</v>
      </c>
      <c r="AM261" s="41">
        <f>INDEX(Sheet5!$B$19:$G$33,MATCH(Sheet1!AQ261,Sheet5!$A$19:$A$33,0),MATCH(J261,Sheet5!$B$18:$G$18,0))</f>
        <v>900</v>
      </c>
      <c r="AN261" s="94" t="s">
        <v>1488</v>
      </c>
      <c r="AO261" s="94" t="s">
        <v>742</v>
      </c>
      <c r="AP261" s="94">
        <v>2050</v>
      </c>
      <c r="AQ261" s="13">
        <v>30</v>
      </c>
    </row>
    <row r="262" spans="1:43" ht="16.5">
      <c r="A262" s="59">
        <v>2340</v>
      </c>
      <c r="B262" s="59" t="s">
        <v>1913</v>
      </c>
      <c r="C262" s="59" t="s">
        <v>166</v>
      </c>
      <c r="D262" s="59" t="s">
        <v>121</v>
      </c>
      <c r="E262" s="60">
        <v>11022</v>
      </c>
      <c r="F262" s="59">
        <v>5000</v>
      </c>
      <c r="G262" s="59">
        <v>300</v>
      </c>
      <c r="H262" s="59">
        <v>50</v>
      </c>
      <c r="I262" s="59" t="s">
        <v>719</v>
      </c>
      <c r="J262" s="59">
        <v>3</v>
      </c>
      <c r="K262" s="59">
        <v>10</v>
      </c>
      <c r="L262" s="59">
        <v>30</v>
      </c>
      <c r="M262" s="59">
        <v>0</v>
      </c>
      <c r="N262">
        <v>1280</v>
      </c>
      <c r="O262" s="59">
        <v>0</v>
      </c>
      <c r="P262" s="59">
        <v>0</v>
      </c>
      <c r="Q262" s="59">
        <v>0</v>
      </c>
      <c r="R262" s="59">
        <v>0</v>
      </c>
      <c r="S262" s="59">
        <v>0</v>
      </c>
      <c r="T262" s="59">
        <v>0</v>
      </c>
      <c r="U262" s="59">
        <v>0</v>
      </c>
      <c r="V262" s="59">
        <v>10</v>
      </c>
      <c r="W262" s="59">
        <v>0</v>
      </c>
      <c r="X262" s="59">
        <v>0</v>
      </c>
      <c r="Y262" s="59">
        <v>0</v>
      </c>
      <c r="Z262" s="59">
        <v>0</v>
      </c>
      <c r="AA262" s="59">
        <v>0</v>
      </c>
      <c r="AB262" s="59">
        <v>0</v>
      </c>
      <c r="AC262" s="59">
        <v>0</v>
      </c>
      <c r="AD262" s="59">
        <v>40</v>
      </c>
      <c r="AE262" s="59">
        <v>0</v>
      </c>
      <c r="AF262" s="59">
        <v>0</v>
      </c>
      <c r="AG262" s="61">
        <v>0</v>
      </c>
      <c r="AH262" s="59">
        <v>0</v>
      </c>
      <c r="AI262" s="59">
        <v>0.01</v>
      </c>
      <c r="AJ262" s="59">
        <v>0</v>
      </c>
      <c r="AK262" s="125">
        <v>20062</v>
      </c>
      <c r="AL262" s="59">
        <v>1</v>
      </c>
      <c r="AM262" s="41">
        <f>INDEX(Sheet5!$B$19:$G$33,MATCH(Sheet1!AQ262,Sheet5!$A$19:$A$33,0),MATCH(J262,Sheet5!$B$18:$G$18,0))</f>
        <v>1200</v>
      </c>
      <c r="AN262" s="59" t="s">
        <v>48</v>
      </c>
      <c r="AO262" s="59" t="s">
        <v>742</v>
      </c>
      <c r="AP262" s="80">
        <v>20501</v>
      </c>
      <c r="AQ262" s="13">
        <v>40</v>
      </c>
    </row>
    <row r="263" spans="1:43" ht="16.5">
      <c r="A263" s="59">
        <v>2341</v>
      </c>
      <c r="B263" s="59" t="s">
        <v>1914</v>
      </c>
      <c r="C263" s="59" t="s">
        <v>166</v>
      </c>
      <c r="D263" s="59" t="s">
        <v>121</v>
      </c>
      <c r="E263" s="60">
        <v>11022</v>
      </c>
      <c r="F263" s="59">
        <v>5000</v>
      </c>
      <c r="G263" s="59">
        <v>300</v>
      </c>
      <c r="H263" s="59">
        <v>50</v>
      </c>
      <c r="I263" s="59" t="s">
        <v>719</v>
      </c>
      <c r="J263" s="59">
        <v>3</v>
      </c>
      <c r="K263" s="59">
        <v>10</v>
      </c>
      <c r="L263" s="59">
        <v>30</v>
      </c>
      <c r="M263" s="59">
        <v>0</v>
      </c>
      <c r="N263">
        <v>1600</v>
      </c>
      <c r="O263" s="59">
        <v>0</v>
      </c>
      <c r="P263" s="59">
        <v>0</v>
      </c>
      <c r="Q263" s="59">
        <v>0</v>
      </c>
      <c r="R263" s="59">
        <v>0</v>
      </c>
      <c r="S263" s="59">
        <v>0</v>
      </c>
      <c r="T263" s="59">
        <v>0</v>
      </c>
      <c r="U263" s="59">
        <v>0</v>
      </c>
      <c r="V263" s="59">
        <v>10</v>
      </c>
      <c r="W263" s="59">
        <v>0</v>
      </c>
      <c r="X263" s="59">
        <v>0</v>
      </c>
      <c r="Y263" s="59">
        <v>0</v>
      </c>
      <c r="Z263" s="59">
        <v>0</v>
      </c>
      <c r="AA263" s="59">
        <v>0</v>
      </c>
      <c r="AB263" s="59">
        <v>0</v>
      </c>
      <c r="AC263" s="59">
        <v>0</v>
      </c>
      <c r="AD263" s="59">
        <v>40</v>
      </c>
      <c r="AE263" s="59">
        <v>0</v>
      </c>
      <c r="AF263" s="59">
        <v>0</v>
      </c>
      <c r="AG263" s="61">
        <v>0</v>
      </c>
      <c r="AH263" s="59">
        <v>0</v>
      </c>
      <c r="AI263" s="59">
        <v>0.01</v>
      </c>
      <c r="AJ263" s="59">
        <v>0</v>
      </c>
      <c r="AK263" s="125">
        <v>20063</v>
      </c>
      <c r="AL263" s="59">
        <v>1</v>
      </c>
      <c r="AM263" s="41">
        <f>INDEX(Sheet5!$B$19:$G$33,MATCH(Sheet1!AQ263,Sheet5!$A$19:$A$33,0),MATCH(J263,Sheet5!$B$18:$G$18,0))</f>
        <v>1500</v>
      </c>
      <c r="AN263" s="59" t="s">
        <v>48</v>
      </c>
      <c r="AO263" s="59" t="s">
        <v>742</v>
      </c>
      <c r="AP263" s="80">
        <v>20502</v>
      </c>
      <c r="AQ263" s="13">
        <v>50</v>
      </c>
    </row>
    <row r="264" spans="1:43" ht="16.5">
      <c r="A264" s="80">
        <v>2342</v>
      </c>
      <c r="B264" s="59" t="s">
        <v>1915</v>
      </c>
      <c r="C264" s="59" t="s">
        <v>166</v>
      </c>
      <c r="D264" s="59" t="s">
        <v>121</v>
      </c>
      <c r="E264" s="60">
        <v>11022</v>
      </c>
      <c r="F264" s="59">
        <v>5000</v>
      </c>
      <c r="G264" s="59">
        <v>300</v>
      </c>
      <c r="H264" s="59">
        <v>50</v>
      </c>
      <c r="I264" s="59" t="s">
        <v>719</v>
      </c>
      <c r="J264" s="59">
        <v>3</v>
      </c>
      <c r="K264" s="59">
        <v>10</v>
      </c>
      <c r="L264" s="59">
        <v>30</v>
      </c>
      <c r="M264" s="59">
        <v>0</v>
      </c>
      <c r="N264">
        <v>1920</v>
      </c>
      <c r="O264" s="59">
        <v>0</v>
      </c>
      <c r="P264" s="59">
        <v>0</v>
      </c>
      <c r="Q264" s="59">
        <v>0</v>
      </c>
      <c r="R264" s="59">
        <v>0</v>
      </c>
      <c r="S264" s="59">
        <v>0</v>
      </c>
      <c r="T264" s="59">
        <v>0</v>
      </c>
      <c r="U264" s="59">
        <v>0</v>
      </c>
      <c r="V264" s="59">
        <v>10</v>
      </c>
      <c r="W264" s="59">
        <v>0</v>
      </c>
      <c r="X264" s="59">
        <v>0</v>
      </c>
      <c r="Y264" s="59">
        <v>0</v>
      </c>
      <c r="Z264" s="59">
        <v>0</v>
      </c>
      <c r="AA264" s="59">
        <v>0</v>
      </c>
      <c r="AB264" s="59">
        <v>0</v>
      </c>
      <c r="AC264" s="59">
        <v>0</v>
      </c>
      <c r="AD264" s="59">
        <v>40</v>
      </c>
      <c r="AE264" s="59">
        <v>0</v>
      </c>
      <c r="AF264" s="59">
        <v>0</v>
      </c>
      <c r="AG264" s="61">
        <v>0</v>
      </c>
      <c r="AH264" s="59">
        <v>0</v>
      </c>
      <c r="AI264" s="59">
        <v>0.01</v>
      </c>
      <c r="AJ264" s="59">
        <v>0</v>
      </c>
      <c r="AK264" s="125">
        <v>20064</v>
      </c>
      <c r="AL264" s="59">
        <v>1</v>
      </c>
      <c r="AM264" s="41">
        <f>INDEX(Sheet5!$B$19:$G$33,MATCH(Sheet1!AQ264,Sheet5!$A$19:$A$33,0),MATCH(J264,Sheet5!$B$18:$G$18,0))</f>
        <v>1800</v>
      </c>
      <c r="AN264" s="59" t="s">
        <v>48</v>
      </c>
      <c r="AO264" s="59" t="s">
        <v>742</v>
      </c>
      <c r="AP264" s="80">
        <v>20503</v>
      </c>
      <c r="AQ264" s="13">
        <v>60</v>
      </c>
    </row>
    <row r="265" spans="1:43" ht="16.5">
      <c r="A265" s="80">
        <v>2343</v>
      </c>
      <c r="B265" s="59" t="s">
        <v>1916</v>
      </c>
      <c r="C265" s="59" t="s">
        <v>166</v>
      </c>
      <c r="D265" s="59" t="s">
        <v>121</v>
      </c>
      <c r="E265" s="60">
        <v>11022</v>
      </c>
      <c r="F265" s="59">
        <v>5000</v>
      </c>
      <c r="G265" s="59">
        <v>300</v>
      </c>
      <c r="H265" s="59">
        <v>50</v>
      </c>
      <c r="I265" s="59" t="s">
        <v>719</v>
      </c>
      <c r="J265" s="59">
        <v>3</v>
      </c>
      <c r="K265" s="59">
        <v>10</v>
      </c>
      <c r="L265" s="59">
        <v>30</v>
      </c>
      <c r="M265" s="59">
        <v>0</v>
      </c>
      <c r="N265">
        <v>2240</v>
      </c>
      <c r="O265" s="59">
        <v>0</v>
      </c>
      <c r="P265" s="59">
        <v>0</v>
      </c>
      <c r="Q265" s="59">
        <v>0</v>
      </c>
      <c r="R265" s="59">
        <v>0</v>
      </c>
      <c r="S265" s="59">
        <v>0</v>
      </c>
      <c r="T265" s="59">
        <v>0</v>
      </c>
      <c r="U265" s="59">
        <v>0</v>
      </c>
      <c r="V265" s="59">
        <v>10</v>
      </c>
      <c r="W265" s="59">
        <v>0</v>
      </c>
      <c r="X265" s="59">
        <v>0</v>
      </c>
      <c r="Y265" s="59">
        <v>0</v>
      </c>
      <c r="Z265" s="59">
        <v>0</v>
      </c>
      <c r="AA265" s="59">
        <v>0</v>
      </c>
      <c r="AB265" s="59">
        <v>0</v>
      </c>
      <c r="AC265" s="59">
        <v>0</v>
      </c>
      <c r="AD265" s="59">
        <v>40</v>
      </c>
      <c r="AE265" s="59">
        <v>0</v>
      </c>
      <c r="AF265" s="59">
        <v>0</v>
      </c>
      <c r="AG265" s="61">
        <v>0</v>
      </c>
      <c r="AH265" s="59">
        <v>0</v>
      </c>
      <c r="AI265" s="59">
        <v>0.01</v>
      </c>
      <c r="AJ265" s="59">
        <v>0</v>
      </c>
      <c r="AK265" s="125">
        <v>20065</v>
      </c>
      <c r="AL265" s="59">
        <v>1</v>
      </c>
      <c r="AM265" s="41">
        <f>INDEX(Sheet5!$B$19:$G$33,MATCH(Sheet1!AQ265,Sheet5!$A$19:$A$33,0),MATCH(J265,Sheet5!$B$18:$G$18,0))</f>
        <v>2100</v>
      </c>
      <c r="AN265" s="59" t="s">
        <v>48</v>
      </c>
      <c r="AO265" s="59" t="s">
        <v>742</v>
      </c>
      <c r="AP265" s="80">
        <v>20504</v>
      </c>
      <c r="AQ265" s="13">
        <v>70</v>
      </c>
    </row>
    <row r="266" spans="1:43" ht="16.5">
      <c r="A266" s="80">
        <v>2344</v>
      </c>
      <c r="B266" s="59" t="s">
        <v>1917</v>
      </c>
      <c r="C266" s="59" t="s">
        <v>166</v>
      </c>
      <c r="D266" s="59" t="s">
        <v>121</v>
      </c>
      <c r="E266" s="60">
        <v>11022</v>
      </c>
      <c r="F266" s="59">
        <v>5000</v>
      </c>
      <c r="G266" s="59">
        <v>300</v>
      </c>
      <c r="H266" s="59">
        <v>50</v>
      </c>
      <c r="I266" s="59" t="s">
        <v>719</v>
      </c>
      <c r="J266" s="59">
        <v>3</v>
      </c>
      <c r="K266" s="59">
        <v>10</v>
      </c>
      <c r="L266" s="59">
        <v>30</v>
      </c>
      <c r="M266" s="59">
        <v>0</v>
      </c>
      <c r="N266">
        <v>2560</v>
      </c>
      <c r="O266" s="59">
        <v>0</v>
      </c>
      <c r="P266" s="59">
        <v>0</v>
      </c>
      <c r="Q266" s="59">
        <v>0</v>
      </c>
      <c r="R266" s="59">
        <v>0</v>
      </c>
      <c r="S266" s="59">
        <v>0</v>
      </c>
      <c r="T266" s="59">
        <v>0</v>
      </c>
      <c r="U266" s="59">
        <v>0</v>
      </c>
      <c r="V266" s="59">
        <v>10</v>
      </c>
      <c r="W266" s="59">
        <v>0</v>
      </c>
      <c r="X266" s="59">
        <v>0</v>
      </c>
      <c r="Y266" s="59">
        <v>0</v>
      </c>
      <c r="Z266" s="59">
        <v>0</v>
      </c>
      <c r="AA266" s="59">
        <v>0</v>
      </c>
      <c r="AB266" s="59">
        <v>0</v>
      </c>
      <c r="AC266" s="59">
        <v>0</v>
      </c>
      <c r="AD266" s="59">
        <v>40</v>
      </c>
      <c r="AE266" s="59">
        <v>0</v>
      </c>
      <c r="AF266" s="59">
        <v>0</v>
      </c>
      <c r="AG266" s="61">
        <v>0</v>
      </c>
      <c r="AH266" s="59">
        <v>0</v>
      </c>
      <c r="AI266" s="59">
        <v>0.01</v>
      </c>
      <c r="AJ266" s="59">
        <v>0</v>
      </c>
      <c r="AK266" s="125">
        <v>20066</v>
      </c>
      <c r="AL266" s="59">
        <v>1</v>
      </c>
      <c r="AM266" s="41">
        <f>INDEX(Sheet5!$B$19:$G$33,MATCH(Sheet1!AQ266,Sheet5!$A$19:$A$33,0),MATCH(J266,Sheet5!$B$18:$G$18,0))</f>
        <v>2400</v>
      </c>
      <c r="AN266" s="59" t="s">
        <v>48</v>
      </c>
      <c r="AO266" s="59" t="s">
        <v>742</v>
      </c>
      <c r="AP266" s="80">
        <v>20505</v>
      </c>
      <c r="AQ266" s="13">
        <v>80</v>
      </c>
    </row>
    <row r="267" spans="1:43" ht="16.5">
      <c r="A267" s="80">
        <v>2345</v>
      </c>
      <c r="B267" s="59" t="s">
        <v>1918</v>
      </c>
      <c r="C267" s="59" t="s">
        <v>166</v>
      </c>
      <c r="D267" s="59" t="s">
        <v>121</v>
      </c>
      <c r="E267" s="60">
        <v>11022</v>
      </c>
      <c r="F267" s="59">
        <v>5000</v>
      </c>
      <c r="G267" s="59">
        <v>300</v>
      </c>
      <c r="H267" s="59">
        <v>50</v>
      </c>
      <c r="I267" s="59" t="s">
        <v>719</v>
      </c>
      <c r="J267" s="59">
        <v>3</v>
      </c>
      <c r="K267" s="59">
        <v>10</v>
      </c>
      <c r="L267" s="59">
        <v>30</v>
      </c>
      <c r="M267" s="59">
        <v>0</v>
      </c>
      <c r="N267">
        <v>2880</v>
      </c>
      <c r="O267" s="59">
        <v>0</v>
      </c>
      <c r="P267" s="59">
        <v>0</v>
      </c>
      <c r="Q267" s="59">
        <v>0</v>
      </c>
      <c r="R267" s="59">
        <v>0</v>
      </c>
      <c r="S267" s="59">
        <v>0</v>
      </c>
      <c r="T267" s="59">
        <v>0</v>
      </c>
      <c r="U267" s="59">
        <v>0</v>
      </c>
      <c r="V267" s="59">
        <v>10</v>
      </c>
      <c r="W267" s="59">
        <v>0</v>
      </c>
      <c r="X267" s="59">
        <v>0</v>
      </c>
      <c r="Y267" s="59">
        <v>0</v>
      </c>
      <c r="Z267" s="59">
        <v>0</v>
      </c>
      <c r="AA267" s="59">
        <v>0</v>
      </c>
      <c r="AB267" s="59">
        <v>0</v>
      </c>
      <c r="AC267" s="59">
        <v>0</v>
      </c>
      <c r="AD267" s="59">
        <v>40</v>
      </c>
      <c r="AE267" s="59">
        <v>0</v>
      </c>
      <c r="AF267" s="59">
        <v>0</v>
      </c>
      <c r="AG267" s="61">
        <v>0</v>
      </c>
      <c r="AH267" s="59">
        <v>0</v>
      </c>
      <c r="AI267" s="59">
        <v>0.01</v>
      </c>
      <c r="AJ267" s="59">
        <v>0</v>
      </c>
      <c r="AK267" s="125">
        <v>20067</v>
      </c>
      <c r="AL267" s="59">
        <v>1</v>
      </c>
      <c r="AM267" s="41">
        <f>INDEX(Sheet5!$B$19:$G$33,MATCH(Sheet1!AQ267,Sheet5!$A$19:$A$33,0),MATCH(J267,Sheet5!$B$18:$G$18,0))</f>
        <v>2700</v>
      </c>
      <c r="AN267" s="59" t="s">
        <v>48</v>
      </c>
      <c r="AO267" s="59" t="s">
        <v>742</v>
      </c>
      <c r="AP267" s="80">
        <v>20506</v>
      </c>
      <c r="AQ267" s="13">
        <v>90</v>
      </c>
    </row>
    <row r="268" spans="1:43" ht="16.5">
      <c r="A268" s="80">
        <v>2346</v>
      </c>
      <c r="B268" s="59" t="s">
        <v>1919</v>
      </c>
      <c r="C268" s="59" t="s">
        <v>166</v>
      </c>
      <c r="D268" s="59" t="s">
        <v>121</v>
      </c>
      <c r="E268" s="60">
        <v>11022</v>
      </c>
      <c r="F268" s="59">
        <v>5000</v>
      </c>
      <c r="G268" s="59">
        <v>300</v>
      </c>
      <c r="H268" s="59">
        <v>50</v>
      </c>
      <c r="I268" s="59" t="s">
        <v>719</v>
      </c>
      <c r="J268" s="59">
        <v>3</v>
      </c>
      <c r="K268" s="59">
        <v>10</v>
      </c>
      <c r="L268" s="59">
        <v>30</v>
      </c>
      <c r="M268" s="59">
        <v>0</v>
      </c>
      <c r="N268">
        <v>3200</v>
      </c>
      <c r="O268" s="59">
        <v>0</v>
      </c>
      <c r="P268" s="59">
        <v>0</v>
      </c>
      <c r="Q268" s="59">
        <v>0</v>
      </c>
      <c r="R268" s="59">
        <v>0</v>
      </c>
      <c r="S268" s="59">
        <v>0</v>
      </c>
      <c r="T268" s="59">
        <v>0</v>
      </c>
      <c r="U268" s="59">
        <v>0</v>
      </c>
      <c r="V268" s="59">
        <v>10</v>
      </c>
      <c r="W268" s="59">
        <v>0</v>
      </c>
      <c r="X268" s="59">
        <v>0</v>
      </c>
      <c r="Y268" s="59">
        <v>0</v>
      </c>
      <c r="Z268" s="59">
        <v>0</v>
      </c>
      <c r="AA268" s="59">
        <v>0</v>
      </c>
      <c r="AB268" s="59">
        <v>0</v>
      </c>
      <c r="AC268" s="59">
        <v>0</v>
      </c>
      <c r="AD268" s="59">
        <v>40</v>
      </c>
      <c r="AE268" s="59">
        <v>0</v>
      </c>
      <c r="AF268" s="59">
        <v>0</v>
      </c>
      <c r="AG268" s="61">
        <v>0</v>
      </c>
      <c r="AH268" s="59">
        <v>0</v>
      </c>
      <c r="AI268" s="59">
        <v>0.01</v>
      </c>
      <c r="AJ268" s="59">
        <v>0</v>
      </c>
      <c r="AK268" s="125">
        <v>20068</v>
      </c>
      <c r="AL268" s="59">
        <v>1</v>
      </c>
      <c r="AM268" s="41">
        <f>INDEX(Sheet5!$B$19:$G$33,MATCH(Sheet1!AQ268,Sheet5!$A$19:$A$33,0),MATCH(J268,Sheet5!$B$18:$G$18,0))</f>
        <v>3000</v>
      </c>
      <c r="AN268" s="59" t="s">
        <v>48</v>
      </c>
      <c r="AO268" s="59" t="s">
        <v>742</v>
      </c>
      <c r="AP268" s="80">
        <v>20507</v>
      </c>
      <c r="AQ268" s="13">
        <v>100</v>
      </c>
    </row>
    <row r="269" spans="1:43" ht="16.5">
      <c r="A269" s="80">
        <v>2347</v>
      </c>
      <c r="B269" s="59" t="s">
        <v>1920</v>
      </c>
      <c r="C269" s="59" t="s">
        <v>166</v>
      </c>
      <c r="D269" s="59" t="s">
        <v>121</v>
      </c>
      <c r="E269" s="60">
        <v>11022</v>
      </c>
      <c r="F269" s="59">
        <v>5000</v>
      </c>
      <c r="G269" s="59">
        <v>300</v>
      </c>
      <c r="H269" s="59">
        <v>50</v>
      </c>
      <c r="I269" s="59" t="s">
        <v>719</v>
      </c>
      <c r="J269" s="59">
        <v>3</v>
      </c>
      <c r="K269" s="59">
        <v>10</v>
      </c>
      <c r="L269" s="59">
        <v>30</v>
      </c>
      <c r="M269" s="59">
        <v>0</v>
      </c>
      <c r="N269">
        <v>3520</v>
      </c>
      <c r="O269" s="59">
        <v>0</v>
      </c>
      <c r="P269" s="59">
        <v>0</v>
      </c>
      <c r="Q269" s="59">
        <v>0</v>
      </c>
      <c r="R269" s="59">
        <v>0</v>
      </c>
      <c r="S269" s="59">
        <v>0</v>
      </c>
      <c r="T269" s="59">
        <v>0</v>
      </c>
      <c r="U269" s="59">
        <v>0</v>
      </c>
      <c r="V269" s="59">
        <v>10</v>
      </c>
      <c r="W269" s="59">
        <v>0</v>
      </c>
      <c r="X269" s="59">
        <v>0</v>
      </c>
      <c r="Y269" s="59">
        <v>0</v>
      </c>
      <c r="Z269" s="59">
        <v>0</v>
      </c>
      <c r="AA269" s="59">
        <v>0</v>
      </c>
      <c r="AB269" s="59">
        <v>0</v>
      </c>
      <c r="AC269" s="59">
        <v>0</v>
      </c>
      <c r="AD269" s="59">
        <v>40</v>
      </c>
      <c r="AE269" s="59">
        <v>0</v>
      </c>
      <c r="AF269" s="59">
        <v>0</v>
      </c>
      <c r="AG269" s="61">
        <v>0</v>
      </c>
      <c r="AH269" s="59">
        <v>0</v>
      </c>
      <c r="AI269" s="59">
        <v>0.01</v>
      </c>
      <c r="AJ269" s="59">
        <v>0</v>
      </c>
      <c r="AK269" s="125">
        <v>20069</v>
      </c>
      <c r="AL269" s="59">
        <v>1</v>
      </c>
      <c r="AM269" s="41">
        <f>INDEX(Sheet5!$B$19:$G$33,MATCH(Sheet1!AQ269,Sheet5!$A$19:$A$33,0),MATCH(J269,Sheet5!$B$18:$G$18,0))</f>
        <v>3300</v>
      </c>
      <c r="AN269" s="59" t="s">
        <v>48</v>
      </c>
      <c r="AO269" s="59" t="s">
        <v>742</v>
      </c>
      <c r="AP269" s="80">
        <v>20508</v>
      </c>
      <c r="AQ269" s="13">
        <v>110</v>
      </c>
    </row>
    <row r="270" spans="1:43" ht="16.5">
      <c r="A270" s="80">
        <v>2348</v>
      </c>
      <c r="B270" s="59" t="s">
        <v>1921</v>
      </c>
      <c r="C270" s="59" t="s">
        <v>166</v>
      </c>
      <c r="D270" s="59" t="s">
        <v>121</v>
      </c>
      <c r="E270" s="60">
        <v>11022</v>
      </c>
      <c r="F270" s="59">
        <v>5000</v>
      </c>
      <c r="G270" s="59">
        <v>300</v>
      </c>
      <c r="H270" s="59">
        <v>50</v>
      </c>
      <c r="I270" s="59" t="s">
        <v>719</v>
      </c>
      <c r="J270" s="59">
        <v>3</v>
      </c>
      <c r="K270" s="59">
        <v>10</v>
      </c>
      <c r="L270" s="59">
        <v>30</v>
      </c>
      <c r="M270" s="59">
        <v>0</v>
      </c>
      <c r="N270">
        <v>3840</v>
      </c>
      <c r="O270" s="59">
        <v>0</v>
      </c>
      <c r="P270" s="59">
        <v>0</v>
      </c>
      <c r="Q270" s="59">
        <v>0</v>
      </c>
      <c r="R270" s="59">
        <v>0</v>
      </c>
      <c r="S270" s="59">
        <v>0</v>
      </c>
      <c r="T270" s="59">
        <v>0</v>
      </c>
      <c r="U270" s="59">
        <v>0</v>
      </c>
      <c r="V270" s="59">
        <v>10</v>
      </c>
      <c r="W270" s="59">
        <v>0</v>
      </c>
      <c r="X270" s="59">
        <v>0</v>
      </c>
      <c r="Y270" s="59">
        <v>0</v>
      </c>
      <c r="Z270" s="59">
        <v>0</v>
      </c>
      <c r="AA270" s="59">
        <v>0</v>
      </c>
      <c r="AB270" s="59">
        <v>0</v>
      </c>
      <c r="AC270" s="59">
        <v>0</v>
      </c>
      <c r="AD270" s="59">
        <v>40</v>
      </c>
      <c r="AE270" s="59">
        <v>0</v>
      </c>
      <c r="AF270" s="59">
        <v>0</v>
      </c>
      <c r="AG270" s="61">
        <v>0</v>
      </c>
      <c r="AH270" s="59">
        <v>0</v>
      </c>
      <c r="AI270" s="59">
        <v>0.01</v>
      </c>
      <c r="AJ270" s="59">
        <v>0</v>
      </c>
      <c r="AK270" s="125">
        <v>20070</v>
      </c>
      <c r="AL270" s="59">
        <v>1</v>
      </c>
      <c r="AM270" s="41">
        <f>INDEX(Sheet5!$B$19:$G$33,MATCH(Sheet1!AQ270,Sheet5!$A$19:$A$33,0),MATCH(J270,Sheet5!$B$18:$G$18,0))</f>
        <v>3600</v>
      </c>
      <c r="AN270" s="59" t="s">
        <v>48</v>
      </c>
      <c r="AO270" s="59" t="s">
        <v>742</v>
      </c>
      <c r="AP270" s="80">
        <v>20509</v>
      </c>
      <c r="AQ270" s="13">
        <v>120</v>
      </c>
    </row>
    <row r="271" spans="1:43" ht="16.5">
      <c r="A271" s="80">
        <v>2349</v>
      </c>
      <c r="B271" s="59" t="s">
        <v>1922</v>
      </c>
      <c r="C271" s="59" t="s">
        <v>166</v>
      </c>
      <c r="D271" s="59" t="s">
        <v>121</v>
      </c>
      <c r="E271" s="60">
        <v>11022</v>
      </c>
      <c r="F271" s="59">
        <v>5000</v>
      </c>
      <c r="G271" s="59">
        <v>300</v>
      </c>
      <c r="H271" s="59">
        <v>50</v>
      </c>
      <c r="I271" s="59" t="s">
        <v>719</v>
      </c>
      <c r="J271" s="59">
        <v>3</v>
      </c>
      <c r="K271" s="59">
        <v>10</v>
      </c>
      <c r="L271" s="59">
        <v>30</v>
      </c>
      <c r="M271" s="59">
        <v>0</v>
      </c>
      <c r="N271">
        <v>4160</v>
      </c>
      <c r="O271" s="59">
        <v>0</v>
      </c>
      <c r="P271" s="59">
        <v>0</v>
      </c>
      <c r="Q271" s="59">
        <v>0</v>
      </c>
      <c r="R271" s="59">
        <v>0</v>
      </c>
      <c r="S271" s="59">
        <v>0</v>
      </c>
      <c r="T271" s="59">
        <v>0</v>
      </c>
      <c r="U271" s="59">
        <v>0</v>
      </c>
      <c r="V271" s="59">
        <v>10</v>
      </c>
      <c r="W271" s="59">
        <v>0</v>
      </c>
      <c r="X271" s="59">
        <v>0</v>
      </c>
      <c r="Y271" s="59">
        <v>0</v>
      </c>
      <c r="Z271" s="59">
        <v>0</v>
      </c>
      <c r="AA271" s="59">
        <v>0</v>
      </c>
      <c r="AB271" s="59">
        <v>0</v>
      </c>
      <c r="AC271" s="59">
        <v>0</v>
      </c>
      <c r="AD271" s="59">
        <v>40</v>
      </c>
      <c r="AE271" s="59">
        <v>0</v>
      </c>
      <c r="AF271" s="59">
        <v>0</v>
      </c>
      <c r="AG271" s="61">
        <v>0</v>
      </c>
      <c r="AH271" s="59">
        <v>0</v>
      </c>
      <c r="AI271" s="59">
        <v>0.01</v>
      </c>
      <c r="AJ271" s="59">
        <v>0</v>
      </c>
      <c r="AK271" s="125">
        <v>20071</v>
      </c>
      <c r="AL271" s="59">
        <v>1</v>
      </c>
      <c r="AM271" s="41">
        <f>INDEX(Sheet5!$B$19:$G$33,MATCH(Sheet1!AQ271,Sheet5!$A$19:$A$33,0),MATCH(J271,Sheet5!$B$18:$G$18,0))</f>
        <v>3900</v>
      </c>
      <c r="AN271" s="59" t="s">
        <v>48</v>
      </c>
      <c r="AO271" s="59" t="s">
        <v>742</v>
      </c>
      <c r="AP271" s="80">
        <v>20510</v>
      </c>
      <c r="AQ271" s="13">
        <v>130</v>
      </c>
    </row>
    <row r="272" spans="1:43" ht="16.5">
      <c r="A272" s="80">
        <v>2350</v>
      </c>
      <c r="B272" s="59" t="s">
        <v>1923</v>
      </c>
      <c r="C272" s="59" t="s">
        <v>166</v>
      </c>
      <c r="D272" s="59" t="s">
        <v>121</v>
      </c>
      <c r="E272" s="60">
        <v>11022</v>
      </c>
      <c r="F272" s="59">
        <v>5000</v>
      </c>
      <c r="G272" s="59">
        <v>300</v>
      </c>
      <c r="H272" s="59">
        <v>50</v>
      </c>
      <c r="I272" s="59" t="s">
        <v>719</v>
      </c>
      <c r="J272" s="59">
        <v>3</v>
      </c>
      <c r="K272" s="59">
        <v>10</v>
      </c>
      <c r="L272" s="59">
        <v>30</v>
      </c>
      <c r="M272" s="59">
        <v>0</v>
      </c>
      <c r="N272">
        <v>4480</v>
      </c>
      <c r="O272" s="59">
        <v>0</v>
      </c>
      <c r="P272" s="59">
        <v>0</v>
      </c>
      <c r="Q272" s="59">
        <v>0</v>
      </c>
      <c r="R272" s="59">
        <v>0</v>
      </c>
      <c r="S272" s="59">
        <v>0</v>
      </c>
      <c r="T272" s="59">
        <v>0</v>
      </c>
      <c r="U272" s="59">
        <v>0</v>
      </c>
      <c r="V272" s="59">
        <v>10</v>
      </c>
      <c r="W272" s="59">
        <v>0</v>
      </c>
      <c r="X272" s="59">
        <v>0</v>
      </c>
      <c r="Y272" s="59">
        <v>0</v>
      </c>
      <c r="Z272" s="59">
        <v>0</v>
      </c>
      <c r="AA272" s="59">
        <v>0</v>
      </c>
      <c r="AB272" s="59">
        <v>0</v>
      </c>
      <c r="AC272" s="59">
        <v>0</v>
      </c>
      <c r="AD272" s="59">
        <v>40</v>
      </c>
      <c r="AE272" s="59">
        <v>0</v>
      </c>
      <c r="AF272" s="59">
        <v>0</v>
      </c>
      <c r="AG272" s="61">
        <v>0</v>
      </c>
      <c r="AH272" s="59">
        <v>0</v>
      </c>
      <c r="AI272" s="59">
        <v>0.01</v>
      </c>
      <c r="AJ272" s="59">
        <v>0</v>
      </c>
      <c r="AK272" s="125">
        <v>20072</v>
      </c>
      <c r="AL272" s="59">
        <v>1</v>
      </c>
      <c r="AM272" s="41">
        <f>INDEX(Sheet5!$B$19:$G$33,MATCH(Sheet1!AQ272,Sheet5!$A$19:$A$33,0),MATCH(J272,Sheet5!$B$18:$G$18,0))</f>
        <v>4200</v>
      </c>
      <c r="AN272" s="59" t="s">
        <v>48</v>
      </c>
      <c r="AO272" s="59" t="s">
        <v>742</v>
      </c>
      <c r="AP272" s="80">
        <v>205111</v>
      </c>
      <c r="AQ272" s="13">
        <v>140</v>
      </c>
    </row>
    <row r="273" spans="1:43" ht="16.5">
      <c r="A273" s="80">
        <v>2351</v>
      </c>
      <c r="B273" s="59" t="s">
        <v>1924</v>
      </c>
      <c r="C273" s="59" t="s">
        <v>166</v>
      </c>
      <c r="D273" s="59" t="s">
        <v>121</v>
      </c>
      <c r="E273" s="60">
        <v>11022</v>
      </c>
      <c r="F273" s="59">
        <v>5000</v>
      </c>
      <c r="G273" s="59">
        <v>300</v>
      </c>
      <c r="H273" s="59">
        <v>50</v>
      </c>
      <c r="I273" s="59" t="s">
        <v>719</v>
      </c>
      <c r="J273" s="59">
        <v>3</v>
      </c>
      <c r="K273" s="59">
        <v>10</v>
      </c>
      <c r="L273" s="59">
        <v>30</v>
      </c>
      <c r="M273" s="59">
        <v>0</v>
      </c>
      <c r="N273">
        <v>4800</v>
      </c>
      <c r="O273" s="59">
        <v>0</v>
      </c>
      <c r="P273" s="59">
        <v>0</v>
      </c>
      <c r="Q273" s="59">
        <v>0</v>
      </c>
      <c r="R273" s="59">
        <v>0</v>
      </c>
      <c r="S273" s="59">
        <v>0</v>
      </c>
      <c r="T273" s="59">
        <v>0</v>
      </c>
      <c r="U273" s="59">
        <v>0</v>
      </c>
      <c r="V273" s="59">
        <v>10</v>
      </c>
      <c r="W273" s="59">
        <v>0</v>
      </c>
      <c r="X273" s="59">
        <v>0</v>
      </c>
      <c r="Y273" s="59">
        <v>0</v>
      </c>
      <c r="Z273" s="59">
        <v>0</v>
      </c>
      <c r="AA273" s="59">
        <v>0</v>
      </c>
      <c r="AB273" s="59">
        <v>0</v>
      </c>
      <c r="AC273" s="59">
        <v>0</v>
      </c>
      <c r="AD273" s="59">
        <v>40</v>
      </c>
      <c r="AE273" s="59">
        <v>0</v>
      </c>
      <c r="AF273" s="59">
        <v>0</v>
      </c>
      <c r="AG273" s="61">
        <v>0</v>
      </c>
      <c r="AH273" s="59">
        <v>0</v>
      </c>
      <c r="AI273" s="59">
        <v>0.01</v>
      </c>
      <c r="AJ273" s="59">
        <v>0</v>
      </c>
      <c r="AK273" s="125">
        <v>20073</v>
      </c>
      <c r="AL273" s="59">
        <v>1</v>
      </c>
      <c r="AM273" s="41">
        <f>INDEX(Sheet5!$B$19:$G$33,MATCH(Sheet1!AQ273,Sheet5!$A$19:$A$33,0),MATCH(J273,Sheet5!$B$18:$G$18,0))</f>
        <v>4500</v>
      </c>
      <c r="AN273" s="59" t="s">
        <v>48</v>
      </c>
      <c r="AO273" s="59" t="s">
        <v>742</v>
      </c>
      <c r="AP273" s="80">
        <v>205112</v>
      </c>
      <c r="AQ273" s="13">
        <v>150</v>
      </c>
    </row>
    <row r="274" spans="1:43" ht="16.5">
      <c r="A274" s="80">
        <v>2352</v>
      </c>
      <c r="B274" s="59" t="s">
        <v>1925</v>
      </c>
      <c r="C274" s="59" t="s">
        <v>166</v>
      </c>
      <c r="D274" s="59" t="s">
        <v>122</v>
      </c>
      <c r="E274" s="60">
        <v>11023</v>
      </c>
      <c r="F274" s="59">
        <v>5000</v>
      </c>
      <c r="G274" s="59">
        <v>300</v>
      </c>
      <c r="H274" s="59">
        <v>50</v>
      </c>
      <c r="I274" s="59" t="s">
        <v>720</v>
      </c>
      <c r="J274" s="59">
        <v>3</v>
      </c>
      <c r="K274" s="59">
        <v>10</v>
      </c>
      <c r="L274" s="59">
        <v>30</v>
      </c>
      <c r="M274">
        <v>800</v>
      </c>
      <c r="N274" s="59">
        <v>0</v>
      </c>
      <c r="O274" s="59">
        <v>0</v>
      </c>
      <c r="P274" s="59">
        <v>0</v>
      </c>
      <c r="Q274" s="59">
        <v>0</v>
      </c>
      <c r="R274" s="59">
        <v>0</v>
      </c>
      <c r="S274" s="59">
        <v>0</v>
      </c>
      <c r="T274" s="59">
        <v>0</v>
      </c>
      <c r="U274" s="59">
        <v>250</v>
      </c>
      <c r="V274" s="59">
        <v>0</v>
      </c>
      <c r="W274" s="59">
        <v>0</v>
      </c>
      <c r="X274" s="59">
        <v>0</v>
      </c>
      <c r="Y274" s="59">
        <v>0</v>
      </c>
      <c r="Z274" s="59">
        <v>0</v>
      </c>
      <c r="AA274" s="59">
        <v>0</v>
      </c>
      <c r="AB274" s="59">
        <v>0</v>
      </c>
      <c r="AC274" s="59">
        <v>1000</v>
      </c>
      <c r="AD274" s="59">
        <v>0</v>
      </c>
      <c r="AE274" s="59">
        <v>0</v>
      </c>
      <c r="AF274" s="59">
        <v>0</v>
      </c>
      <c r="AG274" s="59">
        <v>5.0000000000000001E-3</v>
      </c>
      <c r="AH274" s="59">
        <v>0</v>
      </c>
      <c r="AI274" s="59">
        <v>0</v>
      </c>
      <c r="AJ274" s="61">
        <v>0</v>
      </c>
      <c r="AK274" s="126">
        <v>20059</v>
      </c>
      <c r="AL274" s="59">
        <v>3</v>
      </c>
      <c r="AM274" s="41">
        <f>INDEX(Sheet5!$B$19:$G$33,MATCH(Sheet1!AQ274,Sheet5!$A$19:$A$33,0),MATCH(J274,Sheet5!$B$18:$G$18,0))</f>
        <v>300</v>
      </c>
      <c r="AN274" s="59" t="s">
        <v>48</v>
      </c>
      <c r="AO274" s="59" t="s">
        <v>743</v>
      </c>
      <c r="AP274" s="80">
        <v>511</v>
      </c>
      <c r="AQ274" s="13">
        <v>10</v>
      </c>
    </row>
    <row r="275" spans="1:43" ht="16.5">
      <c r="A275" s="80">
        <v>2353</v>
      </c>
      <c r="B275" s="59" t="s">
        <v>1926</v>
      </c>
      <c r="C275" s="59" t="s">
        <v>166</v>
      </c>
      <c r="D275" s="59" t="s">
        <v>122</v>
      </c>
      <c r="E275" s="60">
        <v>11023</v>
      </c>
      <c r="F275" s="59">
        <v>5000</v>
      </c>
      <c r="G275" s="59">
        <v>300</v>
      </c>
      <c r="H275" s="59">
        <v>50</v>
      </c>
      <c r="I275" s="59" t="s">
        <v>720</v>
      </c>
      <c r="J275" s="59">
        <v>3</v>
      </c>
      <c r="K275" s="59">
        <v>10</v>
      </c>
      <c r="L275" s="59">
        <v>30</v>
      </c>
      <c r="M275">
        <v>1600</v>
      </c>
      <c r="N275" s="59">
        <v>0</v>
      </c>
      <c r="O275" s="59">
        <v>0</v>
      </c>
      <c r="P275" s="59">
        <v>0</v>
      </c>
      <c r="Q275" s="59">
        <v>0</v>
      </c>
      <c r="R275" s="59">
        <v>0</v>
      </c>
      <c r="S275" s="59">
        <v>0</v>
      </c>
      <c r="T275" s="59">
        <v>0</v>
      </c>
      <c r="U275" s="59">
        <v>250</v>
      </c>
      <c r="V275" s="59">
        <v>0</v>
      </c>
      <c r="W275" s="59">
        <v>0</v>
      </c>
      <c r="X275" s="59">
        <v>0</v>
      </c>
      <c r="Y275" s="59">
        <v>0</v>
      </c>
      <c r="Z275" s="59">
        <v>0</v>
      </c>
      <c r="AA275" s="59">
        <v>0</v>
      </c>
      <c r="AB275" s="59">
        <v>0</v>
      </c>
      <c r="AC275" s="59">
        <v>1000</v>
      </c>
      <c r="AD275" s="59">
        <v>0</v>
      </c>
      <c r="AE275" s="59">
        <v>0</v>
      </c>
      <c r="AF275" s="59">
        <v>0</v>
      </c>
      <c r="AG275" s="59">
        <v>5.0000000000000001E-3</v>
      </c>
      <c r="AH275" s="59">
        <v>0</v>
      </c>
      <c r="AI275" s="59">
        <v>0</v>
      </c>
      <c r="AJ275" s="61">
        <v>0</v>
      </c>
      <c r="AK275" s="126">
        <v>20060</v>
      </c>
      <c r="AL275" s="59">
        <v>3</v>
      </c>
      <c r="AM275" s="41">
        <f>INDEX(Sheet5!$B$19:$G$33,MATCH(Sheet1!AQ275,Sheet5!$A$19:$A$33,0),MATCH(J275,Sheet5!$B$18:$G$18,0))</f>
        <v>600</v>
      </c>
      <c r="AN275" s="59" t="s">
        <v>48</v>
      </c>
      <c r="AO275" s="59" t="s">
        <v>743</v>
      </c>
      <c r="AP275" s="80">
        <v>512</v>
      </c>
      <c r="AQ275" s="13">
        <v>20</v>
      </c>
    </row>
    <row r="276" spans="1:43" s="87" customFormat="1" ht="16.5">
      <c r="A276" s="94">
        <v>2051</v>
      </c>
      <c r="B276" s="94" t="s">
        <v>1927</v>
      </c>
      <c r="C276" s="94" t="s">
        <v>166</v>
      </c>
      <c r="D276" s="94" t="s">
        <v>122</v>
      </c>
      <c r="E276" s="95">
        <v>11023</v>
      </c>
      <c r="F276" s="94">
        <v>5000</v>
      </c>
      <c r="G276" s="94">
        <v>300</v>
      </c>
      <c r="H276" s="94">
        <v>50</v>
      </c>
      <c r="I276" s="94" t="s">
        <v>720</v>
      </c>
      <c r="J276" s="94">
        <v>3</v>
      </c>
      <c r="K276" s="94">
        <v>10</v>
      </c>
      <c r="L276" s="94">
        <v>30</v>
      </c>
      <c r="M276">
        <v>2400</v>
      </c>
      <c r="N276" s="94">
        <v>0</v>
      </c>
      <c r="O276" s="94">
        <v>0</v>
      </c>
      <c r="P276" s="94">
        <v>0</v>
      </c>
      <c r="Q276" s="94">
        <v>0</v>
      </c>
      <c r="R276" s="94">
        <v>0</v>
      </c>
      <c r="S276" s="94">
        <v>0</v>
      </c>
      <c r="T276" s="94">
        <v>0</v>
      </c>
      <c r="U276" s="94">
        <v>250</v>
      </c>
      <c r="V276" s="94">
        <v>0</v>
      </c>
      <c r="W276" s="94">
        <v>0</v>
      </c>
      <c r="X276" s="94">
        <v>0</v>
      </c>
      <c r="Y276" s="94">
        <v>0</v>
      </c>
      <c r="Z276" s="94">
        <v>0</v>
      </c>
      <c r="AA276" s="94">
        <v>0</v>
      </c>
      <c r="AB276" s="94">
        <v>0</v>
      </c>
      <c r="AC276" s="94">
        <v>1000</v>
      </c>
      <c r="AD276" s="94">
        <v>0</v>
      </c>
      <c r="AE276" s="94">
        <v>0</v>
      </c>
      <c r="AF276" s="94">
        <v>0</v>
      </c>
      <c r="AG276" s="94">
        <v>5.0000000000000001E-3</v>
      </c>
      <c r="AH276" s="94">
        <v>0</v>
      </c>
      <c r="AI276" s="94">
        <v>0</v>
      </c>
      <c r="AJ276" s="96">
        <v>0</v>
      </c>
      <c r="AK276" s="126">
        <v>20061</v>
      </c>
      <c r="AL276" s="94">
        <v>3</v>
      </c>
      <c r="AM276" s="41">
        <f>INDEX(Sheet5!$B$19:$G$33,MATCH(Sheet1!AQ276,Sheet5!$A$19:$A$33,0),MATCH(J276,Sheet5!$B$18:$G$18,0))</f>
        <v>900</v>
      </c>
      <c r="AN276" s="94" t="s">
        <v>1487</v>
      </c>
      <c r="AO276" s="94" t="s">
        <v>743</v>
      </c>
      <c r="AP276" s="94">
        <v>2051</v>
      </c>
      <c r="AQ276" s="13">
        <v>30</v>
      </c>
    </row>
    <row r="277" spans="1:43" ht="16.5">
      <c r="A277" s="59">
        <v>2354</v>
      </c>
      <c r="B277" s="59" t="s">
        <v>1928</v>
      </c>
      <c r="C277" s="59" t="s">
        <v>166</v>
      </c>
      <c r="D277" s="59" t="s">
        <v>122</v>
      </c>
      <c r="E277" s="60">
        <v>11023</v>
      </c>
      <c r="F277" s="59">
        <v>5000</v>
      </c>
      <c r="G277" s="59">
        <v>300</v>
      </c>
      <c r="H277" s="59">
        <v>50</v>
      </c>
      <c r="I277" s="59" t="s">
        <v>720</v>
      </c>
      <c r="J277" s="59">
        <v>3</v>
      </c>
      <c r="K277" s="59">
        <v>10</v>
      </c>
      <c r="L277" s="59">
        <v>30</v>
      </c>
      <c r="M277">
        <v>3200</v>
      </c>
      <c r="N277" s="59">
        <v>0</v>
      </c>
      <c r="O277" s="59">
        <v>0</v>
      </c>
      <c r="P277" s="59">
        <v>0</v>
      </c>
      <c r="Q277" s="59">
        <v>0</v>
      </c>
      <c r="R277" s="59">
        <v>0</v>
      </c>
      <c r="S277" s="59">
        <v>0</v>
      </c>
      <c r="T277" s="59">
        <v>0</v>
      </c>
      <c r="U277" s="59">
        <v>250</v>
      </c>
      <c r="V277" s="59">
        <v>0</v>
      </c>
      <c r="W277" s="59">
        <v>0</v>
      </c>
      <c r="X277" s="59">
        <v>0</v>
      </c>
      <c r="Y277" s="59">
        <v>0</v>
      </c>
      <c r="Z277" s="59">
        <v>0</v>
      </c>
      <c r="AA277" s="59">
        <v>0</v>
      </c>
      <c r="AB277" s="59">
        <v>0</v>
      </c>
      <c r="AC277" s="59">
        <v>1000</v>
      </c>
      <c r="AD277" s="59">
        <v>0</v>
      </c>
      <c r="AE277" s="59">
        <v>0</v>
      </c>
      <c r="AF277" s="59">
        <v>0</v>
      </c>
      <c r="AG277" s="59">
        <v>5.0000000000000001E-3</v>
      </c>
      <c r="AH277" s="59">
        <v>0</v>
      </c>
      <c r="AI277" s="59">
        <v>0</v>
      </c>
      <c r="AJ277" s="61">
        <v>0</v>
      </c>
      <c r="AK277" s="126">
        <v>20062</v>
      </c>
      <c r="AL277" s="59">
        <v>3</v>
      </c>
      <c r="AM277" s="41">
        <f>INDEX(Sheet5!$B$19:$G$33,MATCH(Sheet1!AQ277,Sheet5!$A$19:$A$33,0),MATCH(J277,Sheet5!$B$18:$G$18,0))</f>
        <v>1200</v>
      </c>
      <c r="AN277" s="59" t="s">
        <v>48</v>
      </c>
      <c r="AO277" s="59" t="s">
        <v>743</v>
      </c>
      <c r="AP277" s="80">
        <v>20511</v>
      </c>
      <c r="AQ277" s="13">
        <v>40</v>
      </c>
    </row>
    <row r="278" spans="1:43" ht="16.5">
      <c r="A278" s="59">
        <v>2355</v>
      </c>
      <c r="B278" s="59" t="s">
        <v>1929</v>
      </c>
      <c r="C278" s="59" t="s">
        <v>166</v>
      </c>
      <c r="D278" s="59" t="s">
        <v>122</v>
      </c>
      <c r="E278" s="60">
        <v>11023</v>
      </c>
      <c r="F278" s="59">
        <v>5000</v>
      </c>
      <c r="G278" s="59">
        <v>300</v>
      </c>
      <c r="H278" s="59">
        <v>50</v>
      </c>
      <c r="I278" s="59" t="s">
        <v>720</v>
      </c>
      <c r="J278" s="59">
        <v>3</v>
      </c>
      <c r="K278" s="59">
        <v>10</v>
      </c>
      <c r="L278" s="59">
        <v>30</v>
      </c>
      <c r="M278">
        <v>4000</v>
      </c>
      <c r="N278" s="59">
        <v>0</v>
      </c>
      <c r="O278" s="59">
        <v>0</v>
      </c>
      <c r="P278" s="59">
        <v>0</v>
      </c>
      <c r="Q278" s="59">
        <v>0</v>
      </c>
      <c r="R278" s="59">
        <v>0</v>
      </c>
      <c r="S278" s="59">
        <v>0</v>
      </c>
      <c r="T278" s="59">
        <v>0</v>
      </c>
      <c r="U278" s="59">
        <v>250</v>
      </c>
      <c r="V278" s="59">
        <v>0</v>
      </c>
      <c r="W278" s="59">
        <v>0</v>
      </c>
      <c r="X278" s="59">
        <v>0</v>
      </c>
      <c r="Y278" s="59">
        <v>0</v>
      </c>
      <c r="Z278" s="59">
        <v>0</v>
      </c>
      <c r="AA278" s="59">
        <v>0</v>
      </c>
      <c r="AB278" s="59">
        <v>0</v>
      </c>
      <c r="AC278" s="59">
        <v>1000</v>
      </c>
      <c r="AD278" s="59">
        <v>0</v>
      </c>
      <c r="AE278" s="59">
        <v>0</v>
      </c>
      <c r="AF278" s="59">
        <v>0</v>
      </c>
      <c r="AG278" s="59">
        <v>5.0000000000000001E-3</v>
      </c>
      <c r="AH278" s="59">
        <v>0</v>
      </c>
      <c r="AI278" s="59">
        <v>0</v>
      </c>
      <c r="AJ278" s="61">
        <v>0</v>
      </c>
      <c r="AK278" s="126">
        <v>20063</v>
      </c>
      <c r="AL278" s="59">
        <v>3</v>
      </c>
      <c r="AM278" s="41">
        <f>INDEX(Sheet5!$B$19:$G$33,MATCH(Sheet1!AQ278,Sheet5!$A$19:$A$33,0),MATCH(J278,Sheet5!$B$18:$G$18,0))</f>
        <v>1500</v>
      </c>
      <c r="AN278" s="59" t="s">
        <v>48</v>
      </c>
      <c r="AO278" s="59" t="s">
        <v>743</v>
      </c>
      <c r="AP278" s="80">
        <v>20512</v>
      </c>
      <c r="AQ278" s="13">
        <v>50</v>
      </c>
    </row>
    <row r="279" spans="1:43" ht="16.5">
      <c r="A279" s="80">
        <v>2356</v>
      </c>
      <c r="B279" s="59" t="s">
        <v>1930</v>
      </c>
      <c r="C279" s="59" t="s">
        <v>166</v>
      </c>
      <c r="D279" s="59" t="s">
        <v>122</v>
      </c>
      <c r="E279" s="60">
        <v>11023</v>
      </c>
      <c r="F279" s="59">
        <v>5000</v>
      </c>
      <c r="G279" s="59">
        <v>300</v>
      </c>
      <c r="H279" s="59">
        <v>50</v>
      </c>
      <c r="I279" s="59" t="s">
        <v>720</v>
      </c>
      <c r="J279" s="59">
        <v>3</v>
      </c>
      <c r="K279" s="59">
        <v>10</v>
      </c>
      <c r="L279" s="59">
        <v>30</v>
      </c>
      <c r="M279">
        <v>4800</v>
      </c>
      <c r="N279" s="59">
        <v>0</v>
      </c>
      <c r="O279" s="59">
        <v>0</v>
      </c>
      <c r="P279" s="59">
        <v>0</v>
      </c>
      <c r="Q279" s="59">
        <v>0</v>
      </c>
      <c r="R279" s="59">
        <v>0</v>
      </c>
      <c r="S279" s="59">
        <v>0</v>
      </c>
      <c r="T279" s="59">
        <v>0</v>
      </c>
      <c r="U279" s="59">
        <v>250</v>
      </c>
      <c r="V279" s="59">
        <v>0</v>
      </c>
      <c r="W279" s="59">
        <v>0</v>
      </c>
      <c r="X279" s="59">
        <v>0</v>
      </c>
      <c r="Y279" s="59">
        <v>0</v>
      </c>
      <c r="Z279" s="59">
        <v>0</v>
      </c>
      <c r="AA279" s="59">
        <v>0</v>
      </c>
      <c r="AB279" s="59">
        <v>0</v>
      </c>
      <c r="AC279" s="59">
        <v>1000</v>
      </c>
      <c r="AD279" s="59">
        <v>0</v>
      </c>
      <c r="AE279" s="59">
        <v>0</v>
      </c>
      <c r="AF279" s="59">
        <v>0</v>
      </c>
      <c r="AG279" s="59">
        <v>5.0000000000000001E-3</v>
      </c>
      <c r="AH279" s="59">
        <v>0</v>
      </c>
      <c r="AI279" s="59">
        <v>0</v>
      </c>
      <c r="AJ279" s="61">
        <v>0</v>
      </c>
      <c r="AK279" s="126">
        <v>20064</v>
      </c>
      <c r="AL279" s="59">
        <v>3</v>
      </c>
      <c r="AM279" s="41">
        <f>INDEX(Sheet5!$B$19:$G$33,MATCH(Sheet1!AQ279,Sheet5!$A$19:$A$33,0),MATCH(J279,Sheet5!$B$18:$G$18,0))</f>
        <v>1800</v>
      </c>
      <c r="AN279" s="59" t="s">
        <v>48</v>
      </c>
      <c r="AO279" s="59" t="s">
        <v>743</v>
      </c>
      <c r="AP279" s="80">
        <v>20513</v>
      </c>
      <c r="AQ279" s="13">
        <v>60</v>
      </c>
    </row>
    <row r="280" spans="1:43" ht="16.5">
      <c r="A280" s="80">
        <v>2357</v>
      </c>
      <c r="B280" s="59" t="s">
        <v>1931</v>
      </c>
      <c r="C280" s="59" t="s">
        <v>166</v>
      </c>
      <c r="D280" s="59" t="s">
        <v>122</v>
      </c>
      <c r="E280" s="60">
        <v>11023</v>
      </c>
      <c r="F280" s="59">
        <v>5000</v>
      </c>
      <c r="G280" s="59">
        <v>300</v>
      </c>
      <c r="H280" s="59">
        <v>50</v>
      </c>
      <c r="I280" s="59" t="s">
        <v>720</v>
      </c>
      <c r="J280" s="59">
        <v>3</v>
      </c>
      <c r="K280" s="59">
        <v>10</v>
      </c>
      <c r="L280" s="59">
        <v>30</v>
      </c>
      <c r="M280">
        <v>5600</v>
      </c>
      <c r="N280" s="59">
        <v>0</v>
      </c>
      <c r="O280" s="59">
        <v>0</v>
      </c>
      <c r="P280" s="59">
        <v>0</v>
      </c>
      <c r="Q280" s="59">
        <v>0</v>
      </c>
      <c r="R280" s="59">
        <v>0</v>
      </c>
      <c r="S280" s="59">
        <v>0</v>
      </c>
      <c r="T280" s="59">
        <v>0</v>
      </c>
      <c r="U280" s="59">
        <v>250</v>
      </c>
      <c r="V280" s="59">
        <v>0</v>
      </c>
      <c r="W280" s="59">
        <v>0</v>
      </c>
      <c r="X280" s="59">
        <v>0</v>
      </c>
      <c r="Y280" s="59">
        <v>0</v>
      </c>
      <c r="Z280" s="59">
        <v>0</v>
      </c>
      <c r="AA280" s="59">
        <v>0</v>
      </c>
      <c r="AB280" s="59">
        <v>0</v>
      </c>
      <c r="AC280" s="59">
        <v>1000</v>
      </c>
      <c r="AD280" s="59">
        <v>0</v>
      </c>
      <c r="AE280" s="59">
        <v>0</v>
      </c>
      <c r="AF280" s="59">
        <v>0</v>
      </c>
      <c r="AG280" s="59">
        <v>5.0000000000000001E-3</v>
      </c>
      <c r="AH280" s="59">
        <v>0</v>
      </c>
      <c r="AI280" s="59">
        <v>0</v>
      </c>
      <c r="AJ280" s="61">
        <v>0</v>
      </c>
      <c r="AK280" s="126">
        <v>20065</v>
      </c>
      <c r="AL280" s="59">
        <v>3</v>
      </c>
      <c r="AM280" s="41">
        <f>INDEX(Sheet5!$B$19:$G$33,MATCH(Sheet1!AQ280,Sheet5!$A$19:$A$33,0),MATCH(J280,Sheet5!$B$18:$G$18,0))</f>
        <v>2100</v>
      </c>
      <c r="AN280" s="59" t="s">
        <v>48</v>
      </c>
      <c r="AO280" s="59" t="s">
        <v>743</v>
      </c>
      <c r="AP280" s="80">
        <v>20514</v>
      </c>
      <c r="AQ280" s="13">
        <v>70</v>
      </c>
    </row>
    <row r="281" spans="1:43" ht="16.5">
      <c r="A281" s="80">
        <v>2358</v>
      </c>
      <c r="B281" s="59" t="s">
        <v>1932</v>
      </c>
      <c r="C281" s="59" t="s">
        <v>166</v>
      </c>
      <c r="D281" s="59" t="s">
        <v>122</v>
      </c>
      <c r="E281" s="60">
        <v>11023</v>
      </c>
      <c r="F281" s="59">
        <v>5000</v>
      </c>
      <c r="G281" s="59">
        <v>300</v>
      </c>
      <c r="H281" s="59">
        <v>50</v>
      </c>
      <c r="I281" s="59" t="s">
        <v>720</v>
      </c>
      <c r="J281" s="59">
        <v>3</v>
      </c>
      <c r="K281" s="59">
        <v>10</v>
      </c>
      <c r="L281" s="59">
        <v>30</v>
      </c>
      <c r="M281">
        <v>6400</v>
      </c>
      <c r="N281" s="59">
        <v>0</v>
      </c>
      <c r="O281" s="59">
        <v>0</v>
      </c>
      <c r="P281" s="59">
        <v>0</v>
      </c>
      <c r="Q281" s="59">
        <v>0</v>
      </c>
      <c r="R281" s="59">
        <v>0</v>
      </c>
      <c r="S281" s="59">
        <v>0</v>
      </c>
      <c r="T281" s="59">
        <v>0</v>
      </c>
      <c r="U281" s="59">
        <v>250</v>
      </c>
      <c r="V281" s="59">
        <v>0</v>
      </c>
      <c r="W281" s="59">
        <v>0</v>
      </c>
      <c r="X281" s="59">
        <v>0</v>
      </c>
      <c r="Y281" s="59">
        <v>0</v>
      </c>
      <c r="Z281" s="59">
        <v>0</v>
      </c>
      <c r="AA281" s="59">
        <v>0</v>
      </c>
      <c r="AB281" s="59">
        <v>0</v>
      </c>
      <c r="AC281" s="59">
        <v>1000</v>
      </c>
      <c r="AD281" s="59">
        <v>0</v>
      </c>
      <c r="AE281" s="59">
        <v>0</v>
      </c>
      <c r="AF281" s="59">
        <v>0</v>
      </c>
      <c r="AG281" s="59">
        <v>5.0000000000000001E-3</v>
      </c>
      <c r="AH281" s="59">
        <v>0</v>
      </c>
      <c r="AI281" s="59">
        <v>0</v>
      </c>
      <c r="AJ281" s="61">
        <v>0</v>
      </c>
      <c r="AK281" s="126">
        <v>20066</v>
      </c>
      <c r="AL281" s="59">
        <v>3</v>
      </c>
      <c r="AM281" s="41">
        <f>INDEX(Sheet5!$B$19:$G$33,MATCH(Sheet1!AQ281,Sheet5!$A$19:$A$33,0),MATCH(J281,Sheet5!$B$18:$G$18,0))</f>
        <v>2400</v>
      </c>
      <c r="AN281" s="59" t="s">
        <v>48</v>
      </c>
      <c r="AO281" s="59" t="s">
        <v>743</v>
      </c>
      <c r="AP281" s="80">
        <v>20515</v>
      </c>
      <c r="AQ281" s="13">
        <v>80</v>
      </c>
    </row>
    <row r="282" spans="1:43" ht="16.5">
      <c r="A282" s="80">
        <v>2359</v>
      </c>
      <c r="B282" s="59" t="s">
        <v>1933</v>
      </c>
      <c r="C282" s="59" t="s">
        <v>166</v>
      </c>
      <c r="D282" s="59" t="s">
        <v>122</v>
      </c>
      <c r="E282" s="60">
        <v>11023</v>
      </c>
      <c r="F282" s="59">
        <v>5000</v>
      </c>
      <c r="G282" s="59">
        <v>300</v>
      </c>
      <c r="H282" s="59">
        <v>50</v>
      </c>
      <c r="I282" s="59" t="s">
        <v>720</v>
      </c>
      <c r="J282" s="59">
        <v>3</v>
      </c>
      <c r="K282" s="59">
        <v>10</v>
      </c>
      <c r="L282" s="59">
        <v>30</v>
      </c>
      <c r="M282">
        <v>7200</v>
      </c>
      <c r="N282" s="59">
        <v>0</v>
      </c>
      <c r="O282" s="59">
        <v>0</v>
      </c>
      <c r="P282" s="59">
        <v>0</v>
      </c>
      <c r="Q282" s="59">
        <v>0</v>
      </c>
      <c r="R282" s="59">
        <v>0</v>
      </c>
      <c r="S282" s="59">
        <v>0</v>
      </c>
      <c r="T282" s="59">
        <v>0</v>
      </c>
      <c r="U282" s="59">
        <v>250</v>
      </c>
      <c r="V282" s="59">
        <v>0</v>
      </c>
      <c r="W282" s="59">
        <v>0</v>
      </c>
      <c r="X282" s="59">
        <v>0</v>
      </c>
      <c r="Y282" s="59">
        <v>0</v>
      </c>
      <c r="Z282" s="59">
        <v>0</v>
      </c>
      <c r="AA282" s="59">
        <v>0</v>
      </c>
      <c r="AB282" s="59">
        <v>0</v>
      </c>
      <c r="AC282" s="59">
        <v>1000</v>
      </c>
      <c r="AD282" s="59">
        <v>0</v>
      </c>
      <c r="AE282" s="59">
        <v>0</v>
      </c>
      <c r="AF282" s="59">
        <v>0</v>
      </c>
      <c r="AG282" s="59">
        <v>5.0000000000000001E-3</v>
      </c>
      <c r="AH282" s="59">
        <v>0</v>
      </c>
      <c r="AI282" s="59">
        <v>0</v>
      </c>
      <c r="AJ282" s="61">
        <v>0</v>
      </c>
      <c r="AK282" s="126">
        <v>20067</v>
      </c>
      <c r="AL282" s="59">
        <v>3</v>
      </c>
      <c r="AM282" s="41">
        <f>INDEX(Sheet5!$B$19:$G$33,MATCH(Sheet1!AQ282,Sheet5!$A$19:$A$33,0),MATCH(J282,Sheet5!$B$18:$G$18,0))</f>
        <v>2700</v>
      </c>
      <c r="AN282" s="59" t="s">
        <v>48</v>
      </c>
      <c r="AO282" s="59" t="s">
        <v>743</v>
      </c>
      <c r="AP282" s="80">
        <v>20516</v>
      </c>
      <c r="AQ282" s="13">
        <v>90</v>
      </c>
    </row>
    <row r="283" spans="1:43" ht="16.5">
      <c r="A283" s="80">
        <v>2360</v>
      </c>
      <c r="B283" s="59" t="s">
        <v>1934</v>
      </c>
      <c r="C283" s="59" t="s">
        <v>166</v>
      </c>
      <c r="D283" s="59" t="s">
        <v>122</v>
      </c>
      <c r="E283" s="60">
        <v>11023</v>
      </c>
      <c r="F283" s="59">
        <v>5000</v>
      </c>
      <c r="G283" s="59">
        <v>300</v>
      </c>
      <c r="H283" s="59">
        <v>50</v>
      </c>
      <c r="I283" s="59" t="s">
        <v>720</v>
      </c>
      <c r="J283" s="59">
        <v>3</v>
      </c>
      <c r="K283" s="59">
        <v>10</v>
      </c>
      <c r="L283" s="59">
        <v>30</v>
      </c>
      <c r="M283">
        <v>8000</v>
      </c>
      <c r="N283" s="59">
        <v>0</v>
      </c>
      <c r="O283" s="59">
        <v>0</v>
      </c>
      <c r="P283" s="59">
        <v>0</v>
      </c>
      <c r="Q283" s="59">
        <v>0</v>
      </c>
      <c r="R283" s="59">
        <v>0</v>
      </c>
      <c r="S283" s="59">
        <v>0</v>
      </c>
      <c r="T283" s="59">
        <v>0</v>
      </c>
      <c r="U283" s="59">
        <v>250</v>
      </c>
      <c r="V283" s="59">
        <v>0</v>
      </c>
      <c r="W283" s="59">
        <v>0</v>
      </c>
      <c r="X283" s="59">
        <v>0</v>
      </c>
      <c r="Y283" s="59">
        <v>0</v>
      </c>
      <c r="Z283" s="59">
        <v>0</v>
      </c>
      <c r="AA283" s="59">
        <v>0</v>
      </c>
      <c r="AB283" s="59">
        <v>0</v>
      </c>
      <c r="AC283" s="59">
        <v>1000</v>
      </c>
      <c r="AD283" s="59">
        <v>0</v>
      </c>
      <c r="AE283" s="59">
        <v>0</v>
      </c>
      <c r="AF283" s="59">
        <v>0</v>
      </c>
      <c r="AG283" s="59">
        <v>5.0000000000000001E-3</v>
      </c>
      <c r="AH283" s="59">
        <v>0</v>
      </c>
      <c r="AI283" s="59">
        <v>0</v>
      </c>
      <c r="AJ283" s="61">
        <v>0</v>
      </c>
      <c r="AK283" s="126">
        <v>20068</v>
      </c>
      <c r="AL283" s="59">
        <v>3</v>
      </c>
      <c r="AM283" s="41">
        <f>INDEX(Sheet5!$B$19:$G$33,MATCH(Sheet1!AQ283,Sheet5!$A$19:$A$33,0),MATCH(J283,Sheet5!$B$18:$G$18,0))</f>
        <v>3000</v>
      </c>
      <c r="AN283" s="59" t="s">
        <v>48</v>
      </c>
      <c r="AO283" s="59" t="s">
        <v>743</v>
      </c>
      <c r="AP283" s="80">
        <v>20517</v>
      </c>
      <c r="AQ283" s="13">
        <v>100</v>
      </c>
    </row>
    <row r="284" spans="1:43" ht="16.5">
      <c r="A284" s="80">
        <v>2361</v>
      </c>
      <c r="B284" s="59" t="s">
        <v>1935</v>
      </c>
      <c r="C284" s="59" t="s">
        <v>166</v>
      </c>
      <c r="D284" s="59" t="s">
        <v>122</v>
      </c>
      <c r="E284" s="60">
        <v>11023</v>
      </c>
      <c r="F284" s="59">
        <v>5000</v>
      </c>
      <c r="G284" s="59">
        <v>300</v>
      </c>
      <c r="H284" s="59">
        <v>50</v>
      </c>
      <c r="I284" s="59" t="s">
        <v>720</v>
      </c>
      <c r="J284" s="59">
        <v>3</v>
      </c>
      <c r="K284" s="59">
        <v>10</v>
      </c>
      <c r="L284" s="59">
        <v>30</v>
      </c>
      <c r="M284">
        <v>8800</v>
      </c>
      <c r="N284" s="59">
        <v>0</v>
      </c>
      <c r="O284" s="59">
        <v>0</v>
      </c>
      <c r="P284" s="59">
        <v>0</v>
      </c>
      <c r="Q284" s="59">
        <v>0</v>
      </c>
      <c r="R284" s="59">
        <v>0</v>
      </c>
      <c r="S284" s="59">
        <v>0</v>
      </c>
      <c r="T284" s="59">
        <v>0</v>
      </c>
      <c r="U284" s="59">
        <v>250</v>
      </c>
      <c r="V284" s="59">
        <v>0</v>
      </c>
      <c r="W284" s="59">
        <v>0</v>
      </c>
      <c r="X284" s="59">
        <v>0</v>
      </c>
      <c r="Y284" s="59">
        <v>0</v>
      </c>
      <c r="Z284" s="59">
        <v>0</v>
      </c>
      <c r="AA284" s="59">
        <v>0</v>
      </c>
      <c r="AB284" s="59">
        <v>0</v>
      </c>
      <c r="AC284" s="59">
        <v>1000</v>
      </c>
      <c r="AD284" s="59">
        <v>0</v>
      </c>
      <c r="AE284" s="59">
        <v>0</v>
      </c>
      <c r="AF284" s="59">
        <v>0</v>
      </c>
      <c r="AG284" s="59">
        <v>5.0000000000000001E-3</v>
      </c>
      <c r="AH284" s="59">
        <v>0</v>
      </c>
      <c r="AI284" s="59">
        <v>0</v>
      </c>
      <c r="AJ284" s="61">
        <v>0</v>
      </c>
      <c r="AK284" s="126">
        <v>20069</v>
      </c>
      <c r="AL284" s="59">
        <v>3</v>
      </c>
      <c r="AM284" s="41">
        <f>INDEX(Sheet5!$B$19:$G$33,MATCH(Sheet1!AQ284,Sheet5!$A$19:$A$33,0),MATCH(J284,Sheet5!$B$18:$G$18,0))</f>
        <v>3300</v>
      </c>
      <c r="AN284" s="59" t="s">
        <v>48</v>
      </c>
      <c r="AO284" s="59" t="s">
        <v>743</v>
      </c>
      <c r="AP284" s="80">
        <v>20518</v>
      </c>
      <c r="AQ284" s="13">
        <v>110</v>
      </c>
    </row>
    <row r="285" spans="1:43" ht="16.5">
      <c r="A285" s="80">
        <v>2362</v>
      </c>
      <c r="B285" s="59" t="s">
        <v>1936</v>
      </c>
      <c r="C285" s="59" t="s">
        <v>166</v>
      </c>
      <c r="D285" s="59" t="s">
        <v>122</v>
      </c>
      <c r="E285" s="60">
        <v>11023</v>
      </c>
      <c r="F285" s="59">
        <v>5000</v>
      </c>
      <c r="G285" s="59">
        <v>300</v>
      </c>
      <c r="H285" s="59">
        <v>50</v>
      </c>
      <c r="I285" s="59" t="s">
        <v>720</v>
      </c>
      <c r="J285" s="59">
        <v>3</v>
      </c>
      <c r="K285" s="59">
        <v>10</v>
      </c>
      <c r="L285" s="59">
        <v>30</v>
      </c>
      <c r="M285">
        <v>9600</v>
      </c>
      <c r="N285" s="59">
        <v>0</v>
      </c>
      <c r="O285" s="59">
        <v>0</v>
      </c>
      <c r="P285" s="59">
        <v>0</v>
      </c>
      <c r="Q285" s="59">
        <v>0</v>
      </c>
      <c r="R285" s="59">
        <v>0</v>
      </c>
      <c r="S285" s="59">
        <v>0</v>
      </c>
      <c r="T285" s="59">
        <v>0</v>
      </c>
      <c r="U285" s="59">
        <v>250</v>
      </c>
      <c r="V285" s="59">
        <v>0</v>
      </c>
      <c r="W285" s="59">
        <v>0</v>
      </c>
      <c r="X285" s="59">
        <v>0</v>
      </c>
      <c r="Y285" s="59">
        <v>0</v>
      </c>
      <c r="Z285" s="59">
        <v>0</v>
      </c>
      <c r="AA285" s="59">
        <v>0</v>
      </c>
      <c r="AB285" s="59">
        <v>0</v>
      </c>
      <c r="AC285" s="59">
        <v>1000</v>
      </c>
      <c r="AD285" s="59">
        <v>0</v>
      </c>
      <c r="AE285" s="59">
        <v>0</v>
      </c>
      <c r="AF285" s="59">
        <v>0</v>
      </c>
      <c r="AG285" s="59">
        <v>5.0000000000000001E-3</v>
      </c>
      <c r="AH285" s="59">
        <v>0</v>
      </c>
      <c r="AI285" s="59">
        <v>0</v>
      </c>
      <c r="AJ285" s="61">
        <v>0</v>
      </c>
      <c r="AK285" s="126">
        <v>20070</v>
      </c>
      <c r="AL285" s="59">
        <v>3</v>
      </c>
      <c r="AM285" s="41">
        <f>INDEX(Sheet5!$B$19:$G$33,MATCH(Sheet1!AQ285,Sheet5!$A$19:$A$33,0),MATCH(J285,Sheet5!$B$18:$G$18,0))</f>
        <v>3600</v>
      </c>
      <c r="AN285" s="59" t="s">
        <v>48</v>
      </c>
      <c r="AO285" s="59" t="s">
        <v>743</v>
      </c>
      <c r="AP285" s="80">
        <v>20519</v>
      </c>
      <c r="AQ285" s="13">
        <v>120</v>
      </c>
    </row>
    <row r="286" spans="1:43" ht="16.5">
      <c r="A286" s="80">
        <v>2363</v>
      </c>
      <c r="B286" s="59" t="s">
        <v>1937</v>
      </c>
      <c r="C286" s="59" t="s">
        <v>166</v>
      </c>
      <c r="D286" s="59" t="s">
        <v>122</v>
      </c>
      <c r="E286" s="60">
        <v>11023</v>
      </c>
      <c r="F286" s="59">
        <v>5000</v>
      </c>
      <c r="G286" s="59">
        <v>300</v>
      </c>
      <c r="H286" s="59">
        <v>50</v>
      </c>
      <c r="I286" s="59" t="s">
        <v>720</v>
      </c>
      <c r="J286" s="59">
        <v>3</v>
      </c>
      <c r="K286" s="59">
        <v>10</v>
      </c>
      <c r="L286" s="59">
        <v>30</v>
      </c>
      <c r="M286">
        <v>10400</v>
      </c>
      <c r="N286" s="59">
        <v>0</v>
      </c>
      <c r="O286" s="59">
        <v>0</v>
      </c>
      <c r="P286" s="59">
        <v>0</v>
      </c>
      <c r="Q286" s="59">
        <v>0</v>
      </c>
      <c r="R286" s="59">
        <v>0</v>
      </c>
      <c r="S286" s="59">
        <v>0</v>
      </c>
      <c r="T286" s="59">
        <v>0</v>
      </c>
      <c r="U286" s="59">
        <v>250</v>
      </c>
      <c r="V286" s="59">
        <v>0</v>
      </c>
      <c r="W286" s="59">
        <v>0</v>
      </c>
      <c r="X286" s="59">
        <v>0</v>
      </c>
      <c r="Y286" s="59">
        <v>0</v>
      </c>
      <c r="Z286" s="59">
        <v>0</v>
      </c>
      <c r="AA286" s="59">
        <v>0</v>
      </c>
      <c r="AB286" s="59">
        <v>0</v>
      </c>
      <c r="AC286" s="59">
        <v>1000</v>
      </c>
      <c r="AD286" s="59">
        <v>0</v>
      </c>
      <c r="AE286" s="59">
        <v>0</v>
      </c>
      <c r="AF286" s="59">
        <v>0</v>
      </c>
      <c r="AG286" s="59">
        <v>5.0000000000000001E-3</v>
      </c>
      <c r="AH286" s="59">
        <v>0</v>
      </c>
      <c r="AI286" s="59">
        <v>0</v>
      </c>
      <c r="AJ286" s="61">
        <v>0</v>
      </c>
      <c r="AK286" s="126">
        <v>20071</v>
      </c>
      <c r="AL286" s="59">
        <v>3</v>
      </c>
      <c r="AM286" s="41">
        <f>INDEX(Sheet5!$B$19:$G$33,MATCH(Sheet1!AQ286,Sheet5!$A$19:$A$33,0),MATCH(J286,Sheet5!$B$18:$G$18,0))</f>
        <v>3900</v>
      </c>
      <c r="AN286" s="59" t="s">
        <v>48</v>
      </c>
      <c r="AO286" s="59" t="s">
        <v>743</v>
      </c>
      <c r="AP286" s="80">
        <v>20520</v>
      </c>
      <c r="AQ286" s="13">
        <v>130</v>
      </c>
    </row>
    <row r="287" spans="1:43" ht="16.5">
      <c r="A287" s="80">
        <v>2364</v>
      </c>
      <c r="B287" s="59" t="s">
        <v>1938</v>
      </c>
      <c r="C287" s="59" t="s">
        <v>166</v>
      </c>
      <c r="D287" s="59" t="s">
        <v>122</v>
      </c>
      <c r="E287" s="60">
        <v>11023</v>
      </c>
      <c r="F287" s="59">
        <v>5000</v>
      </c>
      <c r="G287" s="59">
        <v>300</v>
      </c>
      <c r="H287" s="59">
        <v>50</v>
      </c>
      <c r="I287" s="59" t="s">
        <v>720</v>
      </c>
      <c r="J287" s="59">
        <v>3</v>
      </c>
      <c r="K287" s="59">
        <v>10</v>
      </c>
      <c r="L287" s="59">
        <v>30</v>
      </c>
      <c r="M287">
        <v>11200</v>
      </c>
      <c r="N287" s="59">
        <v>0</v>
      </c>
      <c r="O287" s="59">
        <v>0</v>
      </c>
      <c r="P287" s="59">
        <v>0</v>
      </c>
      <c r="Q287" s="59">
        <v>0</v>
      </c>
      <c r="R287" s="59">
        <v>0</v>
      </c>
      <c r="S287" s="59">
        <v>0</v>
      </c>
      <c r="T287" s="59">
        <v>0</v>
      </c>
      <c r="U287" s="59">
        <v>250</v>
      </c>
      <c r="V287" s="59">
        <v>0</v>
      </c>
      <c r="W287" s="59">
        <v>0</v>
      </c>
      <c r="X287" s="59">
        <v>0</v>
      </c>
      <c r="Y287" s="59">
        <v>0</v>
      </c>
      <c r="Z287" s="59">
        <v>0</v>
      </c>
      <c r="AA287" s="59">
        <v>0</v>
      </c>
      <c r="AB287" s="59">
        <v>0</v>
      </c>
      <c r="AC287" s="59">
        <v>1000</v>
      </c>
      <c r="AD287" s="59">
        <v>0</v>
      </c>
      <c r="AE287" s="59">
        <v>0</v>
      </c>
      <c r="AF287" s="59">
        <v>0</v>
      </c>
      <c r="AG287" s="59">
        <v>5.0000000000000001E-3</v>
      </c>
      <c r="AH287" s="59">
        <v>0</v>
      </c>
      <c r="AI287" s="59">
        <v>0</v>
      </c>
      <c r="AJ287" s="61">
        <v>0</v>
      </c>
      <c r="AK287" s="126">
        <v>20072</v>
      </c>
      <c r="AL287" s="59">
        <v>3</v>
      </c>
      <c r="AM287" s="41">
        <f>INDEX(Sheet5!$B$19:$G$33,MATCH(Sheet1!AQ287,Sheet5!$A$19:$A$33,0),MATCH(J287,Sheet5!$B$18:$G$18,0))</f>
        <v>4200</v>
      </c>
      <c r="AN287" s="59" t="s">
        <v>48</v>
      </c>
      <c r="AO287" s="59" t="s">
        <v>743</v>
      </c>
      <c r="AP287" s="80">
        <v>205211</v>
      </c>
      <c r="AQ287" s="13">
        <v>140</v>
      </c>
    </row>
    <row r="288" spans="1:43" ht="16.5">
      <c r="A288" s="80">
        <v>2365</v>
      </c>
      <c r="B288" s="59" t="s">
        <v>1939</v>
      </c>
      <c r="C288" s="59" t="s">
        <v>166</v>
      </c>
      <c r="D288" s="59" t="s">
        <v>122</v>
      </c>
      <c r="E288" s="60">
        <v>11023</v>
      </c>
      <c r="F288" s="59">
        <v>5000</v>
      </c>
      <c r="G288" s="59">
        <v>300</v>
      </c>
      <c r="H288" s="59">
        <v>50</v>
      </c>
      <c r="I288" s="59" t="s">
        <v>720</v>
      </c>
      <c r="J288" s="59">
        <v>3</v>
      </c>
      <c r="K288" s="59">
        <v>10</v>
      </c>
      <c r="L288" s="59">
        <v>30</v>
      </c>
      <c r="M288">
        <v>12000</v>
      </c>
      <c r="N288" s="59">
        <v>0</v>
      </c>
      <c r="O288" s="59">
        <v>0</v>
      </c>
      <c r="P288" s="59">
        <v>0</v>
      </c>
      <c r="Q288" s="59">
        <v>0</v>
      </c>
      <c r="R288" s="59">
        <v>0</v>
      </c>
      <c r="S288" s="59">
        <v>0</v>
      </c>
      <c r="T288" s="59">
        <v>0</v>
      </c>
      <c r="U288" s="59">
        <v>250</v>
      </c>
      <c r="V288" s="59">
        <v>0</v>
      </c>
      <c r="W288" s="59">
        <v>0</v>
      </c>
      <c r="X288" s="59">
        <v>0</v>
      </c>
      <c r="Y288" s="59">
        <v>0</v>
      </c>
      <c r="Z288" s="59">
        <v>0</v>
      </c>
      <c r="AA288" s="59">
        <v>0</v>
      </c>
      <c r="AB288" s="59">
        <v>0</v>
      </c>
      <c r="AC288" s="59">
        <v>1000</v>
      </c>
      <c r="AD288" s="59">
        <v>0</v>
      </c>
      <c r="AE288" s="59">
        <v>0</v>
      </c>
      <c r="AF288" s="59">
        <v>0</v>
      </c>
      <c r="AG288" s="59">
        <v>5.0000000000000001E-3</v>
      </c>
      <c r="AH288" s="59">
        <v>0</v>
      </c>
      <c r="AI288" s="59">
        <v>0</v>
      </c>
      <c r="AJ288" s="61">
        <v>0</v>
      </c>
      <c r="AK288" s="126">
        <v>20073</v>
      </c>
      <c r="AL288" s="59">
        <v>3</v>
      </c>
      <c r="AM288" s="41">
        <f>INDEX(Sheet5!$B$19:$G$33,MATCH(Sheet1!AQ288,Sheet5!$A$19:$A$33,0),MATCH(J288,Sheet5!$B$18:$G$18,0))</f>
        <v>4500</v>
      </c>
      <c r="AN288" s="59" t="s">
        <v>48</v>
      </c>
      <c r="AO288" s="59" t="s">
        <v>743</v>
      </c>
      <c r="AP288" s="80">
        <v>205212</v>
      </c>
      <c r="AQ288" s="13">
        <v>150</v>
      </c>
    </row>
    <row r="289" spans="1:43" ht="16.5">
      <c r="A289" s="80">
        <v>2366</v>
      </c>
      <c r="B289" s="59" t="s">
        <v>1940</v>
      </c>
      <c r="C289" s="59" t="s">
        <v>166</v>
      </c>
      <c r="D289" s="59" t="s">
        <v>123</v>
      </c>
      <c r="E289" s="60">
        <v>11024</v>
      </c>
      <c r="F289" s="59">
        <v>5000</v>
      </c>
      <c r="G289" s="59">
        <v>300</v>
      </c>
      <c r="H289" s="59">
        <v>50</v>
      </c>
      <c r="I289" s="59" t="s">
        <v>159</v>
      </c>
      <c r="J289" s="59">
        <v>3</v>
      </c>
      <c r="K289" s="59">
        <v>10</v>
      </c>
      <c r="L289" s="59">
        <v>30</v>
      </c>
      <c r="M289" s="59">
        <v>0</v>
      </c>
      <c r="N289" s="59">
        <v>0</v>
      </c>
      <c r="O289" s="59">
        <v>0</v>
      </c>
      <c r="P289">
        <v>160</v>
      </c>
      <c r="Q289" s="59">
        <v>0</v>
      </c>
      <c r="R289" s="59">
        <v>0</v>
      </c>
      <c r="S289" s="59">
        <v>0</v>
      </c>
      <c r="T289" s="59">
        <v>0</v>
      </c>
      <c r="U289" s="59">
        <v>0</v>
      </c>
      <c r="V289" s="59">
        <v>0</v>
      </c>
      <c r="W289" s="59">
        <v>0</v>
      </c>
      <c r="X289" s="59">
        <v>5</v>
      </c>
      <c r="Y289" s="59">
        <v>0</v>
      </c>
      <c r="Z289" s="59">
        <v>0</v>
      </c>
      <c r="AA289" s="59">
        <v>0</v>
      </c>
      <c r="AB289" s="59">
        <v>0</v>
      </c>
      <c r="AC289" s="59">
        <v>0</v>
      </c>
      <c r="AD289" s="59">
        <v>0</v>
      </c>
      <c r="AE289" s="59">
        <v>0</v>
      </c>
      <c r="AF289" s="59">
        <v>20</v>
      </c>
      <c r="AG289" s="59">
        <v>0</v>
      </c>
      <c r="AH289" s="59">
        <v>5.0000000000000001E-3</v>
      </c>
      <c r="AI289" s="59">
        <v>0</v>
      </c>
      <c r="AJ289" s="59">
        <v>0</v>
      </c>
      <c r="AK289" s="128">
        <v>20059</v>
      </c>
      <c r="AL289" s="59">
        <v>4</v>
      </c>
      <c r="AM289" s="41">
        <f>INDEX(Sheet5!$B$19:$G$33,MATCH(Sheet1!AQ289,Sheet5!$A$19:$A$33,0),MATCH(J289,Sheet5!$B$18:$G$18,0))</f>
        <v>300</v>
      </c>
      <c r="AN289" s="59" t="s">
        <v>48</v>
      </c>
      <c r="AO289" s="59" t="s">
        <v>744</v>
      </c>
      <c r="AP289" s="80">
        <v>521</v>
      </c>
      <c r="AQ289" s="13">
        <v>10</v>
      </c>
    </row>
    <row r="290" spans="1:43" ht="16.5">
      <c r="A290" s="80">
        <v>2367</v>
      </c>
      <c r="B290" s="59" t="s">
        <v>1941</v>
      </c>
      <c r="C290" s="59" t="s">
        <v>166</v>
      </c>
      <c r="D290" s="59" t="s">
        <v>123</v>
      </c>
      <c r="E290" s="60">
        <v>11024</v>
      </c>
      <c r="F290" s="59">
        <v>5000</v>
      </c>
      <c r="G290" s="59">
        <v>300</v>
      </c>
      <c r="H290" s="59">
        <v>50</v>
      </c>
      <c r="I290" s="59" t="s">
        <v>159</v>
      </c>
      <c r="J290" s="59">
        <v>3</v>
      </c>
      <c r="K290" s="59">
        <v>10</v>
      </c>
      <c r="L290" s="59">
        <v>30</v>
      </c>
      <c r="M290" s="59">
        <v>0</v>
      </c>
      <c r="N290" s="59">
        <v>0</v>
      </c>
      <c r="O290" s="59">
        <v>0</v>
      </c>
      <c r="P290">
        <v>320</v>
      </c>
      <c r="Q290" s="59">
        <v>0</v>
      </c>
      <c r="R290" s="59">
        <v>0</v>
      </c>
      <c r="S290" s="59">
        <v>0</v>
      </c>
      <c r="T290" s="59">
        <v>0</v>
      </c>
      <c r="U290" s="59">
        <v>0</v>
      </c>
      <c r="V290" s="59">
        <v>0</v>
      </c>
      <c r="W290" s="59">
        <v>0</v>
      </c>
      <c r="X290" s="59">
        <v>5</v>
      </c>
      <c r="Y290" s="59">
        <v>0</v>
      </c>
      <c r="Z290" s="59">
        <v>0</v>
      </c>
      <c r="AA290" s="59">
        <v>0</v>
      </c>
      <c r="AB290" s="59">
        <v>0</v>
      </c>
      <c r="AC290" s="59">
        <v>0</v>
      </c>
      <c r="AD290" s="59">
        <v>0</v>
      </c>
      <c r="AE290" s="59">
        <v>0</v>
      </c>
      <c r="AF290" s="59">
        <v>20</v>
      </c>
      <c r="AG290" s="59">
        <v>0</v>
      </c>
      <c r="AH290" s="59">
        <v>5.0000000000000001E-3</v>
      </c>
      <c r="AI290" s="59">
        <v>0</v>
      </c>
      <c r="AJ290" s="59">
        <v>0</v>
      </c>
      <c r="AK290" s="128">
        <v>20060</v>
      </c>
      <c r="AL290" s="59">
        <v>4</v>
      </c>
      <c r="AM290" s="41">
        <f>INDEX(Sheet5!$B$19:$G$33,MATCH(Sheet1!AQ290,Sheet5!$A$19:$A$33,0),MATCH(J290,Sheet5!$B$18:$G$18,0))</f>
        <v>600</v>
      </c>
      <c r="AN290" s="59" t="s">
        <v>48</v>
      </c>
      <c r="AO290" s="59" t="s">
        <v>744</v>
      </c>
      <c r="AP290" s="80">
        <v>522</v>
      </c>
      <c r="AQ290" s="13">
        <v>20</v>
      </c>
    </row>
    <row r="291" spans="1:43" s="87" customFormat="1" ht="16.5">
      <c r="A291" s="94">
        <v>2052</v>
      </c>
      <c r="B291" s="94" t="s">
        <v>1942</v>
      </c>
      <c r="C291" s="94" t="s">
        <v>166</v>
      </c>
      <c r="D291" s="94" t="s">
        <v>123</v>
      </c>
      <c r="E291" s="95">
        <v>11024</v>
      </c>
      <c r="F291" s="94">
        <v>5000</v>
      </c>
      <c r="G291" s="94">
        <v>300</v>
      </c>
      <c r="H291" s="94">
        <v>50</v>
      </c>
      <c r="I291" s="94" t="s">
        <v>159</v>
      </c>
      <c r="J291" s="94">
        <v>3</v>
      </c>
      <c r="K291" s="94">
        <v>10</v>
      </c>
      <c r="L291" s="94">
        <v>30</v>
      </c>
      <c r="M291" s="94">
        <v>0</v>
      </c>
      <c r="N291" s="94">
        <v>0</v>
      </c>
      <c r="O291" s="94">
        <v>0</v>
      </c>
      <c r="P291">
        <v>480</v>
      </c>
      <c r="Q291" s="94">
        <v>0</v>
      </c>
      <c r="R291" s="94">
        <v>0</v>
      </c>
      <c r="S291" s="94">
        <v>0</v>
      </c>
      <c r="T291" s="94">
        <v>0</v>
      </c>
      <c r="U291" s="94">
        <v>0</v>
      </c>
      <c r="V291" s="94">
        <v>0</v>
      </c>
      <c r="W291" s="94">
        <v>0</v>
      </c>
      <c r="X291" s="94">
        <v>5</v>
      </c>
      <c r="Y291" s="94">
        <v>0</v>
      </c>
      <c r="Z291" s="94">
        <v>0</v>
      </c>
      <c r="AA291" s="94">
        <v>0</v>
      </c>
      <c r="AB291" s="94">
        <v>0</v>
      </c>
      <c r="AC291" s="94">
        <v>0</v>
      </c>
      <c r="AD291" s="94">
        <v>0</v>
      </c>
      <c r="AE291" s="94">
        <v>0</v>
      </c>
      <c r="AF291" s="94">
        <v>20</v>
      </c>
      <c r="AG291" s="94">
        <v>0</v>
      </c>
      <c r="AH291" s="94">
        <v>5.0000000000000001E-3</v>
      </c>
      <c r="AI291" s="94">
        <v>0</v>
      </c>
      <c r="AJ291" s="94">
        <v>0</v>
      </c>
      <c r="AK291" s="128">
        <v>20061</v>
      </c>
      <c r="AL291" s="94">
        <v>4</v>
      </c>
      <c r="AM291" s="41">
        <f>INDEX(Sheet5!$B$19:$G$33,MATCH(Sheet1!AQ291,Sheet5!$A$19:$A$33,0),MATCH(J291,Sheet5!$B$18:$G$18,0))</f>
        <v>900</v>
      </c>
      <c r="AN291" s="94" t="s">
        <v>1489</v>
      </c>
      <c r="AO291" s="94" t="s">
        <v>744</v>
      </c>
      <c r="AP291" s="94">
        <v>2052</v>
      </c>
      <c r="AQ291" s="13">
        <v>30</v>
      </c>
    </row>
    <row r="292" spans="1:43" ht="16.5">
      <c r="A292" s="59">
        <v>2368</v>
      </c>
      <c r="B292" s="59" t="s">
        <v>1943</v>
      </c>
      <c r="C292" s="59" t="s">
        <v>166</v>
      </c>
      <c r="D292" s="59" t="s">
        <v>123</v>
      </c>
      <c r="E292" s="60">
        <v>11024</v>
      </c>
      <c r="F292" s="59">
        <v>5000</v>
      </c>
      <c r="G292" s="59">
        <v>300</v>
      </c>
      <c r="H292" s="59">
        <v>50</v>
      </c>
      <c r="I292" s="59" t="s">
        <v>159</v>
      </c>
      <c r="J292" s="59">
        <v>3</v>
      </c>
      <c r="K292" s="59">
        <v>10</v>
      </c>
      <c r="L292" s="59">
        <v>30</v>
      </c>
      <c r="M292" s="59">
        <v>0</v>
      </c>
      <c r="N292" s="59">
        <v>0</v>
      </c>
      <c r="O292" s="59">
        <v>0</v>
      </c>
      <c r="P292">
        <v>640</v>
      </c>
      <c r="Q292" s="59">
        <v>0</v>
      </c>
      <c r="R292" s="59">
        <v>0</v>
      </c>
      <c r="S292" s="59">
        <v>0</v>
      </c>
      <c r="T292" s="59">
        <v>0</v>
      </c>
      <c r="U292" s="59">
        <v>0</v>
      </c>
      <c r="V292" s="59">
        <v>0</v>
      </c>
      <c r="W292" s="59">
        <v>0</v>
      </c>
      <c r="X292" s="59">
        <v>5</v>
      </c>
      <c r="Y292" s="59">
        <v>0</v>
      </c>
      <c r="Z292" s="59">
        <v>0</v>
      </c>
      <c r="AA292" s="59">
        <v>0</v>
      </c>
      <c r="AB292" s="59">
        <v>0</v>
      </c>
      <c r="AC292" s="59">
        <v>0</v>
      </c>
      <c r="AD292" s="59">
        <v>0</v>
      </c>
      <c r="AE292" s="59">
        <v>0</v>
      </c>
      <c r="AF292" s="59">
        <v>20</v>
      </c>
      <c r="AG292" s="59">
        <v>0</v>
      </c>
      <c r="AH292" s="59">
        <v>5.0000000000000001E-3</v>
      </c>
      <c r="AI292" s="59">
        <v>0</v>
      </c>
      <c r="AJ292" s="59">
        <v>0</v>
      </c>
      <c r="AK292" s="128">
        <v>20062</v>
      </c>
      <c r="AL292" s="59">
        <v>4</v>
      </c>
      <c r="AM292" s="41">
        <f>INDEX(Sheet5!$B$19:$G$33,MATCH(Sheet1!AQ292,Sheet5!$A$19:$A$33,0),MATCH(J292,Sheet5!$B$18:$G$18,0))</f>
        <v>1200</v>
      </c>
      <c r="AN292" s="59" t="s">
        <v>48</v>
      </c>
      <c r="AO292" s="59" t="s">
        <v>744</v>
      </c>
      <c r="AP292" s="80">
        <v>20521</v>
      </c>
      <c r="AQ292" s="13">
        <v>40</v>
      </c>
    </row>
    <row r="293" spans="1:43" ht="16.5">
      <c r="A293" s="59">
        <v>2369</v>
      </c>
      <c r="B293" s="59" t="s">
        <v>1944</v>
      </c>
      <c r="C293" s="59" t="s">
        <v>166</v>
      </c>
      <c r="D293" s="59" t="s">
        <v>123</v>
      </c>
      <c r="E293" s="60">
        <v>11024</v>
      </c>
      <c r="F293" s="59">
        <v>5000</v>
      </c>
      <c r="G293" s="59">
        <v>300</v>
      </c>
      <c r="H293" s="59">
        <v>50</v>
      </c>
      <c r="I293" s="59" t="s">
        <v>159</v>
      </c>
      <c r="J293" s="59">
        <v>3</v>
      </c>
      <c r="K293" s="59">
        <v>10</v>
      </c>
      <c r="L293" s="59">
        <v>30</v>
      </c>
      <c r="M293" s="59">
        <v>0</v>
      </c>
      <c r="N293" s="59">
        <v>0</v>
      </c>
      <c r="O293" s="59">
        <v>0</v>
      </c>
      <c r="P293">
        <v>800</v>
      </c>
      <c r="Q293" s="59">
        <v>0</v>
      </c>
      <c r="R293" s="59">
        <v>0</v>
      </c>
      <c r="S293" s="59">
        <v>0</v>
      </c>
      <c r="T293" s="59">
        <v>0</v>
      </c>
      <c r="U293" s="59">
        <v>0</v>
      </c>
      <c r="V293" s="59">
        <v>0</v>
      </c>
      <c r="W293" s="59">
        <v>0</v>
      </c>
      <c r="X293" s="59">
        <v>5</v>
      </c>
      <c r="Y293" s="59">
        <v>0</v>
      </c>
      <c r="Z293" s="59">
        <v>0</v>
      </c>
      <c r="AA293" s="59">
        <v>0</v>
      </c>
      <c r="AB293" s="59">
        <v>0</v>
      </c>
      <c r="AC293" s="59">
        <v>0</v>
      </c>
      <c r="AD293" s="59">
        <v>0</v>
      </c>
      <c r="AE293" s="59">
        <v>0</v>
      </c>
      <c r="AF293" s="59">
        <v>20</v>
      </c>
      <c r="AG293" s="59">
        <v>0</v>
      </c>
      <c r="AH293" s="59">
        <v>5.0000000000000001E-3</v>
      </c>
      <c r="AI293" s="59">
        <v>0</v>
      </c>
      <c r="AJ293" s="59">
        <v>0</v>
      </c>
      <c r="AK293" s="128">
        <v>20063</v>
      </c>
      <c r="AL293" s="59">
        <v>4</v>
      </c>
      <c r="AM293" s="41">
        <f>INDEX(Sheet5!$B$19:$G$33,MATCH(Sheet1!AQ293,Sheet5!$A$19:$A$33,0),MATCH(J293,Sheet5!$B$18:$G$18,0))</f>
        <v>1500</v>
      </c>
      <c r="AN293" s="59" t="s">
        <v>48</v>
      </c>
      <c r="AO293" s="59" t="s">
        <v>744</v>
      </c>
      <c r="AP293" s="80">
        <v>20522</v>
      </c>
      <c r="AQ293" s="13">
        <v>50</v>
      </c>
    </row>
    <row r="294" spans="1:43" ht="16.5">
      <c r="A294" s="80">
        <v>2370</v>
      </c>
      <c r="B294" s="59" t="s">
        <v>1945</v>
      </c>
      <c r="C294" s="59" t="s">
        <v>166</v>
      </c>
      <c r="D294" s="59" t="s">
        <v>123</v>
      </c>
      <c r="E294" s="60">
        <v>11024</v>
      </c>
      <c r="F294" s="59">
        <v>5000</v>
      </c>
      <c r="G294" s="59">
        <v>300</v>
      </c>
      <c r="H294" s="59">
        <v>50</v>
      </c>
      <c r="I294" s="59" t="s">
        <v>159</v>
      </c>
      <c r="J294" s="59">
        <v>3</v>
      </c>
      <c r="K294" s="59">
        <v>10</v>
      </c>
      <c r="L294" s="59">
        <v>30</v>
      </c>
      <c r="M294" s="59">
        <v>0</v>
      </c>
      <c r="N294" s="59">
        <v>0</v>
      </c>
      <c r="O294" s="59">
        <v>0</v>
      </c>
      <c r="P294">
        <v>960</v>
      </c>
      <c r="Q294" s="59">
        <v>0</v>
      </c>
      <c r="R294" s="59">
        <v>0</v>
      </c>
      <c r="S294" s="59">
        <v>0</v>
      </c>
      <c r="T294" s="59">
        <v>0</v>
      </c>
      <c r="U294" s="59">
        <v>0</v>
      </c>
      <c r="V294" s="59">
        <v>0</v>
      </c>
      <c r="W294" s="59">
        <v>0</v>
      </c>
      <c r="X294" s="59">
        <v>5</v>
      </c>
      <c r="Y294" s="59">
        <v>0</v>
      </c>
      <c r="Z294" s="59">
        <v>0</v>
      </c>
      <c r="AA294" s="59">
        <v>0</v>
      </c>
      <c r="AB294" s="59">
        <v>0</v>
      </c>
      <c r="AC294" s="59">
        <v>0</v>
      </c>
      <c r="AD294" s="59">
        <v>0</v>
      </c>
      <c r="AE294" s="59">
        <v>0</v>
      </c>
      <c r="AF294" s="59">
        <v>20</v>
      </c>
      <c r="AG294" s="59">
        <v>0</v>
      </c>
      <c r="AH294" s="59">
        <v>5.0000000000000001E-3</v>
      </c>
      <c r="AI294" s="59">
        <v>0</v>
      </c>
      <c r="AJ294" s="59">
        <v>0</v>
      </c>
      <c r="AK294" s="128">
        <v>20064</v>
      </c>
      <c r="AL294" s="59">
        <v>4</v>
      </c>
      <c r="AM294" s="41">
        <f>INDEX(Sheet5!$B$19:$G$33,MATCH(Sheet1!AQ294,Sheet5!$A$19:$A$33,0),MATCH(J294,Sheet5!$B$18:$G$18,0))</f>
        <v>1800</v>
      </c>
      <c r="AN294" s="59" t="s">
        <v>48</v>
      </c>
      <c r="AO294" s="59" t="s">
        <v>744</v>
      </c>
      <c r="AP294" s="80">
        <v>20523</v>
      </c>
      <c r="AQ294" s="13">
        <v>60</v>
      </c>
    </row>
    <row r="295" spans="1:43" ht="16.5">
      <c r="A295" s="80">
        <v>2371</v>
      </c>
      <c r="B295" s="59" t="s">
        <v>1946</v>
      </c>
      <c r="C295" s="59" t="s">
        <v>166</v>
      </c>
      <c r="D295" s="59" t="s">
        <v>123</v>
      </c>
      <c r="E295" s="60">
        <v>11024</v>
      </c>
      <c r="F295" s="59">
        <v>5000</v>
      </c>
      <c r="G295" s="59">
        <v>300</v>
      </c>
      <c r="H295" s="59">
        <v>50</v>
      </c>
      <c r="I295" s="59" t="s">
        <v>159</v>
      </c>
      <c r="J295" s="59">
        <v>3</v>
      </c>
      <c r="K295" s="59">
        <v>10</v>
      </c>
      <c r="L295" s="59">
        <v>30</v>
      </c>
      <c r="M295" s="59">
        <v>0</v>
      </c>
      <c r="N295" s="59">
        <v>0</v>
      </c>
      <c r="O295" s="59">
        <v>0</v>
      </c>
      <c r="P295">
        <v>1120</v>
      </c>
      <c r="Q295" s="59">
        <v>0</v>
      </c>
      <c r="R295" s="59">
        <v>0</v>
      </c>
      <c r="S295" s="59">
        <v>0</v>
      </c>
      <c r="T295" s="59">
        <v>0</v>
      </c>
      <c r="U295" s="59">
        <v>0</v>
      </c>
      <c r="V295" s="59">
        <v>0</v>
      </c>
      <c r="W295" s="59">
        <v>0</v>
      </c>
      <c r="X295" s="59">
        <v>5</v>
      </c>
      <c r="Y295" s="59">
        <v>0</v>
      </c>
      <c r="Z295" s="59">
        <v>0</v>
      </c>
      <c r="AA295" s="59">
        <v>0</v>
      </c>
      <c r="AB295" s="59">
        <v>0</v>
      </c>
      <c r="AC295" s="59">
        <v>0</v>
      </c>
      <c r="AD295" s="59">
        <v>0</v>
      </c>
      <c r="AE295" s="59">
        <v>0</v>
      </c>
      <c r="AF295" s="59">
        <v>20</v>
      </c>
      <c r="AG295" s="59">
        <v>0</v>
      </c>
      <c r="AH295" s="59">
        <v>5.0000000000000001E-3</v>
      </c>
      <c r="AI295" s="59">
        <v>0</v>
      </c>
      <c r="AJ295" s="59">
        <v>0</v>
      </c>
      <c r="AK295" s="128">
        <v>20065</v>
      </c>
      <c r="AL295" s="59">
        <v>4</v>
      </c>
      <c r="AM295" s="41">
        <f>INDEX(Sheet5!$B$19:$G$33,MATCH(Sheet1!AQ295,Sheet5!$A$19:$A$33,0),MATCH(J295,Sheet5!$B$18:$G$18,0))</f>
        <v>2100</v>
      </c>
      <c r="AN295" s="59" t="s">
        <v>48</v>
      </c>
      <c r="AO295" s="59" t="s">
        <v>744</v>
      </c>
      <c r="AP295" s="80">
        <v>20524</v>
      </c>
      <c r="AQ295" s="13">
        <v>70</v>
      </c>
    </row>
    <row r="296" spans="1:43" ht="16.5">
      <c r="A296" s="80">
        <v>2372</v>
      </c>
      <c r="B296" s="59" t="s">
        <v>1947</v>
      </c>
      <c r="C296" s="59" t="s">
        <v>166</v>
      </c>
      <c r="D296" s="59" t="s">
        <v>123</v>
      </c>
      <c r="E296" s="60">
        <v>11024</v>
      </c>
      <c r="F296" s="59">
        <v>5000</v>
      </c>
      <c r="G296" s="59">
        <v>300</v>
      </c>
      <c r="H296" s="59">
        <v>50</v>
      </c>
      <c r="I296" s="59" t="s">
        <v>159</v>
      </c>
      <c r="J296" s="59">
        <v>3</v>
      </c>
      <c r="K296" s="59">
        <v>10</v>
      </c>
      <c r="L296" s="59">
        <v>30</v>
      </c>
      <c r="M296" s="59">
        <v>0</v>
      </c>
      <c r="N296" s="59">
        <v>0</v>
      </c>
      <c r="O296" s="59">
        <v>0</v>
      </c>
      <c r="P296">
        <v>1280</v>
      </c>
      <c r="Q296" s="59">
        <v>0</v>
      </c>
      <c r="R296" s="59">
        <v>0</v>
      </c>
      <c r="S296" s="59">
        <v>0</v>
      </c>
      <c r="T296" s="59">
        <v>0</v>
      </c>
      <c r="U296" s="59">
        <v>0</v>
      </c>
      <c r="V296" s="59">
        <v>0</v>
      </c>
      <c r="W296" s="59">
        <v>0</v>
      </c>
      <c r="X296" s="59">
        <v>5</v>
      </c>
      <c r="Y296" s="59">
        <v>0</v>
      </c>
      <c r="Z296" s="59">
        <v>0</v>
      </c>
      <c r="AA296" s="59">
        <v>0</v>
      </c>
      <c r="AB296" s="59">
        <v>0</v>
      </c>
      <c r="AC296" s="59">
        <v>0</v>
      </c>
      <c r="AD296" s="59">
        <v>0</v>
      </c>
      <c r="AE296" s="59">
        <v>0</v>
      </c>
      <c r="AF296" s="59">
        <v>20</v>
      </c>
      <c r="AG296" s="59">
        <v>0</v>
      </c>
      <c r="AH296" s="59">
        <v>5.0000000000000001E-3</v>
      </c>
      <c r="AI296" s="59">
        <v>0</v>
      </c>
      <c r="AJ296" s="59">
        <v>0</v>
      </c>
      <c r="AK296" s="128">
        <v>20066</v>
      </c>
      <c r="AL296" s="59">
        <v>4</v>
      </c>
      <c r="AM296" s="41">
        <f>INDEX(Sheet5!$B$19:$G$33,MATCH(Sheet1!AQ296,Sheet5!$A$19:$A$33,0),MATCH(J296,Sheet5!$B$18:$G$18,0))</f>
        <v>2400</v>
      </c>
      <c r="AN296" s="59" t="s">
        <v>48</v>
      </c>
      <c r="AO296" s="59" t="s">
        <v>744</v>
      </c>
      <c r="AP296" s="80">
        <v>20525</v>
      </c>
      <c r="AQ296" s="13">
        <v>80</v>
      </c>
    </row>
    <row r="297" spans="1:43" ht="16.5">
      <c r="A297" s="80">
        <v>2373</v>
      </c>
      <c r="B297" s="59" t="s">
        <v>1948</v>
      </c>
      <c r="C297" s="59" t="s">
        <v>166</v>
      </c>
      <c r="D297" s="59" t="s">
        <v>123</v>
      </c>
      <c r="E297" s="60">
        <v>11024</v>
      </c>
      <c r="F297" s="59">
        <v>5000</v>
      </c>
      <c r="G297" s="59">
        <v>300</v>
      </c>
      <c r="H297" s="59">
        <v>50</v>
      </c>
      <c r="I297" s="59" t="s">
        <v>159</v>
      </c>
      <c r="J297" s="59">
        <v>3</v>
      </c>
      <c r="K297" s="59">
        <v>10</v>
      </c>
      <c r="L297" s="59">
        <v>30</v>
      </c>
      <c r="M297" s="59">
        <v>0</v>
      </c>
      <c r="N297" s="59">
        <v>0</v>
      </c>
      <c r="O297" s="59">
        <v>0</v>
      </c>
      <c r="P297">
        <v>1440</v>
      </c>
      <c r="Q297" s="59">
        <v>0</v>
      </c>
      <c r="R297" s="59">
        <v>0</v>
      </c>
      <c r="S297" s="59">
        <v>0</v>
      </c>
      <c r="T297" s="59">
        <v>0</v>
      </c>
      <c r="U297" s="59">
        <v>0</v>
      </c>
      <c r="V297" s="59">
        <v>0</v>
      </c>
      <c r="W297" s="59">
        <v>0</v>
      </c>
      <c r="X297" s="59">
        <v>5</v>
      </c>
      <c r="Y297" s="59">
        <v>0</v>
      </c>
      <c r="Z297" s="59">
        <v>0</v>
      </c>
      <c r="AA297" s="59">
        <v>0</v>
      </c>
      <c r="AB297" s="59">
        <v>0</v>
      </c>
      <c r="AC297" s="59">
        <v>0</v>
      </c>
      <c r="AD297" s="59">
        <v>0</v>
      </c>
      <c r="AE297" s="59">
        <v>0</v>
      </c>
      <c r="AF297" s="59">
        <v>20</v>
      </c>
      <c r="AG297" s="59">
        <v>0</v>
      </c>
      <c r="AH297" s="59">
        <v>5.0000000000000001E-3</v>
      </c>
      <c r="AI297" s="59">
        <v>0</v>
      </c>
      <c r="AJ297" s="59">
        <v>0</v>
      </c>
      <c r="AK297" s="128">
        <v>20067</v>
      </c>
      <c r="AL297" s="59">
        <v>4</v>
      </c>
      <c r="AM297" s="41">
        <f>INDEX(Sheet5!$B$19:$G$33,MATCH(Sheet1!AQ297,Sheet5!$A$19:$A$33,0),MATCH(J297,Sheet5!$B$18:$G$18,0))</f>
        <v>2700</v>
      </c>
      <c r="AN297" s="59" t="s">
        <v>48</v>
      </c>
      <c r="AO297" s="59" t="s">
        <v>744</v>
      </c>
      <c r="AP297" s="80">
        <v>20526</v>
      </c>
      <c r="AQ297" s="13">
        <v>90</v>
      </c>
    </row>
    <row r="298" spans="1:43" ht="16.5">
      <c r="A298" s="80">
        <v>2374</v>
      </c>
      <c r="B298" s="59" t="s">
        <v>1949</v>
      </c>
      <c r="C298" s="59" t="s">
        <v>166</v>
      </c>
      <c r="D298" s="59" t="s">
        <v>123</v>
      </c>
      <c r="E298" s="60">
        <v>11024</v>
      </c>
      <c r="F298" s="59">
        <v>5000</v>
      </c>
      <c r="G298" s="59">
        <v>300</v>
      </c>
      <c r="H298" s="59">
        <v>50</v>
      </c>
      <c r="I298" s="59" t="s">
        <v>159</v>
      </c>
      <c r="J298" s="59">
        <v>3</v>
      </c>
      <c r="K298" s="59">
        <v>10</v>
      </c>
      <c r="L298" s="59">
        <v>30</v>
      </c>
      <c r="M298" s="59">
        <v>0</v>
      </c>
      <c r="N298" s="59">
        <v>0</v>
      </c>
      <c r="O298" s="59">
        <v>0</v>
      </c>
      <c r="P298">
        <v>1600</v>
      </c>
      <c r="Q298" s="59">
        <v>0</v>
      </c>
      <c r="R298" s="59">
        <v>0</v>
      </c>
      <c r="S298" s="59">
        <v>0</v>
      </c>
      <c r="T298" s="59">
        <v>0</v>
      </c>
      <c r="U298" s="59">
        <v>0</v>
      </c>
      <c r="V298" s="59">
        <v>0</v>
      </c>
      <c r="W298" s="59">
        <v>0</v>
      </c>
      <c r="X298" s="59">
        <v>5</v>
      </c>
      <c r="Y298" s="59">
        <v>0</v>
      </c>
      <c r="Z298" s="59">
        <v>0</v>
      </c>
      <c r="AA298" s="59">
        <v>0</v>
      </c>
      <c r="AB298" s="59">
        <v>0</v>
      </c>
      <c r="AC298" s="59">
        <v>0</v>
      </c>
      <c r="AD298" s="59">
        <v>0</v>
      </c>
      <c r="AE298" s="59">
        <v>0</v>
      </c>
      <c r="AF298" s="59">
        <v>20</v>
      </c>
      <c r="AG298" s="59">
        <v>0</v>
      </c>
      <c r="AH298" s="59">
        <v>5.0000000000000001E-3</v>
      </c>
      <c r="AI298" s="59">
        <v>0</v>
      </c>
      <c r="AJ298" s="59">
        <v>0</v>
      </c>
      <c r="AK298" s="128">
        <v>20068</v>
      </c>
      <c r="AL298" s="59">
        <v>4</v>
      </c>
      <c r="AM298" s="41">
        <f>INDEX(Sheet5!$B$19:$G$33,MATCH(Sheet1!AQ298,Sheet5!$A$19:$A$33,0),MATCH(J298,Sheet5!$B$18:$G$18,0))</f>
        <v>3000</v>
      </c>
      <c r="AN298" s="59" t="s">
        <v>48</v>
      </c>
      <c r="AO298" s="59" t="s">
        <v>744</v>
      </c>
      <c r="AP298" s="80">
        <v>20527</v>
      </c>
      <c r="AQ298" s="13">
        <v>100</v>
      </c>
    </row>
    <row r="299" spans="1:43" ht="16.5">
      <c r="A299" s="80">
        <v>2375</v>
      </c>
      <c r="B299" s="59" t="s">
        <v>1950</v>
      </c>
      <c r="C299" s="59" t="s">
        <v>166</v>
      </c>
      <c r="D299" s="59" t="s">
        <v>123</v>
      </c>
      <c r="E299" s="60">
        <v>11024</v>
      </c>
      <c r="F299" s="59">
        <v>5000</v>
      </c>
      <c r="G299" s="59">
        <v>300</v>
      </c>
      <c r="H299" s="59">
        <v>50</v>
      </c>
      <c r="I299" s="59" t="s">
        <v>159</v>
      </c>
      <c r="J299" s="59">
        <v>3</v>
      </c>
      <c r="K299" s="59">
        <v>10</v>
      </c>
      <c r="L299" s="59">
        <v>30</v>
      </c>
      <c r="M299" s="59">
        <v>0</v>
      </c>
      <c r="N299" s="59">
        <v>0</v>
      </c>
      <c r="O299" s="59">
        <v>0</v>
      </c>
      <c r="P299">
        <v>1760</v>
      </c>
      <c r="Q299" s="59">
        <v>0</v>
      </c>
      <c r="R299" s="59">
        <v>0</v>
      </c>
      <c r="S299" s="59">
        <v>0</v>
      </c>
      <c r="T299" s="59">
        <v>0</v>
      </c>
      <c r="U299" s="59">
        <v>0</v>
      </c>
      <c r="V299" s="59">
        <v>0</v>
      </c>
      <c r="W299" s="59">
        <v>0</v>
      </c>
      <c r="X299" s="59">
        <v>5</v>
      </c>
      <c r="Y299" s="59">
        <v>0</v>
      </c>
      <c r="Z299" s="59">
        <v>0</v>
      </c>
      <c r="AA299" s="59">
        <v>0</v>
      </c>
      <c r="AB299" s="59">
        <v>0</v>
      </c>
      <c r="AC299" s="59">
        <v>0</v>
      </c>
      <c r="AD299" s="59">
        <v>0</v>
      </c>
      <c r="AE299" s="59">
        <v>0</v>
      </c>
      <c r="AF299" s="59">
        <v>20</v>
      </c>
      <c r="AG299" s="59">
        <v>0</v>
      </c>
      <c r="AH299" s="59">
        <v>5.0000000000000001E-3</v>
      </c>
      <c r="AI299" s="59">
        <v>0</v>
      </c>
      <c r="AJ299" s="59">
        <v>0</v>
      </c>
      <c r="AK299" s="128">
        <v>20069</v>
      </c>
      <c r="AL299" s="59">
        <v>4</v>
      </c>
      <c r="AM299" s="41">
        <f>INDEX(Sheet5!$B$19:$G$33,MATCH(Sheet1!AQ299,Sheet5!$A$19:$A$33,0),MATCH(J299,Sheet5!$B$18:$G$18,0))</f>
        <v>3300</v>
      </c>
      <c r="AN299" s="59" t="s">
        <v>48</v>
      </c>
      <c r="AO299" s="59" t="s">
        <v>744</v>
      </c>
      <c r="AP299" s="80">
        <v>20528</v>
      </c>
      <c r="AQ299" s="13">
        <v>110</v>
      </c>
    </row>
    <row r="300" spans="1:43" ht="16.5">
      <c r="A300" s="80">
        <v>2376</v>
      </c>
      <c r="B300" s="59" t="s">
        <v>1951</v>
      </c>
      <c r="C300" s="59" t="s">
        <v>166</v>
      </c>
      <c r="D300" s="59" t="s">
        <v>123</v>
      </c>
      <c r="E300" s="60">
        <v>11024</v>
      </c>
      <c r="F300" s="59">
        <v>5000</v>
      </c>
      <c r="G300" s="59">
        <v>300</v>
      </c>
      <c r="H300" s="59">
        <v>50</v>
      </c>
      <c r="I300" s="59" t="s">
        <v>159</v>
      </c>
      <c r="J300" s="59">
        <v>3</v>
      </c>
      <c r="K300" s="59">
        <v>10</v>
      </c>
      <c r="L300" s="59">
        <v>30</v>
      </c>
      <c r="M300" s="59">
        <v>0</v>
      </c>
      <c r="N300" s="59">
        <v>0</v>
      </c>
      <c r="O300" s="59">
        <v>0</v>
      </c>
      <c r="P300">
        <v>1920</v>
      </c>
      <c r="Q300" s="59">
        <v>0</v>
      </c>
      <c r="R300" s="59">
        <v>0</v>
      </c>
      <c r="S300" s="59">
        <v>0</v>
      </c>
      <c r="T300" s="59">
        <v>0</v>
      </c>
      <c r="U300" s="59">
        <v>0</v>
      </c>
      <c r="V300" s="59">
        <v>0</v>
      </c>
      <c r="W300" s="59">
        <v>0</v>
      </c>
      <c r="X300" s="59">
        <v>5</v>
      </c>
      <c r="Y300" s="59">
        <v>0</v>
      </c>
      <c r="Z300" s="59">
        <v>0</v>
      </c>
      <c r="AA300" s="59">
        <v>0</v>
      </c>
      <c r="AB300" s="59">
        <v>0</v>
      </c>
      <c r="AC300" s="59">
        <v>0</v>
      </c>
      <c r="AD300" s="59">
        <v>0</v>
      </c>
      <c r="AE300" s="59">
        <v>0</v>
      </c>
      <c r="AF300" s="59">
        <v>20</v>
      </c>
      <c r="AG300" s="59">
        <v>0</v>
      </c>
      <c r="AH300" s="59">
        <v>5.0000000000000001E-3</v>
      </c>
      <c r="AI300" s="59">
        <v>0</v>
      </c>
      <c r="AJ300" s="59">
        <v>0</v>
      </c>
      <c r="AK300" s="128">
        <v>20070</v>
      </c>
      <c r="AL300" s="59">
        <v>4</v>
      </c>
      <c r="AM300" s="41">
        <f>INDEX(Sheet5!$B$19:$G$33,MATCH(Sheet1!AQ300,Sheet5!$A$19:$A$33,0),MATCH(J300,Sheet5!$B$18:$G$18,0))</f>
        <v>3600</v>
      </c>
      <c r="AN300" s="59" t="s">
        <v>48</v>
      </c>
      <c r="AO300" s="59" t="s">
        <v>744</v>
      </c>
      <c r="AP300" s="80">
        <v>20529</v>
      </c>
      <c r="AQ300" s="13">
        <v>120</v>
      </c>
    </row>
    <row r="301" spans="1:43" ht="16.5">
      <c r="A301" s="80">
        <v>2377</v>
      </c>
      <c r="B301" s="59" t="s">
        <v>1952</v>
      </c>
      <c r="C301" s="59" t="s">
        <v>166</v>
      </c>
      <c r="D301" s="59" t="s">
        <v>123</v>
      </c>
      <c r="E301" s="60">
        <v>11024</v>
      </c>
      <c r="F301" s="59">
        <v>5000</v>
      </c>
      <c r="G301" s="59">
        <v>300</v>
      </c>
      <c r="H301" s="59">
        <v>50</v>
      </c>
      <c r="I301" s="59" t="s">
        <v>159</v>
      </c>
      <c r="J301" s="59">
        <v>3</v>
      </c>
      <c r="K301" s="59">
        <v>10</v>
      </c>
      <c r="L301" s="59">
        <v>30</v>
      </c>
      <c r="M301" s="59">
        <v>0</v>
      </c>
      <c r="N301" s="59">
        <v>0</v>
      </c>
      <c r="O301" s="59">
        <v>0</v>
      </c>
      <c r="P301">
        <v>2080</v>
      </c>
      <c r="Q301" s="59">
        <v>0</v>
      </c>
      <c r="R301" s="59">
        <v>0</v>
      </c>
      <c r="S301" s="59">
        <v>0</v>
      </c>
      <c r="T301" s="59">
        <v>0</v>
      </c>
      <c r="U301" s="59">
        <v>0</v>
      </c>
      <c r="V301" s="59">
        <v>0</v>
      </c>
      <c r="W301" s="59">
        <v>0</v>
      </c>
      <c r="X301" s="59">
        <v>5</v>
      </c>
      <c r="Y301" s="59">
        <v>0</v>
      </c>
      <c r="Z301" s="59">
        <v>0</v>
      </c>
      <c r="AA301" s="59">
        <v>0</v>
      </c>
      <c r="AB301" s="59">
        <v>0</v>
      </c>
      <c r="AC301" s="59">
        <v>0</v>
      </c>
      <c r="AD301" s="59">
        <v>0</v>
      </c>
      <c r="AE301" s="59">
        <v>0</v>
      </c>
      <c r="AF301" s="59">
        <v>20</v>
      </c>
      <c r="AG301" s="59">
        <v>0</v>
      </c>
      <c r="AH301" s="59">
        <v>5.0000000000000001E-3</v>
      </c>
      <c r="AI301" s="59">
        <v>0</v>
      </c>
      <c r="AJ301" s="59">
        <v>0</v>
      </c>
      <c r="AK301" s="128">
        <v>20071</v>
      </c>
      <c r="AL301" s="59">
        <v>4</v>
      </c>
      <c r="AM301" s="41">
        <f>INDEX(Sheet5!$B$19:$G$33,MATCH(Sheet1!AQ301,Sheet5!$A$19:$A$33,0),MATCH(J301,Sheet5!$B$18:$G$18,0))</f>
        <v>3900</v>
      </c>
      <c r="AN301" s="59" t="s">
        <v>48</v>
      </c>
      <c r="AO301" s="59" t="s">
        <v>744</v>
      </c>
      <c r="AP301" s="80">
        <v>20530</v>
      </c>
      <c r="AQ301" s="13">
        <v>130</v>
      </c>
    </row>
    <row r="302" spans="1:43" ht="16.5">
      <c r="A302" s="80">
        <v>2378</v>
      </c>
      <c r="B302" s="59" t="s">
        <v>1953</v>
      </c>
      <c r="C302" s="59" t="s">
        <v>166</v>
      </c>
      <c r="D302" s="59" t="s">
        <v>123</v>
      </c>
      <c r="E302" s="60">
        <v>11024</v>
      </c>
      <c r="F302" s="59">
        <v>5000</v>
      </c>
      <c r="G302" s="59">
        <v>300</v>
      </c>
      <c r="H302" s="59">
        <v>50</v>
      </c>
      <c r="I302" s="59" t="s">
        <v>159</v>
      </c>
      <c r="J302" s="59">
        <v>3</v>
      </c>
      <c r="K302" s="59">
        <v>10</v>
      </c>
      <c r="L302" s="59">
        <v>30</v>
      </c>
      <c r="M302" s="59">
        <v>0</v>
      </c>
      <c r="N302" s="59">
        <v>0</v>
      </c>
      <c r="O302" s="59">
        <v>0</v>
      </c>
      <c r="P302">
        <v>2240</v>
      </c>
      <c r="Q302" s="59">
        <v>0</v>
      </c>
      <c r="R302" s="59">
        <v>0</v>
      </c>
      <c r="S302" s="59">
        <v>0</v>
      </c>
      <c r="T302" s="59">
        <v>0</v>
      </c>
      <c r="U302" s="59">
        <v>0</v>
      </c>
      <c r="V302" s="59">
        <v>0</v>
      </c>
      <c r="W302" s="59">
        <v>0</v>
      </c>
      <c r="X302" s="59">
        <v>5</v>
      </c>
      <c r="Y302" s="59">
        <v>0</v>
      </c>
      <c r="Z302" s="59">
        <v>0</v>
      </c>
      <c r="AA302" s="59">
        <v>0</v>
      </c>
      <c r="AB302" s="59">
        <v>0</v>
      </c>
      <c r="AC302" s="59">
        <v>0</v>
      </c>
      <c r="AD302" s="59">
        <v>0</v>
      </c>
      <c r="AE302" s="59">
        <v>0</v>
      </c>
      <c r="AF302" s="59">
        <v>20</v>
      </c>
      <c r="AG302" s="59">
        <v>0</v>
      </c>
      <c r="AH302" s="59">
        <v>5.0000000000000001E-3</v>
      </c>
      <c r="AI302" s="59">
        <v>0</v>
      </c>
      <c r="AJ302" s="59">
        <v>0</v>
      </c>
      <c r="AK302" s="128">
        <v>20072</v>
      </c>
      <c r="AL302" s="59">
        <v>4</v>
      </c>
      <c r="AM302" s="41">
        <f>INDEX(Sheet5!$B$19:$G$33,MATCH(Sheet1!AQ302,Sheet5!$A$19:$A$33,0),MATCH(J302,Sheet5!$B$18:$G$18,0))</f>
        <v>4200</v>
      </c>
      <c r="AN302" s="59" t="s">
        <v>48</v>
      </c>
      <c r="AO302" s="59" t="s">
        <v>744</v>
      </c>
      <c r="AP302" s="80">
        <v>205311</v>
      </c>
      <c r="AQ302" s="13">
        <v>140</v>
      </c>
    </row>
    <row r="303" spans="1:43" ht="16.5">
      <c r="A303" s="80">
        <v>2379</v>
      </c>
      <c r="B303" s="59" t="s">
        <v>1954</v>
      </c>
      <c r="C303" s="59" t="s">
        <v>166</v>
      </c>
      <c r="D303" s="59" t="s">
        <v>123</v>
      </c>
      <c r="E303" s="60">
        <v>11024</v>
      </c>
      <c r="F303" s="59">
        <v>5000</v>
      </c>
      <c r="G303" s="59">
        <v>300</v>
      </c>
      <c r="H303" s="59">
        <v>50</v>
      </c>
      <c r="I303" s="59" t="s">
        <v>159</v>
      </c>
      <c r="J303" s="59">
        <v>3</v>
      </c>
      <c r="K303" s="59">
        <v>10</v>
      </c>
      <c r="L303" s="59">
        <v>30</v>
      </c>
      <c r="M303" s="59">
        <v>0</v>
      </c>
      <c r="N303" s="59">
        <v>0</v>
      </c>
      <c r="O303" s="59">
        <v>0</v>
      </c>
      <c r="P303">
        <v>2400</v>
      </c>
      <c r="Q303" s="59">
        <v>0</v>
      </c>
      <c r="R303" s="59">
        <v>0</v>
      </c>
      <c r="S303" s="59">
        <v>0</v>
      </c>
      <c r="T303" s="59">
        <v>0</v>
      </c>
      <c r="U303" s="59">
        <v>0</v>
      </c>
      <c r="V303" s="59">
        <v>0</v>
      </c>
      <c r="W303" s="59">
        <v>0</v>
      </c>
      <c r="X303" s="59">
        <v>5</v>
      </c>
      <c r="Y303" s="59">
        <v>0</v>
      </c>
      <c r="Z303" s="59">
        <v>0</v>
      </c>
      <c r="AA303" s="59">
        <v>0</v>
      </c>
      <c r="AB303" s="59">
        <v>0</v>
      </c>
      <c r="AC303" s="59">
        <v>0</v>
      </c>
      <c r="AD303" s="59">
        <v>0</v>
      </c>
      <c r="AE303" s="59">
        <v>0</v>
      </c>
      <c r="AF303" s="59">
        <v>20</v>
      </c>
      <c r="AG303" s="59">
        <v>0</v>
      </c>
      <c r="AH303" s="59">
        <v>5.0000000000000001E-3</v>
      </c>
      <c r="AI303" s="59">
        <v>0</v>
      </c>
      <c r="AJ303" s="59">
        <v>0</v>
      </c>
      <c r="AK303" s="128">
        <v>20073</v>
      </c>
      <c r="AL303" s="59">
        <v>4</v>
      </c>
      <c r="AM303" s="41">
        <f>INDEX(Sheet5!$B$19:$G$33,MATCH(Sheet1!AQ303,Sheet5!$A$19:$A$33,0),MATCH(J303,Sheet5!$B$18:$G$18,0))</f>
        <v>4500</v>
      </c>
      <c r="AN303" s="59" t="s">
        <v>48</v>
      </c>
      <c r="AO303" s="59" t="s">
        <v>744</v>
      </c>
      <c r="AP303" s="80">
        <v>205312</v>
      </c>
      <c r="AQ303" s="13">
        <v>150</v>
      </c>
    </row>
    <row r="304" spans="1:43" ht="16.5">
      <c r="A304" s="80">
        <v>2380</v>
      </c>
      <c r="B304" s="53" t="s">
        <v>1955</v>
      </c>
      <c r="C304" s="53" t="s">
        <v>698</v>
      </c>
      <c r="D304" s="54" t="s">
        <v>116</v>
      </c>
      <c r="E304" s="55">
        <v>11013</v>
      </c>
      <c r="F304" s="66">
        <v>5000</v>
      </c>
      <c r="G304" s="52">
        <v>300</v>
      </c>
      <c r="H304" s="52">
        <v>50</v>
      </c>
      <c r="I304" s="54" t="s">
        <v>718</v>
      </c>
      <c r="J304" s="52">
        <v>3</v>
      </c>
      <c r="K304" s="52">
        <v>10</v>
      </c>
      <c r="L304" s="52">
        <v>30</v>
      </c>
      <c r="M304" s="80">
        <v>0</v>
      </c>
      <c r="N304" s="80">
        <v>0</v>
      </c>
      <c r="O304">
        <v>160</v>
      </c>
      <c r="P304" s="80">
        <v>0</v>
      </c>
      <c r="Q304" s="52">
        <v>0</v>
      </c>
      <c r="R304" s="52">
        <v>0</v>
      </c>
      <c r="S304" s="52">
        <v>0</v>
      </c>
      <c r="T304" s="52">
        <v>0</v>
      </c>
      <c r="U304" s="52">
        <v>0</v>
      </c>
      <c r="V304" s="52">
        <v>0</v>
      </c>
      <c r="W304" s="52">
        <v>4</v>
      </c>
      <c r="X304" s="52">
        <v>0</v>
      </c>
      <c r="Y304" s="52">
        <v>0</v>
      </c>
      <c r="Z304" s="52">
        <v>0</v>
      </c>
      <c r="AA304" s="52">
        <v>0</v>
      </c>
      <c r="AB304" s="52">
        <v>0</v>
      </c>
      <c r="AC304" s="56">
        <v>0</v>
      </c>
      <c r="AD304" s="56">
        <v>0</v>
      </c>
      <c r="AE304" s="56">
        <v>16</v>
      </c>
      <c r="AF304" s="56">
        <v>0</v>
      </c>
      <c r="AG304" s="56">
        <v>0</v>
      </c>
      <c r="AH304" s="56">
        <v>0</v>
      </c>
      <c r="AI304" s="57">
        <v>0</v>
      </c>
      <c r="AJ304" s="56">
        <v>8.0000000000000002E-3</v>
      </c>
      <c r="AK304" s="56" t="s">
        <v>713</v>
      </c>
      <c r="AL304" s="52">
        <v>2</v>
      </c>
      <c r="AM304" s="41">
        <f>INDEX(Sheet5!$B$19:$G$33,MATCH(Sheet1!AQ304,Sheet5!$A$19:$A$33,0),MATCH(J304,Sheet5!$B$18:$G$18,0))</f>
        <v>300</v>
      </c>
      <c r="AN304" s="52" t="s">
        <v>63</v>
      </c>
      <c r="AO304" s="52" t="s">
        <v>737</v>
      </c>
      <c r="AP304" s="52">
        <v>411</v>
      </c>
      <c r="AQ304" s="13">
        <v>10</v>
      </c>
    </row>
    <row r="305" spans="1:43" ht="16.5">
      <c r="A305" s="80">
        <v>2381</v>
      </c>
      <c r="B305" s="53" t="s">
        <v>1956</v>
      </c>
      <c r="C305" s="53" t="s">
        <v>698</v>
      </c>
      <c r="D305" s="54" t="s">
        <v>116</v>
      </c>
      <c r="E305" s="55">
        <v>11013</v>
      </c>
      <c r="F305" s="66">
        <v>5000</v>
      </c>
      <c r="G305" s="52">
        <v>300</v>
      </c>
      <c r="H305" s="52">
        <v>50</v>
      </c>
      <c r="I305" s="54" t="s">
        <v>718</v>
      </c>
      <c r="J305" s="52">
        <v>3</v>
      </c>
      <c r="K305" s="52">
        <v>10</v>
      </c>
      <c r="L305" s="52">
        <v>30</v>
      </c>
      <c r="M305" s="80">
        <v>0</v>
      </c>
      <c r="N305" s="80">
        <v>0</v>
      </c>
      <c r="O305">
        <v>320</v>
      </c>
      <c r="P305" s="80">
        <v>0</v>
      </c>
      <c r="Q305" s="52">
        <v>0</v>
      </c>
      <c r="R305" s="52">
        <v>0</v>
      </c>
      <c r="S305" s="52">
        <v>0</v>
      </c>
      <c r="T305" s="52">
        <v>0</v>
      </c>
      <c r="U305" s="52">
        <v>0</v>
      </c>
      <c r="V305" s="52">
        <v>0</v>
      </c>
      <c r="W305" s="52">
        <v>4</v>
      </c>
      <c r="X305" s="52">
        <v>0</v>
      </c>
      <c r="Y305" s="52">
        <v>0</v>
      </c>
      <c r="Z305" s="52">
        <v>0</v>
      </c>
      <c r="AA305" s="52">
        <v>0</v>
      </c>
      <c r="AB305" s="52">
        <v>0</v>
      </c>
      <c r="AC305" s="56">
        <v>0</v>
      </c>
      <c r="AD305" s="56">
        <v>0</v>
      </c>
      <c r="AE305" s="56">
        <v>16</v>
      </c>
      <c r="AF305" s="56">
        <v>0</v>
      </c>
      <c r="AG305" s="56">
        <v>0</v>
      </c>
      <c r="AH305" s="56">
        <v>0</v>
      </c>
      <c r="AI305" s="57">
        <v>0</v>
      </c>
      <c r="AJ305" s="56">
        <v>8.0000000000000002E-3</v>
      </c>
      <c r="AK305" s="56" t="s">
        <v>713</v>
      </c>
      <c r="AL305" s="52">
        <v>2</v>
      </c>
      <c r="AM305" s="41">
        <f>INDEX(Sheet5!$B$19:$G$33,MATCH(Sheet1!AQ305,Sheet5!$A$19:$A$33,0),MATCH(J305,Sheet5!$B$18:$G$18,0))</f>
        <v>600</v>
      </c>
      <c r="AN305" s="52" t="s">
        <v>63</v>
      </c>
      <c r="AO305" s="52" t="s">
        <v>737</v>
      </c>
      <c r="AP305" s="52">
        <v>412</v>
      </c>
      <c r="AQ305" s="13">
        <v>20</v>
      </c>
    </row>
    <row r="306" spans="1:43" s="87" customFormat="1" ht="16.5">
      <c r="A306" s="97">
        <v>2041</v>
      </c>
      <c r="B306" s="97" t="s">
        <v>1957</v>
      </c>
      <c r="C306" s="97" t="s">
        <v>698</v>
      </c>
      <c r="D306" s="97" t="s">
        <v>116</v>
      </c>
      <c r="E306" s="98">
        <v>11013</v>
      </c>
      <c r="F306" s="97">
        <v>5000</v>
      </c>
      <c r="G306" s="97">
        <v>300</v>
      </c>
      <c r="H306" s="97">
        <v>50</v>
      </c>
      <c r="I306" s="97" t="s">
        <v>718</v>
      </c>
      <c r="J306" s="97">
        <v>3</v>
      </c>
      <c r="K306" s="97">
        <v>10</v>
      </c>
      <c r="L306" s="97">
        <v>30</v>
      </c>
      <c r="M306" s="94">
        <v>0</v>
      </c>
      <c r="N306" s="94">
        <v>0</v>
      </c>
      <c r="O306">
        <v>480</v>
      </c>
      <c r="P306" s="94">
        <v>0</v>
      </c>
      <c r="Q306" s="97">
        <v>0</v>
      </c>
      <c r="R306" s="97">
        <v>0</v>
      </c>
      <c r="S306" s="97">
        <v>0</v>
      </c>
      <c r="T306" s="97">
        <v>0</v>
      </c>
      <c r="U306" s="97">
        <v>0</v>
      </c>
      <c r="V306" s="97">
        <v>0</v>
      </c>
      <c r="W306" s="97">
        <v>4</v>
      </c>
      <c r="X306" s="97">
        <v>0</v>
      </c>
      <c r="Y306" s="97">
        <v>0</v>
      </c>
      <c r="Z306" s="97">
        <v>0</v>
      </c>
      <c r="AA306" s="97">
        <v>0</v>
      </c>
      <c r="AB306" s="97">
        <v>0</v>
      </c>
      <c r="AC306" s="97">
        <v>0</v>
      </c>
      <c r="AD306" s="97">
        <v>0</v>
      </c>
      <c r="AE306" s="97">
        <v>16</v>
      </c>
      <c r="AF306" s="97">
        <v>0</v>
      </c>
      <c r="AG306" s="97">
        <v>0</v>
      </c>
      <c r="AH306" s="97">
        <v>0</v>
      </c>
      <c r="AI306" s="99">
        <v>0</v>
      </c>
      <c r="AJ306" s="97">
        <v>8.0000000000000002E-3</v>
      </c>
      <c r="AK306" s="97" t="s">
        <v>48</v>
      </c>
      <c r="AL306" s="97">
        <v>2</v>
      </c>
      <c r="AM306" s="41">
        <f>INDEX(Sheet5!$B$19:$G$33,MATCH(Sheet1!AQ306,Sheet5!$A$19:$A$33,0),MATCH(J306,Sheet5!$B$18:$G$18,0))</f>
        <v>900</v>
      </c>
      <c r="AN306" s="97" t="s">
        <v>48</v>
      </c>
      <c r="AO306" s="97" t="s">
        <v>737</v>
      </c>
      <c r="AP306" s="97">
        <v>2041</v>
      </c>
      <c r="AQ306" s="13">
        <v>30</v>
      </c>
    </row>
    <row r="307" spans="1:43" ht="16.5">
      <c r="A307" s="52">
        <v>2382</v>
      </c>
      <c r="B307" s="53" t="s">
        <v>1958</v>
      </c>
      <c r="C307" s="53" t="s">
        <v>698</v>
      </c>
      <c r="D307" s="54" t="s">
        <v>116</v>
      </c>
      <c r="E307" s="55">
        <v>11013</v>
      </c>
      <c r="F307" s="66">
        <v>5000</v>
      </c>
      <c r="G307" s="52">
        <v>300</v>
      </c>
      <c r="H307" s="52">
        <v>50</v>
      </c>
      <c r="I307" s="54" t="s">
        <v>718</v>
      </c>
      <c r="J307" s="52">
        <v>3</v>
      </c>
      <c r="K307" s="52">
        <v>10</v>
      </c>
      <c r="L307" s="52">
        <v>30</v>
      </c>
      <c r="M307" s="80">
        <v>0</v>
      </c>
      <c r="N307" s="80">
        <v>0</v>
      </c>
      <c r="O307">
        <v>640</v>
      </c>
      <c r="P307" s="80">
        <v>0</v>
      </c>
      <c r="Q307" s="52">
        <v>0</v>
      </c>
      <c r="R307" s="52">
        <v>0</v>
      </c>
      <c r="S307" s="52">
        <v>0</v>
      </c>
      <c r="T307" s="52">
        <v>0</v>
      </c>
      <c r="U307" s="52">
        <v>0</v>
      </c>
      <c r="V307" s="52">
        <v>0</v>
      </c>
      <c r="W307" s="52">
        <v>4</v>
      </c>
      <c r="X307" s="52">
        <v>0</v>
      </c>
      <c r="Y307" s="52">
        <v>0</v>
      </c>
      <c r="Z307" s="52">
        <v>0</v>
      </c>
      <c r="AA307" s="52">
        <v>0</v>
      </c>
      <c r="AB307" s="52">
        <v>0</v>
      </c>
      <c r="AC307" s="56">
        <v>0</v>
      </c>
      <c r="AD307" s="56">
        <v>0</v>
      </c>
      <c r="AE307" s="56">
        <v>16</v>
      </c>
      <c r="AF307" s="56">
        <v>0</v>
      </c>
      <c r="AG307" s="56">
        <v>0</v>
      </c>
      <c r="AH307" s="56">
        <v>0</v>
      </c>
      <c r="AI307" s="57">
        <v>0</v>
      </c>
      <c r="AJ307" s="56">
        <v>8.0000000000000002E-3</v>
      </c>
      <c r="AK307" s="56" t="s">
        <v>713</v>
      </c>
      <c r="AL307" s="52">
        <v>2</v>
      </c>
      <c r="AM307" s="41">
        <f>INDEX(Sheet5!$B$19:$G$33,MATCH(Sheet1!AQ307,Sheet5!$A$19:$A$33,0),MATCH(J307,Sheet5!$B$18:$G$18,0))</f>
        <v>1200</v>
      </c>
      <c r="AN307" s="52" t="s">
        <v>63</v>
      </c>
      <c r="AO307" s="52" t="s">
        <v>737</v>
      </c>
      <c r="AP307" s="52">
        <v>20411</v>
      </c>
      <c r="AQ307" s="13">
        <v>40</v>
      </c>
    </row>
    <row r="308" spans="1:43" ht="16.5">
      <c r="A308" s="52">
        <v>2383</v>
      </c>
      <c r="B308" s="53" t="s">
        <v>1959</v>
      </c>
      <c r="C308" s="53" t="s">
        <v>698</v>
      </c>
      <c r="D308" s="54" t="s">
        <v>116</v>
      </c>
      <c r="E308" s="55">
        <v>11013</v>
      </c>
      <c r="F308" s="66">
        <v>5000</v>
      </c>
      <c r="G308" s="52">
        <v>300</v>
      </c>
      <c r="H308" s="52">
        <v>50</v>
      </c>
      <c r="I308" s="54" t="s">
        <v>718</v>
      </c>
      <c r="J308" s="52">
        <v>3</v>
      </c>
      <c r="K308" s="52">
        <v>10</v>
      </c>
      <c r="L308" s="52">
        <v>30</v>
      </c>
      <c r="M308" s="80">
        <v>0</v>
      </c>
      <c r="N308" s="80">
        <v>0</v>
      </c>
      <c r="O308">
        <v>800</v>
      </c>
      <c r="P308" s="80">
        <v>0</v>
      </c>
      <c r="Q308" s="52">
        <v>0</v>
      </c>
      <c r="R308" s="52">
        <v>0</v>
      </c>
      <c r="S308" s="52">
        <v>0</v>
      </c>
      <c r="T308" s="52">
        <v>0</v>
      </c>
      <c r="U308" s="52">
        <v>0</v>
      </c>
      <c r="V308" s="52">
        <v>0</v>
      </c>
      <c r="W308" s="52">
        <v>4</v>
      </c>
      <c r="X308" s="52">
        <v>0</v>
      </c>
      <c r="Y308" s="52">
        <v>0</v>
      </c>
      <c r="Z308" s="52">
        <v>0</v>
      </c>
      <c r="AA308" s="52">
        <v>0</v>
      </c>
      <c r="AB308" s="52">
        <v>0</v>
      </c>
      <c r="AC308" s="56">
        <v>0</v>
      </c>
      <c r="AD308" s="56">
        <v>0</v>
      </c>
      <c r="AE308" s="56">
        <v>16</v>
      </c>
      <c r="AF308" s="56">
        <v>0</v>
      </c>
      <c r="AG308" s="56">
        <v>0</v>
      </c>
      <c r="AH308" s="56">
        <v>0</v>
      </c>
      <c r="AI308" s="57">
        <v>0</v>
      </c>
      <c r="AJ308" s="56">
        <v>8.0000000000000002E-3</v>
      </c>
      <c r="AK308" s="56" t="s">
        <v>713</v>
      </c>
      <c r="AL308" s="52">
        <v>2</v>
      </c>
      <c r="AM308" s="41">
        <f>INDEX(Sheet5!$B$19:$G$33,MATCH(Sheet1!AQ308,Sheet5!$A$19:$A$33,0),MATCH(J308,Sheet5!$B$18:$G$18,0))</f>
        <v>1500</v>
      </c>
      <c r="AN308" s="52" t="s">
        <v>63</v>
      </c>
      <c r="AO308" s="52" t="s">
        <v>737</v>
      </c>
      <c r="AP308" s="52">
        <v>20412</v>
      </c>
      <c r="AQ308" s="13">
        <v>50</v>
      </c>
    </row>
    <row r="309" spans="1:43" ht="16.5">
      <c r="A309" s="52">
        <v>2384</v>
      </c>
      <c r="B309" s="53" t="s">
        <v>1960</v>
      </c>
      <c r="C309" s="53" t="s">
        <v>698</v>
      </c>
      <c r="D309" s="54" t="s">
        <v>116</v>
      </c>
      <c r="E309" s="55">
        <v>11013</v>
      </c>
      <c r="F309" s="66">
        <v>5000</v>
      </c>
      <c r="G309" s="52">
        <v>300</v>
      </c>
      <c r="H309" s="52">
        <v>50</v>
      </c>
      <c r="I309" s="54" t="s">
        <v>718</v>
      </c>
      <c r="J309" s="52">
        <v>3</v>
      </c>
      <c r="K309" s="52">
        <v>10</v>
      </c>
      <c r="L309" s="52">
        <v>30</v>
      </c>
      <c r="M309" s="80">
        <v>0</v>
      </c>
      <c r="N309" s="80">
        <v>0</v>
      </c>
      <c r="O309">
        <v>960</v>
      </c>
      <c r="P309" s="80">
        <v>0</v>
      </c>
      <c r="Q309" s="52">
        <v>0</v>
      </c>
      <c r="R309" s="52">
        <v>0</v>
      </c>
      <c r="S309" s="52">
        <v>0</v>
      </c>
      <c r="T309" s="52">
        <v>0</v>
      </c>
      <c r="U309" s="52">
        <v>0</v>
      </c>
      <c r="V309" s="52">
        <v>0</v>
      </c>
      <c r="W309" s="52">
        <v>4</v>
      </c>
      <c r="X309" s="52">
        <v>0</v>
      </c>
      <c r="Y309" s="52">
        <v>0</v>
      </c>
      <c r="Z309" s="52">
        <v>0</v>
      </c>
      <c r="AA309" s="52">
        <v>0</v>
      </c>
      <c r="AB309" s="52">
        <v>0</v>
      </c>
      <c r="AC309" s="56">
        <v>0</v>
      </c>
      <c r="AD309" s="56">
        <v>0</v>
      </c>
      <c r="AE309" s="56">
        <v>16</v>
      </c>
      <c r="AF309" s="56">
        <v>0</v>
      </c>
      <c r="AG309" s="56">
        <v>0</v>
      </c>
      <c r="AH309" s="56">
        <v>0</v>
      </c>
      <c r="AI309" s="57">
        <v>0</v>
      </c>
      <c r="AJ309" s="56">
        <v>8.0000000000000002E-3</v>
      </c>
      <c r="AK309" s="56" t="s">
        <v>713</v>
      </c>
      <c r="AL309" s="52">
        <v>2</v>
      </c>
      <c r="AM309" s="41">
        <f>INDEX(Sheet5!$B$19:$G$33,MATCH(Sheet1!AQ309,Sheet5!$A$19:$A$33,0),MATCH(J309,Sheet5!$B$18:$G$18,0))</f>
        <v>1800</v>
      </c>
      <c r="AN309" s="52" t="s">
        <v>63</v>
      </c>
      <c r="AO309" s="52" t="s">
        <v>737</v>
      </c>
      <c r="AP309" s="52">
        <v>20413</v>
      </c>
      <c r="AQ309" s="13">
        <v>60</v>
      </c>
    </row>
    <row r="310" spans="1:43" ht="16.5">
      <c r="A310" s="52">
        <v>2385</v>
      </c>
      <c r="B310" s="53" t="s">
        <v>1961</v>
      </c>
      <c r="C310" s="53" t="s">
        <v>698</v>
      </c>
      <c r="D310" s="54" t="s">
        <v>116</v>
      </c>
      <c r="E310" s="55">
        <v>11013</v>
      </c>
      <c r="F310" s="66">
        <v>5000</v>
      </c>
      <c r="G310" s="52">
        <v>300</v>
      </c>
      <c r="H310" s="52">
        <v>50</v>
      </c>
      <c r="I310" s="54" t="s">
        <v>718</v>
      </c>
      <c r="J310" s="52">
        <v>3</v>
      </c>
      <c r="K310" s="52">
        <v>10</v>
      </c>
      <c r="L310" s="52">
        <v>30</v>
      </c>
      <c r="M310" s="80">
        <v>0</v>
      </c>
      <c r="N310" s="80">
        <v>0</v>
      </c>
      <c r="O310">
        <v>1120</v>
      </c>
      <c r="P310" s="80">
        <v>0</v>
      </c>
      <c r="Q310" s="52">
        <v>0</v>
      </c>
      <c r="R310" s="52">
        <v>0</v>
      </c>
      <c r="S310" s="52">
        <v>0</v>
      </c>
      <c r="T310" s="52">
        <v>0</v>
      </c>
      <c r="U310" s="52">
        <v>0</v>
      </c>
      <c r="V310" s="52">
        <v>0</v>
      </c>
      <c r="W310" s="52">
        <v>4</v>
      </c>
      <c r="X310" s="52">
        <v>0</v>
      </c>
      <c r="Y310" s="52">
        <v>0</v>
      </c>
      <c r="Z310" s="52">
        <v>0</v>
      </c>
      <c r="AA310" s="52">
        <v>0</v>
      </c>
      <c r="AB310" s="52">
        <v>0</v>
      </c>
      <c r="AC310" s="56">
        <v>0</v>
      </c>
      <c r="AD310" s="56">
        <v>0</v>
      </c>
      <c r="AE310" s="56">
        <v>16</v>
      </c>
      <c r="AF310" s="56">
        <v>0</v>
      </c>
      <c r="AG310" s="56">
        <v>0</v>
      </c>
      <c r="AH310" s="56">
        <v>0</v>
      </c>
      <c r="AI310" s="57">
        <v>0</v>
      </c>
      <c r="AJ310" s="56">
        <v>8.0000000000000002E-3</v>
      </c>
      <c r="AK310" s="56" t="s">
        <v>713</v>
      </c>
      <c r="AL310" s="52">
        <v>2</v>
      </c>
      <c r="AM310" s="41">
        <f>INDEX(Sheet5!$B$19:$G$33,MATCH(Sheet1!AQ310,Sheet5!$A$19:$A$33,0),MATCH(J310,Sheet5!$B$18:$G$18,0))</f>
        <v>2100</v>
      </c>
      <c r="AN310" s="52" t="s">
        <v>63</v>
      </c>
      <c r="AO310" s="52" t="s">
        <v>737</v>
      </c>
      <c r="AP310" s="52">
        <v>20414</v>
      </c>
      <c r="AQ310" s="13">
        <v>70</v>
      </c>
    </row>
    <row r="311" spans="1:43" ht="16.5">
      <c r="A311" s="52">
        <v>2386</v>
      </c>
      <c r="B311" s="53" t="s">
        <v>1962</v>
      </c>
      <c r="C311" s="53" t="s">
        <v>698</v>
      </c>
      <c r="D311" s="54" t="s">
        <v>116</v>
      </c>
      <c r="E311" s="55">
        <v>11013</v>
      </c>
      <c r="F311" s="66">
        <v>5000</v>
      </c>
      <c r="G311" s="52">
        <v>300</v>
      </c>
      <c r="H311" s="52">
        <v>50</v>
      </c>
      <c r="I311" s="54" t="s">
        <v>718</v>
      </c>
      <c r="J311" s="52">
        <v>3</v>
      </c>
      <c r="K311" s="52">
        <v>10</v>
      </c>
      <c r="L311" s="52">
        <v>30</v>
      </c>
      <c r="M311" s="80">
        <v>0</v>
      </c>
      <c r="N311" s="80">
        <v>0</v>
      </c>
      <c r="O311">
        <v>1280</v>
      </c>
      <c r="P311" s="80">
        <v>0</v>
      </c>
      <c r="Q311" s="52">
        <v>0</v>
      </c>
      <c r="R311" s="52">
        <v>0</v>
      </c>
      <c r="S311" s="52">
        <v>0</v>
      </c>
      <c r="T311" s="52">
        <v>0</v>
      </c>
      <c r="U311" s="52">
        <v>0</v>
      </c>
      <c r="V311" s="52">
        <v>0</v>
      </c>
      <c r="W311" s="52">
        <v>4</v>
      </c>
      <c r="X311" s="52">
        <v>0</v>
      </c>
      <c r="Y311" s="52">
        <v>0</v>
      </c>
      <c r="Z311" s="52">
        <v>0</v>
      </c>
      <c r="AA311" s="52">
        <v>0</v>
      </c>
      <c r="AB311" s="52">
        <v>0</v>
      </c>
      <c r="AC311" s="56">
        <v>0</v>
      </c>
      <c r="AD311" s="56">
        <v>0</v>
      </c>
      <c r="AE311" s="56">
        <v>16</v>
      </c>
      <c r="AF311" s="56">
        <v>0</v>
      </c>
      <c r="AG311" s="56">
        <v>0</v>
      </c>
      <c r="AH311" s="56">
        <v>0</v>
      </c>
      <c r="AI311" s="57">
        <v>0</v>
      </c>
      <c r="AJ311" s="56">
        <v>8.0000000000000002E-3</v>
      </c>
      <c r="AK311" s="56" t="s">
        <v>713</v>
      </c>
      <c r="AL311" s="52">
        <v>2</v>
      </c>
      <c r="AM311" s="41">
        <f>INDEX(Sheet5!$B$19:$G$33,MATCH(Sheet1!AQ311,Sheet5!$A$19:$A$33,0),MATCH(J311,Sheet5!$B$18:$G$18,0))</f>
        <v>2400</v>
      </c>
      <c r="AN311" s="52" t="s">
        <v>63</v>
      </c>
      <c r="AO311" s="52" t="s">
        <v>737</v>
      </c>
      <c r="AP311" s="52">
        <v>20415</v>
      </c>
      <c r="AQ311" s="13">
        <v>80</v>
      </c>
    </row>
    <row r="312" spans="1:43" ht="16.5">
      <c r="A312" s="52">
        <v>2387</v>
      </c>
      <c r="B312" s="53" t="s">
        <v>1963</v>
      </c>
      <c r="C312" s="53" t="s">
        <v>698</v>
      </c>
      <c r="D312" s="54" t="s">
        <v>116</v>
      </c>
      <c r="E312" s="55">
        <v>11013</v>
      </c>
      <c r="F312" s="66">
        <v>5000</v>
      </c>
      <c r="G312" s="52">
        <v>300</v>
      </c>
      <c r="H312" s="52">
        <v>50</v>
      </c>
      <c r="I312" s="54" t="s">
        <v>718</v>
      </c>
      <c r="J312" s="52">
        <v>3</v>
      </c>
      <c r="K312" s="52">
        <v>10</v>
      </c>
      <c r="L312" s="52">
        <v>30</v>
      </c>
      <c r="M312" s="80">
        <v>0</v>
      </c>
      <c r="N312" s="80">
        <v>0</v>
      </c>
      <c r="O312">
        <v>1440</v>
      </c>
      <c r="P312" s="80">
        <v>0</v>
      </c>
      <c r="Q312" s="52">
        <v>0</v>
      </c>
      <c r="R312" s="52">
        <v>0</v>
      </c>
      <c r="S312" s="52">
        <v>0</v>
      </c>
      <c r="T312" s="52">
        <v>0</v>
      </c>
      <c r="U312" s="52">
        <v>0</v>
      </c>
      <c r="V312" s="52">
        <v>0</v>
      </c>
      <c r="W312" s="52">
        <v>4</v>
      </c>
      <c r="X312" s="52">
        <v>0</v>
      </c>
      <c r="Y312" s="52">
        <v>0</v>
      </c>
      <c r="Z312" s="52">
        <v>0</v>
      </c>
      <c r="AA312" s="52">
        <v>0</v>
      </c>
      <c r="AB312" s="52">
        <v>0</v>
      </c>
      <c r="AC312" s="56">
        <v>0</v>
      </c>
      <c r="AD312" s="56">
        <v>0</v>
      </c>
      <c r="AE312" s="56">
        <v>16</v>
      </c>
      <c r="AF312" s="56">
        <v>0</v>
      </c>
      <c r="AG312" s="56">
        <v>0</v>
      </c>
      <c r="AH312" s="56">
        <v>0</v>
      </c>
      <c r="AI312" s="57">
        <v>0</v>
      </c>
      <c r="AJ312" s="56">
        <v>8.0000000000000002E-3</v>
      </c>
      <c r="AK312" s="56" t="s">
        <v>713</v>
      </c>
      <c r="AL312" s="52">
        <v>2</v>
      </c>
      <c r="AM312" s="41">
        <f>INDEX(Sheet5!$B$19:$G$33,MATCH(Sheet1!AQ312,Sheet5!$A$19:$A$33,0),MATCH(J312,Sheet5!$B$18:$G$18,0))</f>
        <v>2700</v>
      </c>
      <c r="AN312" s="52" t="s">
        <v>63</v>
      </c>
      <c r="AO312" s="52" t="s">
        <v>737</v>
      </c>
      <c r="AP312" s="52">
        <v>20416</v>
      </c>
      <c r="AQ312" s="13">
        <v>90</v>
      </c>
    </row>
    <row r="313" spans="1:43" ht="16.5">
      <c r="A313" s="52">
        <v>2388</v>
      </c>
      <c r="B313" s="53" t="s">
        <v>1964</v>
      </c>
      <c r="C313" s="53" t="s">
        <v>698</v>
      </c>
      <c r="D313" s="54" t="s">
        <v>116</v>
      </c>
      <c r="E313" s="55">
        <v>11013</v>
      </c>
      <c r="F313" s="66">
        <v>5000</v>
      </c>
      <c r="G313" s="52">
        <v>300</v>
      </c>
      <c r="H313" s="52">
        <v>50</v>
      </c>
      <c r="I313" s="54" t="s">
        <v>718</v>
      </c>
      <c r="J313" s="52">
        <v>3</v>
      </c>
      <c r="K313" s="52">
        <v>10</v>
      </c>
      <c r="L313" s="52">
        <v>30</v>
      </c>
      <c r="M313" s="80">
        <v>0</v>
      </c>
      <c r="N313" s="80">
        <v>0</v>
      </c>
      <c r="O313">
        <v>1600</v>
      </c>
      <c r="P313" s="80">
        <v>0</v>
      </c>
      <c r="Q313" s="52">
        <v>0</v>
      </c>
      <c r="R313" s="52">
        <v>0</v>
      </c>
      <c r="S313" s="52">
        <v>0</v>
      </c>
      <c r="T313" s="52">
        <v>0</v>
      </c>
      <c r="U313" s="52">
        <v>0</v>
      </c>
      <c r="V313" s="52">
        <v>0</v>
      </c>
      <c r="W313" s="52">
        <v>4</v>
      </c>
      <c r="X313" s="52">
        <v>0</v>
      </c>
      <c r="Y313" s="52">
        <v>0</v>
      </c>
      <c r="Z313" s="52">
        <v>0</v>
      </c>
      <c r="AA313" s="52">
        <v>0</v>
      </c>
      <c r="AB313" s="52">
        <v>0</v>
      </c>
      <c r="AC313" s="56">
        <v>0</v>
      </c>
      <c r="AD313" s="56">
        <v>0</v>
      </c>
      <c r="AE313" s="56">
        <v>16</v>
      </c>
      <c r="AF313" s="56">
        <v>0</v>
      </c>
      <c r="AG313" s="56">
        <v>0</v>
      </c>
      <c r="AH313" s="56">
        <v>0</v>
      </c>
      <c r="AI313" s="57">
        <v>0</v>
      </c>
      <c r="AJ313" s="56">
        <v>8.0000000000000002E-3</v>
      </c>
      <c r="AK313" s="56" t="s">
        <v>713</v>
      </c>
      <c r="AL313" s="52">
        <v>2</v>
      </c>
      <c r="AM313" s="41">
        <f>INDEX(Sheet5!$B$19:$G$33,MATCH(Sheet1!AQ313,Sheet5!$A$19:$A$33,0),MATCH(J313,Sheet5!$B$18:$G$18,0))</f>
        <v>3000</v>
      </c>
      <c r="AN313" s="52" t="s">
        <v>63</v>
      </c>
      <c r="AO313" s="52" t="s">
        <v>737</v>
      </c>
      <c r="AP313" s="52">
        <v>20417</v>
      </c>
      <c r="AQ313" s="13">
        <v>100</v>
      </c>
    </row>
    <row r="314" spans="1:43" ht="16.5">
      <c r="A314" s="52">
        <v>2389</v>
      </c>
      <c r="B314" s="53" t="s">
        <v>1965</v>
      </c>
      <c r="C314" s="53" t="s">
        <v>698</v>
      </c>
      <c r="D314" s="54" t="s">
        <v>116</v>
      </c>
      <c r="E314" s="55">
        <v>11013</v>
      </c>
      <c r="F314" s="66">
        <v>5000</v>
      </c>
      <c r="G314" s="52">
        <v>300</v>
      </c>
      <c r="H314" s="52">
        <v>50</v>
      </c>
      <c r="I314" s="54" t="s">
        <v>718</v>
      </c>
      <c r="J314" s="52">
        <v>3</v>
      </c>
      <c r="K314" s="52">
        <v>10</v>
      </c>
      <c r="L314" s="52">
        <v>30</v>
      </c>
      <c r="M314" s="80">
        <v>0</v>
      </c>
      <c r="N314" s="80">
        <v>0</v>
      </c>
      <c r="O314">
        <v>1760</v>
      </c>
      <c r="P314" s="80">
        <v>0</v>
      </c>
      <c r="Q314" s="52">
        <v>0</v>
      </c>
      <c r="R314" s="52">
        <v>0</v>
      </c>
      <c r="S314" s="52">
        <v>0</v>
      </c>
      <c r="T314" s="52">
        <v>0</v>
      </c>
      <c r="U314" s="52">
        <v>0</v>
      </c>
      <c r="V314" s="52">
        <v>0</v>
      </c>
      <c r="W314" s="52">
        <v>4</v>
      </c>
      <c r="X314" s="52">
        <v>0</v>
      </c>
      <c r="Y314" s="52">
        <v>0</v>
      </c>
      <c r="Z314" s="52">
        <v>0</v>
      </c>
      <c r="AA314" s="52">
        <v>0</v>
      </c>
      <c r="AB314" s="52">
        <v>0</v>
      </c>
      <c r="AC314" s="56">
        <v>0</v>
      </c>
      <c r="AD314" s="56">
        <v>0</v>
      </c>
      <c r="AE314" s="56">
        <v>16</v>
      </c>
      <c r="AF314" s="56">
        <v>0</v>
      </c>
      <c r="AG314" s="56">
        <v>0</v>
      </c>
      <c r="AH314" s="56">
        <v>0</v>
      </c>
      <c r="AI314" s="57">
        <v>0</v>
      </c>
      <c r="AJ314" s="56">
        <v>8.0000000000000002E-3</v>
      </c>
      <c r="AK314" s="56" t="s">
        <v>713</v>
      </c>
      <c r="AL314" s="52">
        <v>2</v>
      </c>
      <c r="AM314" s="41">
        <f>INDEX(Sheet5!$B$19:$G$33,MATCH(Sheet1!AQ314,Sheet5!$A$19:$A$33,0),MATCH(J314,Sheet5!$B$18:$G$18,0))</f>
        <v>3300</v>
      </c>
      <c r="AN314" s="52" t="s">
        <v>63</v>
      </c>
      <c r="AO314" s="52" t="s">
        <v>737</v>
      </c>
      <c r="AP314" s="52">
        <v>20418</v>
      </c>
      <c r="AQ314" s="13">
        <v>110</v>
      </c>
    </row>
    <row r="315" spans="1:43" ht="16.5">
      <c r="A315" s="52">
        <v>2390</v>
      </c>
      <c r="B315" s="53" t="s">
        <v>1966</v>
      </c>
      <c r="C315" s="53" t="s">
        <v>698</v>
      </c>
      <c r="D315" s="54" t="s">
        <v>116</v>
      </c>
      <c r="E315" s="55">
        <v>11013</v>
      </c>
      <c r="F315" s="66">
        <v>5000</v>
      </c>
      <c r="G315" s="52">
        <v>300</v>
      </c>
      <c r="H315" s="52">
        <v>50</v>
      </c>
      <c r="I315" s="54" t="s">
        <v>718</v>
      </c>
      <c r="J315" s="52">
        <v>3</v>
      </c>
      <c r="K315" s="52">
        <v>10</v>
      </c>
      <c r="L315" s="52">
        <v>30</v>
      </c>
      <c r="M315" s="80">
        <v>0</v>
      </c>
      <c r="N315" s="80">
        <v>0</v>
      </c>
      <c r="O315">
        <v>1920</v>
      </c>
      <c r="P315" s="80">
        <v>0</v>
      </c>
      <c r="Q315" s="52">
        <v>0</v>
      </c>
      <c r="R315" s="52">
        <v>0</v>
      </c>
      <c r="S315" s="52">
        <v>0</v>
      </c>
      <c r="T315" s="52">
        <v>0</v>
      </c>
      <c r="U315" s="52">
        <v>0</v>
      </c>
      <c r="V315" s="52">
        <v>0</v>
      </c>
      <c r="W315" s="52">
        <v>4</v>
      </c>
      <c r="X315" s="52">
        <v>0</v>
      </c>
      <c r="Y315" s="52">
        <v>0</v>
      </c>
      <c r="Z315" s="52">
        <v>0</v>
      </c>
      <c r="AA315" s="52">
        <v>0</v>
      </c>
      <c r="AB315" s="52">
        <v>0</v>
      </c>
      <c r="AC315" s="56">
        <v>0</v>
      </c>
      <c r="AD315" s="56">
        <v>0</v>
      </c>
      <c r="AE315" s="56">
        <v>16</v>
      </c>
      <c r="AF315" s="56">
        <v>0</v>
      </c>
      <c r="AG315" s="56">
        <v>0</v>
      </c>
      <c r="AH315" s="56">
        <v>0</v>
      </c>
      <c r="AI315" s="57">
        <v>0</v>
      </c>
      <c r="AJ315" s="56">
        <v>8.0000000000000002E-3</v>
      </c>
      <c r="AK315" s="56" t="s">
        <v>713</v>
      </c>
      <c r="AL315" s="52">
        <v>2</v>
      </c>
      <c r="AM315" s="41">
        <f>INDEX(Sheet5!$B$19:$G$33,MATCH(Sheet1!AQ315,Sheet5!$A$19:$A$33,0),MATCH(J315,Sheet5!$B$18:$G$18,0))</f>
        <v>3600</v>
      </c>
      <c r="AN315" s="52" t="s">
        <v>63</v>
      </c>
      <c r="AO315" s="52" t="s">
        <v>737</v>
      </c>
      <c r="AP315" s="52">
        <v>20419</v>
      </c>
      <c r="AQ315" s="13">
        <v>120</v>
      </c>
    </row>
    <row r="316" spans="1:43" ht="16.5">
      <c r="A316" s="52">
        <v>2391</v>
      </c>
      <c r="B316" s="53" t="s">
        <v>1967</v>
      </c>
      <c r="C316" s="53" t="s">
        <v>698</v>
      </c>
      <c r="D316" s="54" t="s">
        <v>116</v>
      </c>
      <c r="E316" s="55">
        <v>11013</v>
      </c>
      <c r="F316" s="66">
        <v>5000</v>
      </c>
      <c r="G316" s="52">
        <v>300</v>
      </c>
      <c r="H316" s="52">
        <v>50</v>
      </c>
      <c r="I316" s="54" t="s">
        <v>718</v>
      </c>
      <c r="J316" s="52">
        <v>3</v>
      </c>
      <c r="K316" s="52">
        <v>10</v>
      </c>
      <c r="L316" s="52">
        <v>30</v>
      </c>
      <c r="M316" s="80">
        <v>0</v>
      </c>
      <c r="N316" s="80">
        <v>0</v>
      </c>
      <c r="O316">
        <v>2080</v>
      </c>
      <c r="P316" s="80">
        <v>0</v>
      </c>
      <c r="Q316" s="52">
        <v>0</v>
      </c>
      <c r="R316" s="52">
        <v>0</v>
      </c>
      <c r="S316" s="52">
        <v>0</v>
      </c>
      <c r="T316" s="52">
        <v>0</v>
      </c>
      <c r="U316" s="52">
        <v>0</v>
      </c>
      <c r="V316" s="52">
        <v>0</v>
      </c>
      <c r="W316" s="52">
        <v>4</v>
      </c>
      <c r="X316" s="52">
        <v>0</v>
      </c>
      <c r="Y316" s="52">
        <v>0</v>
      </c>
      <c r="Z316" s="52">
        <v>0</v>
      </c>
      <c r="AA316" s="52">
        <v>0</v>
      </c>
      <c r="AB316" s="52">
        <v>0</v>
      </c>
      <c r="AC316" s="56">
        <v>0</v>
      </c>
      <c r="AD316" s="56">
        <v>0</v>
      </c>
      <c r="AE316" s="56">
        <v>16</v>
      </c>
      <c r="AF316" s="56">
        <v>0</v>
      </c>
      <c r="AG316" s="56">
        <v>0</v>
      </c>
      <c r="AH316" s="56">
        <v>0</v>
      </c>
      <c r="AI316" s="57">
        <v>0</v>
      </c>
      <c r="AJ316" s="56">
        <v>8.0000000000000002E-3</v>
      </c>
      <c r="AK316" s="56" t="s">
        <v>713</v>
      </c>
      <c r="AL316" s="52">
        <v>2</v>
      </c>
      <c r="AM316" s="41">
        <f>INDEX(Sheet5!$B$19:$G$33,MATCH(Sheet1!AQ316,Sheet5!$A$19:$A$33,0),MATCH(J316,Sheet5!$B$18:$G$18,0))</f>
        <v>3900</v>
      </c>
      <c r="AN316" s="52" t="s">
        <v>63</v>
      </c>
      <c r="AO316" s="52" t="s">
        <v>737</v>
      </c>
      <c r="AP316" s="52">
        <v>20420</v>
      </c>
      <c r="AQ316" s="13">
        <v>130</v>
      </c>
    </row>
    <row r="317" spans="1:43" ht="16.5">
      <c r="A317" s="52">
        <v>2392</v>
      </c>
      <c r="B317" s="53" t="s">
        <v>1968</v>
      </c>
      <c r="C317" s="53" t="s">
        <v>698</v>
      </c>
      <c r="D317" s="54" t="s">
        <v>116</v>
      </c>
      <c r="E317" s="55">
        <v>11013</v>
      </c>
      <c r="F317" s="66">
        <v>5000</v>
      </c>
      <c r="G317" s="52">
        <v>300</v>
      </c>
      <c r="H317" s="52">
        <v>50</v>
      </c>
      <c r="I317" s="54" t="s">
        <v>718</v>
      </c>
      <c r="J317" s="52">
        <v>3</v>
      </c>
      <c r="K317" s="52">
        <v>10</v>
      </c>
      <c r="L317" s="52">
        <v>30</v>
      </c>
      <c r="M317" s="80">
        <v>0</v>
      </c>
      <c r="N317" s="80">
        <v>0</v>
      </c>
      <c r="O317">
        <v>2240</v>
      </c>
      <c r="P317" s="80">
        <v>0</v>
      </c>
      <c r="Q317" s="52">
        <v>0</v>
      </c>
      <c r="R317" s="52">
        <v>0</v>
      </c>
      <c r="S317" s="52">
        <v>0</v>
      </c>
      <c r="T317" s="52">
        <v>0</v>
      </c>
      <c r="U317" s="52">
        <v>0</v>
      </c>
      <c r="V317" s="52">
        <v>0</v>
      </c>
      <c r="W317" s="52">
        <v>4</v>
      </c>
      <c r="X317" s="52">
        <v>0</v>
      </c>
      <c r="Y317" s="52">
        <v>0</v>
      </c>
      <c r="Z317" s="52">
        <v>0</v>
      </c>
      <c r="AA317" s="52">
        <v>0</v>
      </c>
      <c r="AB317" s="52">
        <v>0</v>
      </c>
      <c r="AC317" s="56">
        <v>0</v>
      </c>
      <c r="AD317" s="56">
        <v>0</v>
      </c>
      <c r="AE317" s="56">
        <v>16</v>
      </c>
      <c r="AF317" s="56">
        <v>0</v>
      </c>
      <c r="AG317" s="56">
        <v>0</v>
      </c>
      <c r="AH317" s="56">
        <v>0</v>
      </c>
      <c r="AI317" s="57">
        <v>0</v>
      </c>
      <c r="AJ317" s="56">
        <v>8.0000000000000002E-3</v>
      </c>
      <c r="AK317" s="56" t="s">
        <v>713</v>
      </c>
      <c r="AL317" s="52">
        <v>2</v>
      </c>
      <c r="AM317" s="41">
        <f>INDEX(Sheet5!$B$19:$G$33,MATCH(Sheet1!AQ317,Sheet5!$A$19:$A$33,0),MATCH(J317,Sheet5!$B$18:$G$18,0))</f>
        <v>4200</v>
      </c>
      <c r="AN317" s="52" t="s">
        <v>63</v>
      </c>
      <c r="AO317" s="52" t="s">
        <v>737</v>
      </c>
      <c r="AP317" s="52">
        <v>204211</v>
      </c>
      <c r="AQ317" s="13">
        <v>140</v>
      </c>
    </row>
    <row r="318" spans="1:43" ht="16.5">
      <c r="A318" s="52">
        <v>2393</v>
      </c>
      <c r="B318" s="53" t="s">
        <v>1969</v>
      </c>
      <c r="C318" s="53" t="s">
        <v>698</v>
      </c>
      <c r="D318" s="54" t="s">
        <v>116</v>
      </c>
      <c r="E318" s="55">
        <v>11013</v>
      </c>
      <c r="F318" s="66">
        <v>5000</v>
      </c>
      <c r="G318" s="52">
        <v>300</v>
      </c>
      <c r="H318" s="52">
        <v>50</v>
      </c>
      <c r="I318" s="54" t="s">
        <v>718</v>
      </c>
      <c r="J318" s="52">
        <v>3</v>
      </c>
      <c r="K318" s="52">
        <v>10</v>
      </c>
      <c r="L318" s="52">
        <v>30</v>
      </c>
      <c r="M318" s="80">
        <v>0</v>
      </c>
      <c r="N318" s="80">
        <v>0</v>
      </c>
      <c r="O318">
        <v>2400</v>
      </c>
      <c r="P318" s="80">
        <v>0</v>
      </c>
      <c r="Q318" s="52">
        <v>0</v>
      </c>
      <c r="R318" s="52">
        <v>0</v>
      </c>
      <c r="S318" s="52">
        <v>0</v>
      </c>
      <c r="T318" s="52">
        <v>0</v>
      </c>
      <c r="U318" s="52">
        <v>0</v>
      </c>
      <c r="V318" s="52">
        <v>0</v>
      </c>
      <c r="W318" s="52">
        <v>4</v>
      </c>
      <c r="X318" s="52">
        <v>0</v>
      </c>
      <c r="Y318" s="52">
        <v>0</v>
      </c>
      <c r="Z318" s="52">
        <v>0</v>
      </c>
      <c r="AA318" s="52">
        <v>0</v>
      </c>
      <c r="AB318" s="52">
        <v>0</v>
      </c>
      <c r="AC318" s="56">
        <v>0</v>
      </c>
      <c r="AD318" s="56">
        <v>0</v>
      </c>
      <c r="AE318" s="56">
        <v>16</v>
      </c>
      <c r="AF318" s="56">
        <v>0</v>
      </c>
      <c r="AG318" s="56">
        <v>0</v>
      </c>
      <c r="AH318" s="56">
        <v>0</v>
      </c>
      <c r="AI318" s="57">
        <v>0</v>
      </c>
      <c r="AJ318" s="56">
        <v>8.0000000000000002E-3</v>
      </c>
      <c r="AK318" s="56" t="s">
        <v>713</v>
      </c>
      <c r="AL318" s="52">
        <v>2</v>
      </c>
      <c r="AM318" s="41">
        <f>INDEX(Sheet5!$B$19:$G$33,MATCH(Sheet1!AQ318,Sheet5!$A$19:$A$33,0),MATCH(J318,Sheet5!$B$18:$G$18,0))</f>
        <v>4500</v>
      </c>
      <c r="AN318" s="52" t="s">
        <v>63</v>
      </c>
      <c r="AO318" s="52" t="s">
        <v>737</v>
      </c>
      <c r="AP318" s="52">
        <v>204212</v>
      </c>
      <c r="AQ318" s="13">
        <v>150</v>
      </c>
    </row>
    <row r="319" spans="1:43" ht="16.5">
      <c r="A319" s="52">
        <v>2394</v>
      </c>
      <c r="B319" s="53" t="s">
        <v>1970</v>
      </c>
      <c r="C319" s="53" t="s">
        <v>165</v>
      </c>
      <c r="D319" s="54" t="s">
        <v>117</v>
      </c>
      <c r="E319" s="55">
        <v>11014</v>
      </c>
      <c r="F319" s="66">
        <v>5000</v>
      </c>
      <c r="G319" s="52">
        <v>300</v>
      </c>
      <c r="H319" s="52">
        <v>50</v>
      </c>
      <c r="I319" s="54" t="s">
        <v>719</v>
      </c>
      <c r="J319" s="52">
        <v>3</v>
      </c>
      <c r="K319" s="52">
        <v>10</v>
      </c>
      <c r="L319" s="52">
        <v>30</v>
      </c>
      <c r="M319" s="80">
        <v>0</v>
      </c>
      <c r="N319">
        <v>320</v>
      </c>
      <c r="O319" s="80">
        <v>0</v>
      </c>
      <c r="P319" s="80">
        <v>0</v>
      </c>
      <c r="Q319" s="52">
        <v>0</v>
      </c>
      <c r="R319" s="52">
        <v>0</v>
      </c>
      <c r="S319" s="52">
        <v>0</v>
      </c>
      <c r="T319" s="52">
        <v>0</v>
      </c>
      <c r="U319" s="52">
        <v>0</v>
      </c>
      <c r="V319" s="52">
        <v>8</v>
      </c>
      <c r="W319" s="52">
        <v>0</v>
      </c>
      <c r="X319" s="52">
        <v>0</v>
      </c>
      <c r="Y319" s="52">
        <v>0</v>
      </c>
      <c r="Z319" s="52">
        <v>0</v>
      </c>
      <c r="AA319" s="52">
        <v>0</v>
      </c>
      <c r="AB319" s="52">
        <v>0</v>
      </c>
      <c r="AC319" s="56">
        <v>0</v>
      </c>
      <c r="AD319" s="56">
        <v>32</v>
      </c>
      <c r="AE319" s="56">
        <v>0</v>
      </c>
      <c r="AF319" s="56">
        <v>0</v>
      </c>
      <c r="AG319" s="57">
        <v>0</v>
      </c>
      <c r="AH319" s="56">
        <v>0</v>
      </c>
      <c r="AI319" s="56">
        <v>8.0000000000000002E-3</v>
      </c>
      <c r="AJ319" s="56">
        <v>0</v>
      </c>
      <c r="AK319" s="56" t="s">
        <v>713</v>
      </c>
      <c r="AL319" s="52">
        <v>1</v>
      </c>
      <c r="AM319" s="41">
        <f>INDEX(Sheet5!$B$19:$G$33,MATCH(Sheet1!AQ319,Sheet5!$A$19:$A$33,0),MATCH(J319,Sheet5!$B$18:$G$18,0))</f>
        <v>300</v>
      </c>
      <c r="AN319" s="52" t="s">
        <v>63</v>
      </c>
      <c r="AO319" s="52" t="s">
        <v>738</v>
      </c>
      <c r="AP319" s="52">
        <v>421</v>
      </c>
      <c r="AQ319" s="13">
        <v>10</v>
      </c>
    </row>
    <row r="320" spans="1:43" ht="16.5">
      <c r="A320" s="52">
        <v>2395</v>
      </c>
      <c r="B320" s="53" t="s">
        <v>1971</v>
      </c>
      <c r="C320" s="53" t="s">
        <v>165</v>
      </c>
      <c r="D320" s="54" t="s">
        <v>117</v>
      </c>
      <c r="E320" s="55">
        <v>11014</v>
      </c>
      <c r="F320" s="66">
        <v>5000</v>
      </c>
      <c r="G320" s="52">
        <v>300</v>
      </c>
      <c r="H320" s="52">
        <v>50</v>
      </c>
      <c r="I320" s="54" t="s">
        <v>719</v>
      </c>
      <c r="J320" s="52">
        <v>3</v>
      </c>
      <c r="K320" s="52">
        <v>10</v>
      </c>
      <c r="L320" s="52">
        <v>30</v>
      </c>
      <c r="M320" s="80">
        <v>0</v>
      </c>
      <c r="N320">
        <v>640</v>
      </c>
      <c r="O320" s="80">
        <v>0</v>
      </c>
      <c r="P320" s="80">
        <v>0</v>
      </c>
      <c r="Q320" s="52">
        <v>0</v>
      </c>
      <c r="R320" s="52">
        <v>0</v>
      </c>
      <c r="S320" s="52">
        <v>0</v>
      </c>
      <c r="T320" s="52">
        <v>0</v>
      </c>
      <c r="U320" s="52">
        <v>0</v>
      </c>
      <c r="V320" s="52">
        <v>8</v>
      </c>
      <c r="W320" s="52">
        <v>0</v>
      </c>
      <c r="X320" s="52">
        <v>0</v>
      </c>
      <c r="Y320" s="52">
        <v>0</v>
      </c>
      <c r="Z320" s="52">
        <v>0</v>
      </c>
      <c r="AA320" s="52">
        <v>0</v>
      </c>
      <c r="AB320" s="52">
        <v>0</v>
      </c>
      <c r="AC320" s="56">
        <v>0</v>
      </c>
      <c r="AD320" s="56">
        <v>32</v>
      </c>
      <c r="AE320" s="56">
        <v>0</v>
      </c>
      <c r="AF320" s="56">
        <v>0</v>
      </c>
      <c r="AG320" s="57">
        <v>0</v>
      </c>
      <c r="AH320" s="56">
        <v>0</v>
      </c>
      <c r="AI320" s="56">
        <v>8.0000000000000002E-3</v>
      </c>
      <c r="AJ320" s="56">
        <v>0</v>
      </c>
      <c r="AK320" s="56" t="s">
        <v>713</v>
      </c>
      <c r="AL320" s="52">
        <v>1</v>
      </c>
      <c r="AM320" s="41">
        <f>INDEX(Sheet5!$B$19:$G$33,MATCH(Sheet1!AQ320,Sheet5!$A$19:$A$33,0),MATCH(J320,Sheet5!$B$18:$G$18,0))</f>
        <v>600</v>
      </c>
      <c r="AN320" s="52" t="s">
        <v>63</v>
      </c>
      <c r="AO320" s="52" t="s">
        <v>738</v>
      </c>
      <c r="AP320" s="52">
        <v>422</v>
      </c>
      <c r="AQ320" s="13">
        <v>20</v>
      </c>
    </row>
    <row r="321" spans="1:43" s="87" customFormat="1" ht="16.5">
      <c r="A321" s="97">
        <v>2042</v>
      </c>
      <c r="B321" s="97" t="s">
        <v>1972</v>
      </c>
      <c r="C321" s="97" t="s">
        <v>165</v>
      </c>
      <c r="D321" s="97" t="s">
        <v>117</v>
      </c>
      <c r="E321" s="98">
        <v>11014</v>
      </c>
      <c r="F321" s="97">
        <v>5000</v>
      </c>
      <c r="G321" s="97">
        <v>300</v>
      </c>
      <c r="H321" s="97">
        <v>50</v>
      </c>
      <c r="I321" s="97" t="s">
        <v>719</v>
      </c>
      <c r="J321" s="97">
        <v>3</v>
      </c>
      <c r="K321" s="97">
        <v>10</v>
      </c>
      <c r="L321" s="97">
        <v>30</v>
      </c>
      <c r="M321" s="94">
        <v>0</v>
      </c>
      <c r="N321">
        <v>960</v>
      </c>
      <c r="O321" s="94">
        <v>0</v>
      </c>
      <c r="P321" s="94">
        <v>0</v>
      </c>
      <c r="Q321" s="97">
        <v>0</v>
      </c>
      <c r="R321" s="97">
        <v>0</v>
      </c>
      <c r="S321" s="97">
        <v>0</v>
      </c>
      <c r="T321" s="97">
        <v>0</v>
      </c>
      <c r="U321" s="97">
        <v>0</v>
      </c>
      <c r="V321" s="97">
        <v>8</v>
      </c>
      <c r="W321" s="97">
        <v>0</v>
      </c>
      <c r="X321" s="97">
        <v>0</v>
      </c>
      <c r="Y321" s="97">
        <v>0</v>
      </c>
      <c r="Z321" s="97">
        <v>0</v>
      </c>
      <c r="AA321" s="97">
        <v>0</v>
      </c>
      <c r="AB321" s="97">
        <v>0</v>
      </c>
      <c r="AC321" s="97">
        <v>0</v>
      </c>
      <c r="AD321" s="97">
        <v>32</v>
      </c>
      <c r="AE321" s="97">
        <v>0</v>
      </c>
      <c r="AF321" s="97">
        <v>0</v>
      </c>
      <c r="AG321" s="99">
        <v>0</v>
      </c>
      <c r="AH321" s="97">
        <v>0</v>
      </c>
      <c r="AI321" s="97">
        <v>8.0000000000000002E-3</v>
      </c>
      <c r="AJ321" s="97">
        <v>0</v>
      </c>
      <c r="AK321" s="97" t="s">
        <v>1488</v>
      </c>
      <c r="AL321" s="97">
        <v>1</v>
      </c>
      <c r="AM321" s="41">
        <f>INDEX(Sheet5!$B$19:$G$33,MATCH(Sheet1!AQ321,Sheet5!$A$19:$A$33,0),MATCH(J321,Sheet5!$B$18:$G$18,0))</f>
        <v>900</v>
      </c>
      <c r="AN321" s="97" t="s">
        <v>1488</v>
      </c>
      <c r="AO321" s="97" t="s">
        <v>738</v>
      </c>
      <c r="AP321" s="97">
        <v>2042</v>
      </c>
      <c r="AQ321" s="13">
        <v>30</v>
      </c>
    </row>
    <row r="322" spans="1:43" ht="16.5">
      <c r="A322" s="52">
        <v>2396</v>
      </c>
      <c r="B322" s="53" t="s">
        <v>1973</v>
      </c>
      <c r="C322" s="53" t="s">
        <v>165</v>
      </c>
      <c r="D322" s="54" t="s">
        <v>117</v>
      </c>
      <c r="E322" s="55">
        <v>11014</v>
      </c>
      <c r="F322" s="66">
        <v>5000</v>
      </c>
      <c r="G322" s="52">
        <v>300</v>
      </c>
      <c r="H322" s="52">
        <v>50</v>
      </c>
      <c r="I322" s="54" t="s">
        <v>719</v>
      </c>
      <c r="J322" s="52">
        <v>3</v>
      </c>
      <c r="K322" s="52">
        <v>10</v>
      </c>
      <c r="L322" s="52">
        <v>30</v>
      </c>
      <c r="M322" s="80">
        <v>0</v>
      </c>
      <c r="N322">
        <v>1280</v>
      </c>
      <c r="O322" s="80">
        <v>0</v>
      </c>
      <c r="P322" s="80">
        <v>0</v>
      </c>
      <c r="Q322" s="52">
        <v>0</v>
      </c>
      <c r="R322" s="52">
        <v>0</v>
      </c>
      <c r="S322" s="52">
        <v>0</v>
      </c>
      <c r="T322" s="52">
        <v>0</v>
      </c>
      <c r="U322" s="52">
        <v>0</v>
      </c>
      <c r="V322" s="52">
        <v>8</v>
      </c>
      <c r="W322" s="52">
        <v>0</v>
      </c>
      <c r="X322" s="52">
        <v>0</v>
      </c>
      <c r="Y322" s="52">
        <v>0</v>
      </c>
      <c r="Z322" s="52">
        <v>0</v>
      </c>
      <c r="AA322" s="52">
        <v>0</v>
      </c>
      <c r="AB322" s="52">
        <v>0</v>
      </c>
      <c r="AC322" s="56">
        <v>0</v>
      </c>
      <c r="AD322" s="56">
        <v>32</v>
      </c>
      <c r="AE322" s="56">
        <v>0</v>
      </c>
      <c r="AF322" s="56">
        <v>0</v>
      </c>
      <c r="AG322" s="57">
        <v>0</v>
      </c>
      <c r="AH322" s="56">
        <v>0</v>
      </c>
      <c r="AI322" s="56">
        <v>8.0000000000000002E-3</v>
      </c>
      <c r="AJ322" s="56">
        <v>0</v>
      </c>
      <c r="AK322" s="56" t="s">
        <v>713</v>
      </c>
      <c r="AL322" s="52">
        <v>1</v>
      </c>
      <c r="AM322" s="41">
        <f>INDEX(Sheet5!$B$19:$G$33,MATCH(Sheet1!AQ322,Sheet5!$A$19:$A$33,0),MATCH(J322,Sheet5!$B$18:$G$18,0))</f>
        <v>1200</v>
      </c>
      <c r="AN322" s="52" t="s">
        <v>63</v>
      </c>
      <c r="AO322" s="52" t="s">
        <v>738</v>
      </c>
      <c r="AP322" s="52">
        <v>20421</v>
      </c>
      <c r="AQ322" s="13">
        <v>40</v>
      </c>
    </row>
    <row r="323" spans="1:43" ht="16.5">
      <c r="A323" s="52">
        <v>2397</v>
      </c>
      <c r="B323" s="53" t="s">
        <v>1974</v>
      </c>
      <c r="C323" s="53" t="s">
        <v>165</v>
      </c>
      <c r="D323" s="54" t="s">
        <v>117</v>
      </c>
      <c r="E323" s="55">
        <v>11014</v>
      </c>
      <c r="F323" s="66">
        <v>5000</v>
      </c>
      <c r="G323" s="52">
        <v>300</v>
      </c>
      <c r="H323" s="52">
        <v>50</v>
      </c>
      <c r="I323" s="54" t="s">
        <v>719</v>
      </c>
      <c r="J323" s="52">
        <v>3</v>
      </c>
      <c r="K323" s="52">
        <v>10</v>
      </c>
      <c r="L323" s="52">
        <v>30</v>
      </c>
      <c r="M323" s="80">
        <v>0</v>
      </c>
      <c r="N323">
        <v>1600</v>
      </c>
      <c r="O323" s="80">
        <v>0</v>
      </c>
      <c r="P323" s="80">
        <v>0</v>
      </c>
      <c r="Q323" s="52">
        <v>0</v>
      </c>
      <c r="R323" s="52">
        <v>0</v>
      </c>
      <c r="S323" s="52">
        <v>0</v>
      </c>
      <c r="T323" s="52">
        <v>0</v>
      </c>
      <c r="U323" s="52">
        <v>0</v>
      </c>
      <c r="V323" s="52">
        <v>8</v>
      </c>
      <c r="W323" s="52">
        <v>0</v>
      </c>
      <c r="X323" s="52">
        <v>0</v>
      </c>
      <c r="Y323" s="52">
        <v>0</v>
      </c>
      <c r="Z323" s="52">
        <v>0</v>
      </c>
      <c r="AA323" s="52">
        <v>0</v>
      </c>
      <c r="AB323" s="52">
        <v>0</v>
      </c>
      <c r="AC323" s="56">
        <v>0</v>
      </c>
      <c r="AD323" s="56">
        <v>32</v>
      </c>
      <c r="AE323" s="56">
        <v>0</v>
      </c>
      <c r="AF323" s="56">
        <v>0</v>
      </c>
      <c r="AG323" s="57">
        <v>0</v>
      </c>
      <c r="AH323" s="56">
        <v>0</v>
      </c>
      <c r="AI323" s="56">
        <v>8.0000000000000002E-3</v>
      </c>
      <c r="AJ323" s="56">
        <v>0</v>
      </c>
      <c r="AK323" s="56" t="s">
        <v>713</v>
      </c>
      <c r="AL323" s="52">
        <v>1</v>
      </c>
      <c r="AM323" s="41">
        <f>INDEX(Sheet5!$B$19:$G$33,MATCH(Sheet1!AQ323,Sheet5!$A$19:$A$33,0),MATCH(J323,Sheet5!$B$18:$G$18,0))</f>
        <v>1500</v>
      </c>
      <c r="AN323" s="52" t="s">
        <v>63</v>
      </c>
      <c r="AO323" s="52" t="s">
        <v>738</v>
      </c>
      <c r="AP323" s="52">
        <v>20422</v>
      </c>
      <c r="AQ323" s="13">
        <v>50</v>
      </c>
    </row>
    <row r="324" spans="1:43" ht="16.5">
      <c r="A324" s="52">
        <v>2398</v>
      </c>
      <c r="B324" s="53" t="s">
        <v>1975</v>
      </c>
      <c r="C324" s="53" t="s">
        <v>165</v>
      </c>
      <c r="D324" s="54" t="s">
        <v>117</v>
      </c>
      <c r="E324" s="55">
        <v>11014</v>
      </c>
      <c r="F324" s="66">
        <v>5000</v>
      </c>
      <c r="G324" s="52">
        <v>300</v>
      </c>
      <c r="H324" s="52">
        <v>50</v>
      </c>
      <c r="I324" s="54" t="s">
        <v>719</v>
      </c>
      <c r="J324" s="52">
        <v>3</v>
      </c>
      <c r="K324" s="52">
        <v>10</v>
      </c>
      <c r="L324" s="52">
        <v>30</v>
      </c>
      <c r="M324" s="80">
        <v>0</v>
      </c>
      <c r="N324">
        <v>1920</v>
      </c>
      <c r="O324" s="80">
        <v>0</v>
      </c>
      <c r="P324" s="80">
        <v>0</v>
      </c>
      <c r="Q324" s="52">
        <v>0</v>
      </c>
      <c r="R324" s="52">
        <v>0</v>
      </c>
      <c r="S324" s="52">
        <v>0</v>
      </c>
      <c r="T324" s="52">
        <v>0</v>
      </c>
      <c r="U324" s="52">
        <v>0</v>
      </c>
      <c r="V324" s="52">
        <v>8</v>
      </c>
      <c r="W324" s="52">
        <v>0</v>
      </c>
      <c r="X324" s="52">
        <v>0</v>
      </c>
      <c r="Y324" s="52">
        <v>0</v>
      </c>
      <c r="Z324" s="52">
        <v>0</v>
      </c>
      <c r="AA324" s="52">
        <v>0</v>
      </c>
      <c r="AB324" s="52">
        <v>0</v>
      </c>
      <c r="AC324" s="56">
        <v>0</v>
      </c>
      <c r="AD324" s="56">
        <v>32</v>
      </c>
      <c r="AE324" s="56">
        <v>0</v>
      </c>
      <c r="AF324" s="56">
        <v>0</v>
      </c>
      <c r="AG324" s="57">
        <v>0</v>
      </c>
      <c r="AH324" s="56">
        <v>0</v>
      </c>
      <c r="AI324" s="56">
        <v>8.0000000000000002E-3</v>
      </c>
      <c r="AJ324" s="56">
        <v>0</v>
      </c>
      <c r="AK324" s="56" t="s">
        <v>713</v>
      </c>
      <c r="AL324" s="52">
        <v>1</v>
      </c>
      <c r="AM324" s="41">
        <f>INDEX(Sheet5!$B$19:$G$33,MATCH(Sheet1!AQ324,Sheet5!$A$19:$A$33,0),MATCH(J324,Sheet5!$B$18:$G$18,0))</f>
        <v>1800</v>
      </c>
      <c r="AN324" s="52" t="s">
        <v>63</v>
      </c>
      <c r="AO324" s="52" t="s">
        <v>738</v>
      </c>
      <c r="AP324" s="52">
        <v>20423</v>
      </c>
      <c r="AQ324" s="13">
        <v>60</v>
      </c>
    </row>
    <row r="325" spans="1:43" ht="16.5">
      <c r="A325" s="52">
        <v>2399</v>
      </c>
      <c r="B325" s="53" t="s">
        <v>1976</v>
      </c>
      <c r="C325" s="53" t="s">
        <v>165</v>
      </c>
      <c r="D325" s="54" t="s">
        <v>117</v>
      </c>
      <c r="E325" s="55">
        <v>11014</v>
      </c>
      <c r="F325" s="66">
        <v>5000</v>
      </c>
      <c r="G325" s="52">
        <v>300</v>
      </c>
      <c r="H325" s="52">
        <v>50</v>
      </c>
      <c r="I325" s="54" t="s">
        <v>719</v>
      </c>
      <c r="J325" s="52">
        <v>3</v>
      </c>
      <c r="K325" s="52">
        <v>10</v>
      </c>
      <c r="L325" s="52">
        <v>30</v>
      </c>
      <c r="M325" s="80">
        <v>0</v>
      </c>
      <c r="N325">
        <v>2240</v>
      </c>
      <c r="O325" s="80">
        <v>0</v>
      </c>
      <c r="P325" s="80">
        <v>0</v>
      </c>
      <c r="Q325" s="52">
        <v>0</v>
      </c>
      <c r="R325" s="52">
        <v>0</v>
      </c>
      <c r="S325" s="52">
        <v>0</v>
      </c>
      <c r="T325" s="52">
        <v>0</v>
      </c>
      <c r="U325" s="52">
        <v>0</v>
      </c>
      <c r="V325" s="52">
        <v>8</v>
      </c>
      <c r="W325" s="52">
        <v>0</v>
      </c>
      <c r="X325" s="52">
        <v>0</v>
      </c>
      <c r="Y325" s="52">
        <v>0</v>
      </c>
      <c r="Z325" s="52">
        <v>0</v>
      </c>
      <c r="AA325" s="52">
        <v>0</v>
      </c>
      <c r="AB325" s="52">
        <v>0</v>
      </c>
      <c r="AC325" s="56">
        <v>0</v>
      </c>
      <c r="AD325" s="56">
        <v>32</v>
      </c>
      <c r="AE325" s="56">
        <v>0</v>
      </c>
      <c r="AF325" s="56">
        <v>0</v>
      </c>
      <c r="AG325" s="57">
        <v>0</v>
      </c>
      <c r="AH325" s="56">
        <v>0</v>
      </c>
      <c r="AI325" s="56">
        <v>8.0000000000000002E-3</v>
      </c>
      <c r="AJ325" s="56">
        <v>0</v>
      </c>
      <c r="AK325" s="56" t="s">
        <v>713</v>
      </c>
      <c r="AL325" s="52">
        <v>1</v>
      </c>
      <c r="AM325" s="41">
        <f>INDEX(Sheet5!$B$19:$G$33,MATCH(Sheet1!AQ325,Sheet5!$A$19:$A$33,0),MATCH(J325,Sheet5!$B$18:$G$18,0))</f>
        <v>2100</v>
      </c>
      <c r="AN325" s="52" t="s">
        <v>63</v>
      </c>
      <c r="AO325" s="52" t="s">
        <v>738</v>
      </c>
      <c r="AP325" s="52">
        <v>20424</v>
      </c>
      <c r="AQ325" s="13">
        <v>70</v>
      </c>
    </row>
    <row r="326" spans="1:43" ht="16.5">
      <c r="A326" s="52">
        <v>2400</v>
      </c>
      <c r="B326" s="53" t="s">
        <v>1977</v>
      </c>
      <c r="C326" s="53" t="s">
        <v>165</v>
      </c>
      <c r="D326" s="54" t="s">
        <v>117</v>
      </c>
      <c r="E326" s="55">
        <v>11014</v>
      </c>
      <c r="F326" s="66">
        <v>5000</v>
      </c>
      <c r="G326" s="52">
        <v>300</v>
      </c>
      <c r="H326" s="52">
        <v>50</v>
      </c>
      <c r="I326" s="54" t="s">
        <v>719</v>
      </c>
      <c r="J326" s="52">
        <v>3</v>
      </c>
      <c r="K326" s="52">
        <v>10</v>
      </c>
      <c r="L326" s="52">
        <v>30</v>
      </c>
      <c r="M326" s="80">
        <v>0</v>
      </c>
      <c r="N326">
        <v>2560</v>
      </c>
      <c r="O326" s="80">
        <v>0</v>
      </c>
      <c r="P326" s="80">
        <v>0</v>
      </c>
      <c r="Q326" s="52">
        <v>0</v>
      </c>
      <c r="R326" s="52">
        <v>0</v>
      </c>
      <c r="S326" s="52">
        <v>0</v>
      </c>
      <c r="T326" s="52">
        <v>0</v>
      </c>
      <c r="U326" s="52">
        <v>0</v>
      </c>
      <c r="V326" s="52">
        <v>8</v>
      </c>
      <c r="W326" s="52">
        <v>0</v>
      </c>
      <c r="X326" s="52">
        <v>0</v>
      </c>
      <c r="Y326" s="52">
        <v>0</v>
      </c>
      <c r="Z326" s="52">
        <v>0</v>
      </c>
      <c r="AA326" s="52">
        <v>0</v>
      </c>
      <c r="AB326" s="52">
        <v>0</v>
      </c>
      <c r="AC326" s="56">
        <v>0</v>
      </c>
      <c r="AD326" s="56">
        <v>32</v>
      </c>
      <c r="AE326" s="56">
        <v>0</v>
      </c>
      <c r="AF326" s="56">
        <v>0</v>
      </c>
      <c r="AG326" s="57">
        <v>0</v>
      </c>
      <c r="AH326" s="56">
        <v>0</v>
      </c>
      <c r="AI326" s="56">
        <v>8.0000000000000002E-3</v>
      </c>
      <c r="AJ326" s="56">
        <v>0</v>
      </c>
      <c r="AK326" s="56" t="s">
        <v>713</v>
      </c>
      <c r="AL326" s="52">
        <v>1</v>
      </c>
      <c r="AM326" s="41">
        <f>INDEX(Sheet5!$B$19:$G$33,MATCH(Sheet1!AQ326,Sheet5!$A$19:$A$33,0),MATCH(J326,Sheet5!$B$18:$G$18,0))</f>
        <v>2400</v>
      </c>
      <c r="AN326" s="52" t="s">
        <v>63</v>
      </c>
      <c r="AO326" s="52" t="s">
        <v>738</v>
      </c>
      <c r="AP326" s="52">
        <v>20425</v>
      </c>
      <c r="AQ326" s="13">
        <v>80</v>
      </c>
    </row>
    <row r="327" spans="1:43" ht="16.5">
      <c r="A327" s="52">
        <v>2401</v>
      </c>
      <c r="B327" s="53" t="s">
        <v>1978</v>
      </c>
      <c r="C327" s="53" t="s">
        <v>165</v>
      </c>
      <c r="D327" s="54" t="s">
        <v>117</v>
      </c>
      <c r="E327" s="55">
        <v>11014</v>
      </c>
      <c r="F327" s="66">
        <v>5000</v>
      </c>
      <c r="G327" s="52">
        <v>300</v>
      </c>
      <c r="H327" s="52">
        <v>50</v>
      </c>
      <c r="I327" s="54" t="s">
        <v>719</v>
      </c>
      <c r="J327" s="52">
        <v>3</v>
      </c>
      <c r="K327" s="52">
        <v>10</v>
      </c>
      <c r="L327" s="52">
        <v>30</v>
      </c>
      <c r="M327" s="80">
        <v>0</v>
      </c>
      <c r="N327">
        <v>2880</v>
      </c>
      <c r="O327" s="80">
        <v>0</v>
      </c>
      <c r="P327" s="80">
        <v>0</v>
      </c>
      <c r="Q327" s="52">
        <v>0</v>
      </c>
      <c r="R327" s="52">
        <v>0</v>
      </c>
      <c r="S327" s="52">
        <v>0</v>
      </c>
      <c r="T327" s="52">
        <v>0</v>
      </c>
      <c r="U327" s="52">
        <v>0</v>
      </c>
      <c r="V327" s="52">
        <v>8</v>
      </c>
      <c r="W327" s="52">
        <v>0</v>
      </c>
      <c r="X327" s="52">
        <v>0</v>
      </c>
      <c r="Y327" s="52">
        <v>0</v>
      </c>
      <c r="Z327" s="52">
        <v>0</v>
      </c>
      <c r="AA327" s="52">
        <v>0</v>
      </c>
      <c r="AB327" s="52">
        <v>0</v>
      </c>
      <c r="AC327" s="56">
        <v>0</v>
      </c>
      <c r="AD327" s="56">
        <v>32</v>
      </c>
      <c r="AE327" s="56">
        <v>0</v>
      </c>
      <c r="AF327" s="56">
        <v>0</v>
      </c>
      <c r="AG327" s="57">
        <v>0</v>
      </c>
      <c r="AH327" s="56">
        <v>0</v>
      </c>
      <c r="AI327" s="56">
        <v>8.0000000000000002E-3</v>
      </c>
      <c r="AJ327" s="56">
        <v>0</v>
      </c>
      <c r="AK327" s="56" t="s">
        <v>713</v>
      </c>
      <c r="AL327" s="52">
        <v>1</v>
      </c>
      <c r="AM327" s="41">
        <f>INDEX(Sheet5!$B$19:$G$33,MATCH(Sheet1!AQ327,Sheet5!$A$19:$A$33,0),MATCH(J327,Sheet5!$B$18:$G$18,0))</f>
        <v>2700</v>
      </c>
      <c r="AN327" s="52" t="s">
        <v>63</v>
      </c>
      <c r="AO327" s="52" t="s">
        <v>738</v>
      </c>
      <c r="AP327" s="52">
        <v>20426</v>
      </c>
      <c r="AQ327" s="13">
        <v>90</v>
      </c>
    </row>
    <row r="328" spans="1:43" ht="16.5">
      <c r="A328" s="52">
        <v>2402</v>
      </c>
      <c r="B328" s="53" t="s">
        <v>1979</v>
      </c>
      <c r="C328" s="53" t="s">
        <v>165</v>
      </c>
      <c r="D328" s="54" t="s">
        <v>117</v>
      </c>
      <c r="E328" s="55">
        <v>11014</v>
      </c>
      <c r="F328" s="66">
        <v>5000</v>
      </c>
      <c r="G328" s="52">
        <v>300</v>
      </c>
      <c r="H328" s="52">
        <v>50</v>
      </c>
      <c r="I328" s="54" t="s">
        <v>719</v>
      </c>
      <c r="J328" s="52">
        <v>3</v>
      </c>
      <c r="K328" s="52">
        <v>10</v>
      </c>
      <c r="L328" s="52">
        <v>30</v>
      </c>
      <c r="M328" s="80">
        <v>0</v>
      </c>
      <c r="N328">
        <v>3200</v>
      </c>
      <c r="O328" s="80">
        <v>0</v>
      </c>
      <c r="P328" s="80">
        <v>0</v>
      </c>
      <c r="Q328" s="52">
        <v>0</v>
      </c>
      <c r="R328" s="52">
        <v>0</v>
      </c>
      <c r="S328" s="52">
        <v>0</v>
      </c>
      <c r="T328" s="52">
        <v>0</v>
      </c>
      <c r="U328" s="52">
        <v>0</v>
      </c>
      <c r="V328" s="52">
        <v>8</v>
      </c>
      <c r="W328" s="52">
        <v>0</v>
      </c>
      <c r="X328" s="52">
        <v>0</v>
      </c>
      <c r="Y328" s="52">
        <v>0</v>
      </c>
      <c r="Z328" s="52">
        <v>0</v>
      </c>
      <c r="AA328" s="52">
        <v>0</v>
      </c>
      <c r="AB328" s="52">
        <v>0</v>
      </c>
      <c r="AC328" s="56">
        <v>0</v>
      </c>
      <c r="AD328" s="56">
        <v>32</v>
      </c>
      <c r="AE328" s="56">
        <v>0</v>
      </c>
      <c r="AF328" s="56">
        <v>0</v>
      </c>
      <c r="AG328" s="57">
        <v>0</v>
      </c>
      <c r="AH328" s="56">
        <v>0</v>
      </c>
      <c r="AI328" s="56">
        <v>8.0000000000000002E-3</v>
      </c>
      <c r="AJ328" s="56">
        <v>0</v>
      </c>
      <c r="AK328" s="56" t="s">
        <v>713</v>
      </c>
      <c r="AL328" s="52">
        <v>1</v>
      </c>
      <c r="AM328" s="41">
        <f>INDEX(Sheet5!$B$19:$G$33,MATCH(Sheet1!AQ328,Sheet5!$A$19:$A$33,0),MATCH(J328,Sheet5!$B$18:$G$18,0))</f>
        <v>3000</v>
      </c>
      <c r="AN328" s="52" t="s">
        <v>63</v>
      </c>
      <c r="AO328" s="52" t="s">
        <v>738</v>
      </c>
      <c r="AP328" s="52">
        <v>20427</v>
      </c>
      <c r="AQ328" s="13">
        <v>100</v>
      </c>
    </row>
    <row r="329" spans="1:43" ht="16.5">
      <c r="A329" s="52">
        <v>2403</v>
      </c>
      <c r="B329" s="53" t="s">
        <v>1980</v>
      </c>
      <c r="C329" s="53" t="s">
        <v>165</v>
      </c>
      <c r="D329" s="54" t="s">
        <v>117</v>
      </c>
      <c r="E329" s="55">
        <v>11014</v>
      </c>
      <c r="F329" s="66">
        <v>5000</v>
      </c>
      <c r="G329" s="52">
        <v>300</v>
      </c>
      <c r="H329" s="52">
        <v>50</v>
      </c>
      <c r="I329" s="54" t="s">
        <v>719</v>
      </c>
      <c r="J329" s="52">
        <v>3</v>
      </c>
      <c r="K329" s="52">
        <v>10</v>
      </c>
      <c r="L329" s="52">
        <v>30</v>
      </c>
      <c r="M329" s="80">
        <v>0</v>
      </c>
      <c r="N329">
        <v>3520</v>
      </c>
      <c r="O329" s="80">
        <v>0</v>
      </c>
      <c r="P329" s="80">
        <v>0</v>
      </c>
      <c r="Q329" s="52">
        <v>0</v>
      </c>
      <c r="R329" s="52">
        <v>0</v>
      </c>
      <c r="S329" s="52">
        <v>0</v>
      </c>
      <c r="T329" s="52">
        <v>0</v>
      </c>
      <c r="U329" s="52">
        <v>0</v>
      </c>
      <c r="V329" s="52">
        <v>8</v>
      </c>
      <c r="W329" s="52">
        <v>0</v>
      </c>
      <c r="X329" s="52">
        <v>0</v>
      </c>
      <c r="Y329" s="52">
        <v>0</v>
      </c>
      <c r="Z329" s="52">
        <v>0</v>
      </c>
      <c r="AA329" s="52">
        <v>0</v>
      </c>
      <c r="AB329" s="52">
        <v>0</v>
      </c>
      <c r="AC329" s="56">
        <v>0</v>
      </c>
      <c r="AD329" s="56">
        <v>32</v>
      </c>
      <c r="AE329" s="56">
        <v>0</v>
      </c>
      <c r="AF329" s="56">
        <v>0</v>
      </c>
      <c r="AG329" s="57">
        <v>0</v>
      </c>
      <c r="AH329" s="56">
        <v>0</v>
      </c>
      <c r="AI329" s="56">
        <v>8.0000000000000002E-3</v>
      </c>
      <c r="AJ329" s="56">
        <v>0</v>
      </c>
      <c r="AK329" s="56" t="s">
        <v>713</v>
      </c>
      <c r="AL329" s="52">
        <v>1</v>
      </c>
      <c r="AM329" s="41">
        <f>INDEX(Sheet5!$B$19:$G$33,MATCH(Sheet1!AQ329,Sheet5!$A$19:$A$33,0),MATCH(J329,Sheet5!$B$18:$G$18,0))</f>
        <v>3300</v>
      </c>
      <c r="AN329" s="52" t="s">
        <v>63</v>
      </c>
      <c r="AO329" s="52" t="s">
        <v>738</v>
      </c>
      <c r="AP329" s="52">
        <v>20428</v>
      </c>
      <c r="AQ329" s="13">
        <v>110</v>
      </c>
    </row>
    <row r="330" spans="1:43" ht="16.5">
      <c r="A330" s="52">
        <v>2404</v>
      </c>
      <c r="B330" s="53" t="s">
        <v>1981</v>
      </c>
      <c r="C330" s="53" t="s">
        <v>165</v>
      </c>
      <c r="D330" s="54" t="s">
        <v>117</v>
      </c>
      <c r="E330" s="55">
        <v>11014</v>
      </c>
      <c r="F330" s="66">
        <v>5000</v>
      </c>
      <c r="G330" s="52">
        <v>300</v>
      </c>
      <c r="H330" s="52">
        <v>50</v>
      </c>
      <c r="I330" s="54" t="s">
        <v>719</v>
      </c>
      <c r="J330" s="52">
        <v>3</v>
      </c>
      <c r="K330" s="52">
        <v>10</v>
      </c>
      <c r="L330" s="52">
        <v>30</v>
      </c>
      <c r="M330" s="80">
        <v>0</v>
      </c>
      <c r="N330">
        <v>3840</v>
      </c>
      <c r="O330" s="80">
        <v>0</v>
      </c>
      <c r="P330" s="80">
        <v>0</v>
      </c>
      <c r="Q330" s="52">
        <v>0</v>
      </c>
      <c r="R330" s="52">
        <v>0</v>
      </c>
      <c r="S330" s="52">
        <v>0</v>
      </c>
      <c r="T330" s="52">
        <v>0</v>
      </c>
      <c r="U330" s="52">
        <v>0</v>
      </c>
      <c r="V330" s="52">
        <v>8</v>
      </c>
      <c r="W330" s="52">
        <v>0</v>
      </c>
      <c r="X330" s="52">
        <v>0</v>
      </c>
      <c r="Y330" s="52">
        <v>0</v>
      </c>
      <c r="Z330" s="52">
        <v>0</v>
      </c>
      <c r="AA330" s="52">
        <v>0</v>
      </c>
      <c r="AB330" s="52">
        <v>0</v>
      </c>
      <c r="AC330" s="56">
        <v>0</v>
      </c>
      <c r="AD330" s="56">
        <v>32</v>
      </c>
      <c r="AE330" s="56">
        <v>0</v>
      </c>
      <c r="AF330" s="56">
        <v>0</v>
      </c>
      <c r="AG330" s="57">
        <v>0</v>
      </c>
      <c r="AH330" s="56">
        <v>0</v>
      </c>
      <c r="AI330" s="56">
        <v>8.0000000000000002E-3</v>
      </c>
      <c r="AJ330" s="56">
        <v>0</v>
      </c>
      <c r="AK330" s="56" t="s">
        <v>713</v>
      </c>
      <c r="AL330" s="52">
        <v>1</v>
      </c>
      <c r="AM330" s="41">
        <f>INDEX(Sheet5!$B$19:$G$33,MATCH(Sheet1!AQ330,Sheet5!$A$19:$A$33,0),MATCH(J330,Sheet5!$B$18:$G$18,0))</f>
        <v>3600</v>
      </c>
      <c r="AN330" s="52" t="s">
        <v>63</v>
      </c>
      <c r="AO330" s="52" t="s">
        <v>738</v>
      </c>
      <c r="AP330" s="52">
        <v>20429</v>
      </c>
      <c r="AQ330" s="13">
        <v>120</v>
      </c>
    </row>
    <row r="331" spans="1:43" ht="16.5">
      <c r="A331" s="52">
        <v>2405</v>
      </c>
      <c r="B331" s="53" t="s">
        <v>1982</v>
      </c>
      <c r="C331" s="53" t="s">
        <v>165</v>
      </c>
      <c r="D331" s="54" t="s">
        <v>117</v>
      </c>
      <c r="E331" s="55">
        <v>11014</v>
      </c>
      <c r="F331" s="66">
        <v>5000</v>
      </c>
      <c r="G331" s="52">
        <v>300</v>
      </c>
      <c r="H331" s="52">
        <v>50</v>
      </c>
      <c r="I331" s="54" t="s">
        <v>719</v>
      </c>
      <c r="J331" s="52">
        <v>3</v>
      </c>
      <c r="K331" s="52">
        <v>10</v>
      </c>
      <c r="L331" s="52">
        <v>30</v>
      </c>
      <c r="M331" s="80">
        <v>0</v>
      </c>
      <c r="N331">
        <v>4160</v>
      </c>
      <c r="O331" s="80">
        <v>0</v>
      </c>
      <c r="P331" s="80">
        <v>0</v>
      </c>
      <c r="Q331" s="52">
        <v>0</v>
      </c>
      <c r="R331" s="52">
        <v>0</v>
      </c>
      <c r="S331" s="52">
        <v>0</v>
      </c>
      <c r="T331" s="52">
        <v>0</v>
      </c>
      <c r="U331" s="52">
        <v>0</v>
      </c>
      <c r="V331" s="52">
        <v>8</v>
      </c>
      <c r="W331" s="52">
        <v>0</v>
      </c>
      <c r="X331" s="52">
        <v>0</v>
      </c>
      <c r="Y331" s="52">
        <v>0</v>
      </c>
      <c r="Z331" s="52">
        <v>0</v>
      </c>
      <c r="AA331" s="52">
        <v>0</v>
      </c>
      <c r="AB331" s="52">
        <v>0</v>
      </c>
      <c r="AC331" s="56">
        <v>0</v>
      </c>
      <c r="AD331" s="56">
        <v>32</v>
      </c>
      <c r="AE331" s="56">
        <v>0</v>
      </c>
      <c r="AF331" s="56">
        <v>0</v>
      </c>
      <c r="AG331" s="57">
        <v>0</v>
      </c>
      <c r="AH331" s="56">
        <v>0</v>
      </c>
      <c r="AI331" s="56">
        <v>8.0000000000000002E-3</v>
      </c>
      <c r="AJ331" s="56">
        <v>0</v>
      </c>
      <c r="AK331" s="56" t="s">
        <v>713</v>
      </c>
      <c r="AL331" s="52">
        <v>1</v>
      </c>
      <c r="AM331" s="41">
        <f>INDEX(Sheet5!$B$19:$G$33,MATCH(Sheet1!AQ331,Sheet5!$A$19:$A$33,0),MATCH(J331,Sheet5!$B$18:$G$18,0))</f>
        <v>3900</v>
      </c>
      <c r="AN331" s="52" t="s">
        <v>63</v>
      </c>
      <c r="AO331" s="52" t="s">
        <v>738</v>
      </c>
      <c r="AP331" s="52">
        <v>20430</v>
      </c>
      <c r="AQ331" s="13">
        <v>130</v>
      </c>
    </row>
    <row r="332" spans="1:43" ht="16.5">
      <c r="A332" s="52">
        <v>2406</v>
      </c>
      <c r="B332" s="53" t="s">
        <v>1983</v>
      </c>
      <c r="C332" s="53" t="s">
        <v>165</v>
      </c>
      <c r="D332" s="54" t="s">
        <v>117</v>
      </c>
      <c r="E332" s="55">
        <v>11014</v>
      </c>
      <c r="F332" s="66">
        <v>5000</v>
      </c>
      <c r="G332" s="52">
        <v>300</v>
      </c>
      <c r="H332" s="52">
        <v>50</v>
      </c>
      <c r="I332" s="54" t="s">
        <v>719</v>
      </c>
      <c r="J332" s="52">
        <v>3</v>
      </c>
      <c r="K332" s="52">
        <v>10</v>
      </c>
      <c r="L332" s="52">
        <v>30</v>
      </c>
      <c r="M332" s="80">
        <v>0</v>
      </c>
      <c r="N332">
        <v>4480</v>
      </c>
      <c r="O332" s="80">
        <v>0</v>
      </c>
      <c r="P332" s="80">
        <v>0</v>
      </c>
      <c r="Q332" s="52">
        <v>0</v>
      </c>
      <c r="R332" s="52">
        <v>0</v>
      </c>
      <c r="S332" s="52">
        <v>0</v>
      </c>
      <c r="T332" s="52">
        <v>0</v>
      </c>
      <c r="U332" s="52">
        <v>0</v>
      </c>
      <c r="V332" s="52">
        <v>8</v>
      </c>
      <c r="W332" s="52">
        <v>0</v>
      </c>
      <c r="X332" s="52">
        <v>0</v>
      </c>
      <c r="Y332" s="52">
        <v>0</v>
      </c>
      <c r="Z332" s="52">
        <v>0</v>
      </c>
      <c r="AA332" s="52">
        <v>0</v>
      </c>
      <c r="AB332" s="52">
        <v>0</v>
      </c>
      <c r="AC332" s="56">
        <v>0</v>
      </c>
      <c r="AD332" s="56">
        <v>32</v>
      </c>
      <c r="AE332" s="56">
        <v>0</v>
      </c>
      <c r="AF332" s="56">
        <v>0</v>
      </c>
      <c r="AG332" s="57">
        <v>0</v>
      </c>
      <c r="AH332" s="56">
        <v>0</v>
      </c>
      <c r="AI332" s="56">
        <v>8.0000000000000002E-3</v>
      </c>
      <c r="AJ332" s="56">
        <v>0</v>
      </c>
      <c r="AK332" s="56" t="s">
        <v>713</v>
      </c>
      <c r="AL332" s="52">
        <v>1</v>
      </c>
      <c r="AM332" s="41">
        <f>INDEX(Sheet5!$B$19:$G$33,MATCH(Sheet1!AQ332,Sheet5!$A$19:$A$33,0),MATCH(J332,Sheet5!$B$18:$G$18,0))</f>
        <v>4200</v>
      </c>
      <c r="AN332" s="52" t="s">
        <v>63</v>
      </c>
      <c r="AO332" s="52" t="s">
        <v>738</v>
      </c>
      <c r="AP332" s="52">
        <v>204311</v>
      </c>
      <c r="AQ332" s="13">
        <v>140</v>
      </c>
    </row>
    <row r="333" spans="1:43" ht="16.5">
      <c r="A333" s="52">
        <v>2407</v>
      </c>
      <c r="B333" s="53" t="s">
        <v>1984</v>
      </c>
      <c r="C333" s="53" t="s">
        <v>165</v>
      </c>
      <c r="D333" s="54" t="s">
        <v>117</v>
      </c>
      <c r="E333" s="55">
        <v>11014</v>
      </c>
      <c r="F333" s="66">
        <v>5000</v>
      </c>
      <c r="G333" s="52">
        <v>300</v>
      </c>
      <c r="H333" s="52">
        <v>50</v>
      </c>
      <c r="I333" s="54" t="s">
        <v>719</v>
      </c>
      <c r="J333" s="52">
        <v>3</v>
      </c>
      <c r="K333" s="52">
        <v>10</v>
      </c>
      <c r="L333" s="52">
        <v>30</v>
      </c>
      <c r="M333" s="80">
        <v>0</v>
      </c>
      <c r="N333">
        <v>4800</v>
      </c>
      <c r="O333" s="80">
        <v>0</v>
      </c>
      <c r="P333" s="80">
        <v>0</v>
      </c>
      <c r="Q333" s="52">
        <v>0</v>
      </c>
      <c r="R333" s="52">
        <v>0</v>
      </c>
      <c r="S333" s="52">
        <v>0</v>
      </c>
      <c r="T333" s="52">
        <v>0</v>
      </c>
      <c r="U333" s="52">
        <v>0</v>
      </c>
      <c r="V333" s="52">
        <v>8</v>
      </c>
      <c r="W333" s="52">
        <v>0</v>
      </c>
      <c r="X333" s="52">
        <v>0</v>
      </c>
      <c r="Y333" s="52">
        <v>0</v>
      </c>
      <c r="Z333" s="52">
        <v>0</v>
      </c>
      <c r="AA333" s="52">
        <v>0</v>
      </c>
      <c r="AB333" s="52">
        <v>0</v>
      </c>
      <c r="AC333" s="56">
        <v>0</v>
      </c>
      <c r="AD333" s="56">
        <v>32</v>
      </c>
      <c r="AE333" s="56">
        <v>0</v>
      </c>
      <c r="AF333" s="56">
        <v>0</v>
      </c>
      <c r="AG333" s="57">
        <v>0</v>
      </c>
      <c r="AH333" s="56">
        <v>0</v>
      </c>
      <c r="AI333" s="56">
        <v>8.0000000000000002E-3</v>
      </c>
      <c r="AJ333" s="56">
        <v>0</v>
      </c>
      <c r="AK333" s="56" t="s">
        <v>713</v>
      </c>
      <c r="AL333" s="52">
        <v>1</v>
      </c>
      <c r="AM333" s="41">
        <f>INDEX(Sheet5!$B$19:$G$33,MATCH(Sheet1!AQ333,Sheet5!$A$19:$A$33,0),MATCH(J333,Sheet5!$B$18:$G$18,0))</f>
        <v>4500</v>
      </c>
      <c r="AN333" s="52" t="s">
        <v>63</v>
      </c>
      <c r="AO333" s="52" t="s">
        <v>738</v>
      </c>
      <c r="AP333" s="52">
        <v>204312</v>
      </c>
      <c r="AQ333" s="13">
        <v>150</v>
      </c>
    </row>
    <row r="334" spans="1:43" ht="16.5">
      <c r="A334" s="52">
        <v>2408</v>
      </c>
      <c r="B334" s="53" t="s">
        <v>1985</v>
      </c>
      <c r="C334" s="53" t="s">
        <v>696</v>
      </c>
      <c r="D334" s="54" t="s">
        <v>118</v>
      </c>
      <c r="E334" s="55">
        <v>11015</v>
      </c>
      <c r="F334" s="66">
        <v>5000</v>
      </c>
      <c r="G334" s="52">
        <v>300</v>
      </c>
      <c r="H334" s="52">
        <v>50</v>
      </c>
      <c r="I334" s="54" t="s">
        <v>720</v>
      </c>
      <c r="J334" s="52">
        <v>3</v>
      </c>
      <c r="K334" s="52">
        <v>10</v>
      </c>
      <c r="L334" s="52">
        <v>30</v>
      </c>
      <c r="M334">
        <v>800</v>
      </c>
      <c r="N334" s="80">
        <v>0</v>
      </c>
      <c r="O334" s="80">
        <v>0</v>
      </c>
      <c r="P334" s="80">
        <v>0</v>
      </c>
      <c r="Q334" s="52">
        <v>0</v>
      </c>
      <c r="R334" s="52">
        <v>0</v>
      </c>
      <c r="S334" s="52">
        <v>0</v>
      </c>
      <c r="T334" s="52">
        <v>0</v>
      </c>
      <c r="U334" s="52">
        <v>200</v>
      </c>
      <c r="V334" s="52">
        <v>0</v>
      </c>
      <c r="W334" s="52">
        <v>0</v>
      </c>
      <c r="X334" s="52">
        <v>0</v>
      </c>
      <c r="Y334" s="52">
        <v>0</v>
      </c>
      <c r="Z334" s="52">
        <v>0</v>
      </c>
      <c r="AA334" s="52">
        <v>0</v>
      </c>
      <c r="AB334" s="52">
        <v>0</v>
      </c>
      <c r="AC334" s="56">
        <v>800</v>
      </c>
      <c r="AD334" s="56">
        <v>0</v>
      </c>
      <c r="AE334" s="56">
        <v>0</v>
      </c>
      <c r="AF334" s="56">
        <v>0</v>
      </c>
      <c r="AG334" s="56">
        <v>4.0000000000000001E-3</v>
      </c>
      <c r="AH334" s="56">
        <v>0</v>
      </c>
      <c r="AI334" s="56">
        <v>0</v>
      </c>
      <c r="AJ334" s="57">
        <v>0</v>
      </c>
      <c r="AK334" s="56" t="s">
        <v>713</v>
      </c>
      <c r="AL334" s="52">
        <v>3</v>
      </c>
      <c r="AM334" s="41">
        <f>INDEX(Sheet5!$B$19:$G$33,MATCH(Sheet1!AQ334,Sheet5!$A$19:$A$33,0),MATCH(J334,Sheet5!$B$18:$G$18,0))</f>
        <v>300</v>
      </c>
      <c r="AN334" s="52" t="s">
        <v>63</v>
      </c>
      <c r="AO334" s="52" t="s">
        <v>739</v>
      </c>
      <c r="AP334" s="52">
        <v>431</v>
      </c>
      <c r="AQ334" s="13">
        <v>10</v>
      </c>
    </row>
    <row r="335" spans="1:43" ht="16.5">
      <c r="A335" s="52">
        <v>2409</v>
      </c>
      <c r="B335" s="53" t="s">
        <v>1986</v>
      </c>
      <c r="C335" s="53" t="s">
        <v>696</v>
      </c>
      <c r="D335" s="54" t="s">
        <v>118</v>
      </c>
      <c r="E335" s="55">
        <v>11015</v>
      </c>
      <c r="F335" s="66">
        <v>5000</v>
      </c>
      <c r="G335" s="52">
        <v>300</v>
      </c>
      <c r="H335" s="52">
        <v>50</v>
      </c>
      <c r="I335" s="54" t="s">
        <v>720</v>
      </c>
      <c r="J335" s="52">
        <v>3</v>
      </c>
      <c r="K335" s="52">
        <v>10</v>
      </c>
      <c r="L335" s="52">
        <v>30</v>
      </c>
      <c r="M335">
        <v>1600</v>
      </c>
      <c r="N335" s="80">
        <v>0</v>
      </c>
      <c r="O335" s="80">
        <v>0</v>
      </c>
      <c r="P335" s="80">
        <v>0</v>
      </c>
      <c r="Q335" s="52">
        <v>0</v>
      </c>
      <c r="R335" s="52">
        <v>0</v>
      </c>
      <c r="S335" s="52">
        <v>0</v>
      </c>
      <c r="T335" s="52">
        <v>0</v>
      </c>
      <c r="U335" s="52">
        <v>200</v>
      </c>
      <c r="V335" s="52">
        <v>0</v>
      </c>
      <c r="W335" s="52">
        <v>0</v>
      </c>
      <c r="X335" s="52">
        <v>0</v>
      </c>
      <c r="Y335" s="52">
        <v>0</v>
      </c>
      <c r="Z335" s="52">
        <v>0</v>
      </c>
      <c r="AA335" s="52">
        <v>0</v>
      </c>
      <c r="AB335" s="52">
        <v>0</v>
      </c>
      <c r="AC335" s="56">
        <v>800</v>
      </c>
      <c r="AD335" s="56">
        <v>0</v>
      </c>
      <c r="AE335" s="56">
        <v>0</v>
      </c>
      <c r="AF335" s="56">
        <v>0</v>
      </c>
      <c r="AG335" s="56">
        <v>4.0000000000000001E-3</v>
      </c>
      <c r="AH335" s="56">
        <v>0</v>
      </c>
      <c r="AI335" s="56">
        <v>0</v>
      </c>
      <c r="AJ335" s="57">
        <v>0</v>
      </c>
      <c r="AK335" s="56" t="s">
        <v>713</v>
      </c>
      <c r="AL335" s="52">
        <v>3</v>
      </c>
      <c r="AM335" s="41">
        <f>INDEX(Sheet5!$B$19:$G$33,MATCH(Sheet1!AQ335,Sheet5!$A$19:$A$33,0),MATCH(J335,Sheet5!$B$18:$G$18,0))</f>
        <v>600</v>
      </c>
      <c r="AN335" s="52" t="s">
        <v>63</v>
      </c>
      <c r="AO335" s="52" t="s">
        <v>739</v>
      </c>
      <c r="AP335" s="52">
        <v>432</v>
      </c>
      <c r="AQ335" s="13">
        <v>20</v>
      </c>
    </row>
    <row r="336" spans="1:43" s="87" customFormat="1" ht="16.5">
      <c r="A336" s="97">
        <v>2043</v>
      </c>
      <c r="B336" s="97" t="s">
        <v>1987</v>
      </c>
      <c r="C336" s="97" t="s">
        <v>696</v>
      </c>
      <c r="D336" s="97" t="s">
        <v>118</v>
      </c>
      <c r="E336" s="98">
        <v>11015</v>
      </c>
      <c r="F336" s="97">
        <v>5000</v>
      </c>
      <c r="G336" s="97">
        <v>300</v>
      </c>
      <c r="H336" s="97">
        <v>50</v>
      </c>
      <c r="I336" s="97" t="s">
        <v>720</v>
      </c>
      <c r="J336" s="97">
        <v>3</v>
      </c>
      <c r="K336" s="97">
        <v>10</v>
      </c>
      <c r="L336" s="97">
        <v>30</v>
      </c>
      <c r="M336">
        <v>2400</v>
      </c>
      <c r="N336" s="94">
        <v>0</v>
      </c>
      <c r="O336" s="94">
        <v>0</v>
      </c>
      <c r="P336" s="94">
        <v>0</v>
      </c>
      <c r="Q336" s="97">
        <v>0</v>
      </c>
      <c r="R336" s="97">
        <v>0</v>
      </c>
      <c r="S336" s="97">
        <v>0</v>
      </c>
      <c r="T336" s="97">
        <v>0</v>
      </c>
      <c r="U336" s="97">
        <v>200</v>
      </c>
      <c r="V336" s="97">
        <v>0</v>
      </c>
      <c r="W336" s="97">
        <v>0</v>
      </c>
      <c r="X336" s="97">
        <v>0</v>
      </c>
      <c r="Y336" s="97">
        <v>0</v>
      </c>
      <c r="Z336" s="97">
        <v>0</v>
      </c>
      <c r="AA336" s="97">
        <v>0</v>
      </c>
      <c r="AB336" s="97">
        <v>0</v>
      </c>
      <c r="AC336" s="97">
        <v>800</v>
      </c>
      <c r="AD336" s="97">
        <v>0</v>
      </c>
      <c r="AE336" s="97">
        <v>0</v>
      </c>
      <c r="AF336" s="97">
        <v>0</v>
      </c>
      <c r="AG336" s="97">
        <v>4.0000000000000001E-3</v>
      </c>
      <c r="AH336" s="97">
        <v>0</v>
      </c>
      <c r="AI336" s="97">
        <v>0</v>
      </c>
      <c r="AJ336" s="99">
        <v>0</v>
      </c>
      <c r="AK336" s="97" t="s">
        <v>48</v>
      </c>
      <c r="AL336" s="97">
        <v>3</v>
      </c>
      <c r="AM336" s="41">
        <f>INDEX(Sheet5!$B$19:$G$33,MATCH(Sheet1!AQ336,Sheet5!$A$19:$A$33,0),MATCH(J336,Sheet5!$B$18:$G$18,0))</f>
        <v>900</v>
      </c>
      <c r="AN336" s="97" t="s">
        <v>48</v>
      </c>
      <c r="AO336" s="97" t="s">
        <v>739</v>
      </c>
      <c r="AP336" s="97">
        <v>2043</v>
      </c>
      <c r="AQ336" s="13">
        <v>30</v>
      </c>
    </row>
    <row r="337" spans="1:43" ht="16.5">
      <c r="A337" s="52">
        <v>2410</v>
      </c>
      <c r="B337" s="53" t="s">
        <v>1988</v>
      </c>
      <c r="C337" s="53" t="s">
        <v>696</v>
      </c>
      <c r="D337" s="54" t="s">
        <v>118</v>
      </c>
      <c r="E337" s="55">
        <v>11015</v>
      </c>
      <c r="F337" s="66">
        <v>5000</v>
      </c>
      <c r="G337" s="52">
        <v>300</v>
      </c>
      <c r="H337" s="52">
        <v>50</v>
      </c>
      <c r="I337" s="54" t="s">
        <v>720</v>
      </c>
      <c r="J337" s="52">
        <v>3</v>
      </c>
      <c r="K337" s="52">
        <v>10</v>
      </c>
      <c r="L337" s="52">
        <v>30</v>
      </c>
      <c r="M337">
        <v>3200</v>
      </c>
      <c r="N337" s="80">
        <v>0</v>
      </c>
      <c r="O337" s="80">
        <v>0</v>
      </c>
      <c r="P337" s="80">
        <v>0</v>
      </c>
      <c r="Q337" s="52">
        <v>0</v>
      </c>
      <c r="R337" s="52">
        <v>0</v>
      </c>
      <c r="S337" s="52">
        <v>0</v>
      </c>
      <c r="T337" s="52">
        <v>0</v>
      </c>
      <c r="U337" s="52">
        <v>200</v>
      </c>
      <c r="V337" s="52">
        <v>0</v>
      </c>
      <c r="W337" s="52">
        <v>0</v>
      </c>
      <c r="X337" s="52">
        <v>0</v>
      </c>
      <c r="Y337" s="52">
        <v>0</v>
      </c>
      <c r="Z337" s="52">
        <v>0</v>
      </c>
      <c r="AA337" s="52">
        <v>0</v>
      </c>
      <c r="AB337" s="52">
        <v>0</v>
      </c>
      <c r="AC337" s="56">
        <v>800</v>
      </c>
      <c r="AD337" s="56">
        <v>0</v>
      </c>
      <c r="AE337" s="56">
        <v>0</v>
      </c>
      <c r="AF337" s="56">
        <v>0</v>
      </c>
      <c r="AG337" s="56">
        <v>4.0000000000000001E-3</v>
      </c>
      <c r="AH337" s="56">
        <v>0</v>
      </c>
      <c r="AI337" s="56">
        <v>0</v>
      </c>
      <c r="AJ337" s="57">
        <v>0</v>
      </c>
      <c r="AK337" s="56" t="s">
        <v>713</v>
      </c>
      <c r="AL337" s="52">
        <v>3</v>
      </c>
      <c r="AM337" s="41">
        <f>INDEX(Sheet5!$B$19:$G$33,MATCH(Sheet1!AQ337,Sheet5!$A$19:$A$33,0),MATCH(J337,Sheet5!$B$18:$G$18,0))</f>
        <v>1200</v>
      </c>
      <c r="AN337" s="52" t="s">
        <v>63</v>
      </c>
      <c r="AO337" s="52" t="s">
        <v>739</v>
      </c>
      <c r="AP337" s="52">
        <v>20431</v>
      </c>
      <c r="AQ337" s="13">
        <v>40</v>
      </c>
    </row>
    <row r="338" spans="1:43" ht="16.5">
      <c r="A338" s="52">
        <v>2411</v>
      </c>
      <c r="B338" s="53" t="s">
        <v>1989</v>
      </c>
      <c r="C338" s="53" t="s">
        <v>696</v>
      </c>
      <c r="D338" s="54" t="s">
        <v>118</v>
      </c>
      <c r="E338" s="55">
        <v>11015</v>
      </c>
      <c r="F338" s="66">
        <v>5000</v>
      </c>
      <c r="G338" s="52">
        <v>300</v>
      </c>
      <c r="H338" s="52">
        <v>50</v>
      </c>
      <c r="I338" s="54" t="s">
        <v>720</v>
      </c>
      <c r="J338" s="52">
        <v>3</v>
      </c>
      <c r="K338" s="52">
        <v>10</v>
      </c>
      <c r="L338" s="52">
        <v>30</v>
      </c>
      <c r="M338">
        <v>4000</v>
      </c>
      <c r="N338" s="80">
        <v>0</v>
      </c>
      <c r="O338" s="80">
        <v>0</v>
      </c>
      <c r="P338" s="80">
        <v>0</v>
      </c>
      <c r="Q338" s="52">
        <v>0</v>
      </c>
      <c r="R338" s="52">
        <v>0</v>
      </c>
      <c r="S338" s="52">
        <v>0</v>
      </c>
      <c r="T338" s="52">
        <v>0</v>
      </c>
      <c r="U338" s="52">
        <v>200</v>
      </c>
      <c r="V338" s="52">
        <v>0</v>
      </c>
      <c r="W338" s="52">
        <v>0</v>
      </c>
      <c r="X338" s="52">
        <v>0</v>
      </c>
      <c r="Y338" s="52">
        <v>0</v>
      </c>
      <c r="Z338" s="52">
        <v>0</v>
      </c>
      <c r="AA338" s="52">
        <v>0</v>
      </c>
      <c r="AB338" s="52">
        <v>0</v>
      </c>
      <c r="AC338" s="56">
        <v>800</v>
      </c>
      <c r="AD338" s="56">
        <v>0</v>
      </c>
      <c r="AE338" s="56">
        <v>0</v>
      </c>
      <c r="AF338" s="56">
        <v>0</v>
      </c>
      <c r="AG338" s="56">
        <v>4.0000000000000001E-3</v>
      </c>
      <c r="AH338" s="56">
        <v>0</v>
      </c>
      <c r="AI338" s="56">
        <v>0</v>
      </c>
      <c r="AJ338" s="57">
        <v>0</v>
      </c>
      <c r="AK338" s="56" t="s">
        <v>713</v>
      </c>
      <c r="AL338" s="52">
        <v>3</v>
      </c>
      <c r="AM338" s="41">
        <f>INDEX(Sheet5!$B$19:$G$33,MATCH(Sheet1!AQ338,Sheet5!$A$19:$A$33,0),MATCH(J338,Sheet5!$B$18:$G$18,0))</f>
        <v>1500</v>
      </c>
      <c r="AN338" s="52" t="s">
        <v>63</v>
      </c>
      <c r="AO338" s="52" t="s">
        <v>739</v>
      </c>
      <c r="AP338" s="52">
        <v>20432</v>
      </c>
      <c r="AQ338" s="13">
        <v>50</v>
      </c>
    </row>
    <row r="339" spans="1:43" ht="16.5">
      <c r="A339" s="52">
        <v>2412</v>
      </c>
      <c r="B339" s="53" t="s">
        <v>1990</v>
      </c>
      <c r="C339" s="53" t="s">
        <v>696</v>
      </c>
      <c r="D339" s="54" t="s">
        <v>118</v>
      </c>
      <c r="E339" s="55">
        <v>11015</v>
      </c>
      <c r="F339" s="66">
        <v>5000</v>
      </c>
      <c r="G339" s="52">
        <v>300</v>
      </c>
      <c r="H339" s="52">
        <v>50</v>
      </c>
      <c r="I339" s="54" t="s">
        <v>720</v>
      </c>
      <c r="J339" s="52">
        <v>3</v>
      </c>
      <c r="K339" s="52">
        <v>10</v>
      </c>
      <c r="L339" s="52">
        <v>30</v>
      </c>
      <c r="M339">
        <v>4800</v>
      </c>
      <c r="N339" s="80">
        <v>0</v>
      </c>
      <c r="O339" s="80">
        <v>0</v>
      </c>
      <c r="P339" s="80">
        <v>0</v>
      </c>
      <c r="Q339" s="52">
        <v>0</v>
      </c>
      <c r="R339" s="52">
        <v>0</v>
      </c>
      <c r="S339" s="52">
        <v>0</v>
      </c>
      <c r="T339" s="52">
        <v>0</v>
      </c>
      <c r="U339" s="52">
        <v>200</v>
      </c>
      <c r="V339" s="52">
        <v>0</v>
      </c>
      <c r="W339" s="52">
        <v>0</v>
      </c>
      <c r="X339" s="52">
        <v>0</v>
      </c>
      <c r="Y339" s="52">
        <v>0</v>
      </c>
      <c r="Z339" s="52">
        <v>0</v>
      </c>
      <c r="AA339" s="52">
        <v>0</v>
      </c>
      <c r="AB339" s="52">
        <v>0</v>
      </c>
      <c r="AC339" s="56">
        <v>800</v>
      </c>
      <c r="AD339" s="56">
        <v>0</v>
      </c>
      <c r="AE339" s="56">
        <v>0</v>
      </c>
      <c r="AF339" s="56">
        <v>0</v>
      </c>
      <c r="AG339" s="56">
        <v>4.0000000000000001E-3</v>
      </c>
      <c r="AH339" s="56">
        <v>0</v>
      </c>
      <c r="AI339" s="56">
        <v>0</v>
      </c>
      <c r="AJ339" s="57">
        <v>0</v>
      </c>
      <c r="AK339" s="56" t="s">
        <v>713</v>
      </c>
      <c r="AL339" s="52">
        <v>3</v>
      </c>
      <c r="AM339" s="41">
        <f>INDEX(Sheet5!$B$19:$G$33,MATCH(Sheet1!AQ339,Sheet5!$A$19:$A$33,0),MATCH(J339,Sheet5!$B$18:$G$18,0))</f>
        <v>1800</v>
      </c>
      <c r="AN339" s="52" t="s">
        <v>63</v>
      </c>
      <c r="AO339" s="52" t="s">
        <v>739</v>
      </c>
      <c r="AP339" s="52">
        <v>20433</v>
      </c>
      <c r="AQ339" s="13">
        <v>60</v>
      </c>
    </row>
    <row r="340" spans="1:43" ht="16.5">
      <c r="A340" s="52">
        <v>2413</v>
      </c>
      <c r="B340" s="53" t="s">
        <v>1991</v>
      </c>
      <c r="C340" s="53" t="s">
        <v>696</v>
      </c>
      <c r="D340" s="54" t="s">
        <v>118</v>
      </c>
      <c r="E340" s="55">
        <v>11015</v>
      </c>
      <c r="F340" s="66">
        <v>5000</v>
      </c>
      <c r="G340" s="52">
        <v>300</v>
      </c>
      <c r="H340" s="52">
        <v>50</v>
      </c>
      <c r="I340" s="54" t="s">
        <v>720</v>
      </c>
      <c r="J340" s="52">
        <v>3</v>
      </c>
      <c r="K340" s="52">
        <v>10</v>
      </c>
      <c r="L340" s="52">
        <v>30</v>
      </c>
      <c r="M340">
        <v>5600</v>
      </c>
      <c r="N340" s="80">
        <v>0</v>
      </c>
      <c r="O340" s="80">
        <v>0</v>
      </c>
      <c r="P340" s="80">
        <v>0</v>
      </c>
      <c r="Q340" s="52">
        <v>0</v>
      </c>
      <c r="R340" s="52">
        <v>0</v>
      </c>
      <c r="S340" s="52">
        <v>0</v>
      </c>
      <c r="T340" s="52">
        <v>0</v>
      </c>
      <c r="U340" s="52">
        <v>200</v>
      </c>
      <c r="V340" s="52">
        <v>0</v>
      </c>
      <c r="W340" s="52">
        <v>0</v>
      </c>
      <c r="X340" s="52">
        <v>0</v>
      </c>
      <c r="Y340" s="52">
        <v>0</v>
      </c>
      <c r="Z340" s="52">
        <v>0</v>
      </c>
      <c r="AA340" s="52">
        <v>0</v>
      </c>
      <c r="AB340" s="52">
        <v>0</v>
      </c>
      <c r="AC340" s="56">
        <v>800</v>
      </c>
      <c r="AD340" s="56">
        <v>0</v>
      </c>
      <c r="AE340" s="56">
        <v>0</v>
      </c>
      <c r="AF340" s="56">
        <v>0</v>
      </c>
      <c r="AG340" s="56">
        <v>4.0000000000000001E-3</v>
      </c>
      <c r="AH340" s="56">
        <v>0</v>
      </c>
      <c r="AI340" s="56">
        <v>0</v>
      </c>
      <c r="AJ340" s="57">
        <v>0</v>
      </c>
      <c r="AK340" s="56" t="s">
        <v>713</v>
      </c>
      <c r="AL340" s="52">
        <v>3</v>
      </c>
      <c r="AM340" s="41">
        <f>INDEX(Sheet5!$B$19:$G$33,MATCH(Sheet1!AQ340,Sheet5!$A$19:$A$33,0),MATCH(J340,Sheet5!$B$18:$G$18,0))</f>
        <v>2100</v>
      </c>
      <c r="AN340" s="52" t="s">
        <v>63</v>
      </c>
      <c r="AO340" s="52" t="s">
        <v>739</v>
      </c>
      <c r="AP340" s="52">
        <v>20434</v>
      </c>
      <c r="AQ340" s="13">
        <v>70</v>
      </c>
    </row>
    <row r="341" spans="1:43" ht="16.5">
      <c r="A341" s="52">
        <v>2414</v>
      </c>
      <c r="B341" s="53" t="s">
        <v>1992</v>
      </c>
      <c r="C341" s="53" t="s">
        <v>696</v>
      </c>
      <c r="D341" s="54" t="s">
        <v>118</v>
      </c>
      <c r="E341" s="55">
        <v>11015</v>
      </c>
      <c r="F341" s="66">
        <v>5000</v>
      </c>
      <c r="G341" s="52">
        <v>300</v>
      </c>
      <c r="H341" s="52">
        <v>50</v>
      </c>
      <c r="I341" s="54" t="s">
        <v>720</v>
      </c>
      <c r="J341" s="52">
        <v>3</v>
      </c>
      <c r="K341" s="52">
        <v>10</v>
      </c>
      <c r="L341" s="52">
        <v>30</v>
      </c>
      <c r="M341">
        <v>6400</v>
      </c>
      <c r="N341" s="80">
        <v>0</v>
      </c>
      <c r="O341" s="80">
        <v>0</v>
      </c>
      <c r="P341" s="80">
        <v>0</v>
      </c>
      <c r="Q341" s="52">
        <v>0</v>
      </c>
      <c r="R341" s="52">
        <v>0</v>
      </c>
      <c r="S341" s="52">
        <v>0</v>
      </c>
      <c r="T341" s="52">
        <v>0</v>
      </c>
      <c r="U341" s="52">
        <v>200</v>
      </c>
      <c r="V341" s="52">
        <v>0</v>
      </c>
      <c r="W341" s="52">
        <v>0</v>
      </c>
      <c r="X341" s="52">
        <v>0</v>
      </c>
      <c r="Y341" s="52">
        <v>0</v>
      </c>
      <c r="Z341" s="52">
        <v>0</v>
      </c>
      <c r="AA341" s="52">
        <v>0</v>
      </c>
      <c r="AB341" s="52">
        <v>0</v>
      </c>
      <c r="AC341" s="56">
        <v>800</v>
      </c>
      <c r="AD341" s="56">
        <v>0</v>
      </c>
      <c r="AE341" s="56">
        <v>0</v>
      </c>
      <c r="AF341" s="56">
        <v>0</v>
      </c>
      <c r="AG341" s="56">
        <v>4.0000000000000001E-3</v>
      </c>
      <c r="AH341" s="56">
        <v>0</v>
      </c>
      <c r="AI341" s="56">
        <v>0</v>
      </c>
      <c r="AJ341" s="57">
        <v>0</v>
      </c>
      <c r="AK341" s="56" t="s">
        <v>713</v>
      </c>
      <c r="AL341" s="52">
        <v>3</v>
      </c>
      <c r="AM341" s="41">
        <f>INDEX(Sheet5!$B$19:$G$33,MATCH(Sheet1!AQ341,Sheet5!$A$19:$A$33,0),MATCH(J341,Sheet5!$B$18:$G$18,0))</f>
        <v>2400</v>
      </c>
      <c r="AN341" s="52" t="s">
        <v>63</v>
      </c>
      <c r="AO341" s="52" t="s">
        <v>739</v>
      </c>
      <c r="AP341" s="52">
        <v>20435</v>
      </c>
      <c r="AQ341" s="13">
        <v>80</v>
      </c>
    </row>
    <row r="342" spans="1:43" ht="16.5">
      <c r="A342" s="52">
        <v>2415</v>
      </c>
      <c r="B342" s="53" t="s">
        <v>1993</v>
      </c>
      <c r="C342" s="53" t="s">
        <v>696</v>
      </c>
      <c r="D342" s="54" t="s">
        <v>118</v>
      </c>
      <c r="E342" s="55">
        <v>11015</v>
      </c>
      <c r="F342" s="66">
        <v>5000</v>
      </c>
      <c r="G342" s="52">
        <v>300</v>
      </c>
      <c r="H342" s="52">
        <v>50</v>
      </c>
      <c r="I342" s="54" t="s">
        <v>720</v>
      </c>
      <c r="J342" s="52">
        <v>3</v>
      </c>
      <c r="K342" s="52">
        <v>10</v>
      </c>
      <c r="L342" s="52">
        <v>30</v>
      </c>
      <c r="M342">
        <v>7200</v>
      </c>
      <c r="N342" s="80">
        <v>0</v>
      </c>
      <c r="O342" s="80">
        <v>0</v>
      </c>
      <c r="P342" s="80">
        <v>0</v>
      </c>
      <c r="Q342" s="52">
        <v>0</v>
      </c>
      <c r="R342" s="52">
        <v>0</v>
      </c>
      <c r="S342" s="52">
        <v>0</v>
      </c>
      <c r="T342" s="52">
        <v>0</v>
      </c>
      <c r="U342" s="52">
        <v>200</v>
      </c>
      <c r="V342" s="52">
        <v>0</v>
      </c>
      <c r="W342" s="52">
        <v>0</v>
      </c>
      <c r="X342" s="52">
        <v>0</v>
      </c>
      <c r="Y342" s="52">
        <v>0</v>
      </c>
      <c r="Z342" s="52">
        <v>0</v>
      </c>
      <c r="AA342" s="52">
        <v>0</v>
      </c>
      <c r="AB342" s="52">
        <v>0</v>
      </c>
      <c r="AC342" s="56">
        <v>800</v>
      </c>
      <c r="AD342" s="56">
        <v>0</v>
      </c>
      <c r="AE342" s="56">
        <v>0</v>
      </c>
      <c r="AF342" s="56">
        <v>0</v>
      </c>
      <c r="AG342" s="56">
        <v>4.0000000000000001E-3</v>
      </c>
      <c r="AH342" s="56">
        <v>0</v>
      </c>
      <c r="AI342" s="56">
        <v>0</v>
      </c>
      <c r="AJ342" s="57">
        <v>0</v>
      </c>
      <c r="AK342" s="56" t="s">
        <v>713</v>
      </c>
      <c r="AL342" s="52">
        <v>3</v>
      </c>
      <c r="AM342" s="41">
        <f>INDEX(Sheet5!$B$19:$G$33,MATCH(Sheet1!AQ342,Sheet5!$A$19:$A$33,0),MATCH(J342,Sheet5!$B$18:$G$18,0))</f>
        <v>2700</v>
      </c>
      <c r="AN342" s="52" t="s">
        <v>63</v>
      </c>
      <c r="AO342" s="52" t="s">
        <v>739</v>
      </c>
      <c r="AP342" s="52">
        <v>20436</v>
      </c>
      <c r="AQ342" s="13">
        <v>90</v>
      </c>
    </row>
    <row r="343" spans="1:43" ht="16.5">
      <c r="A343" s="52">
        <v>2416</v>
      </c>
      <c r="B343" s="53" t="s">
        <v>1994</v>
      </c>
      <c r="C343" s="53" t="s">
        <v>696</v>
      </c>
      <c r="D343" s="54" t="s">
        <v>118</v>
      </c>
      <c r="E343" s="55">
        <v>11015</v>
      </c>
      <c r="F343" s="66">
        <v>5000</v>
      </c>
      <c r="G343" s="52">
        <v>300</v>
      </c>
      <c r="H343" s="52">
        <v>50</v>
      </c>
      <c r="I343" s="54" t="s">
        <v>720</v>
      </c>
      <c r="J343" s="52">
        <v>3</v>
      </c>
      <c r="K343" s="52">
        <v>10</v>
      </c>
      <c r="L343" s="52">
        <v>30</v>
      </c>
      <c r="M343">
        <v>8000</v>
      </c>
      <c r="N343" s="80">
        <v>0</v>
      </c>
      <c r="O343" s="80">
        <v>0</v>
      </c>
      <c r="P343" s="80">
        <v>0</v>
      </c>
      <c r="Q343" s="52">
        <v>0</v>
      </c>
      <c r="R343" s="52">
        <v>0</v>
      </c>
      <c r="S343" s="52">
        <v>0</v>
      </c>
      <c r="T343" s="52">
        <v>0</v>
      </c>
      <c r="U343" s="52">
        <v>200</v>
      </c>
      <c r="V343" s="52">
        <v>0</v>
      </c>
      <c r="W343" s="52">
        <v>0</v>
      </c>
      <c r="X343" s="52">
        <v>0</v>
      </c>
      <c r="Y343" s="52">
        <v>0</v>
      </c>
      <c r="Z343" s="52">
        <v>0</v>
      </c>
      <c r="AA343" s="52">
        <v>0</v>
      </c>
      <c r="AB343" s="52">
        <v>0</v>
      </c>
      <c r="AC343" s="56">
        <v>800</v>
      </c>
      <c r="AD343" s="56">
        <v>0</v>
      </c>
      <c r="AE343" s="56">
        <v>0</v>
      </c>
      <c r="AF343" s="56">
        <v>0</v>
      </c>
      <c r="AG343" s="56">
        <v>4.0000000000000001E-3</v>
      </c>
      <c r="AH343" s="56">
        <v>0</v>
      </c>
      <c r="AI343" s="56">
        <v>0</v>
      </c>
      <c r="AJ343" s="57">
        <v>0</v>
      </c>
      <c r="AK343" s="56" t="s">
        <v>713</v>
      </c>
      <c r="AL343" s="52">
        <v>3</v>
      </c>
      <c r="AM343" s="41">
        <f>INDEX(Sheet5!$B$19:$G$33,MATCH(Sheet1!AQ343,Sheet5!$A$19:$A$33,0),MATCH(J343,Sheet5!$B$18:$G$18,0))</f>
        <v>3000</v>
      </c>
      <c r="AN343" s="52" t="s">
        <v>63</v>
      </c>
      <c r="AO343" s="52" t="s">
        <v>739</v>
      </c>
      <c r="AP343" s="52">
        <v>20437</v>
      </c>
      <c r="AQ343" s="13">
        <v>100</v>
      </c>
    </row>
    <row r="344" spans="1:43" ht="16.5">
      <c r="A344" s="52">
        <v>2417</v>
      </c>
      <c r="B344" s="53" t="s">
        <v>1995</v>
      </c>
      <c r="C344" s="53" t="s">
        <v>696</v>
      </c>
      <c r="D344" s="54" t="s">
        <v>118</v>
      </c>
      <c r="E344" s="55">
        <v>11015</v>
      </c>
      <c r="F344" s="66">
        <v>5000</v>
      </c>
      <c r="G344" s="52">
        <v>300</v>
      </c>
      <c r="H344" s="52">
        <v>50</v>
      </c>
      <c r="I344" s="54" t="s">
        <v>720</v>
      </c>
      <c r="J344" s="52">
        <v>3</v>
      </c>
      <c r="K344" s="52">
        <v>10</v>
      </c>
      <c r="L344" s="52">
        <v>30</v>
      </c>
      <c r="M344">
        <v>8800</v>
      </c>
      <c r="N344" s="80">
        <v>0</v>
      </c>
      <c r="O344" s="80">
        <v>0</v>
      </c>
      <c r="P344" s="80">
        <v>0</v>
      </c>
      <c r="Q344" s="52">
        <v>0</v>
      </c>
      <c r="R344" s="52">
        <v>0</v>
      </c>
      <c r="S344" s="52">
        <v>0</v>
      </c>
      <c r="T344" s="52">
        <v>0</v>
      </c>
      <c r="U344" s="52">
        <v>200</v>
      </c>
      <c r="V344" s="52">
        <v>0</v>
      </c>
      <c r="W344" s="52">
        <v>0</v>
      </c>
      <c r="X344" s="52">
        <v>0</v>
      </c>
      <c r="Y344" s="52">
        <v>0</v>
      </c>
      <c r="Z344" s="52">
        <v>0</v>
      </c>
      <c r="AA344" s="52">
        <v>0</v>
      </c>
      <c r="AB344" s="52">
        <v>0</v>
      </c>
      <c r="AC344" s="56">
        <v>800</v>
      </c>
      <c r="AD344" s="56">
        <v>0</v>
      </c>
      <c r="AE344" s="56">
        <v>0</v>
      </c>
      <c r="AF344" s="56">
        <v>0</v>
      </c>
      <c r="AG344" s="56">
        <v>4.0000000000000001E-3</v>
      </c>
      <c r="AH344" s="56">
        <v>0</v>
      </c>
      <c r="AI344" s="56">
        <v>0</v>
      </c>
      <c r="AJ344" s="57">
        <v>0</v>
      </c>
      <c r="AK344" s="56" t="s">
        <v>713</v>
      </c>
      <c r="AL344" s="52">
        <v>3</v>
      </c>
      <c r="AM344" s="41">
        <f>INDEX(Sheet5!$B$19:$G$33,MATCH(Sheet1!AQ344,Sheet5!$A$19:$A$33,0),MATCH(J344,Sheet5!$B$18:$G$18,0))</f>
        <v>3300</v>
      </c>
      <c r="AN344" s="52" t="s">
        <v>63</v>
      </c>
      <c r="AO344" s="52" t="s">
        <v>739</v>
      </c>
      <c r="AP344" s="52">
        <v>20438</v>
      </c>
      <c r="AQ344" s="13">
        <v>110</v>
      </c>
    </row>
    <row r="345" spans="1:43" ht="16.5">
      <c r="A345" s="52">
        <v>2418</v>
      </c>
      <c r="B345" s="53" t="s">
        <v>1996</v>
      </c>
      <c r="C345" s="53" t="s">
        <v>696</v>
      </c>
      <c r="D345" s="54" t="s">
        <v>118</v>
      </c>
      <c r="E345" s="55">
        <v>11015</v>
      </c>
      <c r="F345" s="66">
        <v>5000</v>
      </c>
      <c r="G345" s="52">
        <v>300</v>
      </c>
      <c r="H345" s="52">
        <v>50</v>
      </c>
      <c r="I345" s="54" t="s">
        <v>720</v>
      </c>
      <c r="J345" s="52">
        <v>3</v>
      </c>
      <c r="K345" s="52">
        <v>10</v>
      </c>
      <c r="L345" s="52">
        <v>30</v>
      </c>
      <c r="M345">
        <v>9600</v>
      </c>
      <c r="N345" s="80">
        <v>0</v>
      </c>
      <c r="O345" s="80">
        <v>0</v>
      </c>
      <c r="P345" s="80">
        <v>0</v>
      </c>
      <c r="Q345" s="52">
        <v>0</v>
      </c>
      <c r="R345" s="52">
        <v>0</v>
      </c>
      <c r="S345" s="52">
        <v>0</v>
      </c>
      <c r="T345" s="52">
        <v>0</v>
      </c>
      <c r="U345" s="52">
        <v>200</v>
      </c>
      <c r="V345" s="52">
        <v>0</v>
      </c>
      <c r="W345" s="52">
        <v>0</v>
      </c>
      <c r="X345" s="52">
        <v>0</v>
      </c>
      <c r="Y345" s="52">
        <v>0</v>
      </c>
      <c r="Z345" s="52">
        <v>0</v>
      </c>
      <c r="AA345" s="52">
        <v>0</v>
      </c>
      <c r="AB345" s="52">
        <v>0</v>
      </c>
      <c r="AC345" s="56">
        <v>800</v>
      </c>
      <c r="AD345" s="56">
        <v>0</v>
      </c>
      <c r="AE345" s="56">
        <v>0</v>
      </c>
      <c r="AF345" s="56">
        <v>0</v>
      </c>
      <c r="AG345" s="56">
        <v>4.0000000000000001E-3</v>
      </c>
      <c r="AH345" s="56">
        <v>0</v>
      </c>
      <c r="AI345" s="56">
        <v>0</v>
      </c>
      <c r="AJ345" s="57">
        <v>0</v>
      </c>
      <c r="AK345" s="56" t="s">
        <v>713</v>
      </c>
      <c r="AL345" s="52">
        <v>3</v>
      </c>
      <c r="AM345" s="41">
        <f>INDEX(Sheet5!$B$19:$G$33,MATCH(Sheet1!AQ345,Sheet5!$A$19:$A$33,0),MATCH(J345,Sheet5!$B$18:$G$18,0))</f>
        <v>3600</v>
      </c>
      <c r="AN345" s="52" t="s">
        <v>63</v>
      </c>
      <c r="AO345" s="52" t="s">
        <v>739</v>
      </c>
      <c r="AP345" s="52">
        <v>20439</v>
      </c>
      <c r="AQ345" s="13">
        <v>120</v>
      </c>
    </row>
    <row r="346" spans="1:43" ht="16.5">
      <c r="A346" s="52">
        <v>2419</v>
      </c>
      <c r="B346" s="53" t="s">
        <v>1997</v>
      </c>
      <c r="C346" s="53" t="s">
        <v>696</v>
      </c>
      <c r="D346" s="54" t="s">
        <v>118</v>
      </c>
      <c r="E346" s="55">
        <v>11015</v>
      </c>
      <c r="F346" s="66">
        <v>5000</v>
      </c>
      <c r="G346" s="52">
        <v>300</v>
      </c>
      <c r="H346" s="52">
        <v>50</v>
      </c>
      <c r="I346" s="54" t="s">
        <v>720</v>
      </c>
      <c r="J346" s="52">
        <v>3</v>
      </c>
      <c r="K346" s="52">
        <v>10</v>
      </c>
      <c r="L346" s="52">
        <v>30</v>
      </c>
      <c r="M346">
        <v>10400</v>
      </c>
      <c r="N346" s="80">
        <v>0</v>
      </c>
      <c r="O346" s="80">
        <v>0</v>
      </c>
      <c r="P346" s="80">
        <v>0</v>
      </c>
      <c r="Q346" s="52">
        <v>0</v>
      </c>
      <c r="R346" s="52">
        <v>0</v>
      </c>
      <c r="S346" s="52">
        <v>0</v>
      </c>
      <c r="T346" s="52">
        <v>0</v>
      </c>
      <c r="U346" s="52">
        <v>200</v>
      </c>
      <c r="V346" s="52">
        <v>0</v>
      </c>
      <c r="W346" s="52">
        <v>0</v>
      </c>
      <c r="X346" s="52">
        <v>0</v>
      </c>
      <c r="Y346" s="52">
        <v>0</v>
      </c>
      <c r="Z346" s="52">
        <v>0</v>
      </c>
      <c r="AA346" s="52">
        <v>0</v>
      </c>
      <c r="AB346" s="52">
        <v>0</v>
      </c>
      <c r="AC346" s="56">
        <v>800</v>
      </c>
      <c r="AD346" s="56">
        <v>0</v>
      </c>
      <c r="AE346" s="56">
        <v>0</v>
      </c>
      <c r="AF346" s="56">
        <v>0</v>
      </c>
      <c r="AG346" s="56">
        <v>4.0000000000000001E-3</v>
      </c>
      <c r="AH346" s="56">
        <v>0</v>
      </c>
      <c r="AI346" s="56">
        <v>0</v>
      </c>
      <c r="AJ346" s="57">
        <v>0</v>
      </c>
      <c r="AK346" s="56" t="s">
        <v>713</v>
      </c>
      <c r="AL346" s="52">
        <v>3</v>
      </c>
      <c r="AM346" s="41">
        <f>INDEX(Sheet5!$B$19:$G$33,MATCH(Sheet1!AQ346,Sheet5!$A$19:$A$33,0),MATCH(J346,Sheet5!$B$18:$G$18,0))</f>
        <v>3900</v>
      </c>
      <c r="AN346" s="52" t="s">
        <v>63</v>
      </c>
      <c r="AO346" s="52" t="s">
        <v>739</v>
      </c>
      <c r="AP346" s="52">
        <v>20440</v>
      </c>
      <c r="AQ346" s="13">
        <v>130</v>
      </c>
    </row>
    <row r="347" spans="1:43" ht="16.5">
      <c r="A347" s="52">
        <v>2420</v>
      </c>
      <c r="B347" s="53" t="s">
        <v>1998</v>
      </c>
      <c r="C347" s="53" t="s">
        <v>696</v>
      </c>
      <c r="D347" s="54" t="s">
        <v>118</v>
      </c>
      <c r="E347" s="55">
        <v>11015</v>
      </c>
      <c r="F347" s="66">
        <v>5000</v>
      </c>
      <c r="G347" s="52">
        <v>300</v>
      </c>
      <c r="H347" s="52">
        <v>50</v>
      </c>
      <c r="I347" s="54" t="s">
        <v>720</v>
      </c>
      <c r="J347" s="52">
        <v>3</v>
      </c>
      <c r="K347" s="52">
        <v>10</v>
      </c>
      <c r="L347" s="52">
        <v>30</v>
      </c>
      <c r="M347">
        <v>11200</v>
      </c>
      <c r="N347" s="80">
        <v>0</v>
      </c>
      <c r="O347" s="80">
        <v>0</v>
      </c>
      <c r="P347" s="80">
        <v>0</v>
      </c>
      <c r="Q347" s="52">
        <v>0</v>
      </c>
      <c r="R347" s="52">
        <v>0</v>
      </c>
      <c r="S347" s="52">
        <v>0</v>
      </c>
      <c r="T347" s="52">
        <v>0</v>
      </c>
      <c r="U347" s="52">
        <v>200</v>
      </c>
      <c r="V347" s="52">
        <v>0</v>
      </c>
      <c r="W347" s="52">
        <v>0</v>
      </c>
      <c r="X347" s="52">
        <v>0</v>
      </c>
      <c r="Y347" s="52">
        <v>0</v>
      </c>
      <c r="Z347" s="52">
        <v>0</v>
      </c>
      <c r="AA347" s="52">
        <v>0</v>
      </c>
      <c r="AB347" s="52">
        <v>0</v>
      </c>
      <c r="AC347" s="56">
        <v>800</v>
      </c>
      <c r="AD347" s="56">
        <v>0</v>
      </c>
      <c r="AE347" s="56">
        <v>0</v>
      </c>
      <c r="AF347" s="56">
        <v>0</v>
      </c>
      <c r="AG347" s="56">
        <v>4.0000000000000001E-3</v>
      </c>
      <c r="AH347" s="56">
        <v>0</v>
      </c>
      <c r="AI347" s="56">
        <v>0</v>
      </c>
      <c r="AJ347" s="57">
        <v>0</v>
      </c>
      <c r="AK347" s="56" t="s">
        <v>713</v>
      </c>
      <c r="AL347" s="52">
        <v>3</v>
      </c>
      <c r="AM347" s="41">
        <f>INDEX(Sheet5!$B$19:$G$33,MATCH(Sheet1!AQ347,Sheet5!$A$19:$A$33,0),MATCH(J347,Sheet5!$B$18:$G$18,0))</f>
        <v>4200</v>
      </c>
      <c r="AN347" s="52" t="s">
        <v>63</v>
      </c>
      <c r="AO347" s="52" t="s">
        <v>739</v>
      </c>
      <c r="AP347" s="52">
        <v>204411</v>
      </c>
      <c r="AQ347" s="13">
        <v>140</v>
      </c>
    </row>
    <row r="348" spans="1:43" ht="16.5">
      <c r="A348" s="52">
        <v>2421</v>
      </c>
      <c r="B348" s="53" t="s">
        <v>1999</v>
      </c>
      <c r="C348" s="53" t="s">
        <v>696</v>
      </c>
      <c r="D348" s="54" t="s">
        <v>118</v>
      </c>
      <c r="E348" s="55">
        <v>11015</v>
      </c>
      <c r="F348" s="66">
        <v>5000</v>
      </c>
      <c r="G348" s="52">
        <v>300</v>
      </c>
      <c r="H348" s="52">
        <v>50</v>
      </c>
      <c r="I348" s="54" t="s">
        <v>720</v>
      </c>
      <c r="J348" s="52">
        <v>3</v>
      </c>
      <c r="K348" s="52">
        <v>10</v>
      </c>
      <c r="L348" s="52">
        <v>30</v>
      </c>
      <c r="M348">
        <v>12000</v>
      </c>
      <c r="N348" s="80">
        <v>0</v>
      </c>
      <c r="O348" s="80">
        <v>0</v>
      </c>
      <c r="P348" s="80">
        <v>0</v>
      </c>
      <c r="Q348" s="52">
        <v>0</v>
      </c>
      <c r="R348" s="52">
        <v>0</v>
      </c>
      <c r="S348" s="52">
        <v>0</v>
      </c>
      <c r="T348" s="52">
        <v>0</v>
      </c>
      <c r="U348" s="52">
        <v>200</v>
      </c>
      <c r="V348" s="52">
        <v>0</v>
      </c>
      <c r="W348" s="52">
        <v>0</v>
      </c>
      <c r="X348" s="52">
        <v>0</v>
      </c>
      <c r="Y348" s="52">
        <v>0</v>
      </c>
      <c r="Z348" s="52">
        <v>0</v>
      </c>
      <c r="AA348" s="52">
        <v>0</v>
      </c>
      <c r="AB348" s="52">
        <v>0</v>
      </c>
      <c r="AC348" s="56">
        <v>800</v>
      </c>
      <c r="AD348" s="56">
        <v>0</v>
      </c>
      <c r="AE348" s="56">
        <v>0</v>
      </c>
      <c r="AF348" s="56">
        <v>0</v>
      </c>
      <c r="AG348" s="56">
        <v>4.0000000000000001E-3</v>
      </c>
      <c r="AH348" s="56">
        <v>0</v>
      </c>
      <c r="AI348" s="56">
        <v>0</v>
      </c>
      <c r="AJ348" s="57">
        <v>0</v>
      </c>
      <c r="AK348" s="56" t="s">
        <v>713</v>
      </c>
      <c r="AL348" s="52">
        <v>3</v>
      </c>
      <c r="AM348" s="41">
        <f>INDEX(Sheet5!$B$19:$G$33,MATCH(Sheet1!AQ348,Sheet5!$A$19:$A$33,0),MATCH(J348,Sheet5!$B$18:$G$18,0))</f>
        <v>4500</v>
      </c>
      <c r="AN348" s="52" t="s">
        <v>63</v>
      </c>
      <c r="AO348" s="52" t="s">
        <v>739</v>
      </c>
      <c r="AP348" s="52">
        <v>204412</v>
      </c>
      <c r="AQ348" s="13">
        <v>150</v>
      </c>
    </row>
    <row r="349" spans="1:43" ht="16.5">
      <c r="A349" s="52">
        <v>2422</v>
      </c>
      <c r="B349" s="53" t="s">
        <v>2000</v>
      </c>
      <c r="C349" s="53" t="s">
        <v>697</v>
      </c>
      <c r="D349" s="54" t="s">
        <v>119</v>
      </c>
      <c r="E349" s="55">
        <v>11016</v>
      </c>
      <c r="F349" s="66">
        <v>5000</v>
      </c>
      <c r="G349" s="52">
        <v>300</v>
      </c>
      <c r="H349" s="52">
        <v>50</v>
      </c>
      <c r="I349" s="54" t="s">
        <v>159</v>
      </c>
      <c r="J349" s="52">
        <v>3</v>
      </c>
      <c r="K349" s="52">
        <v>10</v>
      </c>
      <c r="L349" s="52">
        <v>30</v>
      </c>
      <c r="M349" s="80">
        <v>0</v>
      </c>
      <c r="N349" s="80">
        <v>0</v>
      </c>
      <c r="O349" s="80">
        <v>0</v>
      </c>
      <c r="P349">
        <v>160</v>
      </c>
      <c r="Q349" s="52">
        <v>0</v>
      </c>
      <c r="R349" s="52">
        <v>0</v>
      </c>
      <c r="S349" s="52">
        <v>0</v>
      </c>
      <c r="T349" s="52">
        <v>0</v>
      </c>
      <c r="U349" s="52">
        <v>0</v>
      </c>
      <c r="V349" s="52">
        <v>0</v>
      </c>
      <c r="W349" s="52">
        <v>0</v>
      </c>
      <c r="X349" s="52">
        <v>4</v>
      </c>
      <c r="Y349" s="52">
        <v>0</v>
      </c>
      <c r="Z349" s="52">
        <v>0</v>
      </c>
      <c r="AA349" s="52">
        <v>0</v>
      </c>
      <c r="AB349" s="52">
        <v>0</v>
      </c>
      <c r="AC349" s="56">
        <v>0</v>
      </c>
      <c r="AD349" s="56">
        <v>0</v>
      </c>
      <c r="AE349" s="56">
        <v>0</v>
      </c>
      <c r="AF349" s="56">
        <v>16</v>
      </c>
      <c r="AG349" s="56">
        <v>0</v>
      </c>
      <c r="AH349" s="56">
        <v>4.0000000000000001E-3</v>
      </c>
      <c r="AI349" s="56">
        <v>0</v>
      </c>
      <c r="AJ349" s="57">
        <v>0</v>
      </c>
      <c r="AK349" s="56" t="s">
        <v>713</v>
      </c>
      <c r="AL349" s="52">
        <v>4</v>
      </c>
      <c r="AM349" s="41">
        <f>INDEX(Sheet5!$B$19:$G$33,MATCH(Sheet1!AQ349,Sheet5!$A$19:$A$33,0),MATCH(J349,Sheet5!$B$18:$G$18,0))</f>
        <v>300</v>
      </c>
      <c r="AN349" s="52" t="s">
        <v>63</v>
      </c>
      <c r="AO349" s="52" t="s">
        <v>740</v>
      </c>
      <c r="AP349" s="52">
        <v>441</v>
      </c>
      <c r="AQ349" s="13">
        <v>10</v>
      </c>
    </row>
    <row r="350" spans="1:43" ht="16.5">
      <c r="A350" s="52">
        <v>2423</v>
      </c>
      <c r="B350" s="53" t="s">
        <v>2001</v>
      </c>
      <c r="C350" s="53" t="s">
        <v>697</v>
      </c>
      <c r="D350" s="54" t="s">
        <v>119</v>
      </c>
      <c r="E350" s="55">
        <v>11016</v>
      </c>
      <c r="F350" s="66">
        <v>5000</v>
      </c>
      <c r="G350" s="52">
        <v>300</v>
      </c>
      <c r="H350" s="52">
        <v>50</v>
      </c>
      <c r="I350" s="54" t="s">
        <v>159</v>
      </c>
      <c r="J350" s="52">
        <v>3</v>
      </c>
      <c r="K350" s="52">
        <v>10</v>
      </c>
      <c r="L350" s="52">
        <v>30</v>
      </c>
      <c r="M350" s="80">
        <v>0</v>
      </c>
      <c r="N350" s="80">
        <v>0</v>
      </c>
      <c r="O350" s="80">
        <v>0</v>
      </c>
      <c r="P350">
        <v>320</v>
      </c>
      <c r="Q350" s="52">
        <v>0</v>
      </c>
      <c r="R350" s="52">
        <v>0</v>
      </c>
      <c r="S350" s="52">
        <v>0</v>
      </c>
      <c r="T350" s="52">
        <v>0</v>
      </c>
      <c r="U350" s="52">
        <v>0</v>
      </c>
      <c r="V350" s="52">
        <v>0</v>
      </c>
      <c r="W350" s="52">
        <v>0</v>
      </c>
      <c r="X350" s="52">
        <v>4</v>
      </c>
      <c r="Y350" s="52">
        <v>0</v>
      </c>
      <c r="Z350" s="52">
        <v>0</v>
      </c>
      <c r="AA350" s="52">
        <v>0</v>
      </c>
      <c r="AB350" s="52">
        <v>0</v>
      </c>
      <c r="AC350" s="56">
        <v>0</v>
      </c>
      <c r="AD350" s="56">
        <v>0</v>
      </c>
      <c r="AE350" s="56">
        <v>0</v>
      </c>
      <c r="AF350" s="56">
        <v>16</v>
      </c>
      <c r="AG350" s="56">
        <v>0</v>
      </c>
      <c r="AH350" s="56">
        <v>4.0000000000000001E-3</v>
      </c>
      <c r="AI350" s="56">
        <v>0</v>
      </c>
      <c r="AJ350" s="57">
        <v>0</v>
      </c>
      <c r="AK350" s="56" t="s">
        <v>713</v>
      </c>
      <c r="AL350" s="52">
        <v>4</v>
      </c>
      <c r="AM350" s="41">
        <f>INDEX(Sheet5!$B$19:$G$33,MATCH(Sheet1!AQ350,Sheet5!$A$19:$A$33,0),MATCH(J350,Sheet5!$B$18:$G$18,0))</f>
        <v>600</v>
      </c>
      <c r="AN350" s="52" t="s">
        <v>63</v>
      </c>
      <c r="AO350" s="52" t="s">
        <v>740</v>
      </c>
      <c r="AP350" s="52">
        <v>442</v>
      </c>
      <c r="AQ350" s="13">
        <v>20</v>
      </c>
    </row>
    <row r="351" spans="1:43" s="87" customFormat="1" ht="16.5">
      <c r="A351" s="97">
        <v>2044</v>
      </c>
      <c r="B351" s="97" t="s">
        <v>2002</v>
      </c>
      <c r="C351" s="97" t="s">
        <v>697</v>
      </c>
      <c r="D351" s="97" t="s">
        <v>119</v>
      </c>
      <c r="E351" s="98">
        <v>11016</v>
      </c>
      <c r="F351" s="97">
        <v>5000</v>
      </c>
      <c r="G351" s="97">
        <v>300</v>
      </c>
      <c r="H351" s="97">
        <v>50</v>
      </c>
      <c r="I351" s="97" t="s">
        <v>159</v>
      </c>
      <c r="J351" s="97">
        <v>3</v>
      </c>
      <c r="K351" s="97">
        <v>10</v>
      </c>
      <c r="L351" s="97">
        <v>30</v>
      </c>
      <c r="M351" s="94">
        <v>0</v>
      </c>
      <c r="N351" s="94">
        <v>0</v>
      </c>
      <c r="O351" s="94">
        <v>0</v>
      </c>
      <c r="P351">
        <v>480</v>
      </c>
      <c r="Q351" s="97">
        <v>0</v>
      </c>
      <c r="R351" s="97">
        <v>0</v>
      </c>
      <c r="S351" s="97">
        <v>0</v>
      </c>
      <c r="T351" s="97">
        <v>0</v>
      </c>
      <c r="U351" s="97">
        <v>0</v>
      </c>
      <c r="V351" s="97">
        <v>0</v>
      </c>
      <c r="W351" s="97">
        <v>0</v>
      </c>
      <c r="X351" s="97">
        <v>4</v>
      </c>
      <c r="Y351" s="97">
        <v>0</v>
      </c>
      <c r="Z351" s="97">
        <v>0</v>
      </c>
      <c r="AA351" s="97">
        <v>0</v>
      </c>
      <c r="AB351" s="97">
        <v>0</v>
      </c>
      <c r="AC351" s="97">
        <v>0</v>
      </c>
      <c r="AD351" s="97">
        <v>0</v>
      </c>
      <c r="AE351" s="97">
        <v>0</v>
      </c>
      <c r="AF351" s="97">
        <v>16</v>
      </c>
      <c r="AG351" s="97">
        <v>0</v>
      </c>
      <c r="AH351" s="97">
        <v>4.0000000000000001E-3</v>
      </c>
      <c r="AI351" s="97">
        <v>0</v>
      </c>
      <c r="AJ351" s="99">
        <v>0</v>
      </c>
      <c r="AK351" s="97" t="s">
        <v>1489</v>
      </c>
      <c r="AL351" s="97">
        <v>4</v>
      </c>
      <c r="AM351" s="41">
        <f>INDEX(Sheet5!$B$19:$G$33,MATCH(Sheet1!AQ351,Sheet5!$A$19:$A$33,0),MATCH(J351,Sheet5!$B$18:$G$18,0))</f>
        <v>900</v>
      </c>
      <c r="AN351" s="97" t="s">
        <v>1489</v>
      </c>
      <c r="AO351" s="97" t="s">
        <v>740</v>
      </c>
      <c r="AP351" s="97">
        <v>2044</v>
      </c>
      <c r="AQ351" s="13">
        <v>30</v>
      </c>
    </row>
    <row r="352" spans="1:43" ht="16.5">
      <c r="A352" s="52">
        <v>2424</v>
      </c>
      <c r="B352" s="53" t="s">
        <v>2003</v>
      </c>
      <c r="C352" s="53" t="s">
        <v>697</v>
      </c>
      <c r="D352" s="54" t="s">
        <v>119</v>
      </c>
      <c r="E352" s="55">
        <v>11016</v>
      </c>
      <c r="F352" s="66">
        <v>5000</v>
      </c>
      <c r="G352" s="52">
        <v>300</v>
      </c>
      <c r="H352" s="52">
        <v>50</v>
      </c>
      <c r="I352" s="54" t="s">
        <v>159</v>
      </c>
      <c r="J352" s="52">
        <v>3</v>
      </c>
      <c r="K352" s="52">
        <v>10</v>
      </c>
      <c r="L352" s="52">
        <v>30</v>
      </c>
      <c r="M352" s="80">
        <v>0</v>
      </c>
      <c r="N352" s="80">
        <v>0</v>
      </c>
      <c r="O352" s="80">
        <v>0</v>
      </c>
      <c r="P352">
        <v>640</v>
      </c>
      <c r="Q352" s="52">
        <v>0</v>
      </c>
      <c r="R352" s="52">
        <v>0</v>
      </c>
      <c r="S352" s="52">
        <v>0</v>
      </c>
      <c r="T352" s="52">
        <v>0</v>
      </c>
      <c r="U352" s="52">
        <v>0</v>
      </c>
      <c r="V352" s="52">
        <v>0</v>
      </c>
      <c r="W352" s="52">
        <v>0</v>
      </c>
      <c r="X352" s="52">
        <v>4</v>
      </c>
      <c r="Y352" s="52">
        <v>0</v>
      </c>
      <c r="Z352" s="52">
        <v>0</v>
      </c>
      <c r="AA352" s="52">
        <v>0</v>
      </c>
      <c r="AB352" s="52">
        <v>0</v>
      </c>
      <c r="AC352" s="56">
        <v>0</v>
      </c>
      <c r="AD352" s="56">
        <v>0</v>
      </c>
      <c r="AE352" s="56">
        <v>0</v>
      </c>
      <c r="AF352" s="56">
        <v>16</v>
      </c>
      <c r="AG352" s="56">
        <v>0</v>
      </c>
      <c r="AH352" s="56">
        <v>4.0000000000000001E-3</v>
      </c>
      <c r="AI352" s="56">
        <v>0</v>
      </c>
      <c r="AJ352" s="57">
        <v>0</v>
      </c>
      <c r="AK352" s="56" t="s">
        <v>713</v>
      </c>
      <c r="AL352" s="52">
        <v>4</v>
      </c>
      <c r="AM352" s="41">
        <f>INDEX(Sheet5!$B$19:$G$33,MATCH(Sheet1!AQ352,Sheet5!$A$19:$A$33,0),MATCH(J352,Sheet5!$B$18:$G$18,0))</f>
        <v>1200</v>
      </c>
      <c r="AN352" s="52" t="s">
        <v>63</v>
      </c>
      <c r="AO352" s="52" t="s">
        <v>740</v>
      </c>
      <c r="AP352" s="52">
        <v>20441</v>
      </c>
      <c r="AQ352" s="13">
        <v>40</v>
      </c>
    </row>
    <row r="353" spans="1:43" ht="16.5">
      <c r="A353" s="52">
        <v>2425</v>
      </c>
      <c r="B353" s="53" t="s">
        <v>2004</v>
      </c>
      <c r="C353" s="53" t="s">
        <v>697</v>
      </c>
      <c r="D353" s="54" t="s">
        <v>119</v>
      </c>
      <c r="E353" s="55">
        <v>11016</v>
      </c>
      <c r="F353" s="66">
        <v>5000</v>
      </c>
      <c r="G353" s="52">
        <v>300</v>
      </c>
      <c r="H353" s="52">
        <v>50</v>
      </c>
      <c r="I353" s="54" t="s">
        <v>159</v>
      </c>
      <c r="J353" s="52">
        <v>3</v>
      </c>
      <c r="K353" s="52">
        <v>10</v>
      </c>
      <c r="L353" s="52">
        <v>30</v>
      </c>
      <c r="M353" s="80">
        <v>0</v>
      </c>
      <c r="N353" s="80">
        <v>0</v>
      </c>
      <c r="O353" s="80">
        <v>0</v>
      </c>
      <c r="P353">
        <v>800</v>
      </c>
      <c r="Q353" s="52">
        <v>0</v>
      </c>
      <c r="R353" s="52">
        <v>0</v>
      </c>
      <c r="S353" s="52">
        <v>0</v>
      </c>
      <c r="T353" s="52">
        <v>0</v>
      </c>
      <c r="U353" s="52">
        <v>0</v>
      </c>
      <c r="V353" s="52">
        <v>0</v>
      </c>
      <c r="W353" s="52">
        <v>0</v>
      </c>
      <c r="X353" s="52">
        <v>4</v>
      </c>
      <c r="Y353" s="52">
        <v>0</v>
      </c>
      <c r="Z353" s="52">
        <v>0</v>
      </c>
      <c r="AA353" s="52">
        <v>0</v>
      </c>
      <c r="AB353" s="52">
        <v>0</v>
      </c>
      <c r="AC353" s="56">
        <v>0</v>
      </c>
      <c r="AD353" s="56">
        <v>0</v>
      </c>
      <c r="AE353" s="56">
        <v>0</v>
      </c>
      <c r="AF353" s="56">
        <v>16</v>
      </c>
      <c r="AG353" s="56">
        <v>0</v>
      </c>
      <c r="AH353" s="56">
        <v>4.0000000000000001E-3</v>
      </c>
      <c r="AI353" s="56">
        <v>0</v>
      </c>
      <c r="AJ353" s="57">
        <v>0</v>
      </c>
      <c r="AK353" s="56" t="s">
        <v>713</v>
      </c>
      <c r="AL353" s="52">
        <v>4</v>
      </c>
      <c r="AM353" s="41">
        <f>INDEX(Sheet5!$B$19:$G$33,MATCH(Sheet1!AQ353,Sheet5!$A$19:$A$33,0),MATCH(J353,Sheet5!$B$18:$G$18,0))</f>
        <v>1500</v>
      </c>
      <c r="AN353" s="52" t="s">
        <v>63</v>
      </c>
      <c r="AO353" s="52" t="s">
        <v>740</v>
      </c>
      <c r="AP353" s="52">
        <v>20442</v>
      </c>
      <c r="AQ353" s="13">
        <v>50</v>
      </c>
    </row>
    <row r="354" spans="1:43" ht="16.5">
      <c r="A354" s="52">
        <v>2426</v>
      </c>
      <c r="B354" s="53" t="s">
        <v>2005</v>
      </c>
      <c r="C354" s="53" t="s">
        <v>697</v>
      </c>
      <c r="D354" s="54" t="s">
        <v>119</v>
      </c>
      <c r="E354" s="55">
        <v>11016</v>
      </c>
      <c r="F354" s="66">
        <v>5000</v>
      </c>
      <c r="G354" s="52">
        <v>300</v>
      </c>
      <c r="H354" s="52">
        <v>50</v>
      </c>
      <c r="I354" s="54" t="s">
        <v>159</v>
      </c>
      <c r="J354" s="52">
        <v>3</v>
      </c>
      <c r="K354" s="52">
        <v>10</v>
      </c>
      <c r="L354" s="52">
        <v>30</v>
      </c>
      <c r="M354" s="80">
        <v>0</v>
      </c>
      <c r="N354" s="80">
        <v>0</v>
      </c>
      <c r="O354" s="80">
        <v>0</v>
      </c>
      <c r="P354">
        <v>960</v>
      </c>
      <c r="Q354" s="52">
        <v>0</v>
      </c>
      <c r="R354" s="52">
        <v>0</v>
      </c>
      <c r="S354" s="52">
        <v>0</v>
      </c>
      <c r="T354" s="52">
        <v>0</v>
      </c>
      <c r="U354" s="52">
        <v>0</v>
      </c>
      <c r="V354" s="52">
        <v>0</v>
      </c>
      <c r="W354" s="52">
        <v>0</v>
      </c>
      <c r="X354" s="52">
        <v>4</v>
      </c>
      <c r="Y354" s="52">
        <v>0</v>
      </c>
      <c r="Z354" s="52">
        <v>0</v>
      </c>
      <c r="AA354" s="52">
        <v>0</v>
      </c>
      <c r="AB354" s="52">
        <v>0</v>
      </c>
      <c r="AC354" s="56">
        <v>0</v>
      </c>
      <c r="AD354" s="56">
        <v>0</v>
      </c>
      <c r="AE354" s="56">
        <v>0</v>
      </c>
      <c r="AF354" s="56">
        <v>16</v>
      </c>
      <c r="AG354" s="56">
        <v>0</v>
      </c>
      <c r="AH354" s="56">
        <v>4.0000000000000001E-3</v>
      </c>
      <c r="AI354" s="56">
        <v>0</v>
      </c>
      <c r="AJ354" s="57">
        <v>0</v>
      </c>
      <c r="AK354" s="56" t="s">
        <v>713</v>
      </c>
      <c r="AL354" s="52">
        <v>4</v>
      </c>
      <c r="AM354" s="41">
        <f>INDEX(Sheet5!$B$19:$G$33,MATCH(Sheet1!AQ354,Sheet5!$A$19:$A$33,0),MATCH(J354,Sheet5!$B$18:$G$18,0))</f>
        <v>1800</v>
      </c>
      <c r="AN354" s="52" t="s">
        <v>63</v>
      </c>
      <c r="AO354" s="52" t="s">
        <v>740</v>
      </c>
      <c r="AP354" s="52">
        <v>20443</v>
      </c>
      <c r="AQ354" s="13">
        <v>60</v>
      </c>
    </row>
    <row r="355" spans="1:43" ht="16.5">
      <c r="A355" s="52">
        <v>2427</v>
      </c>
      <c r="B355" s="53" t="s">
        <v>2006</v>
      </c>
      <c r="C355" s="53" t="s">
        <v>697</v>
      </c>
      <c r="D355" s="54" t="s">
        <v>119</v>
      </c>
      <c r="E355" s="55">
        <v>11016</v>
      </c>
      <c r="F355" s="66">
        <v>5000</v>
      </c>
      <c r="G355" s="52">
        <v>300</v>
      </c>
      <c r="H355" s="52">
        <v>50</v>
      </c>
      <c r="I355" s="54" t="s">
        <v>159</v>
      </c>
      <c r="J355" s="52">
        <v>3</v>
      </c>
      <c r="K355" s="52">
        <v>10</v>
      </c>
      <c r="L355" s="52">
        <v>30</v>
      </c>
      <c r="M355" s="80">
        <v>0</v>
      </c>
      <c r="N355" s="80">
        <v>0</v>
      </c>
      <c r="O355" s="80">
        <v>0</v>
      </c>
      <c r="P355">
        <v>1120</v>
      </c>
      <c r="Q355" s="52">
        <v>0</v>
      </c>
      <c r="R355" s="52">
        <v>0</v>
      </c>
      <c r="S355" s="52">
        <v>0</v>
      </c>
      <c r="T355" s="52">
        <v>0</v>
      </c>
      <c r="U355" s="52">
        <v>0</v>
      </c>
      <c r="V355" s="52">
        <v>0</v>
      </c>
      <c r="W355" s="52">
        <v>0</v>
      </c>
      <c r="X355" s="52">
        <v>4</v>
      </c>
      <c r="Y355" s="52">
        <v>0</v>
      </c>
      <c r="Z355" s="52">
        <v>0</v>
      </c>
      <c r="AA355" s="52">
        <v>0</v>
      </c>
      <c r="AB355" s="52">
        <v>0</v>
      </c>
      <c r="AC355" s="56">
        <v>0</v>
      </c>
      <c r="AD355" s="56">
        <v>0</v>
      </c>
      <c r="AE355" s="56">
        <v>0</v>
      </c>
      <c r="AF355" s="56">
        <v>16</v>
      </c>
      <c r="AG355" s="56">
        <v>0</v>
      </c>
      <c r="AH355" s="56">
        <v>4.0000000000000001E-3</v>
      </c>
      <c r="AI355" s="56">
        <v>0</v>
      </c>
      <c r="AJ355" s="57">
        <v>0</v>
      </c>
      <c r="AK355" s="56" t="s">
        <v>713</v>
      </c>
      <c r="AL355" s="52">
        <v>4</v>
      </c>
      <c r="AM355" s="41">
        <f>INDEX(Sheet5!$B$19:$G$33,MATCH(Sheet1!AQ355,Sheet5!$A$19:$A$33,0),MATCH(J355,Sheet5!$B$18:$G$18,0))</f>
        <v>2100</v>
      </c>
      <c r="AN355" s="52" t="s">
        <v>63</v>
      </c>
      <c r="AO355" s="52" t="s">
        <v>740</v>
      </c>
      <c r="AP355" s="52">
        <v>20444</v>
      </c>
      <c r="AQ355" s="13">
        <v>70</v>
      </c>
    </row>
    <row r="356" spans="1:43" ht="16.5">
      <c r="A356" s="52">
        <v>2428</v>
      </c>
      <c r="B356" s="53" t="s">
        <v>2007</v>
      </c>
      <c r="C356" s="53" t="s">
        <v>697</v>
      </c>
      <c r="D356" s="54" t="s">
        <v>119</v>
      </c>
      <c r="E356" s="55">
        <v>11016</v>
      </c>
      <c r="F356" s="66">
        <v>5000</v>
      </c>
      <c r="G356" s="52">
        <v>300</v>
      </c>
      <c r="H356" s="52">
        <v>50</v>
      </c>
      <c r="I356" s="54" t="s">
        <v>159</v>
      </c>
      <c r="J356" s="52">
        <v>3</v>
      </c>
      <c r="K356" s="52">
        <v>10</v>
      </c>
      <c r="L356" s="52">
        <v>30</v>
      </c>
      <c r="M356" s="80">
        <v>0</v>
      </c>
      <c r="N356" s="80">
        <v>0</v>
      </c>
      <c r="O356" s="80">
        <v>0</v>
      </c>
      <c r="P356">
        <v>1280</v>
      </c>
      <c r="Q356" s="52">
        <v>0</v>
      </c>
      <c r="R356" s="52">
        <v>0</v>
      </c>
      <c r="S356" s="52">
        <v>0</v>
      </c>
      <c r="T356" s="52">
        <v>0</v>
      </c>
      <c r="U356" s="52">
        <v>0</v>
      </c>
      <c r="V356" s="52">
        <v>0</v>
      </c>
      <c r="W356" s="52">
        <v>0</v>
      </c>
      <c r="X356" s="52">
        <v>4</v>
      </c>
      <c r="Y356" s="52">
        <v>0</v>
      </c>
      <c r="Z356" s="52">
        <v>0</v>
      </c>
      <c r="AA356" s="52">
        <v>0</v>
      </c>
      <c r="AB356" s="52">
        <v>0</v>
      </c>
      <c r="AC356" s="56">
        <v>0</v>
      </c>
      <c r="AD356" s="56">
        <v>0</v>
      </c>
      <c r="AE356" s="56">
        <v>0</v>
      </c>
      <c r="AF356" s="56">
        <v>16</v>
      </c>
      <c r="AG356" s="56">
        <v>0</v>
      </c>
      <c r="AH356" s="56">
        <v>4.0000000000000001E-3</v>
      </c>
      <c r="AI356" s="56">
        <v>0</v>
      </c>
      <c r="AJ356" s="57">
        <v>0</v>
      </c>
      <c r="AK356" s="56" t="s">
        <v>713</v>
      </c>
      <c r="AL356" s="52">
        <v>4</v>
      </c>
      <c r="AM356" s="41">
        <f>INDEX(Sheet5!$B$19:$G$33,MATCH(Sheet1!AQ356,Sheet5!$A$19:$A$33,0),MATCH(J356,Sheet5!$B$18:$G$18,0))</f>
        <v>2400</v>
      </c>
      <c r="AN356" s="52" t="s">
        <v>63</v>
      </c>
      <c r="AO356" s="52" t="s">
        <v>740</v>
      </c>
      <c r="AP356" s="52">
        <v>20445</v>
      </c>
      <c r="AQ356" s="13">
        <v>80</v>
      </c>
    </row>
    <row r="357" spans="1:43" ht="16.5">
      <c r="A357" s="52">
        <v>2429</v>
      </c>
      <c r="B357" s="53" t="s">
        <v>2008</v>
      </c>
      <c r="C357" s="53" t="s">
        <v>697</v>
      </c>
      <c r="D357" s="54" t="s">
        <v>119</v>
      </c>
      <c r="E357" s="55">
        <v>11016</v>
      </c>
      <c r="F357" s="66">
        <v>5000</v>
      </c>
      <c r="G357" s="52">
        <v>300</v>
      </c>
      <c r="H357" s="52">
        <v>50</v>
      </c>
      <c r="I357" s="54" t="s">
        <v>159</v>
      </c>
      <c r="J357" s="52">
        <v>3</v>
      </c>
      <c r="K357" s="52">
        <v>10</v>
      </c>
      <c r="L357" s="52">
        <v>30</v>
      </c>
      <c r="M357" s="80">
        <v>0</v>
      </c>
      <c r="N357" s="80">
        <v>0</v>
      </c>
      <c r="O357" s="80">
        <v>0</v>
      </c>
      <c r="P357">
        <v>1440</v>
      </c>
      <c r="Q357" s="52">
        <v>0</v>
      </c>
      <c r="R357" s="52">
        <v>0</v>
      </c>
      <c r="S357" s="52">
        <v>0</v>
      </c>
      <c r="T357" s="52">
        <v>0</v>
      </c>
      <c r="U357" s="52">
        <v>0</v>
      </c>
      <c r="V357" s="52">
        <v>0</v>
      </c>
      <c r="W357" s="52">
        <v>0</v>
      </c>
      <c r="X357" s="52">
        <v>4</v>
      </c>
      <c r="Y357" s="52">
        <v>0</v>
      </c>
      <c r="Z357" s="52">
        <v>0</v>
      </c>
      <c r="AA357" s="52">
        <v>0</v>
      </c>
      <c r="AB357" s="52">
        <v>0</v>
      </c>
      <c r="AC357" s="56">
        <v>0</v>
      </c>
      <c r="AD357" s="56">
        <v>0</v>
      </c>
      <c r="AE357" s="56">
        <v>0</v>
      </c>
      <c r="AF357" s="56">
        <v>16</v>
      </c>
      <c r="AG357" s="56">
        <v>0</v>
      </c>
      <c r="AH357" s="56">
        <v>4.0000000000000001E-3</v>
      </c>
      <c r="AI357" s="56">
        <v>0</v>
      </c>
      <c r="AJ357" s="57">
        <v>0</v>
      </c>
      <c r="AK357" s="56" t="s">
        <v>713</v>
      </c>
      <c r="AL357" s="52">
        <v>4</v>
      </c>
      <c r="AM357" s="41">
        <f>INDEX(Sheet5!$B$19:$G$33,MATCH(Sheet1!AQ357,Sheet5!$A$19:$A$33,0),MATCH(J357,Sheet5!$B$18:$G$18,0))</f>
        <v>2700</v>
      </c>
      <c r="AN357" s="52" t="s">
        <v>63</v>
      </c>
      <c r="AO357" s="52" t="s">
        <v>740</v>
      </c>
      <c r="AP357" s="52">
        <v>20446</v>
      </c>
      <c r="AQ357" s="13">
        <v>90</v>
      </c>
    </row>
    <row r="358" spans="1:43" ht="16.5">
      <c r="A358" s="52">
        <v>2430</v>
      </c>
      <c r="B358" s="53" t="s">
        <v>2009</v>
      </c>
      <c r="C358" s="53" t="s">
        <v>697</v>
      </c>
      <c r="D358" s="54" t="s">
        <v>119</v>
      </c>
      <c r="E358" s="55">
        <v>11016</v>
      </c>
      <c r="F358" s="66">
        <v>5000</v>
      </c>
      <c r="G358" s="52">
        <v>300</v>
      </c>
      <c r="H358" s="52">
        <v>50</v>
      </c>
      <c r="I358" s="54" t="s">
        <v>159</v>
      </c>
      <c r="J358" s="52">
        <v>3</v>
      </c>
      <c r="K358" s="52">
        <v>10</v>
      </c>
      <c r="L358" s="52">
        <v>30</v>
      </c>
      <c r="M358" s="80">
        <v>0</v>
      </c>
      <c r="N358" s="80">
        <v>0</v>
      </c>
      <c r="O358" s="80">
        <v>0</v>
      </c>
      <c r="P358">
        <v>1600</v>
      </c>
      <c r="Q358" s="52">
        <v>0</v>
      </c>
      <c r="R358" s="52">
        <v>0</v>
      </c>
      <c r="S358" s="52">
        <v>0</v>
      </c>
      <c r="T358" s="52">
        <v>0</v>
      </c>
      <c r="U358" s="52">
        <v>0</v>
      </c>
      <c r="V358" s="52">
        <v>0</v>
      </c>
      <c r="W358" s="52">
        <v>0</v>
      </c>
      <c r="X358" s="52">
        <v>4</v>
      </c>
      <c r="Y358" s="52">
        <v>0</v>
      </c>
      <c r="Z358" s="52">
        <v>0</v>
      </c>
      <c r="AA358" s="52">
        <v>0</v>
      </c>
      <c r="AB358" s="52">
        <v>0</v>
      </c>
      <c r="AC358" s="56">
        <v>0</v>
      </c>
      <c r="AD358" s="56">
        <v>0</v>
      </c>
      <c r="AE358" s="56">
        <v>0</v>
      </c>
      <c r="AF358" s="56">
        <v>16</v>
      </c>
      <c r="AG358" s="56">
        <v>0</v>
      </c>
      <c r="AH358" s="56">
        <v>4.0000000000000001E-3</v>
      </c>
      <c r="AI358" s="56">
        <v>0</v>
      </c>
      <c r="AJ358" s="57">
        <v>0</v>
      </c>
      <c r="AK358" s="56" t="s">
        <v>713</v>
      </c>
      <c r="AL358" s="52">
        <v>4</v>
      </c>
      <c r="AM358" s="41">
        <f>INDEX(Sheet5!$B$19:$G$33,MATCH(Sheet1!AQ358,Sheet5!$A$19:$A$33,0),MATCH(J358,Sheet5!$B$18:$G$18,0))</f>
        <v>3000</v>
      </c>
      <c r="AN358" s="52" t="s">
        <v>63</v>
      </c>
      <c r="AO358" s="52" t="s">
        <v>740</v>
      </c>
      <c r="AP358" s="52">
        <v>20447</v>
      </c>
      <c r="AQ358" s="13">
        <v>100</v>
      </c>
    </row>
    <row r="359" spans="1:43" ht="16.5">
      <c r="A359" s="52">
        <v>2431</v>
      </c>
      <c r="B359" s="53" t="s">
        <v>2010</v>
      </c>
      <c r="C359" s="53" t="s">
        <v>697</v>
      </c>
      <c r="D359" s="54" t="s">
        <v>119</v>
      </c>
      <c r="E359" s="55">
        <v>11016</v>
      </c>
      <c r="F359" s="66">
        <v>5000</v>
      </c>
      <c r="G359" s="52">
        <v>300</v>
      </c>
      <c r="H359" s="52">
        <v>50</v>
      </c>
      <c r="I359" s="54" t="s">
        <v>159</v>
      </c>
      <c r="J359" s="52">
        <v>3</v>
      </c>
      <c r="K359" s="52">
        <v>10</v>
      </c>
      <c r="L359" s="52">
        <v>30</v>
      </c>
      <c r="M359" s="80">
        <v>0</v>
      </c>
      <c r="N359" s="80">
        <v>0</v>
      </c>
      <c r="O359" s="80">
        <v>0</v>
      </c>
      <c r="P359">
        <v>1760</v>
      </c>
      <c r="Q359" s="52">
        <v>0</v>
      </c>
      <c r="R359" s="52">
        <v>0</v>
      </c>
      <c r="S359" s="52">
        <v>0</v>
      </c>
      <c r="T359" s="52">
        <v>0</v>
      </c>
      <c r="U359" s="52">
        <v>0</v>
      </c>
      <c r="V359" s="52">
        <v>0</v>
      </c>
      <c r="W359" s="52">
        <v>0</v>
      </c>
      <c r="X359" s="52">
        <v>4</v>
      </c>
      <c r="Y359" s="52">
        <v>0</v>
      </c>
      <c r="Z359" s="52">
        <v>0</v>
      </c>
      <c r="AA359" s="52">
        <v>0</v>
      </c>
      <c r="AB359" s="52">
        <v>0</v>
      </c>
      <c r="AC359" s="56">
        <v>0</v>
      </c>
      <c r="AD359" s="56">
        <v>0</v>
      </c>
      <c r="AE359" s="56">
        <v>0</v>
      </c>
      <c r="AF359" s="56">
        <v>16</v>
      </c>
      <c r="AG359" s="56">
        <v>0</v>
      </c>
      <c r="AH359" s="56">
        <v>4.0000000000000001E-3</v>
      </c>
      <c r="AI359" s="56">
        <v>0</v>
      </c>
      <c r="AJ359" s="57">
        <v>0</v>
      </c>
      <c r="AK359" s="56" t="s">
        <v>713</v>
      </c>
      <c r="AL359" s="52">
        <v>4</v>
      </c>
      <c r="AM359" s="41">
        <f>INDEX(Sheet5!$B$19:$G$33,MATCH(Sheet1!AQ359,Sheet5!$A$19:$A$33,0),MATCH(J359,Sheet5!$B$18:$G$18,0))</f>
        <v>3300</v>
      </c>
      <c r="AN359" s="52" t="s">
        <v>63</v>
      </c>
      <c r="AO359" s="52" t="s">
        <v>740</v>
      </c>
      <c r="AP359" s="52">
        <v>20448</v>
      </c>
      <c r="AQ359" s="13">
        <v>110</v>
      </c>
    </row>
    <row r="360" spans="1:43" ht="16.5">
      <c r="A360" s="52">
        <v>2432</v>
      </c>
      <c r="B360" s="53" t="s">
        <v>2011</v>
      </c>
      <c r="C360" s="53" t="s">
        <v>697</v>
      </c>
      <c r="D360" s="54" t="s">
        <v>119</v>
      </c>
      <c r="E360" s="55">
        <v>11016</v>
      </c>
      <c r="F360" s="66">
        <v>5000</v>
      </c>
      <c r="G360" s="52">
        <v>300</v>
      </c>
      <c r="H360" s="52">
        <v>50</v>
      </c>
      <c r="I360" s="54" t="s">
        <v>159</v>
      </c>
      <c r="J360" s="52">
        <v>3</v>
      </c>
      <c r="K360" s="52">
        <v>10</v>
      </c>
      <c r="L360" s="52">
        <v>30</v>
      </c>
      <c r="M360" s="80">
        <v>0</v>
      </c>
      <c r="N360" s="80">
        <v>0</v>
      </c>
      <c r="O360" s="80">
        <v>0</v>
      </c>
      <c r="P360">
        <v>1920</v>
      </c>
      <c r="Q360" s="52">
        <v>0</v>
      </c>
      <c r="R360" s="52">
        <v>0</v>
      </c>
      <c r="S360" s="52">
        <v>0</v>
      </c>
      <c r="T360" s="52">
        <v>0</v>
      </c>
      <c r="U360" s="52">
        <v>0</v>
      </c>
      <c r="V360" s="52">
        <v>0</v>
      </c>
      <c r="W360" s="52">
        <v>0</v>
      </c>
      <c r="X360" s="52">
        <v>4</v>
      </c>
      <c r="Y360" s="52">
        <v>0</v>
      </c>
      <c r="Z360" s="52">
        <v>0</v>
      </c>
      <c r="AA360" s="52">
        <v>0</v>
      </c>
      <c r="AB360" s="52">
        <v>0</v>
      </c>
      <c r="AC360" s="56">
        <v>0</v>
      </c>
      <c r="AD360" s="56">
        <v>0</v>
      </c>
      <c r="AE360" s="56">
        <v>0</v>
      </c>
      <c r="AF360" s="56">
        <v>16</v>
      </c>
      <c r="AG360" s="56">
        <v>0</v>
      </c>
      <c r="AH360" s="56">
        <v>4.0000000000000001E-3</v>
      </c>
      <c r="AI360" s="56">
        <v>0</v>
      </c>
      <c r="AJ360" s="57">
        <v>0</v>
      </c>
      <c r="AK360" s="56" t="s">
        <v>713</v>
      </c>
      <c r="AL360" s="52">
        <v>4</v>
      </c>
      <c r="AM360" s="41">
        <f>INDEX(Sheet5!$B$19:$G$33,MATCH(Sheet1!AQ360,Sheet5!$A$19:$A$33,0),MATCH(J360,Sheet5!$B$18:$G$18,0))</f>
        <v>3600</v>
      </c>
      <c r="AN360" s="52" t="s">
        <v>63</v>
      </c>
      <c r="AO360" s="52" t="s">
        <v>740</v>
      </c>
      <c r="AP360" s="52">
        <v>20449</v>
      </c>
      <c r="AQ360" s="13">
        <v>120</v>
      </c>
    </row>
    <row r="361" spans="1:43" ht="16.5">
      <c r="A361" s="52">
        <v>2433</v>
      </c>
      <c r="B361" s="53" t="s">
        <v>2012</v>
      </c>
      <c r="C361" s="53" t="s">
        <v>697</v>
      </c>
      <c r="D361" s="54" t="s">
        <v>119</v>
      </c>
      <c r="E361" s="55">
        <v>11016</v>
      </c>
      <c r="F361" s="66">
        <v>5000</v>
      </c>
      <c r="G361" s="52">
        <v>300</v>
      </c>
      <c r="H361" s="52">
        <v>50</v>
      </c>
      <c r="I361" s="54" t="s">
        <v>159</v>
      </c>
      <c r="J361" s="52">
        <v>3</v>
      </c>
      <c r="K361" s="52">
        <v>10</v>
      </c>
      <c r="L361" s="52">
        <v>30</v>
      </c>
      <c r="M361" s="80">
        <v>0</v>
      </c>
      <c r="N361" s="80">
        <v>0</v>
      </c>
      <c r="O361" s="80">
        <v>0</v>
      </c>
      <c r="P361">
        <v>2080</v>
      </c>
      <c r="Q361" s="52">
        <v>0</v>
      </c>
      <c r="R361" s="52">
        <v>0</v>
      </c>
      <c r="S361" s="52">
        <v>0</v>
      </c>
      <c r="T361" s="52">
        <v>0</v>
      </c>
      <c r="U361" s="52">
        <v>0</v>
      </c>
      <c r="V361" s="52">
        <v>0</v>
      </c>
      <c r="W361" s="52">
        <v>0</v>
      </c>
      <c r="X361" s="52">
        <v>4</v>
      </c>
      <c r="Y361" s="52">
        <v>0</v>
      </c>
      <c r="Z361" s="52">
        <v>0</v>
      </c>
      <c r="AA361" s="52">
        <v>0</v>
      </c>
      <c r="AB361" s="52">
        <v>0</v>
      </c>
      <c r="AC361" s="56">
        <v>0</v>
      </c>
      <c r="AD361" s="56">
        <v>0</v>
      </c>
      <c r="AE361" s="56">
        <v>0</v>
      </c>
      <c r="AF361" s="56">
        <v>16</v>
      </c>
      <c r="AG361" s="56">
        <v>0</v>
      </c>
      <c r="AH361" s="56">
        <v>4.0000000000000001E-3</v>
      </c>
      <c r="AI361" s="56">
        <v>0</v>
      </c>
      <c r="AJ361" s="57">
        <v>0</v>
      </c>
      <c r="AK361" s="56" t="s">
        <v>713</v>
      </c>
      <c r="AL361" s="52">
        <v>4</v>
      </c>
      <c r="AM361" s="41">
        <f>INDEX(Sheet5!$B$19:$G$33,MATCH(Sheet1!AQ361,Sheet5!$A$19:$A$33,0),MATCH(J361,Sheet5!$B$18:$G$18,0))</f>
        <v>3900</v>
      </c>
      <c r="AN361" s="52" t="s">
        <v>63</v>
      </c>
      <c r="AO361" s="52" t="s">
        <v>740</v>
      </c>
      <c r="AP361" s="52">
        <v>20450</v>
      </c>
      <c r="AQ361" s="13">
        <v>130</v>
      </c>
    </row>
    <row r="362" spans="1:43" ht="16.5">
      <c r="A362" s="52">
        <v>2434</v>
      </c>
      <c r="B362" s="53" t="s">
        <v>2013</v>
      </c>
      <c r="C362" s="53" t="s">
        <v>697</v>
      </c>
      <c r="D362" s="54" t="s">
        <v>119</v>
      </c>
      <c r="E362" s="55">
        <v>11016</v>
      </c>
      <c r="F362" s="66">
        <v>5000</v>
      </c>
      <c r="G362" s="52">
        <v>300</v>
      </c>
      <c r="H362" s="52">
        <v>50</v>
      </c>
      <c r="I362" s="54" t="s">
        <v>159</v>
      </c>
      <c r="J362" s="52">
        <v>3</v>
      </c>
      <c r="K362" s="52">
        <v>10</v>
      </c>
      <c r="L362" s="52">
        <v>30</v>
      </c>
      <c r="M362" s="80">
        <v>0</v>
      </c>
      <c r="N362" s="80">
        <v>0</v>
      </c>
      <c r="O362" s="80">
        <v>0</v>
      </c>
      <c r="P362">
        <v>2240</v>
      </c>
      <c r="Q362" s="52">
        <v>0</v>
      </c>
      <c r="R362" s="52">
        <v>0</v>
      </c>
      <c r="S362" s="52">
        <v>0</v>
      </c>
      <c r="T362" s="52">
        <v>0</v>
      </c>
      <c r="U362" s="52">
        <v>0</v>
      </c>
      <c r="V362" s="52">
        <v>0</v>
      </c>
      <c r="W362" s="52">
        <v>0</v>
      </c>
      <c r="X362" s="52">
        <v>4</v>
      </c>
      <c r="Y362" s="52">
        <v>0</v>
      </c>
      <c r="Z362" s="52">
        <v>0</v>
      </c>
      <c r="AA362" s="52">
        <v>0</v>
      </c>
      <c r="AB362" s="52">
        <v>0</v>
      </c>
      <c r="AC362" s="56">
        <v>0</v>
      </c>
      <c r="AD362" s="56">
        <v>0</v>
      </c>
      <c r="AE362" s="56">
        <v>0</v>
      </c>
      <c r="AF362" s="56">
        <v>16</v>
      </c>
      <c r="AG362" s="56">
        <v>0</v>
      </c>
      <c r="AH362" s="56">
        <v>4.0000000000000001E-3</v>
      </c>
      <c r="AI362" s="56">
        <v>0</v>
      </c>
      <c r="AJ362" s="57">
        <v>0</v>
      </c>
      <c r="AK362" s="56" t="s">
        <v>713</v>
      </c>
      <c r="AL362" s="52">
        <v>4</v>
      </c>
      <c r="AM362" s="41">
        <f>INDEX(Sheet5!$B$19:$G$33,MATCH(Sheet1!AQ362,Sheet5!$A$19:$A$33,0),MATCH(J362,Sheet5!$B$18:$G$18,0))</f>
        <v>4200</v>
      </c>
      <c r="AN362" s="52" t="s">
        <v>63</v>
      </c>
      <c r="AO362" s="52" t="s">
        <v>740</v>
      </c>
      <c r="AP362" s="52">
        <v>204511</v>
      </c>
      <c r="AQ362" s="13">
        <v>140</v>
      </c>
    </row>
    <row r="363" spans="1:43" ht="16.5">
      <c r="A363" s="52">
        <v>2435</v>
      </c>
      <c r="B363" s="53" t="s">
        <v>2014</v>
      </c>
      <c r="C363" s="53" t="s">
        <v>697</v>
      </c>
      <c r="D363" s="54" t="s">
        <v>119</v>
      </c>
      <c r="E363" s="55">
        <v>11016</v>
      </c>
      <c r="F363" s="66">
        <v>5000</v>
      </c>
      <c r="G363" s="52">
        <v>300</v>
      </c>
      <c r="H363" s="52">
        <v>50</v>
      </c>
      <c r="I363" s="54" t="s">
        <v>159</v>
      </c>
      <c r="J363" s="52">
        <v>3</v>
      </c>
      <c r="K363" s="52">
        <v>10</v>
      </c>
      <c r="L363" s="52">
        <v>30</v>
      </c>
      <c r="M363" s="80">
        <v>0</v>
      </c>
      <c r="N363" s="80">
        <v>0</v>
      </c>
      <c r="O363" s="80">
        <v>0</v>
      </c>
      <c r="P363">
        <v>2400</v>
      </c>
      <c r="Q363" s="52">
        <v>0</v>
      </c>
      <c r="R363" s="52">
        <v>0</v>
      </c>
      <c r="S363" s="52">
        <v>0</v>
      </c>
      <c r="T363" s="52">
        <v>0</v>
      </c>
      <c r="U363" s="52">
        <v>0</v>
      </c>
      <c r="V363" s="52">
        <v>0</v>
      </c>
      <c r="W363" s="52">
        <v>0</v>
      </c>
      <c r="X363" s="52">
        <v>4</v>
      </c>
      <c r="Y363" s="52">
        <v>0</v>
      </c>
      <c r="Z363" s="52">
        <v>0</v>
      </c>
      <c r="AA363" s="52">
        <v>0</v>
      </c>
      <c r="AB363" s="52">
        <v>0</v>
      </c>
      <c r="AC363" s="56">
        <v>0</v>
      </c>
      <c r="AD363" s="56">
        <v>0</v>
      </c>
      <c r="AE363" s="56">
        <v>0</v>
      </c>
      <c r="AF363" s="56">
        <v>16</v>
      </c>
      <c r="AG363" s="56">
        <v>0</v>
      </c>
      <c r="AH363" s="56">
        <v>4.0000000000000001E-3</v>
      </c>
      <c r="AI363" s="56">
        <v>0</v>
      </c>
      <c r="AJ363" s="57">
        <v>0</v>
      </c>
      <c r="AK363" s="56" t="s">
        <v>713</v>
      </c>
      <c r="AL363" s="52">
        <v>4</v>
      </c>
      <c r="AM363" s="41">
        <f>INDEX(Sheet5!$B$19:$G$33,MATCH(Sheet1!AQ363,Sheet5!$A$19:$A$33,0),MATCH(J363,Sheet5!$B$18:$G$18,0))</f>
        <v>4500</v>
      </c>
      <c r="AN363" s="52" t="s">
        <v>63</v>
      </c>
      <c r="AO363" s="52" t="s">
        <v>740</v>
      </c>
      <c r="AP363" s="52">
        <v>204512</v>
      </c>
      <c r="AQ363" s="13">
        <v>150</v>
      </c>
    </row>
    <row r="364" spans="1:43" ht="16.5">
      <c r="A364" s="52">
        <v>2436</v>
      </c>
      <c r="B364" s="22" t="s">
        <v>2015</v>
      </c>
      <c r="C364" s="22" t="s">
        <v>164</v>
      </c>
      <c r="D364" s="8" t="s">
        <v>112</v>
      </c>
      <c r="E364" s="14">
        <v>11009</v>
      </c>
      <c r="F364" s="65">
        <v>2000</v>
      </c>
      <c r="G364" s="6">
        <v>300</v>
      </c>
      <c r="H364" s="6">
        <v>50</v>
      </c>
      <c r="I364" s="8" t="s">
        <v>718</v>
      </c>
      <c r="J364" s="6">
        <v>2</v>
      </c>
      <c r="K364" s="6">
        <v>6</v>
      </c>
      <c r="L364" s="6">
        <v>20</v>
      </c>
      <c r="M364" s="6">
        <v>0</v>
      </c>
      <c r="N364" s="6">
        <v>0</v>
      </c>
      <c r="O364">
        <v>80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3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  <c r="AC364" s="7">
        <v>0</v>
      </c>
      <c r="AD364" s="7">
        <v>0</v>
      </c>
      <c r="AE364" s="7">
        <v>12</v>
      </c>
      <c r="AF364" s="7">
        <v>0</v>
      </c>
      <c r="AG364" s="7">
        <v>0</v>
      </c>
      <c r="AH364" s="7">
        <v>0</v>
      </c>
      <c r="AI364" s="7">
        <v>0</v>
      </c>
      <c r="AJ364" s="7">
        <v>6.0000000000000001E-3</v>
      </c>
      <c r="AK364" s="7" t="s">
        <v>1506</v>
      </c>
      <c r="AL364" s="6">
        <v>2</v>
      </c>
      <c r="AM364" s="41">
        <f>INDEX(Sheet5!$B$19:$G$33,MATCH(Sheet1!AQ364,Sheet5!$A$19:$A$33,0),MATCH(J364,Sheet5!$B$18:$G$18,0))</f>
        <v>200</v>
      </c>
      <c r="AN364" s="6" t="s">
        <v>48</v>
      </c>
      <c r="AO364" s="6" t="s">
        <v>733</v>
      </c>
      <c r="AP364" s="6">
        <v>29</v>
      </c>
      <c r="AQ364" s="13">
        <v>10</v>
      </c>
    </row>
    <row r="365" spans="1:43" s="102" customFormat="1" ht="16.5">
      <c r="A365" s="100">
        <v>2029</v>
      </c>
      <c r="B365" s="100" t="s">
        <v>2016</v>
      </c>
      <c r="C365" s="100" t="s">
        <v>164</v>
      </c>
      <c r="D365" s="100" t="s">
        <v>112</v>
      </c>
      <c r="E365" s="101">
        <v>11009</v>
      </c>
      <c r="F365" s="100">
        <v>2000</v>
      </c>
      <c r="G365" s="100">
        <v>300</v>
      </c>
      <c r="H365" s="100">
        <v>50</v>
      </c>
      <c r="I365" s="100" t="s">
        <v>718</v>
      </c>
      <c r="J365" s="100">
        <v>2</v>
      </c>
      <c r="K365" s="100">
        <v>6</v>
      </c>
      <c r="L365" s="100">
        <v>20</v>
      </c>
      <c r="M365" s="100">
        <v>0</v>
      </c>
      <c r="N365" s="100">
        <v>0</v>
      </c>
      <c r="O365">
        <v>160</v>
      </c>
      <c r="P365" s="100">
        <v>0</v>
      </c>
      <c r="Q365" s="100">
        <v>0</v>
      </c>
      <c r="R365" s="100">
        <v>0</v>
      </c>
      <c r="S365" s="100">
        <v>0</v>
      </c>
      <c r="T365" s="100">
        <v>0</v>
      </c>
      <c r="U365" s="100">
        <v>0</v>
      </c>
      <c r="V365" s="100">
        <v>0</v>
      </c>
      <c r="W365" s="100">
        <v>3</v>
      </c>
      <c r="X365" s="100">
        <v>0</v>
      </c>
      <c r="Y365" s="100">
        <v>0</v>
      </c>
      <c r="Z365" s="100">
        <v>0</v>
      </c>
      <c r="AA365" s="100">
        <v>0</v>
      </c>
      <c r="AB365" s="100">
        <v>0</v>
      </c>
      <c r="AC365" s="100">
        <v>0</v>
      </c>
      <c r="AD365" s="100">
        <v>0</v>
      </c>
      <c r="AE365" s="100">
        <v>12</v>
      </c>
      <c r="AF365" s="100">
        <v>0</v>
      </c>
      <c r="AG365" s="100">
        <v>0</v>
      </c>
      <c r="AH365" s="100">
        <v>0</v>
      </c>
      <c r="AI365" s="100">
        <v>0</v>
      </c>
      <c r="AJ365" s="100">
        <v>6.0000000000000001E-3</v>
      </c>
      <c r="AK365" s="7" t="s">
        <v>1506</v>
      </c>
      <c r="AL365" s="100">
        <v>2</v>
      </c>
      <c r="AM365" s="41">
        <f>INDEX(Sheet5!$B$19:$G$33,MATCH(Sheet1!AQ365,Sheet5!$A$19:$A$33,0),MATCH(J365,Sheet5!$B$18:$G$18,0))</f>
        <v>400</v>
      </c>
      <c r="AN365" s="100" t="s">
        <v>1486</v>
      </c>
      <c r="AO365" s="100" t="s">
        <v>733</v>
      </c>
      <c r="AP365" s="100">
        <v>2029</v>
      </c>
      <c r="AQ365" s="13">
        <v>20</v>
      </c>
    </row>
    <row r="366" spans="1:43" ht="16.5">
      <c r="A366" s="6">
        <v>2437</v>
      </c>
      <c r="B366" s="22" t="s">
        <v>2017</v>
      </c>
      <c r="C366" s="22" t="s">
        <v>164</v>
      </c>
      <c r="D366" s="8" t="s">
        <v>112</v>
      </c>
      <c r="E366" s="14">
        <v>11009</v>
      </c>
      <c r="F366" s="65">
        <v>2000</v>
      </c>
      <c r="G366" s="6">
        <v>300</v>
      </c>
      <c r="H366" s="6">
        <v>50</v>
      </c>
      <c r="I366" s="8" t="s">
        <v>718</v>
      </c>
      <c r="J366" s="6">
        <v>2</v>
      </c>
      <c r="K366" s="6">
        <v>6</v>
      </c>
      <c r="L366" s="6">
        <v>20</v>
      </c>
      <c r="M366" s="6">
        <v>0</v>
      </c>
      <c r="N366" s="6">
        <v>0</v>
      </c>
      <c r="O366">
        <v>240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v>0</v>
      </c>
      <c r="W366" s="6">
        <v>3</v>
      </c>
      <c r="X366" s="6">
        <v>0</v>
      </c>
      <c r="Y366" s="6">
        <v>0</v>
      </c>
      <c r="Z366" s="6">
        <v>0</v>
      </c>
      <c r="AA366" s="6">
        <v>0</v>
      </c>
      <c r="AB366" s="6">
        <v>0</v>
      </c>
      <c r="AC366" s="7">
        <v>0</v>
      </c>
      <c r="AD366" s="7">
        <v>0</v>
      </c>
      <c r="AE366" s="7">
        <v>12</v>
      </c>
      <c r="AF366" s="7">
        <v>0</v>
      </c>
      <c r="AG366" s="7">
        <v>0</v>
      </c>
      <c r="AH366" s="7">
        <v>0</v>
      </c>
      <c r="AI366" s="7">
        <v>0</v>
      </c>
      <c r="AJ366" s="7">
        <v>6.0000000000000001E-3</v>
      </c>
      <c r="AK366" s="7" t="s">
        <v>1506</v>
      </c>
      <c r="AL366" s="6">
        <v>2</v>
      </c>
      <c r="AM366" s="41">
        <f>INDEX(Sheet5!$B$19:$G$33,MATCH(Sheet1!AQ366,Sheet5!$A$19:$A$33,0),MATCH(J366,Sheet5!$B$18:$G$18,0))</f>
        <v>600</v>
      </c>
      <c r="AN366" s="6" t="s">
        <v>48</v>
      </c>
      <c r="AO366" s="6" t="s">
        <v>733</v>
      </c>
      <c r="AP366" s="6">
        <v>20291</v>
      </c>
      <c r="AQ366" s="13">
        <v>30</v>
      </c>
    </row>
    <row r="367" spans="1:43" ht="16.5">
      <c r="A367" s="6">
        <v>2438</v>
      </c>
      <c r="B367" s="22" t="s">
        <v>2018</v>
      </c>
      <c r="C367" s="22" t="s">
        <v>164</v>
      </c>
      <c r="D367" s="8" t="s">
        <v>112</v>
      </c>
      <c r="E367" s="14">
        <v>11009</v>
      </c>
      <c r="F367" s="65">
        <v>2000</v>
      </c>
      <c r="G367" s="6">
        <v>300</v>
      </c>
      <c r="H367" s="6">
        <v>50</v>
      </c>
      <c r="I367" s="8" t="s">
        <v>718</v>
      </c>
      <c r="J367" s="6">
        <v>2</v>
      </c>
      <c r="K367" s="6">
        <v>6</v>
      </c>
      <c r="L367" s="6">
        <v>20</v>
      </c>
      <c r="M367" s="6">
        <v>0</v>
      </c>
      <c r="N367" s="6">
        <v>0</v>
      </c>
      <c r="O367">
        <v>320</v>
      </c>
      <c r="P367" s="6">
        <v>0</v>
      </c>
      <c r="Q367" s="6">
        <v>0</v>
      </c>
      <c r="R367" s="6">
        <v>0</v>
      </c>
      <c r="S367" s="6">
        <v>0</v>
      </c>
      <c r="T367" s="6">
        <v>0</v>
      </c>
      <c r="U367" s="6">
        <v>0</v>
      </c>
      <c r="V367" s="6">
        <v>0</v>
      </c>
      <c r="W367" s="6">
        <v>3</v>
      </c>
      <c r="X367" s="6">
        <v>0</v>
      </c>
      <c r="Y367" s="6">
        <v>0</v>
      </c>
      <c r="Z367" s="6">
        <v>0</v>
      </c>
      <c r="AA367" s="6">
        <v>0</v>
      </c>
      <c r="AB367" s="6">
        <v>0</v>
      </c>
      <c r="AC367" s="7">
        <v>0</v>
      </c>
      <c r="AD367" s="7">
        <v>0</v>
      </c>
      <c r="AE367" s="7">
        <v>12</v>
      </c>
      <c r="AF367" s="7">
        <v>0</v>
      </c>
      <c r="AG367" s="7">
        <v>0</v>
      </c>
      <c r="AH367" s="7">
        <v>0</v>
      </c>
      <c r="AI367" s="7">
        <v>0</v>
      </c>
      <c r="AJ367" s="7">
        <v>6.0000000000000001E-3</v>
      </c>
      <c r="AK367" s="7" t="s">
        <v>1506</v>
      </c>
      <c r="AL367" s="6">
        <v>2</v>
      </c>
      <c r="AM367" s="41">
        <f>INDEX(Sheet5!$B$19:$G$33,MATCH(Sheet1!AQ367,Sheet5!$A$19:$A$33,0),MATCH(J367,Sheet5!$B$18:$G$18,0))</f>
        <v>800</v>
      </c>
      <c r="AN367" s="6" t="s">
        <v>48</v>
      </c>
      <c r="AO367" s="6" t="s">
        <v>733</v>
      </c>
      <c r="AP367" s="6">
        <v>20292</v>
      </c>
      <c r="AQ367" s="13">
        <v>40</v>
      </c>
    </row>
    <row r="368" spans="1:43" ht="16.5">
      <c r="A368" s="6">
        <v>2439</v>
      </c>
      <c r="B368" s="22" t="s">
        <v>2019</v>
      </c>
      <c r="C368" s="22" t="s">
        <v>164</v>
      </c>
      <c r="D368" s="8" t="s">
        <v>112</v>
      </c>
      <c r="E368" s="14">
        <v>11009</v>
      </c>
      <c r="F368" s="65">
        <v>2000</v>
      </c>
      <c r="G368" s="6">
        <v>300</v>
      </c>
      <c r="H368" s="6">
        <v>50</v>
      </c>
      <c r="I368" s="8" t="s">
        <v>718</v>
      </c>
      <c r="J368" s="6">
        <v>2</v>
      </c>
      <c r="K368" s="6">
        <v>6</v>
      </c>
      <c r="L368" s="6">
        <v>20</v>
      </c>
      <c r="M368" s="6">
        <v>0</v>
      </c>
      <c r="N368" s="6">
        <v>0</v>
      </c>
      <c r="O368">
        <v>400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v>0</v>
      </c>
      <c r="W368" s="6">
        <v>3</v>
      </c>
      <c r="X368" s="6">
        <v>0</v>
      </c>
      <c r="Y368" s="6">
        <v>0</v>
      </c>
      <c r="Z368" s="6">
        <v>0</v>
      </c>
      <c r="AA368" s="6">
        <v>0</v>
      </c>
      <c r="AB368" s="6">
        <v>0</v>
      </c>
      <c r="AC368" s="7">
        <v>0</v>
      </c>
      <c r="AD368" s="7">
        <v>0</v>
      </c>
      <c r="AE368" s="7">
        <v>12</v>
      </c>
      <c r="AF368" s="7">
        <v>0</v>
      </c>
      <c r="AG368" s="7">
        <v>0</v>
      </c>
      <c r="AH368" s="7">
        <v>0</v>
      </c>
      <c r="AI368" s="7">
        <v>0</v>
      </c>
      <c r="AJ368" s="7">
        <v>6.0000000000000001E-3</v>
      </c>
      <c r="AK368" s="7" t="s">
        <v>1506</v>
      </c>
      <c r="AL368" s="6">
        <v>2</v>
      </c>
      <c r="AM368" s="41">
        <f>INDEX(Sheet5!$B$19:$G$33,MATCH(Sheet1!AQ368,Sheet5!$A$19:$A$33,0),MATCH(J368,Sheet5!$B$18:$G$18,0))</f>
        <v>1000</v>
      </c>
      <c r="AN368" s="6" t="s">
        <v>48</v>
      </c>
      <c r="AO368" s="6" t="s">
        <v>733</v>
      </c>
      <c r="AP368" s="6">
        <v>20293</v>
      </c>
      <c r="AQ368" s="13">
        <v>50</v>
      </c>
    </row>
    <row r="369" spans="1:43" ht="16.5">
      <c r="A369" s="6">
        <v>2440</v>
      </c>
      <c r="B369" s="22" t="s">
        <v>2020</v>
      </c>
      <c r="C369" s="22" t="s">
        <v>164</v>
      </c>
      <c r="D369" s="8" t="s">
        <v>112</v>
      </c>
      <c r="E369" s="14">
        <v>11009</v>
      </c>
      <c r="F369" s="65">
        <v>2000</v>
      </c>
      <c r="G369" s="6">
        <v>300</v>
      </c>
      <c r="H369" s="6">
        <v>50</v>
      </c>
      <c r="I369" s="8" t="s">
        <v>718</v>
      </c>
      <c r="J369" s="6">
        <v>2</v>
      </c>
      <c r="K369" s="6">
        <v>6</v>
      </c>
      <c r="L369" s="6">
        <v>20</v>
      </c>
      <c r="M369" s="6">
        <v>0</v>
      </c>
      <c r="N369" s="6">
        <v>0</v>
      </c>
      <c r="O369">
        <v>480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W369" s="6">
        <v>3</v>
      </c>
      <c r="X369" s="6">
        <v>0</v>
      </c>
      <c r="Y369" s="6">
        <v>0</v>
      </c>
      <c r="Z369" s="6">
        <v>0</v>
      </c>
      <c r="AA369" s="6">
        <v>0</v>
      </c>
      <c r="AB369" s="6">
        <v>0</v>
      </c>
      <c r="AC369" s="7">
        <v>0</v>
      </c>
      <c r="AD369" s="7">
        <v>0</v>
      </c>
      <c r="AE369" s="7">
        <v>12</v>
      </c>
      <c r="AF369" s="7">
        <v>0</v>
      </c>
      <c r="AG369" s="7">
        <v>0</v>
      </c>
      <c r="AH369" s="7">
        <v>0</v>
      </c>
      <c r="AI369" s="7">
        <v>0</v>
      </c>
      <c r="AJ369" s="7">
        <v>6.0000000000000001E-3</v>
      </c>
      <c r="AK369" s="7" t="s">
        <v>1506</v>
      </c>
      <c r="AL369" s="6">
        <v>2</v>
      </c>
      <c r="AM369" s="41">
        <f>INDEX(Sheet5!$B$19:$G$33,MATCH(Sheet1!AQ369,Sheet5!$A$19:$A$33,0),MATCH(J369,Sheet5!$B$18:$G$18,0))</f>
        <v>1200</v>
      </c>
      <c r="AN369" s="6" t="s">
        <v>48</v>
      </c>
      <c r="AO369" s="6" t="s">
        <v>733</v>
      </c>
      <c r="AP369" s="6">
        <v>20294</v>
      </c>
      <c r="AQ369" s="13">
        <v>60</v>
      </c>
    </row>
    <row r="370" spans="1:43" ht="16.5">
      <c r="A370" s="6">
        <v>2441</v>
      </c>
      <c r="B370" s="22" t="s">
        <v>2021</v>
      </c>
      <c r="C370" s="22" t="s">
        <v>164</v>
      </c>
      <c r="D370" s="8" t="s">
        <v>112</v>
      </c>
      <c r="E370" s="14">
        <v>11009</v>
      </c>
      <c r="F370" s="65">
        <v>2000</v>
      </c>
      <c r="G370" s="6">
        <v>300</v>
      </c>
      <c r="H370" s="6">
        <v>50</v>
      </c>
      <c r="I370" s="8" t="s">
        <v>718</v>
      </c>
      <c r="J370" s="6">
        <v>2</v>
      </c>
      <c r="K370" s="6">
        <v>6</v>
      </c>
      <c r="L370" s="6">
        <v>20</v>
      </c>
      <c r="M370" s="6">
        <v>0</v>
      </c>
      <c r="N370" s="6">
        <v>0</v>
      </c>
      <c r="O370">
        <v>560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W370" s="6">
        <v>3</v>
      </c>
      <c r="X370" s="6">
        <v>0</v>
      </c>
      <c r="Y370" s="6">
        <v>0</v>
      </c>
      <c r="Z370" s="6">
        <v>0</v>
      </c>
      <c r="AA370" s="6">
        <v>0</v>
      </c>
      <c r="AB370" s="6">
        <v>0</v>
      </c>
      <c r="AC370" s="7">
        <v>0</v>
      </c>
      <c r="AD370" s="7">
        <v>0</v>
      </c>
      <c r="AE370" s="7">
        <v>12</v>
      </c>
      <c r="AF370" s="7">
        <v>0</v>
      </c>
      <c r="AG370" s="7">
        <v>0</v>
      </c>
      <c r="AH370" s="7">
        <v>0</v>
      </c>
      <c r="AI370" s="7">
        <v>0</v>
      </c>
      <c r="AJ370" s="7">
        <v>6.0000000000000001E-3</v>
      </c>
      <c r="AK370" s="7" t="s">
        <v>1506</v>
      </c>
      <c r="AL370" s="6">
        <v>2</v>
      </c>
      <c r="AM370" s="41">
        <f>INDEX(Sheet5!$B$19:$G$33,MATCH(Sheet1!AQ370,Sheet5!$A$19:$A$33,0),MATCH(J370,Sheet5!$B$18:$G$18,0))</f>
        <v>1400</v>
      </c>
      <c r="AN370" s="6" t="s">
        <v>48</v>
      </c>
      <c r="AO370" s="6" t="s">
        <v>733</v>
      </c>
      <c r="AP370" s="6">
        <v>20295</v>
      </c>
      <c r="AQ370" s="13">
        <v>70</v>
      </c>
    </row>
    <row r="371" spans="1:43" ht="16.5">
      <c r="A371" s="6">
        <v>2442</v>
      </c>
      <c r="B371" s="22" t="s">
        <v>2022</v>
      </c>
      <c r="C371" s="22" t="s">
        <v>164</v>
      </c>
      <c r="D371" s="8" t="s">
        <v>112</v>
      </c>
      <c r="E371" s="14">
        <v>11009</v>
      </c>
      <c r="F371" s="65">
        <v>2000</v>
      </c>
      <c r="G371" s="6">
        <v>300</v>
      </c>
      <c r="H371" s="6">
        <v>50</v>
      </c>
      <c r="I371" s="8" t="s">
        <v>718</v>
      </c>
      <c r="J371" s="6">
        <v>2</v>
      </c>
      <c r="K371" s="6">
        <v>6</v>
      </c>
      <c r="L371" s="6">
        <v>20</v>
      </c>
      <c r="M371" s="6">
        <v>0</v>
      </c>
      <c r="N371" s="6">
        <v>0</v>
      </c>
      <c r="O371">
        <v>640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W371" s="6">
        <v>3</v>
      </c>
      <c r="X371" s="6">
        <v>0</v>
      </c>
      <c r="Y371" s="6">
        <v>0</v>
      </c>
      <c r="Z371" s="6">
        <v>0</v>
      </c>
      <c r="AA371" s="6">
        <v>0</v>
      </c>
      <c r="AB371" s="6">
        <v>0</v>
      </c>
      <c r="AC371" s="7">
        <v>0</v>
      </c>
      <c r="AD371" s="7">
        <v>0</v>
      </c>
      <c r="AE371" s="7">
        <v>12</v>
      </c>
      <c r="AF371" s="7">
        <v>0</v>
      </c>
      <c r="AG371" s="7">
        <v>0</v>
      </c>
      <c r="AH371" s="7">
        <v>0</v>
      </c>
      <c r="AI371" s="7">
        <v>0</v>
      </c>
      <c r="AJ371" s="7">
        <v>6.0000000000000001E-3</v>
      </c>
      <c r="AK371" s="7" t="s">
        <v>1506</v>
      </c>
      <c r="AL371" s="6">
        <v>2</v>
      </c>
      <c r="AM371" s="41">
        <f>INDEX(Sheet5!$B$19:$G$33,MATCH(Sheet1!AQ371,Sheet5!$A$19:$A$33,0),MATCH(J371,Sheet5!$B$18:$G$18,0))</f>
        <v>1600</v>
      </c>
      <c r="AN371" s="6" t="s">
        <v>48</v>
      </c>
      <c r="AO371" s="6" t="s">
        <v>733</v>
      </c>
      <c r="AP371" s="6">
        <v>20296</v>
      </c>
      <c r="AQ371" s="13">
        <v>80</v>
      </c>
    </row>
    <row r="372" spans="1:43" ht="16.5">
      <c r="A372" s="6">
        <v>2443</v>
      </c>
      <c r="B372" s="22" t="s">
        <v>2023</v>
      </c>
      <c r="C372" s="22" t="s">
        <v>164</v>
      </c>
      <c r="D372" s="8" t="s">
        <v>112</v>
      </c>
      <c r="E372" s="14">
        <v>11009</v>
      </c>
      <c r="F372" s="65">
        <v>2000</v>
      </c>
      <c r="G372" s="6">
        <v>300</v>
      </c>
      <c r="H372" s="6">
        <v>50</v>
      </c>
      <c r="I372" s="8" t="s">
        <v>718</v>
      </c>
      <c r="J372" s="6">
        <v>2</v>
      </c>
      <c r="K372" s="6">
        <v>6</v>
      </c>
      <c r="L372" s="6">
        <v>20</v>
      </c>
      <c r="M372" s="6">
        <v>0</v>
      </c>
      <c r="N372" s="6">
        <v>0</v>
      </c>
      <c r="O372">
        <v>720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v>0</v>
      </c>
      <c r="W372" s="6">
        <v>3</v>
      </c>
      <c r="X372" s="6">
        <v>0</v>
      </c>
      <c r="Y372" s="6">
        <v>0</v>
      </c>
      <c r="Z372" s="6">
        <v>0</v>
      </c>
      <c r="AA372" s="6">
        <v>0</v>
      </c>
      <c r="AB372" s="6">
        <v>0</v>
      </c>
      <c r="AC372" s="7">
        <v>0</v>
      </c>
      <c r="AD372" s="7">
        <v>0</v>
      </c>
      <c r="AE372" s="7">
        <v>12</v>
      </c>
      <c r="AF372" s="7">
        <v>0</v>
      </c>
      <c r="AG372" s="7">
        <v>0</v>
      </c>
      <c r="AH372" s="7">
        <v>0</v>
      </c>
      <c r="AI372" s="7">
        <v>0</v>
      </c>
      <c r="AJ372" s="7">
        <v>6.0000000000000001E-3</v>
      </c>
      <c r="AK372" s="7" t="s">
        <v>1506</v>
      </c>
      <c r="AL372" s="6">
        <v>2</v>
      </c>
      <c r="AM372" s="41">
        <f>INDEX(Sheet5!$B$19:$G$33,MATCH(Sheet1!AQ372,Sheet5!$A$19:$A$33,0),MATCH(J372,Sheet5!$B$18:$G$18,0))</f>
        <v>1800</v>
      </c>
      <c r="AN372" s="6" t="s">
        <v>48</v>
      </c>
      <c r="AO372" s="6" t="s">
        <v>733</v>
      </c>
      <c r="AP372" s="6">
        <v>20297</v>
      </c>
      <c r="AQ372" s="13">
        <v>90</v>
      </c>
    </row>
    <row r="373" spans="1:43" ht="16.5">
      <c r="A373" s="6">
        <v>2444</v>
      </c>
      <c r="B373" s="22" t="s">
        <v>2024</v>
      </c>
      <c r="C373" s="22" t="s">
        <v>164</v>
      </c>
      <c r="D373" s="8" t="s">
        <v>112</v>
      </c>
      <c r="E373" s="14">
        <v>11009</v>
      </c>
      <c r="F373" s="65">
        <v>2000</v>
      </c>
      <c r="G373" s="6">
        <v>300</v>
      </c>
      <c r="H373" s="6">
        <v>50</v>
      </c>
      <c r="I373" s="8" t="s">
        <v>718</v>
      </c>
      <c r="J373" s="6">
        <v>2</v>
      </c>
      <c r="K373" s="6">
        <v>6</v>
      </c>
      <c r="L373" s="6">
        <v>20</v>
      </c>
      <c r="M373" s="6">
        <v>0</v>
      </c>
      <c r="N373" s="6">
        <v>0</v>
      </c>
      <c r="O373">
        <v>800</v>
      </c>
      <c r="P373" s="6">
        <v>0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W373" s="6">
        <v>3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 s="7">
        <v>0</v>
      </c>
      <c r="AD373" s="7">
        <v>0</v>
      </c>
      <c r="AE373" s="7">
        <v>12</v>
      </c>
      <c r="AF373" s="7">
        <v>0</v>
      </c>
      <c r="AG373" s="7">
        <v>0</v>
      </c>
      <c r="AH373" s="7">
        <v>0</v>
      </c>
      <c r="AI373" s="7">
        <v>0</v>
      </c>
      <c r="AJ373" s="7">
        <v>6.0000000000000001E-3</v>
      </c>
      <c r="AK373" s="7" t="s">
        <v>1506</v>
      </c>
      <c r="AL373" s="6">
        <v>2</v>
      </c>
      <c r="AM373" s="41">
        <f>INDEX(Sheet5!$B$19:$G$33,MATCH(Sheet1!AQ373,Sheet5!$A$19:$A$33,0),MATCH(J373,Sheet5!$B$18:$G$18,0))</f>
        <v>2000</v>
      </c>
      <c r="AN373" s="6" t="s">
        <v>48</v>
      </c>
      <c r="AO373" s="6" t="s">
        <v>733</v>
      </c>
      <c r="AP373" s="6">
        <v>20298</v>
      </c>
      <c r="AQ373" s="13">
        <v>100</v>
      </c>
    </row>
    <row r="374" spans="1:43" ht="16.5">
      <c r="A374" s="6">
        <v>2445</v>
      </c>
      <c r="B374" s="22" t="s">
        <v>2025</v>
      </c>
      <c r="C374" s="22" t="s">
        <v>164</v>
      </c>
      <c r="D374" s="8" t="s">
        <v>112</v>
      </c>
      <c r="E374" s="14">
        <v>11009</v>
      </c>
      <c r="F374" s="65">
        <v>2000</v>
      </c>
      <c r="G374" s="6">
        <v>300</v>
      </c>
      <c r="H374" s="6">
        <v>50</v>
      </c>
      <c r="I374" s="8" t="s">
        <v>718</v>
      </c>
      <c r="J374" s="6">
        <v>2</v>
      </c>
      <c r="K374" s="6">
        <v>6</v>
      </c>
      <c r="L374" s="6">
        <v>20</v>
      </c>
      <c r="M374" s="6">
        <v>0</v>
      </c>
      <c r="N374" s="6">
        <v>0</v>
      </c>
      <c r="O374">
        <v>880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W374" s="6">
        <v>3</v>
      </c>
      <c r="X374" s="6">
        <v>0</v>
      </c>
      <c r="Y374" s="6">
        <v>0</v>
      </c>
      <c r="Z374" s="6">
        <v>0</v>
      </c>
      <c r="AA374" s="6">
        <v>0</v>
      </c>
      <c r="AB374" s="6">
        <v>0</v>
      </c>
      <c r="AC374" s="7">
        <v>0</v>
      </c>
      <c r="AD374" s="7">
        <v>0</v>
      </c>
      <c r="AE374" s="7">
        <v>12</v>
      </c>
      <c r="AF374" s="7">
        <v>0</v>
      </c>
      <c r="AG374" s="7">
        <v>0</v>
      </c>
      <c r="AH374" s="7">
        <v>0</v>
      </c>
      <c r="AI374" s="7">
        <v>0</v>
      </c>
      <c r="AJ374" s="7">
        <v>6.0000000000000001E-3</v>
      </c>
      <c r="AK374" s="7" t="s">
        <v>1506</v>
      </c>
      <c r="AL374" s="6">
        <v>2</v>
      </c>
      <c r="AM374" s="41">
        <f>INDEX(Sheet5!$B$19:$G$33,MATCH(Sheet1!AQ374,Sheet5!$A$19:$A$33,0),MATCH(J374,Sheet5!$B$18:$G$18,0))</f>
        <v>2200</v>
      </c>
      <c r="AN374" s="6" t="s">
        <v>48</v>
      </c>
      <c r="AO374" s="6" t="s">
        <v>733</v>
      </c>
      <c r="AP374" s="6">
        <v>20299</v>
      </c>
      <c r="AQ374" s="13">
        <v>110</v>
      </c>
    </row>
    <row r="375" spans="1:43" ht="16.5">
      <c r="A375" s="6">
        <v>2446</v>
      </c>
      <c r="B375" s="22" t="s">
        <v>2026</v>
      </c>
      <c r="C375" s="22" t="s">
        <v>164</v>
      </c>
      <c r="D375" s="8" t="s">
        <v>112</v>
      </c>
      <c r="E375" s="14">
        <v>11009</v>
      </c>
      <c r="F375" s="65">
        <v>2000</v>
      </c>
      <c r="G375" s="6">
        <v>300</v>
      </c>
      <c r="H375" s="6">
        <v>50</v>
      </c>
      <c r="I375" s="8" t="s">
        <v>718</v>
      </c>
      <c r="J375" s="6">
        <v>2</v>
      </c>
      <c r="K375" s="6">
        <v>6</v>
      </c>
      <c r="L375" s="6">
        <v>20</v>
      </c>
      <c r="M375" s="6">
        <v>0</v>
      </c>
      <c r="N375" s="6">
        <v>0</v>
      </c>
      <c r="O375">
        <v>960</v>
      </c>
      <c r="P375" s="6">
        <v>0</v>
      </c>
      <c r="Q375" s="6">
        <v>0</v>
      </c>
      <c r="R375" s="6">
        <v>0</v>
      </c>
      <c r="S375" s="6">
        <v>0</v>
      </c>
      <c r="T375" s="6">
        <v>0</v>
      </c>
      <c r="U375" s="6">
        <v>0</v>
      </c>
      <c r="V375" s="6">
        <v>0</v>
      </c>
      <c r="W375" s="6">
        <v>3</v>
      </c>
      <c r="X375" s="6">
        <v>0</v>
      </c>
      <c r="Y375" s="6">
        <v>0</v>
      </c>
      <c r="Z375" s="6">
        <v>0</v>
      </c>
      <c r="AA375" s="6">
        <v>0</v>
      </c>
      <c r="AB375" s="6">
        <v>0</v>
      </c>
      <c r="AC375" s="7">
        <v>0</v>
      </c>
      <c r="AD375" s="7">
        <v>0</v>
      </c>
      <c r="AE375" s="7">
        <v>12</v>
      </c>
      <c r="AF375" s="7">
        <v>0</v>
      </c>
      <c r="AG375" s="7">
        <v>0</v>
      </c>
      <c r="AH375" s="7">
        <v>0</v>
      </c>
      <c r="AI375" s="7">
        <v>0</v>
      </c>
      <c r="AJ375" s="7">
        <v>6.0000000000000001E-3</v>
      </c>
      <c r="AK375" s="7" t="s">
        <v>1506</v>
      </c>
      <c r="AL375" s="6">
        <v>2</v>
      </c>
      <c r="AM375" s="41">
        <f>INDEX(Sheet5!$B$19:$G$33,MATCH(Sheet1!AQ375,Sheet5!$A$19:$A$33,0),MATCH(J375,Sheet5!$B$18:$G$18,0))</f>
        <v>2400</v>
      </c>
      <c r="AN375" s="6" t="s">
        <v>48</v>
      </c>
      <c r="AO375" s="6" t="s">
        <v>733</v>
      </c>
      <c r="AP375" s="6">
        <v>20300</v>
      </c>
      <c r="AQ375" s="13">
        <v>120</v>
      </c>
    </row>
    <row r="376" spans="1:43" ht="16.5">
      <c r="A376" s="6">
        <v>2447</v>
      </c>
      <c r="B376" s="22" t="s">
        <v>2027</v>
      </c>
      <c r="C376" s="22" t="s">
        <v>164</v>
      </c>
      <c r="D376" s="8" t="s">
        <v>112</v>
      </c>
      <c r="E376" s="14">
        <v>11009</v>
      </c>
      <c r="F376" s="65">
        <v>2000</v>
      </c>
      <c r="G376" s="6">
        <v>300</v>
      </c>
      <c r="H376" s="6">
        <v>50</v>
      </c>
      <c r="I376" s="8" t="s">
        <v>718</v>
      </c>
      <c r="J376" s="6">
        <v>2</v>
      </c>
      <c r="K376" s="6">
        <v>6</v>
      </c>
      <c r="L376" s="6">
        <v>20</v>
      </c>
      <c r="M376" s="6">
        <v>0</v>
      </c>
      <c r="N376" s="6">
        <v>0</v>
      </c>
      <c r="O376">
        <v>1040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v>0</v>
      </c>
      <c r="W376" s="6">
        <v>3</v>
      </c>
      <c r="X376" s="6">
        <v>0</v>
      </c>
      <c r="Y376" s="6">
        <v>0</v>
      </c>
      <c r="Z376" s="6">
        <v>0</v>
      </c>
      <c r="AA376" s="6">
        <v>0</v>
      </c>
      <c r="AB376" s="6">
        <v>0</v>
      </c>
      <c r="AC376" s="7">
        <v>0</v>
      </c>
      <c r="AD376" s="7">
        <v>0</v>
      </c>
      <c r="AE376" s="7">
        <v>12</v>
      </c>
      <c r="AF376" s="7">
        <v>0</v>
      </c>
      <c r="AG376" s="7">
        <v>0</v>
      </c>
      <c r="AH376" s="7">
        <v>0</v>
      </c>
      <c r="AI376" s="7">
        <v>0</v>
      </c>
      <c r="AJ376" s="7">
        <v>6.0000000000000001E-3</v>
      </c>
      <c r="AK376" s="7" t="s">
        <v>1506</v>
      </c>
      <c r="AL376" s="6">
        <v>2</v>
      </c>
      <c r="AM376" s="41">
        <f>INDEX(Sheet5!$B$19:$G$33,MATCH(Sheet1!AQ376,Sheet5!$A$19:$A$33,0),MATCH(J376,Sheet5!$B$18:$G$18,0))</f>
        <v>2600</v>
      </c>
      <c r="AN376" s="6" t="s">
        <v>48</v>
      </c>
      <c r="AO376" s="6" t="s">
        <v>733</v>
      </c>
      <c r="AP376" s="6">
        <v>203011</v>
      </c>
      <c r="AQ376" s="13">
        <v>130</v>
      </c>
    </row>
    <row r="377" spans="1:43" ht="16.5">
      <c r="A377" s="6">
        <v>2448</v>
      </c>
      <c r="B377" s="22" t="s">
        <v>2028</v>
      </c>
      <c r="C377" s="22" t="s">
        <v>164</v>
      </c>
      <c r="D377" s="8" t="s">
        <v>112</v>
      </c>
      <c r="E377" s="14">
        <v>11009</v>
      </c>
      <c r="F377" s="65">
        <v>2000</v>
      </c>
      <c r="G377" s="6">
        <v>300</v>
      </c>
      <c r="H377" s="6">
        <v>50</v>
      </c>
      <c r="I377" s="8" t="s">
        <v>718</v>
      </c>
      <c r="J377" s="6">
        <v>2</v>
      </c>
      <c r="K377" s="6">
        <v>6</v>
      </c>
      <c r="L377" s="6">
        <v>20</v>
      </c>
      <c r="M377" s="6">
        <v>0</v>
      </c>
      <c r="N377" s="6">
        <v>0</v>
      </c>
      <c r="O377">
        <v>1120</v>
      </c>
      <c r="P377" s="6">
        <v>0</v>
      </c>
      <c r="Q377" s="6">
        <v>0</v>
      </c>
      <c r="R377" s="6">
        <v>0</v>
      </c>
      <c r="S377" s="6">
        <v>0</v>
      </c>
      <c r="T377" s="6">
        <v>0</v>
      </c>
      <c r="U377" s="6">
        <v>0</v>
      </c>
      <c r="V377" s="6">
        <v>0</v>
      </c>
      <c r="W377" s="6">
        <v>3</v>
      </c>
      <c r="X377" s="6">
        <v>0</v>
      </c>
      <c r="Y377" s="6">
        <v>0</v>
      </c>
      <c r="Z377" s="6">
        <v>0</v>
      </c>
      <c r="AA377" s="6">
        <v>0</v>
      </c>
      <c r="AB377" s="6">
        <v>0</v>
      </c>
      <c r="AC377" s="7">
        <v>0</v>
      </c>
      <c r="AD377" s="7">
        <v>0</v>
      </c>
      <c r="AE377" s="7">
        <v>12</v>
      </c>
      <c r="AF377" s="7">
        <v>0</v>
      </c>
      <c r="AG377" s="7">
        <v>0</v>
      </c>
      <c r="AH377" s="7">
        <v>0</v>
      </c>
      <c r="AI377" s="7">
        <v>0</v>
      </c>
      <c r="AJ377" s="7">
        <v>6.0000000000000001E-3</v>
      </c>
      <c r="AK377" s="7" t="s">
        <v>1506</v>
      </c>
      <c r="AL377" s="6">
        <v>2</v>
      </c>
      <c r="AM377" s="41">
        <f>INDEX(Sheet5!$B$19:$G$33,MATCH(Sheet1!AQ377,Sheet5!$A$19:$A$33,0),MATCH(J377,Sheet5!$B$18:$G$18,0))</f>
        <v>2800</v>
      </c>
      <c r="AN377" s="6" t="s">
        <v>48</v>
      </c>
      <c r="AO377" s="6" t="s">
        <v>733</v>
      </c>
      <c r="AP377" s="6">
        <v>203012</v>
      </c>
      <c r="AQ377" s="13">
        <v>140</v>
      </c>
    </row>
    <row r="378" spans="1:43" ht="16.5">
      <c r="A378" s="6">
        <v>2449</v>
      </c>
      <c r="B378" s="22" t="s">
        <v>2029</v>
      </c>
      <c r="C378" s="22" t="s">
        <v>164</v>
      </c>
      <c r="D378" s="8" t="s">
        <v>112</v>
      </c>
      <c r="E378" s="14">
        <v>11009</v>
      </c>
      <c r="F378" s="65">
        <v>2000</v>
      </c>
      <c r="G378" s="6">
        <v>300</v>
      </c>
      <c r="H378" s="6">
        <v>50</v>
      </c>
      <c r="I378" s="8" t="s">
        <v>718</v>
      </c>
      <c r="J378" s="6">
        <v>2</v>
      </c>
      <c r="K378" s="6">
        <v>6</v>
      </c>
      <c r="L378" s="6">
        <v>20</v>
      </c>
      <c r="M378" s="6">
        <v>0</v>
      </c>
      <c r="N378" s="6">
        <v>0</v>
      </c>
      <c r="O378">
        <v>1200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W378" s="6">
        <v>3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7">
        <v>0</v>
      </c>
      <c r="AD378" s="7">
        <v>0</v>
      </c>
      <c r="AE378" s="7">
        <v>12</v>
      </c>
      <c r="AF378" s="7">
        <v>0</v>
      </c>
      <c r="AG378" s="7">
        <v>0</v>
      </c>
      <c r="AH378" s="7">
        <v>0</v>
      </c>
      <c r="AI378" s="7">
        <v>0</v>
      </c>
      <c r="AJ378" s="7">
        <v>6.0000000000000001E-3</v>
      </c>
      <c r="AK378" s="7" t="s">
        <v>1506</v>
      </c>
      <c r="AL378" s="6">
        <v>2</v>
      </c>
      <c r="AM378" s="41">
        <f>INDEX(Sheet5!$B$19:$G$33,MATCH(Sheet1!AQ378,Sheet5!$A$19:$A$33,0),MATCH(J378,Sheet5!$B$18:$G$18,0))</f>
        <v>3000</v>
      </c>
      <c r="AN378" s="6" t="s">
        <v>48</v>
      </c>
      <c r="AO378" s="6" t="s">
        <v>733</v>
      </c>
      <c r="AP378" s="6">
        <v>203013</v>
      </c>
      <c r="AQ378" s="13">
        <v>150</v>
      </c>
    </row>
    <row r="379" spans="1:43" ht="16.5">
      <c r="A379" s="6">
        <v>2450</v>
      </c>
      <c r="B379" s="22" t="s">
        <v>2030</v>
      </c>
      <c r="C379" s="22" t="s">
        <v>164</v>
      </c>
      <c r="D379" s="8" t="s">
        <v>113</v>
      </c>
      <c r="E379" s="14">
        <v>11010</v>
      </c>
      <c r="F379" s="65">
        <v>2000</v>
      </c>
      <c r="G379" s="6">
        <v>300</v>
      </c>
      <c r="H379" s="6">
        <v>50</v>
      </c>
      <c r="I379" s="8" t="s">
        <v>719</v>
      </c>
      <c r="J379" s="6">
        <v>2</v>
      </c>
      <c r="K379" s="6">
        <v>6</v>
      </c>
      <c r="L379" s="6">
        <v>20</v>
      </c>
      <c r="M379" s="6">
        <v>0</v>
      </c>
      <c r="N379">
        <v>160</v>
      </c>
      <c r="O379" s="6">
        <v>0</v>
      </c>
      <c r="P379" s="6">
        <v>0</v>
      </c>
      <c r="Q379" s="6">
        <v>0</v>
      </c>
      <c r="R379" s="6">
        <v>0</v>
      </c>
      <c r="S379" s="6">
        <v>0</v>
      </c>
      <c r="T379" s="6">
        <v>0</v>
      </c>
      <c r="U379" s="6">
        <v>0</v>
      </c>
      <c r="V379" s="6">
        <v>6</v>
      </c>
      <c r="W379" s="6">
        <v>0</v>
      </c>
      <c r="X379" s="6">
        <v>0</v>
      </c>
      <c r="Y379" s="6">
        <v>0</v>
      </c>
      <c r="Z379" s="6">
        <v>0</v>
      </c>
      <c r="AA379" s="6">
        <v>0</v>
      </c>
      <c r="AB379" s="6">
        <v>0</v>
      </c>
      <c r="AC379" s="7">
        <v>0</v>
      </c>
      <c r="AD379" s="7">
        <v>24</v>
      </c>
      <c r="AE379" s="7">
        <v>0</v>
      </c>
      <c r="AF379" s="7">
        <v>0</v>
      </c>
      <c r="AG379" s="7">
        <v>0</v>
      </c>
      <c r="AH379" s="7">
        <v>0</v>
      </c>
      <c r="AI379" s="7">
        <v>6.0000000000000001E-3</v>
      </c>
      <c r="AJ379" s="7">
        <v>0</v>
      </c>
      <c r="AK379" s="7" t="s">
        <v>1506</v>
      </c>
      <c r="AL379" s="6">
        <v>1</v>
      </c>
      <c r="AM379" s="41">
        <f>INDEX(Sheet5!$B$19:$G$33,MATCH(Sheet1!AQ379,Sheet5!$A$19:$A$33,0),MATCH(J379,Sheet5!$B$18:$G$18,0))</f>
        <v>200</v>
      </c>
      <c r="AN379" s="6" t="s">
        <v>48</v>
      </c>
      <c r="AO379" s="6" t="s">
        <v>734</v>
      </c>
      <c r="AP379" s="6">
        <v>30</v>
      </c>
      <c r="AQ379" s="13">
        <v>10</v>
      </c>
    </row>
    <row r="380" spans="1:43" s="102" customFormat="1" ht="16.5">
      <c r="A380" s="100">
        <v>2030</v>
      </c>
      <c r="B380" s="100" t="s">
        <v>2031</v>
      </c>
      <c r="C380" s="100" t="s">
        <v>164</v>
      </c>
      <c r="D380" s="100" t="s">
        <v>113</v>
      </c>
      <c r="E380" s="101">
        <v>11010</v>
      </c>
      <c r="F380" s="100">
        <v>2000</v>
      </c>
      <c r="G380" s="100">
        <v>300</v>
      </c>
      <c r="H380" s="100">
        <v>50</v>
      </c>
      <c r="I380" s="100" t="s">
        <v>719</v>
      </c>
      <c r="J380" s="100">
        <v>2</v>
      </c>
      <c r="K380" s="100">
        <v>6</v>
      </c>
      <c r="L380" s="100">
        <v>20</v>
      </c>
      <c r="M380" s="100">
        <v>0</v>
      </c>
      <c r="N380">
        <v>320</v>
      </c>
      <c r="O380" s="100">
        <v>0</v>
      </c>
      <c r="P380" s="100">
        <v>0</v>
      </c>
      <c r="Q380" s="100">
        <v>0</v>
      </c>
      <c r="R380" s="100">
        <v>0</v>
      </c>
      <c r="S380" s="100">
        <v>0</v>
      </c>
      <c r="T380" s="100">
        <v>0</v>
      </c>
      <c r="U380" s="100">
        <v>0</v>
      </c>
      <c r="V380" s="100">
        <v>6</v>
      </c>
      <c r="W380" s="100">
        <v>0</v>
      </c>
      <c r="X380" s="100">
        <v>0</v>
      </c>
      <c r="Y380" s="100">
        <v>0</v>
      </c>
      <c r="Z380" s="100">
        <v>0</v>
      </c>
      <c r="AA380" s="100">
        <v>0</v>
      </c>
      <c r="AB380" s="100">
        <v>0</v>
      </c>
      <c r="AC380" s="100">
        <v>0</v>
      </c>
      <c r="AD380" s="100">
        <v>24</v>
      </c>
      <c r="AE380" s="100">
        <v>0</v>
      </c>
      <c r="AF380" s="100">
        <v>0</v>
      </c>
      <c r="AG380" s="100">
        <v>0</v>
      </c>
      <c r="AH380" s="100">
        <v>0</v>
      </c>
      <c r="AI380" s="100">
        <v>6.0000000000000001E-3</v>
      </c>
      <c r="AJ380" s="100">
        <v>0</v>
      </c>
      <c r="AK380" s="7" t="s">
        <v>1506</v>
      </c>
      <c r="AL380" s="100">
        <v>1</v>
      </c>
      <c r="AM380" s="41">
        <f>INDEX(Sheet5!$B$19:$G$33,MATCH(Sheet1!AQ380,Sheet5!$A$19:$A$33,0),MATCH(J380,Sheet5!$B$18:$G$18,0))</f>
        <v>400</v>
      </c>
      <c r="AN380" s="100" t="s">
        <v>1488</v>
      </c>
      <c r="AO380" s="100" t="s">
        <v>734</v>
      </c>
      <c r="AP380" s="100">
        <v>2030</v>
      </c>
      <c r="AQ380" s="13">
        <v>20</v>
      </c>
    </row>
    <row r="381" spans="1:43" ht="16.5">
      <c r="A381" s="6">
        <v>2451</v>
      </c>
      <c r="B381" s="22" t="s">
        <v>2032</v>
      </c>
      <c r="C381" s="22" t="s">
        <v>164</v>
      </c>
      <c r="D381" s="8" t="s">
        <v>113</v>
      </c>
      <c r="E381" s="14">
        <v>11010</v>
      </c>
      <c r="F381" s="65">
        <v>2000</v>
      </c>
      <c r="G381" s="6">
        <v>300</v>
      </c>
      <c r="H381" s="6">
        <v>50</v>
      </c>
      <c r="I381" s="8" t="s">
        <v>719</v>
      </c>
      <c r="J381" s="6">
        <v>2</v>
      </c>
      <c r="K381" s="6">
        <v>6</v>
      </c>
      <c r="L381" s="6">
        <v>20</v>
      </c>
      <c r="M381" s="6">
        <v>0</v>
      </c>
      <c r="N381">
        <v>480</v>
      </c>
      <c r="O381" s="6">
        <v>0</v>
      </c>
      <c r="P381" s="6">
        <v>0</v>
      </c>
      <c r="Q381" s="6">
        <v>0</v>
      </c>
      <c r="R381" s="6">
        <v>0</v>
      </c>
      <c r="S381" s="6">
        <v>0</v>
      </c>
      <c r="T381" s="6">
        <v>0</v>
      </c>
      <c r="U381" s="6">
        <v>0</v>
      </c>
      <c r="V381" s="6">
        <v>6</v>
      </c>
      <c r="W381" s="6">
        <v>0</v>
      </c>
      <c r="X381" s="6">
        <v>0</v>
      </c>
      <c r="Y381" s="6">
        <v>0</v>
      </c>
      <c r="Z381" s="6">
        <v>0</v>
      </c>
      <c r="AA381" s="6">
        <v>0</v>
      </c>
      <c r="AB381" s="6">
        <v>0</v>
      </c>
      <c r="AC381" s="7">
        <v>0</v>
      </c>
      <c r="AD381" s="7">
        <v>24</v>
      </c>
      <c r="AE381" s="7">
        <v>0</v>
      </c>
      <c r="AF381" s="7">
        <v>0</v>
      </c>
      <c r="AG381" s="7">
        <v>0</v>
      </c>
      <c r="AH381" s="7">
        <v>0</v>
      </c>
      <c r="AI381" s="7">
        <v>6.0000000000000001E-3</v>
      </c>
      <c r="AJ381" s="7">
        <v>0</v>
      </c>
      <c r="AK381" s="7" t="s">
        <v>1506</v>
      </c>
      <c r="AL381" s="6">
        <v>1</v>
      </c>
      <c r="AM381" s="41">
        <f>INDEX(Sheet5!$B$19:$G$33,MATCH(Sheet1!AQ381,Sheet5!$A$19:$A$33,0),MATCH(J381,Sheet5!$B$18:$G$18,0))</f>
        <v>600</v>
      </c>
      <c r="AN381" s="6" t="s">
        <v>48</v>
      </c>
      <c r="AO381" s="6" t="s">
        <v>734</v>
      </c>
      <c r="AP381" s="6">
        <v>20301</v>
      </c>
      <c r="AQ381" s="13">
        <v>30</v>
      </c>
    </row>
    <row r="382" spans="1:43" ht="16.5">
      <c r="A382" s="6">
        <v>2452</v>
      </c>
      <c r="B382" s="22" t="s">
        <v>2033</v>
      </c>
      <c r="C382" s="22" t="s">
        <v>164</v>
      </c>
      <c r="D382" s="8" t="s">
        <v>113</v>
      </c>
      <c r="E382" s="14">
        <v>11010</v>
      </c>
      <c r="F382" s="65">
        <v>2000</v>
      </c>
      <c r="G382" s="6">
        <v>300</v>
      </c>
      <c r="H382" s="6">
        <v>50</v>
      </c>
      <c r="I382" s="8" t="s">
        <v>719</v>
      </c>
      <c r="J382" s="6">
        <v>2</v>
      </c>
      <c r="K382" s="6">
        <v>6</v>
      </c>
      <c r="L382" s="6">
        <v>20</v>
      </c>
      <c r="M382" s="6">
        <v>0</v>
      </c>
      <c r="N382">
        <v>640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v>6</v>
      </c>
      <c r="W382" s="6">
        <v>0</v>
      </c>
      <c r="X382" s="6">
        <v>0</v>
      </c>
      <c r="Y382" s="6">
        <v>0</v>
      </c>
      <c r="Z382" s="6">
        <v>0</v>
      </c>
      <c r="AA382" s="6">
        <v>0</v>
      </c>
      <c r="AB382" s="6">
        <v>0</v>
      </c>
      <c r="AC382" s="7">
        <v>0</v>
      </c>
      <c r="AD382" s="7">
        <v>24</v>
      </c>
      <c r="AE382" s="7">
        <v>0</v>
      </c>
      <c r="AF382" s="7">
        <v>0</v>
      </c>
      <c r="AG382" s="7">
        <v>0</v>
      </c>
      <c r="AH382" s="7">
        <v>0</v>
      </c>
      <c r="AI382" s="7">
        <v>6.0000000000000001E-3</v>
      </c>
      <c r="AJ382" s="7">
        <v>0</v>
      </c>
      <c r="AK382" s="7" t="s">
        <v>1506</v>
      </c>
      <c r="AL382" s="6">
        <v>1</v>
      </c>
      <c r="AM382" s="41">
        <f>INDEX(Sheet5!$B$19:$G$33,MATCH(Sheet1!AQ382,Sheet5!$A$19:$A$33,0),MATCH(J382,Sheet5!$B$18:$G$18,0))</f>
        <v>800</v>
      </c>
      <c r="AN382" s="6" t="s">
        <v>48</v>
      </c>
      <c r="AO382" s="6" t="s">
        <v>734</v>
      </c>
      <c r="AP382" s="6">
        <v>20302</v>
      </c>
      <c r="AQ382" s="13">
        <v>40</v>
      </c>
    </row>
    <row r="383" spans="1:43" ht="16.5">
      <c r="A383" s="6">
        <v>2453</v>
      </c>
      <c r="B383" s="22" t="s">
        <v>2034</v>
      </c>
      <c r="C383" s="22" t="s">
        <v>164</v>
      </c>
      <c r="D383" s="8" t="s">
        <v>113</v>
      </c>
      <c r="E383" s="14">
        <v>11010</v>
      </c>
      <c r="F383" s="65">
        <v>2000</v>
      </c>
      <c r="G383" s="6">
        <v>300</v>
      </c>
      <c r="H383" s="6">
        <v>50</v>
      </c>
      <c r="I383" s="8" t="s">
        <v>719</v>
      </c>
      <c r="J383" s="6">
        <v>2</v>
      </c>
      <c r="K383" s="6">
        <v>6</v>
      </c>
      <c r="L383" s="6">
        <v>20</v>
      </c>
      <c r="M383" s="6">
        <v>0</v>
      </c>
      <c r="N383">
        <v>800</v>
      </c>
      <c r="O383" s="6">
        <v>0</v>
      </c>
      <c r="P383" s="6">
        <v>0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6</v>
      </c>
      <c r="W383" s="6">
        <v>0</v>
      </c>
      <c r="X383" s="6">
        <v>0</v>
      </c>
      <c r="Y383" s="6">
        <v>0</v>
      </c>
      <c r="Z383" s="6">
        <v>0</v>
      </c>
      <c r="AA383" s="6">
        <v>0</v>
      </c>
      <c r="AB383" s="6">
        <v>0</v>
      </c>
      <c r="AC383" s="7">
        <v>0</v>
      </c>
      <c r="AD383" s="7">
        <v>24</v>
      </c>
      <c r="AE383" s="7">
        <v>0</v>
      </c>
      <c r="AF383" s="7">
        <v>0</v>
      </c>
      <c r="AG383" s="7">
        <v>0</v>
      </c>
      <c r="AH383" s="7">
        <v>0</v>
      </c>
      <c r="AI383" s="7">
        <v>6.0000000000000001E-3</v>
      </c>
      <c r="AJ383" s="7">
        <v>0</v>
      </c>
      <c r="AK383" s="7" t="s">
        <v>1506</v>
      </c>
      <c r="AL383" s="6">
        <v>1</v>
      </c>
      <c r="AM383" s="41">
        <f>INDEX(Sheet5!$B$19:$G$33,MATCH(Sheet1!AQ383,Sheet5!$A$19:$A$33,0),MATCH(J383,Sheet5!$B$18:$G$18,0))</f>
        <v>1000</v>
      </c>
      <c r="AN383" s="6" t="s">
        <v>48</v>
      </c>
      <c r="AO383" s="6" t="s">
        <v>734</v>
      </c>
      <c r="AP383" s="6">
        <v>20303</v>
      </c>
      <c r="AQ383" s="13">
        <v>50</v>
      </c>
    </row>
    <row r="384" spans="1:43" ht="16.5">
      <c r="A384" s="6">
        <v>2454</v>
      </c>
      <c r="B384" s="22" t="s">
        <v>2035</v>
      </c>
      <c r="C384" s="22" t="s">
        <v>164</v>
      </c>
      <c r="D384" s="8" t="s">
        <v>113</v>
      </c>
      <c r="E384" s="14">
        <v>11010</v>
      </c>
      <c r="F384" s="65">
        <v>2000</v>
      </c>
      <c r="G384" s="6">
        <v>300</v>
      </c>
      <c r="H384" s="6">
        <v>50</v>
      </c>
      <c r="I384" s="8" t="s">
        <v>719</v>
      </c>
      <c r="J384" s="6">
        <v>2</v>
      </c>
      <c r="K384" s="6">
        <v>6</v>
      </c>
      <c r="L384" s="6">
        <v>20</v>
      </c>
      <c r="M384" s="6">
        <v>0</v>
      </c>
      <c r="N384">
        <v>960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v>6</v>
      </c>
      <c r="W384" s="6">
        <v>0</v>
      </c>
      <c r="X384" s="6">
        <v>0</v>
      </c>
      <c r="Y384" s="6">
        <v>0</v>
      </c>
      <c r="Z384" s="6">
        <v>0</v>
      </c>
      <c r="AA384" s="6">
        <v>0</v>
      </c>
      <c r="AB384" s="6">
        <v>0</v>
      </c>
      <c r="AC384" s="7">
        <v>0</v>
      </c>
      <c r="AD384" s="7">
        <v>24</v>
      </c>
      <c r="AE384" s="7">
        <v>0</v>
      </c>
      <c r="AF384" s="7">
        <v>0</v>
      </c>
      <c r="AG384" s="7">
        <v>0</v>
      </c>
      <c r="AH384" s="7">
        <v>0</v>
      </c>
      <c r="AI384" s="7">
        <v>6.0000000000000001E-3</v>
      </c>
      <c r="AJ384" s="7">
        <v>0</v>
      </c>
      <c r="AK384" s="7" t="s">
        <v>1506</v>
      </c>
      <c r="AL384" s="6">
        <v>1</v>
      </c>
      <c r="AM384" s="41">
        <f>INDEX(Sheet5!$B$19:$G$33,MATCH(Sheet1!AQ384,Sheet5!$A$19:$A$33,0),MATCH(J384,Sheet5!$B$18:$G$18,0))</f>
        <v>1200</v>
      </c>
      <c r="AN384" s="6" t="s">
        <v>48</v>
      </c>
      <c r="AO384" s="6" t="s">
        <v>734</v>
      </c>
      <c r="AP384" s="6">
        <v>20304</v>
      </c>
      <c r="AQ384" s="13">
        <v>60</v>
      </c>
    </row>
    <row r="385" spans="1:43" ht="16.5">
      <c r="A385" s="6">
        <v>2455</v>
      </c>
      <c r="B385" s="22" t="s">
        <v>2036</v>
      </c>
      <c r="C385" s="22" t="s">
        <v>164</v>
      </c>
      <c r="D385" s="8" t="s">
        <v>113</v>
      </c>
      <c r="E385" s="14">
        <v>11010</v>
      </c>
      <c r="F385" s="65">
        <v>2000</v>
      </c>
      <c r="G385" s="6">
        <v>300</v>
      </c>
      <c r="H385" s="6">
        <v>50</v>
      </c>
      <c r="I385" s="8" t="s">
        <v>719</v>
      </c>
      <c r="J385" s="6">
        <v>2</v>
      </c>
      <c r="K385" s="6">
        <v>6</v>
      </c>
      <c r="L385" s="6">
        <v>20</v>
      </c>
      <c r="M385" s="6">
        <v>0</v>
      </c>
      <c r="N385">
        <v>1120</v>
      </c>
      <c r="O385" s="6">
        <v>0</v>
      </c>
      <c r="P385" s="6">
        <v>0</v>
      </c>
      <c r="Q385" s="6">
        <v>0</v>
      </c>
      <c r="R385" s="6">
        <v>0</v>
      </c>
      <c r="S385" s="6">
        <v>0</v>
      </c>
      <c r="T385" s="6">
        <v>0</v>
      </c>
      <c r="U385" s="6">
        <v>0</v>
      </c>
      <c r="V385" s="6">
        <v>6</v>
      </c>
      <c r="W385" s="6">
        <v>0</v>
      </c>
      <c r="X385" s="6">
        <v>0</v>
      </c>
      <c r="Y385" s="6">
        <v>0</v>
      </c>
      <c r="Z385" s="6">
        <v>0</v>
      </c>
      <c r="AA385" s="6">
        <v>0</v>
      </c>
      <c r="AB385" s="6">
        <v>0</v>
      </c>
      <c r="AC385" s="7">
        <v>0</v>
      </c>
      <c r="AD385" s="7">
        <v>24</v>
      </c>
      <c r="AE385" s="7">
        <v>0</v>
      </c>
      <c r="AF385" s="7">
        <v>0</v>
      </c>
      <c r="AG385" s="7">
        <v>0</v>
      </c>
      <c r="AH385" s="7">
        <v>0</v>
      </c>
      <c r="AI385" s="7">
        <v>6.0000000000000001E-3</v>
      </c>
      <c r="AJ385" s="7">
        <v>0</v>
      </c>
      <c r="AK385" s="7" t="s">
        <v>1506</v>
      </c>
      <c r="AL385" s="6">
        <v>1</v>
      </c>
      <c r="AM385" s="41">
        <f>INDEX(Sheet5!$B$19:$G$33,MATCH(Sheet1!AQ385,Sheet5!$A$19:$A$33,0),MATCH(J385,Sheet5!$B$18:$G$18,0))</f>
        <v>1400</v>
      </c>
      <c r="AN385" s="6" t="s">
        <v>48</v>
      </c>
      <c r="AO385" s="6" t="s">
        <v>734</v>
      </c>
      <c r="AP385" s="6">
        <v>20305</v>
      </c>
      <c r="AQ385" s="13">
        <v>70</v>
      </c>
    </row>
    <row r="386" spans="1:43" ht="16.5">
      <c r="A386" s="6">
        <v>2456</v>
      </c>
      <c r="B386" s="22" t="s">
        <v>2037</v>
      </c>
      <c r="C386" s="22" t="s">
        <v>164</v>
      </c>
      <c r="D386" s="8" t="s">
        <v>113</v>
      </c>
      <c r="E386" s="14">
        <v>11010</v>
      </c>
      <c r="F386" s="65">
        <v>2000</v>
      </c>
      <c r="G386" s="6">
        <v>300</v>
      </c>
      <c r="H386" s="6">
        <v>50</v>
      </c>
      <c r="I386" s="8" t="s">
        <v>719</v>
      </c>
      <c r="J386" s="6">
        <v>2</v>
      </c>
      <c r="K386" s="6">
        <v>6</v>
      </c>
      <c r="L386" s="6">
        <v>20</v>
      </c>
      <c r="M386" s="6">
        <v>0</v>
      </c>
      <c r="N386">
        <v>1280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v>6</v>
      </c>
      <c r="W386" s="6">
        <v>0</v>
      </c>
      <c r="X386" s="6">
        <v>0</v>
      </c>
      <c r="Y386" s="6">
        <v>0</v>
      </c>
      <c r="Z386" s="6">
        <v>0</v>
      </c>
      <c r="AA386" s="6">
        <v>0</v>
      </c>
      <c r="AB386" s="6">
        <v>0</v>
      </c>
      <c r="AC386" s="7">
        <v>0</v>
      </c>
      <c r="AD386" s="7">
        <v>24</v>
      </c>
      <c r="AE386" s="7">
        <v>0</v>
      </c>
      <c r="AF386" s="7">
        <v>0</v>
      </c>
      <c r="AG386" s="7">
        <v>0</v>
      </c>
      <c r="AH386" s="7">
        <v>0</v>
      </c>
      <c r="AI386" s="7">
        <v>6.0000000000000001E-3</v>
      </c>
      <c r="AJ386" s="7">
        <v>0</v>
      </c>
      <c r="AK386" s="7" t="s">
        <v>1506</v>
      </c>
      <c r="AL386" s="6">
        <v>1</v>
      </c>
      <c r="AM386" s="41">
        <f>INDEX(Sheet5!$B$19:$G$33,MATCH(Sheet1!AQ386,Sheet5!$A$19:$A$33,0),MATCH(J386,Sheet5!$B$18:$G$18,0))</f>
        <v>1600</v>
      </c>
      <c r="AN386" s="6" t="s">
        <v>48</v>
      </c>
      <c r="AO386" s="6" t="s">
        <v>734</v>
      </c>
      <c r="AP386" s="6">
        <v>20306</v>
      </c>
      <c r="AQ386" s="13">
        <v>80</v>
      </c>
    </row>
    <row r="387" spans="1:43" ht="16.5">
      <c r="A387" s="6">
        <v>2457</v>
      </c>
      <c r="B387" s="22" t="s">
        <v>2038</v>
      </c>
      <c r="C387" s="22" t="s">
        <v>164</v>
      </c>
      <c r="D387" s="8" t="s">
        <v>113</v>
      </c>
      <c r="E387" s="14">
        <v>11010</v>
      </c>
      <c r="F387" s="65">
        <v>2000</v>
      </c>
      <c r="G387" s="6">
        <v>300</v>
      </c>
      <c r="H387" s="6">
        <v>50</v>
      </c>
      <c r="I387" s="8" t="s">
        <v>719</v>
      </c>
      <c r="J387" s="6">
        <v>2</v>
      </c>
      <c r="K387" s="6">
        <v>6</v>
      </c>
      <c r="L387" s="6">
        <v>20</v>
      </c>
      <c r="M387" s="6">
        <v>0</v>
      </c>
      <c r="N387">
        <v>1440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6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7">
        <v>0</v>
      </c>
      <c r="AD387" s="7">
        <v>24</v>
      </c>
      <c r="AE387" s="7">
        <v>0</v>
      </c>
      <c r="AF387" s="7">
        <v>0</v>
      </c>
      <c r="AG387" s="7">
        <v>0</v>
      </c>
      <c r="AH387" s="7">
        <v>0</v>
      </c>
      <c r="AI387" s="7">
        <v>6.0000000000000001E-3</v>
      </c>
      <c r="AJ387" s="7">
        <v>0</v>
      </c>
      <c r="AK387" s="7" t="s">
        <v>1506</v>
      </c>
      <c r="AL387" s="6">
        <v>1</v>
      </c>
      <c r="AM387" s="41">
        <f>INDEX(Sheet5!$B$19:$G$33,MATCH(Sheet1!AQ387,Sheet5!$A$19:$A$33,0),MATCH(J387,Sheet5!$B$18:$G$18,0))</f>
        <v>1800</v>
      </c>
      <c r="AN387" s="6" t="s">
        <v>48</v>
      </c>
      <c r="AO387" s="6" t="s">
        <v>734</v>
      </c>
      <c r="AP387" s="6">
        <v>20307</v>
      </c>
      <c r="AQ387" s="13">
        <v>90</v>
      </c>
    </row>
    <row r="388" spans="1:43" ht="16.5">
      <c r="A388" s="6">
        <v>2458</v>
      </c>
      <c r="B388" s="22" t="s">
        <v>2039</v>
      </c>
      <c r="C388" s="22" t="s">
        <v>164</v>
      </c>
      <c r="D388" s="8" t="s">
        <v>113</v>
      </c>
      <c r="E388" s="14">
        <v>11010</v>
      </c>
      <c r="F388" s="65">
        <v>2000</v>
      </c>
      <c r="G388" s="6">
        <v>300</v>
      </c>
      <c r="H388" s="6">
        <v>50</v>
      </c>
      <c r="I388" s="8" t="s">
        <v>719</v>
      </c>
      <c r="J388" s="6">
        <v>2</v>
      </c>
      <c r="K388" s="6">
        <v>6</v>
      </c>
      <c r="L388" s="6">
        <v>20</v>
      </c>
      <c r="M388" s="6">
        <v>0</v>
      </c>
      <c r="N388">
        <v>1600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6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7">
        <v>0</v>
      </c>
      <c r="AD388" s="7">
        <v>24</v>
      </c>
      <c r="AE388" s="7">
        <v>0</v>
      </c>
      <c r="AF388" s="7">
        <v>0</v>
      </c>
      <c r="AG388" s="7">
        <v>0</v>
      </c>
      <c r="AH388" s="7">
        <v>0</v>
      </c>
      <c r="AI388" s="7">
        <v>6.0000000000000001E-3</v>
      </c>
      <c r="AJ388" s="7">
        <v>0</v>
      </c>
      <c r="AK388" s="7" t="s">
        <v>1506</v>
      </c>
      <c r="AL388" s="6">
        <v>1</v>
      </c>
      <c r="AM388" s="41">
        <f>INDEX(Sheet5!$B$19:$G$33,MATCH(Sheet1!AQ388,Sheet5!$A$19:$A$33,0),MATCH(J388,Sheet5!$B$18:$G$18,0))</f>
        <v>2000</v>
      </c>
      <c r="AN388" s="6" t="s">
        <v>48</v>
      </c>
      <c r="AO388" s="6" t="s">
        <v>734</v>
      </c>
      <c r="AP388" s="6">
        <v>20308</v>
      </c>
      <c r="AQ388" s="13">
        <v>100</v>
      </c>
    </row>
    <row r="389" spans="1:43" ht="16.5">
      <c r="A389" s="6">
        <v>2459</v>
      </c>
      <c r="B389" s="22" t="s">
        <v>2040</v>
      </c>
      <c r="C389" s="22" t="s">
        <v>164</v>
      </c>
      <c r="D389" s="8" t="s">
        <v>113</v>
      </c>
      <c r="E389" s="14">
        <v>11010</v>
      </c>
      <c r="F389" s="65">
        <v>2000</v>
      </c>
      <c r="G389" s="6">
        <v>300</v>
      </c>
      <c r="H389" s="6">
        <v>50</v>
      </c>
      <c r="I389" s="8" t="s">
        <v>719</v>
      </c>
      <c r="J389" s="6">
        <v>2</v>
      </c>
      <c r="K389" s="6">
        <v>6</v>
      </c>
      <c r="L389" s="6">
        <v>20</v>
      </c>
      <c r="M389" s="6">
        <v>0</v>
      </c>
      <c r="N389">
        <v>1760</v>
      </c>
      <c r="O389" s="6">
        <v>0</v>
      </c>
      <c r="P389" s="6">
        <v>0</v>
      </c>
      <c r="Q389" s="6">
        <v>0</v>
      </c>
      <c r="R389" s="6">
        <v>0</v>
      </c>
      <c r="S389" s="6">
        <v>0</v>
      </c>
      <c r="T389" s="6">
        <v>0</v>
      </c>
      <c r="U389" s="6">
        <v>0</v>
      </c>
      <c r="V389" s="6">
        <v>6</v>
      </c>
      <c r="W389" s="6">
        <v>0</v>
      </c>
      <c r="X389" s="6">
        <v>0</v>
      </c>
      <c r="Y389" s="6">
        <v>0</v>
      </c>
      <c r="Z389" s="6">
        <v>0</v>
      </c>
      <c r="AA389" s="6">
        <v>0</v>
      </c>
      <c r="AB389" s="6">
        <v>0</v>
      </c>
      <c r="AC389" s="7">
        <v>0</v>
      </c>
      <c r="AD389" s="7">
        <v>24</v>
      </c>
      <c r="AE389" s="7">
        <v>0</v>
      </c>
      <c r="AF389" s="7">
        <v>0</v>
      </c>
      <c r="AG389" s="7">
        <v>0</v>
      </c>
      <c r="AH389" s="7">
        <v>0</v>
      </c>
      <c r="AI389" s="7">
        <v>6.0000000000000001E-3</v>
      </c>
      <c r="AJ389" s="7">
        <v>0</v>
      </c>
      <c r="AK389" s="7" t="s">
        <v>1506</v>
      </c>
      <c r="AL389" s="6">
        <v>1</v>
      </c>
      <c r="AM389" s="41">
        <f>INDEX(Sheet5!$B$19:$G$33,MATCH(Sheet1!AQ389,Sheet5!$A$19:$A$33,0),MATCH(J389,Sheet5!$B$18:$G$18,0))</f>
        <v>2200</v>
      </c>
      <c r="AN389" s="6" t="s">
        <v>48</v>
      </c>
      <c r="AO389" s="6" t="s">
        <v>734</v>
      </c>
      <c r="AP389" s="6">
        <v>20309</v>
      </c>
      <c r="AQ389" s="13">
        <v>110</v>
      </c>
    </row>
    <row r="390" spans="1:43" ht="16.5">
      <c r="A390" s="6">
        <v>2460</v>
      </c>
      <c r="B390" s="22" t="s">
        <v>2041</v>
      </c>
      <c r="C390" s="22" t="s">
        <v>164</v>
      </c>
      <c r="D390" s="8" t="s">
        <v>113</v>
      </c>
      <c r="E390" s="14">
        <v>11010</v>
      </c>
      <c r="F390" s="65">
        <v>2000</v>
      </c>
      <c r="G390" s="6">
        <v>300</v>
      </c>
      <c r="H390" s="6">
        <v>50</v>
      </c>
      <c r="I390" s="8" t="s">
        <v>719</v>
      </c>
      <c r="J390" s="6">
        <v>2</v>
      </c>
      <c r="K390" s="6">
        <v>6</v>
      </c>
      <c r="L390" s="6">
        <v>20</v>
      </c>
      <c r="M390" s="6">
        <v>0</v>
      </c>
      <c r="N390">
        <v>1920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6</v>
      </c>
      <c r="W390" s="6">
        <v>0</v>
      </c>
      <c r="X390" s="6">
        <v>0</v>
      </c>
      <c r="Y390" s="6">
        <v>0</v>
      </c>
      <c r="Z390" s="6">
        <v>0</v>
      </c>
      <c r="AA390" s="6">
        <v>0</v>
      </c>
      <c r="AB390" s="6">
        <v>0</v>
      </c>
      <c r="AC390" s="7">
        <v>0</v>
      </c>
      <c r="AD390" s="7">
        <v>24</v>
      </c>
      <c r="AE390" s="7">
        <v>0</v>
      </c>
      <c r="AF390" s="7">
        <v>0</v>
      </c>
      <c r="AG390" s="7">
        <v>0</v>
      </c>
      <c r="AH390" s="7">
        <v>0</v>
      </c>
      <c r="AI390" s="7">
        <v>6.0000000000000001E-3</v>
      </c>
      <c r="AJ390" s="7">
        <v>0</v>
      </c>
      <c r="AK390" s="7" t="s">
        <v>1506</v>
      </c>
      <c r="AL390" s="6">
        <v>1</v>
      </c>
      <c r="AM390" s="41">
        <f>INDEX(Sheet5!$B$19:$G$33,MATCH(Sheet1!AQ390,Sheet5!$A$19:$A$33,0),MATCH(J390,Sheet5!$B$18:$G$18,0))</f>
        <v>2400</v>
      </c>
      <c r="AN390" s="6" t="s">
        <v>48</v>
      </c>
      <c r="AO390" s="6" t="s">
        <v>734</v>
      </c>
      <c r="AP390" s="6">
        <v>20310</v>
      </c>
      <c r="AQ390" s="13">
        <v>120</v>
      </c>
    </row>
    <row r="391" spans="1:43" ht="16.5">
      <c r="A391" s="6">
        <v>2461</v>
      </c>
      <c r="B391" s="22" t="s">
        <v>2042</v>
      </c>
      <c r="C391" s="22" t="s">
        <v>164</v>
      </c>
      <c r="D391" s="8" t="s">
        <v>113</v>
      </c>
      <c r="E391" s="14">
        <v>11010</v>
      </c>
      <c r="F391" s="65">
        <v>2000</v>
      </c>
      <c r="G391" s="6">
        <v>300</v>
      </c>
      <c r="H391" s="6">
        <v>50</v>
      </c>
      <c r="I391" s="8" t="s">
        <v>719</v>
      </c>
      <c r="J391" s="6">
        <v>2</v>
      </c>
      <c r="K391" s="6">
        <v>6</v>
      </c>
      <c r="L391" s="6">
        <v>20</v>
      </c>
      <c r="M391" s="6">
        <v>0</v>
      </c>
      <c r="N391">
        <v>2080</v>
      </c>
      <c r="O391" s="6">
        <v>0</v>
      </c>
      <c r="P391" s="6">
        <v>0</v>
      </c>
      <c r="Q391" s="6">
        <v>0</v>
      </c>
      <c r="R391" s="6">
        <v>0</v>
      </c>
      <c r="S391" s="6">
        <v>0</v>
      </c>
      <c r="T391" s="6">
        <v>0</v>
      </c>
      <c r="U391" s="6">
        <v>0</v>
      </c>
      <c r="V391" s="6">
        <v>6</v>
      </c>
      <c r="W391" s="6">
        <v>0</v>
      </c>
      <c r="X391" s="6">
        <v>0</v>
      </c>
      <c r="Y391" s="6">
        <v>0</v>
      </c>
      <c r="Z391" s="6">
        <v>0</v>
      </c>
      <c r="AA391" s="6">
        <v>0</v>
      </c>
      <c r="AB391" s="6">
        <v>0</v>
      </c>
      <c r="AC391" s="7">
        <v>0</v>
      </c>
      <c r="AD391" s="7">
        <v>24</v>
      </c>
      <c r="AE391" s="7">
        <v>0</v>
      </c>
      <c r="AF391" s="7">
        <v>0</v>
      </c>
      <c r="AG391" s="7">
        <v>0</v>
      </c>
      <c r="AH391" s="7">
        <v>0</v>
      </c>
      <c r="AI391" s="7">
        <v>6.0000000000000001E-3</v>
      </c>
      <c r="AJ391" s="7">
        <v>0</v>
      </c>
      <c r="AK391" s="7" t="s">
        <v>1506</v>
      </c>
      <c r="AL391" s="6">
        <v>1</v>
      </c>
      <c r="AM391" s="41">
        <f>INDEX(Sheet5!$B$19:$G$33,MATCH(Sheet1!AQ391,Sheet5!$A$19:$A$33,0),MATCH(J391,Sheet5!$B$18:$G$18,0))</f>
        <v>2600</v>
      </c>
      <c r="AN391" s="6" t="s">
        <v>48</v>
      </c>
      <c r="AO391" s="6" t="s">
        <v>734</v>
      </c>
      <c r="AP391" s="6">
        <v>203111</v>
      </c>
      <c r="AQ391" s="13">
        <v>130</v>
      </c>
    </row>
    <row r="392" spans="1:43" ht="16.5">
      <c r="A392" s="6">
        <v>2462</v>
      </c>
      <c r="B392" s="22" t="s">
        <v>2043</v>
      </c>
      <c r="C392" s="22" t="s">
        <v>164</v>
      </c>
      <c r="D392" s="8" t="s">
        <v>113</v>
      </c>
      <c r="E392" s="14">
        <v>11010</v>
      </c>
      <c r="F392" s="65">
        <v>2000</v>
      </c>
      <c r="G392" s="6">
        <v>300</v>
      </c>
      <c r="H392" s="6">
        <v>50</v>
      </c>
      <c r="I392" s="8" t="s">
        <v>719</v>
      </c>
      <c r="J392" s="6">
        <v>2</v>
      </c>
      <c r="K392" s="6">
        <v>6</v>
      </c>
      <c r="L392" s="6">
        <v>20</v>
      </c>
      <c r="M392" s="6">
        <v>0</v>
      </c>
      <c r="N392">
        <v>2240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v>6</v>
      </c>
      <c r="W392" s="6">
        <v>0</v>
      </c>
      <c r="X392" s="6">
        <v>0</v>
      </c>
      <c r="Y392" s="6">
        <v>0</v>
      </c>
      <c r="Z392" s="6">
        <v>0</v>
      </c>
      <c r="AA392" s="6">
        <v>0</v>
      </c>
      <c r="AB392" s="6">
        <v>0</v>
      </c>
      <c r="AC392" s="7">
        <v>0</v>
      </c>
      <c r="AD392" s="7">
        <v>24</v>
      </c>
      <c r="AE392" s="7">
        <v>0</v>
      </c>
      <c r="AF392" s="7">
        <v>0</v>
      </c>
      <c r="AG392" s="7">
        <v>0</v>
      </c>
      <c r="AH392" s="7">
        <v>0</v>
      </c>
      <c r="AI392" s="7">
        <v>6.0000000000000001E-3</v>
      </c>
      <c r="AJ392" s="7">
        <v>0</v>
      </c>
      <c r="AK392" s="7" t="s">
        <v>1506</v>
      </c>
      <c r="AL392" s="6">
        <v>1</v>
      </c>
      <c r="AM392" s="41">
        <f>INDEX(Sheet5!$B$19:$G$33,MATCH(Sheet1!AQ392,Sheet5!$A$19:$A$33,0),MATCH(J392,Sheet5!$B$18:$G$18,0))</f>
        <v>2800</v>
      </c>
      <c r="AN392" s="6" t="s">
        <v>48</v>
      </c>
      <c r="AO392" s="6" t="s">
        <v>734</v>
      </c>
      <c r="AP392" s="6">
        <v>203112</v>
      </c>
      <c r="AQ392" s="13">
        <v>140</v>
      </c>
    </row>
    <row r="393" spans="1:43" ht="16.5">
      <c r="A393" s="6">
        <v>2463</v>
      </c>
      <c r="B393" s="22" t="s">
        <v>2044</v>
      </c>
      <c r="C393" s="22" t="s">
        <v>164</v>
      </c>
      <c r="D393" s="8" t="s">
        <v>113</v>
      </c>
      <c r="E393" s="14">
        <v>11010</v>
      </c>
      <c r="F393" s="65">
        <v>2000</v>
      </c>
      <c r="G393" s="6">
        <v>300</v>
      </c>
      <c r="H393" s="6">
        <v>50</v>
      </c>
      <c r="I393" s="8" t="s">
        <v>719</v>
      </c>
      <c r="J393" s="6">
        <v>2</v>
      </c>
      <c r="K393" s="6">
        <v>6</v>
      </c>
      <c r="L393" s="6">
        <v>20</v>
      </c>
      <c r="M393" s="6">
        <v>0</v>
      </c>
      <c r="N393">
        <v>2400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6">
        <v>0</v>
      </c>
      <c r="U393" s="6">
        <v>0</v>
      </c>
      <c r="V393" s="6">
        <v>6</v>
      </c>
      <c r="W393" s="6">
        <v>0</v>
      </c>
      <c r="X393" s="6">
        <v>0</v>
      </c>
      <c r="Y393" s="6">
        <v>0</v>
      </c>
      <c r="Z393" s="6">
        <v>0</v>
      </c>
      <c r="AA393" s="6">
        <v>0</v>
      </c>
      <c r="AB393" s="6">
        <v>0</v>
      </c>
      <c r="AC393" s="7">
        <v>0</v>
      </c>
      <c r="AD393" s="7">
        <v>24</v>
      </c>
      <c r="AE393" s="7">
        <v>0</v>
      </c>
      <c r="AF393" s="7">
        <v>0</v>
      </c>
      <c r="AG393" s="7">
        <v>0</v>
      </c>
      <c r="AH393" s="7">
        <v>0</v>
      </c>
      <c r="AI393" s="7">
        <v>6.0000000000000001E-3</v>
      </c>
      <c r="AJ393" s="7">
        <v>0</v>
      </c>
      <c r="AK393" s="7" t="s">
        <v>1506</v>
      </c>
      <c r="AL393" s="6">
        <v>1</v>
      </c>
      <c r="AM393" s="41">
        <f>INDEX(Sheet5!$B$19:$G$33,MATCH(Sheet1!AQ393,Sheet5!$A$19:$A$33,0),MATCH(J393,Sheet5!$B$18:$G$18,0))</f>
        <v>3000</v>
      </c>
      <c r="AN393" s="6" t="s">
        <v>48</v>
      </c>
      <c r="AO393" s="6" t="s">
        <v>734</v>
      </c>
      <c r="AP393" s="6">
        <v>203113</v>
      </c>
      <c r="AQ393" s="13">
        <v>150</v>
      </c>
    </row>
    <row r="394" spans="1:43" ht="16.5">
      <c r="A394" s="6">
        <v>2464</v>
      </c>
      <c r="B394" s="22" t="s">
        <v>2045</v>
      </c>
      <c r="C394" s="22" t="s">
        <v>164</v>
      </c>
      <c r="D394" s="8" t="s">
        <v>114</v>
      </c>
      <c r="E394" s="14">
        <v>11011</v>
      </c>
      <c r="F394" s="65">
        <v>2000</v>
      </c>
      <c r="G394" s="6">
        <v>300</v>
      </c>
      <c r="H394" s="6">
        <v>50</v>
      </c>
      <c r="I394" s="8" t="s">
        <v>720</v>
      </c>
      <c r="J394" s="6">
        <v>2</v>
      </c>
      <c r="K394" s="6">
        <v>6</v>
      </c>
      <c r="L394" s="6">
        <v>20</v>
      </c>
      <c r="M394">
        <v>400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150</v>
      </c>
      <c r="V394" s="6">
        <v>0</v>
      </c>
      <c r="W394" s="6">
        <v>0</v>
      </c>
      <c r="X394" s="6">
        <v>0</v>
      </c>
      <c r="Y394" s="6">
        <v>0</v>
      </c>
      <c r="Z394" s="6">
        <v>0</v>
      </c>
      <c r="AA394" s="6">
        <v>0</v>
      </c>
      <c r="AB394" s="6">
        <v>0</v>
      </c>
      <c r="AC394" s="7">
        <v>600</v>
      </c>
      <c r="AD394" s="7">
        <v>0</v>
      </c>
      <c r="AE394" s="7">
        <v>0</v>
      </c>
      <c r="AF394" s="7">
        <v>0</v>
      </c>
      <c r="AG394" s="7">
        <v>3.0000000000000001E-3</v>
      </c>
      <c r="AH394" s="7">
        <v>0</v>
      </c>
      <c r="AI394" s="7">
        <v>0</v>
      </c>
      <c r="AJ394" s="7">
        <v>0</v>
      </c>
      <c r="AK394" s="7" t="s">
        <v>1506</v>
      </c>
      <c r="AL394" s="6">
        <v>3</v>
      </c>
      <c r="AM394" s="41">
        <f>INDEX(Sheet5!$B$19:$G$33,MATCH(Sheet1!AQ394,Sheet5!$A$19:$A$33,0),MATCH(J394,Sheet5!$B$18:$G$18,0))</f>
        <v>200</v>
      </c>
      <c r="AN394" s="6" t="s">
        <v>48</v>
      </c>
      <c r="AO394" s="6" t="s">
        <v>735</v>
      </c>
      <c r="AP394" s="6">
        <v>31</v>
      </c>
      <c r="AQ394" s="13">
        <v>10</v>
      </c>
    </row>
    <row r="395" spans="1:43" s="102" customFormat="1" ht="16.5">
      <c r="A395" s="100">
        <v>2031</v>
      </c>
      <c r="B395" s="100" t="s">
        <v>2046</v>
      </c>
      <c r="C395" s="100" t="s">
        <v>164</v>
      </c>
      <c r="D395" s="100" t="s">
        <v>114</v>
      </c>
      <c r="E395" s="101">
        <v>11011</v>
      </c>
      <c r="F395" s="100">
        <v>2000</v>
      </c>
      <c r="G395" s="100">
        <v>300</v>
      </c>
      <c r="H395" s="100">
        <v>50</v>
      </c>
      <c r="I395" s="100" t="s">
        <v>720</v>
      </c>
      <c r="J395" s="100">
        <v>2</v>
      </c>
      <c r="K395" s="100">
        <v>6</v>
      </c>
      <c r="L395" s="100">
        <v>20</v>
      </c>
      <c r="M395">
        <v>800</v>
      </c>
      <c r="N395" s="100">
        <v>0</v>
      </c>
      <c r="O395" s="100">
        <v>0</v>
      </c>
      <c r="P395" s="100">
        <v>0</v>
      </c>
      <c r="Q395" s="100">
        <v>0</v>
      </c>
      <c r="R395" s="100">
        <v>0</v>
      </c>
      <c r="S395" s="100">
        <v>0</v>
      </c>
      <c r="T395" s="100">
        <v>0</v>
      </c>
      <c r="U395" s="100">
        <v>150</v>
      </c>
      <c r="V395" s="100">
        <v>0</v>
      </c>
      <c r="W395" s="100">
        <v>0</v>
      </c>
      <c r="X395" s="100">
        <v>0</v>
      </c>
      <c r="Y395" s="100">
        <v>0</v>
      </c>
      <c r="Z395" s="100">
        <v>0</v>
      </c>
      <c r="AA395" s="100">
        <v>0</v>
      </c>
      <c r="AB395" s="100">
        <v>0</v>
      </c>
      <c r="AC395" s="100">
        <v>600</v>
      </c>
      <c r="AD395" s="100">
        <v>0</v>
      </c>
      <c r="AE395" s="100">
        <v>0</v>
      </c>
      <c r="AF395" s="100">
        <v>0</v>
      </c>
      <c r="AG395" s="100">
        <v>3.0000000000000001E-3</v>
      </c>
      <c r="AH395" s="100">
        <v>0</v>
      </c>
      <c r="AI395" s="100">
        <v>0</v>
      </c>
      <c r="AJ395" s="100">
        <v>0</v>
      </c>
      <c r="AK395" s="7" t="s">
        <v>1506</v>
      </c>
      <c r="AL395" s="100">
        <v>3</v>
      </c>
      <c r="AM395" s="41">
        <f>INDEX(Sheet5!$B$19:$G$33,MATCH(Sheet1!AQ395,Sheet5!$A$19:$A$33,0),MATCH(J395,Sheet5!$B$18:$G$18,0))</f>
        <v>400</v>
      </c>
      <c r="AN395" s="100" t="s">
        <v>1487</v>
      </c>
      <c r="AO395" s="100" t="s">
        <v>735</v>
      </c>
      <c r="AP395" s="100">
        <v>2031</v>
      </c>
      <c r="AQ395" s="13">
        <v>20</v>
      </c>
    </row>
    <row r="396" spans="1:43" ht="16.5">
      <c r="A396" s="6">
        <v>2465</v>
      </c>
      <c r="B396" s="22" t="s">
        <v>2047</v>
      </c>
      <c r="C396" s="22" t="s">
        <v>164</v>
      </c>
      <c r="D396" s="8" t="s">
        <v>114</v>
      </c>
      <c r="E396" s="14">
        <v>11011</v>
      </c>
      <c r="F396" s="65">
        <v>2000</v>
      </c>
      <c r="G396" s="6">
        <v>300</v>
      </c>
      <c r="H396" s="6">
        <v>50</v>
      </c>
      <c r="I396" s="8" t="s">
        <v>720</v>
      </c>
      <c r="J396" s="6">
        <v>2</v>
      </c>
      <c r="K396" s="6">
        <v>6</v>
      </c>
      <c r="L396" s="6">
        <v>20</v>
      </c>
      <c r="M396">
        <v>1200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150</v>
      </c>
      <c r="V396" s="6">
        <v>0</v>
      </c>
      <c r="W396" s="6">
        <v>0</v>
      </c>
      <c r="X396" s="6">
        <v>0</v>
      </c>
      <c r="Y396" s="6">
        <v>0</v>
      </c>
      <c r="Z396" s="6">
        <v>0</v>
      </c>
      <c r="AA396" s="6">
        <v>0</v>
      </c>
      <c r="AB396" s="6">
        <v>0</v>
      </c>
      <c r="AC396" s="7">
        <v>600</v>
      </c>
      <c r="AD396" s="7">
        <v>0</v>
      </c>
      <c r="AE396" s="7">
        <v>0</v>
      </c>
      <c r="AF396" s="7">
        <v>0</v>
      </c>
      <c r="AG396" s="7">
        <v>3.0000000000000001E-3</v>
      </c>
      <c r="AH396" s="7">
        <v>0</v>
      </c>
      <c r="AI396" s="7">
        <v>0</v>
      </c>
      <c r="AJ396" s="7">
        <v>0</v>
      </c>
      <c r="AK396" s="7" t="s">
        <v>1506</v>
      </c>
      <c r="AL396" s="6">
        <v>3</v>
      </c>
      <c r="AM396" s="41">
        <f>INDEX(Sheet5!$B$19:$G$33,MATCH(Sheet1!AQ396,Sheet5!$A$19:$A$33,0),MATCH(J396,Sheet5!$B$18:$G$18,0))</f>
        <v>600</v>
      </c>
      <c r="AN396" s="6" t="s">
        <v>48</v>
      </c>
      <c r="AO396" s="6" t="s">
        <v>735</v>
      </c>
      <c r="AP396" s="6">
        <v>20311</v>
      </c>
      <c r="AQ396" s="13">
        <v>30</v>
      </c>
    </row>
    <row r="397" spans="1:43" ht="16.5">
      <c r="A397" s="6">
        <v>2466</v>
      </c>
      <c r="B397" s="22" t="s">
        <v>2048</v>
      </c>
      <c r="C397" s="22" t="s">
        <v>164</v>
      </c>
      <c r="D397" s="8" t="s">
        <v>114</v>
      </c>
      <c r="E397" s="14">
        <v>11011</v>
      </c>
      <c r="F397" s="65">
        <v>2000</v>
      </c>
      <c r="G397" s="6">
        <v>300</v>
      </c>
      <c r="H397" s="6">
        <v>50</v>
      </c>
      <c r="I397" s="8" t="s">
        <v>720</v>
      </c>
      <c r="J397" s="6">
        <v>2</v>
      </c>
      <c r="K397" s="6">
        <v>6</v>
      </c>
      <c r="L397" s="6">
        <v>20</v>
      </c>
      <c r="M397">
        <v>1600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6">
        <v>0</v>
      </c>
      <c r="U397" s="6">
        <v>150</v>
      </c>
      <c r="V397" s="6">
        <v>0</v>
      </c>
      <c r="W397" s="6">
        <v>0</v>
      </c>
      <c r="X397" s="6">
        <v>0</v>
      </c>
      <c r="Y397" s="6">
        <v>0</v>
      </c>
      <c r="Z397" s="6">
        <v>0</v>
      </c>
      <c r="AA397" s="6">
        <v>0</v>
      </c>
      <c r="AB397" s="6">
        <v>0</v>
      </c>
      <c r="AC397" s="7">
        <v>600</v>
      </c>
      <c r="AD397" s="7">
        <v>0</v>
      </c>
      <c r="AE397" s="7">
        <v>0</v>
      </c>
      <c r="AF397" s="7">
        <v>0</v>
      </c>
      <c r="AG397" s="7">
        <v>3.0000000000000001E-3</v>
      </c>
      <c r="AH397" s="7">
        <v>0</v>
      </c>
      <c r="AI397" s="7">
        <v>0</v>
      </c>
      <c r="AJ397" s="7">
        <v>0</v>
      </c>
      <c r="AK397" s="7" t="s">
        <v>1506</v>
      </c>
      <c r="AL397" s="6">
        <v>3</v>
      </c>
      <c r="AM397" s="41">
        <f>INDEX(Sheet5!$B$19:$G$33,MATCH(Sheet1!AQ397,Sheet5!$A$19:$A$33,0),MATCH(J397,Sheet5!$B$18:$G$18,0))</f>
        <v>800</v>
      </c>
      <c r="AN397" s="6" t="s">
        <v>48</v>
      </c>
      <c r="AO397" s="6" t="s">
        <v>735</v>
      </c>
      <c r="AP397" s="6">
        <v>20312</v>
      </c>
      <c r="AQ397" s="13">
        <v>40</v>
      </c>
    </row>
    <row r="398" spans="1:43" ht="16.5">
      <c r="A398" s="6">
        <v>2467</v>
      </c>
      <c r="B398" s="22" t="s">
        <v>2049</v>
      </c>
      <c r="C398" s="22" t="s">
        <v>164</v>
      </c>
      <c r="D398" s="8" t="s">
        <v>114</v>
      </c>
      <c r="E398" s="14">
        <v>11011</v>
      </c>
      <c r="F398" s="65">
        <v>2000</v>
      </c>
      <c r="G398" s="6">
        <v>300</v>
      </c>
      <c r="H398" s="6">
        <v>50</v>
      </c>
      <c r="I398" s="8" t="s">
        <v>720</v>
      </c>
      <c r="J398" s="6">
        <v>2</v>
      </c>
      <c r="K398" s="6">
        <v>6</v>
      </c>
      <c r="L398" s="6">
        <v>20</v>
      </c>
      <c r="M398">
        <v>2000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150</v>
      </c>
      <c r="V398" s="6">
        <v>0</v>
      </c>
      <c r="W398" s="6">
        <v>0</v>
      </c>
      <c r="X398" s="6">
        <v>0</v>
      </c>
      <c r="Y398" s="6">
        <v>0</v>
      </c>
      <c r="Z398" s="6">
        <v>0</v>
      </c>
      <c r="AA398" s="6">
        <v>0</v>
      </c>
      <c r="AB398" s="6">
        <v>0</v>
      </c>
      <c r="AC398" s="7">
        <v>600</v>
      </c>
      <c r="AD398" s="7">
        <v>0</v>
      </c>
      <c r="AE398" s="7">
        <v>0</v>
      </c>
      <c r="AF398" s="7">
        <v>0</v>
      </c>
      <c r="AG398" s="7">
        <v>3.0000000000000001E-3</v>
      </c>
      <c r="AH398" s="7">
        <v>0</v>
      </c>
      <c r="AI398" s="7">
        <v>0</v>
      </c>
      <c r="AJ398" s="7">
        <v>0</v>
      </c>
      <c r="AK398" s="7" t="s">
        <v>1506</v>
      </c>
      <c r="AL398" s="6">
        <v>3</v>
      </c>
      <c r="AM398" s="41">
        <f>INDEX(Sheet5!$B$19:$G$33,MATCH(Sheet1!AQ398,Sheet5!$A$19:$A$33,0),MATCH(J398,Sheet5!$B$18:$G$18,0))</f>
        <v>1000</v>
      </c>
      <c r="AN398" s="6" t="s">
        <v>48</v>
      </c>
      <c r="AO398" s="6" t="s">
        <v>735</v>
      </c>
      <c r="AP398" s="6">
        <v>20313</v>
      </c>
      <c r="AQ398" s="13">
        <v>50</v>
      </c>
    </row>
    <row r="399" spans="1:43" ht="16.5">
      <c r="A399" s="6">
        <v>2468</v>
      </c>
      <c r="B399" s="22" t="s">
        <v>2050</v>
      </c>
      <c r="C399" s="22" t="s">
        <v>164</v>
      </c>
      <c r="D399" s="8" t="s">
        <v>114</v>
      </c>
      <c r="E399" s="14">
        <v>11011</v>
      </c>
      <c r="F399" s="65">
        <v>2000</v>
      </c>
      <c r="G399" s="6">
        <v>300</v>
      </c>
      <c r="H399" s="6">
        <v>50</v>
      </c>
      <c r="I399" s="8" t="s">
        <v>720</v>
      </c>
      <c r="J399" s="6">
        <v>2</v>
      </c>
      <c r="K399" s="6">
        <v>6</v>
      </c>
      <c r="L399" s="6">
        <v>20</v>
      </c>
      <c r="M399">
        <v>2400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6">
        <v>0</v>
      </c>
      <c r="U399" s="6">
        <v>150</v>
      </c>
      <c r="V399" s="6">
        <v>0</v>
      </c>
      <c r="W399" s="6">
        <v>0</v>
      </c>
      <c r="X399" s="6">
        <v>0</v>
      </c>
      <c r="Y399" s="6">
        <v>0</v>
      </c>
      <c r="Z399" s="6">
        <v>0</v>
      </c>
      <c r="AA399" s="6">
        <v>0</v>
      </c>
      <c r="AB399" s="6">
        <v>0</v>
      </c>
      <c r="AC399" s="7">
        <v>600</v>
      </c>
      <c r="AD399" s="7">
        <v>0</v>
      </c>
      <c r="AE399" s="7">
        <v>0</v>
      </c>
      <c r="AF399" s="7">
        <v>0</v>
      </c>
      <c r="AG399" s="7">
        <v>3.0000000000000001E-3</v>
      </c>
      <c r="AH399" s="7">
        <v>0</v>
      </c>
      <c r="AI399" s="7">
        <v>0</v>
      </c>
      <c r="AJ399" s="7">
        <v>0</v>
      </c>
      <c r="AK399" s="7" t="s">
        <v>1506</v>
      </c>
      <c r="AL399" s="6">
        <v>3</v>
      </c>
      <c r="AM399" s="41">
        <f>INDEX(Sheet5!$B$19:$G$33,MATCH(Sheet1!AQ399,Sheet5!$A$19:$A$33,0),MATCH(J399,Sheet5!$B$18:$G$18,0))</f>
        <v>1200</v>
      </c>
      <c r="AN399" s="6" t="s">
        <v>48</v>
      </c>
      <c r="AO399" s="6" t="s">
        <v>735</v>
      </c>
      <c r="AP399" s="6">
        <v>20314</v>
      </c>
      <c r="AQ399" s="13">
        <v>60</v>
      </c>
    </row>
    <row r="400" spans="1:43" ht="16.5">
      <c r="A400" s="6">
        <v>2469</v>
      </c>
      <c r="B400" s="22" t="s">
        <v>2051</v>
      </c>
      <c r="C400" s="22" t="s">
        <v>164</v>
      </c>
      <c r="D400" s="8" t="s">
        <v>114</v>
      </c>
      <c r="E400" s="14">
        <v>11011</v>
      </c>
      <c r="F400" s="65">
        <v>2000</v>
      </c>
      <c r="G400" s="6">
        <v>300</v>
      </c>
      <c r="H400" s="6">
        <v>50</v>
      </c>
      <c r="I400" s="8" t="s">
        <v>720</v>
      </c>
      <c r="J400" s="6">
        <v>2</v>
      </c>
      <c r="K400" s="6">
        <v>6</v>
      </c>
      <c r="L400" s="6">
        <v>20</v>
      </c>
      <c r="M400">
        <v>2800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150</v>
      </c>
      <c r="V400" s="6">
        <v>0</v>
      </c>
      <c r="W400" s="6">
        <v>0</v>
      </c>
      <c r="X400" s="6">
        <v>0</v>
      </c>
      <c r="Y400" s="6">
        <v>0</v>
      </c>
      <c r="Z400" s="6">
        <v>0</v>
      </c>
      <c r="AA400" s="6">
        <v>0</v>
      </c>
      <c r="AB400" s="6">
        <v>0</v>
      </c>
      <c r="AC400" s="7">
        <v>600</v>
      </c>
      <c r="AD400" s="7">
        <v>0</v>
      </c>
      <c r="AE400" s="7">
        <v>0</v>
      </c>
      <c r="AF400" s="7">
        <v>0</v>
      </c>
      <c r="AG400" s="7">
        <v>3.0000000000000001E-3</v>
      </c>
      <c r="AH400" s="7">
        <v>0</v>
      </c>
      <c r="AI400" s="7">
        <v>0</v>
      </c>
      <c r="AJ400" s="7">
        <v>0</v>
      </c>
      <c r="AK400" s="7" t="s">
        <v>1506</v>
      </c>
      <c r="AL400" s="6">
        <v>3</v>
      </c>
      <c r="AM400" s="41">
        <f>INDEX(Sheet5!$B$19:$G$33,MATCH(Sheet1!AQ400,Sheet5!$A$19:$A$33,0),MATCH(J400,Sheet5!$B$18:$G$18,0))</f>
        <v>1400</v>
      </c>
      <c r="AN400" s="6" t="s">
        <v>48</v>
      </c>
      <c r="AO400" s="6" t="s">
        <v>735</v>
      </c>
      <c r="AP400" s="6">
        <v>20315</v>
      </c>
      <c r="AQ400" s="13">
        <v>70</v>
      </c>
    </row>
    <row r="401" spans="1:43" ht="16.5">
      <c r="A401" s="6">
        <v>2470</v>
      </c>
      <c r="B401" s="22" t="s">
        <v>2052</v>
      </c>
      <c r="C401" s="22" t="s">
        <v>164</v>
      </c>
      <c r="D401" s="8" t="s">
        <v>114</v>
      </c>
      <c r="E401" s="14">
        <v>11011</v>
      </c>
      <c r="F401" s="65">
        <v>2000</v>
      </c>
      <c r="G401" s="6">
        <v>300</v>
      </c>
      <c r="H401" s="6">
        <v>50</v>
      </c>
      <c r="I401" s="8" t="s">
        <v>720</v>
      </c>
      <c r="J401" s="6">
        <v>2</v>
      </c>
      <c r="K401" s="6">
        <v>6</v>
      </c>
      <c r="L401" s="6">
        <v>20</v>
      </c>
      <c r="M401">
        <v>3200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6">
        <v>0</v>
      </c>
      <c r="U401" s="6">
        <v>150</v>
      </c>
      <c r="V401" s="6">
        <v>0</v>
      </c>
      <c r="W401" s="6">
        <v>0</v>
      </c>
      <c r="X401" s="6">
        <v>0</v>
      </c>
      <c r="Y401" s="6">
        <v>0</v>
      </c>
      <c r="Z401" s="6">
        <v>0</v>
      </c>
      <c r="AA401" s="6">
        <v>0</v>
      </c>
      <c r="AB401" s="6">
        <v>0</v>
      </c>
      <c r="AC401" s="7">
        <v>600</v>
      </c>
      <c r="AD401" s="7">
        <v>0</v>
      </c>
      <c r="AE401" s="7">
        <v>0</v>
      </c>
      <c r="AF401" s="7">
        <v>0</v>
      </c>
      <c r="AG401" s="7">
        <v>3.0000000000000001E-3</v>
      </c>
      <c r="AH401" s="7">
        <v>0</v>
      </c>
      <c r="AI401" s="7">
        <v>0</v>
      </c>
      <c r="AJ401" s="7">
        <v>0</v>
      </c>
      <c r="AK401" s="7" t="s">
        <v>1506</v>
      </c>
      <c r="AL401" s="6">
        <v>3</v>
      </c>
      <c r="AM401" s="41">
        <f>INDEX(Sheet5!$B$19:$G$33,MATCH(Sheet1!AQ401,Sheet5!$A$19:$A$33,0),MATCH(J401,Sheet5!$B$18:$G$18,0))</f>
        <v>1600</v>
      </c>
      <c r="AN401" s="6" t="s">
        <v>48</v>
      </c>
      <c r="AO401" s="6" t="s">
        <v>735</v>
      </c>
      <c r="AP401" s="6">
        <v>20316</v>
      </c>
      <c r="AQ401" s="13">
        <v>80</v>
      </c>
    </row>
    <row r="402" spans="1:43" ht="16.5">
      <c r="A402" s="6">
        <v>2471</v>
      </c>
      <c r="B402" s="22" t="s">
        <v>2053</v>
      </c>
      <c r="C402" s="22" t="s">
        <v>164</v>
      </c>
      <c r="D402" s="8" t="s">
        <v>114</v>
      </c>
      <c r="E402" s="14">
        <v>11011</v>
      </c>
      <c r="F402" s="65">
        <v>2000</v>
      </c>
      <c r="G402" s="6">
        <v>300</v>
      </c>
      <c r="H402" s="6">
        <v>50</v>
      </c>
      <c r="I402" s="8" t="s">
        <v>720</v>
      </c>
      <c r="J402" s="6">
        <v>2</v>
      </c>
      <c r="K402" s="6">
        <v>6</v>
      </c>
      <c r="L402" s="6">
        <v>20</v>
      </c>
      <c r="M402">
        <v>3600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150</v>
      </c>
      <c r="V402" s="6">
        <v>0</v>
      </c>
      <c r="W402" s="6">
        <v>0</v>
      </c>
      <c r="X402" s="6">
        <v>0</v>
      </c>
      <c r="Y402" s="6">
        <v>0</v>
      </c>
      <c r="Z402" s="6">
        <v>0</v>
      </c>
      <c r="AA402" s="6">
        <v>0</v>
      </c>
      <c r="AB402" s="6">
        <v>0</v>
      </c>
      <c r="AC402" s="7">
        <v>600</v>
      </c>
      <c r="AD402" s="7">
        <v>0</v>
      </c>
      <c r="AE402" s="7">
        <v>0</v>
      </c>
      <c r="AF402" s="7">
        <v>0</v>
      </c>
      <c r="AG402" s="7">
        <v>3.0000000000000001E-3</v>
      </c>
      <c r="AH402" s="7">
        <v>0</v>
      </c>
      <c r="AI402" s="7">
        <v>0</v>
      </c>
      <c r="AJ402" s="7">
        <v>0</v>
      </c>
      <c r="AK402" s="7" t="s">
        <v>1506</v>
      </c>
      <c r="AL402" s="6">
        <v>3</v>
      </c>
      <c r="AM402" s="41">
        <f>INDEX(Sheet5!$B$19:$G$33,MATCH(Sheet1!AQ402,Sheet5!$A$19:$A$33,0),MATCH(J402,Sheet5!$B$18:$G$18,0))</f>
        <v>1800</v>
      </c>
      <c r="AN402" s="6" t="s">
        <v>48</v>
      </c>
      <c r="AO402" s="6" t="s">
        <v>735</v>
      </c>
      <c r="AP402" s="6">
        <v>20317</v>
      </c>
      <c r="AQ402" s="13">
        <v>90</v>
      </c>
    </row>
    <row r="403" spans="1:43" ht="16.5">
      <c r="A403" s="6">
        <v>2472</v>
      </c>
      <c r="B403" s="22" t="s">
        <v>2054</v>
      </c>
      <c r="C403" s="22" t="s">
        <v>164</v>
      </c>
      <c r="D403" s="8" t="s">
        <v>114</v>
      </c>
      <c r="E403" s="14">
        <v>11011</v>
      </c>
      <c r="F403" s="65">
        <v>2000</v>
      </c>
      <c r="G403" s="6">
        <v>300</v>
      </c>
      <c r="H403" s="6">
        <v>50</v>
      </c>
      <c r="I403" s="8" t="s">
        <v>720</v>
      </c>
      <c r="J403" s="6">
        <v>2</v>
      </c>
      <c r="K403" s="6">
        <v>6</v>
      </c>
      <c r="L403" s="6">
        <v>20</v>
      </c>
      <c r="M403">
        <v>4000</v>
      </c>
      <c r="N403" s="6">
        <v>0</v>
      </c>
      <c r="O403" s="6">
        <v>0</v>
      </c>
      <c r="P403" s="6">
        <v>0</v>
      </c>
      <c r="Q403" s="6">
        <v>0</v>
      </c>
      <c r="R403" s="6">
        <v>0</v>
      </c>
      <c r="S403" s="6">
        <v>0</v>
      </c>
      <c r="T403" s="6">
        <v>0</v>
      </c>
      <c r="U403" s="6">
        <v>150</v>
      </c>
      <c r="V403" s="6">
        <v>0</v>
      </c>
      <c r="W403" s="6">
        <v>0</v>
      </c>
      <c r="X403" s="6">
        <v>0</v>
      </c>
      <c r="Y403" s="6">
        <v>0</v>
      </c>
      <c r="Z403" s="6">
        <v>0</v>
      </c>
      <c r="AA403" s="6">
        <v>0</v>
      </c>
      <c r="AB403" s="6">
        <v>0</v>
      </c>
      <c r="AC403" s="7">
        <v>600</v>
      </c>
      <c r="AD403" s="7">
        <v>0</v>
      </c>
      <c r="AE403" s="7">
        <v>0</v>
      </c>
      <c r="AF403" s="7">
        <v>0</v>
      </c>
      <c r="AG403" s="7">
        <v>3.0000000000000001E-3</v>
      </c>
      <c r="AH403" s="7">
        <v>0</v>
      </c>
      <c r="AI403" s="7">
        <v>0</v>
      </c>
      <c r="AJ403" s="7">
        <v>0</v>
      </c>
      <c r="AK403" s="7" t="s">
        <v>1506</v>
      </c>
      <c r="AL403" s="6">
        <v>3</v>
      </c>
      <c r="AM403" s="41">
        <f>INDEX(Sheet5!$B$19:$G$33,MATCH(Sheet1!AQ403,Sheet5!$A$19:$A$33,0),MATCH(J403,Sheet5!$B$18:$G$18,0))</f>
        <v>2000</v>
      </c>
      <c r="AN403" s="6" t="s">
        <v>48</v>
      </c>
      <c r="AO403" s="6" t="s">
        <v>735</v>
      </c>
      <c r="AP403" s="6">
        <v>20318</v>
      </c>
      <c r="AQ403" s="13">
        <v>100</v>
      </c>
    </row>
    <row r="404" spans="1:43" ht="16.5">
      <c r="A404" s="6">
        <v>2473</v>
      </c>
      <c r="B404" s="22" t="s">
        <v>2055</v>
      </c>
      <c r="C404" s="22" t="s">
        <v>164</v>
      </c>
      <c r="D404" s="8" t="s">
        <v>114</v>
      </c>
      <c r="E404" s="14">
        <v>11011</v>
      </c>
      <c r="F404" s="65">
        <v>2000</v>
      </c>
      <c r="G404" s="6">
        <v>300</v>
      </c>
      <c r="H404" s="6">
        <v>50</v>
      </c>
      <c r="I404" s="8" t="s">
        <v>720</v>
      </c>
      <c r="J404" s="6">
        <v>2</v>
      </c>
      <c r="K404" s="6">
        <v>6</v>
      </c>
      <c r="L404" s="6">
        <v>20</v>
      </c>
      <c r="M404">
        <v>4400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150</v>
      </c>
      <c r="V404" s="6">
        <v>0</v>
      </c>
      <c r="W404" s="6">
        <v>0</v>
      </c>
      <c r="X404" s="6">
        <v>0</v>
      </c>
      <c r="Y404" s="6">
        <v>0</v>
      </c>
      <c r="Z404" s="6">
        <v>0</v>
      </c>
      <c r="AA404" s="6">
        <v>0</v>
      </c>
      <c r="AB404" s="6">
        <v>0</v>
      </c>
      <c r="AC404" s="7">
        <v>600</v>
      </c>
      <c r="AD404" s="7">
        <v>0</v>
      </c>
      <c r="AE404" s="7">
        <v>0</v>
      </c>
      <c r="AF404" s="7">
        <v>0</v>
      </c>
      <c r="AG404" s="7">
        <v>3.0000000000000001E-3</v>
      </c>
      <c r="AH404" s="7">
        <v>0</v>
      </c>
      <c r="AI404" s="7">
        <v>0</v>
      </c>
      <c r="AJ404" s="7">
        <v>0</v>
      </c>
      <c r="AK404" s="7" t="s">
        <v>1506</v>
      </c>
      <c r="AL404" s="6">
        <v>3</v>
      </c>
      <c r="AM404" s="41">
        <f>INDEX(Sheet5!$B$19:$G$33,MATCH(Sheet1!AQ404,Sheet5!$A$19:$A$33,0),MATCH(J404,Sheet5!$B$18:$G$18,0))</f>
        <v>2200</v>
      </c>
      <c r="AN404" s="6" t="s">
        <v>48</v>
      </c>
      <c r="AO404" s="6" t="s">
        <v>735</v>
      </c>
      <c r="AP404" s="6">
        <v>20319</v>
      </c>
      <c r="AQ404" s="13">
        <v>110</v>
      </c>
    </row>
    <row r="405" spans="1:43" ht="16.5">
      <c r="A405" s="6">
        <v>2474</v>
      </c>
      <c r="B405" s="22" t="s">
        <v>2056</v>
      </c>
      <c r="C405" s="22" t="s">
        <v>164</v>
      </c>
      <c r="D405" s="8" t="s">
        <v>114</v>
      </c>
      <c r="E405" s="14">
        <v>11011</v>
      </c>
      <c r="F405" s="65">
        <v>2000</v>
      </c>
      <c r="G405" s="6">
        <v>300</v>
      </c>
      <c r="H405" s="6">
        <v>50</v>
      </c>
      <c r="I405" s="8" t="s">
        <v>720</v>
      </c>
      <c r="J405" s="6">
        <v>2</v>
      </c>
      <c r="K405" s="6">
        <v>6</v>
      </c>
      <c r="L405" s="6">
        <v>20</v>
      </c>
      <c r="M405">
        <v>4800</v>
      </c>
      <c r="N405" s="6">
        <v>0</v>
      </c>
      <c r="O405" s="6">
        <v>0</v>
      </c>
      <c r="P405" s="6">
        <v>0</v>
      </c>
      <c r="Q405" s="6">
        <v>0</v>
      </c>
      <c r="R405" s="6">
        <v>0</v>
      </c>
      <c r="S405" s="6">
        <v>0</v>
      </c>
      <c r="T405" s="6">
        <v>0</v>
      </c>
      <c r="U405" s="6">
        <v>150</v>
      </c>
      <c r="V405" s="6">
        <v>0</v>
      </c>
      <c r="W405" s="6">
        <v>0</v>
      </c>
      <c r="X405" s="6">
        <v>0</v>
      </c>
      <c r="Y405" s="6">
        <v>0</v>
      </c>
      <c r="Z405" s="6">
        <v>0</v>
      </c>
      <c r="AA405" s="6">
        <v>0</v>
      </c>
      <c r="AB405" s="6">
        <v>0</v>
      </c>
      <c r="AC405" s="7">
        <v>600</v>
      </c>
      <c r="AD405" s="7">
        <v>0</v>
      </c>
      <c r="AE405" s="7">
        <v>0</v>
      </c>
      <c r="AF405" s="7">
        <v>0</v>
      </c>
      <c r="AG405" s="7">
        <v>3.0000000000000001E-3</v>
      </c>
      <c r="AH405" s="7">
        <v>0</v>
      </c>
      <c r="AI405" s="7">
        <v>0</v>
      </c>
      <c r="AJ405" s="7">
        <v>0</v>
      </c>
      <c r="AK405" s="7" t="s">
        <v>1506</v>
      </c>
      <c r="AL405" s="6">
        <v>3</v>
      </c>
      <c r="AM405" s="41">
        <f>INDEX(Sheet5!$B$19:$G$33,MATCH(Sheet1!AQ405,Sheet5!$A$19:$A$33,0),MATCH(J405,Sheet5!$B$18:$G$18,0))</f>
        <v>2400</v>
      </c>
      <c r="AN405" s="6" t="s">
        <v>48</v>
      </c>
      <c r="AO405" s="6" t="s">
        <v>735</v>
      </c>
      <c r="AP405" s="6">
        <v>20320</v>
      </c>
      <c r="AQ405" s="13">
        <v>120</v>
      </c>
    </row>
    <row r="406" spans="1:43" ht="16.5">
      <c r="A406" s="6">
        <v>2475</v>
      </c>
      <c r="B406" s="22" t="s">
        <v>2057</v>
      </c>
      <c r="C406" s="22" t="s">
        <v>164</v>
      </c>
      <c r="D406" s="8" t="s">
        <v>114</v>
      </c>
      <c r="E406" s="14">
        <v>11011</v>
      </c>
      <c r="F406" s="65">
        <v>2000</v>
      </c>
      <c r="G406" s="6">
        <v>300</v>
      </c>
      <c r="H406" s="6">
        <v>50</v>
      </c>
      <c r="I406" s="8" t="s">
        <v>720</v>
      </c>
      <c r="J406" s="6">
        <v>2</v>
      </c>
      <c r="K406" s="6">
        <v>6</v>
      </c>
      <c r="L406" s="6">
        <v>20</v>
      </c>
      <c r="M406">
        <v>5200</v>
      </c>
      <c r="N406" s="6">
        <v>0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150</v>
      </c>
      <c r="V406" s="6">
        <v>0</v>
      </c>
      <c r="W406" s="6">
        <v>0</v>
      </c>
      <c r="X406" s="6">
        <v>0</v>
      </c>
      <c r="Y406" s="6">
        <v>0</v>
      </c>
      <c r="Z406" s="6">
        <v>0</v>
      </c>
      <c r="AA406" s="6">
        <v>0</v>
      </c>
      <c r="AB406" s="6">
        <v>0</v>
      </c>
      <c r="AC406" s="7">
        <v>600</v>
      </c>
      <c r="AD406" s="7">
        <v>0</v>
      </c>
      <c r="AE406" s="7">
        <v>0</v>
      </c>
      <c r="AF406" s="7">
        <v>0</v>
      </c>
      <c r="AG406" s="7">
        <v>3.0000000000000001E-3</v>
      </c>
      <c r="AH406" s="7">
        <v>0</v>
      </c>
      <c r="AI406" s="7">
        <v>0</v>
      </c>
      <c r="AJ406" s="7">
        <v>0</v>
      </c>
      <c r="AK406" s="7" t="s">
        <v>1506</v>
      </c>
      <c r="AL406" s="6">
        <v>3</v>
      </c>
      <c r="AM406" s="41">
        <f>INDEX(Sheet5!$B$19:$G$33,MATCH(Sheet1!AQ406,Sheet5!$A$19:$A$33,0),MATCH(J406,Sheet5!$B$18:$G$18,0))</f>
        <v>2600</v>
      </c>
      <c r="AN406" s="6" t="s">
        <v>48</v>
      </c>
      <c r="AO406" s="6" t="s">
        <v>735</v>
      </c>
      <c r="AP406" s="6">
        <v>203211</v>
      </c>
      <c r="AQ406" s="13">
        <v>130</v>
      </c>
    </row>
    <row r="407" spans="1:43" ht="16.5">
      <c r="A407" s="6">
        <v>2476</v>
      </c>
      <c r="B407" s="22" t="s">
        <v>2058</v>
      </c>
      <c r="C407" s="22" t="s">
        <v>164</v>
      </c>
      <c r="D407" s="8" t="s">
        <v>114</v>
      </c>
      <c r="E407" s="14">
        <v>11011</v>
      </c>
      <c r="F407" s="65">
        <v>2000</v>
      </c>
      <c r="G407" s="6">
        <v>300</v>
      </c>
      <c r="H407" s="6">
        <v>50</v>
      </c>
      <c r="I407" s="8" t="s">
        <v>720</v>
      </c>
      <c r="J407" s="6">
        <v>2</v>
      </c>
      <c r="K407" s="6">
        <v>6</v>
      </c>
      <c r="L407" s="6">
        <v>20</v>
      </c>
      <c r="M407">
        <v>5600</v>
      </c>
      <c r="N407" s="6">
        <v>0</v>
      </c>
      <c r="O407" s="6">
        <v>0</v>
      </c>
      <c r="P407" s="6">
        <v>0</v>
      </c>
      <c r="Q407" s="6">
        <v>0</v>
      </c>
      <c r="R407" s="6">
        <v>0</v>
      </c>
      <c r="S407" s="6">
        <v>0</v>
      </c>
      <c r="T407" s="6">
        <v>0</v>
      </c>
      <c r="U407" s="6">
        <v>150</v>
      </c>
      <c r="V407" s="6">
        <v>0</v>
      </c>
      <c r="W407" s="6">
        <v>0</v>
      </c>
      <c r="X407" s="6">
        <v>0</v>
      </c>
      <c r="Y407" s="6">
        <v>0</v>
      </c>
      <c r="Z407" s="6">
        <v>0</v>
      </c>
      <c r="AA407" s="6">
        <v>0</v>
      </c>
      <c r="AB407" s="6">
        <v>0</v>
      </c>
      <c r="AC407" s="7">
        <v>600</v>
      </c>
      <c r="AD407" s="7">
        <v>0</v>
      </c>
      <c r="AE407" s="7">
        <v>0</v>
      </c>
      <c r="AF407" s="7">
        <v>0</v>
      </c>
      <c r="AG407" s="7">
        <v>3.0000000000000001E-3</v>
      </c>
      <c r="AH407" s="7">
        <v>0</v>
      </c>
      <c r="AI407" s="7">
        <v>0</v>
      </c>
      <c r="AJ407" s="7">
        <v>0</v>
      </c>
      <c r="AK407" s="7" t="s">
        <v>1506</v>
      </c>
      <c r="AL407" s="6">
        <v>3</v>
      </c>
      <c r="AM407" s="41">
        <f>INDEX(Sheet5!$B$19:$G$33,MATCH(Sheet1!AQ407,Sheet5!$A$19:$A$33,0),MATCH(J407,Sheet5!$B$18:$G$18,0))</f>
        <v>2800</v>
      </c>
      <c r="AN407" s="6" t="s">
        <v>48</v>
      </c>
      <c r="AO407" s="6" t="s">
        <v>735</v>
      </c>
      <c r="AP407" s="6">
        <v>203212</v>
      </c>
      <c r="AQ407" s="13">
        <v>140</v>
      </c>
    </row>
    <row r="408" spans="1:43" ht="16.5">
      <c r="A408" s="6">
        <v>2477</v>
      </c>
      <c r="B408" s="22" t="s">
        <v>2059</v>
      </c>
      <c r="C408" s="22" t="s">
        <v>164</v>
      </c>
      <c r="D408" s="8" t="s">
        <v>114</v>
      </c>
      <c r="E408" s="14">
        <v>11011</v>
      </c>
      <c r="F408" s="65">
        <v>2000</v>
      </c>
      <c r="G408" s="6">
        <v>300</v>
      </c>
      <c r="H408" s="6">
        <v>50</v>
      </c>
      <c r="I408" s="8" t="s">
        <v>720</v>
      </c>
      <c r="J408" s="6">
        <v>2</v>
      </c>
      <c r="K408" s="6">
        <v>6</v>
      </c>
      <c r="L408" s="6">
        <v>20</v>
      </c>
      <c r="M408">
        <v>6000</v>
      </c>
      <c r="N408" s="6">
        <v>0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150</v>
      </c>
      <c r="V408" s="6">
        <v>0</v>
      </c>
      <c r="W408" s="6">
        <v>0</v>
      </c>
      <c r="X408" s="6">
        <v>0</v>
      </c>
      <c r="Y408" s="6">
        <v>0</v>
      </c>
      <c r="Z408" s="6">
        <v>0</v>
      </c>
      <c r="AA408" s="6">
        <v>0</v>
      </c>
      <c r="AB408" s="6">
        <v>0</v>
      </c>
      <c r="AC408" s="7">
        <v>600</v>
      </c>
      <c r="AD408" s="7">
        <v>0</v>
      </c>
      <c r="AE408" s="7">
        <v>0</v>
      </c>
      <c r="AF408" s="7">
        <v>0</v>
      </c>
      <c r="AG408" s="7">
        <v>3.0000000000000001E-3</v>
      </c>
      <c r="AH408" s="7">
        <v>0</v>
      </c>
      <c r="AI408" s="7">
        <v>0</v>
      </c>
      <c r="AJ408" s="7">
        <v>0</v>
      </c>
      <c r="AK408" s="7" t="s">
        <v>1506</v>
      </c>
      <c r="AL408" s="6">
        <v>3</v>
      </c>
      <c r="AM408" s="41">
        <f>INDEX(Sheet5!$B$19:$G$33,MATCH(Sheet1!AQ408,Sheet5!$A$19:$A$33,0),MATCH(J408,Sheet5!$B$18:$G$18,0))</f>
        <v>3000</v>
      </c>
      <c r="AN408" s="6" t="s">
        <v>48</v>
      </c>
      <c r="AO408" s="6" t="s">
        <v>735</v>
      </c>
      <c r="AP408" s="6">
        <v>203213</v>
      </c>
      <c r="AQ408" s="13">
        <v>150</v>
      </c>
    </row>
    <row r="409" spans="1:43" ht="16.5">
      <c r="A409" s="6">
        <v>2478</v>
      </c>
      <c r="B409" s="22" t="s">
        <v>2060</v>
      </c>
      <c r="C409" s="22" t="s">
        <v>164</v>
      </c>
      <c r="D409" s="8" t="s">
        <v>115</v>
      </c>
      <c r="E409" s="14">
        <v>11012</v>
      </c>
      <c r="F409" s="65">
        <v>2000</v>
      </c>
      <c r="G409" s="6">
        <v>300</v>
      </c>
      <c r="H409" s="6">
        <v>50</v>
      </c>
      <c r="I409" s="8" t="s">
        <v>159</v>
      </c>
      <c r="J409" s="6">
        <v>2</v>
      </c>
      <c r="K409" s="6">
        <v>6</v>
      </c>
      <c r="L409" s="6">
        <v>20</v>
      </c>
      <c r="M409" s="6">
        <v>0</v>
      </c>
      <c r="N409" s="6">
        <v>0</v>
      </c>
      <c r="O409" s="6">
        <v>0</v>
      </c>
      <c r="P409">
        <v>80</v>
      </c>
      <c r="Q409" s="6">
        <v>0</v>
      </c>
      <c r="R409" s="6">
        <v>0</v>
      </c>
      <c r="S409" s="6">
        <v>0</v>
      </c>
      <c r="T409" s="6">
        <v>0</v>
      </c>
      <c r="U409" s="6">
        <v>0</v>
      </c>
      <c r="V409" s="6">
        <v>0</v>
      </c>
      <c r="W409" s="6">
        <v>0</v>
      </c>
      <c r="X409" s="6">
        <v>3</v>
      </c>
      <c r="Y409" s="6">
        <v>0</v>
      </c>
      <c r="Z409" s="6">
        <v>0</v>
      </c>
      <c r="AA409" s="6">
        <v>0</v>
      </c>
      <c r="AB409" s="6">
        <v>0</v>
      </c>
      <c r="AC409" s="7">
        <v>0</v>
      </c>
      <c r="AD409" s="7">
        <v>0</v>
      </c>
      <c r="AE409" s="7">
        <v>0</v>
      </c>
      <c r="AF409" s="7">
        <v>12</v>
      </c>
      <c r="AG409" s="7">
        <v>0</v>
      </c>
      <c r="AH409" s="7">
        <v>3.0000000000000001E-3</v>
      </c>
      <c r="AI409" s="7">
        <v>0</v>
      </c>
      <c r="AJ409" s="7">
        <v>0</v>
      </c>
      <c r="AK409" s="7" t="s">
        <v>1506</v>
      </c>
      <c r="AL409" s="6">
        <v>4</v>
      </c>
      <c r="AM409" s="41">
        <f>INDEX(Sheet5!$B$19:$G$33,MATCH(Sheet1!AQ409,Sheet5!$A$19:$A$33,0),MATCH(J409,Sheet5!$B$18:$G$18,0))</f>
        <v>200</v>
      </c>
      <c r="AN409" s="6" t="s">
        <v>48</v>
      </c>
      <c r="AO409" s="6" t="s">
        <v>736</v>
      </c>
      <c r="AP409" s="6">
        <v>32</v>
      </c>
      <c r="AQ409" s="13">
        <v>10</v>
      </c>
    </row>
    <row r="410" spans="1:43" s="102" customFormat="1" ht="16.5">
      <c r="A410" s="100">
        <v>2032</v>
      </c>
      <c r="B410" s="100" t="s">
        <v>2061</v>
      </c>
      <c r="C410" s="100" t="s">
        <v>164</v>
      </c>
      <c r="D410" s="100" t="s">
        <v>115</v>
      </c>
      <c r="E410" s="101">
        <v>11012</v>
      </c>
      <c r="F410" s="100">
        <v>2000</v>
      </c>
      <c r="G410" s="100">
        <v>300</v>
      </c>
      <c r="H410" s="100">
        <v>50</v>
      </c>
      <c r="I410" s="100" t="s">
        <v>159</v>
      </c>
      <c r="J410" s="100">
        <v>2</v>
      </c>
      <c r="K410" s="100">
        <v>6</v>
      </c>
      <c r="L410" s="100">
        <v>20</v>
      </c>
      <c r="M410" s="100">
        <v>0</v>
      </c>
      <c r="N410" s="100">
        <v>0</v>
      </c>
      <c r="O410" s="100">
        <v>0</v>
      </c>
      <c r="P410">
        <v>160</v>
      </c>
      <c r="Q410" s="100">
        <v>0</v>
      </c>
      <c r="R410" s="100">
        <v>0</v>
      </c>
      <c r="S410" s="100">
        <v>0</v>
      </c>
      <c r="T410" s="100">
        <v>0</v>
      </c>
      <c r="U410" s="100">
        <v>0</v>
      </c>
      <c r="V410" s="100">
        <v>0</v>
      </c>
      <c r="W410" s="100">
        <v>0</v>
      </c>
      <c r="X410" s="100">
        <v>3</v>
      </c>
      <c r="Y410" s="100">
        <v>0</v>
      </c>
      <c r="Z410" s="100">
        <v>0</v>
      </c>
      <c r="AA410" s="100">
        <v>0</v>
      </c>
      <c r="AB410" s="100">
        <v>0</v>
      </c>
      <c r="AC410" s="100">
        <v>0</v>
      </c>
      <c r="AD410" s="100">
        <v>0</v>
      </c>
      <c r="AE410" s="100">
        <v>0</v>
      </c>
      <c r="AF410" s="100">
        <v>12</v>
      </c>
      <c r="AG410" s="100">
        <v>0</v>
      </c>
      <c r="AH410" s="100">
        <v>3.0000000000000001E-3</v>
      </c>
      <c r="AI410" s="100">
        <v>0</v>
      </c>
      <c r="AJ410" s="100">
        <v>0</v>
      </c>
      <c r="AK410" s="7" t="s">
        <v>1506</v>
      </c>
      <c r="AL410" s="100">
        <v>4</v>
      </c>
      <c r="AM410" s="41">
        <f>INDEX(Sheet5!$B$19:$G$33,MATCH(Sheet1!AQ410,Sheet5!$A$19:$A$33,0),MATCH(J410,Sheet5!$B$18:$G$18,0))</f>
        <v>400</v>
      </c>
      <c r="AN410" s="100" t="s">
        <v>1489</v>
      </c>
      <c r="AO410" s="100" t="s">
        <v>736</v>
      </c>
      <c r="AP410" s="100">
        <v>2032</v>
      </c>
      <c r="AQ410" s="13">
        <v>20</v>
      </c>
    </row>
    <row r="411" spans="1:43" ht="16.5">
      <c r="A411" s="6">
        <v>2479</v>
      </c>
      <c r="B411" s="22" t="s">
        <v>2062</v>
      </c>
      <c r="C411" s="22" t="s">
        <v>164</v>
      </c>
      <c r="D411" s="8" t="s">
        <v>115</v>
      </c>
      <c r="E411" s="14">
        <v>11012</v>
      </c>
      <c r="F411" s="65">
        <v>2000</v>
      </c>
      <c r="G411" s="6">
        <v>300</v>
      </c>
      <c r="H411" s="6">
        <v>50</v>
      </c>
      <c r="I411" s="8" t="s">
        <v>159</v>
      </c>
      <c r="J411" s="6">
        <v>2</v>
      </c>
      <c r="K411" s="6">
        <v>6</v>
      </c>
      <c r="L411" s="6">
        <v>20</v>
      </c>
      <c r="M411" s="6">
        <v>0</v>
      </c>
      <c r="N411" s="6">
        <v>0</v>
      </c>
      <c r="O411" s="6">
        <v>0</v>
      </c>
      <c r="P411">
        <v>240</v>
      </c>
      <c r="Q411" s="6">
        <v>0</v>
      </c>
      <c r="R411" s="6">
        <v>0</v>
      </c>
      <c r="S411" s="6">
        <v>0</v>
      </c>
      <c r="T411" s="6">
        <v>0</v>
      </c>
      <c r="U411" s="6">
        <v>0</v>
      </c>
      <c r="V411" s="6">
        <v>0</v>
      </c>
      <c r="W411" s="6">
        <v>0</v>
      </c>
      <c r="X411" s="6">
        <v>3</v>
      </c>
      <c r="Y411" s="6">
        <v>0</v>
      </c>
      <c r="Z411" s="6">
        <v>0</v>
      </c>
      <c r="AA411" s="6">
        <v>0</v>
      </c>
      <c r="AB411" s="6">
        <v>0</v>
      </c>
      <c r="AC411" s="7">
        <v>0</v>
      </c>
      <c r="AD411" s="7">
        <v>0</v>
      </c>
      <c r="AE411" s="7">
        <v>0</v>
      </c>
      <c r="AF411" s="7">
        <v>12</v>
      </c>
      <c r="AG411" s="7">
        <v>0</v>
      </c>
      <c r="AH411" s="7">
        <v>3.0000000000000001E-3</v>
      </c>
      <c r="AI411" s="7">
        <v>0</v>
      </c>
      <c r="AJ411" s="7">
        <v>0</v>
      </c>
      <c r="AK411" s="7" t="s">
        <v>1506</v>
      </c>
      <c r="AL411" s="6">
        <v>4</v>
      </c>
      <c r="AM411" s="41">
        <f>INDEX(Sheet5!$B$19:$G$33,MATCH(Sheet1!AQ411,Sheet5!$A$19:$A$33,0),MATCH(J411,Sheet5!$B$18:$G$18,0))</f>
        <v>600</v>
      </c>
      <c r="AN411" s="6" t="s">
        <v>48</v>
      </c>
      <c r="AO411" s="6" t="s">
        <v>736</v>
      </c>
      <c r="AP411" s="6">
        <v>20321</v>
      </c>
      <c r="AQ411" s="13">
        <v>30</v>
      </c>
    </row>
    <row r="412" spans="1:43" ht="16.5">
      <c r="A412" s="6">
        <v>2480</v>
      </c>
      <c r="B412" s="22" t="s">
        <v>2063</v>
      </c>
      <c r="C412" s="22" t="s">
        <v>164</v>
      </c>
      <c r="D412" s="8" t="s">
        <v>115</v>
      </c>
      <c r="E412" s="14">
        <v>11012</v>
      </c>
      <c r="F412" s="65">
        <v>2000</v>
      </c>
      <c r="G412" s="6">
        <v>300</v>
      </c>
      <c r="H412" s="6">
        <v>50</v>
      </c>
      <c r="I412" s="8" t="s">
        <v>159</v>
      </c>
      <c r="J412" s="6">
        <v>2</v>
      </c>
      <c r="K412" s="6">
        <v>6</v>
      </c>
      <c r="L412" s="6">
        <v>20</v>
      </c>
      <c r="M412" s="6">
        <v>0</v>
      </c>
      <c r="N412" s="6">
        <v>0</v>
      </c>
      <c r="O412" s="6">
        <v>0</v>
      </c>
      <c r="P412">
        <v>320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v>0</v>
      </c>
      <c r="W412" s="6">
        <v>0</v>
      </c>
      <c r="X412" s="6">
        <v>3</v>
      </c>
      <c r="Y412" s="6">
        <v>0</v>
      </c>
      <c r="Z412" s="6">
        <v>0</v>
      </c>
      <c r="AA412" s="6">
        <v>0</v>
      </c>
      <c r="AB412" s="6">
        <v>0</v>
      </c>
      <c r="AC412" s="7">
        <v>0</v>
      </c>
      <c r="AD412" s="7">
        <v>0</v>
      </c>
      <c r="AE412" s="7">
        <v>0</v>
      </c>
      <c r="AF412" s="7">
        <v>12</v>
      </c>
      <c r="AG412" s="7">
        <v>0</v>
      </c>
      <c r="AH412" s="7">
        <v>3.0000000000000001E-3</v>
      </c>
      <c r="AI412" s="7">
        <v>0</v>
      </c>
      <c r="AJ412" s="7">
        <v>0</v>
      </c>
      <c r="AK412" s="7" t="s">
        <v>1506</v>
      </c>
      <c r="AL412" s="6">
        <v>4</v>
      </c>
      <c r="AM412" s="41">
        <f>INDEX(Sheet5!$B$19:$G$33,MATCH(Sheet1!AQ412,Sheet5!$A$19:$A$33,0),MATCH(J412,Sheet5!$B$18:$G$18,0))</f>
        <v>800</v>
      </c>
      <c r="AN412" s="6" t="s">
        <v>48</v>
      </c>
      <c r="AO412" s="6" t="s">
        <v>736</v>
      </c>
      <c r="AP412" s="6">
        <v>20322</v>
      </c>
      <c r="AQ412" s="13">
        <v>40</v>
      </c>
    </row>
    <row r="413" spans="1:43" ht="16.5">
      <c r="A413" s="6">
        <v>2481</v>
      </c>
      <c r="B413" s="22" t="s">
        <v>2064</v>
      </c>
      <c r="C413" s="22" t="s">
        <v>164</v>
      </c>
      <c r="D413" s="8" t="s">
        <v>115</v>
      </c>
      <c r="E413" s="14">
        <v>11012</v>
      </c>
      <c r="F413" s="65">
        <v>2000</v>
      </c>
      <c r="G413" s="6">
        <v>300</v>
      </c>
      <c r="H413" s="6">
        <v>50</v>
      </c>
      <c r="I413" s="8" t="s">
        <v>159</v>
      </c>
      <c r="J413" s="6">
        <v>2</v>
      </c>
      <c r="K413" s="6">
        <v>6</v>
      </c>
      <c r="L413" s="6">
        <v>20</v>
      </c>
      <c r="M413" s="6">
        <v>0</v>
      </c>
      <c r="N413" s="6">
        <v>0</v>
      </c>
      <c r="O413" s="6">
        <v>0</v>
      </c>
      <c r="P413">
        <v>400</v>
      </c>
      <c r="Q413" s="6">
        <v>0</v>
      </c>
      <c r="R413" s="6">
        <v>0</v>
      </c>
      <c r="S413" s="6">
        <v>0</v>
      </c>
      <c r="T413" s="6">
        <v>0</v>
      </c>
      <c r="U413" s="6">
        <v>0</v>
      </c>
      <c r="V413" s="6">
        <v>0</v>
      </c>
      <c r="W413" s="6">
        <v>0</v>
      </c>
      <c r="X413" s="6">
        <v>3</v>
      </c>
      <c r="Y413" s="6">
        <v>0</v>
      </c>
      <c r="Z413" s="6">
        <v>0</v>
      </c>
      <c r="AA413" s="6">
        <v>0</v>
      </c>
      <c r="AB413" s="6">
        <v>0</v>
      </c>
      <c r="AC413" s="7">
        <v>0</v>
      </c>
      <c r="AD413" s="7">
        <v>0</v>
      </c>
      <c r="AE413" s="7">
        <v>0</v>
      </c>
      <c r="AF413" s="7">
        <v>12</v>
      </c>
      <c r="AG413" s="7">
        <v>0</v>
      </c>
      <c r="AH413" s="7">
        <v>3.0000000000000001E-3</v>
      </c>
      <c r="AI413" s="7">
        <v>0</v>
      </c>
      <c r="AJ413" s="7">
        <v>0</v>
      </c>
      <c r="AK413" s="7" t="s">
        <v>1506</v>
      </c>
      <c r="AL413" s="6">
        <v>4</v>
      </c>
      <c r="AM413" s="41">
        <f>INDEX(Sheet5!$B$19:$G$33,MATCH(Sheet1!AQ413,Sheet5!$A$19:$A$33,0),MATCH(J413,Sheet5!$B$18:$G$18,0))</f>
        <v>1000</v>
      </c>
      <c r="AN413" s="6" t="s">
        <v>48</v>
      </c>
      <c r="AO413" s="6" t="s">
        <v>736</v>
      </c>
      <c r="AP413" s="6">
        <v>20323</v>
      </c>
      <c r="AQ413" s="13">
        <v>50</v>
      </c>
    </row>
    <row r="414" spans="1:43" ht="16.5">
      <c r="A414" s="6">
        <v>2482</v>
      </c>
      <c r="B414" s="22" t="s">
        <v>2065</v>
      </c>
      <c r="C414" s="22" t="s">
        <v>164</v>
      </c>
      <c r="D414" s="8" t="s">
        <v>115</v>
      </c>
      <c r="E414" s="14">
        <v>11012</v>
      </c>
      <c r="F414" s="65">
        <v>2000</v>
      </c>
      <c r="G414" s="6">
        <v>300</v>
      </c>
      <c r="H414" s="6">
        <v>50</v>
      </c>
      <c r="I414" s="8" t="s">
        <v>159</v>
      </c>
      <c r="J414" s="6">
        <v>2</v>
      </c>
      <c r="K414" s="6">
        <v>6</v>
      </c>
      <c r="L414" s="6">
        <v>20</v>
      </c>
      <c r="M414" s="6">
        <v>0</v>
      </c>
      <c r="N414" s="6">
        <v>0</v>
      </c>
      <c r="O414" s="6">
        <v>0</v>
      </c>
      <c r="P414">
        <v>480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v>0</v>
      </c>
      <c r="W414" s="6">
        <v>0</v>
      </c>
      <c r="X414" s="6">
        <v>3</v>
      </c>
      <c r="Y414" s="6">
        <v>0</v>
      </c>
      <c r="Z414" s="6">
        <v>0</v>
      </c>
      <c r="AA414" s="6">
        <v>0</v>
      </c>
      <c r="AB414" s="6">
        <v>0</v>
      </c>
      <c r="AC414" s="7">
        <v>0</v>
      </c>
      <c r="AD414" s="7">
        <v>0</v>
      </c>
      <c r="AE414" s="7">
        <v>0</v>
      </c>
      <c r="AF414" s="7">
        <v>12</v>
      </c>
      <c r="AG414" s="7">
        <v>0</v>
      </c>
      <c r="AH414" s="7">
        <v>3.0000000000000001E-3</v>
      </c>
      <c r="AI414" s="7">
        <v>0</v>
      </c>
      <c r="AJ414" s="7">
        <v>0</v>
      </c>
      <c r="AK414" s="7" t="s">
        <v>1506</v>
      </c>
      <c r="AL414" s="6">
        <v>4</v>
      </c>
      <c r="AM414" s="41">
        <f>INDEX(Sheet5!$B$19:$G$33,MATCH(Sheet1!AQ414,Sheet5!$A$19:$A$33,0),MATCH(J414,Sheet5!$B$18:$G$18,0))</f>
        <v>1200</v>
      </c>
      <c r="AN414" s="6" t="s">
        <v>48</v>
      </c>
      <c r="AO414" s="6" t="s">
        <v>736</v>
      </c>
      <c r="AP414" s="6">
        <v>20324</v>
      </c>
      <c r="AQ414" s="13">
        <v>60</v>
      </c>
    </row>
    <row r="415" spans="1:43" ht="16.5">
      <c r="A415" s="6">
        <v>2483</v>
      </c>
      <c r="B415" s="22" t="s">
        <v>2066</v>
      </c>
      <c r="C415" s="22" t="s">
        <v>164</v>
      </c>
      <c r="D415" s="8" t="s">
        <v>115</v>
      </c>
      <c r="E415" s="14">
        <v>11012</v>
      </c>
      <c r="F415" s="65">
        <v>2000</v>
      </c>
      <c r="G415" s="6">
        <v>300</v>
      </c>
      <c r="H415" s="6">
        <v>50</v>
      </c>
      <c r="I415" s="8" t="s">
        <v>159</v>
      </c>
      <c r="J415" s="6">
        <v>2</v>
      </c>
      <c r="K415" s="6">
        <v>6</v>
      </c>
      <c r="L415" s="6">
        <v>20</v>
      </c>
      <c r="M415" s="6">
        <v>0</v>
      </c>
      <c r="N415" s="6">
        <v>0</v>
      </c>
      <c r="O415" s="6">
        <v>0</v>
      </c>
      <c r="P415">
        <v>560</v>
      </c>
      <c r="Q415" s="6">
        <v>0</v>
      </c>
      <c r="R415" s="6">
        <v>0</v>
      </c>
      <c r="S415" s="6">
        <v>0</v>
      </c>
      <c r="T415" s="6">
        <v>0</v>
      </c>
      <c r="U415" s="6">
        <v>0</v>
      </c>
      <c r="V415" s="6">
        <v>0</v>
      </c>
      <c r="W415" s="6">
        <v>0</v>
      </c>
      <c r="X415" s="6">
        <v>3</v>
      </c>
      <c r="Y415" s="6">
        <v>0</v>
      </c>
      <c r="Z415" s="6">
        <v>0</v>
      </c>
      <c r="AA415" s="6">
        <v>0</v>
      </c>
      <c r="AB415" s="6">
        <v>0</v>
      </c>
      <c r="AC415" s="7">
        <v>0</v>
      </c>
      <c r="AD415" s="7">
        <v>0</v>
      </c>
      <c r="AE415" s="7">
        <v>0</v>
      </c>
      <c r="AF415" s="7">
        <v>12</v>
      </c>
      <c r="AG415" s="7">
        <v>0</v>
      </c>
      <c r="AH415" s="7">
        <v>3.0000000000000001E-3</v>
      </c>
      <c r="AI415" s="7">
        <v>0</v>
      </c>
      <c r="AJ415" s="7">
        <v>0</v>
      </c>
      <c r="AK415" s="7" t="s">
        <v>1506</v>
      </c>
      <c r="AL415" s="6">
        <v>4</v>
      </c>
      <c r="AM415" s="41">
        <f>INDEX(Sheet5!$B$19:$G$33,MATCH(Sheet1!AQ415,Sheet5!$A$19:$A$33,0),MATCH(J415,Sheet5!$B$18:$G$18,0))</f>
        <v>1400</v>
      </c>
      <c r="AN415" s="6" t="s">
        <v>48</v>
      </c>
      <c r="AO415" s="6" t="s">
        <v>736</v>
      </c>
      <c r="AP415" s="6">
        <v>20325</v>
      </c>
      <c r="AQ415" s="13">
        <v>70</v>
      </c>
    </row>
    <row r="416" spans="1:43" ht="16.5">
      <c r="A416" s="6">
        <v>2484</v>
      </c>
      <c r="B416" s="22" t="s">
        <v>2067</v>
      </c>
      <c r="C416" s="22" t="s">
        <v>164</v>
      </c>
      <c r="D416" s="8" t="s">
        <v>115</v>
      </c>
      <c r="E416" s="14">
        <v>11012</v>
      </c>
      <c r="F416" s="65">
        <v>2000</v>
      </c>
      <c r="G416" s="6">
        <v>300</v>
      </c>
      <c r="H416" s="6">
        <v>50</v>
      </c>
      <c r="I416" s="8" t="s">
        <v>159</v>
      </c>
      <c r="J416" s="6">
        <v>2</v>
      </c>
      <c r="K416" s="6">
        <v>6</v>
      </c>
      <c r="L416" s="6">
        <v>20</v>
      </c>
      <c r="M416" s="6">
        <v>0</v>
      </c>
      <c r="N416" s="6">
        <v>0</v>
      </c>
      <c r="O416" s="6">
        <v>0</v>
      </c>
      <c r="P416">
        <v>640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v>0</v>
      </c>
      <c r="W416" s="6">
        <v>0</v>
      </c>
      <c r="X416" s="6">
        <v>3</v>
      </c>
      <c r="Y416" s="6">
        <v>0</v>
      </c>
      <c r="Z416" s="6">
        <v>0</v>
      </c>
      <c r="AA416" s="6">
        <v>0</v>
      </c>
      <c r="AB416" s="6">
        <v>0</v>
      </c>
      <c r="AC416" s="7">
        <v>0</v>
      </c>
      <c r="AD416" s="7">
        <v>0</v>
      </c>
      <c r="AE416" s="7">
        <v>0</v>
      </c>
      <c r="AF416" s="7">
        <v>12</v>
      </c>
      <c r="AG416" s="7">
        <v>0</v>
      </c>
      <c r="AH416" s="7">
        <v>3.0000000000000001E-3</v>
      </c>
      <c r="AI416" s="7">
        <v>0</v>
      </c>
      <c r="AJ416" s="7">
        <v>0</v>
      </c>
      <c r="AK416" s="7" t="s">
        <v>1506</v>
      </c>
      <c r="AL416" s="6">
        <v>4</v>
      </c>
      <c r="AM416" s="41">
        <f>INDEX(Sheet5!$B$19:$G$33,MATCH(Sheet1!AQ416,Sheet5!$A$19:$A$33,0),MATCH(J416,Sheet5!$B$18:$G$18,0))</f>
        <v>1600</v>
      </c>
      <c r="AN416" s="6" t="s">
        <v>48</v>
      </c>
      <c r="AO416" s="6" t="s">
        <v>736</v>
      </c>
      <c r="AP416" s="6">
        <v>20326</v>
      </c>
      <c r="AQ416" s="13">
        <v>80</v>
      </c>
    </row>
    <row r="417" spans="1:43" ht="16.5">
      <c r="A417" s="6">
        <v>2485</v>
      </c>
      <c r="B417" s="22" t="s">
        <v>2068</v>
      </c>
      <c r="C417" s="22" t="s">
        <v>164</v>
      </c>
      <c r="D417" s="8" t="s">
        <v>115</v>
      </c>
      <c r="E417" s="14">
        <v>11012</v>
      </c>
      <c r="F417" s="65">
        <v>2000</v>
      </c>
      <c r="G417" s="6">
        <v>300</v>
      </c>
      <c r="H417" s="6">
        <v>50</v>
      </c>
      <c r="I417" s="8" t="s">
        <v>159</v>
      </c>
      <c r="J417" s="6">
        <v>2</v>
      </c>
      <c r="K417" s="6">
        <v>6</v>
      </c>
      <c r="L417" s="6">
        <v>20</v>
      </c>
      <c r="M417" s="6">
        <v>0</v>
      </c>
      <c r="N417" s="6">
        <v>0</v>
      </c>
      <c r="O417" s="6">
        <v>0</v>
      </c>
      <c r="P417">
        <v>720</v>
      </c>
      <c r="Q417" s="6">
        <v>0</v>
      </c>
      <c r="R417" s="6">
        <v>0</v>
      </c>
      <c r="S417" s="6">
        <v>0</v>
      </c>
      <c r="T417" s="6">
        <v>0</v>
      </c>
      <c r="U417" s="6">
        <v>0</v>
      </c>
      <c r="V417" s="6">
        <v>0</v>
      </c>
      <c r="W417" s="6">
        <v>0</v>
      </c>
      <c r="X417" s="6">
        <v>3</v>
      </c>
      <c r="Y417" s="6">
        <v>0</v>
      </c>
      <c r="Z417" s="6">
        <v>0</v>
      </c>
      <c r="AA417" s="6">
        <v>0</v>
      </c>
      <c r="AB417" s="6">
        <v>0</v>
      </c>
      <c r="AC417" s="7">
        <v>0</v>
      </c>
      <c r="AD417" s="7">
        <v>0</v>
      </c>
      <c r="AE417" s="7">
        <v>0</v>
      </c>
      <c r="AF417" s="7">
        <v>12</v>
      </c>
      <c r="AG417" s="7">
        <v>0</v>
      </c>
      <c r="AH417" s="7">
        <v>3.0000000000000001E-3</v>
      </c>
      <c r="AI417" s="7">
        <v>0</v>
      </c>
      <c r="AJ417" s="7">
        <v>0</v>
      </c>
      <c r="AK417" s="7" t="s">
        <v>1506</v>
      </c>
      <c r="AL417" s="6">
        <v>4</v>
      </c>
      <c r="AM417" s="41">
        <f>INDEX(Sheet5!$B$19:$G$33,MATCH(Sheet1!AQ417,Sheet5!$A$19:$A$33,0),MATCH(J417,Sheet5!$B$18:$G$18,0))</f>
        <v>1800</v>
      </c>
      <c r="AN417" s="6" t="s">
        <v>48</v>
      </c>
      <c r="AO417" s="6" t="s">
        <v>736</v>
      </c>
      <c r="AP417" s="6">
        <v>20327</v>
      </c>
      <c r="AQ417" s="13">
        <v>90</v>
      </c>
    </row>
    <row r="418" spans="1:43" ht="16.5">
      <c r="A418" s="6">
        <v>2486</v>
      </c>
      <c r="B418" s="22" t="s">
        <v>2069</v>
      </c>
      <c r="C418" s="22" t="s">
        <v>164</v>
      </c>
      <c r="D418" s="8" t="s">
        <v>115</v>
      </c>
      <c r="E418" s="14">
        <v>11012</v>
      </c>
      <c r="F418" s="65">
        <v>2000</v>
      </c>
      <c r="G418" s="6">
        <v>300</v>
      </c>
      <c r="H418" s="6">
        <v>50</v>
      </c>
      <c r="I418" s="8" t="s">
        <v>159</v>
      </c>
      <c r="J418" s="6">
        <v>2</v>
      </c>
      <c r="K418" s="6">
        <v>6</v>
      </c>
      <c r="L418" s="6">
        <v>20</v>
      </c>
      <c r="M418" s="6">
        <v>0</v>
      </c>
      <c r="N418" s="6">
        <v>0</v>
      </c>
      <c r="O418" s="6">
        <v>0</v>
      </c>
      <c r="P418">
        <v>800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v>0</v>
      </c>
      <c r="W418" s="6">
        <v>0</v>
      </c>
      <c r="X418" s="6">
        <v>3</v>
      </c>
      <c r="Y418" s="6">
        <v>0</v>
      </c>
      <c r="Z418" s="6">
        <v>0</v>
      </c>
      <c r="AA418" s="6">
        <v>0</v>
      </c>
      <c r="AB418" s="6">
        <v>0</v>
      </c>
      <c r="AC418" s="7">
        <v>0</v>
      </c>
      <c r="AD418" s="7">
        <v>0</v>
      </c>
      <c r="AE418" s="7">
        <v>0</v>
      </c>
      <c r="AF418" s="7">
        <v>12</v>
      </c>
      <c r="AG418" s="7">
        <v>0</v>
      </c>
      <c r="AH418" s="7">
        <v>3.0000000000000001E-3</v>
      </c>
      <c r="AI418" s="7">
        <v>0</v>
      </c>
      <c r="AJ418" s="7">
        <v>0</v>
      </c>
      <c r="AK418" s="7" t="s">
        <v>1506</v>
      </c>
      <c r="AL418" s="6">
        <v>4</v>
      </c>
      <c r="AM418" s="41">
        <f>INDEX(Sheet5!$B$19:$G$33,MATCH(Sheet1!AQ418,Sheet5!$A$19:$A$33,0),MATCH(J418,Sheet5!$B$18:$G$18,0))</f>
        <v>2000</v>
      </c>
      <c r="AN418" s="6" t="s">
        <v>48</v>
      </c>
      <c r="AO418" s="6" t="s">
        <v>736</v>
      </c>
      <c r="AP418" s="6">
        <v>20328</v>
      </c>
      <c r="AQ418" s="13">
        <v>100</v>
      </c>
    </row>
    <row r="419" spans="1:43" ht="16.5">
      <c r="A419" s="6">
        <v>2487</v>
      </c>
      <c r="B419" s="22" t="s">
        <v>2070</v>
      </c>
      <c r="C419" s="22" t="s">
        <v>164</v>
      </c>
      <c r="D419" s="8" t="s">
        <v>115</v>
      </c>
      <c r="E419" s="14">
        <v>11012</v>
      </c>
      <c r="F419" s="65">
        <v>2000</v>
      </c>
      <c r="G419" s="6">
        <v>300</v>
      </c>
      <c r="H419" s="6">
        <v>50</v>
      </c>
      <c r="I419" s="8" t="s">
        <v>159</v>
      </c>
      <c r="J419" s="6">
        <v>2</v>
      </c>
      <c r="K419" s="6">
        <v>6</v>
      </c>
      <c r="L419" s="6">
        <v>20</v>
      </c>
      <c r="M419" s="6">
        <v>0</v>
      </c>
      <c r="N419" s="6">
        <v>0</v>
      </c>
      <c r="O419" s="6">
        <v>0</v>
      </c>
      <c r="P419">
        <v>880</v>
      </c>
      <c r="Q419" s="6">
        <v>0</v>
      </c>
      <c r="R419" s="6">
        <v>0</v>
      </c>
      <c r="S419" s="6">
        <v>0</v>
      </c>
      <c r="T419" s="6">
        <v>0</v>
      </c>
      <c r="U419" s="6">
        <v>0</v>
      </c>
      <c r="V419" s="6">
        <v>0</v>
      </c>
      <c r="W419" s="6">
        <v>0</v>
      </c>
      <c r="X419" s="6">
        <v>3</v>
      </c>
      <c r="Y419" s="6">
        <v>0</v>
      </c>
      <c r="Z419" s="6">
        <v>0</v>
      </c>
      <c r="AA419" s="6">
        <v>0</v>
      </c>
      <c r="AB419" s="6">
        <v>0</v>
      </c>
      <c r="AC419" s="7">
        <v>0</v>
      </c>
      <c r="AD419" s="7">
        <v>0</v>
      </c>
      <c r="AE419" s="7">
        <v>0</v>
      </c>
      <c r="AF419" s="7">
        <v>12</v>
      </c>
      <c r="AG419" s="7">
        <v>0</v>
      </c>
      <c r="AH419" s="7">
        <v>3.0000000000000001E-3</v>
      </c>
      <c r="AI419" s="7">
        <v>0</v>
      </c>
      <c r="AJ419" s="7">
        <v>0</v>
      </c>
      <c r="AK419" s="7" t="s">
        <v>1506</v>
      </c>
      <c r="AL419" s="6">
        <v>4</v>
      </c>
      <c r="AM419" s="41">
        <f>INDEX(Sheet5!$B$19:$G$33,MATCH(Sheet1!AQ419,Sheet5!$A$19:$A$33,0),MATCH(J419,Sheet5!$B$18:$G$18,0))</f>
        <v>2200</v>
      </c>
      <c r="AN419" s="6" t="s">
        <v>48</v>
      </c>
      <c r="AO419" s="6" t="s">
        <v>736</v>
      </c>
      <c r="AP419" s="6">
        <v>20329</v>
      </c>
      <c r="AQ419" s="13">
        <v>110</v>
      </c>
    </row>
    <row r="420" spans="1:43" ht="16.5">
      <c r="A420" s="6">
        <v>2488</v>
      </c>
      <c r="B420" s="22" t="s">
        <v>2071</v>
      </c>
      <c r="C420" s="22" t="s">
        <v>164</v>
      </c>
      <c r="D420" s="8" t="s">
        <v>115</v>
      </c>
      <c r="E420" s="14">
        <v>11012</v>
      </c>
      <c r="F420" s="65">
        <v>2000</v>
      </c>
      <c r="G420" s="6">
        <v>300</v>
      </c>
      <c r="H420" s="6">
        <v>50</v>
      </c>
      <c r="I420" s="8" t="s">
        <v>159</v>
      </c>
      <c r="J420" s="6">
        <v>2</v>
      </c>
      <c r="K420" s="6">
        <v>6</v>
      </c>
      <c r="L420" s="6">
        <v>20</v>
      </c>
      <c r="M420" s="6">
        <v>0</v>
      </c>
      <c r="N420" s="6">
        <v>0</v>
      </c>
      <c r="O420" s="6">
        <v>0</v>
      </c>
      <c r="P420">
        <v>960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v>0</v>
      </c>
      <c r="W420" s="6">
        <v>0</v>
      </c>
      <c r="X420" s="6">
        <v>3</v>
      </c>
      <c r="Y420" s="6">
        <v>0</v>
      </c>
      <c r="Z420" s="6">
        <v>0</v>
      </c>
      <c r="AA420" s="6">
        <v>0</v>
      </c>
      <c r="AB420" s="6">
        <v>0</v>
      </c>
      <c r="AC420" s="7">
        <v>0</v>
      </c>
      <c r="AD420" s="7">
        <v>0</v>
      </c>
      <c r="AE420" s="7">
        <v>0</v>
      </c>
      <c r="AF420" s="7">
        <v>12</v>
      </c>
      <c r="AG420" s="7">
        <v>0</v>
      </c>
      <c r="AH420" s="7">
        <v>3.0000000000000001E-3</v>
      </c>
      <c r="AI420" s="7">
        <v>0</v>
      </c>
      <c r="AJ420" s="7">
        <v>0</v>
      </c>
      <c r="AK420" s="7" t="s">
        <v>1506</v>
      </c>
      <c r="AL420" s="6">
        <v>4</v>
      </c>
      <c r="AM420" s="41">
        <f>INDEX(Sheet5!$B$19:$G$33,MATCH(Sheet1!AQ420,Sheet5!$A$19:$A$33,0),MATCH(J420,Sheet5!$B$18:$G$18,0))</f>
        <v>2400</v>
      </c>
      <c r="AN420" s="6" t="s">
        <v>48</v>
      </c>
      <c r="AO420" s="6" t="s">
        <v>736</v>
      </c>
      <c r="AP420" s="6">
        <v>20330</v>
      </c>
      <c r="AQ420" s="13">
        <v>120</v>
      </c>
    </row>
    <row r="421" spans="1:43" ht="16.5">
      <c r="A421" s="6">
        <v>2489</v>
      </c>
      <c r="B421" s="22" t="s">
        <v>2072</v>
      </c>
      <c r="C421" s="22" t="s">
        <v>164</v>
      </c>
      <c r="D421" s="8" t="s">
        <v>115</v>
      </c>
      <c r="E421" s="14">
        <v>11012</v>
      </c>
      <c r="F421" s="65">
        <v>2000</v>
      </c>
      <c r="G421" s="6">
        <v>300</v>
      </c>
      <c r="H421" s="6">
        <v>50</v>
      </c>
      <c r="I421" s="8" t="s">
        <v>159</v>
      </c>
      <c r="J421" s="6">
        <v>2</v>
      </c>
      <c r="K421" s="6">
        <v>6</v>
      </c>
      <c r="L421" s="6">
        <v>20</v>
      </c>
      <c r="M421" s="6">
        <v>0</v>
      </c>
      <c r="N421" s="6">
        <v>0</v>
      </c>
      <c r="O421" s="6">
        <v>0</v>
      </c>
      <c r="P421">
        <v>1040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W421" s="6">
        <v>0</v>
      </c>
      <c r="X421" s="6">
        <v>3</v>
      </c>
      <c r="Y421" s="6">
        <v>0</v>
      </c>
      <c r="Z421" s="6">
        <v>0</v>
      </c>
      <c r="AA421" s="6">
        <v>0</v>
      </c>
      <c r="AB421" s="6">
        <v>0</v>
      </c>
      <c r="AC421" s="7">
        <v>0</v>
      </c>
      <c r="AD421" s="7">
        <v>0</v>
      </c>
      <c r="AE421" s="7">
        <v>0</v>
      </c>
      <c r="AF421" s="7">
        <v>12</v>
      </c>
      <c r="AG421" s="7">
        <v>0</v>
      </c>
      <c r="AH421" s="7">
        <v>3.0000000000000001E-3</v>
      </c>
      <c r="AI421" s="7">
        <v>0</v>
      </c>
      <c r="AJ421" s="7">
        <v>0</v>
      </c>
      <c r="AK421" s="7" t="s">
        <v>1506</v>
      </c>
      <c r="AL421" s="6">
        <v>4</v>
      </c>
      <c r="AM421" s="41">
        <f>INDEX(Sheet5!$B$19:$G$33,MATCH(Sheet1!AQ421,Sheet5!$A$19:$A$33,0),MATCH(J421,Sheet5!$B$18:$G$18,0))</f>
        <v>2600</v>
      </c>
      <c r="AN421" s="6" t="s">
        <v>48</v>
      </c>
      <c r="AO421" s="6" t="s">
        <v>736</v>
      </c>
      <c r="AP421" s="6">
        <v>203311</v>
      </c>
      <c r="AQ421" s="13">
        <v>130</v>
      </c>
    </row>
    <row r="422" spans="1:43" ht="16.5">
      <c r="A422" s="6">
        <v>2490</v>
      </c>
      <c r="B422" s="22" t="s">
        <v>2073</v>
      </c>
      <c r="C422" s="22" t="s">
        <v>164</v>
      </c>
      <c r="D422" s="8" t="s">
        <v>115</v>
      </c>
      <c r="E422" s="14">
        <v>11012</v>
      </c>
      <c r="F422" s="65">
        <v>2000</v>
      </c>
      <c r="G422" s="6">
        <v>300</v>
      </c>
      <c r="H422" s="6">
        <v>50</v>
      </c>
      <c r="I422" s="8" t="s">
        <v>159</v>
      </c>
      <c r="J422" s="6">
        <v>2</v>
      </c>
      <c r="K422" s="6">
        <v>6</v>
      </c>
      <c r="L422" s="6">
        <v>20</v>
      </c>
      <c r="M422" s="6">
        <v>0</v>
      </c>
      <c r="N422" s="6">
        <v>0</v>
      </c>
      <c r="O422" s="6">
        <v>0</v>
      </c>
      <c r="P422">
        <v>1120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W422" s="6">
        <v>0</v>
      </c>
      <c r="X422" s="6">
        <v>3</v>
      </c>
      <c r="Y422" s="6">
        <v>0</v>
      </c>
      <c r="Z422" s="6">
        <v>0</v>
      </c>
      <c r="AA422" s="6">
        <v>0</v>
      </c>
      <c r="AB422" s="6">
        <v>0</v>
      </c>
      <c r="AC422" s="7">
        <v>0</v>
      </c>
      <c r="AD422" s="7">
        <v>0</v>
      </c>
      <c r="AE422" s="7">
        <v>0</v>
      </c>
      <c r="AF422" s="7">
        <v>12</v>
      </c>
      <c r="AG422" s="7">
        <v>0</v>
      </c>
      <c r="AH422" s="7">
        <v>3.0000000000000001E-3</v>
      </c>
      <c r="AI422" s="7">
        <v>0</v>
      </c>
      <c r="AJ422" s="7">
        <v>0</v>
      </c>
      <c r="AK422" s="7" t="s">
        <v>1506</v>
      </c>
      <c r="AL422" s="6">
        <v>4</v>
      </c>
      <c r="AM422" s="41">
        <f>INDEX(Sheet5!$B$19:$G$33,MATCH(Sheet1!AQ422,Sheet5!$A$19:$A$33,0),MATCH(J422,Sheet5!$B$18:$G$18,0))</f>
        <v>2800</v>
      </c>
      <c r="AN422" s="6" t="s">
        <v>48</v>
      </c>
      <c r="AO422" s="6" t="s">
        <v>736</v>
      </c>
      <c r="AP422" s="6">
        <v>203312</v>
      </c>
      <c r="AQ422" s="13">
        <v>140</v>
      </c>
    </row>
    <row r="423" spans="1:43" ht="16.5">
      <c r="A423" s="6">
        <v>2491</v>
      </c>
      <c r="B423" s="22" t="s">
        <v>2074</v>
      </c>
      <c r="C423" s="22" t="s">
        <v>164</v>
      </c>
      <c r="D423" s="8" t="s">
        <v>115</v>
      </c>
      <c r="E423" s="14">
        <v>11012</v>
      </c>
      <c r="F423" s="65">
        <v>2000</v>
      </c>
      <c r="G423" s="6">
        <v>300</v>
      </c>
      <c r="H423" s="6">
        <v>50</v>
      </c>
      <c r="I423" s="8" t="s">
        <v>159</v>
      </c>
      <c r="J423" s="6">
        <v>2</v>
      </c>
      <c r="K423" s="6">
        <v>6</v>
      </c>
      <c r="L423" s="6">
        <v>20</v>
      </c>
      <c r="M423" s="6">
        <v>0</v>
      </c>
      <c r="N423" s="6">
        <v>0</v>
      </c>
      <c r="O423" s="6">
        <v>0</v>
      </c>
      <c r="P423">
        <v>1200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W423" s="6">
        <v>0</v>
      </c>
      <c r="X423" s="6">
        <v>3</v>
      </c>
      <c r="Y423" s="6">
        <v>0</v>
      </c>
      <c r="Z423" s="6">
        <v>0</v>
      </c>
      <c r="AA423" s="6">
        <v>0</v>
      </c>
      <c r="AB423" s="6">
        <v>0</v>
      </c>
      <c r="AC423" s="7">
        <v>0</v>
      </c>
      <c r="AD423" s="7">
        <v>0</v>
      </c>
      <c r="AE423" s="7">
        <v>0</v>
      </c>
      <c r="AF423" s="7">
        <v>12</v>
      </c>
      <c r="AG423" s="7">
        <v>0</v>
      </c>
      <c r="AH423" s="7">
        <v>3.0000000000000001E-3</v>
      </c>
      <c r="AI423" s="7">
        <v>0</v>
      </c>
      <c r="AJ423" s="7">
        <v>0</v>
      </c>
      <c r="AK423" s="7" t="s">
        <v>1506</v>
      </c>
      <c r="AL423" s="6">
        <v>4</v>
      </c>
      <c r="AM423" s="41">
        <f>INDEX(Sheet5!$B$19:$G$33,MATCH(Sheet1!AQ423,Sheet5!$A$19:$A$33,0),MATCH(J423,Sheet5!$B$18:$G$18,0))</f>
        <v>3000</v>
      </c>
      <c r="AN423" s="6" t="s">
        <v>48</v>
      </c>
      <c r="AO423" s="6" t="s">
        <v>736</v>
      </c>
      <c r="AP423" s="6">
        <v>203313</v>
      </c>
      <c r="AQ423" s="13">
        <v>150</v>
      </c>
    </row>
    <row r="424" spans="1:43" ht="16.5">
      <c r="A424" s="6">
        <v>2492</v>
      </c>
      <c r="B424" s="22" t="s">
        <v>2075</v>
      </c>
      <c r="C424" s="22" t="s">
        <v>163</v>
      </c>
      <c r="D424" s="8" t="s">
        <v>109</v>
      </c>
      <c r="E424" s="14">
        <v>11005</v>
      </c>
      <c r="F424" s="65">
        <v>2000</v>
      </c>
      <c r="G424" s="6">
        <v>300</v>
      </c>
      <c r="H424" s="6">
        <v>50</v>
      </c>
      <c r="I424" s="8" t="s">
        <v>718</v>
      </c>
      <c r="J424" s="6">
        <v>2</v>
      </c>
      <c r="K424" s="6">
        <v>6</v>
      </c>
      <c r="L424" s="6">
        <v>20</v>
      </c>
      <c r="M424" s="6">
        <v>0</v>
      </c>
      <c r="N424" s="6">
        <v>0</v>
      </c>
      <c r="O424">
        <v>80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W424" s="6">
        <v>3</v>
      </c>
      <c r="X424" s="6">
        <v>0</v>
      </c>
      <c r="Y424" s="6">
        <v>0</v>
      </c>
      <c r="Z424" s="6">
        <v>0</v>
      </c>
      <c r="AA424" s="6">
        <v>0</v>
      </c>
      <c r="AB424" s="6">
        <v>0</v>
      </c>
      <c r="AC424" s="7">
        <v>0</v>
      </c>
      <c r="AD424" s="7">
        <v>0</v>
      </c>
      <c r="AE424" s="7">
        <v>12</v>
      </c>
      <c r="AF424" s="7">
        <v>0</v>
      </c>
      <c r="AG424" s="7">
        <v>0</v>
      </c>
      <c r="AH424" s="7">
        <v>0</v>
      </c>
      <c r="AI424" s="7">
        <v>0</v>
      </c>
      <c r="AJ424" s="7">
        <v>6.0000000000000001E-3</v>
      </c>
      <c r="AK424" s="7" t="s">
        <v>1506</v>
      </c>
      <c r="AL424" s="6">
        <v>2</v>
      </c>
      <c r="AM424" s="41">
        <f>INDEX(Sheet5!$B$19:$G$33,MATCH(Sheet1!AQ424,Sheet5!$A$19:$A$33,0),MATCH(J424,Sheet5!$B$18:$G$18,0))</f>
        <v>200</v>
      </c>
      <c r="AN424" s="6" t="s">
        <v>63</v>
      </c>
      <c r="AO424" s="6" t="s">
        <v>729</v>
      </c>
      <c r="AP424" s="6">
        <v>25</v>
      </c>
      <c r="AQ424" s="13">
        <v>10</v>
      </c>
    </row>
    <row r="425" spans="1:43" s="102" customFormat="1" ht="16.5">
      <c r="A425" s="100">
        <v>2025</v>
      </c>
      <c r="B425" s="100" t="s">
        <v>2076</v>
      </c>
      <c r="C425" s="100" t="s">
        <v>163</v>
      </c>
      <c r="D425" s="100" t="s">
        <v>109</v>
      </c>
      <c r="E425" s="101">
        <v>11005</v>
      </c>
      <c r="F425" s="100">
        <v>2000</v>
      </c>
      <c r="G425" s="100">
        <v>300</v>
      </c>
      <c r="H425" s="100">
        <v>50</v>
      </c>
      <c r="I425" s="100" t="s">
        <v>718</v>
      </c>
      <c r="J425" s="100">
        <v>2</v>
      </c>
      <c r="K425" s="100">
        <v>6</v>
      </c>
      <c r="L425" s="100">
        <v>20</v>
      </c>
      <c r="M425" s="100">
        <v>0</v>
      </c>
      <c r="N425" s="100">
        <v>0</v>
      </c>
      <c r="O425">
        <v>160</v>
      </c>
      <c r="P425" s="100">
        <v>0</v>
      </c>
      <c r="Q425" s="100">
        <v>0</v>
      </c>
      <c r="R425" s="100">
        <v>0</v>
      </c>
      <c r="S425" s="100">
        <v>0</v>
      </c>
      <c r="T425" s="100">
        <v>0</v>
      </c>
      <c r="U425" s="100">
        <v>0</v>
      </c>
      <c r="V425" s="100">
        <v>0</v>
      </c>
      <c r="W425" s="100">
        <v>3</v>
      </c>
      <c r="X425" s="100">
        <v>0</v>
      </c>
      <c r="Y425" s="100">
        <v>0</v>
      </c>
      <c r="Z425" s="100">
        <v>0</v>
      </c>
      <c r="AA425" s="100">
        <v>0</v>
      </c>
      <c r="AB425" s="100">
        <v>0</v>
      </c>
      <c r="AC425" s="100">
        <v>0</v>
      </c>
      <c r="AD425" s="100">
        <v>0</v>
      </c>
      <c r="AE425" s="100">
        <v>12</v>
      </c>
      <c r="AF425" s="100">
        <v>0</v>
      </c>
      <c r="AG425" s="100">
        <v>0</v>
      </c>
      <c r="AH425" s="100">
        <v>0</v>
      </c>
      <c r="AI425" s="100">
        <v>0</v>
      </c>
      <c r="AJ425" s="100">
        <v>6.0000000000000001E-3</v>
      </c>
      <c r="AK425" s="7" t="s">
        <v>1506</v>
      </c>
      <c r="AL425" s="100">
        <v>2</v>
      </c>
      <c r="AM425" s="41">
        <f>INDEX(Sheet5!$B$19:$G$33,MATCH(Sheet1!AQ425,Sheet5!$A$19:$A$33,0),MATCH(J425,Sheet5!$B$18:$G$18,0))</f>
        <v>400</v>
      </c>
      <c r="AN425" s="100" t="s">
        <v>1486</v>
      </c>
      <c r="AO425" s="100" t="s">
        <v>729</v>
      </c>
      <c r="AP425" s="100">
        <v>2025</v>
      </c>
      <c r="AQ425" s="13">
        <v>20</v>
      </c>
    </row>
    <row r="426" spans="1:43" ht="16.5">
      <c r="A426" s="6">
        <v>2493</v>
      </c>
      <c r="B426" s="22" t="s">
        <v>2077</v>
      </c>
      <c r="C426" s="22" t="s">
        <v>163</v>
      </c>
      <c r="D426" s="8" t="s">
        <v>109</v>
      </c>
      <c r="E426" s="14">
        <v>11005</v>
      </c>
      <c r="F426" s="65">
        <v>2000</v>
      </c>
      <c r="G426" s="6">
        <v>300</v>
      </c>
      <c r="H426" s="6">
        <v>50</v>
      </c>
      <c r="I426" s="8" t="s">
        <v>718</v>
      </c>
      <c r="J426" s="6">
        <v>2</v>
      </c>
      <c r="K426" s="6">
        <v>6</v>
      </c>
      <c r="L426" s="6">
        <v>20</v>
      </c>
      <c r="M426" s="6">
        <v>0</v>
      </c>
      <c r="N426" s="6">
        <v>0</v>
      </c>
      <c r="O426">
        <v>240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W426" s="6">
        <v>3</v>
      </c>
      <c r="X426" s="6">
        <v>0</v>
      </c>
      <c r="Y426" s="6">
        <v>0</v>
      </c>
      <c r="Z426" s="6">
        <v>0</v>
      </c>
      <c r="AA426" s="6">
        <v>0</v>
      </c>
      <c r="AB426" s="6">
        <v>0</v>
      </c>
      <c r="AC426" s="7">
        <v>0</v>
      </c>
      <c r="AD426" s="7">
        <v>0</v>
      </c>
      <c r="AE426" s="7">
        <v>12</v>
      </c>
      <c r="AF426" s="7">
        <v>0</v>
      </c>
      <c r="AG426" s="7">
        <v>0</v>
      </c>
      <c r="AH426" s="7">
        <v>0</v>
      </c>
      <c r="AI426" s="7">
        <v>0</v>
      </c>
      <c r="AJ426" s="7">
        <v>6.0000000000000001E-3</v>
      </c>
      <c r="AK426" s="7" t="s">
        <v>1506</v>
      </c>
      <c r="AL426" s="6">
        <v>2</v>
      </c>
      <c r="AM426" s="41">
        <f>INDEX(Sheet5!$B$19:$G$33,MATCH(Sheet1!AQ426,Sheet5!$A$19:$A$33,0),MATCH(J426,Sheet5!$B$18:$G$18,0))</f>
        <v>600</v>
      </c>
      <c r="AN426" s="6" t="s">
        <v>63</v>
      </c>
      <c r="AO426" s="6" t="s">
        <v>729</v>
      </c>
      <c r="AP426" s="6">
        <v>20251</v>
      </c>
      <c r="AQ426" s="13">
        <v>30</v>
      </c>
    </row>
    <row r="427" spans="1:43" ht="16.5">
      <c r="A427" s="6">
        <v>2494</v>
      </c>
      <c r="B427" s="22" t="s">
        <v>2078</v>
      </c>
      <c r="C427" s="22" t="s">
        <v>163</v>
      </c>
      <c r="D427" s="8" t="s">
        <v>109</v>
      </c>
      <c r="E427" s="14">
        <v>11005</v>
      </c>
      <c r="F427" s="65">
        <v>2000</v>
      </c>
      <c r="G427" s="6">
        <v>300</v>
      </c>
      <c r="H427" s="6">
        <v>50</v>
      </c>
      <c r="I427" s="8" t="s">
        <v>718</v>
      </c>
      <c r="J427" s="6">
        <v>2</v>
      </c>
      <c r="K427" s="6">
        <v>6</v>
      </c>
      <c r="L427" s="6">
        <v>20</v>
      </c>
      <c r="M427" s="6">
        <v>0</v>
      </c>
      <c r="N427" s="6">
        <v>0</v>
      </c>
      <c r="O427">
        <v>320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W427" s="6">
        <v>3</v>
      </c>
      <c r="X427" s="6">
        <v>0</v>
      </c>
      <c r="Y427" s="6">
        <v>0</v>
      </c>
      <c r="Z427" s="6">
        <v>0</v>
      </c>
      <c r="AA427" s="6">
        <v>0</v>
      </c>
      <c r="AB427" s="6">
        <v>0</v>
      </c>
      <c r="AC427" s="7">
        <v>0</v>
      </c>
      <c r="AD427" s="7">
        <v>0</v>
      </c>
      <c r="AE427" s="7">
        <v>12</v>
      </c>
      <c r="AF427" s="7">
        <v>0</v>
      </c>
      <c r="AG427" s="7">
        <v>0</v>
      </c>
      <c r="AH427" s="7">
        <v>0</v>
      </c>
      <c r="AI427" s="7">
        <v>0</v>
      </c>
      <c r="AJ427" s="7">
        <v>6.0000000000000001E-3</v>
      </c>
      <c r="AK427" s="7" t="s">
        <v>1506</v>
      </c>
      <c r="AL427" s="6">
        <v>2</v>
      </c>
      <c r="AM427" s="41">
        <f>INDEX(Sheet5!$B$19:$G$33,MATCH(Sheet1!AQ427,Sheet5!$A$19:$A$33,0),MATCH(J427,Sheet5!$B$18:$G$18,0))</f>
        <v>800</v>
      </c>
      <c r="AN427" s="6" t="s">
        <v>63</v>
      </c>
      <c r="AO427" s="6" t="s">
        <v>729</v>
      </c>
      <c r="AP427" s="6">
        <v>20252</v>
      </c>
      <c r="AQ427" s="13">
        <v>40</v>
      </c>
    </row>
    <row r="428" spans="1:43" ht="16.5">
      <c r="A428" s="6">
        <v>2495</v>
      </c>
      <c r="B428" s="22" t="s">
        <v>2079</v>
      </c>
      <c r="C428" s="22" t="s">
        <v>163</v>
      </c>
      <c r="D428" s="8" t="s">
        <v>109</v>
      </c>
      <c r="E428" s="14">
        <v>11005</v>
      </c>
      <c r="F428" s="65">
        <v>2000</v>
      </c>
      <c r="G428" s="6">
        <v>300</v>
      </c>
      <c r="H428" s="6">
        <v>50</v>
      </c>
      <c r="I428" s="8" t="s">
        <v>718</v>
      </c>
      <c r="J428" s="6">
        <v>2</v>
      </c>
      <c r="K428" s="6">
        <v>6</v>
      </c>
      <c r="L428" s="6">
        <v>20</v>
      </c>
      <c r="M428" s="6">
        <v>0</v>
      </c>
      <c r="N428" s="6">
        <v>0</v>
      </c>
      <c r="O428">
        <v>400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W428" s="6">
        <v>3</v>
      </c>
      <c r="X428" s="6">
        <v>0</v>
      </c>
      <c r="Y428" s="6">
        <v>0</v>
      </c>
      <c r="Z428" s="6">
        <v>0</v>
      </c>
      <c r="AA428" s="6">
        <v>0</v>
      </c>
      <c r="AB428" s="6">
        <v>0</v>
      </c>
      <c r="AC428" s="7">
        <v>0</v>
      </c>
      <c r="AD428" s="7">
        <v>0</v>
      </c>
      <c r="AE428" s="7">
        <v>12</v>
      </c>
      <c r="AF428" s="7">
        <v>0</v>
      </c>
      <c r="AG428" s="7">
        <v>0</v>
      </c>
      <c r="AH428" s="7">
        <v>0</v>
      </c>
      <c r="AI428" s="7">
        <v>0</v>
      </c>
      <c r="AJ428" s="7">
        <v>6.0000000000000001E-3</v>
      </c>
      <c r="AK428" s="7" t="s">
        <v>1506</v>
      </c>
      <c r="AL428" s="6">
        <v>2</v>
      </c>
      <c r="AM428" s="41">
        <f>INDEX(Sheet5!$B$19:$G$33,MATCH(Sheet1!AQ428,Sheet5!$A$19:$A$33,0),MATCH(J428,Sheet5!$B$18:$G$18,0))</f>
        <v>1000</v>
      </c>
      <c r="AN428" s="6" t="s">
        <v>63</v>
      </c>
      <c r="AO428" s="6" t="s">
        <v>729</v>
      </c>
      <c r="AP428" s="6">
        <v>20253</v>
      </c>
      <c r="AQ428" s="13">
        <v>50</v>
      </c>
    </row>
    <row r="429" spans="1:43" ht="16.5">
      <c r="A429" s="6">
        <v>2496</v>
      </c>
      <c r="B429" s="22" t="s">
        <v>2080</v>
      </c>
      <c r="C429" s="22" t="s">
        <v>163</v>
      </c>
      <c r="D429" s="8" t="s">
        <v>109</v>
      </c>
      <c r="E429" s="14">
        <v>11005</v>
      </c>
      <c r="F429" s="65">
        <v>2000</v>
      </c>
      <c r="G429" s="6">
        <v>300</v>
      </c>
      <c r="H429" s="6">
        <v>50</v>
      </c>
      <c r="I429" s="8" t="s">
        <v>718</v>
      </c>
      <c r="J429" s="6">
        <v>2</v>
      </c>
      <c r="K429" s="6">
        <v>6</v>
      </c>
      <c r="L429" s="6">
        <v>20</v>
      </c>
      <c r="M429" s="6">
        <v>0</v>
      </c>
      <c r="N429" s="6">
        <v>0</v>
      </c>
      <c r="O429">
        <v>480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W429" s="6">
        <v>3</v>
      </c>
      <c r="X429" s="6">
        <v>0</v>
      </c>
      <c r="Y429" s="6">
        <v>0</v>
      </c>
      <c r="Z429" s="6">
        <v>0</v>
      </c>
      <c r="AA429" s="6">
        <v>0</v>
      </c>
      <c r="AB429" s="6">
        <v>0</v>
      </c>
      <c r="AC429" s="7">
        <v>0</v>
      </c>
      <c r="AD429" s="7">
        <v>0</v>
      </c>
      <c r="AE429" s="7">
        <v>12</v>
      </c>
      <c r="AF429" s="7">
        <v>0</v>
      </c>
      <c r="AG429" s="7">
        <v>0</v>
      </c>
      <c r="AH429" s="7">
        <v>0</v>
      </c>
      <c r="AI429" s="7">
        <v>0</v>
      </c>
      <c r="AJ429" s="7">
        <v>6.0000000000000001E-3</v>
      </c>
      <c r="AK429" s="7" t="s">
        <v>1506</v>
      </c>
      <c r="AL429" s="6">
        <v>2</v>
      </c>
      <c r="AM429" s="41">
        <f>INDEX(Sheet5!$B$19:$G$33,MATCH(Sheet1!AQ429,Sheet5!$A$19:$A$33,0),MATCH(J429,Sheet5!$B$18:$G$18,0))</f>
        <v>1200</v>
      </c>
      <c r="AN429" s="6" t="s">
        <v>63</v>
      </c>
      <c r="AO429" s="6" t="s">
        <v>729</v>
      </c>
      <c r="AP429" s="6">
        <v>20254</v>
      </c>
      <c r="AQ429" s="13">
        <v>60</v>
      </c>
    </row>
    <row r="430" spans="1:43" ht="16.5">
      <c r="A430" s="6">
        <v>2497</v>
      </c>
      <c r="B430" s="22" t="s">
        <v>2081</v>
      </c>
      <c r="C430" s="22" t="s">
        <v>163</v>
      </c>
      <c r="D430" s="8" t="s">
        <v>109</v>
      </c>
      <c r="E430" s="14">
        <v>11005</v>
      </c>
      <c r="F430" s="65">
        <v>2000</v>
      </c>
      <c r="G430" s="6">
        <v>300</v>
      </c>
      <c r="H430" s="6">
        <v>50</v>
      </c>
      <c r="I430" s="8" t="s">
        <v>718</v>
      </c>
      <c r="J430" s="6">
        <v>2</v>
      </c>
      <c r="K430" s="6">
        <v>6</v>
      </c>
      <c r="L430" s="6">
        <v>20</v>
      </c>
      <c r="M430" s="6">
        <v>0</v>
      </c>
      <c r="N430" s="6">
        <v>0</v>
      </c>
      <c r="O430">
        <v>560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W430" s="6">
        <v>3</v>
      </c>
      <c r="X430" s="6">
        <v>0</v>
      </c>
      <c r="Y430" s="6">
        <v>0</v>
      </c>
      <c r="Z430" s="6">
        <v>0</v>
      </c>
      <c r="AA430" s="6">
        <v>0</v>
      </c>
      <c r="AB430" s="6">
        <v>0</v>
      </c>
      <c r="AC430" s="7">
        <v>0</v>
      </c>
      <c r="AD430" s="7">
        <v>0</v>
      </c>
      <c r="AE430" s="7">
        <v>12</v>
      </c>
      <c r="AF430" s="7">
        <v>0</v>
      </c>
      <c r="AG430" s="7">
        <v>0</v>
      </c>
      <c r="AH430" s="7">
        <v>0</v>
      </c>
      <c r="AI430" s="7">
        <v>0</v>
      </c>
      <c r="AJ430" s="7">
        <v>6.0000000000000001E-3</v>
      </c>
      <c r="AK430" s="7" t="s">
        <v>1506</v>
      </c>
      <c r="AL430" s="6">
        <v>2</v>
      </c>
      <c r="AM430" s="41">
        <f>INDEX(Sheet5!$B$19:$G$33,MATCH(Sheet1!AQ430,Sheet5!$A$19:$A$33,0),MATCH(J430,Sheet5!$B$18:$G$18,0))</f>
        <v>1400</v>
      </c>
      <c r="AN430" s="6" t="s">
        <v>63</v>
      </c>
      <c r="AO430" s="6" t="s">
        <v>729</v>
      </c>
      <c r="AP430" s="6">
        <v>20255</v>
      </c>
      <c r="AQ430" s="13">
        <v>70</v>
      </c>
    </row>
    <row r="431" spans="1:43" ht="16.5">
      <c r="A431" s="6">
        <v>2498</v>
      </c>
      <c r="B431" s="22" t="s">
        <v>2082</v>
      </c>
      <c r="C431" s="22" t="s">
        <v>163</v>
      </c>
      <c r="D431" s="8" t="s">
        <v>109</v>
      </c>
      <c r="E431" s="14">
        <v>11005</v>
      </c>
      <c r="F431" s="65">
        <v>2000</v>
      </c>
      <c r="G431" s="6">
        <v>300</v>
      </c>
      <c r="H431" s="6">
        <v>50</v>
      </c>
      <c r="I431" s="8" t="s">
        <v>718</v>
      </c>
      <c r="J431" s="6">
        <v>2</v>
      </c>
      <c r="K431" s="6">
        <v>6</v>
      </c>
      <c r="L431" s="6">
        <v>20</v>
      </c>
      <c r="M431" s="6">
        <v>0</v>
      </c>
      <c r="N431" s="6">
        <v>0</v>
      </c>
      <c r="O431">
        <v>640</v>
      </c>
      <c r="P431" s="6">
        <v>0</v>
      </c>
      <c r="Q431" s="6">
        <v>0</v>
      </c>
      <c r="R431" s="6">
        <v>0</v>
      </c>
      <c r="S431" s="6">
        <v>0</v>
      </c>
      <c r="T431" s="6">
        <v>0</v>
      </c>
      <c r="U431" s="6">
        <v>0</v>
      </c>
      <c r="V431" s="6">
        <v>0</v>
      </c>
      <c r="W431" s="6">
        <v>3</v>
      </c>
      <c r="X431" s="6">
        <v>0</v>
      </c>
      <c r="Y431" s="6">
        <v>0</v>
      </c>
      <c r="Z431" s="6">
        <v>0</v>
      </c>
      <c r="AA431" s="6">
        <v>0</v>
      </c>
      <c r="AB431" s="6">
        <v>0</v>
      </c>
      <c r="AC431" s="7">
        <v>0</v>
      </c>
      <c r="AD431" s="7">
        <v>0</v>
      </c>
      <c r="AE431" s="7">
        <v>12</v>
      </c>
      <c r="AF431" s="7">
        <v>0</v>
      </c>
      <c r="AG431" s="7">
        <v>0</v>
      </c>
      <c r="AH431" s="7">
        <v>0</v>
      </c>
      <c r="AI431" s="7">
        <v>0</v>
      </c>
      <c r="AJ431" s="7">
        <v>6.0000000000000001E-3</v>
      </c>
      <c r="AK431" s="7" t="s">
        <v>1506</v>
      </c>
      <c r="AL431" s="6">
        <v>2</v>
      </c>
      <c r="AM431" s="41">
        <f>INDEX(Sheet5!$B$19:$G$33,MATCH(Sheet1!AQ431,Sheet5!$A$19:$A$33,0),MATCH(J431,Sheet5!$B$18:$G$18,0))</f>
        <v>1600</v>
      </c>
      <c r="AN431" s="6" t="s">
        <v>63</v>
      </c>
      <c r="AO431" s="6" t="s">
        <v>729</v>
      </c>
      <c r="AP431" s="6">
        <v>20256</v>
      </c>
      <c r="AQ431" s="13">
        <v>80</v>
      </c>
    </row>
    <row r="432" spans="1:43" ht="16.5">
      <c r="A432" s="6">
        <v>2499</v>
      </c>
      <c r="B432" s="22" t="s">
        <v>2083</v>
      </c>
      <c r="C432" s="22" t="s">
        <v>163</v>
      </c>
      <c r="D432" s="8" t="s">
        <v>109</v>
      </c>
      <c r="E432" s="14">
        <v>11005</v>
      </c>
      <c r="F432" s="65">
        <v>2000</v>
      </c>
      <c r="G432" s="6">
        <v>300</v>
      </c>
      <c r="H432" s="6">
        <v>50</v>
      </c>
      <c r="I432" s="8" t="s">
        <v>718</v>
      </c>
      <c r="J432" s="6">
        <v>2</v>
      </c>
      <c r="K432" s="6">
        <v>6</v>
      </c>
      <c r="L432" s="6">
        <v>20</v>
      </c>
      <c r="M432" s="6">
        <v>0</v>
      </c>
      <c r="N432" s="6">
        <v>0</v>
      </c>
      <c r="O432">
        <v>720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v>0</v>
      </c>
      <c r="W432" s="6">
        <v>3</v>
      </c>
      <c r="X432" s="6">
        <v>0</v>
      </c>
      <c r="Y432" s="6">
        <v>0</v>
      </c>
      <c r="Z432" s="6">
        <v>0</v>
      </c>
      <c r="AA432" s="6">
        <v>0</v>
      </c>
      <c r="AB432" s="6">
        <v>0</v>
      </c>
      <c r="AC432" s="7">
        <v>0</v>
      </c>
      <c r="AD432" s="7">
        <v>0</v>
      </c>
      <c r="AE432" s="7">
        <v>12</v>
      </c>
      <c r="AF432" s="7">
        <v>0</v>
      </c>
      <c r="AG432" s="7">
        <v>0</v>
      </c>
      <c r="AH432" s="7">
        <v>0</v>
      </c>
      <c r="AI432" s="7">
        <v>0</v>
      </c>
      <c r="AJ432" s="7">
        <v>6.0000000000000001E-3</v>
      </c>
      <c r="AK432" s="7" t="s">
        <v>1506</v>
      </c>
      <c r="AL432" s="6">
        <v>2</v>
      </c>
      <c r="AM432" s="41">
        <f>INDEX(Sheet5!$B$19:$G$33,MATCH(Sheet1!AQ432,Sheet5!$A$19:$A$33,0),MATCH(J432,Sheet5!$B$18:$G$18,0))</f>
        <v>1800</v>
      </c>
      <c r="AN432" s="6" t="s">
        <v>63</v>
      </c>
      <c r="AO432" s="6" t="s">
        <v>729</v>
      </c>
      <c r="AP432" s="6">
        <v>20257</v>
      </c>
      <c r="AQ432" s="13">
        <v>90</v>
      </c>
    </row>
    <row r="433" spans="1:43" ht="16.5">
      <c r="A433" s="6">
        <v>2500</v>
      </c>
      <c r="B433" s="22" t="s">
        <v>2084</v>
      </c>
      <c r="C433" s="22" t="s">
        <v>163</v>
      </c>
      <c r="D433" s="8" t="s">
        <v>109</v>
      </c>
      <c r="E433" s="14">
        <v>11005</v>
      </c>
      <c r="F433" s="65">
        <v>2000</v>
      </c>
      <c r="G433" s="6">
        <v>300</v>
      </c>
      <c r="H433" s="6">
        <v>50</v>
      </c>
      <c r="I433" s="8" t="s">
        <v>718</v>
      </c>
      <c r="J433" s="6">
        <v>2</v>
      </c>
      <c r="K433" s="6">
        <v>6</v>
      </c>
      <c r="L433" s="6">
        <v>20</v>
      </c>
      <c r="M433" s="6">
        <v>0</v>
      </c>
      <c r="N433" s="6">
        <v>0</v>
      </c>
      <c r="O433">
        <v>800</v>
      </c>
      <c r="P433" s="6">
        <v>0</v>
      </c>
      <c r="Q433" s="6">
        <v>0</v>
      </c>
      <c r="R433" s="6">
        <v>0</v>
      </c>
      <c r="S433" s="6">
        <v>0</v>
      </c>
      <c r="T433" s="6">
        <v>0</v>
      </c>
      <c r="U433" s="6">
        <v>0</v>
      </c>
      <c r="V433" s="6">
        <v>0</v>
      </c>
      <c r="W433" s="6">
        <v>3</v>
      </c>
      <c r="X433" s="6">
        <v>0</v>
      </c>
      <c r="Y433" s="6">
        <v>0</v>
      </c>
      <c r="Z433" s="6">
        <v>0</v>
      </c>
      <c r="AA433" s="6">
        <v>0</v>
      </c>
      <c r="AB433" s="6">
        <v>0</v>
      </c>
      <c r="AC433" s="7">
        <v>0</v>
      </c>
      <c r="AD433" s="7">
        <v>0</v>
      </c>
      <c r="AE433" s="7">
        <v>12</v>
      </c>
      <c r="AF433" s="7">
        <v>0</v>
      </c>
      <c r="AG433" s="7">
        <v>0</v>
      </c>
      <c r="AH433" s="7">
        <v>0</v>
      </c>
      <c r="AI433" s="7">
        <v>0</v>
      </c>
      <c r="AJ433" s="7">
        <v>6.0000000000000001E-3</v>
      </c>
      <c r="AK433" s="7" t="s">
        <v>1506</v>
      </c>
      <c r="AL433" s="6">
        <v>2</v>
      </c>
      <c r="AM433" s="41">
        <f>INDEX(Sheet5!$B$19:$G$33,MATCH(Sheet1!AQ433,Sheet5!$A$19:$A$33,0),MATCH(J433,Sheet5!$B$18:$G$18,0))</f>
        <v>2000</v>
      </c>
      <c r="AN433" s="6" t="s">
        <v>63</v>
      </c>
      <c r="AO433" s="6" t="s">
        <v>729</v>
      </c>
      <c r="AP433" s="6">
        <v>20258</v>
      </c>
      <c r="AQ433" s="13">
        <v>100</v>
      </c>
    </row>
    <row r="434" spans="1:43" ht="16.5">
      <c r="A434" s="6">
        <v>2501</v>
      </c>
      <c r="B434" s="22" t="s">
        <v>2085</v>
      </c>
      <c r="C434" s="22" t="s">
        <v>163</v>
      </c>
      <c r="D434" s="8" t="s">
        <v>109</v>
      </c>
      <c r="E434" s="14">
        <v>11005</v>
      </c>
      <c r="F434" s="65">
        <v>2000</v>
      </c>
      <c r="G434" s="6">
        <v>300</v>
      </c>
      <c r="H434" s="6">
        <v>50</v>
      </c>
      <c r="I434" s="8" t="s">
        <v>718</v>
      </c>
      <c r="J434" s="6">
        <v>2</v>
      </c>
      <c r="K434" s="6">
        <v>6</v>
      </c>
      <c r="L434" s="6">
        <v>20</v>
      </c>
      <c r="M434" s="6">
        <v>0</v>
      </c>
      <c r="N434" s="6">
        <v>0</v>
      </c>
      <c r="O434">
        <v>880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W434" s="6">
        <v>3</v>
      </c>
      <c r="X434" s="6">
        <v>0</v>
      </c>
      <c r="Y434" s="6">
        <v>0</v>
      </c>
      <c r="Z434" s="6">
        <v>0</v>
      </c>
      <c r="AA434" s="6">
        <v>0</v>
      </c>
      <c r="AB434" s="6">
        <v>0</v>
      </c>
      <c r="AC434" s="7">
        <v>0</v>
      </c>
      <c r="AD434" s="7">
        <v>0</v>
      </c>
      <c r="AE434" s="7">
        <v>12</v>
      </c>
      <c r="AF434" s="7">
        <v>0</v>
      </c>
      <c r="AG434" s="7">
        <v>0</v>
      </c>
      <c r="AH434" s="7">
        <v>0</v>
      </c>
      <c r="AI434" s="7">
        <v>0</v>
      </c>
      <c r="AJ434" s="7">
        <v>6.0000000000000001E-3</v>
      </c>
      <c r="AK434" s="7" t="s">
        <v>1506</v>
      </c>
      <c r="AL434" s="6">
        <v>2</v>
      </c>
      <c r="AM434" s="41">
        <f>INDEX(Sheet5!$B$19:$G$33,MATCH(Sheet1!AQ434,Sheet5!$A$19:$A$33,0),MATCH(J434,Sheet5!$B$18:$G$18,0))</f>
        <v>2200</v>
      </c>
      <c r="AN434" s="6" t="s">
        <v>63</v>
      </c>
      <c r="AO434" s="6" t="s">
        <v>729</v>
      </c>
      <c r="AP434" s="6">
        <v>20259</v>
      </c>
      <c r="AQ434" s="13">
        <v>110</v>
      </c>
    </row>
    <row r="435" spans="1:43" ht="16.5">
      <c r="A435" s="6">
        <v>2502</v>
      </c>
      <c r="B435" s="22" t="s">
        <v>2086</v>
      </c>
      <c r="C435" s="22" t="s">
        <v>163</v>
      </c>
      <c r="D435" s="8" t="s">
        <v>109</v>
      </c>
      <c r="E435" s="14">
        <v>11005</v>
      </c>
      <c r="F435" s="65">
        <v>2000</v>
      </c>
      <c r="G435" s="6">
        <v>300</v>
      </c>
      <c r="H435" s="6">
        <v>50</v>
      </c>
      <c r="I435" s="8" t="s">
        <v>718</v>
      </c>
      <c r="J435" s="6">
        <v>2</v>
      </c>
      <c r="K435" s="6">
        <v>6</v>
      </c>
      <c r="L435" s="6">
        <v>20</v>
      </c>
      <c r="M435" s="6">
        <v>0</v>
      </c>
      <c r="N435" s="6">
        <v>0</v>
      </c>
      <c r="O435">
        <v>960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W435" s="6">
        <v>3</v>
      </c>
      <c r="X435" s="6">
        <v>0</v>
      </c>
      <c r="Y435" s="6">
        <v>0</v>
      </c>
      <c r="Z435" s="6">
        <v>0</v>
      </c>
      <c r="AA435" s="6">
        <v>0</v>
      </c>
      <c r="AB435" s="6">
        <v>0</v>
      </c>
      <c r="AC435" s="7">
        <v>0</v>
      </c>
      <c r="AD435" s="7">
        <v>0</v>
      </c>
      <c r="AE435" s="7">
        <v>12</v>
      </c>
      <c r="AF435" s="7">
        <v>0</v>
      </c>
      <c r="AG435" s="7">
        <v>0</v>
      </c>
      <c r="AH435" s="7">
        <v>0</v>
      </c>
      <c r="AI435" s="7">
        <v>0</v>
      </c>
      <c r="AJ435" s="7">
        <v>6.0000000000000001E-3</v>
      </c>
      <c r="AK435" s="7" t="s">
        <v>1506</v>
      </c>
      <c r="AL435" s="6">
        <v>2</v>
      </c>
      <c r="AM435" s="41">
        <f>INDEX(Sheet5!$B$19:$G$33,MATCH(Sheet1!AQ435,Sheet5!$A$19:$A$33,0),MATCH(J435,Sheet5!$B$18:$G$18,0))</f>
        <v>2400</v>
      </c>
      <c r="AN435" s="6" t="s">
        <v>63</v>
      </c>
      <c r="AO435" s="6" t="s">
        <v>729</v>
      </c>
      <c r="AP435" s="6">
        <v>20260</v>
      </c>
      <c r="AQ435" s="13">
        <v>120</v>
      </c>
    </row>
    <row r="436" spans="1:43" ht="16.5">
      <c r="A436" s="6">
        <v>2503</v>
      </c>
      <c r="B436" s="22" t="s">
        <v>2087</v>
      </c>
      <c r="C436" s="22" t="s">
        <v>163</v>
      </c>
      <c r="D436" s="8" t="s">
        <v>109</v>
      </c>
      <c r="E436" s="14">
        <v>11005</v>
      </c>
      <c r="F436" s="65">
        <v>2000</v>
      </c>
      <c r="G436" s="6">
        <v>300</v>
      </c>
      <c r="H436" s="6">
        <v>50</v>
      </c>
      <c r="I436" s="8" t="s">
        <v>718</v>
      </c>
      <c r="J436" s="6">
        <v>2</v>
      </c>
      <c r="K436" s="6">
        <v>6</v>
      </c>
      <c r="L436" s="6">
        <v>20</v>
      </c>
      <c r="M436" s="6">
        <v>0</v>
      </c>
      <c r="N436" s="6">
        <v>0</v>
      </c>
      <c r="O436">
        <v>1040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W436" s="6">
        <v>3</v>
      </c>
      <c r="X436" s="6">
        <v>0</v>
      </c>
      <c r="Y436" s="6">
        <v>0</v>
      </c>
      <c r="Z436" s="6">
        <v>0</v>
      </c>
      <c r="AA436" s="6">
        <v>0</v>
      </c>
      <c r="AB436" s="6">
        <v>0</v>
      </c>
      <c r="AC436" s="7">
        <v>0</v>
      </c>
      <c r="AD436" s="7">
        <v>0</v>
      </c>
      <c r="AE436" s="7">
        <v>12</v>
      </c>
      <c r="AF436" s="7">
        <v>0</v>
      </c>
      <c r="AG436" s="7">
        <v>0</v>
      </c>
      <c r="AH436" s="7">
        <v>0</v>
      </c>
      <c r="AI436" s="7">
        <v>0</v>
      </c>
      <c r="AJ436" s="7">
        <v>6.0000000000000001E-3</v>
      </c>
      <c r="AK436" s="7" t="s">
        <v>1506</v>
      </c>
      <c r="AL436" s="6">
        <v>2</v>
      </c>
      <c r="AM436" s="41">
        <f>INDEX(Sheet5!$B$19:$G$33,MATCH(Sheet1!AQ436,Sheet5!$A$19:$A$33,0),MATCH(J436,Sheet5!$B$18:$G$18,0))</f>
        <v>2600</v>
      </c>
      <c r="AN436" s="6" t="s">
        <v>63</v>
      </c>
      <c r="AO436" s="6" t="s">
        <v>729</v>
      </c>
      <c r="AP436" s="6">
        <v>202611</v>
      </c>
      <c r="AQ436" s="13">
        <v>130</v>
      </c>
    </row>
    <row r="437" spans="1:43" ht="16.5">
      <c r="A437" s="6">
        <v>2504</v>
      </c>
      <c r="B437" s="22" t="s">
        <v>2088</v>
      </c>
      <c r="C437" s="22" t="s">
        <v>163</v>
      </c>
      <c r="D437" s="8" t="s">
        <v>109</v>
      </c>
      <c r="E437" s="14">
        <v>11005</v>
      </c>
      <c r="F437" s="65">
        <v>2000</v>
      </c>
      <c r="G437" s="6">
        <v>300</v>
      </c>
      <c r="H437" s="6">
        <v>50</v>
      </c>
      <c r="I437" s="8" t="s">
        <v>718</v>
      </c>
      <c r="J437" s="6">
        <v>2</v>
      </c>
      <c r="K437" s="6">
        <v>6</v>
      </c>
      <c r="L437" s="6">
        <v>20</v>
      </c>
      <c r="M437" s="6">
        <v>0</v>
      </c>
      <c r="N437" s="6">
        <v>0</v>
      </c>
      <c r="O437">
        <v>1120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W437" s="6">
        <v>3</v>
      </c>
      <c r="X437" s="6">
        <v>0</v>
      </c>
      <c r="Y437" s="6">
        <v>0</v>
      </c>
      <c r="Z437" s="6">
        <v>0</v>
      </c>
      <c r="AA437" s="6">
        <v>0</v>
      </c>
      <c r="AB437" s="6">
        <v>0</v>
      </c>
      <c r="AC437" s="7">
        <v>0</v>
      </c>
      <c r="AD437" s="7">
        <v>0</v>
      </c>
      <c r="AE437" s="7">
        <v>12</v>
      </c>
      <c r="AF437" s="7">
        <v>0</v>
      </c>
      <c r="AG437" s="7">
        <v>0</v>
      </c>
      <c r="AH437" s="7">
        <v>0</v>
      </c>
      <c r="AI437" s="7">
        <v>0</v>
      </c>
      <c r="AJ437" s="7">
        <v>6.0000000000000001E-3</v>
      </c>
      <c r="AK437" s="7" t="s">
        <v>1506</v>
      </c>
      <c r="AL437" s="6">
        <v>2</v>
      </c>
      <c r="AM437" s="41">
        <f>INDEX(Sheet5!$B$19:$G$33,MATCH(Sheet1!AQ437,Sheet5!$A$19:$A$33,0),MATCH(J437,Sheet5!$B$18:$G$18,0))</f>
        <v>2800</v>
      </c>
      <c r="AN437" s="6" t="s">
        <v>63</v>
      </c>
      <c r="AO437" s="6" t="s">
        <v>729</v>
      </c>
      <c r="AP437" s="6">
        <v>202612</v>
      </c>
      <c r="AQ437" s="13">
        <v>140</v>
      </c>
    </row>
    <row r="438" spans="1:43" ht="16.5">
      <c r="A438" s="6">
        <v>2505</v>
      </c>
      <c r="B438" s="22" t="s">
        <v>2089</v>
      </c>
      <c r="C438" s="22" t="s">
        <v>163</v>
      </c>
      <c r="D438" s="8" t="s">
        <v>109</v>
      </c>
      <c r="E438" s="14">
        <v>11005</v>
      </c>
      <c r="F438" s="65">
        <v>2000</v>
      </c>
      <c r="G438" s="6">
        <v>300</v>
      </c>
      <c r="H438" s="6">
        <v>50</v>
      </c>
      <c r="I438" s="8" t="s">
        <v>718</v>
      </c>
      <c r="J438" s="6">
        <v>2</v>
      </c>
      <c r="K438" s="6">
        <v>6</v>
      </c>
      <c r="L438" s="6">
        <v>20</v>
      </c>
      <c r="M438" s="6">
        <v>0</v>
      </c>
      <c r="N438" s="6">
        <v>0</v>
      </c>
      <c r="O438">
        <v>1200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W438" s="6">
        <v>3</v>
      </c>
      <c r="X438" s="6">
        <v>0</v>
      </c>
      <c r="Y438" s="6">
        <v>0</v>
      </c>
      <c r="Z438" s="6">
        <v>0</v>
      </c>
      <c r="AA438" s="6">
        <v>0</v>
      </c>
      <c r="AB438" s="6">
        <v>0</v>
      </c>
      <c r="AC438" s="7">
        <v>0</v>
      </c>
      <c r="AD438" s="7">
        <v>0</v>
      </c>
      <c r="AE438" s="7">
        <v>12</v>
      </c>
      <c r="AF438" s="7">
        <v>0</v>
      </c>
      <c r="AG438" s="7">
        <v>0</v>
      </c>
      <c r="AH438" s="7">
        <v>0</v>
      </c>
      <c r="AI438" s="7">
        <v>0</v>
      </c>
      <c r="AJ438" s="7">
        <v>6.0000000000000001E-3</v>
      </c>
      <c r="AK438" s="7" t="s">
        <v>1506</v>
      </c>
      <c r="AL438" s="6">
        <v>2</v>
      </c>
      <c r="AM438" s="41">
        <f>INDEX(Sheet5!$B$19:$G$33,MATCH(Sheet1!AQ438,Sheet5!$A$19:$A$33,0),MATCH(J438,Sheet5!$B$18:$G$18,0))</f>
        <v>3000</v>
      </c>
      <c r="AN438" s="6" t="s">
        <v>63</v>
      </c>
      <c r="AO438" s="6" t="s">
        <v>729</v>
      </c>
      <c r="AP438" s="6">
        <v>202613</v>
      </c>
      <c r="AQ438" s="13">
        <v>150</v>
      </c>
    </row>
    <row r="439" spans="1:43" ht="16.5">
      <c r="A439" s="6">
        <v>2506</v>
      </c>
      <c r="B439" s="22" t="s">
        <v>2090</v>
      </c>
      <c r="C439" s="22" t="s">
        <v>163</v>
      </c>
      <c r="D439" s="22" t="s">
        <v>134</v>
      </c>
      <c r="E439" s="14">
        <v>11006</v>
      </c>
      <c r="F439" s="65">
        <v>2000</v>
      </c>
      <c r="G439" s="6">
        <v>300</v>
      </c>
      <c r="H439" s="6">
        <v>50</v>
      </c>
      <c r="I439" s="8" t="s">
        <v>719</v>
      </c>
      <c r="J439" s="6">
        <v>2</v>
      </c>
      <c r="K439" s="6">
        <v>6</v>
      </c>
      <c r="L439" s="6">
        <v>20</v>
      </c>
      <c r="M439" s="6">
        <v>0</v>
      </c>
      <c r="N439">
        <v>160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6</v>
      </c>
      <c r="W439" s="6">
        <v>0</v>
      </c>
      <c r="X439" s="6">
        <v>0</v>
      </c>
      <c r="Y439" s="6">
        <v>0</v>
      </c>
      <c r="Z439" s="6">
        <v>0</v>
      </c>
      <c r="AA439" s="6">
        <v>0</v>
      </c>
      <c r="AB439" s="6">
        <v>0</v>
      </c>
      <c r="AC439" s="7">
        <v>0</v>
      </c>
      <c r="AD439" s="7">
        <v>24</v>
      </c>
      <c r="AE439" s="7">
        <v>0</v>
      </c>
      <c r="AF439" s="7">
        <v>0</v>
      </c>
      <c r="AG439" s="7">
        <v>0</v>
      </c>
      <c r="AH439" s="7">
        <v>0</v>
      </c>
      <c r="AI439" s="7">
        <v>6.0000000000000001E-3</v>
      </c>
      <c r="AJ439" s="7">
        <v>0</v>
      </c>
      <c r="AK439" s="7" t="s">
        <v>1506</v>
      </c>
      <c r="AL439" s="6">
        <v>1</v>
      </c>
      <c r="AM439" s="41">
        <f>INDEX(Sheet5!$B$19:$G$33,MATCH(Sheet1!AQ439,Sheet5!$A$19:$A$33,0),MATCH(J439,Sheet5!$B$18:$G$18,0))</f>
        <v>200</v>
      </c>
      <c r="AN439" s="6" t="s">
        <v>63</v>
      </c>
      <c r="AO439" s="6" t="s">
        <v>730</v>
      </c>
      <c r="AP439" s="6">
        <v>26</v>
      </c>
      <c r="AQ439" s="13">
        <v>10</v>
      </c>
    </row>
    <row r="440" spans="1:43" s="102" customFormat="1" ht="16.5">
      <c r="A440" s="100">
        <v>2026</v>
      </c>
      <c r="B440" s="100" t="s">
        <v>2091</v>
      </c>
      <c r="C440" s="100" t="s">
        <v>163</v>
      </c>
      <c r="D440" s="100" t="s">
        <v>1490</v>
      </c>
      <c r="E440" s="101">
        <v>11006</v>
      </c>
      <c r="F440" s="100">
        <v>2000</v>
      </c>
      <c r="G440" s="100">
        <v>300</v>
      </c>
      <c r="H440" s="100">
        <v>50</v>
      </c>
      <c r="I440" s="100" t="s">
        <v>719</v>
      </c>
      <c r="J440" s="100">
        <v>2</v>
      </c>
      <c r="K440" s="100">
        <v>6</v>
      </c>
      <c r="L440" s="100">
        <v>20</v>
      </c>
      <c r="M440" s="100">
        <v>0</v>
      </c>
      <c r="N440">
        <v>320</v>
      </c>
      <c r="O440" s="100">
        <v>0</v>
      </c>
      <c r="P440" s="100">
        <v>0</v>
      </c>
      <c r="Q440" s="100">
        <v>0</v>
      </c>
      <c r="R440" s="100">
        <v>0</v>
      </c>
      <c r="S440" s="100">
        <v>0</v>
      </c>
      <c r="T440" s="100">
        <v>0</v>
      </c>
      <c r="U440" s="100">
        <v>0</v>
      </c>
      <c r="V440" s="100">
        <v>6</v>
      </c>
      <c r="W440" s="100">
        <v>0</v>
      </c>
      <c r="X440" s="100">
        <v>0</v>
      </c>
      <c r="Y440" s="100">
        <v>0</v>
      </c>
      <c r="Z440" s="100">
        <v>0</v>
      </c>
      <c r="AA440" s="100">
        <v>0</v>
      </c>
      <c r="AB440" s="100">
        <v>0</v>
      </c>
      <c r="AC440" s="100">
        <v>0</v>
      </c>
      <c r="AD440" s="100">
        <v>24</v>
      </c>
      <c r="AE440" s="100">
        <v>0</v>
      </c>
      <c r="AF440" s="100">
        <v>0</v>
      </c>
      <c r="AG440" s="100">
        <v>0</v>
      </c>
      <c r="AH440" s="100">
        <v>0</v>
      </c>
      <c r="AI440" s="100">
        <v>6.0000000000000001E-3</v>
      </c>
      <c r="AJ440" s="100">
        <v>0</v>
      </c>
      <c r="AK440" s="7" t="s">
        <v>1506</v>
      </c>
      <c r="AL440" s="100">
        <v>1</v>
      </c>
      <c r="AM440" s="41">
        <f>INDEX(Sheet5!$B$19:$G$33,MATCH(Sheet1!AQ440,Sheet5!$A$19:$A$33,0),MATCH(J440,Sheet5!$B$18:$G$18,0))</f>
        <v>400</v>
      </c>
      <c r="AN440" s="100" t="s">
        <v>1488</v>
      </c>
      <c r="AO440" s="100" t="s">
        <v>730</v>
      </c>
      <c r="AP440" s="100">
        <v>2026</v>
      </c>
      <c r="AQ440" s="13">
        <v>20</v>
      </c>
    </row>
    <row r="441" spans="1:43" ht="16.5">
      <c r="A441" s="6">
        <v>2507</v>
      </c>
      <c r="B441" s="22" t="s">
        <v>2092</v>
      </c>
      <c r="C441" s="22" t="s">
        <v>163</v>
      </c>
      <c r="D441" s="22" t="s">
        <v>134</v>
      </c>
      <c r="E441" s="14">
        <v>11006</v>
      </c>
      <c r="F441" s="65">
        <v>2000</v>
      </c>
      <c r="G441" s="6">
        <v>300</v>
      </c>
      <c r="H441" s="6">
        <v>50</v>
      </c>
      <c r="I441" s="8" t="s">
        <v>719</v>
      </c>
      <c r="J441" s="6">
        <v>2</v>
      </c>
      <c r="K441" s="6">
        <v>6</v>
      </c>
      <c r="L441" s="6">
        <v>20</v>
      </c>
      <c r="M441" s="6">
        <v>0</v>
      </c>
      <c r="N441">
        <v>480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6</v>
      </c>
      <c r="W441" s="6">
        <v>0</v>
      </c>
      <c r="X441" s="6">
        <v>0</v>
      </c>
      <c r="Y441" s="6">
        <v>0</v>
      </c>
      <c r="Z441" s="6">
        <v>0</v>
      </c>
      <c r="AA441" s="6">
        <v>0</v>
      </c>
      <c r="AB441" s="6">
        <v>0</v>
      </c>
      <c r="AC441" s="7">
        <v>0</v>
      </c>
      <c r="AD441" s="7">
        <v>24</v>
      </c>
      <c r="AE441" s="7">
        <v>0</v>
      </c>
      <c r="AF441" s="7">
        <v>0</v>
      </c>
      <c r="AG441" s="7">
        <v>0</v>
      </c>
      <c r="AH441" s="7">
        <v>0</v>
      </c>
      <c r="AI441" s="7">
        <v>6.0000000000000001E-3</v>
      </c>
      <c r="AJ441" s="7">
        <v>0</v>
      </c>
      <c r="AK441" s="7" t="s">
        <v>1506</v>
      </c>
      <c r="AL441" s="6">
        <v>1</v>
      </c>
      <c r="AM441" s="41">
        <f>INDEX(Sheet5!$B$19:$G$33,MATCH(Sheet1!AQ441,Sheet5!$A$19:$A$33,0),MATCH(J441,Sheet5!$B$18:$G$18,0))</f>
        <v>600</v>
      </c>
      <c r="AN441" s="6" t="s">
        <v>63</v>
      </c>
      <c r="AO441" s="6" t="s">
        <v>730</v>
      </c>
      <c r="AP441" s="6">
        <v>20261</v>
      </c>
      <c r="AQ441" s="13">
        <v>30</v>
      </c>
    </row>
    <row r="442" spans="1:43" ht="16.5">
      <c r="A442" s="6">
        <v>2508</v>
      </c>
      <c r="B442" s="22" t="s">
        <v>2093</v>
      </c>
      <c r="C442" s="22" t="s">
        <v>163</v>
      </c>
      <c r="D442" s="22" t="s">
        <v>134</v>
      </c>
      <c r="E442" s="14">
        <v>11006</v>
      </c>
      <c r="F442" s="65">
        <v>2000</v>
      </c>
      <c r="G442" s="6">
        <v>300</v>
      </c>
      <c r="H442" s="6">
        <v>50</v>
      </c>
      <c r="I442" s="8" t="s">
        <v>719</v>
      </c>
      <c r="J442" s="6">
        <v>2</v>
      </c>
      <c r="K442" s="6">
        <v>6</v>
      </c>
      <c r="L442" s="6">
        <v>20</v>
      </c>
      <c r="M442" s="6">
        <v>0</v>
      </c>
      <c r="N442">
        <v>640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v>6</v>
      </c>
      <c r="W442" s="6">
        <v>0</v>
      </c>
      <c r="X442" s="6">
        <v>0</v>
      </c>
      <c r="Y442" s="6">
        <v>0</v>
      </c>
      <c r="Z442" s="6">
        <v>0</v>
      </c>
      <c r="AA442" s="6">
        <v>0</v>
      </c>
      <c r="AB442" s="6">
        <v>0</v>
      </c>
      <c r="AC442" s="7">
        <v>0</v>
      </c>
      <c r="AD442" s="7">
        <v>24</v>
      </c>
      <c r="AE442" s="7">
        <v>0</v>
      </c>
      <c r="AF442" s="7">
        <v>0</v>
      </c>
      <c r="AG442" s="7">
        <v>0</v>
      </c>
      <c r="AH442" s="7">
        <v>0</v>
      </c>
      <c r="AI442" s="7">
        <v>6.0000000000000001E-3</v>
      </c>
      <c r="AJ442" s="7">
        <v>0</v>
      </c>
      <c r="AK442" s="7" t="s">
        <v>1506</v>
      </c>
      <c r="AL442" s="6">
        <v>1</v>
      </c>
      <c r="AM442" s="41">
        <f>INDEX(Sheet5!$B$19:$G$33,MATCH(Sheet1!AQ442,Sheet5!$A$19:$A$33,0),MATCH(J442,Sheet5!$B$18:$G$18,0))</f>
        <v>800</v>
      </c>
      <c r="AN442" s="6" t="s">
        <v>63</v>
      </c>
      <c r="AO442" s="6" t="s">
        <v>730</v>
      </c>
      <c r="AP442" s="6">
        <v>20262</v>
      </c>
      <c r="AQ442" s="13">
        <v>40</v>
      </c>
    </row>
    <row r="443" spans="1:43" ht="16.5">
      <c r="A443" s="6">
        <v>2509</v>
      </c>
      <c r="B443" s="22" t="s">
        <v>2094</v>
      </c>
      <c r="C443" s="22" t="s">
        <v>163</v>
      </c>
      <c r="D443" s="22" t="s">
        <v>134</v>
      </c>
      <c r="E443" s="14">
        <v>11006</v>
      </c>
      <c r="F443" s="65">
        <v>2000</v>
      </c>
      <c r="G443" s="6">
        <v>300</v>
      </c>
      <c r="H443" s="6">
        <v>50</v>
      </c>
      <c r="I443" s="8" t="s">
        <v>719</v>
      </c>
      <c r="J443" s="6">
        <v>2</v>
      </c>
      <c r="K443" s="6">
        <v>6</v>
      </c>
      <c r="L443" s="6">
        <v>20</v>
      </c>
      <c r="M443" s="6">
        <v>0</v>
      </c>
      <c r="N443">
        <v>800</v>
      </c>
      <c r="O443" s="6">
        <v>0</v>
      </c>
      <c r="P443" s="6">
        <v>0</v>
      </c>
      <c r="Q443" s="6">
        <v>0</v>
      </c>
      <c r="R443" s="6">
        <v>0</v>
      </c>
      <c r="S443" s="6">
        <v>0</v>
      </c>
      <c r="T443" s="6">
        <v>0</v>
      </c>
      <c r="U443" s="6">
        <v>0</v>
      </c>
      <c r="V443" s="6">
        <v>6</v>
      </c>
      <c r="W443" s="6">
        <v>0</v>
      </c>
      <c r="X443" s="6">
        <v>0</v>
      </c>
      <c r="Y443" s="6">
        <v>0</v>
      </c>
      <c r="Z443" s="6">
        <v>0</v>
      </c>
      <c r="AA443" s="6">
        <v>0</v>
      </c>
      <c r="AB443" s="6">
        <v>0</v>
      </c>
      <c r="AC443" s="7">
        <v>0</v>
      </c>
      <c r="AD443" s="7">
        <v>24</v>
      </c>
      <c r="AE443" s="7">
        <v>0</v>
      </c>
      <c r="AF443" s="7">
        <v>0</v>
      </c>
      <c r="AG443" s="7">
        <v>0</v>
      </c>
      <c r="AH443" s="7">
        <v>0</v>
      </c>
      <c r="AI443" s="7">
        <v>6.0000000000000001E-3</v>
      </c>
      <c r="AJ443" s="7">
        <v>0</v>
      </c>
      <c r="AK443" s="7" t="s">
        <v>1506</v>
      </c>
      <c r="AL443" s="6">
        <v>1</v>
      </c>
      <c r="AM443" s="41">
        <f>INDEX(Sheet5!$B$19:$G$33,MATCH(Sheet1!AQ443,Sheet5!$A$19:$A$33,0),MATCH(J443,Sheet5!$B$18:$G$18,0))</f>
        <v>1000</v>
      </c>
      <c r="AN443" s="6" t="s">
        <v>63</v>
      </c>
      <c r="AO443" s="6" t="s">
        <v>730</v>
      </c>
      <c r="AP443" s="6">
        <v>20263</v>
      </c>
      <c r="AQ443" s="13">
        <v>50</v>
      </c>
    </row>
    <row r="444" spans="1:43" ht="16.5">
      <c r="A444" s="6">
        <v>2510</v>
      </c>
      <c r="B444" s="22" t="s">
        <v>2095</v>
      </c>
      <c r="C444" s="22" t="s">
        <v>163</v>
      </c>
      <c r="D444" s="22" t="s">
        <v>134</v>
      </c>
      <c r="E444" s="14">
        <v>11006</v>
      </c>
      <c r="F444" s="65">
        <v>2000</v>
      </c>
      <c r="G444" s="6">
        <v>300</v>
      </c>
      <c r="H444" s="6">
        <v>50</v>
      </c>
      <c r="I444" s="8" t="s">
        <v>719</v>
      </c>
      <c r="J444" s="6">
        <v>2</v>
      </c>
      <c r="K444" s="6">
        <v>6</v>
      </c>
      <c r="L444" s="6">
        <v>20</v>
      </c>
      <c r="M444" s="6">
        <v>0</v>
      </c>
      <c r="N444">
        <v>960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v>6</v>
      </c>
      <c r="W444" s="6">
        <v>0</v>
      </c>
      <c r="X444" s="6">
        <v>0</v>
      </c>
      <c r="Y444" s="6">
        <v>0</v>
      </c>
      <c r="Z444" s="6">
        <v>0</v>
      </c>
      <c r="AA444" s="6">
        <v>0</v>
      </c>
      <c r="AB444" s="6">
        <v>0</v>
      </c>
      <c r="AC444" s="7">
        <v>0</v>
      </c>
      <c r="AD444" s="7">
        <v>24</v>
      </c>
      <c r="AE444" s="7">
        <v>0</v>
      </c>
      <c r="AF444" s="7">
        <v>0</v>
      </c>
      <c r="AG444" s="7">
        <v>0</v>
      </c>
      <c r="AH444" s="7">
        <v>0</v>
      </c>
      <c r="AI444" s="7">
        <v>6.0000000000000001E-3</v>
      </c>
      <c r="AJ444" s="7">
        <v>0</v>
      </c>
      <c r="AK444" s="7" t="s">
        <v>1506</v>
      </c>
      <c r="AL444" s="6">
        <v>1</v>
      </c>
      <c r="AM444" s="41">
        <f>INDEX(Sheet5!$B$19:$G$33,MATCH(Sheet1!AQ444,Sheet5!$A$19:$A$33,0),MATCH(J444,Sheet5!$B$18:$G$18,0))</f>
        <v>1200</v>
      </c>
      <c r="AN444" s="6" t="s">
        <v>63</v>
      </c>
      <c r="AO444" s="6" t="s">
        <v>730</v>
      </c>
      <c r="AP444" s="6">
        <v>20264</v>
      </c>
      <c r="AQ444" s="13">
        <v>60</v>
      </c>
    </row>
    <row r="445" spans="1:43" ht="16.5">
      <c r="A445" s="6">
        <v>2511</v>
      </c>
      <c r="B445" s="22" t="s">
        <v>2096</v>
      </c>
      <c r="C445" s="22" t="s">
        <v>163</v>
      </c>
      <c r="D445" s="22" t="s">
        <v>134</v>
      </c>
      <c r="E445" s="14">
        <v>11006</v>
      </c>
      <c r="F445" s="65">
        <v>2000</v>
      </c>
      <c r="G445" s="6">
        <v>300</v>
      </c>
      <c r="H445" s="6">
        <v>50</v>
      </c>
      <c r="I445" s="8" t="s">
        <v>719</v>
      </c>
      <c r="J445" s="6">
        <v>2</v>
      </c>
      <c r="K445" s="6">
        <v>6</v>
      </c>
      <c r="L445" s="6">
        <v>20</v>
      </c>
      <c r="M445" s="6">
        <v>0</v>
      </c>
      <c r="N445">
        <v>1120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6</v>
      </c>
      <c r="W445" s="6">
        <v>0</v>
      </c>
      <c r="X445" s="6">
        <v>0</v>
      </c>
      <c r="Y445" s="6">
        <v>0</v>
      </c>
      <c r="Z445" s="6">
        <v>0</v>
      </c>
      <c r="AA445" s="6">
        <v>0</v>
      </c>
      <c r="AB445" s="6">
        <v>0</v>
      </c>
      <c r="AC445" s="7">
        <v>0</v>
      </c>
      <c r="AD445" s="7">
        <v>24</v>
      </c>
      <c r="AE445" s="7">
        <v>0</v>
      </c>
      <c r="AF445" s="7">
        <v>0</v>
      </c>
      <c r="AG445" s="7">
        <v>0</v>
      </c>
      <c r="AH445" s="7">
        <v>0</v>
      </c>
      <c r="AI445" s="7">
        <v>6.0000000000000001E-3</v>
      </c>
      <c r="AJ445" s="7">
        <v>0</v>
      </c>
      <c r="AK445" s="7" t="s">
        <v>1506</v>
      </c>
      <c r="AL445" s="6">
        <v>1</v>
      </c>
      <c r="AM445" s="41">
        <f>INDEX(Sheet5!$B$19:$G$33,MATCH(Sheet1!AQ445,Sheet5!$A$19:$A$33,0),MATCH(J445,Sheet5!$B$18:$G$18,0))</f>
        <v>1400</v>
      </c>
      <c r="AN445" s="6" t="s">
        <v>63</v>
      </c>
      <c r="AO445" s="6" t="s">
        <v>730</v>
      </c>
      <c r="AP445" s="6">
        <v>20265</v>
      </c>
      <c r="AQ445" s="13">
        <v>70</v>
      </c>
    </row>
    <row r="446" spans="1:43" ht="16.5">
      <c r="A446" s="6">
        <v>2512</v>
      </c>
      <c r="B446" s="22" t="s">
        <v>2097</v>
      </c>
      <c r="C446" s="22" t="s">
        <v>163</v>
      </c>
      <c r="D446" s="22" t="s">
        <v>134</v>
      </c>
      <c r="E446" s="14">
        <v>11006</v>
      </c>
      <c r="F446" s="65">
        <v>2000</v>
      </c>
      <c r="G446" s="6">
        <v>300</v>
      </c>
      <c r="H446" s="6">
        <v>50</v>
      </c>
      <c r="I446" s="8" t="s">
        <v>719</v>
      </c>
      <c r="J446" s="6">
        <v>2</v>
      </c>
      <c r="K446" s="6">
        <v>6</v>
      </c>
      <c r="L446" s="6">
        <v>20</v>
      </c>
      <c r="M446" s="6">
        <v>0</v>
      </c>
      <c r="N446">
        <v>1280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v>6</v>
      </c>
      <c r="W446" s="6">
        <v>0</v>
      </c>
      <c r="X446" s="6">
        <v>0</v>
      </c>
      <c r="Y446" s="6">
        <v>0</v>
      </c>
      <c r="Z446" s="6">
        <v>0</v>
      </c>
      <c r="AA446" s="6">
        <v>0</v>
      </c>
      <c r="AB446" s="6">
        <v>0</v>
      </c>
      <c r="AC446" s="7">
        <v>0</v>
      </c>
      <c r="AD446" s="7">
        <v>24</v>
      </c>
      <c r="AE446" s="7">
        <v>0</v>
      </c>
      <c r="AF446" s="7">
        <v>0</v>
      </c>
      <c r="AG446" s="7">
        <v>0</v>
      </c>
      <c r="AH446" s="7">
        <v>0</v>
      </c>
      <c r="AI446" s="7">
        <v>6.0000000000000001E-3</v>
      </c>
      <c r="AJ446" s="7">
        <v>0</v>
      </c>
      <c r="AK446" s="7" t="s">
        <v>1506</v>
      </c>
      <c r="AL446" s="6">
        <v>1</v>
      </c>
      <c r="AM446" s="41">
        <f>INDEX(Sheet5!$B$19:$G$33,MATCH(Sheet1!AQ446,Sheet5!$A$19:$A$33,0),MATCH(J446,Sheet5!$B$18:$G$18,0))</f>
        <v>1600</v>
      </c>
      <c r="AN446" s="6" t="s">
        <v>63</v>
      </c>
      <c r="AO446" s="6" t="s">
        <v>730</v>
      </c>
      <c r="AP446" s="6">
        <v>20266</v>
      </c>
      <c r="AQ446" s="13">
        <v>80</v>
      </c>
    </row>
    <row r="447" spans="1:43" ht="16.5">
      <c r="A447" s="6">
        <v>2513</v>
      </c>
      <c r="B447" s="22" t="s">
        <v>2098</v>
      </c>
      <c r="C447" s="22" t="s">
        <v>163</v>
      </c>
      <c r="D447" s="22" t="s">
        <v>134</v>
      </c>
      <c r="E447" s="14">
        <v>11006</v>
      </c>
      <c r="F447" s="65">
        <v>2000</v>
      </c>
      <c r="G447" s="6">
        <v>300</v>
      </c>
      <c r="H447" s="6">
        <v>50</v>
      </c>
      <c r="I447" s="8" t="s">
        <v>719</v>
      </c>
      <c r="J447" s="6">
        <v>2</v>
      </c>
      <c r="K447" s="6">
        <v>6</v>
      </c>
      <c r="L447" s="6">
        <v>20</v>
      </c>
      <c r="M447" s="6">
        <v>0</v>
      </c>
      <c r="N447">
        <v>1440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0</v>
      </c>
      <c r="V447" s="6">
        <v>6</v>
      </c>
      <c r="W447" s="6">
        <v>0</v>
      </c>
      <c r="X447" s="6">
        <v>0</v>
      </c>
      <c r="Y447" s="6">
        <v>0</v>
      </c>
      <c r="Z447" s="6">
        <v>0</v>
      </c>
      <c r="AA447" s="6">
        <v>0</v>
      </c>
      <c r="AB447" s="6">
        <v>0</v>
      </c>
      <c r="AC447" s="7">
        <v>0</v>
      </c>
      <c r="AD447" s="7">
        <v>24</v>
      </c>
      <c r="AE447" s="7">
        <v>0</v>
      </c>
      <c r="AF447" s="7">
        <v>0</v>
      </c>
      <c r="AG447" s="7">
        <v>0</v>
      </c>
      <c r="AH447" s="7">
        <v>0</v>
      </c>
      <c r="AI447" s="7">
        <v>6.0000000000000001E-3</v>
      </c>
      <c r="AJ447" s="7">
        <v>0</v>
      </c>
      <c r="AK447" s="7" t="s">
        <v>1506</v>
      </c>
      <c r="AL447" s="6">
        <v>1</v>
      </c>
      <c r="AM447" s="41">
        <f>INDEX(Sheet5!$B$19:$G$33,MATCH(Sheet1!AQ447,Sheet5!$A$19:$A$33,0),MATCH(J447,Sheet5!$B$18:$G$18,0))</f>
        <v>1800</v>
      </c>
      <c r="AN447" s="6" t="s">
        <v>63</v>
      </c>
      <c r="AO447" s="6" t="s">
        <v>730</v>
      </c>
      <c r="AP447" s="6">
        <v>20267</v>
      </c>
      <c r="AQ447" s="13">
        <v>90</v>
      </c>
    </row>
    <row r="448" spans="1:43" ht="16.5">
      <c r="A448" s="6">
        <v>2514</v>
      </c>
      <c r="B448" s="22" t="s">
        <v>2099</v>
      </c>
      <c r="C448" s="22" t="s">
        <v>163</v>
      </c>
      <c r="D448" s="22" t="s">
        <v>134</v>
      </c>
      <c r="E448" s="14">
        <v>11006</v>
      </c>
      <c r="F448" s="65">
        <v>2000</v>
      </c>
      <c r="G448" s="6">
        <v>300</v>
      </c>
      <c r="H448" s="6">
        <v>50</v>
      </c>
      <c r="I448" s="8" t="s">
        <v>719</v>
      </c>
      <c r="J448" s="6">
        <v>2</v>
      </c>
      <c r="K448" s="6">
        <v>6</v>
      </c>
      <c r="L448" s="6">
        <v>20</v>
      </c>
      <c r="M448" s="6">
        <v>0</v>
      </c>
      <c r="N448">
        <v>1600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v>6</v>
      </c>
      <c r="W448" s="6">
        <v>0</v>
      </c>
      <c r="X448" s="6">
        <v>0</v>
      </c>
      <c r="Y448" s="6">
        <v>0</v>
      </c>
      <c r="Z448" s="6">
        <v>0</v>
      </c>
      <c r="AA448" s="6">
        <v>0</v>
      </c>
      <c r="AB448" s="6">
        <v>0</v>
      </c>
      <c r="AC448" s="7">
        <v>0</v>
      </c>
      <c r="AD448" s="7">
        <v>24</v>
      </c>
      <c r="AE448" s="7">
        <v>0</v>
      </c>
      <c r="AF448" s="7">
        <v>0</v>
      </c>
      <c r="AG448" s="7">
        <v>0</v>
      </c>
      <c r="AH448" s="7">
        <v>0</v>
      </c>
      <c r="AI448" s="7">
        <v>6.0000000000000001E-3</v>
      </c>
      <c r="AJ448" s="7">
        <v>0</v>
      </c>
      <c r="AK448" s="7" t="s">
        <v>1506</v>
      </c>
      <c r="AL448" s="6">
        <v>1</v>
      </c>
      <c r="AM448" s="41">
        <f>INDEX(Sheet5!$B$19:$G$33,MATCH(Sheet1!AQ448,Sheet5!$A$19:$A$33,0),MATCH(J448,Sheet5!$B$18:$G$18,0))</f>
        <v>2000</v>
      </c>
      <c r="AN448" s="6" t="s">
        <v>63</v>
      </c>
      <c r="AO448" s="6" t="s">
        <v>730</v>
      </c>
      <c r="AP448" s="6">
        <v>20268</v>
      </c>
      <c r="AQ448" s="13">
        <v>100</v>
      </c>
    </row>
    <row r="449" spans="1:43" ht="16.5">
      <c r="A449" s="6">
        <v>2515</v>
      </c>
      <c r="B449" s="22" t="s">
        <v>2100</v>
      </c>
      <c r="C449" s="22" t="s">
        <v>163</v>
      </c>
      <c r="D449" s="22" t="s">
        <v>134</v>
      </c>
      <c r="E449" s="14">
        <v>11006</v>
      </c>
      <c r="F449" s="65">
        <v>2000</v>
      </c>
      <c r="G449" s="6">
        <v>300</v>
      </c>
      <c r="H449" s="6">
        <v>50</v>
      </c>
      <c r="I449" s="8" t="s">
        <v>719</v>
      </c>
      <c r="J449" s="6">
        <v>2</v>
      </c>
      <c r="K449" s="6">
        <v>6</v>
      </c>
      <c r="L449" s="6">
        <v>20</v>
      </c>
      <c r="M449" s="6">
        <v>0</v>
      </c>
      <c r="N449">
        <v>1760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6</v>
      </c>
      <c r="W449" s="6">
        <v>0</v>
      </c>
      <c r="X449" s="6">
        <v>0</v>
      </c>
      <c r="Y449" s="6">
        <v>0</v>
      </c>
      <c r="Z449" s="6">
        <v>0</v>
      </c>
      <c r="AA449" s="6">
        <v>0</v>
      </c>
      <c r="AB449" s="6">
        <v>0</v>
      </c>
      <c r="AC449" s="7">
        <v>0</v>
      </c>
      <c r="AD449" s="7">
        <v>24</v>
      </c>
      <c r="AE449" s="7">
        <v>0</v>
      </c>
      <c r="AF449" s="7">
        <v>0</v>
      </c>
      <c r="AG449" s="7">
        <v>0</v>
      </c>
      <c r="AH449" s="7">
        <v>0</v>
      </c>
      <c r="AI449" s="7">
        <v>6.0000000000000001E-3</v>
      </c>
      <c r="AJ449" s="7">
        <v>0</v>
      </c>
      <c r="AK449" s="7" t="s">
        <v>1506</v>
      </c>
      <c r="AL449" s="6">
        <v>1</v>
      </c>
      <c r="AM449" s="41">
        <f>INDEX(Sheet5!$B$19:$G$33,MATCH(Sheet1!AQ449,Sheet5!$A$19:$A$33,0),MATCH(J449,Sheet5!$B$18:$G$18,0))</f>
        <v>2200</v>
      </c>
      <c r="AN449" s="6" t="s">
        <v>63</v>
      </c>
      <c r="AO449" s="6" t="s">
        <v>730</v>
      </c>
      <c r="AP449" s="6">
        <v>20269</v>
      </c>
      <c r="AQ449" s="13">
        <v>110</v>
      </c>
    </row>
    <row r="450" spans="1:43" ht="16.5">
      <c r="A450" s="6">
        <v>2516</v>
      </c>
      <c r="B450" s="22" t="s">
        <v>2101</v>
      </c>
      <c r="C450" s="22" t="s">
        <v>163</v>
      </c>
      <c r="D450" s="22" t="s">
        <v>134</v>
      </c>
      <c r="E450" s="14">
        <v>11006</v>
      </c>
      <c r="F450" s="65">
        <v>2000</v>
      </c>
      <c r="G450" s="6">
        <v>300</v>
      </c>
      <c r="H450" s="6">
        <v>50</v>
      </c>
      <c r="I450" s="8" t="s">
        <v>719</v>
      </c>
      <c r="J450" s="6">
        <v>2</v>
      </c>
      <c r="K450" s="6">
        <v>6</v>
      </c>
      <c r="L450" s="6">
        <v>20</v>
      </c>
      <c r="M450" s="6">
        <v>0</v>
      </c>
      <c r="N450">
        <v>1920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6</v>
      </c>
      <c r="W450" s="6">
        <v>0</v>
      </c>
      <c r="X450" s="6">
        <v>0</v>
      </c>
      <c r="Y450" s="6">
        <v>0</v>
      </c>
      <c r="Z450" s="6">
        <v>0</v>
      </c>
      <c r="AA450" s="6">
        <v>0</v>
      </c>
      <c r="AB450" s="6">
        <v>0</v>
      </c>
      <c r="AC450" s="7">
        <v>0</v>
      </c>
      <c r="AD450" s="7">
        <v>24</v>
      </c>
      <c r="AE450" s="7">
        <v>0</v>
      </c>
      <c r="AF450" s="7">
        <v>0</v>
      </c>
      <c r="AG450" s="7">
        <v>0</v>
      </c>
      <c r="AH450" s="7">
        <v>0</v>
      </c>
      <c r="AI450" s="7">
        <v>6.0000000000000001E-3</v>
      </c>
      <c r="AJ450" s="7">
        <v>0</v>
      </c>
      <c r="AK450" s="7" t="s">
        <v>1506</v>
      </c>
      <c r="AL450" s="6">
        <v>1</v>
      </c>
      <c r="AM450" s="41">
        <f>INDEX(Sheet5!$B$19:$G$33,MATCH(Sheet1!AQ450,Sheet5!$A$19:$A$33,0),MATCH(J450,Sheet5!$B$18:$G$18,0))</f>
        <v>2400</v>
      </c>
      <c r="AN450" s="6" t="s">
        <v>63</v>
      </c>
      <c r="AO450" s="6" t="s">
        <v>730</v>
      </c>
      <c r="AP450" s="6">
        <v>20270</v>
      </c>
      <c r="AQ450" s="13">
        <v>120</v>
      </c>
    </row>
    <row r="451" spans="1:43" ht="16.5">
      <c r="A451" s="6">
        <v>2517</v>
      </c>
      <c r="B451" s="22" t="s">
        <v>2102</v>
      </c>
      <c r="C451" s="22" t="s">
        <v>163</v>
      </c>
      <c r="D451" s="22" t="s">
        <v>134</v>
      </c>
      <c r="E451" s="14">
        <v>11006</v>
      </c>
      <c r="F451" s="65">
        <v>2000</v>
      </c>
      <c r="G451" s="6">
        <v>300</v>
      </c>
      <c r="H451" s="6">
        <v>50</v>
      </c>
      <c r="I451" s="8" t="s">
        <v>719</v>
      </c>
      <c r="J451" s="6">
        <v>2</v>
      </c>
      <c r="K451" s="6">
        <v>6</v>
      </c>
      <c r="L451" s="6">
        <v>20</v>
      </c>
      <c r="M451" s="6">
        <v>0</v>
      </c>
      <c r="N451">
        <v>2080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6</v>
      </c>
      <c r="W451" s="6">
        <v>0</v>
      </c>
      <c r="X451" s="6">
        <v>0</v>
      </c>
      <c r="Y451" s="6">
        <v>0</v>
      </c>
      <c r="Z451" s="6">
        <v>0</v>
      </c>
      <c r="AA451" s="6">
        <v>0</v>
      </c>
      <c r="AB451" s="6">
        <v>0</v>
      </c>
      <c r="AC451" s="7">
        <v>0</v>
      </c>
      <c r="AD451" s="7">
        <v>24</v>
      </c>
      <c r="AE451" s="7">
        <v>0</v>
      </c>
      <c r="AF451" s="7">
        <v>0</v>
      </c>
      <c r="AG451" s="7">
        <v>0</v>
      </c>
      <c r="AH451" s="7">
        <v>0</v>
      </c>
      <c r="AI451" s="7">
        <v>6.0000000000000001E-3</v>
      </c>
      <c r="AJ451" s="7">
        <v>0</v>
      </c>
      <c r="AK451" s="7" t="s">
        <v>1506</v>
      </c>
      <c r="AL451" s="6">
        <v>1</v>
      </c>
      <c r="AM451" s="41">
        <f>INDEX(Sheet5!$B$19:$G$33,MATCH(Sheet1!AQ451,Sheet5!$A$19:$A$33,0),MATCH(J451,Sheet5!$B$18:$G$18,0))</f>
        <v>2600</v>
      </c>
      <c r="AN451" s="6" t="s">
        <v>63</v>
      </c>
      <c r="AO451" s="6" t="s">
        <v>730</v>
      </c>
      <c r="AP451" s="6">
        <v>202711</v>
      </c>
      <c r="AQ451" s="13">
        <v>130</v>
      </c>
    </row>
    <row r="452" spans="1:43" ht="16.5">
      <c r="A452" s="6">
        <v>2518</v>
      </c>
      <c r="B452" s="22" t="s">
        <v>2103</v>
      </c>
      <c r="C452" s="22" t="s">
        <v>163</v>
      </c>
      <c r="D452" s="22" t="s">
        <v>134</v>
      </c>
      <c r="E452" s="14">
        <v>11006</v>
      </c>
      <c r="F452" s="65">
        <v>2000</v>
      </c>
      <c r="G452" s="6">
        <v>300</v>
      </c>
      <c r="H452" s="6">
        <v>50</v>
      </c>
      <c r="I452" s="8" t="s">
        <v>719</v>
      </c>
      <c r="J452" s="6">
        <v>2</v>
      </c>
      <c r="K452" s="6">
        <v>6</v>
      </c>
      <c r="L452" s="6">
        <v>20</v>
      </c>
      <c r="M452" s="6">
        <v>0</v>
      </c>
      <c r="N452">
        <v>2240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6</v>
      </c>
      <c r="W452" s="6">
        <v>0</v>
      </c>
      <c r="X452" s="6">
        <v>0</v>
      </c>
      <c r="Y452" s="6">
        <v>0</v>
      </c>
      <c r="Z452" s="6">
        <v>0</v>
      </c>
      <c r="AA452" s="6">
        <v>0</v>
      </c>
      <c r="AB452" s="6">
        <v>0</v>
      </c>
      <c r="AC452" s="7">
        <v>0</v>
      </c>
      <c r="AD452" s="7">
        <v>24</v>
      </c>
      <c r="AE452" s="7">
        <v>0</v>
      </c>
      <c r="AF452" s="7">
        <v>0</v>
      </c>
      <c r="AG452" s="7">
        <v>0</v>
      </c>
      <c r="AH452" s="7">
        <v>0</v>
      </c>
      <c r="AI452" s="7">
        <v>6.0000000000000001E-3</v>
      </c>
      <c r="AJ452" s="7">
        <v>0</v>
      </c>
      <c r="AK452" s="7" t="s">
        <v>1506</v>
      </c>
      <c r="AL452" s="6">
        <v>1</v>
      </c>
      <c r="AM452" s="41">
        <f>INDEX(Sheet5!$B$19:$G$33,MATCH(Sheet1!AQ452,Sheet5!$A$19:$A$33,0),MATCH(J452,Sheet5!$B$18:$G$18,0))</f>
        <v>2800</v>
      </c>
      <c r="AN452" s="6" t="s">
        <v>63</v>
      </c>
      <c r="AO452" s="6" t="s">
        <v>730</v>
      </c>
      <c r="AP452" s="6">
        <v>202712</v>
      </c>
      <c r="AQ452" s="13">
        <v>140</v>
      </c>
    </row>
    <row r="453" spans="1:43" ht="16.5">
      <c r="A453" s="6">
        <v>2519</v>
      </c>
      <c r="B453" s="22" t="s">
        <v>2104</v>
      </c>
      <c r="C453" s="22" t="s">
        <v>163</v>
      </c>
      <c r="D453" s="22" t="s">
        <v>134</v>
      </c>
      <c r="E453" s="14">
        <v>11006</v>
      </c>
      <c r="F453" s="65">
        <v>2000</v>
      </c>
      <c r="G453" s="6">
        <v>300</v>
      </c>
      <c r="H453" s="6">
        <v>50</v>
      </c>
      <c r="I453" s="8" t="s">
        <v>719</v>
      </c>
      <c r="J453" s="6">
        <v>2</v>
      </c>
      <c r="K453" s="6">
        <v>6</v>
      </c>
      <c r="L453" s="6">
        <v>20</v>
      </c>
      <c r="M453" s="6">
        <v>0</v>
      </c>
      <c r="N453">
        <v>2400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6</v>
      </c>
      <c r="W453" s="6">
        <v>0</v>
      </c>
      <c r="X453" s="6">
        <v>0</v>
      </c>
      <c r="Y453" s="6">
        <v>0</v>
      </c>
      <c r="Z453" s="6">
        <v>0</v>
      </c>
      <c r="AA453" s="6">
        <v>0</v>
      </c>
      <c r="AB453" s="6">
        <v>0</v>
      </c>
      <c r="AC453" s="7">
        <v>0</v>
      </c>
      <c r="AD453" s="7">
        <v>24</v>
      </c>
      <c r="AE453" s="7">
        <v>0</v>
      </c>
      <c r="AF453" s="7">
        <v>0</v>
      </c>
      <c r="AG453" s="7">
        <v>0</v>
      </c>
      <c r="AH453" s="7">
        <v>0</v>
      </c>
      <c r="AI453" s="7">
        <v>6.0000000000000001E-3</v>
      </c>
      <c r="AJ453" s="7">
        <v>0</v>
      </c>
      <c r="AK453" s="7" t="s">
        <v>1506</v>
      </c>
      <c r="AL453" s="6">
        <v>1</v>
      </c>
      <c r="AM453" s="41">
        <f>INDEX(Sheet5!$B$19:$G$33,MATCH(Sheet1!AQ453,Sheet5!$A$19:$A$33,0),MATCH(J453,Sheet5!$B$18:$G$18,0))</f>
        <v>3000</v>
      </c>
      <c r="AN453" s="6" t="s">
        <v>63</v>
      </c>
      <c r="AO453" s="6" t="s">
        <v>730</v>
      </c>
      <c r="AP453" s="6">
        <v>202713</v>
      </c>
      <c r="AQ453" s="13">
        <v>150</v>
      </c>
    </row>
    <row r="454" spans="1:43" ht="16.5">
      <c r="A454" s="6">
        <v>2520</v>
      </c>
      <c r="B454" s="22" t="s">
        <v>2105</v>
      </c>
      <c r="C454" s="22" t="s">
        <v>163</v>
      </c>
      <c r="D454" s="8" t="s">
        <v>110</v>
      </c>
      <c r="E454" s="14">
        <v>11007</v>
      </c>
      <c r="F454" s="65">
        <v>2000</v>
      </c>
      <c r="G454" s="6">
        <v>300</v>
      </c>
      <c r="H454" s="6">
        <v>50</v>
      </c>
      <c r="I454" s="8" t="s">
        <v>720</v>
      </c>
      <c r="J454" s="6">
        <v>2</v>
      </c>
      <c r="K454" s="6">
        <v>6</v>
      </c>
      <c r="L454" s="6">
        <v>20</v>
      </c>
      <c r="M454">
        <v>400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150</v>
      </c>
      <c r="V454" s="6">
        <v>0</v>
      </c>
      <c r="W454" s="6">
        <v>0</v>
      </c>
      <c r="X454" s="6">
        <v>0</v>
      </c>
      <c r="Y454" s="6">
        <v>0</v>
      </c>
      <c r="Z454" s="6">
        <v>0</v>
      </c>
      <c r="AA454" s="6">
        <v>0</v>
      </c>
      <c r="AB454" s="6">
        <v>0</v>
      </c>
      <c r="AC454" s="7">
        <v>600</v>
      </c>
      <c r="AD454" s="7">
        <v>0</v>
      </c>
      <c r="AE454" s="7">
        <v>0</v>
      </c>
      <c r="AF454" s="7">
        <v>0</v>
      </c>
      <c r="AG454" s="7">
        <v>3.0000000000000001E-3</v>
      </c>
      <c r="AH454" s="7">
        <v>0</v>
      </c>
      <c r="AI454" s="7">
        <v>0</v>
      </c>
      <c r="AJ454" s="7">
        <v>0</v>
      </c>
      <c r="AK454" s="7" t="s">
        <v>1506</v>
      </c>
      <c r="AL454" s="6">
        <v>3</v>
      </c>
      <c r="AM454" s="41">
        <f>INDEX(Sheet5!$B$19:$G$33,MATCH(Sheet1!AQ454,Sheet5!$A$19:$A$33,0),MATCH(J454,Sheet5!$B$18:$G$18,0))</f>
        <v>200</v>
      </c>
      <c r="AN454" s="6" t="s">
        <v>63</v>
      </c>
      <c r="AO454" s="6" t="s">
        <v>731</v>
      </c>
      <c r="AP454" s="6">
        <v>27</v>
      </c>
      <c r="AQ454" s="13">
        <v>10</v>
      </c>
    </row>
    <row r="455" spans="1:43" s="102" customFormat="1" ht="16.5">
      <c r="A455" s="100">
        <v>2027</v>
      </c>
      <c r="B455" s="100" t="s">
        <v>2106</v>
      </c>
      <c r="C455" s="100" t="s">
        <v>163</v>
      </c>
      <c r="D455" s="100" t="s">
        <v>1491</v>
      </c>
      <c r="E455" s="101">
        <v>11007</v>
      </c>
      <c r="F455" s="100">
        <v>2000</v>
      </c>
      <c r="G455" s="100">
        <v>300</v>
      </c>
      <c r="H455" s="100">
        <v>50</v>
      </c>
      <c r="I455" s="100" t="s">
        <v>720</v>
      </c>
      <c r="J455" s="100">
        <v>2</v>
      </c>
      <c r="K455" s="100">
        <v>6</v>
      </c>
      <c r="L455" s="100">
        <v>20</v>
      </c>
      <c r="M455">
        <v>800</v>
      </c>
      <c r="N455" s="100">
        <v>0</v>
      </c>
      <c r="O455" s="100">
        <v>0</v>
      </c>
      <c r="P455" s="100">
        <v>0</v>
      </c>
      <c r="Q455" s="100">
        <v>0</v>
      </c>
      <c r="R455" s="100">
        <v>0</v>
      </c>
      <c r="S455" s="100">
        <v>0</v>
      </c>
      <c r="T455" s="100">
        <v>0</v>
      </c>
      <c r="U455" s="100">
        <v>150</v>
      </c>
      <c r="V455" s="100">
        <v>0</v>
      </c>
      <c r="W455" s="100">
        <v>0</v>
      </c>
      <c r="X455" s="100">
        <v>0</v>
      </c>
      <c r="Y455" s="100">
        <v>0</v>
      </c>
      <c r="Z455" s="100">
        <v>0</v>
      </c>
      <c r="AA455" s="100">
        <v>0</v>
      </c>
      <c r="AB455" s="100">
        <v>0</v>
      </c>
      <c r="AC455" s="100">
        <v>600</v>
      </c>
      <c r="AD455" s="100">
        <v>0</v>
      </c>
      <c r="AE455" s="100">
        <v>0</v>
      </c>
      <c r="AF455" s="100">
        <v>0</v>
      </c>
      <c r="AG455" s="100">
        <v>3.0000000000000001E-3</v>
      </c>
      <c r="AH455" s="100">
        <v>0</v>
      </c>
      <c r="AI455" s="100">
        <v>0</v>
      </c>
      <c r="AJ455" s="100">
        <v>0</v>
      </c>
      <c r="AK455" s="7" t="s">
        <v>1506</v>
      </c>
      <c r="AL455" s="100">
        <v>3</v>
      </c>
      <c r="AM455" s="41">
        <f>INDEX(Sheet5!$B$19:$G$33,MATCH(Sheet1!AQ455,Sheet5!$A$19:$A$33,0),MATCH(J455,Sheet5!$B$18:$G$18,0))</f>
        <v>400</v>
      </c>
      <c r="AN455" s="100" t="s">
        <v>1487</v>
      </c>
      <c r="AO455" s="100" t="s">
        <v>731</v>
      </c>
      <c r="AP455" s="100">
        <v>2027</v>
      </c>
      <c r="AQ455" s="13">
        <v>20</v>
      </c>
    </row>
    <row r="456" spans="1:43" ht="16.5">
      <c r="A456" s="6">
        <v>2521</v>
      </c>
      <c r="B456" s="22" t="s">
        <v>2107</v>
      </c>
      <c r="C456" s="22" t="s">
        <v>163</v>
      </c>
      <c r="D456" s="8" t="s">
        <v>110</v>
      </c>
      <c r="E456" s="14">
        <v>11007</v>
      </c>
      <c r="F456" s="65">
        <v>2000</v>
      </c>
      <c r="G456" s="6">
        <v>300</v>
      </c>
      <c r="H456" s="6">
        <v>50</v>
      </c>
      <c r="I456" s="8" t="s">
        <v>720</v>
      </c>
      <c r="J456" s="6">
        <v>2</v>
      </c>
      <c r="K456" s="6">
        <v>6</v>
      </c>
      <c r="L456" s="6">
        <v>20</v>
      </c>
      <c r="M456">
        <v>1200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150</v>
      </c>
      <c r="V456" s="6">
        <v>0</v>
      </c>
      <c r="W456" s="6">
        <v>0</v>
      </c>
      <c r="X456" s="6">
        <v>0</v>
      </c>
      <c r="Y456" s="6">
        <v>0</v>
      </c>
      <c r="Z456" s="6">
        <v>0</v>
      </c>
      <c r="AA456" s="6">
        <v>0</v>
      </c>
      <c r="AB456" s="6">
        <v>0</v>
      </c>
      <c r="AC456" s="7">
        <v>600</v>
      </c>
      <c r="AD456" s="7">
        <v>0</v>
      </c>
      <c r="AE456" s="7">
        <v>0</v>
      </c>
      <c r="AF456" s="7">
        <v>0</v>
      </c>
      <c r="AG456" s="7">
        <v>3.0000000000000001E-3</v>
      </c>
      <c r="AH456" s="7">
        <v>0</v>
      </c>
      <c r="AI456" s="7">
        <v>0</v>
      </c>
      <c r="AJ456" s="7">
        <v>0</v>
      </c>
      <c r="AK456" s="7" t="s">
        <v>1506</v>
      </c>
      <c r="AL456" s="6">
        <v>3</v>
      </c>
      <c r="AM456" s="41">
        <f>INDEX(Sheet5!$B$19:$G$33,MATCH(Sheet1!AQ456,Sheet5!$A$19:$A$33,0),MATCH(J456,Sheet5!$B$18:$G$18,0))</f>
        <v>600</v>
      </c>
      <c r="AN456" s="6" t="s">
        <v>63</v>
      </c>
      <c r="AO456" s="6" t="s">
        <v>731</v>
      </c>
      <c r="AP456" s="6">
        <v>20271</v>
      </c>
      <c r="AQ456" s="13">
        <v>30</v>
      </c>
    </row>
    <row r="457" spans="1:43" ht="16.5">
      <c r="A457" s="6">
        <v>2522</v>
      </c>
      <c r="B457" s="22" t="s">
        <v>2108</v>
      </c>
      <c r="C457" s="22" t="s">
        <v>163</v>
      </c>
      <c r="D457" s="8" t="s">
        <v>110</v>
      </c>
      <c r="E457" s="14">
        <v>11007</v>
      </c>
      <c r="F457" s="65">
        <v>2000</v>
      </c>
      <c r="G457" s="6">
        <v>300</v>
      </c>
      <c r="H457" s="6">
        <v>50</v>
      </c>
      <c r="I457" s="8" t="s">
        <v>720</v>
      </c>
      <c r="J457" s="6">
        <v>2</v>
      </c>
      <c r="K457" s="6">
        <v>6</v>
      </c>
      <c r="L457" s="6">
        <v>20</v>
      </c>
      <c r="M457">
        <v>1600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150</v>
      </c>
      <c r="V457" s="6">
        <v>0</v>
      </c>
      <c r="W457" s="6">
        <v>0</v>
      </c>
      <c r="X457" s="6">
        <v>0</v>
      </c>
      <c r="Y457" s="6">
        <v>0</v>
      </c>
      <c r="Z457" s="6">
        <v>0</v>
      </c>
      <c r="AA457" s="6">
        <v>0</v>
      </c>
      <c r="AB457" s="6">
        <v>0</v>
      </c>
      <c r="AC457" s="7">
        <v>600</v>
      </c>
      <c r="AD457" s="7">
        <v>0</v>
      </c>
      <c r="AE457" s="7">
        <v>0</v>
      </c>
      <c r="AF457" s="7">
        <v>0</v>
      </c>
      <c r="AG457" s="7">
        <v>3.0000000000000001E-3</v>
      </c>
      <c r="AH457" s="7">
        <v>0</v>
      </c>
      <c r="AI457" s="7">
        <v>0</v>
      </c>
      <c r="AJ457" s="7">
        <v>0</v>
      </c>
      <c r="AK457" s="7" t="s">
        <v>1506</v>
      </c>
      <c r="AL457" s="6">
        <v>3</v>
      </c>
      <c r="AM457" s="41">
        <f>INDEX(Sheet5!$B$19:$G$33,MATCH(Sheet1!AQ457,Sheet5!$A$19:$A$33,0),MATCH(J457,Sheet5!$B$18:$G$18,0))</f>
        <v>800</v>
      </c>
      <c r="AN457" s="6" t="s">
        <v>63</v>
      </c>
      <c r="AO457" s="6" t="s">
        <v>731</v>
      </c>
      <c r="AP457" s="6">
        <v>20272</v>
      </c>
      <c r="AQ457" s="13">
        <v>40</v>
      </c>
    </row>
    <row r="458" spans="1:43" ht="16.5">
      <c r="A458" s="6">
        <v>2523</v>
      </c>
      <c r="B458" s="22" t="s">
        <v>2109</v>
      </c>
      <c r="C458" s="22" t="s">
        <v>163</v>
      </c>
      <c r="D458" s="8" t="s">
        <v>110</v>
      </c>
      <c r="E458" s="14">
        <v>11007</v>
      </c>
      <c r="F458" s="65">
        <v>2000</v>
      </c>
      <c r="G458" s="6">
        <v>300</v>
      </c>
      <c r="H458" s="6">
        <v>50</v>
      </c>
      <c r="I458" s="8" t="s">
        <v>720</v>
      </c>
      <c r="J458" s="6">
        <v>2</v>
      </c>
      <c r="K458" s="6">
        <v>6</v>
      </c>
      <c r="L458" s="6">
        <v>20</v>
      </c>
      <c r="M458">
        <v>2000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150</v>
      </c>
      <c r="V458" s="6">
        <v>0</v>
      </c>
      <c r="W458" s="6">
        <v>0</v>
      </c>
      <c r="X458" s="6">
        <v>0</v>
      </c>
      <c r="Y458" s="6">
        <v>0</v>
      </c>
      <c r="Z458" s="6">
        <v>0</v>
      </c>
      <c r="AA458" s="6">
        <v>0</v>
      </c>
      <c r="AB458" s="6">
        <v>0</v>
      </c>
      <c r="AC458" s="7">
        <v>600</v>
      </c>
      <c r="AD458" s="7">
        <v>0</v>
      </c>
      <c r="AE458" s="7">
        <v>0</v>
      </c>
      <c r="AF458" s="7">
        <v>0</v>
      </c>
      <c r="AG458" s="7">
        <v>3.0000000000000001E-3</v>
      </c>
      <c r="AH458" s="7">
        <v>0</v>
      </c>
      <c r="AI458" s="7">
        <v>0</v>
      </c>
      <c r="AJ458" s="7">
        <v>0</v>
      </c>
      <c r="AK458" s="7" t="s">
        <v>1506</v>
      </c>
      <c r="AL458" s="6">
        <v>3</v>
      </c>
      <c r="AM458" s="41">
        <f>INDEX(Sheet5!$B$19:$G$33,MATCH(Sheet1!AQ458,Sheet5!$A$19:$A$33,0),MATCH(J458,Sheet5!$B$18:$G$18,0))</f>
        <v>1000</v>
      </c>
      <c r="AN458" s="6" t="s">
        <v>63</v>
      </c>
      <c r="AO458" s="6" t="s">
        <v>731</v>
      </c>
      <c r="AP458" s="6">
        <v>20273</v>
      </c>
      <c r="AQ458" s="13">
        <v>50</v>
      </c>
    </row>
    <row r="459" spans="1:43" ht="16.5">
      <c r="A459" s="6">
        <v>2524</v>
      </c>
      <c r="B459" s="22" t="s">
        <v>2110</v>
      </c>
      <c r="C459" s="22" t="s">
        <v>163</v>
      </c>
      <c r="D459" s="8" t="s">
        <v>110</v>
      </c>
      <c r="E459" s="14">
        <v>11007</v>
      </c>
      <c r="F459" s="65">
        <v>2000</v>
      </c>
      <c r="G459" s="6">
        <v>300</v>
      </c>
      <c r="H459" s="6">
        <v>50</v>
      </c>
      <c r="I459" s="8" t="s">
        <v>720</v>
      </c>
      <c r="J459" s="6">
        <v>2</v>
      </c>
      <c r="K459" s="6">
        <v>6</v>
      </c>
      <c r="L459" s="6">
        <v>20</v>
      </c>
      <c r="M459">
        <v>2400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150</v>
      </c>
      <c r="V459" s="6">
        <v>0</v>
      </c>
      <c r="W459" s="6">
        <v>0</v>
      </c>
      <c r="X459" s="6">
        <v>0</v>
      </c>
      <c r="Y459" s="6">
        <v>0</v>
      </c>
      <c r="Z459" s="6">
        <v>0</v>
      </c>
      <c r="AA459" s="6">
        <v>0</v>
      </c>
      <c r="AB459" s="6">
        <v>0</v>
      </c>
      <c r="AC459" s="7">
        <v>600</v>
      </c>
      <c r="AD459" s="7">
        <v>0</v>
      </c>
      <c r="AE459" s="7">
        <v>0</v>
      </c>
      <c r="AF459" s="7">
        <v>0</v>
      </c>
      <c r="AG459" s="7">
        <v>3.0000000000000001E-3</v>
      </c>
      <c r="AH459" s="7">
        <v>0</v>
      </c>
      <c r="AI459" s="7">
        <v>0</v>
      </c>
      <c r="AJ459" s="7">
        <v>0</v>
      </c>
      <c r="AK459" s="7" t="s">
        <v>1506</v>
      </c>
      <c r="AL459" s="6">
        <v>3</v>
      </c>
      <c r="AM459" s="41">
        <f>INDEX(Sheet5!$B$19:$G$33,MATCH(Sheet1!AQ459,Sheet5!$A$19:$A$33,0),MATCH(J459,Sheet5!$B$18:$G$18,0))</f>
        <v>1200</v>
      </c>
      <c r="AN459" s="6" t="s">
        <v>63</v>
      </c>
      <c r="AO459" s="6" t="s">
        <v>731</v>
      </c>
      <c r="AP459" s="6">
        <v>20274</v>
      </c>
      <c r="AQ459" s="13">
        <v>60</v>
      </c>
    </row>
    <row r="460" spans="1:43" ht="16.5">
      <c r="A460" s="6">
        <v>2525</v>
      </c>
      <c r="B460" s="22" t="s">
        <v>2111</v>
      </c>
      <c r="C460" s="22" t="s">
        <v>163</v>
      </c>
      <c r="D460" s="8" t="s">
        <v>110</v>
      </c>
      <c r="E460" s="14">
        <v>11007</v>
      </c>
      <c r="F460" s="65">
        <v>2000</v>
      </c>
      <c r="G460" s="6">
        <v>300</v>
      </c>
      <c r="H460" s="6">
        <v>50</v>
      </c>
      <c r="I460" s="8" t="s">
        <v>720</v>
      </c>
      <c r="J460" s="6">
        <v>2</v>
      </c>
      <c r="K460" s="6">
        <v>6</v>
      </c>
      <c r="L460" s="6">
        <v>20</v>
      </c>
      <c r="M460">
        <v>2800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150</v>
      </c>
      <c r="V460" s="6">
        <v>0</v>
      </c>
      <c r="W460" s="6">
        <v>0</v>
      </c>
      <c r="X460" s="6">
        <v>0</v>
      </c>
      <c r="Y460" s="6">
        <v>0</v>
      </c>
      <c r="Z460" s="6">
        <v>0</v>
      </c>
      <c r="AA460" s="6">
        <v>0</v>
      </c>
      <c r="AB460" s="6">
        <v>0</v>
      </c>
      <c r="AC460" s="7">
        <v>600</v>
      </c>
      <c r="AD460" s="7">
        <v>0</v>
      </c>
      <c r="AE460" s="7">
        <v>0</v>
      </c>
      <c r="AF460" s="7">
        <v>0</v>
      </c>
      <c r="AG460" s="7">
        <v>3.0000000000000001E-3</v>
      </c>
      <c r="AH460" s="7">
        <v>0</v>
      </c>
      <c r="AI460" s="7">
        <v>0</v>
      </c>
      <c r="AJ460" s="7">
        <v>0</v>
      </c>
      <c r="AK460" s="7" t="s">
        <v>1506</v>
      </c>
      <c r="AL460" s="6">
        <v>3</v>
      </c>
      <c r="AM460" s="41">
        <f>INDEX(Sheet5!$B$19:$G$33,MATCH(Sheet1!AQ460,Sheet5!$A$19:$A$33,0),MATCH(J460,Sheet5!$B$18:$G$18,0))</f>
        <v>1400</v>
      </c>
      <c r="AN460" s="6" t="s">
        <v>63</v>
      </c>
      <c r="AO460" s="6" t="s">
        <v>731</v>
      </c>
      <c r="AP460" s="6">
        <v>20275</v>
      </c>
      <c r="AQ460" s="13">
        <v>70</v>
      </c>
    </row>
    <row r="461" spans="1:43" ht="16.5">
      <c r="A461" s="6">
        <v>2526</v>
      </c>
      <c r="B461" s="22" t="s">
        <v>2112</v>
      </c>
      <c r="C461" s="22" t="s">
        <v>163</v>
      </c>
      <c r="D461" s="8" t="s">
        <v>110</v>
      </c>
      <c r="E461" s="14">
        <v>11007</v>
      </c>
      <c r="F461" s="65">
        <v>2000</v>
      </c>
      <c r="G461" s="6">
        <v>300</v>
      </c>
      <c r="H461" s="6">
        <v>50</v>
      </c>
      <c r="I461" s="8" t="s">
        <v>720</v>
      </c>
      <c r="J461" s="6">
        <v>2</v>
      </c>
      <c r="K461" s="6">
        <v>6</v>
      </c>
      <c r="L461" s="6">
        <v>20</v>
      </c>
      <c r="M461">
        <v>3200</v>
      </c>
      <c r="N461" s="6">
        <v>0</v>
      </c>
      <c r="O461" s="6">
        <v>0</v>
      </c>
      <c r="P461" s="6">
        <v>0</v>
      </c>
      <c r="Q461" s="6">
        <v>0</v>
      </c>
      <c r="R461" s="6">
        <v>0</v>
      </c>
      <c r="S461" s="6">
        <v>0</v>
      </c>
      <c r="T461" s="6">
        <v>0</v>
      </c>
      <c r="U461" s="6">
        <v>150</v>
      </c>
      <c r="V461" s="6">
        <v>0</v>
      </c>
      <c r="W461" s="6">
        <v>0</v>
      </c>
      <c r="X461" s="6">
        <v>0</v>
      </c>
      <c r="Y461" s="6">
        <v>0</v>
      </c>
      <c r="Z461" s="6">
        <v>0</v>
      </c>
      <c r="AA461" s="6">
        <v>0</v>
      </c>
      <c r="AB461" s="6">
        <v>0</v>
      </c>
      <c r="AC461" s="7">
        <v>600</v>
      </c>
      <c r="AD461" s="7">
        <v>0</v>
      </c>
      <c r="AE461" s="7">
        <v>0</v>
      </c>
      <c r="AF461" s="7">
        <v>0</v>
      </c>
      <c r="AG461" s="7">
        <v>3.0000000000000001E-3</v>
      </c>
      <c r="AH461" s="7">
        <v>0</v>
      </c>
      <c r="AI461" s="7">
        <v>0</v>
      </c>
      <c r="AJ461" s="7">
        <v>0</v>
      </c>
      <c r="AK461" s="7" t="s">
        <v>1506</v>
      </c>
      <c r="AL461" s="6">
        <v>3</v>
      </c>
      <c r="AM461" s="41">
        <f>INDEX(Sheet5!$B$19:$G$33,MATCH(Sheet1!AQ461,Sheet5!$A$19:$A$33,0),MATCH(J461,Sheet5!$B$18:$G$18,0))</f>
        <v>1600</v>
      </c>
      <c r="AN461" s="6" t="s">
        <v>63</v>
      </c>
      <c r="AO461" s="6" t="s">
        <v>731</v>
      </c>
      <c r="AP461" s="6">
        <v>20276</v>
      </c>
      <c r="AQ461" s="13">
        <v>80</v>
      </c>
    </row>
    <row r="462" spans="1:43" ht="16.5">
      <c r="A462" s="6">
        <v>2527</v>
      </c>
      <c r="B462" s="22" t="s">
        <v>2113</v>
      </c>
      <c r="C462" s="22" t="s">
        <v>163</v>
      </c>
      <c r="D462" s="8" t="s">
        <v>110</v>
      </c>
      <c r="E462" s="14">
        <v>11007</v>
      </c>
      <c r="F462" s="65">
        <v>2000</v>
      </c>
      <c r="G462" s="6">
        <v>300</v>
      </c>
      <c r="H462" s="6">
        <v>50</v>
      </c>
      <c r="I462" s="8" t="s">
        <v>720</v>
      </c>
      <c r="J462" s="6">
        <v>2</v>
      </c>
      <c r="K462" s="6">
        <v>6</v>
      </c>
      <c r="L462" s="6">
        <v>20</v>
      </c>
      <c r="M462">
        <v>3600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150</v>
      </c>
      <c r="V462" s="6">
        <v>0</v>
      </c>
      <c r="W462" s="6">
        <v>0</v>
      </c>
      <c r="X462" s="6">
        <v>0</v>
      </c>
      <c r="Y462" s="6">
        <v>0</v>
      </c>
      <c r="Z462" s="6">
        <v>0</v>
      </c>
      <c r="AA462" s="6">
        <v>0</v>
      </c>
      <c r="AB462" s="6">
        <v>0</v>
      </c>
      <c r="AC462" s="7">
        <v>600</v>
      </c>
      <c r="AD462" s="7">
        <v>0</v>
      </c>
      <c r="AE462" s="7">
        <v>0</v>
      </c>
      <c r="AF462" s="7">
        <v>0</v>
      </c>
      <c r="AG462" s="7">
        <v>3.0000000000000001E-3</v>
      </c>
      <c r="AH462" s="7">
        <v>0</v>
      </c>
      <c r="AI462" s="7">
        <v>0</v>
      </c>
      <c r="AJ462" s="7">
        <v>0</v>
      </c>
      <c r="AK462" s="7" t="s">
        <v>1506</v>
      </c>
      <c r="AL462" s="6">
        <v>3</v>
      </c>
      <c r="AM462" s="41">
        <f>INDEX(Sheet5!$B$19:$G$33,MATCH(Sheet1!AQ462,Sheet5!$A$19:$A$33,0),MATCH(J462,Sheet5!$B$18:$G$18,0))</f>
        <v>1800</v>
      </c>
      <c r="AN462" s="6" t="s">
        <v>63</v>
      </c>
      <c r="AO462" s="6" t="s">
        <v>731</v>
      </c>
      <c r="AP462" s="6">
        <v>20277</v>
      </c>
      <c r="AQ462" s="13">
        <v>90</v>
      </c>
    </row>
    <row r="463" spans="1:43" ht="16.5">
      <c r="A463" s="6">
        <v>2528</v>
      </c>
      <c r="B463" s="22" t="s">
        <v>2114</v>
      </c>
      <c r="C463" s="22" t="s">
        <v>163</v>
      </c>
      <c r="D463" s="8" t="s">
        <v>110</v>
      </c>
      <c r="E463" s="14">
        <v>11007</v>
      </c>
      <c r="F463" s="65">
        <v>2000</v>
      </c>
      <c r="G463" s="6">
        <v>300</v>
      </c>
      <c r="H463" s="6">
        <v>50</v>
      </c>
      <c r="I463" s="8" t="s">
        <v>720</v>
      </c>
      <c r="J463" s="6">
        <v>2</v>
      </c>
      <c r="K463" s="6">
        <v>6</v>
      </c>
      <c r="L463" s="6">
        <v>20</v>
      </c>
      <c r="M463">
        <v>4000</v>
      </c>
      <c r="N463" s="6">
        <v>0</v>
      </c>
      <c r="O463" s="6"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  <c r="U463" s="6">
        <v>150</v>
      </c>
      <c r="V463" s="6">
        <v>0</v>
      </c>
      <c r="W463" s="6">
        <v>0</v>
      </c>
      <c r="X463" s="6">
        <v>0</v>
      </c>
      <c r="Y463" s="6">
        <v>0</v>
      </c>
      <c r="Z463" s="6">
        <v>0</v>
      </c>
      <c r="AA463" s="6">
        <v>0</v>
      </c>
      <c r="AB463" s="6">
        <v>0</v>
      </c>
      <c r="AC463" s="7">
        <v>600</v>
      </c>
      <c r="AD463" s="7">
        <v>0</v>
      </c>
      <c r="AE463" s="7">
        <v>0</v>
      </c>
      <c r="AF463" s="7">
        <v>0</v>
      </c>
      <c r="AG463" s="7">
        <v>3.0000000000000001E-3</v>
      </c>
      <c r="AH463" s="7">
        <v>0</v>
      </c>
      <c r="AI463" s="7">
        <v>0</v>
      </c>
      <c r="AJ463" s="7">
        <v>0</v>
      </c>
      <c r="AK463" s="7" t="s">
        <v>1506</v>
      </c>
      <c r="AL463" s="6">
        <v>3</v>
      </c>
      <c r="AM463" s="41">
        <f>INDEX(Sheet5!$B$19:$G$33,MATCH(Sheet1!AQ463,Sheet5!$A$19:$A$33,0),MATCH(J463,Sheet5!$B$18:$G$18,0))</f>
        <v>2000</v>
      </c>
      <c r="AN463" s="6" t="s">
        <v>63</v>
      </c>
      <c r="AO463" s="6" t="s">
        <v>731</v>
      </c>
      <c r="AP463" s="6">
        <v>20278</v>
      </c>
      <c r="AQ463" s="13">
        <v>100</v>
      </c>
    </row>
    <row r="464" spans="1:43" ht="16.5">
      <c r="A464" s="6">
        <v>2529</v>
      </c>
      <c r="B464" s="22" t="s">
        <v>2115</v>
      </c>
      <c r="C464" s="22" t="s">
        <v>163</v>
      </c>
      <c r="D464" s="8" t="s">
        <v>110</v>
      </c>
      <c r="E464" s="14">
        <v>11007</v>
      </c>
      <c r="F464" s="65">
        <v>2000</v>
      </c>
      <c r="G464" s="6">
        <v>300</v>
      </c>
      <c r="H464" s="6">
        <v>50</v>
      </c>
      <c r="I464" s="8" t="s">
        <v>720</v>
      </c>
      <c r="J464" s="6">
        <v>2</v>
      </c>
      <c r="K464" s="6">
        <v>6</v>
      </c>
      <c r="L464" s="6">
        <v>20</v>
      </c>
      <c r="M464">
        <v>4400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150</v>
      </c>
      <c r="V464" s="6">
        <v>0</v>
      </c>
      <c r="W464" s="6">
        <v>0</v>
      </c>
      <c r="X464" s="6">
        <v>0</v>
      </c>
      <c r="Y464" s="6">
        <v>0</v>
      </c>
      <c r="Z464" s="6">
        <v>0</v>
      </c>
      <c r="AA464" s="6">
        <v>0</v>
      </c>
      <c r="AB464" s="6">
        <v>0</v>
      </c>
      <c r="AC464" s="7">
        <v>600</v>
      </c>
      <c r="AD464" s="7">
        <v>0</v>
      </c>
      <c r="AE464" s="7">
        <v>0</v>
      </c>
      <c r="AF464" s="7">
        <v>0</v>
      </c>
      <c r="AG464" s="7">
        <v>3.0000000000000001E-3</v>
      </c>
      <c r="AH464" s="7">
        <v>0</v>
      </c>
      <c r="AI464" s="7">
        <v>0</v>
      </c>
      <c r="AJ464" s="7">
        <v>0</v>
      </c>
      <c r="AK464" s="7" t="s">
        <v>1506</v>
      </c>
      <c r="AL464" s="6">
        <v>3</v>
      </c>
      <c r="AM464" s="41">
        <f>INDEX(Sheet5!$B$19:$G$33,MATCH(Sheet1!AQ464,Sheet5!$A$19:$A$33,0),MATCH(J464,Sheet5!$B$18:$G$18,0))</f>
        <v>2200</v>
      </c>
      <c r="AN464" s="6" t="s">
        <v>63</v>
      </c>
      <c r="AO464" s="6" t="s">
        <v>731</v>
      </c>
      <c r="AP464" s="6">
        <v>20279</v>
      </c>
      <c r="AQ464" s="13">
        <v>110</v>
      </c>
    </row>
    <row r="465" spans="1:43" ht="16.5">
      <c r="A465" s="6">
        <v>2530</v>
      </c>
      <c r="B465" s="22" t="s">
        <v>2116</v>
      </c>
      <c r="C465" s="22" t="s">
        <v>163</v>
      </c>
      <c r="D465" s="8" t="s">
        <v>110</v>
      </c>
      <c r="E465" s="14">
        <v>11007</v>
      </c>
      <c r="F465" s="65">
        <v>2000</v>
      </c>
      <c r="G465" s="6">
        <v>300</v>
      </c>
      <c r="H465" s="6">
        <v>50</v>
      </c>
      <c r="I465" s="8" t="s">
        <v>720</v>
      </c>
      <c r="J465" s="6">
        <v>2</v>
      </c>
      <c r="K465" s="6">
        <v>6</v>
      </c>
      <c r="L465" s="6">
        <v>20</v>
      </c>
      <c r="M465">
        <v>4800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150</v>
      </c>
      <c r="V465" s="6">
        <v>0</v>
      </c>
      <c r="W465" s="6">
        <v>0</v>
      </c>
      <c r="X465" s="6">
        <v>0</v>
      </c>
      <c r="Y465" s="6">
        <v>0</v>
      </c>
      <c r="Z465" s="6">
        <v>0</v>
      </c>
      <c r="AA465" s="6">
        <v>0</v>
      </c>
      <c r="AB465" s="6">
        <v>0</v>
      </c>
      <c r="AC465" s="7">
        <v>600</v>
      </c>
      <c r="AD465" s="7">
        <v>0</v>
      </c>
      <c r="AE465" s="7">
        <v>0</v>
      </c>
      <c r="AF465" s="7">
        <v>0</v>
      </c>
      <c r="AG465" s="7">
        <v>3.0000000000000001E-3</v>
      </c>
      <c r="AH465" s="7">
        <v>0</v>
      </c>
      <c r="AI465" s="7">
        <v>0</v>
      </c>
      <c r="AJ465" s="7">
        <v>0</v>
      </c>
      <c r="AK465" s="7" t="s">
        <v>1506</v>
      </c>
      <c r="AL465" s="6">
        <v>3</v>
      </c>
      <c r="AM465" s="41">
        <f>INDEX(Sheet5!$B$19:$G$33,MATCH(Sheet1!AQ465,Sheet5!$A$19:$A$33,0),MATCH(J465,Sheet5!$B$18:$G$18,0))</f>
        <v>2400</v>
      </c>
      <c r="AN465" s="6" t="s">
        <v>63</v>
      </c>
      <c r="AO465" s="6" t="s">
        <v>731</v>
      </c>
      <c r="AP465" s="6">
        <v>20280</v>
      </c>
      <c r="AQ465" s="13">
        <v>120</v>
      </c>
    </row>
    <row r="466" spans="1:43" ht="16.5">
      <c r="A466" s="6">
        <v>2531</v>
      </c>
      <c r="B466" s="22" t="s">
        <v>2117</v>
      </c>
      <c r="C466" s="22" t="s">
        <v>163</v>
      </c>
      <c r="D466" s="8" t="s">
        <v>110</v>
      </c>
      <c r="E466" s="14">
        <v>11007</v>
      </c>
      <c r="F466" s="65">
        <v>2000</v>
      </c>
      <c r="G466" s="6">
        <v>300</v>
      </c>
      <c r="H466" s="6">
        <v>50</v>
      </c>
      <c r="I466" s="8" t="s">
        <v>720</v>
      </c>
      <c r="J466" s="6">
        <v>2</v>
      </c>
      <c r="K466" s="6">
        <v>6</v>
      </c>
      <c r="L466" s="6">
        <v>20</v>
      </c>
      <c r="M466">
        <v>5200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150</v>
      </c>
      <c r="V466" s="6">
        <v>0</v>
      </c>
      <c r="W466" s="6">
        <v>0</v>
      </c>
      <c r="X466" s="6">
        <v>0</v>
      </c>
      <c r="Y466" s="6">
        <v>0</v>
      </c>
      <c r="Z466" s="6">
        <v>0</v>
      </c>
      <c r="AA466" s="6">
        <v>0</v>
      </c>
      <c r="AB466" s="6">
        <v>0</v>
      </c>
      <c r="AC466" s="7">
        <v>600</v>
      </c>
      <c r="AD466" s="7">
        <v>0</v>
      </c>
      <c r="AE466" s="7">
        <v>0</v>
      </c>
      <c r="AF466" s="7">
        <v>0</v>
      </c>
      <c r="AG466" s="7">
        <v>3.0000000000000001E-3</v>
      </c>
      <c r="AH466" s="7">
        <v>0</v>
      </c>
      <c r="AI466" s="7">
        <v>0</v>
      </c>
      <c r="AJ466" s="7">
        <v>0</v>
      </c>
      <c r="AK466" s="7" t="s">
        <v>1506</v>
      </c>
      <c r="AL466" s="6">
        <v>3</v>
      </c>
      <c r="AM466" s="41">
        <f>INDEX(Sheet5!$B$19:$G$33,MATCH(Sheet1!AQ466,Sheet5!$A$19:$A$33,0),MATCH(J466,Sheet5!$B$18:$G$18,0))</f>
        <v>2600</v>
      </c>
      <c r="AN466" s="6" t="s">
        <v>63</v>
      </c>
      <c r="AO466" s="6" t="s">
        <v>731</v>
      </c>
      <c r="AP466" s="6">
        <v>202811</v>
      </c>
      <c r="AQ466" s="13">
        <v>130</v>
      </c>
    </row>
    <row r="467" spans="1:43" ht="16.5">
      <c r="A467" s="6">
        <v>2532</v>
      </c>
      <c r="B467" s="22" t="s">
        <v>2118</v>
      </c>
      <c r="C467" s="22" t="s">
        <v>163</v>
      </c>
      <c r="D467" s="8" t="s">
        <v>110</v>
      </c>
      <c r="E467" s="14">
        <v>11007</v>
      </c>
      <c r="F467" s="65">
        <v>2000</v>
      </c>
      <c r="G467" s="6">
        <v>300</v>
      </c>
      <c r="H467" s="6">
        <v>50</v>
      </c>
      <c r="I467" s="8" t="s">
        <v>720</v>
      </c>
      <c r="J467" s="6">
        <v>2</v>
      </c>
      <c r="K467" s="6">
        <v>6</v>
      </c>
      <c r="L467" s="6">
        <v>20</v>
      </c>
      <c r="M467">
        <v>5600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150</v>
      </c>
      <c r="V467" s="6">
        <v>0</v>
      </c>
      <c r="W467" s="6">
        <v>0</v>
      </c>
      <c r="X467" s="6">
        <v>0</v>
      </c>
      <c r="Y467" s="6">
        <v>0</v>
      </c>
      <c r="Z467" s="6">
        <v>0</v>
      </c>
      <c r="AA467" s="6">
        <v>0</v>
      </c>
      <c r="AB467" s="6">
        <v>0</v>
      </c>
      <c r="AC467" s="7">
        <v>600</v>
      </c>
      <c r="AD467" s="7">
        <v>0</v>
      </c>
      <c r="AE467" s="7">
        <v>0</v>
      </c>
      <c r="AF467" s="7">
        <v>0</v>
      </c>
      <c r="AG467" s="7">
        <v>3.0000000000000001E-3</v>
      </c>
      <c r="AH467" s="7">
        <v>0</v>
      </c>
      <c r="AI467" s="7">
        <v>0</v>
      </c>
      <c r="AJ467" s="7">
        <v>0</v>
      </c>
      <c r="AK467" s="7" t="s">
        <v>1506</v>
      </c>
      <c r="AL467" s="6">
        <v>3</v>
      </c>
      <c r="AM467" s="41">
        <f>INDEX(Sheet5!$B$19:$G$33,MATCH(Sheet1!AQ467,Sheet5!$A$19:$A$33,0),MATCH(J467,Sheet5!$B$18:$G$18,0))</f>
        <v>2800</v>
      </c>
      <c r="AN467" s="6" t="s">
        <v>63</v>
      </c>
      <c r="AO467" s="6" t="s">
        <v>731</v>
      </c>
      <c r="AP467" s="6">
        <v>202812</v>
      </c>
      <c r="AQ467" s="13">
        <v>140</v>
      </c>
    </row>
    <row r="468" spans="1:43" ht="16.5">
      <c r="A468" s="6">
        <v>2533</v>
      </c>
      <c r="B468" s="22" t="s">
        <v>2119</v>
      </c>
      <c r="C468" s="22" t="s">
        <v>163</v>
      </c>
      <c r="D468" s="8" t="s">
        <v>110</v>
      </c>
      <c r="E468" s="14">
        <v>11007</v>
      </c>
      <c r="F468" s="65">
        <v>2000</v>
      </c>
      <c r="G468" s="6">
        <v>300</v>
      </c>
      <c r="H468" s="6">
        <v>50</v>
      </c>
      <c r="I468" s="8" t="s">
        <v>720</v>
      </c>
      <c r="J468" s="6">
        <v>2</v>
      </c>
      <c r="K468" s="6">
        <v>6</v>
      </c>
      <c r="L468" s="6">
        <v>20</v>
      </c>
      <c r="M468">
        <v>6000</v>
      </c>
      <c r="N468" s="6">
        <v>0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150</v>
      </c>
      <c r="V468" s="6">
        <v>0</v>
      </c>
      <c r="W468" s="6">
        <v>0</v>
      </c>
      <c r="X468" s="6">
        <v>0</v>
      </c>
      <c r="Y468" s="6">
        <v>0</v>
      </c>
      <c r="Z468" s="6">
        <v>0</v>
      </c>
      <c r="AA468" s="6">
        <v>0</v>
      </c>
      <c r="AB468" s="6">
        <v>0</v>
      </c>
      <c r="AC468" s="7">
        <v>600</v>
      </c>
      <c r="AD468" s="7">
        <v>0</v>
      </c>
      <c r="AE468" s="7">
        <v>0</v>
      </c>
      <c r="AF468" s="7">
        <v>0</v>
      </c>
      <c r="AG468" s="7">
        <v>3.0000000000000001E-3</v>
      </c>
      <c r="AH468" s="7">
        <v>0</v>
      </c>
      <c r="AI468" s="7">
        <v>0</v>
      </c>
      <c r="AJ468" s="7">
        <v>0</v>
      </c>
      <c r="AK468" s="7" t="s">
        <v>1506</v>
      </c>
      <c r="AL468" s="6">
        <v>3</v>
      </c>
      <c r="AM468" s="41">
        <f>INDEX(Sheet5!$B$19:$G$33,MATCH(Sheet1!AQ468,Sheet5!$A$19:$A$33,0),MATCH(J468,Sheet5!$B$18:$G$18,0))</f>
        <v>3000</v>
      </c>
      <c r="AN468" s="6" t="s">
        <v>63</v>
      </c>
      <c r="AO468" s="6" t="s">
        <v>731</v>
      </c>
      <c r="AP468" s="6">
        <v>202813</v>
      </c>
      <c r="AQ468" s="13">
        <v>150</v>
      </c>
    </row>
    <row r="469" spans="1:43" ht="16.5">
      <c r="A469" s="6">
        <v>2534</v>
      </c>
      <c r="B469" s="22" t="s">
        <v>2120</v>
      </c>
      <c r="C469" s="22" t="s">
        <v>163</v>
      </c>
      <c r="D469" s="8" t="s">
        <v>111</v>
      </c>
      <c r="E469" s="14">
        <v>11008</v>
      </c>
      <c r="F469" s="65">
        <v>2000</v>
      </c>
      <c r="G469" s="6">
        <v>300</v>
      </c>
      <c r="H469" s="6">
        <v>50</v>
      </c>
      <c r="I469" s="8" t="s">
        <v>159</v>
      </c>
      <c r="J469" s="6">
        <v>2</v>
      </c>
      <c r="K469" s="6">
        <v>6</v>
      </c>
      <c r="L469" s="6">
        <v>20</v>
      </c>
      <c r="M469" s="6">
        <v>0</v>
      </c>
      <c r="N469" s="6">
        <v>0</v>
      </c>
      <c r="O469" s="6">
        <v>0</v>
      </c>
      <c r="P469">
        <v>80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W469" s="6">
        <v>0</v>
      </c>
      <c r="X469" s="6">
        <v>3</v>
      </c>
      <c r="Y469" s="6">
        <v>0</v>
      </c>
      <c r="Z469" s="6">
        <v>0</v>
      </c>
      <c r="AA469" s="6">
        <v>0</v>
      </c>
      <c r="AB469" s="6">
        <v>0</v>
      </c>
      <c r="AC469" s="7">
        <v>0</v>
      </c>
      <c r="AD469" s="7">
        <v>0</v>
      </c>
      <c r="AE469" s="7">
        <v>0</v>
      </c>
      <c r="AF469" s="7">
        <v>12</v>
      </c>
      <c r="AG469" s="7">
        <v>0</v>
      </c>
      <c r="AH469" s="7">
        <v>3.0000000000000001E-3</v>
      </c>
      <c r="AI469" s="7">
        <v>0</v>
      </c>
      <c r="AJ469" s="7">
        <v>0</v>
      </c>
      <c r="AK469" s="7" t="s">
        <v>1506</v>
      </c>
      <c r="AL469" s="6">
        <v>4</v>
      </c>
      <c r="AM469" s="41">
        <f>INDEX(Sheet5!$B$19:$G$33,MATCH(Sheet1!AQ469,Sheet5!$A$19:$A$33,0),MATCH(J469,Sheet5!$B$18:$G$18,0))</f>
        <v>200</v>
      </c>
      <c r="AN469" s="6" t="s">
        <v>63</v>
      </c>
      <c r="AO469" s="6" t="s">
        <v>732</v>
      </c>
      <c r="AP469" s="6">
        <v>28</v>
      </c>
      <c r="AQ469" s="13">
        <v>10</v>
      </c>
    </row>
    <row r="470" spans="1:43" s="102" customFormat="1" ht="16.5">
      <c r="A470" s="100">
        <v>2028</v>
      </c>
      <c r="B470" s="100" t="s">
        <v>2121</v>
      </c>
      <c r="C470" s="100" t="s">
        <v>163</v>
      </c>
      <c r="D470" s="100" t="s">
        <v>111</v>
      </c>
      <c r="E470" s="101">
        <v>11008</v>
      </c>
      <c r="F470" s="100">
        <v>2000</v>
      </c>
      <c r="G470" s="100">
        <v>300</v>
      </c>
      <c r="H470" s="100">
        <v>50</v>
      </c>
      <c r="I470" s="100" t="s">
        <v>159</v>
      </c>
      <c r="J470" s="100">
        <v>2</v>
      </c>
      <c r="K470" s="100">
        <v>6</v>
      </c>
      <c r="L470" s="100">
        <v>20</v>
      </c>
      <c r="M470" s="100">
        <v>0</v>
      </c>
      <c r="N470" s="100">
        <v>0</v>
      </c>
      <c r="O470" s="100">
        <v>0</v>
      </c>
      <c r="P470">
        <v>160</v>
      </c>
      <c r="Q470" s="100">
        <v>0</v>
      </c>
      <c r="R470" s="100">
        <v>0</v>
      </c>
      <c r="S470" s="100">
        <v>0</v>
      </c>
      <c r="T470" s="100">
        <v>0</v>
      </c>
      <c r="U470" s="100">
        <v>0</v>
      </c>
      <c r="V470" s="100">
        <v>0</v>
      </c>
      <c r="W470" s="100">
        <v>0</v>
      </c>
      <c r="X470" s="100">
        <v>3</v>
      </c>
      <c r="Y470" s="100">
        <v>0</v>
      </c>
      <c r="Z470" s="100">
        <v>0</v>
      </c>
      <c r="AA470" s="100">
        <v>0</v>
      </c>
      <c r="AB470" s="100">
        <v>0</v>
      </c>
      <c r="AC470" s="100">
        <v>0</v>
      </c>
      <c r="AD470" s="100">
        <v>0</v>
      </c>
      <c r="AE470" s="100">
        <v>0</v>
      </c>
      <c r="AF470" s="100">
        <v>12</v>
      </c>
      <c r="AG470" s="100">
        <v>0</v>
      </c>
      <c r="AH470" s="100">
        <v>3.0000000000000001E-3</v>
      </c>
      <c r="AI470" s="100">
        <v>0</v>
      </c>
      <c r="AJ470" s="100">
        <v>0</v>
      </c>
      <c r="AK470" s="7" t="s">
        <v>1506</v>
      </c>
      <c r="AL470" s="100">
        <v>4</v>
      </c>
      <c r="AM470" s="41">
        <f>INDEX(Sheet5!$B$19:$G$33,MATCH(Sheet1!AQ470,Sheet5!$A$19:$A$33,0),MATCH(J470,Sheet5!$B$18:$G$18,0))</f>
        <v>400</v>
      </c>
      <c r="AN470" s="100" t="s">
        <v>1489</v>
      </c>
      <c r="AO470" s="100" t="s">
        <v>732</v>
      </c>
      <c r="AP470" s="100">
        <v>2028</v>
      </c>
      <c r="AQ470" s="13">
        <v>20</v>
      </c>
    </row>
    <row r="471" spans="1:43" ht="16.5">
      <c r="A471" s="6">
        <v>2535</v>
      </c>
      <c r="B471" s="22" t="s">
        <v>2122</v>
      </c>
      <c r="C471" s="22" t="s">
        <v>163</v>
      </c>
      <c r="D471" s="8" t="s">
        <v>111</v>
      </c>
      <c r="E471" s="14">
        <v>11008</v>
      </c>
      <c r="F471" s="65">
        <v>2000</v>
      </c>
      <c r="G471" s="6">
        <v>300</v>
      </c>
      <c r="H471" s="6">
        <v>50</v>
      </c>
      <c r="I471" s="8" t="s">
        <v>159</v>
      </c>
      <c r="J471" s="6">
        <v>2</v>
      </c>
      <c r="K471" s="6">
        <v>6</v>
      </c>
      <c r="L471" s="6">
        <v>20</v>
      </c>
      <c r="M471" s="6">
        <v>0</v>
      </c>
      <c r="N471" s="6">
        <v>0</v>
      </c>
      <c r="O471" s="6">
        <v>0</v>
      </c>
      <c r="P471">
        <v>240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W471" s="6">
        <v>0</v>
      </c>
      <c r="X471" s="6">
        <v>3</v>
      </c>
      <c r="Y471" s="6">
        <v>0</v>
      </c>
      <c r="Z471" s="6">
        <v>0</v>
      </c>
      <c r="AA471" s="6">
        <v>0</v>
      </c>
      <c r="AB471" s="6">
        <v>0</v>
      </c>
      <c r="AC471" s="7">
        <v>0</v>
      </c>
      <c r="AD471" s="7">
        <v>0</v>
      </c>
      <c r="AE471" s="7">
        <v>0</v>
      </c>
      <c r="AF471" s="7">
        <v>12</v>
      </c>
      <c r="AG471" s="7">
        <v>0</v>
      </c>
      <c r="AH471" s="7">
        <v>3.0000000000000001E-3</v>
      </c>
      <c r="AI471" s="7">
        <v>0</v>
      </c>
      <c r="AJ471" s="7">
        <v>0</v>
      </c>
      <c r="AK471" s="7" t="s">
        <v>1506</v>
      </c>
      <c r="AL471" s="6">
        <v>4</v>
      </c>
      <c r="AM471" s="41">
        <f>INDEX(Sheet5!$B$19:$G$33,MATCH(Sheet1!AQ471,Sheet5!$A$19:$A$33,0),MATCH(J471,Sheet5!$B$18:$G$18,0))</f>
        <v>600</v>
      </c>
      <c r="AN471" s="6" t="s">
        <v>63</v>
      </c>
      <c r="AO471" s="6" t="s">
        <v>732</v>
      </c>
      <c r="AP471" s="6">
        <v>20281</v>
      </c>
      <c r="AQ471" s="13">
        <v>30</v>
      </c>
    </row>
    <row r="472" spans="1:43" ht="16.5">
      <c r="A472" s="6">
        <v>2536</v>
      </c>
      <c r="B472" s="22" t="s">
        <v>2123</v>
      </c>
      <c r="C472" s="22" t="s">
        <v>163</v>
      </c>
      <c r="D472" s="8" t="s">
        <v>111</v>
      </c>
      <c r="E472" s="14">
        <v>11008</v>
      </c>
      <c r="F472" s="65">
        <v>2000</v>
      </c>
      <c r="G472" s="6">
        <v>300</v>
      </c>
      <c r="H472" s="6">
        <v>50</v>
      </c>
      <c r="I472" s="8" t="s">
        <v>159</v>
      </c>
      <c r="J472" s="6">
        <v>2</v>
      </c>
      <c r="K472" s="6">
        <v>6</v>
      </c>
      <c r="L472" s="6">
        <v>20</v>
      </c>
      <c r="M472" s="6">
        <v>0</v>
      </c>
      <c r="N472" s="6">
        <v>0</v>
      </c>
      <c r="O472" s="6">
        <v>0</v>
      </c>
      <c r="P472">
        <v>320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W472" s="6">
        <v>0</v>
      </c>
      <c r="X472" s="6">
        <v>3</v>
      </c>
      <c r="Y472" s="6">
        <v>0</v>
      </c>
      <c r="Z472" s="6">
        <v>0</v>
      </c>
      <c r="AA472" s="6">
        <v>0</v>
      </c>
      <c r="AB472" s="6">
        <v>0</v>
      </c>
      <c r="AC472" s="7">
        <v>0</v>
      </c>
      <c r="AD472" s="7">
        <v>0</v>
      </c>
      <c r="AE472" s="7">
        <v>0</v>
      </c>
      <c r="AF472" s="7">
        <v>12</v>
      </c>
      <c r="AG472" s="7">
        <v>0</v>
      </c>
      <c r="AH472" s="7">
        <v>3.0000000000000001E-3</v>
      </c>
      <c r="AI472" s="7">
        <v>0</v>
      </c>
      <c r="AJ472" s="7">
        <v>0</v>
      </c>
      <c r="AK472" s="7" t="s">
        <v>1506</v>
      </c>
      <c r="AL472" s="6">
        <v>4</v>
      </c>
      <c r="AM472" s="41">
        <f>INDEX(Sheet5!$B$19:$G$33,MATCH(Sheet1!AQ472,Sheet5!$A$19:$A$33,0),MATCH(J472,Sheet5!$B$18:$G$18,0))</f>
        <v>800</v>
      </c>
      <c r="AN472" s="6" t="s">
        <v>63</v>
      </c>
      <c r="AO472" s="6" t="s">
        <v>732</v>
      </c>
      <c r="AP472" s="6">
        <v>20282</v>
      </c>
      <c r="AQ472" s="13">
        <v>40</v>
      </c>
    </row>
    <row r="473" spans="1:43" ht="16.5">
      <c r="A473" s="6">
        <v>2537</v>
      </c>
      <c r="B473" s="22" t="s">
        <v>2124</v>
      </c>
      <c r="C473" s="22" t="s">
        <v>163</v>
      </c>
      <c r="D473" s="8" t="s">
        <v>111</v>
      </c>
      <c r="E473" s="14">
        <v>11008</v>
      </c>
      <c r="F473" s="65">
        <v>2000</v>
      </c>
      <c r="G473" s="6">
        <v>300</v>
      </c>
      <c r="H473" s="6">
        <v>50</v>
      </c>
      <c r="I473" s="8" t="s">
        <v>159</v>
      </c>
      <c r="J473" s="6">
        <v>2</v>
      </c>
      <c r="K473" s="6">
        <v>6</v>
      </c>
      <c r="L473" s="6">
        <v>20</v>
      </c>
      <c r="M473" s="6">
        <v>0</v>
      </c>
      <c r="N473" s="6">
        <v>0</v>
      </c>
      <c r="O473" s="6">
        <v>0</v>
      </c>
      <c r="P473">
        <v>400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W473" s="6">
        <v>0</v>
      </c>
      <c r="X473" s="6">
        <v>3</v>
      </c>
      <c r="Y473" s="6">
        <v>0</v>
      </c>
      <c r="Z473" s="6">
        <v>0</v>
      </c>
      <c r="AA473" s="6">
        <v>0</v>
      </c>
      <c r="AB473" s="6">
        <v>0</v>
      </c>
      <c r="AC473" s="7">
        <v>0</v>
      </c>
      <c r="AD473" s="7">
        <v>0</v>
      </c>
      <c r="AE473" s="7">
        <v>0</v>
      </c>
      <c r="AF473" s="7">
        <v>12</v>
      </c>
      <c r="AG473" s="7">
        <v>0</v>
      </c>
      <c r="AH473" s="7">
        <v>3.0000000000000001E-3</v>
      </c>
      <c r="AI473" s="7">
        <v>0</v>
      </c>
      <c r="AJ473" s="7">
        <v>0</v>
      </c>
      <c r="AK473" s="7" t="s">
        <v>1506</v>
      </c>
      <c r="AL473" s="6">
        <v>4</v>
      </c>
      <c r="AM473" s="41">
        <f>INDEX(Sheet5!$B$19:$G$33,MATCH(Sheet1!AQ473,Sheet5!$A$19:$A$33,0),MATCH(J473,Sheet5!$B$18:$G$18,0))</f>
        <v>1000</v>
      </c>
      <c r="AN473" s="6" t="s">
        <v>63</v>
      </c>
      <c r="AO473" s="6" t="s">
        <v>732</v>
      </c>
      <c r="AP473" s="6">
        <v>20283</v>
      </c>
      <c r="AQ473" s="13">
        <v>50</v>
      </c>
    </row>
    <row r="474" spans="1:43" ht="16.5">
      <c r="A474" s="6">
        <v>2538</v>
      </c>
      <c r="B474" s="22" t="s">
        <v>2125</v>
      </c>
      <c r="C474" s="22" t="s">
        <v>163</v>
      </c>
      <c r="D474" s="8" t="s">
        <v>111</v>
      </c>
      <c r="E474" s="14">
        <v>11008</v>
      </c>
      <c r="F474" s="65">
        <v>2000</v>
      </c>
      <c r="G474" s="6">
        <v>300</v>
      </c>
      <c r="H474" s="6">
        <v>50</v>
      </c>
      <c r="I474" s="8" t="s">
        <v>159</v>
      </c>
      <c r="J474" s="6">
        <v>2</v>
      </c>
      <c r="K474" s="6">
        <v>6</v>
      </c>
      <c r="L474" s="6">
        <v>20</v>
      </c>
      <c r="M474" s="6">
        <v>0</v>
      </c>
      <c r="N474" s="6">
        <v>0</v>
      </c>
      <c r="O474" s="6">
        <v>0</v>
      </c>
      <c r="P474">
        <v>480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W474" s="6">
        <v>0</v>
      </c>
      <c r="X474" s="6">
        <v>3</v>
      </c>
      <c r="Y474" s="6">
        <v>0</v>
      </c>
      <c r="Z474" s="6">
        <v>0</v>
      </c>
      <c r="AA474" s="6">
        <v>0</v>
      </c>
      <c r="AB474" s="6">
        <v>0</v>
      </c>
      <c r="AC474" s="7">
        <v>0</v>
      </c>
      <c r="AD474" s="7">
        <v>0</v>
      </c>
      <c r="AE474" s="7">
        <v>0</v>
      </c>
      <c r="AF474" s="7">
        <v>12</v>
      </c>
      <c r="AG474" s="7">
        <v>0</v>
      </c>
      <c r="AH474" s="7">
        <v>3.0000000000000001E-3</v>
      </c>
      <c r="AI474" s="7">
        <v>0</v>
      </c>
      <c r="AJ474" s="7">
        <v>0</v>
      </c>
      <c r="AK474" s="7" t="s">
        <v>1506</v>
      </c>
      <c r="AL474" s="6">
        <v>4</v>
      </c>
      <c r="AM474" s="41">
        <f>INDEX(Sheet5!$B$19:$G$33,MATCH(Sheet1!AQ474,Sheet5!$A$19:$A$33,0),MATCH(J474,Sheet5!$B$18:$G$18,0))</f>
        <v>1200</v>
      </c>
      <c r="AN474" s="6" t="s">
        <v>63</v>
      </c>
      <c r="AO474" s="6" t="s">
        <v>732</v>
      </c>
      <c r="AP474" s="6">
        <v>20284</v>
      </c>
      <c r="AQ474" s="13">
        <v>60</v>
      </c>
    </row>
    <row r="475" spans="1:43" ht="16.5">
      <c r="A475" s="6">
        <v>2539</v>
      </c>
      <c r="B475" s="22" t="s">
        <v>2126</v>
      </c>
      <c r="C475" s="22" t="s">
        <v>163</v>
      </c>
      <c r="D475" s="8" t="s">
        <v>111</v>
      </c>
      <c r="E475" s="14">
        <v>11008</v>
      </c>
      <c r="F475" s="65">
        <v>2000</v>
      </c>
      <c r="G475" s="6">
        <v>300</v>
      </c>
      <c r="H475" s="6">
        <v>50</v>
      </c>
      <c r="I475" s="8" t="s">
        <v>159</v>
      </c>
      <c r="J475" s="6">
        <v>2</v>
      </c>
      <c r="K475" s="6">
        <v>6</v>
      </c>
      <c r="L475" s="6">
        <v>20</v>
      </c>
      <c r="M475" s="6">
        <v>0</v>
      </c>
      <c r="N475" s="6">
        <v>0</v>
      </c>
      <c r="O475" s="6">
        <v>0</v>
      </c>
      <c r="P475">
        <v>560</v>
      </c>
      <c r="Q475" s="6">
        <v>0</v>
      </c>
      <c r="R475" s="6">
        <v>0</v>
      </c>
      <c r="S475" s="6">
        <v>0</v>
      </c>
      <c r="T475" s="6">
        <v>0</v>
      </c>
      <c r="U475" s="6">
        <v>0</v>
      </c>
      <c r="V475" s="6">
        <v>0</v>
      </c>
      <c r="W475" s="6">
        <v>0</v>
      </c>
      <c r="X475" s="6">
        <v>3</v>
      </c>
      <c r="Y475" s="6">
        <v>0</v>
      </c>
      <c r="Z475" s="6">
        <v>0</v>
      </c>
      <c r="AA475" s="6">
        <v>0</v>
      </c>
      <c r="AB475" s="6">
        <v>0</v>
      </c>
      <c r="AC475" s="7">
        <v>0</v>
      </c>
      <c r="AD475" s="7">
        <v>0</v>
      </c>
      <c r="AE475" s="7">
        <v>0</v>
      </c>
      <c r="AF475" s="7">
        <v>12</v>
      </c>
      <c r="AG475" s="7">
        <v>0</v>
      </c>
      <c r="AH475" s="7">
        <v>3.0000000000000001E-3</v>
      </c>
      <c r="AI475" s="7">
        <v>0</v>
      </c>
      <c r="AJ475" s="7">
        <v>0</v>
      </c>
      <c r="AK475" s="7" t="s">
        <v>1506</v>
      </c>
      <c r="AL475" s="6">
        <v>4</v>
      </c>
      <c r="AM475" s="41">
        <f>INDEX(Sheet5!$B$19:$G$33,MATCH(Sheet1!AQ475,Sheet5!$A$19:$A$33,0),MATCH(J475,Sheet5!$B$18:$G$18,0))</f>
        <v>1400</v>
      </c>
      <c r="AN475" s="6" t="s">
        <v>63</v>
      </c>
      <c r="AO475" s="6" t="s">
        <v>732</v>
      </c>
      <c r="AP475" s="6">
        <v>20285</v>
      </c>
      <c r="AQ475" s="13">
        <v>70</v>
      </c>
    </row>
    <row r="476" spans="1:43" ht="16.5">
      <c r="A476" s="6">
        <v>2540</v>
      </c>
      <c r="B476" s="22" t="s">
        <v>2127</v>
      </c>
      <c r="C476" s="22" t="s">
        <v>163</v>
      </c>
      <c r="D476" s="8" t="s">
        <v>111</v>
      </c>
      <c r="E476" s="14">
        <v>11008</v>
      </c>
      <c r="F476" s="65">
        <v>2000</v>
      </c>
      <c r="G476" s="6">
        <v>300</v>
      </c>
      <c r="H476" s="6">
        <v>50</v>
      </c>
      <c r="I476" s="8" t="s">
        <v>159</v>
      </c>
      <c r="J476" s="6">
        <v>2</v>
      </c>
      <c r="K476" s="6">
        <v>6</v>
      </c>
      <c r="L476" s="6">
        <v>20</v>
      </c>
      <c r="M476" s="6">
        <v>0</v>
      </c>
      <c r="N476" s="6">
        <v>0</v>
      </c>
      <c r="O476" s="6">
        <v>0</v>
      </c>
      <c r="P476">
        <v>640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W476" s="6">
        <v>0</v>
      </c>
      <c r="X476" s="6">
        <v>3</v>
      </c>
      <c r="Y476" s="6">
        <v>0</v>
      </c>
      <c r="Z476" s="6">
        <v>0</v>
      </c>
      <c r="AA476" s="6">
        <v>0</v>
      </c>
      <c r="AB476" s="6">
        <v>0</v>
      </c>
      <c r="AC476" s="7">
        <v>0</v>
      </c>
      <c r="AD476" s="7">
        <v>0</v>
      </c>
      <c r="AE476" s="7">
        <v>0</v>
      </c>
      <c r="AF476" s="7">
        <v>12</v>
      </c>
      <c r="AG476" s="7">
        <v>0</v>
      </c>
      <c r="AH476" s="7">
        <v>3.0000000000000001E-3</v>
      </c>
      <c r="AI476" s="7">
        <v>0</v>
      </c>
      <c r="AJ476" s="7">
        <v>0</v>
      </c>
      <c r="AK476" s="7" t="s">
        <v>1506</v>
      </c>
      <c r="AL476" s="6">
        <v>4</v>
      </c>
      <c r="AM476" s="41">
        <f>INDEX(Sheet5!$B$19:$G$33,MATCH(Sheet1!AQ476,Sheet5!$A$19:$A$33,0),MATCH(J476,Sheet5!$B$18:$G$18,0))</f>
        <v>1600</v>
      </c>
      <c r="AN476" s="6" t="s">
        <v>63</v>
      </c>
      <c r="AO476" s="6" t="s">
        <v>732</v>
      </c>
      <c r="AP476" s="6">
        <v>20286</v>
      </c>
      <c r="AQ476" s="13">
        <v>80</v>
      </c>
    </row>
    <row r="477" spans="1:43" ht="16.5">
      <c r="A477" s="6">
        <v>2541</v>
      </c>
      <c r="B477" s="22" t="s">
        <v>2128</v>
      </c>
      <c r="C477" s="22" t="s">
        <v>163</v>
      </c>
      <c r="D477" s="8" t="s">
        <v>111</v>
      </c>
      <c r="E477" s="14">
        <v>11008</v>
      </c>
      <c r="F477" s="65">
        <v>2000</v>
      </c>
      <c r="G477" s="6">
        <v>300</v>
      </c>
      <c r="H477" s="6">
        <v>50</v>
      </c>
      <c r="I477" s="8" t="s">
        <v>159</v>
      </c>
      <c r="J477" s="6">
        <v>2</v>
      </c>
      <c r="K477" s="6">
        <v>6</v>
      </c>
      <c r="L477" s="6">
        <v>20</v>
      </c>
      <c r="M477" s="6">
        <v>0</v>
      </c>
      <c r="N477" s="6">
        <v>0</v>
      </c>
      <c r="O477" s="6">
        <v>0</v>
      </c>
      <c r="P477">
        <v>720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W477" s="6">
        <v>0</v>
      </c>
      <c r="X477" s="6">
        <v>3</v>
      </c>
      <c r="Y477" s="6">
        <v>0</v>
      </c>
      <c r="Z477" s="6">
        <v>0</v>
      </c>
      <c r="AA477" s="6">
        <v>0</v>
      </c>
      <c r="AB477" s="6">
        <v>0</v>
      </c>
      <c r="AC477" s="7">
        <v>0</v>
      </c>
      <c r="AD477" s="7">
        <v>0</v>
      </c>
      <c r="AE477" s="7">
        <v>0</v>
      </c>
      <c r="AF477" s="7">
        <v>12</v>
      </c>
      <c r="AG477" s="7">
        <v>0</v>
      </c>
      <c r="AH477" s="7">
        <v>3.0000000000000001E-3</v>
      </c>
      <c r="AI477" s="7">
        <v>0</v>
      </c>
      <c r="AJ477" s="7">
        <v>0</v>
      </c>
      <c r="AK477" s="7" t="s">
        <v>1506</v>
      </c>
      <c r="AL477" s="6">
        <v>4</v>
      </c>
      <c r="AM477" s="41">
        <f>INDEX(Sheet5!$B$19:$G$33,MATCH(Sheet1!AQ477,Sheet5!$A$19:$A$33,0),MATCH(J477,Sheet5!$B$18:$G$18,0))</f>
        <v>1800</v>
      </c>
      <c r="AN477" s="6" t="s">
        <v>63</v>
      </c>
      <c r="AO477" s="6" t="s">
        <v>732</v>
      </c>
      <c r="AP477" s="6">
        <v>20287</v>
      </c>
      <c r="AQ477" s="13">
        <v>90</v>
      </c>
    </row>
    <row r="478" spans="1:43" ht="16.5">
      <c r="A478" s="6">
        <v>2542</v>
      </c>
      <c r="B478" s="22" t="s">
        <v>2129</v>
      </c>
      <c r="C478" s="22" t="s">
        <v>163</v>
      </c>
      <c r="D478" s="8" t="s">
        <v>111</v>
      </c>
      <c r="E478" s="14">
        <v>11008</v>
      </c>
      <c r="F478" s="65">
        <v>2000</v>
      </c>
      <c r="G478" s="6">
        <v>300</v>
      </c>
      <c r="H478" s="6">
        <v>50</v>
      </c>
      <c r="I478" s="8" t="s">
        <v>159</v>
      </c>
      <c r="J478" s="6">
        <v>2</v>
      </c>
      <c r="K478" s="6">
        <v>6</v>
      </c>
      <c r="L478" s="6">
        <v>20</v>
      </c>
      <c r="M478" s="6">
        <v>0</v>
      </c>
      <c r="N478" s="6">
        <v>0</v>
      </c>
      <c r="O478" s="6">
        <v>0</v>
      </c>
      <c r="P478">
        <v>800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W478" s="6">
        <v>0</v>
      </c>
      <c r="X478" s="6">
        <v>3</v>
      </c>
      <c r="Y478" s="6">
        <v>0</v>
      </c>
      <c r="Z478" s="6">
        <v>0</v>
      </c>
      <c r="AA478" s="6">
        <v>0</v>
      </c>
      <c r="AB478" s="6">
        <v>0</v>
      </c>
      <c r="AC478" s="7">
        <v>0</v>
      </c>
      <c r="AD478" s="7">
        <v>0</v>
      </c>
      <c r="AE478" s="7">
        <v>0</v>
      </c>
      <c r="AF478" s="7">
        <v>12</v>
      </c>
      <c r="AG478" s="7">
        <v>0</v>
      </c>
      <c r="AH478" s="7">
        <v>3.0000000000000001E-3</v>
      </c>
      <c r="AI478" s="7">
        <v>0</v>
      </c>
      <c r="AJ478" s="7">
        <v>0</v>
      </c>
      <c r="AK478" s="7" t="s">
        <v>1506</v>
      </c>
      <c r="AL478" s="6">
        <v>4</v>
      </c>
      <c r="AM478" s="41">
        <f>INDEX(Sheet5!$B$19:$G$33,MATCH(Sheet1!AQ478,Sheet5!$A$19:$A$33,0),MATCH(J478,Sheet5!$B$18:$G$18,0))</f>
        <v>2000</v>
      </c>
      <c r="AN478" s="6" t="s">
        <v>63</v>
      </c>
      <c r="AO478" s="6" t="s">
        <v>732</v>
      </c>
      <c r="AP478" s="6">
        <v>20288</v>
      </c>
      <c r="AQ478" s="13">
        <v>100</v>
      </c>
    </row>
    <row r="479" spans="1:43" ht="16.5">
      <c r="A479" s="6">
        <v>2543</v>
      </c>
      <c r="B479" s="22" t="s">
        <v>2130</v>
      </c>
      <c r="C479" s="22" t="s">
        <v>163</v>
      </c>
      <c r="D479" s="8" t="s">
        <v>111</v>
      </c>
      <c r="E479" s="14">
        <v>11008</v>
      </c>
      <c r="F479" s="65">
        <v>2000</v>
      </c>
      <c r="G479" s="6">
        <v>300</v>
      </c>
      <c r="H479" s="6">
        <v>50</v>
      </c>
      <c r="I479" s="8" t="s">
        <v>159</v>
      </c>
      <c r="J479" s="6">
        <v>2</v>
      </c>
      <c r="K479" s="6">
        <v>6</v>
      </c>
      <c r="L479" s="6">
        <v>20</v>
      </c>
      <c r="M479" s="6">
        <v>0</v>
      </c>
      <c r="N479" s="6">
        <v>0</v>
      </c>
      <c r="O479" s="6">
        <v>0</v>
      </c>
      <c r="P479">
        <v>880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W479" s="6">
        <v>0</v>
      </c>
      <c r="X479" s="6">
        <v>3</v>
      </c>
      <c r="Y479" s="6">
        <v>0</v>
      </c>
      <c r="Z479" s="6">
        <v>0</v>
      </c>
      <c r="AA479" s="6">
        <v>0</v>
      </c>
      <c r="AB479" s="6">
        <v>0</v>
      </c>
      <c r="AC479" s="7">
        <v>0</v>
      </c>
      <c r="AD479" s="7">
        <v>0</v>
      </c>
      <c r="AE479" s="7">
        <v>0</v>
      </c>
      <c r="AF479" s="7">
        <v>12</v>
      </c>
      <c r="AG479" s="7">
        <v>0</v>
      </c>
      <c r="AH479" s="7">
        <v>3.0000000000000001E-3</v>
      </c>
      <c r="AI479" s="7">
        <v>0</v>
      </c>
      <c r="AJ479" s="7">
        <v>0</v>
      </c>
      <c r="AK479" s="7" t="s">
        <v>1506</v>
      </c>
      <c r="AL479" s="6">
        <v>4</v>
      </c>
      <c r="AM479" s="41">
        <f>INDEX(Sheet5!$B$19:$G$33,MATCH(Sheet1!AQ479,Sheet5!$A$19:$A$33,0),MATCH(J479,Sheet5!$B$18:$G$18,0))</f>
        <v>2200</v>
      </c>
      <c r="AN479" s="6" t="s">
        <v>63</v>
      </c>
      <c r="AO479" s="6" t="s">
        <v>732</v>
      </c>
      <c r="AP479" s="6">
        <v>20289</v>
      </c>
      <c r="AQ479" s="13">
        <v>110</v>
      </c>
    </row>
    <row r="480" spans="1:43" ht="16.5">
      <c r="A480" s="6">
        <v>2544</v>
      </c>
      <c r="B480" s="22" t="s">
        <v>2131</v>
      </c>
      <c r="C480" s="22" t="s">
        <v>163</v>
      </c>
      <c r="D480" s="8" t="s">
        <v>111</v>
      </c>
      <c r="E480" s="14">
        <v>11008</v>
      </c>
      <c r="F480" s="65">
        <v>2000</v>
      </c>
      <c r="G480" s="6">
        <v>300</v>
      </c>
      <c r="H480" s="6">
        <v>50</v>
      </c>
      <c r="I480" s="8" t="s">
        <v>159</v>
      </c>
      <c r="J480" s="6">
        <v>2</v>
      </c>
      <c r="K480" s="6">
        <v>6</v>
      </c>
      <c r="L480" s="6">
        <v>20</v>
      </c>
      <c r="M480" s="6">
        <v>0</v>
      </c>
      <c r="N480" s="6">
        <v>0</v>
      </c>
      <c r="O480" s="6">
        <v>0</v>
      </c>
      <c r="P480">
        <v>960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W480" s="6">
        <v>0</v>
      </c>
      <c r="X480" s="6">
        <v>3</v>
      </c>
      <c r="Y480" s="6">
        <v>0</v>
      </c>
      <c r="Z480" s="6">
        <v>0</v>
      </c>
      <c r="AA480" s="6">
        <v>0</v>
      </c>
      <c r="AB480" s="6">
        <v>0</v>
      </c>
      <c r="AC480" s="7">
        <v>0</v>
      </c>
      <c r="AD480" s="7">
        <v>0</v>
      </c>
      <c r="AE480" s="7">
        <v>0</v>
      </c>
      <c r="AF480" s="7">
        <v>12</v>
      </c>
      <c r="AG480" s="7">
        <v>0</v>
      </c>
      <c r="AH480" s="7">
        <v>3.0000000000000001E-3</v>
      </c>
      <c r="AI480" s="7">
        <v>0</v>
      </c>
      <c r="AJ480" s="7">
        <v>0</v>
      </c>
      <c r="AK480" s="7" t="s">
        <v>1506</v>
      </c>
      <c r="AL480" s="6">
        <v>4</v>
      </c>
      <c r="AM480" s="41">
        <f>INDEX(Sheet5!$B$19:$G$33,MATCH(Sheet1!AQ480,Sheet5!$A$19:$A$33,0),MATCH(J480,Sheet5!$B$18:$G$18,0))</f>
        <v>2400</v>
      </c>
      <c r="AN480" s="6" t="s">
        <v>63</v>
      </c>
      <c r="AO480" s="6" t="s">
        <v>732</v>
      </c>
      <c r="AP480" s="6">
        <v>20290</v>
      </c>
      <c r="AQ480" s="13">
        <v>120</v>
      </c>
    </row>
    <row r="481" spans="1:43" ht="16.5">
      <c r="A481" s="6">
        <v>2545</v>
      </c>
      <c r="B481" s="22" t="s">
        <v>2132</v>
      </c>
      <c r="C481" s="22" t="s">
        <v>163</v>
      </c>
      <c r="D481" s="8" t="s">
        <v>111</v>
      </c>
      <c r="E481" s="14">
        <v>11008</v>
      </c>
      <c r="F481" s="65">
        <v>2000</v>
      </c>
      <c r="G481" s="6">
        <v>300</v>
      </c>
      <c r="H481" s="6">
        <v>50</v>
      </c>
      <c r="I481" s="8" t="s">
        <v>159</v>
      </c>
      <c r="J481" s="6">
        <v>2</v>
      </c>
      <c r="K481" s="6">
        <v>6</v>
      </c>
      <c r="L481" s="6">
        <v>20</v>
      </c>
      <c r="M481" s="6">
        <v>0</v>
      </c>
      <c r="N481" s="6">
        <v>0</v>
      </c>
      <c r="O481" s="6">
        <v>0</v>
      </c>
      <c r="P481">
        <v>1040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W481" s="6">
        <v>0</v>
      </c>
      <c r="X481" s="6">
        <v>3</v>
      </c>
      <c r="Y481" s="6">
        <v>0</v>
      </c>
      <c r="Z481" s="6">
        <v>0</v>
      </c>
      <c r="AA481" s="6">
        <v>0</v>
      </c>
      <c r="AB481" s="6">
        <v>0</v>
      </c>
      <c r="AC481" s="7">
        <v>0</v>
      </c>
      <c r="AD481" s="7">
        <v>0</v>
      </c>
      <c r="AE481" s="7">
        <v>0</v>
      </c>
      <c r="AF481" s="7">
        <v>12</v>
      </c>
      <c r="AG481" s="7">
        <v>0</v>
      </c>
      <c r="AH481" s="7">
        <v>3.0000000000000001E-3</v>
      </c>
      <c r="AI481" s="7">
        <v>0</v>
      </c>
      <c r="AJ481" s="7">
        <v>0</v>
      </c>
      <c r="AK481" s="7" t="s">
        <v>1506</v>
      </c>
      <c r="AL481" s="6">
        <v>4</v>
      </c>
      <c r="AM481" s="41">
        <f>INDEX(Sheet5!$B$19:$G$33,MATCH(Sheet1!AQ481,Sheet5!$A$19:$A$33,0),MATCH(J481,Sheet5!$B$18:$G$18,0))</f>
        <v>2600</v>
      </c>
      <c r="AN481" s="6" t="s">
        <v>63</v>
      </c>
      <c r="AO481" s="6" t="s">
        <v>732</v>
      </c>
      <c r="AP481" s="6">
        <v>202911</v>
      </c>
      <c r="AQ481" s="13">
        <v>130</v>
      </c>
    </row>
    <row r="482" spans="1:43" ht="16.5">
      <c r="A482" s="6">
        <v>2546</v>
      </c>
      <c r="B482" s="22" t="s">
        <v>2133</v>
      </c>
      <c r="C482" s="22" t="s">
        <v>163</v>
      </c>
      <c r="D482" s="8" t="s">
        <v>111</v>
      </c>
      <c r="E482" s="14">
        <v>11008</v>
      </c>
      <c r="F482" s="65">
        <v>2000</v>
      </c>
      <c r="G482" s="6">
        <v>300</v>
      </c>
      <c r="H482" s="6">
        <v>50</v>
      </c>
      <c r="I482" s="8" t="s">
        <v>159</v>
      </c>
      <c r="J482" s="6">
        <v>2</v>
      </c>
      <c r="K482" s="6">
        <v>6</v>
      </c>
      <c r="L482" s="6">
        <v>20</v>
      </c>
      <c r="M482" s="6">
        <v>0</v>
      </c>
      <c r="N482" s="6">
        <v>0</v>
      </c>
      <c r="O482" s="6">
        <v>0</v>
      </c>
      <c r="P482">
        <v>1120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W482" s="6">
        <v>0</v>
      </c>
      <c r="X482" s="6">
        <v>3</v>
      </c>
      <c r="Y482" s="6">
        <v>0</v>
      </c>
      <c r="Z482" s="6">
        <v>0</v>
      </c>
      <c r="AA482" s="6">
        <v>0</v>
      </c>
      <c r="AB482" s="6">
        <v>0</v>
      </c>
      <c r="AC482" s="7">
        <v>0</v>
      </c>
      <c r="AD482" s="7">
        <v>0</v>
      </c>
      <c r="AE482" s="7">
        <v>0</v>
      </c>
      <c r="AF482" s="7">
        <v>12</v>
      </c>
      <c r="AG482" s="7">
        <v>0</v>
      </c>
      <c r="AH482" s="7">
        <v>3.0000000000000001E-3</v>
      </c>
      <c r="AI482" s="7">
        <v>0</v>
      </c>
      <c r="AJ482" s="7">
        <v>0</v>
      </c>
      <c r="AK482" s="7" t="s">
        <v>1506</v>
      </c>
      <c r="AL482" s="6">
        <v>4</v>
      </c>
      <c r="AM482" s="41">
        <f>INDEX(Sheet5!$B$19:$G$33,MATCH(Sheet1!AQ482,Sheet5!$A$19:$A$33,0),MATCH(J482,Sheet5!$B$18:$G$18,0))</f>
        <v>2800</v>
      </c>
      <c r="AN482" s="6" t="s">
        <v>63</v>
      </c>
      <c r="AO482" s="6" t="s">
        <v>732</v>
      </c>
      <c r="AP482" s="6">
        <v>202912</v>
      </c>
      <c r="AQ482" s="13">
        <v>140</v>
      </c>
    </row>
    <row r="483" spans="1:43" ht="16.5">
      <c r="A483" s="6">
        <v>2547</v>
      </c>
      <c r="B483" s="22" t="s">
        <v>2134</v>
      </c>
      <c r="C483" s="22" t="s">
        <v>163</v>
      </c>
      <c r="D483" s="8" t="s">
        <v>111</v>
      </c>
      <c r="E483" s="14">
        <v>11008</v>
      </c>
      <c r="F483" s="65">
        <v>2000</v>
      </c>
      <c r="G483" s="6">
        <v>300</v>
      </c>
      <c r="H483" s="6">
        <v>50</v>
      </c>
      <c r="I483" s="8" t="s">
        <v>159</v>
      </c>
      <c r="J483" s="6">
        <v>2</v>
      </c>
      <c r="K483" s="6">
        <v>6</v>
      </c>
      <c r="L483" s="6">
        <v>20</v>
      </c>
      <c r="M483" s="6">
        <v>0</v>
      </c>
      <c r="N483" s="6">
        <v>0</v>
      </c>
      <c r="O483" s="6">
        <v>0</v>
      </c>
      <c r="P483">
        <v>1200</v>
      </c>
      <c r="Q483" s="6">
        <v>0</v>
      </c>
      <c r="R483" s="6">
        <v>0</v>
      </c>
      <c r="S483" s="6">
        <v>0</v>
      </c>
      <c r="T483" s="6">
        <v>0</v>
      </c>
      <c r="U483" s="6">
        <v>0</v>
      </c>
      <c r="V483" s="6">
        <v>0</v>
      </c>
      <c r="W483" s="6">
        <v>0</v>
      </c>
      <c r="X483" s="6">
        <v>3</v>
      </c>
      <c r="Y483" s="6">
        <v>0</v>
      </c>
      <c r="Z483" s="6">
        <v>0</v>
      </c>
      <c r="AA483" s="6">
        <v>0</v>
      </c>
      <c r="AB483" s="6">
        <v>0</v>
      </c>
      <c r="AC483" s="7">
        <v>0</v>
      </c>
      <c r="AD483" s="7">
        <v>0</v>
      </c>
      <c r="AE483" s="7">
        <v>0</v>
      </c>
      <c r="AF483" s="7">
        <v>12</v>
      </c>
      <c r="AG483" s="7">
        <v>0</v>
      </c>
      <c r="AH483" s="7">
        <v>3.0000000000000001E-3</v>
      </c>
      <c r="AI483" s="7">
        <v>0</v>
      </c>
      <c r="AJ483" s="7">
        <v>0</v>
      </c>
      <c r="AK483" s="7" t="s">
        <v>1506</v>
      </c>
      <c r="AL483" s="6">
        <v>4</v>
      </c>
      <c r="AM483" s="41">
        <f>INDEX(Sheet5!$B$19:$G$33,MATCH(Sheet1!AQ483,Sheet5!$A$19:$A$33,0),MATCH(J483,Sheet5!$B$18:$G$18,0))</f>
        <v>3000</v>
      </c>
      <c r="AN483" s="6" t="s">
        <v>63</v>
      </c>
      <c r="AO483" s="6" t="s">
        <v>732</v>
      </c>
      <c r="AP483" s="6">
        <v>202913</v>
      </c>
      <c r="AQ483" s="13">
        <v>150</v>
      </c>
    </row>
    <row r="484" spans="1:43" ht="16.5">
      <c r="A484" s="6">
        <v>2548</v>
      </c>
      <c r="B484" s="71" t="s">
        <v>2135</v>
      </c>
      <c r="C484" s="71" t="s">
        <v>161</v>
      </c>
      <c r="D484" s="72" t="s">
        <v>105</v>
      </c>
      <c r="E484" s="73">
        <v>11001</v>
      </c>
      <c r="F484" s="74">
        <v>2000</v>
      </c>
      <c r="G484" s="70">
        <v>300</v>
      </c>
      <c r="H484" s="70">
        <v>50</v>
      </c>
      <c r="I484" s="72" t="s">
        <v>718</v>
      </c>
      <c r="J484" s="70">
        <v>2</v>
      </c>
      <c r="K484" s="70">
        <v>6</v>
      </c>
      <c r="L484" s="70">
        <v>20</v>
      </c>
      <c r="M484" s="6">
        <v>0</v>
      </c>
      <c r="N484" s="6">
        <v>0</v>
      </c>
      <c r="O484">
        <v>80</v>
      </c>
      <c r="P484" s="6">
        <v>0</v>
      </c>
      <c r="Q484" s="70">
        <v>0</v>
      </c>
      <c r="R484" s="70">
        <v>0</v>
      </c>
      <c r="S484" s="70">
        <v>0</v>
      </c>
      <c r="T484" s="70">
        <v>0</v>
      </c>
      <c r="U484" s="70">
        <v>0</v>
      </c>
      <c r="V484" s="70">
        <v>0</v>
      </c>
      <c r="W484" s="70">
        <v>3</v>
      </c>
      <c r="X484" s="70">
        <v>0</v>
      </c>
      <c r="Y484" s="70">
        <v>0</v>
      </c>
      <c r="Z484" s="70">
        <v>0</v>
      </c>
      <c r="AA484" s="70">
        <v>0</v>
      </c>
      <c r="AB484" s="70">
        <v>0</v>
      </c>
      <c r="AC484" s="75">
        <v>0</v>
      </c>
      <c r="AD484" s="75">
        <v>0</v>
      </c>
      <c r="AE484" s="75">
        <v>12</v>
      </c>
      <c r="AF484" s="75">
        <v>0</v>
      </c>
      <c r="AG484" s="75">
        <v>0</v>
      </c>
      <c r="AH484" s="75">
        <v>0</v>
      </c>
      <c r="AI484" s="75">
        <v>0</v>
      </c>
      <c r="AJ484" s="75">
        <v>6.0000000000000001E-3</v>
      </c>
      <c r="AK484" s="75" t="s">
        <v>713</v>
      </c>
      <c r="AL484" s="70">
        <v>2</v>
      </c>
      <c r="AM484" s="41">
        <f>INDEX(Sheet5!$B$19:$G$33,MATCH(Sheet1!AQ484,Sheet5!$A$19:$A$33,0),MATCH(J484,Sheet5!$B$18:$G$18,0))</f>
        <v>200</v>
      </c>
      <c r="AN484" s="70" t="s">
        <v>48</v>
      </c>
      <c r="AO484" s="70" t="s">
        <v>725</v>
      </c>
      <c r="AP484" s="70">
        <v>21</v>
      </c>
      <c r="AQ484" s="13">
        <v>10</v>
      </c>
    </row>
    <row r="485" spans="1:43" s="102" customFormat="1" ht="16.5">
      <c r="A485" s="103">
        <v>2021</v>
      </c>
      <c r="B485" s="103" t="s">
        <v>2136</v>
      </c>
      <c r="C485" s="103" t="s">
        <v>161</v>
      </c>
      <c r="D485" s="103" t="s">
        <v>105</v>
      </c>
      <c r="E485" s="104">
        <v>11001</v>
      </c>
      <c r="F485" s="103">
        <v>2000</v>
      </c>
      <c r="G485" s="103">
        <v>300</v>
      </c>
      <c r="H485" s="103">
        <v>50</v>
      </c>
      <c r="I485" s="103" t="s">
        <v>718</v>
      </c>
      <c r="J485" s="103">
        <v>2</v>
      </c>
      <c r="K485" s="103">
        <v>6</v>
      </c>
      <c r="L485" s="103">
        <v>20</v>
      </c>
      <c r="M485" s="100">
        <v>0</v>
      </c>
      <c r="N485" s="100">
        <v>0</v>
      </c>
      <c r="O485">
        <v>160</v>
      </c>
      <c r="P485" s="100">
        <v>0</v>
      </c>
      <c r="Q485" s="103">
        <v>0</v>
      </c>
      <c r="R485" s="103">
        <v>0</v>
      </c>
      <c r="S485" s="103">
        <v>0</v>
      </c>
      <c r="T485" s="103">
        <v>0</v>
      </c>
      <c r="U485" s="103">
        <v>0</v>
      </c>
      <c r="V485" s="103">
        <v>0</v>
      </c>
      <c r="W485" s="103">
        <v>3</v>
      </c>
      <c r="X485" s="103">
        <v>0</v>
      </c>
      <c r="Y485" s="103">
        <v>0</v>
      </c>
      <c r="Z485" s="103">
        <v>0</v>
      </c>
      <c r="AA485" s="103">
        <v>0</v>
      </c>
      <c r="AB485" s="103">
        <v>0</v>
      </c>
      <c r="AC485" s="103">
        <v>0</v>
      </c>
      <c r="AD485" s="103">
        <v>0</v>
      </c>
      <c r="AE485" s="103">
        <v>12</v>
      </c>
      <c r="AF485" s="103">
        <v>0</v>
      </c>
      <c r="AG485" s="103">
        <v>0</v>
      </c>
      <c r="AH485" s="103">
        <v>0</v>
      </c>
      <c r="AI485" s="103">
        <v>0</v>
      </c>
      <c r="AJ485" s="103">
        <v>6.0000000000000001E-3</v>
      </c>
      <c r="AK485" s="103" t="s">
        <v>1486</v>
      </c>
      <c r="AL485" s="103">
        <v>2</v>
      </c>
      <c r="AM485" s="41">
        <f>INDEX(Sheet5!$B$19:$G$33,MATCH(Sheet1!AQ485,Sheet5!$A$19:$A$33,0),MATCH(J485,Sheet5!$B$18:$G$18,0))</f>
        <v>400</v>
      </c>
      <c r="AN485" s="103" t="s">
        <v>1486</v>
      </c>
      <c r="AO485" s="103" t="s">
        <v>725</v>
      </c>
      <c r="AP485" s="103">
        <v>2021</v>
      </c>
      <c r="AQ485" s="13">
        <v>20</v>
      </c>
    </row>
    <row r="486" spans="1:43" ht="16.5">
      <c r="A486" s="70">
        <v>2549</v>
      </c>
      <c r="B486" s="71" t="s">
        <v>2137</v>
      </c>
      <c r="C486" s="71" t="s">
        <v>161</v>
      </c>
      <c r="D486" s="72" t="s">
        <v>105</v>
      </c>
      <c r="E486" s="73">
        <v>11001</v>
      </c>
      <c r="F486" s="74">
        <v>2000</v>
      </c>
      <c r="G486" s="70">
        <v>300</v>
      </c>
      <c r="H486" s="70">
        <v>50</v>
      </c>
      <c r="I486" s="72" t="s">
        <v>718</v>
      </c>
      <c r="J486" s="70">
        <v>2</v>
      </c>
      <c r="K486" s="70">
        <v>6</v>
      </c>
      <c r="L486" s="70">
        <v>20</v>
      </c>
      <c r="M486" s="6">
        <v>0</v>
      </c>
      <c r="N486" s="6">
        <v>0</v>
      </c>
      <c r="O486">
        <v>240</v>
      </c>
      <c r="P486" s="6">
        <v>0</v>
      </c>
      <c r="Q486" s="70">
        <v>0</v>
      </c>
      <c r="R486" s="70">
        <v>0</v>
      </c>
      <c r="S486" s="70">
        <v>0</v>
      </c>
      <c r="T486" s="70">
        <v>0</v>
      </c>
      <c r="U486" s="70">
        <v>0</v>
      </c>
      <c r="V486" s="70">
        <v>0</v>
      </c>
      <c r="W486" s="70">
        <v>3</v>
      </c>
      <c r="X486" s="70">
        <v>0</v>
      </c>
      <c r="Y486" s="70">
        <v>0</v>
      </c>
      <c r="Z486" s="70">
        <v>0</v>
      </c>
      <c r="AA486" s="70">
        <v>0</v>
      </c>
      <c r="AB486" s="70">
        <v>0</v>
      </c>
      <c r="AC486" s="75">
        <v>0</v>
      </c>
      <c r="AD486" s="75">
        <v>0</v>
      </c>
      <c r="AE486" s="75">
        <v>12</v>
      </c>
      <c r="AF486" s="75">
        <v>0</v>
      </c>
      <c r="AG486" s="75">
        <v>0</v>
      </c>
      <c r="AH486" s="75">
        <v>0</v>
      </c>
      <c r="AI486" s="75">
        <v>0</v>
      </c>
      <c r="AJ486" s="75">
        <v>6.0000000000000001E-3</v>
      </c>
      <c r="AK486" s="75" t="s">
        <v>713</v>
      </c>
      <c r="AL486" s="70">
        <v>2</v>
      </c>
      <c r="AM486" s="41">
        <f>INDEX(Sheet5!$B$19:$G$33,MATCH(Sheet1!AQ486,Sheet5!$A$19:$A$33,0),MATCH(J486,Sheet5!$B$18:$G$18,0))</f>
        <v>600</v>
      </c>
      <c r="AN486" s="70" t="s">
        <v>48</v>
      </c>
      <c r="AO486" s="70" t="s">
        <v>725</v>
      </c>
      <c r="AP486" s="70">
        <v>20211</v>
      </c>
      <c r="AQ486" s="13">
        <v>30</v>
      </c>
    </row>
    <row r="487" spans="1:43" ht="16.5">
      <c r="A487" s="70">
        <v>2550</v>
      </c>
      <c r="B487" s="71" t="s">
        <v>2138</v>
      </c>
      <c r="C487" s="71" t="s">
        <v>161</v>
      </c>
      <c r="D487" s="72" t="s">
        <v>105</v>
      </c>
      <c r="E487" s="73">
        <v>11001</v>
      </c>
      <c r="F487" s="74">
        <v>2000</v>
      </c>
      <c r="G487" s="70">
        <v>300</v>
      </c>
      <c r="H487" s="70">
        <v>50</v>
      </c>
      <c r="I487" s="72" t="s">
        <v>718</v>
      </c>
      <c r="J487" s="70">
        <v>2</v>
      </c>
      <c r="K487" s="70">
        <v>6</v>
      </c>
      <c r="L487" s="70">
        <v>20</v>
      </c>
      <c r="M487" s="6">
        <v>0</v>
      </c>
      <c r="N487" s="6">
        <v>0</v>
      </c>
      <c r="O487">
        <v>320</v>
      </c>
      <c r="P487" s="6">
        <v>0</v>
      </c>
      <c r="Q487" s="70">
        <v>0</v>
      </c>
      <c r="R487" s="70">
        <v>0</v>
      </c>
      <c r="S487" s="70">
        <v>0</v>
      </c>
      <c r="T487" s="70">
        <v>0</v>
      </c>
      <c r="U487" s="70">
        <v>0</v>
      </c>
      <c r="V487" s="70">
        <v>0</v>
      </c>
      <c r="W487" s="70">
        <v>3</v>
      </c>
      <c r="X487" s="70">
        <v>0</v>
      </c>
      <c r="Y487" s="70">
        <v>0</v>
      </c>
      <c r="Z487" s="70">
        <v>0</v>
      </c>
      <c r="AA487" s="70">
        <v>0</v>
      </c>
      <c r="AB487" s="70">
        <v>0</v>
      </c>
      <c r="AC487" s="75">
        <v>0</v>
      </c>
      <c r="AD487" s="75">
        <v>0</v>
      </c>
      <c r="AE487" s="75">
        <v>12</v>
      </c>
      <c r="AF487" s="75">
        <v>0</v>
      </c>
      <c r="AG487" s="75">
        <v>0</v>
      </c>
      <c r="AH487" s="75">
        <v>0</v>
      </c>
      <c r="AI487" s="75">
        <v>0</v>
      </c>
      <c r="AJ487" s="75">
        <v>6.0000000000000001E-3</v>
      </c>
      <c r="AK487" s="75" t="s">
        <v>713</v>
      </c>
      <c r="AL487" s="70">
        <v>2</v>
      </c>
      <c r="AM487" s="41">
        <f>INDEX(Sheet5!$B$19:$G$33,MATCH(Sheet1!AQ487,Sheet5!$A$19:$A$33,0),MATCH(J487,Sheet5!$B$18:$G$18,0))</f>
        <v>800</v>
      </c>
      <c r="AN487" s="70" t="s">
        <v>48</v>
      </c>
      <c r="AO487" s="70" t="s">
        <v>725</v>
      </c>
      <c r="AP487" s="70">
        <v>20212</v>
      </c>
      <c r="AQ487" s="13">
        <v>40</v>
      </c>
    </row>
    <row r="488" spans="1:43" ht="16.5">
      <c r="A488" s="70">
        <v>2551</v>
      </c>
      <c r="B488" s="71" t="s">
        <v>2139</v>
      </c>
      <c r="C488" s="71" t="s">
        <v>161</v>
      </c>
      <c r="D488" s="72" t="s">
        <v>105</v>
      </c>
      <c r="E488" s="73">
        <v>11001</v>
      </c>
      <c r="F488" s="74">
        <v>2000</v>
      </c>
      <c r="G488" s="70">
        <v>300</v>
      </c>
      <c r="H488" s="70">
        <v>50</v>
      </c>
      <c r="I488" s="72" t="s">
        <v>718</v>
      </c>
      <c r="J488" s="70">
        <v>2</v>
      </c>
      <c r="K488" s="70">
        <v>6</v>
      </c>
      <c r="L488" s="70">
        <v>20</v>
      </c>
      <c r="M488" s="6">
        <v>0</v>
      </c>
      <c r="N488" s="6">
        <v>0</v>
      </c>
      <c r="O488">
        <v>400</v>
      </c>
      <c r="P488" s="6">
        <v>0</v>
      </c>
      <c r="Q488" s="70">
        <v>0</v>
      </c>
      <c r="R488" s="70">
        <v>0</v>
      </c>
      <c r="S488" s="70">
        <v>0</v>
      </c>
      <c r="T488" s="70">
        <v>0</v>
      </c>
      <c r="U488" s="70">
        <v>0</v>
      </c>
      <c r="V488" s="70">
        <v>0</v>
      </c>
      <c r="W488" s="70">
        <v>3</v>
      </c>
      <c r="X488" s="70">
        <v>0</v>
      </c>
      <c r="Y488" s="70">
        <v>0</v>
      </c>
      <c r="Z488" s="70">
        <v>0</v>
      </c>
      <c r="AA488" s="70">
        <v>0</v>
      </c>
      <c r="AB488" s="70">
        <v>0</v>
      </c>
      <c r="AC488" s="75">
        <v>0</v>
      </c>
      <c r="AD488" s="75">
        <v>0</v>
      </c>
      <c r="AE488" s="75">
        <v>12</v>
      </c>
      <c r="AF488" s="75">
        <v>0</v>
      </c>
      <c r="AG488" s="75">
        <v>0</v>
      </c>
      <c r="AH488" s="75">
        <v>0</v>
      </c>
      <c r="AI488" s="75">
        <v>0</v>
      </c>
      <c r="AJ488" s="75">
        <v>6.0000000000000001E-3</v>
      </c>
      <c r="AK488" s="75" t="s">
        <v>713</v>
      </c>
      <c r="AL488" s="70">
        <v>2</v>
      </c>
      <c r="AM488" s="41">
        <f>INDEX(Sheet5!$B$19:$G$33,MATCH(Sheet1!AQ488,Sheet5!$A$19:$A$33,0),MATCH(J488,Sheet5!$B$18:$G$18,0))</f>
        <v>1000</v>
      </c>
      <c r="AN488" s="70" t="s">
        <v>48</v>
      </c>
      <c r="AO488" s="70" t="s">
        <v>725</v>
      </c>
      <c r="AP488" s="70">
        <v>20213</v>
      </c>
      <c r="AQ488" s="13">
        <v>50</v>
      </c>
    </row>
    <row r="489" spans="1:43" ht="16.5">
      <c r="A489" s="70">
        <v>2552</v>
      </c>
      <c r="B489" s="71" t="s">
        <v>2140</v>
      </c>
      <c r="C489" s="71" t="s">
        <v>161</v>
      </c>
      <c r="D489" s="72" t="s">
        <v>105</v>
      </c>
      <c r="E489" s="73">
        <v>11001</v>
      </c>
      <c r="F489" s="74">
        <v>2000</v>
      </c>
      <c r="G489" s="70">
        <v>300</v>
      </c>
      <c r="H489" s="70">
        <v>50</v>
      </c>
      <c r="I489" s="72" t="s">
        <v>718</v>
      </c>
      <c r="J489" s="70">
        <v>2</v>
      </c>
      <c r="K489" s="70">
        <v>6</v>
      </c>
      <c r="L489" s="70">
        <v>20</v>
      </c>
      <c r="M489" s="6">
        <v>0</v>
      </c>
      <c r="N489" s="6">
        <v>0</v>
      </c>
      <c r="O489">
        <v>480</v>
      </c>
      <c r="P489" s="6">
        <v>0</v>
      </c>
      <c r="Q489" s="70">
        <v>0</v>
      </c>
      <c r="R489" s="70">
        <v>0</v>
      </c>
      <c r="S489" s="70">
        <v>0</v>
      </c>
      <c r="T489" s="70">
        <v>0</v>
      </c>
      <c r="U489" s="70">
        <v>0</v>
      </c>
      <c r="V489" s="70">
        <v>0</v>
      </c>
      <c r="W489" s="70">
        <v>3</v>
      </c>
      <c r="X489" s="70">
        <v>0</v>
      </c>
      <c r="Y489" s="70">
        <v>0</v>
      </c>
      <c r="Z489" s="70">
        <v>0</v>
      </c>
      <c r="AA489" s="70">
        <v>0</v>
      </c>
      <c r="AB489" s="70">
        <v>0</v>
      </c>
      <c r="AC489" s="75">
        <v>0</v>
      </c>
      <c r="AD489" s="75">
        <v>0</v>
      </c>
      <c r="AE489" s="75">
        <v>12</v>
      </c>
      <c r="AF489" s="75">
        <v>0</v>
      </c>
      <c r="AG489" s="75">
        <v>0</v>
      </c>
      <c r="AH489" s="75">
        <v>0</v>
      </c>
      <c r="AI489" s="75">
        <v>0</v>
      </c>
      <c r="AJ489" s="75">
        <v>6.0000000000000001E-3</v>
      </c>
      <c r="AK489" s="75" t="s">
        <v>713</v>
      </c>
      <c r="AL489" s="70">
        <v>2</v>
      </c>
      <c r="AM489" s="41">
        <f>INDEX(Sheet5!$B$19:$G$33,MATCH(Sheet1!AQ489,Sheet5!$A$19:$A$33,0),MATCH(J489,Sheet5!$B$18:$G$18,0))</f>
        <v>1200</v>
      </c>
      <c r="AN489" s="70" t="s">
        <v>48</v>
      </c>
      <c r="AO489" s="70" t="s">
        <v>725</v>
      </c>
      <c r="AP489" s="70">
        <v>20214</v>
      </c>
      <c r="AQ489" s="13">
        <v>60</v>
      </c>
    </row>
    <row r="490" spans="1:43" ht="16.5">
      <c r="A490" s="70">
        <v>2553</v>
      </c>
      <c r="B490" s="71" t="s">
        <v>2141</v>
      </c>
      <c r="C490" s="71" t="s">
        <v>161</v>
      </c>
      <c r="D490" s="72" t="s">
        <v>105</v>
      </c>
      <c r="E490" s="73">
        <v>11001</v>
      </c>
      <c r="F490" s="74">
        <v>2000</v>
      </c>
      <c r="G490" s="70">
        <v>300</v>
      </c>
      <c r="H490" s="70">
        <v>50</v>
      </c>
      <c r="I490" s="72" t="s">
        <v>718</v>
      </c>
      <c r="J490" s="70">
        <v>2</v>
      </c>
      <c r="K490" s="70">
        <v>6</v>
      </c>
      <c r="L490" s="70">
        <v>20</v>
      </c>
      <c r="M490" s="6">
        <v>0</v>
      </c>
      <c r="N490" s="6">
        <v>0</v>
      </c>
      <c r="O490">
        <v>560</v>
      </c>
      <c r="P490" s="6">
        <v>0</v>
      </c>
      <c r="Q490" s="70">
        <v>0</v>
      </c>
      <c r="R490" s="70">
        <v>0</v>
      </c>
      <c r="S490" s="70">
        <v>0</v>
      </c>
      <c r="T490" s="70">
        <v>0</v>
      </c>
      <c r="U490" s="70">
        <v>0</v>
      </c>
      <c r="V490" s="70">
        <v>0</v>
      </c>
      <c r="W490" s="70">
        <v>3</v>
      </c>
      <c r="X490" s="70">
        <v>0</v>
      </c>
      <c r="Y490" s="70">
        <v>0</v>
      </c>
      <c r="Z490" s="70">
        <v>0</v>
      </c>
      <c r="AA490" s="70">
        <v>0</v>
      </c>
      <c r="AB490" s="70">
        <v>0</v>
      </c>
      <c r="AC490" s="75">
        <v>0</v>
      </c>
      <c r="AD490" s="75">
        <v>0</v>
      </c>
      <c r="AE490" s="75">
        <v>12</v>
      </c>
      <c r="AF490" s="75">
        <v>0</v>
      </c>
      <c r="AG490" s="75">
        <v>0</v>
      </c>
      <c r="AH490" s="75">
        <v>0</v>
      </c>
      <c r="AI490" s="75">
        <v>0</v>
      </c>
      <c r="AJ490" s="75">
        <v>6.0000000000000001E-3</v>
      </c>
      <c r="AK490" s="75" t="s">
        <v>713</v>
      </c>
      <c r="AL490" s="70">
        <v>2</v>
      </c>
      <c r="AM490" s="41">
        <f>INDEX(Sheet5!$B$19:$G$33,MATCH(Sheet1!AQ490,Sheet5!$A$19:$A$33,0),MATCH(J490,Sheet5!$B$18:$G$18,0))</f>
        <v>1400</v>
      </c>
      <c r="AN490" s="70" t="s">
        <v>48</v>
      </c>
      <c r="AO490" s="70" t="s">
        <v>725</v>
      </c>
      <c r="AP490" s="70">
        <v>20215</v>
      </c>
      <c r="AQ490" s="13">
        <v>70</v>
      </c>
    </row>
    <row r="491" spans="1:43" ht="16.5">
      <c r="A491" s="70">
        <v>2554</v>
      </c>
      <c r="B491" s="71" t="s">
        <v>2142</v>
      </c>
      <c r="C491" s="71" t="s">
        <v>161</v>
      </c>
      <c r="D491" s="72" t="s">
        <v>105</v>
      </c>
      <c r="E491" s="73">
        <v>11001</v>
      </c>
      <c r="F491" s="74">
        <v>2000</v>
      </c>
      <c r="G491" s="70">
        <v>300</v>
      </c>
      <c r="H491" s="70">
        <v>50</v>
      </c>
      <c r="I491" s="72" t="s">
        <v>718</v>
      </c>
      <c r="J491" s="70">
        <v>2</v>
      </c>
      <c r="K491" s="70">
        <v>6</v>
      </c>
      <c r="L491" s="70">
        <v>20</v>
      </c>
      <c r="M491" s="6">
        <v>0</v>
      </c>
      <c r="N491" s="6">
        <v>0</v>
      </c>
      <c r="O491">
        <v>640</v>
      </c>
      <c r="P491" s="6">
        <v>0</v>
      </c>
      <c r="Q491" s="70">
        <v>0</v>
      </c>
      <c r="R491" s="70">
        <v>0</v>
      </c>
      <c r="S491" s="70">
        <v>0</v>
      </c>
      <c r="T491" s="70">
        <v>0</v>
      </c>
      <c r="U491" s="70">
        <v>0</v>
      </c>
      <c r="V491" s="70">
        <v>0</v>
      </c>
      <c r="W491" s="70">
        <v>3</v>
      </c>
      <c r="X491" s="70">
        <v>0</v>
      </c>
      <c r="Y491" s="70">
        <v>0</v>
      </c>
      <c r="Z491" s="70">
        <v>0</v>
      </c>
      <c r="AA491" s="70">
        <v>0</v>
      </c>
      <c r="AB491" s="70">
        <v>0</v>
      </c>
      <c r="AC491" s="75">
        <v>0</v>
      </c>
      <c r="AD491" s="75">
        <v>0</v>
      </c>
      <c r="AE491" s="75">
        <v>12</v>
      </c>
      <c r="AF491" s="75">
        <v>0</v>
      </c>
      <c r="AG491" s="75">
        <v>0</v>
      </c>
      <c r="AH491" s="75">
        <v>0</v>
      </c>
      <c r="AI491" s="75">
        <v>0</v>
      </c>
      <c r="AJ491" s="75">
        <v>6.0000000000000001E-3</v>
      </c>
      <c r="AK491" s="75" t="s">
        <v>713</v>
      </c>
      <c r="AL491" s="70">
        <v>2</v>
      </c>
      <c r="AM491" s="41">
        <f>INDEX(Sheet5!$B$19:$G$33,MATCH(Sheet1!AQ491,Sheet5!$A$19:$A$33,0),MATCH(J491,Sheet5!$B$18:$G$18,0))</f>
        <v>1600</v>
      </c>
      <c r="AN491" s="70" t="s">
        <v>48</v>
      </c>
      <c r="AO491" s="70" t="s">
        <v>725</v>
      </c>
      <c r="AP491" s="70">
        <v>20216</v>
      </c>
      <c r="AQ491" s="13">
        <v>80</v>
      </c>
    </row>
    <row r="492" spans="1:43" ht="16.5">
      <c r="A492" s="70">
        <v>2555</v>
      </c>
      <c r="B492" s="71" t="s">
        <v>2143</v>
      </c>
      <c r="C492" s="71" t="s">
        <v>161</v>
      </c>
      <c r="D492" s="72" t="s">
        <v>105</v>
      </c>
      <c r="E492" s="73">
        <v>11001</v>
      </c>
      <c r="F492" s="74">
        <v>2000</v>
      </c>
      <c r="G492" s="70">
        <v>300</v>
      </c>
      <c r="H492" s="70">
        <v>50</v>
      </c>
      <c r="I492" s="72" t="s">
        <v>718</v>
      </c>
      <c r="J492" s="70">
        <v>2</v>
      </c>
      <c r="K492" s="70">
        <v>6</v>
      </c>
      <c r="L492" s="70">
        <v>20</v>
      </c>
      <c r="M492" s="6">
        <v>0</v>
      </c>
      <c r="N492" s="6">
        <v>0</v>
      </c>
      <c r="O492">
        <v>720</v>
      </c>
      <c r="P492" s="6">
        <v>0</v>
      </c>
      <c r="Q492" s="70">
        <v>0</v>
      </c>
      <c r="R492" s="70">
        <v>0</v>
      </c>
      <c r="S492" s="70">
        <v>0</v>
      </c>
      <c r="T492" s="70">
        <v>0</v>
      </c>
      <c r="U492" s="70">
        <v>0</v>
      </c>
      <c r="V492" s="70">
        <v>0</v>
      </c>
      <c r="W492" s="70">
        <v>3</v>
      </c>
      <c r="X492" s="70">
        <v>0</v>
      </c>
      <c r="Y492" s="70">
        <v>0</v>
      </c>
      <c r="Z492" s="70">
        <v>0</v>
      </c>
      <c r="AA492" s="70">
        <v>0</v>
      </c>
      <c r="AB492" s="70">
        <v>0</v>
      </c>
      <c r="AC492" s="75">
        <v>0</v>
      </c>
      <c r="AD492" s="75">
        <v>0</v>
      </c>
      <c r="AE492" s="75">
        <v>12</v>
      </c>
      <c r="AF492" s="75">
        <v>0</v>
      </c>
      <c r="AG492" s="75">
        <v>0</v>
      </c>
      <c r="AH492" s="75">
        <v>0</v>
      </c>
      <c r="AI492" s="75">
        <v>0</v>
      </c>
      <c r="AJ492" s="75">
        <v>6.0000000000000001E-3</v>
      </c>
      <c r="AK492" s="75" t="s">
        <v>713</v>
      </c>
      <c r="AL492" s="70">
        <v>2</v>
      </c>
      <c r="AM492" s="41">
        <f>INDEX(Sheet5!$B$19:$G$33,MATCH(Sheet1!AQ492,Sheet5!$A$19:$A$33,0),MATCH(J492,Sheet5!$B$18:$G$18,0))</f>
        <v>1800</v>
      </c>
      <c r="AN492" s="70" t="s">
        <v>48</v>
      </c>
      <c r="AO492" s="70" t="s">
        <v>725</v>
      </c>
      <c r="AP492" s="70">
        <v>20217</v>
      </c>
      <c r="AQ492" s="13">
        <v>90</v>
      </c>
    </row>
    <row r="493" spans="1:43" ht="16.5">
      <c r="A493" s="70">
        <v>2556</v>
      </c>
      <c r="B493" s="71" t="s">
        <v>2144</v>
      </c>
      <c r="C493" s="71" t="s">
        <v>161</v>
      </c>
      <c r="D493" s="72" t="s">
        <v>105</v>
      </c>
      <c r="E493" s="73">
        <v>11001</v>
      </c>
      <c r="F493" s="74">
        <v>2000</v>
      </c>
      <c r="G493" s="70">
        <v>300</v>
      </c>
      <c r="H493" s="70">
        <v>50</v>
      </c>
      <c r="I493" s="72" t="s">
        <v>718</v>
      </c>
      <c r="J493" s="70">
        <v>2</v>
      </c>
      <c r="K493" s="70">
        <v>6</v>
      </c>
      <c r="L493" s="70">
        <v>20</v>
      </c>
      <c r="M493" s="6">
        <v>0</v>
      </c>
      <c r="N493" s="6">
        <v>0</v>
      </c>
      <c r="O493">
        <v>800</v>
      </c>
      <c r="P493" s="6">
        <v>0</v>
      </c>
      <c r="Q493" s="70">
        <v>0</v>
      </c>
      <c r="R493" s="70">
        <v>0</v>
      </c>
      <c r="S493" s="70">
        <v>0</v>
      </c>
      <c r="T493" s="70">
        <v>0</v>
      </c>
      <c r="U493" s="70">
        <v>0</v>
      </c>
      <c r="V493" s="70">
        <v>0</v>
      </c>
      <c r="W493" s="70">
        <v>3</v>
      </c>
      <c r="X493" s="70">
        <v>0</v>
      </c>
      <c r="Y493" s="70">
        <v>0</v>
      </c>
      <c r="Z493" s="70">
        <v>0</v>
      </c>
      <c r="AA493" s="70">
        <v>0</v>
      </c>
      <c r="AB493" s="70">
        <v>0</v>
      </c>
      <c r="AC493" s="75">
        <v>0</v>
      </c>
      <c r="AD493" s="75">
        <v>0</v>
      </c>
      <c r="AE493" s="75">
        <v>12</v>
      </c>
      <c r="AF493" s="75">
        <v>0</v>
      </c>
      <c r="AG493" s="75">
        <v>0</v>
      </c>
      <c r="AH493" s="75">
        <v>0</v>
      </c>
      <c r="AI493" s="75">
        <v>0</v>
      </c>
      <c r="AJ493" s="75">
        <v>6.0000000000000001E-3</v>
      </c>
      <c r="AK493" s="75" t="s">
        <v>713</v>
      </c>
      <c r="AL493" s="70">
        <v>2</v>
      </c>
      <c r="AM493" s="41">
        <f>INDEX(Sheet5!$B$19:$G$33,MATCH(Sheet1!AQ493,Sheet5!$A$19:$A$33,0),MATCH(J493,Sheet5!$B$18:$G$18,0))</f>
        <v>2000</v>
      </c>
      <c r="AN493" s="70" t="s">
        <v>48</v>
      </c>
      <c r="AO493" s="70" t="s">
        <v>725</v>
      </c>
      <c r="AP493" s="70">
        <v>20218</v>
      </c>
      <c r="AQ493" s="13">
        <v>100</v>
      </c>
    </row>
    <row r="494" spans="1:43" ht="16.5">
      <c r="A494" s="70">
        <v>2557</v>
      </c>
      <c r="B494" s="71" t="s">
        <v>2145</v>
      </c>
      <c r="C494" s="71" t="s">
        <v>161</v>
      </c>
      <c r="D494" s="72" t="s">
        <v>105</v>
      </c>
      <c r="E494" s="73">
        <v>11001</v>
      </c>
      <c r="F494" s="74">
        <v>2000</v>
      </c>
      <c r="G494" s="70">
        <v>300</v>
      </c>
      <c r="H494" s="70">
        <v>50</v>
      </c>
      <c r="I494" s="72" t="s">
        <v>718</v>
      </c>
      <c r="J494" s="70">
        <v>2</v>
      </c>
      <c r="K494" s="70">
        <v>6</v>
      </c>
      <c r="L494" s="70">
        <v>20</v>
      </c>
      <c r="M494" s="6">
        <v>0</v>
      </c>
      <c r="N494" s="6">
        <v>0</v>
      </c>
      <c r="O494">
        <v>880</v>
      </c>
      <c r="P494" s="6">
        <v>0</v>
      </c>
      <c r="Q494" s="70">
        <v>0</v>
      </c>
      <c r="R494" s="70">
        <v>0</v>
      </c>
      <c r="S494" s="70">
        <v>0</v>
      </c>
      <c r="T494" s="70">
        <v>0</v>
      </c>
      <c r="U494" s="70">
        <v>0</v>
      </c>
      <c r="V494" s="70">
        <v>0</v>
      </c>
      <c r="W494" s="70">
        <v>3</v>
      </c>
      <c r="X494" s="70">
        <v>0</v>
      </c>
      <c r="Y494" s="70">
        <v>0</v>
      </c>
      <c r="Z494" s="70">
        <v>0</v>
      </c>
      <c r="AA494" s="70">
        <v>0</v>
      </c>
      <c r="AB494" s="70">
        <v>0</v>
      </c>
      <c r="AC494" s="75">
        <v>0</v>
      </c>
      <c r="AD494" s="75">
        <v>0</v>
      </c>
      <c r="AE494" s="75">
        <v>12</v>
      </c>
      <c r="AF494" s="75">
        <v>0</v>
      </c>
      <c r="AG494" s="75">
        <v>0</v>
      </c>
      <c r="AH494" s="75">
        <v>0</v>
      </c>
      <c r="AI494" s="75">
        <v>0</v>
      </c>
      <c r="AJ494" s="75">
        <v>6.0000000000000001E-3</v>
      </c>
      <c r="AK494" s="75" t="s">
        <v>713</v>
      </c>
      <c r="AL494" s="70">
        <v>2</v>
      </c>
      <c r="AM494" s="41">
        <f>INDEX(Sheet5!$B$19:$G$33,MATCH(Sheet1!AQ494,Sheet5!$A$19:$A$33,0),MATCH(J494,Sheet5!$B$18:$G$18,0))</f>
        <v>2200</v>
      </c>
      <c r="AN494" s="70" t="s">
        <v>48</v>
      </c>
      <c r="AO494" s="70" t="s">
        <v>725</v>
      </c>
      <c r="AP494" s="70">
        <v>20219</v>
      </c>
      <c r="AQ494" s="13">
        <v>110</v>
      </c>
    </row>
    <row r="495" spans="1:43" ht="16.5">
      <c r="A495" s="70">
        <v>2558</v>
      </c>
      <c r="B495" s="71" t="s">
        <v>2146</v>
      </c>
      <c r="C495" s="71" t="s">
        <v>161</v>
      </c>
      <c r="D495" s="72" t="s">
        <v>105</v>
      </c>
      <c r="E495" s="73">
        <v>11001</v>
      </c>
      <c r="F495" s="74">
        <v>2000</v>
      </c>
      <c r="G495" s="70">
        <v>300</v>
      </c>
      <c r="H495" s="70">
        <v>50</v>
      </c>
      <c r="I495" s="72" t="s">
        <v>718</v>
      </c>
      <c r="J495" s="70">
        <v>2</v>
      </c>
      <c r="K495" s="70">
        <v>6</v>
      </c>
      <c r="L495" s="70">
        <v>20</v>
      </c>
      <c r="M495" s="6">
        <v>0</v>
      </c>
      <c r="N495" s="6">
        <v>0</v>
      </c>
      <c r="O495">
        <v>960</v>
      </c>
      <c r="P495" s="6">
        <v>0</v>
      </c>
      <c r="Q495" s="70">
        <v>0</v>
      </c>
      <c r="R495" s="70">
        <v>0</v>
      </c>
      <c r="S495" s="70">
        <v>0</v>
      </c>
      <c r="T495" s="70">
        <v>0</v>
      </c>
      <c r="U495" s="70">
        <v>0</v>
      </c>
      <c r="V495" s="70">
        <v>0</v>
      </c>
      <c r="W495" s="70">
        <v>3</v>
      </c>
      <c r="X495" s="70">
        <v>0</v>
      </c>
      <c r="Y495" s="70">
        <v>0</v>
      </c>
      <c r="Z495" s="70">
        <v>0</v>
      </c>
      <c r="AA495" s="70">
        <v>0</v>
      </c>
      <c r="AB495" s="70">
        <v>0</v>
      </c>
      <c r="AC495" s="75">
        <v>0</v>
      </c>
      <c r="AD495" s="75">
        <v>0</v>
      </c>
      <c r="AE495" s="75">
        <v>12</v>
      </c>
      <c r="AF495" s="75">
        <v>0</v>
      </c>
      <c r="AG495" s="75">
        <v>0</v>
      </c>
      <c r="AH495" s="75">
        <v>0</v>
      </c>
      <c r="AI495" s="75">
        <v>0</v>
      </c>
      <c r="AJ495" s="75">
        <v>6.0000000000000001E-3</v>
      </c>
      <c r="AK495" s="75" t="s">
        <v>713</v>
      </c>
      <c r="AL495" s="70">
        <v>2</v>
      </c>
      <c r="AM495" s="41">
        <f>INDEX(Sheet5!$B$19:$G$33,MATCH(Sheet1!AQ495,Sheet5!$A$19:$A$33,0),MATCH(J495,Sheet5!$B$18:$G$18,0))</f>
        <v>2400</v>
      </c>
      <c r="AN495" s="70" t="s">
        <v>48</v>
      </c>
      <c r="AO495" s="70" t="s">
        <v>725</v>
      </c>
      <c r="AP495" s="70">
        <v>20220</v>
      </c>
      <c r="AQ495" s="13">
        <v>120</v>
      </c>
    </row>
    <row r="496" spans="1:43" ht="16.5">
      <c r="A496" s="70">
        <v>2559</v>
      </c>
      <c r="B496" s="71" t="s">
        <v>2147</v>
      </c>
      <c r="C496" s="71" t="s">
        <v>161</v>
      </c>
      <c r="D496" s="72" t="s">
        <v>105</v>
      </c>
      <c r="E496" s="73">
        <v>11001</v>
      </c>
      <c r="F496" s="74">
        <v>2000</v>
      </c>
      <c r="G496" s="70">
        <v>300</v>
      </c>
      <c r="H496" s="70">
        <v>50</v>
      </c>
      <c r="I496" s="72" t="s">
        <v>718</v>
      </c>
      <c r="J496" s="70">
        <v>2</v>
      </c>
      <c r="K496" s="70">
        <v>6</v>
      </c>
      <c r="L496" s="70">
        <v>20</v>
      </c>
      <c r="M496" s="6">
        <v>0</v>
      </c>
      <c r="N496" s="6">
        <v>0</v>
      </c>
      <c r="O496">
        <v>1040</v>
      </c>
      <c r="P496" s="6">
        <v>0</v>
      </c>
      <c r="Q496" s="70">
        <v>0</v>
      </c>
      <c r="R496" s="70">
        <v>0</v>
      </c>
      <c r="S496" s="70">
        <v>0</v>
      </c>
      <c r="T496" s="70">
        <v>0</v>
      </c>
      <c r="U496" s="70">
        <v>0</v>
      </c>
      <c r="V496" s="70">
        <v>0</v>
      </c>
      <c r="W496" s="70">
        <v>3</v>
      </c>
      <c r="X496" s="70">
        <v>0</v>
      </c>
      <c r="Y496" s="70">
        <v>0</v>
      </c>
      <c r="Z496" s="70">
        <v>0</v>
      </c>
      <c r="AA496" s="70">
        <v>0</v>
      </c>
      <c r="AB496" s="70">
        <v>0</v>
      </c>
      <c r="AC496" s="75">
        <v>0</v>
      </c>
      <c r="AD496" s="75">
        <v>0</v>
      </c>
      <c r="AE496" s="75">
        <v>12</v>
      </c>
      <c r="AF496" s="75">
        <v>0</v>
      </c>
      <c r="AG496" s="75">
        <v>0</v>
      </c>
      <c r="AH496" s="75">
        <v>0</v>
      </c>
      <c r="AI496" s="75">
        <v>0</v>
      </c>
      <c r="AJ496" s="75">
        <v>6.0000000000000001E-3</v>
      </c>
      <c r="AK496" s="75" t="s">
        <v>713</v>
      </c>
      <c r="AL496" s="70">
        <v>2</v>
      </c>
      <c r="AM496" s="41">
        <f>INDEX(Sheet5!$B$19:$G$33,MATCH(Sheet1!AQ496,Sheet5!$A$19:$A$33,0),MATCH(J496,Sheet5!$B$18:$G$18,0))</f>
        <v>2600</v>
      </c>
      <c r="AN496" s="70" t="s">
        <v>48</v>
      </c>
      <c r="AO496" s="70" t="s">
        <v>725</v>
      </c>
      <c r="AP496" s="70">
        <v>202211</v>
      </c>
      <c r="AQ496" s="13">
        <v>130</v>
      </c>
    </row>
    <row r="497" spans="1:43" ht="16.5">
      <c r="A497" s="70">
        <v>2560</v>
      </c>
      <c r="B497" s="71" t="s">
        <v>2148</v>
      </c>
      <c r="C497" s="71" t="s">
        <v>161</v>
      </c>
      <c r="D497" s="72" t="s">
        <v>105</v>
      </c>
      <c r="E497" s="73">
        <v>11001</v>
      </c>
      <c r="F497" s="74">
        <v>2000</v>
      </c>
      <c r="G497" s="70">
        <v>300</v>
      </c>
      <c r="H497" s="70">
        <v>50</v>
      </c>
      <c r="I497" s="72" t="s">
        <v>718</v>
      </c>
      <c r="J497" s="70">
        <v>2</v>
      </c>
      <c r="K497" s="70">
        <v>6</v>
      </c>
      <c r="L497" s="70">
        <v>20</v>
      </c>
      <c r="M497" s="6">
        <v>0</v>
      </c>
      <c r="N497" s="6">
        <v>0</v>
      </c>
      <c r="O497">
        <v>1120</v>
      </c>
      <c r="P497" s="6">
        <v>0</v>
      </c>
      <c r="Q497" s="70">
        <v>0</v>
      </c>
      <c r="R497" s="70">
        <v>0</v>
      </c>
      <c r="S497" s="70">
        <v>0</v>
      </c>
      <c r="T497" s="70">
        <v>0</v>
      </c>
      <c r="U497" s="70">
        <v>0</v>
      </c>
      <c r="V497" s="70">
        <v>0</v>
      </c>
      <c r="W497" s="70">
        <v>3</v>
      </c>
      <c r="X497" s="70">
        <v>0</v>
      </c>
      <c r="Y497" s="70">
        <v>0</v>
      </c>
      <c r="Z497" s="70">
        <v>0</v>
      </c>
      <c r="AA497" s="70">
        <v>0</v>
      </c>
      <c r="AB497" s="70">
        <v>0</v>
      </c>
      <c r="AC497" s="75">
        <v>0</v>
      </c>
      <c r="AD497" s="75">
        <v>0</v>
      </c>
      <c r="AE497" s="75">
        <v>12</v>
      </c>
      <c r="AF497" s="75">
        <v>0</v>
      </c>
      <c r="AG497" s="75">
        <v>0</v>
      </c>
      <c r="AH497" s="75">
        <v>0</v>
      </c>
      <c r="AI497" s="75">
        <v>0</v>
      </c>
      <c r="AJ497" s="75">
        <v>6.0000000000000001E-3</v>
      </c>
      <c r="AK497" s="75" t="s">
        <v>713</v>
      </c>
      <c r="AL497" s="70">
        <v>2</v>
      </c>
      <c r="AM497" s="41">
        <f>INDEX(Sheet5!$B$19:$G$33,MATCH(Sheet1!AQ497,Sheet5!$A$19:$A$33,0),MATCH(J497,Sheet5!$B$18:$G$18,0))</f>
        <v>2800</v>
      </c>
      <c r="AN497" s="70" t="s">
        <v>48</v>
      </c>
      <c r="AO497" s="70" t="s">
        <v>725</v>
      </c>
      <c r="AP497" s="70">
        <v>202212</v>
      </c>
      <c r="AQ497" s="13">
        <v>140</v>
      </c>
    </row>
    <row r="498" spans="1:43" ht="16.5">
      <c r="A498" s="70">
        <v>2561</v>
      </c>
      <c r="B498" s="71" t="s">
        <v>2149</v>
      </c>
      <c r="C498" s="71" t="s">
        <v>161</v>
      </c>
      <c r="D498" s="72" t="s">
        <v>105</v>
      </c>
      <c r="E498" s="73">
        <v>11001</v>
      </c>
      <c r="F498" s="74">
        <v>2000</v>
      </c>
      <c r="G498" s="70">
        <v>300</v>
      </c>
      <c r="H498" s="70">
        <v>50</v>
      </c>
      <c r="I498" s="72" t="s">
        <v>718</v>
      </c>
      <c r="J498" s="70">
        <v>2</v>
      </c>
      <c r="K498" s="70">
        <v>6</v>
      </c>
      <c r="L498" s="70">
        <v>20</v>
      </c>
      <c r="M498" s="6">
        <v>0</v>
      </c>
      <c r="N498" s="6">
        <v>0</v>
      </c>
      <c r="O498">
        <v>1200</v>
      </c>
      <c r="P498" s="6">
        <v>0</v>
      </c>
      <c r="Q498" s="70">
        <v>0</v>
      </c>
      <c r="R498" s="70">
        <v>0</v>
      </c>
      <c r="S498" s="70">
        <v>0</v>
      </c>
      <c r="T498" s="70">
        <v>0</v>
      </c>
      <c r="U498" s="70">
        <v>0</v>
      </c>
      <c r="V498" s="70">
        <v>0</v>
      </c>
      <c r="W498" s="70">
        <v>3</v>
      </c>
      <c r="X498" s="70">
        <v>0</v>
      </c>
      <c r="Y498" s="70">
        <v>0</v>
      </c>
      <c r="Z498" s="70">
        <v>0</v>
      </c>
      <c r="AA498" s="70">
        <v>0</v>
      </c>
      <c r="AB498" s="70">
        <v>0</v>
      </c>
      <c r="AC498" s="75">
        <v>0</v>
      </c>
      <c r="AD498" s="75">
        <v>0</v>
      </c>
      <c r="AE498" s="75">
        <v>12</v>
      </c>
      <c r="AF498" s="75">
        <v>0</v>
      </c>
      <c r="AG498" s="75">
        <v>0</v>
      </c>
      <c r="AH498" s="75">
        <v>0</v>
      </c>
      <c r="AI498" s="75">
        <v>0</v>
      </c>
      <c r="AJ498" s="75">
        <v>6.0000000000000001E-3</v>
      </c>
      <c r="AK498" s="75" t="s">
        <v>713</v>
      </c>
      <c r="AL498" s="70">
        <v>2</v>
      </c>
      <c r="AM498" s="41">
        <f>INDEX(Sheet5!$B$19:$G$33,MATCH(Sheet1!AQ498,Sheet5!$A$19:$A$33,0),MATCH(J498,Sheet5!$B$18:$G$18,0))</f>
        <v>3000</v>
      </c>
      <c r="AN498" s="70" t="s">
        <v>48</v>
      </c>
      <c r="AO498" s="70" t="s">
        <v>725</v>
      </c>
      <c r="AP498" s="70">
        <v>202213</v>
      </c>
      <c r="AQ498" s="13">
        <v>150</v>
      </c>
    </row>
    <row r="499" spans="1:43" ht="16.5">
      <c r="A499" s="70">
        <v>2562</v>
      </c>
      <c r="B499" s="71" t="s">
        <v>2150</v>
      </c>
      <c r="C499" s="71" t="s">
        <v>694</v>
      </c>
      <c r="D499" s="72" t="s">
        <v>106</v>
      </c>
      <c r="E499" s="73">
        <v>11002</v>
      </c>
      <c r="F499" s="74">
        <v>2000</v>
      </c>
      <c r="G499" s="70">
        <v>300</v>
      </c>
      <c r="H499" s="70">
        <v>50</v>
      </c>
      <c r="I499" s="72" t="s">
        <v>719</v>
      </c>
      <c r="J499" s="70">
        <v>2</v>
      </c>
      <c r="K499" s="70">
        <v>6</v>
      </c>
      <c r="L499" s="70">
        <v>20</v>
      </c>
      <c r="M499" s="6">
        <v>0</v>
      </c>
      <c r="N499">
        <v>160</v>
      </c>
      <c r="O499" s="6">
        <v>0</v>
      </c>
      <c r="P499" s="6">
        <v>0</v>
      </c>
      <c r="Q499" s="70">
        <v>0</v>
      </c>
      <c r="R499" s="70">
        <v>0</v>
      </c>
      <c r="S499" s="70">
        <v>0</v>
      </c>
      <c r="T499" s="70">
        <v>0</v>
      </c>
      <c r="U499" s="70">
        <v>0</v>
      </c>
      <c r="V499" s="70">
        <v>6</v>
      </c>
      <c r="W499" s="70">
        <v>0</v>
      </c>
      <c r="X499" s="70">
        <v>0</v>
      </c>
      <c r="Y499" s="70">
        <v>0</v>
      </c>
      <c r="Z499" s="70">
        <v>0</v>
      </c>
      <c r="AA499" s="70">
        <v>0</v>
      </c>
      <c r="AB499" s="70">
        <v>0</v>
      </c>
      <c r="AC499" s="75">
        <v>0</v>
      </c>
      <c r="AD499" s="75">
        <v>24</v>
      </c>
      <c r="AE499" s="75">
        <v>0</v>
      </c>
      <c r="AF499" s="75">
        <v>0</v>
      </c>
      <c r="AG499" s="75">
        <v>0</v>
      </c>
      <c r="AH499" s="75">
        <v>0</v>
      </c>
      <c r="AI499" s="75">
        <v>6.0000000000000001E-3</v>
      </c>
      <c r="AJ499" s="75">
        <v>0</v>
      </c>
      <c r="AK499" s="75" t="s">
        <v>713</v>
      </c>
      <c r="AL499" s="70">
        <v>1</v>
      </c>
      <c r="AM499" s="41">
        <f>INDEX(Sheet5!$B$19:$G$33,MATCH(Sheet1!AQ499,Sheet5!$A$19:$A$33,0),MATCH(J499,Sheet5!$B$18:$G$18,0))</f>
        <v>200</v>
      </c>
      <c r="AN499" s="70" t="s">
        <v>48</v>
      </c>
      <c r="AO499" s="70" t="s">
        <v>726</v>
      </c>
      <c r="AP499" s="70">
        <v>22</v>
      </c>
      <c r="AQ499" s="13">
        <v>10</v>
      </c>
    </row>
    <row r="500" spans="1:43" s="102" customFormat="1" ht="16.5">
      <c r="A500" s="103">
        <v>2022</v>
      </c>
      <c r="B500" s="103" t="s">
        <v>2151</v>
      </c>
      <c r="C500" s="103" t="s">
        <v>694</v>
      </c>
      <c r="D500" s="103" t="s">
        <v>1492</v>
      </c>
      <c r="E500" s="104">
        <v>11002</v>
      </c>
      <c r="F500" s="103">
        <v>2000</v>
      </c>
      <c r="G500" s="103">
        <v>300</v>
      </c>
      <c r="H500" s="103">
        <v>50</v>
      </c>
      <c r="I500" s="103" t="s">
        <v>719</v>
      </c>
      <c r="J500" s="103">
        <v>2</v>
      </c>
      <c r="K500" s="103">
        <v>6</v>
      </c>
      <c r="L500" s="103">
        <v>20</v>
      </c>
      <c r="M500" s="100">
        <v>0</v>
      </c>
      <c r="N500">
        <v>320</v>
      </c>
      <c r="O500" s="100">
        <v>0</v>
      </c>
      <c r="P500" s="100">
        <v>0</v>
      </c>
      <c r="Q500" s="103">
        <v>0</v>
      </c>
      <c r="R500" s="103">
        <v>0</v>
      </c>
      <c r="S500" s="103">
        <v>0</v>
      </c>
      <c r="T500" s="103">
        <v>0</v>
      </c>
      <c r="U500" s="103">
        <v>0</v>
      </c>
      <c r="V500" s="103">
        <v>6</v>
      </c>
      <c r="W500" s="103">
        <v>0</v>
      </c>
      <c r="X500" s="103">
        <v>0</v>
      </c>
      <c r="Y500" s="103">
        <v>0</v>
      </c>
      <c r="Z500" s="103">
        <v>0</v>
      </c>
      <c r="AA500" s="103">
        <v>0</v>
      </c>
      <c r="AB500" s="103">
        <v>0</v>
      </c>
      <c r="AC500" s="103">
        <v>0</v>
      </c>
      <c r="AD500" s="103">
        <v>24</v>
      </c>
      <c r="AE500" s="103">
        <v>0</v>
      </c>
      <c r="AF500" s="103">
        <v>0</v>
      </c>
      <c r="AG500" s="103">
        <v>0</v>
      </c>
      <c r="AH500" s="103">
        <v>0</v>
      </c>
      <c r="AI500" s="103">
        <v>6.0000000000000001E-3</v>
      </c>
      <c r="AJ500" s="103">
        <v>0</v>
      </c>
      <c r="AK500" s="103" t="s">
        <v>1488</v>
      </c>
      <c r="AL500" s="103">
        <v>1</v>
      </c>
      <c r="AM500" s="41">
        <f>INDEX(Sheet5!$B$19:$G$33,MATCH(Sheet1!AQ500,Sheet5!$A$19:$A$33,0),MATCH(J500,Sheet5!$B$18:$G$18,0))</f>
        <v>400</v>
      </c>
      <c r="AN500" s="103" t="s">
        <v>1488</v>
      </c>
      <c r="AO500" s="103" t="s">
        <v>726</v>
      </c>
      <c r="AP500" s="103">
        <v>2022</v>
      </c>
      <c r="AQ500" s="13">
        <v>20</v>
      </c>
    </row>
    <row r="501" spans="1:43" ht="16.5">
      <c r="A501" s="70">
        <v>2563</v>
      </c>
      <c r="B501" s="71" t="s">
        <v>2152</v>
      </c>
      <c r="C501" s="71" t="s">
        <v>694</v>
      </c>
      <c r="D501" s="72" t="s">
        <v>106</v>
      </c>
      <c r="E501" s="73">
        <v>11002</v>
      </c>
      <c r="F501" s="74">
        <v>2000</v>
      </c>
      <c r="G501" s="70">
        <v>300</v>
      </c>
      <c r="H501" s="70">
        <v>50</v>
      </c>
      <c r="I501" s="72" t="s">
        <v>719</v>
      </c>
      <c r="J501" s="70">
        <v>2</v>
      </c>
      <c r="K501" s="70">
        <v>6</v>
      </c>
      <c r="L501" s="70">
        <v>20</v>
      </c>
      <c r="M501" s="6">
        <v>0</v>
      </c>
      <c r="N501">
        <v>480</v>
      </c>
      <c r="O501" s="6">
        <v>0</v>
      </c>
      <c r="P501" s="6">
        <v>0</v>
      </c>
      <c r="Q501" s="70">
        <v>0</v>
      </c>
      <c r="R501" s="70">
        <v>0</v>
      </c>
      <c r="S501" s="70">
        <v>0</v>
      </c>
      <c r="T501" s="70">
        <v>0</v>
      </c>
      <c r="U501" s="70">
        <v>0</v>
      </c>
      <c r="V501" s="70">
        <v>6</v>
      </c>
      <c r="W501" s="70">
        <v>0</v>
      </c>
      <c r="X501" s="70">
        <v>0</v>
      </c>
      <c r="Y501" s="70">
        <v>0</v>
      </c>
      <c r="Z501" s="70">
        <v>0</v>
      </c>
      <c r="AA501" s="70">
        <v>0</v>
      </c>
      <c r="AB501" s="70">
        <v>0</v>
      </c>
      <c r="AC501" s="75">
        <v>0</v>
      </c>
      <c r="AD501" s="75">
        <v>24</v>
      </c>
      <c r="AE501" s="75">
        <v>0</v>
      </c>
      <c r="AF501" s="75">
        <v>0</v>
      </c>
      <c r="AG501" s="75">
        <v>0</v>
      </c>
      <c r="AH501" s="75">
        <v>0</v>
      </c>
      <c r="AI501" s="75">
        <v>6.0000000000000001E-3</v>
      </c>
      <c r="AJ501" s="75">
        <v>0</v>
      </c>
      <c r="AK501" s="75" t="s">
        <v>713</v>
      </c>
      <c r="AL501" s="70">
        <v>1</v>
      </c>
      <c r="AM501" s="41">
        <f>INDEX(Sheet5!$B$19:$G$33,MATCH(Sheet1!AQ501,Sheet5!$A$19:$A$33,0),MATCH(J501,Sheet5!$B$18:$G$18,0))</f>
        <v>600</v>
      </c>
      <c r="AN501" s="70" t="s">
        <v>48</v>
      </c>
      <c r="AO501" s="70" t="s">
        <v>726</v>
      </c>
      <c r="AP501" s="70">
        <v>20221</v>
      </c>
      <c r="AQ501" s="13">
        <v>30</v>
      </c>
    </row>
    <row r="502" spans="1:43" ht="16.5">
      <c r="A502" s="70">
        <v>2564</v>
      </c>
      <c r="B502" s="71" t="s">
        <v>2153</v>
      </c>
      <c r="C502" s="71" t="s">
        <v>694</v>
      </c>
      <c r="D502" s="72" t="s">
        <v>106</v>
      </c>
      <c r="E502" s="73">
        <v>11002</v>
      </c>
      <c r="F502" s="74">
        <v>2000</v>
      </c>
      <c r="G502" s="70">
        <v>300</v>
      </c>
      <c r="H502" s="70">
        <v>50</v>
      </c>
      <c r="I502" s="72" t="s">
        <v>719</v>
      </c>
      <c r="J502" s="70">
        <v>2</v>
      </c>
      <c r="K502" s="70">
        <v>6</v>
      </c>
      <c r="L502" s="70">
        <v>20</v>
      </c>
      <c r="M502" s="6">
        <v>0</v>
      </c>
      <c r="N502">
        <v>640</v>
      </c>
      <c r="O502" s="6">
        <v>0</v>
      </c>
      <c r="P502" s="6">
        <v>0</v>
      </c>
      <c r="Q502" s="70">
        <v>0</v>
      </c>
      <c r="R502" s="70">
        <v>0</v>
      </c>
      <c r="S502" s="70">
        <v>0</v>
      </c>
      <c r="T502" s="70">
        <v>0</v>
      </c>
      <c r="U502" s="70">
        <v>0</v>
      </c>
      <c r="V502" s="70">
        <v>6</v>
      </c>
      <c r="W502" s="70">
        <v>0</v>
      </c>
      <c r="X502" s="70">
        <v>0</v>
      </c>
      <c r="Y502" s="70">
        <v>0</v>
      </c>
      <c r="Z502" s="70">
        <v>0</v>
      </c>
      <c r="AA502" s="70">
        <v>0</v>
      </c>
      <c r="AB502" s="70">
        <v>0</v>
      </c>
      <c r="AC502" s="75">
        <v>0</v>
      </c>
      <c r="AD502" s="75">
        <v>24</v>
      </c>
      <c r="AE502" s="75">
        <v>0</v>
      </c>
      <c r="AF502" s="75">
        <v>0</v>
      </c>
      <c r="AG502" s="75">
        <v>0</v>
      </c>
      <c r="AH502" s="75">
        <v>0</v>
      </c>
      <c r="AI502" s="75">
        <v>6.0000000000000001E-3</v>
      </c>
      <c r="AJ502" s="75">
        <v>0</v>
      </c>
      <c r="AK502" s="75" t="s">
        <v>713</v>
      </c>
      <c r="AL502" s="70">
        <v>1</v>
      </c>
      <c r="AM502" s="41">
        <f>INDEX(Sheet5!$B$19:$G$33,MATCH(Sheet1!AQ502,Sheet5!$A$19:$A$33,0),MATCH(J502,Sheet5!$B$18:$G$18,0))</f>
        <v>800</v>
      </c>
      <c r="AN502" s="70" t="s">
        <v>48</v>
      </c>
      <c r="AO502" s="70" t="s">
        <v>726</v>
      </c>
      <c r="AP502" s="70">
        <v>20222</v>
      </c>
      <c r="AQ502" s="13">
        <v>40</v>
      </c>
    </row>
    <row r="503" spans="1:43" ht="16.5">
      <c r="A503" s="70">
        <v>2565</v>
      </c>
      <c r="B503" s="71" t="s">
        <v>2154</v>
      </c>
      <c r="C503" s="71" t="s">
        <v>694</v>
      </c>
      <c r="D503" s="72" t="s">
        <v>106</v>
      </c>
      <c r="E503" s="73">
        <v>11002</v>
      </c>
      <c r="F503" s="74">
        <v>2000</v>
      </c>
      <c r="G503" s="70">
        <v>300</v>
      </c>
      <c r="H503" s="70">
        <v>50</v>
      </c>
      <c r="I503" s="72" t="s">
        <v>719</v>
      </c>
      <c r="J503" s="70">
        <v>2</v>
      </c>
      <c r="K503" s="70">
        <v>6</v>
      </c>
      <c r="L503" s="70">
        <v>20</v>
      </c>
      <c r="M503" s="6">
        <v>0</v>
      </c>
      <c r="N503">
        <v>800</v>
      </c>
      <c r="O503" s="6">
        <v>0</v>
      </c>
      <c r="P503" s="6">
        <v>0</v>
      </c>
      <c r="Q503" s="70">
        <v>0</v>
      </c>
      <c r="R503" s="70">
        <v>0</v>
      </c>
      <c r="S503" s="70">
        <v>0</v>
      </c>
      <c r="T503" s="70">
        <v>0</v>
      </c>
      <c r="U503" s="70">
        <v>0</v>
      </c>
      <c r="V503" s="70">
        <v>6</v>
      </c>
      <c r="W503" s="70">
        <v>0</v>
      </c>
      <c r="X503" s="70">
        <v>0</v>
      </c>
      <c r="Y503" s="70">
        <v>0</v>
      </c>
      <c r="Z503" s="70">
        <v>0</v>
      </c>
      <c r="AA503" s="70">
        <v>0</v>
      </c>
      <c r="AB503" s="70">
        <v>0</v>
      </c>
      <c r="AC503" s="75">
        <v>0</v>
      </c>
      <c r="AD503" s="75">
        <v>24</v>
      </c>
      <c r="AE503" s="75">
        <v>0</v>
      </c>
      <c r="AF503" s="75">
        <v>0</v>
      </c>
      <c r="AG503" s="75">
        <v>0</v>
      </c>
      <c r="AH503" s="75">
        <v>0</v>
      </c>
      <c r="AI503" s="75">
        <v>6.0000000000000001E-3</v>
      </c>
      <c r="AJ503" s="75">
        <v>0</v>
      </c>
      <c r="AK503" s="75" t="s">
        <v>713</v>
      </c>
      <c r="AL503" s="70">
        <v>1</v>
      </c>
      <c r="AM503" s="41">
        <f>INDEX(Sheet5!$B$19:$G$33,MATCH(Sheet1!AQ503,Sheet5!$A$19:$A$33,0),MATCH(J503,Sheet5!$B$18:$G$18,0))</f>
        <v>1000</v>
      </c>
      <c r="AN503" s="70" t="s">
        <v>48</v>
      </c>
      <c r="AO503" s="70" t="s">
        <v>726</v>
      </c>
      <c r="AP503" s="70">
        <v>20223</v>
      </c>
      <c r="AQ503" s="13">
        <v>50</v>
      </c>
    </row>
    <row r="504" spans="1:43" ht="16.5">
      <c r="A504" s="70">
        <v>2566</v>
      </c>
      <c r="B504" s="71" t="s">
        <v>2155</v>
      </c>
      <c r="C504" s="71" t="s">
        <v>694</v>
      </c>
      <c r="D504" s="72" t="s">
        <v>106</v>
      </c>
      <c r="E504" s="73">
        <v>11002</v>
      </c>
      <c r="F504" s="74">
        <v>2000</v>
      </c>
      <c r="G504" s="70">
        <v>300</v>
      </c>
      <c r="H504" s="70">
        <v>50</v>
      </c>
      <c r="I504" s="72" t="s">
        <v>719</v>
      </c>
      <c r="J504" s="70">
        <v>2</v>
      </c>
      <c r="K504" s="70">
        <v>6</v>
      </c>
      <c r="L504" s="70">
        <v>20</v>
      </c>
      <c r="M504" s="6">
        <v>0</v>
      </c>
      <c r="N504">
        <v>960</v>
      </c>
      <c r="O504" s="6">
        <v>0</v>
      </c>
      <c r="P504" s="6">
        <v>0</v>
      </c>
      <c r="Q504" s="70">
        <v>0</v>
      </c>
      <c r="R504" s="70">
        <v>0</v>
      </c>
      <c r="S504" s="70">
        <v>0</v>
      </c>
      <c r="T504" s="70">
        <v>0</v>
      </c>
      <c r="U504" s="70">
        <v>0</v>
      </c>
      <c r="V504" s="70">
        <v>6</v>
      </c>
      <c r="W504" s="70">
        <v>0</v>
      </c>
      <c r="X504" s="70">
        <v>0</v>
      </c>
      <c r="Y504" s="70">
        <v>0</v>
      </c>
      <c r="Z504" s="70">
        <v>0</v>
      </c>
      <c r="AA504" s="70">
        <v>0</v>
      </c>
      <c r="AB504" s="70">
        <v>0</v>
      </c>
      <c r="AC504" s="75">
        <v>0</v>
      </c>
      <c r="AD504" s="75">
        <v>24</v>
      </c>
      <c r="AE504" s="75">
        <v>0</v>
      </c>
      <c r="AF504" s="75">
        <v>0</v>
      </c>
      <c r="AG504" s="75">
        <v>0</v>
      </c>
      <c r="AH504" s="75">
        <v>0</v>
      </c>
      <c r="AI504" s="75">
        <v>6.0000000000000001E-3</v>
      </c>
      <c r="AJ504" s="75">
        <v>0</v>
      </c>
      <c r="AK504" s="75" t="s">
        <v>713</v>
      </c>
      <c r="AL504" s="70">
        <v>1</v>
      </c>
      <c r="AM504" s="41">
        <f>INDEX(Sheet5!$B$19:$G$33,MATCH(Sheet1!AQ504,Sheet5!$A$19:$A$33,0),MATCH(J504,Sheet5!$B$18:$G$18,0))</f>
        <v>1200</v>
      </c>
      <c r="AN504" s="70" t="s">
        <v>48</v>
      </c>
      <c r="AO504" s="70" t="s">
        <v>726</v>
      </c>
      <c r="AP504" s="70">
        <v>20224</v>
      </c>
      <c r="AQ504" s="13">
        <v>60</v>
      </c>
    </row>
    <row r="505" spans="1:43" ht="16.5">
      <c r="A505" s="70">
        <v>2567</v>
      </c>
      <c r="B505" s="71" t="s">
        <v>2156</v>
      </c>
      <c r="C505" s="71" t="s">
        <v>694</v>
      </c>
      <c r="D505" s="72" t="s">
        <v>106</v>
      </c>
      <c r="E505" s="73">
        <v>11002</v>
      </c>
      <c r="F505" s="74">
        <v>2000</v>
      </c>
      <c r="G505" s="70">
        <v>300</v>
      </c>
      <c r="H505" s="70">
        <v>50</v>
      </c>
      <c r="I505" s="72" t="s">
        <v>719</v>
      </c>
      <c r="J505" s="70">
        <v>2</v>
      </c>
      <c r="K505" s="70">
        <v>6</v>
      </c>
      <c r="L505" s="70">
        <v>20</v>
      </c>
      <c r="M505" s="6">
        <v>0</v>
      </c>
      <c r="N505">
        <v>1120</v>
      </c>
      <c r="O505" s="6">
        <v>0</v>
      </c>
      <c r="P505" s="6">
        <v>0</v>
      </c>
      <c r="Q505" s="70">
        <v>0</v>
      </c>
      <c r="R505" s="70">
        <v>0</v>
      </c>
      <c r="S505" s="70">
        <v>0</v>
      </c>
      <c r="T505" s="70">
        <v>0</v>
      </c>
      <c r="U505" s="70">
        <v>0</v>
      </c>
      <c r="V505" s="70">
        <v>6</v>
      </c>
      <c r="W505" s="70">
        <v>0</v>
      </c>
      <c r="X505" s="70">
        <v>0</v>
      </c>
      <c r="Y505" s="70">
        <v>0</v>
      </c>
      <c r="Z505" s="70">
        <v>0</v>
      </c>
      <c r="AA505" s="70">
        <v>0</v>
      </c>
      <c r="AB505" s="70">
        <v>0</v>
      </c>
      <c r="AC505" s="75">
        <v>0</v>
      </c>
      <c r="AD505" s="75">
        <v>24</v>
      </c>
      <c r="AE505" s="75">
        <v>0</v>
      </c>
      <c r="AF505" s="75">
        <v>0</v>
      </c>
      <c r="AG505" s="75">
        <v>0</v>
      </c>
      <c r="AH505" s="75">
        <v>0</v>
      </c>
      <c r="AI505" s="75">
        <v>6.0000000000000001E-3</v>
      </c>
      <c r="AJ505" s="75">
        <v>0</v>
      </c>
      <c r="AK505" s="75" t="s">
        <v>713</v>
      </c>
      <c r="AL505" s="70">
        <v>1</v>
      </c>
      <c r="AM505" s="41">
        <f>INDEX(Sheet5!$B$19:$G$33,MATCH(Sheet1!AQ505,Sheet5!$A$19:$A$33,0),MATCH(J505,Sheet5!$B$18:$G$18,0))</f>
        <v>1400</v>
      </c>
      <c r="AN505" s="70" t="s">
        <v>48</v>
      </c>
      <c r="AO505" s="70" t="s">
        <v>726</v>
      </c>
      <c r="AP505" s="70">
        <v>20225</v>
      </c>
      <c r="AQ505" s="13">
        <v>70</v>
      </c>
    </row>
    <row r="506" spans="1:43" ht="16.5">
      <c r="A506" s="70">
        <v>2568</v>
      </c>
      <c r="B506" s="71" t="s">
        <v>2157</v>
      </c>
      <c r="C506" s="71" t="s">
        <v>694</v>
      </c>
      <c r="D506" s="72" t="s">
        <v>106</v>
      </c>
      <c r="E506" s="73">
        <v>11002</v>
      </c>
      <c r="F506" s="74">
        <v>2000</v>
      </c>
      <c r="G506" s="70">
        <v>300</v>
      </c>
      <c r="H506" s="70">
        <v>50</v>
      </c>
      <c r="I506" s="72" t="s">
        <v>719</v>
      </c>
      <c r="J506" s="70">
        <v>2</v>
      </c>
      <c r="K506" s="70">
        <v>6</v>
      </c>
      <c r="L506" s="70">
        <v>20</v>
      </c>
      <c r="M506" s="6">
        <v>0</v>
      </c>
      <c r="N506">
        <v>1280</v>
      </c>
      <c r="O506" s="6">
        <v>0</v>
      </c>
      <c r="P506" s="6">
        <v>0</v>
      </c>
      <c r="Q506" s="70">
        <v>0</v>
      </c>
      <c r="R506" s="70">
        <v>0</v>
      </c>
      <c r="S506" s="70">
        <v>0</v>
      </c>
      <c r="T506" s="70">
        <v>0</v>
      </c>
      <c r="U506" s="70">
        <v>0</v>
      </c>
      <c r="V506" s="70">
        <v>6</v>
      </c>
      <c r="W506" s="70">
        <v>0</v>
      </c>
      <c r="X506" s="70">
        <v>0</v>
      </c>
      <c r="Y506" s="70">
        <v>0</v>
      </c>
      <c r="Z506" s="70">
        <v>0</v>
      </c>
      <c r="AA506" s="70">
        <v>0</v>
      </c>
      <c r="AB506" s="70">
        <v>0</v>
      </c>
      <c r="AC506" s="75">
        <v>0</v>
      </c>
      <c r="AD506" s="75">
        <v>24</v>
      </c>
      <c r="AE506" s="75">
        <v>0</v>
      </c>
      <c r="AF506" s="75">
        <v>0</v>
      </c>
      <c r="AG506" s="75">
        <v>0</v>
      </c>
      <c r="AH506" s="75">
        <v>0</v>
      </c>
      <c r="AI506" s="75">
        <v>6.0000000000000001E-3</v>
      </c>
      <c r="AJ506" s="75">
        <v>0</v>
      </c>
      <c r="AK506" s="75" t="s">
        <v>713</v>
      </c>
      <c r="AL506" s="70">
        <v>1</v>
      </c>
      <c r="AM506" s="41">
        <f>INDEX(Sheet5!$B$19:$G$33,MATCH(Sheet1!AQ506,Sheet5!$A$19:$A$33,0),MATCH(J506,Sheet5!$B$18:$G$18,0))</f>
        <v>1600</v>
      </c>
      <c r="AN506" s="70" t="s">
        <v>48</v>
      </c>
      <c r="AO506" s="70" t="s">
        <v>726</v>
      </c>
      <c r="AP506" s="70">
        <v>20226</v>
      </c>
      <c r="AQ506" s="13">
        <v>80</v>
      </c>
    </row>
    <row r="507" spans="1:43" ht="16.5">
      <c r="A507" s="70">
        <v>2569</v>
      </c>
      <c r="B507" s="71" t="s">
        <v>2158</v>
      </c>
      <c r="C507" s="71" t="s">
        <v>694</v>
      </c>
      <c r="D507" s="72" t="s">
        <v>106</v>
      </c>
      <c r="E507" s="73">
        <v>11002</v>
      </c>
      <c r="F507" s="74">
        <v>2000</v>
      </c>
      <c r="G507" s="70">
        <v>300</v>
      </c>
      <c r="H507" s="70">
        <v>50</v>
      </c>
      <c r="I507" s="72" t="s">
        <v>719</v>
      </c>
      <c r="J507" s="70">
        <v>2</v>
      </c>
      <c r="K507" s="70">
        <v>6</v>
      </c>
      <c r="L507" s="70">
        <v>20</v>
      </c>
      <c r="M507" s="6">
        <v>0</v>
      </c>
      <c r="N507">
        <v>1440</v>
      </c>
      <c r="O507" s="6">
        <v>0</v>
      </c>
      <c r="P507" s="6">
        <v>0</v>
      </c>
      <c r="Q507" s="70">
        <v>0</v>
      </c>
      <c r="R507" s="70">
        <v>0</v>
      </c>
      <c r="S507" s="70">
        <v>0</v>
      </c>
      <c r="T507" s="70">
        <v>0</v>
      </c>
      <c r="U507" s="70">
        <v>0</v>
      </c>
      <c r="V507" s="70">
        <v>6</v>
      </c>
      <c r="W507" s="70">
        <v>0</v>
      </c>
      <c r="X507" s="70">
        <v>0</v>
      </c>
      <c r="Y507" s="70">
        <v>0</v>
      </c>
      <c r="Z507" s="70">
        <v>0</v>
      </c>
      <c r="AA507" s="70">
        <v>0</v>
      </c>
      <c r="AB507" s="70">
        <v>0</v>
      </c>
      <c r="AC507" s="75">
        <v>0</v>
      </c>
      <c r="AD507" s="75">
        <v>24</v>
      </c>
      <c r="AE507" s="75">
        <v>0</v>
      </c>
      <c r="AF507" s="75">
        <v>0</v>
      </c>
      <c r="AG507" s="75">
        <v>0</v>
      </c>
      <c r="AH507" s="75">
        <v>0</v>
      </c>
      <c r="AI507" s="75">
        <v>6.0000000000000001E-3</v>
      </c>
      <c r="AJ507" s="75">
        <v>0</v>
      </c>
      <c r="AK507" s="75" t="s">
        <v>713</v>
      </c>
      <c r="AL507" s="70">
        <v>1</v>
      </c>
      <c r="AM507" s="41">
        <f>INDEX(Sheet5!$B$19:$G$33,MATCH(Sheet1!AQ507,Sheet5!$A$19:$A$33,0),MATCH(J507,Sheet5!$B$18:$G$18,0))</f>
        <v>1800</v>
      </c>
      <c r="AN507" s="70" t="s">
        <v>48</v>
      </c>
      <c r="AO507" s="70" t="s">
        <v>726</v>
      </c>
      <c r="AP507" s="70">
        <v>20227</v>
      </c>
      <c r="AQ507" s="13">
        <v>90</v>
      </c>
    </row>
    <row r="508" spans="1:43" ht="16.5">
      <c r="A508" s="70">
        <v>2570</v>
      </c>
      <c r="B508" s="71" t="s">
        <v>2159</v>
      </c>
      <c r="C508" s="71" t="s">
        <v>694</v>
      </c>
      <c r="D508" s="72" t="s">
        <v>106</v>
      </c>
      <c r="E508" s="73">
        <v>11002</v>
      </c>
      <c r="F508" s="74">
        <v>2000</v>
      </c>
      <c r="G508" s="70">
        <v>300</v>
      </c>
      <c r="H508" s="70">
        <v>50</v>
      </c>
      <c r="I508" s="72" t="s">
        <v>719</v>
      </c>
      <c r="J508" s="70">
        <v>2</v>
      </c>
      <c r="K508" s="70">
        <v>6</v>
      </c>
      <c r="L508" s="70">
        <v>20</v>
      </c>
      <c r="M508" s="6">
        <v>0</v>
      </c>
      <c r="N508">
        <v>1600</v>
      </c>
      <c r="O508" s="6">
        <v>0</v>
      </c>
      <c r="P508" s="6">
        <v>0</v>
      </c>
      <c r="Q508" s="70">
        <v>0</v>
      </c>
      <c r="R508" s="70">
        <v>0</v>
      </c>
      <c r="S508" s="70">
        <v>0</v>
      </c>
      <c r="T508" s="70">
        <v>0</v>
      </c>
      <c r="U508" s="70">
        <v>0</v>
      </c>
      <c r="V508" s="70">
        <v>6</v>
      </c>
      <c r="W508" s="70">
        <v>0</v>
      </c>
      <c r="X508" s="70">
        <v>0</v>
      </c>
      <c r="Y508" s="70">
        <v>0</v>
      </c>
      <c r="Z508" s="70">
        <v>0</v>
      </c>
      <c r="AA508" s="70">
        <v>0</v>
      </c>
      <c r="AB508" s="70">
        <v>0</v>
      </c>
      <c r="AC508" s="75">
        <v>0</v>
      </c>
      <c r="AD508" s="75">
        <v>24</v>
      </c>
      <c r="AE508" s="75">
        <v>0</v>
      </c>
      <c r="AF508" s="75">
        <v>0</v>
      </c>
      <c r="AG508" s="75">
        <v>0</v>
      </c>
      <c r="AH508" s="75">
        <v>0</v>
      </c>
      <c r="AI508" s="75">
        <v>6.0000000000000001E-3</v>
      </c>
      <c r="AJ508" s="75">
        <v>0</v>
      </c>
      <c r="AK508" s="75" t="s">
        <v>713</v>
      </c>
      <c r="AL508" s="70">
        <v>1</v>
      </c>
      <c r="AM508" s="41">
        <f>INDEX(Sheet5!$B$19:$G$33,MATCH(Sheet1!AQ508,Sheet5!$A$19:$A$33,0),MATCH(J508,Sheet5!$B$18:$G$18,0))</f>
        <v>2000</v>
      </c>
      <c r="AN508" s="70" t="s">
        <v>48</v>
      </c>
      <c r="AO508" s="70" t="s">
        <v>726</v>
      </c>
      <c r="AP508" s="70">
        <v>20228</v>
      </c>
      <c r="AQ508" s="13">
        <v>100</v>
      </c>
    </row>
    <row r="509" spans="1:43" ht="16.5">
      <c r="A509" s="70">
        <v>2571</v>
      </c>
      <c r="B509" s="71" t="s">
        <v>2160</v>
      </c>
      <c r="C509" s="71" t="s">
        <v>694</v>
      </c>
      <c r="D509" s="72" t="s">
        <v>106</v>
      </c>
      <c r="E509" s="73">
        <v>11002</v>
      </c>
      <c r="F509" s="74">
        <v>2000</v>
      </c>
      <c r="G509" s="70">
        <v>300</v>
      </c>
      <c r="H509" s="70">
        <v>50</v>
      </c>
      <c r="I509" s="72" t="s">
        <v>719</v>
      </c>
      <c r="J509" s="70">
        <v>2</v>
      </c>
      <c r="K509" s="70">
        <v>6</v>
      </c>
      <c r="L509" s="70">
        <v>20</v>
      </c>
      <c r="M509" s="6">
        <v>0</v>
      </c>
      <c r="N509">
        <v>1760</v>
      </c>
      <c r="O509" s="6">
        <v>0</v>
      </c>
      <c r="P509" s="6">
        <v>0</v>
      </c>
      <c r="Q509" s="70">
        <v>0</v>
      </c>
      <c r="R509" s="70">
        <v>0</v>
      </c>
      <c r="S509" s="70">
        <v>0</v>
      </c>
      <c r="T509" s="70">
        <v>0</v>
      </c>
      <c r="U509" s="70">
        <v>0</v>
      </c>
      <c r="V509" s="70">
        <v>6</v>
      </c>
      <c r="W509" s="70">
        <v>0</v>
      </c>
      <c r="X509" s="70">
        <v>0</v>
      </c>
      <c r="Y509" s="70">
        <v>0</v>
      </c>
      <c r="Z509" s="70">
        <v>0</v>
      </c>
      <c r="AA509" s="70">
        <v>0</v>
      </c>
      <c r="AB509" s="70">
        <v>0</v>
      </c>
      <c r="AC509" s="75">
        <v>0</v>
      </c>
      <c r="AD509" s="75">
        <v>24</v>
      </c>
      <c r="AE509" s="75">
        <v>0</v>
      </c>
      <c r="AF509" s="75">
        <v>0</v>
      </c>
      <c r="AG509" s="75">
        <v>0</v>
      </c>
      <c r="AH509" s="75">
        <v>0</v>
      </c>
      <c r="AI509" s="75">
        <v>6.0000000000000001E-3</v>
      </c>
      <c r="AJ509" s="75">
        <v>0</v>
      </c>
      <c r="AK509" s="75" t="s">
        <v>713</v>
      </c>
      <c r="AL509" s="70">
        <v>1</v>
      </c>
      <c r="AM509" s="41">
        <f>INDEX(Sheet5!$B$19:$G$33,MATCH(Sheet1!AQ509,Sheet5!$A$19:$A$33,0),MATCH(J509,Sheet5!$B$18:$G$18,0))</f>
        <v>2200</v>
      </c>
      <c r="AN509" s="70" t="s">
        <v>48</v>
      </c>
      <c r="AO509" s="70" t="s">
        <v>726</v>
      </c>
      <c r="AP509" s="70">
        <v>20229</v>
      </c>
      <c r="AQ509" s="13">
        <v>110</v>
      </c>
    </row>
    <row r="510" spans="1:43" ht="16.5">
      <c r="A510" s="70">
        <v>2572</v>
      </c>
      <c r="B510" s="71" t="s">
        <v>2161</v>
      </c>
      <c r="C510" s="71" t="s">
        <v>694</v>
      </c>
      <c r="D510" s="72" t="s">
        <v>106</v>
      </c>
      <c r="E510" s="73">
        <v>11002</v>
      </c>
      <c r="F510" s="74">
        <v>2000</v>
      </c>
      <c r="G510" s="70">
        <v>300</v>
      </c>
      <c r="H510" s="70">
        <v>50</v>
      </c>
      <c r="I510" s="72" t="s">
        <v>719</v>
      </c>
      <c r="J510" s="70">
        <v>2</v>
      </c>
      <c r="K510" s="70">
        <v>6</v>
      </c>
      <c r="L510" s="70">
        <v>20</v>
      </c>
      <c r="M510" s="6">
        <v>0</v>
      </c>
      <c r="N510">
        <v>1920</v>
      </c>
      <c r="O510" s="6">
        <v>0</v>
      </c>
      <c r="P510" s="6">
        <v>0</v>
      </c>
      <c r="Q510" s="70">
        <v>0</v>
      </c>
      <c r="R510" s="70">
        <v>0</v>
      </c>
      <c r="S510" s="70">
        <v>0</v>
      </c>
      <c r="T510" s="70">
        <v>0</v>
      </c>
      <c r="U510" s="70">
        <v>0</v>
      </c>
      <c r="V510" s="70">
        <v>6</v>
      </c>
      <c r="W510" s="70">
        <v>0</v>
      </c>
      <c r="X510" s="70">
        <v>0</v>
      </c>
      <c r="Y510" s="70">
        <v>0</v>
      </c>
      <c r="Z510" s="70">
        <v>0</v>
      </c>
      <c r="AA510" s="70">
        <v>0</v>
      </c>
      <c r="AB510" s="70">
        <v>0</v>
      </c>
      <c r="AC510" s="75">
        <v>0</v>
      </c>
      <c r="AD510" s="75">
        <v>24</v>
      </c>
      <c r="AE510" s="75">
        <v>0</v>
      </c>
      <c r="AF510" s="75">
        <v>0</v>
      </c>
      <c r="AG510" s="75">
        <v>0</v>
      </c>
      <c r="AH510" s="75">
        <v>0</v>
      </c>
      <c r="AI510" s="75">
        <v>6.0000000000000001E-3</v>
      </c>
      <c r="AJ510" s="75">
        <v>0</v>
      </c>
      <c r="AK510" s="75" t="s">
        <v>713</v>
      </c>
      <c r="AL510" s="70">
        <v>1</v>
      </c>
      <c r="AM510" s="41">
        <f>INDEX(Sheet5!$B$19:$G$33,MATCH(Sheet1!AQ510,Sheet5!$A$19:$A$33,0),MATCH(J510,Sheet5!$B$18:$G$18,0))</f>
        <v>2400</v>
      </c>
      <c r="AN510" s="70" t="s">
        <v>48</v>
      </c>
      <c r="AO510" s="70" t="s">
        <v>726</v>
      </c>
      <c r="AP510" s="70">
        <v>20230</v>
      </c>
      <c r="AQ510" s="13">
        <v>120</v>
      </c>
    </row>
    <row r="511" spans="1:43" ht="16.5">
      <c r="A511" s="70">
        <v>2573</v>
      </c>
      <c r="B511" s="71" t="s">
        <v>2162</v>
      </c>
      <c r="C511" s="71" t="s">
        <v>694</v>
      </c>
      <c r="D511" s="72" t="s">
        <v>106</v>
      </c>
      <c r="E511" s="73">
        <v>11002</v>
      </c>
      <c r="F511" s="74">
        <v>2000</v>
      </c>
      <c r="G511" s="70">
        <v>300</v>
      </c>
      <c r="H511" s="70">
        <v>50</v>
      </c>
      <c r="I511" s="72" t="s">
        <v>719</v>
      </c>
      <c r="J511" s="70">
        <v>2</v>
      </c>
      <c r="K511" s="70">
        <v>6</v>
      </c>
      <c r="L511" s="70">
        <v>20</v>
      </c>
      <c r="M511" s="6">
        <v>0</v>
      </c>
      <c r="N511">
        <v>2080</v>
      </c>
      <c r="O511" s="6">
        <v>0</v>
      </c>
      <c r="P511" s="6">
        <v>0</v>
      </c>
      <c r="Q511" s="70">
        <v>0</v>
      </c>
      <c r="R511" s="70">
        <v>0</v>
      </c>
      <c r="S511" s="70">
        <v>0</v>
      </c>
      <c r="T511" s="70">
        <v>0</v>
      </c>
      <c r="U511" s="70">
        <v>0</v>
      </c>
      <c r="V511" s="70">
        <v>6</v>
      </c>
      <c r="W511" s="70">
        <v>0</v>
      </c>
      <c r="X511" s="70">
        <v>0</v>
      </c>
      <c r="Y511" s="70">
        <v>0</v>
      </c>
      <c r="Z511" s="70">
        <v>0</v>
      </c>
      <c r="AA511" s="70">
        <v>0</v>
      </c>
      <c r="AB511" s="70">
        <v>0</v>
      </c>
      <c r="AC511" s="75">
        <v>0</v>
      </c>
      <c r="AD511" s="75">
        <v>24</v>
      </c>
      <c r="AE511" s="75">
        <v>0</v>
      </c>
      <c r="AF511" s="75">
        <v>0</v>
      </c>
      <c r="AG511" s="75">
        <v>0</v>
      </c>
      <c r="AH511" s="75">
        <v>0</v>
      </c>
      <c r="AI511" s="75">
        <v>6.0000000000000001E-3</v>
      </c>
      <c r="AJ511" s="75">
        <v>0</v>
      </c>
      <c r="AK511" s="75" t="s">
        <v>713</v>
      </c>
      <c r="AL511" s="70">
        <v>1</v>
      </c>
      <c r="AM511" s="41">
        <f>INDEX(Sheet5!$B$19:$G$33,MATCH(Sheet1!AQ511,Sheet5!$A$19:$A$33,0),MATCH(J511,Sheet5!$B$18:$G$18,0))</f>
        <v>2600</v>
      </c>
      <c r="AN511" s="70" t="s">
        <v>48</v>
      </c>
      <c r="AO511" s="70" t="s">
        <v>726</v>
      </c>
      <c r="AP511" s="70">
        <v>202311</v>
      </c>
      <c r="AQ511" s="13">
        <v>130</v>
      </c>
    </row>
    <row r="512" spans="1:43" ht="16.5">
      <c r="A512" s="70">
        <v>2574</v>
      </c>
      <c r="B512" s="71" t="s">
        <v>2163</v>
      </c>
      <c r="C512" s="71" t="s">
        <v>694</v>
      </c>
      <c r="D512" s="72" t="s">
        <v>106</v>
      </c>
      <c r="E512" s="73">
        <v>11002</v>
      </c>
      <c r="F512" s="74">
        <v>2000</v>
      </c>
      <c r="G512" s="70">
        <v>300</v>
      </c>
      <c r="H512" s="70">
        <v>50</v>
      </c>
      <c r="I512" s="72" t="s">
        <v>719</v>
      </c>
      <c r="J512" s="70">
        <v>2</v>
      </c>
      <c r="K512" s="70">
        <v>6</v>
      </c>
      <c r="L512" s="70">
        <v>20</v>
      </c>
      <c r="M512" s="6">
        <v>0</v>
      </c>
      <c r="N512">
        <v>2240</v>
      </c>
      <c r="O512" s="6">
        <v>0</v>
      </c>
      <c r="P512" s="6">
        <v>0</v>
      </c>
      <c r="Q512" s="70">
        <v>0</v>
      </c>
      <c r="R512" s="70">
        <v>0</v>
      </c>
      <c r="S512" s="70">
        <v>0</v>
      </c>
      <c r="T512" s="70">
        <v>0</v>
      </c>
      <c r="U512" s="70">
        <v>0</v>
      </c>
      <c r="V512" s="70">
        <v>6</v>
      </c>
      <c r="W512" s="70">
        <v>0</v>
      </c>
      <c r="X512" s="70">
        <v>0</v>
      </c>
      <c r="Y512" s="70">
        <v>0</v>
      </c>
      <c r="Z512" s="70">
        <v>0</v>
      </c>
      <c r="AA512" s="70">
        <v>0</v>
      </c>
      <c r="AB512" s="70">
        <v>0</v>
      </c>
      <c r="AC512" s="75">
        <v>0</v>
      </c>
      <c r="AD512" s="75">
        <v>24</v>
      </c>
      <c r="AE512" s="75">
        <v>0</v>
      </c>
      <c r="AF512" s="75">
        <v>0</v>
      </c>
      <c r="AG512" s="75">
        <v>0</v>
      </c>
      <c r="AH512" s="75">
        <v>0</v>
      </c>
      <c r="AI512" s="75">
        <v>6.0000000000000001E-3</v>
      </c>
      <c r="AJ512" s="75">
        <v>0</v>
      </c>
      <c r="AK512" s="75" t="s">
        <v>713</v>
      </c>
      <c r="AL512" s="70">
        <v>1</v>
      </c>
      <c r="AM512" s="41">
        <f>INDEX(Sheet5!$B$19:$G$33,MATCH(Sheet1!AQ512,Sheet5!$A$19:$A$33,0),MATCH(J512,Sheet5!$B$18:$G$18,0))</f>
        <v>2800</v>
      </c>
      <c r="AN512" s="70" t="s">
        <v>48</v>
      </c>
      <c r="AO512" s="70" t="s">
        <v>726</v>
      </c>
      <c r="AP512" s="70">
        <v>202312</v>
      </c>
      <c r="AQ512" s="13">
        <v>140</v>
      </c>
    </row>
    <row r="513" spans="1:43" ht="16.5">
      <c r="A513" s="70">
        <v>2575</v>
      </c>
      <c r="B513" s="71" t="s">
        <v>2164</v>
      </c>
      <c r="C513" s="71" t="s">
        <v>694</v>
      </c>
      <c r="D513" s="72" t="s">
        <v>106</v>
      </c>
      <c r="E513" s="73">
        <v>11002</v>
      </c>
      <c r="F513" s="74">
        <v>2000</v>
      </c>
      <c r="G513" s="70">
        <v>300</v>
      </c>
      <c r="H513" s="70">
        <v>50</v>
      </c>
      <c r="I513" s="72" t="s">
        <v>719</v>
      </c>
      <c r="J513" s="70">
        <v>2</v>
      </c>
      <c r="K513" s="70">
        <v>6</v>
      </c>
      <c r="L513" s="70">
        <v>20</v>
      </c>
      <c r="M513" s="6">
        <v>0</v>
      </c>
      <c r="N513">
        <v>2400</v>
      </c>
      <c r="O513" s="6">
        <v>0</v>
      </c>
      <c r="P513" s="6">
        <v>0</v>
      </c>
      <c r="Q513" s="70">
        <v>0</v>
      </c>
      <c r="R513" s="70">
        <v>0</v>
      </c>
      <c r="S513" s="70">
        <v>0</v>
      </c>
      <c r="T513" s="70">
        <v>0</v>
      </c>
      <c r="U513" s="70">
        <v>0</v>
      </c>
      <c r="V513" s="70">
        <v>6</v>
      </c>
      <c r="W513" s="70">
        <v>0</v>
      </c>
      <c r="X513" s="70">
        <v>0</v>
      </c>
      <c r="Y513" s="70">
        <v>0</v>
      </c>
      <c r="Z513" s="70">
        <v>0</v>
      </c>
      <c r="AA513" s="70">
        <v>0</v>
      </c>
      <c r="AB513" s="70">
        <v>0</v>
      </c>
      <c r="AC513" s="75">
        <v>0</v>
      </c>
      <c r="AD513" s="75">
        <v>24</v>
      </c>
      <c r="AE513" s="75">
        <v>0</v>
      </c>
      <c r="AF513" s="75">
        <v>0</v>
      </c>
      <c r="AG513" s="75">
        <v>0</v>
      </c>
      <c r="AH513" s="75">
        <v>0</v>
      </c>
      <c r="AI513" s="75">
        <v>6.0000000000000001E-3</v>
      </c>
      <c r="AJ513" s="75">
        <v>0</v>
      </c>
      <c r="AK513" s="75" t="s">
        <v>713</v>
      </c>
      <c r="AL513" s="70">
        <v>1</v>
      </c>
      <c r="AM513" s="41">
        <f>INDEX(Sheet5!$B$19:$G$33,MATCH(Sheet1!AQ513,Sheet5!$A$19:$A$33,0),MATCH(J513,Sheet5!$B$18:$G$18,0))</f>
        <v>3000</v>
      </c>
      <c r="AN513" s="70" t="s">
        <v>48</v>
      </c>
      <c r="AO513" s="70" t="s">
        <v>726</v>
      </c>
      <c r="AP513" s="70">
        <v>202313</v>
      </c>
      <c r="AQ513" s="13">
        <v>150</v>
      </c>
    </row>
    <row r="514" spans="1:43" ht="16.5">
      <c r="A514" s="70">
        <v>2576</v>
      </c>
      <c r="B514" s="71" t="s">
        <v>2165</v>
      </c>
      <c r="C514" s="71" t="s">
        <v>162</v>
      </c>
      <c r="D514" s="72" t="s">
        <v>107</v>
      </c>
      <c r="E514" s="73">
        <v>11003</v>
      </c>
      <c r="F514" s="74">
        <v>2000</v>
      </c>
      <c r="G514" s="70">
        <v>300</v>
      </c>
      <c r="H514" s="70">
        <v>50</v>
      </c>
      <c r="I514" s="72" t="s">
        <v>720</v>
      </c>
      <c r="J514" s="70">
        <v>2</v>
      </c>
      <c r="K514" s="70">
        <v>6</v>
      </c>
      <c r="L514" s="70">
        <v>20</v>
      </c>
      <c r="M514">
        <v>400</v>
      </c>
      <c r="N514" s="6">
        <v>0</v>
      </c>
      <c r="O514" s="6">
        <v>0</v>
      </c>
      <c r="P514" s="6">
        <v>0</v>
      </c>
      <c r="Q514" s="70">
        <v>0</v>
      </c>
      <c r="R514" s="70">
        <v>0</v>
      </c>
      <c r="S514" s="70">
        <v>0</v>
      </c>
      <c r="T514" s="70">
        <v>0</v>
      </c>
      <c r="U514" s="70">
        <v>150</v>
      </c>
      <c r="V514" s="70">
        <v>0</v>
      </c>
      <c r="W514" s="70">
        <v>0</v>
      </c>
      <c r="X514" s="70">
        <v>0</v>
      </c>
      <c r="Y514" s="70">
        <v>0</v>
      </c>
      <c r="Z514" s="70">
        <v>0</v>
      </c>
      <c r="AA514" s="70">
        <v>0</v>
      </c>
      <c r="AB514" s="70">
        <v>0</v>
      </c>
      <c r="AC514" s="75">
        <v>600</v>
      </c>
      <c r="AD514" s="75">
        <v>0</v>
      </c>
      <c r="AE514" s="75">
        <v>0</v>
      </c>
      <c r="AF514" s="75">
        <v>0</v>
      </c>
      <c r="AG514" s="75">
        <v>3.0000000000000001E-3</v>
      </c>
      <c r="AH514" s="75">
        <v>0</v>
      </c>
      <c r="AI514" s="75">
        <v>0</v>
      </c>
      <c r="AJ514" s="75">
        <v>0</v>
      </c>
      <c r="AK514" s="75" t="s">
        <v>713</v>
      </c>
      <c r="AL514" s="70">
        <v>3</v>
      </c>
      <c r="AM514" s="41">
        <f>INDEX(Sheet5!$B$19:$G$33,MATCH(Sheet1!AQ514,Sheet5!$A$19:$A$33,0),MATCH(J514,Sheet5!$B$18:$G$18,0))</f>
        <v>200</v>
      </c>
      <c r="AN514" s="70" t="s">
        <v>63</v>
      </c>
      <c r="AO514" s="70" t="s">
        <v>727</v>
      </c>
      <c r="AP514" s="70">
        <v>23</v>
      </c>
      <c r="AQ514" s="13">
        <v>10</v>
      </c>
    </row>
    <row r="515" spans="1:43" s="102" customFormat="1" ht="16.5">
      <c r="A515" s="103">
        <v>2023</v>
      </c>
      <c r="B515" s="103" t="s">
        <v>2166</v>
      </c>
      <c r="C515" s="103" t="s">
        <v>162</v>
      </c>
      <c r="D515" s="103" t="s">
        <v>107</v>
      </c>
      <c r="E515" s="104">
        <v>11003</v>
      </c>
      <c r="F515" s="103">
        <v>2000</v>
      </c>
      <c r="G515" s="103">
        <v>300</v>
      </c>
      <c r="H515" s="103">
        <v>50</v>
      </c>
      <c r="I515" s="103" t="s">
        <v>720</v>
      </c>
      <c r="J515" s="103">
        <v>2</v>
      </c>
      <c r="K515" s="103">
        <v>6</v>
      </c>
      <c r="L515" s="103">
        <v>20</v>
      </c>
      <c r="M515">
        <v>800</v>
      </c>
      <c r="N515" s="100">
        <v>0</v>
      </c>
      <c r="O515" s="100">
        <v>0</v>
      </c>
      <c r="P515" s="100">
        <v>0</v>
      </c>
      <c r="Q515" s="103">
        <v>0</v>
      </c>
      <c r="R515" s="103">
        <v>0</v>
      </c>
      <c r="S515" s="103">
        <v>0</v>
      </c>
      <c r="T515" s="103">
        <v>0</v>
      </c>
      <c r="U515" s="103">
        <v>150</v>
      </c>
      <c r="V515" s="103">
        <v>0</v>
      </c>
      <c r="W515" s="103">
        <v>0</v>
      </c>
      <c r="X515" s="103">
        <v>0</v>
      </c>
      <c r="Y515" s="103">
        <v>0</v>
      </c>
      <c r="Z515" s="103">
        <v>0</v>
      </c>
      <c r="AA515" s="103">
        <v>0</v>
      </c>
      <c r="AB515" s="103">
        <v>0</v>
      </c>
      <c r="AC515" s="103">
        <v>600</v>
      </c>
      <c r="AD515" s="103">
        <v>0</v>
      </c>
      <c r="AE515" s="103">
        <v>0</v>
      </c>
      <c r="AF515" s="103">
        <v>0</v>
      </c>
      <c r="AG515" s="103">
        <v>3.0000000000000001E-3</v>
      </c>
      <c r="AH515" s="103">
        <v>0</v>
      </c>
      <c r="AI515" s="103">
        <v>0</v>
      </c>
      <c r="AJ515" s="103">
        <v>0</v>
      </c>
      <c r="AK515" s="103" t="s">
        <v>1487</v>
      </c>
      <c r="AL515" s="103">
        <v>3</v>
      </c>
      <c r="AM515" s="41">
        <f>INDEX(Sheet5!$B$19:$G$33,MATCH(Sheet1!AQ515,Sheet5!$A$19:$A$33,0),MATCH(J515,Sheet5!$B$18:$G$18,0))</f>
        <v>400</v>
      </c>
      <c r="AN515" s="103" t="s">
        <v>1487</v>
      </c>
      <c r="AO515" s="103" t="s">
        <v>727</v>
      </c>
      <c r="AP515" s="103">
        <v>2023</v>
      </c>
      <c r="AQ515" s="13">
        <v>20</v>
      </c>
    </row>
    <row r="516" spans="1:43" ht="16.5">
      <c r="A516" s="70">
        <v>2577</v>
      </c>
      <c r="B516" s="71" t="s">
        <v>2167</v>
      </c>
      <c r="C516" s="71" t="s">
        <v>162</v>
      </c>
      <c r="D516" s="72" t="s">
        <v>107</v>
      </c>
      <c r="E516" s="73">
        <v>11003</v>
      </c>
      <c r="F516" s="74">
        <v>2000</v>
      </c>
      <c r="G516" s="70">
        <v>300</v>
      </c>
      <c r="H516" s="70">
        <v>50</v>
      </c>
      <c r="I516" s="72" t="s">
        <v>720</v>
      </c>
      <c r="J516" s="70">
        <v>2</v>
      </c>
      <c r="K516" s="70">
        <v>6</v>
      </c>
      <c r="L516" s="70">
        <v>20</v>
      </c>
      <c r="M516">
        <v>1200</v>
      </c>
      <c r="N516" s="6">
        <v>0</v>
      </c>
      <c r="O516" s="6">
        <v>0</v>
      </c>
      <c r="P516" s="6">
        <v>0</v>
      </c>
      <c r="Q516" s="70">
        <v>0</v>
      </c>
      <c r="R516" s="70">
        <v>0</v>
      </c>
      <c r="S516" s="70">
        <v>0</v>
      </c>
      <c r="T516" s="70">
        <v>0</v>
      </c>
      <c r="U516" s="70">
        <v>150</v>
      </c>
      <c r="V516" s="70">
        <v>0</v>
      </c>
      <c r="W516" s="70">
        <v>0</v>
      </c>
      <c r="X516" s="70">
        <v>0</v>
      </c>
      <c r="Y516" s="70">
        <v>0</v>
      </c>
      <c r="Z516" s="70">
        <v>0</v>
      </c>
      <c r="AA516" s="70">
        <v>0</v>
      </c>
      <c r="AB516" s="70">
        <v>0</v>
      </c>
      <c r="AC516" s="75">
        <v>600</v>
      </c>
      <c r="AD516" s="75">
        <v>0</v>
      </c>
      <c r="AE516" s="75">
        <v>0</v>
      </c>
      <c r="AF516" s="75">
        <v>0</v>
      </c>
      <c r="AG516" s="75">
        <v>3.0000000000000001E-3</v>
      </c>
      <c r="AH516" s="75">
        <v>0</v>
      </c>
      <c r="AI516" s="75">
        <v>0</v>
      </c>
      <c r="AJ516" s="75">
        <v>0</v>
      </c>
      <c r="AK516" s="75" t="s">
        <v>713</v>
      </c>
      <c r="AL516" s="70">
        <v>3</v>
      </c>
      <c r="AM516" s="41">
        <f>INDEX(Sheet5!$B$19:$G$33,MATCH(Sheet1!AQ516,Sheet5!$A$19:$A$33,0),MATCH(J516,Sheet5!$B$18:$G$18,0))</f>
        <v>600</v>
      </c>
      <c r="AN516" s="70" t="s">
        <v>63</v>
      </c>
      <c r="AO516" s="70" t="s">
        <v>727</v>
      </c>
      <c r="AP516" s="70">
        <v>20231</v>
      </c>
      <c r="AQ516" s="13">
        <v>30</v>
      </c>
    </row>
    <row r="517" spans="1:43" ht="16.5">
      <c r="A517" s="70">
        <v>2578</v>
      </c>
      <c r="B517" s="71" t="s">
        <v>2168</v>
      </c>
      <c r="C517" s="71" t="s">
        <v>162</v>
      </c>
      <c r="D517" s="72" t="s">
        <v>107</v>
      </c>
      <c r="E517" s="73">
        <v>11003</v>
      </c>
      <c r="F517" s="74">
        <v>2000</v>
      </c>
      <c r="G517" s="70">
        <v>300</v>
      </c>
      <c r="H517" s="70">
        <v>50</v>
      </c>
      <c r="I517" s="72" t="s">
        <v>720</v>
      </c>
      <c r="J517" s="70">
        <v>2</v>
      </c>
      <c r="K517" s="70">
        <v>6</v>
      </c>
      <c r="L517" s="70">
        <v>20</v>
      </c>
      <c r="M517">
        <v>1600</v>
      </c>
      <c r="N517" s="6">
        <v>0</v>
      </c>
      <c r="O517" s="6">
        <v>0</v>
      </c>
      <c r="P517" s="6">
        <v>0</v>
      </c>
      <c r="Q517" s="70">
        <v>0</v>
      </c>
      <c r="R517" s="70">
        <v>0</v>
      </c>
      <c r="S517" s="70">
        <v>0</v>
      </c>
      <c r="T517" s="70">
        <v>0</v>
      </c>
      <c r="U517" s="70">
        <v>150</v>
      </c>
      <c r="V517" s="70">
        <v>0</v>
      </c>
      <c r="W517" s="70">
        <v>0</v>
      </c>
      <c r="X517" s="70">
        <v>0</v>
      </c>
      <c r="Y517" s="70">
        <v>0</v>
      </c>
      <c r="Z517" s="70">
        <v>0</v>
      </c>
      <c r="AA517" s="70">
        <v>0</v>
      </c>
      <c r="AB517" s="70">
        <v>0</v>
      </c>
      <c r="AC517" s="75">
        <v>600</v>
      </c>
      <c r="AD517" s="75">
        <v>0</v>
      </c>
      <c r="AE517" s="75">
        <v>0</v>
      </c>
      <c r="AF517" s="75">
        <v>0</v>
      </c>
      <c r="AG517" s="75">
        <v>3.0000000000000001E-3</v>
      </c>
      <c r="AH517" s="75">
        <v>0</v>
      </c>
      <c r="AI517" s="75">
        <v>0</v>
      </c>
      <c r="AJ517" s="75">
        <v>0</v>
      </c>
      <c r="AK517" s="75" t="s">
        <v>713</v>
      </c>
      <c r="AL517" s="70">
        <v>3</v>
      </c>
      <c r="AM517" s="41">
        <f>INDEX(Sheet5!$B$19:$G$33,MATCH(Sheet1!AQ517,Sheet5!$A$19:$A$33,0),MATCH(J517,Sheet5!$B$18:$G$18,0))</f>
        <v>800</v>
      </c>
      <c r="AN517" s="70" t="s">
        <v>63</v>
      </c>
      <c r="AO517" s="70" t="s">
        <v>727</v>
      </c>
      <c r="AP517" s="70">
        <v>20232</v>
      </c>
      <c r="AQ517" s="13">
        <v>40</v>
      </c>
    </row>
    <row r="518" spans="1:43" ht="16.5">
      <c r="A518" s="70">
        <v>2579</v>
      </c>
      <c r="B518" s="71" t="s">
        <v>2169</v>
      </c>
      <c r="C518" s="71" t="s">
        <v>162</v>
      </c>
      <c r="D518" s="72" t="s">
        <v>107</v>
      </c>
      <c r="E518" s="73">
        <v>11003</v>
      </c>
      <c r="F518" s="74">
        <v>2000</v>
      </c>
      <c r="G518" s="70">
        <v>300</v>
      </c>
      <c r="H518" s="70">
        <v>50</v>
      </c>
      <c r="I518" s="72" t="s">
        <v>720</v>
      </c>
      <c r="J518" s="70">
        <v>2</v>
      </c>
      <c r="K518" s="70">
        <v>6</v>
      </c>
      <c r="L518" s="70">
        <v>20</v>
      </c>
      <c r="M518">
        <v>2000</v>
      </c>
      <c r="N518" s="6">
        <v>0</v>
      </c>
      <c r="O518" s="6">
        <v>0</v>
      </c>
      <c r="P518" s="6">
        <v>0</v>
      </c>
      <c r="Q518" s="70">
        <v>0</v>
      </c>
      <c r="R518" s="70">
        <v>0</v>
      </c>
      <c r="S518" s="70">
        <v>0</v>
      </c>
      <c r="T518" s="70">
        <v>0</v>
      </c>
      <c r="U518" s="70">
        <v>150</v>
      </c>
      <c r="V518" s="70">
        <v>0</v>
      </c>
      <c r="W518" s="70">
        <v>0</v>
      </c>
      <c r="X518" s="70">
        <v>0</v>
      </c>
      <c r="Y518" s="70">
        <v>0</v>
      </c>
      <c r="Z518" s="70">
        <v>0</v>
      </c>
      <c r="AA518" s="70">
        <v>0</v>
      </c>
      <c r="AB518" s="70">
        <v>0</v>
      </c>
      <c r="AC518" s="75">
        <v>600</v>
      </c>
      <c r="AD518" s="75">
        <v>0</v>
      </c>
      <c r="AE518" s="75">
        <v>0</v>
      </c>
      <c r="AF518" s="75">
        <v>0</v>
      </c>
      <c r="AG518" s="75">
        <v>3.0000000000000001E-3</v>
      </c>
      <c r="AH518" s="75">
        <v>0</v>
      </c>
      <c r="AI518" s="75">
        <v>0</v>
      </c>
      <c r="AJ518" s="75">
        <v>0</v>
      </c>
      <c r="AK518" s="75" t="s">
        <v>713</v>
      </c>
      <c r="AL518" s="70">
        <v>3</v>
      </c>
      <c r="AM518" s="41">
        <f>INDEX(Sheet5!$B$19:$G$33,MATCH(Sheet1!AQ518,Sheet5!$A$19:$A$33,0),MATCH(J518,Sheet5!$B$18:$G$18,0))</f>
        <v>1000</v>
      </c>
      <c r="AN518" s="70" t="s">
        <v>63</v>
      </c>
      <c r="AO518" s="70" t="s">
        <v>727</v>
      </c>
      <c r="AP518" s="70">
        <v>20233</v>
      </c>
      <c r="AQ518" s="13">
        <v>50</v>
      </c>
    </row>
    <row r="519" spans="1:43" ht="16.5">
      <c r="A519" s="70">
        <v>2580</v>
      </c>
      <c r="B519" s="71" t="s">
        <v>2170</v>
      </c>
      <c r="C519" s="71" t="s">
        <v>162</v>
      </c>
      <c r="D519" s="72" t="s">
        <v>107</v>
      </c>
      <c r="E519" s="73">
        <v>11003</v>
      </c>
      <c r="F519" s="74">
        <v>2000</v>
      </c>
      <c r="G519" s="70">
        <v>300</v>
      </c>
      <c r="H519" s="70">
        <v>50</v>
      </c>
      <c r="I519" s="72" t="s">
        <v>720</v>
      </c>
      <c r="J519" s="70">
        <v>2</v>
      </c>
      <c r="K519" s="70">
        <v>6</v>
      </c>
      <c r="L519" s="70">
        <v>20</v>
      </c>
      <c r="M519">
        <v>2400</v>
      </c>
      <c r="N519" s="6">
        <v>0</v>
      </c>
      <c r="O519" s="6">
        <v>0</v>
      </c>
      <c r="P519" s="6">
        <v>0</v>
      </c>
      <c r="Q519" s="70">
        <v>0</v>
      </c>
      <c r="R519" s="70">
        <v>0</v>
      </c>
      <c r="S519" s="70">
        <v>0</v>
      </c>
      <c r="T519" s="70">
        <v>0</v>
      </c>
      <c r="U519" s="70">
        <v>150</v>
      </c>
      <c r="V519" s="70">
        <v>0</v>
      </c>
      <c r="W519" s="70">
        <v>0</v>
      </c>
      <c r="X519" s="70">
        <v>0</v>
      </c>
      <c r="Y519" s="70">
        <v>0</v>
      </c>
      <c r="Z519" s="70">
        <v>0</v>
      </c>
      <c r="AA519" s="70">
        <v>0</v>
      </c>
      <c r="AB519" s="70">
        <v>0</v>
      </c>
      <c r="AC519" s="75">
        <v>600</v>
      </c>
      <c r="AD519" s="75">
        <v>0</v>
      </c>
      <c r="AE519" s="75">
        <v>0</v>
      </c>
      <c r="AF519" s="75">
        <v>0</v>
      </c>
      <c r="AG519" s="75">
        <v>3.0000000000000001E-3</v>
      </c>
      <c r="AH519" s="75">
        <v>0</v>
      </c>
      <c r="AI519" s="75">
        <v>0</v>
      </c>
      <c r="AJ519" s="75">
        <v>0</v>
      </c>
      <c r="AK519" s="75" t="s">
        <v>713</v>
      </c>
      <c r="AL519" s="70">
        <v>3</v>
      </c>
      <c r="AM519" s="41">
        <f>INDEX(Sheet5!$B$19:$G$33,MATCH(Sheet1!AQ519,Sheet5!$A$19:$A$33,0),MATCH(J519,Sheet5!$B$18:$G$18,0))</f>
        <v>1200</v>
      </c>
      <c r="AN519" s="70" t="s">
        <v>63</v>
      </c>
      <c r="AO519" s="70" t="s">
        <v>727</v>
      </c>
      <c r="AP519" s="70">
        <v>20234</v>
      </c>
      <c r="AQ519" s="13">
        <v>60</v>
      </c>
    </row>
    <row r="520" spans="1:43" ht="16.5">
      <c r="A520" s="70">
        <v>2581</v>
      </c>
      <c r="B520" s="71" t="s">
        <v>2171</v>
      </c>
      <c r="C520" s="71" t="s">
        <v>162</v>
      </c>
      <c r="D520" s="72" t="s">
        <v>107</v>
      </c>
      <c r="E520" s="73">
        <v>11003</v>
      </c>
      <c r="F520" s="74">
        <v>2000</v>
      </c>
      <c r="G520" s="70">
        <v>300</v>
      </c>
      <c r="H520" s="70">
        <v>50</v>
      </c>
      <c r="I520" s="72" t="s">
        <v>720</v>
      </c>
      <c r="J520" s="70">
        <v>2</v>
      </c>
      <c r="K520" s="70">
        <v>6</v>
      </c>
      <c r="L520" s="70">
        <v>20</v>
      </c>
      <c r="M520">
        <v>2800</v>
      </c>
      <c r="N520" s="6">
        <v>0</v>
      </c>
      <c r="O520" s="6">
        <v>0</v>
      </c>
      <c r="P520" s="6">
        <v>0</v>
      </c>
      <c r="Q520" s="70">
        <v>0</v>
      </c>
      <c r="R520" s="70">
        <v>0</v>
      </c>
      <c r="S520" s="70">
        <v>0</v>
      </c>
      <c r="T520" s="70">
        <v>0</v>
      </c>
      <c r="U520" s="70">
        <v>150</v>
      </c>
      <c r="V520" s="70">
        <v>0</v>
      </c>
      <c r="W520" s="70">
        <v>0</v>
      </c>
      <c r="X520" s="70">
        <v>0</v>
      </c>
      <c r="Y520" s="70">
        <v>0</v>
      </c>
      <c r="Z520" s="70">
        <v>0</v>
      </c>
      <c r="AA520" s="70">
        <v>0</v>
      </c>
      <c r="AB520" s="70">
        <v>0</v>
      </c>
      <c r="AC520" s="75">
        <v>600</v>
      </c>
      <c r="AD520" s="75">
        <v>0</v>
      </c>
      <c r="AE520" s="75">
        <v>0</v>
      </c>
      <c r="AF520" s="75">
        <v>0</v>
      </c>
      <c r="AG520" s="75">
        <v>3.0000000000000001E-3</v>
      </c>
      <c r="AH520" s="75">
        <v>0</v>
      </c>
      <c r="AI520" s="75">
        <v>0</v>
      </c>
      <c r="AJ520" s="75">
        <v>0</v>
      </c>
      <c r="AK520" s="75" t="s">
        <v>713</v>
      </c>
      <c r="AL520" s="70">
        <v>3</v>
      </c>
      <c r="AM520" s="41">
        <f>INDEX(Sheet5!$B$19:$G$33,MATCH(Sheet1!AQ520,Sheet5!$A$19:$A$33,0),MATCH(J520,Sheet5!$B$18:$G$18,0))</f>
        <v>1400</v>
      </c>
      <c r="AN520" s="70" t="s">
        <v>63</v>
      </c>
      <c r="AO520" s="70" t="s">
        <v>727</v>
      </c>
      <c r="AP520" s="70">
        <v>20235</v>
      </c>
      <c r="AQ520" s="13">
        <v>70</v>
      </c>
    </row>
    <row r="521" spans="1:43" ht="16.5">
      <c r="A521" s="70">
        <v>2582</v>
      </c>
      <c r="B521" s="71" t="s">
        <v>2172</v>
      </c>
      <c r="C521" s="71" t="s">
        <v>162</v>
      </c>
      <c r="D521" s="72" t="s">
        <v>107</v>
      </c>
      <c r="E521" s="73">
        <v>11003</v>
      </c>
      <c r="F521" s="74">
        <v>2000</v>
      </c>
      <c r="G521" s="70">
        <v>300</v>
      </c>
      <c r="H521" s="70">
        <v>50</v>
      </c>
      <c r="I521" s="72" t="s">
        <v>720</v>
      </c>
      <c r="J521" s="70">
        <v>2</v>
      </c>
      <c r="K521" s="70">
        <v>6</v>
      </c>
      <c r="L521" s="70">
        <v>20</v>
      </c>
      <c r="M521">
        <v>3200</v>
      </c>
      <c r="N521" s="6">
        <v>0</v>
      </c>
      <c r="O521" s="6">
        <v>0</v>
      </c>
      <c r="P521" s="6">
        <v>0</v>
      </c>
      <c r="Q521" s="70">
        <v>0</v>
      </c>
      <c r="R521" s="70">
        <v>0</v>
      </c>
      <c r="S521" s="70">
        <v>0</v>
      </c>
      <c r="T521" s="70">
        <v>0</v>
      </c>
      <c r="U521" s="70">
        <v>150</v>
      </c>
      <c r="V521" s="70">
        <v>0</v>
      </c>
      <c r="W521" s="70">
        <v>0</v>
      </c>
      <c r="X521" s="70">
        <v>0</v>
      </c>
      <c r="Y521" s="70">
        <v>0</v>
      </c>
      <c r="Z521" s="70">
        <v>0</v>
      </c>
      <c r="AA521" s="70">
        <v>0</v>
      </c>
      <c r="AB521" s="70">
        <v>0</v>
      </c>
      <c r="AC521" s="75">
        <v>600</v>
      </c>
      <c r="AD521" s="75">
        <v>0</v>
      </c>
      <c r="AE521" s="75">
        <v>0</v>
      </c>
      <c r="AF521" s="75">
        <v>0</v>
      </c>
      <c r="AG521" s="75">
        <v>3.0000000000000001E-3</v>
      </c>
      <c r="AH521" s="75">
        <v>0</v>
      </c>
      <c r="AI521" s="75">
        <v>0</v>
      </c>
      <c r="AJ521" s="75">
        <v>0</v>
      </c>
      <c r="AK521" s="75" t="s">
        <v>713</v>
      </c>
      <c r="AL521" s="70">
        <v>3</v>
      </c>
      <c r="AM521" s="41">
        <f>INDEX(Sheet5!$B$19:$G$33,MATCH(Sheet1!AQ521,Sheet5!$A$19:$A$33,0),MATCH(J521,Sheet5!$B$18:$G$18,0))</f>
        <v>1600</v>
      </c>
      <c r="AN521" s="70" t="s">
        <v>63</v>
      </c>
      <c r="AO521" s="70" t="s">
        <v>727</v>
      </c>
      <c r="AP521" s="70">
        <v>20236</v>
      </c>
      <c r="AQ521" s="13">
        <v>80</v>
      </c>
    </row>
    <row r="522" spans="1:43" ht="16.5">
      <c r="A522" s="70">
        <v>2583</v>
      </c>
      <c r="B522" s="71" t="s">
        <v>2173</v>
      </c>
      <c r="C522" s="71" t="s">
        <v>162</v>
      </c>
      <c r="D522" s="72" t="s">
        <v>107</v>
      </c>
      <c r="E522" s="73">
        <v>11003</v>
      </c>
      <c r="F522" s="74">
        <v>2000</v>
      </c>
      <c r="G522" s="70">
        <v>300</v>
      </c>
      <c r="H522" s="70">
        <v>50</v>
      </c>
      <c r="I522" s="72" t="s">
        <v>720</v>
      </c>
      <c r="J522" s="70">
        <v>2</v>
      </c>
      <c r="K522" s="70">
        <v>6</v>
      </c>
      <c r="L522" s="70">
        <v>20</v>
      </c>
      <c r="M522">
        <v>3600</v>
      </c>
      <c r="N522" s="6">
        <v>0</v>
      </c>
      <c r="O522" s="6">
        <v>0</v>
      </c>
      <c r="P522" s="6">
        <v>0</v>
      </c>
      <c r="Q522" s="70">
        <v>0</v>
      </c>
      <c r="R522" s="70">
        <v>0</v>
      </c>
      <c r="S522" s="70">
        <v>0</v>
      </c>
      <c r="T522" s="70">
        <v>0</v>
      </c>
      <c r="U522" s="70">
        <v>150</v>
      </c>
      <c r="V522" s="70">
        <v>0</v>
      </c>
      <c r="W522" s="70">
        <v>0</v>
      </c>
      <c r="X522" s="70">
        <v>0</v>
      </c>
      <c r="Y522" s="70">
        <v>0</v>
      </c>
      <c r="Z522" s="70">
        <v>0</v>
      </c>
      <c r="AA522" s="70">
        <v>0</v>
      </c>
      <c r="AB522" s="70">
        <v>0</v>
      </c>
      <c r="AC522" s="75">
        <v>600</v>
      </c>
      <c r="AD522" s="75">
        <v>0</v>
      </c>
      <c r="AE522" s="75">
        <v>0</v>
      </c>
      <c r="AF522" s="75">
        <v>0</v>
      </c>
      <c r="AG522" s="75">
        <v>3.0000000000000001E-3</v>
      </c>
      <c r="AH522" s="75">
        <v>0</v>
      </c>
      <c r="AI522" s="75">
        <v>0</v>
      </c>
      <c r="AJ522" s="75">
        <v>0</v>
      </c>
      <c r="AK522" s="75" t="s">
        <v>713</v>
      </c>
      <c r="AL522" s="70">
        <v>3</v>
      </c>
      <c r="AM522" s="41">
        <f>INDEX(Sheet5!$B$19:$G$33,MATCH(Sheet1!AQ522,Sheet5!$A$19:$A$33,0),MATCH(J522,Sheet5!$B$18:$G$18,0))</f>
        <v>1800</v>
      </c>
      <c r="AN522" s="70" t="s">
        <v>63</v>
      </c>
      <c r="AO522" s="70" t="s">
        <v>727</v>
      </c>
      <c r="AP522" s="70">
        <v>20237</v>
      </c>
      <c r="AQ522" s="13">
        <v>90</v>
      </c>
    </row>
    <row r="523" spans="1:43" ht="16.5">
      <c r="A523" s="70">
        <v>2584</v>
      </c>
      <c r="B523" s="71" t="s">
        <v>2174</v>
      </c>
      <c r="C523" s="71" t="s">
        <v>162</v>
      </c>
      <c r="D523" s="72" t="s">
        <v>107</v>
      </c>
      <c r="E523" s="73">
        <v>11003</v>
      </c>
      <c r="F523" s="74">
        <v>2000</v>
      </c>
      <c r="G523" s="70">
        <v>300</v>
      </c>
      <c r="H523" s="70">
        <v>50</v>
      </c>
      <c r="I523" s="72" t="s">
        <v>720</v>
      </c>
      <c r="J523" s="70">
        <v>2</v>
      </c>
      <c r="K523" s="70">
        <v>6</v>
      </c>
      <c r="L523" s="70">
        <v>20</v>
      </c>
      <c r="M523">
        <v>4000</v>
      </c>
      <c r="N523" s="6">
        <v>0</v>
      </c>
      <c r="O523" s="6">
        <v>0</v>
      </c>
      <c r="P523" s="6">
        <v>0</v>
      </c>
      <c r="Q523" s="70">
        <v>0</v>
      </c>
      <c r="R523" s="70">
        <v>0</v>
      </c>
      <c r="S523" s="70">
        <v>0</v>
      </c>
      <c r="T523" s="70">
        <v>0</v>
      </c>
      <c r="U523" s="70">
        <v>150</v>
      </c>
      <c r="V523" s="70">
        <v>0</v>
      </c>
      <c r="W523" s="70">
        <v>0</v>
      </c>
      <c r="X523" s="70">
        <v>0</v>
      </c>
      <c r="Y523" s="70">
        <v>0</v>
      </c>
      <c r="Z523" s="70">
        <v>0</v>
      </c>
      <c r="AA523" s="70">
        <v>0</v>
      </c>
      <c r="AB523" s="70">
        <v>0</v>
      </c>
      <c r="AC523" s="75">
        <v>600</v>
      </c>
      <c r="AD523" s="75">
        <v>0</v>
      </c>
      <c r="AE523" s="75">
        <v>0</v>
      </c>
      <c r="AF523" s="75">
        <v>0</v>
      </c>
      <c r="AG523" s="75">
        <v>3.0000000000000001E-3</v>
      </c>
      <c r="AH523" s="75">
        <v>0</v>
      </c>
      <c r="AI523" s="75">
        <v>0</v>
      </c>
      <c r="AJ523" s="75">
        <v>0</v>
      </c>
      <c r="AK523" s="75" t="s">
        <v>713</v>
      </c>
      <c r="AL523" s="70">
        <v>3</v>
      </c>
      <c r="AM523" s="41">
        <f>INDEX(Sheet5!$B$19:$G$33,MATCH(Sheet1!AQ523,Sheet5!$A$19:$A$33,0),MATCH(J523,Sheet5!$B$18:$G$18,0))</f>
        <v>2000</v>
      </c>
      <c r="AN523" s="70" t="s">
        <v>63</v>
      </c>
      <c r="AO523" s="70" t="s">
        <v>727</v>
      </c>
      <c r="AP523" s="70">
        <v>20238</v>
      </c>
      <c r="AQ523" s="13">
        <v>100</v>
      </c>
    </row>
    <row r="524" spans="1:43" ht="16.5">
      <c r="A524" s="70">
        <v>2585</v>
      </c>
      <c r="B524" s="71" t="s">
        <v>2175</v>
      </c>
      <c r="C524" s="71" t="s">
        <v>162</v>
      </c>
      <c r="D524" s="72" t="s">
        <v>107</v>
      </c>
      <c r="E524" s="73">
        <v>11003</v>
      </c>
      <c r="F524" s="74">
        <v>2000</v>
      </c>
      <c r="G524" s="70">
        <v>300</v>
      </c>
      <c r="H524" s="70">
        <v>50</v>
      </c>
      <c r="I524" s="72" t="s">
        <v>720</v>
      </c>
      <c r="J524" s="70">
        <v>2</v>
      </c>
      <c r="K524" s="70">
        <v>6</v>
      </c>
      <c r="L524" s="70">
        <v>20</v>
      </c>
      <c r="M524">
        <v>4400</v>
      </c>
      <c r="N524" s="6">
        <v>0</v>
      </c>
      <c r="O524" s="6">
        <v>0</v>
      </c>
      <c r="P524" s="6">
        <v>0</v>
      </c>
      <c r="Q524" s="70">
        <v>0</v>
      </c>
      <c r="R524" s="70">
        <v>0</v>
      </c>
      <c r="S524" s="70">
        <v>0</v>
      </c>
      <c r="T524" s="70">
        <v>0</v>
      </c>
      <c r="U524" s="70">
        <v>150</v>
      </c>
      <c r="V524" s="70">
        <v>0</v>
      </c>
      <c r="W524" s="70">
        <v>0</v>
      </c>
      <c r="X524" s="70">
        <v>0</v>
      </c>
      <c r="Y524" s="70">
        <v>0</v>
      </c>
      <c r="Z524" s="70">
        <v>0</v>
      </c>
      <c r="AA524" s="70">
        <v>0</v>
      </c>
      <c r="AB524" s="70">
        <v>0</v>
      </c>
      <c r="AC524" s="75">
        <v>600</v>
      </c>
      <c r="AD524" s="75">
        <v>0</v>
      </c>
      <c r="AE524" s="75">
        <v>0</v>
      </c>
      <c r="AF524" s="75">
        <v>0</v>
      </c>
      <c r="AG524" s="75">
        <v>3.0000000000000001E-3</v>
      </c>
      <c r="AH524" s="75">
        <v>0</v>
      </c>
      <c r="AI524" s="75">
        <v>0</v>
      </c>
      <c r="AJ524" s="75">
        <v>0</v>
      </c>
      <c r="AK524" s="75" t="s">
        <v>713</v>
      </c>
      <c r="AL524" s="70">
        <v>3</v>
      </c>
      <c r="AM524" s="41">
        <f>INDEX(Sheet5!$B$19:$G$33,MATCH(Sheet1!AQ524,Sheet5!$A$19:$A$33,0),MATCH(J524,Sheet5!$B$18:$G$18,0))</f>
        <v>2200</v>
      </c>
      <c r="AN524" s="70" t="s">
        <v>63</v>
      </c>
      <c r="AO524" s="70" t="s">
        <v>727</v>
      </c>
      <c r="AP524" s="70">
        <v>20239</v>
      </c>
      <c r="AQ524" s="13">
        <v>110</v>
      </c>
    </row>
    <row r="525" spans="1:43" ht="16.5">
      <c r="A525" s="70">
        <v>2586</v>
      </c>
      <c r="B525" s="71" t="s">
        <v>2176</v>
      </c>
      <c r="C525" s="71" t="s">
        <v>162</v>
      </c>
      <c r="D525" s="72" t="s">
        <v>107</v>
      </c>
      <c r="E525" s="73">
        <v>11003</v>
      </c>
      <c r="F525" s="74">
        <v>2000</v>
      </c>
      <c r="G525" s="70">
        <v>300</v>
      </c>
      <c r="H525" s="70">
        <v>50</v>
      </c>
      <c r="I525" s="72" t="s">
        <v>720</v>
      </c>
      <c r="J525" s="70">
        <v>2</v>
      </c>
      <c r="K525" s="70">
        <v>6</v>
      </c>
      <c r="L525" s="70">
        <v>20</v>
      </c>
      <c r="M525">
        <v>4800</v>
      </c>
      <c r="N525" s="6">
        <v>0</v>
      </c>
      <c r="O525" s="6">
        <v>0</v>
      </c>
      <c r="P525" s="6">
        <v>0</v>
      </c>
      <c r="Q525" s="70">
        <v>0</v>
      </c>
      <c r="R525" s="70">
        <v>0</v>
      </c>
      <c r="S525" s="70">
        <v>0</v>
      </c>
      <c r="T525" s="70">
        <v>0</v>
      </c>
      <c r="U525" s="70">
        <v>150</v>
      </c>
      <c r="V525" s="70">
        <v>0</v>
      </c>
      <c r="W525" s="70">
        <v>0</v>
      </c>
      <c r="X525" s="70">
        <v>0</v>
      </c>
      <c r="Y525" s="70">
        <v>0</v>
      </c>
      <c r="Z525" s="70">
        <v>0</v>
      </c>
      <c r="AA525" s="70">
        <v>0</v>
      </c>
      <c r="AB525" s="70">
        <v>0</v>
      </c>
      <c r="AC525" s="75">
        <v>600</v>
      </c>
      <c r="AD525" s="75">
        <v>0</v>
      </c>
      <c r="AE525" s="75">
        <v>0</v>
      </c>
      <c r="AF525" s="75">
        <v>0</v>
      </c>
      <c r="AG525" s="75">
        <v>3.0000000000000001E-3</v>
      </c>
      <c r="AH525" s="75">
        <v>0</v>
      </c>
      <c r="AI525" s="75">
        <v>0</v>
      </c>
      <c r="AJ525" s="75">
        <v>0</v>
      </c>
      <c r="AK525" s="75" t="s">
        <v>713</v>
      </c>
      <c r="AL525" s="70">
        <v>3</v>
      </c>
      <c r="AM525" s="41">
        <f>INDEX(Sheet5!$B$19:$G$33,MATCH(Sheet1!AQ525,Sheet5!$A$19:$A$33,0),MATCH(J525,Sheet5!$B$18:$G$18,0))</f>
        <v>2400</v>
      </c>
      <c r="AN525" s="70" t="s">
        <v>63</v>
      </c>
      <c r="AO525" s="70" t="s">
        <v>727</v>
      </c>
      <c r="AP525" s="70">
        <v>20240</v>
      </c>
      <c r="AQ525" s="13">
        <v>120</v>
      </c>
    </row>
    <row r="526" spans="1:43" ht="16.5">
      <c r="A526" s="70">
        <v>2587</v>
      </c>
      <c r="B526" s="71" t="s">
        <v>2177</v>
      </c>
      <c r="C526" s="71" t="s">
        <v>162</v>
      </c>
      <c r="D526" s="72" t="s">
        <v>107</v>
      </c>
      <c r="E526" s="73">
        <v>11003</v>
      </c>
      <c r="F526" s="74">
        <v>2000</v>
      </c>
      <c r="G526" s="70">
        <v>300</v>
      </c>
      <c r="H526" s="70">
        <v>50</v>
      </c>
      <c r="I526" s="72" t="s">
        <v>720</v>
      </c>
      <c r="J526" s="70">
        <v>2</v>
      </c>
      <c r="K526" s="70">
        <v>6</v>
      </c>
      <c r="L526" s="70">
        <v>20</v>
      </c>
      <c r="M526">
        <v>5200</v>
      </c>
      <c r="N526" s="6">
        <v>0</v>
      </c>
      <c r="O526" s="6">
        <v>0</v>
      </c>
      <c r="P526" s="6">
        <v>0</v>
      </c>
      <c r="Q526" s="70">
        <v>0</v>
      </c>
      <c r="R526" s="70">
        <v>0</v>
      </c>
      <c r="S526" s="70">
        <v>0</v>
      </c>
      <c r="T526" s="70">
        <v>0</v>
      </c>
      <c r="U526" s="70">
        <v>150</v>
      </c>
      <c r="V526" s="70">
        <v>0</v>
      </c>
      <c r="W526" s="70">
        <v>0</v>
      </c>
      <c r="X526" s="70">
        <v>0</v>
      </c>
      <c r="Y526" s="70">
        <v>0</v>
      </c>
      <c r="Z526" s="70">
        <v>0</v>
      </c>
      <c r="AA526" s="70">
        <v>0</v>
      </c>
      <c r="AB526" s="70">
        <v>0</v>
      </c>
      <c r="AC526" s="75">
        <v>600</v>
      </c>
      <c r="AD526" s="75">
        <v>0</v>
      </c>
      <c r="AE526" s="75">
        <v>0</v>
      </c>
      <c r="AF526" s="75">
        <v>0</v>
      </c>
      <c r="AG526" s="75">
        <v>3.0000000000000001E-3</v>
      </c>
      <c r="AH526" s="75">
        <v>0</v>
      </c>
      <c r="AI526" s="75">
        <v>0</v>
      </c>
      <c r="AJ526" s="75">
        <v>0</v>
      </c>
      <c r="AK526" s="75" t="s">
        <v>713</v>
      </c>
      <c r="AL526" s="70">
        <v>3</v>
      </c>
      <c r="AM526" s="41">
        <f>INDEX(Sheet5!$B$19:$G$33,MATCH(Sheet1!AQ526,Sheet5!$A$19:$A$33,0),MATCH(J526,Sheet5!$B$18:$G$18,0))</f>
        <v>2600</v>
      </c>
      <c r="AN526" s="70" t="s">
        <v>63</v>
      </c>
      <c r="AO526" s="70" t="s">
        <v>727</v>
      </c>
      <c r="AP526" s="70">
        <v>202411</v>
      </c>
      <c r="AQ526" s="13">
        <v>130</v>
      </c>
    </row>
    <row r="527" spans="1:43" ht="16.5">
      <c r="A527" s="70">
        <v>2588</v>
      </c>
      <c r="B527" s="71" t="s">
        <v>2178</v>
      </c>
      <c r="C527" s="71" t="s">
        <v>162</v>
      </c>
      <c r="D527" s="72" t="s">
        <v>107</v>
      </c>
      <c r="E527" s="73">
        <v>11003</v>
      </c>
      <c r="F527" s="74">
        <v>2000</v>
      </c>
      <c r="G527" s="70">
        <v>300</v>
      </c>
      <c r="H527" s="70">
        <v>50</v>
      </c>
      <c r="I527" s="72" t="s">
        <v>720</v>
      </c>
      <c r="J527" s="70">
        <v>2</v>
      </c>
      <c r="K527" s="70">
        <v>6</v>
      </c>
      <c r="L527" s="70">
        <v>20</v>
      </c>
      <c r="M527">
        <v>5600</v>
      </c>
      <c r="N527" s="6">
        <v>0</v>
      </c>
      <c r="O527" s="6">
        <v>0</v>
      </c>
      <c r="P527" s="6">
        <v>0</v>
      </c>
      <c r="Q527" s="70">
        <v>0</v>
      </c>
      <c r="R527" s="70">
        <v>0</v>
      </c>
      <c r="S527" s="70">
        <v>0</v>
      </c>
      <c r="T527" s="70">
        <v>0</v>
      </c>
      <c r="U527" s="70">
        <v>150</v>
      </c>
      <c r="V527" s="70">
        <v>0</v>
      </c>
      <c r="W527" s="70">
        <v>0</v>
      </c>
      <c r="X527" s="70">
        <v>0</v>
      </c>
      <c r="Y527" s="70">
        <v>0</v>
      </c>
      <c r="Z527" s="70">
        <v>0</v>
      </c>
      <c r="AA527" s="70">
        <v>0</v>
      </c>
      <c r="AB527" s="70">
        <v>0</v>
      </c>
      <c r="AC527" s="75">
        <v>600</v>
      </c>
      <c r="AD527" s="75">
        <v>0</v>
      </c>
      <c r="AE527" s="75">
        <v>0</v>
      </c>
      <c r="AF527" s="75">
        <v>0</v>
      </c>
      <c r="AG527" s="75">
        <v>3.0000000000000001E-3</v>
      </c>
      <c r="AH527" s="75">
        <v>0</v>
      </c>
      <c r="AI527" s="75">
        <v>0</v>
      </c>
      <c r="AJ527" s="75">
        <v>0</v>
      </c>
      <c r="AK527" s="75" t="s">
        <v>713</v>
      </c>
      <c r="AL527" s="70">
        <v>3</v>
      </c>
      <c r="AM527" s="41">
        <f>INDEX(Sheet5!$B$19:$G$33,MATCH(Sheet1!AQ527,Sheet5!$A$19:$A$33,0),MATCH(J527,Sheet5!$B$18:$G$18,0))</f>
        <v>2800</v>
      </c>
      <c r="AN527" s="70" t="s">
        <v>63</v>
      </c>
      <c r="AO527" s="70" t="s">
        <v>727</v>
      </c>
      <c r="AP527" s="70">
        <v>202412</v>
      </c>
      <c r="AQ527" s="13">
        <v>140</v>
      </c>
    </row>
    <row r="528" spans="1:43" ht="16.5">
      <c r="A528" s="70">
        <v>2589</v>
      </c>
      <c r="B528" s="71" t="s">
        <v>2179</v>
      </c>
      <c r="C528" s="71" t="s">
        <v>162</v>
      </c>
      <c r="D528" s="72" t="s">
        <v>107</v>
      </c>
      <c r="E528" s="73">
        <v>11003</v>
      </c>
      <c r="F528" s="74">
        <v>2000</v>
      </c>
      <c r="G528" s="70">
        <v>300</v>
      </c>
      <c r="H528" s="70">
        <v>50</v>
      </c>
      <c r="I528" s="72" t="s">
        <v>720</v>
      </c>
      <c r="J528" s="70">
        <v>2</v>
      </c>
      <c r="K528" s="70">
        <v>6</v>
      </c>
      <c r="L528" s="70">
        <v>20</v>
      </c>
      <c r="M528">
        <v>6000</v>
      </c>
      <c r="N528" s="6">
        <v>0</v>
      </c>
      <c r="O528" s="6">
        <v>0</v>
      </c>
      <c r="P528" s="6">
        <v>0</v>
      </c>
      <c r="Q528" s="70">
        <v>0</v>
      </c>
      <c r="R528" s="70">
        <v>0</v>
      </c>
      <c r="S528" s="70">
        <v>0</v>
      </c>
      <c r="T528" s="70">
        <v>0</v>
      </c>
      <c r="U528" s="70">
        <v>150</v>
      </c>
      <c r="V528" s="70">
        <v>0</v>
      </c>
      <c r="W528" s="70">
        <v>0</v>
      </c>
      <c r="X528" s="70">
        <v>0</v>
      </c>
      <c r="Y528" s="70">
        <v>0</v>
      </c>
      <c r="Z528" s="70">
        <v>0</v>
      </c>
      <c r="AA528" s="70">
        <v>0</v>
      </c>
      <c r="AB528" s="70">
        <v>0</v>
      </c>
      <c r="AC528" s="75">
        <v>600</v>
      </c>
      <c r="AD528" s="75">
        <v>0</v>
      </c>
      <c r="AE528" s="75">
        <v>0</v>
      </c>
      <c r="AF528" s="75">
        <v>0</v>
      </c>
      <c r="AG528" s="75">
        <v>3.0000000000000001E-3</v>
      </c>
      <c r="AH528" s="75">
        <v>0</v>
      </c>
      <c r="AI528" s="75">
        <v>0</v>
      </c>
      <c r="AJ528" s="75">
        <v>0</v>
      </c>
      <c r="AK528" s="75" t="s">
        <v>713</v>
      </c>
      <c r="AL528" s="70">
        <v>3</v>
      </c>
      <c r="AM528" s="41">
        <f>INDEX(Sheet5!$B$19:$G$33,MATCH(Sheet1!AQ528,Sheet5!$A$19:$A$33,0),MATCH(J528,Sheet5!$B$18:$G$18,0))</f>
        <v>3000</v>
      </c>
      <c r="AN528" s="70" t="s">
        <v>63</v>
      </c>
      <c r="AO528" s="70" t="s">
        <v>727</v>
      </c>
      <c r="AP528" s="70">
        <v>202413</v>
      </c>
      <c r="AQ528" s="13">
        <v>150</v>
      </c>
    </row>
    <row r="529" spans="1:43" ht="16.5">
      <c r="A529" s="70">
        <v>2590</v>
      </c>
      <c r="B529" s="71" t="s">
        <v>2180</v>
      </c>
      <c r="C529" s="71" t="s">
        <v>695</v>
      </c>
      <c r="D529" s="72" t="s">
        <v>108</v>
      </c>
      <c r="E529" s="73">
        <v>11004</v>
      </c>
      <c r="F529" s="74">
        <v>2000</v>
      </c>
      <c r="G529" s="70">
        <v>300</v>
      </c>
      <c r="H529" s="70">
        <v>50</v>
      </c>
      <c r="I529" s="72" t="s">
        <v>159</v>
      </c>
      <c r="J529" s="70">
        <v>2</v>
      </c>
      <c r="K529" s="70">
        <v>6</v>
      </c>
      <c r="L529" s="70">
        <v>20</v>
      </c>
      <c r="M529" s="6">
        <v>0</v>
      </c>
      <c r="N529" s="6">
        <v>0</v>
      </c>
      <c r="O529" s="6">
        <v>0</v>
      </c>
      <c r="P529">
        <v>80</v>
      </c>
      <c r="Q529" s="70">
        <v>0</v>
      </c>
      <c r="R529" s="70">
        <v>0</v>
      </c>
      <c r="S529" s="70">
        <v>0</v>
      </c>
      <c r="T529" s="70">
        <v>0</v>
      </c>
      <c r="U529" s="70">
        <v>0</v>
      </c>
      <c r="V529" s="70">
        <v>0</v>
      </c>
      <c r="W529" s="70">
        <v>0</v>
      </c>
      <c r="X529" s="70">
        <v>3</v>
      </c>
      <c r="Y529" s="70">
        <v>0</v>
      </c>
      <c r="Z529" s="70">
        <v>0</v>
      </c>
      <c r="AA529" s="70">
        <v>0</v>
      </c>
      <c r="AB529" s="70">
        <v>0</v>
      </c>
      <c r="AC529" s="75">
        <v>0</v>
      </c>
      <c r="AD529" s="75">
        <v>0</v>
      </c>
      <c r="AE529" s="75">
        <v>0</v>
      </c>
      <c r="AF529" s="75">
        <v>12</v>
      </c>
      <c r="AG529" s="75">
        <v>0</v>
      </c>
      <c r="AH529" s="75">
        <v>3.0000000000000001E-3</v>
      </c>
      <c r="AI529" s="75">
        <v>0</v>
      </c>
      <c r="AJ529" s="75">
        <v>0</v>
      </c>
      <c r="AK529" s="75" t="s">
        <v>713</v>
      </c>
      <c r="AL529" s="70">
        <v>4</v>
      </c>
      <c r="AM529" s="41">
        <f>INDEX(Sheet5!$B$19:$G$33,MATCH(Sheet1!AQ529,Sheet5!$A$19:$A$33,0),MATCH(J529,Sheet5!$B$18:$G$18,0))</f>
        <v>200</v>
      </c>
      <c r="AN529" s="70" t="s">
        <v>63</v>
      </c>
      <c r="AO529" s="70" t="s">
        <v>728</v>
      </c>
      <c r="AP529" s="70">
        <v>24</v>
      </c>
      <c r="AQ529" s="13">
        <v>10</v>
      </c>
    </row>
    <row r="530" spans="1:43" s="102" customFormat="1" ht="16.5">
      <c r="A530" s="103">
        <v>2024</v>
      </c>
      <c r="B530" s="103" t="s">
        <v>2181</v>
      </c>
      <c r="C530" s="103" t="s">
        <v>695</v>
      </c>
      <c r="D530" s="103" t="s">
        <v>108</v>
      </c>
      <c r="E530" s="104">
        <v>11004</v>
      </c>
      <c r="F530" s="103">
        <v>2000</v>
      </c>
      <c r="G530" s="103">
        <v>300</v>
      </c>
      <c r="H530" s="103">
        <v>50</v>
      </c>
      <c r="I530" s="103" t="s">
        <v>159</v>
      </c>
      <c r="J530" s="103">
        <v>2</v>
      </c>
      <c r="K530" s="103">
        <v>6</v>
      </c>
      <c r="L530" s="103">
        <v>20</v>
      </c>
      <c r="M530" s="100">
        <v>0</v>
      </c>
      <c r="N530" s="100">
        <v>0</v>
      </c>
      <c r="O530" s="100">
        <v>0</v>
      </c>
      <c r="P530">
        <v>160</v>
      </c>
      <c r="Q530" s="103">
        <v>0</v>
      </c>
      <c r="R530" s="103">
        <v>0</v>
      </c>
      <c r="S530" s="103">
        <v>0</v>
      </c>
      <c r="T530" s="103">
        <v>0</v>
      </c>
      <c r="U530" s="103">
        <v>0</v>
      </c>
      <c r="V530" s="103">
        <v>0</v>
      </c>
      <c r="W530" s="103">
        <v>0</v>
      </c>
      <c r="X530" s="103">
        <v>3</v>
      </c>
      <c r="Y530" s="103">
        <v>0</v>
      </c>
      <c r="Z530" s="103">
        <v>0</v>
      </c>
      <c r="AA530" s="103">
        <v>0</v>
      </c>
      <c r="AB530" s="103">
        <v>0</v>
      </c>
      <c r="AC530" s="103">
        <v>0</v>
      </c>
      <c r="AD530" s="103">
        <v>0</v>
      </c>
      <c r="AE530" s="103">
        <v>0</v>
      </c>
      <c r="AF530" s="103">
        <v>12</v>
      </c>
      <c r="AG530" s="103">
        <v>0</v>
      </c>
      <c r="AH530" s="103">
        <v>3.0000000000000001E-3</v>
      </c>
      <c r="AI530" s="103">
        <v>0</v>
      </c>
      <c r="AJ530" s="103">
        <v>0</v>
      </c>
      <c r="AK530" s="103" t="s">
        <v>1489</v>
      </c>
      <c r="AL530" s="103">
        <v>4</v>
      </c>
      <c r="AM530" s="41">
        <f>INDEX(Sheet5!$B$19:$G$33,MATCH(Sheet1!AQ530,Sheet5!$A$19:$A$33,0),MATCH(J530,Sheet5!$B$18:$G$18,0))</f>
        <v>400</v>
      </c>
      <c r="AN530" s="103" t="s">
        <v>1489</v>
      </c>
      <c r="AO530" s="103" t="s">
        <v>728</v>
      </c>
      <c r="AP530" s="103">
        <v>2024</v>
      </c>
      <c r="AQ530" s="13">
        <v>20</v>
      </c>
    </row>
    <row r="531" spans="1:43" ht="16.5">
      <c r="A531" s="70">
        <v>2591</v>
      </c>
      <c r="B531" s="71" t="s">
        <v>2182</v>
      </c>
      <c r="C531" s="71" t="s">
        <v>695</v>
      </c>
      <c r="D531" s="72" t="s">
        <v>108</v>
      </c>
      <c r="E531" s="73">
        <v>11004</v>
      </c>
      <c r="F531" s="74">
        <v>2000</v>
      </c>
      <c r="G531" s="70">
        <v>300</v>
      </c>
      <c r="H531" s="70">
        <v>50</v>
      </c>
      <c r="I531" s="72" t="s">
        <v>159</v>
      </c>
      <c r="J531" s="70">
        <v>2</v>
      </c>
      <c r="K531" s="70">
        <v>6</v>
      </c>
      <c r="L531" s="70">
        <v>20</v>
      </c>
      <c r="M531" s="6">
        <v>0</v>
      </c>
      <c r="N531" s="6">
        <v>0</v>
      </c>
      <c r="O531" s="6">
        <v>0</v>
      </c>
      <c r="P531">
        <v>240</v>
      </c>
      <c r="Q531" s="70">
        <v>0</v>
      </c>
      <c r="R531" s="70">
        <v>0</v>
      </c>
      <c r="S531" s="70">
        <v>0</v>
      </c>
      <c r="T531" s="70">
        <v>0</v>
      </c>
      <c r="U531" s="70">
        <v>0</v>
      </c>
      <c r="V531" s="70">
        <v>0</v>
      </c>
      <c r="W531" s="70">
        <v>0</v>
      </c>
      <c r="X531" s="70">
        <v>3</v>
      </c>
      <c r="Y531" s="70">
        <v>0</v>
      </c>
      <c r="Z531" s="70">
        <v>0</v>
      </c>
      <c r="AA531" s="70">
        <v>0</v>
      </c>
      <c r="AB531" s="70">
        <v>0</v>
      </c>
      <c r="AC531" s="75">
        <v>0</v>
      </c>
      <c r="AD531" s="75">
        <v>0</v>
      </c>
      <c r="AE531" s="75">
        <v>0</v>
      </c>
      <c r="AF531" s="75">
        <v>12</v>
      </c>
      <c r="AG531" s="75">
        <v>0</v>
      </c>
      <c r="AH531" s="75">
        <v>3.0000000000000001E-3</v>
      </c>
      <c r="AI531" s="75">
        <v>0</v>
      </c>
      <c r="AJ531" s="75">
        <v>0</v>
      </c>
      <c r="AK531" s="75" t="s">
        <v>713</v>
      </c>
      <c r="AL531" s="70">
        <v>4</v>
      </c>
      <c r="AM531" s="41">
        <f>INDEX(Sheet5!$B$19:$G$33,MATCH(Sheet1!AQ531,Sheet5!$A$19:$A$33,0),MATCH(J531,Sheet5!$B$18:$G$18,0))</f>
        <v>600</v>
      </c>
      <c r="AN531" s="70" t="s">
        <v>63</v>
      </c>
      <c r="AO531" s="70" t="s">
        <v>728</v>
      </c>
      <c r="AP531" s="70">
        <v>20241</v>
      </c>
      <c r="AQ531" s="13">
        <v>30</v>
      </c>
    </row>
    <row r="532" spans="1:43" ht="16.5">
      <c r="A532" s="70">
        <v>2592</v>
      </c>
      <c r="B532" s="71" t="s">
        <v>2183</v>
      </c>
      <c r="C532" s="71" t="s">
        <v>695</v>
      </c>
      <c r="D532" s="72" t="s">
        <v>108</v>
      </c>
      <c r="E532" s="73">
        <v>11004</v>
      </c>
      <c r="F532" s="74">
        <v>2000</v>
      </c>
      <c r="G532" s="70">
        <v>300</v>
      </c>
      <c r="H532" s="70">
        <v>50</v>
      </c>
      <c r="I532" s="72" t="s">
        <v>159</v>
      </c>
      <c r="J532" s="70">
        <v>2</v>
      </c>
      <c r="K532" s="70">
        <v>6</v>
      </c>
      <c r="L532" s="70">
        <v>20</v>
      </c>
      <c r="M532" s="6">
        <v>0</v>
      </c>
      <c r="N532" s="6">
        <v>0</v>
      </c>
      <c r="O532" s="6">
        <v>0</v>
      </c>
      <c r="P532">
        <v>320</v>
      </c>
      <c r="Q532" s="70">
        <v>0</v>
      </c>
      <c r="R532" s="70">
        <v>0</v>
      </c>
      <c r="S532" s="70">
        <v>0</v>
      </c>
      <c r="T532" s="70">
        <v>0</v>
      </c>
      <c r="U532" s="70">
        <v>0</v>
      </c>
      <c r="V532" s="70">
        <v>0</v>
      </c>
      <c r="W532" s="70">
        <v>0</v>
      </c>
      <c r="X532" s="70">
        <v>3</v>
      </c>
      <c r="Y532" s="70">
        <v>0</v>
      </c>
      <c r="Z532" s="70">
        <v>0</v>
      </c>
      <c r="AA532" s="70">
        <v>0</v>
      </c>
      <c r="AB532" s="70">
        <v>0</v>
      </c>
      <c r="AC532" s="75">
        <v>0</v>
      </c>
      <c r="AD532" s="75">
        <v>0</v>
      </c>
      <c r="AE532" s="75">
        <v>0</v>
      </c>
      <c r="AF532" s="75">
        <v>12</v>
      </c>
      <c r="AG532" s="75">
        <v>0</v>
      </c>
      <c r="AH532" s="75">
        <v>3.0000000000000001E-3</v>
      </c>
      <c r="AI532" s="75">
        <v>0</v>
      </c>
      <c r="AJ532" s="75">
        <v>0</v>
      </c>
      <c r="AK532" s="75" t="s">
        <v>713</v>
      </c>
      <c r="AL532" s="70">
        <v>4</v>
      </c>
      <c r="AM532" s="41">
        <f>INDEX(Sheet5!$B$19:$G$33,MATCH(Sheet1!AQ532,Sheet5!$A$19:$A$33,0),MATCH(J532,Sheet5!$B$18:$G$18,0))</f>
        <v>800</v>
      </c>
      <c r="AN532" s="70" t="s">
        <v>63</v>
      </c>
      <c r="AO532" s="70" t="s">
        <v>728</v>
      </c>
      <c r="AP532" s="70">
        <v>20242</v>
      </c>
      <c r="AQ532" s="13">
        <v>40</v>
      </c>
    </row>
    <row r="533" spans="1:43" ht="16.5">
      <c r="A533" s="70">
        <v>2593</v>
      </c>
      <c r="B533" s="71" t="s">
        <v>2184</v>
      </c>
      <c r="C533" s="71" t="s">
        <v>695</v>
      </c>
      <c r="D533" s="72" t="s">
        <v>108</v>
      </c>
      <c r="E533" s="73">
        <v>11004</v>
      </c>
      <c r="F533" s="74">
        <v>2000</v>
      </c>
      <c r="G533" s="70">
        <v>300</v>
      </c>
      <c r="H533" s="70">
        <v>50</v>
      </c>
      <c r="I533" s="72" t="s">
        <v>159</v>
      </c>
      <c r="J533" s="70">
        <v>2</v>
      </c>
      <c r="K533" s="70">
        <v>6</v>
      </c>
      <c r="L533" s="70">
        <v>20</v>
      </c>
      <c r="M533" s="6">
        <v>0</v>
      </c>
      <c r="N533" s="6">
        <v>0</v>
      </c>
      <c r="O533" s="6">
        <v>0</v>
      </c>
      <c r="P533">
        <v>400</v>
      </c>
      <c r="Q533" s="70">
        <v>0</v>
      </c>
      <c r="R533" s="70">
        <v>0</v>
      </c>
      <c r="S533" s="70">
        <v>0</v>
      </c>
      <c r="T533" s="70">
        <v>0</v>
      </c>
      <c r="U533" s="70">
        <v>0</v>
      </c>
      <c r="V533" s="70">
        <v>0</v>
      </c>
      <c r="W533" s="70">
        <v>0</v>
      </c>
      <c r="X533" s="70">
        <v>3</v>
      </c>
      <c r="Y533" s="70">
        <v>0</v>
      </c>
      <c r="Z533" s="70">
        <v>0</v>
      </c>
      <c r="AA533" s="70">
        <v>0</v>
      </c>
      <c r="AB533" s="70">
        <v>0</v>
      </c>
      <c r="AC533" s="75">
        <v>0</v>
      </c>
      <c r="AD533" s="75">
        <v>0</v>
      </c>
      <c r="AE533" s="75">
        <v>0</v>
      </c>
      <c r="AF533" s="75">
        <v>12</v>
      </c>
      <c r="AG533" s="75">
        <v>0</v>
      </c>
      <c r="AH533" s="75">
        <v>3.0000000000000001E-3</v>
      </c>
      <c r="AI533" s="75">
        <v>0</v>
      </c>
      <c r="AJ533" s="75">
        <v>0</v>
      </c>
      <c r="AK533" s="75" t="s">
        <v>713</v>
      </c>
      <c r="AL533" s="70">
        <v>4</v>
      </c>
      <c r="AM533" s="41">
        <f>INDEX(Sheet5!$B$19:$G$33,MATCH(Sheet1!AQ533,Sheet5!$A$19:$A$33,0),MATCH(J533,Sheet5!$B$18:$G$18,0))</f>
        <v>1000</v>
      </c>
      <c r="AN533" s="70" t="s">
        <v>63</v>
      </c>
      <c r="AO533" s="70" t="s">
        <v>728</v>
      </c>
      <c r="AP533" s="70">
        <v>20243</v>
      </c>
      <c r="AQ533" s="13">
        <v>50</v>
      </c>
    </row>
    <row r="534" spans="1:43" ht="16.5">
      <c r="A534" s="70">
        <v>2594</v>
      </c>
      <c r="B534" s="71" t="s">
        <v>2185</v>
      </c>
      <c r="C534" s="71" t="s">
        <v>695</v>
      </c>
      <c r="D534" s="72" t="s">
        <v>108</v>
      </c>
      <c r="E534" s="73">
        <v>11004</v>
      </c>
      <c r="F534" s="74">
        <v>2000</v>
      </c>
      <c r="G534" s="70">
        <v>300</v>
      </c>
      <c r="H534" s="70">
        <v>50</v>
      </c>
      <c r="I534" s="72" t="s">
        <v>159</v>
      </c>
      <c r="J534" s="70">
        <v>2</v>
      </c>
      <c r="K534" s="70">
        <v>6</v>
      </c>
      <c r="L534" s="70">
        <v>20</v>
      </c>
      <c r="M534" s="6">
        <v>0</v>
      </c>
      <c r="N534" s="6">
        <v>0</v>
      </c>
      <c r="O534" s="6">
        <v>0</v>
      </c>
      <c r="P534">
        <v>480</v>
      </c>
      <c r="Q534" s="70">
        <v>0</v>
      </c>
      <c r="R534" s="70">
        <v>0</v>
      </c>
      <c r="S534" s="70">
        <v>0</v>
      </c>
      <c r="T534" s="70">
        <v>0</v>
      </c>
      <c r="U534" s="70">
        <v>0</v>
      </c>
      <c r="V534" s="70">
        <v>0</v>
      </c>
      <c r="W534" s="70">
        <v>0</v>
      </c>
      <c r="X534" s="70">
        <v>3</v>
      </c>
      <c r="Y534" s="70">
        <v>0</v>
      </c>
      <c r="Z534" s="70">
        <v>0</v>
      </c>
      <c r="AA534" s="70">
        <v>0</v>
      </c>
      <c r="AB534" s="70">
        <v>0</v>
      </c>
      <c r="AC534" s="75">
        <v>0</v>
      </c>
      <c r="AD534" s="75">
        <v>0</v>
      </c>
      <c r="AE534" s="75">
        <v>0</v>
      </c>
      <c r="AF534" s="75">
        <v>12</v>
      </c>
      <c r="AG534" s="75">
        <v>0</v>
      </c>
      <c r="AH534" s="75">
        <v>3.0000000000000001E-3</v>
      </c>
      <c r="AI534" s="75">
        <v>0</v>
      </c>
      <c r="AJ534" s="75">
        <v>0</v>
      </c>
      <c r="AK534" s="75" t="s">
        <v>713</v>
      </c>
      <c r="AL534" s="70">
        <v>4</v>
      </c>
      <c r="AM534" s="41">
        <f>INDEX(Sheet5!$B$19:$G$33,MATCH(Sheet1!AQ534,Sheet5!$A$19:$A$33,0),MATCH(J534,Sheet5!$B$18:$G$18,0))</f>
        <v>1200</v>
      </c>
      <c r="AN534" s="70" t="s">
        <v>63</v>
      </c>
      <c r="AO534" s="70" t="s">
        <v>728</v>
      </c>
      <c r="AP534" s="70">
        <v>20244</v>
      </c>
      <c r="AQ534" s="13">
        <v>60</v>
      </c>
    </row>
    <row r="535" spans="1:43" ht="16.5">
      <c r="A535" s="70">
        <v>2595</v>
      </c>
      <c r="B535" s="71" t="s">
        <v>2186</v>
      </c>
      <c r="C535" s="71" t="s">
        <v>695</v>
      </c>
      <c r="D535" s="72" t="s">
        <v>108</v>
      </c>
      <c r="E535" s="73">
        <v>11004</v>
      </c>
      <c r="F535" s="74">
        <v>2000</v>
      </c>
      <c r="G535" s="70">
        <v>300</v>
      </c>
      <c r="H535" s="70">
        <v>50</v>
      </c>
      <c r="I535" s="72" t="s">
        <v>159</v>
      </c>
      <c r="J535" s="70">
        <v>2</v>
      </c>
      <c r="K535" s="70">
        <v>6</v>
      </c>
      <c r="L535" s="70">
        <v>20</v>
      </c>
      <c r="M535" s="6">
        <v>0</v>
      </c>
      <c r="N535" s="6">
        <v>0</v>
      </c>
      <c r="O535" s="6">
        <v>0</v>
      </c>
      <c r="P535">
        <v>560</v>
      </c>
      <c r="Q535" s="70">
        <v>0</v>
      </c>
      <c r="R535" s="70">
        <v>0</v>
      </c>
      <c r="S535" s="70">
        <v>0</v>
      </c>
      <c r="T535" s="70">
        <v>0</v>
      </c>
      <c r="U535" s="70">
        <v>0</v>
      </c>
      <c r="V535" s="70">
        <v>0</v>
      </c>
      <c r="W535" s="70">
        <v>0</v>
      </c>
      <c r="X535" s="70">
        <v>3</v>
      </c>
      <c r="Y535" s="70">
        <v>0</v>
      </c>
      <c r="Z535" s="70">
        <v>0</v>
      </c>
      <c r="AA535" s="70">
        <v>0</v>
      </c>
      <c r="AB535" s="70">
        <v>0</v>
      </c>
      <c r="AC535" s="75">
        <v>0</v>
      </c>
      <c r="AD535" s="75">
        <v>0</v>
      </c>
      <c r="AE535" s="75">
        <v>0</v>
      </c>
      <c r="AF535" s="75">
        <v>12</v>
      </c>
      <c r="AG535" s="75">
        <v>0</v>
      </c>
      <c r="AH535" s="75">
        <v>3.0000000000000001E-3</v>
      </c>
      <c r="AI535" s="75">
        <v>0</v>
      </c>
      <c r="AJ535" s="75">
        <v>0</v>
      </c>
      <c r="AK535" s="75" t="s">
        <v>713</v>
      </c>
      <c r="AL535" s="70">
        <v>4</v>
      </c>
      <c r="AM535" s="41">
        <f>INDEX(Sheet5!$B$19:$G$33,MATCH(Sheet1!AQ535,Sheet5!$A$19:$A$33,0),MATCH(J535,Sheet5!$B$18:$G$18,0))</f>
        <v>1400</v>
      </c>
      <c r="AN535" s="70" t="s">
        <v>63</v>
      </c>
      <c r="AO535" s="70" t="s">
        <v>728</v>
      </c>
      <c r="AP535" s="70">
        <v>20245</v>
      </c>
      <c r="AQ535" s="13">
        <v>70</v>
      </c>
    </row>
    <row r="536" spans="1:43" ht="16.5">
      <c r="A536" s="70">
        <v>2596</v>
      </c>
      <c r="B536" s="71" t="s">
        <v>2187</v>
      </c>
      <c r="C536" s="71" t="s">
        <v>695</v>
      </c>
      <c r="D536" s="72" t="s">
        <v>108</v>
      </c>
      <c r="E536" s="73">
        <v>11004</v>
      </c>
      <c r="F536" s="74">
        <v>2000</v>
      </c>
      <c r="G536" s="70">
        <v>300</v>
      </c>
      <c r="H536" s="70">
        <v>50</v>
      </c>
      <c r="I536" s="72" t="s">
        <v>159</v>
      </c>
      <c r="J536" s="70">
        <v>2</v>
      </c>
      <c r="K536" s="70">
        <v>6</v>
      </c>
      <c r="L536" s="70">
        <v>20</v>
      </c>
      <c r="M536" s="6">
        <v>0</v>
      </c>
      <c r="N536" s="6">
        <v>0</v>
      </c>
      <c r="O536" s="6">
        <v>0</v>
      </c>
      <c r="P536">
        <v>640</v>
      </c>
      <c r="Q536" s="70">
        <v>0</v>
      </c>
      <c r="R536" s="70">
        <v>0</v>
      </c>
      <c r="S536" s="70">
        <v>0</v>
      </c>
      <c r="T536" s="70">
        <v>0</v>
      </c>
      <c r="U536" s="70">
        <v>0</v>
      </c>
      <c r="V536" s="70">
        <v>0</v>
      </c>
      <c r="W536" s="70">
        <v>0</v>
      </c>
      <c r="X536" s="70">
        <v>3</v>
      </c>
      <c r="Y536" s="70">
        <v>0</v>
      </c>
      <c r="Z536" s="70">
        <v>0</v>
      </c>
      <c r="AA536" s="70">
        <v>0</v>
      </c>
      <c r="AB536" s="70">
        <v>0</v>
      </c>
      <c r="AC536" s="75">
        <v>0</v>
      </c>
      <c r="AD536" s="75">
        <v>0</v>
      </c>
      <c r="AE536" s="75">
        <v>0</v>
      </c>
      <c r="AF536" s="75">
        <v>12</v>
      </c>
      <c r="AG536" s="75">
        <v>0</v>
      </c>
      <c r="AH536" s="75">
        <v>3.0000000000000001E-3</v>
      </c>
      <c r="AI536" s="75">
        <v>0</v>
      </c>
      <c r="AJ536" s="75">
        <v>0</v>
      </c>
      <c r="AK536" s="75" t="s">
        <v>713</v>
      </c>
      <c r="AL536" s="70">
        <v>4</v>
      </c>
      <c r="AM536" s="41">
        <f>INDEX(Sheet5!$B$19:$G$33,MATCH(Sheet1!AQ536,Sheet5!$A$19:$A$33,0),MATCH(J536,Sheet5!$B$18:$G$18,0))</f>
        <v>1600</v>
      </c>
      <c r="AN536" s="70" t="s">
        <v>63</v>
      </c>
      <c r="AO536" s="70" t="s">
        <v>728</v>
      </c>
      <c r="AP536" s="70">
        <v>20246</v>
      </c>
      <c r="AQ536" s="13">
        <v>80</v>
      </c>
    </row>
    <row r="537" spans="1:43" ht="16.5">
      <c r="A537" s="70">
        <v>2597</v>
      </c>
      <c r="B537" s="71" t="s">
        <v>2188</v>
      </c>
      <c r="C537" s="71" t="s">
        <v>695</v>
      </c>
      <c r="D537" s="72" t="s">
        <v>108</v>
      </c>
      <c r="E537" s="73">
        <v>11004</v>
      </c>
      <c r="F537" s="74">
        <v>2000</v>
      </c>
      <c r="G537" s="70">
        <v>300</v>
      </c>
      <c r="H537" s="70">
        <v>50</v>
      </c>
      <c r="I537" s="72" t="s">
        <v>159</v>
      </c>
      <c r="J537" s="70">
        <v>2</v>
      </c>
      <c r="K537" s="70">
        <v>6</v>
      </c>
      <c r="L537" s="70">
        <v>20</v>
      </c>
      <c r="M537" s="6">
        <v>0</v>
      </c>
      <c r="N537" s="6">
        <v>0</v>
      </c>
      <c r="O537" s="6">
        <v>0</v>
      </c>
      <c r="P537">
        <v>720</v>
      </c>
      <c r="Q537" s="70">
        <v>0</v>
      </c>
      <c r="R537" s="70">
        <v>0</v>
      </c>
      <c r="S537" s="70">
        <v>0</v>
      </c>
      <c r="T537" s="70">
        <v>0</v>
      </c>
      <c r="U537" s="70">
        <v>0</v>
      </c>
      <c r="V537" s="70">
        <v>0</v>
      </c>
      <c r="W537" s="70">
        <v>0</v>
      </c>
      <c r="X537" s="70">
        <v>3</v>
      </c>
      <c r="Y537" s="70">
        <v>0</v>
      </c>
      <c r="Z537" s="70">
        <v>0</v>
      </c>
      <c r="AA537" s="70">
        <v>0</v>
      </c>
      <c r="AB537" s="70">
        <v>0</v>
      </c>
      <c r="AC537" s="75">
        <v>0</v>
      </c>
      <c r="AD537" s="75">
        <v>0</v>
      </c>
      <c r="AE537" s="75">
        <v>0</v>
      </c>
      <c r="AF537" s="75">
        <v>12</v>
      </c>
      <c r="AG537" s="75">
        <v>0</v>
      </c>
      <c r="AH537" s="75">
        <v>3.0000000000000001E-3</v>
      </c>
      <c r="AI537" s="75">
        <v>0</v>
      </c>
      <c r="AJ537" s="75">
        <v>0</v>
      </c>
      <c r="AK537" s="75" t="s">
        <v>713</v>
      </c>
      <c r="AL537" s="70">
        <v>4</v>
      </c>
      <c r="AM537" s="41">
        <f>INDEX(Sheet5!$B$19:$G$33,MATCH(Sheet1!AQ537,Sheet5!$A$19:$A$33,0),MATCH(J537,Sheet5!$B$18:$G$18,0))</f>
        <v>1800</v>
      </c>
      <c r="AN537" s="70" t="s">
        <v>63</v>
      </c>
      <c r="AO537" s="70" t="s">
        <v>728</v>
      </c>
      <c r="AP537" s="70">
        <v>20247</v>
      </c>
      <c r="AQ537" s="13">
        <v>90</v>
      </c>
    </row>
    <row r="538" spans="1:43" ht="16.5">
      <c r="A538" s="70">
        <v>2598</v>
      </c>
      <c r="B538" s="71" t="s">
        <v>2189</v>
      </c>
      <c r="C538" s="71" t="s">
        <v>695</v>
      </c>
      <c r="D538" s="72" t="s">
        <v>108</v>
      </c>
      <c r="E538" s="73">
        <v>11004</v>
      </c>
      <c r="F538" s="74">
        <v>2000</v>
      </c>
      <c r="G538" s="70">
        <v>300</v>
      </c>
      <c r="H538" s="70">
        <v>50</v>
      </c>
      <c r="I538" s="72" t="s">
        <v>159</v>
      </c>
      <c r="J538" s="70">
        <v>2</v>
      </c>
      <c r="K538" s="70">
        <v>6</v>
      </c>
      <c r="L538" s="70">
        <v>20</v>
      </c>
      <c r="M538" s="6">
        <v>0</v>
      </c>
      <c r="N538" s="6">
        <v>0</v>
      </c>
      <c r="O538" s="6">
        <v>0</v>
      </c>
      <c r="P538">
        <v>800</v>
      </c>
      <c r="Q538" s="70">
        <v>0</v>
      </c>
      <c r="R538" s="70">
        <v>0</v>
      </c>
      <c r="S538" s="70">
        <v>0</v>
      </c>
      <c r="T538" s="70">
        <v>0</v>
      </c>
      <c r="U538" s="70">
        <v>0</v>
      </c>
      <c r="V538" s="70">
        <v>0</v>
      </c>
      <c r="W538" s="70">
        <v>0</v>
      </c>
      <c r="X538" s="70">
        <v>3</v>
      </c>
      <c r="Y538" s="70">
        <v>0</v>
      </c>
      <c r="Z538" s="70">
        <v>0</v>
      </c>
      <c r="AA538" s="70">
        <v>0</v>
      </c>
      <c r="AB538" s="70">
        <v>0</v>
      </c>
      <c r="AC538" s="75">
        <v>0</v>
      </c>
      <c r="AD538" s="75">
        <v>0</v>
      </c>
      <c r="AE538" s="75">
        <v>0</v>
      </c>
      <c r="AF538" s="75">
        <v>12</v>
      </c>
      <c r="AG538" s="75">
        <v>0</v>
      </c>
      <c r="AH538" s="75">
        <v>3.0000000000000001E-3</v>
      </c>
      <c r="AI538" s="75">
        <v>0</v>
      </c>
      <c r="AJ538" s="75">
        <v>0</v>
      </c>
      <c r="AK538" s="75" t="s">
        <v>713</v>
      </c>
      <c r="AL538" s="70">
        <v>4</v>
      </c>
      <c r="AM538" s="41">
        <f>INDEX(Sheet5!$B$19:$G$33,MATCH(Sheet1!AQ538,Sheet5!$A$19:$A$33,0),MATCH(J538,Sheet5!$B$18:$G$18,0))</f>
        <v>2000</v>
      </c>
      <c r="AN538" s="70" t="s">
        <v>63</v>
      </c>
      <c r="AO538" s="70" t="s">
        <v>728</v>
      </c>
      <c r="AP538" s="70">
        <v>20248</v>
      </c>
      <c r="AQ538" s="13">
        <v>100</v>
      </c>
    </row>
    <row r="539" spans="1:43" ht="16.5">
      <c r="A539" s="70">
        <v>2599</v>
      </c>
      <c r="B539" s="71" t="s">
        <v>2190</v>
      </c>
      <c r="C539" s="71" t="s">
        <v>695</v>
      </c>
      <c r="D539" s="72" t="s">
        <v>108</v>
      </c>
      <c r="E539" s="73">
        <v>11004</v>
      </c>
      <c r="F539" s="74">
        <v>2000</v>
      </c>
      <c r="G539" s="70">
        <v>300</v>
      </c>
      <c r="H539" s="70">
        <v>50</v>
      </c>
      <c r="I539" s="72" t="s">
        <v>159</v>
      </c>
      <c r="J539" s="70">
        <v>2</v>
      </c>
      <c r="K539" s="70">
        <v>6</v>
      </c>
      <c r="L539" s="70">
        <v>20</v>
      </c>
      <c r="M539" s="6">
        <v>0</v>
      </c>
      <c r="N539" s="6">
        <v>0</v>
      </c>
      <c r="O539" s="6">
        <v>0</v>
      </c>
      <c r="P539">
        <v>880</v>
      </c>
      <c r="Q539" s="70">
        <v>0</v>
      </c>
      <c r="R539" s="70">
        <v>0</v>
      </c>
      <c r="S539" s="70">
        <v>0</v>
      </c>
      <c r="T539" s="70">
        <v>0</v>
      </c>
      <c r="U539" s="70">
        <v>0</v>
      </c>
      <c r="V539" s="70">
        <v>0</v>
      </c>
      <c r="W539" s="70">
        <v>0</v>
      </c>
      <c r="X539" s="70">
        <v>3</v>
      </c>
      <c r="Y539" s="70">
        <v>0</v>
      </c>
      <c r="Z539" s="70">
        <v>0</v>
      </c>
      <c r="AA539" s="70">
        <v>0</v>
      </c>
      <c r="AB539" s="70">
        <v>0</v>
      </c>
      <c r="AC539" s="75">
        <v>0</v>
      </c>
      <c r="AD539" s="75">
        <v>0</v>
      </c>
      <c r="AE539" s="75">
        <v>0</v>
      </c>
      <c r="AF539" s="75">
        <v>12</v>
      </c>
      <c r="AG539" s="75">
        <v>0</v>
      </c>
      <c r="AH539" s="75">
        <v>3.0000000000000001E-3</v>
      </c>
      <c r="AI539" s="75">
        <v>0</v>
      </c>
      <c r="AJ539" s="75">
        <v>0</v>
      </c>
      <c r="AK539" s="75" t="s">
        <v>713</v>
      </c>
      <c r="AL539" s="70">
        <v>4</v>
      </c>
      <c r="AM539" s="41">
        <f>INDEX(Sheet5!$B$19:$G$33,MATCH(Sheet1!AQ539,Sheet5!$A$19:$A$33,0),MATCH(J539,Sheet5!$B$18:$G$18,0))</f>
        <v>2200</v>
      </c>
      <c r="AN539" s="70" t="s">
        <v>63</v>
      </c>
      <c r="AO539" s="70" t="s">
        <v>728</v>
      </c>
      <c r="AP539" s="70">
        <v>20249</v>
      </c>
      <c r="AQ539" s="13">
        <v>110</v>
      </c>
    </row>
    <row r="540" spans="1:43" ht="16.5">
      <c r="A540" s="70">
        <v>2600</v>
      </c>
      <c r="B540" s="71" t="s">
        <v>2191</v>
      </c>
      <c r="C540" s="71" t="s">
        <v>695</v>
      </c>
      <c r="D540" s="72" t="s">
        <v>108</v>
      </c>
      <c r="E540" s="73">
        <v>11004</v>
      </c>
      <c r="F540" s="74">
        <v>2000</v>
      </c>
      <c r="G540" s="70">
        <v>300</v>
      </c>
      <c r="H540" s="70">
        <v>50</v>
      </c>
      <c r="I540" s="72" t="s">
        <v>159</v>
      </c>
      <c r="J540" s="70">
        <v>2</v>
      </c>
      <c r="K540" s="70">
        <v>6</v>
      </c>
      <c r="L540" s="70">
        <v>20</v>
      </c>
      <c r="M540" s="6">
        <v>0</v>
      </c>
      <c r="N540" s="6">
        <v>0</v>
      </c>
      <c r="O540" s="6">
        <v>0</v>
      </c>
      <c r="P540">
        <v>960</v>
      </c>
      <c r="Q540" s="70">
        <v>0</v>
      </c>
      <c r="R540" s="70">
        <v>0</v>
      </c>
      <c r="S540" s="70">
        <v>0</v>
      </c>
      <c r="T540" s="70">
        <v>0</v>
      </c>
      <c r="U540" s="70">
        <v>0</v>
      </c>
      <c r="V540" s="70">
        <v>0</v>
      </c>
      <c r="W540" s="70">
        <v>0</v>
      </c>
      <c r="X540" s="70">
        <v>3</v>
      </c>
      <c r="Y540" s="70">
        <v>0</v>
      </c>
      <c r="Z540" s="70">
        <v>0</v>
      </c>
      <c r="AA540" s="70">
        <v>0</v>
      </c>
      <c r="AB540" s="70">
        <v>0</v>
      </c>
      <c r="AC540" s="75">
        <v>0</v>
      </c>
      <c r="AD540" s="75">
        <v>0</v>
      </c>
      <c r="AE540" s="75">
        <v>0</v>
      </c>
      <c r="AF540" s="75">
        <v>12</v>
      </c>
      <c r="AG540" s="75">
        <v>0</v>
      </c>
      <c r="AH540" s="75">
        <v>3.0000000000000001E-3</v>
      </c>
      <c r="AI540" s="75">
        <v>0</v>
      </c>
      <c r="AJ540" s="75">
        <v>0</v>
      </c>
      <c r="AK540" s="75" t="s">
        <v>713</v>
      </c>
      <c r="AL540" s="70">
        <v>4</v>
      </c>
      <c r="AM540" s="41">
        <f>INDEX(Sheet5!$B$19:$G$33,MATCH(Sheet1!AQ540,Sheet5!$A$19:$A$33,0),MATCH(J540,Sheet5!$B$18:$G$18,0))</f>
        <v>2400</v>
      </c>
      <c r="AN540" s="70" t="s">
        <v>63</v>
      </c>
      <c r="AO540" s="70" t="s">
        <v>728</v>
      </c>
      <c r="AP540" s="70">
        <v>20250</v>
      </c>
      <c r="AQ540" s="13">
        <v>120</v>
      </c>
    </row>
    <row r="541" spans="1:43" ht="16.5">
      <c r="A541" s="70">
        <v>2601</v>
      </c>
      <c r="B541" s="71" t="s">
        <v>2192</v>
      </c>
      <c r="C541" s="71" t="s">
        <v>695</v>
      </c>
      <c r="D541" s="72" t="s">
        <v>108</v>
      </c>
      <c r="E541" s="73">
        <v>11004</v>
      </c>
      <c r="F541" s="74">
        <v>2000</v>
      </c>
      <c r="G541" s="70">
        <v>300</v>
      </c>
      <c r="H541" s="70">
        <v>50</v>
      </c>
      <c r="I541" s="72" t="s">
        <v>159</v>
      </c>
      <c r="J541" s="70">
        <v>2</v>
      </c>
      <c r="K541" s="70">
        <v>6</v>
      </c>
      <c r="L541" s="70">
        <v>20</v>
      </c>
      <c r="M541" s="6">
        <v>0</v>
      </c>
      <c r="N541" s="6">
        <v>0</v>
      </c>
      <c r="O541" s="6">
        <v>0</v>
      </c>
      <c r="P541">
        <v>1040</v>
      </c>
      <c r="Q541" s="70">
        <v>0</v>
      </c>
      <c r="R541" s="70">
        <v>0</v>
      </c>
      <c r="S541" s="70">
        <v>0</v>
      </c>
      <c r="T541" s="70">
        <v>0</v>
      </c>
      <c r="U541" s="70">
        <v>0</v>
      </c>
      <c r="V541" s="70">
        <v>0</v>
      </c>
      <c r="W541" s="70">
        <v>0</v>
      </c>
      <c r="X541" s="70">
        <v>3</v>
      </c>
      <c r="Y541" s="70">
        <v>0</v>
      </c>
      <c r="Z541" s="70">
        <v>0</v>
      </c>
      <c r="AA541" s="70">
        <v>0</v>
      </c>
      <c r="AB541" s="70">
        <v>0</v>
      </c>
      <c r="AC541" s="75">
        <v>0</v>
      </c>
      <c r="AD541" s="75">
        <v>0</v>
      </c>
      <c r="AE541" s="75">
        <v>0</v>
      </c>
      <c r="AF541" s="75">
        <v>12</v>
      </c>
      <c r="AG541" s="75">
        <v>0</v>
      </c>
      <c r="AH541" s="75">
        <v>3.0000000000000001E-3</v>
      </c>
      <c r="AI541" s="75">
        <v>0</v>
      </c>
      <c r="AJ541" s="75">
        <v>0</v>
      </c>
      <c r="AK541" s="75" t="s">
        <v>713</v>
      </c>
      <c r="AL541" s="70">
        <v>4</v>
      </c>
      <c r="AM541" s="41">
        <f>INDEX(Sheet5!$B$19:$G$33,MATCH(Sheet1!AQ541,Sheet5!$A$19:$A$33,0),MATCH(J541,Sheet5!$B$18:$G$18,0))</f>
        <v>2600</v>
      </c>
      <c r="AN541" s="70" t="s">
        <v>63</v>
      </c>
      <c r="AO541" s="70" t="s">
        <v>728</v>
      </c>
      <c r="AP541" s="70">
        <v>202511</v>
      </c>
      <c r="AQ541" s="13">
        <v>130</v>
      </c>
    </row>
    <row r="542" spans="1:43" ht="16.5">
      <c r="A542" s="70">
        <v>2602</v>
      </c>
      <c r="B542" s="71" t="s">
        <v>2193</v>
      </c>
      <c r="C542" s="71" t="s">
        <v>695</v>
      </c>
      <c r="D542" s="72" t="s">
        <v>108</v>
      </c>
      <c r="E542" s="73">
        <v>11004</v>
      </c>
      <c r="F542" s="74">
        <v>2000</v>
      </c>
      <c r="G542" s="70">
        <v>300</v>
      </c>
      <c r="H542" s="70">
        <v>50</v>
      </c>
      <c r="I542" s="72" t="s">
        <v>159</v>
      </c>
      <c r="J542" s="70">
        <v>2</v>
      </c>
      <c r="K542" s="70">
        <v>6</v>
      </c>
      <c r="L542" s="70">
        <v>20</v>
      </c>
      <c r="M542" s="6">
        <v>0</v>
      </c>
      <c r="N542" s="6">
        <v>0</v>
      </c>
      <c r="O542" s="6">
        <v>0</v>
      </c>
      <c r="P542">
        <v>1120</v>
      </c>
      <c r="Q542" s="70">
        <v>0</v>
      </c>
      <c r="R542" s="70">
        <v>0</v>
      </c>
      <c r="S542" s="70">
        <v>0</v>
      </c>
      <c r="T542" s="70">
        <v>0</v>
      </c>
      <c r="U542" s="70">
        <v>0</v>
      </c>
      <c r="V542" s="70">
        <v>0</v>
      </c>
      <c r="W542" s="70">
        <v>0</v>
      </c>
      <c r="X542" s="70">
        <v>3</v>
      </c>
      <c r="Y542" s="70">
        <v>0</v>
      </c>
      <c r="Z542" s="70">
        <v>0</v>
      </c>
      <c r="AA542" s="70">
        <v>0</v>
      </c>
      <c r="AB542" s="70">
        <v>0</v>
      </c>
      <c r="AC542" s="75">
        <v>0</v>
      </c>
      <c r="AD542" s="75">
        <v>0</v>
      </c>
      <c r="AE542" s="75">
        <v>0</v>
      </c>
      <c r="AF542" s="75">
        <v>12</v>
      </c>
      <c r="AG542" s="75">
        <v>0</v>
      </c>
      <c r="AH542" s="75">
        <v>3.0000000000000001E-3</v>
      </c>
      <c r="AI542" s="75">
        <v>0</v>
      </c>
      <c r="AJ542" s="75">
        <v>0</v>
      </c>
      <c r="AK542" s="75" t="s">
        <v>713</v>
      </c>
      <c r="AL542" s="70">
        <v>4</v>
      </c>
      <c r="AM542" s="41">
        <f>INDEX(Sheet5!$B$19:$G$33,MATCH(Sheet1!AQ542,Sheet5!$A$19:$A$33,0),MATCH(J542,Sheet5!$B$18:$G$18,0))</f>
        <v>2800</v>
      </c>
      <c r="AN542" s="70" t="s">
        <v>63</v>
      </c>
      <c r="AO542" s="70" t="s">
        <v>728</v>
      </c>
      <c r="AP542" s="70">
        <v>202512</v>
      </c>
      <c r="AQ542" s="13">
        <v>140</v>
      </c>
    </row>
    <row r="543" spans="1:43" ht="16.5">
      <c r="A543" s="70">
        <v>2603</v>
      </c>
      <c r="B543" s="71" t="s">
        <v>2194</v>
      </c>
      <c r="C543" s="71" t="s">
        <v>695</v>
      </c>
      <c r="D543" s="72" t="s">
        <v>108</v>
      </c>
      <c r="E543" s="73">
        <v>11004</v>
      </c>
      <c r="F543" s="74">
        <v>2000</v>
      </c>
      <c r="G543" s="70">
        <v>300</v>
      </c>
      <c r="H543" s="70">
        <v>50</v>
      </c>
      <c r="I543" s="72" t="s">
        <v>159</v>
      </c>
      <c r="J543" s="70">
        <v>2</v>
      </c>
      <c r="K543" s="70">
        <v>6</v>
      </c>
      <c r="L543" s="70">
        <v>20</v>
      </c>
      <c r="M543" s="6">
        <v>0</v>
      </c>
      <c r="N543" s="6">
        <v>0</v>
      </c>
      <c r="O543" s="6">
        <v>0</v>
      </c>
      <c r="P543">
        <v>1200</v>
      </c>
      <c r="Q543" s="70">
        <v>0</v>
      </c>
      <c r="R543" s="70">
        <v>0</v>
      </c>
      <c r="S543" s="70">
        <v>0</v>
      </c>
      <c r="T543" s="70">
        <v>0</v>
      </c>
      <c r="U543" s="70">
        <v>0</v>
      </c>
      <c r="V543" s="70">
        <v>0</v>
      </c>
      <c r="W543" s="70">
        <v>0</v>
      </c>
      <c r="X543" s="70">
        <v>3</v>
      </c>
      <c r="Y543" s="70">
        <v>0</v>
      </c>
      <c r="Z543" s="70">
        <v>0</v>
      </c>
      <c r="AA543" s="70">
        <v>0</v>
      </c>
      <c r="AB543" s="70">
        <v>0</v>
      </c>
      <c r="AC543" s="75">
        <v>0</v>
      </c>
      <c r="AD543" s="75">
        <v>0</v>
      </c>
      <c r="AE543" s="75">
        <v>0</v>
      </c>
      <c r="AF543" s="75">
        <v>12</v>
      </c>
      <c r="AG543" s="75">
        <v>0</v>
      </c>
      <c r="AH543" s="75">
        <v>3.0000000000000001E-3</v>
      </c>
      <c r="AI543" s="75">
        <v>0</v>
      </c>
      <c r="AJ543" s="75">
        <v>0</v>
      </c>
      <c r="AK543" s="75" t="s">
        <v>713</v>
      </c>
      <c r="AL543" s="70">
        <v>4</v>
      </c>
      <c r="AM543" s="41">
        <f>INDEX(Sheet5!$B$19:$G$33,MATCH(Sheet1!AQ543,Sheet5!$A$19:$A$33,0),MATCH(J543,Sheet5!$B$18:$G$18,0))</f>
        <v>3000</v>
      </c>
      <c r="AN543" s="70" t="s">
        <v>63</v>
      </c>
      <c r="AO543" s="70" t="s">
        <v>728</v>
      </c>
      <c r="AP543" s="70">
        <v>202513</v>
      </c>
      <c r="AQ543" s="13">
        <v>150</v>
      </c>
    </row>
    <row r="544" spans="1:43" s="102" customFormat="1" ht="16.5">
      <c r="A544" s="105">
        <v>2001</v>
      </c>
      <c r="B544" s="105" t="s">
        <v>2195</v>
      </c>
      <c r="C544" s="105" t="s">
        <v>708</v>
      </c>
      <c r="D544" s="105" t="s">
        <v>1493</v>
      </c>
      <c r="E544" s="106" t="s">
        <v>48</v>
      </c>
      <c r="F544" s="105">
        <v>200</v>
      </c>
      <c r="G544" s="105">
        <v>300</v>
      </c>
      <c r="H544" s="105">
        <v>50</v>
      </c>
      <c r="I544" s="105" t="s">
        <v>1494</v>
      </c>
      <c r="J544" s="105">
        <v>1</v>
      </c>
      <c r="K544" s="105">
        <v>2</v>
      </c>
      <c r="L544" s="105">
        <v>0</v>
      </c>
      <c r="M544" s="105">
        <v>0</v>
      </c>
      <c r="N544" s="105">
        <v>0</v>
      </c>
      <c r="O544">
        <v>40</v>
      </c>
      <c r="P544" s="105">
        <v>0</v>
      </c>
      <c r="Q544" s="105">
        <v>0</v>
      </c>
      <c r="R544" s="105">
        <v>0</v>
      </c>
      <c r="S544" s="105">
        <v>0</v>
      </c>
      <c r="T544" s="105">
        <v>0</v>
      </c>
      <c r="U544" s="105">
        <v>0</v>
      </c>
      <c r="V544" s="105">
        <v>0</v>
      </c>
      <c r="W544" s="105">
        <v>2</v>
      </c>
      <c r="X544" s="105">
        <v>0</v>
      </c>
      <c r="Y544" s="105">
        <v>0</v>
      </c>
      <c r="Z544" s="105">
        <v>0</v>
      </c>
      <c r="AA544" s="105">
        <v>0</v>
      </c>
      <c r="AB544" s="105">
        <v>0</v>
      </c>
      <c r="AC544" s="105">
        <v>0</v>
      </c>
      <c r="AD544" s="105">
        <v>0</v>
      </c>
      <c r="AE544" s="105">
        <v>8</v>
      </c>
      <c r="AF544" s="105">
        <v>0</v>
      </c>
      <c r="AG544" s="105">
        <v>0</v>
      </c>
      <c r="AH544" s="105">
        <v>0</v>
      </c>
      <c r="AI544" s="105">
        <v>0</v>
      </c>
      <c r="AJ544" s="105">
        <v>4.0000000000000001E-3</v>
      </c>
      <c r="AK544" s="105" t="s">
        <v>714</v>
      </c>
      <c r="AL544" s="105">
        <v>2</v>
      </c>
      <c r="AM544" s="41">
        <f>INDEX(Sheet5!$B$19:$G$33,MATCH(Sheet1!AQ544,Sheet5!$A$19:$A$33,0),MATCH(J544,Sheet5!$B$18:$G$18,0))</f>
        <v>100</v>
      </c>
      <c r="AN544" s="105" t="s">
        <v>48</v>
      </c>
      <c r="AO544" s="105" t="s">
        <v>757</v>
      </c>
      <c r="AP544" s="105">
        <v>2001</v>
      </c>
      <c r="AQ544" s="13">
        <v>10</v>
      </c>
    </row>
    <row r="545" spans="1:43" ht="16.5">
      <c r="A545" s="10">
        <v>2604</v>
      </c>
      <c r="B545" s="105" t="s">
        <v>2196</v>
      </c>
      <c r="C545" s="21" t="s">
        <v>708</v>
      </c>
      <c r="D545" s="12" t="s">
        <v>101</v>
      </c>
      <c r="E545" s="2" t="s">
        <v>66</v>
      </c>
      <c r="F545" s="64">
        <v>200</v>
      </c>
      <c r="G545" s="10">
        <v>300</v>
      </c>
      <c r="H545" s="10">
        <v>50</v>
      </c>
      <c r="I545" s="21" t="s">
        <v>717</v>
      </c>
      <c r="J545" s="10">
        <v>1</v>
      </c>
      <c r="K545" s="10">
        <v>2</v>
      </c>
      <c r="L545" s="10">
        <v>0</v>
      </c>
      <c r="M545" s="10">
        <v>0</v>
      </c>
      <c r="N545" s="10">
        <v>0</v>
      </c>
      <c r="O545">
        <v>80</v>
      </c>
      <c r="P545" s="10">
        <v>0</v>
      </c>
      <c r="Q545" s="10">
        <v>0</v>
      </c>
      <c r="R545" s="10">
        <v>0</v>
      </c>
      <c r="S545" s="10">
        <v>0</v>
      </c>
      <c r="T545" s="10">
        <v>0</v>
      </c>
      <c r="U545" s="10">
        <v>0</v>
      </c>
      <c r="V545" s="10">
        <v>0</v>
      </c>
      <c r="W545" s="10">
        <v>2</v>
      </c>
      <c r="X545" s="10">
        <v>0</v>
      </c>
      <c r="Y545" s="10">
        <v>0</v>
      </c>
      <c r="Z545" s="10">
        <v>0</v>
      </c>
      <c r="AA545" s="10">
        <v>0</v>
      </c>
      <c r="AB545" s="10">
        <v>0</v>
      </c>
      <c r="AC545" s="11">
        <v>0</v>
      </c>
      <c r="AD545" s="11">
        <v>0</v>
      </c>
      <c r="AE545" s="11">
        <v>8</v>
      </c>
      <c r="AF545" s="11">
        <v>0</v>
      </c>
      <c r="AG545" s="11">
        <v>0</v>
      </c>
      <c r="AH545" s="11">
        <v>0</v>
      </c>
      <c r="AI545" s="11">
        <v>0</v>
      </c>
      <c r="AJ545" s="11">
        <v>4.0000000000000001E-3</v>
      </c>
      <c r="AK545" s="11" t="s">
        <v>714</v>
      </c>
      <c r="AL545" s="10">
        <v>2</v>
      </c>
      <c r="AM545" s="41">
        <f>INDEX(Sheet5!$B$19:$G$33,MATCH(Sheet1!AQ545,Sheet5!$A$19:$A$33,0),MATCH(J545,Sheet5!$B$18:$G$18,0))</f>
        <v>200</v>
      </c>
      <c r="AN545" s="10" t="s">
        <v>48</v>
      </c>
      <c r="AO545" s="21" t="s">
        <v>757</v>
      </c>
      <c r="AP545" s="10">
        <v>200111</v>
      </c>
      <c r="AQ545" s="13">
        <v>20</v>
      </c>
    </row>
    <row r="546" spans="1:43" ht="16.5">
      <c r="A546" s="10">
        <v>2605</v>
      </c>
      <c r="B546" s="105" t="s">
        <v>2197</v>
      </c>
      <c r="C546" s="21" t="s">
        <v>708</v>
      </c>
      <c r="D546" s="12" t="s">
        <v>101</v>
      </c>
      <c r="E546" s="2" t="s">
        <v>66</v>
      </c>
      <c r="F546" s="64">
        <v>200</v>
      </c>
      <c r="G546" s="10">
        <v>300</v>
      </c>
      <c r="H546" s="10">
        <v>50</v>
      </c>
      <c r="I546" s="21" t="s">
        <v>717</v>
      </c>
      <c r="J546" s="10">
        <v>1</v>
      </c>
      <c r="K546" s="10">
        <v>2</v>
      </c>
      <c r="L546" s="10">
        <v>0</v>
      </c>
      <c r="M546" s="10">
        <v>0</v>
      </c>
      <c r="N546" s="10">
        <v>0</v>
      </c>
      <c r="O546">
        <v>120</v>
      </c>
      <c r="P546" s="10">
        <v>0</v>
      </c>
      <c r="Q546" s="10">
        <v>0</v>
      </c>
      <c r="R546" s="10">
        <v>0</v>
      </c>
      <c r="S546" s="10">
        <v>0</v>
      </c>
      <c r="T546" s="10">
        <v>0</v>
      </c>
      <c r="U546" s="10">
        <v>0</v>
      </c>
      <c r="V546" s="10">
        <v>0</v>
      </c>
      <c r="W546" s="10">
        <v>2</v>
      </c>
      <c r="X546" s="10">
        <v>0</v>
      </c>
      <c r="Y546" s="10">
        <v>0</v>
      </c>
      <c r="Z546" s="10">
        <v>0</v>
      </c>
      <c r="AA546" s="10">
        <v>0</v>
      </c>
      <c r="AB546" s="10">
        <v>0</v>
      </c>
      <c r="AC546" s="11">
        <v>0</v>
      </c>
      <c r="AD546" s="11">
        <v>0</v>
      </c>
      <c r="AE546" s="11">
        <v>8</v>
      </c>
      <c r="AF546" s="11">
        <v>0</v>
      </c>
      <c r="AG546" s="11">
        <v>0</v>
      </c>
      <c r="AH546" s="11">
        <v>0</v>
      </c>
      <c r="AI546" s="11">
        <v>0</v>
      </c>
      <c r="AJ546" s="11">
        <v>4.0000000000000001E-3</v>
      </c>
      <c r="AK546" s="11" t="s">
        <v>714</v>
      </c>
      <c r="AL546" s="10">
        <v>2</v>
      </c>
      <c r="AM546" s="41">
        <f>INDEX(Sheet5!$B$19:$G$33,MATCH(Sheet1!AQ546,Sheet5!$A$19:$A$33,0),MATCH(J546,Sheet5!$B$18:$G$18,0))</f>
        <v>300</v>
      </c>
      <c r="AN546" s="10" t="s">
        <v>48</v>
      </c>
      <c r="AO546" s="21" t="s">
        <v>757</v>
      </c>
      <c r="AP546" s="10">
        <v>200112</v>
      </c>
      <c r="AQ546" s="13">
        <v>30</v>
      </c>
    </row>
    <row r="547" spans="1:43" ht="16.5">
      <c r="A547" s="10">
        <v>2606</v>
      </c>
      <c r="B547" s="105" t="s">
        <v>2198</v>
      </c>
      <c r="C547" s="21" t="s">
        <v>708</v>
      </c>
      <c r="D547" s="12" t="s">
        <v>101</v>
      </c>
      <c r="E547" s="2" t="s">
        <v>66</v>
      </c>
      <c r="F547" s="64">
        <v>200</v>
      </c>
      <c r="G547" s="10">
        <v>300</v>
      </c>
      <c r="H547" s="10">
        <v>50</v>
      </c>
      <c r="I547" s="21" t="s">
        <v>717</v>
      </c>
      <c r="J547" s="10">
        <v>1</v>
      </c>
      <c r="K547" s="10">
        <v>2</v>
      </c>
      <c r="L547" s="10">
        <v>0</v>
      </c>
      <c r="M547" s="10">
        <v>0</v>
      </c>
      <c r="N547" s="10">
        <v>0</v>
      </c>
      <c r="O547">
        <v>160</v>
      </c>
      <c r="P547" s="10">
        <v>0</v>
      </c>
      <c r="Q547" s="10">
        <v>0</v>
      </c>
      <c r="R547" s="10">
        <v>0</v>
      </c>
      <c r="S547" s="10">
        <v>0</v>
      </c>
      <c r="T547" s="10">
        <v>0</v>
      </c>
      <c r="U547" s="10">
        <v>0</v>
      </c>
      <c r="V547" s="10">
        <v>0</v>
      </c>
      <c r="W547" s="10">
        <v>2</v>
      </c>
      <c r="X547" s="10">
        <v>0</v>
      </c>
      <c r="Y547" s="10">
        <v>0</v>
      </c>
      <c r="Z547" s="10">
        <v>0</v>
      </c>
      <c r="AA547" s="10">
        <v>0</v>
      </c>
      <c r="AB547" s="10">
        <v>0</v>
      </c>
      <c r="AC547" s="11">
        <v>0</v>
      </c>
      <c r="AD547" s="11">
        <v>0</v>
      </c>
      <c r="AE547" s="11">
        <v>8</v>
      </c>
      <c r="AF547" s="11">
        <v>0</v>
      </c>
      <c r="AG547" s="11">
        <v>0</v>
      </c>
      <c r="AH547" s="11">
        <v>0</v>
      </c>
      <c r="AI547" s="11">
        <v>0</v>
      </c>
      <c r="AJ547" s="11">
        <v>4.0000000000000001E-3</v>
      </c>
      <c r="AK547" s="11" t="s">
        <v>714</v>
      </c>
      <c r="AL547" s="10">
        <v>2</v>
      </c>
      <c r="AM547" s="41">
        <f>INDEX(Sheet5!$B$19:$G$33,MATCH(Sheet1!AQ547,Sheet5!$A$19:$A$33,0),MATCH(J547,Sheet5!$B$18:$G$18,0))</f>
        <v>400</v>
      </c>
      <c r="AN547" s="10" t="s">
        <v>48</v>
      </c>
      <c r="AO547" s="21" t="s">
        <v>757</v>
      </c>
      <c r="AP547" s="10">
        <v>200113</v>
      </c>
      <c r="AQ547" s="13">
        <v>40</v>
      </c>
    </row>
    <row r="548" spans="1:43" ht="16.5">
      <c r="A548" s="10">
        <v>2607</v>
      </c>
      <c r="B548" s="105" t="s">
        <v>2199</v>
      </c>
      <c r="C548" s="21" t="s">
        <v>708</v>
      </c>
      <c r="D548" s="12" t="s">
        <v>101</v>
      </c>
      <c r="E548" s="2" t="s">
        <v>66</v>
      </c>
      <c r="F548" s="64">
        <v>200</v>
      </c>
      <c r="G548" s="10">
        <v>300</v>
      </c>
      <c r="H548" s="10">
        <v>50</v>
      </c>
      <c r="I548" s="21" t="s">
        <v>717</v>
      </c>
      <c r="J548" s="10">
        <v>1</v>
      </c>
      <c r="K548" s="10">
        <v>2</v>
      </c>
      <c r="L548" s="10">
        <v>0</v>
      </c>
      <c r="M548" s="10">
        <v>0</v>
      </c>
      <c r="N548" s="10">
        <v>0</v>
      </c>
      <c r="O548">
        <v>200</v>
      </c>
      <c r="P548" s="10">
        <v>0</v>
      </c>
      <c r="Q548" s="10">
        <v>0</v>
      </c>
      <c r="R548" s="10">
        <v>0</v>
      </c>
      <c r="S548" s="10">
        <v>0</v>
      </c>
      <c r="T548" s="10">
        <v>0</v>
      </c>
      <c r="U548" s="10">
        <v>0</v>
      </c>
      <c r="V548" s="10">
        <v>0</v>
      </c>
      <c r="W548" s="10">
        <v>2</v>
      </c>
      <c r="X548" s="10">
        <v>0</v>
      </c>
      <c r="Y548" s="10">
        <v>0</v>
      </c>
      <c r="Z548" s="10">
        <v>0</v>
      </c>
      <c r="AA548" s="10">
        <v>0</v>
      </c>
      <c r="AB548" s="10">
        <v>0</v>
      </c>
      <c r="AC548" s="11">
        <v>0</v>
      </c>
      <c r="AD548" s="11">
        <v>0</v>
      </c>
      <c r="AE548" s="11">
        <v>8</v>
      </c>
      <c r="AF548" s="11">
        <v>0</v>
      </c>
      <c r="AG548" s="11">
        <v>0</v>
      </c>
      <c r="AH548" s="11">
        <v>0</v>
      </c>
      <c r="AI548" s="11">
        <v>0</v>
      </c>
      <c r="AJ548" s="11">
        <v>4.0000000000000001E-3</v>
      </c>
      <c r="AK548" s="11" t="s">
        <v>714</v>
      </c>
      <c r="AL548" s="10">
        <v>2</v>
      </c>
      <c r="AM548" s="41">
        <f>INDEX(Sheet5!$B$19:$G$33,MATCH(Sheet1!AQ548,Sheet5!$A$19:$A$33,0),MATCH(J548,Sheet5!$B$18:$G$18,0))</f>
        <v>500</v>
      </c>
      <c r="AN548" s="10" t="s">
        <v>48</v>
      </c>
      <c r="AO548" s="21" t="s">
        <v>757</v>
      </c>
      <c r="AP548" s="10">
        <v>200114</v>
      </c>
      <c r="AQ548" s="13">
        <v>50</v>
      </c>
    </row>
    <row r="549" spans="1:43" ht="16.5">
      <c r="A549" s="10">
        <v>2608</v>
      </c>
      <c r="B549" s="105" t="s">
        <v>2200</v>
      </c>
      <c r="C549" s="21" t="s">
        <v>708</v>
      </c>
      <c r="D549" s="12" t="s">
        <v>101</v>
      </c>
      <c r="E549" s="2" t="s">
        <v>66</v>
      </c>
      <c r="F549" s="64">
        <v>200</v>
      </c>
      <c r="G549" s="10">
        <v>300</v>
      </c>
      <c r="H549" s="10">
        <v>50</v>
      </c>
      <c r="I549" s="21" t="s">
        <v>717</v>
      </c>
      <c r="J549" s="10">
        <v>1</v>
      </c>
      <c r="K549" s="10">
        <v>2</v>
      </c>
      <c r="L549" s="10">
        <v>0</v>
      </c>
      <c r="M549" s="10">
        <v>0</v>
      </c>
      <c r="N549" s="10">
        <v>0</v>
      </c>
      <c r="O549">
        <v>240</v>
      </c>
      <c r="P549" s="10">
        <v>0</v>
      </c>
      <c r="Q549" s="10">
        <v>0</v>
      </c>
      <c r="R549" s="10">
        <v>0</v>
      </c>
      <c r="S549" s="10">
        <v>0</v>
      </c>
      <c r="T549" s="10">
        <v>0</v>
      </c>
      <c r="U549" s="10">
        <v>0</v>
      </c>
      <c r="V549" s="10">
        <v>0</v>
      </c>
      <c r="W549" s="10">
        <v>2</v>
      </c>
      <c r="X549" s="10">
        <v>0</v>
      </c>
      <c r="Y549" s="10">
        <v>0</v>
      </c>
      <c r="Z549" s="10">
        <v>0</v>
      </c>
      <c r="AA549" s="10">
        <v>0</v>
      </c>
      <c r="AB549" s="10">
        <v>0</v>
      </c>
      <c r="AC549" s="11">
        <v>0</v>
      </c>
      <c r="AD549" s="11">
        <v>0</v>
      </c>
      <c r="AE549" s="11">
        <v>8</v>
      </c>
      <c r="AF549" s="11">
        <v>0</v>
      </c>
      <c r="AG549" s="11">
        <v>0</v>
      </c>
      <c r="AH549" s="11">
        <v>0</v>
      </c>
      <c r="AI549" s="11">
        <v>0</v>
      </c>
      <c r="AJ549" s="11">
        <v>4.0000000000000001E-3</v>
      </c>
      <c r="AK549" s="11" t="s">
        <v>714</v>
      </c>
      <c r="AL549" s="10">
        <v>2</v>
      </c>
      <c r="AM549" s="41">
        <f>INDEX(Sheet5!$B$19:$G$33,MATCH(Sheet1!AQ549,Sheet5!$A$19:$A$33,0),MATCH(J549,Sheet5!$B$18:$G$18,0))</f>
        <v>600</v>
      </c>
      <c r="AN549" s="10" t="s">
        <v>48</v>
      </c>
      <c r="AO549" s="21" t="s">
        <v>757</v>
      </c>
      <c r="AP549" s="10">
        <v>200115</v>
      </c>
      <c r="AQ549" s="13">
        <v>60</v>
      </c>
    </row>
    <row r="550" spans="1:43" ht="16.5">
      <c r="A550" s="10">
        <v>2609</v>
      </c>
      <c r="B550" s="105" t="s">
        <v>2201</v>
      </c>
      <c r="C550" s="21" t="s">
        <v>708</v>
      </c>
      <c r="D550" s="12" t="s">
        <v>101</v>
      </c>
      <c r="E550" s="2" t="s">
        <v>66</v>
      </c>
      <c r="F550" s="64">
        <v>200</v>
      </c>
      <c r="G550" s="10">
        <v>300</v>
      </c>
      <c r="H550" s="10">
        <v>50</v>
      </c>
      <c r="I550" s="21" t="s">
        <v>717</v>
      </c>
      <c r="J550" s="10">
        <v>1</v>
      </c>
      <c r="K550" s="10">
        <v>2</v>
      </c>
      <c r="L550" s="10">
        <v>0</v>
      </c>
      <c r="M550" s="10">
        <v>0</v>
      </c>
      <c r="N550" s="10">
        <v>0</v>
      </c>
      <c r="O550">
        <v>280</v>
      </c>
      <c r="P550" s="10">
        <v>0</v>
      </c>
      <c r="Q550" s="10">
        <v>0</v>
      </c>
      <c r="R550" s="10">
        <v>0</v>
      </c>
      <c r="S550" s="10">
        <v>0</v>
      </c>
      <c r="T550" s="10">
        <v>0</v>
      </c>
      <c r="U550" s="10">
        <v>0</v>
      </c>
      <c r="V550" s="10">
        <v>0</v>
      </c>
      <c r="W550" s="10">
        <v>2</v>
      </c>
      <c r="X550" s="10">
        <v>0</v>
      </c>
      <c r="Y550" s="10">
        <v>0</v>
      </c>
      <c r="Z550" s="10">
        <v>0</v>
      </c>
      <c r="AA550" s="10">
        <v>0</v>
      </c>
      <c r="AB550" s="10">
        <v>0</v>
      </c>
      <c r="AC550" s="11">
        <v>0</v>
      </c>
      <c r="AD550" s="11">
        <v>0</v>
      </c>
      <c r="AE550" s="11">
        <v>8</v>
      </c>
      <c r="AF550" s="11">
        <v>0</v>
      </c>
      <c r="AG550" s="11">
        <v>0</v>
      </c>
      <c r="AH550" s="11">
        <v>0</v>
      </c>
      <c r="AI550" s="11">
        <v>0</v>
      </c>
      <c r="AJ550" s="11">
        <v>4.0000000000000001E-3</v>
      </c>
      <c r="AK550" s="11" t="s">
        <v>714</v>
      </c>
      <c r="AL550" s="10">
        <v>2</v>
      </c>
      <c r="AM550" s="41">
        <f>INDEX(Sheet5!$B$19:$G$33,MATCH(Sheet1!AQ550,Sheet5!$A$19:$A$33,0),MATCH(J550,Sheet5!$B$18:$G$18,0))</f>
        <v>700</v>
      </c>
      <c r="AN550" s="10" t="s">
        <v>48</v>
      </c>
      <c r="AO550" s="21" t="s">
        <v>757</v>
      </c>
      <c r="AP550" s="10">
        <v>200116</v>
      </c>
      <c r="AQ550" s="13">
        <v>70</v>
      </c>
    </row>
    <row r="551" spans="1:43" ht="16.5">
      <c r="A551" s="10">
        <v>2610</v>
      </c>
      <c r="B551" s="105" t="s">
        <v>2202</v>
      </c>
      <c r="C551" s="21" t="s">
        <v>708</v>
      </c>
      <c r="D551" s="12" t="s">
        <v>101</v>
      </c>
      <c r="E551" s="2" t="s">
        <v>66</v>
      </c>
      <c r="F551" s="64">
        <v>200</v>
      </c>
      <c r="G551" s="10">
        <v>300</v>
      </c>
      <c r="H551" s="10">
        <v>50</v>
      </c>
      <c r="I551" s="21" t="s">
        <v>717</v>
      </c>
      <c r="J551" s="10">
        <v>1</v>
      </c>
      <c r="K551" s="10">
        <v>2</v>
      </c>
      <c r="L551" s="10">
        <v>0</v>
      </c>
      <c r="M551" s="10">
        <v>0</v>
      </c>
      <c r="N551" s="10">
        <v>0</v>
      </c>
      <c r="O551">
        <v>320</v>
      </c>
      <c r="P551" s="10">
        <v>0</v>
      </c>
      <c r="Q551" s="10">
        <v>0</v>
      </c>
      <c r="R551" s="10">
        <v>0</v>
      </c>
      <c r="S551" s="10">
        <v>0</v>
      </c>
      <c r="T551" s="10">
        <v>0</v>
      </c>
      <c r="U551" s="10">
        <v>0</v>
      </c>
      <c r="V551" s="10">
        <v>0</v>
      </c>
      <c r="W551" s="10">
        <v>2</v>
      </c>
      <c r="X551" s="10">
        <v>0</v>
      </c>
      <c r="Y551" s="10">
        <v>0</v>
      </c>
      <c r="Z551" s="10">
        <v>0</v>
      </c>
      <c r="AA551" s="10">
        <v>0</v>
      </c>
      <c r="AB551" s="10">
        <v>0</v>
      </c>
      <c r="AC551" s="11">
        <v>0</v>
      </c>
      <c r="AD551" s="11">
        <v>0</v>
      </c>
      <c r="AE551" s="11">
        <v>8</v>
      </c>
      <c r="AF551" s="11">
        <v>0</v>
      </c>
      <c r="AG551" s="11">
        <v>0</v>
      </c>
      <c r="AH551" s="11">
        <v>0</v>
      </c>
      <c r="AI551" s="11">
        <v>0</v>
      </c>
      <c r="AJ551" s="11">
        <v>4.0000000000000001E-3</v>
      </c>
      <c r="AK551" s="11" t="s">
        <v>714</v>
      </c>
      <c r="AL551" s="10">
        <v>2</v>
      </c>
      <c r="AM551" s="41">
        <f>INDEX(Sheet5!$B$19:$G$33,MATCH(Sheet1!AQ551,Sheet5!$A$19:$A$33,0),MATCH(J551,Sheet5!$B$18:$G$18,0))</f>
        <v>800</v>
      </c>
      <c r="AN551" s="10" t="s">
        <v>48</v>
      </c>
      <c r="AO551" s="21" t="s">
        <v>757</v>
      </c>
      <c r="AP551" s="10">
        <v>200117</v>
      </c>
      <c r="AQ551" s="13">
        <v>80</v>
      </c>
    </row>
    <row r="552" spans="1:43" ht="16.5">
      <c r="A552" s="10">
        <v>2611</v>
      </c>
      <c r="B552" s="105" t="s">
        <v>2203</v>
      </c>
      <c r="C552" s="21" t="s">
        <v>708</v>
      </c>
      <c r="D552" s="12" t="s">
        <v>101</v>
      </c>
      <c r="E552" s="2" t="s">
        <v>66</v>
      </c>
      <c r="F552" s="64">
        <v>200</v>
      </c>
      <c r="G552" s="10">
        <v>300</v>
      </c>
      <c r="H552" s="10">
        <v>50</v>
      </c>
      <c r="I552" s="21" t="s">
        <v>717</v>
      </c>
      <c r="J552" s="10">
        <v>1</v>
      </c>
      <c r="K552" s="10">
        <v>2</v>
      </c>
      <c r="L552" s="10">
        <v>0</v>
      </c>
      <c r="M552" s="10">
        <v>0</v>
      </c>
      <c r="N552" s="10">
        <v>0</v>
      </c>
      <c r="O552">
        <v>360</v>
      </c>
      <c r="P552" s="10">
        <v>0</v>
      </c>
      <c r="Q552" s="10">
        <v>0</v>
      </c>
      <c r="R552" s="10">
        <v>0</v>
      </c>
      <c r="S552" s="10">
        <v>0</v>
      </c>
      <c r="T552" s="10">
        <v>0</v>
      </c>
      <c r="U552" s="10">
        <v>0</v>
      </c>
      <c r="V552" s="10">
        <v>0</v>
      </c>
      <c r="W552" s="10">
        <v>2</v>
      </c>
      <c r="X552" s="10">
        <v>0</v>
      </c>
      <c r="Y552" s="10">
        <v>0</v>
      </c>
      <c r="Z552" s="10">
        <v>0</v>
      </c>
      <c r="AA552" s="10">
        <v>0</v>
      </c>
      <c r="AB552" s="10">
        <v>0</v>
      </c>
      <c r="AC552" s="11">
        <v>0</v>
      </c>
      <c r="AD552" s="11">
        <v>0</v>
      </c>
      <c r="AE552" s="11">
        <v>8</v>
      </c>
      <c r="AF552" s="11">
        <v>0</v>
      </c>
      <c r="AG552" s="11">
        <v>0</v>
      </c>
      <c r="AH552" s="11">
        <v>0</v>
      </c>
      <c r="AI552" s="11">
        <v>0</v>
      </c>
      <c r="AJ552" s="11">
        <v>4.0000000000000001E-3</v>
      </c>
      <c r="AK552" s="11" t="s">
        <v>714</v>
      </c>
      <c r="AL552" s="10">
        <v>2</v>
      </c>
      <c r="AM552" s="41">
        <f>INDEX(Sheet5!$B$19:$G$33,MATCH(Sheet1!AQ552,Sheet5!$A$19:$A$33,0),MATCH(J552,Sheet5!$B$18:$G$18,0))</f>
        <v>900</v>
      </c>
      <c r="AN552" s="10" t="s">
        <v>48</v>
      </c>
      <c r="AO552" s="21" t="s">
        <v>757</v>
      </c>
      <c r="AP552" s="10">
        <v>200118</v>
      </c>
      <c r="AQ552" s="13">
        <v>90</v>
      </c>
    </row>
    <row r="553" spans="1:43" ht="16.5">
      <c r="A553" s="10">
        <v>2612</v>
      </c>
      <c r="B553" s="105" t="s">
        <v>2204</v>
      </c>
      <c r="C553" s="21" t="s">
        <v>708</v>
      </c>
      <c r="D553" s="12" t="s">
        <v>101</v>
      </c>
      <c r="E553" s="2" t="s">
        <v>66</v>
      </c>
      <c r="F553" s="64">
        <v>200</v>
      </c>
      <c r="G553" s="10">
        <v>300</v>
      </c>
      <c r="H553" s="10">
        <v>50</v>
      </c>
      <c r="I553" s="21" t="s">
        <v>717</v>
      </c>
      <c r="J553" s="10">
        <v>1</v>
      </c>
      <c r="K553" s="10">
        <v>2</v>
      </c>
      <c r="L553" s="10">
        <v>0</v>
      </c>
      <c r="M553" s="10">
        <v>0</v>
      </c>
      <c r="N553" s="10">
        <v>0</v>
      </c>
      <c r="O553">
        <v>400</v>
      </c>
      <c r="P553" s="10">
        <v>0</v>
      </c>
      <c r="Q553" s="10">
        <v>0</v>
      </c>
      <c r="R553" s="10">
        <v>0</v>
      </c>
      <c r="S553" s="10">
        <v>0</v>
      </c>
      <c r="T553" s="10">
        <v>0</v>
      </c>
      <c r="U553" s="10">
        <v>0</v>
      </c>
      <c r="V553" s="10">
        <v>0</v>
      </c>
      <c r="W553" s="10">
        <v>2</v>
      </c>
      <c r="X553" s="10">
        <v>0</v>
      </c>
      <c r="Y553" s="10">
        <v>0</v>
      </c>
      <c r="Z553" s="10">
        <v>0</v>
      </c>
      <c r="AA553" s="10">
        <v>0</v>
      </c>
      <c r="AB553" s="10">
        <v>0</v>
      </c>
      <c r="AC553" s="11">
        <v>0</v>
      </c>
      <c r="AD553" s="11">
        <v>0</v>
      </c>
      <c r="AE553" s="11">
        <v>8</v>
      </c>
      <c r="AF553" s="11">
        <v>0</v>
      </c>
      <c r="AG553" s="11">
        <v>0</v>
      </c>
      <c r="AH553" s="11">
        <v>0</v>
      </c>
      <c r="AI553" s="11">
        <v>0</v>
      </c>
      <c r="AJ553" s="11">
        <v>4.0000000000000001E-3</v>
      </c>
      <c r="AK553" s="11" t="s">
        <v>714</v>
      </c>
      <c r="AL553" s="10">
        <v>2</v>
      </c>
      <c r="AM553" s="41">
        <f>INDEX(Sheet5!$B$19:$G$33,MATCH(Sheet1!AQ553,Sheet5!$A$19:$A$33,0),MATCH(J553,Sheet5!$B$18:$G$18,0))</f>
        <v>1000</v>
      </c>
      <c r="AN553" s="10" t="s">
        <v>48</v>
      </c>
      <c r="AO553" s="21" t="s">
        <v>757</v>
      </c>
      <c r="AP553" s="10">
        <v>200119</v>
      </c>
      <c r="AQ553" s="13">
        <v>100</v>
      </c>
    </row>
    <row r="554" spans="1:43" ht="16.5">
      <c r="A554" s="10">
        <v>2613</v>
      </c>
      <c r="B554" s="105" t="s">
        <v>2205</v>
      </c>
      <c r="C554" s="21" t="s">
        <v>708</v>
      </c>
      <c r="D554" s="12" t="s">
        <v>101</v>
      </c>
      <c r="E554" s="2" t="s">
        <v>66</v>
      </c>
      <c r="F554" s="64">
        <v>200</v>
      </c>
      <c r="G554" s="10">
        <v>300</v>
      </c>
      <c r="H554" s="10">
        <v>50</v>
      </c>
      <c r="I554" s="21" t="s">
        <v>717</v>
      </c>
      <c r="J554" s="10">
        <v>1</v>
      </c>
      <c r="K554" s="10">
        <v>2</v>
      </c>
      <c r="L554" s="10">
        <v>0</v>
      </c>
      <c r="M554" s="10">
        <v>0</v>
      </c>
      <c r="N554" s="10">
        <v>0</v>
      </c>
      <c r="O554">
        <v>440</v>
      </c>
      <c r="P554" s="10">
        <v>0</v>
      </c>
      <c r="Q554" s="10">
        <v>0</v>
      </c>
      <c r="R554" s="10">
        <v>0</v>
      </c>
      <c r="S554" s="10">
        <v>0</v>
      </c>
      <c r="T554" s="10">
        <v>0</v>
      </c>
      <c r="U554" s="10">
        <v>0</v>
      </c>
      <c r="V554" s="10">
        <v>0</v>
      </c>
      <c r="W554" s="10">
        <v>2</v>
      </c>
      <c r="X554" s="10">
        <v>0</v>
      </c>
      <c r="Y554" s="10">
        <v>0</v>
      </c>
      <c r="Z554" s="10">
        <v>0</v>
      </c>
      <c r="AA554" s="10">
        <v>0</v>
      </c>
      <c r="AB554" s="10">
        <v>0</v>
      </c>
      <c r="AC554" s="11">
        <v>0</v>
      </c>
      <c r="AD554" s="11">
        <v>0</v>
      </c>
      <c r="AE554" s="11">
        <v>8</v>
      </c>
      <c r="AF554" s="11">
        <v>0</v>
      </c>
      <c r="AG554" s="11">
        <v>0</v>
      </c>
      <c r="AH554" s="11">
        <v>0</v>
      </c>
      <c r="AI554" s="11">
        <v>0</v>
      </c>
      <c r="AJ554" s="11">
        <v>4.0000000000000001E-3</v>
      </c>
      <c r="AK554" s="11" t="s">
        <v>714</v>
      </c>
      <c r="AL554" s="10">
        <v>2</v>
      </c>
      <c r="AM554" s="41">
        <f>INDEX(Sheet5!$B$19:$G$33,MATCH(Sheet1!AQ554,Sheet5!$A$19:$A$33,0),MATCH(J554,Sheet5!$B$18:$G$18,0))</f>
        <v>1100</v>
      </c>
      <c r="AN554" s="10" t="s">
        <v>48</v>
      </c>
      <c r="AO554" s="21" t="s">
        <v>757</v>
      </c>
      <c r="AP554" s="10">
        <v>200120</v>
      </c>
      <c r="AQ554" s="13">
        <v>110</v>
      </c>
    </row>
    <row r="555" spans="1:43" ht="16.5">
      <c r="A555" s="10">
        <v>2614</v>
      </c>
      <c r="B555" s="105" t="s">
        <v>2206</v>
      </c>
      <c r="C555" s="21" t="s">
        <v>708</v>
      </c>
      <c r="D555" s="12" t="s">
        <v>101</v>
      </c>
      <c r="E555" s="2" t="s">
        <v>66</v>
      </c>
      <c r="F555" s="64">
        <v>200</v>
      </c>
      <c r="G555" s="10">
        <v>300</v>
      </c>
      <c r="H555" s="10">
        <v>50</v>
      </c>
      <c r="I555" s="21" t="s">
        <v>717</v>
      </c>
      <c r="J555" s="10">
        <v>1</v>
      </c>
      <c r="K555" s="10">
        <v>2</v>
      </c>
      <c r="L555" s="10">
        <v>0</v>
      </c>
      <c r="M555" s="10">
        <v>0</v>
      </c>
      <c r="N555" s="10">
        <v>0</v>
      </c>
      <c r="O555">
        <v>480</v>
      </c>
      <c r="P555" s="10">
        <v>0</v>
      </c>
      <c r="Q555" s="10">
        <v>0</v>
      </c>
      <c r="R555" s="10">
        <v>0</v>
      </c>
      <c r="S555" s="10">
        <v>0</v>
      </c>
      <c r="T555" s="10">
        <v>0</v>
      </c>
      <c r="U555" s="10">
        <v>0</v>
      </c>
      <c r="V555" s="10">
        <v>0</v>
      </c>
      <c r="W555" s="10">
        <v>2</v>
      </c>
      <c r="X555" s="10">
        <v>0</v>
      </c>
      <c r="Y555" s="10">
        <v>0</v>
      </c>
      <c r="Z555" s="10">
        <v>0</v>
      </c>
      <c r="AA555" s="10">
        <v>0</v>
      </c>
      <c r="AB555" s="10">
        <v>0</v>
      </c>
      <c r="AC555" s="11">
        <v>0</v>
      </c>
      <c r="AD555" s="11">
        <v>0</v>
      </c>
      <c r="AE555" s="11">
        <v>8</v>
      </c>
      <c r="AF555" s="11">
        <v>0</v>
      </c>
      <c r="AG555" s="11">
        <v>0</v>
      </c>
      <c r="AH555" s="11">
        <v>0</v>
      </c>
      <c r="AI555" s="11">
        <v>0</v>
      </c>
      <c r="AJ555" s="11">
        <v>4.0000000000000001E-3</v>
      </c>
      <c r="AK555" s="11" t="s">
        <v>714</v>
      </c>
      <c r="AL555" s="10">
        <v>2</v>
      </c>
      <c r="AM555" s="41">
        <f>INDEX(Sheet5!$B$19:$G$33,MATCH(Sheet1!AQ555,Sheet5!$A$19:$A$33,0),MATCH(J555,Sheet5!$B$18:$G$18,0))</f>
        <v>1200</v>
      </c>
      <c r="AN555" s="10" t="s">
        <v>48</v>
      </c>
      <c r="AO555" s="21" t="s">
        <v>757</v>
      </c>
      <c r="AP555" s="10">
        <v>200121</v>
      </c>
      <c r="AQ555" s="13">
        <v>120</v>
      </c>
    </row>
    <row r="556" spans="1:43" ht="16.5">
      <c r="A556" s="10">
        <v>2615</v>
      </c>
      <c r="B556" s="105" t="s">
        <v>2207</v>
      </c>
      <c r="C556" s="21" t="s">
        <v>708</v>
      </c>
      <c r="D556" s="12" t="s">
        <v>101</v>
      </c>
      <c r="E556" s="2" t="s">
        <v>66</v>
      </c>
      <c r="F556" s="64">
        <v>200</v>
      </c>
      <c r="G556" s="10">
        <v>300</v>
      </c>
      <c r="H556" s="10">
        <v>50</v>
      </c>
      <c r="I556" s="21" t="s">
        <v>717</v>
      </c>
      <c r="J556" s="10">
        <v>1</v>
      </c>
      <c r="K556" s="10">
        <v>2</v>
      </c>
      <c r="L556" s="10">
        <v>0</v>
      </c>
      <c r="M556" s="10">
        <v>0</v>
      </c>
      <c r="N556" s="10">
        <v>0</v>
      </c>
      <c r="O556">
        <v>520</v>
      </c>
      <c r="P556" s="10">
        <v>0</v>
      </c>
      <c r="Q556" s="10">
        <v>0</v>
      </c>
      <c r="R556" s="10">
        <v>0</v>
      </c>
      <c r="S556" s="10">
        <v>0</v>
      </c>
      <c r="T556" s="10">
        <v>0</v>
      </c>
      <c r="U556" s="10">
        <v>0</v>
      </c>
      <c r="V556" s="10">
        <v>0</v>
      </c>
      <c r="W556" s="10">
        <v>2</v>
      </c>
      <c r="X556" s="10">
        <v>0</v>
      </c>
      <c r="Y556" s="10">
        <v>0</v>
      </c>
      <c r="Z556" s="10">
        <v>0</v>
      </c>
      <c r="AA556" s="10">
        <v>0</v>
      </c>
      <c r="AB556" s="10">
        <v>0</v>
      </c>
      <c r="AC556" s="11">
        <v>0</v>
      </c>
      <c r="AD556" s="11">
        <v>0</v>
      </c>
      <c r="AE556" s="11">
        <v>8</v>
      </c>
      <c r="AF556" s="11">
        <v>0</v>
      </c>
      <c r="AG556" s="11">
        <v>0</v>
      </c>
      <c r="AH556" s="11">
        <v>0</v>
      </c>
      <c r="AI556" s="11">
        <v>0</v>
      </c>
      <c r="AJ556" s="11">
        <v>4.0000000000000001E-3</v>
      </c>
      <c r="AK556" s="11" t="s">
        <v>714</v>
      </c>
      <c r="AL556" s="10">
        <v>2</v>
      </c>
      <c r="AM556" s="41">
        <f>INDEX(Sheet5!$B$19:$G$33,MATCH(Sheet1!AQ556,Sheet5!$A$19:$A$33,0),MATCH(J556,Sheet5!$B$18:$G$18,0))</f>
        <v>1300</v>
      </c>
      <c r="AN556" s="10" t="s">
        <v>48</v>
      </c>
      <c r="AO556" s="21" t="s">
        <v>757</v>
      </c>
      <c r="AP556" s="10">
        <v>200122</v>
      </c>
      <c r="AQ556" s="13">
        <v>130</v>
      </c>
    </row>
    <row r="557" spans="1:43" ht="16.5">
      <c r="A557" s="10">
        <v>2616</v>
      </c>
      <c r="B557" s="105" t="s">
        <v>2208</v>
      </c>
      <c r="C557" s="21" t="s">
        <v>708</v>
      </c>
      <c r="D557" s="12" t="s">
        <v>101</v>
      </c>
      <c r="E557" s="2" t="s">
        <v>66</v>
      </c>
      <c r="F557" s="64">
        <v>200</v>
      </c>
      <c r="G557" s="10">
        <v>300</v>
      </c>
      <c r="H557" s="10">
        <v>50</v>
      </c>
      <c r="I557" s="21" t="s">
        <v>717</v>
      </c>
      <c r="J557" s="10">
        <v>1</v>
      </c>
      <c r="K557" s="10">
        <v>2</v>
      </c>
      <c r="L557" s="10">
        <v>0</v>
      </c>
      <c r="M557" s="10">
        <v>0</v>
      </c>
      <c r="N557" s="10">
        <v>0</v>
      </c>
      <c r="O557">
        <v>560</v>
      </c>
      <c r="P557" s="10">
        <v>0</v>
      </c>
      <c r="Q557" s="10">
        <v>0</v>
      </c>
      <c r="R557" s="10">
        <v>0</v>
      </c>
      <c r="S557" s="10">
        <v>0</v>
      </c>
      <c r="T557" s="10">
        <v>0</v>
      </c>
      <c r="U557" s="10">
        <v>0</v>
      </c>
      <c r="V557" s="10">
        <v>0</v>
      </c>
      <c r="W557" s="10">
        <v>2</v>
      </c>
      <c r="X557" s="10">
        <v>0</v>
      </c>
      <c r="Y557" s="10">
        <v>0</v>
      </c>
      <c r="Z557" s="10">
        <v>0</v>
      </c>
      <c r="AA557" s="10">
        <v>0</v>
      </c>
      <c r="AB557" s="10">
        <v>0</v>
      </c>
      <c r="AC557" s="11">
        <v>0</v>
      </c>
      <c r="AD557" s="11">
        <v>0</v>
      </c>
      <c r="AE557" s="11">
        <v>8</v>
      </c>
      <c r="AF557" s="11">
        <v>0</v>
      </c>
      <c r="AG557" s="11">
        <v>0</v>
      </c>
      <c r="AH557" s="11">
        <v>0</v>
      </c>
      <c r="AI557" s="11">
        <v>0</v>
      </c>
      <c r="AJ557" s="11">
        <v>4.0000000000000001E-3</v>
      </c>
      <c r="AK557" s="11" t="s">
        <v>714</v>
      </c>
      <c r="AL557" s="10">
        <v>2</v>
      </c>
      <c r="AM557" s="41">
        <f>INDEX(Sheet5!$B$19:$G$33,MATCH(Sheet1!AQ557,Sheet5!$A$19:$A$33,0),MATCH(J557,Sheet5!$B$18:$G$18,0))</f>
        <v>1400</v>
      </c>
      <c r="AN557" s="10" t="s">
        <v>48</v>
      </c>
      <c r="AO557" s="21" t="s">
        <v>757</v>
      </c>
      <c r="AP557" s="10">
        <v>200123</v>
      </c>
      <c r="AQ557" s="13">
        <v>140</v>
      </c>
    </row>
    <row r="558" spans="1:43" ht="16.5">
      <c r="A558" s="10">
        <v>2617</v>
      </c>
      <c r="B558" s="105" t="s">
        <v>2209</v>
      </c>
      <c r="C558" s="21" t="s">
        <v>708</v>
      </c>
      <c r="D558" s="12" t="s">
        <v>101</v>
      </c>
      <c r="E558" s="2" t="s">
        <v>66</v>
      </c>
      <c r="F558" s="64">
        <v>200</v>
      </c>
      <c r="G558" s="10">
        <v>300</v>
      </c>
      <c r="H558" s="10">
        <v>50</v>
      </c>
      <c r="I558" s="21" t="s">
        <v>717</v>
      </c>
      <c r="J558" s="10">
        <v>1</v>
      </c>
      <c r="K558" s="10">
        <v>2</v>
      </c>
      <c r="L558" s="10">
        <v>0</v>
      </c>
      <c r="M558" s="10">
        <v>0</v>
      </c>
      <c r="N558" s="10">
        <v>0</v>
      </c>
      <c r="O558">
        <v>600</v>
      </c>
      <c r="P558" s="10">
        <v>0</v>
      </c>
      <c r="Q558" s="10">
        <v>0</v>
      </c>
      <c r="R558" s="10">
        <v>0</v>
      </c>
      <c r="S558" s="10">
        <v>0</v>
      </c>
      <c r="T558" s="10">
        <v>0</v>
      </c>
      <c r="U558" s="10">
        <v>0</v>
      </c>
      <c r="V558" s="10">
        <v>0</v>
      </c>
      <c r="W558" s="10">
        <v>2</v>
      </c>
      <c r="X558" s="10">
        <v>0</v>
      </c>
      <c r="Y558" s="10">
        <v>0</v>
      </c>
      <c r="Z558" s="10">
        <v>0</v>
      </c>
      <c r="AA558" s="10">
        <v>0</v>
      </c>
      <c r="AB558" s="10">
        <v>0</v>
      </c>
      <c r="AC558" s="11">
        <v>0</v>
      </c>
      <c r="AD558" s="11">
        <v>0</v>
      </c>
      <c r="AE558" s="11">
        <v>8</v>
      </c>
      <c r="AF558" s="11">
        <v>0</v>
      </c>
      <c r="AG558" s="11">
        <v>0</v>
      </c>
      <c r="AH558" s="11">
        <v>0</v>
      </c>
      <c r="AI558" s="11">
        <v>0</v>
      </c>
      <c r="AJ558" s="11">
        <v>4.0000000000000001E-3</v>
      </c>
      <c r="AK558" s="11" t="s">
        <v>714</v>
      </c>
      <c r="AL558" s="10">
        <v>2</v>
      </c>
      <c r="AM558" s="41">
        <f>INDEX(Sheet5!$B$19:$G$33,MATCH(Sheet1!AQ558,Sheet5!$A$19:$A$33,0),MATCH(J558,Sheet5!$B$18:$G$18,0))</f>
        <v>1500</v>
      </c>
      <c r="AN558" s="10" t="s">
        <v>48</v>
      </c>
      <c r="AO558" s="21" t="s">
        <v>757</v>
      </c>
      <c r="AP558" s="10">
        <v>200124</v>
      </c>
      <c r="AQ558" s="13">
        <v>150</v>
      </c>
    </row>
    <row r="559" spans="1:43" s="102" customFormat="1" ht="16.5">
      <c r="A559" s="105">
        <v>2002</v>
      </c>
      <c r="B559" s="105" t="s">
        <v>2210</v>
      </c>
      <c r="C559" s="105" t="s">
        <v>709</v>
      </c>
      <c r="D559" s="105" t="s">
        <v>102</v>
      </c>
      <c r="E559" s="106" t="s">
        <v>48</v>
      </c>
      <c r="F559" s="105">
        <v>200</v>
      </c>
      <c r="G559" s="105">
        <v>300</v>
      </c>
      <c r="H559" s="105">
        <v>50</v>
      </c>
      <c r="I559" s="105" t="s">
        <v>1495</v>
      </c>
      <c r="J559" s="105">
        <v>1</v>
      </c>
      <c r="K559" s="105">
        <v>2</v>
      </c>
      <c r="L559" s="105">
        <v>0</v>
      </c>
      <c r="M559" s="105">
        <v>0</v>
      </c>
      <c r="N559">
        <v>80</v>
      </c>
      <c r="O559" s="105">
        <v>0</v>
      </c>
      <c r="P559" s="105">
        <v>0</v>
      </c>
      <c r="Q559" s="105">
        <v>0</v>
      </c>
      <c r="R559" s="105">
        <v>0</v>
      </c>
      <c r="S559" s="105">
        <v>0</v>
      </c>
      <c r="T559" s="105">
        <v>0</v>
      </c>
      <c r="U559" s="105">
        <v>0</v>
      </c>
      <c r="V559" s="105">
        <v>4</v>
      </c>
      <c r="W559" s="105">
        <v>0</v>
      </c>
      <c r="X559" s="105">
        <v>0</v>
      </c>
      <c r="Y559" s="105">
        <v>0</v>
      </c>
      <c r="Z559" s="105">
        <v>0</v>
      </c>
      <c r="AA559" s="105">
        <v>0</v>
      </c>
      <c r="AB559" s="105">
        <v>0</v>
      </c>
      <c r="AC559" s="105">
        <v>0</v>
      </c>
      <c r="AD559" s="105">
        <v>16</v>
      </c>
      <c r="AE559" s="105">
        <v>0</v>
      </c>
      <c r="AF559" s="105">
        <v>0</v>
      </c>
      <c r="AG559" s="107">
        <v>0</v>
      </c>
      <c r="AH559" s="105">
        <v>0</v>
      </c>
      <c r="AI559" s="105">
        <v>4.0000000000000001E-3</v>
      </c>
      <c r="AJ559" s="105">
        <v>0</v>
      </c>
      <c r="AK559" s="105" t="s">
        <v>714</v>
      </c>
      <c r="AL559" s="105">
        <v>1</v>
      </c>
      <c r="AM559" s="41">
        <f>INDEX(Sheet5!$B$19:$G$33,MATCH(Sheet1!AQ559,Sheet5!$A$19:$A$33,0),MATCH(J559,Sheet5!$B$18:$G$18,0))</f>
        <v>100</v>
      </c>
      <c r="AN559" s="105" t="s">
        <v>48</v>
      </c>
      <c r="AO559" s="105" t="s">
        <v>758</v>
      </c>
      <c r="AP559" s="105">
        <v>2002</v>
      </c>
      <c r="AQ559" s="13">
        <v>10</v>
      </c>
    </row>
    <row r="560" spans="1:43" ht="16.5">
      <c r="A560" s="10">
        <v>2618</v>
      </c>
      <c r="B560" s="105" t="s">
        <v>2211</v>
      </c>
      <c r="C560" s="21" t="s">
        <v>709</v>
      </c>
      <c r="D560" s="12" t="s">
        <v>102</v>
      </c>
      <c r="E560" s="2" t="s">
        <v>66</v>
      </c>
      <c r="F560" s="64">
        <v>200</v>
      </c>
      <c r="G560" s="10">
        <v>300</v>
      </c>
      <c r="H560" s="10">
        <v>50</v>
      </c>
      <c r="I560" s="21" t="s">
        <v>716</v>
      </c>
      <c r="J560" s="10">
        <v>1</v>
      </c>
      <c r="K560" s="10">
        <v>2</v>
      </c>
      <c r="L560" s="10">
        <v>0</v>
      </c>
      <c r="M560" s="10">
        <v>0</v>
      </c>
      <c r="N560">
        <v>160</v>
      </c>
      <c r="O560" s="10">
        <v>0</v>
      </c>
      <c r="P560" s="10">
        <v>0</v>
      </c>
      <c r="Q560" s="10">
        <v>0</v>
      </c>
      <c r="R560" s="10">
        <v>0</v>
      </c>
      <c r="S560" s="10">
        <v>0</v>
      </c>
      <c r="T560" s="10">
        <v>0</v>
      </c>
      <c r="U560" s="10">
        <v>0</v>
      </c>
      <c r="V560" s="10">
        <v>4</v>
      </c>
      <c r="W560" s="10">
        <v>0</v>
      </c>
      <c r="X560" s="10">
        <v>0</v>
      </c>
      <c r="Y560" s="10">
        <v>0</v>
      </c>
      <c r="Z560" s="10">
        <v>0</v>
      </c>
      <c r="AA560" s="10">
        <v>0</v>
      </c>
      <c r="AB560" s="10">
        <v>0</v>
      </c>
      <c r="AC560" s="11">
        <v>0</v>
      </c>
      <c r="AD560" s="11">
        <v>16</v>
      </c>
      <c r="AE560" s="11">
        <v>0</v>
      </c>
      <c r="AF560" s="11">
        <v>0</v>
      </c>
      <c r="AG560" s="27">
        <v>0</v>
      </c>
      <c r="AH560" s="11">
        <v>0</v>
      </c>
      <c r="AI560" s="11">
        <v>4.0000000000000001E-3</v>
      </c>
      <c r="AJ560" s="11">
        <v>0</v>
      </c>
      <c r="AK560" s="11" t="s">
        <v>714</v>
      </c>
      <c r="AL560" s="10">
        <v>1</v>
      </c>
      <c r="AM560" s="41">
        <f>INDEX(Sheet5!$B$19:$G$33,MATCH(Sheet1!AQ560,Sheet5!$A$19:$A$33,0),MATCH(J560,Sheet5!$B$18:$G$18,0))</f>
        <v>200</v>
      </c>
      <c r="AN560" s="10" t="s">
        <v>48</v>
      </c>
      <c r="AO560" s="21" t="s">
        <v>758</v>
      </c>
      <c r="AP560" s="10">
        <v>200211</v>
      </c>
      <c r="AQ560" s="13">
        <v>20</v>
      </c>
    </row>
    <row r="561" spans="1:43" ht="16.5">
      <c r="A561" s="10">
        <v>2619</v>
      </c>
      <c r="B561" s="105" t="s">
        <v>2212</v>
      </c>
      <c r="C561" s="21" t="s">
        <v>709</v>
      </c>
      <c r="D561" s="12" t="s">
        <v>102</v>
      </c>
      <c r="E561" s="2" t="s">
        <v>66</v>
      </c>
      <c r="F561" s="64">
        <v>200</v>
      </c>
      <c r="G561" s="10">
        <v>300</v>
      </c>
      <c r="H561" s="10">
        <v>50</v>
      </c>
      <c r="I561" s="21" t="s">
        <v>716</v>
      </c>
      <c r="J561" s="10">
        <v>1</v>
      </c>
      <c r="K561" s="10">
        <v>2</v>
      </c>
      <c r="L561" s="10">
        <v>0</v>
      </c>
      <c r="M561" s="10">
        <v>0</v>
      </c>
      <c r="N561">
        <v>240</v>
      </c>
      <c r="O561" s="10">
        <v>0</v>
      </c>
      <c r="P561" s="10">
        <v>0</v>
      </c>
      <c r="Q561" s="10">
        <v>0</v>
      </c>
      <c r="R561" s="10">
        <v>0</v>
      </c>
      <c r="S561" s="10">
        <v>0</v>
      </c>
      <c r="T561" s="10">
        <v>0</v>
      </c>
      <c r="U561" s="10">
        <v>0</v>
      </c>
      <c r="V561" s="10">
        <v>4</v>
      </c>
      <c r="W561" s="10">
        <v>0</v>
      </c>
      <c r="X561" s="10">
        <v>0</v>
      </c>
      <c r="Y561" s="10">
        <v>0</v>
      </c>
      <c r="Z561" s="10">
        <v>0</v>
      </c>
      <c r="AA561" s="10">
        <v>0</v>
      </c>
      <c r="AB561" s="10">
        <v>0</v>
      </c>
      <c r="AC561" s="11">
        <v>0</v>
      </c>
      <c r="AD561" s="11">
        <v>16</v>
      </c>
      <c r="AE561" s="11">
        <v>0</v>
      </c>
      <c r="AF561" s="11">
        <v>0</v>
      </c>
      <c r="AG561" s="27">
        <v>0</v>
      </c>
      <c r="AH561" s="11">
        <v>0</v>
      </c>
      <c r="AI561" s="11">
        <v>4.0000000000000001E-3</v>
      </c>
      <c r="AJ561" s="11">
        <v>0</v>
      </c>
      <c r="AK561" s="11" t="s">
        <v>714</v>
      </c>
      <c r="AL561" s="10">
        <v>1</v>
      </c>
      <c r="AM561" s="41">
        <f>INDEX(Sheet5!$B$19:$G$33,MATCH(Sheet1!AQ561,Sheet5!$A$19:$A$33,0),MATCH(J561,Sheet5!$B$18:$G$18,0))</f>
        <v>300</v>
      </c>
      <c r="AN561" s="10" t="s">
        <v>48</v>
      </c>
      <c r="AO561" s="21" t="s">
        <v>758</v>
      </c>
      <c r="AP561" s="10">
        <v>200212</v>
      </c>
      <c r="AQ561" s="13">
        <v>30</v>
      </c>
    </row>
    <row r="562" spans="1:43" ht="16.5">
      <c r="A562" s="10">
        <v>2620</v>
      </c>
      <c r="B562" s="105" t="s">
        <v>2213</v>
      </c>
      <c r="C562" s="21" t="s">
        <v>709</v>
      </c>
      <c r="D562" s="12" t="s">
        <v>102</v>
      </c>
      <c r="E562" s="2" t="s">
        <v>66</v>
      </c>
      <c r="F562" s="64">
        <v>200</v>
      </c>
      <c r="G562" s="10">
        <v>300</v>
      </c>
      <c r="H562" s="10">
        <v>50</v>
      </c>
      <c r="I562" s="21" t="s">
        <v>716</v>
      </c>
      <c r="J562" s="10">
        <v>1</v>
      </c>
      <c r="K562" s="10">
        <v>2</v>
      </c>
      <c r="L562" s="10">
        <v>0</v>
      </c>
      <c r="M562" s="10">
        <v>0</v>
      </c>
      <c r="N562">
        <v>320</v>
      </c>
      <c r="O562" s="10">
        <v>0</v>
      </c>
      <c r="P562" s="10">
        <v>0</v>
      </c>
      <c r="Q562" s="10">
        <v>0</v>
      </c>
      <c r="R562" s="10">
        <v>0</v>
      </c>
      <c r="S562" s="10">
        <v>0</v>
      </c>
      <c r="T562" s="10">
        <v>0</v>
      </c>
      <c r="U562" s="10">
        <v>0</v>
      </c>
      <c r="V562" s="10">
        <v>4</v>
      </c>
      <c r="W562" s="10">
        <v>0</v>
      </c>
      <c r="X562" s="10">
        <v>0</v>
      </c>
      <c r="Y562" s="10">
        <v>0</v>
      </c>
      <c r="Z562" s="10">
        <v>0</v>
      </c>
      <c r="AA562" s="10">
        <v>0</v>
      </c>
      <c r="AB562" s="10">
        <v>0</v>
      </c>
      <c r="AC562" s="11">
        <v>0</v>
      </c>
      <c r="AD562" s="11">
        <v>16</v>
      </c>
      <c r="AE562" s="11">
        <v>0</v>
      </c>
      <c r="AF562" s="11">
        <v>0</v>
      </c>
      <c r="AG562" s="27">
        <v>0</v>
      </c>
      <c r="AH562" s="11">
        <v>0</v>
      </c>
      <c r="AI562" s="11">
        <v>4.0000000000000001E-3</v>
      </c>
      <c r="AJ562" s="11">
        <v>0</v>
      </c>
      <c r="AK562" s="11" t="s">
        <v>714</v>
      </c>
      <c r="AL562" s="10">
        <v>1</v>
      </c>
      <c r="AM562" s="41">
        <f>INDEX(Sheet5!$B$19:$G$33,MATCH(Sheet1!AQ562,Sheet5!$A$19:$A$33,0),MATCH(J562,Sheet5!$B$18:$G$18,0))</f>
        <v>400</v>
      </c>
      <c r="AN562" s="10" t="s">
        <v>48</v>
      </c>
      <c r="AO562" s="21" t="s">
        <v>758</v>
      </c>
      <c r="AP562" s="10">
        <v>200213</v>
      </c>
      <c r="AQ562" s="13">
        <v>40</v>
      </c>
    </row>
    <row r="563" spans="1:43" ht="16.5">
      <c r="A563" s="10">
        <v>2621</v>
      </c>
      <c r="B563" s="105" t="s">
        <v>2214</v>
      </c>
      <c r="C563" s="21" t="s">
        <v>709</v>
      </c>
      <c r="D563" s="12" t="s">
        <v>102</v>
      </c>
      <c r="E563" s="2" t="s">
        <v>66</v>
      </c>
      <c r="F563" s="64">
        <v>200</v>
      </c>
      <c r="G563" s="10">
        <v>300</v>
      </c>
      <c r="H563" s="10">
        <v>50</v>
      </c>
      <c r="I563" s="21" t="s">
        <v>716</v>
      </c>
      <c r="J563" s="10">
        <v>1</v>
      </c>
      <c r="K563" s="10">
        <v>2</v>
      </c>
      <c r="L563" s="10">
        <v>0</v>
      </c>
      <c r="M563" s="10">
        <v>0</v>
      </c>
      <c r="N563">
        <v>400</v>
      </c>
      <c r="O563" s="10">
        <v>0</v>
      </c>
      <c r="P563" s="10">
        <v>0</v>
      </c>
      <c r="Q563" s="10">
        <v>0</v>
      </c>
      <c r="R563" s="10">
        <v>0</v>
      </c>
      <c r="S563" s="10">
        <v>0</v>
      </c>
      <c r="T563" s="10">
        <v>0</v>
      </c>
      <c r="U563" s="10">
        <v>0</v>
      </c>
      <c r="V563" s="10">
        <v>4</v>
      </c>
      <c r="W563" s="10">
        <v>0</v>
      </c>
      <c r="X563" s="10">
        <v>0</v>
      </c>
      <c r="Y563" s="10">
        <v>0</v>
      </c>
      <c r="Z563" s="10">
        <v>0</v>
      </c>
      <c r="AA563" s="10">
        <v>0</v>
      </c>
      <c r="AB563" s="10">
        <v>0</v>
      </c>
      <c r="AC563" s="11">
        <v>0</v>
      </c>
      <c r="AD563" s="11">
        <v>16</v>
      </c>
      <c r="AE563" s="11">
        <v>0</v>
      </c>
      <c r="AF563" s="11">
        <v>0</v>
      </c>
      <c r="AG563" s="27">
        <v>0</v>
      </c>
      <c r="AH563" s="11">
        <v>0</v>
      </c>
      <c r="AI563" s="11">
        <v>4.0000000000000001E-3</v>
      </c>
      <c r="AJ563" s="11">
        <v>0</v>
      </c>
      <c r="AK563" s="11" t="s">
        <v>714</v>
      </c>
      <c r="AL563" s="10">
        <v>1</v>
      </c>
      <c r="AM563" s="41">
        <f>INDEX(Sheet5!$B$19:$G$33,MATCH(Sheet1!AQ563,Sheet5!$A$19:$A$33,0),MATCH(J563,Sheet5!$B$18:$G$18,0))</f>
        <v>500</v>
      </c>
      <c r="AN563" s="10" t="s">
        <v>48</v>
      </c>
      <c r="AO563" s="21" t="s">
        <v>758</v>
      </c>
      <c r="AP563" s="10">
        <v>200214</v>
      </c>
      <c r="AQ563" s="13">
        <v>50</v>
      </c>
    </row>
    <row r="564" spans="1:43" ht="16.5">
      <c r="A564" s="10">
        <v>2622</v>
      </c>
      <c r="B564" s="105" t="s">
        <v>2215</v>
      </c>
      <c r="C564" s="21" t="s">
        <v>709</v>
      </c>
      <c r="D564" s="12" t="s">
        <v>102</v>
      </c>
      <c r="E564" s="2" t="s">
        <v>66</v>
      </c>
      <c r="F564" s="64">
        <v>200</v>
      </c>
      <c r="G564" s="10">
        <v>300</v>
      </c>
      <c r="H564" s="10">
        <v>50</v>
      </c>
      <c r="I564" s="21" t="s">
        <v>716</v>
      </c>
      <c r="J564" s="10">
        <v>1</v>
      </c>
      <c r="K564" s="10">
        <v>2</v>
      </c>
      <c r="L564" s="10">
        <v>0</v>
      </c>
      <c r="M564" s="10">
        <v>0</v>
      </c>
      <c r="N564">
        <v>480</v>
      </c>
      <c r="O564" s="10">
        <v>0</v>
      </c>
      <c r="P564" s="10">
        <v>0</v>
      </c>
      <c r="Q564" s="10">
        <v>0</v>
      </c>
      <c r="R564" s="10">
        <v>0</v>
      </c>
      <c r="S564" s="10">
        <v>0</v>
      </c>
      <c r="T564" s="10">
        <v>0</v>
      </c>
      <c r="U564" s="10">
        <v>0</v>
      </c>
      <c r="V564" s="10">
        <v>4</v>
      </c>
      <c r="W564" s="10">
        <v>0</v>
      </c>
      <c r="X564" s="10">
        <v>0</v>
      </c>
      <c r="Y564" s="10">
        <v>0</v>
      </c>
      <c r="Z564" s="10">
        <v>0</v>
      </c>
      <c r="AA564" s="10">
        <v>0</v>
      </c>
      <c r="AB564" s="10">
        <v>0</v>
      </c>
      <c r="AC564" s="11">
        <v>0</v>
      </c>
      <c r="AD564" s="11">
        <v>16</v>
      </c>
      <c r="AE564" s="11">
        <v>0</v>
      </c>
      <c r="AF564" s="11">
        <v>0</v>
      </c>
      <c r="AG564" s="27">
        <v>0</v>
      </c>
      <c r="AH564" s="11">
        <v>0</v>
      </c>
      <c r="AI564" s="11">
        <v>4.0000000000000001E-3</v>
      </c>
      <c r="AJ564" s="11">
        <v>0</v>
      </c>
      <c r="AK564" s="11" t="s">
        <v>714</v>
      </c>
      <c r="AL564" s="10">
        <v>1</v>
      </c>
      <c r="AM564" s="41">
        <f>INDEX(Sheet5!$B$19:$G$33,MATCH(Sheet1!AQ564,Sheet5!$A$19:$A$33,0),MATCH(J564,Sheet5!$B$18:$G$18,0))</f>
        <v>600</v>
      </c>
      <c r="AN564" s="10" t="s">
        <v>48</v>
      </c>
      <c r="AO564" s="21" t="s">
        <v>758</v>
      </c>
      <c r="AP564" s="10">
        <v>200215</v>
      </c>
      <c r="AQ564" s="13">
        <v>60</v>
      </c>
    </row>
    <row r="565" spans="1:43" ht="16.5">
      <c r="A565" s="10">
        <v>2623</v>
      </c>
      <c r="B565" s="105" t="s">
        <v>2216</v>
      </c>
      <c r="C565" s="21" t="s">
        <v>709</v>
      </c>
      <c r="D565" s="12" t="s">
        <v>102</v>
      </c>
      <c r="E565" s="2" t="s">
        <v>66</v>
      </c>
      <c r="F565" s="64">
        <v>200</v>
      </c>
      <c r="G565" s="10">
        <v>300</v>
      </c>
      <c r="H565" s="10">
        <v>50</v>
      </c>
      <c r="I565" s="21" t="s">
        <v>716</v>
      </c>
      <c r="J565" s="10">
        <v>1</v>
      </c>
      <c r="K565" s="10">
        <v>2</v>
      </c>
      <c r="L565" s="10">
        <v>0</v>
      </c>
      <c r="M565" s="10">
        <v>0</v>
      </c>
      <c r="N565">
        <v>560</v>
      </c>
      <c r="O565" s="10">
        <v>0</v>
      </c>
      <c r="P565" s="10">
        <v>0</v>
      </c>
      <c r="Q565" s="10">
        <v>0</v>
      </c>
      <c r="R565" s="10">
        <v>0</v>
      </c>
      <c r="S565" s="10">
        <v>0</v>
      </c>
      <c r="T565" s="10">
        <v>0</v>
      </c>
      <c r="U565" s="10">
        <v>0</v>
      </c>
      <c r="V565" s="10">
        <v>4</v>
      </c>
      <c r="W565" s="10">
        <v>0</v>
      </c>
      <c r="X565" s="10">
        <v>0</v>
      </c>
      <c r="Y565" s="10">
        <v>0</v>
      </c>
      <c r="Z565" s="10">
        <v>0</v>
      </c>
      <c r="AA565" s="10">
        <v>0</v>
      </c>
      <c r="AB565" s="10">
        <v>0</v>
      </c>
      <c r="AC565" s="11">
        <v>0</v>
      </c>
      <c r="AD565" s="11">
        <v>16</v>
      </c>
      <c r="AE565" s="11">
        <v>0</v>
      </c>
      <c r="AF565" s="11">
        <v>0</v>
      </c>
      <c r="AG565" s="27">
        <v>0</v>
      </c>
      <c r="AH565" s="11">
        <v>0</v>
      </c>
      <c r="AI565" s="11">
        <v>4.0000000000000001E-3</v>
      </c>
      <c r="AJ565" s="11">
        <v>0</v>
      </c>
      <c r="AK565" s="11" t="s">
        <v>714</v>
      </c>
      <c r="AL565" s="10">
        <v>1</v>
      </c>
      <c r="AM565" s="41">
        <f>INDEX(Sheet5!$B$19:$G$33,MATCH(Sheet1!AQ565,Sheet5!$A$19:$A$33,0),MATCH(J565,Sheet5!$B$18:$G$18,0))</f>
        <v>700</v>
      </c>
      <c r="AN565" s="10" t="s">
        <v>48</v>
      </c>
      <c r="AO565" s="21" t="s">
        <v>758</v>
      </c>
      <c r="AP565" s="10">
        <v>200216</v>
      </c>
      <c r="AQ565" s="13">
        <v>70</v>
      </c>
    </row>
    <row r="566" spans="1:43" ht="16.5">
      <c r="A566" s="10">
        <v>2624</v>
      </c>
      <c r="B566" s="105" t="s">
        <v>2217</v>
      </c>
      <c r="C566" s="21" t="s">
        <v>709</v>
      </c>
      <c r="D566" s="12" t="s">
        <v>102</v>
      </c>
      <c r="E566" s="2" t="s">
        <v>66</v>
      </c>
      <c r="F566" s="64">
        <v>200</v>
      </c>
      <c r="G566" s="10">
        <v>300</v>
      </c>
      <c r="H566" s="10">
        <v>50</v>
      </c>
      <c r="I566" s="21" t="s">
        <v>716</v>
      </c>
      <c r="J566" s="10">
        <v>1</v>
      </c>
      <c r="K566" s="10">
        <v>2</v>
      </c>
      <c r="L566" s="10">
        <v>0</v>
      </c>
      <c r="M566" s="10">
        <v>0</v>
      </c>
      <c r="N566">
        <v>640</v>
      </c>
      <c r="O566" s="10">
        <v>0</v>
      </c>
      <c r="P566" s="10">
        <v>0</v>
      </c>
      <c r="Q566" s="10">
        <v>0</v>
      </c>
      <c r="R566" s="10">
        <v>0</v>
      </c>
      <c r="S566" s="10">
        <v>0</v>
      </c>
      <c r="T566" s="10">
        <v>0</v>
      </c>
      <c r="U566" s="10">
        <v>0</v>
      </c>
      <c r="V566" s="10">
        <v>4</v>
      </c>
      <c r="W566" s="10">
        <v>0</v>
      </c>
      <c r="X566" s="10">
        <v>0</v>
      </c>
      <c r="Y566" s="10">
        <v>0</v>
      </c>
      <c r="Z566" s="10">
        <v>0</v>
      </c>
      <c r="AA566" s="10">
        <v>0</v>
      </c>
      <c r="AB566" s="10">
        <v>0</v>
      </c>
      <c r="AC566" s="11">
        <v>0</v>
      </c>
      <c r="AD566" s="11">
        <v>16</v>
      </c>
      <c r="AE566" s="11">
        <v>0</v>
      </c>
      <c r="AF566" s="11">
        <v>0</v>
      </c>
      <c r="AG566" s="27">
        <v>0</v>
      </c>
      <c r="AH566" s="11">
        <v>0</v>
      </c>
      <c r="AI566" s="11">
        <v>4.0000000000000001E-3</v>
      </c>
      <c r="AJ566" s="11">
        <v>0</v>
      </c>
      <c r="AK566" s="11" t="s">
        <v>714</v>
      </c>
      <c r="AL566" s="10">
        <v>1</v>
      </c>
      <c r="AM566" s="41">
        <f>INDEX(Sheet5!$B$19:$G$33,MATCH(Sheet1!AQ566,Sheet5!$A$19:$A$33,0),MATCH(J566,Sheet5!$B$18:$G$18,0))</f>
        <v>800</v>
      </c>
      <c r="AN566" s="10" t="s">
        <v>48</v>
      </c>
      <c r="AO566" s="21" t="s">
        <v>758</v>
      </c>
      <c r="AP566" s="10">
        <v>200217</v>
      </c>
      <c r="AQ566" s="13">
        <v>80</v>
      </c>
    </row>
    <row r="567" spans="1:43" ht="16.5">
      <c r="A567" s="10">
        <v>2625</v>
      </c>
      <c r="B567" s="105" t="s">
        <v>2218</v>
      </c>
      <c r="C567" s="21" t="s">
        <v>709</v>
      </c>
      <c r="D567" s="12" t="s">
        <v>102</v>
      </c>
      <c r="E567" s="2" t="s">
        <v>66</v>
      </c>
      <c r="F567" s="64">
        <v>200</v>
      </c>
      <c r="G567" s="10">
        <v>300</v>
      </c>
      <c r="H567" s="10">
        <v>50</v>
      </c>
      <c r="I567" s="21" t="s">
        <v>716</v>
      </c>
      <c r="J567" s="10">
        <v>1</v>
      </c>
      <c r="K567" s="10">
        <v>2</v>
      </c>
      <c r="L567" s="10">
        <v>0</v>
      </c>
      <c r="M567" s="10">
        <v>0</v>
      </c>
      <c r="N567">
        <v>720</v>
      </c>
      <c r="O567" s="10">
        <v>0</v>
      </c>
      <c r="P567" s="10">
        <v>0</v>
      </c>
      <c r="Q567" s="10">
        <v>0</v>
      </c>
      <c r="R567" s="10">
        <v>0</v>
      </c>
      <c r="S567" s="10">
        <v>0</v>
      </c>
      <c r="T567" s="10">
        <v>0</v>
      </c>
      <c r="U567" s="10">
        <v>0</v>
      </c>
      <c r="V567" s="10">
        <v>4</v>
      </c>
      <c r="W567" s="10">
        <v>0</v>
      </c>
      <c r="X567" s="10">
        <v>0</v>
      </c>
      <c r="Y567" s="10">
        <v>0</v>
      </c>
      <c r="Z567" s="10">
        <v>0</v>
      </c>
      <c r="AA567" s="10">
        <v>0</v>
      </c>
      <c r="AB567" s="10">
        <v>0</v>
      </c>
      <c r="AC567" s="11">
        <v>0</v>
      </c>
      <c r="AD567" s="11">
        <v>16</v>
      </c>
      <c r="AE567" s="11">
        <v>0</v>
      </c>
      <c r="AF567" s="11">
        <v>0</v>
      </c>
      <c r="AG567" s="27">
        <v>0</v>
      </c>
      <c r="AH567" s="11">
        <v>0</v>
      </c>
      <c r="AI567" s="11">
        <v>4.0000000000000001E-3</v>
      </c>
      <c r="AJ567" s="11">
        <v>0</v>
      </c>
      <c r="AK567" s="11" t="s">
        <v>714</v>
      </c>
      <c r="AL567" s="10">
        <v>1</v>
      </c>
      <c r="AM567" s="41">
        <f>INDEX(Sheet5!$B$19:$G$33,MATCH(Sheet1!AQ567,Sheet5!$A$19:$A$33,0),MATCH(J567,Sheet5!$B$18:$G$18,0))</f>
        <v>900</v>
      </c>
      <c r="AN567" s="10" t="s">
        <v>48</v>
      </c>
      <c r="AO567" s="21" t="s">
        <v>758</v>
      </c>
      <c r="AP567" s="10">
        <v>200218</v>
      </c>
      <c r="AQ567" s="13">
        <v>90</v>
      </c>
    </row>
    <row r="568" spans="1:43" ht="16.5">
      <c r="A568" s="10">
        <v>2626</v>
      </c>
      <c r="B568" s="105" t="s">
        <v>2219</v>
      </c>
      <c r="C568" s="21" t="s">
        <v>709</v>
      </c>
      <c r="D568" s="12" t="s">
        <v>102</v>
      </c>
      <c r="E568" s="2" t="s">
        <v>66</v>
      </c>
      <c r="F568" s="64">
        <v>200</v>
      </c>
      <c r="G568" s="10">
        <v>300</v>
      </c>
      <c r="H568" s="10">
        <v>50</v>
      </c>
      <c r="I568" s="21" t="s">
        <v>716</v>
      </c>
      <c r="J568" s="10">
        <v>1</v>
      </c>
      <c r="K568" s="10">
        <v>2</v>
      </c>
      <c r="L568" s="10">
        <v>0</v>
      </c>
      <c r="M568" s="10">
        <v>0</v>
      </c>
      <c r="N568">
        <v>800</v>
      </c>
      <c r="O568" s="10">
        <v>0</v>
      </c>
      <c r="P568" s="10">
        <v>0</v>
      </c>
      <c r="Q568" s="10">
        <v>0</v>
      </c>
      <c r="R568" s="10">
        <v>0</v>
      </c>
      <c r="S568" s="10">
        <v>0</v>
      </c>
      <c r="T568" s="10">
        <v>0</v>
      </c>
      <c r="U568" s="10">
        <v>0</v>
      </c>
      <c r="V568" s="10">
        <v>4</v>
      </c>
      <c r="W568" s="10">
        <v>0</v>
      </c>
      <c r="X568" s="10">
        <v>0</v>
      </c>
      <c r="Y568" s="10">
        <v>0</v>
      </c>
      <c r="Z568" s="10">
        <v>0</v>
      </c>
      <c r="AA568" s="10">
        <v>0</v>
      </c>
      <c r="AB568" s="10">
        <v>0</v>
      </c>
      <c r="AC568" s="11">
        <v>0</v>
      </c>
      <c r="AD568" s="11">
        <v>16</v>
      </c>
      <c r="AE568" s="11">
        <v>0</v>
      </c>
      <c r="AF568" s="11">
        <v>0</v>
      </c>
      <c r="AG568" s="27">
        <v>0</v>
      </c>
      <c r="AH568" s="11">
        <v>0</v>
      </c>
      <c r="AI568" s="11">
        <v>4.0000000000000001E-3</v>
      </c>
      <c r="AJ568" s="11">
        <v>0</v>
      </c>
      <c r="AK568" s="11" t="s">
        <v>714</v>
      </c>
      <c r="AL568" s="10">
        <v>1</v>
      </c>
      <c r="AM568" s="41">
        <f>INDEX(Sheet5!$B$19:$G$33,MATCH(Sheet1!AQ568,Sheet5!$A$19:$A$33,0),MATCH(J568,Sheet5!$B$18:$G$18,0))</f>
        <v>1000</v>
      </c>
      <c r="AN568" s="10" t="s">
        <v>48</v>
      </c>
      <c r="AO568" s="21" t="s">
        <v>758</v>
      </c>
      <c r="AP568" s="10">
        <v>200219</v>
      </c>
      <c r="AQ568" s="13">
        <v>100</v>
      </c>
    </row>
    <row r="569" spans="1:43" ht="16.5">
      <c r="A569" s="10">
        <v>2627</v>
      </c>
      <c r="B569" s="105" t="s">
        <v>2220</v>
      </c>
      <c r="C569" s="21" t="s">
        <v>709</v>
      </c>
      <c r="D569" s="12" t="s">
        <v>102</v>
      </c>
      <c r="E569" s="2" t="s">
        <v>66</v>
      </c>
      <c r="F569" s="64">
        <v>200</v>
      </c>
      <c r="G569" s="10">
        <v>300</v>
      </c>
      <c r="H569" s="10">
        <v>50</v>
      </c>
      <c r="I569" s="21" t="s">
        <v>716</v>
      </c>
      <c r="J569" s="10">
        <v>1</v>
      </c>
      <c r="K569" s="10">
        <v>2</v>
      </c>
      <c r="L569" s="10">
        <v>0</v>
      </c>
      <c r="M569" s="10">
        <v>0</v>
      </c>
      <c r="N569">
        <v>880</v>
      </c>
      <c r="O569" s="10">
        <v>0</v>
      </c>
      <c r="P569" s="10">
        <v>0</v>
      </c>
      <c r="Q569" s="10">
        <v>0</v>
      </c>
      <c r="R569" s="10">
        <v>0</v>
      </c>
      <c r="S569" s="10">
        <v>0</v>
      </c>
      <c r="T569" s="10">
        <v>0</v>
      </c>
      <c r="U569" s="10">
        <v>0</v>
      </c>
      <c r="V569" s="10">
        <v>4</v>
      </c>
      <c r="W569" s="10">
        <v>0</v>
      </c>
      <c r="X569" s="10">
        <v>0</v>
      </c>
      <c r="Y569" s="10">
        <v>0</v>
      </c>
      <c r="Z569" s="10">
        <v>0</v>
      </c>
      <c r="AA569" s="10">
        <v>0</v>
      </c>
      <c r="AB569" s="10">
        <v>0</v>
      </c>
      <c r="AC569" s="11">
        <v>0</v>
      </c>
      <c r="AD569" s="11">
        <v>16</v>
      </c>
      <c r="AE569" s="11">
        <v>0</v>
      </c>
      <c r="AF569" s="11">
        <v>0</v>
      </c>
      <c r="AG569" s="27">
        <v>0</v>
      </c>
      <c r="AH569" s="11">
        <v>0</v>
      </c>
      <c r="AI569" s="11">
        <v>4.0000000000000001E-3</v>
      </c>
      <c r="AJ569" s="11">
        <v>0</v>
      </c>
      <c r="AK569" s="11" t="s">
        <v>714</v>
      </c>
      <c r="AL569" s="10">
        <v>1</v>
      </c>
      <c r="AM569" s="41">
        <f>INDEX(Sheet5!$B$19:$G$33,MATCH(Sheet1!AQ569,Sheet5!$A$19:$A$33,0),MATCH(J569,Sheet5!$B$18:$G$18,0))</f>
        <v>1100</v>
      </c>
      <c r="AN569" s="10" t="s">
        <v>48</v>
      </c>
      <c r="AO569" s="21" t="s">
        <v>758</v>
      </c>
      <c r="AP569" s="10">
        <v>200220</v>
      </c>
      <c r="AQ569" s="13">
        <v>110</v>
      </c>
    </row>
    <row r="570" spans="1:43" ht="16.5">
      <c r="A570" s="10">
        <v>2628</v>
      </c>
      <c r="B570" s="105" t="s">
        <v>2221</v>
      </c>
      <c r="C570" s="21" t="s">
        <v>709</v>
      </c>
      <c r="D570" s="12" t="s">
        <v>102</v>
      </c>
      <c r="E570" s="2" t="s">
        <v>66</v>
      </c>
      <c r="F570" s="64">
        <v>200</v>
      </c>
      <c r="G570" s="10">
        <v>300</v>
      </c>
      <c r="H570" s="10">
        <v>50</v>
      </c>
      <c r="I570" s="21" t="s">
        <v>716</v>
      </c>
      <c r="J570" s="10">
        <v>1</v>
      </c>
      <c r="K570" s="10">
        <v>2</v>
      </c>
      <c r="L570" s="10">
        <v>0</v>
      </c>
      <c r="M570" s="10">
        <v>0</v>
      </c>
      <c r="N570">
        <v>960</v>
      </c>
      <c r="O570" s="10">
        <v>0</v>
      </c>
      <c r="P570" s="10">
        <v>0</v>
      </c>
      <c r="Q570" s="10">
        <v>0</v>
      </c>
      <c r="R570" s="10">
        <v>0</v>
      </c>
      <c r="S570" s="10">
        <v>0</v>
      </c>
      <c r="T570" s="10">
        <v>0</v>
      </c>
      <c r="U570" s="10">
        <v>0</v>
      </c>
      <c r="V570" s="10">
        <v>4</v>
      </c>
      <c r="W570" s="10">
        <v>0</v>
      </c>
      <c r="X570" s="10">
        <v>0</v>
      </c>
      <c r="Y570" s="10">
        <v>0</v>
      </c>
      <c r="Z570" s="10">
        <v>0</v>
      </c>
      <c r="AA570" s="10">
        <v>0</v>
      </c>
      <c r="AB570" s="10">
        <v>0</v>
      </c>
      <c r="AC570" s="11">
        <v>0</v>
      </c>
      <c r="AD570" s="11">
        <v>16</v>
      </c>
      <c r="AE570" s="11">
        <v>0</v>
      </c>
      <c r="AF570" s="11">
        <v>0</v>
      </c>
      <c r="AG570" s="27">
        <v>0</v>
      </c>
      <c r="AH570" s="11">
        <v>0</v>
      </c>
      <c r="AI570" s="11">
        <v>4.0000000000000001E-3</v>
      </c>
      <c r="AJ570" s="11">
        <v>0</v>
      </c>
      <c r="AK570" s="11" t="s">
        <v>714</v>
      </c>
      <c r="AL570" s="10">
        <v>1</v>
      </c>
      <c r="AM570" s="41">
        <f>INDEX(Sheet5!$B$19:$G$33,MATCH(Sheet1!AQ570,Sheet5!$A$19:$A$33,0),MATCH(J570,Sheet5!$B$18:$G$18,0))</f>
        <v>1200</v>
      </c>
      <c r="AN570" s="10" t="s">
        <v>48</v>
      </c>
      <c r="AO570" s="21" t="s">
        <v>758</v>
      </c>
      <c r="AP570" s="10">
        <v>200221</v>
      </c>
      <c r="AQ570" s="13">
        <v>120</v>
      </c>
    </row>
    <row r="571" spans="1:43" ht="16.5">
      <c r="A571" s="10">
        <v>2629</v>
      </c>
      <c r="B571" s="105" t="s">
        <v>2222</v>
      </c>
      <c r="C571" s="21" t="s">
        <v>709</v>
      </c>
      <c r="D571" s="12" t="s">
        <v>102</v>
      </c>
      <c r="E571" s="2" t="s">
        <v>66</v>
      </c>
      <c r="F571" s="64">
        <v>200</v>
      </c>
      <c r="G571" s="10">
        <v>300</v>
      </c>
      <c r="H571" s="10">
        <v>50</v>
      </c>
      <c r="I571" s="21" t="s">
        <v>716</v>
      </c>
      <c r="J571" s="10">
        <v>1</v>
      </c>
      <c r="K571" s="10">
        <v>2</v>
      </c>
      <c r="L571" s="10">
        <v>0</v>
      </c>
      <c r="M571" s="10">
        <v>0</v>
      </c>
      <c r="N571">
        <v>1040</v>
      </c>
      <c r="O571" s="10">
        <v>0</v>
      </c>
      <c r="P571" s="10">
        <v>0</v>
      </c>
      <c r="Q571" s="10">
        <v>0</v>
      </c>
      <c r="R571" s="10">
        <v>0</v>
      </c>
      <c r="S571" s="10">
        <v>0</v>
      </c>
      <c r="T571" s="10">
        <v>0</v>
      </c>
      <c r="U571" s="10">
        <v>0</v>
      </c>
      <c r="V571" s="10">
        <v>4</v>
      </c>
      <c r="W571" s="10">
        <v>0</v>
      </c>
      <c r="X571" s="10">
        <v>0</v>
      </c>
      <c r="Y571" s="10">
        <v>0</v>
      </c>
      <c r="Z571" s="10">
        <v>0</v>
      </c>
      <c r="AA571" s="10">
        <v>0</v>
      </c>
      <c r="AB571" s="10">
        <v>0</v>
      </c>
      <c r="AC571" s="11">
        <v>0</v>
      </c>
      <c r="AD571" s="11">
        <v>16</v>
      </c>
      <c r="AE571" s="11">
        <v>0</v>
      </c>
      <c r="AF571" s="11">
        <v>0</v>
      </c>
      <c r="AG571" s="27">
        <v>0</v>
      </c>
      <c r="AH571" s="11">
        <v>0</v>
      </c>
      <c r="AI571" s="11">
        <v>4.0000000000000001E-3</v>
      </c>
      <c r="AJ571" s="11">
        <v>0</v>
      </c>
      <c r="AK571" s="11" t="s">
        <v>714</v>
      </c>
      <c r="AL571" s="10">
        <v>1</v>
      </c>
      <c r="AM571" s="41">
        <f>INDEX(Sheet5!$B$19:$G$33,MATCH(Sheet1!AQ571,Sheet5!$A$19:$A$33,0),MATCH(J571,Sheet5!$B$18:$G$18,0))</f>
        <v>1300</v>
      </c>
      <c r="AN571" s="10" t="s">
        <v>48</v>
      </c>
      <c r="AO571" s="21" t="s">
        <v>758</v>
      </c>
      <c r="AP571" s="10">
        <v>200222</v>
      </c>
      <c r="AQ571" s="13">
        <v>130</v>
      </c>
    </row>
    <row r="572" spans="1:43" ht="16.5">
      <c r="A572" s="10">
        <v>2630</v>
      </c>
      <c r="B572" s="105" t="s">
        <v>2223</v>
      </c>
      <c r="C572" s="21" t="s">
        <v>709</v>
      </c>
      <c r="D572" s="12" t="s">
        <v>102</v>
      </c>
      <c r="E572" s="2" t="s">
        <v>66</v>
      </c>
      <c r="F572" s="64">
        <v>200</v>
      </c>
      <c r="G572" s="10">
        <v>300</v>
      </c>
      <c r="H572" s="10">
        <v>50</v>
      </c>
      <c r="I572" s="21" t="s">
        <v>716</v>
      </c>
      <c r="J572" s="10">
        <v>1</v>
      </c>
      <c r="K572" s="10">
        <v>2</v>
      </c>
      <c r="L572" s="10">
        <v>0</v>
      </c>
      <c r="M572" s="10">
        <v>0</v>
      </c>
      <c r="N572">
        <v>1120</v>
      </c>
      <c r="O572" s="10">
        <v>0</v>
      </c>
      <c r="P572" s="10">
        <v>0</v>
      </c>
      <c r="Q572" s="10">
        <v>0</v>
      </c>
      <c r="R572" s="10">
        <v>0</v>
      </c>
      <c r="S572" s="10">
        <v>0</v>
      </c>
      <c r="T572" s="10">
        <v>0</v>
      </c>
      <c r="U572" s="10">
        <v>0</v>
      </c>
      <c r="V572" s="10">
        <v>4</v>
      </c>
      <c r="W572" s="10">
        <v>0</v>
      </c>
      <c r="X572" s="10">
        <v>0</v>
      </c>
      <c r="Y572" s="10">
        <v>0</v>
      </c>
      <c r="Z572" s="10">
        <v>0</v>
      </c>
      <c r="AA572" s="10">
        <v>0</v>
      </c>
      <c r="AB572" s="10">
        <v>0</v>
      </c>
      <c r="AC572" s="11">
        <v>0</v>
      </c>
      <c r="AD572" s="11">
        <v>16</v>
      </c>
      <c r="AE572" s="11">
        <v>0</v>
      </c>
      <c r="AF572" s="11">
        <v>0</v>
      </c>
      <c r="AG572" s="27">
        <v>0</v>
      </c>
      <c r="AH572" s="11">
        <v>0</v>
      </c>
      <c r="AI572" s="11">
        <v>4.0000000000000001E-3</v>
      </c>
      <c r="AJ572" s="11">
        <v>0</v>
      </c>
      <c r="AK572" s="11" t="s">
        <v>714</v>
      </c>
      <c r="AL572" s="10">
        <v>1</v>
      </c>
      <c r="AM572" s="41">
        <f>INDEX(Sheet5!$B$19:$G$33,MATCH(Sheet1!AQ572,Sheet5!$A$19:$A$33,0),MATCH(J572,Sheet5!$B$18:$G$18,0))</f>
        <v>1400</v>
      </c>
      <c r="AN572" s="10" t="s">
        <v>48</v>
      </c>
      <c r="AO572" s="21" t="s">
        <v>758</v>
      </c>
      <c r="AP572" s="10">
        <v>200223</v>
      </c>
      <c r="AQ572" s="13">
        <v>140</v>
      </c>
    </row>
    <row r="573" spans="1:43" ht="16.5">
      <c r="A573" s="10">
        <v>2631</v>
      </c>
      <c r="B573" s="105" t="s">
        <v>2224</v>
      </c>
      <c r="C573" s="21" t="s">
        <v>709</v>
      </c>
      <c r="D573" s="12" t="s">
        <v>102</v>
      </c>
      <c r="E573" s="2" t="s">
        <v>66</v>
      </c>
      <c r="F573" s="64">
        <v>200</v>
      </c>
      <c r="G573" s="10">
        <v>300</v>
      </c>
      <c r="H573" s="10">
        <v>50</v>
      </c>
      <c r="I573" s="21" t="s">
        <v>716</v>
      </c>
      <c r="J573" s="10">
        <v>1</v>
      </c>
      <c r="K573" s="10">
        <v>2</v>
      </c>
      <c r="L573" s="10">
        <v>0</v>
      </c>
      <c r="M573" s="10">
        <v>0</v>
      </c>
      <c r="N573">
        <v>1200</v>
      </c>
      <c r="O573" s="10">
        <v>0</v>
      </c>
      <c r="P573" s="10">
        <v>0</v>
      </c>
      <c r="Q573" s="10">
        <v>0</v>
      </c>
      <c r="R573" s="10">
        <v>0</v>
      </c>
      <c r="S573" s="10">
        <v>0</v>
      </c>
      <c r="T573" s="10">
        <v>0</v>
      </c>
      <c r="U573" s="10">
        <v>0</v>
      </c>
      <c r="V573" s="10">
        <v>4</v>
      </c>
      <c r="W573" s="10">
        <v>0</v>
      </c>
      <c r="X573" s="10">
        <v>0</v>
      </c>
      <c r="Y573" s="10">
        <v>0</v>
      </c>
      <c r="Z573" s="10">
        <v>0</v>
      </c>
      <c r="AA573" s="10">
        <v>0</v>
      </c>
      <c r="AB573" s="10">
        <v>0</v>
      </c>
      <c r="AC573" s="11">
        <v>0</v>
      </c>
      <c r="AD573" s="11">
        <v>16</v>
      </c>
      <c r="AE573" s="11">
        <v>0</v>
      </c>
      <c r="AF573" s="11">
        <v>0</v>
      </c>
      <c r="AG573" s="27">
        <v>0</v>
      </c>
      <c r="AH573" s="11">
        <v>0</v>
      </c>
      <c r="AI573" s="11">
        <v>4.0000000000000001E-3</v>
      </c>
      <c r="AJ573" s="11">
        <v>0</v>
      </c>
      <c r="AK573" s="11" t="s">
        <v>714</v>
      </c>
      <c r="AL573" s="10">
        <v>1</v>
      </c>
      <c r="AM573" s="41">
        <f>INDEX(Sheet5!$B$19:$G$33,MATCH(Sheet1!AQ573,Sheet5!$A$19:$A$33,0),MATCH(J573,Sheet5!$B$18:$G$18,0))</f>
        <v>1500</v>
      </c>
      <c r="AN573" s="10" t="s">
        <v>48</v>
      </c>
      <c r="AO573" s="21" t="s">
        <v>758</v>
      </c>
      <c r="AP573" s="10">
        <v>200224</v>
      </c>
      <c r="AQ573" s="13">
        <v>150</v>
      </c>
    </row>
    <row r="574" spans="1:43" s="102" customFormat="1" ht="16.5">
      <c r="A574" s="105">
        <v>2003</v>
      </c>
      <c r="B574" s="105" t="s">
        <v>2225</v>
      </c>
      <c r="C574" s="105" t="s">
        <v>710</v>
      </c>
      <c r="D574" s="105" t="s">
        <v>103</v>
      </c>
      <c r="E574" s="106" t="s">
        <v>48</v>
      </c>
      <c r="F574" s="105">
        <v>200</v>
      </c>
      <c r="G574" s="105">
        <v>300</v>
      </c>
      <c r="H574" s="105">
        <v>50</v>
      </c>
      <c r="I574" s="105" t="s">
        <v>1496</v>
      </c>
      <c r="J574" s="105">
        <v>1</v>
      </c>
      <c r="K574" s="105">
        <v>2</v>
      </c>
      <c r="L574" s="105">
        <v>0</v>
      </c>
      <c r="M574">
        <v>200</v>
      </c>
      <c r="N574" s="105">
        <v>0</v>
      </c>
      <c r="O574" s="105">
        <v>0</v>
      </c>
      <c r="P574" s="105">
        <v>0</v>
      </c>
      <c r="Q574" s="105">
        <v>0</v>
      </c>
      <c r="R574" s="105">
        <v>0</v>
      </c>
      <c r="S574" s="105">
        <v>0</v>
      </c>
      <c r="T574" s="105">
        <v>0</v>
      </c>
      <c r="U574" s="105">
        <v>100</v>
      </c>
      <c r="V574" s="105">
        <v>0</v>
      </c>
      <c r="W574" s="105">
        <v>0</v>
      </c>
      <c r="X574" s="105">
        <v>0</v>
      </c>
      <c r="Y574" s="105">
        <v>0</v>
      </c>
      <c r="Z574" s="105">
        <v>0</v>
      </c>
      <c r="AA574" s="105">
        <v>0</v>
      </c>
      <c r="AB574" s="105">
        <v>0</v>
      </c>
      <c r="AC574" s="105">
        <v>400</v>
      </c>
      <c r="AD574" s="105">
        <v>0</v>
      </c>
      <c r="AE574" s="105">
        <v>0</v>
      </c>
      <c r="AF574" s="105">
        <v>0</v>
      </c>
      <c r="AG574" s="107">
        <v>2E-3</v>
      </c>
      <c r="AH574" s="105">
        <v>0</v>
      </c>
      <c r="AI574" s="105">
        <v>0</v>
      </c>
      <c r="AJ574" s="105">
        <v>0</v>
      </c>
      <c r="AK574" s="105" t="s">
        <v>714</v>
      </c>
      <c r="AL574" s="105">
        <v>3</v>
      </c>
      <c r="AM574" s="41">
        <f>INDEX(Sheet5!$B$19:$G$33,MATCH(Sheet1!AQ574,Sheet5!$A$19:$A$33,0),MATCH(J574,Sheet5!$B$18:$G$18,0))</f>
        <v>100</v>
      </c>
      <c r="AN574" s="105" t="s">
        <v>48</v>
      </c>
      <c r="AO574" s="105" t="s">
        <v>759</v>
      </c>
      <c r="AP574" s="105">
        <v>2003</v>
      </c>
      <c r="AQ574" s="13">
        <v>10</v>
      </c>
    </row>
    <row r="575" spans="1:43" ht="16.5">
      <c r="A575" s="10">
        <v>2632</v>
      </c>
      <c r="B575" s="105" t="s">
        <v>2226</v>
      </c>
      <c r="C575" s="21" t="s">
        <v>710</v>
      </c>
      <c r="D575" s="12" t="s">
        <v>103</v>
      </c>
      <c r="E575" s="2" t="s">
        <v>48</v>
      </c>
      <c r="F575" s="64">
        <v>200</v>
      </c>
      <c r="G575" s="10">
        <v>300</v>
      </c>
      <c r="H575" s="10">
        <v>50</v>
      </c>
      <c r="I575" s="21" t="s">
        <v>715</v>
      </c>
      <c r="J575" s="10">
        <v>1</v>
      </c>
      <c r="K575" s="10">
        <v>2</v>
      </c>
      <c r="L575" s="10">
        <v>0</v>
      </c>
      <c r="M575">
        <v>400</v>
      </c>
      <c r="N575" s="10">
        <v>0</v>
      </c>
      <c r="O575" s="10">
        <v>0</v>
      </c>
      <c r="P575" s="10">
        <v>0</v>
      </c>
      <c r="Q575" s="10">
        <v>0</v>
      </c>
      <c r="R575" s="10">
        <v>0</v>
      </c>
      <c r="S575" s="10">
        <v>0</v>
      </c>
      <c r="T575" s="10">
        <v>0</v>
      </c>
      <c r="U575" s="10">
        <v>100</v>
      </c>
      <c r="V575" s="10">
        <v>0</v>
      </c>
      <c r="W575" s="10">
        <v>0</v>
      </c>
      <c r="X575" s="10">
        <v>0</v>
      </c>
      <c r="Y575" s="10">
        <v>0</v>
      </c>
      <c r="Z575" s="10">
        <v>0</v>
      </c>
      <c r="AA575" s="10">
        <v>0</v>
      </c>
      <c r="AB575" s="10">
        <v>0</v>
      </c>
      <c r="AC575" s="11">
        <v>400</v>
      </c>
      <c r="AD575" s="11">
        <v>0</v>
      </c>
      <c r="AE575" s="11">
        <v>0</v>
      </c>
      <c r="AF575" s="11">
        <v>0</v>
      </c>
      <c r="AG575" s="27">
        <v>2E-3</v>
      </c>
      <c r="AH575" s="11">
        <v>0</v>
      </c>
      <c r="AI575" s="11">
        <v>0</v>
      </c>
      <c r="AJ575" s="11">
        <v>0</v>
      </c>
      <c r="AK575" s="11" t="s">
        <v>714</v>
      </c>
      <c r="AL575" s="10">
        <v>3</v>
      </c>
      <c r="AM575" s="41">
        <f>INDEX(Sheet5!$B$19:$G$33,MATCH(Sheet1!AQ575,Sheet5!$A$19:$A$33,0),MATCH(J575,Sheet5!$B$18:$G$18,0))</f>
        <v>200</v>
      </c>
      <c r="AN575" s="10" t="s">
        <v>48</v>
      </c>
      <c r="AO575" s="21" t="s">
        <v>759</v>
      </c>
      <c r="AP575" s="10">
        <v>200311</v>
      </c>
      <c r="AQ575" s="13">
        <v>20</v>
      </c>
    </row>
    <row r="576" spans="1:43" ht="16.5">
      <c r="A576" s="10">
        <v>2633</v>
      </c>
      <c r="B576" s="105" t="s">
        <v>2227</v>
      </c>
      <c r="C576" s="21" t="s">
        <v>710</v>
      </c>
      <c r="D576" s="12" t="s">
        <v>103</v>
      </c>
      <c r="E576" s="2" t="s">
        <v>48</v>
      </c>
      <c r="F576" s="64">
        <v>200</v>
      </c>
      <c r="G576" s="10">
        <v>300</v>
      </c>
      <c r="H576" s="10">
        <v>50</v>
      </c>
      <c r="I576" s="21" t="s">
        <v>715</v>
      </c>
      <c r="J576" s="10">
        <v>1</v>
      </c>
      <c r="K576" s="10">
        <v>2</v>
      </c>
      <c r="L576" s="10">
        <v>0</v>
      </c>
      <c r="M576">
        <v>600</v>
      </c>
      <c r="N576" s="10">
        <v>0</v>
      </c>
      <c r="O576" s="10">
        <v>0</v>
      </c>
      <c r="P576" s="10">
        <v>0</v>
      </c>
      <c r="Q576" s="10">
        <v>0</v>
      </c>
      <c r="R576" s="10">
        <v>0</v>
      </c>
      <c r="S576" s="10">
        <v>0</v>
      </c>
      <c r="T576" s="10">
        <v>0</v>
      </c>
      <c r="U576" s="10">
        <v>100</v>
      </c>
      <c r="V576" s="10">
        <v>0</v>
      </c>
      <c r="W576" s="10">
        <v>0</v>
      </c>
      <c r="X576" s="10">
        <v>0</v>
      </c>
      <c r="Y576" s="10">
        <v>0</v>
      </c>
      <c r="Z576" s="10">
        <v>0</v>
      </c>
      <c r="AA576" s="10">
        <v>0</v>
      </c>
      <c r="AB576" s="10">
        <v>0</v>
      </c>
      <c r="AC576" s="11">
        <v>400</v>
      </c>
      <c r="AD576" s="11">
        <v>0</v>
      </c>
      <c r="AE576" s="11">
        <v>0</v>
      </c>
      <c r="AF576" s="11">
        <v>0</v>
      </c>
      <c r="AG576" s="27">
        <v>2E-3</v>
      </c>
      <c r="AH576" s="11">
        <v>0</v>
      </c>
      <c r="AI576" s="11">
        <v>0</v>
      </c>
      <c r="AJ576" s="11">
        <v>0</v>
      </c>
      <c r="AK576" s="11" t="s">
        <v>714</v>
      </c>
      <c r="AL576" s="10">
        <v>3</v>
      </c>
      <c r="AM576" s="41">
        <f>INDEX(Sheet5!$B$19:$G$33,MATCH(Sheet1!AQ576,Sheet5!$A$19:$A$33,0),MATCH(J576,Sheet5!$B$18:$G$18,0))</f>
        <v>300</v>
      </c>
      <c r="AN576" s="10" t="s">
        <v>48</v>
      </c>
      <c r="AO576" s="21" t="s">
        <v>759</v>
      </c>
      <c r="AP576" s="10">
        <v>200312</v>
      </c>
      <c r="AQ576" s="13">
        <v>30</v>
      </c>
    </row>
    <row r="577" spans="1:43" ht="16.5">
      <c r="A577" s="10">
        <v>2634</v>
      </c>
      <c r="B577" s="105" t="s">
        <v>2228</v>
      </c>
      <c r="C577" s="21" t="s">
        <v>710</v>
      </c>
      <c r="D577" s="12" t="s">
        <v>103</v>
      </c>
      <c r="E577" s="2" t="s">
        <v>48</v>
      </c>
      <c r="F577" s="64">
        <v>200</v>
      </c>
      <c r="G577" s="10">
        <v>300</v>
      </c>
      <c r="H577" s="10">
        <v>50</v>
      </c>
      <c r="I577" s="21" t="s">
        <v>715</v>
      </c>
      <c r="J577" s="10">
        <v>1</v>
      </c>
      <c r="K577" s="10">
        <v>2</v>
      </c>
      <c r="L577" s="10">
        <v>0</v>
      </c>
      <c r="M577">
        <v>800</v>
      </c>
      <c r="N577" s="10">
        <v>0</v>
      </c>
      <c r="O577" s="10">
        <v>0</v>
      </c>
      <c r="P577" s="10">
        <v>0</v>
      </c>
      <c r="Q577" s="10">
        <v>0</v>
      </c>
      <c r="R577" s="10">
        <v>0</v>
      </c>
      <c r="S577" s="10">
        <v>0</v>
      </c>
      <c r="T577" s="10">
        <v>0</v>
      </c>
      <c r="U577" s="10">
        <v>100</v>
      </c>
      <c r="V577" s="10">
        <v>0</v>
      </c>
      <c r="W577" s="10">
        <v>0</v>
      </c>
      <c r="X577" s="10">
        <v>0</v>
      </c>
      <c r="Y577" s="10">
        <v>0</v>
      </c>
      <c r="Z577" s="10">
        <v>0</v>
      </c>
      <c r="AA577" s="10">
        <v>0</v>
      </c>
      <c r="AB577" s="10">
        <v>0</v>
      </c>
      <c r="AC577" s="11">
        <v>400</v>
      </c>
      <c r="AD577" s="11">
        <v>0</v>
      </c>
      <c r="AE577" s="11">
        <v>0</v>
      </c>
      <c r="AF577" s="11">
        <v>0</v>
      </c>
      <c r="AG577" s="27">
        <v>2E-3</v>
      </c>
      <c r="AH577" s="11">
        <v>0</v>
      </c>
      <c r="AI577" s="11">
        <v>0</v>
      </c>
      <c r="AJ577" s="11">
        <v>0</v>
      </c>
      <c r="AK577" s="11" t="s">
        <v>714</v>
      </c>
      <c r="AL577" s="10">
        <v>3</v>
      </c>
      <c r="AM577" s="41">
        <f>INDEX(Sheet5!$B$19:$G$33,MATCH(Sheet1!AQ577,Sheet5!$A$19:$A$33,0),MATCH(J577,Sheet5!$B$18:$G$18,0))</f>
        <v>400</v>
      </c>
      <c r="AN577" s="10" t="s">
        <v>48</v>
      </c>
      <c r="AO577" s="21" t="s">
        <v>759</v>
      </c>
      <c r="AP577" s="10">
        <v>200313</v>
      </c>
      <c r="AQ577" s="13">
        <v>40</v>
      </c>
    </row>
    <row r="578" spans="1:43" ht="16.5">
      <c r="A578" s="10">
        <v>2635</v>
      </c>
      <c r="B578" s="105" t="s">
        <v>2229</v>
      </c>
      <c r="C578" s="21" t="s">
        <v>710</v>
      </c>
      <c r="D578" s="12" t="s">
        <v>103</v>
      </c>
      <c r="E578" s="2" t="s">
        <v>48</v>
      </c>
      <c r="F578" s="64">
        <v>200</v>
      </c>
      <c r="G578" s="10">
        <v>300</v>
      </c>
      <c r="H578" s="10">
        <v>50</v>
      </c>
      <c r="I578" s="21" t="s">
        <v>715</v>
      </c>
      <c r="J578" s="10">
        <v>1</v>
      </c>
      <c r="K578" s="10">
        <v>2</v>
      </c>
      <c r="L578" s="10">
        <v>0</v>
      </c>
      <c r="M578">
        <v>1000</v>
      </c>
      <c r="N578" s="10">
        <v>0</v>
      </c>
      <c r="O578" s="10">
        <v>0</v>
      </c>
      <c r="P578" s="10">
        <v>0</v>
      </c>
      <c r="Q578" s="10">
        <v>0</v>
      </c>
      <c r="R578" s="10">
        <v>0</v>
      </c>
      <c r="S578" s="10">
        <v>0</v>
      </c>
      <c r="T578" s="10">
        <v>0</v>
      </c>
      <c r="U578" s="10">
        <v>100</v>
      </c>
      <c r="V578" s="10">
        <v>0</v>
      </c>
      <c r="W578" s="10">
        <v>0</v>
      </c>
      <c r="X578" s="10">
        <v>0</v>
      </c>
      <c r="Y578" s="10">
        <v>0</v>
      </c>
      <c r="Z578" s="10">
        <v>0</v>
      </c>
      <c r="AA578" s="10">
        <v>0</v>
      </c>
      <c r="AB578" s="10">
        <v>0</v>
      </c>
      <c r="AC578" s="11">
        <v>400</v>
      </c>
      <c r="AD578" s="11">
        <v>0</v>
      </c>
      <c r="AE578" s="11">
        <v>0</v>
      </c>
      <c r="AF578" s="11">
        <v>0</v>
      </c>
      <c r="AG578" s="27">
        <v>2E-3</v>
      </c>
      <c r="AH578" s="11">
        <v>0</v>
      </c>
      <c r="AI578" s="11">
        <v>0</v>
      </c>
      <c r="AJ578" s="11">
        <v>0</v>
      </c>
      <c r="AK578" s="11" t="s">
        <v>714</v>
      </c>
      <c r="AL578" s="10">
        <v>3</v>
      </c>
      <c r="AM578" s="41">
        <f>INDEX(Sheet5!$B$19:$G$33,MATCH(Sheet1!AQ578,Sheet5!$A$19:$A$33,0),MATCH(J578,Sheet5!$B$18:$G$18,0))</f>
        <v>500</v>
      </c>
      <c r="AN578" s="10" t="s">
        <v>48</v>
      </c>
      <c r="AO578" s="21" t="s">
        <v>759</v>
      </c>
      <c r="AP578" s="10">
        <v>200314</v>
      </c>
      <c r="AQ578" s="13">
        <v>50</v>
      </c>
    </row>
    <row r="579" spans="1:43" ht="16.5">
      <c r="A579" s="10">
        <v>2636</v>
      </c>
      <c r="B579" s="105" t="s">
        <v>2230</v>
      </c>
      <c r="C579" s="21" t="s">
        <v>710</v>
      </c>
      <c r="D579" s="12" t="s">
        <v>103</v>
      </c>
      <c r="E579" s="2" t="s">
        <v>48</v>
      </c>
      <c r="F579" s="64">
        <v>200</v>
      </c>
      <c r="G579" s="10">
        <v>300</v>
      </c>
      <c r="H579" s="10">
        <v>50</v>
      </c>
      <c r="I579" s="21" t="s">
        <v>715</v>
      </c>
      <c r="J579" s="10">
        <v>1</v>
      </c>
      <c r="K579" s="10">
        <v>2</v>
      </c>
      <c r="L579" s="10">
        <v>0</v>
      </c>
      <c r="M579">
        <v>1200</v>
      </c>
      <c r="N579" s="10">
        <v>0</v>
      </c>
      <c r="O579" s="10">
        <v>0</v>
      </c>
      <c r="P579" s="10">
        <v>0</v>
      </c>
      <c r="Q579" s="10">
        <v>0</v>
      </c>
      <c r="R579" s="10">
        <v>0</v>
      </c>
      <c r="S579" s="10">
        <v>0</v>
      </c>
      <c r="T579" s="10">
        <v>0</v>
      </c>
      <c r="U579" s="10">
        <v>100</v>
      </c>
      <c r="V579" s="10">
        <v>0</v>
      </c>
      <c r="W579" s="10">
        <v>0</v>
      </c>
      <c r="X579" s="10">
        <v>0</v>
      </c>
      <c r="Y579" s="10">
        <v>0</v>
      </c>
      <c r="Z579" s="10">
        <v>0</v>
      </c>
      <c r="AA579" s="10">
        <v>0</v>
      </c>
      <c r="AB579" s="10">
        <v>0</v>
      </c>
      <c r="AC579" s="11">
        <v>400</v>
      </c>
      <c r="AD579" s="11">
        <v>0</v>
      </c>
      <c r="AE579" s="11">
        <v>0</v>
      </c>
      <c r="AF579" s="11">
        <v>0</v>
      </c>
      <c r="AG579" s="27">
        <v>2E-3</v>
      </c>
      <c r="AH579" s="11">
        <v>0</v>
      </c>
      <c r="AI579" s="11">
        <v>0</v>
      </c>
      <c r="AJ579" s="11">
        <v>0</v>
      </c>
      <c r="AK579" s="11" t="s">
        <v>714</v>
      </c>
      <c r="AL579" s="10">
        <v>3</v>
      </c>
      <c r="AM579" s="41">
        <f>INDEX(Sheet5!$B$19:$G$33,MATCH(Sheet1!AQ579,Sheet5!$A$19:$A$33,0),MATCH(J579,Sheet5!$B$18:$G$18,0))</f>
        <v>600</v>
      </c>
      <c r="AN579" s="10" t="s">
        <v>48</v>
      </c>
      <c r="AO579" s="21" t="s">
        <v>759</v>
      </c>
      <c r="AP579" s="10">
        <v>200315</v>
      </c>
      <c r="AQ579" s="13">
        <v>60</v>
      </c>
    </row>
    <row r="580" spans="1:43" ht="16.5">
      <c r="A580" s="10">
        <v>2637</v>
      </c>
      <c r="B580" s="105" t="s">
        <v>2231</v>
      </c>
      <c r="C580" s="21" t="s">
        <v>710</v>
      </c>
      <c r="D580" s="12" t="s">
        <v>103</v>
      </c>
      <c r="E580" s="2" t="s">
        <v>48</v>
      </c>
      <c r="F580" s="64">
        <v>200</v>
      </c>
      <c r="G580" s="10">
        <v>300</v>
      </c>
      <c r="H580" s="10">
        <v>50</v>
      </c>
      <c r="I580" s="21" t="s">
        <v>715</v>
      </c>
      <c r="J580" s="10">
        <v>1</v>
      </c>
      <c r="K580" s="10">
        <v>2</v>
      </c>
      <c r="L580" s="10">
        <v>0</v>
      </c>
      <c r="M580">
        <v>1400</v>
      </c>
      <c r="N580" s="10">
        <v>0</v>
      </c>
      <c r="O580" s="10">
        <v>0</v>
      </c>
      <c r="P580" s="10">
        <v>0</v>
      </c>
      <c r="Q580" s="10">
        <v>0</v>
      </c>
      <c r="R580" s="10">
        <v>0</v>
      </c>
      <c r="S580" s="10">
        <v>0</v>
      </c>
      <c r="T580" s="10">
        <v>0</v>
      </c>
      <c r="U580" s="10">
        <v>100</v>
      </c>
      <c r="V580" s="10">
        <v>0</v>
      </c>
      <c r="W580" s="10">
        <v>0</v>
      </c>
      <c r="X580" s="10">
        <v>0</v>
      </c>
      <c r="Y580" s="10">
        <v>0</v>
      </c>
      <c r="Z580" s="10">
        <v>0</v>
      </c>
      <c r="AA580" s="10">
        <v>0</v>
      </c>
      <c r="AB580" s="10">
        <v>0</v>
      </c>
      <c r="AC580" s="11">
        <v>400</v>
      </c>
      <c r="AD580" s="11">
        <v>0</v>
      </c>
      <c r="AE580" s="11">
        <v>0</v>
      </c>
      <c r="AF580" s="11">
        <v>0</v>
      </c>
      <c r="AG580" s="27">
        <v>2E-3</v>
      </c>
      <c r="AH580" s="11">
        <v>0</v>
      </c>
      <c r="AI580" s="11">
        <v>0</v>
      </c>
      <c r="AJ580" s="11">
        <v>0</v>
      </c>
      <c r="AK580" s="11" t="s">
        <v>714</v>
      </c>
      <c r="AL580" s="10">
        <v>3</v>
      </c>
      <c r="AM580" s="41">
        <f>INDEX(Sheet5!$B$19:$G$33,MATCH(Sheet1!AQ580,Sheet5!$A$19:$A$33,0),MATCH(J580,Sheet5!$B$18:$G$18,0))</f>
        <v>700</v>
      </c>
      <c r="AN580" s="10" t="s">
        <v>48</v>
      </c>
      <c r="AO580" s="21" t="s">
        <v>759</v>
      </c>
      <c r="AP580" s="10">
        <v>200316</v>
      </c>
      <c r="AQ580" s="13">
        <v>70</v>
      </c>
    </row>
    <row r="581" spans="1:43" ht="16.5">
      <c r="A581" s="10">
        <v>2638</v>
      </c>
      <c r="B581" s="105" t="s">
        <v>2232</v>
      </c>
      <c r="C581" s="21" t="s">
        <v>710</v>
      </c>
      <c r="D581" s="12" t="s">
        <v>103</v>
      </c>
      <c r="E581" s="2" t="s">
        <v>48</v>
      </c>
      <c r="F581" s="64">
        <v>200</v>
      </c>
      <c r="G581" s="10">
        <v>300</v>
      </c>
      <c r="H581" s="10">
        <v>50</v>
      </c>
      <c r="I581" s="21" t="s">
        <v>715</v>
      </c>
      <c r="J581" s="10">
        <v>1</v>
      </c>
      <c r="K581" s="10">
        <v>2</v>
      </c>
      <c r="L581" s="10">
        <v>0</v>
      </c>
      <c r="M581">
        <v>1600</v>
      </c>
      <c r="N581" s="10">
        <v>0</v>
      </c>
      <c r="O581" s="10">
        <v>0</v>
      </c>
      <c r="P581" s="10">
        <v>0</v>
      </c>
      <c r="Q581" s="10">
        <v>0</v>
      </c>
      <c r="R581" s="10">
        <v>0</v>
      </c>
      <c r="S581" s="10">
        <v>0</v>
      </c>
      <c r="T581" s="10">
        <v>0</v>
      </c>
      <c r="U581" s="10">
        <v>100</v>
      </c>
      <c r="V581" s="10">
        <v>0</v>
      </c>
      <c r="W581" s="10">
        <v>0</v>
      </c>
      <c r="X581" s="10">
        <v>0</v>
      </c>
      <c r="Y581" s="10">
        <v>0</v>
      </c>
      <c r="Z581" s="10">
        <v>0</v>
      </c>
      <c r="AA581" s="10">
        <v>0</v>
      </c>
      <c r="AB581" s="10">
        <v>0</v>
      </c>
      <c r="AC581" s="11">
        <v>400</v>
      </c>
      <c r="AD581" s="11">
        <v>0</v>
      </c>
      <c r="AE581" s="11">
        <v>0</v>
      </c>
      <c r="AF581" s="11">
        <v>0</v>
      </c>
      <c r="AG581" s="27">
        <v>2E-3</v>
      </c>
      <c r="AH581" s="11">
        <v>0</v>
      </c>
      <c r="AI581" s="11">
        <v>0</v>
      </c>
      <c r="AJ581" s="11">
        <v>0</v>
      </c>
      <c r="AK581" s="11" t="s">
        <v>714</v>
      </c>
      <c r="AL581" s="10">
        <v>3</v>
      </c>
      <c r="AM581" s="41">
        <f>INDEX(Sheet5!$B$19:$G$33,MATCH(Sheet1!AQ581,Sheet5!$A$19:$A$33,0),MATCH(J581,Sheet5!$B$18:$G$18,0))</f>
        <v>800</v>
      </c>
      <c r="AN581" s="10" t="s">
        <v>48</v>
      </c>
      <c r="AO581" s="21" t="s">
        <v>759</v>
      </c>
      <c r="AP581" s="10">
        <v>200317</v>
      </c>
      <c r="AQ581" s="13">
        <v>80</v>
      </c>
    </row>
    <row r="582" spans="1:43" ht="16.5">
      <c r="A582" s="10">
        <v>2639</v>
      </c>
      <c r="B582" s="105" t="s">
        <v>2233</v>
      </c>
      <c r="C582" s="21" t="s">
        <v>710</v>
      </c>
      <c r="D582" s="12" t="s">
        <v>103</v>
      </c>
      <c r="E582" s="2" t="s">
        <v>48</v>
      </c>
      <c r="F582" s="64">
        <v>200</v>
      </c>
      <c r="G582" s="10">
        <v>300</v>
      </c>
      <c r="H582" s="10">
        <v>50</v>
      </c>
      <c r="I582" s="21" t="s">
        <v>715</v>
      </c>
      <c r="J582" s="10">
        <v>1</v>
      </c>
      <c r="K582" s="10">
        <v>2</v>
      </c>
      <c r="L582" s="10">
        <v>0</v>
      </c>
      <c r="M582">
        <v>1800</v>
      </c>
      <c r="N582" s="10">
        <v>0</v>
      </c>
      <c r="O582" s="10">
        <v>0</v>
      </c>
      <c r="P582" s="10">
        <v>0</v>
      </c>
      <c r="Q582" s="10">
        <v>0</v>
      </c>
      <c r="R582" s="10">
        <v>0</v>
      </c>
      <c r="S582" s="10">
        <v>0</v>
      </c>
      <c r="T582" s="10">
        <v>0</v>
      </c>
      <c r="U582" s="10">
        <v>100</v>
      </c>
      <c r="V582" s="10">
        <v>0</v>
      </c>
      <c r="W582" s="10">
        <v>0</v>
      </c>
      <c r="X582" s="10">
        <v>0</v>
      </c>
      <c r="Y582" s="10">
        <v>0</v>
      </c>
      <c r="Z582" s="10">
        <v>0</v>
      </c>
      <c r="AA582" s="10">
        <v>0</v>
      </c>
      <c r="AB582" s="10">
        <v>0</v>
      </c>
      <c r="AC582" s="11">
        <v>400</v>
      </c>
      <c r="AD582" s="11">
        <v>0</v>
      </c>
      <c r="AE582" s="11">
        <v>0</v>
      </c>
      <c r="AF582" s="11">
        <v>0</v>
      </c>
      <c r="AG582" s="27">
        <v>2E-3</v>
      </c>
      <c r="AH582" s="11">
        <v>0</v>
      </c>
      <c r="AI582" s="11">
        <v>0</v>
      </c>
      <c r="AJ582" s="11">
        <v>0</v>
      </c>
      <c r="AK582" s="11" t="s">
        <v>714</v>
      </c>
      <c r="AL582" s="10">
        <v>3</v>
      </c>
      <c r="AM582" s="41">
        <f>INDEX(Sheet5!$B$19:$G$33,MATCH(Sheet1!AQ582,Sheet5!$A$19:$A$33,0),MATCH(J582,Sheet5!$B$18:$G$18,0))</f>
        <v>900</v>
      </c>
      <c r="AN582" s="10" t="s">
        <v>48</v>
      </c>
      <c r="AO582" s="21" t="s">
        <v>759</v>
      </c>
      <c r="AP582" s="10">
        <v>200318</v>
      </c>
      <c r="AQ582" s="13">
        <v>90</v>
      </c>
    </row>
    <row r="583" spans="1:43" ht="16.5">
      <c r="A583" s="10">
        <v>2640</v>
      </c>
      <c r="B583" s="105" t="s">
        <v>2234</v>
      </c>
      <c r="C583" s="21" t="s">
        <v>710</v>
      </c>
      <c r="D583" s="12" t="s">
        <v>103</v>
      </c>
      <c r="E583" s="2" t="s">
        <v>48</v>
      </c>
      <c r="F583" s="64">
        <v>200</v>
      </c>
      <c r="G583" s="10">
        <v>300</v>
      </c>
      <c r="H583" s="10">
        <v>50</v>
      </c>
      <c r="I583" s="21" t="s">
        <v>715</v>
      </c>
      <c r="J583" s="10">
        <v>1</v>
      </c>
      <c r="K583" s="10">
        <v>2</v>
      </c>
      <c r="L583" s="10">
        <v>0</v>
      </c>
      <c r="M583">
        <v>2000</v>
      </c>
      <c r="N583" s="10">
        <v>0</v>
      </c>
      <c r="O583" s="10">
        <v>0</v>
      </c>
      <c r="P583" s="10">
        <v>0</v>
      </c>
      <c r="Q583" s="10">
        <v>0</v>
      </c>
      <c r="R583" s="10">
        <v>0</v>
      </c>
      <c r="S583" s="10">
        <v>0</v>
      </c>
      <c r="T583" s="10">
        <v>0</v>
      </c>
      <c r="U583" s="10">
        <v>100</v>
      </c>
      <c r="V583" s="10">
        <v>0</v>
      </c>
      <c r="W583" s="10">
        <v>0</v>
      </c>
      <c r="X583" s="10">
        <v>0</v>
      </c>
      <c r="Y583" s="10">
        <v>0</v>
      </c>
      <c r="Z583" s="10">
        <v>0</v>
      </c>
      <c r="AA583" s="10">
        <v>0</v>
      </c>
      <c r="AB583" s="10">
        <v>0</v>
      </c>
      <c r="AC583" s="11">
        <v>400</v>
      </c>
      <c r="AD583" s="11">
        <v>0</v>
      </c>
      <c r="AE583" s="11">
        <v>0</v>
      </c>
      <c r="AF583" s="11">
        <v>0</v>
      </c>
      <c r="AG583" s="27">
        <v>2E-3</v>
      </c>
      <c r="AH583" s="11">
        <v>0</v>
      </c>
      <c r="AI583" s="11">
        <v>0</v>
      </c>
      <c r="AJ583" s="11">
        <v>0</v>
      </c>
      <c r="AK583" s="11" t="s">
        <v>714</v>
      </c>
      <c r="AL583" s="10">
        <v>3</v>
      </c>
      <c r="AM583" s="41">
        <f>INDEX(Sheet5!$B$19:$G$33,MATCH(Sheet1!AQ583,Sheet5!$A$19:$A$33,0),MATCH(J583,Sheet5!$B$18:$G$18,0))</f>
        <v>1000</v>
      </c>
      <c r="AN583" s="10" t="s">
        <v>48</v>
      </c>
      <c r="AO583" s="21" t="s">
        <v>759</v>
      </c>
      <c r="AP583" s="10">
        <v>200319</v>
      </c>
      <c r="AQ583" s="13">
        <v>100</v>
      </c>
    </row>
    <row r="584" spans="1:43" ht="16.5">
      <c r="A584" s="10">
        <v>2641</v>
      </c>
      <c r="B584" s="105" t="s">
        <v>2235</v>
      </c>
      <c r="C584" s="21" t="s">
        <v>710</v>
      </c>
      <c r="D584" s="12" t="s">
        <v>103</v>
      </c>
      <c r="E584" s="2" t="s">
        <v>48</v>
      </c>
      <c r="F584" s="64">
        <v>200</v>
      </c>
      <c r="G584" s="10">
        <v>300</v>
      </c>
      <c r="H584" s="10">
        <v>50</v>
      </c>
      <c r="I584" s="21" t="s">
        <v>715</v>
      </c>
      <c r="J584" s="10">
        <v>1</v>
      </c>
      <c r="K584" s="10">
        <v>2</v>
      </c>
      <c r="L584" s="10">
        <v>0</v>
      </c>
      <c r="M584">
        <v>2200</v>
      </c>
      <c r="N584" s="10">
        <v>0</v>
      </c>
      <c r="O584" s="10">
        <v>0</v>
      </c>
      <c r="P584" s="10">
        <v>0</v>
      </c>
      <c r="Q584" s="10">
        <v>0</v>
      </c>
      <c r="R584" s="10">
        <v>0</v>
      </c>
      <c r="S584" s="10">
        <v>0</v>
      </c>
      <c r="T584" s="10">
        <v>0</v>
      </c>
      <c r="U584" s="10">
        <v>100</v>
      </c>
      <c r="V584" s="10">
        <v>0</v>
      </c>
      <c r="W584" s="10">
        <v>0</v>
      </c>
      <c r="X584" s="10">
        <v>0</v>
      </c>
      <c r="Y584" s="10">
        <v>0</v>
      </c>
      <c r="Z584" s="10">
        <v>0</v>
      </c>
      <c r="AA584" s="10">
        <v>0</v>
      </c>
      <c r="AB584" s="10">
        <v>0</v>
      </c>
      <c r="AC584" s="11">
        <v>400</v>
      </c>
      <c r="AD584" s="11">
        <v>0</v>
      </c>
      <c r="AE584" s="11">
        <v>0</v>
      </c>
      <c r="AF584" s="11">
        <v>0</v>
      </c>
      <c r="AG584" s="27">
        <v>2E-3</v>
      </c>
      <c r="AH584" s="11">
        <v>0</v>
      </c>
      <c r="AI584" s="11">
        <v>0</v>
      </c>
      <c r="AJ584" s="11">
        <v>0</v>
      </c>
      <c r="AK584" s="11" t="s">
        <v>714</v>
      </c>
      <c r="AL584" s="10">
        <v>3</v>
      </c>
      <c r="AM584" s="41">
        <f>INDEX(Sheet5!$B$19:$G$33,MATCH(Sheet1!AQ584,Sheet5!$A$19:$A$33,0),MATCH(J584,Sheet5!$B$18:$G$18,0))</f>
        <v>1100</v>
      </c>
      <c r="AN584" s="10" t="s">
        <v>48</v>
      </c>
      <c r="AO584" s="21" t="s">
        <v>759</v>
      </c>
      <c r="AP584" s="10">
        <v>200320</v>
      </c>
      <c r="AQ584" s="13">
        <v>110</v>
      </c>
    </row>
    <row r="585" spans="1:43" ht="16.5">
      <c r="A585" s="10">
        <v>2642</v>
      </c>
      <c r="B585" s="105" t="s">
        <v>2236</v>
      </c>
      <c r="C585" s="21" t="s">
        <v>710</v>
      </c>
      <c r="D585" s="12" t="s">
        <v>103</v>
      </c>
      <c r="E585" s="2" t="s">
        <v>48</v>
      </c>
      <c r="F585" s="64">
        <v>200</v>
      </c>
      <c r="G585" s="10">
        <v>300</v>
      </c>
      <c r="H585" s="10">
        <v>50</v>
      </c>
      <c r="I585" s="21" t="s">
        <v>715</v>
      </c>
      <c r="J585" s="10">
        <v>1</v>
      </c>
      <c r="K585" s="10">
        <v>2</v>
      </c>
      <c r="L585" s="10">
        <v>0</v>
      </c>
      <c r="M585">
        <v>2400</v>
      </c>
      <c r="N585" s="10">
        <v>0</v>
      </c>
      <c r="O585" s="10">
        <v>0</v>
      </c>
      <c r="P585" s="10">
        <v>0</v>
      </c>
      <c r="Q585" s="10">
        <v>0</v>
      </c>
      <c r="R585" s="10">
        <v>0</v>
      </c>
      <c r="S585" s="10">
        <v>0</v>
      </c>
      <c r="T585" s="10">
        <v>0</v>
      </c>
      <c r="U585" s="10">
        <v>100</v>
      </c>
      <c r="V585" s="10">
        <v>0</v>
      </c>
      <c r="W585" s="10">
        <v>0</v>
      </c>
      <c r="X585" s="10">
        <v>0</v>
      </c>
      <c r="Y585" s="10">
        <v>0</v>
      </c>
      <c r="Z585" s="10">
        <v>0</v>
      </c>
      <c r="AA585" s="10">
        <v>0</v>
      </c>
      <c r="AB585" s="10">
        <v>0</v>
      </c>
      <c r="AC585" s="11">
        <v>400</v>
      </c>
      <c r="AD585" s="11">
        <v>0</v>
      </c>
      <c r="AE585" s="11">
        <v>0</v>
      </c>
      <c r="AF585" s="11">
        <v>0</v>
      </c>
      <c r="AG585" s="27">
        <v>2E-3</v>
      </c>
      <c r="AH585" s="11">
        <v>0</v>
      </c>
      <c r="AI585" s="11">
        <v>0</v>
      </c>
      <c r="AJ585" s="11">
        <v>0</v>
      </c>
      <c r="AK585" s="11" t="s">
        <v>714</v>
      </c>
      <c r="AL585" s="10">
        <v>3</v>
      </c>
      <c r="AM585" s="41">
        <f>INDEX(Sheet5!$B$19:$G$33,MATCH(Sheet1!AQ585,Sheet5!$A$19:$A$33,0),MATCH(J585,Sheet5!$B$18:$G$18,0))</f>
        <v>1200</v>
      </c>
      <c r="AN585" s="10" t="s">
        <v>48</v>
      </c>
      <c r="AO585" s="21" t="s">
        <v>759</v>
      </c>
      <c r="AP585" s="10">
        <v>200321</v>
      </c>
      <c r="AQ585" s="13">
        <v>120</v>
      </c>
    </row>
    <row r="586" spans="1:43" ht="16.5">
      <c r="A586" s="10">
        <v>2643</v>
      </c>
      <c r="B586" s="105" t="s">
        <v>2237</v>
      </c>
      <c r="C586" s="21" t="s">
        <v>710</v>
      </c>
      <c r="D586" s="12" t="s">
        <v>103</v>
      </c>
      <c r="E586" s="2" t="s">
        <v>48</v>
      </c>
      <c r="F586" s="64">
        <v>200</v>
      </c>
      <c r="G586" s="10">
        <v>300</v>
      </c>
      <c r="H586" s="10">
        <v>50</v>
      </c>
      <c r="I586" s="21" t="s">
        <v>715</v>
      </c>
      <c r="J586" s="10">
        <v>1</v>
      </c>
      <c r="K586" s="10">
        <v>2</v>
      </c>
      <c r="L586" s="10">
        <v>0</v>
      </c>
      <c r="M586">
        <v>2600</v>
      </c>
      <c r="N586" s="10">
        <v>0</v>
      </c>
      <c r="O586" s="10">
        <v>0</v>
      </c>
      <c r="P586" s="10">
        <v>0</v>
      </c>
      <c r="Q586" s="10">
        <v>0</v>
      </c>
      <c r="R586" s="10">
        <v>0</v>
      </c>
      <c r="S586" s="10">
        <v>0</v>
      </c>
      <c r="T586" s="10">
        <v>0</v>
      </c>
      <c r="U586" s="10">
        <v>100</v>
      </c>
      <c r="V586" s="10">
        <v>0</v>
      </c>
      <c r="W586" s="10">
        <v>0</v>
      </c>
      <c r="X586" s="10">
        <v>0</v>
      </c>
      <c r="Y586" s="10">
        <v>0</v>
      </c>
      <c r="Z586" s="10">
        <v>0</v>
      </c>
      <c r="AA586" s="10">
        <v>0</v>
      </c>
      <c r="AB586" s="10">
        <v>0</v>
      </c>
      <c r="AC586" s="11">
        <v>400</v>
      </c>
      <c r="AD586" s="11">
        <v>0</v>
      </c>
      <c r="AE586" s="11">
        <v>0</v>
      </c>
      <c r="AF586" s="11">
        <v>0</v>
      </c>
      <c r="AG586" s="27">
        <v>2E-3</v>
      </c>
      <c r="AH586" s="11">
        <v>0</v>
      </c>
      <c r="AI586" s="11">
        <v>0</v>
      </c>
      <c r="AJ586" s="11">
        <v>0</v>
      </c>
      <c r="AK586" s="11" t="s">
        <v>714</v>
      </c>
      <c r="AL586" s="10">
        <v>3</v>
      </c>
      <c r="AM586" s="41">
        <f>INDEX(Sheet5!$B$19:$G$33,MATCH(Sheet1!AQ586,Sheet5!$A$19:$A$33,0),MATCH(J586,Sheet5!$B$18:$G$18,0))</f>
        <v>1300</v>
      </c>
      <c r="AN586" s="10" t="s">
        <v>48</v>
      </c>
      <c r="AO586" s="21" t="s">
        <v>759</v>
      </c>
      <c r="AP586" s="10">
        <v>200322</v>
      </c>
      <c r="AQ586" s="13">
        <v>130</v>
      </c>
    </row>
    <row r="587" spans="1:43" ht="16.5">
      <c r="A587" s="10">
        <v>2644</v>
      </c>
      <c r="B587" s="105" t="s">
        <v>2238</v>
      </c>
      <c r="C587" s="21" t="s">
        <v>710</v>
      </c>
      <c r="D587" s="12" t="s">
        <v>103</v>
      </c>
      <c r="E587" s="2" t="s">
        <v>48</v>
      </c>
      <c r="F587" s="64">
        <v>200</v>
      </c>
      <c r="G587" s="10">
        <v>300</v>
      </c>
      <c r="H587" s="10">
        <v>50</v>
      </c>
      <c r="I587" s="21" t="s">
        <v>715</v>
      </c>
      <c r="J587" s="10">
        <v>1</v>
      </c>
      <c r="K587" s="10">
        <v>2</v>
      </c>
      <c r="L587" s="10">
        <v>0</v>
      </c>
      <c r="M587">
        <v>2800</v>
      </c>
      <c r="N587" s="10">
        <v>0</v>
      </c>
      <c r="O587" s="10">
        <v>0</v>
      </c>
      <c r="P587" s="10">
        <v>0</v>
      </c>
      <c r="Q587" s="10">
        <v>0</v>
      </c>
      <c r="R587" s="10">
        <v>0</v>
      </c>
      <c r="S587" s="10">
        <v>0</v>
      </c>
      <c r="T587" s="10">
        <v>0</v>
      </c>
      <c r="U587" s="10">
        <v>100</v>
      </c>
      <c r="V587" s="10">
        <v>0</v>
      </c>
      <c r="W587" s="10">
        <v>0</v>
      </c>
      <c r="X587" s="10">
        <v>0</v>
      </c>
      <c r="Y587" s="10">
        <v>0</v>
      </c>
      <c r="Z587" s="10">
        <v>0</v>
      </c>
      <c r="AA587" s="10">
        <v>0</v>
      </c>
      <c r="AB587" s="10">
        <v>0</v>
      </c>
      <c r="AC587" s="11">
        <v>400</v>
      </c>
      <c r="AD587" s="11">
        <v>0</v>
      </c>
      <c r="AE587" s="11">
        <v>0</v>
      </c>
      <c r="AF587" s="11">
        <v>0</v>
      </c>
      <c r="AG587" s="27">
        <v>2E-3</v>
      </c>
      <c r="AH587" s="11">
        <v>0</v>
      </c>
      <c r="AI587" s="11">
        <v>0</v>
      </c>
      <c r="AJ587" s="11">
        <v>0</v>
      </c>
      <c r="AK587" s="11" t="s">
        <v>714</v>
      </c>
      <c r="AL587" s="10">
        <v>3</v>
      </c>
      <c r="AM587" s="41">
        <f>INDEX(Sheet5!$B$19:$G$33,MATCH(Sheet1!AQ587,Sheet5!$A$19:$A$33,0),MATCH(J587,Sheet5!$B$18:$G$18,0))</f>
        <v>1400</v>
      </c>
      <c r="AN587" s="10" t="s">
        <v>48</v>
      </c>
      <c r="AO587" s="21" t="s">
        <v>759</v>
      </c>
      <c r="AP587" s="10">
        <v>200323</v>
      </c>
      <c r="AQ587" s="13">
        <v>140</v>
      </c>
    </row>
    <row r="588" spans="1:43" ht="16.5">
      <c r="A588" s="10">
        <v>2645</v>
      </c>
      <c r="B588" s="105" t="s">
        <v>2239</v>
      </c>
      <c r="C588" s="21" t="s">
        <v>710</v>
      </c>
      <c r="D588" s="12" t="s">
        <v>103</v>
      </c>
      <c r="E588" s="2" t="s">
        <v>48</v>
      </c>
      <c r="F588" s="64">
        <v>200</v>
      </c>
      <c r="G588" s="10">
        <v>300</v>
      </c>
      <c r="H588" s="10">
        <v>50</v>
      </c>
      <c r="I588" s="21" t="s">
        <v>715</v>
      </c>
      <c r="J588" s="10">
        <v>1</v>
      </c>
      <c r="K588" s="10">
        <v>2</v>
      </c>
      <c r="L588" s="10">
        <v>0</v>
      </c>
      <c r="M588">
        <v>3000</v>
      </c>
      <c r="N588" s="10">
        <v>0</v>
      </c>
      <c r="O588" s="10">
        <v>0</v>
      </c>
      <c r="P588" s="10">
        <v>0</v>
      </c>
      <c r="Q588" s="10">
        <v>0</v>
      </c>
      <c r="R588" s="10">
        <v>0</v>
      </c>
      <c r="S588" s="10">
        <v>0</v>
      </c>
      <c r="T588" s="10">
        <v>0</v>
      </c>
      <c r="U588" s="10">
        <v>100</v>
      </c>
      <c r="V588" s="10">
        <v>0</v>
      </c>
      <c r="W588" s="10">
        <v>0</v>
      </c>
      <c r="X588" s="10">
        <v>0</v>
      </c>
      <c r="Y588" s="10">
        <v>0</v>
      </c>
      <c r="Z588" s="10">
        <v>0</v>
      </c>
      <c r="AA588" s="10">
        <v>0</v>
      </c>
      <c r="AB588" s="10">
        <v>0</v>
      </c>
      <c r="AC588" s="11">
        <v>400</v>
      </c>
      <c r="AD588" s="11">
        <v>0</v>
      </c>
      <c r="AE588" s="11">
        <v>0</v>
      </c>
      <c r="AF588" s="11">
        <v>0</v>
      </c>
      <c r="AG588" s="27">
        <v>2E-3</v>
      </c>
      <c r="AH588" s="11">
        <v>0</v>
      </c>
      <c r="AI588" s="11">
        <v>0</v>
      </c>
      <c r="AJ588" s="11">
        <v>0</v>
      </c>
      <c r="AK588" s="11" t="s">
        <v>714</v>
      </c>
      <c r="AL588" s="10">
        <v>3</v>
      </c>
      <c r="AM588" s="41">
        <f>INDEX(Sheet5!$B$19:$G$33,MATCH(Sheet1!AQ588,Sheet5!$A$19:$A$33,0),MATCH(J588,Sheet5!$B$18:$G$18,0))</f>
        <v>1500</v>
      </c>
      <c r="AN588" s="10" t="s">
        <v>48</v>
      </c>
      <c r="AO588" s="21" t="s">
        <v>759</v>
      </c>
      <c r="AP588" s="10">
        <v>200324</v>
      </c>
      <c r="AQ588" s="13">
        <v>150</v>
      </c>
    </row>
    <row r="589" spans="1:43" s="102" customFormat="1" ht="16.5">
      <c r="A589" s="105">
        <v>2004</v>
      </c>
      <c r="B589" s="105" t="s">
        <v>2240</v>
      </c>
      <c r="C589" s="105" t="s">
        <v>160</v>
      </c>
      <c r="D589" s="105" t="s">
        <v>104</v>
      </c>
      <c r="E589" s="106" t="s">
        <v>48</v>
      </c>
      <c r="F589" s="105">
        <v>200</v>
      </c>
      <c r="G589" s="105">
        <v>300</v>
      </c>
      <c r="H589" s="105">
        <v>50</v>
      </c>
      <c r="I589" s="105" t="s">
        <v>159</v>
      </c>
      <c r="J589" s="105">
        <v>1</v>
      </c>
      <c r="K589" s="105">
        <v>2</v>
      </c>
      <c r="L589" s="105">
        <v>0</v>
      </c>
      <c r="M589" s="105">
        <v>0</v>
      </c>
      <c r="N589" s="105">
        <v>0</v>
      </c>
      <c r="O589" s="105">
        <v>0</v>
      </c>
      <c r="P589">
        <v>40</v>
      </c>
      <c r="Q589" s="105">
        <v>0</v>
      </c>
      <c r="R589" s="105">
        <v>0</v>
      </c>
      <c r="S589" s="105">
        <v>0</v>
      </c>
      <c r="T589" s="105">
        <v>0</v>
      </c>
      <c r="U589" s="105">
        <v>0</v>
      </c>
      <c r="V589" s="105">
        <v>0</v>
      </c>
      <c r="W589" s="105">
        <v>0</v>
      </c>
      <c r="X589" s="105">
        <v>2</v>
      </c>
      <c r="Y589" s="105">
        <v>0</v>
      </c>
      <c r="Z589" s="105">
        <v>0</v>
      </c>
      <c r="AA589" s="105">
        <v>0</v>
      </c>
      <c r="AB589" s="105">
        <v>0</v>
      </c>
      <c r="AC589" s="105">
        <v>0</v>
      </c>
      <c r="AD589" s="105">
        <v>0</v>
      </c>
      <c r="AE589" s="105">
        <v>0</v>
      </c>
      <c r="AF589" s="105">
        <v>8</v>
      </c>
      <c r="AG589" s="105">
        <v>0</v>
      </c>
      <c r="AH589" s="107">
        <v>2E-3</v>
      </c>
      <c r="AI589" s="105">
        <v>0</v>
      </c>
      <c r="AJ589" s="105">
        <v>0</v>
      </c>
      <c r="AK589" s="105" t="s">
        <v>714</v>
      </c>
      <c r="AL589" s="105">
        <v>4</v>
      </c>
      <c r="AM589" s="41">
        <f>INDEX(Sheet5!$B$19:$G$33,MATCH(Sheet1!AQ589,Sheet5!$A$19:$A$33,0),MATCH(J589,Sheet5!$B$18:$G$18,0))</f>
        <v>100</v>
      </c>
      <c r="AN589" s="105" t="s">
        <v>1489</v>
      </c>
      <c r="AO589" s="105" t="s">
        <v>1497</v>
      </c>
      <c r="AP589" s="105">
        <v>2004</v>
      </c>
      <c r="AQ589" s="13">
        <v>10</v>
      </c>
    </row>
    <row r="590" spans="1:43" ht="16.5">
      <c r="A590" s="10">
        <v>2646</v>
      </c>
      <c r="B590" s="105" t="s">
        <v>2241</v>
      </c>
      <c r="C590" s="21" t="s">
        <v>160</v>
      </c>
      <c r="D590" s="12" t="s">
        <v>104</v>
      </c>
      <c r="E590" s="2" t="s">
        <v>63</v>
      </c>
      <c r="F590" s="64">
        <v>200</v>
      </c>
      <c r="G590" s="10">
        <v>300</v>
      </c>
      <c r="H590" s="10">
        <v>50</v>
      </c>
      <c r="I590" s="12" t="s">
        <v>159</v>
      </c>
      <c r="J590" s="10">
        <v>1</v>
      </c>
      <c r="K590" s="10">
        <v>2</v>
      </c>
      <c r="L590" s="10">
        <v>0</v>
      </c>
      <c r="M590" s="10">
        <v>0</v>
      </c>
      <c r="N590" s="10">
        <v>0</v>
      </c>
      <c r="O590" s="10">
        <v>0</v>
      </c>
      <c r="P590">
        <v>80</v>
      </c>
      <c r="Q590" s="10">
        <v>0</v>
      </c>
      <c r="R590" s="10">
        <v>0</v>
      </c>
      <c r="S590" s="10">
        <v>0</v>
      </c>
      <c r="T590" s="10">
        <v>0</v>
      </c>
      <c r="U590" s="10">
        <v>0</v>
      </c>
      <c r="V590" s="10">
        <v>0</v>
      </c>
      <c r="W590" s="10">
        <v>0</v>
      </c>
      <c r="X590" s="10">
        <v>2</v>
      </c>
      <c r="Y590" s="10">
        <v>0</v>
      </c>
      <c r="Z590" s="10">
        <v>0</v>
      </c>
      <c r="AA590" s="10">
        <v>0</v>
      </c>
      <c r="AB590" s="10">
        <v>0</v>
      </c>
      <c r="AC590" s="11">
        <v>0</v>
      </c>
      <c r="AD590" s="11">
        <v>0</v>
      </c>
      <c r="AE590" s="11">
        <v>0</v>
      </c>
      <c r="AF590" s="11">
        <v>8</v>
      </c>
      <c r="AG590" s="11">
        <v>0</v>
      </c>
      <c r="AH590" s="27">
        <v>2E-3</v>
      </c>
      <c r="AI590" s="11">
        <v>0</v>
      </c>
      <c r="AJ590" s="11">
        <v>0</v>
      </c>
      <c r="AK590" s="11" t="s">
        <v>714</v>
      </c>
      <c r="AL590" s="10">
        <v>4</v>
      </c>
      <c r="AM590" s="41">
        <f>INDEX(Sheet5!$B$19:$G$33,MATCH(Sheet1!AQ590,Sheet5!$A$19:$A$33,0),MATCH(J590,Sheet5!$B$18:$G$18,0))</f>
        <v>200</v>
      </c>
      <c r="AN590" s="10" t="s">
        <v>48</v>
      </c>
      <c r="AO590" s="21" t="s">
        <v>760</v>
      </c>
      <c r="AP590" s="10">
        <v>200411</v>
      </c>
      <c r="AQ590" s="13">
        <v>20</v>
      </c>
    </row>
    <row r="591" spans="1:43" ht="16.5">
      <c r="A591" s="10">
        <v>2647</v>
      </c>
      <c r="B591" s="105" t="s">
        <v>2242</v>
      </c>
      <c r="C591" s="21" t="s">
        <v>160</v>
      </c>
      <c r="D591" s="12" t="s">
        <v>104</v>
      </c>
      <c r="E591" s="2" t="s">
        <v>63</v>
      </c>
      <c r="F591" s="64">
        <v>200</v>
      </c>
      <c r="G591" s="10">
        <v>300</v>
      </c>
      <c r="H591" s="10">
        <v>50</v>
      </c>
      <c r="I591" s="12" t="s">
        <v>159</v>
      </c>
      <c r="J591" s="10">
        <v>1</v>
      </c>
      <c r="K591" s="10">
        <v>2</v>
      </c>
      <c r="L591" s="10">
        <v>0</v>
      </c>
      <c r="M591" s="10">
        <v>0</v>
      </c>
      <c r="N591" s="10">
        <v>0</v>
      </c>
      <c r="O591" s="10">
        <v>0</v>
      </c>
      <c r="P591">
        <v>120</v>
      </c>
      <c r="Q591" s="10">
        <v>0</v>
      </c>
      <c r="R591" s="10">
        <v>0</v>
      </c>
      <c r="S591" s="10">
        <v>0</v>
      </c>
      <c r="T591" s="10">
        <v>0</v>
      </c>
      <c r="U591" s="10">
        <v>0</v>
      </c>
      <c r="V591" s="10">
        <v>0</v>
      </c>
      <c r="W591" s="10">
        <v>0</v>
      </c>
      <c r="X591" s="10">
        <v>2</v>
      </c>
      <c r="Y591" s="10">
        <v>0</v>
      </c>
      <c r="Z591" s="10">
        <v>0</v>
      </c>
      <c r="AA591" s="10">
        <v>0</v>
      </c>
      <c r="AB591" s="10">
        <v>0</v>
      </c>
      <c r="AC591" s="11">
        <v>0</v>
      </c>
      <c r="AD591" s="11">
        <v>0</v>
      </c>
      <c r="AE591" s="11">
        <v>0</v>
      </c>
      <c r="AF591" s="11">
        <v>8</v>
      </c>
      <c r="AG591" s="11">
        <v>0</v>
      </c>
      <c r="AH591" s="27">
        <v>2E-3</v>
      </c>
      <c r="AI591" s="11">
        <v>0</v>
      </c>
      <c r="AJ591" s="11">
        <v>0</v>
      </c>
      <c r="AK591" s="11" t="s">
        <v>714</v>
      </c>
      <c r="AL591" s="10">
        <v>4</v>
      </c>
      <c r="AM591" s="41">
        <f>INDEX(Sheet5!$B$19:$G$33,MATCH(Sheet1!AQ591,Sheet5!$A$19:$A$33,0),MATCH(J591,Sheet5!$B$18:$G$18,0))</f>
        <v>300</v>
      </c>
      <c r="AN591" s="10" t="s">
        <v>48</v>
      </c>
      <c r="AO591" s="21" t="s">
        <v>760</v>
      </c>
      <c r="AP591" s="10">
        <v>200412</v>
      </c>
      <c r="AQ591" s="13">
        <v>30</v>
      </c>
    </row>
    <row r="592" spans="1:43" ht="16.5">
      <c r="A592" s="10">
        <v>2648</v>
      </c>
      <c r="B592" s="105" t="s">
        <v>2243</v>
      </c>
      <c r="C592" s="21" t="s">
        <v>160</v>
      </c>
      <c r="D592" s="12" t="s">
        <v>104</v>
      </c>
      <c r="E592" s="2" t="s">
        <v>63</v>
      </c>
      <c r="F592" s="64">
        <v>200</v>
      </c>
      <c r="G592" s="10">
        <v>300</v>
      </c>
      <c r="H592" s="10">
        <v>50</v>
      </c>
      <c r="I592" s="12" t="s">
        <v>159</v>
      </c>
      <c r="J592" s="10">
        <v>1</v>
      </c>
      <c r="K592" s="10">
        <v>2</v>
      </c>
      <c r="L592" s="10">
        <v>0</v>
      </c>
      <c r="M592" s="10">
        <v>0</v>
      </c>
      <c r="N592" s="10">
        <v>0</v>
      </c>
      <c r="O592" s="10">
        <v>0</v>
      </c>
      <c r="P592">
        <v>160</v>
      </c>
      <c r="Q592" s="10">
        <v>0</v>
      </c>
      <c r="R592" s="10">
        <v>0</v>
      </c>
      <c r="S592" s="10">
        <v>0</v>
      </c>
      <c r="T592" s="10">
        <v>0</v>
      </c>
      <c r="U592" s="10">
        <v>0</v>
      </c>
      <c r="V592" s="10">
        <v>0</v>
      </c>
      <c r="W592" s="10">
        <v>0</v>
      </c>
      <c r="X592" s="10">
        <v>2</v>
      </c>
      <c r="Y592" s="10">
        <v>0</v>
      </c>
      <c r="Z592" s="10">
        <v>0</v>
      </c>
      <c r="AA592" s="10">
        <v>0</v>
      </c>
      <c r="AB592" s="10">
        <v>0</v>
      </c>
      <c r="AC592" s="11">
        <v>0</v>
      </c>
      <c r="AD592" s="11">
        <v>0</v>
      </c>
      <c r="AE592" s="11">
        <v>0</v>
      </c>
      <c r="AF592" s="11">
        <v>8</v>
      </c>
      <c r="AG592" s="11">
        <v>0</v>
      </c>
      <c r="AH592" s="27">
        <v>2E-3</v>
      </c>
      <c r="AI592" s="11">
        <v>0</v>
      </c>
      <c r="AJ592" s="11">
        <v>0</v>
      </c>
      <c r="AK592" s="11" t="s">
        <v>714</v>
      </c>
      <c r="AL592" s="10">
        <v>4</v>
      </c>
      <c r="AM592" s="41">
        <f>INDEX(Sheet5!$B$19:$G$33,MATCH(Sheet1!AQ592,Sheet5!$A$19:$A$33,0),MATCH(J592,Sheet5!$B$18:$G$18,0))</f>
        <v>400</v>
      </c>
      <c r="AN592" s="10" t="s">
        <v>48</v>
      </c>
      <c r="AO592" s="21" t="s">
        <v>760</v>
      </c>
      <c r="AP592" s="10">
        <v>200413</v>
      </c>
      <c r="AQ592" s="13">
        <v>40</v>
      </c>
    </row>
    <row r="593" spans="1:43" ht="16.5">
      <c r="A593" s="10">
        <v>2649</v>
      </c>
      <c r="B593" s="105" t="s">
        <v>2244</v>
      </c>
      <c r="C593" s="21" t="s">
        <v>160</v>
      </c>
      <c r="D593" s="12" t="s">
        <v>104</v>
      </c>
      <c r="E593" s="2" t="s">
        <v>63</v>
      </c>
      <c r="F593" s="64">
        <v>200</v>
      </c>
      <c r="G593" s="10">
        <v>300</v>
      </c>
      <c r="H593" s="10">
        <v>50</v>
      </c>
      <c r="I593" s="12" t="s">
        <v>159</v>
      </c>
      <c r="J593" s="10">
        <v>1</v>
      </c>
      <c r="K593" s="10">
        <v>2</v>
      </c>
      <c r="L593" s="10">
        <v>0</v>
      </c>
      <c r="M593" s="10">
        <v>0</v>
      </c>
      <c r="N593" s="10">
        <v>0</v>
      </c>
      <c r="O593" s="10">
        <v>0</v>
      </c>
      <c r="P593">
        <v>200</v>
      </c>
      <c r="Q593" s="10">
        <v>0</v>
      </c>
      <c r="R593" s="10">
        <v>0</v>
      </c>
      <c r="S593" s="10">
        <v>0</v>
      </c>
      <c r="T593" s="10">
        <v>0</v>
      </c>
      <c r="U593" s="10">
        <v>0</v>
      </c>
      <c r="V593" s="10">
        <v>0</v>
      </c>
      <c r="W593" s="10">
        <v>0</v>
      </c>
      <c r="X593" s="10">
        <v>2</v>
      </c>
      <c r="Y593" s="10">
        <v>0</v>
      </c>
      <c r="Z593" s="10">
        <v>0</v>
      </c>
      <c r="AA593" s="10">
        <v>0</v>
      </c>
      <c r="AB593" s="10">
        <v>0</v>
      </c>
      <c r="AC593" s="11">
        <v>0</v>
      </c>
      <c r="AD593" s="11">
        <v>0</v>
      </c>
      <c r="AE593" s="11">
        <v>0</v>
      </c>
      <c r="AF593" s="11">
        <v>8</v>
      </c>
      <c r="AG593" s="11">
        <v>0</v>
      </c>
      <c r="AH593" s="27">
        <v>2E-3</v>
      </c>
      <c r="AI593" s="11">
        <v>0</v>
      </c>
      <c r="AJ593" s="11">
        <v>0</v>
      </c>
      <c r="AK593" s="11" t="s">
        <v>714</v>
      </c>
      <c r="AL593" s="10">
        <v>4</v>
      </c>
      <c r="AM593" s="41">
        <f>INDEX(Sheet5!$B$19:$G$33,MATCH(Sheet1!AQ593,Sheet5!$A$19:$A$33,0),MATCH(J593,Sheet5!$B$18:$G$18,0))</f>
        <v>500</v>
      </c>
      <c r="AN593" s="10" t="s">
        <v>48</v>
      </c>
      <c r="AO593" s="21" t="s">
        <v>760</v>
      </c>
      <c r="AP593" s="10">
        <v>200414</v>
      </c>
      <c r="AQ593" s="13">
        <v>50</v>
      </c>
    </row>
    <row r="594" spans="1:43" ht="16.5">
      <c r="A594" s="10">
        <v>2650</v>
      </c>
      <c r="B594" s="105" t="s">
        <v>2245</v>
      </c>
      <c r="C594" s="21" t="s">
        <v>160</v>
      </c>
      <c r="D594" s="12" t="s">
        <v>104</v>
      </c>
      <c r="E594" s="2" t="s">
        <v>63</v>
      </c>
      <c r="F594" s="64">
        <v>200</v>
      </c>
      <c r="G594" s="10">
        <v>300</v>
      </c>
      <c r="H594" s="10">
        <v>50</v>
      </c>
      <c r="I594" s="12" t="s">
        <v>159</v>
      </c>
      <c r="J594" s="10">
        <v>1</v>
      </c>
      <c r="K594" s="10">
        <v>2</v>
      </c>
      <c r="L594" s="10">
        <v>0</v>
      </c>
      <c r="M594" s="10">
        <v>0</v>
      </c>
      <c r="N594" s="10">
        <v>0</v>
      </c>
      <c r="O594" s="10">
        <v>0</v>
      </c>
      <c r="P594">
        <v>240</v>
      </c>
      <c r="Q594" s="10">
        <v>0</v>
      </c>
      <c r="R594" s="10">
        <v>0</v>
      </c>
      <c r="S594" s="10">
        <v>0</v>
      </c>
      <c r="T594" s="10">
        <v>0</v>
      </c>
      <c r="U594" s="10">
        <v>0</v>
      </c>
      <c r="V594" s="10">
        <v>0</v>
      </c>
      <c r="W594" s="10">
        <v>0</v>
      </c>
      <c r="X594" s="10">
        <v>2</v>
      </c>
      <c r="Y594" s="10">
        <v>0</v>
      </c>
      <c r="Z594" s="10">
        <v>0</v>
      </c>
      <c r="AA594" s="10">
        <v>0</v>
      </c>
      <c r="AB594" s="10">
        <v>0</v>
      </c>
      <c r="AC594" s="11">
        <v>0</v>
      </c>
      <c r="AD594" s="11">
        <v>0</v>
      </c>
      <c r="AE594" s="11">
        <v>0</v>
      </c>
      <c r="AF594" s="11">
        <v>8</v>
      </c>
      <c r="AG594" s="11">
        <v>0</v>
      </c>
      <c r="AH594" s="27">
        <v>2E-3</v>
      </c>
      <c r="AI594" s="11">
        <v>0</v>
      </c>
      <c r="AJ594" s="11">
        <v>0</v>
      </c>
      <c r="AK594" s="11" t="s">
        <v>714</v>
      </c>
      <c r="AL594" s="10">
        <v>4</v>
      </c>
      <c r="AM594" s="41">
        <f>INDEX(Sheet5!$B$19:$G$33,MATCH(Sheet1!AQ594,Sheet5!$A$19:$A$33,0),MATCH(J594,Sheet5!$B$18:$G$18,0))</f>
        <v>600</v>
      </c>
      <c r="AN594" s="10" t="s">
        <v>48</v>
      </c>
      <c r="AO594" s="21" t="s">
        <v>760</v>
      </c>
      <c r="AP594" s="10">
        <v>200415</v>
      </c>
      <c r="AQ594" s="13">
        <v>60</v>
      </c>
    </row>
    <row r="595" spans="1:43" ht="16.5">
      <c r="A595" s="10">
        <v>2651</v>
      </c>
      <c r="B595" s="105" t="s">
        <v>2246</v>
      </c>
      <c r="C595" s="21" t="s">
        <v>160</v>
      </c>
      <c r="D595" s="12" t="s">
        <v>104</v>
      </c>
      <c r="E595" s="2" t="s">
        <v>63</v>
      </c>
      <c r="F595" s="64">
        <v>200</v>
      </c>
      <c r="G595" s="10">
        <v>300</v>
      </c>
      <c r="H595" s="10">
        <v>50</v>
      </c>
      <c r="I595" s="12" t="s">
        <v>159</v>
      </c>
      <c r="J595" s="10">
        <v>1</v>
      </c>
      <c r="K595" s="10">
        <v>2</v>
      </c>
      <c r="L595" s="10">
        <v>0</v>
      </c>
      <c r="M595" s="10">
        <v>0</v>
      </c>
      <c r="N595" s="10">
        <v>0</v>
      </c>
      <c r="O595" s="10">
        <v>0</v>
      </c>
      <c r="P595">
        <v>280</v>
      </c>
      <c r="Q595" s="10">
        <v>0</v>
      </c>
      <c r="R595" s="10">
        <v>0</v>
      </c>
      <c r="S595" s="10">
        <v>0</v>
      </c>
      <c r="T595" s="10">
        <v>0</v>
      </c>
      <c r="U595" s="10">
        <v>0</v>
      </c>
      <c r="V595" s="10">
        <v>0</v>
      </c>
      <c r="W595" s="10">
        <v>0</v>
      </c>
      <c r="X595" s="10">
        <v>2</v>
      </c>
      <c r="Y595" s="10">
        <v>0</v>
      </c>
      <c r="Z595" s="10">
        <v>0</v>
      </c>
      <c r="AA595" s="10">
        <v>0</v>
      </c>
      <c r="AB595" s="10">
        <v>0</v>
      </c>
      <c r="AC595" s="11">
        <v>0</v>
      </c>
      <c r="AD595" s="11">
        <v>0</v>
      </c>
      <c r="AE595" s="11">
        <v>0</v>
      </c>
      <c r="AF595" s="11">
        <v>8</v>
      </c>
      <c r="AG595" s="11">
        <v>0</v>
      </c>
      <c r="AH595" s="27">
        <v>2E-3</v>
      </c>
      <c r="AI595" s="11">
        <v>0</v>
      </c>
      <c r="AJ595" s="11">
        <v>0</v>
      </c>
      <c r="AK595" s="11" t="s">
        <v>714</v>
      </c>
      <c r="AL595" s="10">
        <v>4</v>
      </c>
      <c r="AM595" s="41">
        <f>INDEX(Sheet5!$B$19:$G$33,MATCH(Sheet1!AQ595,Sheet5!$A$19:$A$33,0),MATCH(J595,Sheet5!$B$18:$G$18,0))</f>
        <v>700</v>
      </c>
      <c r="AN595" s="10" t="s">
        <v>48</v>
      </c>
      <c r="AO595" s="21" t="s">
        <v>760</v>
      </c>
      <c r="AP595" s="10">
        <v>200416</v>
      </c>
      <c r="AQ595" s="13">
        <v>70</v>
      </c>
    </row>
    <row r="596" spans="1:43" ht="16.5">
      <c r="A596" s="10">
        <v>2652</v>
      </c>
      <c r="B596" s="105" t="s">
        <v>2247</v>
      </c>
      <c r="C596" s="21" t="s">
        <v>160</v>
      </c>
      <c r="D596" s="12" t="s">
        <v>104</v>
      </c>
      <c r="E596" s="2" t="s">
        <v>63</v>
      </c>
      <c r="F596" s="64">
        <v>200</v>
      </c>
      <c r="G596" s="10">
        <v>300</v>
      </c>
      <c r="H596" s="10">
        <v>50</v>
      </c>
      <c r="I596" s="12" t="s">
        <v>159</v>
      </c>
      <c r="J596" s="10">
        <v>1</v>
      </c>
      <c r="K596" s="10">
        <v>2</v>
      </c>
      <c r="L596" s="10">
        <v>0</v>
      </c>
      <c r="M596" s="10">
        <v>0</v>
      </c>
      <c r="N596" s="10">
        <v>0</v>
      </c>
      <c r="O596" s="10">
        <v>0</v>
      </c>
      <c r="P596">
        <v>320</v>
      </c>
      <c r="Q596" s="10">
        <v>0</v>
      </c>
      <c r="R596" s="10">
        <v>0</v>
      </c>
      <c r="S596" s="10">
        <v>0</v>
      </c>
      <c r="T596" s="10">
        <v>0</v>
      </c>
      <c r="U596" s="10">
        <v>0</v>
      </c>
      <c r="V596" s="10">
        <v>0</v>
      </c>
      <c r="W596" s="10">
        <v>0</v>
      </c>
      <c r="X596" s="10">
        <v>2</v>
      </c>
      <c r="Y596" s="10">
        <v>0</v>
      </c>
      <c r="Z596" s="10">
        <v>0</v>
      </c>
      <c r="AA596" s="10">
        <v>0</v>
      </c>
      <c r="AB596" s="10">
        <v>0</v>
      </c>
      <c r="AC596" s="11">
        <v>0</v>
      </c>
      <c r="AD596" s="11">
        <v>0</v>
      </c>
      <c r="AE596" s="11">
        <v>0</v>
      </c>
      <c r="AF596" s="11">
        <v>8</v>
      </c>
      <c r="AG596" s="11">
        <v>0</v>
      </c>
      <c r="AH596" s="27">
        <v>2E-3</v>
      </c>
      <c r="AI596" s="11">
        <v>0</v>
      </c>
      <c r="AJ596" s="11">
        <v>0</v>
      </c>
      <c r="AK596" s="11" t="s">
        <v>714</v>
      </c>
      <c r="AL596" s="10">
        <v>4</v>
      </c>
      <c r="AM596" s="41">
        <f>INDEX(Sheet5!$B$19:$G$33,MATCH(Sheet1!AQ596,Sheet5!$A$19:$A$33,0),MATCH(J596,Sheet5!$B$18:$G$18,0))</f>
        <v>800</v>
      </c>
      <c r="AN596" s="10" t="s">
        <v>48</v>
      </c>
      <c r="AO596" s="21" t="s">
        <v>760</v>
      </c>
      <c r="AP596" s="10">
        <v>200417</v>
      </c>
      <c r="AQ596" s="13">
        <v>80</v>
      </c>
    </row>
    <row r="597" spans="1:43" ht="16.5">
      <c r="A597" s="10">
        <v>2653</v>
      </c>
      <c r="B597" s="105" t="s">
        <v>2248</v>
      </c>
      <c r="C597" s="21" t="s">
        <v>160</v>
      </c>
      <c r="D597" s="12" t="s">
        <v>104</v>
      </c>
      <c r="E597" s="2" t="s">
        <v>63</v>
      </c>
      <c r="F597" s="64">
        <v>200</v>
      </c>
      <c r="G597" s="10">
        <v>300</v>
      </c>
      <c r="H597" s="10">
        <v>50</v>
      </c>
      <c r="I597" s="12" t="s">
        <v>159</v>
      </c>
      <c r="J597" s="10">
        <v>1</v>
      </c>
      <c r="K597" s="10">
        <v>2</v>
      </c>
      <c r="L597" s="10">
        <v>0</v>
      </c>
      <c r="M597" s="10">
        <v>0</v>
      </c>
      <c r="N597" s="10">
        <v>0</v>
      </c>
      <c r="O597" s="10">
        <v>0</v>
      </c>
      <c r="P597">
        <v>360</v>
      </c>
      <c r="Q597" s="10">
        <v>0</v>
      </c>
      <c r="R597" s="10">
        <v>0</v>
      </c>
      <c r="S597" s="10">
        <v>0</v>
      </c>
      <c r="T597" s="10">
        <v>0</v>
      </c>
      <c r="U597" s="10">
        <v>0</v>
      </c>
      <c r="V597" s="10">
        <v>0</v>
      </c>
      <c r="W597" s="10">
        <v>0</v>
      </c>
      <c r="X597" s="10">
        <v>2</v>
      </c>
      <c r="Y597" s="10">
        <v>0</v>
      </c>
      <c r="Z597" s="10">
        <v>0</v>
      </c>
      <c r="AA597" s="10">
        <v>0</v>
      </c>
      <c r="AB597" s="10">
        <v>0</v>
      </c>
      <c r="AC597" s="11">
        <v>0</v>
      </c>
      <c r="AD597" s="11">
        <v>0</v>
      </c>
      <c r="AE597" s="11">
        <v>0</v>
      </c>
      <c r="AF597" s="11">
        <v>8</v>
      </c>
      <c r="AG597" s="11">
        <v>0</v>
      </c>
      <c r="AH597" s="27">
        <v>2E-3</v>
      </c>
      <c r="AI597" s="11">
        <v>0</v>
      </c>
      <c r="AJ597" s="11">
        <v>0</v>
      </c>
      <c r="AK597" s="11" t="s">
        <v>714</v>
      </c>
      <c r="AL597" s="10">
        <v>4</v>
      </c>
      <c r="AM597" s="41">
        <f>INDEX(Sheet5!$B$19:$G$33,MATCH(Sheet1!AQ597,Sheet5!$A$19:$A$33,0),MATCH(J597,Sheet5!$B$18:$G$18,0))</f>
        <v>900</v>
      </c>
      <c r="AN597" s="10" t="s">
        <v>48</v>
      </c>
      <c r="AO597" s="21" t="s">
        <v>760</v>
      </c>
      <c r="AP597" s="10">
        <v>200418</v>
      </c>
      <c r="AQ597" s="13">
        <v>90</v>
      </c>
    </row>
    <row r="598" spans="1:43" ht="16.5">
      <c r="A598" s="10">
        <v>2654</v>
      </c>
      <c r="B598" s="105" t="s">
        <v>2249</v>
      </c>
      <c r="C598" s="21" t="s">
        <v>160</v>
      </c>
      <c r="D598" s="12" t="s">
        <v>104</v>
      </c>
      <c r="E598" s="2" t="s">
        <v>63</v>
      </c>
      <c r="F598" s="64">
        <v>200</v>
      </c>
      <c r="G598" s="10">
        <v>300</v>
      </c>
      <c r="H598" s="10">
        <v>50</v>
      </c>
      <c r="I598" s="12" t="s">
        <v>159</v>
      </c>
      <c r="J598" s="10">
        <v>1</v>
      </c>
      <c r="K598" s="10">
        <v>2</v>
      </c>
      <c r="L598" s="10">
        <v>0</v>
      </c>
      <c r="M598" s="10">
        <v>0</v>
      </c>
      <c r="N598" s="10">
        <v>0</v>
      </c>
      <c r="O598" s="10">
        <v>0</v>
      </c>
      <c r="P598">
        <v>400</v>
      </c>
      <c r="Q598" s="10">
        <v>0</v>
      </c>
      <c r="R598" s="10">
        <v>0</v>
      </c>
      <c r="S598" s="10">
        <v>0</v>
      </c>
      <c r="T598" s="10">
        <v>0</v>
      </c>
      <c r="U598" s="10">
        <v>0</v>
      </c>
      <c r="V598" s="10">
        <v>0</v>
      </c>
      <c r="W598" s="10">
        <v>0</v>
      </c>
      <c r="X598" s="10">
        <v>2</v>
      </c>
      <c r="Y598" s="10">
        <v>0</v>
      </c>
      <c r="Z598" s="10">
        <v>0</v>
      </c>
      <c r="AA598" s="10">
        <v>0</v>
      </c>
      <c r="AB598" s="10">
        <v>0</v>
      </c>
      <c r="AC598" s="11">
        <v>0</v>
      </c>
      <c r="AD598" s="11">
        <v>0</v>
      </c>
      <c r="AE598" s="11">
        <v>0</v>
      </c>
      <c r="AF598" s="11">
        <v>8</v>
      </c>
      <c r="AG598" s="11">
        <v>0</v>
      </c>
      <c r="AH598" s="27">
        <v>2E-3</v>
      </c>
      <c r="AI598" s="11">
        <v>0</v>
      </c>
      <c r="AJ598" s="11">
        <v>0</v>
      </c>
      <c r="AK598" s="11" t="s">
        <v>714</v>
      </c>
      <c r="AL598" s="10">
        <v>4</v>
      </c>
      <c r="AM598" s="41">
        <f>INDEX(Sheet5!$B$19:$G$33,MATCH(Sheet1!AQ598,Sheet5!$A$19:$A$33,0),MATCH(J598,Sheet5!$B$18:$G$18,0))</f>
        <v>1000</v>
      </c>
      <c r="AN598" s="10" t="s">
        <v>48</v>
      </c>
      <c r="AO598" s="21" t="s">
        <v>760</v>
      </c>
      <c r="AP598" s="10">
        <v>200419</v>
      </c>
      <c r="AQ598" s="13">
        <v>100</v>
      </c>
    </row>
    <row r="599" spans="1:43" ht="16.5">
      <c r="A599" s="10">
        <v>2655</v>
      </c>
      <c r="B599" s="105" t="s">
        <v>2250</v>
      </c>
      <c r="C599" s="21" t="s">
        <v>160</v>
      </c>
      <c r="D599" s="12" t="s">
        <v>104</v>
      </c>
      <c r="E599" s="2" t="s">
        <v>63</v>
      </c>
      <c r="F599" s="64">
        <v>200</v>
      </c>
      <c r="G599" s="10">
        <v>300</v>
      </c>
      <c r="H599" s="10">
        <v>50</v>
      </c>
      <c r="I599" s="12" t="s">
        <v>159</v>
      </c>
      <c r="J599" s="10">
        <v>1</v>
      </c>
      <c r="K599" s="10">
        <v>2</v>
      </c>
      <c r="L599" s="10">
        <v>0</v>
      </c>
      <c r="M599" s="10">
        <v>0</v>
      </c>
      <c r="N599" s="10">
        <v>0</v>
      </c>
      <c r="O599" s="10">
        <v>0</v>
      </c>
      <c r="P599">
        <v>440</v>
      </c>
      <c r="Q599" s="10">
        <v>0</v>
      </c>
      <c r="R599" s="10">
        <v>0</v>
      </c>
      <c r="S599" s="10">
        <v>0</v>
      </c>
      <c r="T599" s="10">
        <v>0</v>
      </c>
      <c r="U599" s="10">
        <v>0</v>
      </c>
      <c r="V599" s="10">
        <v>0</v>
      </c>
      <c r="W599" s="10">
        <v>0</v>
      </c>
      <c r="X599" s="10">
        <v>2</v>
      </c>
      <c r="Y599" s="10">
        <v>0</v>
      </c>
      <c r="Z599" s="10">
        <v>0</v>
      </c>
      <c r="AA599" s="10">
        <v>0</v>
      </c>
      <c r="AB599" s="10">
        <v>0</v>
      </c>
      <c r="AC599" s="11">
        <v>0</v>
      </c>
      <c r="AD599" s="11">
        <v>0</v>
      </c>
      <c r="AE599" s="11">
        <v>0</v>
      </c>
      <c r="AF599" s="11">
        <v>8</v>
      </c>
      <c r="AG599" s="11">
        <v>0</v>
      </c>
      <c r="AH599" s="27">
        <v>2E-3</v>
      </c>
      <c r="AI599" s="11">
        <v>0</v>
      </c>
      <c r="AJ599" s="11">
        <v>0</v>
      </c>
      <c r="AK599" s="11" t="s">
        <v>714</v>
      </c>
      <c r="AL599" s="10">
        <v>4</v>
      </c>
      <c r="AM599" s="41">
        <f>INDEX(Sheet5!$B$19:$G$33,MATCH(Sheet1!AQ599,Sheet5!$A$19:$A$33,0),MATCH(J599,Sheet5!$B$18:$G$18,0))</f>
        <v>1100</v>
      </c>
      <c r="AN599" s="10" t="s">
        <v>48</v>
      </c>
      <c r="AO599" s="21" t="s">
        <v>760</v>
      </c>
      <c r="AP599" s="10">
        <v>200420</v>
      </c>
      <c r="AQ599" s="13">
        <v>110</v>
      </c>
    </row>
    <row r="600" spans="1:43" ht="16.5">
      <c r="A600" s="10">
        <v>2656</v>
      </c>
      <c r="B600" s="105" t="s">
        <v>2251</v>
      </c>
      <c r="C600" s="21" t="s">
        <v>160</v>
      </c>
      <c r="D600" s="12" t="s">
        <v>104</v>
      </c>
      <c r="E600" s="2" t="s">
        <v>63</v>
      </c>
      <c r="F600" s="64">
        <v>200</v>
      </c>
      <c r="G600" s="10">
        <v>300</v>
      </c>
      <c r="H600" s="10">
        <v>50</v>
      </c>
      <c r="I600" s="12" t="s">
        <v>159</v>
      </c>
      <c r="J600" s="10">
        <v>1</v>
      </c>
      <c r="K600" s="10">
        <v>2</v>
      </c>
      <c r="L600" s="10">
        <v>0</v>
      </c>
      <c r="M600" s="10">
        <v>0</v>
      </c>
      <c r="N600" s="10">
        <v>0</v>
      </c>
      <c r="O600" s="10">
        <v>0</v>
      </c>
      <c r="P600">
        <v>480</v>
      </c>
      <c r="Q600" s="10">
        <v>0</v>
      </c>
      <c r="R600" s="10">
        <v>0</v>
      </c>
      <c r="S600" s="10">
        <v>0</v>
      </c>
      <c r="T600" s="10">
        <v>0</v>
      </c>
      <c r="U600" s="10">
        <v>0</v>
      </c>
      <c r="V600" s="10">
        <v>0</v>
      </c>
      <c r="W600" s="10">
        <v>0</v>
      </c>
      <c r="X600" s="10">
        <v>2</v>
      </c>
      <c r="Y600" s="10">
        <v>0</v>
      </c>
      <c r="Z600" s="10">
        <v>0</v>
      </c>
      <c r="AA600" s="10">
        <v>0</v>
      </c>
      <c r="AB600" s="10">
        <v>0</v>
      </c>
      <c r="AC600" s="11">
        <v>0</v>
      </c>
      <c r="AD600" s="11">
        <v>0</v>
      </c>
      <c r="AE600" s="11">
        <v>0</v>
      </c>
      <c r="AF600" s="11">
        <v>8</v>
      </c>
      <c r="AG600" s="11">
        <v>0</v>
      </c>
      <c r="AH600" s="27">
        <v>2E-3</v>
      </c>
      <c r="AI600" s="11">
        <v>0</v>
      </c>
      <c r="AJ600" s="11">
        <v>0</v>
      </c>
      <c r="AK600" s="11" t="s">
        <v>714</v>
      </c>
      <c r="AL600" s="10">
        <v>4</v>
      </c>
      <c r="AM600" s="41">
        <f>INDEX(Sheet5!$B$19:$G$33,MATCH(Sheet1!AQ600,Sheet5!$A$19:$A$33,0),MATCH(J600,Sheet5!$B$18:$G$18,0))</f>
        <v>1200</v>
      </c>
      <c r="AN600" s="10" t="s">
        <v>48</v>
      </c>
      <c r="AO600" s="21" t="s">
        <v>760</v>
      </c>
      <c r="AP600" s="10">
        <v>200421</v>
      </c>
      <c r="AQ600" s="13">
        <v>120</v>
      </c>
    </row>
    <row r="601" spans="1:43" ht="16.5">
      <c r="A601" s="10">
        <v>2657</v>
      </c>
      <c r="B601" s="105" t="s">
        <v>2252</v>
      </c>
      <c r="C601" s="21" t="s">
        <v>160</v>
      </c>
      <c r="D601" s="12" t="s">
        <v>104</v>
      </c>
      <c r="E601" s="2" t="s">
        <v>63</v>
      </c>
      <c r="F601" s="64">
        <v>200</v>
      </c>
      <c r="G601" s="10">
        <v>300</v>
      </c>
      <c r="H601" s="10">
        <v>50</v>
      </c>
      <c r="I601" s="12" t="s">
        <v>159</v>
      </c>
      <c r="J601" s="10">
        <v>1</v>
      </c>
      <c r="K601" s="10">
        <v>2</v>
      </c>
      <c r="L601" s="10">
        <v>0</v>
      </c>
      <c r="M601" s="10">
        <v>0</v>
      </c>
      <c r="N601" s="10">
        <v>0</v>
      </c>
      <c r="O601" s="10">
        <v>0</v>
      </c>
      <c r="P601">
        <v>520</v>
      </c>
      <c r="Q601" s="10">
        <v>0</v>
      </c>
      <c r="R601" s="10">
        <v>0</v>
      </c>
      <c r="S601" s="10">
        <v>0</v>
      </c>
      <c r="T601" s="10">
        <v>0</v>
      </c>
      <c r="U601" s="10">
        <v>0</v>
      </c>
      <c r="V601" s="10">
        <v>0</v>
      </c>
      <c r="W601" s="10">
        <v>0</v>
      </c>
      <c r="X601" s="10">
        <v>2</v>
      </c>
      <c r="Y601" s="10">
        <v>0</v>
      </c>
      <c r="Z601" s="10">
        <v>0</v>
      </c>
      <c r="AA601" s="10">
        <v>0</v>
      </c>
      <c r="AB601" s="10">
        <v>0</v>
      </c>
      <c r="AC601" s="11">
        <v>0</v>
      </c>
      <c r="AD601" s="11">
        <v>0</v>
      </c>
      <c r="AE601" s="11">
        <v>0</v>
      </c>
      <c r="AF601" s="11">
        <v>8</v>
      </c>
      <c r="AG601" s="11">
        <v>0</v>
      </c>
      <c r="AH601" s="27">
        <v>2E-3</v>
      </c>
      <c r="AI601" s="11">
        <v>0</v>
      </c>
      <c r="AJ601" s="11">
        <v>0</v>
      </c>
      <c r="AK601" s="11" t="s">
        <v>714</v>
      </c>
      <c r="AL601" s="10">
        <v>4</v>
      </c>
      <c r="AM601" s="41">
        <f>INDEX(Sheet5!$B$19:$G$33,MATCH(Sheet1!AQ601,Sheet5!$A$19:$A$33,0),MATCH(J601,Sheet5!$B$18:$G$18,0))</f>
        <v>1300</v>
      </c>
      <c r="AN601" s="10" t="s">
        <v>48</v>
      </c>
      <c r="AO601" s="21" t="s">
        <v>760</v>
      </c>
      <c r="AP601" s="10">
        <v>200422</v>
      </c>
      <c r="AQ601" s="13">
        <v>130</v>
      </c>
    </row>
    <row r="602" spans="1:43" ht="16.5">
      <c r="A602" s="10">
        <v>2658</v>
      </c>
      <c r="B602" s="105" t="s">
        <v>2253</v>
      </c>
      <c r="C602" s="21" t="s">
        <v>160</v>
      </c>
      <c r="D602" s="12" t="s">
        <v>104</v>
      </c>
      <c r="E602" s="2" t="s">
        <v>63</v>
      </c>
      <c r="F602" s="64">
        <v>200</v>
      </c>
      <c r="G602" s="10">
        <v>300</v>
      </c>
      <c r="H602" s="10">
        <v>50</v>
      </c>
      <c r="I602" s="12" t="s">
        <v>159</v>
      </c>
      <c r="J602" s="10">
        <v>1</v>
      </c>
      <c r="K602" s="10">
        <v>2</v>
      </c>
      <c r="L602" s="10">
        <v>0</v>
      </c>
      <c r="M602" s="10">
        <v>0</v>
      </c>
      <c r="N602" s="10">
        <v>0</v>
      </c>
      <c r="O602" s="10">
        <v>0</v>
      </c>
      <c r="P602">
        <v>560</v>
      </c>
      <c r="Q602" s="10">
        <v>0</v>
      </c>
      <c r="R602" s="10">
        <v>0</v>
      </c>
      <c r="S602" s="10">
        <v>0</v>
      </c>
      <c r="T602" s="10">
        <v>0</v>
      </c>
      <c r="U602" s="10">
        <v>0</v>
      </c>
      <c r="V602" s="10">
        <v>0</v>
      </c>
      <c r="W602" s="10">
        <v>0</v>
      </c>
      <c r="X602" s="10">
        <v>2</v>
      </c>
      <c r="Y602" s="10">
        <v>0</v>
      </c>
      <c r="Z602" s="10">
        <v>0</v>
      </c>
      <c r="AA602" s="10">
        <v>0</v>
      </c>
      <c r="AB602" s="10">
        <v>0</v>
      </c>
      <c r="AC602" s="11">
        <v>0</v>
      </c>
      <c r="AD602" s="11">
        <v>0</v>
      </c>
      <c r="AE602" s="11">
        <v>0</v>
      </c>
      <c r="AF602" s="11">
        <v>8</v>
      </c>
      <c r="AG602" s="11">
        <v>0</v>
      </c>
      <c r="AH602" s="27">
        <v>2E-3</v>
      </c>
      <c r="AI602" s="11">
        <v>0</v>
      </c>
      <c r="AJ602" s="11">
        <v>0</v>
      </c>
      <c r="AK602" s="11" t="s">
        <v>714</v>
      </c>
      <c r="AL602" s="10">
        <v>4</v>
      </c>
      <c r="AM602" s="41">
        <f>INDEX(Sheet5!$B$19:$G$33,MATCH(Sheet1!AQ602,Sheet5!$A$19:$A$33,0),MATCH(J602,Sheet5!$B$18:$G$18,0))</f>
        <v>1400</v>
      </c>
      <c r="AN602" s="10" t="s">
        <v>48</v>
      </c>
      <c r="AO602" s="21" t="s">
        <v>760</v>
      </c>
      <c r="AP602" s="10">
        <v>200423</v>
      </c>
      <c r="AQ602" s="13">
        <v>140</v>
      </c>
    </row>
    <row r="603" spans="1:43" ht="16.5">
      <c r="A603" s="10">
        <v>2659</v>
      </c>
      <c r="B603" s="105" t="s">
        <v>2254</v>
      </c>
      <c r="C603" s="21" t="s">
        <v>160</v>
      </c>
      <c r="D603" s="12" t="s">
        <v>104</v>
      </c>
      <c r="E603" s="2" t="s">
        <v>63</v>
      </c>
      <c r="F603" s="64">
        <v>200</v>
      </c>
      <c r="G603" s="10">
        <v>300</v>
      </c>
      <c r="H603" s="10">
        <v>50</v>
      </c>
      <c r="I603" s="12" t="s">
        <v>159</v>
      </c>
      <c r="J603" s="10">
        <v>1</v>
      </c>
      <c r="K603" s="10">
        <v>2</v>
      </c>
      <c r="L603" s="10">
        <v>0</v>
      </c>
      <c r="M603" s="10">
        <v>0</v>
      </c>
      <c r="N603" s="10">
        <v>0</v>
      </c>
      <c r="O603" s="10">
        <v>0</v>
      </c>
      <c r="P603">
        <v>600</v>
      </c>
      <c r="Q603" s="10">
        <v>0</v>
      </c>
      <c r="R603" s="10">
        <v>0</v>
      </c>
      <c r="S603" s="10">
        <v>0</v>
      </c>
      <c r="T603" s="10">
        <v>0</v>
      </c>
      <c r="U603" s="10">
        <v>0</v>
      </c>
      <c r="V603" s="10">
        <v>0</v>
      </c>
      <c r="W603" s="10">
        <v>0</v>
      </c>
      <c r="X603" s="10">
        <v>2</v>
      </c>
      <c r="Y603" s="10">
        <v>0</v>
      </c>
      <c r="Z603" s="10">
        <v>0</v>
      </c>
      <c r="AA603" s="10">
        <v>0</v>
      </c>
      <c r="AB603" s="10">
        <v>0</v>
      </c>
      <c r="AC603" s="11">
        <v>0</v>
      </c>
      <c r="AD603" s="11">
        <v>0</v>
      </c>
      <c r="AE603" s="11">
        <v>0</v>
      </c>
      <c r="AF603" s="11">
        <v>8</v>
      </c>
      <c r="AG603" s="11">
        <v>0</v>
      </c>
      <c r="AH603" s="27">
        <v>2E-3</v>
      </c>
      <c r="AI603" s="11">
        <v>0</v>
      </c>
      <c r="AJ603" s="11">
        <v>0</v>
      </c>
      <c r="AK603" s="11" t="s">
        <v>714</v>
      </c>
      <c r="AL603" s="10">
        <v>4</v>
      </c>
      <c r="AM603" s="41">
        <f>INDEX(Sheet5!$B$19:$G$33,MATCH(Sheet1!AQ603,Sheet5!$A$19:$A$33,0),MATCH(J603,Sheet5!$B$18:$G$18,0))</f>
        <v>1500</v>
      </c>
      <c r="AN603" s="10" t="s">
        <v>48</v>
      </c>
      <c r="AO603" s="21" t="s">
        <v>760</v>
      </c>
      <c r="AP603" s="10">
        <v>200424</v>
      </c>
      <c r="AQ603" s="13">
        <v>150</v>
      </c>
    </row>
    <row r="604" spans="1:43" ht="16.5">
      <c r="A604" s="24">
        <v>2901</v>
      </c>
      <c r="B604" s="24" t="s">
        <v>136</v>
      </c>
      <c r="C604" s="24" t="s">
        <v>136</v>
      </c>
      <c r="D604" s="24" t="s">
        <v>130</v>
      </c>
      <c r="E604" s="25" t="s">
        <v>48</v>
      </c>
      <c r="F604" s="68">
        <v>0</v>
      </c>
      <c r="G604" s="24">
        <v>300</v>
      </c>
      <c r="H604" s="24">
        <v>50</v>
      </c>
      <c r="I604" s="24" t="s">
        <v>718</v>
      </c>
      <c r="J604" s="24">
        <v>4</v>
      </c>
      <c r="K604" s="24">
        <v>14</v>
      </c>
      <c r="L604" s="24">
        <v>40</v>
      </c>
      <c r="M604" s="24">
        <v>0</v>
      </c>
      <c r="N604" s="24">
        <v>0</v>
      </c>
      <c r="O604" s="24">
        <v>1000000</v>
      </c>
      <c r="P604" s="24">
        <v>0</v>
      </c>
      <c r="Q604" s="24">
        <v>0</v>
      </c>
      <c r="R604" s="24">
        <v>0</v>
      </c>
      <c r="S604" s="24">
        <v>0</v>
      </c>
      <c r="T604" s="24">
        <v>0</v>
      </c>
      <c r="U604" s="24">
        <v>0</v>
      </c>
      <c r="V604" s="24">
        <v>0</v>
      </c>
      <c r="W604" s="24">
        <v>5</v>
      </c>
      <c r="X604" s="24">
        <v>0</v>
      </c>
      <c r="Y604" s="24">
        <v>0</v>
      </c>
      <c r="Z604" s="24">
        <v>0</v>
      </c>
      <c r="AA604" s="24">
        <v>0</v>
      </c>
      <c r="AB604" s="24">
        <v>0</v>
      </c>
      <c r="AC604" s="24">
        <v>0</v>
      </c>
      <c r="AD604" s="24">
        <v>0</v>
      </c>
      <c r="AE604" s="24">
        <v>20</v>
      </c>
      <c r="AF604" s="24">
        <v>0</v>
      </c>
      <c r="AG604" s="24">
        <v>0</v>
      </c>
      <c r="AH604" s="24">
        <v>0</v>
      </c>
      <c r="AI604" s="24">
        <v>0</v>
      </c>
      <c r="AJ604" s="24">
        <v>1.8000000000000002E-2</v>
      </c>
      <c r="AK604" s="24" t="s">
        <v>713</v>
      </c>
      <c r="AL604" s="24">
        <v>2</v>
      </c>
      <c r="AM604" s="41">
        <v>15000</v>
      </c>
      <c r="AN604" s="24" t="s">
        <v>48</v>
      </c>
      <c r="AO604" s="24" t="str">
        <f>IFERROR(VLOOKUP(A604*100+2,Sheet2!A:P,16,FALSE),"[]")</f>
        <v>[]</v>
      </c>
      <c r="AP604" s="24">
        <v>2901</v>
      </c>
      <c r="AQ604" s="13"/>
    </row>
    <row r="605" spans="1:43" ht="16.5">
      <c r="A605" s="24">
        <v>2902</v>
      </c>
      <c r="B605" s="24" t="s">
        <v>137</v>
      </c>
      <c r="C605" s="24" t="s">
        <v>137</v>
      </c>
      <c r="D605" s="24" t="s">
        <v>132</v>
      </c>
      <c r="E605" s="25" t="s">
        <v>48</v>
      </c>
      <c r="F605" s="68">
        <v>0</v>
      </c>
      <c r="G605" s="24">
        <v>300</v>
      </c>
      <c r="H605" s="24">
        <v>50</v>
      </c>
      <c r="I605" s="24" t="s">
        <v>719</v>
      </c>
      <c r="J605" s="24">
        <v>4</v>
      </c>
      <c r="K605" s="24">
        <v>14</v>
      </c>
      <c r="L605" s="24">
        <v>40</v>
      </c>
      <c r="M605" s="24">
        <v>0</v>
      </c>
      <c r="N605" s="24">
        <v>2000000</v>
      </c>
      <c r="O605" s="24">
        <v>0</v>
      </c>
      <c r="P605" s="24">
        <v>0</v>
      </c>
      <c r="Q605" s="24">
        <v>0</v>
      </c>
      <c r="R605" s="24">
        <v>0</v>
      </c>
      <c r="S605" s="24">
        <v>0</v>
      </c>
      <c r="T605" s="24">
        <v>0</v>
      </c>
      <c r="U605" s="24">
        <v>0</v>
      </c>
      <c r="V605" s="24">
        <v>10</v>
      </c>
      <c r="W605" s="24">
        <v>0</v>
      </c>
      <c r="X605" s="24">
        <v>0</v>
      </c>
      <c r="Y605" s="24">
        <v>0</v>
      </c>
      <c r="Z605" s="24">
        <v>0</v>
      </c>
      <c r="AA605" s="24">
        <v>0</v>
      </c>
      <c r="AB605" s="24">
        <v>0</v>
      </c>
      <c r="AC605" s="24">
        <v>0</v>
      </c>
      <c r="AD605" s="24">
        <v>40</v>
      </c>
      <c r="AE605" s="24">
        <v>0</v>
      </c>
      <c r="AF605" s="24">
        <v>0</v>
      </c>
      <c r="AG605" s="24">
        <v>0</v>
      </c>
      <c r="AH605" s="24">
        <v>0</v>
      </c>
      <c r="AI605" s="24">
        <v>1.8000000000000002E-2</v>
      </c>
      <c r="AJ605" s="24">
        <v>0</v>
      </c>
      <c r="AK605" s="24" t="s">
        <v>713</v>
      </c>
      <c r="AL605" s="24">
        <v>1</v>
      </c>
      <c r="AM605" s="41">
        <v>15000</v>
      </c>
      <c r="AN605" s="24" t="s">
        <v>48</v>
      </c>
      <c r="AO605" s="24" t="str">
        <f>IFERROR(VLOOKUP(A605*100+2,Sheet2!A:P,16,FALSE),"[]")</f>
        <v>[]</v>
      </c>
      <c r="AP605" s="24">
        <v>2902</v>
      </c>
      <c r="AQ605" s="13"/>
    </row>
    <row r="606" spans="1:43" ht="16.5">
      <c r="A606" s="24">
        <v>2903</v>
      </c>
      <c r="B606" s="24" t="s">
        <v>138</v>
      </c>
      <c r="C606" s="24" t="s">
        <v>138</v>
      </c>
      <c r="D606" s="24" t="s">
        <v>131</v>
      </c>
      <c r="E606" s="25" t="s">
        <v>48</v>
      </c>
      <c r="F606" s="68">
        <v>0</v>
      </c>
      <c r="G606" s="24">
        <v>300</v>
      </c>
      <c r="H606" s="24">
        <v>50</v>
      </c>
      <c r="I606" s="24" t="s">
        <v>720</v>
      </c>
      <c r="J606" s="24">
        <v>4</v>
      </c>
      <c r="K606" s="24">
        <v>14</v>
      </c>
      <c r="L606" s="24">
        <v>40</v>
      </c>
      <c r="M606" s="24">
        <v>30000000</v>
      </c>
      <c r="N606" s="24">
        <v>0</v>
      </c>
      <c r="O606" s="24">
        <v>0</v>
      </c>
      <c r="P606" s="24">
        <v>0</v>
      </c>
      <c r="Q606" s="24">
        <v>0</v>
      </c>
      <c r="R606" s="24">
        <v>0</v>
      </c>
      <c r="S606" s="24">
        <v>0</v>
      </c>
      <c r="T606" s="24">
        <v>0</v>
      </c>
      <c r="U606" s="24">
        <v>150</v>
      </c>
      <c r="V606" s="24">
        <v>0</v>
      </c>
      <c r="W606" s="24">
        <v>0</v>
      </c>
      <c r="X606" s="24">
        <v>0</v>
      </c>
      <c r="Y606" s="24">
        <v>0</v>
      </c>
      <c r="Z606" s="24">
        <v>0</v>
      </c>
      <c r="AA606" s="24">
        <v>0</v>
      </c>
      <c r="AB606" s="24">
        <v>0</v>
      </c>
      <c r="AC606" s="24">
        <v>600</v>
      </c>
      <c r="AD606" s="24">
        <v>0</v>
      </c>
      <c r="AE606" s="24">
        <v>0</v>
      </c>
      <c r="AF606" s="24">
        <v>0</v>
      </c>
      <c r="AG606" s="24">
        <v>9.0000000000000011E-3</v>
      </c>
      <c r="AH606" s="24">
        <v>0</v>
      </c>
      <c r="AI606" s="24">
        <v>0</v>
      </c>
      <c r="AJ606" s="24">
        <v>0</v>
      </c>
      <c r="AK606" s="24" t="s">
        <v>713</v>
      </c>
      <c r="AL606" s="24">
        <v>3</v>
      </c>
      <c r="AM606" s="41">
        <v>15000</v>
      </c>
      <c r="AN606" s="24" t="s">
        <v>48</v>
      </c>
      <c r="AO606" s="24" t="str">
        <f>IFERROR(VLOOKUP(A606*100+2,Sheet2!A:P,16,FALSE),"[]")</f>
        <v>[]</v>
      </c>
      <c r="AP606" s="24">
        <v>2903</v>
      </c>
      <c r="AQ606" s="13"/>
    </row>
    <row r="607" spans="1:43" ht="16.5">
      <c r="A607" s="24">
        <v>2904</v>
      </c>
      <c r="B607" s="24" t="s">
        <v>251</v>
      </c>
      <c r="C607" s="24" t="s">
        <v>135</v>
      </c>
      <c r="D607" s="24" t="s">
        <v>133</v>
      </c>
      <c r="E607" s="25" t="s">
        <v>48</v>
      </c>
      <c r="F607" s="68">
        <v>0</v>
      </c>
      <c r="G607" s="24">
        <v>300</v>
      </c>
      <c r="H607" s="24">
        <v>50</v>
      </c>
      <c r="I607" s="24" t="s">
        <v>159</v>
      </c>
      <c r="J607" s="24">
        <v>4</v>
      </c>
      <c r="K607" s="24">
        <v>14</v>
      </c>
      <c r="L607" s="24">
        <v>40</v>
      </c>
      <c r="M607" s="24">
        <v>0</v>
      </c>
      <c r="N607" s="24">
        <v>0</v>
      </c>
      <c r="O607" s="24">
        <v>0</v>
      </c>
      <c r="P607" s="24">
        <v>1000000</v>
      </c>
      <c r="Q607" s="24">
        <v>0</v>
      </c>
      <c r="R607" s="24">
        <v>0</v>
      </c>
      <c r="S607" s="24">
        <v>0</v>
      </c>
      <c r="T607" s="24">
        <v>0</v>
      </c>
      <c r="U607" s="24">
        <v>0</v>
      </c>
      <c r="V607" s="24">
        <v>0</v>
      </c>
      <c r="W607" s="24">
        <v>0</v>
      </c>
      <c r="X607" s="24">
        <v>5</v>
      </c>
      <c r="Y607" s="24">
        <v>0</v>
      </c>
      <c r="Z607" s="24">
        <v>0</v>
      </c>
      <c r="AA607" s="24">
        <v>0</v>
      </c>
      <c r="AB607" s="24">
        <v>0</v>
      </c>
      <c r="AC607" s="24">
        <v>0</v>
      </c>
      <c r="AD607" s="24">
        <v>0</v>
      </c>
      <c r="AE607" s="24">
        <v>0</v>
      </c>
      <c r="AF607" s="24">
        <v>20</v>
      </c>
      <c r="AG607" s="24">
        <v>0</v>
      </c>
      <c r="AH607" s="24">
        <v>9.0000000000000011E-3</v>
      </c>
      <c r="AI607" s="24">
        <v>0</v>
      </c>
      <c r="AJ607" s="24">
        <v>0</v>
      </c>
      <c r="AK607" s="24" t="s">
        <v>713</v>
      </c>
      <c r="AL607" s="24">
        <v>4</v>
      </c>
      <c r="AM607" s="41">
        <v>15000</v>
      </c>
      <c r="AN607" s="24" t="s">
        <v>48</v>
      </c>
      <c r="AO607" s="24" t="str">
        <f>IFERROR(VLOOKUP(A607*100+2,Sheet2!A:P,16,FALSE),"[]")</f>
        <v>[]</v>
      </c>
      <c r="AP607" s="24">
        <v>2904</v>
      </c>
      <c r="AQ607" s="13"/>
    </row>
    <row r="608" spans="1:43" ht="16.5">
      <c r="A608" s="77">
        <v>2660</v>
      </c>
      <c r="B608" s="77" t="s">
        <v>2255</v>
      </c>
      <c r="C608" s="77" t="s">
        <v>1362</v>
      </c>
      <c r="D608" s="77" t="s">
        <v>1363</v>
      </c>
      <c r="E608" s="78">
        <v>11017</v>
      </c>
      <c r="F608" s="80">
        <v>5000</v>
      </c>
      <c r="G608" s="77">
        <v>300</v>
      </c>
      <c r="H608" s="77">
        <v>50</v>
      </c>
      <c r="I608" s="77" t="s">
        <v>718</v>
      </c>
      <c r="J608" s="77">
        <v>3</v>
      </c>
      <c r="K608" s="77">
        <v>10</v>
      </c>
      <c r="L608" s="77">
        <v>30</v>
      </c>
      <c r="M608" s="80">
        <v>0</v>
      </c>
      <c r="N608" s="80">
        <v>0</v>
      </c>
      <c r="O608">
        <v>160</v>
      </c>
      <c r="P608" s="80">
        <v>0</v>
      </c>
      <c r="Q608" s="77">
        <v>0</v>
      </c>
      <c r="R608" s="77">
        <v>0</v>
      </c>
      <c r="S608" s="77">
        <v>0</v>
      </c>
      <c r="T608" s="77">
        <v>0</v>
      </c>
      <c r="U608" s="77">
        <v>0</v>
      </c>
      <c r="V608" s="77">
        <v>0</v>
      </c>
      <c r="W608" s="77">
        <v>5</v>
      </c>
      <c r="X608" s="77">
        <v>0</v>
      </c>
      <c r="Y608" s="77">
        <v>0</v>
      </c>
      <c r="Z608" s="77">
        <v>0</v>
      </c>
      <c r="AA608" s="77">
        <v>0</v>
      </c>
      <c r="AB608" s="77">
        <v>0</v>
      </c>
      <c r="AC608" s="79">
        <v>0</v>
      </c>
      <c r="AD608" s="79">
        <v>0</v>
      </c>
      <c r="AE608" s="79">
        <v>20</v>
      </c>
      <c r="AF608" s="79">
        <v>0</v>
      </c>
      <c r="AG608" s="79">
        <v>0</v>
      </c>
      <c r="AH608" s="79">
        <v>0</v>
      </c>
      <c r="AI608" s="79">
        <v>0</v>
      </c>
      <c r="AJ608" s="79">
        <v>0.01</v>
      </c>
      <c r="AK608" s="129">
        <v>20074</v>
      </c>
      <c r="AL608" s="77">
        <v>2</v>
      </c>
      <c r="AM608" s="41">
        <f>INDEX(Sheet5!$B$19:$G$33,MATCH(Sheet1!AQ608,Sheet5!$A$19:$A$33,0),MATCH(J608,Sheet5!$B$18:$G$18,0))</f>
        <v>300</v>
      </c>
      <c r="AN608" s="77" t="s">
        <v>714</v>
      </c>
      <c r="AO608" s="77" t="s">
        <v>1364</v>
      </c>
      <c r="AP608" s="77">
        <v>451</v>
      </c>
      <c r="AQ608" s="13">
        <v>10</v>
      </c>
    </row>
    <row r="609" spans="1:43" ht="16.5">
      <c r="A609" s="77">
        <v>2661</v>
      </c>
      <c r="B609" s="77" t="s">
        <v>2256</v>
      </c>
      <c r="C609" s="77" t="s">
        <v>1362</v>
      </c>
      <c r="D609" s="77" t="s">
        <v>1363</v>
      </c>
      <c r="E609" s="78">
        <v>11017</v>
      </c>
      <c r="F609" s="80">
        <v>5000</v>
      </c>
      <c r="G609" s="77">
        <v>300</v>
      </c>
      <c r="H609" s="77">
        <v>50</v>
      </c>
      <c r="I609" s="77" t="s">
        <v>718</v>
      </c>
      <c r="J609" s="77">
        <v>3</v>
      </c>
      <c r="K609" s="77">
        <v>10</v>
      </c>
      <c r="L609" s="77">
        <v>30</v>
      </c>
      <c r="M609" s="80">
        <v>0</v>
      </c>
      <c r="N609" s="80">
        <v>0</v>
      </c>
      <c r="O609">
        <v>320</v>
      </c>
      <c r="P609" s="80">
        <v>0</v>
      </c>
      <c r="Q609" s="77">
        <v>0</v>
      </c>
      <c r="R609" s="77">
        <v>0</v>
      </c>
      <c r="S609" s="77">
        <v>0</v>
      </c>
      <c r="T609" s="77">
        <v>0</v>
      </c>
      <c r="U609" s="77">
        <v>0</v>
      </c>
      <c r="V609" s="77">
        <v>0</v>
      </c>
      <c r="W609" s="77">
        <v>5</v>
      </c>
      <c r="X609" s="77">
        <v>0</v>
      </c>
      <c r="Y609" s="77">
        <v>0</v>
      </c>
      <c r="Z609" s="77">
        <v>0</v>
      </c>
      <c r="AA609" s="77">
        <v>0</v>
      </c>
      <c r="AB609" s="77">
        <v>0</v>
      </c>
      <c r="AC609" s="79">
        <v>0</v>
      </c>
      <c r="AD609" s="79">
        <v>0</v>
      </c>
      <c r="AE609" s="79">
        <v>20</v>
      </c>
      <c r="AF609" s="79">
        <v>0</v>
      </c>
      <c r="AG609" s="79">
        <v>0</v>
      </c>
      <c r="AH609" s="79">
        <v>0</v>
      </c>
      <c r="AI609" s="79">
        <v>0</v>
      </c>
      <c r="AJ609" s="79">
        <v>0.01</v>
      </c>
      <c r="AK609" s="129">
        <v>20075</v>
      </c>
      <c r="AL609" s="77">
        <v>2</v>
      </c>
      <c r="AM609" s="41">
        <f>INDEX(Sheet5!$B$19:$G$33,MATCH(Sheet1!AQ609,Sheet5!$A$19:$A$33,0),MATCH(J609,Sheet5!$B$18:$G$18,0))</f>
        <v>600</v>
      </c>
      <c r="AN609" s="77" t="s">
        <v>714</v>
      </c>
      <c r="AO609" s="77" t="s">
        <v>1364</v>
      </c>
      <c r="AP609" s="77">
        <v>452</v>
      </c>
      <c r="AQ609" s="13">
        <v>20</v>
      </c>
    </row>
    <row r="610" spans="1:43" s="102" customFormat="1" ht="16.5">
      <c r="A610" s="108">
        <v>2045</v>
      </c>
      <c r="B610" s="108" t="s">
        <v>2257</v>
      </c>
      <c r="C610" s="108" t="s">
        <v>1362</v>
      </c>
      <c r="D610" s="108" t="s">
        <v>1363</v>
      </c>
      <c r="E610" s="109">
        <v>11017</v>
      </c>
      <c r="F610" s="108">
        <v>5000</v>
      </c>
      <c r="G610" s="108">
        <v>300</v>
      </c>
      <c r="H610" s="108">
        <v>50</v>
      </c>
      <c r="I610" s="108" t="s">
        <v>718</v>
      </c>
      <c r="J610" s="108">
        <v>3</v>
      </c>
      <c r="K610" s="108">
        <v>10</v>
      </c>
      <c r="L610" s="108">
        <v>30</v>
      </c>
      <c r="M610" s="94">
        <v>0</v>
      </c>
      <c r="N610" s="94">
        <v>0</v>
      </c>
      <c r="O610">
        <v>480</v>
      </c>
      <c r="P610" s="94">
        <v>0</v>
      </c>
      <c r="Q610" s="108">
        <v>0</v>
      </c>
      <c r="R610" s="108">
        <v>0</v>
      </c>
      <c r="S610" s="108">
        <v>0</v>
      </c>
      <c r="T610" s="108">
        <v>0</v>
      </c>
      <c r="U610" s="108">
        <v>0</v>
      </c>
      <c r="V610" s="108">
        <v>0</v>
      </c>
      <c r="W610" s="108">
        <v>5</v>
      </c>
      <c r="X610" s="108">
        <v>0</v>
      </c>
      <c r="Y610" s="108">
        <v>0</v>
      </c>
      <c r="Z610" s="108">
        <v>0</v>
      </c>
      <c r="AA610" s="108">
        <v>0</v>
      </c>
      <c r="AB610" s="108">
        <v>0</v>
      </c>
      <c r="AC610" s="108">
        <v>0</v>
      </c>
      <c r="AD610" s="108">
        <v>0</v>
      </c>
      <c r="AE610" s="108">
        <v>20</v>
      </c>
      <c r="AF610" s="108">
        <v>0</v>
      </c>
      <c r="AG610" s="108">
        <v>0</v>
      </c>
      <c r="AH610" s="108">
        <v>0</v>
      </c>
      <c r="AI610" s="108">
        <v>0</v>
      </c>
      <c r="AJ610" s="108">
        <v>0.01</v>
      </c>
      <c r="AK610" s="129">
        <v>20076</v>
      </c>
      <c r="AL610" s="108">
        <v>2</v>
      </c>
      <c r="AM610" s="41">
        <f>INDEX(Sheet5!$B$19:$G$33,MATCH(Sheet1!AQ610,Sheet5!$A$19:$A$33,0),MATCH(J610,Sheet5!$B$18:$G$18,0))</f>
        <v>900</v>
      </c>
      <c r="AN610" s="108" t="s">
        <v>714</v>
      </c>
      <c r="AO610" s="108" t="s">
        <v>1364</v>
      </c>
      <c r="AP610" s="108">
        <v>2045</v>
      </c>
      <c r="AQ610" s="13">
        <v>30</v>
      </c>
    </row>
    <row r="611" spans="1:43" ht="16.5">
      <c r="A611" s="77">
        <v>2662</v>
      </c>
      <c r="B611" s="77" t="s">
        <v>2258</v>
      </c>
      <c r="C611" s="77" t="s">
        <v>1362</v>
      </c>
      <c r="D611" s="77" t="s">
        <v>1363</v>
      </c>
      <c r="E611" s="78">
        <v>11017</v>
      </c>
      <c r="F611" s="80">
        <v>5000</v>
      </c>
      <c r="G611" s="77">
        <v>300</v>
      </c>
      <c r="H611" s="77">
        <v>50</v>
      </c>
      <c r="I611" s="77" t="s">
        <v>718</v>
      </c>
      <c r="J611" s="77">
        <v>3</v>
      </c>
      <c r="K611" s="77">
        <v>10</v>
      </c>
      <c r="L611" s="77">
        <v>30</v>
      </c>
      <c r="M611" s="80">
        <v>0</v>
      </c>
      <c r="N611" s="80">
        <v>0</v>
      </c>
      <c r="O611">
        <v>640</v>
      </c>
      <c r="P611" s="80">
        <v>0</v>
      </c>
      <c r="Q611" s="77">
        <v>0</v>
      </c>
      <c r="R611" s="77">
        <v>0</v>
      </c>
      <c r="S611" s="77">
        <v>0</v>
      </c>
      <c r="T611" s="77">
        <v>0</v>
      </c>
      <c r="U611" s="77">
        <v>0</v>
      </c>
      <c r="V611" s="77">
        <v>0</v>
      </c>
      <c r="W611" s="77">
        <v>5</v>
      </c>
      <c r="X611" s="77">
        <v>0</v>
      </c>
      <c r="Y611" s="77">
        <v>0</v>
      </c>
      <c r="Z611" s="77">
        <v>0</v>
      </c>
      <c r="AA611" s="77">
        <v>0</v>
      </c>
      <c r="AB611" s="77">
        <v>0</v>
      </c>
      <c r="AC611" s="79">
        <v>0</v>
      </c>
      <c r="AD611" s="79">
        <v>0</v>
      </c>
      <c r="AE611" s="79">
        <v>20</v>
      </c>
      <c r="AF611" s="79">
        <v>0</v>
      </c>
      <c r="AG611" s="79">
        <v>0</v>
      </c>
      <c r="AH611" s="79">
        <v>0</v>
      </c>
      <c r="AI611" s="79">
        <v>0</v>
      </c>
      <c r="AJ611" s="79">
        <v>0.01</v>
      </c>
      <c r="AK611" s="129">
        <v>20077</v>
      </c>
      <c r="AL611" s="77">
        <v>2</v>
      </c>
      <c r="AM611" s="41">
        <f>INDEX(Sheet5!$B$19:$G$33,MATCH(Sheet1!AQ611,Sheet5!$A$19:$A$33,0),MATCH(J611,Sheet5!$B$18:$G$18,0))</f>
        <v>1200</v>
      </c>
      <c r="AN611" s="77" t="s">
        <v>714</v>
      </c>
      <c r="AO611" s="77" t="s">
        <v>1364</v>
      </c>
      <c r="AP611" s="77">
        <v>20451</v>
      </c>
      <c r="AQ611" s="13">
        <v>40</v>
      </c>
    </row>
    <row r="612" spans="1:43" ht="16.5">
      <c r="A612" s="77">
        <v>2663</v>
      </c>
      <c r="B612" s="77" t="s">
        <v>2259</v>
      </c>
      <c r="C612" s="77" t="s">
        <v>1362</v>
      </c>
      <c r="D612" s="77" t="s">
        <v>1363</v>
      </c>
      <c r="E612" s="78">
        <v>11017</v>
      </c>
      <c r="F612" s="80">
        <v>5000</v>
      </c>
      <c r="G612" s="77">
        <v>300</v>
      </c>
      <c r="H612" s="77">
        <v>50</v>
      </c>
      <c r="I612" s="77" t="s">
        <v>718</v>
      </c>
      <c r="J612" s="77">
        <v>3</v>
      </c>
      <c r="K612" s="77">
        <v>10</v>
      </c>
      <c r="L612" s="77">
        <v>30</v>
      </c>
      <c r="M612" s="80">
        <v>0</v>
      </c>
      <c r="N612" s="80">
        <v>0</v>
      </c>
      <c r="O612">
        <v>800</v>
      </c>
      <c r="P612" s="80">
        <v>0</v>
      </c>
      <c r="Q612" s="77">
        <v>0</v>
      </c>
      <c r="R612" s="77">
        <v>0</v>
      </c>
      <c r="S612" s="77">
        <v>0</v>
      </c>
      <c r="T612" s="77">
        <v>0</v>
      </c>
      <c r="U612" s="77">
        <v>0</v>
      </c>
      <c r="V612" s="77">
        <v>0</v>
      </c>
      <c r="W612" s="77">
        <v>5</v>
      </c>
      <c r="X612" s="77">
        <v>0</v>
      </c>
      <c r="Y612" s="77">
        <v>0</v>
      </c>
      <c r="Z612" s="77">
        <v>0</v>
      </c>
      <c r="AA612" s="77">
        <v>0</v>
      </c>
      <c r="AB612" s="77">
        <v>0</v>
      </c>
      <c r="AC612" s="79">
        <v>0</v>
      </c>
      <c r="AD612" s="79">
        <v>0</v>
      </c>
      <c r="AE612" s="79">
        <v>20</v>
      </c>
      <c r="AF612" s="79">
        <v>0</v>
      </c>
      <c r="AG612" s="79">
        <v>0</v>
      </c>
      <c r="AH612" s="79">
        <v>0</v>
      </c>
      <c r="AI612" s="79">
        <v>0</v>
      </c>
      <c r="AJ612" s="79">
        <v>0.01</v>
      </c>
      <c r="AK612" s="129">
        <v>20078</v>
      </c>
      <c r="AL612" s="77">
        <v>2</v>
      </c>
      <c r="AM612" s="41">
        <f>INDEX(Sheet5!$B$19:$G$33,MATCH(Sheet1!AQ612,Sheet5!$A$19:$A$33,0),MATCH(J612,Sheet5!$B$18:$G$18,0))</f>
        <v>1500</v>
      </c>
      <c r="AN612" s="77" t="s">
        <v>714</v>
      </c>
      <c r="AO612" s="77" t="s">
        <v>1364</v>
      </c>
      <c r="AP612" s="77">
        <v>20452</v>
      </c>
      <c r="AQ612" s="13">
        <v>50</v>
      </c>
    </row>
    <row r="613" spans="1:43" ht="16.5">
      <c r="A613" s="77">
        <v>2664</v>
      </c>
      <c r="B613" s="77" t="s">
        <v>2260</v>
      </c>
      <c r="C613" s="77" t="s">
        <v>1362</v>
      </c>
      <c r="D613" s="77" t="s">
        <v>1363</v>
      </c>
      <c r="E613" s="78">
        <v>11017</v>
      </c>
      <c r="F613" s="80">
        <v>5000</v>
      </c>
      <c r="G613" s="77">
        <v>300</v>
      </c>
      <c r="H613" s="77">
        <v>50</v>
      </c>
      <c r="I613" s="77" t="s">
        <v>718</v>
      </c>
      <c r="J613" s="77">
        <v>3</v>
      </c>
      <c r="K613" s="77">
        <v>10</v>
      </c>
      <c r="L613" s="77">
        <v>30</v>
      </c>
      <c r="M613" s="80">
        <v>0</v>
      </c>
      <c r="N613" s="80">
        <v>0</v>
      </c>
      <c r="O613">
        <v>960</v>
      </c>
      <c r="P613" s="80">
        <v>0</v>
      </c>
      <c r="Q613" s="77">
        <v>0</v>
      </c>
      <c r="R613" s="77">
        <v>0</v>
      </c>
      <c r="S613" s="77">
        <v>0</v>
      </c>
      <c r="T613" s="77">
        <v>0</v>
      </c>
      <c r="U613" s="77">
        <v>0</v>
      </c>
      <c r="V613" s="77">
        <v>0</v>
      </c>
      <c r="W613" s="77">
        <v>5</v>
      </c>
      <c r="X613" s="77">
        <v>0</v>
      </c>
      <c r="Y613" s="77">
        <v>0</v>
      </c>
      <c r="Z613" s="77">
        <v>0</v>
      </c>
      <c r="AA613" s="77">
        <v>0</v>
      </c>
      <c r="AB613" s="77">
        <v>0</v>
      </c>
      <c r="AC613" s="79">
        <v>0</v>
      </c>
      <c r="AD613" s="79">
        <v>0</v>
      </c>
      <c r="AE613" s="79">
        <v>20</v>
      </c>
      <c r="AF613" s="79">
        <v>0</v>
      </c>
      <c r="AG613" s="79">
        <v>0</v>
      </c>
      <c r="AH613" s="79">
        <v>0</v>
      </c>
      <c r="AI613" s="79">
        <v>0</v>
      </c>
      <c r="AJ613" s="79">
        <v>0.01</v>
      </c>
      <c r="AK613" s="129">
        <v>20079</v>
      </c>
      <c r="AL613" s="77">
        <v>2</v>
      </c>
      <c r="AM613" s="41">
        <f>INDEX(Sheet5!$B$19:$G$33,MATCH(Sheet1!AQ613,Sheet5!$A$19:$A$33,0),MATCH(J613,Sheet5!$B$18:$G$18,0))</f>
        <v>1800</v>
      </c>
      <c r="AN613" s="77" t="s">
        <v>714</v>
      </c>
      <c r="AO613" s="77" t="s">
        <v>1364</v>
      </c>
      <c r="AP613" s="77">
        <v>20453</v>
      </c>
      <c r="AQ613" s="13">
        <v>60</v>
      </c>
    </row>
    <row r="614" spans="1:43" ht="16.5">
      <c r="A614" s="77">
        <v>2665</v>
      </c>
      <c r="B614" s="77" t="s">
        <v>2261</v>
      </c>
      <c r="C614" s="77" t="s">
        <v>1362</v>
      </c>
      <c r="D614" s="77" t="s">
        <v>1363</v>
      </c>
      <c r="E614" s="78">
        <v>11017</v>
      </c>
      <c r="F614" s="80">
        <v>5000</v>
      </c>
      <c r="G614" s="77">
        <v>300</v>
      </c>
      <c r="H614" s="77">
        <v>50</v>
      </c>
      <c r="I614" s="77" t="s">
        <v>718</v>
      </c>
      <c r="J614" s="77">
        <v>3</v>
      </c>
      <c r="K614" s="77">
        <v>10</v>
      </c>
      <c r="L614" s="77">
        <v>30</v>
      </c>
      <c r="M614" s="80">
        <v>0</v>
      </c>
      <c r="N614" s="80">
        <v>0</v>
      </c>
      <c r="O614">
        <v>1120</v>
      </c>
      <c r="P614" s="80">
        <v>0</v>
      </c>
      <c r="Q614" s="77">
        <v>0</v>
      </c>
      <c r="R614" s="77">
        <v>0</v>
      </c>
      <c r="S614" s="77">
        <v>0</v>
      </c>
      <c r="T614" s="77">
        <v>0</v>
      </c>
      <c r="U614" s="77">
        <v>0</v>
      </c>
      <c r="V614" s="77">
        <v>0</v>
      </c>
      <c r="W614" s="77">
        <v>5</v>
      </c>
      <c r="X614" s="77">
        <v>0</v>
      </c>
      <c r="Y614" s="77">
        <v>0</v>
      </c>
      <c r="Z614" s="77">
        <v>0</v>
      </c>
      <c r="AA614" s="77">
        <v>0</v>
      </c>
      <c r="AB614" s="77">
        <v>0</v>
      </c>
      <c r="AC614" s="79">
        <v>0</v>
      </c>
      <c r="AD614" s="79">
        <v>0</v>
      </c>
      <c r="AE614" s="79">
        <v>20</v>
      </c>
      <c r="AF614" s="79">
        <v>0</v>
      </c>
      <c r="AG614" s="79">
        <v>0</v>
      </c>
      <c r="AH614" s="79">
        <v>0</v>
      </c>
      <c r="AI614" s="79">
        <v>0</v>
      </c>
      <c r="AJ614" s="79">
        <v>0.01</v>
      </c>
      <c r="AK614" s="129">
        <v>20080</v>
      </c>
      <c r="AL614" s="77">
        <v>2</v>
      </c>
      <c r="AM614" s="41">
        <f>INDEX(Sheet5!$B$19:$G$33,MATCH(Sheet1!AQ614,Sheet5!$A$19:$A$33,0),MATCH(J614,Sheet5!$B$18:$G$18,0))</f>
        <v>2100</v>
      </c>
      <c r="AN614" s="77" t="s">
        <v>714</v>
      </c>
      <c r="AO614" s="77" t="s">
        <v>1364</v>
      </c>
      <c r="AP614" s="77">
        <v>20454</v>
      </c>
      <c r="AQ614" s="13">
        <v>70</v>
      </c>
    </row>
    <row r="615" spans="1:43" ht="16.5">
      <c r="A615" s="77">
        <v>2666</v>
      </c>
      <c r="B615" s="77" t="s">
        <v>2262</v>
      </c>
      <c r="C615" s="77" t="s">
        <v>1362</v>
      </c>
      <c r="D615" s="77" t="s">
        <v>1363</v>
      </c>
      <c r="E615" s="78">
        <v>11017</v>
      </c>
      <c r="F615" s="80">
        <v>5000</v>
      </c>
      <c r="G615" s="77">
        <v>300</v>
      </c>
      <c r="H615" s="77">
        <v>50</v>
      </c>
      <c r="I615" s="77" t="s">
        <v>718</v>
      </c>
      <c r="J615" s="77">
        <v>3</v>
      </c>
      <c r="K615" s="77">
        <v>10</v>
      </c>
      <c r="L615" s="77">
        <v>30</v>
      </c>
      <c r="M615" s="80">
        <v>0</v>
      </c>
      <c r="N615" s="80">
        <v>0</v>
      </c>
      <c r="O615">
        <v>1280</v>
      </c>
      <c r="P615" s="80">
        <v>0</v>
      </c>
      <c r="Q615" s="77">
        <v>0</v>
      </c>
      <c r="R615" s="77">
        <v>0</v>
      </c>
      <c r="S615" s="77">
        <v>0</v>
      </c>
      <c r="T615" s="77">
        <v>0</v>
      </c>
      <c r="U615" s="77">
        <v>0</v>
      </c>
      <c r="V615" s="77">
        <v>0</v>
      </c>
      <c r="W615" s="77">
        <v>5</v>
      </c>
      <c r="X615" s="77">
        <v>0</v>
      </c>
      <c r="Y615" s="77">
        <v>0</v>
      </c>
      <c r="Z615" s="77">
        <v>0</v>
      </c>
      <c r="AA615" s="77">
        <v>0</v>
      </c>
      <c r="AB615" s="77">
        <v>0</v>
      </c>
      <c r="AC615" s="79">
        <v>0</v>
      </c>
      <c r="AD615" s="79">
        <v>0</v>
      </c>
      <c r="AE615" s="79">
        <v>20</v>
      </c>
      <c r="AF615" s="79">
        <v>0</v>
      </c>
      <c r="AG615" s="79">
        <v>0</v>
      </c>
      <c r="AH615" s="79">
        <v>0</v>
      </c>
      <c r="AI615" s="79">
        <v>0</v>
      </c>
      <c r="AJ615" s="79">
        <v>0.01</v>
      </c>
      <c r="AK615" s="129">
        <v>20081</v>
      </c>
      <c r="AL615" s="77">
        <v>2</v>
      </c>
      <c r="AM615" s="41">
        <f>INDEX(Sheet5!$B$19:$G$33,MATCH(Sheet1!AQ615,Sheet5!$A$19:$A$33,0),MATCH(J615,Sheet5!$B$18:$G$18,0))</f>
        <v>2400</v>
      </c>
      <c r="AN615" s="77" t="s">
        <v>714</v>
      </c>
      <c r="AO615" s="77" t="s">
        <v>1364</v>
      </c>
      <c r="AP615" s="77">
        <v>20455</v>
      </c>
      <c r="AQ615" s="13">
        <v>80</v>
      </c>
    </row>
    <row r="616" spans="1:43" ht="16.5">
      <c r="A616" s="77">
        <v>2667</v>
      </c>
      <c r="B616" s="77" t="s">
        <v>2263</v>
      </c>
      <c r="C616" s="77" t="s">
        <v>1362</v>
      </c>
      <c r="D616" s="77" t="s">
        <v>1363</v>
      </c>
      <c r="E616" s="78">
        <v>11017</v>
      </c>
      <c r="F616" s="80">
        <v>5000</v>
      </c>
      <c r="G616" s="77">
        <v>300</v>
      </c>
      <c r="H616" s="77">
        <v>50</v>
      </c>
      <c r="I616" s="77" t="s">
        <v>718</v>
      </c>
      <c r="J616" s="77">
        <v>3</v>
      </c>
      <c r="K616" s="77">
        <v>10</v>
      </c>
      <c r="L616" s="77">
        <v>30</v>
      </c>
      <c r="M616" s="80">
        <v>0</v>
      </c>
      <c r="N616" s="80">
        <v>0</v>
      </c>
      <c r="O616">
        <v>1440</v>
      </c>
      <c r="P616" s="80">
        <v>0</v>
      </c>
      <c r="Q616" s="77">
        <v>0</v>
      </c>
      <c r="R616" s="77">
        <v>0</v>
      </c>
      <c r="S616" s="77">
        <v>0</v>
      </c>
      <c r="T616" s="77">
        <v>0</v>
      </c>
      <c r="U616" s="77">
        <v>0</v>
      </c>
      <c r="V616" s="77">
        <v>0</v>
      </c>
      <c r="W616" s="77">
        <v>5</v>
      </c>
      <c r="X616" s="77">
        <v>0</v>
      </c>
      <c r="Y616" s="77">
        <v>0</v>
      </c>
      <c r="Z616" s="77">
        <v>0</v>
      </c>
      <c r="AA616" s="77">
        <v>0</v>
      </c>
      <c r="AB616" s="77">
        <v>0</v>
      </c>
      <c r="AC616" s="79">
        <v>0</v>
      </c>
      <c r="AD616" s="79">
        <v>0</v>
      </c>
      <c r="AE616" s="79">
        <v>20</v>
      </c>
      <c r="AF616" s="79">
        <v>0</v>
      </c>
      <c r="AG616" s="79">
        <v>0</v>
      </c>
      <c r="AH616" s="79">
        <v>0</v>
      </c>
      <c r="AI616" s="79">
        <v>0</v>
      </c>
      <c r="AJ616" s="79">
        <v>0.01</v>
      </c>
      <c r="AK616" s="129">
        <v>20082</v>
      </c>
      <c r="AL616" s="77">
        <v>2</v>
      </c>
      <c r="AM616" s="41">
        <f>INDEX(Sheet5!$B$19:$G$33,MATCH(Sheet1!AQ616,Sheet5!$A$19:$A$33,0),MATCH(J616,Sheet5!$B$18:$G$18,0))</f>
        <v>2700</v>
      </c>
      <c r="AN616" s="77" t="s">
        <v>714</v>
      </c>
      <c r="AO616" s="77" t="s">
        <v>1364</v>
      </c>
      <c r="AP616" s="77">
        <v>20456</v>
      </c>
      <c r="AQ616" s="13">
        <v>90</v>
      </c>
    </row>
    <row r="617" spans="1:43" ht="16.5">
      <c r="A617" s="77">
        <v>2668</v>
      </c>
      <c r="B617" s="77" t="s">
        <v>2264</v>
      </c>
      <c r="C617" s="77" t="s">
        <v>1362</v>
      </c>
      <c r="D617" s="77" t="s">
        <v>1363</v>
      </c>
      <c r="E617" s="78">
        <v>11017</v>
      </c>
      <c r="F617" s="80">
        <v>5000</v>
      </c>
      <c r="G617" s="77">
        <v>300</v>
      </c>
      <c r="H617" s="77">
        <v>50</v>
      </c>
      <c r="I617" s="77" t="s">
        <v>718</v>
      </c>
      <c r="J617" s="77">
        <v>3</v>
      </c>
      <c r="K617" s="77">
        <v>10</v>
      </c>
      <c r="L617" s="77">
        <v>30</v>
      </c>
      <c r="M617" s="80">
        <v>0</v>
      </c>
      <c r="N617" s="80">
        <v>0</v>
      </c>
      <c r="O617">
        <v>1600</v>
      </c>
      <c r="P617" s="80">
        <v>0</v>
      </c>
      <c r="Q617" s="77">
        <v>0</v>
      </c>
      <c r="R617" s="77">
        <v>0</v>
      </c>
      <c r="S617" s="77">
        <v>0</v>
      </c>
      <c r="T617" s="77">
        <v>0</v>
      </c>
      <c r="U617" s="77">
        <v>0</v>
      </c>
      <c r="V617" s="77">
        <v>0</v>
      </c>
      <c r="W617" s="77">
        <v>5</v>
      </c>
      <c r="X617" s="77">
        <v>0</v>
      </c>
      <c r="Y617" s="77">
        <v>0</v>
      </c>
      <c r="Z617" s="77">
        <v>0</v>
      </c>
      <c r="AA617" s="77">
        <v>0</v>
      </c>
      <c r="AB617" s="77">
        <v>0</v>
      </c>
      <c r="AC617" s="79">
        <v>0</v>
      </c>
      <c r="AD617" s="79">
        <v>0</v>
      </c>
      <c r="AE617" s="79">
        <v>20</v>
      </c>
      <c r="AF617" s="79">
        <v>0</v>
      </c>
      <c r="AG617" s="79">
        <v>0</v>
      </c>
      <c r="AH617" s="79">
        <v>0</v>
      </c>
      <c r="AI617" s="79">
        <v>0</v>
      </c>
      <c r="AJ617" s="79">
        <v>0.01</v>
      </c>
      <c r="AK617" s="129">
        <v>20083</v>
      </c>
      <c r="AL617" s="77">
        <v>2</v>
      </c>
      <c r="AM617" s="41">
        <f>INDEX(Sheet5!$B$19:$G$33,MATCH(Sheet1!AQ617,Sheet5!$A$19:$A$33,0),MATCH(J617,Sheet5!$B$18:$G$18,0))</f>
        <v>3000</v>
      </c>
      <c r="AN617" s="77" t="s">
        <v>714</v>
      </c>
      <c r="AO617" s="77" t="s">
        <v>1364</v>
      </c>
      <c r="AP617" s="77">
        <v>20457</v>
      </c>
      <c r="AQ617" s="13">
        <v>100</v>
      </c>
    </row>
    <row r="618" spans="1:43" ht="16.5">
      <c r="A618" s="77">
        <v>2669</v>
      </c>
      <c r="B618" s="77" t="s">
        <v>2265</v>
      </c>
      <c r="C618" s="77" t="s">
        <v>1362</v>
      </c>
      <c r="D618" s="77" t="s">
        <v>1363</v>
      </c>
      <c r="E618" s="78">
        <v>11017</v>
      </c>
      <c r="F618" s="80">
        <v>5000</v>
      </c>
      <c r="G618" s="77">
        <v>300</v>
      </c>
      <c r="H618" s="77">
        <v>50</v>
      </c>
      <c r="I618" s="77" t="s">
        <v>718</v>
      </c>
      <c r="J618" s="77">
        <v>3</v>
      </c>
      <c r="K618" s="77">
        <v>10</v>
      </c>
      <c r="L618" s="77">
        <v>30</v>
      </c>
      <c r="M618" s="80">
        <v>0</v>
      </c>
      <c r="N618" s="80">
        <v>0</v>
      </c>
      <c r="O618">
        <v>1760</v>
      </c>
      <c r="P618" s="80">
        <v>0</v>
      </c>
      <c r="Q618" s="77">
        <v>0</v>
      </c>
      <c r="R618" s="77">
        <v>0</v>
      </c>
      <c r="S618" s="77">
        <v>0</v>
      </c>
      <c r="T618" s="77">
        <v>0</v>
      </c>
      <c r="U618" s="77">
        <v>0</v>
      </c>
      <c r="V618" s="77">
        <v>0</v>
      </c>
      <c r="W618" s="77">
        <v>5</v>
      </c>
      <c r="X618" s="77">
        <v>0</v>
      </c>
      <c r="Y618" s="77">
        <v>0</v>
      </c>
      <c r="Z618" s="77">
        <v>0</v>
      </c>
      <c r="AA618" s="77">
        <v>0</v>
      </c>
      <c r="AB618" s="77">
        <v>0</v>
      </c>
      <c r="AC618" s="79">
        <v>0</v>
      </c>
      <c r="AD618" s="79">
        <v>0</v>
      </c>
      <c r="AE618" s="79">
        <v>20</v>
      </c>
      <c r="AF618" s="79">
        <v>0</v>
      </c>
      <c r="AG618" s="79">
        <v>0</v>
      </c>
      <c r="AH618" s="79">
        <v>0</v>
      </c>
      <c r="AI618" s="79">
        <v>0</v>
      </c>
      <c r="AJ618" s="79">
        <v>0.01</v>
      </c>
      <c r="AK618" s="129">
        <v>20084</v>
      </c>
      <c r="AL618" s="77">
        <v>2</v>
      </c>
      <c r="AM618" s="41">
        <f>INDEX(Sheet5!$B$19:$G$33,MATCH(Sheet1!AQ618,Sheet5!$A$19:$A$33,0),MATCH(J618,Sheet5!$B$18:$G$18,0))</f>
        <v>3300</v>
      </c>
      <c r="AN618" s="77" t="s">
        <v>714</v>
      </c>
      <c r="AO618" s="77" t="s">
        <v>1364</v>
      </c>
      <c r="AP618" s="77">
        <v>20458</v>
      </c>
      <c r="AQ618" s="13">
        <v>110</v>
      </c>
    </row>
    <row r="619" spans="1:43" ht="16.5">
      <c r="A619" s="77">
        <v>2670</v>
      </c>
      <c r="B619" s="77" t="s">
        <v>2266</v>
      </c>
      <c r="C619" s="77" t="s">
        <v>1362</v>
      </c>
      <c r="D619" s="77" t="s">
        <v>1363</v>
      </c>
      <c r="E619" s="78">
        <v>11017</v>
      </c>
      <c r="F619" s="80">
        <v>5000</v>
      </c>
      <c r="G619" s="77">
        <v>300</v>
      </c>
      <c r="H619" s="77">
        <v>50</v>
      </c>
      <c r="I619" s="77" t="s">
        <v>718</v>
      </c>
      <c r="J619" s="77">
        <v>3</v>
      </c>
      <c r="K619" s="77">
        <v>10</v>
      </c>
      <c r="L619" s="77">
        <v>30</v>
      </c>
      <c r="M619" s="80">
        <v>0</v>
      </c>
      <c r="N619" s="80">
        <v>0</v>
      </c>
      <c r="O619">
        <v>1920</v>
      </c>
      <c r="P619" s="80">
        <v>0</v>
      </c>
      <c r="Q619" s="77">
        <v>0</v>
      </c>
      <c r="R619" s="77">
        <v>0</v>
      </c>
      <c r="S619" s="77">
        <v>0</v>
      </c>
      <c r="T619" s="77">
        <v>0</v>
      </c>
      <c r="U619" s="77">
        <v>0</v>
      </c>
      <c r="V619" s="77">
        <v>0</v>
      </c>
      <c r="W619" s="77">
        <v>5</v>
      </c>
      <c r="X619" s="77">
        <v>0</v>
      </c>
      <c r="Y619" s="77">
        <v>0</v>
      </c>
      <c r="Z619" s="77">
        <v>0</v>
      </c>
      <c r="AA619" s="77">
        <v>0</v>
      </c>
      <c r="AB619" s="77">
        <v>0</v>
      </c>
      <c r="AC619" s="79">
        <v>0</v>
      </c>
      <c r="AD619" s="79">
        <v>0</v>
      </c>
      <c r="AE619" s="79">
        <v>20</v>
      </c>
      <c r="AF619" s="79">
        <v>0</v>
      </c>
      <c r="AG619" s="79">
        <v>0</v>
      </c>
      <c r="AH619" s="79">
        <v>0</v>
      </c>
      <c r="AI619" s="79">
        <v>0</v>
      </c>
      <c r="AJ619" s="79">
        <v>0.01</v>
      </c>
      <c r="AK619" s="129">
        <v>20085</v>
      </c>
      <c r="AL619" s="77">
        <v>2</v>
      </c>
      <c r="AM619" s="41">
        <f>INDEX(Sheet5!$B$19:$G$33,MATCH(Sheet1!AQ619,Sheet5!$A$19:$A$33,0),MATCH(J619,Sheet5!$B$18:$G$18,0))</f>
        <v>3600</v>
      </c>
      <c r="AN619" s="77" t="s">
        <v>714</v>
      </c>
      <c r="AO619" s="77" t="s">
        <v>1364</v>
      </c>
      <c r="AP619" s="77">
        <v>20459</v>
      </c>
      <c r="AQ619" s="13">
        <v>120</v>
      </c>
    </row>
    <row r="620" spans="1:43" ht="16.5">
      <c r="A620" s="77">
        <v>2671</v>
      </c>
      <c r="B620" s="77" t="s">
        <v>2267</v>
      </c>
      <c r="C620" s="77" t="s">
        <v>1362</v>
      </c>
      <c r="D620" s="77" t="s">
        <v>1363</v>
      </c>
      <c r="E620" s="78">
        <v>11017</v>
      </c>
      <c r="F620" s="80">
        <v>5000</v>
      </c>
      <c r="G620" s="77">
        <v>300</v>
      </c>
      <c r="H620" s="77">
        <v>50</v>
      </c>
      <c r="I620" s="77" t="s">
        <v>718</v>
      </c>
      <c r="J620" s="77">
        <v>3</v>
      </c>
      <c r="K620" s="77">
        <v>10</v>
      </c>
      <c r="L620" s="77">
        <v>30</v>
      </c>
      <c r="M620" s="80">
        <v>0</v>
      </c>
      <c r="N620" s="80">
        <v>0</v>
      </c>
      <c r="O620">
        <v>2080</v>
      </c>
      <c r="P620" s="80">
        <v>0</v>
      </c>
      <c r="Q620" s="77">
        <v>0</v>
      </c>
      <c r="R620" s="77">
        <v>0</v>
      </c>
      <c r="S620" s="77">
        <v>0</v>
      </c>
      <c r="T620" s="77">
        <v>0</v>
      </c>
      <c r="U620" s="77">
        <v>0</v>
      </c>
      <c r="V620" s="77">
        <v>0</v>
      </c>
      <c r="W620" s="77">
        <v>5</v>
      </c>
      <c r="X620" s="77">
        <v>0</v>
      </c>
      <c r="Y620" s="77">
        <v>0</v>
      </c>
      <c r="Z620" s="77">
        <v>0</v>
      </c>
      <c r="AA620" s="77">
        <v>0</v>
      </c>
      <c r="AB620" s="77">
        <v>0</v>
      </c>
      <c r="AC620" s="79">
        <v>0</v>
      </c>
      <c r="AD620" s="79">
        <v>0</v>
      </c>
      <c r="AE620" s="79">
        <v>20</v>
      </c>
      <c r="AF620" s="79">
        <v>0</v>
      </c>
      <c r="AG620" s="79">
        <v>0</v>
      </c>
      <c r="AH620" s="79">
        <v>0</v>
      </c>
      <c r="AI620" s="79">
        <v>0</v>
      </c>
      <c r="AJ620" s="79">
        <v>0.01</v>
      </c>
      <c r="AK620" s="129">
        <v>20086</v>
      </c>
      <c r="AL620" s="77">
        <v>2</v>
      </c>
      <c r="AM620" s="41">
        <f>INDEX(Sheet5!$B$19:$G$33,MATCH(Sheet1!AQ620,Sheet5!$A$19:$A$33,0),MATCH(J620,Sheet5!$B$18:$G$18,0))</f>
        <v>3900</v>
      </c>
      <c r="AN620" s="77" t="s">
        <v>714</v>
      </c>
      <c r="AO620" s="77" t="s">
        <v>1364</v>
      </c>
      <c r="AP620" s="77">
        <v>204601</v>
      </c>
      <c r="AQ620" s="13">
        <v>130</v>
      </c>
    </row>
    <row r="621" spans="1:43" ht="16.5">
      <c r="A621" s="77">
        <v>2672</v>
      </c>
      <c r="B621" s="77" t="s">
        <v>2268</v>
      </c>
      <c r="C621" s="77" t="s">
        <v>1362</v>
      </c>
      <c r="D621" s="77" t="s">
        <v>1363</v>
      </c>
      <c r="E621" s="78">
        <v>11017</v>
      </c>
      <c r="F621" s="80">
        <v>5000</v>
      </c>
      <c r="G621" s="77">
        <v>300</v>
      </c>
      <c r="H621" s="77">
        <v>50</v>
      </c>
      <c r="I621" s="77" t="s">
        <v>718</v>
      </c>
      <c r="J621" s="77">
        <v>3</v>
      </c>
      <c r="K621" s="77">
        <v>10</v>
      </c>
      <c r="L621" s="77">
        <v>30</v>
      </c>
      <c r="M621" s="80">
        <v>0</v>
      </c>
      <c r="N621" s="80">
        <v>0</v>
      </c>
      <c r="O621">
        <v>2240</v>
      </c>
      <c r="P621" s="80">
        <v>0</v>
      </c>
      <c r="Q621" s="77">
        <v>0</v>
      </c>
      <c r="R621" s="77">
        <v>0</v>
      </c>
      <c r="S621" s="77">
        <v>0</v>
      </c>
      <c r="T621" s="77">
        <v>0</v>
      </c>
      <c r="U621" s="77">
        <v>0</v>
      </c>
      <c r="V621" s="77">
        <v>0</v>
      </c>
      <c r="W621" s="77">
        <v>5</v>
      </c>
      <c r="X621" s="77">
        <v>0</v>
      </c>
      <c r="Y621" s="77">
        <v>0</v>
      </c>
      <c r="Z621" s="77">
        <v>0</v>
      </c>
      <c r="AA621" s="77">
        <v>0</v>
      </c>
      <c r="AB621" s="77">
        <v>0</v>
      </c>
      <c r="AC621" s="79">
        <v>0</v>
      </c>
      <c r="AD621" s="79">
        <v>0</v>
      </c>
      <c r="AE621" s="79">
        <v>20</v>
      </c>
      <c r="AF621" s="79">
        <v>0</v>
      </c>
      <c r="AG621" s="79">
        <v>0</v>
      </c>
      <c r="AH621" s="79">
        <v>0</v>
      </c>
      <c r="AI621" s="79">
        <v>0</v>
      </c>
      <c r="AJ621" s="79">
        <v>0.01</v>
      </c>
      <c r="AK621" s="129">
        <v>20087</v>
      </c>
      <c r="AL621" s="77">
        <v>2</v>
      </c>
      <c r="AM621" s="41">
        <f>INDEX(Sheet5!$B$19:$G$33,MATCH(Sheet1!AQ621,Sheet5!$A$19:$A$33,0),MATCH(J621,Sheet5!$B$18:$G$18,0))</f>
        <v>4200</v>
      </c>
      <c r="AN621" s="77" t="s">
        <v>714</v>
      </c>
      <c r="AO621" s="77" t="s">
        <v>1364</v>
      </c>
      <c r="AP621" s="77">
        <v>204602</v>
      </c>
      <c r="AQ621" s="13">
        <v>140</v>
      </c>
    </row>
    <row r="622" spans="1:43" ht="16.5">
      <c r="A622" s="77">
        <v>2673</v>
      </c>
      <c r="B622" s="77" t="s">
        <v>2269</v>
      </c>
      <c r="C622" s="77" t="s">
        <v>1362</v>
      </c>
      <c r="D622" s="77" t="s">
        <v>1363</v>
      </c>
      <c r="E622" s="78">
        <v>11017</v>
      </c>
      <c r="F622" s="80">
        <v>5000</v>
      </c>
      <c r="G622" s="77">
        <v>300</v>
      </c>
      <c r="H622" s="77">
        <v>50</v>
      </c>
      <c r="I622" s="77" t="s">
        <v>718</v>
      </c>
      <c r="J622" s="77">
        <v>3</v>
      </c>
      <c r="K622" s="77">
        <v>10</v>
      </c>
      <c r="L622" s="77">
        <v>30</v>
      </c>
      <c r="M622" s="80">
        <v>0</v>
      </c>
      <c r="N622" s="80">
        <v>0</v>
      </c>
      <c r="O622">
        <v>2400</v>
      </c>
      <c r="P622" s="80">
        <v>0</v>
      </c>
      <c r="Q622" s="77">
        <v>0</v>
      </c>
      <c r="R622" s="77">
        <v>0</v>
      </c>
      <c r="S622" s="77">
        <v>0</v>
      </c>
      <c r="T622" s="77">
        <v>0</v>
      </c>
      <c r="U622" s="77">
        <v>0</v>
      </c>
      <c r="V622" s="77">
        <v>0</v>
      </c>
      <c r="W622" s="77">
        <v>5</v>
      </c>
      <c r="X622" s="77">
        <v>0</v>
      </c>
      <c r="Y622" s="77">
        <v>0</v>
      </c>
      <c r="Z622" s="77">
        <v>0</v>
      </c>
      <c r="AA622" s="77">
        <v>0</v>
      </c>
      <c r="AB622" s="77">
        <v>0</v>
      </c>
      <c r="AC622" s="79">
        <v>0</v>
      </c>
      <c r="AD622" s="79">
        <v>0</v>
      </c>
      <c r="AE622" s="79">
        <v>20</v>
      </c>
      <c r="AF622" s="79">
        <v>0</v>
      </c>
      <c r="AG622" s="79">
        <v>0</v>
      </c>
      <c r="AH622" s="79">
        <v>0</v>
      </c>
      <c r="AI622" s="79">
        <v>0</v>
      </c>
      <c r="AJ622" s="79">
        <v>0.01</v>
      </c>
      <c r="AK622" s="129">
        <v>20088</v>
      </c>
      <c r="AL622" s="77">
        <v>2</v>
      </c>
      <c r="AM622" s="41">
        <f>INDEX(Sheet5!$B$19:$G$33,MATCH(Sheet1!AQ622,Sheet5!$A$19:$A$33,0),MATCH(J622,Sheet5!$B$18:$G$18,0))</f>
        <v>4500</v>
      </c>
      <c r="AN622" s="77" t="s">
        <v>714</v>
      </c>
      <c r="AO622" s="77" t="s">
        <v>1364</v>
      </c>
      <c r="AP622" s="77">
        <v>204603</v>
      </c>
      <c r="AQ622" s="13">
        <v>150</v>
      </c>
    </row>
    <row r="623" spans="1:43" ht="16.5">
      <c r="A623" s="77">
        <v>2674</v>
      </c>
      <c r="B623" s="77" t="s">
        <v>2270</v>
      </c>
      <c r="C623" s="77" t="s">
        <v>1362</v>
      </c>
      <c r="D623" s="77" t="s">
        <v>1366</v>
      </c>
      <c r="E623" s="78">
        <v>11018</v>
      </c>
      <c r="F623" s="80">
        <v>5000</v>
      </c>
      <c r="G623" s="77">
        <v>300</v>
      </c>
      <c r="H623" s="77">
        <v>50</v>
      </c>
      <c r="I623" s="77" t="s">
        <v>719</v>
      </c>
      <c r="J623" s="77">
        <v>3</v>
      </c>
      <c r="K623" s="77">
        <v>10</v>
      </c>
      <c r="L623" s="77">
        <v>30</v>
      </c>
      <c r="M623" s="80">
        <v>0</v>
      </c>
      <c r="N623">
        <v>320</v>
      </c>
      <c r="O623" s="80">
        <v>0</v>
      </c>
      <c r="P623" s="80">
        <v>0</v>
      </c>
      <c r="Q623" s="77">
        <v>0</v>
      </c>
      <c r="R623" s="77">
        <v>0</v>
      </c>
      <c r="S623" s="77">
        <v>0</v>
      </c>
      <c r="T623" s="77">
        <v>0</v>
      </c>
      <c r="U623" s="77">
        <v>0</v>
      </c>
      <c r="V623" s="77">
        <v>10</v>
      </c>
      <c r="W623" s="77">
        <v>0</v>
      </c>
      <c r="X623" s="77">
        <v>0</v>
      </c>
      <c r="Y623" s="77">
        <v>0</v>
      </c>
      <c r="Z623" s="77">
        <v>0</v>
      </c>
      <c r="AA623" s="77">
        <v>0</v>
      </c>
      <c r="AB623" s="77">
        <v>0</v>
      </c>
      <c r="AC623" s="79">
        <v>0</v>
      </c>
      <c r="AD623" s="79">
        <v>40</v>
      </c>
      <c r="AE623" s="79">
        <v>0</v>
      </c>
      <c r="AF623" s="79">
        <v>0</v>
      </c>
      <c r="AG623" s="79">
        <v>0</v>
      </c>
      <c r="AH623" s="79">
        <v>0</v>
      </c>
      <c r="AI623" s="79">
        <v>0.01</v>
      </c>
      <c r="AJ623" s="79">
        <v>0</v>
      </c>
      <c r="AK623" s="130">
        <v>20074</v>
      </c>
      <c r="AL623" s="77">
        <v>1</v>
      </c>
      <c r="AM623" s="41">
        <f>INDEX(Sheet5!$B$19:$G$33,MATCH(Sheet1!AQ623,Sheet5!$A$19:$A$33,0),MATCH(J623,Sheet5!$B$18:$G$18,0))</f>
        <v>300</v>
      </c>
      <c r="AN623" s="77" t="s">
        <v>714</v>
      </c>
      <c r="AO623" s="77" t="s">
        <v>1367</v>
      </c>
      <c r="AP623" s="77">
        <v>461</v>
      </c>
      <c r="AQ623" s="13">
        <v>10</v>
      </c>
    </row>
    <row r="624" spans="1:43" ht="16.5">
      <c r="A624" s="77">
        <v>2675</v>
      </c>
      <c r="B624" s="77" t="s">
        <v>2271</v>
      </c>
      <c r="C624" s="77" t="s">
        <v>1362</v>
      </c>
      <c r="D624" s="77" t="s">
        <v>1366</v>
      </c>
      <c r="E624" s="78">
        <v>11018</v>
      </c>
      <c r="F624" s="80">
        <v>5000</v>
      </c>
      <c r="G624" s="77">
        <v>300</v>
      </c>
      <c r="H624" s="77">
        <v>50</v>
      </c>
      <c r="I624" s="77" t="s">
        <v>719</v>
      </c>
      <c r="J624" s="77">
        <v>3</v>
      </c>
      <c r="K624" s="77">
        <v>10</v>
      </c>
      <c r="L624" s="77">
        <v>30</v>
      </c>
      <c r="M624" s="80">
        <v>0</v>
      </c>
      <c r="N624">
        <v>640</v>
      </c>
      <c r="O624" s="80">
        <v>0</v>
      </c>
      <c r="P624" s="80">
        <v>0</v>
      </c>
      <c r="Q624" s="77">
        <v>0</v>
      </c>
      <c r="R624" s="77">
        <v>0</v>
      </c>
      <c r="S624" s="77">
        <v>0</v>
      </c>
      <c r="T624" s="77">
        <v>0</v>
      </c>
      <c r="U624" s="77">
        <v>0</v>
      </c>
      <c r="V624" s="77">
        <v>10</v>
      </c>
      <c r="W624" s="77">
        <v>0</v>
      </c>
      <c r="X624" s="77">
        <v>0</v>
      </c>
      <c r="Y624" s="77">
        <v>0</v>
      </c>
      <c r="Z624" s="77">
        <v>0</v>
      </c>
      <c r="AA624" s="77">
        <v>0</v>
      </c>
      <c r="AB624" s="77">
        <v>0</v>
      </c>
      <c r="AC624" s="79">
        <v>0</v>
      </c>
      <c r="AD624" s="79">
        <v>40</v>
      </c>
      <c r="AE624" s="79">
        <v>0</v>
      </c>
      <c r="AF624" s="79">
        <v>0</v>
      </c>
      <c r="AG624" s="79">
        <v>0</v>
      </c>
      <c r="AH624" s="79">
        <v>0</v>
      </c>
      <c r="AI624" s="79">
        <v>0.01</v>
      </c>
      <c r="AJ624" s="79">
        <v>0</v>
      </c>
      <c r="AK624" s="130">
        <v>20075</v>
      </c>
      <c r="AL624" s="77">
        <v>1</v>
      </c>
      <c r="AM624" s="41">
        <f>INDEX(Sheet5!$B$19:$G$33,MATCH(Sheet1!AQ624,Sheet5!$A$19:$A$33,0),MATCH(J624,Sheet5!$B$18:$G$18,0))</f>
        <v>600</v>
      </c>
      <c r="AN624" s="77" t="s">
        <v>714</v>
      </c>
      <c r="AO624" s="77" t="s">
        <v>1367</v>
      </c>
      <c r="AP624" s="77">
        <v>462</v>
      </c>
      <c r="AQ624" s="13">
        <v>20</v>
      </c>
    </row>
    <row r="625" spans="1:43" s="102" customFormat="1" ht="16.5">
      <c r="A625" s="108">
        <v>2046</v>
      </c>
      <c r="B625" s="108" t="s">
        <v>2272</v>
      </c>
      <c r="C625" s="108" t="s">
        <v>1362</v>
      </c>
      <c r="D625" s="108" t="s">
        <v>1366</v>
      </c>
      <c r="E625" s="109">
        <v>11018</v>
      </c>
      <c r="F625" s="108">
        <v>5000</v>
      </c>
      <c r="G625" s="108">
        <v>300</v>
      </c>
      <c r="H625" s="108">
        <v>50</v>
      </c>
      <c r="I625" s="108" t="s">
        <v>719</v>
      </c>
      <c r="J625" s="108">
        <v>3</v>
      </c>
      <c r="K625" s="108">
        <v>10</v>
      </c>
      <c r="L625" s="108">
        <v>30</v>
      </c>
      <c r="M625" s="94">
        <v>0</v>
      </c>
      <c r="N625">
        <v>960</v>
      </c>
      <c r="O625" s="94">
        <v>0</v>
      </c>
      <c r="P625" s="94">
        <v>0</v>
      </c>
      <c r="Q625" s="108">
        <v>0</v>
      </c>
      <c r="R625" s="108">
        <v>0</v>
      </c>
      <c r="S625" s="108">
        <v>0</v>
      </c>
      <c r="T625" s="108">
        <v>0</v>
      </c>
      <c r="U625" s="108">
        <v>0</v>
      </c>
      <c r="V625" s="108">
        <v>10</v>
      </c>
      <c r="W625" s="108">
        <v>0</v>
      </c>
      <c r="X625" s="108">
        <v>0</v>
      </c>
      <c r="Y625" s="108">
        <v>0</v>
      </c>
      <c r="Z625" s="108">
        <v>0</v>
      </c>
      <c r="AA625" s="108">
        <v>0</v>
      </c>
      <c r="AB625" s="108">
        <v>0</v>
      </c>
      <c r="AC625" s="108">
        <v>0</v>
      </c>
      <c r="AD625" s="108">
        <v>40</v>
      </c>
      <c r="AE625" s="108">
        <v>0</v>
      </c>
      <c r="AF625" s="108">
        <v>0</v>
      </c>
      <c r="AG625" s="108">
        <v>0</v>
      </c>
      <c r="AH625" s="108">
        <v>0</v>
      </c>
      <c r="AI625" s="108">
        <v>0.01</v>
      </c>
      <c r="AJ625" s="108">
        <v>0</v>
      </c>
      <c r="AK625" s="130">
        <v>20076</v>
      </c>
      <c r="AL625" s="108">
        <v>1</v>
      </c>
      <c r="AM625" s="41">
        <f>INDEX(Sheet5!$B$19:$G$33,MATCH(Sheet1!AQ625,Sheet5!$A$19:$A$33,0),MATCH(J625,Sheet5!$B$18:$G$18,0))</f>
        <v>900</v>
      </c>
      <c r="AN625" s="108" t="s">
        <v>714</v>
      </c>
      <c r="AO625" s="108" t="s">
        <v>1367</v>
      </c>
      <c r="AP625" s="108">
        <v>2046</v>
      </c>
      <c r="AQ625" s="13">
        <v>30</v>
      </c>
    </row>
    <row r="626" spans="1:43" ht="16.5">
      <c r="A626" s="77">
        <v>2676</v>
      </c>
      <c r="B626" s="77" t="s">
        <v>2273</v>
      </c>
      <c r="C626" s="77" t="s">
        <v>1362</v>
      </c>
      <c r="D626" s="77" t="s">
        <v>1366</v>
      </c>
      <c r="E626" s="78">
        <v>11018</v>
      </c>
      <c r="F626" s="80">
        <v>5000</v>
      </c>
      <c r="G626" s="77">
        <v>300</v>
      </c>
      <c r="H626" s="77">
        <v>50</v>
      </c>
      <c r="I626" s="77" t="s">
        <v>719</v>
      </c>
      <c r="J626" s="77">
        <v>3</v>
      </c>
      <c r="K626" s="77">
        <v>10</v>
      </c>
      <c r="L626" s="77">
        <v>30</v>
      </c>
      <c r="M626" s="80">
        <v>0</v>
      </c>
      <c r="N626">
        <v>1280</v>
      </c>
      <c r="O626" s="80">
        <v>0</v>
      </c>
      <c r="P626" s="80">
        <v>0</v>
      </c>
      <c r="Q626" s="77">
        <v>0</v>
      </c>
      <c r="R626" s="77">
        <v>0</v>
      </c>
      <c r="S626" s="77">
        <v>0</v>
      </c>
      <c r="T626" s="77">
        <v>0</v>
      </c>
      <c r="U626" s="77">
        <v>0</v>
      </c>
      <c r="V626" s="77">
        <v>10</v>
      </c>
      <c r="W626" s="77">
        <v>0</v>
      </c>
      <c r="X626" s="77">
        <v>0</v>
      </c>
      <c r="Y626" s="77">
        <v>0</v>
      </c>
      <c r="Z626" s="77">
        <v>0</v>
      </c>
      <c r="AA626" s="77">
        <v>0</v>
      </c>
      <c r="AB626" s="77">
        <v>0</v>
      </c>
      <c r="AC626" s="79">
        <v>0</v>
      </c>
      <c r="AD626" s="79">
        <v>40</v>
      </c>
      <c r="AE626" s="79">
        <v>0</v>
      </c>
      <c r="AF626" s="79">
        <v>0</v>
      </c>
      <c r="AG626" s="79">
        <v>0</v>
      </c>
      <c r="AH626" s="79">
        <v>0</v>
      </c>
      <c r="AI626" s="79">
        <v>0.01</v>
      </c>
      <c r="AJ626" s="79">
        <v>0</v>
      </c>
      <c r="AK626" s="130">
        <v>20077</v>
      </c>
      <c r="AL626" s="77">
        <v>1</v>
      </c>
      <c r="AM626" s="41">
        <f>INDEX(Sheet5!$B$19:$G$33,MATCH(Sheet1!AQ626,Sheet5!$A$19:$A$33,0),MATCH(J626,Sheet5!$B$18:$G$18,0))</f>
        <v>1200</v>
      </c>
      <c r="AN626" s="77" t="s">
        <v>714</v>
      </c>
      <c r="AO626" s="77" t="s">
        <v>1367</v>
      </c>
      <c r="AP626" s="77">
        <v>20461</v>
      </c>
      <c r="AQ626" s="13">
        <v>40</v>
      </c>
    </row>
    <row r="627" spans="1:43" ht="16.5">
      <c r="A627" s="77">
        <v>2677</v>
      </c>
      <c r="B627" s="77" t="s">
        <v>2274</v>
      </c>
      <c r="C627" s="77" t="s">
        <v>1362</v>
      </c>
      <c r="D627" s="77" t="s">
        <v>1366</v>
      </c>
      <c r="E627" s="78">
        <v>11018</v>
      </c>
      <c r="F627" s="80">
        <v>5000</v>
      </c>
      <c r="G627" s="77">
        <v>300</v>
      </c>
      <c r="H627" s="77">
        <v>50</v>
      </c>
      <c r="I627" s="77" t="s">
        <v>719</v>
      </c>
      <c r="J627" s="77">
        <v>3</v>
      </c>
      <c r="K627" s="77">
        <v>10</v>
      </c>
      <c r="L627" s="77">
        <v>30</v>
      </c>
      <c r="M627" s="80">
        <v>0</v>
      </c>
      <c r="N627">
        <v>1600</v>
      </c>
      <c r="O627" s="80">
        <v>0</v>
      </c>
      <c r="P627" s="80">
        <v>0</v>
      </c>
      <c r="Q627" s="77">
        <v>0</v>
      </c>
      <c r="R627" s="77">
        <v>0</v>
      </c>
      <c r="S627" s="77">
        <v>0</v>
      </c>
      <c r="T627" s="77">
        <v>0</v>
      </c>
      <c r="U627" s="77">
        <v>0</v>
      </c>
      <c r="V627" s="77">
        <v>10</v>
      </c>
      <c r="W627" s="77">
        <v>0</v>
      </c>
      <c r="X627" s="77">
        <v>0</v>
      </c>
      <c r="Y627" s="77">
        <v>0</v>
      </c>
      <c r="Z627" s="77">
        <v>0</v>
      </c>
      <c r="AA627" s="77">
        <v>0</v>
      </c>
      <c r="AB627" s="77">
        <v>0</v>
      </c>
      <c r="AC627" s="79">
        <v>0</v>
      </c>
      <c r="AD627" s="79">
        <v>40</v>
      </c>
      <c r="AE627" s="79">
        <v>0</v>
      </c>
      <c r="AF627" s="79">
        <v>0</v>
      </c>
      <c r="AG627" s="79">
        <v>0</v>
      </c>
      <c r="AH627" s="79">
        <v>0</v>
      </c>
      <c r="AI627" s="79">
        <v>0.01</v>
      </c>
      <c r="AJ627" s="79">
        <v>0</v>
      </c>
      <c r="AK627" s="130">
        <v>20078</v>
      </c>
      <c r="AL627" s="77">
        <v>1</v>
      </c>
      <c r="AM627" s="41">
        <f>INDEX(Sheet5!$B$19:$G$33,MATCH(Sheet1!AQ627,Sheet5!$A$19:$A$33,0),MATCH(J627,Sheet5!$B$18:$G$18,0))</f>
        <v>1500</v>
      </c>
      <c r="AN627" s="77" t="s">
        <v>714</v>
      </c>
      <c r="AO627" s="77" t="s">
        <v>1367</v>
      </c>
      <c r="AP627" s="77">
        <v>20462</v>
      </c>
      <c r="AQ627" s="13">
        <v>50</v>
      </c>
    </row>
    <row r="628" spans="1:43" ht="16.5">
      <c r="A628" s="77">
        <v>2678</v>
      </c>
      <c r="B628" s="77" t="s">
        <v>2275</v>
      </c>
      <c r="C628" s="77" t="s">
        <v>1362</v>
      </c>
      <c r="D628" s="77" t="s">
        <v>1366</v>
      </c>
      <c r="E628" s="78">
        <v>11018</v>
      </c>
      <c r="F628" s="80">
        <v>5000</v>
      </c>
      <c r="G628" s="77">
        <v>300</v>
      </c>
      <c r="H628" s="77">
        <v>50</v>
      </c>
      <c r="I628" s="77" t="s">
        <v>719</v>
      </c>
      <c r="J628" s="77">
        <v>3</v>
      </c>
      <c r="K628" s="77">
        <v>10</v>
      </c>
      <c r="L628" s="77">
        <v>30</v>
      </c>
      <c r="M628" s="80">
        <v>0</v>
      </c>
      <c r="N628">
        <v>1920</v>
      </c>
      <c r="O628" s="80">
        <v>0</v>
      </c>
      <c r="P628" s="80">
        <v>0</v>
      </c>
      <c r="Q628" s="77">
        <v>0</v>
      </c>
      <c r="R628" s="77">
        <v>0</v>
      </c>
      <c r="S628" s="77">
        <v>0</v>
      </c>
      <c r="T628" s="77">
        <v>0</v>
      </c>
      <c r="U628" s="77">
        <v>0</v>
      </c>
      <c r="V628" s="77">
        <v>10</v>
      </c>
      <c r="W628" s="77">
        <v>0</v>
      </c>
      <c r="X628" s="77">
        <v>0</v>
      </c>
      <c r="Y628" s="77">
        <v>0</v>
      </c>
      <c r="Z628" s="77">
        <v>0</v>
      </c>
      <c r="AA628" s="77">
        <v>0</v>
      </c>
      <c r="AB628" s="77">
        <v>0</v>
      </c>
      <c r="AC628" s="79">
        <v>0</v>
      </c>
      <c r="AD628" s="79">
        <v>40</v>
      </c>
      <c r="AE628" s="79">
        <v>0</v>
      </c>
      <c r="AF628" s="79">
        <v>0</v>
      </c>
      <c r="AG628" s="79">
        <v>0</v>
      </c>
      <c r="AH628" s="79">
        <v>0</v>
      </c>
      <c r="AI628" s="79">
        <v>0.01</v>
      </c>
      <c r="AJ628" s="79">
        <v>0</v>
      </c>
      <c r="AK628" s="130">
        <v>20079</v>
      </c>
      <c r="AL628" s="77">
        <v>1</v>
      </c>
      <c r="AM628" s="41">
        <f>INDEX(Sheet5!$B$19:$G$33,MATCH(Sheet1!AQ628,Sheet5!$A$19:$A$33,0),MATCH(J628,Sheet5!$B$18:$G$18,0))</f>
        <v>1800</v>
      </c>
      <c r="AN628" s="77" t="s">
        <v>714</v>
      </c>
      <c r="AO628" s="77" t="s">
        <v>1367</v>
      </c>
      <c r="AP628" s="77">
        <v>20463</v>
      </c>
      <c r="AQ628" s="13">
        <v>60</v>
      </c>
    </row>
    <row r="629" spans="1:43" ht="16.5">
      <c r="A629" s="77">
        <v>2679</v>
      </c>
      <c r="B629" s="77" t="s">
        <v>2276</v>
      </c>
      <c r="C629" s="77" t="s">
        <v>1362</v>
      </c>
      <c r="D629" s="77" t="s">
        <v>1366</v>
      </c>
      <c r="E629" s="78">
        <v>11018</v>
      </c>
      <c r="F629" s="80">
        <v>5000</v>
      </c>
      <c r="G629" s="77">
        <v>300</v>
      </c>
      <c r="H629" s="77">
        <v>50</v>
      </c>
      <c r="I629" s="77" t="s">
        <v>719</v>
      </c>
      <c r="J629" s="77">
        <v>3</v>
      </c>
      <c r="K629" s="77">
        <v>10</v>
      </c>
      <c r="L629" s="77">
        <v>30</v>
      </c>
      <c r="M629" s="80">
        <v>0</v>
      </c>
      <c r="N629">
        <v>2240</v>
      </c>
      <c r="O629" s="80">
        <v>0</v>
      </c>
      <c r="P629" s="80">
        <v>0</v>
      </c>
      <c r="Q629" s="77">
        <v>0</v>
      </c>
      <c r="R629" s="77">
        <v>0</v>
      </c>
      <c r="S629" s="77">
        <v>0</v>
      </c>
      <c r="T629" s="77">
        <v>0</v>
      </c>
      <c r="U629" s="77">
        <v>0</v>
      </c>
      <c r="V629" s="77">
        <v>10</v>
      </c>
      <c r="W629" s="77">
        <v>0</v>
      </c>
      <c r="X629" s="77">
        <v>0</v>
      </c>
      <c r="Y629" s="77">
        <v>0</v>
      </c>
      <c r="Z629" s="77">
        <v>0</v>
      </c>
      <c r="AA629" s="77">
        <v>0</v>
      </c>
      <c r="AB629" s="77">
        <v>0</v>
      </c>
      <c r="AC629" s="79">
        <v>0</v>
      </c>
      <c r="AD629" s="79">
        <v>40</v>
      </c>
      <c r="AE629" s="79">
        <v>0</v>
      </c>
      <c r="AF629" s="79">
        <v>0</v>
      </c>
      <c r="AG629" s="79">
        <v>0</v>
      </c>
      <c r="AH629" s="79">
        <v>0</v>
      </c>
      <c r="AI629" s="79">
        <v>0.01</v>
      </c>
      <c r="AJ629" s="79">
        <v>0</v>
      </c>
      <c r="AK629" s="130">
        <v>20080</v>
      </c>
      <c r="AL629" s="77">
        <v>1</v>
      </c>
      <c r="AM629" s="41">
        <f>INDEX(Sheet5!$B$19:$G$33,MATCH(Sheet1!AQ629,Sheet5!$A$19:$A$33,0),MATCH(J629,Sheet5!$B$18:$G$18,0))</f>
        <v>2100</v>
      </c>
      <c r="AN629" s="77" t="s">
        <v>714</v>
      </c>
      <c r="AO629" s="77" t="s">
        <v>1367</v>
      </c>
      <c r="AP629" s="77">
        <v>20464</v>
      </c>
      <c r="AQ629" s="13">
        <v>70</v>
      </c>
    </row>
    <row r="630" spans="1:43" ht="16.5">
      <c r="A630" s="77">
        <v>2680</v>
      </c>
      <c r="B630" s="77" t="s">
        <v>2277</v>
      </c>
      <c r="C630" s="77" t="s">
        <v>1362</v>
      </c>
      <c r="D630" s="77" t="s">
        <v>1366</v>
      </c>
      <c r="E630" s="78">
        <v>11018</v>
      </c>
      <c r="F630" s="80">
        <v>5000</v>
      </c>
      <c r="G630" s="77">
        <v>300</v>
      </c>
      <c r="H630" s="77">
        <v>50</v>
      </c>
      <c r="I630" s="77" t="s">
        <v>719</v>
      </c>
      <c r="J630" s="77">
        <v>3</v>
      </c>
      <c r="K630" s="77">
        <v>10</v>
      </c>
      <c r="L630" s="77">
        <v>30</v>
      </c>
      <c r="M630" s="80">
        <v>0</v>
      </c>
      <c r="N630">
        <v>2560</v>
      </c>
      <c r="O630" s="80">
        <v>0</v>
      </c>
      <c r="P630" s="80">
        <v>0</v>
      </c>
      <c r="Q630" s="77">
        <v>0</v>
      </c>
      <c r="R630" s="77">
        <v>0</v>
      </c>
      <c r="S630" s="77">
        <v>0</v>
      </c>
      <c r="T630" s="77">
        <v>0</v>
      </c>
      <c r="U630" s="77">
        <v>0</v>
      </c>
      <c r="V630" s="77">
        <v>10</v>
      </c>
      <c r="W630" s="77">
        <v>0</v>
      </c>
      <c r="X630" s="77">
        <v>0</v>
      </c>
      <c r="Y630" s="77">
        <v>0</v>
      </c>
      <c r="Z630" s="77">
        <v>0</v>
      </c>
      <c r="AA630" s="77">
        <v>0</v>
      </c>
      <c r="AB630" s="77">
        <v>0</v>
      </c>
      <c r="AC630" s="79">
        <v>0</v>
      </c>
      <c r="AD630" s="79">
        <v>40</v>
      </c>
      <c r="AE630" s="79">
        <v>0</v>
      </c>
      <c r="AF630" s="79">
        <v>0</v>
      </c>
      <c r="AG630" s="79">
        <v>0</v>
      </c>
      <c r="AH630" s="79">
        <v>0</v>
      </c>
      <c r="AI630" s="79">
        <v>0.01</v>
      </c>
      <c r="AJ630" s="79">
        <v>0</v>
      </c>
      <c r="AK630" s="130">
        <v>20081</v>
      </c>
      <c r="AL630" s="77">
        <v>1</v>
      </c>
      <c r="AM630" s="41">
        <f>INDEX(Sheet5!$B$19:$G$33,MATCH(Sheet1!AQ630,Sheet5!$A$19:$A$33,0),MATCH(J630,Sheet5!$B$18:$G$18,0))</f>
        <v>2400</v>
      </c>
      <c r="AN630" s="77" t="s">
        <v>714</v>
      </c>
      <c r="AO630" s="77" t="s">
        <v>1367</v>
      </c>
      <c r="AP630" s="77">
        <v>20465</v>
      </c>
      <c r="AQ630" s="13">
        <v>80</v>
      </c>
    </row>
    <row r="631" spans="1:43" ht="16.5">
      <c r="A631" s="77">
        <v>2681</v>
      </c>
      <c r="B631" s="77" t="s">
        <v>2278</v>
      </c>
      <c r="C631" s="77" t="s">
        <v>1362</v>
      </c>
      <c r="D631" s="77" t="s">
        <v>1366</v>
      </c>
      <c r="E631" s="78">
        <v>11018</v>
      </c>
      <c r="F631" s="80">
        <v>5000</v>
      </c>
      <c r="G631" s="77">
        <v>300</v>
      </c>
      <c r="H631" s="77">
        <v>50</v>
      </c>
      <c r="I631" s="77" t="s">
        <v>719</v>
      </c>
      <c r="J631" s="77">
        <v>3</v>
      </c>
      <c r="K631" s="77">
        <v>10</v>
      </c>
      <c r="L631" s="77">
        <v>30</v>
      </c>
      <c r="M631" s="80">
        <v>0</v>
      </c>
      <c r="N631">
        <v>2880</v>
      </c>
      <c r="O631" s="80">
        <v>0</v>
      </c>
      <c r="P631" s="80">
        <v>0</v>
      </c>
      <c r="Q631" s="77">
        <v>0</v>
      </c>
      <c r="R631" s="77">
        <v>0</v>
      </c>
      <c r="S631" s="77">
        <v>0</v>
      </c>
      <c r="T631" s="77">
        <v>0</v>
      </c>
      <c r="U631" s="77">
        <v>0</v>
      </c>
      <c r="V631" s="77">
        <v>10</v>
      </c>
      <c r="W631" s="77">
        <v>0</v>
      </c>
      <c r="X631" s="77">
        <v>0</v>
      </c>
      <c r="Y631" s="77">
        <v>0</v>
      </c>
      <c r="Z631" s="77">
        <v>0</v>
      </c>
      <c r="AA631" s="77">
        <v>0</v>
      </c>
      <c r="AB631" s="77">
        <v>0</v>
      </c>
      <c r="AC631" s="79">
        <v>0</v>
      </c>
      <c r="AD631" s="79">
        <v>40</v>
      </c>
      <c r="AE631" s="79">
        <v>0</v>
      </c>
      <c r="AF631" s="79">
        <v>0</v>
      </c>
      <c r="AG631" s="79">
        <v>0</v>
      </c>
      <c r="AH631" s="79">
        <v>0</v>
      </c>
      <c r="AI631" s="79">
        <v>0.01</v>
      </c>
      <c r="AJ631" s="79">
        <v>0</v>
      </c>
      <c r="AK631" s="130">
        <v>20082</v>
      </c>
      <c r="AL631" s="77">
        <v>1</v>
      </c>
      <c r="AM631" s="41">
        <f>INDEX(Sheet5!$B$19:$G$33,MATCH(Sheet1!AQ631,Sheet5!$A$19:$A$33,0),MATCH(J631,Sheet5!$B$18:$G$18,0))</f>
        <v>2700</v>
      </c>
      <c r="AN631" s="77" t="s">
        <v>714</v>
      </c>
      <c r="AO631" s="77" t="s">
        <v>1367</v>
      </c>
      <c r="AP631" s="77">
        <v>20466</v>
      </c>
      <c r="AQ631" s="13">
        <v>90</v>
      </c>
    </row>
    <row r="632" spans="1:43" ht="16.5">
      <c r="A632" s="77">
        <v>2682</v>
      </c>
      <c r="B632" s="77" t="s">
        <v>2279</v>
      </c>
      <c r="C632" s="77" t="s">
        <v>1362</v>
      </c>
      <c r="D632" s="77" t="s">
        <v>1366</v>
      </c>
      <c r="E632" s="78">
        <v>11018</v>
      </c>
      <c r="F632" s="80">
        <v>5000</v>
      </c>
      <c r="G632" s="77">
        <v>300</v>
      </c>
      <c r="H632" s="77">
        <v>50</v>
      </c>
      <c r="I632" s="77" t="s">
        <v>719</v>
      </c>
      <c r="J632" s="77">
        <v>3</v>
      </c>
      <c r="K632" s="77">
        <v>10</v>
      </c>
      <c r="L632" s="77">
        <v>30</v>
      </c>
      <c r="M632" s="80">
        <v>0</v>
      </c>
      <c r="N632">
        <v>3200</v>
      </c>
      <c r="O632" s="80">
        <v>0</v>
      </c>
      <c r="P632" s="80">
        <v>0</v>
      </c>
      <c r="Q632" s="77">
        <v>0</v>
      </c>
      <c r="R632" s="77">
        <v>0</v>
      </c>
      <c r="S632" s="77">
        <v>0</v>
      </c>
      <c r="T632" s="77">
        <v>0</v>
      </c>
      <c r="U632" s="77">
        <v>0</v>
      </c>
      <c r="V632" s="77">
        <v>10</v>
      </c>
      <c r="W632" s="77">
        <v>0</v>
      </c>
      <c r="X632" s="77">
        <v>0</v>
      </c>
      <c r="Y632" s="77">
        <v>0</v>
      </c>
      <c r="Z632" s="77">
        <v>0</v>
      </c>
      <c r="AA632" s="77">
        <v>0</v>
      </c>
      <c r="AB632" s="77">
        <v>0</v>
      </c>
      <c r="AC632" s="79">
        <v>0</v>
      </c>
      <c r="AD632" s="79">
        <v>40</v>
      </c>
      <c r="AE632" s="79">
        <v>0</v>
      </c>
      <c r="AF632" s="79">
        <v>0</v>
      </c>
      <c r="AG632" s="79">
        <v>0</v>
      </c>
      <c r="AH632" s="79">
        <v>0</v>
      </c>
      <c r="AI632" s="79">
        <v>0.01</v>
      </c>
      <c r="AJ632" s="79">
        <v>0</v>
      </c>
      <c r="AK632" s="130">
        <v>20083</v>
      </c>
      <c r="AL632" s="77">
        <v>1</v>
      </c>
      <c r="AM632" s="41">
        <f>INDEX(Sheet5!$B$19:$G$33,MATCH(Sheet1!AQ632,Sheet5!$A$19:$A$33,0),MATCH(J632,Sheet5!$B$18:$G$18,0))</f>
        <v>3000</v>
      </c>
      <c r="AN632" s="77" t="s">
        <v>714</v>
      </c>
      <c r="AO632" s="77" t="s">
        <v>1367</v>
      </c>
      <c r="AP632" s="77">
        <v>20467</v>
      </c>
      <c r="AQ632" s="13">
        <v>100</v>
      </c>
    </row>
    <row r="633" spans="1:43" ht="16.5">
      <c r="A633" s="77">
        <v>2683</v>
      </c>
      <c r="B633" s="77" t="s">
        <v>2280</v>
      </c>
      <c r="C633" s="77" t="s">
        <v>1362</v>
      </c>
      <c r="D633" s="77" t="s">
        <v>1366</v>
      </c>
      <c r="E633" s="78">
        <v>11018</v>
      </c>
      <c r="F633" s="80">
        <v>5000</v>
      </c>
      <c r="G633" s="77">
        <v>300</v>
      </c>
      <c r="H633" s="77">
        <v>50</v>
      </c>
      <c r="I633" s="77" t="s">
        <v>719</v>
      </c>
      <c r="J633" s="77">
        <v>3</v>
      </c>
      <c r="K633" s="77">
        <v>10</v>
      </c>
      <c r="L633" s="77">
        <v>30</v>
      </c>
      <c r="M633" s="80">
        <v>0</v>
      </c>
      <c r="N633">
        <v>3520</v>
      </c>
      <c r="O633" s="80">
        <v>0</v>
      </c>
      <c r="P633" s="80">
        <v>0</v>
      </c>
      <c r="Q633" s="77">
        <v>0</v>
      </c>
      <c r="R633" s="77">
        <v>0</v>
      </c>
      <c r="S633" s="77">
        <v>0</v>
      </c>
      <c r="T633" s="77">
        <v>0</v>
      </c>
      <c r="U633" s="77">
        <v>0</v>
      </c>
      <c r="V633" s="77">
        <v>10</v>
      </c>
      <c r="W633" s="77">
        <v>0</v>
      </c>
      <c r="X633" s="77">
        <v>0</v>
      </c>
      <c r="Y633" s="77">
        <v>0</v>
      </c>
      <c r="Z633" s="77">
        <v>0</v>
      </c>
      <c r="AA633" s="77">
        <v>0</v>
      </c>
      <c r="AB633" s="77">
        <v>0</v>
      </c>
      <c r="AC633" s="79">
        <v>0</v>
      </c>
      <c r="AD633" s="79">
        <v>40</v>
      </c>
      <c r="AE633" s="79">
        <v>0</v>
      </c>
      <c r="AF633" s="79">
        <v>0</v>
      </c>
      <c r="AG633" s="79">
        <v>0</v>
      </c>
      <c r="AH633" s="79">
        <v>0</v>
      </c>
      <c r="AI633" s="79">
        <v>0.01</v>
      </c>
      <c r="AJ633" s="79">
        <v>0</v>
      </c>
      <c r="AK633" s="130">
        <v>20084</v>
      </c>
      <c r="AL633" s="77">
        <v>1</v>
      </c>
      <c r="AM633" s="41">
        <f>INDEX(Sheet5!$B$19:$G$33,MATCH(Sheet1!AQ633,Sheet5!$A$19:$A$33,0),MATCH(J633,Sheet5!$B$18:$G$18,0))</f>
        <v>3300</v>
      </c>
      <c r="AN633" s="77" t="s">
        <v>714</v>
      </c>
      <c r="AO633" s="77" t="s">
        <v>1367</v>
      </c>
      <c r="AP633" s="77">
        <v>20468</v>
      </c>
      <c r="AQ633" s="13">
        <v>110</v>
      </c>
    </row>
    <row r="634" spans="1:43" ht="16.5">
      <c r="A634" s="77">
        <v>2684</v>
      </c>
      <c r="B634" s="77" t="s">
        <v>2281</v>
      </c>
      <c r="C634" s="77" t="s">
        <v>1362</v>
      </c>
      <c r="D634" s="77" t="s">
        <v>1366</v>
      </c>
      <c r="E634" s="78">
        <v>11018</v>
      </c>
      <c r="F634" s="80">
        <v>5000</v>
      </c>
      <c r="G634" s="77">
        <v>300</v>
      </c>
      <c r="H634" s="77">
        <v>50</v>
      </c>
      <c r="I634" s="77" t="s">
        <v>719</v>
      </c>
      <c r="J634" s="77">
        <v>3</v>
      </c>
      <c r="K634" s="77">
        <v>10</v>
      </c>
      <c r="L634" s="77">
        <v>30</v>
      </c>
      <c r="M634" s="80">
        <v>0</v>
      </c>
      <c r="N634">
        <v>3840</v>
      </c>
      <c r="O634" s="80">
        <v>0</v>
      </c>
      <c r="P634" s="80">
        <v>0</v>
      </c>
      <c r="Q634" s="77">
        <v>0</v>
      </c>
      <c r="R634" s="77">
        <v>0</v>
      </c>
      <c r="S634" s="77">
        <v>0</v>
      </c>
      <c r="T634" s="77">
        <v>0</v>
      </c>
      <c r="U634" s="77">
        <v>0</v>
      </c>
      <c r="V634" s="77">
        <v>10</v>
      </c>
      <c r="W634" s="77">
        <v>0</v>
      </c>
      <c r="X634" s="77">
        <v>0</v>
      </c>
      <c r="Y634" s="77">
        <v>0</v>
      </c>
      <c r="Z634" s="77">
        <v>0</v>
      </c>
      <c r="AA634" s="77">
        <v>0</v>
      </c>
      <c r="AB634" s="77">
        <v>0</v>
      </c>
      <c r="AC634" s="79">
        <v>0</v>
      </c>
      <c r="AD634" s="79">
        <v>40</v>
      </c>
      <c r="AE634" s="79">
        <v>0</v>
      </c>
      <c r="AF634" s="79">
        <v>0</v>
      </c>
      <c r="AG634" s="79">
        <v>0</v>
      </c>
      <c r="AH634" s="79">
        <v>0</v>
      </c>
      <c r="AI634" s="79">
        <v>0.01</v>
      </c>
      <c r="AJ634" s="79">
        <v>0</v>
      </c>
      <c r="AK634" s="130">
        <v>20085</v>
      </c>
      <c r="AL634" s="77">
        <v>1</v>
      </c>
      <c r="AM634" s="41">
        <f>INDEX(Sheet5!$B$19:$G$33,MATCH(Sheet1!AQ634,Sheet5!$A$19:$A$33,0),MATCH(J634,Sheet5!$B$18:$G$18,0))</f>
        <v>3600</v>
      </c>
      <c r="AN634" s="77" t="s">
        <v>714</v>
      </c>
      <c r="AO634" s="77" t="s">
        <v>1367</v>
      </c>
      <c r="AP634" s="77">
        <v>20469</v>
      </c>
      <c r="AQ634" s="13">
        <v>120</v>
      </c>
    </row>
    <row r="635" spans="1:43" ht="16.5">
      <c r="A635" s="77">
        <v>2685</v>
      </c>
      <c r="B635" s="77" t="s">
        <v>2282</v>
      </c>
      <c r="C635" s="77" t="s">
        <v>1362</v>
      </c>
      <c r="D635" s="77" t="s">
        <v>1366</v>
      </c>
      <c r="E635" s="78">
        <v>11018</v>
      </c>
      <c r="F635" s="80">
        <v>5000</v>
      </c>
      <c r="G635" s="77">
        <v>300</v>
      </c>
      <c r="H635" s="77">
        <v>50</v>
      </c>
      <c r="I635" s="77" t="s">
        <v>719</v>
      </c>
      <c r="J635" s="77">
        <v>3</v>
      </c>
      <c r="K635" s="77">
        <v>10</v>
      </c>
      <c r="L635" s="77">
        <v>30</v>
      </c>
      <c r="M635" s="80">
        <v>0</v>
      </c>
      <c r="N635">
        <v>4160</v>
      </c>
      <c r="O635" s="80">
        <v>0</v>
      </c>
      <c r="P635" s="80">
        <v>0</v>
      </c>
      <c r="Q635" s="77">
        <v>0</v>
      </c>
      <c r="R635" s="77">
        <v>0</v>
      </c>
      <c r="S635" s="77">
        <v>0</v>
      </c>
      <c r="T635" s="77">
        <v>0</v>
      </c>
      <c r="U635" s="77">
        <v>0</v>
      </c>
      <c r="V635" s="77">
        <v>10</v>
      </c>
      <c r="W635" s="77">
        <v>0</v>
      </c>
      <c r="X635" s="77">
        <v>0</v>
      </c>
      <c r="Y635" s="77">
        <v>0</v>
      </c>
      <c r="Z635" s="77">
        <v>0</v>
      </c>
      <c r="AA635" s="77">
        <v>0</v>
      </c>
      <c r="AB635" s="77">
        <v>0</v>
      </c>
      <c r="AC635" s="79">
        <v>0</v>
      </c>
      <c r="AD635" s="79">
        <v>40</v>
      </c>
      <c r="AE635" s="79">
        <v>0</v>
      </c>
      <c r="AF635" s="79">
        <v>0</v>
      </c>
      <c r="AG635" s="79">
        <v>0</v>
      </c>
      <c r="AH635" s="79">
        <v>0</v>
      </c>
      <c r="AI635" s="79">
        <v>0.01</v>
      </c>
      <c r="AJ635" s="79">
        <v>0</v>
      </c>
      <c r="AK635" s="130">
        <v>20086</v>
      </c>
      <c r="AL635" s="77">
        <v>1</v>
      </c>
      <c r="AM635" s="41">
        <f>INDEX(Sheet5!$B$19:$G$33,MATCH(Sheet1!AQ635,Sheet5!$A$19:$A$33,0),MATCH(J635,Sheet5!$B$18:$G$18,0))</f>
        <v>3900</v>
      </c>
      <c r="AN635" s="77" t="s">
        <v>714</v>
      </c>
      <c r="AO635" s="77" t="s">
        <v>1367</v>
      </c>
      <c r="AP635" s="77">
        <v>204701</v>
      </c>
      <c r="AQ635" s="13">
        <v>130</v>
      </c>
    </row>
    <row r="636" spans="1:43" ht="16.5">
      <c r="A636" s="77">
        <v>2686</v>
      </c>
      <c r="B636" s="77" t="s">
        <v>2283</v>
      </c>
      <c r="C636" s="77" t="s">
        <v>1362</v>
      </c>
      <c r="D636" s="77" t="s">
        <v>1366</v>
      </c>
      <c r="E636" s="78">
        <v>11018</v>
      </c>
      <c r="F636" s="80">
        <v>5000</v>
      </c>
      <c r="G636" s="77">
        <v>300</v>
      </c>
      <c r="H636" s="77">
        <v>50</v>
      </c>
      <c r="I636" s="77" t="s">
        <v>719</v>
      </c>
      <c r="J636" s="77">
        <v>3</v>
      </c>
      <c r="K636" s="77">
        <v>10</v>
      </c>
      <c r="L636" s="77">
        <v>30</v>
      </c>
      <c r="M636" s="80">
        <v>0</v>
      </c>
      <c r="N636">
        <v>4480</v>
      </c>
      <c r="O636" s="80">
        <v>0</v>
      </c>
      <c r="P636" s="80">
        <v>0</v>
      </c>
      <c r="Q636" s="77">
        <v>0</v>
      </c>
      <c r="R636" s="77">
        <v>0</v>
      </c>
      <c r="S636" s="77">
        <v>0</v>
      </c>
      <c r="T636" s="77">
        <v>0</v>
      </c>
      <c r="U636" s="77">
        <v>0</v>
      </c>
      <c r="V636" s="77">
        <v>10</v>
      </c>
      <c r="W636" s="77">
        <v>0</v>
      </c>
      <c r="X636" s="77">
        <v>0</v>
      </c>
      <c r="Y636" s="77">
        <v>0</v>
      </c>
      <c r="Z636" s="77">
        <v>0</v>
      </c>
      <c r="AA636" s="77">
        <v>0</v>
      </c>
      <c r="AB636" s="77">
        <v>0</v>
      </c>
      <c r="AC636" s="79">
        <v>0</v>
      </c>
      <c r="AD636" s="79">
        <v>40</v>
      </c>
      <c r="AE636" s="79">
        <v>0</v>
      </c>
      <c r="AF636" s="79">
        <v>0</v>
      </c>
      <c r="AG636" s="79">
        <v>0</v>
      </c>
      <c r="AH636" s="79">
        <v>0</v>
      </c>
      <c r="AI636" s="79">
        <v>0.01</v>
      </c>
      <c r="AJ636" s="79">
        <v>0</v>
      </c>
      <c r="AK636" s="130">
        <v>20087</v>
      </c>
      <c r="AL636" s="77">
        <v>1</v>
      </c>
      <c r="AM636" s="41">
        <f>INDEX(Sheet5!$B$19:$G$33,MATCH(Sheet1!AQ636,Sheet5!$A$19:$A$33,0),MATCH(J636,Sheet5!$B$18:$G$18,0))</f>
        <v>4200</v>
      </c>
      <c r="AN636" s="77" t="s">
        <v>714</v>
      </c>
      <c r="AO636" s="77" t="s">
        <v>1367</v>
      </c>
      <c r="AP636" s="77">
        <v>204702</v>
      </c>
      <c r="AQ636" s="13">
        <v>140</v>
      </c>
    </row>
    <row r="637" spans="1:43" ht="16.5">
      <c r="A637" s="77">
        <v>2687</v>
      </c>
      <c r="B637" s="77" t="s">
        <v>2284</v>
      </c>
      <c r="C637" s="77" t="s">
        <v>1362</v>
      </c>
      <c r="D637" s="77" t="s">
        <v>1366</v>
      </c>
      <c r="E637" s="78">
        <v>11018</v>
      </c>
      <c r="F637" s="80">
        <v>5000</v>
      </c>
      <c r="G637" s="77">
        <v>300</v>
      </c>
      <c r="H637" s="77">
        <v>50</v>
      </c>
      <c r="I637" s="77" t="s">
        <v>719</v>
      </c>
      <c r="J637" s="77">
        <v>3</v>
      </c>
      <c r="K637" s="77">
        <v>10</v>
      </c>
      <c r="L637" s="77">
        <v>30</v>
      </c>
      <c r="M637" s="80">
        <v>0</v>
      </c>
      <c r="N637">
        <v>4800</v>
      </c>
      <c r="O637" s="80">
        <v>0</v>
      </c>
      <c r="P637" s="80">
        <v>0</v>
      </c>
      <c r="Q637" s="77">
        <v>0</v>
      </c>
      <c r="R637" s="77">
        <v>0</v>
      </c>
      <c r="S637" s="77">
        <v>0</v>
      </c>
      <c r="T637" s="77">
        <v>0</v>
      </c>
      <c r="U637" s="77">
        <v>0</v>
      </c>
      <c r="V637" s="77">
        <v>10</v>
      </c>
      <c r="W637" s="77">
        <v>0</v>
      </c>
      <c r="X637" s="77">
        <v>0</v>
      </c>
      <c r="Y637" s="77">
        <v>0</v>
      </c>
      <c r="Z637" s="77">
        <v>0</v>
      </c>
      <c r="AA637" s="77">
        <v>0</v>
      </c>
      <c r="AB637" s="77">
        <v>0</v>
      </c>
      <c r="AC637" s="79">
        <v>0</v>
      </c>
      <c r="AD637" s="79">
        <v>40</v>
      </c>
      <c r="AE637" s="79">
        <v>0</v>
      </c>
      <c r="AF637" s="79">
        <v>0</v>
      </c>
      <c r="AG637" s="79">
        <v>0</v>
      </c>
      <c r="AH637" s="79">
        <v>0</v>
      </c>
      <c r="AI637" s="79">
        <v>0.01</v>
      </c>
      <c r="AJ637" s="79">
        <v>0</v>
      </c>
      <c r="AK637" s="130">
        <v>20088</v>
      </c>
      <c r="AL637" s="77">
        <v>1</v>
      </c>
      <c r="AM637" s="41">
        <f>INDEX(Sheet5!$B$19:$G$33,MATCH(Sheet1!AQ637,Sheet5!$A$19:$A$33,0),MATCH(J637,Sheet5!$B$18:$G$18,0))</f>
        <v>4500</v>
      </c>
      <c r="AN637" s="77" t="s">
        <v>714</v>
      </c>
      <c r="AO637" s="77" t="s">
        <v>1367</v>
      </c>
      <c r="AP637" s="77">
        <v>204703</v>
      </c>
      <c r="AQ637" s="13">
        <v>150</v>
      </c>
    </row>
    <row r="638" spans="1:43" ht="16.5">
      <c r="A638" s="77">
        <v>2688</v>
      </c>
      <c r="B638" s="77" t="s">
        <v>2285</v>
      </c>
      <c r="C638" s="77" t="s">
        <v>1362</v>
      </c>
      <c r="D638" s="77" t="s">
        <v>1369</v>
      </c>
      <c r="E638" s="78">
        <v>11019</v>
      </c>
      <c r="F638" s="80">
        <v>5000</v>
      </c>
      <c r="G638" s="77">
        <v>300</v>
      </c>
      <c r="H638" s="77">
        <v>50</v>
      </c>
      <c r="I638" s="77" t="s">
        <v>720</v>
      </c>
      <c r="J638" s="77">
        <v>3</v>
      </c>
      <c r="K638" s="77">
        <v>10</v>
      </c>
      <c r="L638" s="77">
        <v>30</v>
      </c>
      <c r="M638">
        <v>800</v>
      </c>
      <c r="N638" s="80">
        <v>0</v>
      </c>
      <c r="O638" s="80">
        <v>0</v>
      </c>
      <c r="P638" s="80">
        <v>0</v>
      </c>
      <c r="Q638" s="77">
        <v>0</v>
      </c>
      <c r="R638" s="77">
        <v>0</v>
      </c>
      <c r="S638" s="77">
        <v>0</v>
      </c>
      <c r="T638" s="77">
        <v>0</v>
      </c>
      <c r="U638" s="77">
        <v>250</v>
      </c>
      <c r="V638" s="77">
        <v>0</v>
      </c>
      <c r="W638" s="77">
        <v>0</v>
      </c>
      <c r="X638" s="77">
        <v>0</v>
      </c>
      <c r="Y638" s="77">
        <v>0</v>
      </c>
      <c r="Z638" s="77">
        <v>0</v>
      </c>
      <c r="AA638" s="77">
        <v>0</v>
      </c>
      <c r="AB638" s="77">
        <v>0</v>
      </c>
      <c r="AC638" s="79">
        <v>1000</v>
      </c>
      <c r="AD638" s="79">
        <v>0</v>
      </c>
      <c r="AE638" s="79">
        <v>0</v>
      </c>
      <c r="AF638" s="79">
        <v>0</v>
      </c>
      <c r="AG638" s="79">
        <v>5.0000000000000001E-3</v>
      </c>
      <c r="AH638" s="79">
        <v>0</v>
      </c>
      <c r="AI638" s="79">
        <v>0</v>
      </c>
      <c r="AJ638" s="79">
        <v>0</v>
      </c>
      <c r="AK638" s="131">
        <v>20074</v>
      </c>
      <c r="AL638" s="77">
        <v>3</v>
      </c>
      <c r="AM638" s="41">
        <f>INDEX(Sheet5!$B$19:$G$33,MATCH(Sheet1!AQ638,Sheet5!$A$19:$A$33,0),MATCH(J638,Sheet5!$B$18:$G$18,0))</f>
        <v>300</v>
      </c>
      <c r="AN638" s="77" t="s">
        <v>714</v>
      </c>
      <c r="AO638" s="77" t="s">
        <v>1370</v>
      </c>
      <c r="AP638" s="77">
        <v>471</v>
      </c>
      <c r="AQ638" s="13">
        <v>10</v>
      </c>
    </row>
    <row r="639" spans="1:43" ht="16.5">
      <c r="A639" s="77">
        <v>2689</v>
      </c>
      <c r="B639" s="77" t="s">
        <v>2286</v>
      </c>
      <c r="C639" s="77" t="s">
        <v>1362</v>
      </c>
      <c r="D639" s="77" t="s">
        <v>1369</v>
      </c>
      <c r="E639" s="78">
        <v>11019</v>
      </c>
      <c r="F639" s="80">
        <v>5000</v>
      </c>
      <c r="G639" s="77">
        <v>300</v>
      </c>
      <c r="H639" s="77">
        <v>50</v>
      </c>
      <c r="I639" s="77" t="s">
        <v>720</v>
      </c>
      <c r="J639" s="77">
        <v>3</v>
      </c>
      <c r="K639" s="77">
        <v>10</v>
      </c>
      <c r="L639" s="77">
        <v>30</v>
      </c>
      <c r="M639">
        <v>1600</v>
      </c>
      <c r="N639" s="80">
        <v>0</v>
      </c>
      <c r="O639" s="80">
        <v>0</v>
      </c>
      <c r="P639" s="80">
        <v>0</v>
      </c>
      <c r="Q639" s="77">
        <v>0</v>
      </c>
      <c r="R639" s="77">
        <v>0</v>
      </c>
      <c r="S639" s="77">
        <v>0</v>
      </c>
      <c r="T639" s="77">
        <v>0</v>
      </c>
      <c r="U639" s="77">
        <v>250</v>
      </c>
      <c r="V639" s="77">
        <v>0</v>
      </c>
      <c r="W639" s="77">
        <v>0</v>
      </c>
      <c r="X639" s="77">
        <v>0</v>
      </c>
      <c r="Y639" s="77">
        <v>0</v>
      </c>
      <c r="Z639" s="77">
        <v>0</v>
      </c>
      <c r="AA639" s="77">
        <v>0</v>
      </c>
      <c r="AB639" s="77">
        <v>0</v>
      </c>
      <c r="AC639" s="79">
        <v>1000</v>
      </c>
      <c r="AD639" s="79">
        <v>0</v>
      </c>
      <c r="AE639" s="79">
        <v>0</v>
      </c>
      <c r="AF639" s="79">
        <v>0</v>
      </c>
      <c r="AG639" s="79">
        <v>5.0000000000000001E-3</v>
      </c>
      <c r="AH639" s="79">
        <v>0</v>
      </c>
      <c r="AI639" s="79">
        <v>0</v>
      </c>
      <c r="AJ639" s="79">
        <v>0</v>
      </c>
      <c r="AK639" s="131">
        <v>20075</v>
      </c>
      <c r="AL639" s="77">
        <v>3</v>
      </c>
      <c r="AM639" s="41">
        <f>INDEX(Sheet5!$B$19:$G$33,MATCH(Sheet1!AQ639,Sheet5!$A$19:$A$33,0),MATCH(J639,Sheet5!$B$18:$G$18,0))</f>
        <v>600</v>
      </c>
      <c r="AN639" s="77" t="s">
        <v>714</v>
      </c>
      <c r="AO639" s="77" t="s">
        <v>1370</v>
      </c>
      <c r="AP639" s="77">
        <v>472</v>
      </c>
      <c r="AQ639" s="13">
        <v>20</v>
      </c>
    </row>
    <row r="640" spans="1:43" s="102" customFormat="1" ht="16.5">
      <c r="A640" s="108">
        <v>2047</v>
      </c>
      <c r="B640" s="108" t="s">
        <v>2287</v>
      </c>
      <c r="C640" s="108" t="s">
        <v>1362</v>
      </c>
      <c r="D640" s="108" t="s">
        <v>1369</v>
      </c>
      <c r="E640" s="109">
        <v>11019</v>
      </c>
      <c r="F640" s="108">
        <v>5000</v>
      </c>
      <c r="G640" s="108">
        <v>300</v>
      </c>
      <c r="H640" s="108">
        <v>50</v>
      </c>
      <c r="I640" s="108" t="s">
        <v>720</v>
      </c>
      <c r="J640" s="108">
        <v>3</v>
      </c>
      <c r="K640" s="108">
        <v>10</v>
      </c>
      <c r="L640" s="108">
        <v>30</v>
      </c>
      <c r="M640">
        <v>2400</v>
      </c>
      <c r="N640" s="94">
        <v>0</v>
      </c>
      <c r="O640" s="94">
        <v>0</v>
      </c>
      <c r="P640" s="94">
        <v>0</v>
      </c>
      <c r="Q640" s="108">
        <v>0</v>
      </c>
      <c r="R640" s="108">
        <v>0</v>
      </c>
      <c r="S640" s="108">
        <v>0</v>
      </c>
      <c r="T640" s="108">
        <v>0</v>
      </c>
      <c r="U640" s="108">
        <v>250</v>
      </c>
      <c r="V640" s="108">
        <v>0</v>
      </c>
      <c r="W640" s="108">
        <v>0</v>
      </c>
      <c r="X640" s="108">
        <v>0</v>
      </c>
      <c r="Y640" s="108">
        <v>0</v>
      </c>
      <c r="Z640" s="108">
        <v>0</v>
      </c>
      <c r="AA640" s="108">
        <v>0</v>
      </c>
      <c r="AB640" s="108">
        <v>0</v>
      </c>
      <c r="AC640" s="108">
        <v>1000</v>
      </c>
      <c r="AD640" s="108">
        <v>0</v>
      </c>
      <c r="AE640" s="108">
        <v>0</v>
      </c>
      <c r="AF640" s="108">
        <v>0</v>
      </c>
      <c r="AG640" s="108">
        <v>5.0000000000000001E-3</v>
      </c>
      <c r="AH640" s="108">
        <v>0</v>
      </c>
      <c r="AI640" s="108">
        <v>0</v>
      </c>
      <c r="AJ640" s="108">
        <v>0</v>
      </c>
      <c r="AK640" s="131">
        <v>20076</v>
      </c>
      <c r="AL640" s="108">
        <v>3</v>
      </c>
      <c r="AM640" s="41">
        <f>INDEX(Sheet5!$B$19:$G$33,MATCH(Sheet1!AQ640,Sheet5!$A$19:$A$33,0),MATCH(J640,Sheet5!$B$18:$G$18,0))</f>
        <v>900</v>
      </c>
      <c r="AN640" s="108" t="s">
        <v>714</v>
      </c>
      <c r="AO640" s="108" t="s">
        <v>1370</v>
      </c>
      <c r="AP640" s="108">
        <v>2047</v>
      </c>
      <c r="AQ640" s="13">
        <v>30</v>
      </c>
    </row>
    <row r="641" spans="1:43" ht="16.5">
      <c r="A641" s="77">
        <v>2690</v>
      </c>
      <c r="B641" s="77" t="s">
        <v>2288</v>
      </c>
      <c r="C641" s="77" t="s">
        <v>1362</v>
      </c>
      <c r="D641" s="77" t="s">
        <v>1369</v>
      </c>
      <c r="E641" s="78">
        <v>11019</v>
      </c>
      <c r="F641" s="80">
        <v>5000</v>
      </c>
      <c r="G641" s="77">
        <v>300</v>
      </c>
      <c r="H641" s="77">
        <v>50</v>
      </c>
      <c r="I641" s="77" t="s">
        <v>720</v>
      </c>
      <c r="J641" s="77">
        <v>3</v>
      </c>
      <c r="K641" s="77">
        <v>10</v>
      </c>
      <c r="L641" s="77">
        <v>30</v>
      </c>
      <c r="M641">
        <v>3200</v>
      </c>
      <c r="N641" s="80">
        <v>0</v>
      </c>
      <c r="O641" s="80">
        <v>0</v>
      </c>
      <c r="P641" s="80">
        <v>0</v>
      </c>
      <c r="Q641" s="77">
        <v>0</v>
      </c>
      <c r="R641" s="77">
        <v>0</v>
      </c>
      <c r="S641" s="77">
        <v>0</v>
      </c>
      <c r="T641" s="77">
        <v>0</v>
      </c>
      <c r="U641" s="77">
        <v>250</v>
      </c>
      <c r="V641" s="77">
        <v>0</v>
      </c>
      <c r="W641" s="77">
        <v>0</v>
      </c>
      <c r="X641" s="77">
        <v>0</v>
      </c>
      <c r="Y641" s="77">
        <v>0</v>
      </c>
      <c r="Z641" s="77">
        <v>0</v>
      </c>
      <c r="AA641" s="77">
        <v>0</v>
      </c>
      <c r="AB641" s="77">
        <v>0</v>
      </c>
      <c r="AC641" s="79">
        <v>1000</v>
      </c>
      <c r="AD641" s="79">
        <v>0</v>
      </c>
      <c r="AE641" s="79">
        <v>0</v>
      </c>
      <c r="AF641" s="79">
        <v>0</v>
      </c>
      <c r="AG641" s="79">
        <v>5.0000000000000001E-3</v>
      </c>
      <c r="AH641" s="79">
        <v>0</v>
      </c>
      <c r="AI641" s="79">
        <v>0</v>
      </c>
      <c r="AJ641" s="79">
        <v>0</v>
      </c>
      <c r="AK641" s="131">
        <v>20077</v>
      </c>
      <c r="AL641" s="77">
        <v>3</v>
      </c>
      <c r="AM641" s="41">
        <f>INDEX(Sheet5!$B$19:$G$33,MATCH(Sheet1!AQ641,Sheet5!$A$19:$A$33,0),MATCH(J641,Sheet5!$B$18:$G$18,0))</f>
        <v>1200</v>
      </c>
      <c r="AN641" s="77" t="s">
        <v>714</v>
      </c>
      <c r="AO641" s="77" t="s">
        <v>1370</v>
      </c>
      <c r="AP641" s="77">
        <v>20471</v>
      </c>
      <c r="AQ641" s="13">
        <v>40</v>
      </c>
    </row>
    <row r="642" spans="1:43" ht="16.5">
      <c r="A642" s="77">
        <v>2691</v>
      </c>
      <c r="B642" s="77" t="s">
        <v>2289</v>
      </c>
      <c r="C642" s="77" t="s">
        <v>1362</v>
      </c>
      <c r="D642" s="77" t="s">
        <v>1369</v>
      </c>
      <c r="E642" s="78">
        <v>11019</v>
      </c>
      <c r="F642" s="80">
        <v>5000</v>
      </c>
      <c r="G642" s="77">
        <v>300</v>
      </c>
      <c r="H642" s="77">
        <v>50</v>
      </c>
      <c r="I642" s="77" t="s">
        <v>720</v>
      </c>
      <c r="J642" s="77">
        <v>3</v>
      </c>
      <c r="K642" s="77">
        <v>10</v>
      </c>
      <c r="L642" s="77">
        <v>30</v>
      </c>
      <c r="M642">
        <v>4000</v>
      </c>
      <c r="N642" s="80">
        <v>0</v>
      </c>
      <c r="O642" s="80">
        <v>0</v>
      </c>
      <c r="P642" s="80">
        <v>0</v>
      </c>
      <c r="Q642" s="77">
        <v>0</v>
      </c>
      <c r="R642" s="77">
        <v>0</v>
      </c>
      <c r="S642" s="77">
        <v>0</v>
      </c>
      <c r="T642" s="77">
        <v>0</v>
      </c>
      <c r="U642" s="77">
        <v>250</v>
      </c>
      <c r="V642" s="77">
        <v>0</v>
      </c>
      <c r="W642" s="77">
        <v>0</v>
      </c>
      <c r="X642" s="77">
        <v>0</v>
      </c>
      <c r="Y642" s="77">
        <v>0</v>
      </c>
      <c r="Z642" s="77">
        <v>0</v>
      </c>
      <c r="AA642" s="77">
        <v>0</v>
      </c>
      <c r="AB642" s="77">
        <v>0</v>
      </c>
      <c r="AC642" s="79">
        <v>1000</v>
      </c>
      <c r="AD642" s="79">
        <v>0</v>
      </c>
      <c r="AE642" s="79">
        <v>0</v>
      </c>
      <c r="AF642" s="79">
        <v>0</v>
      </c>
      <c r="AG642" s="79">
        <v>5.0000000000000001E-3</v>
      </c>
      <c r="AH642" s="79">
        <v>0</v>
      </c>
      <c r="AI642" s="79">
        <v>0</v>
      </c>
      <c r="AJ642" s="79">
        <v>0</v>
      </c>
      <c r="AK642" s="131">
        <v>20078</v>
      </c>
      <c r="AL642" s="77">
        <v>3</v>
      </c>
      <c r="AM642" s="41">
        <f>INDEX(Sheet5!$B$19:$G$33,MATCH(Sheet1!AQ642,Sheet5!$A$19:$A$33,0),MATCH(J642,Sheet5!$B$18:$G$18,0))</f>
        <v>1500</v>
      </c>
      <c r="AN642" s="77" t="s">
        <v>714</v>
      </c>
      <c r="AO642" s="77" t="s">
        <v>1370</v>
      </c>
      <c r="AP642" s="77">
        <v>20472</v>
      </c>
      <c r="AQ642" s="13">
        <v>50</v>
      </c>
    </row>
    <row r="643" spans="1:43" ht="16.5">
      <c r="A643" s="77">
        <v>2692</v>
      </c>
      <c r="B643" s="77" t="s">
        <v>2290</v>
      </c>
      <c r="C643" s="77" t="s">
        <v>1362</v>
      </c>
      <c r="D643" s="77" t="s">
        <v>1369</v>
      </c>
      <c r="E643" s="78">
        <v>11019</v>
      </c>
      <c r="F643" s="80">
        <v>5000</v>
      </c>
      <c r="G643" s="77">
        <v>300</v>
      </c>
      <c r="H643" s="77">
        <v>50</v>
      </c>
      <c r="I643" s="77" t="s">
        <v>720</v>
      </c>
      <c r="J643" s="77">
        <v>3</v>
      </c>
      <c r="K643" s="77">
        <v>10</v>
      </c>
      <c r="L643" s="77">
        <v>30</v>
      </c>
      <c r="M643">
        <v>4800</v>
      </c>
      <c r="N643" s="80">
        <v>0</v>
      </c>
      <c r="O643" s="80">
        <v>0</v>
      </c>
      <c r="P643" s="80">
        <v>0</v>
      </c>
      <c r="Q643" s="77">
        <v>0</v>
      </c>
      <c r="R643" s="77">
        <v>0</v>
      </c>
      <c r="S643" s="77">
        <v>0</v>
      </c>
      <c r="T643" s="77">
        <v>0</v>
      </c>
      <c r="U643" s="77">
        <v>250</v>
      </c>
      <c r="V643" s="77">
        <v>0</v>
      </c>
      <c r="W643" s="77">
        <v>0</v>
      </c>
      <c r="X643" s="77">
        <v>0</v>
      </c>
      <c r="Y643" s="77">
        <v>0</v>
      </c>
      <c r="Z643" s="77">
        <v>0</v>
      </c>
      <c r="AA643" s="77">
        <v>0</v>
      </c>
      <c r="AB643" s="77">
        <v>0</v>
      </c>
      <c r="AC643" s="79">
        <v>1000</v>
      </c>
      <c r="AD643" s="79">
        <v>0</v>
      </c>
      <c r="AE643" s="79">
        <v>0</v>
      </c>
      <c r="AF643" s="79">
        <v>0</v>
      </c>
      <c r="AG643" s="79">
        <v>5.0000000000000001E-3</v>
      </c>
      <c r="AH643" s="79">
        <v>0</v>
      </c>
      <c r="AI643" s="79">
        <v>0</v>
      </c>
      <c r="AJ643" s="79">
        <v>0</v>
      </c>
      <c r="AK643" s="131">
        <v>20079</v>
      </c>
      <c r="AL643" s="77">
        <v>3</v>
      </c>
      <c r="AM643" s="41">
        <f>INDEX(Sheet5!$B$19:$G$33,MATCH(Sheet1!AQ643,Sheet5!$A$19:$A$33,0),MATCH(J643,Sheet5!$B$18:$G$18,0))</f>
        <v>1800</v>
      </c>
      <c r="AN643" s="77" t="s">
        <v>714</v>
      </c>
      <c r="AO643" s="77" t="s">
        <v>1370</v>
      </c>
      <c r="AP643" s="77">
        <v>20473</v>
      </c>
      <c r="AQ643" s="13">
        <v>60</v>
      </c>
    </row>
    <row r="644" spans="1:43" ht="16.5">
      <c r="A644" s="77">
        <v>2693</v>
      </c>
      <c r="B644" s="77" t="s">
        <v>2291</v>
      </c>
      <c r="C644" s="77" t="s">
        <v>1362</v>
      </c>
      <c r="D644" s="77" t="s">
        <v>1369</v>
      </c>
      <c r="E644" s="78">
        <v>11019</v>
      </c>
      <c r="F644" s="80">
        <v>5000</v>
      </c>
      <c r="G644" s="77">
        <v>300</v>
      </c>
      <c r="H644" s="77">
        <v>50</v>
      </c>
      <c r="I644" s="77" t="s">
        <v>720</v>
      </c>
      <c r="J644" s="77">
        <v>3</v>
      </c>
      <c r="K644" s="77">
        <v>10</v>
      </c>
      <c r="L644" s="77">
        <v>30</v>
      </c>
      <c r="M644">
        <v>5600</v>
      </c>
      <c r="N644" s="80">
        <v>0</v>
      </c>
      <c r="O644" s="80">
        <v>0</v>
      </c>
      <c r="P644" s="80">
        <v>0</v>
      </c>
      <c r="Q644" s="77">
        <v>0</v>
      </c>
      <c r="R644" s="77">
        <v>0</v>
      </c>
      <c r="S644" s="77">
        <v>0</v>
      </c>
      <c r="T644" s="77">
        <v>0</v>
      </c>
      <c r="U644" s="77">
        <v>250</v>
      </c>
      <c r="V644" s="77">
        <v>0</v>
      </c>
      <c r="W644" s="77">
        <v>0</v>
      </c>
      <c r="X644" s="77">
        <v>0</v>
      </c>
      <c r="Y644" s="77">
        <v>0</v>
      </c>
      <c r="Z644" s="77">
        <v>0</v>
      </c>
      <c r="AA644" s="77">
        <v>0</v>
      </c>
      <c r="AB644" s="77">
        <v>0</v>
      </c>
      <c r="AC644" s="79">
        <v>1000</v>
      </c>
      <c r="AD644" s="79">
        <v>0</v>
      </c>
      <c r="AE644" s="79">
        <v>0</v>
      </c>
      <c r="AF644" s="79">
        <v>0</v>
      </c>
      <c r="AG644" s="79">
        <v>5.0000000000000001E-3</v>
      </c>
      <c r="AH644" s="79">
        <v>0</v>
      </c>
      <c r="AI644" s="79">
        <v>0</v>
      </c>
      <c r="AJ644" s="79">
        <v>0</v>
      </c>
      <c r="AK644" s="131">
        <v>20080</v>
      </c>
      <c r="AL644" s="77">
        <v>3</v>
      </c>
      <c r="AM644" s="41">
        <f>INDEX(Sheet5!$B$19:$G$33,MATCH(Sheet1!AQ644,Sheet5!$A$19:$A$33,0),MATCH(J644,Sheet5!$B$18:$G$18,0))</f>
        <v>2100</v>
      </c>
      <c r="AN644" s="77" t="s">
        <v>714</v>
      </c>
      <c r="AO644" s="77" t="s">
        <v>1370</v>
      </c>
      <c r="AP644" s="77">
        <v>20474</v>
      </c>
      <c r="AQ644" s="13">
        <v>70</v>
      </c>
    </row>
    <row r="645" spans="1:43" ht="16.5">
      <c r="A645" s="77">
        <v>2694</v>
      </c>
      <c r="B645" s="77" t="s">
        <v>2292</v>
      </c>
      <c r="C645" s="77" t="s">
        <v>1362</v>
      </c>
      <c r="D645" s="77" t="s">
        <v>1369</v>
      </c>
      <c r="E645" s="78">
        <v>11019</v>
      </c>
      <c r="F645" s="80">
        <v>5000</v>
      </c>
      <c r="G645" s="77">
        <v>300</v>
      </c>
      <c r="H645" s="77">
        <v>50</v>
      </c>
      <c r="I645" s="77" t="s">
        <v>720</v>
      </c>
      <c r="J645" s="77">
        <v>3</v>
      </c>
      <c r="K645" s="77">
        <v>10</v>
      </c>
      <c r="L645" s="77">
        <v>30</v>
      </c>
      <c r="M645">
        <v>6400</v>
      </c>
      <c r="N645" s="80">
        <v>0</v>
      </c>
      <c r="O645" s="80">
        <v>0</v>
      </c>
      <c r="P645" s="80">
        <v>0</v>
      </c>
      <c r="Q645" s="77">
        <v>0</v>
      </c>
      <c r="R645" s="77">
        <v>0</v>
      </c>
      <c r="S645" s="77">
        <v>0</v>
      </c>
      <c r="T645" s="77">
        <v>0</v>
      </c>
      <c r="U645" s="77">
        <v>250</v>
      </c>
      <c r="V645" s="77">
        <v>0</v>
      </c>
      <c r="W645" s="77">
        <v>0</v>
      </c>
      <c r="X645" s="77">
        <v>0</v>
      </c>
      <c r="Y645" s="77">
        <v>0</v>
      </c>
      <c r="Z645" s="77">
        <v>0</v>
      </c>
      <c r="AA645" s="77">
        <v>0</v>
      </c>
      <c r="AB645" s="77">
        <v>0</v>
      </c>
      <c r="AC645" s="79">
        <v>1000</v>
      </c>
      <c r="AD645" s="79">
        <v>0</v>
      </c>
      <c r="AE645" s="79">
        <v>0</v>
      </c>
      <c r="AF645" s="79">
        <v>0</v>
      </c>
      <c r="AG645" s="79">
        <v>5.0000000000000001E-3</v>
      </c>
      <c r="AH645" s="79">
        <v>0</v>
      </c>
      <c r="AI645" s="79">
        <v>0</v>
      </c>
      <c r="AJ645" s="79">
        <v>0</v>
      </c>
      <c r="AK645" s="131">
        <v>20081</v>
      </c>
      <c r="AL645" s="77">
        <v>3</v>
      </c>
      <c r="AM645" s="41">
        <f>INDEX(Sheet5!$B$19:$G$33,MATCH(Sheet1!AQ645,Sheet5!$A$19:$A$33,0),MATCH(J645,Sheet5!$B$18:$G$18,0))</f>
        <v>2400</v>
      </c>
      <c r="AN645" s="77" t="s">
        <v>714</v>
      </c>
      <c r="AO645" s="77" t="s">
        <v>1370</v>
      </c>
      <c r="AP645" s="77">
        <v>20475</v>
      </c>
      <c r="AQ645" s="13">
        <v>80</v>
      </c>
    </row>
    <row r="646" spans="1:43" ht="16.5">
      <c r="A646" s="77">
        <v>2695</v>
      </c>
      <c r="B646" s="77" t="s">
        <v>2293</v>
      </c>
      <c r="C646" s="77" t="s">
        <v>1362</v>
      </c>
      <c r="D646" s="77" t="s">
        <v>1369</v>
      </c>
      <c r="E646" s="78">
        <v>11019</v>
      </c>
      <c r="F646" s="80">
        <v>5000</v>
      </c>
      <c r="G646" s="77">
        <v>300</v>
      </c>
      <c r="H646" s="77">
        <v>50</v>
      </c>
      <c r="I646" s="77" t="s">
        <v>720</v>
      </c>
      <c r="J646" s="77">
        <v>3</v>
      </c>
      <c r="K646" s="77">
        <v>10</v>
      </c>
      <c r="L646" s="77">
        <v>30</v>
      </c>
      <c r="M646">
        <v>7200</v>
      </c>
      <c r="N646" s="80">
        <v>0</v>
      </c>
      <c r="O646" s="80">
        <v>0</v>
      </c>
      <c r="P646" s="80">
        <v>0</v>
      </c>
      <c r="Q646" s="77">
        <v>0</v>
      </c>
      <c r="R646" s="77">
        <v>0</v>
      </c>
      <c r="S646" s="77">
        <v>0</v>
      </c>
      <c r="T646" s="77">
        <v>0</v>
      </c>
      <c r="U646" s="77">
        <v>250</v>
      </c>
      <c r="V646" s="77">
        <v>0</v>
      </c>
      <c r="W646" s="77">
        <v>0</v>
      </c>
      <c r="X646" s="77">
        <v>0</v>
      </c>
      <c r="Y646" s="77">
        <v>0</v>
      </c>
      <c r="Z646" s="77">
        <v>0</v>
      </c>
      <c r="AA646" s="77">
        <v>0</v>
      </c>
      <c r="AB646" s="77">
        <v>0</v>
      </c>
      <c r="AC646" s="79">
        <v>1000</v>
      </c>
      <c r="AD646" s="79">
        <v>0</v>
      </c>
      <c r="AE646" s="79">
        <v>0</v>
      </c>
      <c r="AF646" s="79">
        <v>0</v>
      </c>
      <c r="AG646" s="79">
        <v>5.0000000000000001E-3</v>
      </c>
      <c r="AH646" s="79">
        <v>0</v>
      </c>
      <c r="AI646" s="79">
        <v>0</v>
      </c>
      <c r="AJ646" s="79">
        <v>0</v>
      </c>
      <c r="AK646" s="131">
        <v>20082</v>
      </c>
      <c r="AL646" s="77">
        <v>3</v>
      </c>
      <c r="AM646" s="41">
        <f>INDEX(Sheet5!$B$19:$G$33,MATCH(Sheet1!AQ646,Sheet5!$A$19:$A$33,0),MATCH(J646,Sheet5!$B$18:$G$18,0))</f>
        <v>2700</v>
      </c>
      <c r="AN646" s="77" t="s">
        <v>714</v>
      </c>
      <c r="AO646" s="77" t="s">
        <v>1370</v>
      </c>
      <c r="AP646" s="77">
        <v>20476</v>
      </c>
      <c r="AQ646" s="13">
        <v>90</v>
      </c>
    </row>
    <row r="647" spans="1:43" ht="16.5">
      <c r="A647" s="77">
        <v>2696</v>
      </c>
      <c r="B647" s="77" t="s">
        <v>2294</v>
      </c>
      <c r="C647" s="77" t="s">
        <v>1362</v>
      </c>
      <c r="D647" s="77" t="s">
        <v>1369</v>
      </c>
      <c r="E647" s="78">
        <v>11019</v>
      </c>
      <c r="F647" s="80">
        <v>5000</v>
      </c>
      <c r="G647" s="77">
        <v>300</v>
      </c>
      <c r="H647" s="77">
        <v>50</v>
      </c>
      <c r="I647" s="77" t="s">
        <v>720</v>
      </c>
      <c r="J647" s="77">
        <v>3</v>
      </c>
      <c r="K647" s="77">
        <v>10</v>
      </c>
      <c r="L647" s="77">
        <v>30</v>
      </c>
      <c r="M647">
        <v>8000</v>
      </c>
      <c r="N647" s="80">
        <v>0</v>
      </c>
      <c r="O647" s="80">
        <v>0</v>
      </c>
      <c r="P647" s="80">
        <v>0</v>
      </c>
      <c r="Q647" s="77">
        <v>0</v>
      </c>
      <c r="R647" s="77">
        <v>0</v>
      </c>
      <c r="S647" s="77">
        <v>0</v>
      </c>
      <c r="T647" s="77">
        <v>0</v>
      </c>
      <c r="U647" s="77">
        <v>250</v>
      </c>
      <c r="V647" s="77">
        <v>0</v>
      </c>
      <c r="W647" s="77">
        <v>0</v>
      </c>
      <c r="X647" s="77">
        <v>0</v>
      </c>
      <c r="Y647" s="77">
        <v>0</v>
      </c>
      <c r="Z647" s="77">
        <v>0</v>
      </c>
      <c r="AA647" s="77">
        <v>0</v>
      </c>
      <c r="AB647" s="77">
        <v>0</v>
      </c>
      <c r="AC647" s="79">
        <v>1000</v>
      </c>
      <c r="AD647" s="79">
        <v>0</v>
      </c>
      <c r="AE647" s="79">
        <v>0</v>
      </c>
      <c r="AF647" s="79">
        <v>0</v>
      </c>
      <c r="AG647" s="79">
        <v>5.0000000000000001E-3</v>
      </c>
      <c r="AH647" s="79">
        <v>0</v>
      </c>
      <c r="AI647" s="79">
        <v>0</v>
      </c>
      <c r="AJ647" s="79">
        <v>0</v>
      </c>
      <c r="AK647" s="131">
        <v>20083</v>
      </c>
      <c r="AL647" s="77">
        <v>3</v>
      </c>
      <c r="AM647" s="41">
        <f>INDEX(Sheet5!$B$19:$G$33,MATCH(Sheet1!AQ647,Sheet5!$A$19:$A$33,0),MATCH(J647,Sheet5!$B$18:$G$18,0))</f>
        <v>3000</v>
      </c>
      <c r="AN647" s="77" t="s">
        <v>714</v>
      </c>
      <c r="AO647" s="77" t="s">
        <v>1370</v>
      </c>
      <c r="AP647" s="77">
        <v>20477</v>
      </c>
      <c r="AQ647" s="13">
        <v>100</v>
      </c>
    </row>
    <row r="648" spans="1:43" ht="16.5">
      <c r="A648" s="77">
        <v>2697</v>
      </c>
      <c r="B648" s="77" t="s">
        <v>2295</v>
      </c>
      <c r="C648" s="77" t="s">
        <v>1362</v>
      </c>
      <c r="D648" s="77" t="s">
        <v>1369</v>
      </c>
      <c r="E648" s="78">
        <v>11019</v>
      </c>
      <c r="F648" s="80">
        <v>5000</v>
      </c>
      <c r="G648" s="77">
        <v>300</v>
      </c>
      <c r="H648" s="77">
        <v>50</v>
      </c>
      <c r="I648" s="77" t="s">
        <v>720</v>
      </c>
      <c r="J648" s="77">
        <v>3</v>
      </c>
      <c r="K648" s="77">
        <v>10</v>
      </c>
      <c r="L648" s="77">
        <v>30</v>
      </c>
      <c r="M648">
        <v>8800</v>
      </c>
      <c r="N648" s="80">
        <v>0</v>
      </c>
      <c r="O648" s="80">
        <v>0</v>
      </c>
      <c r="P648" s="80">
        <v>0</v>
      </c>
      <c r="Q648" s="77">
        <v>0</v>
      </c>
      <c r="R648" s="77">
        <v>0</v>
      </c>
      <c r="S648" s="77">
        <v>0</v>
      </c>
      <c r="T648" s="77">
        <v>0</v>
      </c>
      <c r="U648" s="77">
        <v>250</v>
      </c>
      <c r="V648" s="77">
        <v>0</v>
      </c>
      <c r="W648" s="77">
        <v>0</v>
      </c>
      <c r="X648" s="77">
        <v>0</v>
      </c>
      <c r="Y648" s="77">
        <v>0</v>
      </c>
      <c r="Z648" s="77">
        <v>0</v>
      </c>
      <c r="AA648" s="77">
        <v>0</v>
      </c>
      <c r="AB648" s="77">
        <v>0</v>
      </c>
      <c r="AC648" s="79">
        <v>1000</v>
      </c>
      <c r="AD648" s="79">
        <v>0</v>
      </c>
      <c r="AE648" s="79">
        <v>0</v>
      </c>
      <c r="AF648" s="79">
        <v>0</v>
      </c>
      <c r="AG648" s="79">
        <v>5.0000000000000001E-3</v>
      </c>
      <c r="AH648" s="79">
        <v>0</v>
      </c>
      <c r="AI648" s="79">
        <v>0</v>
      </c>
      <c r="AJ648" s="79">
        <v>0</v>
      </c>
      <c r="AK648" s="131">
        <v>20084</v>
      </c>
      <c r="AL648" s="77">
        <v>3</v>
      </c>
      <c r="AM648" s="41">
        <f>INDEX(Sheet5!$B$19:$G$33,MATCH(Sheet1!AQ648,Sheet5!$A$19:$A$33,0),MATCH(J648,Sheet5!$B$18:$G$18,0))</f>
        <v>3300</v>
      </c>
      <c r="AN648" s="77" t="s">
        <v>714</v>
      </c>
      <c r="AO648" s="77" t="s">
        <v>1370</v>
      </c>
      <c r="AP648" s="77">
        <v>20478</v>
      </c>
      <c r="AQ648" s="13">
        <v>110</v>
      </c>
    </row>
    <row r="649" spans="1:43" ht="16.5">
      <c r="A649" s="77">
        <v>2698</v>
      </c>
      <c r="B649" s="77" t="s">
        <v>2296</v>
      </c>
      <c r="C649" s="77" t="s">
        <v>1362</v>
      </c>
      <c r="D649" s="77" t="s">
        <v>1369</v>
      </c>
      <c r="E649" s="78">
        <v>11019</v>
      </c>
      <c r="F649" s="80">
        <v>5000</v>
      </c>
      <c r="G649" s="77">
        <v>300</v>
      </c>
      <c r="H649" s="77">
        <v>50</v>
      </c>
      <c r="I649" s="77" t="s">
        <v>720</v>
      </c>
      <c r="J649" s="77">
        <v>3</v>
      </c>
      <c r="K649" s="77">
        <v>10</v>
      </c>
      <c r="L649" s="77">
        <v>30</v>
      </c>
      <c r="M649">
        <v>9600</v>
      </c>
      <c r="N649" s="80">
        <v>0</v>
      </c>
      <c r="O649" s="80">
        <v>0</v>
      </c>
      <c r="P649" s="80">
        <v>0</v>
      </c>
      <c r="Q649" s="77">
        <v>0</v>
      </c>
      <c r="R649" s="77">
        <v>0</v>
      </c>
      <c r="S649" s="77">
        <v>0</v>
      </c>
      <c r="T649" s="77">
        <v>0</v>
      </c>
      <c r="U649" s="77">
        <v>250</v>
      </c>
      <c r="V649" s="77">
        <v>0</v>
      </c>
      <c r="W649" s="77">
        <v>0</v>
      </c>
      <c r="X649" s="77">
        <v>0</v>
      </c>
      <c r="Y649" s="77">
        <v>0</v>
      </c>
      <c r="Z649" s="77">
        <v>0</v>
      </c>
      <c r="AA649" s="77">
        <v>0</v>
      </c>
      <c r="AB649" s="77">
        <v>0</v>
      </c>
      <c r="AC649" s="79">
        <v>1000</v>
      </c>
      <c r="AD649" s="79">
        <v>0</v>
      </c>
      <c r="AE649" s="79">
        <v>0</v>
      </c>
      <c r="AF649" s="79">
        <v>0</v>
      </c>
      <c r="AG649" s="79">
        <v>5.0000000000000001E-3</v>
      </c>
      <c r="AH649" s="79">
        <v>0</v>
      </c>
      <c r="AI649" s="79">
        <v>0</v>
      </c>
      <c r="AJ649" s="79">
        <v>0</v>
      </c>
      <c r="AK649" s="131">
        <v>20085</v>
      </c>
      <c r="AL649" s="77">
        <v>3</v>
      </c>
      <c r="AM649" s="41">
        <f>INDEX(Sheet5!$B$19:$G$33,MATCH(Sheet1!AQ649,Sheet5!$A$19:$A$33,0),MATCH(J649,Sheet5!$B$18:$G$18,0))</f>
        <v>3600</v>
      </c>
      <c r="AN649" s="77" t="s">
        <v>714</v>
      </c>
      <c r="AO649" s="77" t="s">
        <v>1370</v>
      </c>
      <c r="AP649" s="77">
        <v>20479</v>
      </c>
      <c r="AQ649" s="13">
        <v>120</v>
      </c>
    </row>
    <row r="650" spans="1:43" ht="16.5">
      <c r="A650" s="77">
        <v>2699</v>
      </c>
      <c r="B650" s="77" t="s">
        <v>2297</v>
      </c>
      <c r="C650" s="77" t="s">
        <v>1362</v>
      </c>
      <c r="D650" s="77" t="s">
        <v>1369</v>
      </c>
      <c r="E650" s="78">
        <v>11019</v>
      </c>
      <c r="F650" s="80">
        <v>5000</v>
      </c>
      <c r="G650" s="77">
        <v>300</v>
      </c>
      <c r="H650" s="77">
        <v>50</v>
      </c>
      <c r="I650" s="77" t="s">
        <v>720</v>
      </c>
      <c r="J650" s="77">
        <v>3</v>
      </c>
      <c r="K650" s="77">
        <v>10</v>
      </c>
      <c r="L650" s="77">
        <v>30</v>
      </c>
      <c r="M650">
        <v>10400</v>
      </c>
      <c r="N650" s="80">
        <v>0</v>
      </c>
      <c r="O650" s="80">
        <v>0</v>
      </c>
      <c r="P650" s="80">
        <v>0</v>
      </c>
      <c r="Q650" s="77">
        <v>0</v>
      </c>
      <c r="R650" s="77">
        <v>0</v>
      </c>
      <c r="S650" s="77">
        <v>0</v>
      </c>
      <c r="T650" s="77">
        <v>0</v>
      </c>
      <c r="U650" s="77">
        <v>250</v>
      </c>
      <c r="V650" s="77">
        <v>0</v>
      </c>
      <c r="W650" s="77">
        <v>0</v>
      </c>
      <c r="X650" s="77">
        <v>0</v>
      </c>
      <c r="Y650" s="77">
        <v>0</v>
      </c>
      <c r="Z650" s="77">
        <v>0</v>
      </c>
      <c r="AA650" s="77">
        <v>0</v>
      </c>
      <c r="AB650" s="77">
        <v>0</v>
      </c>
      <c r="AC650" s="79">
        <v>1000</v>
      </c>
      <c r="AD650" s="79">
        <v>0</v>
      </c>
      <c r="AE650" s="79">
        <v>0</v>
      </c>
      <c r="AF650" s="79">
        <v>0</v>
      </c>
      <c r="AG650" s="79">
        <v>5.0000000000000001E-3</v>
      </c>
      <c r="AH650" s="79">
        <v>0</v>
      </c>
      <c r="AI650" s="79">
        <v>0</v>
      </c>
      <c r="AJ650" s="79">
        <v>0</v>
      </c>
      <c r="AK650" s="131">
        <v>20086</v>
      </c>
      <c r="AL650" s="77">
        <v>3</v>
      </c>
      <c r="AM650" s="41">
        <f>INDEX(Sheet5!$B$19:$G$33,MATCH(Sheet1!AQ650,Sheet5!$A$19:$A$33,0),MATCH(J650,Sheet5!$B$18:$G$18,0))</f>
        <v>3900</v>
      </c>
      <c r="AN650" s="77" t="s">
        <v>714</v>
      </c>
      <c r="AO650" s="77" t="s">
        <v>1370</v>
      </c>
      <c r="AP650" s="77">
        <v>204801</v>
      </c>
      <c r="AQ650" s="13">
        <v>130</v>
      </c>
    </row>
    <row r="651" spans="1:43" ht="16.5">
      <c r="A651" s="77">
        <v>2700</v>
      </c>
      <c r="B651" s="77" t="s">
        <v>2298</v>
      </c>
      <c r="C651" s="77" t="s">
        <v>1362</v>
      </c>
      <c r="D651" s="77" t="s">
        <v>1369</v>
      </c>
      <c r="E651" s="78">
        <v>11019</v>
      </c>
      <c r="F651" s="80">
        <v>5000</v>
      </c>
      <c r="G651" s="77">
        <v>300</v>
      </c>
      <c r="H651" s="77">
        <v>50</v>
      </c>
      <c r="I651" s="77" t="s">
        <v>720</v>
      </c>
      <c r="J651" s="77">
        <v>3</v>
      </c>
      <c r="K651" s="77">
        <v>10</v>
      </c>
      <c r="L651" s="77">
        <v>30</v>
      </c>
      <c r="M651">
        <v>11200</v>
      </c>
      <c r="N651" s="80">
        <v>0</v>
      </c>
      <c r="O651" s="80">
        <v>0</v>
      </c>
      <c r="P651" s="80">
        <v>0</v>
      </c>
      <c r="Q651" s="77">
        <v>0</v>
      </c>
      <c r="R651" s="77">
        <v>0</v>
      </c>
      <c r="S651" s="77">
        <v>0</v>
      </c>
      <c r="T651" s="77">
        <v>0</v>
      </c>
      <c r="U651" s="77">
        <v>250</v>
      </c>
      <c r="V651" s="77">
        <v>0</v>
      </c>
      <c r="W651" s="77">
        <v>0</v>
      </c>
      <c r="X651" s="77">
        <v>0</v>
      </c>
      <c r="Y651" s="77">
        <v>0</v>
      </c>
      <c r="Z651" s="77">
        <v>0</v>
      </c>
      <c r="AA651" s="77">
        <v>0</v>
      </c>
      <c r="AB651" s="77">
        <v>0</v>
      </c>
      <c r="AC651" s="79">
        <v>1000</v>
      </c>
      <c r="AD651" s="79">
        <v>0</v>
      </c>
      <c r="AE651" s="79">
        <v>0</v>
      </c>
      <c r="AF651" s="79">
        <v>0</v>
      </c>
      <c r="AG651" s="79">
        <v>5.0000000000000001E-3</v>
      </c>
      <c r="AH651" s="79">
        <v>0</v>
      </c>
      <c r="AI651" s="79">
        <v>0</v>
      </c>
      <c r="AJ651" s="79">
        <v>0</v>
      </c>
      <c r="AK651" s="131">
        <v>20087</v>
      </c>
      <c r="AL651" s="77">
        <v>3</v>
      </c>
      <c r="AM651" s="41">
        <f>INDEX(Sheet5!$B$19:$G$33,MATCH(Sheet1!AQ651,Sheet5!$A$19:$A$33,0),MATCH(J651,Sheet5!$B$18:$G$18,0))</f>
        <v>4200</v>
      </c>
      <c r="AN651" s="77" t="s">
        <v>714</v>
      </c>
      <c r="AO651" s="77" t="s">
        <v>1370</v>
      </c>
      <c r="AP651" s="77">
        <v>204802</v>
      </c>
      <c r="AQ651" s="13">
        <v>140</v>
      </c>
    </row>
    <row r="652" spans="1:43" ht="16.5">
      <c r="A652" s="77">
        <v>2701</v>
      </c>
      <c r="B652" s="77" t="s">
        <v>2299</v>
      </c>
      <c r="C652" s="77" t="s">
        <v>1362</v>
      </c>
      <c r="D652" s="77" t="s">
        <v>1369</v>
      </c>
      <c r="E652" s="78">
        <v>11019</v>
      </c>
      <c r="F652" s="80">
        <v>5000</v>
      </c>
      <c r="G652" s="77">
        <v>300</v>
      </c>
      <c r="H652" s="77">
        <v>50</v>
      </c>
      <c r="I652" s="77" t="s">
        <v>720</v>
      </c>
      <c r="J652" s="77">
        <v>3</v>
      </c>
      <c r="K652" s="77">
        <v>10</v>
      </c>
      <c r="L652" s="77">
        <v>30</v>
      </c>
      <c r="M652">
        <v>12000</v>
      </c>
      <c r="N652" s="80">
        <v>0</v>
      </c>
      <c r="O652" s="80">
        <v>0</v>
      </c>
      <c r="P652" s="80">
        <v>0</v>
      </c>
      <c r="Q652" s="77">
        <v>0</v>
      </c>
      <c r="R652" s="77">
        <v>0</v>
      </c>
      <c r="S652" s="77">
        <v>0</v>
      </c>
      <c r="T652" s="77">
        <v>0</v>
      </c>
      <c r="U652" s="77">
        <v>250</v>
      </c>
      <c r="V652" s="77">
        <v>0</v>
      </c>
      <c r="W652" s="77">
        <v>0</v>
      </c>
      <c r="X652" s="77">
        <v>0</v>
      </c>
      <c r="Y652" s="77">
        <v>0</v>
      </c>
      <c r="Z652" s="77">
        <v>0</v>
      </c>
      <c r="AA652" s="77">
        <v>0</v>
      </c>
      <c r="AB652" s="77">
        <v>0</v>
      </c>
      <c r="AC652" s="79">
        <v>1000</v>
      </c>
      <c r="AD652" s="79">
        <v>0</v>
      </c>
      <c r="AE652" s="79">
        <v>0</v>
      </c>
      <c r="AF652" s="79">
        <v>0</v>
      </c>
      <c r="AG652" s="79">
        <v>5.0000000000000001E-3</v>
      </c>
      <c r="AH652" s="79">
        <v>0</v>
      </c>
      <c r="AI652" s="79">
        <v>0</v>
      </c>
      <c r="AJ652" s="79">
        <v>0</v>
      </c>
      <c r="AK652" s="131">
        <v>20088</v>
      </c>
      <c r="AL652" s="77">
        <v>3</v>
      </c>
      <c r="AM652" s="41">
        <f>INDEX(Sheet5!$B$19:$G$33,MATCH(Sheet1!AQ652,Sheet5!$A$19:$A$33,0),MATCH(J652,Sheet5!$B$18:$G$18,0))</f>
        <v>4500</v>
      </c>
      <c r="AN652" s="77" t="s">
        <v>714</v>
      </c>
      <c r="AO652" s="77" t="s">
        <v>1370</v>
      </c>
      <c r="AP652" s="77">
        <v>204803</v>
      </c>
      <c r="AQ652" s="13">
        <v>150</v>
      </c>
    </row>
    <row r="653" spans="1:43" ht="16.5">
      <c r="A653" s="77">
        <v>2702</v>
      </c>
      <c r="B653" s="77" t="s">
        <v>2300</v>
      </c>
      <c r="C653" s="77" t="s">
        <v>1362</v>
      </c>
      <c r="D653" s="77" t="s">
        <v>1372</v>
      </c>
      <c r="E653" s="78">
        <v>11020</v>
      </c>
      <c r="F653" s="80">
        <v>5000</v>
      </c>
      <c r="G653" s="77">
        <v>300</v>
      </c>
      <c r="H653" s="77">
        <v>50</v>
      </c>
      <c r="I653" s="77" t="s">
        <v>159</v>
      </c>
      <c r="J653" s="77">
        <v>3</v>
      </c>
      <c r="K653" s="77">
        <v>10</v>
      </c>
      <c r="L653" s="77">
        <v>30</v>
      </c>
      <c r="M653" s="80">
        <v>0</v>
      </c>
      <c r="N653" s="80">
        <v>0</v>
      </c>
      <c r="O653" s="80">
        <v>0</v>
      </c>
      <c r="P653">
        <v>160</v>
      </c>
      <c r="Q653" s="77">
        <v>0</v>
      </c>
      <c r="R653" s="77">
        <v>0</v>
      </c>
      <c r="S653" s="77">
        <v>0</v>
      </c>
      <c r="T653" s="77">
        <v>0</v>
      </c>
      <c r="U653" s="77">
        <v>0</v>
      </c>
      <c r="V653" s="77">
        <v>0</v>
      </c>
      <c r="W653" s="77">
        <v>0</v>
      </c>
      <c r="X653" s="77">
        <v>5</v>
      </c>
      <c r="Y653" s="77">
        <v>0</v>
      </c>
      <c r="Z653" s="77">
        <v>0</v>
      </c>
      <c r="AA653" s="77">
        <v>0</v>
      </c>
      <c r="AB653" s="77">
        <v>0</v>
      </c>
      <c r="AC653" s="79">
        <v>0</v>
      </c>
      <c r="AD653" s="79">
        <v>0</v>
      </c>
      <c r="AE653" s="79">
        <v>0</v>
      </c>
      <c r="AF653" s="79">
        <v>20</v>
      </c>
      <c r="AG653" s="79">
        <v>0</v>
      </c>
      <c r="AH653" s="79">
        <v>5.0000000000000001E-3</v>
      </c>
      <c r="AI653" s="79">
        <v>0</v>
      </c>
      <c r="AJ653" s="79">
        <v>0</v>
      </c>
      <c r="AK653" s="132">
        <v>20074</v>
      </c>
      <c r="AL653" s="77">
        <v>4</v>
      </c>
      <c r="AM653" s="41">
        <f>INDEX(Sheet5!$B$19:$G$33,MATCH(Sheet1!AQ653,Sheet5!$A$19:$A$33,0),MATCH(J653,Sheet5!$B$18:$G$18,0))</f>
        <v>300</v>
      </c>
      <c r="AN653" s="77" t="s">
        <v>714</v>
      </c>
      <c r="AO653" s="77" t="s">
        <v>1373</v>
      </c>
      <c r="AP653" s="77">
        <v>1041</v>
      </c>
      <c r="AQ653" s="13">
        <v>10</v>
      </c>
    </row>
    <row r="654" spans="1:43" ht="16.5">
      <c r="A654" s="77">
        <v>2703</v>
      </c>
      <c r="B654" s="77" t="s">
        <v>2301</v>
      </c>
      <c r="C654" s="77" t="s">
        <v>1362</v>
      </c>
      <c r="D654" s="77" t="s">
        <v>1372</v>
      </c>
      <c r="E654" s="78">
        <v>11020</v>
      </c>
      <c r="F654" s="80">
        <v>5000</v>
      </c>
      <c r="G654" s="77">
        <v>300</v>
      </c>
      <c r="H654" s="77">
        <v>50</v>
      </c>
      <c r="I654" s="77" t="s">
        <v>159</v>
      </c>
      <c r="J654" s="77">
        <v>3</v>
      </c>
      <c r="K654" s="77">
        <v>10</v>
      </c>
      <c r="L654" s="77">
        <v>30</v>
      </c>
      <c r="M654" s="80">
        <v>0</v>
      </c>
      <c r="N654" s="80">
        <v>0</v>
      </c>
      <c r="O654" s="80">
        <v>0</v>
      </c>
      <c r="P654">
        <v>320</v>
      </c>
      <c r="Q654" s="77">
        <v>0</v>
      </c>
      <c r="R654" s="77">
        <v>0</v>
      </c>
      <c r="S654" s="77">
        <v>0</v>
      </c>
      <c r="T654" s="77">
        <v>0</v>
      </c>
      <c r="U654" s="77">
        <v>0</v>
      </c>
      <c r="V654" s="77">
        <v>0</v>
      </c>
      <c r="W654" s="77">
        <v>0</v>
      </c>
      <c r="X654" s="77">
        <v>5</v>
      </c>
      <c r="Y654" s="77">
        <v>0</v>
      </c>
      <c r="Z654" s="77">
        <v>0</v>
      </c>
      <c r="AA654" s="77">
        <v>0</v>
      </c>
      <c r="AB654" s="77">
        <v>0</v>
      </c>
      <c r="AC654" s="79">
        <v>0</v>
      </c>
      <c r="AD654" s="79">
        <v>0</v>
      </c>
      <c r="AE654" s="79">
        <v>0</v>
      </c>
      <c r="AF654" s="79">
        <v>20</v>
      </c>
      <c r="AG654" s="79">
        <v>0</v>
      </c>
      <c r="AH654" s="79">
        <v>5.0000000000000001E-3</v>
      </c>
      <c r="AI654" s="79">
        <v>0</v>
      </c>
      <c r="AJ654" s="79">
        <v>0</v>
      </c>
      <c r="AK654" s="132">
        <v>20075</v>
      </c>
      <c r="AL654" s="77">
        <v>4</v>
      </c>
      <c r="AM654" s="41">
        <f>INDEX(Sheet5!$B$19:$G$33,MATCH(Sheet1!AQ654,Sheet5!$A$19:$A$33,0),MATCH(J654,Sheet5!$B$18:$G$18,0))</f>
        <v>600</v>
      </c>
      <c r="AN654" s="77" t="s">
        <v>714</v>
      </c>
      <c r="AO654" s="77" t="s">
        <v>1373</v>
      </c>
      <c r="AP654" s="77">
        <v>1042</v>
      </c>
      <c r="AQ654" s="13">
        <v>20</v>
      </c>
    </row>
    <row r="655" spans="1:43" s="102" customFormat="1" ht="16.5">
      <c r="A655" s="108">
        <v>2048</v>
      </c>
      <c r="B655" s="108" t="s">
        <v>2302</v>
      </c>
      <c r="C655" s="108" t="s">
        <v>1362</v>
      </c>
      <c r="D655" s="108" t="s">
        <v>1372</v>
      </c>
      <c r="E655" s="109">
        <v>11020</v>
      </c>
      <c r="F655" s="108">
        <v>5000</v>
      </c>
      <c r="G655" s="108">
        <v>300</v>
      </c>
      <c r="H655" s="108">
        <v>50</v>
      </c>
      <c r="I655" s="108" t="s">
        <v>159</v>
      </c>
      <c r="J655" s="108">
        <v>3</v>
      </c>
      <c r="K655" s="108">
        <v>10</v>
      </c>
      <c r="L655" s="108">
        <v>30</v>
      </c>
      <c r="M655" s="94">
        <v>0</v>
      </c>
      <c r="N655" s="94">
        <v>0</v>
      </c>
      <c r="O655" s="94">
        <v>0</v>
      </c>
      <c r="P655">
        <v>480</v>
      </c>
      <c r="Q655" s="108">
        <v>0</v>
      </c>
      <c r="R655" s="108">
        <v>0</v>
      </c>
      <c r="S655" s="108">
        <v>0</v>
      </c>
      <c r="T655" s="108">
        <v>0</v>
      </c>
      <c r="U655" s="108">
        <v>0</v>
      </c>
      <c r="V655" s="108">
        <v>0</v>
      </c>
      <c r="W655" s="108">
        <v>0</v>
      </c>
      <c r="X655" s="108">
        <v>5</v>
      </c>
      <c r="Y655" s="108">
        <v>0</v>
      </c>
      <c r="Z655" s="108">
        <v>0</v>
      </c>
      <c r="AA655" s="108">
        <v>0</v>
      </c>
      <c r="AB655" s="108">
        <v>0</v>
      </c>
      <c r="AC655" s="108">
        <v>0</v>
      </c>
      <c r="AD655" s="108">
        <v>0</v>
      </c>
      <c r="AE655" s="108">
        <v>0</v>
      </c>
      <c r="AF655" s="108">
        <v>20</v>
      </c>
      <c r="AG655" s="108">
        <v>0</v>
      </c>
      <c r="AH655" s="108">
        <v>5.0000000000000001E-3</v>
      </c>
      <c r="AI655" s="108">
        <v>0</v>
      </c>
      <c r="AJ655" s="108">
        <v>0</v>
      </c>
      <c r="AK655" s="132">
        <v>20076</v>
      </c>
      <c r="AL655" s="108">
        <v>4</v>
      </c>
      <c r="AM655" s="41">
        <f>INDEX(Sheet5!$B$19:$G$33,MATCH(Sheet1!AQ655,Sheet5!$A$19:$A$33,0),MATCH(J655,Sheet5!$B$18:$G$18,0))</f>
        <v>900</v>
      </c>
      <c r="AN655" s="108" t="s">
        <v>714</v>
      </c>
      <c r="AO655" s="108" t="s">
        <v>1373</v>
      </c>
      <c r="AP655" s="108">
        <v>2048</v>
      </c>
      <c r="AQ655" s="13">
        <v>30</v>
      </c>
    </row>
    <row r="656" spans="1:43" ht="16.5">
      <c r="A656" s="77">
        <v>2704</v>
      </c>
      <c r="B656" s="77" t="s">
        <v>2303</v>
      </c>
      <c r="C656" s="77" t="s">
        <v>1362</v>
      </c>
      <c r="D656" s="77" t="s">
        <v>1372</v>
      </c>
      <c r="E656" s="78">
        <v>11020</v>
      </c>
      <c r="F656" s="80">
        <v>5000</v>
      </c>
      <c r="G656" s="77">
        <v>300</v>
      </c>
      <c r="H656" s="77">
        <v>50</v>
      </c>
      <c r="I656" s="77" t="s">
        <v>159</v>
      </c>
      <c r="J656" s="77">
        <v>3</v>
      </c>
      <c r="K656" s="77">
        <v>10</v>
      </c>
      <c r="L656" s="77">
        <v>30</v>
      </c>
      <c r="M656" s="80">
        <v>0</v>
      </c>
      <c r="N656" s="80">
        <v>0</v>
      </c>
      <c r="O656" s="80">
        <v>0</v>
      </c>
      <c r="P656">
        <v>640</v>
      </c>
      <c r="Q656" s="77">
        <v>0</v>
      </c>
      <c r="R656" s="77">
        <v>0</v>
      </c>
      <c r="S656" s="77">
        <v>0</v>
      </c>
      <c r="T656" s="77">
        <v>0</v>
      </c>
      <c r="U656" s="77">
        <v>0</v>
      </c>
      <c r="V656" s="77">
        <v>0</v>
      </c>
      <c r="W656" s="77">
        <v>0</v>
      </c>
      <c r="X656" s="77">
        <v>5</v>
      </c>
      <c r="Y656" s="77">
        <v>0</v>
      </c>
      <c r="Z656" s="77">
        <v>0</v>
      </c>
      <c r="AA656" s="77">
        <v>0</v>
      </c>
      <c r="AB656" s="77">
        <v>0</v>
      </c>
      <c r="AC656" s="79">
        <v>0</v>
      </c>
      <c r="AD656" s="79">
        <v>0</v>
      </c>
      <c r="AE656" s="79">
        <v>0</v>
      </c>
      <c r="AF656" s="79">
        <v>20</v>
      </c>
      <c r="AG656" s="79">
        <v>0</v>
      </c>
      <c r="AH656" s="79">
        <v>5.0000000000000001E-3</v>
      </c>
      <c r="AI656" s="79">
        <v>0</v>
      </c>
      <c r="AJ656" s="79">
        <v>0</v>
      </c>
      <c r="AK656" s="132">
        <v>20077</v>
      </c>
      <c r="AL656" s="77">
        <v>4</v>
      </c>
      <c r="AM656" s="41">
        <f>INDEX(Sheet5!$B$19:$G$33,MATCH(Sheet1!AQ656,Sheet5!$A$19:$A$33,0),MATCH(J656,Sheet5!$B$18:$G$18,0))</f>
        <v>1200</v>
      </c>
      <c r="AN656" s="77" t="s">
        <v>714</v>
      </c>
      <c r="AO656" s="77" t="s">
        <v>1373</v>
      </c>
      <c r="AP656" s="77">
        <v>20481</v>
      </c>
      <c r="AQ656" s="13">
        <v>40</v>
      </c>
    </row>
    <row r="657" spans="1:43" ht="16.5">
      <c r="A657" s="77">
        <v>2705</v>
      </c>
      <c r="B657" s="77" t="s">
        <v>2304</v>
      </c>
      <c r="C657" s="77" t="s">
        <v>1362</v>
      </c>
      <c r="D657" s="77" t="s">
        <v>1372</v>
      </c>
      <c r="E657" s="78">
        <v>11020</v>
      </c>
      <c r="F657" s="80">
        <v>5000</v>
      </c>
      <c r="G657" s="77">
        <v>300</v>
      </c>
      <c r="H657" s="77">
        <v>50</v>
      </c>
      <c r="I657" s="77" t="s">
        <v>159</v>
      </c>
      <c r="J657" s="77">
        <v>3</v>
      </c>
      <c r="K657" s="77">
        <v>10</v>
      </c>
      <c r="L657" s="77">
        <v>30</v>
      </c>
      <c r="M657" s="80">
        <v>0</v>
      </c>
      <c r="N657" s="80">
        <v>0</v>
      </c>
      <c r="O657" s="80">
        <v>0</v>
      </c>
      <c r="P657">
        <v>800</v>
      </c>
      <c r="Q657" s="77">
        <v>0</v>
      </c>
      <c r="R657" s="77">
        <v>0</v>
      </c>
      <c r="S657" s="77">
        <v>0</v>
      </c>
      <c r="T657" s="77">
        <v>0</v>
      </c>
      <c r="U657" s="77">
        <v>0</v>
      </c>
      <c r="V657" s="77">
        <v>0</v>
      </c>
      <c r="W657" s="77">
        <v>0</v>
      </c>
      <c r="X657" s="77">
        <v>5</v>
      </c>
      <c r="Y657" s="77">
        <v>0</v>
      </c>
      <c r="Z657" s="77">
        <v>0</v>
      </c>
      <c r="AA657" s="77">
        <v>0</v>
      </c>
      <c r="AB657" s="77">
        <v>0</v>
      </c>
      <c r="AC657" s="79">
        <v>0</v>
      </c>
      <c r="AD657" s="79">
        <v>0</v>
      </c>
      <c r="AE657" s="79">
        <v>0</v>
      </c>
      <c r="AF657" s="79">
        <v>20</v>
      </c>
      <c r="AG657" s="79">
        <v>0</v>
      </c>
      <c r="AH657" s="79">
        <v>5.0000000000000001E-3</v>
      </c>
      <c r="AI657" s="79">
        <v>0</v>
      </c>
      <c r="AJ657" s="79">
        <v>0</v>
      </c>
      <c r="AK657" s="132">
        <v>20078</v>
      </c>
      <c r="AL657" s="77">
        <v>4</v>
      </c>
      <c r="AM657" s="41">
        <f>INDEX(Sheet5!$B$19:$G$33,MATCH(Sheet1!AQ657,Sheet5!$A$19:$A$33,0),MATCH(J657,Sheet5!$B$18:$G$18,0))</f>
        <v>1500</v>
      </c>
      <c r="AN657" s="77" t="s">
        <v>714</v>
      </c>
      <c r="AO657" s="77" t="s">
        <v>1373</v>
      </c>
      <c r="AP657" s="77">
        <v>20482</v>
      </c>
      <c r="AQ657" s="13">
        <v>50</v>
      </c>
    </row>
    <row r="658" spans="1:43" ht="16.5">
      <c r="A658" s="77">
        <v>2706</v>
      </c>
      <c r="B658" s="77" t="s">
        <v>2305</v>
      </c>
      <c r="C658" s="77" t="s">
        <v>1362</v>
      </c>
      <c r="D658" s="77" t="s">
        <v>1372</v>
      </c>
      <c r="E658" s="78">
        <v>11020</v>
      </c>
      <c r="F658" s="80">
        <v>5000</v>
      </c>
      <c r="G658" s="77">
        <v>300</v>
      </c>
      <c r="H658" s="77">
        <v>50</v>
      </c>
      <c r="I658" s="77" t="s">
        <v>159</v>
      </c>
      <c r="J658" s="77">
        <v>3</v>
      </c>
      <c r="K658" s="77">
        <v>10</v>
      </c>
      <c r="L658" s="77">
        <v>30</v>
      </c>
      <c r="M658" s="80">
        <v>0</v>
      </c>
      <c r="N658" s="80">
        <v>0</v>
      </c>
      <c r="O658" s="80">
        <v>0</v>
      </c>
      <c r="P658">
        <v>960</v>
      </c>
      <c r="Q658" s="77">
        <v>0</v>
      </c>
      <c r="R658" s="77">
        <v>0</v>
      </c>
      <c r="S658" s="77">
        <v>0</v>
      </c>
      <c r="T658" s="77">
        <v>0</v>
      </c>
      <c r="U658" s="77">
        <v>0</v>
      </c>
      <c r="V658" s="77">
        <v>0</v>
      </c>
      <c r="W658" s="77">
        <v>0</v>
      </c>
      <c r="X658" s="77">
        <v>5</v>
      </c>
      <c r="Y658" s="77">
        <v>0</v>
      </c>
      <c r="Z658" s="77">
        <v>0</v>
      </c>
      <c r="AA658" s="77">
        <v>0</v>
      </c>
      <c r="AB658" s="77">
        <v>0</v>
      </c>
      <c r="AC658" s="79">
        <v>0</v>
      </c>
      <c r="AD658" s="79">
        <v>0</v>
      </c>
      <c r="AE658" s="79">
        <v>0</v>
      </c>
      <c r="AF658" s="79">
        <v>20</v>
      </c>
      <c r="AG658" s="79">
        <v>0</v>
      </c>
      <c r="AH658" s="79">
        <v>5.0000000000000001E-3</v>
      </c>
      <c r="AI658" s="79">
        <v>0</v>
      </c>
      <c r="AJ658" s="79">
        <v>0</v>
      </c>
      <c r="AK658" s="132">
        <v>20079</v>
      </c>
      <c r="AL658" s="77">
        <v>4</v>
      </c>
      <c r="AM658" s="41">
        <f>INDEX(Sheet5!$B$19:$G$33,MATCH(Sheet1!AQ658,Sheet5!$A$19:$A$33,0),MATCH(J658,Sheet5!$B$18:$G$18,0))</f>
        <v>1800</v>
      </c>
      <c r="AN658" s="77" t="s">
        <v>714</v>
      </c>
      <c r="AO658" s="77" t="s">
        <v>1373</v>
      </c>
      <c r="AP658" s="77">
        <v>20483</v>
      </c>
      <c r="AQ658" s="13">
        <v>60</v>
      </c>
    </row>
    <row r="659" spans="1:43" ht="16.5">
      <c r="A659" s="77">
        <v>2707</v>
      </c>
      <c r="B659" s="77" t="s">
        <v>2306</v>
      </c>
      <c r="C659" s="77" t="s">
        <v>1362</v>
      </c>
      <c r="D659" s="77" t="s">
        <v>1372</v>
      </c>
      <c r="E659" s="78">
        <v>11020</v>
      </c>
      <c r="F659" s="80">
        <v>5000</v>
      </c>
      <c r="G659" s="77">
        <v>300</v>
      </c>
      <c r="H659" s="77">
        <v>50</v>
      </c>
      <c r="I659" s="77" t="s">
        <v>159</v>
      </c>
      <c r="J659" s="77">
        <v>3</v>
      </c>
      <c r="K659" s="77">
        <v>10</v>
      </c>
      <c r="L659" s="77">
        <v>30</v>
      </c>
      <c r="M659" s="80">
        <v>0</v>
      </c>
      <c r="N659" s="80">
        <v>0</v>
      </c>
      <c r="O659" s="80">
        <v>0</v>
      </c>
      <c r="P659">
        <v>1120</v>
      </c>
      <c r="Q659" s="77">
        <v>0</v>
      </c>
      <c r="R659" s="77">
        <v>0</v>
      </c>
      <c r="S659" s="77">
        <v>0</v>
      </c>
      <c r="T659" s="77">
        <v>0</v>
      </c>
      <c r="U659" s="77">
        <v>0</v>
      </c>
      <c r="V659" s="77">
        <v>0</v>
      </c>
      <c r="W659" s="77">
        <v>0</v>
      </c>
      <c r="X659" s="77">
        <v>5</v>
      </c>
      <c r="Y659" s="77">
        <v>0</v>
      </c>
      <c r="Z659" s="77">
        <v>0</v>
      </c>
      <c r="AA659" s="77">
        <v>0</v>
      </c>
      <c r="AB659" s="77">
        <v>0</v>
      </c>
      <c r="AC659" s="79">
        <v>0</v>
      </c>
      <c r="AD659" s="79">
        <v>0</v>
      </c>
      <c r="AE659" s="79">
        <v>0</v>
      </c>
      <c r="AF659" s="79">
        <v>20</v>
      </c>
      <c r="AG659" s="79">
        <v>0</v>
      </c>
      <c r="AH659" s="79">
        <v>5.0000000000000001E-3</v>
      </c>
      <c r="AI659" s="79">
        <v>0</v>
      </c>
      <c r="AJ659" s="79">
        <v>0</v>
      </c>
      <c r="AK659" s="132">
        <v>20080</v>
      </c>
      <c r="AL659" s="77">
        <v>4</v>
      </c>
      <c r="AM659" s="41">
        <f>INDEX(Sheet5!$B$19:$G$33,MATCH(Sheet1!AQ659,Sheet5!$A$19:$A$33,0),MATCH(J659,Sheet5!$B$18:$G$18,0))</f>
        <v>2100</v>
      </c>
      <c r="AN659" s="77" t="s">
        <v>714</v>
      </c>
      <c r="AO659" s="77" t="s">
        <v>1373</v>
      </c>
      <c r="AP659" s="77">
        <v>20484</v>
      </c>
      <c r="AQ659" s="13">
        <v>70</v>
      </c>
    </row>
    <row r="660" spans="1:43" ht="16.5">
      <c r="A660" s="77">
        <v>2708</v>
      </c>
      <c r="B660" s="77" t="s">
        <v>2307</v>
      </c>
      <c r="C660" s="77" t="s">
        <v>1362</v>
      </c>
      <c r="D660" s="77" t="s">
        <v>1372</v>
      </c>
      <c r="E660" s="78">
        <v>11020</v>
      </c>
      <c r="F660" s="80">
        <v>5000</v>
      </c>
      <c r="G660" s="77">
        <v>300</v>
      </c>
      <c r="H660" s="77">
        <v>50</v>
      </c>
      <c r="I660" s="77" t="s">
        <v>159</v>
      </c>
      <c r="J660" s="77">
        <v>3</v>
      </c>
      <c r="K660" s="77">
        <v>10</v>
      </c>
      <c r="L660" s="77">
        <v>30</v>
      </c>
      <c r="M660" s="80">
        <v>0</v>
      </c>
      <c r="N660" s="80">
        <v>0</v>
      </c>
      <c r="O660" s="80">
        <v>0</v>
      </c>
      <c r="P660">
        <v>1280</v>
      </c>
      <c r="Q660" s="77">
        <v>0</v>
      </c>
      <c r="R660" s="77">
        <v>0</v>
      </c>
      <c r="S660" s="77">
        <v>0</v>
      </c>
      <c r="T660" s="77">
        <v>0</v>
      </c>
      <c r="U660" s="77">
        <v>0</v>
      </c>
      <c r="V660" s="77">
        <v>0</v>
      </c>
      <c r="W660" s="77">
        <v>0</v>
      </c>
      <c r="X660" s="77">
        <v>5</v>
      </c>
      <c r="Y660" s="77">
        <v>0</v>
      </c>
      <c r="Z660" s="77">
        <v>0</v>
      </c>
      <c r="AA660" s="77">
        <v>0</v>
      </c>
      <c r="AB660" s="77">
        <v>0</v>
      </c>
      <c r="AC660" s="79">
        <v>0</v>
      </c>
      <c r="AD660" s="79">
        <v>0</v>
      </c>
      <c r="AE660" s="79">
        <v>0</v>
      </c>
      <c r="AF660" s="79">
        <v>20</v>
      </c>
      <c r="AG660" s="79">
        <v>0</v>
      </c>
      <c r="AH660" s="79">
        <v>5.0000000000000001E-3</v>
      </c>
      <c r="AI660" s="79">
        <v>0</v>
      </c>
      <c r="AJ660" s="79">
        <v>0</v>
      </c>
      <c r="AK660" s="132">
        <v>20081</v>
      </c>
      <c r="AL660" s="77">
        <v>4</v>
      </c>
      <c r="AM660" s="41">
        <f>INDEX(Sheet5!$B$19:$G$33,MATCH(Sheet1!AQ660,Sheet5!$A$19:$A$33,0),MATCH(J660,Sheet5!$B$18:$G$18,0))</f>
        <v>2400</v>
      </c>
      <c r="AN660" s="77" t="s">
        <v>714</v>
      </c>
      <c r="AO660" s="77" t="s">
        <v>1373</v>
      </c>
      <c r="AP660" s="77">
        <v>20485</v>
      </c>
      <c r="AQ660" s="13">
        <v>80</v>
      </c>
    </row>
    <row r="661" spans="1:43" ht="16.5">
      <c r="A661" s="77">
        <v>2709</v>
      </c>
      <c r="B661" s="77" t="s">
        <v>2308</v>
      </c>
      <c r="C661" s="77" t="s">
        <v>1362</v>
      </c>
      <c r="D661" s="77" t="s">
        <v>1372</v>
      </c>
      <c r="E661" s="78">
        <v>11020</v>
      </c>
      <c r="F661" s="80">
        <v>5000</v>
      </c>
      <c r="G661" s="77">
        <v>300</v>
      </c>
      <c r="H661" s="77">
        <v>50</v>
      </c>
      <c r="I661" s="77" t="s">
        <v>159</v>
      </c>
      <c r="J661" s="77">
        <v>3</v>
      </c>
      <c r="K661" s="77">
        <v>10</v>
      </c>
      <c r="L661" s="77">
        <v>30</v>
      </c>
      <c r="M661" s="80">
        <v>0</v>
      </c>
      <c r="N661" s="80">
        <v>0</v>
      </c>
      <c r="O661" s="80">
        <v>0</v>
      </c>
      <c r="P661">
        <v>1440</v>
      </c>
      <c r="Q661" s="77">
        <v>0</v>
      </c>
      <c r="R661" s="77">
        <v>0</v>
      </c>
      <c r="S661" s="77">
        <v>0</v>
      </c>
      <c r="T661" s="77">
        <v>0</v>
      </c>
      <c r="U661" s="77">
        <v>0</v>
      </c>
      <c r="V661" s="77">
        <v>0</v>
      </c>
      <c r="W661" s="77">
        <v>0</v>
      </c>
      <c r="X661" s="77">
        <v>5</v>
      </c>
      <c r="Y661" s="77">
        <v>0</v>
      </c>
      <c r="Z661" s="77">
        <v>0</v>
      </c>
      <c r="AA661" s="77">
        <v>0</v>
      </c>
      <c r="AB661" s="77">
        <v>0</v>
      </c>
      <c r="AC661" s="79">
        <v>0</v>
      </c>
      <c r="AD661" s="79">
        <v>0</v>
      </c>
      <c r="AE661" s="79">
        <v>0</v>
      </c>
      <c r="AF661" s="79">
        <v>20</v>
      </c>
      <c r="AG661" s="79">
        <v>0</v>
      </c>
      <c r="AH661" s="79">
        <v>5.0000000000000001E-3</v>
      </c>
      <c r="AI661" s="79">
        <v>0</v>
      </c>
      <c r="AJ661" s="79">
        <v>0</v>
      </c>
      <c r="AK661" s="132">
        <v>20082</v>
      </c>
      <c r="AL661" s="77">
        <v>4</v>
      </c>
      <c r="AM661" s="41">
        <f>INDEX(Sheet5!$B$19:$G$33,MATCH(Sheet1!AQ661,Sheet5!$A$19:$A$33,0),MATCH(J661,Sheet5!$B$18:$G$18,0))</f>
        <v>2700</v>
      </c>
      <c r="AN661" s="77" t="s">
        <v>714</v>
      </c>
      <c r="AO661" s="77" t="s">
        <v>1373</v>
      </c>
      <c r="AP661" s="77">
        <v>20486</v>
      </c>
      <c r="AQ661" s="13">
        <v>90</v>
      </c>
    </row>
    <row r="662" spans="1:43" ht="16.5">
      <c r="A662" s="77">
        <v>2710</v>
      </c>
      <c r="B662" s="77" t="s">
        <v>2309</v>
      </c>
      <c r="C662" s="77" t="s">
        <v>1362</v>
      </c>
      <c r="D662" s="77" t="s">
        <v>1372</v>
      </c>
      <c r="E662" s="78">
        <v>11020</v>
      </c>
      <c r="F662" s="80">
        <v>5000</v>
      </c>
      <c r="G662" s="77">
        <v>300</v>
      </c>
      <c r="H662" s="77">
        <v>50</v>
      </c>
      <c r="I662" s="77" t="s">
        <v>159</v>
      </c>
      <c r="J662" s="77">
        <v>3</v>
      </c>
      <c r="K662" s="77">
        <v>10</v>
      </c>
      <c r="L662" s="77">
        <v>30</v>
      </c>
      <c r="M662" s="80">
        <v>0</v>
      </c>
      <c r="N662" s="80">
        <v>0</v>
      </c>
      <c r="O662" s="80">
        <v>0</v>
      </c>
      <c r="P662">
        <v>1600</v>
      </c>
      <c r="Q662" s="77">
        <v>0</v>
      </c>
      <c r="R662" s="77">
        <v>0</v>
      </c>
      <c r="S662" s="77">
        <v>0</v>
      </c>
      <c r="T662" s="77">
        <v>0</v>
      </c>
      <c r="U662" s="77">
        <v>0</v>
      </c>
      <c r="V662" s="77">
        <v>0</v>
      </c>
      <c r="W662" s="77">
        <v>0</v>
      </c>
      <c r="X662" s="77">
        <v>5</v>
      </c>
      <c r="Y662" s="77">
        <v>0</v>
      </c>
      <c r="Z662" s="77">
        <v>0</v>
      </c>
      <c r="AA662" s="77">
        <v>0</v>
      </c>
      <c r="AB662" s="77">
        <v>0</v>
      </c>
      <c r="AC662" s="79">
        <v>0</v>
      </c>
      <c r="AD662" s="79">
        <v>0</v>
      </c>
      <c r="AE662" s="79">
        <v>0</v>
      </c>
      <c r="AF662" s="79">
        <v>20</v>
      </c>
      <c r="AG662" s="79">
        <v>0</v>
      </c>
      <c r="AH662" s="79">
        <v>5.0000000000000001E-3</v>
      </c>
      <c r="AI662" s="79">
        <v>0</v>
      </c>
      <c r="AJ662" s="79">
        <v>0</v>
      </c>
      <c r="AK662" s="132">
        <v>20083</v>
      </c>
      <c r="AL662" s="77">
        <v>4</v>
      </c>
      <c r="AM662" s="41">
        <f>INDEX(Sheet5!$B$19:$G$33,MATCH(Sheet1!AQ662,Sheet5!$A$19:$A$33,0),MATCH(J662,Sheet5!$B$18:$G$18,0))</f>
        <v>3000</v>
      </c>
      <c r="AN662" s="77" t="s">
        <v>714</v>
      </c>
      <c r="AO662" s="77" t="s">
        <v>1373</v>
      </c>
      <c r="AP662" s="77">
        <v>20487</v>
      </c>
      <c r="AQ662" s="13">
        <v>100</v>
      </c>
    </row>
    <row r="663" spans="1:43" ht="16.5">
      <c r="A663" s="77">
        <v>2711</v>
      </c>
      <c r="B663" s="77" t="s">
        <v>2310</v>
      </c>
      <c r="C663" s="77" t="s">
        <v>1362</v>
      </c>
      <c r="D663" s="77" t="s">
        <v>1372</v>
      </c>
      <c r="E663" s="78">
        <v>11020</v>
      </c>
      <c r="F663" s="80">
        <v>5000</v>
      </c>
      <c r="G663" s="77">
        <v>300</v>
      </c>
      <c r="H663" s="77">
        <v>50</v>
      </c>
      <c r="I663" s="77" t="s">
        <v>159</v>
      </c>
      <c r="J663" s="77">
        <v>3</v>
      </c>
      <c r="K663" s="77">
        <v>10</v>
      </c>
      <c r="L663" s="77">
        <v>30</v>
      </c>
      <c r="M663" s="80">
        <v>0</v>
      </c>
      <c r="N663" s="80">
        <v>0</v>
      </c>
      <c r="O663" s="80">
        <v>0</v>
      </c>
      <c r="P663">
        <v>1760</v>
      </c>
      <c r="Q663" s="77">
        <v>0</v>
      </c>
      <c r="R663" s="77">
        <v>0</v>
      </c>
      <c r="S663" s="77">
        <v>0</v>
      </c>
      <c r="T663" s="77">
        <v>0</v>
      </c>
      <c r="U663" s="77">
        <v>0</v>
      </c>
      <c r="V663" s="77">
        <v>0</v>
      </c>
      <c r="W663" s="77">
        <v>0</v>
      </c>
      <c r="X663" s="77">
        <v>5</v>
      </c>
      <c r="Y663" s="77">
        <v>0</v>
      </c>
      <c r="Z663" s="77">
        <v>0</v>
      </c>
      <c r="AA663" s="77">
        <v>0</v>
      </c>
      <c r="AB663" s="77">
        <v>0</v>
      </c>
      <c r="AC663" s="79">
        <v>0</v>
      </c>
      <c r="AD663" s="79">
        <v>0</v>
      </c>
      <c r="AE663" s="79">
        <v>0</v>
      </c>
      <c r="AF663" s="79">
        <v>20</v>
      </c>
      <c r="AG663" s="79">
        <v>0</v>
      </c>
      <c r="AH663" s="79">
        <v>5.0000000000000001E-3</v>
      </c>
      <c r="AI663" s="79">
        <v>0</v>
      </c>
      <c r="AJ663" s="79">
        <v>0</v>
      </c>
      <c r="AK663" s="132">
        <v>20084</v>
      </c>
      <c r="AL663" s="77">
        <v>4</v>
      </c>
      <c r="AM663" s="41">
        <f>INDEX(Sheet5!$B$19:$G$33,MATCH(Sheet1!AQ663,Sheet5!$A$19:$A$33,0),MATCH(J663,Sheet5!$B$18:$G$18,0))</f>
        <v>3300</v>
      </c>
      <c r="AN663" s="77" t="s">
        <v>714</v>
      </c>
      <c r="AO663" s="77" t="s">
        <v>1373</v>
      </c>
      <c r="AP663" s="77">
        <v>20488</v>
      </c>
      <c r="AQ663" s="13">
        <v>110</v>
      </c>
    </row>
    <row r="664" spans="1:43" ht="16.5">
      <c r="A664" s="77">
        <v>2712</v>
      </c>
      <c r="B664" s="77" t="s">
        <v>2311</v>
      </c>
      <c r="C664" s="77" t="s">
        <v>1362</v>
      </c>
      <c r="D664" s="77" t="s">
        <v>1372</v>
      </c>
      <c r="E664" s="78">
        <v>11020</v>
      </c>
      <c r="F664" s="80">
        <v>5000</v>
      </c>
      <c r="G664" s="77">
        <v>300</v>
      </c>
      <c r="H664" s="77">
        <v>50</v>
      </c>
      <c r="I664" s="77" t="s">
        <v>159</v>
      </c>
      <c r="J664" s="77">
        <v>3</v>
      </c>
      <c r="K664" s="77">
        <v>10</v>
      </c>
      <c r="L664" s="77">
        <v>30</v>
      </c>
      <c r="M664" s="80">
        <v>0</v>
      </c>
      <c r="N664" s="80">
        <v>0</v>
      </c>
      <c r="O664" s="80">
        <v>0</v>
      </c>
      <c r="P664">
        <v>1920</v>
      </c>
      <c r="Q664" s="77">
        <v>0</v>
      </c>
      <c r="R664" s="77">
        <v>0</v>
      </c>
      <c r="S664" s="77">
        <v>0</v>
      </c>
      <c r="T664" s="77">
        <v>0</v>
      </c>
      <c r="U664" s="77">
        <v>0</v>
      </c>
      <c r="V664" s="77">
        <v>0</v>
      </c>
      <c r="W664" s="77">
        <v>0</v>
      </c>
      <c r="X664" s="77">
        <v>5</v>
      </c>
      <c r="Y664" s="77">
        <v>0</v>
      </c>
      <c r="Z664" s="77">
        <v>0</v>
      </c>
      <c r="AA664" s="77">
        <v>0</v>
      </c>
      <c r="AB664" s="77">
        <v>0</v>
      </c>
      <c r="AC664" s="79">
        <v>0</v>
      </c>
      <c r="AD664" s="79">
        <v>0</v>
      </c>
      <c r="AE664" s="79">
        <v>0</v>
      </c>
      <c r="AF664" s="79">
        <v>20</v>
      </c>
      <c r="AG664" s="79">
        <v>0</v>
      </c>
      <c r="AH664" s="79">
        <v>5.0000000000000001E-3</v>
      </c>
      <c r="AI664" s="79">
        <v>0</v>
      </c>
      <c r="AJ664" s="79">
        <v>0</v>
      </c>
      <c r="AK664" s="132">
        <v>20085</v>
      </c>
      <c r="AL664" s="77">
        <v>4</v>
      </c>
      <c r="AM664" s="41">
        <f>INDEX(Sheet5!$B$19:$G$33,MATCH(Sheet1!AQ664,Sheet5!$A$19:$A$33,0),MATCH(J664,Sheet5!$B$18:$G$18,0))</f>
        <v>3600</v>
      </c>
      <c r="AN664" s="77" t="s">
        <v>714</v>
      </c>
      <c r="AO664" s="77" t="s">
        <v>1373</v>
      </c>
      <c r="AP664" s="77">
        <v>20489</v>
      </c>
      <c r="AQ664" s="13">
        <v>120</v>
      </c>
    </row>
    <row r="665" spans="1:43" ht="16.5">
      <c r="A665" s="77">
        <v>2713</v>
      </c>
      <c r="B665" s="77" t="s">
        <v>2312</v>
      </c>
      <c r="C665" s="77" t="s">
        <v>1362</v>
      </c>
      <c r="D665" s="77" t="s">
        <v>1372</v>
      </c>
      <c r="E665" s="78">
        <v>11020</v>
      </c>
      <c r="F665" s="80">
        <v>5000</v>
      </c>
      <c r="G665" s="77">
        <v>300</v>
      </c>
      <c r="H665" s="77">
        <v>50</v>
      </c>
      <c r="I665" s="77" t="s">
        <v>159</v>
      </c>
      <c r="J665" s="77">
        <v>3</v>
      </c>
      <c r="K665" s="77">
        <v>10</v>
      </c>
      <c r="L665" s="77">
        <v>30</v>
      </c>
      <c r="M665" s="80">
        <v>0</v>
      </c>
      <c r="N665" s="80">
        <v>0</v>
      </c>
      <c r="O665" s="80">
        <v>0</v>
      </c>
      <c r="P665">
        <v>2080</v>
      </c>
      <c r="Q665" s="77">
        <v>0</v>
      </c>
      <c r="R665" s="77">
        <v>0</v>
      </c>
      <c r="S665" s="77">
        <v>0</v>
      </c>
      <c r="T665" s="77">
        <v>0</v>
      </c>
      <c r="U665" s="77">
        <v>0</v>
      </c>
      <c r="V665" s="77">
        <v>0</v>
      </c>
      <c r="W665" s="77">
        <v>0</v>
      </c>
      <c r="X665" s="77">
        <v>5</v>
      </c>
      <c r="Y665" s="77">
        <v>0</v>
      </c>
      <c r="Z665" s="77">
        <v>0</v>
      </c>
      <c r="AA665" s="77">
        <v>0</v>
      </c>
      <c r="AB665" s="77">
        <v>0</v>
      </c>
      <c r="AC665" s="79">
        <v>0</v>
      </c>
      <c r="AD665" s="79">
        <v>0</v>
      </c>
      <c r="AE665" s="79">
        <v>0</v>
      </c>
      <c r="AF665" s="79">
        <v>20</v>
      </c>
      <c r="AG665" s="79">
        <v>0</v>
      </c>
      <c r="AH665" s="79">
        <v>5.0000000000000001E-3</v>
      </c>
      <c r="AI665" s="79">
        <v>0</v>
      </c>
      <c r="AJ665" s="79">
        <v>0</v>
      </c>
      <c r="AK665" s="132">
        <v>20086</v>
      </c>
      <c r="AL665" s="77">
        <v>4</v>
      </c>
      <c r="AM665" s="41">
        <f>INDEX(Sheet5!$B$19:$G$33,MATCH(Sheet1!AQ665,Sheet5!$A$19:$A$33,0),MATCH(J665,Sheet5!$B$18:$G$18,0))</f>
        <v>3900</v>
      </c>
      <c r="AN665" s="77" t="s">
        <v>714</v>
      </c>
      <c r="AO665" s="77" t="s">
        <v>1373</v>
      </c>
      <c r="AP665" s="77">
        <v>204901</v>
      </c>
      <c r="AQ665" s="13">
        <v>130</v>
      </c>
    </row>
    <row r="666" spans="1:43" ht="16.5">
      <c r="A666" s="77">
        <v>2714</v>
      </c>
      <c r="B666" s="77" t="s">
        <v>2313</v>
      </c>
      <c r="C666" s="77" t="s">
        <v>1362</v>
      </c>
      <c r="D666" s="77" t="s">
        <v>1372</v>
      </c>
      <c r="E666" s="78">
        <v>11020</v>
      </c>
      <c r="F666" s="80">
        <v>5000</v>
      </c>
      <c r="G666" s="77">
        <v>300</v>
      </c>
      <c r="H666" s="77">
        <v>50</v>
      </c>
      <c r="I666" s="77" t="s">
        <v>159</v>
      </c>
      <c r="J666" s="77">
        <v>3</v>
      </c>
      <c r="K666" s="77">
        <v>10</v>
      </c>
      <c r="L666" s="77">
        <v>30</v>
      </c>
      <c r="M666" s="80">
        <v>0</v>
      </c>
      <c r="N666" s="80">
        <v>0</v>
      </c>
      <c r="O666" s="80">
        <v>0</v>
      </c>
      <c r="P666">
        <v>2240</v>
      </c>
      <c r="Q666" s="77">
        <v>0</v>
      </c>
      <c r="R666" s="77">
        <v>0</v>
      </c>
      <c r="S666" s="77">
        <v>0</v>
      </c>
      <c r="T666" s="77">
        <v>0</v>
      </c>
      <c r="U666" s="77">
        <v>0</v>
      </c>
      <c r="V666" s="77">
        <v>0</v>
      </c>
      <c r="W666" s="77">
        <v>0</v>
      </c>
      <c r="X666" s="77">
        <v>5</v>
      </c>
      <c r="Y666" s="77">
        <v>0</v>
      </c>
      <c r="Z666" s="77">
        <v>0</v>
      </c>
      <c r="AA666" s="77">
        <v>0</v>
      </c>
      <c r="AB666" s="77">
        <v>0</v>
      </c>
      <c r="AC666" s="79">
        <v>0</v>
      </c>
      <c r="AD666" s="79">
        <v>0</v>
      </c>
      <c r="AE666" s="79">
        <v>0</v>
      </c>
      <c r="AF666" s="79">
        <v>20</v>
      </c>
      <c r="AG666" s="79">
        <v>0</v>
      </c>
      <c r="AH666" s="79">
        <v>5.0000000000000001E-3</v>
      </c>
      <c r="AI666" s="79">
        <v>0</v>
      </c>
      <c r="AJ666" s="79">
        <v>0</v>
      </c>
      <c r="AK666" s="132">
        <v>20087</v>
      </c>
      <c r="AL666" s="77">
        <v>4</v>
      </c>
      <c r="AM666" s="41">
        <f>INDEX(Sheet5!$B$19:$G$33,MATCH(Sheet1!AQ666,Sheet5!$A$19:$A$33,0),MATCH(J666,Sheet5!$B$18:$G$18,0))</f>
        <v>4200</v>
      </c>
      <c r="AN666" s="77" t="s">
        <v>714</v>
      </c>
      <c r="AO666" s="77" t="s">
        <v>1373</v>
      </c>
      <c r="AP666" s="77">
        <v>204902</v>
      </c>
      <c r="AQ666" s="13">
        <v>140</v>
      </c>
    </row>
    <row r="667" spans="1:43" ht="16.5">
      <c r="A667" s="77">
        <v>2715</v>
      </c>
      <c r="B667" s="77" t="s">
        <v>2314</v>
      </c>
      <c r="C667" s="77" t="s">
        <v>1362</v>
      </c>
      <c r="D667" s="77" t="s">
        <v>1372</v>
      </c>
      <c r="E667" s="78">
        <v>11020</v>
      </c>
      <c r="F667" s="80">
        <v>5000</v>
      </c>
      <c r="G667" s="77">
        <v>300</v>
      </c>
      <c r="H667" s="77">
        <v>50</v>
      </c>
      <c r="I667" s="77" t="s">
        <v>159</v>
      </c>
      <c r="J667" s="77">
        <v>3</v>
      </c>
      <c r="K667" s="77">
        <v>10</v>
      </c>
      <c r="L667" s="77">
        <v>30</v>
      </c>
      <c r="M667" s="80">
        <v>0</v>
      </c>
      <c r="N667" s="80">
        <v>0</v>
      </c>
      <c r="O667" s="80">
        <v>0</v>
      </c>
      <c r="P667">
        <v>2400</v>
      </c>
      <c r="Q667" s="77">
        <v>0</v>
      </c>
      <c r="R667" s="77">
        <v>0</v>
      </c>
      <c r="S667" s="77">
        <v>0</v>
      </c>
      <c r="T667" s="77">
        <v>0</v>
      </c>
      <c r="U667" s="77">
        <v>0</v>
      </c>
      <c r="V667" s="77">
        <v>0</v>
      </c>
      <c r="W667" s="77">
        <v>0</v>
      </c>
      <c r="X667" s="77">
        <v>5</v>
      </c>
      <c r="Y667" s="77">
        <v>0</v>
      </c>
      <c r="Z667" s="77">
        <v>0</v>
      </c>
      <c r="AA667" s="77">
        <v>0</v>
      </c>
      <c r="AB667" s="77">
        <v>0</v>
      </c>
      <c r="AC667" s="79">
        <v>0</v>
      </c>
      <c r="AD667" s="79">
        <v>0</v>
      </c>
      <c r="AE667" s="79">
        <v>0</v>
      </c>
      <c r="AF667" s="79">
        <v>20</v>
      </c>
      <c r="AG667" s="79">
        <v>0</v>
      </c>
      <c r="AH667" s="79">
        <v>5.0000000000000001E-3</v>
      </c>
      <c r="AI667" s="79">
        <v>0</v>
      </c>
      <c r="AJ667" s="79">
        <v>0</v>
      </c>
      <c r="AK667" s="132">
        <v>20088</v>
      </c>
      <c r="AL667" s="77">
        <v>4</v>
      </c>
      <c r="AM667" s="41">
        <f>INDEX(Sheet5!$B$19:$G$33,MATCH(Sheet1!AQ667,Sheet5!$A$19:$A$33,0),MATCH(J667,Sheet5!$B$18:$G$18,0))</f>
        <v>4500</v>
      </c>
      <c r="AN667" s="77" t="s">
        <v>714</v>
      </c>
      <c r="AO667" s="77" t="s">
        <v>1373</v>
      </c>
      <c r="AP667" s="77">
        <v>204903</v>
      </c>
      <c r="AQ667" s="13">
        <v>150</v>
      </c>
    </row>
  </sheetData>
  <autoFilter ref="A1:AP667"/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F449"/>
  <sheetViews>
    <sheetView topLeftCell="A205" workbookViewId="0">
      <selection activeCell="B35" sqref="B35"/>
    </sheetView>
  </sheetViews>
  <sheetFormatPr defaultRowHeight="13.5"/>
  <cols>
    <col min="2" max="2" width="15.125" bestFit="1" customWidth="1"/>
    <col min="3" max="4" width="15.125" customWidth="1"/>
    <col min="7" max="7" width="2.5" bestFit="1" customWidth="1"/>
    <col min="8" max="8" width="4.5" bestFit="1" customWidth="1"/>
    <col min="9" max="10" width="2.5" bestFit="1" customWidth="1"/>
    <col min="11" max="11" width="3.5" bestFit="1" customWidth="1"/>
    <col min="12" max="13" width="2.5" bestFit="1" customWidth="1"/>
    <col min="14" max="14" width="11.625" bestFit="1" customWidth="1"/>
    <col min="15" max="15" width="77.125" bestFit="1" customWidth="1"/>
    <col min="16" max="16" width="90.375" bestFit="1" customWidth="1"/>
  </cols>
  <sheetData>
    <row r="1" spans="1:32">
      <c r="A1">
        <f>C1*100+D1</f>
        <v>200202</v>
      </c>
      <c r="B1" t="s">
        <v>170</v>
      </c>
      <c r="C1">
        <f t="shared" ref="C1:C32" si="0">VLOOKUP(B1,AE:AF,2,FALSE)</f>
        <v>2002</v>
      </c>
      <c r="D1">
        <f>IF(C1=C2,1,2)</f>
        <v>2</v>
      </c>
      <c r="E1" t="e">
        <v>#N/A</v>
      </c>
      <c r="F1">
        <v>10040</v>
      </c>
      <c r="G1" t="s">
        <v>252</v>
      </c>
      <c r="H1">
        <v>1</v>
      </c>
      <c r="I1" t="s">
        <v>253</v>
      </c>
      <c r="J1" t="s">
        <v>252</v>
      </c>
      <c r="K1">
        <v>15</v>
      </c>
      <c r="L1" t="s">
        <v>254</v>
      </c>
      <c r="M1" t="s">
        <v>254</v>
      </c>
      <c r="N1" t="str">
        <f t="shared" ref="N1:N8" si="1">G1&amp;H1&amp;I1&amp;J1&amp;K1&amp;L1&amp;M1</f>
        <v>[1,[15]]</v>
      </c>
      <c r="O1" t="s">
        <v>689</v>
      </c>
      <c r="P1" t="str">
        <f t="shared" ref="P1:P8" si="2">G1&amp;N1&amp;I1&amp;O1&amp;M1</f>
        <v>[[1,[15]],[3,[4]],[2,[10018,10040,20013,20034]]]</v>
      </c>
      <c r="AD1" t="s">
        <v>244</v>
      </c>
      <c r="AE1" t="s">
        <v>245</v>
      </c>
      <c r="AF1" t="s">
        <v>244</v>
      </c>
    </row>
    <row r="2" spans="1:32">
      <c r="A2">
        <f t="shared" ref="A2:A65" si="3">C2*100+D2</f>
        <v>200102</v>
      </c>
      <c r="B2" t="s">
        <v>60</v>
      </c>
      <c r="C2">
        <f t="shared" si="0"/>
        <v>2001</v>
      </c>
      <c r="D2">
        <f t="shared" ref="D2:D65" si="4">IF(C2=C3,1,2)</f>
        <v>2</v>
      </c>
      <c r="E2" t="e">
        <v>#N/A</v>
      </c>
      <c r="F2">
        <v>10004</v>
      </c>
      <c r="G2" t="s">
        <v>252</v>
      </c>
      <c r="H2">
        <v>1</v>
      </c>
      <c r="I2" t="s">
        <v>253</v>
      </c>
      <c r="J2" t="s">
        <v>252</v>
      </c>
      <c r="K2">
        <v>15</v>
      </c>
      <c r="L2" t="s">
        <v>254</v>
      </c>
      <c r="M2" t="s">
        <v>254</v>
      </c>
      <c r="N2" t="str">
        <f t="shared" si="1"/>
        <v>[1,[15]]</v>
      </c>
      <c r="O2" t="s">
        <v>688</v>
      </c>
      <c r="P2" t="str">
        <f t="shared" si="2"/>
        <v>[[1,[15]],[3,[4]],[2,[10004,10025,20002,20022]]]</v>
      </c>
      <c r="AD2" t="s">
        <v>246</v>
      </c>
      <c r="AE2" t="s">
        <v>7</v>
      </c>
      <c r="AF2" t="s">
        <v>246</v>
      </c>
    </row>
    <row r="3" spans="1:32">
      <c r="A3">
        <f t="shared" si="3"/>
        <v>200402</v>
      </c>
      <c r="B3" t="s">
        <v>171</v>
      </c>
      <c r="C3">
        <f t="shared" si="0"/>
        <v>2004</v>
      </c>
      <c r="D3">
        <f t="shared" si="4"/>
        <v>2</v>
      </c>
      <c r="E3" t="e">
        <v>#N/A</v>
      </c>
      <c r="F3">
        <v>10015</v>
      </c>
      <c r="G3" t="s">
        <v>252</v>
      </c>
      <c r="H3">
        <v>1</v>
      </c>
      <c r="I3" t="s">
        <v>253</v>
      </c>
      <c r="J3" t="s">
        <v>252</v>
      </c>
      <c r="K3">
        <v>15</v>
      </c>
      <c r="L3" t="s">
        <v>254</v>
      </c>
      <c r="M3" t="s">
        <v>254</v>
      </c>
      <c r="N3" t="str">
        <f t="shared" si="1"/>
        <v>[1,[15]]</v>
      </c>
      <c r="O3" t="s">
        <v>690</v>
      </c>
      <c r="P3" t="str">
        <f t="shared" si="2"/>
        <v>[[1,[15]],[3,[4]],[2,[10015,10039,20012,20033]]]</v>
      </c>
      <c r="AD3" t="s">
        <v>10</v>
      </c>
      <c r="AE3" t="s">
        <v>10</v>
      </c>
      <c r="AF3" t="s">
        <v>10</v>
      </c>
    </row>
    <row r="4" spans="1:32">
      <c r="A4">
        <f t="shared" si="3"/>
        <v>200102</v>
      </c>
      <c r="B4" t="s">
        <v>60</v>
      </c>
      <c r="C4">
        <f t="shared" si="0"/>
        <v>2001</v>
      </c>
      <c r="D4">
        <f t="shared" si="4"/>
        <v>2</v>
      </c>
      <c r="E4" t="e">
        <v>#N/A</v>
      </c>
      <c r="F4">
        <v>10025</v>
      </c>
      <c r="G4" t="s">
        <v>252</v>
      </c>
      <c r="H4">
        <v>1</v>
      </c>
      <c r="I4" t="s">
        <v>253</v>
      </c>
      <c r="J4" t="s">
        <v>252</v>
      </c>
      <c r="K4">
        <v>15</v>
      </c>
      <c r="L4" t="s">
        <v>254</v>
      </c>
      <c r="M4" t="s">
        <v>254</v>
      </c>
      <c r="N4" t="str">
        <f t="shared" si="1"/>
        <v>[1,[15]]</v>
      </c>
      <c r="O4" t="s">
        <v>688</v>
      </c>
      <c r="P4" t="str">
        <f t="shared" si="2"/>
        <v>[[1,[15]],[3,[4]],[2,[10004,10025,20002,20022]]]</v>
      </c>
      <c r="AD4">
        <v>2001</v>
      </c>
      <c r="AE4" t="s">
        <v>60</v>
      </c>
      <c r="AF4">
        <v>2001</v>
      </c>
    </row>
    <row r="5" spans="1:32">
      <c r="A5">
        <f t="shared" si="3"/>
        <v>200302</v>
      </c>
      <c r="B5" t="s">
        <v>61</v>
      </c>
      <c r="C5">
        <f t="shared" si="0"/>
        <v>2003</v>
      </c>
      <c r="D5">
        <f t="shared" si="4"/>
        <v>2</v>
      </c>
      <c r="E5" t="e">
        <v>#N/A</v>
      </c>
      <c r="F5">
        <v>10006</v>
      </c>
      <c r="G5" t="s">
        <v>252</v>
      </c>
      <c r="H5">
        <v>1</v>
      </c>
      <c r="I5" t="s">
        <v>253</v>
      </c>
      <c r="J5" t="s">
        <v>252</v>
      </c>
      <c r="K5">
        <v>15</v>
      </c>
      <c r="L5" t="s">
        <v>254</v>
      </c>
      <c r="M5" t="s">
        <v>254</v>
      </c>
      <c r="N5" t="str">
        <f t="shared" si="1"/>
        <v>[1,[15]]</v>
      </c>
      <c r="O5" t="s">
        <v>691</v>
      </c>
      <c r="P5" t="str">
        <f t="shared" si="2"/>
        <v>[[1,[15]],[3,[4]],[2,[10006,10028,20003,20023]]]</v>
      </c>
      <c r="AD5">
        <v>2002</v>
      </c>
      <c r="AE5" t="s">
        <v>170</v>
      </c>
      <c r="AF5">
        <v>2002</v>
      </c>
    </row>
    <row r="6" spans="1:32">
      <c r="A6">
        <f t="shared" si="3"/>
        <v>200202</v>
      </c>
      <c r="B6" t="s">
        <v>170</v>
      </c>
      <c r="C6">
        <f t="shared" si="0"/>
        <v>2002</v>
      </c>
      <c r="D6">
        <f t="shared" si="4"/>
        <v>2</v>
      </c>
      <c r="E6" t="e">
        <v>#N/A</v>
      </c>
      <c r="F6">
        <v>10018</v>
      </c>
      <c r="G6" t="s">
        <v>252</v>
      </c>
      <c r="H6">
        <v>1</v>
      </c>
      <c r="I6" t="s">
        <v>253</v>
      </c>
      <c r="J6" t="s">
        <v>252</v>
      </c>
      <c r="K6">
        <v>15</v>
      </c>
      <c r="L6" t="s">
        <v>254</v>
      </c>
      <c r="M6" t="s">
        <v>254</v>
      </c>
      <c r="N6" t="str">
        <f t="shared" si="1"/>
        <v>[1,[15]]</v>
      </c>
      <c r="O6" t="s">
        <v>689</v>
      </c>
      <c r="P6" t="str">
        <f t="shared" si="2"/>
        <v>[[1,[15]],[3,[4]],[2,[10018,10040,20013,20034]]]</v>
      </c>
      <c r="AD6">
        <v>2003</v>
      </c>
      <c r="AE6" t="s">
        <v>61</v>
      </c>
      <c r="AF6">
        <v>2003</v>
      </c>
    </row>
    <row r="7" spans="1:32">
      <c r="A7">
        <f t="shared" si="3"/>
        <v>200402</v>
      </c>
      <c r="B7" t="s">
        <v>171</v>
      </c>
      <c r="C7">
        <f t="shared" si="0"/>
        <v>2004</v>
      </c>
      <c r="D7">
        <f t="shared" si="4"/>
        <v>2</v>
      </c>
      <c r="E7" t="e">
        <v>#N/A</v>
      </c>
      <c r="F7">
        <v>10039</v>
      </c>
      <c r="G7" t="s">
        <v>252</v>
      </c>
      <c r="H7">
        <v>1</v>
      </c>
      <c r="I7" t="s">
        <v>253</v>
      </c>
      <c r="J7" t="s">
        <v>252</v>
      </c>
      <c r="K7">
        <v>15</v>
      </c>
      <c r="L7" t="s">
        <v>254</v>
      </c>
      <c r="M7" t="s">
        <v>254</v>
      </c>
      <c r="N7" t="str">
        <f t="shared" si="1"/>
        <v>[1,[15]]</v>
      </c>
      <c r="O7" t="s">
        <v>690</v>
      </c>
      <c r="P7" t="str">
        <f t="shared" si="2"/>
        <v>[[1,[15]],[3,[4]],[2,[10015,10039,20012,20033]]]</v>
      </c>
      <c r="AD7">
        <v>2004</v>
      </c>
      <c r="AE7" t="s">
        <v>171</v>
      </c>
      <c r="AF7">
        <v>2004</v>
      </c>
    </row>
    <row r="8" spans="1:32">
      <c r="A8">
        <f t="shared" si="3"/>
        <v>200302</v>
      </c>
      <c r="B8" t="s">
        <v>61</v>
      </c>
      <c r="C8">
        <f t="shared" si="0"/>
        <v>2003</v>
      </c>
      <c r="D8">
        <f t="shared" si="4"/>
        <v>2</v>
      </c>
      <c r="E8" t="e">
        <v>#N/A</v>
      </c>
      <c r="F8">
        <v>10028</v>
      </c>
      <c r="G8" t="s">
        <v>252</v>
      </c>
      <c r="H8">
        <v>1</v>
      </c>
      <c r="I8" t="s">
        <v>253</v>
      </c>
      <c r="J8" t="s">
        <v>252</v>
      </c>
      <c r="K8">
        <v>15</v>
      </c>
      <c r="L8" t="s">
        <v>254</v>
      </c>
      <c r="M8" t="s">
        <v>254</v>
      </c>
      <c r="N8" t="str">
        <f t="shared" si="1"/>
        <v>[1,[15]]</v>
      </c>
      <c r="O8" t="s">
        <v>691</v>
      </c>
      <c r="P8" t="str">
        <f t="shared" si="2"/>
        <v>[[1,[15]],[3,[4]],[2,[10006,10028,20003,20023]]]</v>
      </c>
      <c r="AD8">
        <v>2005</v>
      </c>
      <c r="AE8" t="s">
        <v>247</v>
      </c>
      <c r="AF8">
        <v>2005</v>
      </c>
    </row>
    <row r="9" spans="1:32">
      <c r="A9">
        <f t="shared" si="3"/>
        <v>206801</v>
      </c>
      <c r="B9" t="s">
        <v>172</v>
      </c>
      <c r="C9">
        <f t="shared" si="0"/>
        <v>2068</v>
      </c>
      <c r="D9">
        <f t="shared" si="4"/>
        <v>1</v>
      </c>
      <c r="E9">
        <v>11032</v>
      </c>
      <c r="F9">
        <v>10429</v>
      </c>
      <c r="G9" t="s">
        <v>252</v>
      </c>
      <c r="H9">
        <v>1</v>
      </c>
      <c r="I9" t="s">
        <v>253</v>
      </c>
      <c r="J9" t="s">
        <v>252</v>
      </c>
      <c r="K9">
        <v>15</v>
      </c>
      <c r="L9" t="s">
        <v>254</v>
      </c>
      <c r="M9" t="s">
        <v>254</v>
      </c>
      <c r="N9" t="str">
        <f>G9&amp;H9&amp;I9&amp;J9&amp;K9&amp;L9&amp;M9</f>
        <v>[1,[15]]</v>
      </c>
      <c r="O9" t="s">
        <v>255</v>
      </c>
      <c r="P9" t="str">
        <f>G9&amp;N9&amp;I9&amp;O9&amp;M9</f>
        <v>[[1,[15]],[3,[4]],[2,[]]]</v>
      </c>
      <c r="AD9">
        <v>2006</v>
      </c>
      <c r="AE9" t="s">
        <v>95</v>
      </c>
      <c r="AF9">
        <v>2006</v>
      </c>
    </row>
    <row r="10" spans="1:32">
      <c r="A10">
        <f t="shared" si="3"/>
        <v>206801</v>
      </c>
      <c r="B10" t="s">
        <v>172</v>
      </c>
      <c r="C10">
        <f t="shared" si="0"/>
        <v>2068</v>
      </c>
      <c r="D10">
        <f t="shared" si="4"/>
        <v>1</v>
      </c>
      <c r="E10">
        <v>11032</v>
      </c>
      <c r="F10">
        <v>10489</v>
      </c>
      <c r="G10" t="s">
        <v>252</v>
      </c>
      <c r="H10">
        <v>1</v>
      </c>
      <c r="I10" t="s">
        <v>253</v>
      </c>
      <c r="J10" t="s">
        <v>252</v>
      </c>
      <c r="K10">
        <v>15</v>
      </c>
      <c r="L10" t="s">
        <v>254</v>
      </c>
      <c r="M10" t="s">
        <v>254</v>
      </c>
      <c r="N10" t="str">
        <f t="shared" ref="N10:N73" si="5">G10&amp;H10&amp;I10&amp;J10&amp;K10&amp;L10&amp;M10</f>
        <v>[1,[15]]</v>
      </c>
      <c r="O10" t="s">
        <v>256</v>
      </c>
      <c r="P10" t="str">
        <f t="shared" ref="P10:P73" si="6">G10&amp;N10&amp;I10&amp;O10&amp;M10</f>
        <v>[[1,[15]],[3,[4]],[2,[10489,10429]]]</v>
      </c>
      <c r="AD10">
        <v>2007</v>
      </c>
      <c r="AE10" t="s">
        <v>96</v>
      </c>
      <c r="AF10">
        <v>2007</v>
      </c>
    </row>
    <row r="11" spans="1:32">
      <c r="A11">
        <f t="shared" si="3"/>
        <v>206801</v>
      </c>
      <c r="B11" t="s">
        <v>172</v>
      </c>
      <c r="C11">
        <f t="shared" si="0"/>
        <v>2068</v>
      </c>
      <c r="D11">
        <f t="shared" si="4"/>
        <v>1</v>
      </c>
      <c r="E11">
        <v>11032</v>
      </c>
      <c r="F11">
        <v>10549</v>
      </c>
      <c r="G11" t="s">
        <v>252</v>
      </c>
      <c r="H11">
        <v>1</v>
      </c>
      <c r="I11" t="s">
        <v>253</v>
      </c>
      <c r="J11" t="s">
        <v>252</v>
      </c>
      <c r="K11">
        <v>15</v>
      </c>
      <c r="L11" t="s">
        <v>254</v>
      </c>
      <c r="M11" t="s">
        <v>254</v>
      </c>
      <c r="N11" t="str">
        <f t="shared" si="5"/>
        <v>[1,[15]]</v>
      </c>
      <c r="O11" t="s">
        <v>257</v>
      </c>
      <c r="P11" t="str">
        <f t="shared" si="6"/>
        <v>[[1,[15]],[3,[4]],[2,[10549,10489,10429]]]</v>
      </c>
      <c r="AD11">
        <v>2008</v>
      </c>
      <c r="AE11" t="s">
        <v>248</v>
      </c>
      <c r="AF11">
        <v>2008</v>
      </c>
    </row>
    <row r="12" spans="1:32">
      <c r="A12">
        <f t="shared" si="3"/>
        <v>206801</v>
      </c>
      <c r="B12" t="s">
        <v>172</v>
      </c>
      <c r="C12">
        <f t="shared" si="0"/>
        <v>2068</v>
      </c>
      <c r="D12">
        <f t="shared" si="4"/>
        <v>1</v>
      </c>
      <c r="E12">
        <v>11032</v>
      </c>
      <c r="F12">
        <v>10609</v>
      </c>
      <c r="G12" t="s">
        <v>252</v>
      </c>
      <c r="H12">
        <v>1</v>
      </c>
      <c r="I12" t="s">
        <v>253</v>
      </c>
      <c r="J12" t="s">
        <v>252</v>
      </c>
      <c r="K12">
        <v>15</v>
      </c>
      <c r="L12" t="s">
        <v>254</v>
      </c>
      <c r="M12" t="s">
        <v>254</v>
      </c>
      <c r="N12" t="str">
        <f t="shared" si="5"/>
        <v>[1,[15]]</v>
      </c>
      <c r="O12" t="s">
        <v>258</v>
      </c>
      <c r="P12" t="str">
        <f t="shared" si="6"/>
        <v>[[1,[15]],[3,[4]],[2,[10609,10549,10489,10429]]]</v>
      </c>
      <c r="AD12">
        <v>2009</v>
      </c>
      <c r="AE12" t="s">
        <v>249</v>
      </c>
      <c r="AF12">
        <v>2009</v>
      </c>
    </row>
    <row r="13" spans="1:32">
      <c r="A13">
        <f t="shared" si="3"/>
        <v>206801</v>
      </c>
      <c r="B13" t="s">
        <v>172</v>
      </c>
      <c r="C13">
        <f t="shared" si="0"/>
        <v>2068</v>
      </c>
      <c r="D13">
        <f t="shared" si="4"/>
        <v>1</v>
      </c>
      <c r="E13">
        <v>11032</v>
      </c>
      <c r="F13">
        <v>10669</v>
      </c>
      <c r="G13" t="s">
        <v>252</v>
      </c>
      <c r="H13">
        <v>1</v>
      </c>
      <c r="I13" t="s">
        <v>253</v>
      </c>
      <c r="J13" t="s">
        <v>252</v>
      </c>
      <c r="K13">
        <v>15</v>
      </c>
      <c r="L13" t="s">
        <v>254</v>
      </c>
      <c r="M13" t="s">
        <v>254</v>
      </c>
      <c r="N13" t="str">
        <f t="shared" si="5"/>
        <v>[1,[15]]</v>
      </c>
      <c r="O13" t="s">
        <v>259</v>
      </c>
      <c r="P13" t="str">
        <f t="shared" si="6"/>
        <v>[[1,[15]],[3,[4]],[2,[10669,10609,10549,10489,10429]]]</v>
      </c>
      <c r="AD13">
        <v>2010</v>
      </c>
      <c r="AE13" t="s">
        <v>97</v>
      </c>
      <c r="AF13">
        <v>2010</v>
      </c>
    </row>
    <row r="14" spans="1:32">
      <c r="A14">
        <f t="shared" si="3"/>
        <v>206801</v>
      </c>
      <c r="B14" t="s">
        <v>172</v>
      </c>
      <c r="C14">
        <f t="shared" si="0"/>
        <v>2068</v>
      </c>
      <c r="D14">
        <f t="shared" si="4"/>
        <v>1</v>
      </c>
      <c r="E14">
        <v>11032</v>
      </c>
      <c r="F14">
        <v>10729</v>
      </c>
      <c r="G14" t="s">
        <v>252</v>
      </c>
      <c r="H14">
        <v>1</v>
      </c>
      <c r="I14" t="s">
        <v>253</v>
      </c>
      <c r="J14" t="s">
        <v>252</v>
      </c>
      <c r="K14">
        <v>15</v>
      </c>
      <c r="L14" t="s">
        <v>254</v>
      </c>
      <c r="M14" t="s">
        <v>254</v>
      </c>
      <c r="N14" t="str">
        <f t="shared" si="5"/>
        <v>[1,[15]]</v>
      </c>
      <c r="O14" t="s">
        <v>260</v>
      </c>
      <c r="P14" t="str">
        <f t="shared" si="6"/>
        <v>[[1,[15]],[3,[4]],[2,[10729,10669,10609,10549,10489,10429]]]</v>
      </c>
      <c r="AD14">
        <v>2011</v>
      </c>
      <c r="AE14" t="s">
        <v>98</v>
      </c>
      <c r="AF14">
        <v>2011</v>
      </c>
    </row>
    <row r="15" spans="1:32">
      <c r="A15">
        <f t="shared" si="3"/>
        <v>206801</v>
      </c>
      <c r="B15" t="s">
        <v>172</v>
      </c>
      <c r="C15">
        <f t="shared" si="0"/>
        <v>2068</v>
      </c>
      <c r="D15">
        <f t="shared" si="4"/>
        <v>1</v>
      </c>
      <c r="E15">
        <v>11032</v>
      </c>
      <c r="F15">
        <v>10789</v>
      </c>
      <c r="G15" t="s">
        <v>252</v>
      </c>
      <c r="H15">
        <v>1</v>
      </c>
      <c r="I15" t="s">
        <v>253</v>
      </c>
      <c r="J15" t="s">
        <v>252</v>
      </c>
      <c r="K15">
        <v>15</v>
      </c>
      <c r="L15" t="s">
        <v>254</v>
      </c>
      <c r="M15" t="s">
        <v>254</v>
      </c>
      <c r="N15" t="str">
        <f t="shared" si="5"/>
        <v>[1,[15]]</v>
      </c>
      <c r="O15" t="s">
        <v>261</v>
      </c>
      <c r="P15" t="str">
        <f t="shared" si="6"/>
        <v>[[1,[15]],[3,[4]],[2,[10789,10729,10669,10609,10549,10489,10429]]]</v>
      </c>
      <c r="AD15">
        <v>2012</v>
      </c>
      <c r="AE15" t="s">
        <v>250</v>
      </c>
      <c r="AF15">
        <v>2012</v>
      </c>
    </row>
    <row r="16" spans="1:32">
      <c r="A16">
        <f t="shared" si="3"/>
        <v>206802</v>
      </c>
      <c r="B16" t="s">
        <v>172</v>
      </c>
      <c r="C16">
        <f t="shared" si="0"/>
        <v>2068</v>
      </c>
      <c r="D16">
        <f t="shared" si="4"/>
        <v>2</v>
      </c>
      <c r="E16">
        <v>11032</v>
      </c>
      <c r="F16">
        <v>10849</v>
      </c>
      <c r="G16" t="s">
        <v>252</v>
      </c>
      <c r="H16">
        <v>1</v>
      </c>
      <c r="I16" t="s">
        <v>253</v>
      </c>
      <c r="J16" t="s">
        <v>252</v>
      </c>
      <c r="K16">
        <v>15</v>
      </c>
      <c r="L16" t="s">
        <v>254</v>
      </c>
      <c r="M16" t="s">
        <v>254</v>
      </c>
      <c r="N16" t="str">
        <f t="shared" si="5"/>
        <v>[1,[15]]</v>
      </c>
      <c r="O16" t="s">
        <v>262</v>
      </c>
      <c r="P16" t="str">
        <f t="shared" si="6"/>
        <v>[[1,[15]],[3,[4]],[2,[10849,10789,10729,10669,10609,10549,10489,10429]]]</v>
      </c>
      <c r="AD16">
        <v>2021</v>
      </c>
      <c r="AE16" t="s">
        <v>177</v>
      </c>
      <c r="AF16">
        <v>2021</v>
      </c>
    </row>
    <row r="17" spans="1:32">
      <c r="A17">
        <f t="shared" si="3"/>
        <v>206501</v>
      </c>
      <c r="B17" t="s">
        <v>173</v>
      </c>
      <c r="C17">
        <f t="shared" si="0"/>
        <v>2065</v>
      </c>
      <c r="D17">
        <f t="shared" si="4"/>
        <v>1</v>
      </c>
      <c r="E17">
        <v>11029</v>
      </c>
      <c r="F17">
        <v>10439</v>
      </c>
      <c r="G17" t="s">
        <v>252</v>
      </c>
      <c r="H17">
        <v>1</v>
      </c>
      <c r="I17" t="s">
        <v>253</v>
      </c>
      <c r="J17" t="s">
        <v>252</v>
      </c>
      <c r="K17">
        <v>15</v>
      </c>
      <c r="L17" t="s">
        <v>254</v>
      </c>
      <c r="M17" t="s">
        <v>254</v>
      </c>
      <c r="N17" t="str">
        <f t="shared" si="5"/>
        <v>[1,[15]]</v>
      </c>
      <c r="O17" t="s">
        <v>263</v>
      </c>
      <c r="P17" t="str">
        <f t="shared" si="6"/>
        <v>[[1,[15]],[3,[4]],[2,[10439]]]</v>
      </c>
      <c r="AD17">
        <v>2022</v>
      </c>
      <c r="AE17" t="s">
        <v>79</v>
      </c>
      <c r="AF17">
        <v>2022</v>
      </c>
    </row>
    <row r="18" spans="1:32">
      <c r="A18">
        <f t="shared" si="3"/>
        <v>206501</v>
      </c>
      <c r="B18" t="s">
        <v>173</v>
      </c>
      <c r="C18">
        <f t="shared" si="0"/>
        <v>2065</v>
      </c>
      <c r="D18">
        <f t="shared" si="4"/>
        <v>1</v>
      </c>
      <c r="E18">
        <v>11029</v>
      </c>
      <c r="F18">
        <v>10499</v>
      </c>
      <c r="G18" t="s">
        <v>252</v>
      </c>
      <c r="H18">
        <v>1</v>
      </c>
      <c r="I18" t="s">
        <v>253</v>
      </c>
      <c r="J18" t="s">
        <v>252</v>
      </c>
      <c r="K18">
        <v>15</v>
      </c>
      <c r="L18" t="s">
        <v>254</v>
      </c>
      <c r="M18" t="s">
        <v>254</v>
      </c>
      <c r="N18" t="str">
        <f t="shared" si="5"/>
        <v>[1,[15]]</v>
      </c>
      <c r="O18" t="s">
        <v>264</v>
      </c>
      <c r="P18" t="str">
        <f t="shared" si="6"/>
        <v>[[1,[15]],[3,[4]],[2,[10499,10439]]]</v>
      </c>
      <c r="AD18">
        <v>2023</v>
      </c>
      <c r="AE18" t="s">
        <v>80</v>
      </c>
      <c r="AF18">
        <v>2023</v>
      </c>
    </row>
    <row r="19" spans="1:32">
      <c r="A19">
        <f t="shared" si="3"/>
        <v>206501</v>
      </c>
      <c r="B19" t="s">
        <v>173</v>
      </c>
      <c r="C19">
        <f t="shared" si="0"/>
        <v>2065</v>
      </c>
      <c r="D19">
        <f t="shared" si="4"/>
        <v>1</v>
      </c>
      <c r="E19">
        <v>11029</v>
      </c>
      <c r="F19">
        <v>10559</v>
      </c>
      <c r="G19" t="s">
        <v>252</v>
      </c>
      <c r="H19">
        <v>1</v>
      </c>
      <c r="I19" t="s">
        <v>253</v>
      </c>
      <c r="J19" t="s">
        <v>252</v>
      </c>
      <c r="K19">
        <v>15</v>
      </c>
      <c r="L19" t="s">
        <v>254</v>
      </c>
      <c r="M19" t="s">
        <v>254</v>
      </c>
      <c r="N19" t="str">
        <f t="shared" si="5"/>
        <v>[1,[15]]</v>
      </c>
      <c r="O19" t="s">
        <v>265</v>
      </c>
      <c r="P19" t="str">
        <f t="shared" si="6"/>
        <v>[[1,[15]],[3,[4]],[2,[10559,10499,10439]]]</v>
      </c>
      <c r="AD19">
        <v>2024</v>
      </c>
      <c r="AE19" t="s">
        <v>176</v>
      </c>
      <c r="AF19">
        <v>2024</v>
      </c>
    </row>
    <row r="20" spans="1:32">
      <c r="A20">
        <f t="shared" si="3"/>
        <v>206501</v>
      </c>
      <c r="B20" t="s">
        <v>173</v>
      </c>
      <c r="C20">
        <f t="shared" si="0"/>
        <v>2065</v>
      </c>
      <c r="D20">
        <f t="shared" si="4"/>
        <v>1</v>
      </c>
      <c r="E20">
        <v>11029</v>
      </c>
      <c r="F20">
        <v>10619</v>
      </c>
      <c r="G20" t="s">
        <v>252</v>
      </c>
      <c r="H20">
        <v>1</v>
      </c>
      <c r="I20" t="s">
        <v>253</v>
      </c>
      <c r="J20" t="s">
        <v>252</v>
      </c>
      <c r="K20">
        <v>15</v>
      </c>
      <c r="L20" t="s">
        <v>254</v>
      </c>
      <c r="M20" t="s">
        <v>254</v>
      </c>
      <c r="N20" t="str">
        <f t="shared" si="5"/>
        <v>[1,[15]]</v>
      </c>
      <c r="O20" t="s">
        <v>266</v>
      </c>
      <c r="P20" t="str">
        <f t="shared" si="6"/>
        <v>[[1,[15]],[3,[4]],[2,[10619,10559,10499,10439]]]</v>
      </c>
      <c r="AD20">
        <v>2025</v>
      </c>
      <c r="AE20" t="s">
        <v>81</v>
      </c>
      <c r="AF20">
        <v>2025</v>
      </c>
    </row>
    <row r="21" spans="1:32">
      <c r="A21">
        <f t="shared" si="3"/>
        <v>206501</v>
      </c>
      <c r="B21" t="s">
        <v>173</v>
      </c>
      <c r="C21">
        <f t="shared" si="0"/>
        <v>2065</v>
      </c>
      <c r="D21">
        <f t="shared" si="4"/>
        <v>1</v>
      </c>
      <c r="E21">
        <v>11029</v>
      </c>
      <c r="F21">
        <v>10679</v>
      </c>
      <c r="G21" t="s">
        <v>252</v>
      </c>
      <c r="H21">
        <v>1</v>
      </c>
      <c r="I21" t="s">
        <v>253</v>
      </c>
      <c r="J21" t="s">
        <v>252</v>
      </c>
      <c r="K21">
        <v>15</v>
      </c>
      <c r="L21" t="s">
        <v>254</v>
      </c>
      <c r="M21" t="s">
        <v>254</v>
      </c>
      <c r="N21" t="str">
        <f t="shared" si="5"/>
        <v>[1,[15]]</v>
      </c>
      <c r="O21" t="s">
        <v>267</v>
      </c>
      <c r="P21" t="str">
        <f t="shared" si="6"/>
        <v>[[1,[15]],[3,[4]],[2,[10679,10619,10559,10499,10439]]]</v>
      </c>
      <c r="AD21">
        <v>2026</v>
      </c>
      <c r="AE21" t="s">
        <v>189</v>
      </c>
      <c r="AF21">
        <v>2026</v>
      </c>
    </row>
    <row r="22" spans="1:32">
      <c r="A22">
        <f t="shared" si="3"/>
        <v>206501</v>
      </c>
      <c r="B22" t="s">
        <v>173</v>
      </c>
      <c r="C22">
        <f t="shared" si="0"/>
        <v>2065</v>
      </c>
      <c r="D22">
        <f t="shared" si="4"/>
        <v>1</v>
      </c>
      <c r="E22">
        <v>11029</v>
      </c>
      <c r="F22">
        <v>10739</v>
      </c>
      <c r="G22" t="s">
        <v>252</v>
      </c>
      <c r="H22">
        <v>1</v>
      </c>
      <c r="I22" t="s">
        <v>253</v>
      </c>
      <c r="J22" t="s">
        <v>252</v>
      </c>
      <c r="K22">
        <v>15</v>
      </c>
      <c r="L22" t="s">
        <v>254</v>
      </c>
      <c r="M22" t="s">
        <v>254</v>
      </c>
      <c r="N22" t="str">
        <f t="shared" si="5"/>
        <v>[1,[15]]</v>
      </c>
      <c r="O22" t="s">
        <v>268</v>
      </c>
      <c r="P22" t="str">
        <f t="shared" si="6"/>
        <v>[[1,[15]],[3,[4]],[2,[10739,10679,10619,10559,10499,10439]]]</v>
      </c>
      <c r="AD22">
        <v>2027</v>
      </c>
      <c r="AE22" t="s">
        <v>82</v>
      </c>
      <c r="AF22">
        <v>2027</v>
      </c>
    </row>
    <row r="23" spans="1:32">
      <c r="A23">
        <f t="shared" si="3"/>
        <v>206501</v>
      </c>
      <c r="B23" t="s">
        <v>173</v>
      </c>
      <c r="C23">
        <f t="shared" si="0"/>
        <v>2065</v>
      </c>
      <c r="D23">
        <f t="shared" si="4"/>
        <v>1</v>
      </c>
      <c r="E23">
        <v>11029</v>
      </c>
      <c r="F23">
        <v>10799</v>
      </c>
      <c r="G23" t="s">
        <v>252</v>
      </c>
      <c r="H23">
        <v>1</v>
      </c>
      <c r="I23" t="s">
        <v>253</v>
      </c>
      <c r="J23" t="s">
        <v>252</v>
      </c>
      <c r="K23">
        <v>15</v>
      </c>
      <c r="L23" t="s">
        <v>254</v>
      </c>
      <c r="M23" t="s">
        <v>254</v>
      </c>
      <c r="N23" t="str">
        <f t="shared" si="5"/>
        <v>[1,[15]]</v>
      </c>
      <c r="O23" t="s">
        <v>269</v>
      </c>
      <c r="P23" t="str">
        <f t="shared" si="6"/>
        <v>[[1,[15]],[3,[4]],[2,[10799,10739,10679,10619,10559,10499,10439]]]</v>
      </c>
      <c r="AD23">
        <v>2028</v>
      </c>
      <c r="AE23" t="s">
        <v>184</v>
      </c>
      <c r="AF23">
        <v>2028</v>
      </c>
    </row>
    <row r="24" spans="1:32">
      <c r="A24">
        <f t="shared" si="3"/>
        <v>206502</v>
      </c>
      <c r="B24" t="s">
        <v>173</v>
      </c>
      <c r="C24">
        <f t="shared" si="0"/>
        <v>2065</v>
      </c>
      <c r="D24">
        <f t="shared" si="4"/>
        <v>2</v>
      </c>
      <c r="E24">
        <v>11029</v>
      </c>
      <c r="F24">
        <v>10859</v>
      </c>
      <c r="G24" t="s">
        <v>252</v>
      </c>
      <c r="H24">
        <v>1</v>
      </c>
      <c r="I24" t="s">
        <v>253</v>
      </c>
      <c r="J24" t="s">
        <v>252</v>
      </c>
      <c r="K24">
        <v>15</v>
      </c>
      <c r="L24" t="s">
        <v>254</v>
      </c>
      <c r="M24" t="s">
        <v>254</v>
      </c>
      <c r="N24" t="str">
        <f t="shared" si="5"/>
        <v>[1,[15]]</v>
      </c>
      <c r="O24" t="s">
        <v>270</v>
      </c>
      <c r="P24" t="str">
        <f t="shared" si="6"/>
        <v>[[1,[15]],[3,[4]],[2,[10859,10799,10739,10679,10619,10559,10499,10439]]]</v>
      </c>
      <c r="AD24">
        <v>2029</v>
      </c>
      <c r="AE24" t="s">
        <v>181</v>
      </c>
      <c r="AF24">
        <v>2029</v>
      </c>
    </row>
    <row r="25" spans="1:32">
      <c r="A25">
        <f t="shared" si="3"/>
        <v>204801</v>
      </c>
      <c r="B25" t="s">
        <v>174</v>
      </c>
      <c r="C25">
        <f t="shared" si="0"/>
        <v>2048</v>
      </c>
      <c r="D25">
        <f t="shared" si="4"/>
        <v>1</v>
      </c>
      <c r="E25">
        <v>11020</v>
      </c>
      <c r="F25">
        <v>10189</v>
      </c>
      <c r="G25" t="s">
        <v>252</v>
      </c>
      <c r="H25">
        <v>1</v>
      </c>
      <c r="I25" t="s">
        <v>253</v>
      </c>
      <c r="J25" t="s">
        <v>252</v>
      </c>
      <c r="K25">
        <v>15</v>
      </c>
      <c r="L25" t="s">
        <v>254</v>
      </c>
      <c r="M25" t="s">
        <v>254</v>
      </c>
      <c r="N25" t="str">
        <f t="shared" si="5"/>
        <v>[1,[15]]</v>
      </c>
      <c r="O25" t="s">
        <v>271</v>
      </c>
      <c r="P25" t="str">
        <f t="shared" si="6"/>
        <v>[[1,[15]],[3,[4]],[2,[10189]]]</v>
      </c>
      <c r="AD25">
        <v>2030</v>
      </c>
      <c r="AE25" t="s">
        <v>83</v>
      </c>
      <c r="AF25">
        <v>2030</v>
      </c>
    </row>
    <row r="26" spans="1:32">
      <c r="A26">
        <f t="shared" si="3"/>
        <v>204801</v>
      </c>
      <c r="B26" t="s">
        <v>174</v>
      </c>
      <c r="C26">
        <f t="shared" si="0"/>
        <v>2048</v>
      </c>
      <c r="D26">
        <f t="shared" si="4"/>
        <v>1</v>
      </c>
      <c r="E26">
        <v>11020</v>
      </c>
      <c r="F26">
        <v>10249</v>
      </c>
      <c r="G26" t="s">
        <v>252</v>
      </c>
      <c r="H26">
        <v>1</v>
      </c>
      <c r="I26" t="s">
        <v>253</v>
      </c>
      <c r="J26" t="s">
        <v>252</v>
      </c>
      <c r="K26">
        <v>15</v>
      </c>
      <c r="L26" t="s">
        <v>254</v>
      </c>
      <c r="M26" t="s">
        <v>254</v>
      </c>
      <c r="N26" t="str">
        <f t="shared" si="5"/>
        <v>[1,[15]]</v>
      </c>
      <c r="O26" t="s">
        <v>272</v>
      </c>
      <c r="P26" t="str">
        <f t="shared" si="6"/>
        <v>[[1,[15]],[3,[4]],[2,[10249,10189]]]</v>
      </c>
      <c r="AD26">
        <v>2031</v>
      </c>
      <c r="AE26" t="s">
        <v>84</v>
      </c>
      <c r="AF26">
        <v>2031</v>
      </c>
    </row>
    <row r="27" spans="1:32">
      <c r="A27">
        <f t="shared" si="3"/>
        <v>204801</v>
      </c>
      <c r="B27" t="s">
        <v>174</v>
      </c>
      <c r="C27">
        <f t="shared" si="0"/>
        <v>2048</v>
      </c>
      <c r="D27">
        <f t="shared" si="4"/>
        <v>1</v>
      </c>
      <c r="E27">
        <v>11020</v>
      </c>
      <c r="F27">
        <v>10309</v>
      </c>
      <c r="G27" t="s">
        <v>252</v>
      </c>
      <c r="H27">
        <v>1</v>
      </c>
      <c r="I27" t="s">
        <v>253</v>
      </c>
      <c r="J27" t="s">
        <v>252</v>
      </c>
      <c r="K27">
        <v>15</v>
      </c>
      <c r="L27" t="s">
        <v>254</v>
      </c>
      <c r="M27" t="s">
        <v>254</v>
      </c>
      <c r="N27" t="str">
        <f t="shared" si="5"/>
        <v>[1,[15]]</v>
      </c>
      <c r="O27" t="s">
        <v>273</v>
      </c>
      <c r="P27" t="str">
        <f t="shared" si="6"/>
        <v>[[1,[15]],[3,[4]],[2,[10309,10249,10189]]]</v>
      </c>
      <c r="AD27">
        <v>2032</v>
      </c>
      <c r="AE27" t="s">
        <v>180</v>
      </c>
      <c r="AF27">
        <v>2032</v>
      </c>
    </row>
    <row r="28" spans="1:32">
      <c r="A28">
        <f t="shared" si="3"/>
        <v>204802</v>
      </c>
      <c r="B28" t="s">
        <v>174</v>
      </c>
      <c r="C28">
        <f t="shared" si="0"/>
        <v>2048</v>
      </c>
      <c r="D28">
        <f t="shared" si="4"/>
        <v>2</v>
      </c>
      <c r="E28">
        <v>11020</v>
      </c>
      <c r="F28">
        <v>10369</v>
      </c>
      <c r="G28" t="s">
        <v>252</v>
      </c>
      <c r="H28">
        <v>1</v>
      </c>
      <c r="I28" t="s">
        <v>253</v>
      </c>
      <c r="J28" t="s">
        <v>252</v>
      </c>
      <c r="K28">
        <v>15</v>
      </c>
      <c r="L28" t="s">
        <v>254</v>
      </c>
      <c r="M28" t="s">
        <v>254</v>
      </c>
      <c r="N28" t="str">
        <f t="shared" si="5"/>
        <v>[1,[15]]</v>
      </c>
      <c r="O28" t="s">
        <v>274</v>
      </c>
      <c r="P28" t="str">
        <f t="shared" si="6"/>
        <v>[[1,[15]],[3,[4]],[2,[10369,10309,10249,10189]]]</v>
      </c>
      <c r="AD28">
        <v>2041</v>
      </c>
      <c r="AE28" t="s">
        <v>186</v>
      </c>
      <c r="AF28">
        <v>2041</v>
      </c>
    </row>
    <row r="29" spans="1:32">
      <c r="A29">
        <f t="shared" si="3"/>
        <v>204501</v>
      </c>
      <c r="B29" t="s">
        <v>175</v>
      </c>
      <c r="C29">
        <f t="shared" si="0"/>
        <v>2045</v>
      </c>
      <c r="D29">
        <f t="shared" si="4"/>
        <v>1</v>
      </c>
      <c r="E29">
        <v>11017</v>
      </c>
      <c r="F29">
        <v>10199</v>
      </c>
      <c r="G29" t="s">
        <v>252</v>
      </c>
      <c r="H29">
        <v>1</v>
      </c>
      <c r="I29" t="s">
        <v>253</v>
      </c>
      <c r="J29" t="s">
        <v>252</v>
      </c>
      <c r="K29">
        <v>15</v>
      </c>
      <c r="L29" t="s">
        <v>254</v>
      </c>
      <c r="M29" t="s">
        <v>254</v>
      </c>
      <c r="N29" t="str">
        <f t="shared" si="5"/>
        <v>[1,[15]]</v>
      </c>
      <c r="O29" t="s">
        <v>275</v>
      </c>
      <c r="P29" t="str">
        <f t="shared" si="6"/>
        <v>[[1,[15]],[3,[4]],[2,[10199]]]</v>
      </c>
      <c r="AD29">
        <v>2042</v>
      </c>
      <c r="AE29" t="s">
        <v>85</v>
      </c>
      <c r="AF29">
        <v>2042</v>
      </c>
    </row>
    <row r="30" spans="1:32">
      <c r="A30">
        <f t="shared" si="3"/>
        <v>204501</v>
      </c>
      <c r="B30" t="s">
        <v>175</v>
      </c>
      <c r="C30">
        <f t="shared" si="0"/>
        <v>2045</v>
      </c>
      <c r="D30">
        <f t="shared" si="4"/>
        <v>1</v>
      </c>
      <c r="E30">
        <v>11017</v>
      </c>
      <c r="F30">
        <v>10259</v>
      </c>
      <c r="G30" t="s">
        <v>252</v>
      </c>
      <c r="H30">
        <v>1</v>
      </c>
      <c r="I30" t="s">
        <v>253</v>
      </c>
      <c r="J30" t="s">
        <v>252</v>
      </c>
      <c r="K30">
        <v>15</v>
      </c>
      <c r="L30" t="s">
        <v>254</v>
      </c>
      <c r="M30" t="s">
        <v>254</v>
      </c>
      <c r="N30" t="str">
        <f t="shared" si="5"/>
        <v>[1,[15]]</v>
      </c>
      <c r="O30" t="s">
        <v>276</v>
      </c>
      <c r="P30" t="str">
        <f t="shared" si="6"/>
        <v>[[1,[15]],[3,[4]],[2,[10259,10199]]]</v>
      </c>
      <c r="AD30">
        <v>2043</v>
      </c>
      <c r="AE30" t="s">
        <v>86</v>
      </c>
      <c r="AF30">
        <v>2043</v>
      </c>
    </row>
    <row r="31" spans="1:32">
      <c r="A31">
        <f t="shared" si="3"/>
        <v>204501</v>
      </c>
      <c r="B31" t="s">
        <v>175</v>
      </c>
      <c r="C31">
        <f t="shared" si="0"/>
        <v>2045</v>
      </c>
      <c r="D31">
        <f t="shared" si="4"/>
        <v>1</v>
      </c>
      <c r="E31">
        <v>11017</v>
      </c>
      <c r="F31">
        <v>10319</v>
      </c>
      <c r="G31" t="s">
        <v>252</v>
      </c>
      <c r="H31">
        <v>1</v>
      </c>
      <c r="I31" t="s">
        <v>253</v>
      </c>
      <c r="J31" t="s">
        <v>252</v>
      </c>
      <c r="K31">
        <v>15</v>
      </c>
      <c r="L31" t="s">
        <v>254</v>
      </c>
      <c r="M31" t="s">
        <v>254</v>
      </c>
      <c r="N31" t="str">
        <f t="shared" si="5"/>
        <v>[1,[15]]</v>
      </c>
      <c r="O31" t="s">
        <v>277</v>
      </c>
      <c r="P31" t="str">
        <f t="shared" si="6"/>
        <v>[[1,[15]],[3,[4]],[2,[10319,10259,10199]]]</v>
      </c>
      <c r="AD31">
        <v>2044</v>
      </c>
      <c r="AE31" t="s">
        <v>185</v>
      </c>
      <c r="AF31">
        <v>2044</v>
      </c>
    </row>
    <row r="32" spans="1:32">
      <c r="A32">
        <f t="shared" si="3"/>
        <v>204502</v>
      </c>
      <c r="B32" t="s">
        <v>175</v>
      </c>
      <c r="C32">
        <f t="shared" si="0"/>
        <v>2045</v>
      </c>
      <c r="D32">
        <f t="shared" si="4"/>
        <v>2</v>
      </c>
      <c r="E32">
        <v>11017</v>
      </c>
      <c r="F32">
        <v>10379</v>
      </c>
      <c r="G32" t="s">
        <v>252</v>
      </c>
      <c r="H32">
        <v>1</v>
      </c>
      <c r="I32" t="s">
        <v>253</v>
      </c>
      <c r="J32" t="s">
        <v>252</v>
      </c>
      <c r="K32">
        <v>15</v>
      </c>
      <c r="L32" t="s">
        <v>254</v>
      </c>
      <c r="M32" t="s">
        <v>254</v>
      </c>
      <c r="N32" t="str">
        <f t="shared" si="5"/>
        <v>[1,[15]]</v>
      </c>
      <c r="O32" t="s">
        <v>278</v>
      </c>
      <c r="P32" t="str">
        <f t="shared" si="6"/>
        <v>[[1,[15]],[3,[4]],[2,[10379,10319,10259,10199]]]</v>
      </c>
      <c r="AD32">
        <v>2045</v>
      </c>
      <c r="AE32" t="s">
        <v>175</v>
      </c>
      <c r="AF32">
        <v>2045</v>
      </c>
    </row>
    <row r="33" spans="1:32">
      <c r="A33">
        <f t="shared" si="3"/>
        <v>202401</v>
      </c>
      <c r="B33" t="s">
        <v>176</v>
      </c>
      <c r="C33">
        <f t="shared" ref="C33:C64" si="7">VLOOKUP(B33,AE:AF,2,FALSE)</f>
        <v>2024</v>
      </c>
      <c r="D33">
        <f t="shared" si="4"/>
        <v>1</v>
      </c>
      <c r="E33">
        <v>11004</v>
      </c>
      <c r="F33">
        <v>10049</v>
      </c>
      <c r="G33" t="s">
        <v>252</v>
      </c>
      <c r="H33">
        <v>1</v>
      </c>
      <c r="I33" t="s">
        <v>253</v>
      </c>
      <c r="J33" t="s">
        <v>252</v>
      </c>
      <c r="K33">
        <v>15</v>
      </c>
      <c r="L33" t="s">
        <v>254</v>
      </c>
      <c r="M33" t="s">
        <v>254</v>
      </c>
      <c r="N33" t="str">
        <f t="shared" si="5"/>
        <v>[1,[15]]</v>
      </c>
      <c r="O33" t="s">
        <v>279</v>
      </c>
      <c r="P33" t="str">
        <f t="shared" si="6"/>
        <v>[[1,[15]],[3,[4]],[2,[10049]]]</v>
      </c>
      <c r="AD33">
        <v>2046</v>
      </c>
      <c r="AE33" t="s">
        <v>87</v>
      </c>
      <c r="AF33">
        <v>2046</v>
      </c>
    </row>
    <row r="34" spans="1:32">
      <c r="A34">
        <f t="shared" si="3"/>
        <v>202402</v>
      </c>
      <c r="B34" t="s">
        <v>176</v>
      </c>
      <c r="C34">
        <f t="shared" si="7"/>
        <v>2024</v>
      </c>
      <c r="D34">
        <f t="shared" si="4"/>
        <v>2</v>
      </c>
      <c r="E34">
        <v>11004</v>
      </c>
      <c r="F34">
        <v>10109</v>
      </c>
      <c r="G34" t="s">
        <v>252</v>
      </c>
      <c r="H34">
        <v>1</v>
      </c>
      <c r="I34" t="s">
        <v>253</v>
      </c>
      <c r="J34" t="s">
        <v>252</v>
      </c>
      <c r="K34">
        <v>15</v>
      </c>
      <c r="L34" t="s">
        <v>254</v>
      </c>
      <c r="M34" t="s">
        <v>254</v>
      </c>
      <c r="N34" t="str">
        <f t="shared" si="5"/>
        <v>[1,[15]]</v>
      </c>
      <c r="O34" t="s">
        <v>280</v>
      </c>
      <c r="P34" t="str">
        <f t="shared" si="6"/>
        <v>[[1,[15]],[3,[4]],[2,[10109,10049]]]</v>
      </c>
      <c r="AD34">
        <v>2047</v>
      </c>
      <c r="AE34" t="s">
        <v>88</v>
      </c>
      <c r="AF34">
        <v>2047</v>
      </c>
    </row>
    <row r="35" spans="1:32">
      <c r="A35">
        <f t="shared" si="3"/>
        <v>202101</v>
      </c>
      <c r="B35" t="s">
        <v>177</v>
      </c>
      <c r="C35">
        <f t="shared" si="7"/>
        <v>2021</v>
      </c>
      <c r="D35">
        <f t="shared" si="4"/>
        <v>1</v>
      </c>
      <c r="E35">
        <v>11001</v>
      </c>
      <c r="F35">
        <v>10059</v>
      </c>
      <c r="G35" t="s">
        <v>252</v>
      </c>
      <c r="H35">
        <v>1</v>
      </c>
      <c r="I35" t="s">
        <v>253</v>
      </c>
      <c r="J35" t="s">
        <v>252</v>
      </c>
      <c r="K35">
        <v>15</v>
      </c>
      <c r="L35" t="s">
        <v>254</v>
      </c>
      <c r="M35" t="s">
        <v>254</v>
      </c>
      <c r="N35" t="str">
        <f t="shared" si="5"/>
        <v>[1,[15]]</v>
      </c>
      <c r="O35" t="s">
        <v>281</v>
      </c>
      <c r="P35" t="str">
        <f t="shared" si="6"/>
        <v>[[1,[15]],[3,[4]],[2,[10059]]]</v>
      </c>
      <c r="AD35">
        <v>2048</v>
      </c>
      <c r="AE35" t="s">
        <v>174</v>
      </c>
      <c r="AF35">
        <v>2048</v>
      </c>
    </row>
    <row r="36" spans="1:32">
      <c r="A36">
        <f t="shared" si="3"/>
        <v>202102</v>
      </c>
      <c r="B36" t="s">
        <v>177</v>
      </c>
      <c r="C36">
        <f t="shared" si="7"/>
        <v>2021</v>
      </c>
      <c r="D36">
        <f t="shared" si="4"/>
        <v>2</v>
      </c>
      <c r="E36">
        <v>11001</v>
      </c>
      <c r="F36">
        <v>10119</v>
      </c>
      <c r="G36" t="s">
        <v>252</v>
      </c>
      <c r="H36">
        <v>1</v>
      </c>
      <c r="I36" t="s">
        <v>253</v>
      </c>
      <c r="J36" t="s">
        <v>252</v>
      </c>
      <c r="K36">
        <v>15</v>
      </c>
      <c r="L36" t="s">
        <v>254</v>
      </c>
      <c r="M36" t="s">
        <v>254</v>
      </c>
      <c r="N36" t="str">
        <f t="shared" si="5"/>
        <v>[1,[15]]</v>
      </c>
      <c r="O36" t="s">
        <v>282</v>
      </c>
      <c r="P36" t="str">
        <f t="shared" si="6"/>
        <v>[[1,[15]],[3,[4]],[2,[10119,10059]]]</v>
      </c>
      <c r="AD36">
        <v>2049</v>
      </c>
      <c r="AE36" t="s">
        <v>188</v>
      </c>
      <c r="AF36">
        <v>2049</v>
      </c>
    </row>
    <row r="37" spans="1:32">
      <c r="A37">
        <f t="shared" si="3"/>
        <v>207201</v>
      </c>
      <c r="B37" t="s">
        <v>178</v>
      </c>
      <c r="C37">
        <f t="shared" si="7"/>
        <v>2072</v>
      </c>
      <c r="D37">
        <f t="shared" si="4"/>
        <v>1</v>
      </c>
      <c r="E37">
        <v>11036</v>
      </c>
      <c r="F37">
        <v>10449</v>
      </c>
      <c r="G37" t="s">
        <v>252</v>
      </c>
      <c r="H37">
        <v>1</v>
      </c>
      <c r="I37" t="s">
        <v>253</v>
      </c>
      <c r="J37" t="s">
        <v>252</v>
      </c>
      <c r="K37">
        <v>15</v>
      </c>
      <c r="L37" t="s">
        <v>254</v>
      </c>
      <c r="M37" t="s">
        <v>254</v>
      </c>
      <c r="N37" t="str">
        <f t="shared" si="5"/>
        <v>[1,[15]]</v>
      </c>
      <c r="O37" t="s">
        <v>283</v>
      </c>
      <c r="P37" t="str">
        <f t="shared" si="6"/>
        <v>[[1,[15]],[3,[4]],[2,[10449]]]</v>
      </c>
      <c r="AD37">
        <v>2050</v>
      </c>
      <c r="AE37" t="s">
        <v>89</v>
      </c>
      <c r="AF37">
        <v>2050</v>
      </c>
    </row>
    <row r="38" spans="1:32">
      <c r="A38">
        <f t="shared" si="3"/>
        <v>207201</v>
      </c>
      <c r="B38" t="s">
        <v>178</v>
      </c>
      <c r="C38">
        <f t="shared" si="7"/>
        <v>2072</v>
      </c>
      <c r="D38">
        <f t="shared" si="4"/>
        <v>1</v>
      </c>
      <c r="E38">
        <v>11036</v>
      </c>
      <c r="F38">
        <v>10509</v>
      </c>
      <c r="G38" t="s">
        <v>252</v>
      </c>
      <c r="H38">
        <v>1</v>
      </c>
      <c r="I38" t="s">
        <v>253</v>
      </c>
      <c r="J38" t="s">
        <v>252</v>
      </c>
      <c r="K38">
        <v>15</v>
      </c>
      <c r="L38" t="s">
        <v>254</v>
      </c>
      <c r="M38" t="s">
        <v>254</v>
      </c>
      <c r="N38" t="str">
        <f t="shared" si="5"/>
        <v>[1,[15]]</v>
      </c>
      <c r="O38" t="s">
        <v>284</v>
      </c>
      <c r="P38" t="str">
        <f t="shared" si="6"/>
        <v>[[1,[15]],[3,[4]],[2,[10509,10449]]]</v>
      </c>
      <c r="AD38">
        <v>2051</v>
      </c>
      <c r="AE38" t="s">
        <v>90</v>
      </c>
      <c r="AF38">
        <v>2051</v>
      </c>
    </row>
    <row r="39" spans="1:32">
      <c r="A39">
        <f t="shared" si="3"/>
        <v>207201</v>
      </c>
      <c r="B39" t="s">
        <v>178</v>
      </c>
      <c r="C39">
        <f t="shared" si="7"/>
        <v>2072</v>
      </c>
      <c r="D39">
        <f t="shared" si="4"/>
        <v>1</v>
      </c>
      <c r="E39">
        <v>11036</v>
      </c>
      <c r="F39">
        <v>10569</v>
      </c>
      <c r="G39" t="s">
        <v>252</v>
      </c>
      <c r="H39">
        <v>1</v>
      </c>
      <c r="I39" t="s">
        <v>253</v>
      </c>
      <c r="J39" t="s">
        <v>252</v>
      </c>
      <c r="K39">
        <v>15</v>
      </c>
      <c r="L39" t="s">
        <v>254</v>
      </c>
      <c r="M39" t="s">
        <v>254</v>
      </c>
      <c r="N39" t="str">
        <f t="shared" si="5"/>
        <v>[1,[15]]</v>
      </c>
      <c r="O39" t="s">
        <v>285</v>
      </c>
      <c r="P39" t="str">
        <f t="shared" si="6"/>
        <v>[[1,[15]],[3,[4]],[2,[10569,10509,10449]]]</v>
      </c>
      <c r="AD39">
        <v>2052</v>
      </c>
      <c r="AE39" t="s">
        <v>187</v>
      </c>
      <c r="AF39">
        <v>2052</v>
      </c>
    </row>
    <row r="40" spans="1:32">
      <c r="A40">
        <f t="shared" si="3"/>
        <v>207201</v>
      </c>
      <c r="B40" t="s">
        <v>178</v>
      </c>
      <c r="C40">
        <f t="shared" si="7"/>
        <v>2072</v>
      </c>
      <c r="D40">
        <f t="shared" si="4"/>
        <v>1</v>
      </c>
      <c r="E40">
        <v>11036</v>
      </c>
      <c r="F40">
        <v>10629</v>
      </c>
      <c r="G40" t="s">
        <v>252</v>
      </c>
      <c r="H40">
        <v>1</v>
      </c>
      <c r="I40" t="s">
        <v>253</v>
      </c>
      <c r="J40" t="s">
        <v>252</v>
      </c>
      <c r="K40">
        <v>15</v>
      </c>
      <c r="L40" t="s">
        <v>254</v>
      </c>
      <c r="M40" t="s">
        <v>254</v>
      </c>
      <c r="N40" t="str">
        <f t="shared" si="5"/>
        <v>[1,[15]]</v>
      </c>
      <c r="O40" t="s">
        <v>286</v>
      </c>
      <c r="P40" t="str">
        <f t="shared" si="6"/>
        <v>[[1,[15]],[3,[4]],[2,[10629,10569,10509,10449]]]</v>
      </c>
      <c r="AD40">
        <v>2061</v>
      </c>
      <c r="AE40" t="s">
        <v>183</v>
      </c>
      <c r="AF40">
        <v>2061</v>
      </c>
    </row>
    <row r="41" spans="1:32">
      <c r="A41">
        <f t="shared" si="3"/>
        <v>207201</v>
      </c>
      <c r="B41" t="s">
        <v>178</v>
      </c>
      <c r="C41">
        <f t="shared" si="7"/>
        <v>2072</v>
      </c>
      <c r="D41">
        <f t="shared" si="4"/>
        <v>1</v>
      </c>
      <c r="E41">
        <v>11036</v>
      </c>
      <c r="F41">
        <v>10689</v>
      </c>
      <c r="G41" t="s">
        <v>252</v>
      </c>
      <c r="H41">
        <v>1</v>
      </c>
      <c r="I41" t="s">
        <v>253</v>
      </c>
      <c r="J41" t="s">
        <v>252</v>
      </c>
      <c r="K41">
        <v>15</v>
      </c>
      <c r="L41" t="s">
        <v>254</v>
      </c>
      <c r="M41" t="s">
        <v>254</v>
      </c>
      <c r="N41" t="str">
        <f t="shared" si="5"/>
        <v>[1,[15]]</v>
      </c>
      <c r="O41" t="s">
        <v>287</v>
      </c>
      <c r="P41" t="str">
        <f t="shared" si="6"/>
        <v>[[1,[15]],[3,[4]],[2,[10689,10629,10569,10509,10449]]]</v>
      </c>
      <c r="AD41">
        <v>2062</v>
      </c>
      <c r="AE41" t="s">
        <v>74</v>
      </c>
      <c r="AF41">
        <v>2062</v>
      </c>
    </row>
    <row r="42" spans="1:32">
      <c r="A42">
        <f t="shared" si="3"/>
        <v>207201</v>
      </c>
      <c r="B42" t="s">
        <v>178</v>
      </c>
      <c r="C42">
        <f t="shared" si="7"/>
        <v>2072</v>
      </c>
      <c r="D42">
        <f t="shared" si="4"/>
        <v>1</v>
      </c>
      <c r="E42">
        <v>11036</v>
      </c>
      <c r="F42">
        <v>10749</v>
      </c>
      <c r="G42" t="s">
        <v>252</v>
      </c>
      <c r="H42">
        <v>1</v>
      </c>
      <c r="I42" t="s">
        <v>253</v>
      </c>
      <c r="J42" t="s">
        <v>252</v>
      </c>
      <c r="K42">
        <v>15</v>
      </c>
      <c r="L42" t="s">
        <v>254</v>
      </c>
      <c r="M42" t="s">
        <v>254</v>
      </c>
      <c r="N42" t="str">
        <f t="shared" si="5"/>
        <v>[1,[15]]</v>
      </c>
      <c r="O42" t="s">
        <v>288</v>
      </c>
      <c r="P42" t="str">
        <f t="shared" si="6"/>
        <v>[[1,[15]],[3,[4]],[2,[10749,10689,10629,10569,10509,10449]]]</v>
      </c>
      <c r="AD42">
        <v>2063</v>
      </c>
      <c r="AE42" t="s">
        <v>75</v>
      </c>
      <c r="AF42">
        <v>2063</v>
      </c>
    </row>
    <row r="43" spans="1:32">
      <c r="A43">
        <f t="shared" si="3"/>
        <v>207201</v>
      </c>
      <c r="B43" t="s">
        <v>178</v>
      </c>
      <c r="C43">
        <f t="shared" si="7"/>
        <v>2072</v>
      </c>
      <c r="D43">
        <f t="shared" si="4"/>
        <v>1</v>
      </c>
      <c r="E43">
        <v>11036</v>
      </c>
      <c r="F43">
        <v>10809</v>
      </c>
      <c r="G43" t="s">
        <v>252</v>
      </c>
      <c r="H43">
        <v>1</v>
      </c>
      <c r="I43" t="s">
        <v>253</v>
      </c>
      <c r="J43" t="s">
        <v>252</v>
      </c>
      <c r="K43">
        <v>15</v>
      </c>
      <c r="L43" t="s">
        <v>254</v>
      </c>
      <c r="M43" t="s">
        <v>254</v>
      </c>
      <c r="N43" t="str">
        <f t="shared" si="5"/>
        <v>[1,[15]]</v>
      </c>
      <c r="O43" t="s">
        <v>289</v>
      </c>
      <c r="P43" t="str">
        <f t="shared" si="6"/>
        <v>[[1,[15]],[3,[4]],[2,[10809,10749,10689,10629,10569,10509,10449]]]</v>
      </c>
      <c r="AD43">
        <v>2064</v>
      </c>
      <c r="AE43" t="s">
        <v>182</v>
      </c>
      <c r="AF43">
        <v>2064</v>
      </c>
    </row>
    <row r="44" spans="1:32">
      <c r="A44">
        <f t="shared" si="3"/>
        <v>207202</v>
      </c>
      <c r="B44" t="s">
        <v>178</v>
      </c>
      <c r="C44">
        <f t="shared" si="7"/>
        <v>2072</v>
      </c>
      <c r="D44">
        <f t="shared" si="4"/>
        <v>2</v>
      </c>
      <c r="E44">
        <v>11036</v>
      </c>
      <c r="F44">
        <v>10869</v>
      </c>
      <c r="G44" t="s">
        <v>252</v>
      </c>
      <c r="H44">
        <v>1</v>
      </c>
      <c r="I44" t="s">
        <v>253</v>
      </c>
      <c r="J44" t="s">
        <v>252</v>
      </c>
      <c r="K44">
        <v>15</v>
      </c>
      <c r="L44" t="s">
        <v>254</v>
      </c>
      <c r="M44" t="s">
        <v>254</v>
      </c>
      <c r="N44" t="str">
        <f t="shared" si="5"/>
        <v>[1,[15]]</v>
      </c>
      <c r="O44" t="s">
        <v>290</v>
      </c>
      <c r="P44" t="str">
        <f t="shared" si="6"/>
        <v>[[1,[15]],[3,[4]],[2,[10869,10809,10749,10689,10629,10569,10509,10449]]]</v>
      </c>
      <c r="AD44">
        <v>2065</v>
      </c>
      <c r="AE44" t="s">
        <v>173</v>
      </c>
      <c r="AF44">
        <v>2065</v>
      </c>
    </row>
    <row r="45" spans="1:32">
      <c r="A45">
        <f t="shared" si="3"/>
        <v>206901</v>
      </c>
      <c r="B45" t="s">
        <v>179</v>
      </c>
      <c r="C45">
        <f t="shared" si="7"/>
        <v>2069</v>
      </c>
      <c r="D45">
        <f t="shared" si="4"/>
        <v>1</v>
      </c>
      <c r="E45">
        <v>11033</v>
      </c>
      <c r="F45">
        <v>10459</v>
      </c>
      <c r="G45" t="s">
        <v>252</v>
      </c>
      <c r="H45">
        <v>1</v>
      </c>
      <c r="I45" t="s">
        <v>253</v>
      </c>
      <c r="J45" t="s">
        <v>252</v>
      </c>
      <c r="K45">
        <v>15</v>
      </c>
      <c r="L45" t="s">
        <v>254</v>
      </c>
      <c r="M45" t="s">
        <v>254</v>
      </c>
      <c r="N45" t="str">
        <f t="shared" si="5"/>
        <v>[1,[15]]</v>
      </c>
      <c r="O45" t="s">
        <v>291</v>
      </c>
      <c r="P45" t="str">
        <f t="shared" si="6"/>
        <v>[[1,[15]],[3,[4]],[2,[10459]]]</v>
      </c>
      <c r="AD45">
        <v>2066</v>
      </c>
      <c r="AE45" t="s">
        <v>91</v>
      </c>
      <c r="AF45">
        <v>2066</v>
      </c>
    </row>
    <row r="46" spans="1:32">
      <c r="A46">
        <f t="shared" si="3"/>
        <v>206901</v>
      </c>
      <c r="B46" t="s">
        <v>179</v>
      </c>
      <c r="C46">
        <f t="shared" si="7"/>
        <v>2069</v>
      </c>
      <c r="D46">
        <f t="shared" si="4"/>
        <v>1</v>
      </c>
      <c r="E46">
        <v>11033</v>
      </c>
      <c r="F46">
        <v>10519</v>
      </c>
      <c r="G46" t="s">
        <v>252</v>
      </c>
      <c r="H46">
        <v>1</v>
      </c>
      <c r="I46" t="s">
        <v>253</v>
      </c>
      <c r="J46" t="s">
        <v>252</v>
      </c>
      <c r="K46">
        <v>15</v>
      </c>
      <c r="L46" t="s">
        <v>254</v>
      </c>
      <c r="M46" t="s">
        <v>254</v>
      </c>
      <c r="N46" t="str">
        <f t="shared" si="5"/>
        <v>[1,[15]]</v>
      </c>
      <c r="O46" t="s">
        <v>292</v>
      </c>
      <c r="P46" t="str">
        <f t="shared" si="6"/>
        <v>[[1,[15]],[3,[4]],[2,[10519,10459]]]</v>
      </c>
      <c r="AD46">
        <v>2067</v>
      </c>
      <c r="AE46" t="s">
        <v>92</v>
      </c>
      <c r="AF46">
        <v>2067</v>
      </c>
    </row>
    <row r="47" spans="1:32">
      <c r="A47">
        <f t="shared" si="3"/>
        <v>206901</v>
      </c>
      <c r="B47" t="s">
        <v>179</v>
      </c>
      <c r="C47">
        <f t="shared" si="7"/>
        <v>2069</v>
      </c>
      <c r="D47">
        <f t="shared" si="4"/>
        <v>1</v>
      </c>
      <c r="E47">
        <v>11033</v>
      </c>
      <c r="F47">
        <v>10579</v>
      </c>
      <c r="G47" t="s">
        <v>252</v>
      </c>
      <c r="H47">
        <v>1</v>
      </c>
      <c r="I47" t="s">
        <v>253</v>
      </c>
      <c r="J47" t="s">
        <v>252</v>
      </c>
      <c r="K47">
        <v>15</v>
      </c>
      <c r="L47" t="s">
        <v>254</v>
      </c>
      <c r="M47" t="s">
        <v>254</v>
      </c>
      <c r="N47" t="str">
        <f t="shared" si="5"/>
        <v>[1,[15]]</v>
      </c>
      <c r="O47" t="s">
        <v>293</v>
      </c>
      <c r="P47" t="str">
        <f t="shared" si="6"/>
        <v>[[1,[15]],[3,[4]],[2,[10579,10519,10459]]]</v>
      </c>
      <c r="AD47">
        <v>2068</v>
      </c>
      <c r="AE47" t="s">
        <v>172</v>
      </c>
      <c r="AF47">
        <v>2068</v>
      </c>
    </row>
    <row r="48" spans="1:32">
      <c r="A48">
        <f t="shared" si="3"/>
        <v>206901</v>
      </c>
      <c r="B48" t="s">
        <v>179</v>
      </c>
      <c r="C48">
        <f t="shared" si="7"/>
        <v>2069</v>
      </c>
      <c r="D48">
        <f t="shared" si="4"/>
        <v>1</v>
      </c>
      <c r="E48">
        <v>11033</v>
      </c>
      <c r="F48">
        <v>10639</v>
      </c>
      <c r="G48" t="s">
        <v>252</v>
      </c>
      <c r="H48">
        <v>1</v>
      </c>
      <c r="I48" t="s">
        <v>253</v>
      </c>
      <c r="J48" t="s">
        <v>252</v>
      </c>
      <c r="K48">
        <v>15</v>
      </c>
      <c r="L48" t="s">
        <v>254</v>
      </c>
      <c r="M48" t="s">
        <v>254</v>
      </c>
      <c r="N48" t="str">
        <f t="shared" si="5"/>
        <v>[1,[15]]</v>
      </c>
      <c r="O48" t="s">
        <v>294</v>
      </c>
      <c r="P48" t="str">
        <f t="shared" si="6"/>
        <v>[[1,[15]],[3,[4]],[2,[10639,10579,10519,10459]]]</v>
      </c>
      <c r="AD48">
        <v>2069</v>
      </c>
      <c r="AE48" t="s">
        <v>179</v>
      </c>
      <c r="AF48">
        <v>2069</v>
      </c>
    </row>
    <row r="49" spans="1:32">
      <c r="A49">
        <f t="shared" si="3"/>
        <v>206901</v>
      </c>
      <c r="B49" t="s">
        <v>179</v>
      </c>
      <c r="C49">
        <f t="shared" si="7"/>
        <v>2069</v>
      </c>
      <c r="D49">
        <f t="shared" si="4"/>
        <v>1</v>
      </c>
      <c r="E49">
        <v>11033</v>
      </c>
      <c r="F49">
        <v>10699</v>
      </c>
      <c r="G49" t="s">
        <v>252</v>
      </c>
      <c r="H49">
        <v>1</v>
      </c>
      <c r="I49" t="s">
        <v>253</v>
      </c>
      <c r="J49" t="s">
        <v>252</v>
      </c>
      <c r="K49">
        <v>15</v>
      </c>
      <c r="L49" t="s">
        <v>254</v>
      </c>
      <c r="M49" t="s">
        <v>254</v>
      </c>
      <c r="N49" t="str">
        <f t="shared" si="5"/>
        <v>[1,[15]]</v>
      </c>
      <c r="O49" t="s">
        <v>295</v>
      </c>
      <c r="P49" t="str">
        <f t="shared" si="6"/>
        <v>[[1,[15]],[3,[4]],[2,[10699,10639,10579,10519,10459]]]</v>
      </c>
      <c r="AD49">
        <v>2070</v>
      </c>
      <c r="AE49" t="s">
        <v>93</v>
      </c>
      <c r="AF49">
        <v>2070</v>
      </c>
    </row>
    <row r="50" spans="1:32">
      <c r="A50">
        <f t="shared" si="3"/>
        <v>206901</v>
      </c>
      <c r="B50" t="s">
        <v>179</v>
      </c>
      <c r="C50">
        <f t="shared" si="7"/>
        <v>2069</v>
      </c>
      <c r="D50">
        <f t="shared" si="4"/>
        <v>1</v>
      </c>
      <c r="E50">
        <v>11033</v>
      </c>
      <c r="F50">
        <v>10759</v>
      </c>
      <c r="G50" t="s">
        <v>252</v>
      </c>
      <c r="H50">
        <v>1</v>
      </c>
      <c r="I50" t="s">
        <v>253</v>
      </c>
      <c r="J50" t="s">
        <v>252</v>
      </c>
      <c r="K50">
        <v>15</v>
      </c>
      <c r="L50" t="s">
        <v>254</v>
      </c>
      <c r="M50" t="s">
        <v>254</v>
      </c>
      <c r="N50" t="str">
        <f t="shared" si="5"/>
        <v>[1,[15]]</v>
      </c>
      <c r="O50" t="s">
        <v>296</v>
      </c>
      <c r="P50" t="str">
        <f t="shared" si="6"/>
        <v>[[1,[15]],[3,[4]],[2,[10759,10699,10639,10579,10519,10459]]]</v>
      </c>
      <c r="AD50">
        <v>2071</v>
      </c>
      <c r="AE50" t="s">
        <v>94</v>
      </c>
      <c r="AF50">
        <v>2071</v>
      </c>
    </row>
    <row r="51" spans="1:32">
      <c r="A51">
        <f t="shared" si="3"/>
        <v>206901</v>
      </c>
      <c r="B51" t="s">
        <v>179</v>
      </c>
      <c r="C51">
        <f t="shared" si="7"/>
        <v>2069</v>
      </c>
      <c r="D51">
        <f t="shared" si="4"/>
        <v>1</v>
      </c>
      <c r="E51">
        <v>11033</v>
      </c>
      <c r="F51">
        <v>10819</v>
      </c>
      <c r="G51" t="s">
        <v>252</v>
      </c>
      <c r="H51">
        <v>1</v>
      </c>
      <c r="I51" t="s">
        <v>253</v>
      </c>
      <c r="J51" t="s">
        <v>252</v>
      </c>
      <c r="K51">
        <v>15</v>
      </c>
      <c r="L51" t="s">
        <v>254</v>
      </c>
      <c r="M51" t="s">
        <v>254</v>
      </c>
      <c r="N51" t="str">
        <f t="shared" si="5"/>
        <v>[1,[15]]</v>
      </c>
      <c r="O51" t="s">
        <v>297</v>
      </c>
      <c r="P51" t="str">
        <f t="shared" si="6"/>
        <v>[[1,[15]],[3,[4]],[2,[10819,10759,10699,10639,10579,10519,10459]]]</v>
      </c>
      <c r="AD51">
        <v>2072</v>
      </c>
      <c r="AE51" t="s">
        <v>178</v>
      </c>
      <c r="AF51">
        <v>2072</v>
      </c>
    </row>
    <row r="52" spans="1:32">
      <c r="A52">
        <f t="shared" si="3"/>
        <v>206902</v>
      </c>
      <c r="B52" t="s">
        <v>179</v>
      </c>
      <c r="C52">
        <f t="shared" si="7"/>
        <v>2069</v>
      </c>
      <c r="D52">
        <f t="shared" si="4"/>
        <v>2</v>
      </c>
      <c r="E52">
        <v>11033</v>
      </c>
      <c r="F52">
        <v>10879</v>
      </c>
      <c r="G52" t="s">
        <v>252</v>
      </c>
      <c r="H52">
        <v>1</v>
      </c>
      <c r="I52" t="s">
        <v>253</v>
      </c>
      <c r="J52" t="s">
        <v>252</v>
      </c>
      <c r="K52">
        <v>15</v>
      </c>
      <c r="L52" t="s">
        <v>254</v>
      </c>
      <c r="M52" t="s">
        <v>254</v>
      </c>
      <c r="N52" t="str">
        <f t="shared" si="5"/>
        <v>[1,[15]]</v>
      </c>
      <c r="O52" t="s">
        <v>298</v>
      </c>
      <c r="P52" t="str">
        <f t="shared" si="6"/>
        <v>[[1,[15]],[3,[4]],[2,[10879,10819,10759,10699,10639,10579,10519,10459]]]</v>
      </c>
      <c r="AD52">
        <v>2901</v>
      </c>
      <c r="AE52" t="s">
        <v>136</v>
      </c>
      <c r="AF52">
        <v>2901</v>
      </c>
    </row>
    <row r="53" spans="1:32">
      <c r="A53">
        <f t="shared" si="3"/>
        <v>203201</v>
      </c>
      <c r="B53" t="s">
        <v>180</v>
      </c>
      <c r="C53">
        <f t="shared" si="7"/>
        <v>2032</v>
      </c>
      <c r="D53">
        <f t="shared" si="4"/>
        <v>1</v>
      </c>
      <c r="E53">
        <v>11012</v>
      </c>
      <c r="F53">
        <v>10089</v>
      </c>
      <c r="G53" t="s">
        <v>252</v>
      </c>
      <c r="H53">
        <v>1</v>
      </c>
      <c r="I53" t="s">
        <v>253</v>
      </c>
      <c r="J53" t="s">
        <v>252</v>
      </c>
      <c r="K53">
        <v>15</v>
      </c>
      <c r="L53" t="s">
        <v>254</v>
      </c>
      <c r="M53" t="s">
        <v>254</v>
      </c>
      <c r="N53" t="str">
        <f t="shared" si="5"/>
        <v>[1,[15]]</v>
      </c>
      <c r="O53" t="s">
        <v>299</v>
      </c>
      <c r="P53" t="str">
        <f t="shared" si="6"/>
        <v>[[1,[15]],[3,[4]],[2,[10089]]]</v>
      </c>
      <c r="AD53">
        <v>2902</v>
      </c>
      <c r="AE53" t="s">
        <v>137</v>
      </c>
      <c r="AF53">
        <v>2902</v>
      </c>
    </row>
    <row r="54" spans="1:32">
      <c r="A54">
        <f t="shared" si="3"/>
        <v>203202</v>
      </c>
      <c r="B54" t="s">
        <v>180</v>
      </c>
      <c r="C54">
        <f t="shared" si="7"/>
        <v>2032</v>
      </c>
      <c r="D54">
        <f t="shared" si="4"/>
        <v>2</v>
      </c>
      <c r="E54">
        <v>11012</v>
      </c>
      <c r="F54">
        <v>10149</v>
      </c>
      <c r="G54" t="s">
        <v>252</v>
      </c>
      <c r="H54">
        <v>1</v>
      </c>
      <c r="I54" t="s">
        <v>253</v>
      </c>
      <c r="J54" t="s">
        <v>252</v>
      </c>
      <c r="K54">
        <v>15</v>
      </c>
      <c r="L54" t="s">
        <v>254</v>
      </c>
      <c r="M54" t="s">
        <v>254</v>
      </c>
      <c r="N54" t="str">
        <f t="shared" si="5"/>
        <v>[1,[15]]</v>
      </c>
      <c r="O54" t="s">
        <v>300</v>
      </c>
      <c r="P54" t="str">
        <f t="shared" si="6"/>
        <v>[[1,[15]],[3,[4]],[2,[10149,10089]]]</v>
      </c>
      <c r="AD54">
        <v>2903</v>
      </c>
      <c r="AE54" t="s">
        <v>138</v>
      </c>
      <c r="AF54">
        <v>2903</v>
      </c>
    </row>
    <row r="55" spans="1:32">
      <c r="A55">
        <f t="shared" si="3"/>
        <v>202901</v>
      </c>
      <c r="B55" t="s">
        <v>181</v>
      </c>
      <c r="C55">
        <f t="shared" si="7"/>
        <v>2029</v>
      </c>
      <c r="D55">
        <f t="shared" si="4"/>
        <v>1</v>
      </c>
      <c r="E55">
        <v>11009</v>
      </c>
      <c r="F55">
        <v>10099</v>
      </c>
      <c r="G55" t="s">
        <v>252</v>
      </c>
      <c r="H55">
        <v>1</v>
      </c>
      <c r="I55" t="s">
        <v>253</v>
      </c>
      <c r="J55" t="s">
        <v>252</v>
      </c>
      <c r="K55">
        <v>15</v>
      </c>
      <c r="L55" t="s">
        <v>254</v>
      </c>
      <c r="M55" t="s">
        <v>254</v>
      </c>
      <c r="N55" t="str">
        <f t="shared" si="5"/>
        <v>[1,[15]]</v>
      </c>
      <c r="O55" t="s">
        <v>301</v>
      </c>
      <c r="P55" t="str">
        <f t="shared" si="6"/>
        <v>[[1,[15]],[3,[4]],[2,[10099]]]</v>
      </c>
      <c r="AD55">
        <v>2904</v>
      </c>
      <c r="AE55" t="s">
        <v>251</v>
      </c>
      <c r="AF55">
        <v>2904</v>
      </c>
    </row>
    <row r="56" spans="1:32">
      <c r="A56">
        <f t="shared" si="3"/>
        <v>202902</v>
      </c>
      <c r="B56" t="s">
        <v>181</v>
      </c>
      <c r="C56">
        <f t="shared" si="7"/>
        <v>2029</v>
      </c>
      <c r="D56">
        <f t="shared" si="4"/>
        <v>2</v>
      </c>
      <c r="E56">
        <v>11009</v>
      </c>
      <c r="F56">
        <v>10159</v>
      </c>
      <c r="G56" t="s">
        <v>252</v>
      </c>
      <c r="H56">
        <v>1</v>
      </c>
      <c r="I56" t="s">
        <v>253</v>
      </c>
      <c r="J56" t="s">
        <v>252</v>
      </c>
      <c r="K56">
        <v>15</v>
      </c>
      <c r="L56" t="s">
        <v>254</v>
      </c>
      <c r="M56" t="s">
        <v>254</v>
      </c>
      <c r="N56" t="str">
        <f t="shared" si="5"/>
        <v>[1,[15]]</v>
      </c>
      <c r="O56" t="s">
        <v>302</v>
      </c>
      <c r="P56" t="str">
        <f t="shared" si="6"/>
        <v>[[1,[15]],[3,[4]],[2,[10159,10099]]]</v>
      </c>
    </row>
    <row r="57" spans="1:32">
      <c r="A57">
        <f t="shared" si="3"/>
        <v>206401</v>
      </c>
      <c r="B57" t="s">
        <v>182</v>
      </c>
      <c r="C57">
        <f t="shared" si="7"/>
        <v>2064</v>
      </c>
      <c r="D57">
        <f t="shared" si="4"/>
        <v>1</v>
      </c>
      <c r="E57">
        <v>11028</v>
      </c>
      <c r="F57">
        <v>10409</v>
      </c>
      <c r="G57" t="s">
        <v>252</v>
      </c>
      <c r="H57">
        <v>1</v>
      </c>
      <c r="I57" t="s">
        <v>253</v>
      </c>
      <c r="J57" t="s">
        <v>252</v>
      </c>
      <c r="K57">
        <v>15</v>
      </c>
      <c r="L57" t="s">
        <v>254</v>
      </c>
      <c r="M57" t="s">
        <v>254</v>
      </c>
      <c r="N57" t="str">
        <f t="shared" si="5"/>
        <v>[1,[15]]</v>
      </c>
      <c r="O57" t="s">
        <v>303</v>
      </c>
      <c r="P57" t="str">
        <f t="shared" si="6"/>
        <v>[[1,[15]],[3,[4]],[2,[10409]]]</v>
      </c>
    </row>
    <row r="58" spans="1:32">
      <c r="A58">
        <f t="shared" si="3"/>
        <v>206401</v>
      </c>
      <c r="B58" t="s">
        <v>182</v>
      </c>
      <c r="C58">
        <f t="shared" si="7"/>
        <v>2064</v>
      </c>
      <c r="D58">
        <f t="shared" si="4"/>
        <v>1</v>
      </c>
      <c r="E58">
        <v>11028</v>
      </c>
      <c r="F58">
        <v>10469</v>
      </c>
      <c r="G58" t="s">
        <v>252</v>
      </c>
      <c r="H58">
        <v>1</v>
      </c>
      <c r="I58" t="s">
        <v>253</v>
      </c>
      <c r="J58" t="s">
        <v>252</v>
      </c>
      <c r="K58">
        <v>15</v>
      </c>
      <c r="L58" t="s">
        <v>254</v>
      </c>
      <c r="M58" t="s">
        <v>254</v>
      </c>
      <c r="N58" t="str">
        <f t="shared" si="5"/>
        <v>[1,[15]]</v>
      </c>
      <c r="O58" t="s">
        <v>304</v>
      </c>
      <c r="P58" t="str">
        <f t="shared" si="6"/>
        <v>[[1,[15]],[3,[4]],[2,[10469,10409]]]</v>
      </c>
    </row>
    <row r="59" spans="1:32">
      <c r="A59">
        <f t="shared" si="3"/>
        <v>206401</v>
      </c>
      <c r="B59" t="s">
        <v>182</v>
      </c>
      <c r="C59">
        <f t="shared" si="7"/>
        <v>2064</v>
      </c>
      <c r="D59">
        <f t="shared" si="4"/>
        <v>1</v>
      </c>
      <c r="E59">
        <v>11028</v>
      </c>
      <c r="F59">
        <v>10529</v>
      </c>
      <c r="G59" t="s">
        <v>252</v>
      </c>
      <c r="H59">
        <v>1</v>
      </c>
      <c r="I59" t="s">
        <v>253</v>
      </c>
      <c r="J59" t="s">
        <v>252</v>
      </c>
      <c r="K59">
        <v>15</v>
      </c>
      <c r="L59" t="s">
        <v>254</v>
      </c>
      <c r="M59" t="s">
        <v>254</v>
      </c>
      <c r="N59" t="str">
        <f t="shared" si="5"/>
        <v>[1,[15]]</v>
      </c>
      <c r="O59" t="s">
        <v>305</v>
      </c>
      <c r="P59" t="str">
        <f t="shared" si="6"/>
        <v>[[1,[15]],[3,[4]],[2,[10529,10469,10409]]]</v>
      </c>
    </row>
    <row r="60" spans="1:32">
      <c r="A60">
        <f t="shared" si="3"/>
        <v>206401</v>
      </c>
      <c r="B60" t="s">
        <v>182</v>
      </c>
      <c r="C60">
        <f t="shared" si="7"/>
        <v>2064</v>
      </c>
      <c r="D60">
        <f t="shared" si="4"/>
        <v>1</v>
      </c>
      <c r="E60">
        <v>11028</v>
      </c>
      <c r="F60">
        <v>10589</v>
      </c>
      <c r="G60" t="s">
        <v>252</v>
      </c>
      <c r="H60">
        <v>1</v>
      </c>
      <c r="I60" t="s">
        <v>253</v>
      </c>
      <c r="J60" t="s">
        <v>252</v>
      </c>
      <c r="K60">
        <v>15</v>
      </c>
      <c r="L60" t="s">
        <v>254</v>
      </c>
      <c r="M60" t="s">
        <v>254</v>
      </c>
      <c r="N60" t="str">
        <f t="shared" si="5"/>
        <v>[1,[15]]</v>
      </c>
      <c r="O60" t="s">
        <v>306</v>
      </c>
      <c r="P60" t="str">
        <f t="shared" si="6"/>
        <v>[[1,[15]],[3,[4]],[2,[10589,10529,10469,10409]]]</v>
      </c>
    </row>
    <row r="61" spans="1:32">
      <c r="A61">
        <f t="shared" si="3"/>
        <v>206401</v>
      </c>
      <c r="B61" t="s">
        <v>182</v>
      </c>
      <c r="C61">
        <f t="shared" si="7"/>
        <v>2064</v>
      </c>
      <c r="D61">
        <f t="shared" si="4"/>
        <v>1</v>
      </c>
      <c r="E61">
        <v>11028</v>
      </c>
      <c r="F61">
        <v>10649</v>
      </c>
      <c r="G61" t="s">
        <v>252</v>
      </c>
      <c r="H61">
        <v>1</v>
      </c>
      <c r="I61" t="s">
        <v>253</v>
      </c>
      <c r="J61" t="s">
        <v>252</v>
      </c>
      <c r="K61">
        <v>15</v>
      </c>
      <c r="L61" t="s">
        <v>254</v>
      </c>
      <c r="M61" t="s">
        <v>254</v>
      </c>
      <c r="N61" t="str">
        <f t="shared" si="5"/>
        <v>[1,[15]]</v>
      </c>
      <c r="O61" t="s">
        <v>307</v>
      </c>
      <c r="P61" t="str">
        <f t="shared" si="6"/>
        <v>[[1,[15]],[3,[4]],[2,[10649,10589,10529,10469,10409]]]</v>
      </c>
    </row>
    <row r="62" spans="1:32">
      <c r="A62">
        <f t="shared" si="3"/>
        <v>206401</v>
      </c>
      <c r="B62" t="s">
        <v>182</v>
      </c>
      <c r="C62">
        <f t="shared" si="7"/>
        <v>2064</v>
      </c>
      <c r="D62">
        <f t="shared" si="4"/>
        <v>1</v>
      </c>
      <c r="E62">
        <v>11028</v>
      </c>
      <c r="F62">
        <v>10709</v>
      </c>
      <c r="G62" t="s">
        <v>252</v>
      </c>
      <c r="H62">
        <v>1</v>
      </c>
      <c r="I62" t="s">
        <v>253</v>
      </c>
      <c r="J62" t="s">
        <v>252</v>
      </c>
      <c r="K62">
        <v>15</v>
      </c>
      <c r="L62" t="s">
        <v>254</v>
      </c>
      <c r="M62" t="s">
        <v>254</v>
      </c>
      <c r="N62" t="str">
        <f t="shared" si="5"/>
        <v>[1,[15]]</v>
      </c>
      <c r="O62" t="s">
        <v>308</v>
      </c>
      <c r="P62" t="str">
        <f t="shared" si="6"/>
        <v>[[1,[15]],[3,[4]],[2,[10709,10649,10589,10529,10469,10409]]]</v>
      </c>
    </row>
    <row r="63" spans="1:32">
      <c r="A63">
        <f t="shared" si="3"/>
        <v>206401</v>
      </c>
      <c r="B63" t="s">
        <v>182</v>
      </c>
      <c r="C63">
        <f t="shared" si="7"/>
        <v>2064</v>
      </c>
      <c r="D63">
        <f t="shared" si="4"/>
        <v>1</v>
      </c>
      <c r="E63">
        <v>11028</v>
      </c>
      <c r="F63">
        <v>10769</v>
      </c>
      <c r="G63" t="s">
        <v>252</v>
      </c>
      <c r="H63">
        <v>1</v>
      </c>
      <c r="I63" t="s">
        <v>253</v>
      </c>
      <c r="J63" t="s">
        <v>252</v>
      </c>
      <c r="K63">
        <v>15</v>
      </c>
      <c r="L63" t="s">
        <v>254</v>
      </c>
      <c r="M63" t="s">
        <v>254</v>
      </c>
      <c r="N63" t="str">
        <f t="shared" si="5"/>
        <v>[1,[15]]</v>
      </c>
      <c r="O63" t="s">
        <v>309</v>
      </c>
      <c r="P63" t="str">
        <f t="shared" si="6"/>
        <v>[[1,[15]],[3,[4]],[2,[10769,10709,10649,10589,10529,10469,10409]]]</v>
      </c>
    </row>
    <row r="64" spans="1:32">
      <c r="A64">
        <f t="shared" si="3"/>
        <v>206401</v>
      </c>
      <c r="B64" t="s">
        <v>182</v>
      </c>
      <c r="C64">
        <f t="shared" si="7"/>
        <v>2064</v>
      </c>
      <c r="D64">
        <f t="shared" si="4"/>
        <v>1</v>
      </c>
      <c r="E64">
        <v>11028</v>
      </c>
      <c r="F64">
        <v>10829</v>
      </c>
      <c r="G64" t="s">
        <v>252</v>
      </c>
      <c r="H64">
        <v>1</v>
      </c>
      <c r="I64" t="s">
        <v>253</v>
      </c>
      <c r="J64" t="s">
        <v>252</v>
      </c>
      <c r="K64">
        <v>15</v>
      </c>
      <c r="L64" t="s">
        <v>254</v>
      </c>
      <c r="M64" t="s">
        <v>254</v>
      </c>
      <c r="N64" t="str">
        <f t="shared" si="5"/>
        <v>[1,[15]]</v>
      </c>
      <c r="O64" t="s">
        <v>310</v>
      </c>
      <c r="P64" t="str">
        <f t="shared" si="6"/>
        <v>[[1,[15]],[3,[4]],[2,[10829,10769,10709,10649,10589,10529,10469,10409]]]</v>
      </c>
    </row>
    <row r="65" spans="1:16">
      <c r="A65">
        <f t="shared" si="3"/>
        <v>206402</v>
      </c>
      <c r="B65" t="s">
        <v>182</v>
      </c>
      <c r="C65">
        <f t="shared" ref="C65:C96" si="8">VLOOKUP(B65,AE:AF,2,FALSE)</f>
        <v>2064</v>
      </c>
      <c r="D65">
        <f t="shared" si="4"/>
        <v>2</v>
      </c>
      <c r="E65">
        <v>11028</v>
      </c>
      <c r="F65">
        <v>10889</v>
      </c>
      <c r="G65" t="s">
        <v>252</v>
      </c>
      <c r="H65">
        <v>1</v>
      </c>
      <c r="I65" t="s">
        <v>253</v>
      </c>
      <c r="J65" t="s">
        <v>252</v>
      </c>
      <c r="K65">
        <v>15</v>
      </c>
      <c r="L65" t="s">
        <v>254</v>
      </c>
      <c r="M65" t="s">
        <v>254</v>
      </c>
      <c r="N65" t="str">
        <f t="shared" si="5"/>
        <v>[1,[15]]</v>
      </c>
      <c r="O65" t="s">
        <v>311</v>
      </c>
      <c r="P65" t="str">
        <f t="shared" si="6"/>
        <v>[[1,[15]],[3,[4]],[2,[10889,10829,10769,10709,10649,10589,10529,10469,10409]]]</v>
      </c>
    </row>
    <row r="66" spans="1:16">
      <c r="A66">
        <f t="shared" ref="A66:A129" si="9">C66*100+D66</f>
        <v>206101</v>
      </c>
      <c r="B66" t="s">
        <v>183</v>
      </c>
      <c r="C66">
        <f t="shared" si="8"/>
        <v>2061</v>
      </c>
      <c r="D66">
        <f t="shared" ref="D66:D129" si="10">IF(C66=C67,1,2)</f>
        <v>1</v>
      </c>
      <c r="E66">
        <v>11025</v>
      </c>
      <c r="F66">
        <v>10419</v>
      </c>
      <c r="G66" t="s">
        <v>252</v>
      </c>
      <c r="H66">
        <v>1</v>
      </c>
      <c r="I66" t="s">
        <v>253</v>
      </c>
      <c r="J66" t="s">
        <v>252</v>
      </c>
      <c r="K66">
        <v>15</v>
      </c>
      <c r="L66" t="s">
        <v>254</v>
      </c>
      <c r="M66" t="s">
        <v>254</v>
      </c>
      <c r="N66" t="str">
        <f t="shared" si="5"/>
        <v>[1,[15]]</v>
      </c>
      <c r="O66" t="s">
        <v>312</v>
      </c>
      <c r="P66" t="str">
        <f t="shared" si="6"/>
        <v>[[1,[15]],[3,[4]],[2,[10419]]]</v>
      </c>
    </row>
    <row r="67" spans="1:16">
      <c r="A67">
        <f t="shared" si="9"/>
        <v>206101</v>
      </c>
      <c r="B67" t="s">
        <v>183</v>
      </c>
      <c r="C67">
        <f t="shared" si="8"/>
        <v>2061</v>
      </c>
      <c r="D67">
        <f t="shared" si="10"/>
        <v>1</v>
      </c>
      <c r="E67">
        <v>11025</v>
      </c>
      <c r="F67">
        <v>10479</v>
      </c>
      <c r="G67" t="s">
        <v>252</v>
      </c>
      <c r="H67">
        <v>1</v>
      </c>
      <c r="I67" t="s">
        <v>253</v>
      </c>
      <c r="J67" t="s">
        <v>252</v>
      </c>
      <c r="K67">
        <v>15</v>
      </c>
      <c r="L67" t="s">
        <v>254</v>
      </c>
      <c r="M67" t="s">
        <v>254</v>
      </c>
      <c r="N67" t="str">
        <f t="shared" si="5"/>
        <v>[1,[15]]</v>
      </c>
      <c r="O67" t="s">
        <v>313</v>
      </c>
      <c r="P67" t="str">
        <f t="shared" si="6"/>
        <v>[[1,[15]],[3,[4]],[2,[10479,10419]]]</v>
      </c>
    </row>
    <row r="68" spans="1:16">
      <c r="A68">
        <f t="shared" si="9"/>
        <v>206101</v>
      </c>
      <c r="B68" t="s">
        <v>183</v>
      </c>
      <c r="C68">
        <f t="shared" si="8"/>
        <v>2061</v>
      </c>
      <c r="D68">
        <f t="shared" si="10"/>
        <v>1</v>
      </c>
      <c r="E68">
        <v>11025</v>
      </c>
      <c r="F68">
        <v>10539</v>
      </c>
      <c r="G68" t="s">
        <v>252</v>
      </c>
      <c r="H68">
        <v>1</v>
      </c>
      <c r="I68" t="s">
        <v>253</v>
      </c>
      <c r="J68" t="s">
        <v>252</v>
      </c>
      <c r="K68">
        <v>15</v>
      </c>
      <c r="L68" t="s">
        <v>254</v>
      </c>
      <c r="M68" t="s">
        <v>254</v>
      </c>
      <c r="N68" t="str">
        <f t="shared" si="5"/>
        <v>[1,[15]]</v>
      </c>
      <c r="O68" t="s">
        <v>314</v>
      </c>
      <c r="P68" t="str">
        <f t="shared" si="6"/>
        <v>[[1,[15]],[3,[4]],[2,[10539,10479,10419]]]</v>
      </c>
    </row>
    <row r="69" spans="1:16">
      <c r="A69">
        <f t="shared" si="9"/>
        <v>206101</v>
      </c>
      <c r="B69" t="s">
        <v>183</v>
      </c>
      <c r="C69">
        <f t="shared" si="8"/>
        <v>2061</v>
      </c>
      <c r="D69">
        <f t="shared" si="10"/>
        <v>1</v>
      </c>
      <c r="E69">
        <v>11025</v>
      </c>
      <c r="F69">
        <v>10599</v>
      </c>
      <c r="G69" t="s">
        <v>252</v>
      </c>
      <c r="H69">
        <v>1</v>
      </c>
      <c r="I69" t="s">
        <v>253</v>
      </c>
      <c r="J69" t="s">
        <v>252</v>
      </c>
      <c r="K69">
        <v>15</v>
      </c>
      <c r="L69" t="s">
        <v>254</v>
      </c>
      <c r="M69" t="s">
        <v>254</v>
      </c>
      <c r="N69" t="str">
        <f t="shared" si="5"/>
        <v>[1,[15]]</v>
      </c>
      <c r="O69" t="s">
        <v>315</v>
      </c>
      <c r="P69" t="str">
        <f t="shared" si="6"/>
        <v>[[1,[15]],[3,[4]],[2,[10599,10539,10479,10419]]]</v>
      </c>
    </row>
    <row r="70" spans="1:16">
      <c r="A70">
        <f t="shared" si="9"/>
        <v>206101</v>
      </c>
      <c r="B70" t="s">
        <v>183</v>
      </c>
      <c r="C70">
        <f t="shared" si="8"/>
        <v>2061</v>
      </c>
      <c r="D70">
        <f t="shared" si="10"/>
        <v>1</v>
      </c>
      <c r="E70">
        <v>11025</v>
      </c>
      <c r="F70">
        <v>10659</v>
      </c>
      <c r="G70" t="s">
        <v>252</v>
      </c>
      <c r="H70">
        <v>1</v>
      </c>
      <c r="I70" t="s">
        <v>253</v>
      </c>
      <c r="J70" t="s">
        <v>252</v>
      </c>
      <c r="K70">
        <v>15</v>
      </c>
      <c r="L70" t="s">
        <v>254</v>
      </c>
      <c r="M70" t="s">
        <v>254</v>
      </c>
      <c r="N70" t="str">
        <f t="shared" si="5"/>
        <v>[1,[15]]</v>
      </c>
      <c r="O70" t="s">
        <v>316</v>
      </c>
      <c r="P70" t="str">
        <f t="shared" si="6"/>
        <v>[[1,[15]],[3,[4]],[2,[10659,10599,10539,10479,10419]]]</v>
      </c>
    </row>
    <row r="71" spans="1:16">
      <c r="A71">
        <f t="shared" si="9"/>
        <v>206101</v>
      </c>
      <c r="B71" t="s">
        <v>183</v>
      </c>
      <c r="C71">
        <f t="shared" si="8"/>
        <v>2061</v>
      </c>
      <c r="D71">
        <f t="shared" si="10"/>
        <v>1</v>
      </c>
      <c r="E71">
        <v>11025</v>
      </c>
      <c r="F71">
        <v>10719</v>
      </c>
      <c r="G71" t="s">
        <v>252</v>
      </c>
      <c r="H71">
        <v>1</v>
      </c>
      <c r="I71" t="s">
        <v>253</v>
      </c>
      <c r="J71" t="s">
        <v>252</v>
      </c>
      <c r="K71">
        <v>15</v>
      </c>
      <c r="L71" t="s">
        <v>254</v>
      </c>
      <c r="M71" t="s">
        <v>254</v>
      </c>
      <c r="N71" t="str">
        <f t="shared" si="5"/>
        <v>[1,[15]]</v>
      </c>
      <c r="O71" t="s">
        <v>317</v>
      </c>
      <c r="P71" t="str">
        <f t="shared" si="6"/>
        <v>[[1,[15]],[3,[4]],[2,[10719,10659,10599,10539,10479,10419]]]</v>
      </c>
    </row>
    <row r="72" spans="1:16">
      <c r="A72">
        <f t="shared" si="9"/>
        <v>206101</v>
      </c>
      <c r="B72" t="s">
        <v>183</v>
      </c>
      <c r="C72">
        <f t="shared" si="8"/>
        <v>2061</v>
      </c>
      <c r="D72">
        <f t="shared" si="10"/>
        <v>1</v>
      </c>
      <c r="E72">
        <v>11025</v>
      </c>
      <c r="F72">
        <v>10779</v>
      </c>
      <c r="G72" t="s">
        <v>252</v>
      </c>
      <c r="H72">
        <v>1</v>
      </c>
      <c r="I72" t="s">
        <v>253</v>
      </c>
      <c r="J72" t="s">
        <v>252</v>
      </c>
      <c r="K72">
        <v>15</v>
      </c>
      <c r="L72" t="s">
        <v>254</v>
      </c>
      <c r="M72" t="s">
        <v>254</v>
      </c>
      <c r="N72" t="str">
        <f t="shared" si="5"/>
        <v>[1,[15]]</v>
      </c>
      <c r="O72" t="s">
        <v>318</v>
      </c>
      <c r="P72" t="str">
        <f t="shared" si="6"/>
        <v>[[1,[15]],[3,[4]],[2,[10779,10719,10659,10599,10539,10479,10419]]]</v>
      </c>
    </row>
    <row r="73" spans="1:16">
      <c r="A73">
        <f t="shared" si="9"/>
        <v>206101</v>
      </c>
      <c r="B73" t="s">
        <v>183</v>
      </c>
      <c r="C73">
        <f t="shared" si="8"/>
        <v>2061</v>
      </c>
      <c r="D73">
        <f t="shared" si="10"/>
        <v>1</v>
      </c>
      <c r="E73">
        <v>11025</v>
      </c>
      <c r="F73">
        <v>10839</v>
      </c>
      <c r="G73" t="s">
        <v>252</v>
      </c>
      <c r="H73">
        <v>1</v>
      </c>
      <c r="I73" t="s">
        <v>253</v>
      </c>
      <c r="J73" t="s">
        <v>252</v>
      </c>
      <c r="K73">
        <v>15</v>
      </c>
      <c r="L73" t="s">
        <v>254</v>
      </c>
      <c r="M73" t="s">
        <v>254</v>
      </c>
      <c r="N73" t="str">
        <f t="shared" si="5"/>
        <v>[1,[15]]</v>
      </c>
      <c r="O73" t="s">
        <v>319</v>
      </c>
      <c r="P73" t="str">
        <f t="shared" si="6"/>
        <v>[[1,[15]],[3,[4]],[2,[10839,10779,10719,10659,10599,10539,10479,10419]]]</v>
      </c>
    </row>
    <row r="74" spans="1:16">
      <c r="A74">
        <f t="shared" si="9"/>
        <v>206102</v>
      </c>
      <c r="B74" t="s">
        <v>183</v>
      </c>
      <c r="C74">
        <f t="shared" si="8"/>
        <v>2061</v>
      </c>
      <c r="D74">
        <f t="shared" si="10"/>
        <v>2</v>
      </c>
      <c r="E74">
        <v>11025</v>
      </c>
      <c r="F74">
        <v>10899</v>
      </c>
      <c r="G74" t="s">
        <v>252</v>
      </c>
      <c r="H74">
        <v>1</v>
      </c>
      <c r="I74" t="s">
        <v>253</v>
      </c>
      <c r="J74" t="s">
        <v>252</v>
      </c>
      <c r="K74">
        <v>15</v>
      </c>
      <c r="L74" t="s">
        <v>254</v>
      </c>
      <c r="M74" t="s">
        <v>254</v>
      </c>
      <c r="N74" t="str">
        <f t="shared" ref="N74:N137" si="11">G74&amp;H74&amp;I74&amp;J74&amp;K74&amp;L74&amp;M74</f>
        <v>[1,[15]]</v>
      </c>
      <c r="O74" t="s">
        <v>320</v>
      </c>
      <c r="P74" t="str">
        <f t="shared" ref="P74:P137" si="12">G74&amp;N74&amp;I74&amp;O74&amp;M74</f>
        <v>[[1,[15]],[3,[4]],[2,[10899,10839,10779,10719,10659,10599,10539,10479,10419]]]</v>
      </c>
    </row>
    <row r="75" spans="1:16">
      <c r="A75">
        <f t="shared" si="9"/>
        <v>202801</v>
      </c>
      <c r="B75" t="s">
        <v>184</v>
      </c>
      <c r="C75">
        <f t="shared" si="8"/>
        <v>2028</v>
      </c>
      <c r="D75">
        <f t="shared" si="10"/>
        <v>1</v>
      </c>
      <c r="E75">
        <v>11008</v>
      </c>
      <c r="F75">
        <v>10069</v>
      </c>
      <c r="G75" t="s">
        <v>252</v>
      </c>
      <c r="H75">
        <v>1</v>
      </c>
      <c r="I75" t="s">
        <v>253</v>
      </c>
      <c r="J75" t="s">
        <v>252</v>
      </c>
      <c r="K75">
        <v>15</v>
      </c>
      <c r="L75" t="s">
        <v>254</v>
      </c>
      <c r="M75" t="s">
        <v>254</v>
      </c>
      <c r="N75" t="str">
        <f t="shared" si="11"/>
        <v>[1,[15]]</v>
      </c>
      <c r="O75" t="s">
        <v>321</v>
      </c>
      <c r="P75" t="str">
        <f t="shared" si="12"/>
        <v>[[1,[15]],[3,[4]],[2,[10069]]]</v>
      </c>
    </row>
    <row r="76" spans="1:16">
      <c r="A76">
        <f t="shared" si="9"/>
        <v>202802</v>
      </c>
      <c r="B76" t="s">
        <v>184</v>
      </c>
      <c r="C76">
        <f t="shared" si="8"/>
        <v>2028</v>
      </c>
      <c r="D76">
        <f t="shared" si="10"/>
        <v>2</v>
      </c>
      <c r="E76">
        <v>11008</v>
      </c>
      <c r="F76">
        <v>10129</v>
      </c>
      <c r="G76" t="s">
        <v>252</v>
      </c>
      <c r="H76">
        <v>1</v>
      </c>
      <c r="I76" t="s">
        <v>253</v>
      </c>
      <c r="J76" t="s">
        <v>252</v>
      </c>
      <c r="K76">
        <v>15</v>
      </c>
      <c r="L76" t="s">
        <v>254</v>
      </c>
      <c r="M76" t="s">
        <v>254</v>
      </c>
      <c r="N76" t="str">
        <f t="shared" si="11"/>
        <v>[1,[15]]</v>
      </c>
      <c r="O76" t="s">
        <v>322</v>
      </c>
      <c r="P76" t="str">
        <f t="shared" si="12"/>
        <v>[[1,[15]],[3,[4]],[2,[10129,10069]]]</v>
      </c>
    </row>
    <row r="77" spans="1:16">
      <c r="A77">
        <f t="shared" si="9"/>
        <v>202501</v>
      </c>
      <c r="B77" t="s">
        <v>81</v>
      </c>
      <c r="C77">
        <f t="shared" si="8"/>
        <v>2025</v>
      </c>
      <c r="D77">
        <f t="shared" si="10"/>
        <v>1</v>
      </c>
      <c r="E77">
        <v>11005</v>
      </c>
      <c r="F77">
        <v>10079</v>
      </c>
      <c r="G77" t="s">
        <v>252</v>
      </c>
      <c r="H77">
        <v>1</v>
      </c>
      <c r="I77" t="s">
        <v>253</v>
      </c>
      <c r="J77" t="s">
        <v>252</v>
      </c>
      <c r="K77">
        <v>15</v>
      </c>
      <c r="L77" t="s">
        <v>254</v>
      </c>
      <c r="M77" t="s">
        <v>254</v>
      </c>
      <c r="N77" t="str">
        <f t="shared" si="11"/>
        <v>[1,[15]]</v>
      </c>
      <c r="O77" t="s">
        <v>323</v>
      </c>
      <c r="P77" t="str">
        <f t="shared" si="12"/>
        <v>[[1,[15]],[3,[4]],[2,[10079]]]</v>
      </c>
    </row>
    <row r="78" spans="1:16">
      <c r="A78">
        <f t="shared" si="9"/>
        <v>202502</v>
      </c>
      <c r="B78" t="s">
        <v>81</v>
      </c>
      <c r="C78">
        <f t="shared" si="8"/>
        <v>2025</v>
      </c>
      <c r="D78">
        <f t="shared" si="10"/>
        <v>2</v>
      </c>
      <c r="E78">
        <v>11005</v>
      </c>
      <c r="F78">
        <v>10139</v>
      </c>
      <c r="G78" t="s">
        <v>252</v>
      </c>
      <c r="H78">
        <v>1</v>
      </c>
      <c r="I78" t="s">
        <v>253</v>
      </c>
      <c r="J78" t="s">
        <v>252</v>
      </c>
      <c r="K78">
        <v>15</v>
      </c>
      <c r="L78" t="s">
        <v>254</v>
      </c>
      <c r="M78" t="s">
        <v>254</v>
      </c>
      <c r="N78" t="str">
        <f t="shared" si="11"/>
        <v>[1,[15]]</v>
      </c>
      <c r="O78" t="s">
        <v>324</v>
      </c>
      <c r="P78" t="str">
        <f t="shared" si="12"/>
        <v>[[1,[15]],[3,[4]],[2,[10139,10079]]]</v>
      </c>
    </row>
    <row r="79" spans="1:16">
      <c r="A79">
        <f t="shared" si="9"/>
        <v>204401</v>
      </c>
      <c r="B79" t="s">
        <v>185</v>
      </c>
      <c r="C79">
        <f t="shared" si="8"/>
        <v>2044</v>
      </c>
      <c r="D79">
        <f t="shared" si="10"/>
        <v>1</v>
      </c>
      <c r="E79">
        <v>11016</v>
      </c>
      <c r="F79">
        <v>10169</v>
      </c>
      <c r="G79" t="s">
        <v>252</v>
      </c>
      <c r="H79">
        <v>1</v>
      </c>
      <c r="I79" t="s">
        <v>253</v>
      </c>
      <c r="J79" t="s">
        <v>252</v>
      </c>
      <c r="K79">
        <v>15</v>
      </c>
      <c r="L79" t="s">
        <v>254</v>
      </c>
      <c r="M79" t="s">
        <v>254</v>
      </c>
      <c r="N79" t="str">
        <f t="shared" si="11"/>
        <v>[1,[15]]</v>
      </c>
      <c r="O79" t="s">
        <v>325</v>
      </c>
      <c r="P79" t="str">
        <f t="shared" si="12"/>
        <v>[[1,[15]],[3,[4]],[2,[10169]]]</v>
      </c>
    </row>
    <row r="80" spans="1:16">
      <c r="A80">
        <f t="shared" si="9"/>
        <v>204401</v>
      </c>
      <c r="B80" t="s">
        <v>185</v>
      </c>
      <c r="C80">
        <f t="shared" si="8"/>
        <v>2044</v>
      </c>
      <c r="D80">
        <f t="shared" si="10"/>
        <v>1</v>
      </c>
      <c r="E80">
        <v>11016</v>
      </c>
      <c r="F80">
        <v>10229</v>
      </c>
      <c r="G80" t="s">
        <v>252</v>
      </c>
      <c r="H80">
        <v>1</v>
      </c>
      <c r="I80" t="s">
        <v>253</v>
      </c>
      <c r="J80" t="s">
        <v>252</v>
      </c>
      <c r="K80">
        <v>15</v>
      </c>
      <c r="L80" t="s">
        <v>254</v>
      </c>
      <c r="M80" t="s">
        <v>254</v>
      </c>
      <c r="N80" t="str">
        <f t="shared" si="11"/>
        <v>[1,[15]]</v>
      </c>
      <c r="O80" t="s">
        <v>326</v>
      </c>
      <c r="P80" t="str">
        <f t="shared" si="12"/>
        <v>[[1,[15]],[3,[4]],[2,[10229,10169]]]</v>
      </c>
    </row>
    <row r="81" spans="1:16">
      <c r="A81">
        <f t="shared" si="9"/>
        <v>204401</v>
      </c>
      <c r="B81" t="s">
        <v>185</v>
      </c>
      <c r="C81">
        <f t="shared" si="8"/>
        <v>2044</v>
      </c>
      <c r="D81">
        <f t="shared" si="10"/>
        <v>1</v>
      </c>
      <c r="E81">
        <v>11016</v>
      </c>
      <c r="F81">
        <v>10289</v>
      </c>
      <c r="G81" t="s">
        <v>252</v>
      </c>
      <c r="H81">
        <v>1</v>
      </c>
      <c r="I81" t="s">
        <v>253</v>
      </c>
      <c r="J81" t="s">
        <v>252</v>
      </c>
      <c r="K81">
        <v>15</v>
      </c>
      <c r="L81" t="s">
        <v>254</v>
      </c>
      <c r="M81" t="s">
        <v>254</v>
      </c>
      <c r="N81" t="str">
        <f t="shared" si="11"/>
        <v>[1,[15]]</v>
      </c>
      <c r="O81" t="s">
        <v>327</v>
      </c>
      <c r="P81" t="str">
        <f t="shared" si="12"/>
        <v>[[1,[15]],[3,[4]],[2,[10289,10229,10169]]]</v>
      </c>
    </row>
    <row r="82" spans="1:16">
      <c r="A82">
        <f t="shared" si="9"/>
        <v>204402</v>
      </c>
      <c r="B82" t="s">
        <v>185</v>
      </c>
      <c r="C82">
        <f t="shared" si="8"/>
        <v>2044</v>
      </c>
      <c r="D82">
        <f t="shared" si="10"/>
        <v>2</v>
      </c>
      <c r="E82">
        <v>11016</v>
      </c>
      <c r="F82">
        <v>10349</v>
      </c>
      <c r="G82" t="s">
        <v>252</v>
      </c>
      <c r="H82">
        <v>1</v>
      </c>
      <c r="I82" t="s">
        <v>253</v>
      </c>
      <c r="J82" t="s">
        <v>252</v>
      </c>
      <c r="K82">
        <v>15</v>
      </c>
      <c r="L82" t="s">
        <v>254</v>
      </c>
      <c r="M82" t="s">
        <v>254</v>
      </c>
      <c r="N82" t="str">
        <f t="shared" si="11"/>
        <v>[1,[15]]</v>
      </c>
      <c r="O82" t="s">
        <v>328</v>
      </c>
      <c r="P82" t="str">
        <f t="shared" si="12"/>
        <v>[[1,[15]],[3,[4]],[2,[10349,10289,10229,10169]]]</v>
      </c>
    </row>
    <row r="83" spans="1:16">
      <c r="A83">
        <f t="shared" si="9"/>
        <v>204101</v>
      </c>
      <c r="B83" t="s">
        <v>186</v>
      </c>
      <c r="C83">
        <f t="shared" si="8"/>
        <v>2041</v>
      </c>
      <c r="D83">
        <f t="shared" si="10"/>
        <v>1</v>
      </c>
      <c r="E83">
        <v>11013</v>
      </c>
      <c r="F83">
        <v>10179</v>
      </c>
      <c r="G83" t="s">
        <v>252</v>
      </c>
      <c r="H83">
        <v>1</v>
      </c>
      <c r="I83" t="s">
        <v>253</v>
      </c>
      <c r="J83" t="s">
        <v>252</v>
      </c>
      <c r="K83">
        <v>15</v>
      </c>
      <c r="L83" t="s">
        <v>254</v>
      </c>
      <c r="M83" t="s">
        <v>254</v>
      </c>
      <c r="N83" t="str">
        <f t="shared" si="11"/>
        <v>[1,[15]]</v>
      </c>
      <c r="O83" t="s">
        <v>329</v>
      </c>
      <c r="P83" t="str">
        <f t="shared" si="12"/>
        <v>[[1,[15]],[3,[4]],[2,[10179]]]</v>
      </c>
    </row>
    <row r="84" spans="1:16">
      <c r="A84">
        <f t="shared" si="9"/>
        <v>204101</v>
      </c>
      <c r="B84" t="s">
        <v>186</v>
      </c>
      <c r="C84">
        <f t="shared" si="8"/>
        <v>2041</v>
      </c>
      <c r="D84">
        <f t="shared" si="10"/>
        <v>1</v>
      </c>
      <c r="E84">
        <v>11013</v>
      </c>
      <c r="F84">
        <v>10239</v>
      </c>
      <c r="G84" t="s">
        <v>252</v>
      </c>
      <c r="H84">
        <v>1</v>
      </c>
      <c r="I84" t="s">
        <v>253</v>
      </c>
      <c r="J84" t="s">
        <v>252</v>
      </c>
      <c r="K84">
        <v>15</v>
      </c>
      <c r="L84" t="s">
        <v>254</v>
      </c>
      <c r="M84" t="s">
        <v>254</v>
      </c>
      <c r="N84" t="str">
        <f t="shared" si="11"/>
        <v>[1,[15]]</v>
      </c>
      <c r="O84" t="s">
        <v>330</v>
      </c>
      <c r="P84" t="str">
        <f t="shared" si="12"/>
        <v>[[1,[15]],[3,[4]],[2,[10239,10179]]]</v>
      </c>
    </row>
    <row r="85" spans="1:16">
      <c r="A85">
        <f t="shared" si="9"/>
        <v>204101</v>
      </c>
      <c r="B85" t="s">
        <v>186</v>
      </c>
      <c r="C85">
        <f t="shared" si="8"/>
        <v>2041</v>
      </c>
      <c r="D85">
        <f t="shared" si="10"/>
        <v>1</v>
      </c>
      <c r="E85">
        <v>11013</v>
      </c>
      <c r="F85">
        <v>10299</v>
      </c>
      <c r="G85" t="s">
        <v>252</v>
      </c>
      <c r="H85">
        <v>1</v>
      </c>
      <c r="I85" t="s">
        <v>253</v>
      </c>
      <c r="J85" t="s">
        <v>252</v>
      </c>
      <c r="K85">
        <v>15</v>
      </c>
      <c r="L85" t="s">
        <v>254</v>
      </c>
      <c r="M85" t="s">
        <v>254</v>
      </c>
      <c r="N85" t="str">
        <f t="shared" si="11"/>
        <v>[1,[15]]</v>
      </c>
      <c r="O85" t="s">
        <v>331</v>
      </c>
      <c r="P85" t="str">
        <f t="shared" si="12"/>
        <v>[[1,[15]],[3,[4]],[2,[10299,10239,10179]]]</v>
      </c>
    </row>
    <row r="86" spans="1:16">
      <c r="A86">
        <f t="shared" si="9"/>
        <v>204102</v>
      </c>
      <c r="B86" t="s">
        <v>186</v>
      </c>
      <c r="C86">
        <f t="shared" si="8"/>
        <v>2041</v>
      </c>
      <c r="D86">
        <f t="shared" si="10"/>
        <v>2</v>
      </c>
      <c r="E86">
        <v>11013</v>
      </c>
      <c r="F86">
        <v>10359</v>
      </c>
      <c r="G86" t="s">
        <v>252</v>
      </c>
      <c r="H86">
        <v>1</v>
      </c>
      <c r="I86" t="s">
        <v>253</v>
      </c>
      <c r="J86" t="s">
        <v>252</v>
      </c>
      <c r="K86">
        <v>15</v>
      </c>
      <c r="L86" t="s">
        <v>254</v>
      </c>
      <c r="M86" t="s">
        <v>254</v>
      </c>
      <c r="N86" t="str">
        <f t="shared" si="11"/>
        <v>[1,[15]]</v>
      </c>
      <c r="O86" t="s">
        <v>332</v>
      </c>
      <c r="P86" t="str">
        <f t="shared" si="12"/>
        <v>[[1,[15]],[3,[4]],[2,[10359,10299,10239,10179]]]</v>
      </c>
    </row>
    <row r="87" spans="1:16">
      <c r="A87">
        <f t="shared" si="9"/>
        <v>205201</v>
      </c>
      <c r="B87" t="s">
        <v>187</v>
      </c>
      <c r="C87">
        <f t="shared" si="8"/>
        <v>2052</v>
      </c>
      <c r="D87">
        <f t="shared" si="10"/>
        <v>1</v>
      </c>
      <c r="E87">
        <v>11024</v>
      </c>
      <c r="F87">
        <v>10209</v>
      </c>
      <c r="G87" t="s">
        <v>252</v>
      </c>
      <c r="H87">
        <v>1</v>
      </c>
      <c r="I87" t="s">
        <v>253</v>
      </c>
      <c r="J87" t="s">
        <v>252</v>
      </c>
      <c r="K87">
        <v>15</v>
      </c>
      <c r="L87" t="s">
        <v>254</v>
      </c>
      <c r="M87" t="s">
        <v>254</v>
      </c>
      <c r="N87" t="str">
        <f t="shared" si="11"/>
        <v>[1,[15]]</v>
      </c>
      <c r="O87" t="s">
        <v>333</v>
      </c>
      <c r="P87" t="str">
        <f t="shared" si="12"/>
        <v>[[1,[15]],[3,[4]],[2,[10209]]]</v>
      </c>
    </row>
    <row r="88" spans="1:16">
      <c r="A88">
        <f t="shared" si="9"/>
        <v>205201</v>
      </c>
      <c r="B88" t="s">
        <v>187</v>
      </c>
      <c r="C88">
        <f t="shared" si="8"/>
        <v>2052</v>
      </c>
      <c r="D88">
        <f t="shared" si="10"/>
        <v>1</v>
      </c>
      <c r="E88">
        <v>11024</v>
      </c>
      <c r="F88">
        <v>10269</v>
      </c>
      <c r="G88" t="s">
        <v>252</v>
      </c>
      <c r="H88">
        <v>1</v>
      </c>
      <c r="I88" t="s">
        <v>253</v>
      </c>
      <c r="J88" t="s">
        <v>252</v>
      </c>
      <c r="K88">
        <v>15</v>
      </c>
      <c r="L88" t="s">
        <v>254</v>
      </c>
      <c r="M88" t="s">
        <v>254</v>
      </c>
      <c r="N88" t="str">
        <f t="shared" si="11"/>
        <v>[1,[15]]</v>
      </c>
      <c r="O88" t="s">
        <v>334</v>
      </c>
      <c r="P88" t="str">
        <f t="shared" si="12"/>
        <v>[[1,[15]],[3,[4]],[2,[10269,10209]]]</v>
      </c>
    </row>
    <row r="89" spans="1:16">
      <c r="A89">
        <f t="shared" si="9"/>
        <v>205201</v>
      </c>
      <c r="B89" t="s">
        <v>187</v>
      </c>
      <c r="C89">
        <f t="shared" si="8"/>
        <v>2052</v>
      </c>
      <c r="D89">
        <f t="shared" si="10"/>
        <v>1</v>
      </c>
      <c r="E89">
        <v>11024</v>
      </c>
      <c r="F89">
        <v>10329</v>
      </c>
      <c r="G89" t="s">
        <v>252</v>
      </c>
      <c r="H89">
        <v>1</v>
      </c>
      <c r="I89" t="s">
        <v>253</v>
      </c>
      <c r="J89" t="s">
        <v>252</v>
      </c>
      <c r="K89">
        <v>15</v>
      </c>
      <c r="L89" t="s">
        <v>254</v>
      </c>
      <c r="M89" t="s">
        <v>254</v>
      </c>
      <c r="N89" t="str">
        <f t="shared" si="11"/>
        <v>[1,[15]]</v>
      </c>
      <c r="O89" t="s">
        <v>335</v>
      </c>
      <c r="P89" t="str">
        <f t="shared" si="12"/>
        <v>[[1,[15]],[3,[4]],[2,[10329,10269,10209]]]</v>
      </c>
    </row>
    <row r="90" spans="1:16">
      <c r="A90">
        <f t="shared" si="9"/>
        <v>205202</v>
      </c>
      <c r="B90" t="s">
        <v>187</v>
      </c>
      <c r="C90">
        <f t="shared" si="8"/>
        <v>2052</v>
      </c>
      <c r="D90">
        <f t="shared" si="10"/>
        <v>2</v>
      </c>
      <c r="E90">
        <v>11024</v>
      </c>
      <c r="F90">
        <v>10389</v>
      </c>
      <c r="G90" t="s">
        <v>252</v>
      </c>
      <c r="H90">
        <v>1</v>
      </c>
      <c r="I90" t="s">
        <v>253</v>
      </c>
      <c r="J90" t="s">
        <v>252</v>
      </c>
      <c r="K90">
        <v>15</v>
      </c>
      <c r="L90" t="s">
        <v>254</v>
      </c>
      <c r="M90" t="s">
        <v>254</v>
      </c>
      <c r="N90" t="str">
        <f t="shared" si="11"/>
        <v>[1,[15]]</v>
      </c>
      <c r="O90" t="s">
        <v>336</v>
      </c>
      <c r="P90" t="str">
        <f t="shared" si="12"/>
        <v>[[1,[15]],[3,[4]],[2,[10389,10329,10269,10209]]]</v>
      </c>
    </row>
    <row r="91" spans="1:16">
      <c r="A91">
        <f t="shared" si="9"/>
        <v>204901</v>
      </c>
      <c r="B91" t="s">
        <v>188</v>
      </c>
      <c r="C91">
        <f t="shared" si="8"/>
        <v>2049</v>
      </c>
      <c r="D91">
        <f t="shared" si="10"/>
        <v>1</v>
      </c>
      <c r="E91">
        <v>11021</v>
      </c>
      <c r="F91">
        <v>10219</v>
      </c>
      <c r="G91" t="s">
        <v>252</v>
      </c>
      <c r="H91">
        <v>1</v>
      </c>
      <c r="I91" t="s">
        <v>253</v>
      </c>
      <c r="J91" t="s">
        <v>252</v>
      </c>
      <c r="K91">
        <v>15</v>
      </c>
      <c r="L91" t="s">
        <v>254</v>
      </c>
      <c r="M91" t="s">
        <v>254</v>
      </c>
      <c r="N91" t="str">
        <f t="shared" si="11"/>
        <v>[1,[15]]</v>
      </c>
      <c r="O91" t="s">
        <v>337</v>
      </c>
      <c r="P91" t="str">
        <f t="shared" si="12"/>
        <v>[[1,[15]],[3,[4]],[2,[10219]]]</v>
      </c>
    </row>
    <row r="92" spans="1:16">
      <c r="A92">
        <f t="shared" si="9"/>
        <v>204901</v>
      </c>
      <c r="B92" t="s">
        <v>188</v>
      </c>
      <c r="C92">
        <f t="shared" si="8"/>
        <v>2049</v>
      </c>
      <c r="D92">
        <f t="shared" si="10"/>
        <v>1</v>
      </c>
      <c r="E92">
        <v>11021</v>
      </c>
      <c r="F92">
        <v>10279</v>
      </c>
      <c r="G92" t="s">
        <v>252</v>
      </c>
      <c r="H92">
        <v>1</v>
      </c>
      <c r="I92" t="s">
        <v>253</v>
      </c>
      <c r="J92" t="s">
        <v>252</v>
      </c>
      <c r="K92">
        <v>15</v>
      </c>
      <c r="L92" t="s">
        <v>254</v>
      </c>
      <c r="M92" t="s">
        <v>254</v>
      </c>
      <c r="N92" t="str">
        <f t="shared" si="11"/>
        <v>[1,[15]]</v>
      </c>
      <c r="O92" t="s">
        <v>338</v>
      </c>
      <c r="P92" t="str">
        <f t="shared" si="12"/>
        <v>[[1,[15]],[3,[4]],[2,[10279,10219]]]</v>
      </c>
    </row>
    <row r="93" spans="1:16">
      <c r="A93">
        <f t="shared" si="9"/>
        <v>204901</v>
      </c>
      <c r="B93" t="s">
        <v>188</v>
      </c>
      <c r="C93">
        <f t="shared" si="8"/>
        <v>2049</v>
      </c>
      <c r="D93">
        <f t="shared" si="10"/>
        <v>1</v>
      </c>
      <c r="E93">
        <v>11021</v>
      </c>
      <c r="F93">
        <v>10339</v>
      </c>
      <c r="G93" t="s">
        <v>252</v>
      </c>
      <c r="H93">
        <v>1</v>
      </c>
      <c r="I93" t="s">
        <v>253</v>
      </c>
      <c r="J93" t="s">
        <v>252</v>
      </c>
      <c r="K93">
        <v>15</v>
      </c>
      <c r="L93" t="s">
        <v>254</v>
      </c>
      <c r="M93" t="s">
        <v>254</v>
      </c>
      <c r="N93" t="str">
        <f t="shared" si="11"/>
        <v>[1,[15]]</v>
      </c>
      <c r="O93" t="s">
        <v>339</v>
      </c>
      <c r="P93" t="str">
        <f t="shared" si="12"/>
        <v>[[1,[15]],[3,[4]],[2,[10339,10279,10219]]]</v>
      </c>
    </row>
    <row r="94" spans="1:16">
      <c r="A94">
        <f t="shared" si="9"/>
        <v>204902</v>
      </c>
      <c r="B94" t="s">
        <v>188</v>
      </c>
      <c r="C94">
        <f t="shared" si="8"/>
        <v>2049</v>
      </c>
      <c r="D94">
        <f t="shared" si="10"/>
        <v>2</v>
      </c>
      <c r="E94">
        <v>11021</v>
      </c>
      <c r="F94">
        <v>10399</v>
      </c>
      <c r="G94" t="s">
        <v>252</v>
      </c>
      <c r="H94">
        <v>1</v>
      </c>
      <c r="I94" t="s">
        <v>253</v>
      </c>
      <c r="J94" t="s">
        <v>252</v>
      </c>
      <c r="K94">
        <v>15</v>
      </c>
      <c r="L94" t="s">
        <v>254</v>
      </c>
      <c r="M94" t="s">
        <v>254</v>
      </c>
      <c r="N94" t="str">
        <f t="shared" si="11"/>
        <v>[1,[15]]</v>
      </c>
      <c r="O94" t="s">
        <v>340</v>
      </c>
      <c r="P94" t="str">
        <f t="shared" si="12"/>
        <v>[[1,[15]],[3,[4]],[2,[10399,10339,10279,10219]]]</v>
      </c>
    </row>
    <row r="95" spans="1:16">
      <c r="A95">
        <f t="shared" si="9"/>
        <v>205101</v>
      </c>
      <c r="B95" t="s">
        <v>90</v>
      </c>
      <c r="C95">
        <f t="shared" si="8"/>
        <v>2051</v>
      </c>
      <c r="D95">
        <f t="shared" si="10"/>
        <v>1</v>
      </c>
      <c r="E95">
        <v>11023</v>
      </c>
      <c r="F95">
        <v>10210</v>
      </c>
      <c r="G95" t="s">
        <v>252</v>
      </c>
      <c r="H95">
        <v>1</v>
      </c>
      <c r="I95" t="s">
        <v>253</v>
      </c>
      <c r="J95" t="s">
        <v>252</v>
      </c>
      <c r="K95">
        <v>15</v>
      </c>
      <c r="L95" t="s">
        <v>254</v>
      </c>
      <c r="M95" t="s">
        <v>254</v>
      </c>
      <c r="N95" t="str">
        <f t="shared" si="11"/>
        <v>[1,[15]]</v>
      </c>
      <c r="O95" t="s">
        <v>341</v>
      </c>
      <c r="P95" t="str">
        <f t="shared" si="12"/>
        <v>[[1,[15]],[3,[4]],[2,[10210]]]</v>
      </c>
    </row>
    <row r="96" spans="1:16">
      <c r="A96">
        <f t="shared" si="9"/>
        <v>205101</v>
      </c>
      <c r="B96" t="s">
        <v>90</v>
      </c>
      <c r="C96">
        <f t="shared" si="8"/>
        <v>2051</v>
      </c>
      <c r="D96">
        <f t="shared" si="10"/>
        <v>1</v>
      </c>
      <c r="E96">
        <v>11023</v>
      </c>
      <c r="F96">
        <v>10270</v>
      </c>
      <c r="G96" t="s">
        <v>252</v>
      </c>
      <c r="H96">
        <v>1</v>
      </c>
      <c r="I96" t="s">
        <v>253</v>
      </c>
      <c r="J96" t="s">
        <v>252</v>
      </c>
      <c r="K96">
        <v>15</v>
      </c>
      <c r="L96" t="s">
        <v>254</v>
      </c>
      <c r="M96" t="s">
        <v>254</v>
      </c>
      <c r="N96" t="str">
        <f t="shared" si="11"/>
        <v>[1,[15]]</v>
      </c>
      <c r="O96" t="s">
        <v>342</v>
      </c>
      <c r="P96" t="str">
        <f t="shared" si="12"/>
        <v>[[1,[15]],[3,[4]],[2,[10270,10210]]]</v>
      </c>
    </row>
    <row r="97" spans="1:16">
      <c r="A97">
        <f t="shared" si="9"/>
        <v>205101</v>
      </c>
      <c r="B97" t="s">
        <v>90</v>
      </c>
      <c r="C97">
        <f t="shared" ref="C97:C128" si="13">VLOOKUP(B97,AE:AF,2,FALSE)</f>
        <v>2051</v>
      </c>
      <c r="D97">
        <f t="shared" si="10"/>
        <v>1</v>
      </c>
      <c r="E97">
        <v>11023</v>
      </c>
      <c r="F97">
        <v>10330</v>
      </c>
      <c r="G97" t="s">
        <v>252</v>
      </c>
      <c r="H97">
        <v>1</v>
      </c>
      <c r="I97" t="s">
        <v>253</v>
      </c>
      <c r="J97" t="s">
        <v>252</v>
      </c>
      <c r="K97">
        <v>15</v>
      </c>
      <c r="L97" t="s">
        <v>254</v>
      </c>
      <c r="M97" t="s">
        <v>254</v>
      </c>
      <c r="N97" t="str">
        <f t="shared" si="11"/>
        <v>[1,[15]]</v>
      </c>
      <c r="O97" t="s">
        <v>343</v>
      </c>
      <c r="P97" t="str">
        <f t="shared" si="12"/>
        <v>[[1,[15]],[3,[4]],[2,[10330,10270,10210]]]</v>
      </c>
    </row>
    <row r="98" spans="1:16">
      <c r="A98">
        <f t="shared" si="9"/>
        <v>205102</v>
      </c>
      <c r="B98" t="s">
        <v>90</v>
      </c>
      <c r="C98">
        <f t="shared" si="13"/>
        <v>2051</v>
      </c>
      <c r="D98">
        <f t="shared" si="10"/>
        <v>2</v>
      </c>
      <c r="E98">
        <v>11023</v>
      </c>
      <c r="F98">
        <v>10390</v>
      </c>
      <c r="G98" t="s">
        <v>252</v>
      </c>
      <c r="H98">
        <v>1</v>
      </c>
      <c r="I98" t="s">
        <v>253</v>
      </c>
      <c r="J98" t="s">
        <v>252</v>
      </c>
      <c r="K98">
        <v>15</v>
      </c>
      <c r="L98" t="s">
        <v>254</v>
      </c>
      <c r="M98" t="s">
        <v>254</v>
      </c>
      <c r="N98" t="str">
        <f t="shared" si="11"/>
        <v>[1,[15]]</v>
      </c>
      <c r="O98" t="s">
        <v>344</v>
      </c>
      <c r="P98" t="str">
        <f t="shared" si="12"/>
        <v>[[1,[15]],[3,[4]],[2,[10390,10330,10270,10210]]]</v>
      </c>
    </row>
    <row r="99" spans="1:16">
      <c r="A99">
        <f t="shared" si="9"/>
        <v>205001</v>
      </c>
      <c r="B99" t="s">
        <v>89</v>
      </c>
      <c r="C99">
        <f t="shared" si="13"/>
        <v>2050</v>
      </c>
      <c r="D99">
        <f t="shared" si="10"/>
        <v>1</v>
      </c>
      <c r="E99">
        <v>11022</v>
      </c>
      <c r="F99">
        <v>10220</v>
      </c>
      <c r="G99" t="s">
        <v>252</v>
      </c>
      <c r="H99">
        <v>1</v>
      </c>
      <c r="I99" t="s">
        <v>253</v>
      </c>
      <c r="J99" t="s">
        <v>252</v>
      </c>
      <c r="K99">
        <v>15</v>
      </c>
      <c r="L99" t="s">
        <v>254</v>
      </c>
      <c r="M99" t="s">
        <v>254</v>
      </c>
      <c r="N99" t="str">
        <f t="shared" si="11"/>
        <v>[1,[15]]</v>
      </c>
      <c r="O99" t="s">
        <v>345</v>
      </c>
      <c r="P99" t="str">
        <f t="shared" si="12"/>
        <v>[[1,[15]],[3,[4]],[2,[10220]]]</v>
      </c>
    </row>
    <row r="100" spans="1:16">
      <c r="A100">
        <f t="shared" si="9"/>
        <v>205001</v>
      </c>
      <c r="B100" t="s">
        <v>89</v>
      </c>
      <c r="C100">
        <f t="shared" si="13"/>
        <v>2050</v>
      </c>
      <c r="D100">
        <f t="shared" si="10"/>
        <v>1</v>
      </c>
      <c r="E100">
        <v>11022</v>
      </c>
      <c r="F100">
        <v>10280</v>
      </c>
      <c r="G100" t="s">
        <v>252</v>
      </c>
      <c r="H100">
        <v>1</v>
      </c>
      <c r="I100" t="s">
        <v>253</v>
      </c>
      <c r="J100" t="s">
        <v>252</v>
      </c>
      <c r="K100">
        <v>15</v>
      </c>
      <c r="L100" t="s">
        <v>254</v>
      </c>
      <c r="M100" t="s">
        <v>254</v>
      </c>
      <c r="N100" t="str">
        <f t="shared" si="11"/>
        <v>[1,[15]]</v>
      </c>
      <c r="O100" t="s">
        <v>346</v>
      </c>
      <c r="P100" t="str">
        <f t="shared" si="12"/>
        <v>[[1,[15]],[3,[4]],[2,[10280,10220]]]</v>
      </c>
    </row>
    <row r="101" spans="1:16">
      <c r="A101">
        <f t="shared" si="9"/>
        <v>205001</v>
      </c>
      <c r="B101" t="s">
        <v>89</v>
      </c>
      <c r="C101">
        <f t="shared" si="13"/>
        <v>2050</v>
      </c>
      <c r="D101">
        <f t="shared" si="10"/>
        <v>1</v>
      </c>
      <c r="E101">
        <v>11022</v>
      </c>
      <c r="F101">
        <v>10340</v>
      </c>
      <c r="G101" t="s">
        <v>252</v>
      </c>
      <c r="H101">
        <v>1</v>
      </c>
      <c r="I101" t="s">
        <v>253</v>
      </c>
      <c r="J101" t="s">
        <v>252</v>
      </c>
      <c r="K101">
        <v>15</v>
      </c>
      <c r="L101" t="s">
        <v>254</v>
      </c>
      <c r="M101" t="s">
        <v>254</v>
      </c>
      <c r="N101" t="str">
        <f t="shared" si="11"/>
        <v>[1,[15]]</v>
      </c>
      <c r="O101" t="s">
        <v>347</v>
      </c>
      <c r="P101" t="str">
        <f t="shared" si="12"/>
        <v>[[1,[15]],[3,[4]],[2,[10340,10280,10220]]]</v>
      </c>
    </row>
    <row r="102" spans="1:16">
      <c r="A102">
        <f t="shared" si="9"/>
        <v>205002</v>
      </c>
      <c r="B102" t="s">
        <v>89</v>
      </c>
      <c r="C102">
        <f t="shared" si="13"/>
        <v>2050</v>
      </c>
      <c r="D102">
        <f t="shared" si="10"/>
        <v>2</v>
      </c>
      <c r="E102">
        <v>11022</v>
      </c>
      <c r="F102">
        <v>10400</v>
      </c>
      <c r="G102" t="s">
        <v>252</v>
      </c>
      <c r="H102">
        <v>1</v>
      </c>
      <c r="I102" t="s">
        <v>253</v>
      </c>
      <c r="J102" t="s">
        <v>252</v>
      </c>
      <c r="K102">
        <v>15</v>
      </c>
      <c r="L102" t="s">
        <v>254</v>
      </c>
      <c r="M102" t="s">
        <v>254</v>
      </c>
      <c r="N102" t="str">
        <f t="shared" si="11"/>
        <v>[1,[15]]</v>
      </c>
      <c r="O102" t="s">
        <v>348</v>
      </c>
      <c r="P102" t="str">
        <f t="shared" si="12"/>
        <v>[[1,[15]],[3,[4]],[2,[10400,10340,10280,10220]]]</v>
      </c>
    </row>
    <row r="103" spans="1:16">
      <c r="A103">
        <f t="shared" si="9"/>
        <v>204301</v>
      </c>
      <c r="B103" t="s">
        <v>86</v>
      </c>
      <c r="C103">
        <f t="shared" si="13"/>
        <v>2043</v>
      </c>
      <c r="D103">
        <f t="shared" si="10"/>
        <v>1</v>
      </c>
      <c r="E103">
        <v>11015</v>
      </c>
      <c r="F103">
        <v>10170</v>
      </c>
      <c r="G103" t="s">
        <v>252</v>
      </c>
      <c r="H103">
        <v>1</v>
      </c>
      <c r="I103" t="s">
        <v>253</v>
      </c>
      <c r="J103" t="s">
        <v>252</v>
      </c>
      <c r="K103">
        <v>15</v>
      </c>
      <c r="L103" t="s">
        <v>254</v>
      </c>
      <c r="M103" t="s">
        <v>254</v>
      </c>
      <c r="N103" t="str">
        <f t="shared" si="11"/>
        <v>[1,[15]]</v>
      </c>
      <c r="O103" t="s">
        <v>349</v>
      </c>
      <c r="P103" t="str">
        <f t="shared" si="12"/>
        <v>[[1,[15]],[3,[4]],[2,[10170]]]</v>
      </c>
    </row>
    <row r="104" spans="1:16">
      <c r="A104">
        <f t="shared" si="9"/>
        <v>204301</v>
      </c>
      <c r="B104" t="s">
        <v>86</v>
      </c>
      <c r="C104">
        <f t="shared" si="13"/>
        <v>2043</v>
      </c>
      <c r="D104">
        <f t="shared" si="10"/>
        <v>1</v>
      </c>
      <c r="E104">
        <v>11015</v>
      </c>
      <c r="F104">
        <v>10230</v>
      </c>
      <c r="G104" t="s">
        <v>252</v>
      </c>
      <c r="H104">
        <v>1</v>
      </c>
      <c r="I104" t="s">
        <v>253</v>
      </c>
      <c r="J104" t="s">
        <v>252</v>
      </c>
      <c r="K104">
        <v>15</v>
      </c>
      <c r="L104" t="s">
        <v>254</v>
      </c>
      <c r="M104" t="s">
        <v>254</v>
      </c>
      <c r="N104" t="str">
        <f t="shared" si="11"/>
        <v>[1,[15]]</v>
      </c>
      <c r="O104" t="s">
        <v>350</v>
      </c>
      <c r="P104" t="str">
        <f t="shared" si="12"/>
        <v>[[1,[15]],[3,[4]],[2,[10230,10170]]]</v>
      </c>
    </row>
    <row r="105" spans="1:16">
      <c r="A105">
        <f t="shared" si="9"/>
        <v>204301</v>
      </c>
      <c r="B105" t="s">
        <v>86</v>
      </c>
      <c r="C105">
        <f t="shared" si="13"/>
        <v>2043</v>
      </c>
      <c r="D105">
        <f t="shared" si="10"/>
        <v>1</v>
      </c>
      <c r="E105">
        <v>11015</v>
      </c>
      <c r="F105">
        <v>10290</v>
      </c>
      <c r="G105" t="s">
        <v>252</v>
      </c>
      <c r="H105">
        <v>1</v>
      </c>
      <c r="I105" t="s">
        <v>253</v>
      </c>
      <c r="J105" t="s">
        <v>252</v>
      </c>
      <c r="K105">
        <v>15</v>
      </c>
      <c r="L105" t="s">
        <v>254</v>
      </c>
      <c r="M105" t="s">
        <v>254</v>
      </c>
      <c r="N105" t="str">
        <f t="shared" si="11"/>
        <v>[1,[15]]</v>
      </c>
      <c r="O105" t="s">
        <v>351</v>
      </c>
      <c r="P105" t="str">
        <f t="shared" si="12"/>
        <v>[[1,[15]],[3,[4]],[2,[10290,10230,10170]]]</v>
      </c>
    </row>
    <row r="106" spans="1:16">
      <c r="A106">
        <f t="shared" si="9"/>
        <v>204302</v>
      </c>
      <c r="B106" t="s">
        <v>86</v>
      </c>
      <c r="C106">
        <f t="shared" si="13"/>
        <v>2043</v>
      </c>
      <c r="D106">
        <f t="shared" si="10"/>
        <v>2</v>
      </c>
      <c r="E106">
        <v>11015</v>
      </c>
      <c r="F106">
        <v>10350</v>
      </c>
      <c r="G106" t="s">
        <v>252</v>
      </c>
      <c r="H106">
        <v>1</v>
      </c>
      <c r="I106" t="s">
        <v>253</v>
      </c>
      <c r="J106" t="s">
        <v>252</v>
      </c>
      <c r="K106">
        <v>15</v>
      </c>
      <c r="L106" t="s">
        <v>254</v>
      </c>
      <c r="M106" t="s">
        <v>254</v>
      </c>
      <c r="N106" t="str">
        <f t="shared" si="11"/>
        <v>[1,[15]]</v>
      </c>
      <c r="O106" t="s">
        <v>352</v>
      </c>
      <c r="P106" t="str">
        <f t="shared" si="12"/>
        <v>[[1,[15]],[3,[4]],[2,[10350,10290,10230,10170]]]</v>
      </c>
    </row>
    <row r="107" spans="1:16">
      <c r="A107">
        <f t="shared" si="9"/>
        <v>204201</v>
      </c>
      <c r="B107" t="s">
        <v>85</v>
      </c>
      <c r="C107">
        <f t="shared" si="13"/>
        <v>2042</v>
      </c>
      <c r="D107">
        <f t="shared" si="10"/>
        <v>1</v>
      </c>
      <c r="E107">
        <v>11014</v>
      </c>
      <c r="F107">
        <v>10180</v>
      </c>
      <c r="G107" t="s">
        <v>252</v>
      </c>
      <c r="H107">
        <v>1</v>
      </c>
      <c r="I107" t="s">
        <v>253</v>
      </c>
      <c r="J107" t="s">
        <v>252</v>
      </c>
      <c r="K107">
        <v>15</v>
      </c>
      <c r="L107" t="s">
        <v>254</v>
      </c>
      <c r="M107" t="s">
        <v>254</v>
      </c>
      <c r="N107" t="str">
        <f t="shared" si="11"/>
        <v>[1,[15]]</v>
      </c>
      <c r="O107" t="s">
        <v>353</v>
      </c>
      <c r="P107" t="str">
        <f t="shared" si="12"/>
        <v>[[1,[15]],[3,[4]],[2,[10180]]]</v>
      </c>
    </row>
    <row r="108" spans="1:16">
      <c r="A108">
        <f t="shared" si="9"/>
        <v>204201</v>
      </c>
      <c r="B108" t="s">
        <v>85</v>
      </c>
      <c r="C108">
        <f t="shared" si="13"/>
        <v>2042</v>
      </c>
      <c r="D108">
        <f t="shared" si="10"/>
        <v>1</v>
      </c>
      <c r="E108">
        <v>11014</v>
      </c>
      <c r="F108">
        <v>10240</v>
      </c>
      <c r="G108" t="s">
        <v>252</v>
      </c>
      <c r="H108">
        <v>1</v>
      </c>
      <c r="I108" t="s">
        <v>253</v>
      </c>
      <c r="J108" t="s">
        <v>252</v>
      </c>
      <c r="K108">
        <v>15</v>
      </c>
      <c r="L108" t="s">
        <v>254</v>
      </c>
      <c r="M108" t="s">
        <v>254</v>
      </c>
      <c r="N108" t="str">
        <f t="shared" si="11"/>
        <v>[1,[15]]</v>
      </c>
      <c r="O108" t="s">
        <v>354</v>
      </c>
      <c r="P108" t="str">
        <f t="shared" si="12"/>
        <v>[[1,[15]],[3,[4]],[2,[10240,10180]]]</v>
      </c>
    </row>
    <row r="109" spans="1:16">
      <c r="A109">
        <f t="shared" si="9"/>
        <v>204201</v>
      </c>
      <c r="B109" t="s">
        <v>85</v>
      </c>
      <c r="C109">
        <f t="shared" si="13"/>
        <v>2042</v>
      </c>
      <c r="D109">
        <f t="shared" si="10"/>
        <v>1</v>
      </c>
      <c r="E109">
        <v>11014</v>
      </c>
      <c r="F109">
        <v>10300</v>
      </c>
      <c r="G109" t="s">
        <v>252</v>
      </c>
      <c r="H109">
        <v>1</v>
      </c>
      <c r="I109" t="s">
        <v>253</v>
      </c>
      <c r="J109" t="s">
        <v>252</v>
      </c>
      <c r="K109">
        <v>15</v>
      </c>
      <c r="L109" t="s">
        <v>254</v>
      </c>
      <c r="M109" t="s">
        <v>254</v>
      </c>
      <c r="N109" t="str">
        <f t="shared" si="11"/>
        <v>[1,[15]]</v>
      </c>
      <c r="O109" t="s">
        <v>355</v>
      </c>
      <c r="P109" t="str">
        <f t="shared" si="12"/>
        <v>[[1,[15]],[3,[4]],[2,[10300,10240,10180]]]</v>
      </c>
    </row>
    <row r="110" spans="1:16">
      <c r="A110">
        <f t="shared" si="9"/>
        <v>204202</v>
      </c>
      <c r="B110" t="s">
        <v>85</v>
      </c>
      <c r="C110">
        <f t="shared" si="13"/>
        <v>2042</v>
      </c>
      <c r="D110">
        <f t="shared" si="10"/>
        <v>2</v>
      </c>
      <c r="E110">
        <v>11014</v>
      </c>
      <c r="F110">
        <v>10360</v>
      </c>
      <c r="G110" t="s">
        <v>252</v>
      </c>
      <c r="H110">
        <v>1</v>
      </c>
      <c r="I110" t="s">
        <v>253</v>
      </c>
      <c r="J110" t="s">
        <v>252</v>
      </c>
      <c r="K110">
        <v>15</v>
      </c>
      <c r="L110" t="s">
        <v>254</v>
      </c>
      <c r="M110" t="s">
        <v>254</v>
      </c>
      <c r="N110" t="str">
        <f t="shared" si="11"/>
        <v>[1,[15]]</v>
      </c>
      <c r="O110" t="s">
        <v>356</v>
      </c>
      <c r="P110" t="str">
        <f t="shared" si="12"/>
        <v>[[1,[15]],[3,[4]],[2,[10360,10300,10240,10180]]]</v>
      </c>
    </row>
    <row r="111" spans="1:16">
      <c r="A111">
        <f t="shared" si="9"/>
        <v>202701</v>
      </c>
      <c r="B111" t="s">
        <v>82</v>
      </c>
      <c r="C111">
        <f t="shared" si="13"/>
        <v>2027</v>
      </c>
      <c r="D111">
        <f t="shared" si="10"/>
        <v>1</v>
      </c>
      <c r="E111">
        <v>11007</v>
      </c>
      <c r="F111">
        <v>10070</v>
      </c>
      <c r="G111" t="s">
        <v>252</v>
      </c>
      <c r="H111">
        <v>1</v>
      </c>
      <c r="I111" t="s">
        <v>253</v>
      </c>
      <c r="J111" t="s">
        <v>252</v>
      </c>
      <c r="K111">
        <v>15</v>
      </c>
      <c r="L111" t="s">
        <v>254</v>
      </c>
      <c r="M111" t="s">
        <v>254</v>
      </c>
      <c r="N111" t="str">
        <f t="shared" si="11"/>
        <v>[1,[15]]</v>
      </c>
      <c r="O111" t="s">
        <v>357</v>
      </c>
      <c r="P111" t="str">
        <f t="shared" si="12"/>
        <v>[[1,[15]],[3,[4]],[2,[10070]]]</v>
      </c>
    </row>
    <row r="112" spans="1:16">
      <c r="A112">
        <f t="shared" si="9"/>
        <v>202702</v>
      </c>
      <c r="B112" t="s">
        <v>82</v>
      </c>
      <c r="C112">
        <f t="shared" si="13"/>
        <v>2027</v>
      </c>
      <c r="D112">
        <f t="shared" si="10"/>
        <v>2</v>
      </c>
      <c r="E112">
        <v>11007</v>
      </c>
      <c r="F112">
        <v>10130</v>
      </c>
      <c r="G112" t="s">
        <v>252</v>
      </c>
      <c r="H112">
        <v>1</v>
      </c>
      <c r="I112" t="s">
        <v>253</v>
      </c>
      <c r="J112" t="s">
        <v>252</v>
      </c>
      <c r="K112">
        <v>15</v>
      </c>
      <c r="L112" t="s">
        <v>254</v>
      </c>
      <c r="M112" t="s">
        <v>254</v>
      </c>
      <c r="N112" t="str">
        <f t="shared" si="11"/>
        <v>[1,[15]]</v>
      </c>
      <c r="O112" t="s">
        <v>358</v>
      </c>
      <c r="P112" t="str">
        <f t="shared" si="12"/>
        <v>[[1,[15]],[3,[4]],[2,[10130,10070]]]</v>
      </c>
    </row>
    <row r="113" spans="1:16">
      <c r="A113">
        <f t="shared" si="9"/>
        <v>202601</v>
      </c>
      <c r="B113" t="s">
        <v>189</v>
      </c>
      <c r="C113">
        <f t="shared" si="13"/>
        <v>2026</v>
      </c>
      <c r="D113">
        <f t="shared" si="10"/>
        <v>1</v>
      </c>
      <c r="E113">
        <v>11006</v>
      </c>
      <c r="F113">
        <v>10080</v>
      </c>
      <c r="G113" t="s">
        <v>252</v>
      </c>
      <c r="H113">
        <v>1</v>
      </c>
      <c r="I113" t="s">
        <v>253</v>
      </c>
      <c r="J113" t="s">
        <v>252</v>
      </c>
      <c r="K113">
        <v>15</v>
      </c>
      <c r="L113" t="s">
        <v>254</v>
      </c>
      <c r="M113" t="s">
        <v>254</v>
      </c>
      <c r="N113" t="str">
        <f t="shared" si="11"/>
        <v>[1,[15]]</v>
      </c>
      <c r="O113" t="s">
        <v>359</v>
      </c>
      <c r="P113" t="str">
        <f t="shared" si="12"/>
        <v>[[1,[15]],[3,[4]],[2,[10080]]]</v>
      </c>
    </row>
    <row r="114" spans="1:16">
      <c r="A114">
        <f t="shared" si="9"/>
        <v>202602</v>
      </c>
      <c r="B114" t="s">
        <v>189</v>
      </c>
      <c r="C114">
        <f t="shared" si="13"/>
        <v>2026</v>
      </c>
      <c r="D114">
        <f t="shared" si="10"/>
        <v>2</v>
      </c>
      <c r="E114">
        <v>11006</v>
      </c>
      <c r="F114">
        <v>10140</v>
      </c>
      <c r="G114" t="s">
        <v>252</v>
      </c>
      <c r="H114">
        <v>1</v>
      </c>
      <c r="I114" t="s">
        <v>253</v>
      </c>
      <c r="J114" t="s">
        <v>252</v>
      </c>
      <c r="K114">
        <v>15</v>
      </c>
      <c r="L114" t="s">
        <v>254</v>
      </c>
      <c r="M114" t="s">
        <v>254</v>
      </c>
      <c r="N114" t="str">
        <f t="shared" si="11"/>
        <v>[1,[15]]</v>
      </c>
      <c r="O114" t="s">
        <v>360</v>
      </c>
      <c r="P114" t="str">
        <f t="shared" si="12"/>
        <v>[[1,[15]],[3,[4]],[2,[10140,10080]]]</v>
      </c>
    </row>
    <row r="115" spans="1:16">
      <c r="A115">
        <f t="shared" si="9"/>
        <v>206301</v>
      </c>
      <c r="B115" t="s">
        <v>75</v>
      </c>
      <c r="C115">
        <f t="shared" si="13"/>
        <v>2063</v>
      </c>
      <c r="D115">
        <f t="shared" si="10"/>
        <v>1</v>
      </c>
      <c r="E115">
        <v>11027</v>
      </c>
      <c r="F115">
        <v>10410</v>
      </c>
      <c r="G115" t="s">
        <v>252</v>
      </c>
      <c r="H115">
        <v>1</v>
      </c>
      <c r="I115" t="s">
        <v>253</v>
      </c>
      <c r="J115" t="s">
        <v>252</v>
      </c>
      <c r="K115">
        <v>15</v>
      </c>
      <c r="L115" t="s">
        <v>254</v>
      </c>
      <c r="M115" t="s">
        <v>254</v>
      </c>
      <c r="N115" t="str">
        <f t="shared" si="11"/>
        <v>[1,[15]]</v>
      </c>
      <c r="O115" t="s">
        <v>361</v>
      </c>
      <c r="P115" t="str">
        <f t="shared" si="12"/>
        <v>[[1,[15]],[3,[4]],[2,[10410]]]</v>
      </c>
    </row>
    <row r="116" spans="1:16">
      <c r="A116">
        <f t="shared" si="9"/>
        <v>206301</v>
      </c>
      <c r="B116" t="s">
        <v>75</v>
      </c>
      <c r="C116">
        <f t="shared" si="13"/>
        <v>2063</v>
      </c>
      <c r="D116">
        <f t="shared" si="10"/>
        <v>1</v>
      </c>
      <c r="E116">
        <v>11027</v>
      </c>
      <c r="F116">
        <v>10470</v>
      </c>
      <c r="G116" t="s">
        <v>252</v>
      </c>
      <c r="H116">
        <v>1</v>
      </c>
      <c r="I116" t="s">
        <v>253</v>
      </c>
      <c r="J116" t="s">
        <v>252</v>
      </c>
      <c r="K116">
        <v>15</v>
      </c>
      <c r="L116" t="s">
        <v>254</v>
      </c>
      <c r="M116" t="s">
        <v>254</v>
      </c>
      <c r="N116" t="str">
        <f t="shared" si="11"/>
        <v>[1,[15]]</v>
      </c>
      <c r="O116" t="s">
        <v>362</v>
      </c>
      <c r="P116" t="str">
        <f t="shared" si="12"/>
        <v>[[1,[15]],[3,[4]],[2,[10470,10410]]]</v>
      </c>
    </row>
    <row r="117" spans="1:16">
      <c r="A117">
        <f t="shared" si="9"/>
        <v>206301</v>
      </c>
      <c r="B117" t="s">
        <v>75</v>
      </c>
      <c r="C117">
        <f t="shared" si="13"/>
        <v>2063</v>
      </c>
      <c r="D117">
        <f t="shared" si="10"/>
        <v>1</v>
      </c>
      <c r="E117">
        <v>11027</v>
      </c>
      <c r="F117">
        <v>10530</v>
      </c>
      <c r="G117" t="s">
        <v>252</v>
      </c>
      <c r="H117">
        <v>1</v>
      </c>
      <c r="I117" t="s">
        <v>253</v>
      </c>
      <c r="J117" t="s">
        <v>252</v>
      </c>
      <c r="K117">
        <v>15</v>
      </c>
      <c r="L117" t="s">
        <v>254</v>
      </c>
      <c r="M117" t="s">
        <v>254</v>
      </c>
      <c r="N117" t="str">
        <f t="shared" si="11"/>
        <v>[1,[15]]</v>
      </c>
      <c r="O117" t="s">
        <v>363</v>
      </c>
      <c r="P117" t="str">
        <f t="shared" si="12"/>
        <v>[[1,[15]],[3,[4]],[2,[10530,10470,10410]]]</v>
      </c>
    </row>
    <row r="118" spans="1:16">
      <c r="A118">
        <f t="shared" si="9"/>
        <v>206301</v>
      </c>
      <c r="B118" t="s">
        <v>75</v>
      </c>
      <c r="C118">
        <f t="shared" si="13"/>
        <v>2063</v>
      </c>
      <c r="D118">
        <f t="shared" si="10"/>
        <v>1</v>
      </c>
      <c r="E118">
        <v>11027</v>
      </c>
      <c r="F118">
        <v>10590</v>
      </c>
      <c r="G118" t="s">
        <v>252</v>
      </c>
      <c r="H118">
        <v>1</v>
      </c>
      <c r="I118" t="s">
        <v>253</v>
      </c>
      <c r="J118" t="s">
        <v>252</v>
      </c>
      <c r="K118">
        <v>15</v>
      </c>
      <c r="L118" t="s">
        <v>254</v>
      </c>
      <c r="M118" t="s">
        <v>254</v>
      </c>
      <c r="N118" t="str">
        <f t="shared" si="11"/>
        <v>[1,[15]]</v>
      </c>
      <c r="O118" t="s">
        <v>364</v>
      </c>
      <c r="P118" t="str">
        <f t="shared" si="12"/>
        <v>[[1,[15]],[3,[4]],[2,[10590,10530,10470,10410]]]</v>
      </c>
    </row>
    <row r="119" spans="1:16">
      <c r="A119">
        <f t="shared" si="9"/>
        <v>206301</v>
      </c>
      <c r="B119" t="s">
        <v>75</v>
      </c>
      <c r="C119">
        <f t="shared" si="13"/>
        <v>2063</v>
      </c>
      <c r="D119">
        <f t="shared" si="10"/>
        <v>1</v>
      </c>
      <c r="E119">
        <v>11027</v>
      </c>
      <c r="F119">
        <v>10650</v>
      </c>
      <c r="G119" t="s">
        <v>252</v>
      </c>
      <c r="H119">
        <v>1</v>
      </c>
      <c r="I119" t="s">
        <v>253</v>
      </c>
      <c r="J119" t="s">
        <v>252</v>
      </c>
      <c r="K119">
        <v>15</v>
      </c>
      <c r="L119" t="s">
        <v>254</v>
      </c>
      <c r="M119" t="s">
        <v>254</v>
      </c>
      <c r="N119" t="str">
        <f t="shared" si="11"/>
        <v>[1,[15]]</v>
      </c>
      <c r="O119" t="s">
        <v>365</v>
      </c>
      <c r="P119" t="str">
        <f t="shared" si="12"/>
        <v>[[1,[15]],[3,[4]],[2,[10650,10590,10530,10470,10410]]]</v>
      </c>
    </row>
    <row r="120" spans="1:16">
      <c r="A120">
        <f t="shared" si="9"/>
        <v>206301</v>
      </c>
      <c r="B120" t="s">
        <v>75</v>
      </c>
      <c r="C120">
        <f t="shared" si="13"/>
        <v>2063</v>
      </c>
      <c r="D120">
        <f t="shared" si="10"/>
        <v>1</v>
      </c>
      <c r="E120">
        <v>11027</v>
      </c>
      <c r="F120">
        <v>10710</v>
      </c>
      <c r="G120" t="s">
        <v>252</v>
      </c>
      <c r="H120">
        <v>1</v>
      </c>
      <c r="I120" t="s">
        <v>253</v>
      </c>
      <c r="J120" t="s">
        <v>252</v>
      </c>
      <c r="K120">
        <v>15</v>
      </c>
      <c r="L120" t="s">
        <v>254</v>
      </c>
      <c r="M120" t="s">
        <v>254</v>
      </c>
      <c r="N120" t="str">
        <f t="shared" si="11"/>
        <v>[1,[15]]</v>
      </c>
      <c r="O120" t="s">
        <v>366</v>
      </c>
      <c r="P120" t="str">
        <f t="shared" si="12"/>
        <v>[[1,[15]],[3,[4]],[2,[10710,10650,10590,10530,10470,10410]]]</v>
      </c>
    </row>
    <row r="121" spans="1:16">
      <c r="A121">
        <f t="shared" si="9"/>
        <v>206301</v>
      </c>
      <c r="B121" t="s">
        <v>75</v>
      </c>
      <c r="C121">
        <f t="shared" si="13"/>
        <v>2063</v>
      </c>
      <c r="D121">
        <f t="shared" si="10"/>
        <v>1</v>
      </c>
      <c r="E121">
        <v>11027</v>
      </c>
      <c r="F121">
        <v>10770</v>
      </c>
      <c r="G121" t="s">
        <v>252</v>
      </c>
      <c r="H121">
        <v>1</v>
      </c>
      <c r="I121" t="s">
        <v>253</v>
      </c>
      <c r="J121" t="s">
        <v>252</v>
      </c>
      <c r="K121">
        <v>15</v>
      </c>
      <c r="L121" t="s">
        <v>254</v>
      </c>
      <c r="M121" t="s">
        <v>254</v>
      </c>
      <c r="N121" t="str">
        <f t="shared" si="11"/>
        <v>[1,[15]]</v>
      </c>
      <c r="O121" t="s">
        <v>367</v>
      </c>
      <c r="P121" t="str">
        <f t="shared" si="12"/>
        <v>[[1,[15]],[3,[4]],[2,[10770,10710,10650,10590,10530,10470,10410]]]</v>
      </c>
    </row>
    <row r="122" spans="1:16">
      <c r="A122">
        <f t="shared" si="9"/>
        <v>206301</v>
      </c>
      <c r="B122" t="s">
        <v>75</v>
      </c>
      <c r="C122">
        <f t="shared" si="13"/>
        <v>2063</v>
      </c>
      <c r="D122">
        <f t="shared" si="10"/>
        <v>1</v>
      </c>
      <c r="E122">
        <v>11027</v>
      </c>
      <c r="F122">
        <v>10830</v>
      </c>
      <c r="G122" t="s">
        <v>252</v>
      </c>
      <c r="H122">
        <v>1</v>
      </c>
      <c r="I122" t="s">
        <v>253</v>
      </c>
      <c r="J122" t="s">
        <v>252</v>
      </c>
      <c r="K122">
        <v>15</v>
      </c>
      <c r="L122" t="s">
        <v>254</v>
      </c>
      <c r="M122" t="s">
        <v>254</v>
      </c>
      <c r="N122" t="str">
        <f t="shared" si="11"/>
        <v>[1,[15]]</v>
      </c>
      <c r="O122" t="s">
        <v>368</v>
      </c>
      <c r="P122" t="str">
        <f t="shared" si="12"/>
        <v>[[1,[15]],[3,[4]],[2,[10830,10770,10710,10650,10590,10530,10470,10410]]]</v>
      </c>
    </row>
    <row r="123" spans="1:16">
      <c r="A123">
        <f t="shared" si="9"/>
        <v>206302</v>
      </c>
      <c r="B123" t="s">
        <v>75</v>
      </c>
      <c r="C123">
        <f t="shared" si="13"/>
        <v>2063</v>
      </c>
      <c r="D123">
        <f t="shared" si="10"/>
        <v>2</v>
      </c>
      <c r="E123">
        <v>11027</v>
      </c>
      <c r="F123">
        <v>10890</v>
      </c>
      <c r="G123" t="s">
        <v>252</v>
      </c>
      <c r="H123">
        <v>1</v>
      </c>
      <c r="I123" t="s">
        <v>253</v>
      </c>
      <c r="J123" t="s">
        <v>252</v>
      </c>
      <c r="K123">
        <v>15</v>
      </c>
      <c r="L123" t="s">
        <v>254</v>
      </c>
      <c r="M123" t="s">
        <v>254</v>
      </c>
      <c r="N123" t="str">
        <f t="shared" si="11"/>
        <v>[1,[15]]</v>
      </c>
      <c r="O123" t="s">
        <v>369</v>
      </c>
      <c r="P123" t="str">
        <f t="shared" si="12"/>
        <v>[[1,[15]],[3,[4]],[2,[10890,10830,10770,10710,10650,10590,10530,10470,10410]]]</v>
      </c>
    </row>
    <row r="124" spans="1:16">
      <c r="A124">
        <f t="shared" si="9"/>
        <v>206201</v>
      </c>
      <c r="B124" t="s">
        <v>74</v>
      </c>
      <c r="C124">
        <f t="shared" si="13"/>
        <v>2062</v>
      </c>
      <c r="D124">
        <f t="shared" si="10"/>
        <v>1</v>
      </c>
      <c r="E124">
        <v>11026</v>
      </c>
      <c r="F124">
        <v>10420</v>
      </c>
      <c r="G124" t="s">
        <v>252</v>
      </c>
      <c r="H124">
        <v>1</v>
      </c>
      <c r="I124" t="s">
        <v>253</v>
      </c>
      <c r="J124" t="s">
        <v>252</v>
      </c>
      <c r="K124">
        <v>15</v>
      </c>
      <c r="L124" t="s">
        <v>254</v>
      </c>
      <c r="M124" t="s">
        <v>254</v>
      </c>
      <c r="N124" t="str">
        <f t="shared" si="11"/>
        <v>[1,[15]]</v>
      </c>
      <c r="O124" t="s">
        <v>370</v>
      </c>
      <c r="P124" t="str">
        <f t="shared" si="12"/>
        <v>[[1,[15]],[3,[4]],[2,[10420]]]</v>
      </c>
    </row>
    <row r="125" spans="1:16">
      <c r="A125">
        <f t="shared" si="9"/>
        <v>206201</v>
      </c>
      <c r="B125" t="s">
        <v>74</v>
      </c>
      <c r="C125">
        <f t="shared" si="13"/>
        <v>2062</v>
      </c>
      <c r="D125">
        <f t="shared" si="10"/>
        <v>1</v>
      </c>
      <c r="E125">
        <v>11026</v>
      </c>
      <c r="F125">
        <v>10480</v>
      </c>
      <c r="G125" t="s">
        <v>252</v>
      </c>
      <c r="H125">
        <v>1</v>
      </c>
      <c r="I125" t="s">
        <v>253</v>
      </c>
      <c r="J125" t="s">
        <v>252</v>
      </c>
      <c r="K125">
        <v>15</v>
      </c>
      <c r="L125" t="s">
        <v>254</v>
      </c>
      <c r="M125" t="s">
        <v>254</v>
      </c>
      <c r="N125" t="str">
        <f t="shared" si="11"/>
        <v>[1,[15]]</v>
      </c>
      <c r="O125" t="s">
        <v>371</v>
      </c>
      <c r="P125" t="str">
        <f t="shared" si="12"/>
        <v>[[1,[15]],[3,[4]],[2,[10480,10420]]]</v>
      </c>
    </row>
    <row r="126" spans="1:16">
      <c r="A126">
        <f t="shared" si="9"/>
        <v>206201</v>
      </c>
      <c r="B126" t="s">
        <v>74</v>
      </c>
      <c r="C126">
        <f t="shared" si="13"/>
        <v>2062</v>
      </c>
      <c r="D126">
        <f t="shared" si="10"/>
        <v>1</v>
      </c>
      <c r="E126">
        <v>11026</v>
      </c>
      <c r="F126">
        <v>10540</v>
      </c>
      <c r="G126" t="s">
        <v>252</v>
      </c>
      <c r="H126">
        <v>1</v>
      </c>
      <c r="I126" t="s">
        <v>253</v>
      </c>
      <c r="J126" t="s">
        <v>252</v>
      </c>
      <c r="K126">
        <v>15</v>
      </c>
      <c r="L126" t="s">
        <v>254</v>
      </c>
      <c r="M126" t="s">
        <v>254</v>
      </c>
      <c r="N126" t="str">
        <f t="shared" si="11"/>
        <v>[1,[15]]</v>
      </c>
      <c r="O126" t="s">
        <v>372</v>
      </c>
      <c r="P126" t="str">
        <f t="shared" si="12"/>
        <v>[[1,[15]],[3,[4]],[2,[10540,10480,10420]]]</v>
      </c>
    </row>
    <row r="127" spans="1:16">
      <c r="A127">
        <f t="shared" si="9"/>
        <v>206201</v>
      </c>
      <c r="B127" t="s">
        <v>74</v>
      </c>
      <c r="C127">
        <f t="shared" si="13"/>
        <v>2062</v>
      </c>
      <c r="D127">
        <f t="shared" si="10"/>
        <v>1</v>
      </c>
      <c r="E127">
        <v>11026</v>
      </c>
      <c r="F127">
        <v>10600</v>
      </c>
      <c r="G127" t="s">
        <v>252</v>
      </c>
      <c r="H127">
        <v>1</v>
      </c>
      <c r="I127" t="s">
        <v>253</v>
      </c>
      <c r="J127" t="s">
        <v>252</v>
      </c>
      <c r="K127">
        <v>15</v>
      </c>
      <c r="L127" t="s">
        <v>254</v>
      </c>
      <c r="M127" t="s">
        <v>254</v>
      </c>
      <c r="N127" t="str">
        <f t="shared" si="11"/>
        <v>[1,[15]]</v>
      </c>
      <c r="O127" t="s">
        <v>373</v>
      </c>
      <c r="P127" t="str">
        <f t="shared" si="12"/>
        <v>[[1,[15]],[3,[4]],[2,[10600,10540,10480,10420]]]</v>
      </c>
    </row>
    <row r="128" spans="1:16">
      <c r="A128">
        <f t="shared" si="9"/>
        <v>206201</v>
      </c>
      <c r="B128" t="s">
        <v>74</v>
      </c>
      <c r="C128">
        <f t="shared" si="13"/>
        <v>2062</v>
      </c>
      <c r="D128">
        <f t="shared" si="10"/>
        <v>1</v>
      </c>
      <c r="E128">
        <v>11026</v>
      </c>
      <c r="F128">
        <v>10660</v>
      </c>
      <c r="G128" t="s">
        <v>252</v>
      </c>
      <c r="H128">
        <v>1</v>
      </c>
      <c r="I128" t="s">
        <v>253</v>
      </c>
      <c r="J128" t="s">
        <v>252</v>
      </c>
      <c r="K128">
        <v>15</v>
      </c>
      <c r="L128" t="s">
        <v>254</v>
      </c>
      <c r="M128" t="s">
        <v>254</v>
      </c>
      <c r="N128" t="str">
        <f t="shared" si="11"/>
        <v>[1,[15]]</v>
      </c>
      <c r="O128" t="s">
        <v>374</v>
      </c>
      <c r="P128" t="str">
        <f t="shared" si="12"/>
        <v>[[1,[15]],[3,[4]],[2,[10660,10600,10540,10480,10420]]]</v>
      </c>
    </row>
    <row r="129" spans="1:16">
      <c r="A129">
        <f t="shared" si="9"/>
        <v>206201</v>
      </c>
      <c r="B129" t="s">
        <v>74</v>
      </c>
      <c r="C129">
        <f t="shared" ref="C129:C160" si="14">VLOOKUP(B129,AE:AF,2,FALSE)</f>
        <v>2062</v>
      </c>
      <c r="D129">
        <f t="shared" si="10"/>
        <v>1</v>
      </c>
      <c r="E129">
        <v>11026</v>
      </c>
      <c r="F129">
        <v>10720</v>
      </c>
      <c r="G129" t="s">
        <v>252</v>
      </c>
      <c r="H129">
        <v>1</v>
      </c>
      <c r="I129" t="s">
        <v>253</v>
      </c>
      <c r="J129" t="s">
        <v>252</v>
      </c>
      <c r="K129">
        <v>15</v>
      </c>
      <c r="L129" t="s">
        <v>254</v>
      </c>
      <c r="M129" t="s">
        <v>254</v>
      </c>
      <c r="N129" t="str">
        <f t="shared" si="11"/>
        <v>[1,[15]]</v>
      </c>
      <c r="O129" t="s">
        <v>375</v>
      </c>
      <c r="P129" t="str">
        <f t="shared" si="12"/>
        <v>[[1,[15]],[3,[4]],[2,[10720,10660,10600,10540,10480,10420]]]</v>
      </c>
    </row>
    <row r="130" spans="1:16">
      <c r="A130">
        <f t="shared" ref="A130:A179" si="15">C130*100+D130</f>
        <v>206201</v>
      </c>
      <c r="B130" t="s">
        <v>74</v>
      </c>
      <c r="C130">
        <f t="shared" si="14"/>
        <v>2062</v>
      </c>
      <c r="D130">
        <f t="shared" ref="D130:D179" si="16">IF(C130=C131,1,2)</f>
        <v>1</v>
      </c>
      <c r="E130">
        <v>11026</v>
      </c>
      <c r="F130">
        <v>10780</v>
      </c>
      <c r="G130" t="s">
        <v>252</v>
      </c>
      <c r="H130">
        <v>1</v>
      </c>
      <c r="I130" t="s">
        <v>253</v>
      </c>
      <c r="J130" t="s">
        <v>252</v>
      </c>
      <c r="K130">
        <v>15</v>
      </c>
      <c r="L130" t="s">
        <v>254</v>
      </c>
      <c r="M130" t="s">
        <v>254</v>
      </c>
      <c r="N130" t="str">
        <f t="shared" si="11"/>
        <v>[1,[15]]</v>
      </c>
      <c r="O130" t="s">
        <v>376</v>
      </c>
      <c r="P130" t="str">
        <f t="shared" si="12"/>
        <v>[[1,[15]],[3,[4]],[2,[10780,10720,10660,10600,10540,10480,10420]]]</v>
      </c>
    </row>
    <row r="131" spans="1:16">
      <c r="A131">
        <f t="shared" si="15"/>
        <v>206202</v>
      </c>
      <c r="B131" t="s">
        <v>74</v>
      </c>
      <c r="C131">
        <f t="shared" si="14"/>
        <v>2062</v>
      </c>
      <c r="D131">
        <f t="shared" si="16"/>
        <v>2</v>
      </c>
      <c r="E131">
        <v>11026</v>
      </c>
      <c r="F131">
        <v>10840</v>
      </c>
      <c r="G131" t="s">
        <v>252</v>
      </c>
      <c r="H131">
        <v>1</v>
      </c>
      <c r="I131" t="s">
        <v>253</v>
      </c>
      <c r="J131" t="s">
        <v>252</v>
      </c>
      <c r="K131">
        <v>15</v>
      </c>
      <c r="L131" t="s">
        <v>254</v>
      </c>
      <c r="M131" t="s">
        <v>254</v>
      </c>
      <c r="N131" t="str">
        <f t="shared" si="11"/>
        <v>[1,[15]]</v>
      </c>
      <c r="O131" t="s">
        <v>377</v>
      </c>
      <c r="P131" t="str">
        <f t="shared" si="12"/>
        <v>[[1,[15]],[3,[4]],[2,[10840,10780,10720,10660,10600,10540,10480,10420]]]</v>
      </c>
    </row>
    <row r="132" spans="1:16">
      <c r="A132">
        <f t="shared" si="15"/>
        <v>203101</v>
      </c>
      <c r="B132" t="s">
        <v>84</v>
      </c>
      <c r="C132">
        <f t="shared" si="14"/>
        <v>2031</v>
      </c>
      <c r="D132">
        <f t="shared" si="16"/>
        <v>1</v>
      </c>
      <c r="E132">
        <v>11011</v>
      </c>
      <c r="F132">
        <v>10090</v>
      </c>
      <c r="G132" t="s">
        <v>252</v>
      </c>
      <c r="H132">
        <v>1</v>
      </c>
      <c r="I132" t="s">
        <v>253</v>
      </c>
      <c r="J132" t="s">
        <v>252</v>
      </c>
      <c r="K132">
        <v>15</v>
      </c>
      <c r="L132" t="s">
        <v>254</v>
      </c>
      <c r="M132" t="s">
        <v>254</v>
      </c>
      <c r="N132" t="str">
        <f t="shared" si="11"/>
        <v>[1,[15]]</v>
      </c>
      <c r="O132" t="s">
        <v>378</v>
      </c>
      <c r="P132" t="str">
        <f t="shared" si="12"/>
        <v>[[1,[15]],[3,[4]],[2,[10090]]]</v>
      </c>
    </row>
    <row r="133" spans="1:16">
      <c r="A133">
        <f t="shared" si="15"/>
        <v>203102</v>
      </c>
      <c r="B133" t="s">
        <v>84</v>
      </c>
      <c r="C133">
        <f t="shared" si="14"/>
        <v>2031</v>
      </c>
      <c r="D133">
        <f t="shared" si="16"/>
        <v>2</v>
      </c>
      <c r="E133">
        <v>11011</v>
      </c>
      <c r="F133">
        <v>10150</v>
      </c>
      <c r="G133" t="s">
        <v>252</v>
      </c>
      <c r="H133">
        <v>1</v>
      </c>
      <c r="I133" t="s">
        <v>253</v>
      </c>
      <c r="J133" t="s">
        <v>252</v>
      </c>
      <c r="K133">
        <v>15</v>
      </c>
      <c r="L133" t="s">
        <v>254</v>
      </c>
      <c r="M133" t="s">
        <v>254</v>
      </c>
      <c r="N133" t="str">
        <f t="shared" si="11"/>
        <v>[1,[15]]</v>
      </c>
      <c r="O133" t="s">
        <v>379</v>
      </c>
      <c r="P133" t="str">
        <f t="shared" si="12"/>
        <v>[[1,[15]],[3,[4]],[2,[10150,10090]]]</v>
      </c>
    </row>
    <row r="134" spans="1:16">
      <c r="A134">
        <f t="shared" si="15"/>
        <v>203001</v>
      </c>
      <c r="B134" t="s">
        <v>83</v>
      </c>
      <c r="C134">
        <f t="shared" si="14"/>
        <v>2030</v>
      </c>
      <c r="D134">
        <f t="shared" si="16"/>
        <v>1</v>
      </c>
      <c r="E134">
        <v>11010</v>
      </c>
      <c r="F134">
        <v>10100</v>
      </c>
      <c r="G134" t="s">
        <v>252</v>
      </c>
      <c r="H134">
        <v>1</v>
      </c>
      <c r="I134" t="s">
        <v>253</v>
      </c>
      <c r="J134" t="s">
        <v>252</v>
      </c>
      <c r="K134">
        <v>15</v>
      </c>
      <c r="L134" t="s">
        <v>254</v>
      </c>
      <c r="M134" t="s">
        <v>254</v>
      </c>
      <c r="N134" t="str">
        <f t="shared" si="11"/>
        <v>[1,[15]]</v>
      </c>
      <c r="O134" t="s">
        <v>380</v>
      </c>
      <c r="P134" t="str">
        <f t="shared" si="12"/>
        <v>[[1,[15]],[3,[4]],[2,[10100]]]</v>
      </c>
    </row>
    <row r="135" spans="1:16">
      <c r="A135">
        <f t="shared" si="15"/>
        <v>203002</v>
      </c>
      <c r="B135" t="s">
        <v>83</v>
      </c>
      <c r="C135">
        <f t="shared" si="14"/>
        <v>2030</v>
      </c>
      <c r="D135">
        <f t="shared" si="16"/>
        <v>2</v>
      </c>
      <c r="E135">
        <v>11010</v>
      </c>
      <c r="F135">
        <v>10160</v>
      </c>
      <c r="G135" t="s">
        <v>252</v>
      </c>
      <c r="H135">
        <v>1</v>
      </c>
      <c r="I135" t="s">
        <v>253</v>
      </c>
      <c r="J135" t="s">
        <v>252</v>
      </c>
      <c r="K135">
        <v>15</v>
      </c>
      <c r="L135" t="s">
        <v>254</v>
      </c>
      <c r="M135" t="s">
        <v>254</v>
      </c>
      <c r="N135" t="str">
        <f t="shared" si="11"/>
        <v>[1,[15]]</v>
      </c>
      <c r="O135" t="s">
        <v>381</v>
      </c>
      <c r="P135" t="str">
        <f t="shared" si="12"/>
        <v>[[1,[15]],[3,[4]],[2,[10160,10100]]]</v>
      </c>
    </row>
    <row r="136" spans="1:16">
      <c r="A136">
        <f t="shared" si="15"/>
        <v>207101</v>
      </c>
      <c r="B136" t="s">
        <v>94</v>
      </c>
      <c r="C136">
        <f t="shared" si="14"/>
        <v>2071</v>
      </c>
      <c r="D136">
        <f t="shared" si="16"/>
        <v>1</v>
      </c>
      <c r="E136">
        <v>11035</v>
      </c>
      <c r="F136">
        <v>10450</v>
      </c>
      <c r="G136" t="s">
        <v>252</v>
      </c>
      <c r="H136">
        <v>1</v>
      </c>
      <c r="I136" t="s">
        <v>253</v>
      </c>
      <c r="J136" t="s">
        <v>252</v>
      </c>
      <c r="K136">
        <v>15</v>
      </c>
      <c r="L136" t="s">
        <v>254</v>
      </c>
      <c r="M136" t="s">
        <v>254</v>
      </c>
      <c r="N136" t="str">
        <f t="shared" si="11"/>
        <v>[1,[15]]</v>
      </c>
      <c r="O136" t="s">
        <v>382</v>
      </c>
      <c r="P136" t="str">
        <f t="shared" si="12"/>
        <v>[[1,[15]],[3,[4]],[2,[10450]]]</v>
      </c>
    </row>
    <row r="137" spans="1:16">
      <c r="A137">
        <f t="shared" si="15"/>
        <v>207101</v>
      </c>
      <c r="B137" t="s">
        <v>94</v>
      </c>
      <c r="C137">
        <f t="shared" si="14"/>
        <v>2071</v>
      </c>
      <c r="D137">
        <f t="shared" si="16"/>
        <v>1</v>
      </c>
      <c r="E137">
        <v>11035</v>
      </c>
      <c r="F137">
        <v>10510</v>
      </c>
      <c r="G137" t="s">
        <v>252</v>
      </c>
      <c r="H137">
        <v>1</v>
      </c>
      <c r="I137" t="s">
        <v>253</v>
      </c>
      <c r="J137" t="s">
        <v>252</v>
      </c>
      <c r="K137">
        <v>15</v>
      </c>
      <c r="L137" t="s">
        <v>254</v>
      </c>
      <c r="M137" t="s">
        <v>254</v>
      </c>
      <c r="N137" t="str">
        <f t="shared" si="11"/>
        <v>[1,[15]]</v>
      </c>
      <c r="O137" t="s">
        <v>383</v>
      </c>
      <c r="P137" t="str">
        <f t="shared" si="12"/>
        <v>[[1,[15]],[3,[4]],[2,[10510,10450]]]</v>
      </c>
    </row>
    <row r="138" spans="1:16">
      <c r="A138">
        <f t="shared" si="15"/>
        <v>207101</v>
      </c>
      <c r="B138" t="s">
        <v>94</v>
      </c>
      <c r="C138">
        <f t="shared" si="14"/>
        <v>2071</v>
      </c>
      <c r="D138">
        <f t="shared" si="16"/>
        <v>1</v>
      </c>
      <c r="E138">
        <v>11035</v>
      </c>
      <c r="F138">
        <v>10570</v>
      </c>
      <c r="G138" t="s">
        <v>252</v>
      </c>
      <c r="H138">
        <v>1</v>
      </c>
      <c r="I138" t="s">
        <v>253</v>
      </c>
      <c r="J138" t="s">
        <v>252</v>
      </c>
      <c r="K138">
        <v>15</v>
      </c>
      <c r="L138" t="s">
        <v>254</v>
      </c>
      <c r="M138" t="s">
        <v>254</v>
      </c>
      <c r="N138" t="str">
        <f t="shared" ref="N138:N179" si="17">G138&amp;H138&amp;I138&amp;J138&amp;K138&amp;L138&amp;M138</f>
        <v>[1,[15]]</v>
      </c>
      <c r="O138" t="s">
        <v>384</v>
      </c>
      <c r="P138" t="str">
        <f t="shared" ref="P138:P179" si="18">G138&amp;N138&amp;I138&amp;O138&amp;M138</f>
        <v>[[1,[15]],[3,[4]],[2,[10570,10510,10450]]]</v>
      </c>
    </row>
    <row r="139" spans="1:16">
      <c r="A139">
        <f t="shared" si="15"/>
        <v>207101</v>
      </c>
      <c r="B139" t="s">
        <v>94</v>
      </c>
      <c r="C139">
        <f t="shared" si="14"/>
        <v>2071</v>
      </c>
      <c r="D139">
        <f t="shared" si="16"/>
        <v>1</v>
      </c>
      <c r="E139">
        <v>11035</v>
      </c>
      <c r="F139">
        <v>10630</v>
      </c>
      <c r="G139" t="s">
        <v>252</v>
      </c>
      <c r="H139">
        <v>1</v>
      </c>
      <c r="I139" t="s">
        <v>253</v>
      </c>
      <c r="J139" t="s">
        <v>252</v>
      </c>
      <c r="K139">
        <v>15</v>
      </c>
      <c r="L139" t="s">
        <v>254</v>
      </c>
      <c r="M139" t="s">
        <v>254</v>
      </c>
      <c r="N139" t="str">
        <f t="shared" si="17"/>
        <v>[1,[15]]</v>
      </c>
      <c r="O139" t="s">
        <v>385</v>
      </c>
      <c r="P139" t="str">
        <f t="shared" si="18"/>
        <v>[[1,[15]],[3,[4]],[2,[10630,10570,10510,10450]]]</v>
      </c>
    </row>
    <row r="140" spans="1:16">
      <c r="A140">
        <f t="shared" si="15"/>
        <v>207101</v>
      </c>
      <c r="B140" t="s">
        <v>94</v>
      </c>
      <c r="C140">
        <f t="shared" si="14"/>
        <v>2071</v>
      </c>
      <c r="D140">
        <f t="shared" si="16"/>
        <v>1</v>
      </c>
      <c r="E140">
        <v>11035</v>
      </c>
      <c r="F140">
        <v>10690</v>
      </c>
      <c r="G140" t="s">
        <v>252</v>
      </c>
      <c r="H140">
        <v>1</v>
      </c>
      <c r="I140" t="s">
        <v>253</v>
      </c>
      <c r="J140" t="s">
        <v>252</v>
      </c>
      <c r="K140">
        <v>15</v>
      </c>
      <c r="L140" t="s">
        <v>254</v>
      </c>
      <c r="M140" t="s">
        <v>254</v>
      </c>
      <c r="N140" t="str">
        <f t="shared" si="17"/>
        <v>[1,[15]]</v>
      </c>
      <c r="O140" t="s">
        <v>386</v>
      </c>
      <c r="P140" t="str">
        <f t="shared" si="18"/>
        <v>[[1,[15]],[3,[4]],[2,[10690,10630,10570,10510,10450]]]</v>
      </c>
    </row>
    <row r="141" spans="1:16">
      <c r="A141">
        <f t="shared" si="15"/>
        <v>207101</v>
      </c>
      <c r="B141" t="s">
        <v>94</v>
      </c>
      <c r="C141">
        <f t="shared" si="14"/>
        <v>2071</v>
      </c>
      <c r="D141">
        <f t="shared" si="16"/>
        <v>1</v>
      </c>
      <c r="E141">
        <v>11035</v>
      </c>
      <c r="F141">
        <v>10750</v>
      </c>
      <c r="G141" t="s">
        <v>252</v>
      </c>
      <c r="H141">
        <v>1</v>
      </c>
      <c r="I141" t="s">
        <v>253</v>
      </c>
      <c r="J141" t="s">
        <v>252</v>
      </c>
      <c r="K141">
        <v>15</v>
      </c>
      <c r="L141" t="s">
        <v>254</v>
      </c>
      <c r="M141" t="s">
        <v>254</v>
      </c>
      <c r="N141" t="str">
        <f t="shared" si="17"/>
        <v>[1,[15]]</v>
      </c>
      <c r="O141" t="s">
        <v>387</v>
      </c>
      <c r="P141" t="str">
        <f t="shared" si="18"/>
        <v>[[1,[15]],[3,[4]],[2,[10750,10690,10630,10570,10510,10450]]]</v>
      </c>
    </row>
    <row r="142" spans="1:16">
      <c r="A142">
        <f t="shared" si="15"/>
        <v>207101</v>
      </c>
      <c r="B142" t="s">
        <v>94</v>
      </c>
      <c r="C142">
        <f t="shared" si="14"/>
        <v>2071</v>
      </c>
      <c r="D142">
        <f t="shared" si="16"/>
        <v>1</v>
      </c>
      <c r="E142">
        <v>11035</v>
      </c>
      <c r="F142">
        <v>10810</v>
      </c>
      <c r="G142" t="s">
        <v>252</v>
      </c>
      <c r="H142">
        <v>1</v>
      </c>
      <c r="I142" t="s">
        <v>253</v>
      </c>
      <c r="J142" t="s">
        <v>252</v>
      </c>
      <c r="K142">
        <v>15</v>
      </c>
      <c r="L142" t="s">
        <v>254</v>
      </c>
      <c r="M142" t="s">
        <v>254</v>
      </c>
      <c r="N142" t="str">
        <f t="shared" si="17"/>
        <v>[1,[15]]</v>
      </c>
      <c r="O142" t="s">
        <v>388</v>
      </c>
      <c r="P142" t="str">
        <f t="shared" si="18"/>
        <v>[[1,[15]],[3,[4]],[2,[10810,10750,10690,10630,10570,10510,10450]]]</v>
      </c>
    </row>
    <row r="143" spans="1:16">
      <c r="A143">
        <f t="shared" si="15"/>
        <v>207102</v>
      </c>
      <c r="B143" t="s">
        <v>94</v>
      </c>
      <c r="C143">
        <f t="shared" si="14"/>
        <v>2071</v>
      </c>
      <c r="D143">
        <f t="shared" si="16"/>
        <v>2</v>
      </c>
      <c r="E143">
        <v>11035</v>
      </c>
      <c r="F143">
        <v>10870</v>
      </c>
      <c r="G143" t="s">
        <v>252</v>
      </c>
      <c r="H143">
        <v>1</v>
      </c>
      <c r="I143" t="s">
        <v>253</v>
      </c>
      <c r="J143" t="s">
        <v>252</v>
      </c>
      <c r="K143">
        <v>15</v>
      </c>
      <c r="L143" t="s">
        <v>254</v>
      </c>
      <c r="M143" t="s">
        <v>254</v>
      </c>
      <c r="N143" t="str">
        <f t="shared" si="17"/>
        <v>[1,[15]]</v>
      </c>
      <c r="O143" t="s">
        <v>389</v>
      </c>
      <c r="P143" t="str">
        <f t="shared" si="18"/>
        <v>[[1,[15]],[3,[4]],[2,[10870,10810,10750,10690,10630,10570,10510,10450]]]</v>
      </c>
    </row>
    <row r="144" spans="1:16">
      <c r="A144">
        <f t="shared" si="15"/>
        <v>207001</v>
      </c>
      <c r="B144" t="s">
        <v>93</v>
      </c>
      <c r="C144">
        <f t="shared" si="14"/>
        <v>2070</v>
      </c>
      <c r="D144">
        <f t="shared" si="16"/>
        <v>1</v>
      </c>
      <c r="E144">
        <v>11034</v>
      </c>
      <c r="F144">
        <v>10460</v>
      </c>
      <c r="G144" t="s">
        <v>252</v>
      </c>
      <c r="H144">
        <v>1</v>
      </c>
      <c r="I144" t="s">
        <v>253</v>
      </c>
      <c r="J144" t="s">
        <v>252</v>
      </c>
      <c r="K144">
        <v>15</v>
      </c>
      <c r="L144" t="s">
        <v>254</v>
      </c>
      <c r="M144" t="s">
        <v>254</v>
      </c>
      <c r="N144" t="str">
        <f t="shared" si="17"/>
        <v>[1,[15]]</v>
      </c>
      <c r="O144" t="s">
        <v>390</v>
      </c>
      <c r="P144" t="str">
        <f t="shared" si="18"/>
        <v>[[1,[15]],[3,[4]],[2,[10460]]]</v>
      </c>
    </row>
    <row r="145" spans="1:16">
      <c r="A145">
        <f t="shared" si="15"/>
        <v>207001</v>
      </c>
      <c r="B145" t="s">
        <v>93</v>
      </c>
      <c r="C145">
        <f t="shared" si="14"/>
        <v>2070</v>
      </c>
      <c r="D145">
        <f t="shared" si="16"/>
        <v>1</v>
      </c>
      <c r="E145">
        <v>11034</v>
      </c>
      <c r="F145">
        <v>10520</v>
      </c>
      <c r="G145" t="s">
        <v>252</v>
      </c>
      <c r="H145">
        <v>1</v>
      </c>
      <c r="I145" t="s">
        <v>253</v>
      </c>
      <c r="J145" t="s">
        <v>252</v>
      </c>
      <c r="K145">
        <v>15</v>
      </c>
      <c r="L145" t="s">
        <v>254</v>
      </c>
      <c r="M145" t="s">
        <v>254</v>
      </c>
      <c r="N145" t="str">
        <f t="shared" si="17"/>
        <v>[1,[15]]</v>
      </c>
      <c r="O145" t="s">
        <v>391</v>
      </c>
      <c r="P145" t="str">
        <f t="shared" si="18"/>
        <v>[[1,[15]],[3,[4]],[2,[10520,10460]]]</v>
      </c>
    </row>
    <row r="146" spans="1:16">
      <c r="A146">
        <f t="shared" si="15"/>
        <v>207001</v>
      </c>
      <c r="B146" t="s">
        <v>93</v>
      </c>
      <c r="C146">
        <f t="shared" si="14"/>
        <v>2070</v>
      </c>
      <c r="D146">
        <f t="shared" si="16"/>
        <v>1</v>
      </c>
      <c r="E146">
        <v>11034</v>
      </c>
      <c r="F146">
        <v>10580</v>
      </c>
      <c r="G146" t="s">
        <v>252</v>
      </c>
      <c r="H146">
        <v>1</v>
      </c>
      <c r="I146" t="s">
        <v>253</v>
      </c>
      <c r="J146" t="s">
        <v>252</v>
      </c>
      <c r="K146">
        <v>15</v>
      </c>
      <c r="L146" t="s">
        <v>254</v>
      </c>
      <c r="M146" t="s">
        <v>254</v>
      </c>
      <c r="N146" t="str">
        <f t="shared" si="17"/>
        <v>[1,[15]]</v>
      </c>
      <c r="O146" t="s">
        <v>392</v>
      </c>
      <c r="P146" t="str">
        <f t="shared" si="18"/>
        <v>[[1,[15]],[3,[4]],[2,[10580,10520,10460]]]</v>
      </c>
    </row>
    <row r="147" spans="1:16">
      <c r="A147">
        <f t="shared" si="15"/>
        <v>207001</v>
      </c>
      <c r="B147" t="s">
        <v>93</v>
      </c>
      <c r="C147">
        <f t="shared" si="14"/>
        <v>2070</v>
      </c>
      <c r="D147">
        <f t="shared" si="16"/>
        <v>1</v>
      </c>
      <c r="E147">
        <v>11034</v>
      </c>
      <c r="F147">
        <v>10640</v>
      </c>
      <c r="G147" t="s">
        <v>252</v>
      </c>
      <c r="H147">
        <v>1</v>
      </c>
      <c r="I147" t="s">
        <v>253</v>
      </c>
      <c r="J147" t="s">
        <v>252</v>
      </c>
      <c r="K147">
        <v>15</v>
      </c>
      <c r="L147" t="s">
        <v>254</v>
      </c>
      <c r="M147" t="s">
        <v>254</v>
      </c>
      <c r="N147" t="str">
        <f t="shared" si="17"/>
        <v>[1,[15]]</v>
      </c>
      <c r="O147" t="s">
        <v>393</v>
      </c>
      <c r="P147" t="str">
        <f t="shared" si="18"/>
        <v>[[1,[15]],[3,[4]],[2,[10640,10580,10520,10460]]]</v>
      </c>
    </row>
    <row r="148" spans="1:16">
      <c r="A148">
        <f t="shared" si="15"/>
        <v>207001</v>
      </c>
      <c r="B148" t="s">
        <v>93</v>
      </c>
      <c r="C148">
        <f t="shared" si="14"/>
        <v>2070</v>
      </c>
      <c r="D148">
        <f t="shared" si="16"/>
        <v>1</v>
      </c>
      <c r="E148">
        <v>11034</v>
      </c>
      <c r="F148">
        <v>10700</v>
      </c>
      <c r="G148" t="s">
        <v>252</v>
      </c>
      <c r="H148">
        <v>1</v>
      </c>
      <c r="I148" t="s">
        <v>253</v>
      </c>
      <c r="J148" t="s">
        <v>252</v>
      </c>
      <c r="K148">
        <v>15</v>
      </c>
      <c r="L148" t="s">
        <v>254</v>
      </c>
      <c r="M148" t="s">
        <v>254</v>
      </c>
      <c r="N148" t="str">
        <f t="shared" si="17"/>
        <v>[1,[15]]</v>
      </c>
      <c r="O148" t="s">
        <v>394</v>
      </c>
      <c r="P148" t="str">
        <f t="shared" si="18"/>
        <v>[[1,[15]],[3,[4]],[2,[10700,10640,10580,10520,10460]]]</v>
      </c>
    </row>
    <row r="149" spans="1:16">
      <c r="A149">
        <f t="shared" si="15"/>
        <v>207001</v>
      </c>
      <c r="B149" t="s">
        <v>93</v>
      </c>
      <c r="C149">
        <f t="shared" si="14"/>
        <v>2070</v>
      </c>
      <c r="D149">
        <f t="shared" si="16"/>
        <v>1</v>
      </c>
      <c r="E149">
        <v>11034</v>
      </c>
      <c r="F149">
        <v>10760</v>
      </c>
      <c r="G149" t="s">
        <v>252</v>
      </c>
      <c r="H149">
        <v>1</v>
      </c>
      <c r="I149" t="s">
        <v>253</v>
      </c>
      <c r="J149" t="s">
        <v>252</v>
      </c>
      <c r="K149">
        <v>15</v>
      </c>
      <c r="L149" t="s">
        <v>254</v>
      </c>
      <c r="M149" t="s">
        <v>254</v>
      </c>
      <c r="N149" t="str">
        <f t="shared" si="17"/>
        <v>[1,[15]]</v>
      </c>
      <c r="O149" t="s">
        <v>395</v>
      </c>
      <c r="P149" t="str">
        <f t="shared" si="18"/>
        <v>[[1,[15]],[3,[4]],[2,[10760,10700,10640,10580,10520,10460]]]</v>
      </c>
    </row>
    <row r="150" spans="1:16">
      <c r="A150">
        <f t="shared" si="15"/>
        <v>207001</v>
      </c>
      <c r="B150" t="s">
        <v>93</v>
      </c>
      <c r="C150">
        <f t="shared" si="14"/>
        <v>2070</v>
      </c>
      <c r="D150">
        <f t="shared" si="16"/>
        <v>1</v>
      </c>
      <c r="E150">
        <v>11034</v>
      </c>
      <c r="F150">
        <v>10820</v>
      </c>
      <c r="G150" t="s">
        <v>252</v>
      </c>
      <c r="H150">
        <v>1</v>
      </c>
      <c r="I150" t="s">
        <v>253</v>
      </c>
      <c r="J150" t="s">
        <v>252</v>
      </c>
      <c r="K150">
        <v>15</v>
      </c>
      <c r="L150" t="s">
        <v>254</v>
      </c>
      <c r="M150" t="s">
        <v>254</v>
      </c>
      <c r="N150" t="str">
        <f t="shared" si="17"/>
        <v>[1,[15]]</v>
      </c>
      <c r="O150" t="s">
        <v>396</v>
      </c>
      <c r="P150" t="str">
        <f t="shared" si="18"/>
        <v>[[1,[15]],[3,[4]],[2,[10820,10760,10700,10640,10580,10520,10460]]]</v>
      </c>
    </row>
    <row r="151" spans="1:16">
      <c r="A151">
        <f t="shared" si="15"/>
        <v>207002</v>
      </c>
      <c r="B151" t="s">
        <v>93</v>
      </c>
      <c r="C151">
        <f t="shared" si="14"/>
        <v>2070</v>
      </c>
      <c r="D151">
        <f t="shared" si="16"/>
        <v>2</v>
      </c>
      <c r="E151">
        <v>11034</v>
      </c>
      <c r="F151">
        <v>10880</v>
      </c>
      <c r="G151" t="s">
        <v>252</v>
      </c>
      <c r="H151">
        <v>1</v>
      </c>
      <c r="I151" t="s">
        <v>253</v>
      </c>
      <c r="J151" t="s">
        <v>252</v>
      </c>
      <c r="K151">
        <v>15</v>
      </c>
      <c r="L151" t="s">
        <v>254</v>
      </c>
      <c r="M151" t="s">
        <v>254</v>
      </c>
      <c r="N151" t="str">
        <f t="shared" si="17"/>
        <v>[1,[15]]</v>
      </c>
      <c r="O151" t="s">
        <v>397</v>
      </c>
      <c r="P151" t="str">
        <f t="shared" si="18"/>
        <v>[[1,[15]],[3,[4]],[2,[10880,10820,10760,10700,10640,10580,10520,10460]]]</v>
      </c>
    </row>
    <row r="152" spans="1:16">
      <c r="A152">
        <f t="shared" si="15"/>
        <v>202301</v>
      </c>
      <c r="B152" t="s">
        <v>80</v>
      </c>
      <c r="C152">
        <f t="shared" si="14"/>
        <v>2023</v>
      </c>
      <c r="D152">
        <f t="shared" si="16"/>
        <v>1</v>
      </c>
      <c r="E152">
        <v>11003</v>
      </c>
      <c r="F152">
        <v>10050</v>
      </c>
      <c r="G152" t="s">
        <v>252</v>
      </c>
      <c r="H152">
        <v>1</v>
      </c>
      <c r="I152" t="s">
        <v>253</v>
      </c>
      <c r="J152" t="s">
        <v>252</v>
      </c>
      <c r="K152">
        <v>15</v>
      </c>
      <c r="L152" t="s">
        <v>254</v>
      </c>
      <c r="M152" t="s">
        <v>254</v>
      </c>
      <c r="N152" t="str">
        <f t="shared" si="17"/>
        <v>[1,[15]]</v>
      </c>
      <c r="O152" t="s">
        <v>398</v>
      </c>
      <c r="P152" t="str">
        <f t="shared" si="18"/>
        <v>[[1,[15]],[3,[4]],[2,[10050]]]</v>
      </c>
    </row>
    <row r="153" spans="1:16">
      <c r="A153">
        <f t="shared" si="15"/>
        <v>202302</v>
      </c>
      <c r="B153" t="s">
        <v>80</v>
      </c>
      <c r="C153">
        <f t="shared" si="14"/>
        <v>2023</v>
      </c>
      <c r="D153">
        <f t="shared" si="16"/>
        <v>2</v>
      </c>
      <c r="E153">
        <v>11003</v>
      </c>
      <c r="F153">
        <v>10110</v>
      </c>
      <c r="G153" t="s">
        <v>252</v>
      </c>
      <c r="H153">
        <v>1</v>
      </c>
      <c r="I153" t="s">
        <v>253</v>
      </c>
      <c r="J153" t="s">
        <v>252</v>
      </c>
      <c r="K153">
        <v>15</v>
      </c>
      <c r="L153" t="s">
        <v>254</v>
      </c>
      <c r="M153" t="s">
        <v>254</v>
      </c>
      <c r="N153" t="str">
        <f t="shared" si="17"/>
        <v>[1,[15]]</v>
      </c>
      <c r="O153" t="s">
        <v>399</v>
      </c>
      <c r="P153" t="str">
        <f t="shared" si="18"/>
        <v>[[1,[15]],[3,[4]],[2,[10110,10050]]]</v>
      </c>
    </row>
    <row r="154" spans="1:16">
      <c r="A154">
        <f t="shared" si="15"/>
        <v>202201</v>
      </c>
      <c r="B154" t="s">
        <v>79</v>
      </c>
      <c r="C154">
        <f t="shared" si="14"/>
        <v>2022</v>
      </c>
      <c r="D154">
        <f t="shared" si="16"/>
        <v>1</v>
      </c>
      <c r="E154">
        <v>11002</v>
      </c>
      <c r="F154">
        <v>10060</v>
      </c>
      <c r="G154" t="s">
        <v>252</v>
      </c>
      <c r="H154">
        <v>1</v>
      </c>
      <c r="I154" t="s">
        <v>253</v>
      </c>
      <c r="J154" t="s">
        <v>252</v>
      </c>
      <c r="K154">
        <v>15</v>
      </c>
      <c r="L154" t="s">
        <v>254</v>
      </c>
      <c r="M154" t="s">
        <v>254</v>
      </c>
      <c r="N154" t="str">
        <f t="shared" si="17"/>
        <v>[1,[15]]</v>
      </c>
      <c r="O154" t="s">
        <v>400</v>
      </c>
      <c r="P154" t="str">
        <f t="shared" si="18"/>
        <v>[[1,[15]],[3,[4]],[2,[10060]]]</v>
      </c>
    </row>
    <row r="155" spans="1:16">
      <c r="A155">
        <f t="shared" si="15"/>
        <v>202202</v>
      </c>
      <c r="B155" t="s">
        <v>79</v>
      </c>
      <c r="C155">
        <f t="shared" si="14"/>
        <v>2022</v>
      </c>
      <c r="D155">
        <f t="shared" si="16"/>
        <v>2</v>
      </c>
      <c r="E155">
        <v>11002</v>
      </c>
      <c r="F155">
        <v>10120</v>
      </c>
      <c r="G155" t="s">
        <v>252</v>
      </c>
      <c r="H155">
        <v>1</v>
      </c>
      <c r="I155" t="s">
        <v>253</v>
      </c>
      <c r="J155" t="s">
        <v>252</v>
      </c>
      <c r="K155">
        <v>15</v>
      </c>
      <c r="L155" t="s">
        <v>254</v>
      </c>
      <c r="M155" t="s">
        <v>254</v>
      </c>
      <c r="N155" t="str">
        <f t="shared" si="17"/>
        <v>[1,[15]]</v>
      </c>
      <c r="O155" t="s">
        <v>401</v>
      </c>
      <c r="P155" t="str">
        <f t="shared" si="18"/>
        <v>[[1,[15]],[3,[4]],[2,[10120,10060]]]</v>
      </c>
    </row>
    <row r="156" spans="1:16">
      <c r="A156">
        <f t="shared" si="15"/>
        <v>204701</v>
      </c>
      <c r="B156" t="s">
        <v>88</v>
      </c>
      <c r="C156">
        <f t="shared" si="14"/>
        <v>2047</v>
      </c>
      <c r="D156">
        <f t="shared" si="16"/>
        <v>1</v>
      </c>
      <c r="E156">
        <v>11019</v>
      </c>
      <c r="F156">
        <v>10190</v>
      </c>
      <c r="G156" t="s">
        <v>252</v>
      </c>
      <c r="H156">
        <v>1</v>
      </c>
      <c r="I156" t="s">
        <v>253</v>
      </c>
      <c r="J156" t="s">
        <v>252</v>
      </c>
      <c r="K156">
        <v>15</v>
      </c>
      <c r="L156" t="s">
        <v>254</v>
      </c>
      <c r="M156" t="s">
        <v>254</v>
      </c>
      <c r="N156" t="str">
        <f t="shared" si="17"/>
        <v>[1,[15]]</v>
      </c>
      <c r="O156" t="s">
        <v>402</v>
      </c>
      <c r="P156" t="str">
        <f t="shared" si="18"/>
        <v>[[1,[15]],[3,[4]],[2,[10190]]]</v>
      </c>
    </row>
    <row r="157" spans="1:16">
      <c r="A157">
        <f t="shared" si="15"/>
        <v>204701</v>
      </c>
      <c r="B157" t="s">
        <v>88</v>
      </c>
      <c r="C157">
        <f t="shared" si="14"/>
        <v>2047</v>
      </c>
      <c r="D157">
        <f t="shared" si="16"/>
        <v>1</v>
      </c>
      <c r="E157">
        <v>11019</v>
      </c>
      <c r="F157">
        <v>10250</v>
      </c>
      <c r="G157" t="s">
        <v>252</v>
      </c>
      <c r="H157">
        <v>1</v>
      </c>
      <c r="I157" t="s">
        <v>253</v>
      </c>
      <c r="J157" t="s">
        <v>252</v>
      </c>
      <c r="K157">
        <v>15</v>
      </c>
      <c r="L157" t="s">
        <v>254</v>
      </c>
      <c r="M157" t="s">
        <v>254</v>
      </c>
      <c r="N157" t="str">
        <f t="shared" si="17"/>
        <v>[1,[15]]</v>
      </c>
      <c r="O157" t="s">
        <v>403</v>
      </c>
      <c r="P157" t="str">
        <f t="shared" si="18"/>
        <v>[[1,[15]],[3,[4]],[2,[10250,10190]]]</v>
      </c>
    </row>
    <row r="158" spans="1:16">
      <c r="A158">
        <f t="shared" si="15"/>
        <v>204701</v>
      </c>
      <c r="B158" t="s">
        <v>88</v>
      </c>
      <c r="C158">
        <f t="shared" si="14"/>
        <v>2047</v>
      </c>
      <c r="D158">
        <f t="shared" si="16"/>
        <v>1</v>
      </c>
      <c r="E158">
        <v>11019</v>
      </c>
      <c r="F158">
        <v>10310</v>
      </c>
      <c r="G158" t="s">
        <v>252</v>
      </c>
      <c r="H158">
        <v>1</v>
      </c>
      <c r="I158" t="s">
        <v>253</v>
      </c>
      <c r="J158" t="s">
        <v>252</v>
      </c>
      <c r="K158">
        <v>15</v>
      </c>
      <c r="L158" t="s">
        <v>254</v>
      </c>
      <c r="M158" t="s">
        <v>254</v>
      </c>
      <c r="N158" t="str">
        <f t="shared" si="17"/>
        <v>[1,[15]]</v>
      </c>
      <c r="O158" t="s">
        <v>404</v>
      </c>
      <c r="P158" t="str">
        <f t="shared" si="18"/>
        <v>[[1,[15]],[3,[4]],[2,[10310,10250,10190]]]</v>
      </c>
    </row>
    <row r="159" spans="1:16">
      <c r="A159">
        <f t="shared" si="15"/>
        <v>204702</v>
      </c>
      <c r="B159" t="s">
        <v>88</v>
      </c>
      <c r="C159">
        <f t="shared" si="14"/>
        <v>2047</v>
      </c>
      <c r="D159">
        <f t="shared" si="16"/>
        <v>2</v>
      </c>
      <c r="E159">
        <v>11019</v>
      </c>
      <c r="F159">
        <v>10370</v>
      </c>
      <c r="G159" t="s">
        <v>252</v>
      </c>
      <c r="H159">
        <v>1</v>
      </c>
      <c r="I159" t="s">
        <v>253</v>
      </c>
      <c r="J159" t="s">
        <v>252</v>
      </c>
      <c r="K159">
        <v>15</v>
      </c>
      <c r="L159" t="s">
        <v>254</v>
      </c>
      <c r="M159" t="s">
        <v>254</v>
      </c>
      <c r="N159" t="str">
        <f t="shared" si="17"/>
        <v>[1,[15]]</v>
      </c>
      <c r="O159" t="s">
        <v>405</v>
      </c>
      <c r="P159" t="str">
        <f t="shared" si="18"/>
        <v>[[1,[15]],[3,[4]],[2,[10370,10310,10250,10190]]]</v>
      </c>
    </row>
    <row r="160" spans="1:16">
      <c r="A160">
        <f t="shared" si="15"/>
        <v>204601</v>
      </c>
      <c r="B160" t="s">
        <v>87</v>
      </c>
      <c r="C160">
        <f t="shared" si="14"/>
        <v>2046</v>
      </c>
      <c r="D160">
        <f t="shared" si="16"/>
        <v>1</v>
      </c>
      <c r="E160">
        <v>11018</v>
      </c>
      <c r="F160">
        <v>10200</v>
      </c>
      <c r="G160" t="s">
        <v>252</v>
      </c>
      <c r="H160">
        <v>1</v>
      </c>
      <c r="I160" t="s">
        <v>253</v>
      </c>
      <c r="J160" t="s">
        <v>252</v>
      </c>
      <c r="K160">
        <v>15</v>
      </c>
      <c r="L160" t="s">
        <v>254</v>
      </c>
      <c r="M160" t="s">
        <v>254</v>
      </c>
      <c r="N160" t="str">
        <f t="shared" si="17"/>
        <v>[1,[15]]</v>
      </c>
      <c r="O160" t="s">
        <v>406</v>
      </c>
      <c r="P160" t="str">
        <f t="shared" si="18"/>
        <v>[[1,[15]],[3,[4]],[2,[10200]]]</v>
      </c>
    </row>
    <row r="161" spans="1:16">
      <c r="A161">
        <f t="shared" si="15"/>
        <v>204601</v>
      </c>
      <c r="B161" t="s">
        <v>87</v>
      </c>
      <c r="C161">
        <f t="shared" ref="C161:C179" si="19">VLOOKUP(B161,AE:AF,2,FALSE)</f>
        <v>2046</v>
      </c>
      <c r="D161">
        <f t="shared" si="16"/>
        <v>1</v>
      </c>
      <c r="E161">
        <v>11018</v>
      </c>
      <c r="F161">
        <v>10260</v>
      </c>
      <c r="G161" t="s">
        <v>252</v>
      </c>
      <c r="H161">
        <v>1</v>
      </c>
      <c r="I161" t="s">
        <v>253</v>
      </c>
      <c r="J161" t="s">
        <v>252</v>
      </c>
      <c r="K161">
        <v>15</v>
      </c>
      <c r="L161" t="s">
        <v>254</v>
      </c>
      <c r="M161" t="s">
        <v>254</v>
      </c>
      <c r="N161" t="str">
        <f t="shared" si="17"/>
        <v>[1,[15]]</v>
      </c>
      <c r="O161" t="s">
        <v>407</v>
      </c>
      <c r="P161" t="str">
        <f t="shared" si="18"/>
        <v>[[1,[15]],[3,[4]],[2,[10260,10200]]]</v>
      </c>
    </row>
    <row r="162" spans="1:16">
      <c r="A162">
        <f t="shared" si="15"/>
        <v>204601</v>
      </c>
      <c r="B162" t="s">
        <v>87</v>
      </c>
      <c r="C162">
        <f t="shared" si="19"/>
        <v>2046</v>
      </c>
      <c r="D162">
        <f t="shared" si="16"/>
        <v>1</v>
      </c>
      <c r="E162">
        <v>11018</v>
      </c>
      <c r="F162">
        <v>10320</v>
      </c>
      <c r="G162" t="s">
        <v>252</v>
      </c>
      <c r="H162">
        <v>1</v>
      </c>
      <c r="I162" t="s">
        <v>253</v>
      </c>
      <c r="J162" t="s">
        <v>252</v>
      </c>
      <c r="K162">
        <v>15</v>
      </c>
      <c r="L162" t="s">
        <v>254</v>
      </c>
      <c r="M162" t="s">
        <v>254</v>
      </c>
      <c r="N162" t="str">
        <f t="shared" si="17"/>
        <v>[1,[15]]</v>
      </c>
      <c r="O162" t="s">
        <v>408</v>
      </c>
      <c r="P162" t="str">
        <f t="shared" si="18"/>
        <v>[[1,[15]],[3,[4]],[2,[10320,10260,10200]]]</v>
      </c>
    </row>
    <row r="163" spans="1:16">
      <c r="A163">
        <f t="shared" si="15"/>
        <v>204602</v>
      </c>
      <c r="B163" t="s">
        <v>87</v>
      </c>
      <c r="C163">
        <f t="shared" si="19"/>
        <v>2046</v>
      </c>
      <c r="D163">
        <f t="shared" si="16"/>
        <v>2</v>
      </c>
      <c r="E163">
        <v>11018</v>
      </c>
      <c r="F163">
        <v>10380</v>
      </c>
      <c r="G163" t="s">
        <v>252</v>
      </c>
      <c r="H163">
        <v>1</v>
      </c>
      <c r="I163" t="s">
        <v>253</v>
      </c>
      <c r="J163" t="s">
        <v>252</v>
      </c>
      <c r="K163">
        <v>15</v>
      </c>
      <c r="L163" t="s">
        <v>254</v>
      </c>
      <c r="M163" t="s">
        <v>254</v>
      </c>
      <c r="N163" t="str">
        <f t="shared" si="17"/>
        <v>[1,[15]]</v>
      </c>
      <c r="O163" t="s">
        <v>409</v>
      </c>
      <c r="P163" t="str">
        <f t="shared" si="18"/>
        <v>[[1,[15]],[3,[4]],[2,[10380,10320,10260,10200]]]</v>
      </c>
    </row>
    <row r="164" spans="1:16">
      <c r="A164">
        <f t="shared" si="15"/>
        <v>206701</v>
      </c>
      <c r="B164" t="s">
        <v>92</v>
      </c>
      <c r="C164">
        <f t="shared" si="19"/>
        <v>2067</v>
      </c>
      <c r="D164">
        <f t="shared" si="16"/>
        <v>1</v>
      </c>
      <c r="E164">
        <v>11031</v>
      </c>
      <c r="F164">
        <v>10430</v>
      </c>
      <c r="G164" t="s">
        <v>252</v>
      </c>
      <c r="H164">
        <v>1</v>
      </c>
      <c r="I164" t="s">
        <v>253</v>
      </c>
      <c r="J164" t="s">
        <v>252</v>
      </c>
      <c r="K164">
        <v>15</v>
      </c>
      <c r="L164" t="s">
        <v>254</v>
      </c>
      <c r="M164" t="s">
        <v>254</v>
      </c>
      <c r="N164" t="str">
        <f t="shared" si="17"/>
        <v>[1,[15]]</v>
      </c>
      <c r="O164" t="s">
        <v>410</v>
      </c>
      <c r="P164" t="str">
        <f t="shared" si="18"/>
        <v>[[1,[15]],[3,[4]],[2,[10430]]]</v>
      </c>
    </row>
    <row r="165" spans="1:16">
      <c r="A165">
        <f t="shared" si="15"/>
        <v>206701</v>
      </c>
      <c r="B165" t="s">
        <v>92</v>
      </c>
      <c r="C165">
        <f t="shared" si="19"/>
        <v>2067</v>
      </c>
      <c r="D165">
        <f t="shared" si="16"/>
        <v>1</v>
      </c>
      <c r="E165">
        <v>11031</v>
      </c>
      <c r="F165">
        <v>10490</v>
      </c>
      <c r="G165" t="s">
        <v>252</v>
      </c>
      <c r="H165">
        <v>1</v>
      </c>
      <c r="I165" t="s">
        <v>253</v>
      </c>
      <c r="J165" t="s">
        <v>252</v>
      </c>
      <c r="K165">
        <v>15</v>
      </c>
      <c r="L165" t="s">
        <v>254</v>
      </c>
      <c r="M165" t="s">
        <v>254</v>
      </c>
      <c r="N165" t="str">
        <f t="shared" si="17"/>
        <v>[1,[15]]</v>
      </c>
      <c r="O165" t="s">
        <v>411</v>
      </c>
      <c r="P165" t="str">
        <f t="shared" si="18"/>
        <v>[[1,[15]],[3,[4]],[2,[10490,10430]]]</v>
      </c>
    </row>
    <row r="166" spans="1:16">
      <c r="A166">
        <f t="shared" si="15"/>
        <v>206701</v>
      </c>
      <c r="B166" t="s">
        <v>92</v>
      </c>
      <c r="C166">
        <f t="shared" si="19"/>
        <v>2067</v>
      </c>
      <c r="D166">
        <f t="shared" si="16"/>
        <v>1</v>
      </c>
      <c r="E166">
        <v>11031</v>
      </c>
      <c r="F166">
        <v>10550</v>
      </c>
      <c r="G166" t="s">
        <v>252</v>
      </c>
      <c r="H166">
        <v>1</v>
      </c>
      <c r="I166" t="s">
        <v>253</v>
      </c>
      <c r="J166" t="s">
        <v>252</v>
      </c>
      <c r="K166">
        <v>15</v>
      </c>
      <c r="L166" t="s">
        <v>254</v>
      </c>
      <c r="M166" t="s">
        <v>254</v>
      </c>
      <c r="N166" t="str">
        <f t="shared" si="17"/>
        <v>[1,[15]]</v>
      </c>
      <c r="O166" t="s">
        <v>412</v>
      </c>
      <c r="P166" t="str">
        <f t="shared" si="18"/>
        <v>[[1,[15]],[3,[4]],[2,[10550,10490,10430]]]</v>
      </c>
    </row>
    <row r="167" spans="1:16">
      <c r="A167">
        <f t="shared" si="15"/>
        <v>206701</v>
      </c>
      <c r="B167" t="s">
        <v>92</v>
      </c>
      <c r="C167">
        <f t="shared" si="19"/>
        <v>2067</v>
      </c>
      <c r="D167">
        <f t="shared" si="16"/>
        <v>1</v>
      </c>
      <c r="E167">
        <v>11031</v>
      </c>
      <c r="F167">
        <v>10610</v>
      </c>
      <c r="G167" t="s">
        <v>252</v>
      </c>
      <c r="H167">
        <v>1</v>
      </c>
      <c r="I167" t="s">
        <v>253</v>
      </c>
      <c r="J167" t="s">
        <v>252</v>
      </c>
      <c r="K167">
        <v>15</v>
      </c>
      <c r="L167" t="s">
        <v>254</v>
      </c>
      <c r="M167" t="s">
        <v>254</v>
      </c>
      <c r="N167" t="str">
        <f t="shared" si="17"/>
        <v>[1,[15]]</v>
      </c>
      <c r="O167" t="s">
        <v>413</v>
      </c>
      <c r="P167" t="str">
        <f t="shared" si="18"/>
        <v>[[1,[15]],[3,[4]],[2,[10610,10550,10490,10430]]]</v>
      </c>
    </row>
    <row r="168" spans="1:16">
      <c r="A168">
        <f t="shared" si="15"/>
        <v>206701</v>
      </c>
      <c r="B168" t="s">
        <v>92</v>
      </c>
      <c r="C168">
        <f t="shared" si="19"/>
        <v>2067</v>
      </c>
      <c r="D168">
        <f t="shared" si="16"/>
        <v>1</v>
      </c>
      <c r="E168">
        <v>11031</v>
      </c>
      <c r="F168">
        <v>10670</v>
      </c>
      <c r="G168" t="s">
        <v>252</v>
      </c>
      <c r="H168">
        <v>1</v>
      </c>
      <c r="I168" t="s">
        <v>253</v>
      </c>
      <c r="J168" t="s">
        <v>252</v>
      </c>
      <c r="K168">
        <v>15</v>
      </c>
      <c r="L168" t="s">
        <v>254</v>
      </c>
      <c r="M168" t="s">
        <v>254</v>
      </c>
      <c r="N168" t="str">
        <f t="shared" si="17"/>
        <v>[1,[15]]</v>
      </c>
      <c r="O168" t="s">
        <v>414</v>
      </c>
      <c r="P168" t="str">
        <f t="shared" si="18"/>
        <v>[[1,[15]],[3,[4]],[2,[10670,10610,10550,10490,10430]]]</v>
      </c>
    </row>
    <row r="169" spans="1:16">
      <c r="A169">
        <f t="shared" si="15"/>
        <v>206701</v>
      </c>
      <c r="B169" t="s">
        <v>92</v>
      </c>
      <c r="C169">
        <f t="shared" si="19"/>
        <v>2067</v>
      </c>
      <c r="D169">
        <f t="shared" si="16"/>
        <v>1</v>
      </c>
      <c r="E169">
        <v>11031</v>
      </c>
      <c r="F169">
        <v>10730</v>
      </c>
      <c r="G169" t="s">
        <v>252</v>
      </c>
      <c r="H169">
        <v>1</v>
      </c>
      <c r="I169" t="s">
        <v>253</v>
      </c>
      <c r="J169" t="s">
        <v>252</v>
      </c>
      <c r="K169">
        <v>15</v>
      </c>
      <c r="L169" t="s">
        <v>254</v>
      </c>
      <c r="M169" t="s">
        <v>254</v>
      </c>
      <c r="N169" t="str">
        <f t="shared" si="17"/>
        <v>[1,[15]]</v>
      </c>
      <c r="O169" t="s">
        <v>415</v>
      </c>
      <c r="P169" t="str">
        <f t="shared" si="18"/>
        <v>[[1,[15]],[3,[4]],[2,[10730,10670,10610,10550,10490,10430]]]</v>
      </c>
    </row>
    <row r="170" spans="1:16">
      <c r="A170">
        <f t="shared" si="15"/>
        <v>206701</v>
      </c>
      <c r="B170" t="s">
        <v>92</v>
      </c>
      <c r="C170">
        <f t="shared" si="19"/>
        <v>2067</v>
      </c>
      <c r="D170">
        <f t="shared" si="16"/>
        <v>1</v>
      </c>
      <c r="E170">
        <v>11031</v>
      </c>
      <c r="F170">
        <v>10790</v>
      </c>
      <c r="G170" t="s">
        <v>252</v>
      </c>
      <c r="H170">
        <v>1</v>
      </c>
      <c r="I170" t="s">
        <v>253</v>
      </c>
      <c r="J170" t="s">
        <v>252</v>
      </c>
      <c r="K170">
        <v>15</v>
      </c>
      <c r="L170" t="s">
        <v>254</v>
      </c>
      <c r="M170" t="s">
        <v>254</v>
      </c>
      <c r="N170" t="str">
        <f t="shared" si="17"/>
        <v>[1,[15]]</v>
      </c>
      <c r="O170" t="s">
        <v>416</v>
      </c>
      <c r="P170" t="str">
        <f t="shared" si="18"/>
        <v>[[1,[15]],[3,[4]],[2,[10790,10730,10670,10610,10550,10490,10430]]]</v>
      </c>
    </row>
    <row r="171" spans="1:16">
      <c r="A171">
        <f t="shared" si="15"/>
        <v>206702</v>
      </c>
      <c r="B171" t="s">
        <v>92</v>
      </c>
      <c r="C171">
        <f t="shared" si="19"/>
        <v>2067</v>
      </c>
      <c r="D171">
        <f t="shared" si="16"/>
        <v>2</v>
      </c>
      <c r="E171">
        <v>11031</v>
      </c>
      <c r="F171">
        <v>10850</v>
      </c>
      <c r="G171" t="s">
        <v>252</v>
      </c>
      <c r="H171">
        <v>1</v>
      </c>
      <c r="I171" t="s">
        <v>253</v>
      </c>
      <c r="J171" t="s">
        <v>252</v>
      </c>
      <c r="K171">
        <v>15</v>
      </c>
      <c r="L171" t="s">
        <v>254</v>
      </c>
      <c r="M171" t="s">
        <v>254</v>
      </c>
      <c r="N171" t="str">
        <f t="shared" si="17"/>
        <v>[1,[15]]</v>
      </c>
      <c r="O171" t="s">
        <v>417</v>
      </c>
      <c r="P171" t="str">
        <f t="shared" si="18"/>
        <v>[[1,[15]],[3,[4]],[2,[10850,10790,10730,10670,10610,10550,10490,10430]]]</v>
      </c>
    </row>
    <row r="172" spans="1:16">
      <c r="A172">
        <f t="shared" si="15"/>
        <v>206601</v>
      </c>
      <c r="B172" t="s">
        <v>91</v>
      </c>
      <c r="C172">
        <f t="shared" si="19"/>
        <v>2066</v>
      </c>
      <c r="D172">
        <f t="shared" si="16"/>
        <v>1</v>
      </c>
      <c r="E172">
        <v>11030</v>
      </c>
      <c r="F172">
        <v>10440</v>
      </c>
      <c r="G172" t="s">
        <v>252</v>
      </c>
      <c r="H172">
        <v>1</v>
      </c>
      <c r="I172" t="s">
        <v>253</v>
      </c>
      <c r="J172" t="s">
        <v>252</v>
      </c>
      <c r="K172">
        <v>15</v>
      </c>
      <c r="L172" t="s">
        <v>254</v>
      </c>
      <c r="M172" t="s">
        <v>254</v>
      </c>
      <c r="N172" t="str">
        <f t="shared" si="17"/>
        <v>[1,[15]]</v>
      </c>
      <c r="O172" t="s">
        <v>418</v>
      </c>
      <c r="P172" t="str">
        <f t="shared" si="18"/>
        <v>[[1,[15]],[3,[4]],[2,[10440]]]</v>
      </c>
    </row>
    <row r="173" spans="1:16">
      <c r="A173">
        <f t="shared" si="15"/>
        <v>206601</v>
      </c>
      <c r="B173" t="s">
        <v>91</v>
      </c>
      <c r="C173">
        <f t="shared" si="19"/>
        <v>2066</v>
      </c>
      <c r="D173">
        <f t="shared" si="16"/>
        <v>1</v>
      </c>
      <c r="E173">
        <v>11030</v>
      </c>
      <c r="F173">
        <v>10500</v>
      </c>
      <c r="G173" t="s">
        <v>252</v>
      </c>
      <c r="H173">
        <v>1</v>
      </c>
      <c r="I173" t="s">
        <v>253</v>
      </c>
      <c r="J173" t="s">
        <v>252</v>
      </c>
      <c r="K173">
        <v>15</v>
      </c>
      <c r="L173" t="s">
        <v>254</v>
      </c>
      <c r="M173" t="s">
        <v>254</v>
      </c>
      <c r="N173" t="str">
        <f t="shared" si="17"/>
        <v>[1,[15]]</v>
      </c>
      <c r="O173" t="s">
        <v>419</v>
      </c>
      <c r="P173" t="str">
        <f t="shared" si="18"/>
        <v>[[1,[15]],[3,[4]],[2,[10500,10440]]]</v>
      </c>
    </row>
    <row r="174" spans="1:16">
      <c r="A174">
        <f t="shared" si="15"/>
        <v>206601</v>
      </c>
      <c r="B174" t="s">
        <v>91</v>
      </c>
      <c r="C174">
        <f t="shared" si="19"/>
        <v>2066</v>
      </c>
      <c r="D174">
        <f t="shared" si="16"/>
        <v>1</v>
      </c>
      <c r="E174">
        <v>11030</v>
      </c>
      <c r="F174">
        <v>10560</v>
      </c>
      <c r="G174" t="s">
        <v>252</v>
      </c>
      <c r="H174">
        <v>1</v>
      </c>
      <c r="I174" t="s">
        <v>253</v>
      </c>
      <c r="J174" t="s">
        <v>252</v>
      </c>
      <c r="K174">
        <v>15</v>
      </c>
      <c r="L174" t="s">
        <v>254</v>
      </c>
      <c r="M174" t="s">
        <v>254</v>
      </c>
      <c r="N174" t="str">
        <f t="shared" si="17"/>
        <v>[1,[15]]</v>
      </c>
      <c r="O174" t="s">
        <v>420</v>
      </c>
      <c r="P174" t="str">
        <f t="shared" si="18"/>
        <v>[[1,[15]],[3,[4]],[2,[10560,10500,10440]]]</v>
      </c>
    </row>
    <row r="175" spans="1:16">
      <c r="A175">
        <f t="shared" si="15"/>
        <v>206601</v>
      </c>
      <c r="B175" t="s">
        <v>91</v>
      </c>
      <c r="C175">
        <f t="shared" si="19"/>
        <v>2066</v>
      </c>
      <c r="D175">
        <f t="shared" si="16"/>
        <v>1</v>
      </c>
      <c r="E175">
        <v>11030</v>
      </c>
      <c r="F175">
        <v>10620</v>
      </c>
      <c r="G175" t="s">
        <v>252</v>
      </c>
      <c r="H175">
        <v>1</v>
      </c>
      <c r="I175" t="s">
        <v>253</v>
      </c>
      <c r="J175" t="s">
        <v>252</v>
      </c>
      <c r="K175">
        <v>15</v>
      </c>
      <c r="L175" t="s">
        <v>254</v>
      </c>
      <c r="M175" t="s">
        <v>254</v>
      </c>
      <c r="N175" t="str">
        <f t="shared" si="17"/>
        <v>[1,[15]]</v>
      </c>
      <c r="O175" t="s">
        <v>421</v>
      </c>
      <c r="P175" t="str">
        <f t="shared" si="18"/>
        <v>[[1,[15]],[3,[4]],[2,[10620,10560,10500,10440]]]</v>
      </c>
    </row>
    <row r="176" spans="1:16">
      <c r="A176">
        <f t="shared" si="15"/>
        <v>206601</v>
      </c>
      <c r="B176" t="s">
        <v>91</v>
      </c>
      <c r="C176">
        <f t="shared" si="19"/>
        <v>2066</v>
      </c>
      <c r="D176">
        <f t="shared" si="16"/>
        <v>1</v>
      </c>
      <c r="E176">
        <v>11030</v>
      </c>
      <c r="F176">
        <v>10680</v>
      </c>
      <c r="G176" t="s">
        <v>252</v>
      </c>
      <c r="H176">
        <v>1</v>
      </c>
      <c r="I176" t="s">
        <v>253</v>
      </c>
      <c r="J176" t="s">
        <v>252</v>
      </c>
      <c r="K176">
        <v>15</v>
      </c>
      <c r="L176" t="s">
        <v>254</v>
      </c>
      <c r="M176" t="s">
        <v>254</v>
      </c>
      <c r="N176" t="str">
        <f t="shared" si="17"/>
        <v>[1,[15]]</v>
      </c>
      <c r="O176" t="s">
        <v>422</v>
      </c>
      <c r="P176" t="str">
        <f t="shared" si="18"/>
        <v>[[1,[15]],[3,[4]],[2,[10680,10620,10560,10500,10440]]]</v>
      </c>
    </row>
    <row r="177" spans="1:16">
      <c r="A177">
        <f t="shared" si="15"/>
        <v>206601</v>
      </c>
      <c r="B177" t="s">
        <v>91</v>
      </c>
      <c r="C177">
        <f t="shared" si="19"/>
        <v>2066</v>
      </c>
      <c r="D177">
        <f t="shared" si="16"/>
        <v>1</v>
      </c>
      <c r="E177">
        <v>11030</v>
      </c>
      <c r="F177">
        <v>10740</v>
      </c>
      <c r="G177" t="s">
        <v>252</v>
      </c>
      <c r="H177">
        <v>1</v>
      </c>
      <c r="I177" t="s">
        <v>253</v>
      </c>
      <c r="J177" t="s">
        <v>252</v>
      </c>
      <c r="K177">
        <v>15</v>
      </c>
      <c r="L177" t="s">
        <v>254</v>
      </c>
      <c r="M177" t="s">
        <v>254</v>
      </c>
      <c r="N177" t="str">
        <f t="shared" si="17"/>
        <v>[1,[15]]</v>
      </c>
      <c r="O177" t="s">
        <v>423</v>
      </c>
      <c r="P177" t="str">
        <f t="shared" si="18"/>
        <v>[[1,[15]],[3,[4]],[2,[10740,10680,10620,10560,10500,10440]]]</v>
      </c>
    </row>
    <row r="178" spans="1:16">
      <c r="A178">
        <f t="shared" si="15"/>
        <v>206601</v>
      </c>
      <c r="B178" t="s">
        <v>91</v>
      </c>
      <c r="C178">
        <f t="shared" si="19"/>
        <v>2066</v>
      </c>
      <c r="D178">
        <f t="shared" si="16"/>
        <v>1</v>
      </c>
      <c r="E178">
        <v>11030</v>
      </c>
      <c r="F178">
        <v>10800</v>
      </c>
      <c r="G178" t="s">
        <v>252</v>
      </c>
      <c r="H178">
        <v>1</v>
      </c>
      <c r="I178" t="s">
        <v>253</v>
      </c>
      <c r="J178" t="s">
        <v>252</v>
      </c>
      <c r="K178">
        <v>15</v>
      </c>
      <c r="L178" t="s">
        <v>254</v>
      </c>
      <c r="M178" t="s">
        <v>254</v>
      </c>
      <c r="N178" t="str">
        <f t="shared" si="17"/>
        <v>[1,[15]]</v>
      </c>
      <c r="O178" t="s">
        <v>424</v>
      </c>
      <c r="P178" t="str">
        <f t="shared" si="18"/>
        <v>[[1,[15]],[3,[4]],[2,[10800,10740,10680,10620,10560,10500,10440]]]</v>
      </c>
    </row>
    <row r="179" spans="1:16">
      <c r="A179">
        <f t="shared" si="15"/>
        <v>206602</v>
      </c>
      <c r="B179" t="s">
        <v>91</v>
      </c>
      <c r="C179">
        <f t="shared" si="19"/>
        <v>2066</v>
      </c>
      <c r="D179">
        <f t="shared" si="16"/>
        <v>2</v>
      </c>
      <c r="E179">
        <v>11030</v>
      </c>
      <c r="F179">
        <v>10860</v>
      </c>
      <c r="G179" t="s">
        <v>252</v>
      </c>
      <c r="H179">
        <v>1</v>
      </c>
      <c r="I179" t="s">
        <v>253</v>
      </c>
      <c r="J179" t="s">
        <v>252</v>
      </c>
      <c r="K179">
        <v>15</v>
      </c>
      <c r="L179" t="s">
        <v>254</v>
      </c>
      <c r="M179" t="s">
        <v>254</v>
      </c>
      <c r="N179" t="str">
        <f t="shared" si="17"/>
        <v>[1,[15]]</v>
      </c>
      <c r="O179" t="s">
        <v>425</v>
      </c>
      <c r="P179" t="str">
        <f t="shared" si="18"/>
        <v>[[1,[15]],[3,[4]],[2,[10860,10800,10740,10680,10620,10560,10500,10440]]]</v>
      </c>
    </row>
    <row r="181" spans="1:16">
      <c r="A181">
        <v>1001601</v>
      </c>
      <c r="B181" t="s">
        <v>190</v>
      </c>
      <c r="E181">
        <v>10016</v>
      </c>
      <c r="F181">
        <v>10230</v>
      </c>
      <c r="O181" t="s">
        <v>426</v>
      </c>
    </row>
    <row r="182" spans="1:16">
      <c r="A182">
        <v>1001601</v>
      </c>
      <c r="B182" t="s">
        <v>190</v>
      </c>
      <c r="E182">
        <v>10016</v>
      </c>
      <c r="F182">
        <v>10350</v>
      </c>
      <c r="O182" t="s">
        <v>427</v>
      </c>
    </row>
    <row r="183" spans="1:16">
      <c r="A183">
        <v>1001601</v>
      </c>
      <c r="B183" t="s">
        <v>190</v>
      </c>
      <c r="E183">
        <v>10016</v>
      </c>
      <c r="F183">
        <v>10470</v>
      </c>
      <c r="O183" t="s">
        <v>428</v>
      </c>
    </row>
    <row r="184" spans="1:16">
      <c r="A184">
        <v>1001601</v>
      </c>
      <c r="B184" t="s">
        <v>190</v>
      </c>
      <c r="E184">
        <v>10016</v>
      </c>
      <c r="F184">
        <v>10590</v>
      </c>
      <c r="O184" t="s">
        <v>429</v>
      </c>
    </row>
    <row r="185" spans="1:16">
      <c r="A185">
        <v>1001601</v>
      </c>
      <c r="B185" t="s">
        <v>190</v>
      </c>
      <c r="E185">
        <v>10016</v>
      </c>
      <c r="F185">
        <v>10710</v>
      </c>
      <c r="O185" t="s">
        <v>430</v>
      </c>
    </row>
    <row r="186" spans="1:16">
      <c r="A186">
        <v>1001602</v>
      </c>
      <c r="B186" t="s">
        <v>190</v>
      </c>
      <c r="E186">
        <v>10016</v>
      </c>
      <c r="F186">
        <v>10830</v>
      </c>
      <c r="O186" t="s">
        <v>431</v>
      </c>
    </row>
    <row r="187" spans="1:16">
      <c r="A187">
        <v>1003601</v>
      </c>
      <c r="B187" t="s">
        <v>191</v>
      </c>
      <c r="E187">
        <v>10036</v>
      </c>
      <c r="F187">
        <v>10156</v>
      </c>
      <c r="O187" t="s">
        <v>432</v>
      </c>
    </row>
    <row r="188" spans="1:16">
      <c r="A188">
        <v>1003601</v>
      </c>
      <c r="B188" t="s">
        <v>191</v>
      </c>
      <c r="E188">
        <v>10036</v>
      </c>
      <c r="F188">
        <v>10316</v>
      </c>
      <c r="O188" t="s">
        <v>433</v>
      </c>
    </row>
    <row r="189" spans="1:16">
      <c r="A189">
        <v>1003601</v>
      </c>
      <c r="B189" t="s">
        <v>191</v>
      </c>
      <c r="E189">
        <v>10036</v>
      </c>
      <c r="F189">
        <v>10476</v>
      </c>
      <c r="O189" t="s">
        <v>434</v>
      </c>
    </row>
    <row r="190" spans="1:16">
      <c r="A190">
        <v>1003601</v>
      </c>
      <c r="B190" t="s">
        <v>191</v>
      </c>
      <c r="E190">
        <v>10036</v>
      </c>
      <c r="F190">
        <v>10636</v>
      </c>
      <c r="O190" t="s">
        <v>435</v>
      </c>
    </row>
    <row r="191" spans="1:16">
      <c r="A191">
        <v>1003601</v>
      </c>
      <c r="B191" t="s">
        <v>191</v>
      </c>
      <c r="E191">
        <v>10036</v>
      </c>
      <c r="F191">
        <v>10796</v>
      </c>
      <c r="O191" t="s">
        <v>436</v>
      </c>
    </row>
    <row r="192" spans="1:16">
      <c r="A192">
        <v>1003602</v>
      </c>
      <c r="B192" t="s">
        <v>191</v>
      </c>
      <c r="E192">
        <v>10036</v>
      </c>
      <c r="F192">
        <v>10099</v>
      </c>
      <c r="O192" t="s">
        <v>437</v>
      </c>
    </row>
    <row r="193" spans="1:15">
      <c r="A193">
        <v>1011801</v>
      </c>
      <c r="B193" t="s">
        <v>192</v>
      </c>
      <c r="E193">
        <v>10118</v>
      </c>
      <c r="F193">
        <v>10170</v>
      </c>
      <c r="O193" t="s">
        <v>438</v>
      </c>
    </row>
    <row r="194" spans="1:15">
      <c r="A194">
        <v>1011801</v>
      </c>
      <c r="B194" t="s">
        <v>192</v>
      </c>
      <c r="E194">
        <v>10118</v>
      </c>
      <c r="F194">
        <v>10290</v>
      </c>
      <c r="O194" t="s">
        <v>439</v>
      </c>
    </row>
    <row r="195" spans="1:15">
      <c r="A195">
        <v>1011801</v>
      </c>
      <c r="B195" t="s">
        <v>192</v>
      </c>
      <c r="E195">
        <v>10118</v>
      </c>
      <c r="F195">
        <v>10410</v>
      </c>
      <c r="O195" t="s">
        <v>440</v>
      </c>
    </row>
    <row r="196" spans="1:15">
      <c r="A196">
        <v>1011801</v>
      </c>
      <c r="B196" t="s">
        <v>192</v>
      </c>
      <c r="E196">
        <v>10118</v>
      </c>
      <c r="F196">
        <v>10530</v>
      </c>
      <c r="O196" t="s">
        <v>441</v>
      </c>
    </row>
    <row r="197" spans="1:15">
      <c r="A197">
        <v>1011801</v>
      </c>
      <c r="B197" t="s">
        <v>192</v>
      </c>
      <c r="E197">
        <v>10118</v>
      </c>
      <c r="F197">
        <v>10650</v>
      </c>
      <c r="O197" t="s">
        <v>442</v>
      </c>
    </row>
    <row r="198" spans="1:15">
      <c r="A198">
        <v>1011801</v>
      </c>
      <c r="B198" t="s">
        <v>192</v>
      </c>
      <c r="E198">
        <v>10118</v>
      </c>
      <c r="F198">
        <v>10770</v>
      </c>
      <c r="O198" t="s">
        <v>443</v>
      </c>
    </row>
    <row r="199" spans="1:15">
      <c r="A199">
        <v>1011802</v>
      </c>
      <c r="B199" t="s">
        <v>192</v>
      </c>
      <c r="E199">
        <v>10118</v>
      </c>
      <c r="F199">
        <v>10890</v>
      </c>
      <c r="O199" t="s">
        <v>444</v>
      </c>
    </row>
    <row r="200" spans="1:15">
      <c r="A200">
        <v>1000301</v>
      </c>
      <c r="B200" t="s">
        <v>193</v>
      </c>
      <c r="E200">
        <v>10003</v>
      </c>
      <c r="F200">
        <v>10200</v>
      </c>
      <c r="O200" t="s">
        <v>445</v>
      </c>
    </row>
    <row r="201" spans="1:15">
      <c r="A201">
        <v>1000301</v>
      </c>
      <c r="B201" t="s">
        <v>193</v>
      </c>
      <c r="E201">
        <v>10003</v>
      </c>
      <c r="F201">
        <v>10320</v>
      </c>
      <c r="O201" t="s">
        <v>446</v>
      </c>
    </row>
    <row r="202" spans="1:15">
      <c r="A202">
        <v>1000301</v>
      </c>
      <c r="B202" t="s">
        <v>193</v>
      </c>
      <c r="E202">
        <v>10003</v>
      </c>
      <c r="F202">
        <v>10440</v>
      </c>
      <c r="O202" t="s">
        <v>447</v>
      </c>
    </row>
    <row r="203" spans="1:15">
      <c r="A203">
        <v>1000301</v>
      </c>
      <c r="B203" t="s">
        <v>193</v>
      </c>
      <c r="E203">
        <v>10003</v>
      </c>
      <c r="F203">
        <v>10560</v>
      </c>
      <c r="O203" t="s">
        <v>448</v>
      </c>
    </row>
    <row r="204" spans="1:15">
      <c r="A204">
        <v>1000301</v>
      </c>
      <c r="B204" t="s">
        <v>193</v>
      </c>
      <c r="E204">
        <v>10003</v>
      </c>
      <c r="F204">
        <v>10680</v>
      </c>
      <c r="O204" t="s">
        <v>449</v>
      </c>
    </row>
    <row r="205" spans="1:15">
      <c r="A205">
        <v>1000302</v>
      </c>
      <c r="B205" t="s">
        <v>193</v>
      </c>
      <c r="E205">
        <v>10003</v>
      </c>
      <c r="F205">
        <v>10800</v>
      </c>
      <c r="O205" t="s">
        <v>450</v>
      </c>
    </row>
    <row r="206" spans="1:15">
      <c r="A206">
        <v>1000701</v>
      </c>
      <c r="B206" t="s">
        <v>194</v>
      </c>
      <c r="E206">
        <v>10007</v>
      </c>
      <c r="F206">
        <v>10056</v>
      </c>
      <c r="O206" t="s">
        <v>451</v>
      </c>
    </row>
    <row r="207" spans="1:15">
      <c r="A207">
        <v>1000701</v>
      </c>
      <c r="B207" t="s">
        <v>194</v>
      </c>
      <c r="E207">
        <v>10007</v>
      </c>
      <c r="F207">
        <v>10216</v>
      </c>
      <c r="O207" t="s">
        <v>452</v>
      </c>
    </row>
    <row r="208" spans="1:15">
      <c r="A208">
        <v>1000701</v>
      </c>
      <c r="B208" t="s">
        <v>194</v>
      </c>
      <c r="E208">
        <v>10007</v>
      </c>
      <c r="F208">
        <v>10376</v>
      </c>
      <c r="O208" t="s">
        <v>453</v>
      </c>
    </row>
    <row r="209" spans="1:15">
      <c r="A209">
        <v>1000701</v>
      </c>
      <c r="B209" t="s">
        <v>194</v>
      </c>
      <c r="E209">
        <v>10007</v>
      </c>
      <c r="F209">
        <v>10536</v>
      </c>
      <c r="O209" t="s">
        <v>454</v>
      </c>
    </row>
    <row r="210" spans="1:15">
      <c r="A210">
        <v>1000701</v>
      </c>
      <c r="B210" t="s">
        <v>194</v>
      </c>
      <c r="E210">
        <v>10007</v>
      </c>
      <c r="F210">
        <v>10696</v>
      </c>
      <c r="O210" t="s">
        <v>455</v>
      </c>
    </row>
    <row r="211" spans="1:15">
      <c r="A211">
        <v>1000702</v>
      </c>
      <c r="B211" t="s">
        <v>194</v>
      </c>
      <c r="E211">
        <v>10007</v>
      </c>
      <c r="F211">
        <v>10856</v>
      </c>
      <c r="O211" t="s">
        <v>456</v>
      </c>
    </row>
    <row r="212" spans="1:15">
      <c r="A212">
        <v>1003001</v>
      </c>
      <c r="B212" t="s">
        <v>195</v>
      </c>
      <c r="E212">
        <v>10030</v>
      </c>
      <c r="F212">
        <v>10086</v>
      </c>
      <c r="O212" t="s">
        <v>457</v>
      </c>
    </row>
    <row r="213" spans="1:15">
      <c r="A213">
        <v>1003001</v>
      </c>
      <c r="B213" t="s">
        <v>195</v>
      </c>
      <c r="E213">
        <v>10030</v>
      </c>
      <c r="F213">
        <v>10246</v>
      </c>
      <c r="O213" t="s">
        <v>458</v>
      </c>
    </row>
    <row r="214" spans="1:15">
      <c r="A214">
        <v>1003001</v>
      </c>
      <c r="B214" t="s">
        <v>195</v>
      </c>
      <c r="E214">
        <v>10030</v>
      </c>
      <c r="F214">
        <v>10406</v>
      </c>
      <c r="O214" t="s">
        <v>459</v>
      </c>
    </row>
    <row r="215" spans="1:15">
      <c r="A215">
        <v>1003001</v>
      </c>
      <c r="B215" t="s">
        <v>195</v>
      </c>
      <c r="E215">
        <v>10030</v>
      </c>
      <c r="F215">
        <v>10566</v>
      </c>
      <c r="O215" t="s">
        <v>460</v>
      </c>
    </row>
    <row r="216" spans="1:15">
      <c r="A216">
        <v>1003001</v>
      </c>
      <c r="B216" t="s">
        <v>195</v>
      </c>
      <c r="E216">
        <v>10030</v>
      </c>
      <c r="F216">
        <v>10726</v>
      </c>
      <c r="O216" t="s">
        <v>461</v>
      </c>
    </row>
    <row r="217" spans="1:15">
      <c r="A217">
        <v>1003002</v>
      </c>
      <c r="B217" t="s">
        <v>195</v>
      </c>
      <c r="E217">
        <v>10030</v>
      </c>
      <c r="F217">
        <v>10886</v>
      </c>
      <c r="O217" t="s">
        <v>462</v>
      </c>
    </row>
    <row r="218" spans="1:15">
      <c r="A218">
        <v>1010801</v>
      </c>
      <c r="B218" t="s">
        <v>196</v>
      </c>
      <c r="E218">
        <v>10108</v>
      </c>
      <c r="F218">
        <v>10169</v>
      </c>
      <c r="O218" t="s">
        <v>463</v>
      </c>
    </row>
    <row r="219" spans="1:15">
      <c r="A219">
        <v>1010801</v>
      </c>
      <c r="B219" t="s">
        <v>196</v>
      </c>
      <c r="E219">
        <v>10108</v>
      </c>
      <c r="F219">
        <v>10339</v>
      </c>
      <c r="O219" t="s">
        <v>464</v>
      </c>
    </row>
    <row r="220" spans="1:15">
      <c r="A220">
        <v>1010801</v>
      </c>
      <c r="B220" t="s">
        <v>196</v>
      </c>
      <c r="E220">
        <v>10108</v>
      </c>
      <c r="F220">
        <v>10509</v>
      </c>
      <c r="O220" t="s">
        <v>465</v>
      </c>
    </row>
    <row r="221" spans="1:15">
      <c r="A221">
        <v>1010801</v>
      </c>
      <c r="B221" t="s">
        <v>196</v>
      </c>
      <c r="E221">
        <v>10108</v>
      </c>
      <c r="F221">
        <v>10679</v>
      </c>
      <c r="O221" t="s">
        <v>466</v>
      </c>
    </row>
    <row r="222" spans="1:15">
      <c r="A222">
        <v>1010802</v>
      </c>
      <c r="B222" t="s">
        <v>196</v>
      </c>
      <c r="E222">
        <v>10108</v>
      </c>
      <c r="F222">
        <v>10849</v>
      </c>
      <c r="O222" t="s">
        <v>467</v>
      </c>
    </row>
    <row r="223" spans="1:15">
      <c r="A223">
        <v>1003501</v>
      </c>
      <c r="B223" t="s">
        <v>197</v>
      </c>
      <c r="E223">
        <v>10035</v>
      </c>
      <c r="F223">
        <v>10229</v>
      </c>
      <c r="O223" t="s">
        <v>468</v>
      </c>
    </row>
    <row r="224" spans="1:15">
      <c r="A224">
        <v>1003501</v>
      </c>
      <c r="B224" t="s">
        <v>197</v>
      </c>
      <c r="E224">
        <v>10035</v>
      </c>
      <c r="F224">
        <v>10399</v>
      </c>
      <c r="O224" t="s">
        <v>469</v>
      </c>
    </row>
    <row r="225" spans="1:15">
      <c r="A225">
        <v>1003501</v>
      </c>
      <c r="B225" t="s">
        <v>197</v>
      </c>
      <c r="E225">
        <v>10035</v>
      </c>
      <c r="F225">
        <v>10569</v>
      </c>
      <c r="O225" t="s">
        <v>470</v>
      </c>
    </row>
    <row r="226" spans="1:15">
      <c r="A226">
        <v>1003501</v>
      </c>
      <c r="B226" t="s">
        <v>197</v>
      </c>
      <c r="E226">
        <v>10035</v>
      </c>
      <c r="F226">
        <v>10739</v>
      </c>
      <c r="O226" t="s">
        <v>471</v>
      </c>
    </row>
    <row r="227" spans="1:15">
      <c r="A227">
        <v>1003502</v>
      </c>
      <c r="B227" t="s">
        <v>197</v>
      </c>
      <c r="E227">
        <v>10035</v>
      </c>
      <c r="F227">
        <v>10060</v>
      </c>
      <c r="O227" t="s">
        <v>472</v>
      </c>
    </row>
    <row r="228" spans="1:15">
      <c r="A228">
        <v>1010401</v>
      </c>
      <c r="B228" t="s">
        <v>198</v>
      </c>
      <c r="E228">
        <v>10104</v>
      </c>
      <c r="F228">
        <v>10126</v>
      </c>
      <c r="O228" t="s">
        <v>473</v>
      </c>
    </row>
    <row r="229" spans="1:15">
      <c r="A229">
        <v>1010401</v>
      </c>
      <c r="B229" t="s">
        <v>198</v>
      </c>
      <c r="E229">
        <v>10104</v>
      </c>
      <c r="F229">
        <v>10286</v>
      </c>
      <c r="O229" t="s">
        <v>474</v>
      </c>
    </row>
    <row r="230" spans="1:15">
      <c r="A230">
        <v>1010401</v>
      </c>
      <c r="B230" t="s">
        <v>198</v>
      </c>
      <c r="E230">
        <v>10104</v>
      </c>
      <c r="F230">
        <v>10446</v>
      </c>
      <c r="O230" t="s">
        <v>475</v>
      </c>
    </row>
    <row r="231" spans="1:15">
      <c r="A231">
        <v>1010401</v>
      </c>
      <c r="B231" t="s">
        <v>198</v>
      </c>
      <c r="E231">
        <v>10104</v>
      </c>
      <c r="F231">
        <v>10606</v>
      </c>
      <c r="O231" t="s">
        <v>476</v>
      </c>
    </row>
    <row r="232" spans="1:15">
      <c r="A232">
        <v>1010401</v>
      </c>
      <c r="B232" t="s">
        <v>198</v>
      </c>
      <c r="E232">
        <v>10104</v>
      </c>
      <c r="F232">
        <v>10766</v>
      </c>
      <c r="O232" t="s">
        <v>477</v>
      </c>
    </row>
    <row r="233" spans="1:15">
      <c r="A233">
        <v>1010402</v>
      </c>
      <c r="B233" t="s">
        <v>198</v>
      </c>
      <c r="E233">
        <v>10104</v>
      </c>
      <c r="F233">
        <v>10069</v>
      </c>
      <c r="O233" t="s">
        <v>478</v>
      </c>
    </row>
    <row r="234" spans="1:15">
      <c r="A234">
        <v>1010301</v>
      </c>
      <c r="B234" t="s">
        <v>199</v>
      </c>
      <c r="E234">
        <v>10103</v>
      </c>
      <c r="F234">
        <v>10096</v>
      </c>
      <c r="O234" t="s">
        <v>479</v>
      </c>
    </row>
    <row r="235" spans="1:15">
      <c r="A235">
        <v>1010301</v>
      </c>
      <c r="B235" t="s">
        <v>199</v>
      </c>
      <c r="E235">
        <v>10103</v>
      </c>
      <c r="F235">
        <v>10256</v>
      </c>
      <c r="O235" t="s">
        <v>480</v>
      </c>
    </row>
    <row r="236" spans="1:15">
      <c r="A236">
        <v>1010301</v>
      </c>
      <c r="B236" t="s">
        <v>199</v>
      </c>
      <c r="E236">
        <v>10103</v>
      </c>
      <c r="F236">
        <v>10416</v>
      </c>
      <c r="O236" t="s">
        <v>481</v>
      </c>
    </row>
    <row r="237" spans="1:15">
      <c r="A237">
        <v>1010301</v>
      </c>
      <c r="B237" t="s">
        <v>199</v>
      </c>
      <c r="E237">
        <v>10103</v>
      </c>
      <c r="F237">
        <v>10576</v>
      </c>
      <c r="O237" t="s">
        <v>482</v>
      </c>
    </row>
    <row r="238" spans="1:15">
      <c r="A238">
        <v>1010301</v>
      </c>
      <c r="B238" t="s">
        <v>199</v>
      </c>
      <c r="E238">
        <v>10103</v>
      </c>
      <c r="F238">
        <v>10736</v>
      </c>
      <c r="O238" t="s">
        <v>483</v>
      </c>
    </row>
    <row r="239" spans="1:15">
      <c r="A239">
        <v>1010301</v>
      </c>
      <c r="B239" t="s">
        <v>199</v>
      </c>
      <c r="E239">
        <v>10103</v>
      </c>
      <c r="F239">
        <v>10896</v>
      </c>
      <c r="O239" t="s">
        <v>484</v>
      </c>
    </row>
    <row r="240" spans="1:15">
      <c r="A240">
        <v>1010302</v>
      </c>
      <c r="B240" t="s">
        <v>199</v>
      </c>
      <c r="E240">
        <v>10103</v>
      </c>
      <c r="F240">
        <v>10038</v>
      </c>
      <c r="O240" t="s">
        <v>485</v>
      </c>
    </row>
    <row r="241" spans="1:15">
      <c r="A241">
        <v>1001001</v>
      </c>
      <c r="B241" t="s">
        <v>200</v>
      </c>
      <c r="E241">
        <v>10010</v>
      </c>
      <c r="F241">
        <v>10209</v>
      </c>
      <c r="O241" t="s">
        <v>486</v>
      </c>
    </row>
    <row r="242" spans="1:15">
      <c r="A242">
        <v>1001001</v>
      </c>
      <c r="B242" t="s">
        <v>200</v>
      </c>
      <c r="E242">
        <v>10010</v>
      </c>
      <c r="F242">
        <v>10379</v>
      </c>
      <c r="O242" t="s">
        <v>487</v>
      </c>
    </row>
    <row r="243" spans="1:15">
      <c r="A243">
        <v>1001001</v>
      </c>
      <c r="B243" t="s">
        <v>200</v>
      </c>
      <c r="E243">
        <v>10010</v>
      </c>
      <c r="F243">
        <v>10549</v>
      </c>
      <c r="O243" t="s">
        <v>488</v>
      </c>
    </row>
    <row r="244" spans="1:15">
      <c r="A244">
        <v>1001001</v>
      </c>
      <c r="B244" t="s">
        <v>200</v>
      </c>
      <c r="E244">
        <v>10010</v>
      </c>
      <c r="F244">
        <v>10719</v>
      </c>
      <c r="O244" t="s">
        <v>489</v>
      </c>
    </row>
    <row r="245" spans="1:15">
      <c r="A245">
        <v>1001002</v>
      </c>
      <c r="B245" t="s">
        <v>200</v>
      </c>
      <c r="E245">
        <v>10010</v>
      </c>
      <c r="F245">
        <v>10889</v>
      </c>
      <c r="O245" t="s">
        <v>490</v>
      </c>
    </row>
    <row r="246" spans="1:15">
      <c r="A246">
        <v>1001301</v>
      </c>
      <c r="B246" t="s">
        <v>201</v>
      </c>
      <c r="E246">
        <v>10013</v>
      </c>
      <c r="F246">
        <v>10130</v>
      </c>
      <c r="O246" t="s">
        <v>491</v>
      </c>
    </row>
    <row r="247" spans="1:15">
      <c r="A247">
        <v>1001301</v>
      </c>
      <c r="B247" t="s">
        <v>201</v>
      </c>
      <c r="E247">
        <v>10013</v>
      </c>
      <c r="F247">
        <v>10250</v>
      </c>
      <c r="O247" t="s">
        <v>492</v>
      </c>
    </row>
    <row r="248" spans="1:15">
      <c r="A248">
        <v>1001301</v>
      </c>
      <c r="B248" t="s">
        <v>201</v>
      </c>
      <c r="E248">
        <v>10013</v>
      </c>
      <c r="F248">
        <v>10370</v>
      </c>
      <c r="O248" t="s">
        <v>493</v>
      </c>
    </row>
    <row r="249" spans="1:15">
      <c r="A249">
        <v>1001301</v>
      </c>
      <c r="B249" t="s">
        <v>201</v>
      </c>
      <c r="E249">
        <v>10013</v>
      </c>
      <c r="F249">
        <v>10490</v>
      </c>
      <c r="O249" t="s">
        <v>494</v>
      </c>
    </row>
    <row r="250" spans="1:15">
      <c r="A250">
        <v>1001301</v>
      </c>
      <c r="B250" t="s">
        <v>201</v>
      </c>
      <c r="E250">
        <v>10013</v>
      </c>
      <c r="F250">
        <v>10610</v>
      </c>
      <c r="O250" t="s">
        <v>495</v>
      </c>
    </row>
    <row r="251" spans="1:15">
      <c r="A251">
        <v>1001301</v>
      </c>
      <c r="B251" t="s">
        <v>201</v>
      </c>
      <c r="E251">
        <v>10013</v>
      </c>
      <c r="F251">
        <v>10730</v>
      </c>
      <c r="O251" t="s">
        <v>496</v>
      </c>
    </row>
    <row r="252" spans="1:15">
      <c r="A252">
        <v>1001302</v>
      </c>
      <c r="B252" t="s">
        <v>201</v>
      </c>
      <c r="E252">
        <v>10013</v>
      </c>
      <c r="F252">
        <v>10850</v>
      </c>
      <c r="O252" t="s">
        <v>497</v>
      </c>
    </row>
    <row r="253" spans="1:15">
      <c r="A253">
        <v>1001801</v>
      </c>
      <c r="B253" t="s">
        <v>202</v>
      </c>
      <c r="E253">
        <v>10018</v>
      </c>
      <c r="F253">
        <v>10146</v>
      </c>
      <c r="O253" t="s">
        <v>498</v>
      </c>
    </row>
    <row r="254" spans="1:15">
      <c r="A254">
        <v>1001801</v>
      </c>
      <c r="B254" t="s">
        <v>202</v>
      </c>
      <c r="E254">
        <v>10018</v>
      </c>
      <c r="F254">
        <v>10306</v>
      </c>
      <c r="O254" t="s">
        <v>499</v>
      </c>
    </row>
    <row r="255" spans="1:15">
      <c r="A255">
        <v>1001801</v>
      </c>
      <c r="B255" t="s">
        <v>202</v>
      </c>
      <c r="E255">
        <v>10018</v>
      </c>
      <c r="F255">
        <v>10466</v>
      </c>
      <c r="O255" t="s">
        <v>500</v>
      </c>
    </row>
    <row r="256" spans="1:15">
      <c r="A256">
        <v>1001801</v>
      </c>
      <c r="B256" t="s">
        <v>202</v>
      </c>
      <c r="E256">
        <v>10018</v>
      </c>
      <c r="F256">
        <v>10626</v>
      </c>
      <c r="O256" t="s">
        <v>501</v>
      </c>
    </row>
    <row r="257" spans="1:15">
      <c r="A257">
        <v>1001801</v>
      </c>
      <c r="B257" t="s">
        <v>202</v>
      </c>
      <c r="E257">
        <v>10018</v>
      </c>
      <c r="F257">
        <v>10786</v>
      </c>
      <c r="O257" t="s">
        <v>502</v>
      </c>
    </row>
    <row r="258" spans="1:15">
      <c r="A258">
        <v>1001802</v>
      </c>
      <c r="B258" t="s">
        <v>202</v>
      </c>
      <c r="E258">
        <v>10018</v>
      </c>
      <c r="F258">
        <v>10089</v>
      </c>
      <c r="O258" t="s">
        <v>503</v>
      </c>
    </row>
    <row r="259" spans="1:15">
      <c r="A259">
        <v>1003201</v>
      </c>
      <c r="B259" t="s">
        <v>203</v>
      </c>
      <c r="E259">
        <v>10032</v>
      </c>
      <c r="F259">
        <v>10239</v>
      </c>
      <c r="O259" t="s">
        <v>504</v>
      </c>
    </row>
    <row r="260" spans="1:15">
      <c r="A260">
        <v>1003201</v>
      </c>
      <c r="B260" t="s">
        <v>203</v>
      </c>
      <c r="E260">
        <v>10032</v>
      </c>
      <c r="F260">
        <v>10409</v>
      </c>
      <c r="O260" t="s">
        <v>505</v>
      </c>
    </row>
    <row r="261" spans="1:15">
      <c r="A261">
        <v>1003201</v>
      </c>
      <c r="B261" t="s">
        <v>203</v>
      </c>
      <c r="E261">
        <v>10032</v>
      </c>
      <c r="F261">
        <v>10579</v>
      </c>
      <c r="O261" t="s">
        <v>506</v>
      </c>
    </row>
    <row r="262" spans="1:15">
      <c r="A262">
        <v>1003201</v>
      </c>
      <c r="B262" t="s">
        <v>203</v>
      </c>
      <c r="E262">
        <v>10032</v>
      </c>
      <c r="F262">
        <v>10749</v>
      </c>
      <c r="O262" t="s">
        <v>507</v>
      </c>
    </row>
    <row r="263" spans="1:15">
      <c r="A263">
        <v>1003202</v>
      </c>
      <c r="B263" t="s">
        <v>203</v>
      </c>
      <c r="E263">
        <v>10032</v>
      </c>
      <c r="F263">
        <v>10070</v>
      </c>
      <c r="O263" t="s">
        <v>508</v>
      </c>
    </row>
    <row r="264" spans="1:15">
      <c r="A264">
        <v>1011201</v>
      </c>
      <c r="B264" t="s">
        <v>204</v>
      </c>
      <c r="E264">
        <v>10112</v>
      </c>
      <c r="F264">
        <v>10150</v>
      </c>
      <c r="O264" t="s">
        <v>509</v>
      </c>
    </row>
    <row r="265" spans="1:15">
      <c r="A265">
        <v>1011201</v>
      </c>
      <c r="B265" t="s">
        <v>204</v>
      </c>
      <c r="E265">
        <v>10112</v>
      </c>
      <c r="F265">
        <v>10270</v>
      </c>
      <c r="O265" t="s">
        <v>510</v>
      </c>
    </row>
    <row r="266" spans="1:15">
      <c r="A266">
        <v>1011201</v>
      </c>
      <c r="B266" t="s">
        <v>204</v>
      </c>
      <c r="E266">
        <v>10112</v>
      </c>
      <c r="F266">
        <v>10390</v>
      </c>
      <c r="O266" t="s">
        <v>511</v>
      </c>
    </row>
    <row r="267" spans="1:15">
      <c r="A267">
        <v>1011201</v>
      </c>
      <c r="B267" t="s">
        <v>204</v>
      </c>
      <c r="E267">
        <v>10112</v>
      </c>
      <c r="F267">
        <v>10510</v>
      </c>
      <c r="O267" t="s">
        <v>512</v>
      </c>
    </row>
    <row r="268" spans="1:15">
      <c r="A268">
        <v>1011201</v>
      </c>
      <c r="B268" t="s">
        <v>204</v>
      </c>
      <c r="E268">
        <v>10112</v>
      </c>
      <c r="F268">
        <v>10630</v>
      </c>
      <c r="O268" t="s">
        <v>513</v>
      </c>
    </row>
    <row r="269" spans="1:15">
      <c r="A269">
        <v>1011201</v>
      </c>
      <c r="B269" t="s">
        <v>204</v>
      </c>
      <c r="E269">
        <v>10112</v>
      </c>
      <c r="F269">
        <v>10750</v>
      </c>
      <c r="O269" t="s">
        <v>514</v>
      </c>
    </row>
    <row r="270" spans="1:15">
      <c r="A270">
        <v>1011202</v>
      </c>
      <c r="B270" t="s">
        <v>204</v>
      </c>
      <c r="E270">
        <v>10112</v>
      </c>
      <c r="F270">
        <v>10870</v>
      </c>
      <c r="O270" t="s">
        <v>515</v>
      </c>
    </row>
    <row r="271" spans="1:15">
      <c r="A271">
        <v>1003901</v>
      </c>
      <c r="B271" t="s">
        <v>205</v>
      </c>
      <c r="E271">
        <v>10039</v>
      </c>
      <c r="F271">
        <v>10035</v>
      </c>
      <c r="O271" t="s">
        <v>516</v>
      </c>
    </row>
    <row r="272" spans="1:15">
      <c r="A272">
        <v>1003901</v>
      </c>
      <c r="B272" t="s">
        <v>205</v>
      </c>
      <c r="E272">
        <v>10039</v>
      </c>
      <c r="F272">
        <v>10196</v>
      </c>
      <c r="O272" t="s">
        <v>517</v>
      </c>
    </row>
    <row r="273" spans="1:15">
      <c r="A273">
        <v>1003901</v>
      </c>
      <c r="B273" t="s">
        <v>205</v>
      </c>
      <c r="E273">
        <v>10039</v>
      </c>
      <c r="F273">
        <v>10356</v>
      </c>
      <c r="O273" t="s">
        <v>518</v>
      </c>
    </row>
    <row r="274" spans="1:15">
      <c r="A274">
        <v>1003901</v>
      </c>
      <c r="B274" t="s">
        <v>205</v>
      </c>
      <c r="E274">
        <v>10039</v>
      </c>
      <c r="F274">
        <v>10516</v>
      </c>
      <c r="O274" t="s">
        <v>519</v>
      </c>
    </row>
    <row r="275" spans="1:15">
      <c r="A275">
        <v>1003901</v>
      </c>
      <c r="B275" t="s">
        <v>205</v>
      </c>
      <c r="E275">
        <v>10039</v>
      </c>
      <c r="F275">
        <v>10676</v>
      </c>
      <c r="O275" t="s">
        <v>520</v>
      </c>
    </row>
    <row r="276" spans="1:15">
      <c r="A276">
        <v>1003902</v>
      </c>
      <c r="B276" t="s">
        <v>205</v>
      </c>
      <c r="E276">
        <v>10039</v>
      </c>
      <c r="F276">
        <v>10836</v>
      </c>
      <c r="O276" t="s">
        <v>521</v>
      </c>
    </row>
    <row r="277" spans="1:15">
      <c r="A277">
        <v>1003401</v>
      </c>
      <c r="B277" t="s">
        <v>206</v>
      </c>
      <c r="E277">
        <v>10034</v>
      </c>
      <c r="F277">
        <v>10066</v>
      </c>
      <c r="O277" t="s">
        <v>522</v>
      </c>
    </row>
    <row r="278" spans="1:15">
      <c r="A278">
        <v>1003401</v>
      </c>
      <c r="B278" t="s">
        <v>206</v>
      </c>
      <c r="E278">
        <v>10034</v>
      </c>
      <c r="F278">
        <v>10226</v>
      </c>
      <c r="O278" t="s">
        <v>523</v>
      </c>
    </row>
    <row r="279" spans="1:15">
      <c r="A279">
        <v>1003401</v>
      </c>
      <c r="B279" t="s">
        <v>206</v>
      </c>
      <c r="E279">
        <v>10034</v>
      </c>
      <c r="F279">
        <v>10386</v>
      </c>
      <c r="O279" t="s">
        <v>524</v>
      </c>
    </row>
    <row r="280" spans="1:15">
      <c r="A280">
        <v>1003401</v>
      </c>
      <c r="B280" t="s">
        <v>206</v>
      </c>
      <c r="E280">
        <v>10034</v>
      </c>
      <c r="F280">
        <v>10546</v>
      </c>
      <c r="O280" t="s">
        <v>525</v>
      </c>
    </row>
    <row r="281" spans="1:15">
      <c r="A281">
        <v>1003401</v>
      </c>
      <c r="B281" t="s">
        <v>206</v>
      </c>
      <c r="E281">
        <v>10034</v>
      </c>
      <c r="F281">
        <v>10706</v>
      </c>
      <c r="O281" t="s">
        <v>526</v>
      </c>
    </row>
    <row r="282" spans="1:15">
      <c r="A282">
        <v>1003402</v>
      </c>
      <c r="B282" t="s">
        <v>206</v>
      </c>
      <c r="E282">
        <v>10034</v>
      </c>
      <c r="F282">
        <v>10866</v>
      </c>
      <c r="O282" t="s">
        <v>527</v>
      </c>
    </row>
    <row r="283" spans="1:15">
      <c r="A283">
        <v>1000901</v>
      </c>
      <c r="B283" t="s">
        <v>207</v>
      </c>
      <c r="E283">
        <v>10009</v>
      </c>
      <c r="F283">
        <v>10210</v>
      </c>
      <c r="O283" t="s">
        <v>528</v>
      </c>
    </row>
    <row r="284" spans="1:15">
      <c r="A284">
        <v>1000901</v>
      </c>
      <c r="B284" t="s">
        <v>207</v>
      </c>
      <c r="E284">
        <v>10009</v>
      </c>
      <c r="F284">
        <v>10330</v>
      </c>
      <c r="O284" t="s">
        <v>529</v>
      </c>
    </row>
    <row r="285" spans="1:15">
      <c r="A285">
        <v>1000901</v>
      </c>
      <c r="B285" t="s">
        <v>207</v>
      </c>
      <c r="E285">
        <v>10009</v>
      </c>
      <c r="F285">
        <v>10450</v>
      </c>
      <c r="O285" t="s">
        <v>530</v>
      </c>
    </row>
    <row r="286" spans="1:15">
      <c r="A286">
        <v>1000901</v>
      </c>
      <c r="B286" t="s">
        <v>207</v>
      </c>
      <c r="E286">
        <v>10009</v>
      </c>
      <c r="F286">
        <v>10570</v>
      </c>
      <c r="O286" t="s">
        <v>531</v>
      </c>
    </row>
    <row r="287" spans="1:15">
      <c r="A287">
        <v>1000901</v>
      </c>
      <c r="B287" t="s">
        <v>207</v>
      </c>
      <c r="E287">
        <v>10009</v>
      </c>
      <c r="F287">
        <v>10690</v>
      </c>
      <c r="O287" t="s">
        <v>532</v>
      </c>
    </row>
    <row r="288" spans="1:15">
      <c r="A288">
        <v>1000902</v>
      </c>
      <c r="B288" t="s">
        <v>207</v>
      </c>
      <c r="E288">
        <v>10009</v>
      </c>
      <c r="F288">
        <v>10810</v>
      </c>
      <c r="O288" t="s">
        <v>533</v>
      </c>
    </row>
    <row r="289" spans="1:15">
      <c r="A289">
        <v>1003301</v>
      </c>
      <c r="B289" t="s">
        <v>208</v>
      </c>
      <c r="E289">
        <v>10033</v>
      </c>
      <c r="F289">
        <v>10116</v>
      </c>
      <c r="O289" t="s">
        <v>534</v>
      </c>
    </row>
    <row r="290" spans="1:15">
      <c r="A290">
        <v>1003301</v>
      </c>
      <c r="B290" t="s">
        <v>208</v>
      </c>
      <c r="E290">
        <v>10033</v>
      </c>
      <c r="F290">
        <v>10276</v>
      </c>
      <c r="O290" t="s">
        <v>535</v>
      </c>
    </row>
    <row r="291" spans="1:15">
      <c r="A291">
        <v>1003301</v>
      </c>
      <c r="B291" t="s">
        <v>208</v>
      </c>
      <c r="E291">
        <v>10033</v>
      </c>
      <c r="F291">
        <v>10436</v>
      </c>
      <c r="O291" t="s">
        <v>536</v>
      </c>
    </row>
    <row r="292" spans="1:15">
      <c r="A292">
        <v>1003301</v>
      </c>
      <c r="B292" t="s">
        <v>208</v>
      </c>
      <c r="E292">
        <v>10033</v>
      </c>
      <c r="F292">
        <v>10596</v>
      </c>
      <c r="O292" t="s">
        <v>537</v>
      </c>
    </row>
    <row r="293" spans="1:15">
      <c r="A293">
        <v>1003301</v>
      </c>
      <c r="B293" t="s">
        <v>208</v>
      </c>
      <c r="E293">
        <v>10033</v>
      </c>
      <c r="F293">
        <v>10756</v>
      </c>
      <c r="O293" t="s">
        <v>538</v>
      </c>
    </row>
    <row r="294" spans="1:15">
      <c r="A294">
        <v>1003302</v>
      </c>
      <c r="B294" t="s">
        <v>208</v>
      </c>
      <c r="E294">
        <v>10033</v>
      </c>
      <c r="F294">
        <v>10059</v>
      </c>
      <c r="O294" t="s">
        <v>539</v>
      </c>
    </row>
    <row r="295" spans="1:15">
      <c r="A295">
        <v>1001701</v>
      </c>
      <c r="B295" t="s">
        <v>209</v>
      </c>
      <c r="E295">
        <v>10017</v>
      </c>
      <c r="F295">
        <v>10269</v>
      </c>
      <c r="O295" t="s">
        <v>540</v>
      </c>
    </row>
    <row r="296" spans="1:15">
      <c r="A296">
        <v>1001701</v>
      </c>
      <c r="B296" t="s">
        <v>209</v>
      </c>
      <c r="E296">
        <v>10017</v>
      </c>
      <c r="F296">
        <v>10439</v>
      </c>
      <c r="O296" t="s">
        <v>541</v>
      </c>
    </row>
    <row r="297" spans="1:15">
      <c r="A297">
        <v>1001701</v>
      </c>
      <c r="B297" t="s">
        <v>209</v>
      </c>
      <c r="E297">
        <v>10017</v>
      </c>
      <c r="F297">
        <v>10609</v>
      </c>
      <c r="O297" t="s">
        <v>542</v>
      </c>
    </row>
    <row r="298" spans="1:15">
      <c r="A298">
        <v>1001701</v>
      </c>
      <c r="B298" t="s">
        <v>209</v>
      </c>
      <c r="E298">
        <v>10017</v>
      </c>
      <c r="F298">
        <v>10779</v>
      </c>
      <c r="O298" t="s">
        <v>543</v>
      </c>
    </row>
    <row r="299" spans="1:15">
      <c r="A299">
        <v>1001702</v>
      </c>
      <c r="B299" t="s">
        <v>209</v>
      </c>
      <c r="E299">
        <v>10017</v>
      </c>
      <c r="F299">
        <v>10100</v>
      </c>
      <c r="O299" t="s">
        <v>544</v>
      </c>
    </row>
    <row r="300" spans="1:15">
      <c r="A300">
        <v>1001401</v>
      </c>
      <c r="B300" t="s">
        <v>210</v>
      </c>
      <c r="E300">
        <v>10014</v>
      </c>
      <c r="F300">
        <v>10199</v>
      </c>
      <c r="O300" t="s">
        <v>545</v>
      </c>
    </row>
    <row r="301" spans="1:15">
      <c r="A301">
        <v>1001401</v>
      </c>
      <c r="B301" t="s">
        <v>210</v>
      </c>
      <c r="E301">
        <v>10014</v>
      </c>
      <c r="F301">
        <v>10369</v>
      </c>
      <c r="O301" t="s">
        <v>546</v>
      </c>
    </row>
    <row r="302" spans="1:15">
      <c r="A302">
        <v>1001401</v>
      </c>
      <c r="B302" t="s">
        <v>210</v>
      </c>
      <c r="E302">
        <v>10014</v>
      </c>
      <c r="F302">
        <v>10539</v>
      </c>
      <c r="O302" t="s">
        <v>547</v>
      </c>
    </row>
    <row r="303" spans="1:15">
      <c r="A303">
        <v>1001401</v>
      </c>
      <c r="B303" t="s">
        <v>210</v>
      </c>
      <c r="E303">
        <v>10014</v>
      </c>
      <c r="F303">
        <v>10709</v>
      </c>
      <c r="O303" t="s">
        <v>548</v>
      </c>
    </row>
    <row r="304" spans="1:15">
      <c r="A304">
        <v>1001402</v>
      </c>
      <c r="B304" t="s">
        <v>210</v>
      </c>
      <c r="E304">
        <v>10014</v>
      </c>
      <c r="F304">
        <v>10879</v>
      </c>
      <c r="O304" t="s">
        <v>549</v>
      </c>
    </row>
    <row r="305" spans="1:15">
      <c r="A305">
        <v>1010501</v>
      </c>
      <c r="B305" t="s">
        <v>211</v>
      </c>
      <c r="E305">
        <v>10105</v>
      </c>
      <c r="F305">
        <v>10106</v>
      </c>
      <c r="O305" t="s">
        <v>550</v>
      </c>
    </row>
    <row r="306" spans="1:15">
      <c r="A306">
        <v>1010501</v>
      </c>
      <c r="B306" t="s">
        <v>211</v>
      </c>
      <c r="E306">
        <v>10105</v>
      </c>
      <c r="F306">
        <v>10266</v>
      </c>
      <c r="O306" t="s">
        <v>551</v>
      </c>
    </row>
    <row r="307" spans="1:15">
      <c r="A307">
        <v>1010501</v>
      </c>
      <c r="B307" t="s">
        <v>211</v>
      </c>
      <c r="E307">
        <v>10105</v>
      </c>
      <c r="F307">
        <v>10426</v>
      </c>
      <c r="O307" t="s">
        <v>552</v>
      </c>
    </row>
    <row r="308" spans="1:15">
      <c r="A308">
        <v>1010501</v>
      </c>
      <c r="B308" t="s">
        <v>211</v>
      </c>
      <c r="E308">
        <v>10105</v>
      </c>
      <c r="F308">
        <v>10586</v>
      </c>
      <c r="O308" t="s">
        <v>553</v>
      </c>
    </row>
    <row r="309" spans="1:15">
      <c r="A309">
        <v>1010501</v>
      </c>
      <c r="B309" t="s">
        <v>211</v>
      </c>
      <c r="E309">
        <v>10105</v>
      </c>
      <c r="F309">
        <v>10746</v>
      </c>
      <c r="O309" t="s">
        <v>554</v>
      </c>
    </row>
    <row r="310" spans="1:15">
      <c r="A310">
        <v>1010502</v>
      </c>
      <c r="B310" t="s">
        <v>211</v>
      </c>
      <c r="E310">
        <v>10105</v>
      </c>
      <c r="F310">
        <v>10049</v>
      </c>
      <c r="O310" t="s">
        <v>555</v>
      </c>
    </row>
    <row r="311" spans="1:15">
      <c r="A311">
        <v>1002701</v>
      </c>
      <c r="B311" t="s">
        <v>212</v>
      </c>
      <c r="E311">
        <v>10027</v>
      </c>
      <c r="F311">
        <v>10140</v>
      </c>
      <c r="O311" t="s">
        <v>556</v>
      </c>
    </row>
    <row r="312" spans="1:15">
      <c r="A312">
        <v>1002701</v>
      </c>
      <c r="B312" t="s">
        <v>212</v>
      </c>
      <c r="E312">
        <v>10027</v>
      </c>
      <c r="F312">
        <v>10260</v>
      </c>
      <c r="O312" t="s">
        <v>557</v>
      </c>
    </row>
    <row r="313" spans="1:15">
      <c r="A313">
        <v>1002701</v>
      </c>
      <c r="B313" t="s">
        <v>212</v>
      </c>
      <c r="E313">
        <v>10027</v>
      </c>
      <c r="F313">
        <v>10380</v>
      </c>
      <c r="O313" t="s">
        <v>558</v>
      </c>
    </row>
    <row r="314" spans="1:15">
      <c r="A314">
        <v>1002701</v>
      </c>
      <c r="B314" t="s">
        <v>212</v>
      </c>
      <c r="E314">
        <v>10027</v>
      </c>
      <c r="F314">
        <v>10500</v>
      </c>
      <c r="O314" t="s">
        <v>559</v>
      </c>
    </row>
    <row r="315" spans="1:15">
      <c r="A315">
        <v>1002701</v>
      </c>
      <c r="B315" t="s">
        <v>212</v>
      </c>
      <c r="E315">
        <v>10027</v>
      </c>
      <c r="F315">
        <v>10620</v>
      </c>
      <c r="O315" t="s">
        <v>560</v>
      </c>
    </row>
    <row r="316" spans="1:15">
      <c r="A316">
        <v>1002701</v>
      </c>
      <c r="B316" t="s">
        <v>212</v>
      </c>
      <c r="E316">
        <v>10027</v>
      </c>
      <c r="F316">
        <v>10740</v>
      </c>
      <c r="O316" t="s">
        <v>561</v>
      </c>
    </row>
    <row r="317" spans="1:15">
      <c r="A317">
        <v>1002702</v>
      </c>
      <c r="B317" t="s">
        <v>212</v>
      </c>
      <c r="E317">
        <v>10027</v>
      </c>
      <c r="F317">
        <v>10860</v>
      </c>
      <c r="O317" t="s">
        <v>562</v>
      </c>
    </row>
    <row r="318" spans="1:15">
      <c r="A318">
        <v>1004001</v>
      </c>
      <c r="B318" t="s">
        <v>213</v>
      </c>
      <c r="E318">
        <v>10040</v>
      </c>
      <c r="F318">
        <v>10046</v>
      </c>
      <c r="O318" t="s">
        <v>563</v>
      </c>
    </row>
    <row r="319" spans="1:15">
      <c r="A319">
        <v>1004001</v>
      </c>
      <c r="B319" t="s">
        <v>213</v>
      </c>
      <c r="E319">
        <v>10040</v>
      </c>
      <c r="F319">
        <v>10206</v>
      </c>
      <c r="O319" t="s">
        <v>564</v>
      </c>
    </row>
    <row r="320" spans="1:15">
      <c r="A320">
        <v>1004001</v>
      </c>
      <c r="B320" t="s">
        <v>213</v>
      </c>
      <c r="E320">
        <v>10040</v>
      </c>
      <c r="F320">
        <v>10366</v>
      </c>
      <c r="O320" t="s">
        <v>565</v>
      </c>
    </row>
    <row r="321" spans="1:15">
      <c r="A321">
        <v>1004001</v>
      </c>
      <c r="B321" t="s">
        <v>213</v>
      </c>
      <c r="E321">
        <v>10040</v>
      </c>
      <c r="F321">
        <v>10526</v>
      </c>
      <c r="O321" t="s">
        <v>566</v>
      </c>
    </row>
    <row r="322" spans="1:15">
      <c r="A322">
        <v>1004001</v>
      </c>
      <c r="B322" t="s">
        <v>213</v>
      </c>
      <c r="E322">
        <v>10040</v>
      </c>
      <c r="F322">
        <v>10686</v>
      </c>
      <c r="O322" t="s">
        <v>567</v>
      </c>
    </row>
    <row r="323" spans="1:15">
      <c r="A323">
        <v>1004002</v>
      </c>
      <c r="B323" t="s">
        <v>213</v>
      </c>
      <c r="E323">
        <v>10040</v>
      </c>
      <c r="F323">
        <v>10846</v>
      </c>
      <c r="O323" t="s">
        <v>568</v>
      </c>
    </row>
    <row r="324" spans="1:15">
      <c r="A324">
        <v>1010601</v>
      </c>
      <c r="B324" t="s">
        <v>214</v>
      </c>
      <c r="E324">
        <v>10106</v>
      </c>
      <c r="F324">
        <v>10076</v>
      </c>
      <c r="O324" t="s">
        <v>569</v>
      </c>
    </row>
    <row r="325" spans="1:15">
      <c r="A325">
        <v>1010601</v>
      </c>
      <c r="B325" t="s">
        <v>214</v>
      </c>
      <c r="E325">
        <v>10106</v>
      </c>
      <c r="F325">
        <v>10236</v>
      </c>
      <c r="O325" t="s">
        <v>570</v>
      </c>
    </row>
    <row r="326" spans="1:15">
      <c r="A326">
        <v>1010601</v>
      </c>
      <c r="B326" t="s">
        <v>214</v>
      </c>
      <c r="E326">
        <v>10106</v>
      </c>
      <c r="F326">
        <v>10396</v>
      </c>
      <c r="O326" t="s">
        <v>571</v>
      </c>
    </row>
    <row r="327" spans="1:15">
      <c r="A327">
        <v>1010601</v>
      </c>
      <c r="B327" t="s">
        <v>214</v>
      </c>
      <c r="E327">
        <v>10106</v>
      </c>
      <c r="F327">
        <v>10556</v>
      </c>
      <c r="O327" t="s">
        <v>572</v>
      </c>
    </row>
    <row r="328" spans="1:15">
      <c r="A328">
        <v>1010601</v>
      </c>
      <c r="B328" t="s">
        <v>214</v>
      </c>
      <c r="E328">
        <v>10106</v>
      </c>
      <c r="F328">
        <v>10716</v>
      </c>
      <c r="O328" t="s">
        <v>573</v>
      </c>
    </row>
    <row r="329" spans="1:15">
      <c r="A329">
        <v>1010602</v>
      </c>
      <c r="B329" t="s">
        <v>214</v>
      </c>
      <c r="E329">
        <v>10106</v>
      </c>
      <c r="F329">
        <v>10876</v>
      </c>
      <c r="O329" t="s">
        <v>574</v>
      </c>
    </row>
    <row r="330" spans="1:15">
      <c r="A330">
        <v>1011601</v>
      </c>
      <c r="B330" t="s">
        <v>215</v>
      </c>
      <c r="E330">
        <v>10116</v>
      </c>
      <c r="F330">
        <v>10139</v>
      </c>
      <c r="O330" t="s">
        <v>575</v>
      </c>
    </row>
    <row r="331" spans="1:15">
      <c r="A331">
        <v>1011601</v>
      </c>
      <c r="B331" t="s">
        <v>215</v>
      </c>
      <c r="E331">
        <v>10116</v>
      </c>
      <c r="F331">
        <v>10309</v>
      </c>
      <c r="O331" t="s">
        <v>576</v>
      </c>
    </row>
    <row r="332" spans="1:15">
      <c r="A332">
        <v>1011601</v>
      </c>
      <c r="B332" t="s">
        <v>215</v>
      </c>
      <c r="E332">
        <v>10116</v>
      </c>
      <c r="F332">
        <v>10479</v>
      </c>
      <c r="O332" t="s">
        <v>577</v>
      </c>
    </row>
    <row r="333" spans="1:15">
      <c r="A333">
        <v>1011601</v>
      </c>
      <c r="B333" t="s">
        <v>215</v>
      </c>
      <c r="E333">
        <v>10116</v>
      </c>
      <c r="F333">
        <v>10649</v>
      </c>
      <c r="O333" t="s">
        <v>578</v>
      </c>
    </row>
    <row r="334" spans="1:15">
      <c r="A334">
        <v>1011602</v>
      </c>
      <c r="B334" t="s">
        <v>215</v>
      </c>
      <c r="E334">
        <v>10116</v>
      </c>
      <c r="F334">
        <v>10819</v>
      </c>
      <c r="O334" t="s">
        <v>579</v>
      </c>
    </row>
    <row r="335" spans="1:15">
      <c r="A335">
        <v>1010201</v>
      </c>
      <c r="B335" t="s">
        <v>216</v>
      </c>
      <c r="E335">
        <v>10102</v>
      </c>
      <c r="F335">
        <v>10249</v>
      </c>
      <c r="O335" t="s">
        <v>580</v>
      </c>
    </row>
    <row r="336" spans="1:15">
      <c r="A336">
        <v>1010201</v>
      </c>
      <c r="B336" t="s">
        <v>216</v>
      </c>
      <c r="E336">
        <v>10102</v>
      </c>
      <c r="F336">
        <v>10419</v>
      </c>
      <c r="O336" t="s">
        <v>581</v>
      </c>
    </row>
    <row r="337" spans="1:15">
      <c r="A337">
        <v>1010201</v>
      </c>
      <c r="B337" t="s">
        <v>216</v>
      </c>
      <c r="E337">
        <v>10102</v>
      </c>
      <c r="F337">
        <v>10589</v>
      </c>
      <c r="O337" t="s">
        <v>582</v>
      </c>
    </row>
    <row r="338" spans="1:15">
      <c r="A338">
        <v>1010201</v>
      </c>
      <c r="B338" t="s">
        <v>216</v>
      </c>
      <c r="E338">
        <v>10102</v>
      </c>
      <c r="F338">
        <v>10759</v>
      </c>
      <c r="O338" t="s">
        <v>583</v>
      </c>
    </row>
    <row r="339" spans="1:15">
      <c r="A339">
        <v>1010202</v>
      </c>
      <c r="B339" t="s">
        <v>216</v>
      </c>
      <c r="E339">
        <v>10102</v>
      </c>
      <c r="F339">
        <v>10080</v>
      </c>
      <c r="O339" t="s">
        <v>584</v>
      </c>
    </row>
    <row r="340" spans="1:15">
      <c r="A340">
        <v>1002801</v>
      </c>
      <c r="B340" t="s">
        <v>217</v>
      </c>
      <c r="E340">
        <v>10028</v>
      </c>
      <c r="F340">
        <v>10136</v>
      </c>
      <c r="O340" t="s">
        <v>585</v>
      </c>
    </row>
    <row r="341" spans="1:15">
      <c r="A341">
        <v>1002801</v>
      </c>
      <c r="B341" t="s">
        <v>217</v>
      </c>
      <c r="E341">
        <v>10028</v>
      </c>
      <c r="F341">
        <v>10296</v>
      </c>
      <c r="O341" t="s">
        <v>586</v>
      </c>
    </row>
    <row r="342" spans="1:15">
      <c r="A342">
        <v>1002801</v>
      </c>
      <c r="B342" t="s">
        <v>217</v>
      </c>
      <c r="E342">
        <v>10028</v>
      </c>
      <c r="F342">
        <v>10456</v>
      </c>
      <c r="O342" t="s">
        <v>587</v>
      </c>
    </row>
    <row r="343" spans="1:15">
      <c r="A343">
        <v>1002801</v>
      </c>
      <c r="B343" t="s">
        <v>217</v>
      </c>
      <c r="E343">
        <v>10028</v>
      </c>
      <c r="F343">
        <v>10616</v>
      </c>
      <c r="O343" t="s">
        <v>588</v>
      </c>
    </row>
    <row r="344" spans="1:15">
      <c r="A344">
        <v>1002801</v>
      </c>
      <c r="B344" t="s">
        <v>217</v>
      </c>
      <c r="E344">
        <v>10028</v>
      </c>
      <c r="F344">
        <v>10776</v>
      </c>
      <c r="O344" t="s">
        <v>589</v>
      </c>
    </row>
    <row r="345" spans="1:15">
      <c r="A345">
        <v>1002802</v>
      </c>
      <c r="B345" t="s">
        <v>217</v>
      </c>
      <c r="E345">
        <v>10028</v>
      </c>
      <c r="F345">
        <v>10079</v>
      </c>
      <c r="O345" t="s">
        <v>590</v>
      </c>
    </row>
    <row r="346" spans="1:15">
      <c r="A346">
        <v>1002401</v>
      </c>
      <c r="B346" t="s">
        <v>218</v>
      </c>
      <c r="E346">
        <v>10024</v>
      </c>
      <c r="F346">
        <v>10180</v>
      </c>
      <c r="O346" t="s">
        <v>591</v>
      </c>
    </row>
    <row r="347" spans="1:15">
      <c r="A347">
        <v>1002401</v>
      </c>
      <c r="B347" t="s">
        <v>218</v>
      </c>
      <c r="E347">
        <v>10024</v>
      </c>
      <c r="F347">
        <v>10300</v>
      </c>
      <c r="O347" t="s">
        <v>592</v>
      </c>
    </row>
    <row r="348" spans="1:15">
      <c r="A348">
        <v>1002401</v>
      </c>
      <c r="B348" t="s">
        <v>218</v>
      </c>
      <c r="E348">
        <v>10024</v>
      </c>
      <c r="F348">
        <v>10420</v>
      </c>
      <c r="O348" t="s">
        <v>593</v>
      </c>
    </row>
    <row r="349" spans="1:15">
      <c r="A349">
        <v>1002401</v>
      </c>
      <c r="B349" t="s">
        <v>218</v>
      </c>
      <c r="E349">
        <v>10024</v>
      </c>
      <c r="F349">
        <v>10540</v>
      </c>
      <c r="O349" t="s">
        <v>594</v>
      </c>
    </row>
    <row r="350" spans="1:15">
      <c r="A350">
        <v>1002401</v>
      </c>
      <c r="B350" t="s">
        <v>218</v>
      </c>
      <c r="E350">
        <v>10024</v>
      </c>
      <c r="F350">
        <v>10660</v>
      </c>
      <c r="O350" t="s">
        <v>595</v>
      </c>
    </row>
    <row r="351" spans="1:15">
      <c r="A351">
        <v>1002402</v>
      </c>
      <c r="B351" t="s">
        <v>218</v>
      </c>
      <c r="E351">
        <v>10024</v>
      </c>
      <c r="F351">
        <v>10780</v>
      </c>
      <c r="O351" t="s">
        <v>596</v>
      </c>
    </row>
    <row r="352" spans="1:15">
      <c r="A352">
        <v>1012601</v>
      </c>
      <c r="B352" t="s">
        <v>219</v>
      </c>
      <c r="E352">
        <v>10126</v>
      </c>
      <c r="F352">
        <v>10186</v>
      </c>
      <c r="O352" t="s">
        <v>597</v>
      </c>
    </row>
    <row r="353" spans="1:15">
      <c r="A353">
        <v>1012601</v>
      </c>
      <c r="B353" t="s">
        <v>219</v>
      </c>
      <c r="E353">
        <v>10126</v>
      </c>
      <c r="F353">
        <v>10346</v>
      </c>
      <c r="O353" t="s">
        <v>598</v>
      </c>
    </row>
    <row r="354" spans="1:15">
      <c r="A354">
        <v>1012601</v>
      </c>
      <c r="B354" t="s">
        <v>219</v>
      </c>
      <c r="E354">
        <v>10126</v>
      </c>
      <c r="F354">
        <v>10506</v>
      </c>
      <c r="O354" t="s">
        <v>599</v>
      </c>
    </row>
    <row r="355" spans="1:15">
      <c r="A355">
        <v>1012601</v>
      </c>
      <c r="B355" t="s">
        <v>219</v>
      </c>
      <c r="E355">
        <v>10126</v>
      </c>
      <c r="F355">
        <v>10666</v>
      </c>
      <c r="O355" t="s">
        <v>600</v>
      </c>
    </row>
    <row r="356" spans="1:15">
      <c r="A356">
        <v>1012602</v>
      </c>
      <c r="B356" t="s">
        <v>219</v>
      </c>
      <c r="E356">
        <v>10126</v>
      </c>
      <c r="F356">
        <v>10826</v>
      </c>
      <c r="O356" t="s">
        <v>601</v>
      </c>
    </row>
    <row r="357" spans="1:15">
      <c r="A357">
        <v>1000601</v>
      </c>
      <c r="B357" t="s">
        <v>220</v>
      </c>
      <c r="E357">
        <v>10006</v>
      </c>
      <c r="F357">
        <v>10149</v>
      </c>
      <c r="O357" t="s">
        <v>602</v>
      </c>
    </row>
    <row r="358" spans="1:15">
      <c r="A358">
        <v>1000601</v>
      </c>
      <c r="B358" t="s">
        <v>220</v>
      </c>
      <c r="E358">
        <v>10006</v>
      </c>
      <c r="F358">
        <v>10319</v>
      </c>
      <c r="O358" t="s">
        <v>603</v>
      </c>
    </row>
    <row r="359" spans="1:15">
      <c r="A359">
        <v>1000601</v>
      </c>
      <c r="B359" t="s">
        <v>220</v>
      </c>
      <c r="E359">
        <v>10006</v>
      </c>
      <c r="F359">
        <v>10489</v>
      </c>
      <c r="O359" t="s">
        <v>604</v>
      </c>
    </row>
    <row r="360" spans="1:15">
      <c r="A360">
        <v>1000601</v>
      </c>
      <c r="B360" t="s">
        <v>220</v>
      </c>
      <c r="E360">
        <v>10006</v>
      </c>
      <c r="F360">
        <v>10659</v>
      </c>
      <c r="O360" t="s">
        <v>605</v>
      </c>
    </row>
    <row r="361" spans="1:15">
      <c r="A361">
        <v>1000602</v>
      </c>
      <c r="B361" t="s">
        <v>220</v>
      </c>
      <c r="E361">
        <v>10006</v>
      </c>
      <c r="F361">
        <v>10829</v>
      </c>
      <c r="O361" t="s">
        <v>606</v>
      </c>
    </row>
    <row r="362" spans="1:15">
      <c r="A362">
        <v>1002201</v>
      </c>
      <c r="B362" t="s">
        <v>221</v>
      </c>
      <c r="E362">
        <v>10022</v>
      </c>
      <c r="F362">
        <v>10179</v>
      </c>
      <c r="O362" t="s">
        <v>607</v>
      </c>
    </row>
    <row r="363" spans="1:15">
      <c r="A363">
        <v>1002201</v>
      </c>
      <c r="B363" t="s">
        <v>221</v>
      </c>
      <c r="E363">
        <v>10022</v>
      </c>
      <c r="F363">
        <v>10349</v>
      </c>
      <c r="O363" t="s">
        <v>608</v>
      </c>
    </row>
    <row r="364" spans="1:15">
      <c r="A364">
        <v>1002201</v>
      </c>
      <c r="B364" t="s">
        <v>221</v>
      </c>
      <c r="E364">
        <v>10022</v>
      </c>
      <c r="F364">
        <v>10519</v>
      </c>
      <c r="O364" t="s">
        <v>609</v>
      </c>
    </row>
    <row r="365" spans="1:15">
      <c r="A365">
        <v>1002201</v>
      </c>
      <c r="B365" t="s">
        <v>221</v>
      </c>
      <c r="E365">
        <v>10022</v>
      </c>
      <c r="F365">
        <v>10689</v>
      </c>
      <c r="O365" t="s">
        <v>610</v>
      </c>
    </row>
    <row r="366" spans="1:15">
      <c r="A366">
        <v>1002202</v>
      </c>
      <c r="B366" t="s">
        <v>221</v>
      </c>
      <c r="E366">
        <v>10022</v>
      </c>
      <c r="F366">
        <v>10859</v>
      </c>
      <c r="O366" t="s">
        <v>611</v>
      </c>
    </row>
    <row r="367" spans="1:15">
      <c r="A367">
        <v>1001101</v>
      </c>
      <c r="B367" t="s">
        <v>222</v>
      </c>
      <c r="E367">
        <v>10011</v>
      </c>
      <c r="F367">
        <v>10220</v>
      </c>
      <c r="O367" t="s">
        <v>612</v>
      </c>
    </row>
    <row r="368" spans="1:15">
      <c r="A368">
        <v>1001101</v>
      </c>
      <c r="B368" t="s">
        <v>222</v>
      </c>
      <c r="E368">
        <v>10011</v>
      </c>
      <c r="F368">
        <v>10340</v>
      </c>
      <c r="O368" t="s">
        <v>613</v>
      </c>
    </row>
    <row r="369" spans="1:15">
      <c r="A369">
        <v>1001101</v>
      </c>
      <c r="B369" t="s">
        <v>222</v>
      </c>
      <c r="E369">
        <v>10011</v>
      </c>
      <c r="F369">
        <v>10460</v>
      </c>
      <c r="O369" t="s">
        <v>614</v>
      </c>
    </row>
    <row r="370" spans="1:15">
      <c r="A370">
        <v>1001101</v>
      </c>
      <c r="B370" t="s">
        <v>222</v>
      </c>
      <c r="E370">
        <v>10011</v>
      </c>
      <c r="F370">
        <v>10580</v>
      </c>
      <c r="O370" t="s">
        <v>615</v>
      </c>
    </row>
    <row r="371" spans="1:15">
      <c r="A371">
        <v>1001101</v>
      </c>
      <c r="B371" t="s">
        <v>222</v>
      </c>
      <c r="E371">
        <v>10011</v>
      </c>
      <c r="F371">
        <v>10700</v>
      </c>
      <c r="O371" t="s">
        <v>616</v>
      </c>
    </row>
    <row r="372" spans="1:15">
      <c r="A372">
        <v>1001102</v>
      </c>
      <c r="B372" t="s">
        <v>222</v>
      </c>
      <c r="E372">
        <v>10011</v>
      </c>
      <c r="F372">
        <v>10820</v>
      </c>
      <c r="O372" t="s">
        <v>617</v>
      </c>
    </row>
    <row r="373" spans="1:15">
      <c r="A373">
        <v>1000501</v>
      </c>
      <c r="B373" t="s">
        <v>223</v>
      </c>
      <c r="E373">
        <v>10005</v>
      </c>
      <c r="F373">
        <v>10160</v>
      </c>
      <c r="O373" t="s">
        <v>618</v>
      </c>
    </row>
    <row r="374" spans="1:15">
      <c r="A374">
        <v>1000501</v>
      </c>
      <c r="B374" t="s">
        <v>223</v>
      </c>
      <c r="E374">
        <v>10005</v>
      </c>
      <c r="F374">
        <v>10280</v>
      </c>
      <c r="O374" t="s">
        <v>619</v>
      </c>
    </row>
    <row r="375" spans="1:15">
      <c r="A375">
        <v>1000501</v>
      </c>
      <c r="B375" t="s">
        <v>223</v>
      </c>
      <c r="E375">
        <v>10005</v>
      </c>
      <c r="F375">
        <v>10400</v>
      </c>
      <c r="O375" t="s">
        <v>620</v>
      </c>
    </row>
    <row r="376" spans="1:15">
      <c r="A376">
        <v>1000501</v>
      </c>
      <c r="B376" t="s">
        <v>223</v>
      </c>
      <c r="E376">
        <v>10005</v>
      </c>
      <c r="F376">
        <v>10520</v>
      </c>
      <c r="O376" t="s">
        <v>621</v>
      </c>
    </row>
    <row r="377" spans="1:15">
      <c r="A377">
        <v>1000501</v>
      </c>
      <c r="B377" t="s">
        <v>223</v>
      </c>
      <c r="E377">
        <v>10005</v>
      </c>
      <c r="F377">
        <v>10640</v>
      </c>
      <c r="O377" t="s">
        <v>622</v>
      </c>
    </row>
    <row r="378" spans="1:15">
      <c r="A378">
        <v>1000501</v>
      </c>
      <c r="B378" t="s">
        <v>223</v>
      </c>
      <c r="E378">
        <v>10005</v>
      </c>
      <c r="F378">
        <v>10760</v>
      </c>
      <c r="O378" t="s">
        <v>623</v>
      </c>
    </row>
    <row r="379" spans="1:15">
      <c r="A379">
        <v>1000502</v>
      </c>
      <c r="B379" t="s">
        <v>223</v>
      </c>
      <c r="E379">
        <v>10005</v>
      </c>
      <c r="F379">
        <v>10880</v>
      </c>
      <c r="O379" t="s">
        <v>624</v>
      </c>
    </row>
    <row r="380" spans="1:15">
      <c r="A380">
        <v>1002601</v>
      </c>
      <c r="B380" t="s">
        <v>224</v>
      </c>
      <c r="E380">
        <v>10026</v>
      </c>
      <c r="F380">
        <v>10190</v>
      </c>
      <c r="O380" t="s">
        <v>625</v>
      </c>
    </row>
    <row r="381" spans="1:15">
      <c r="A381">
        <v>1002601</v>
      </c>
      <c r="B381" t="s">
        <v>224</v>
      </c>
      <c r="E381">
        <v>10026</v>
      </c>
      <c r="F381">
        <v>10310</v>
      </c>
      <c r="O381" t="s">
        <v>626</v>
      </c>
    </row>
    <row r="382" spans="1:15">
      <c r="A382">
        <v>1002601</v>
      </c>
      <c r="B382" t="s">
        <v>224</v>
      </c>
      <c r="E382">
        <v>10026</v>
      </c>
      <c r="F382">
        <v>10430</v>
      </c>
      <c r="O382" t="s">
        <v>627</v>
      </c>
    </row>
    <row r="383" spans="1:15">
      <c r="A383">
        <v>1002601</v>
      </c>
      <c r="B383" t="s">
        <v>224</v>
      </c>
      <c r="E383">
        <v>10026</v>
      </c>
      <c r="F383">
        <v>10550</v>
      </c>
      <c r="O383" t="s">
        <v>628</v>
      </c>
    </row>
    <row r="384" spans="1:15">
      <c r="A384">
        <v>1002601</v>
      </c>
      <c r="B384" t="s">
        <v>224</v>
      </c>
      <c r="E384">
        <v>10026</v>
      </c>
      <c r="F384">
        <v>10670</v>
      </c>
      <c r="O384" t="s">
        <v>629</v>
      </c>
    </row>
    <row r="385" spans="1:15">
      <c r="A385">
        <v>1002602</v>
      </c>
      <c r="B385" t="s">
        <v>224</v>
      </c>
      <c r="E385">
        <v>10026</v>
      </c>
      <c r="F385">
        <v>10790</v>
      </c>
      <c r="O385" t="s">
        <v>630</v>
      </c>
    </row>
    <row r="386" spans="1:15">
      <c r="A386">
        <v>1002301</v>
      </c>
      <c r="B386" t="s">
        <v>225</v>
      </c>
      <c r="E386">
        <v>10023</v>
      </c>
      <c r="F386">
        <v>10259</v>
      </c>
      <c r="O386" t="s">
        <v>631</v>
      </c>
    </row>
    <row r="387" spans="1:15">
      <c r="A387">
        <v>1002301</v>
      </c>
      <c r="B387" t="s">
        <v>225</v>
      </c>
      <c r="E387">
        <v>10023</v>
      </c>
      <c r="F387">
        <v>10429</v>
      </c>
      <c r="O387" t="s">
        <v>632</v>
      </c>
    </row>
    <row r="388" spans="1:15">
      <c r="A388">
        <v>1002301</v>
      </c>
      <c r="B388" t="s">
        <v>225</v>
      </c>
      <c r="E388">
        <v>10023</v>
      </c>
      <c r="F388">
        <v>10599</v>
      </c>
      <c r="O388" t="s">
        <v>633</v>
      </c>
    </row>
    <row r="389" spans="1:15">
      <c r="A389">
        <v>1002301</v>
      </c>
      <c r="B389" t="s">
        <v>225</v>
      </c>
      <c r="E389">
        <v>10023</v>
      </c>
      <c r="F389">
        <v>10769</v>
      </c>
      <c r="O389" t="s">
        <v>634</v>
      </c>
    </row>
    <row r="390" spans="1:15">
      <c r="A390">
        <v>1002302</v>
      </c>
      <c r="B390" t="s">
        <v>225</v>
      </c>
      <c r="E390">
        <v>10023</v>
      </c>
      <c r="F390">
        <v>10090</v>
      </c>
      <c r="O390" t="s">
        <v>635</v>
      </c>
    </row>
    <row r="391" spans="1:15">
      <c r="A391">
        <v>1003101</v>
      </c>
      <c r="B391" t="s">
        <v>226</v>
      </c>
      <c r="E391">
        <v>10031</v>
      </c>
      <c r="F391">
        <v>10289</v>
      </c>
      <c r="O391" t="s">
        <v>636</v>
      </c>
    </row>
    <row r="392" spans="1:15">
      <c r="A392">
        <v>1003101</v>
      </c>
      <c r="B392" t="s">
        <v>226</v>
      </c>
      <c r="E392">
        <v>10031</v>
      </c>
      <c r="F392">
        <v>10459</v>
      </c>
      <c r="O392" t="s">
        <v>637</v>
      </c>
    </row>
    <row r="393" spans="1:15">
      <c r="A393">
        <v>1003101</v>
      </c>
      <c r="B393" t="s">
        <v>226</v>
      </c>
      <c r="E393">
        <v>10031</v>
      </c>
      <c r="F393">
        <v>10629</v>
      </c>
      <c r="O393" t="s">
        <v>638</v>
      </c>
    </row>
    <row r="394" spans="1:15">
      <c r="A394">
        <v>1003101</v>
      </c>
      <c r="B394" t="s">
        <v>226</v>
      </c>
      <c r="E394">
        <v>10031</v>
      </c>
      <c r="F394">
        <v>10799</v>
      </c>
      <c r="O394" t="s">
        <v>639</v>
      </c>
    </row>
    <row r="395" spans="1:15">
      <c r="A395">
        <v>1003102</v>
      </c>
      <c r="B395" t="s">
        <v>226</v>
      </c>
      <c r="E395">
        <v>10031</v>
      </c>
      <c r="F395">
        <v>10120</v>
      </c>
      <c r="O395" t="s">
        <v>640</v>
      </c>
    </row>
    <row r="396" spans="1:15">
      <c r="A396">
        <v>1010101</v>
      </c>
      <c r="B396" t="s">
        <v>227</v>
      </c>
      <c r="E396">
        <v>10101</v>
      </c>
      <c r="F396">
        <v>10279</v>
      </c>
      <c r="O396" t="s">
        <v>641</v>
      </c>
    </row>
    <row r="397" spans="1:15">
      <c r="A397">
        <v>1010101</v>
      </c>
      <c r="B397" t="s">
        <v>227</v>
      </c>
      <c r="E397">
        <v>10101</v>
      </c>
      <c r="F397">
        <v>10449</v>
      </c>
      <c r="O397" t="s">
        <v>642</v>
      </c>
    </row>
    <row r="398" spans="1:15">
      <c r="A398">
        <v>1010101</v>
      </c>
      <c r="B398" t="s">
        <v>227</v>
      </c>
      <c r="E398">
        <v>10101</v>
      </c>
      <c r="F398">
        <v>10619</v>
      </c>
      <c r="O398" t="s">
        <v>643</v>
      </c>
    </row>
    <row r="399" spans="1:15">
      <c r="A399">
        <v>1010101</v>
      </c>
      <c r="B399" t="s">
        <v>227</v>
      </c>
      <c r="E399">
        <v>10101</v>
      </c>
      <c r="F399">
        <v>10789</v>
      </c>
      <c r="O399" t="s">
        <v>644</v>
      </c>
    </row>
    <row r="400" spans="1:15">
      <c r="A400">
        <v>1010102</v>
      </c>
      <c r="B400" t="s">
        <v>227</v>
      </c>
      <c r="E400">
        <v>10101</v>
      </c>
      <c r="F400">
        <v>10110</v>
      </c>
      <c r="O400" t="s">
        <v>645</v>
      </c>
    </row>
    <row r="401" spans="1:15">
      <c r="A401">
        <v>1001501</v>
      </c>
      <c r="B401" t="s">
        <v>228</v>
      </c>
      <c r="E401">
        <v>10015</v>
      </c>
      <c r="F401">
        <v>10159</v>
      </c>
      <c r="O401" t="s">
        <v>646</v>
      </c>
    </row>
    <row r="402" spans="1:15">
      <c r="A402">
        <v>1001501</v>
      </c>
      <c r="B402" t="s">
        <v>228</v>
      </c>
      <c r="E402">
        <v>10015</v>
      </c>
      <c r="F402">
        <v>10329</v>
      </c>
      <c r="O402" t="s">
        <v>647</v>
      </c>
    </row>
    <row r="403" spans="1:15">
      <c r="A403">
        <v>1001501</v>
      </c>
      <c r="B403" t="s">
        <v>228</v>
      </c>
      <c r="E403">
        <v>10015</v>
      </c>
      <c r="F403">
        <v>10499</v>
      </c>
      <c r="O403" t="s">
        <v>648</v>
      </c>
    </row>
    <row r="404" spans="1:15">
      <c r="A404">
        <v>1001501</v>
      </c>
      <c r="B404" t="s">
        <v>228</v>
      </c>
      <c r="E404">
        <v>10015</v>
      </c>
      <c r="F404">
        <v>10669</v>
      </c>
      <c r="O404" t="s">
        <v>649</v>
      </c>
    </row>
    <row r="405" spans="1:15">
      <c r="A405">
        <v>1001502</v>
      </c>
      <c r="B405" t="s">
        <v>228</v>
      </c>
      <c r="E405">
        <v>10015</v>
      </c>
      <c r="F405">
        <v>10839</v>
      </c>
      <c r="O405" t="s">
        <v>650</v>
      </c>
    </row>
    <row r="406" spans="1:15">
      <c r="A406">
        <v>1010701</v>
      </c>
      <c r="B406" t="s">
        <v>229</v>
      </c>
      <c r="E406">
        <v>10107</v>
      </c>
      <c r="F406">
        <v>10189</v>
      </c>
      <c r="O406" t="s">
        <v>651</v>
      </c>
    </row>
    <row r="407" spans="1:15">
      <c r="A407">
        <v>1010701</v>
      </c>
      <c r="B407" t="s">
        <v>229</v>
      </c>
      <c r="E407">
        <v>10107</v>
      </c>
      <c r="F407">
        <v>10359</v>
      </c>
      <c r="O407" t="s">
        <v>652</v>
      </c>
    </row>
    <row r="408" spans="1:15">
      <c r="A408">
        <v>1010701</v>
      </c>
      <c r="B408" t="s">
        <v>229</v>
      </c>
      <c r="E408">
        <v>10107</v>
      </c>
      <c r="F408">
        <v>10529</v>
      </c>
      <c r="O408" t="s">
        <v>653</v>
      </c>
    </row>
    <row r="409" spans="1:15">
      <c r="A409">
        <v>1010701</v>
      </c>
      <c r="B409" t="s">
        <v>229</v>
      </c>
      <c r="E409">
        <v>10107</v>
      </c>
      <c r="F409">
        <v>10699</v>
      </c>
      <c r="O409" t="s">
        <v>654</v>
      </c>
    </row>
    <row r="410" spans="1:15">
      <c r="A410">
        <v>1010702</v>
      </c>
      <c r="B410" t="s">
        <v>229</v>
      </c>
      <c r="E410">
        <v>10107</v>
      </c>
      <c r="F410">
        <v>10869</v>
      </c>
      <c r="O410" t="s">
        <v>655</v>
      </c>
    </row>
    <row r="411" spans="1:15">
      <c r="A411">
        <v>1000401</v>
      </c>
      <c r="B411" t="s">
        <v>230</v>
      </c>
      <c r="E411">
        <v>10004</v>
      </c>
      <c r="F411">
        <v>10219</v>
      </c>
      <c r="O411" t="s">
        <v>656</v>
      </c>
    </row>
    <row r="412" spans="1:15">
      <c r="A412">
        <v>1000401</v>
      </c>
      <c r="B412" t="s">
        <v>230</v>
      </c>
      <c r="E412">
        <v>10004</v>
      </c>
      <c r="F412">
        <v>10389</v>
      </c>
      <c r="O412" t="s">
        <v>657</v>
      </c>
    </row>
    <row r="413" spans="1:15">
      <c r="A413">
        <v>1000401</v>
      </c>
      <c r="B413" t="s">
        <v>230</v>
      </c>
      <c r="E413">
        <v>10004</v>
      </c>
      <c r="F413">
        <v>10559</v>
      </c>
      <c r="O413" t="s">
        <v>658</v>
      </c>
    </row>
    <row r="414" spans="1:15">
      <c r="A414">
        <v>1000401</v>
      </c>
      <c r="B414" t="s">
        <v>230</v>
      </c>
      <c r="E414">
        <v>10004</v>
      </c>
      <c r="F414">
        <v>10729</v>
      </c>
      <c r="O414" t="s">
        <v>659</v>
      </c>
    </row>
    <row r="415" spans="1:15">
      <c r="A415">
        <v>1000401</v>
      </c>
      <c r="B415" t="s">
        <v>230</v>
      </c>
      <c r="E415">
        <v>10004</v>
      </c>
      <c r="F415">
        <v>10899</v>
      </c>
      <c r="O415" t="s">
        <v>660</v>
      </c>
    </row>
    <row r="416" spans="1:15">
      <c r="A416">
        <v>1000402</v>
      </c>
      <c r="B416" t="s">
        <v>230</v>
      </c>
      <c r="E416">
        <v>10004</v>
      </c>
      <c r="F416">
        <v>10050</v>
      </c>
      <c r="O416" t="s">
        <v>661</v>
      </c>
    </row>
    <row r="417" spans="1:15">
      <c r="A417">
        <v>1003801</v>
      </c>
      <c r="B417" t="s">
        <v>231</v>
      </c>
      <c r="E417">
        <v>10038</v>
      </c>
      <c r="F417">
        <v>10176</v>
      </c>
      <c r="O417" t="s">
        <v>662</v>
      </c>
    </row>
    <row r="418" spans="1:15">
      <c r="A418">
        <v>1003801</v>
      </c>
      <c r="B418" t="s">
        <v>231</v>
      </c>
      <c r="E418">
        <v>10038</v>
      </c>
      <c r="F418">
        <v>10336</v>
      </c>
      <c r="O418" t="s">
        <v>663</v>
      </c>
    </row>
    <row r="419" spans="1:15">
      <c r="A419">
        <v>1003801</v>
      </c>
      <c r="B419" t="s">
        <v>231</v>
      </c>
      <c r="E419">
        <v>10038</v>
      </c>
      <c r="F419">
        <v>10496</v>
      </c>
      <c r="O419" t="s">
        <v>664</v>
      </c>
    </row>
    <row r="420" spans="1:15">
      <c r="A420">
        <v>1003801</v>
      </c>
      <c r="B420" t="s">
        <v>231</v>
      </c>
      <c r="E420">
        <v>10038</v>
      </c>
      <c r="F420">
        <v>10656</v>
      </c>
      <c r="O420" t="s">
        <v>665</v>
      </c>
    </row>
    <row r="421" spans="1:15">
      <c r="A421">
        <v>1003801</v>
      </c>
      <c r="B421" t="s">
        <v>231</v>
      </c>
      <c r="E421">
        <v>10038</v>
      </c>
      <c r="F421">
        <v>10816</v>
      </c>
      <c r="O421" t="s">
        <v>666</v>
      </c>
    </row>
    <row r="422" spans="1:15">
      <c r="A422">
        <v>1003802</v>
      </c>
      <c r="B422" t="s">
        <v>231</v>
      </c>
      <c r="E422">
        <v>10038</v>
      </c>
      <c r="F422">
        <v>10119</v>
      </c>
      <c r="O422" t="s">
        <v>667</v>
      </c>
    </row>
    <row r="423" spans="1:15">
      <c r="A423">
        <v>1004101</v>
      </c>
      <c r="B423" t="s">
        <v>232</v>
      </c>
      <c r="E423">
        <v>10041</v>
      </c>
      <c r="F423">
        <v>10166</v>
      </c>
      <c r="O423" t="s">
        <v>668</v>
      </c>
    </row>
    <row r="424" spans="1:15">
      <c r="A424">
        <v>1004101</v>
      </c>
      <c r="B424" t="s">
        <v>232</v>
      </c>
      <c r="E424">
        <v>10041</v>
      </c>
      <c r="F424">
        <v>10326</v>
      </c>
      <c r="O424" t="s">
        <v>669</v>
      </c>
    </row>
    <row r="425" spans="1:15">
      <c r="A425">
        <v>1004101</v>
      </c>
      <c r="B425" t="s">
        <v>232</v>
      </c>
      <c r="E425">
        <v>10041</v>
      </c>
      <c r="F425">
        <v>10486</v>
      </c>
      <c r="O425" t="s">
        <v>670</v>
      </c>
    </row>
    <row r="426" spans="1:15">
      <c r="A426">
        <v>1004101</v>
      </c>
      <c r="B426" t="s">
        <v>232</v>
      </c>
      <c r="E426">
        <v>10041</v>
      </c>
      <c r="F426">
        <v>10646</v>
      </c>
      <c r="O426" t="s">
        <v>671</v>
      </c>
    </row>
    <row r="427" spans="1:15">
      <c r="A427">
        <v>1004101</v>
      </c>
      <c r="B427" t="s">
        <v>232</v>
      </c>
      <c r="E427">
        <v>10041</v>
      </c>
      <c r="F427">
        <v>10806</v>
      </c>
      <c r="O427" t="s">
        <v>672</v>
      </c>
    </row>
    <row r="428" spans="1:15">
      <c r="A428">
        <v>1004102</v>
      </c>
      <c r="B428" t="s">
        <v>232</v>
      </c>
      <c r="E428">
        <v>10041</v>
      </c>
      <c r="F428">
        <v>10109</v>
      </c>
      <c r="O428" t="s">
        <v>673</v>
      </c>
    </row>
    <row r="429" spans="1:15">
      <c r="A429">
        <v>1003701</v>
      </c>
      <c r="B429" t="s">
        <v>233</v>
      </c>
      <c r="E429">
        <v>10037</v>
      </c>
      <c r="F429">
        <v>10129</v>
      </c>
      <c r="O429" t="s">
        <v>674</v>
      </c>
    </row>
    <row r="430" spans="1:15">
      <c r="A430">
        <v>1003701</v>
      </c>
      <c r="B430" t="s">
        <v>233</v>
      </c>
      <c r="E430">
        <v>10037</v>
      </c>
      <c r="F430">
        <v>10299</v>
      </c>
      <c r="O430" t="s">
        <v>675</v>
      </c>
    </row>
    <row r="431" spans="1:15">
      <c r="A431">
        <v>1003701</v>
      </c>
      <c r="B431" t="s">
        <v>233</v>
      </c>
      <c r="E431">
        <v>10037</v>
      </c>
      <c r="F431">
        <v>10469</v>
      </c>
      <c r="O431" t="s">
        <v>676</v>
      </c>
    </row>
    <row r="432" spans="1:15">
      <c r="A432">
        <v>1003701</v>
      </c>
      <c r="B432" t="s">
        <v>233</v>
      </c>
      <c r="E432">
        <v>10037</v>
      </c>
      <c r="F432">
        <v>10639</v>
      </c>
      <c r="O432" t="s">
        <v>677</v>
      </c>
    </row>
    <row r="433" spans="1:15">
      <c r="A433">
        <v>1003702</v>
      </c>
      <c r="B433" t="s">
        <v>233</v>
      </c>
      <c r="E433">
        <v>10037</v>
      </c>
      <c r="F433">
        <v>10809</v>
      </c>
      <c r="O433" t="s">
        <v>678</v>
      </c>
    </row>
    <row r="434" spans="1:15">
      <c r="A434">
        <v>1002101</v>
      </c>
      <c r="B434" t="s">
        <v>234</v>
      </c>
      <c r="E434">
        <v>10021</v>
      </c>
      <c r="F434">
        <v>10240</v>
      </c>
      <c r="O434" t="s">
        <v>679</v>
      </c>
    </row>
    <row r="435" spans="1:15">
      <c r="A435">
        <v>1002101</v>
      </c>
      <c r="B435" t="s">
        <v>234</v>
      </c>
      <c r="E435">
        <v>10021</v>
      </c>
      <c r="F435">
        <v>10360</v>
      </c>
      <c r="O435" t="s">
        <v>680</v>
      </c>
    </row>
    <row r="436" spans="1:15">
      <c r="A436">
        <v>1002101</v>
      </c>
      <c r="B436" t="s">
        <v>234</v>
      </c>
      <c r="E436">
        <v>10021</v>
      </c>
      <c r="F436">
        <v>10480</v>
      </c>
      <c r="O436" t="s">
        <v>681</v>
      </c>
    </row>
    <row r="437" spans="1:15">
      <c r="A437">
        <v>1002101</v>
      </c>
      <c r="B437" t="s">
        <v>234</v>
      </c>
      <c r="E437">
        <v>10021</v>
      </c>
      <c r="F437">
        <v>10600</v>
      </c>
      <c r="O437" t="s">
        <v>682</v>
      </c>
    </row>
    <row r="438" spans="1:15">
      <c r="A438">
        <v>1002101</v>
      </c>
      <c r="B438" t="s">
        <v>234</v>
      </c>
      <c r="E438">
        <v>10021</v>
      </c>
      <c r="F438">
        <v>10720</v>
      </c>
      <c r="O438" t="s">
        <v>683</v>
      </c>
    </row>
    <row r="439" spans="1:15">
      <c r="A439">
        <v>1002102</v>
      </c>
      <c r="B439" t="s">
        <v>234</v>
      </c>
      <c r="E439">
        <v>10021</v>
      </c>
      <c r="F439">
        <v>10840</v>
      </c>
      <c r="O439" t="s">
        <v>684</v>
      </c>
    </row>
    <row r="440" spans="1:15">
      <c r="A440">
        <v>1000802</v>
      </c>
      <c r="B440" t="s">
        <v>235</v>
      </c>
      <c r="E440">
        <v>10008</v>
      </c>
      <c r="O440" t="s">
        <v>685</v>
      </c>
    </row>
    <row r="441" spans="1:15">
      <c r="A441">
        <v>1002002</v>
      </c>
      <c r="B441" t="s">
        <v>236</v>
      </c>
      <c r="E441">
        <v>10020</v>
      </c>
      <c r="O441" t="s">
        <v>685</v>
      </c>
    </row>
    <row r="442" spans="1:15">
      <c r="A442">
        <v>1011302</v>
      </c>
      <c r="B442" t="s">
        <v>237</v>
      </c>
      <c r="E442">
        <v>10113</v>
      </c>
      <c r="O442" t="s">
        <v>685</v>
      </c>
    </row>
    <row r="443" spans="1:15">
      <c r="A443">
        <v>1000102</v>
      </c>
      <c r="B443" t="s">
        <v>238</v>
      </c>
      <c r="E443">
        <v>10001</v>
      </c>
      <c r="O443" t="s">
        <v>686</v>
      </c>
    </row>
    <row r="444" spans="1:15">
      <c r="A444">
        <v>1011102</v>
      </c>
      <c r="B444" t="s">
        <v>239</v>
      </c>
      <c r="E444">
        <v>10111</v>
      </c>
      <c r="O444" t="s">
        <v>686</v>
      </c>
    </row>
    <row r="445" spans="1:15">
      <c r="A445">
        <v>1001202</v>
      </c>
      <c r="B445" t="s">
        <v>240</v>
      </c>
      <c r="E445">
        <v>10012</v>
      </c>
      <c r="O445" t="s">
        <v>686</v>
      </c>
    </row>
    <row r="446" spans="1:15">
      <c r="A446">
        <v>1000202</v>
      </c>
      <c r="B446" t="s">
        <v>241</v>
      </c>
      <c r="E446">
        <v>10002</v>
      </c>
      <c r="O446" t="s">
        <v>687</v>
      </c>
    </row>
    <row r="447" spans="1:15">
      <c r="A447">
        <v>1011402</v>
      </c>
      <c r="B447" t="s">
        <v>242</v>
      </c>
      <c r="E447">
        <v>10114</v>
      </c>
      <c r="O447" t="s">
        <v>687</v>
      </c>
    </row>
    <row r="448" spans="1:15">
      <c r="A448">
        <v>1001902</v>
      </c>
      <c r="B448" t="s">
        <v>243</v>
      </c>
      <c r="E448">
        <v>10019</v>
      </c>
      <c r="O448" t="s">
        <v>687</v>
      </c>
    </row>
    <row r="449" spans="1:1">
      <c r="A449">
        <v>2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AO608"/>
  <sheetViews>
    <sheetView topLeftCell="K576" workbookViewId="0">
      <selection activeCell="A608" sqref="A608:AO608"/>
    </sheetView>
  </sheetViews>
  <sheetFormatPr defaultRowHeight="13.5"/>
  <cols>
    <col min="1" max="1" width="18.5" customWidth="1"/>
    <col min="2" max="2" width="18.25" customWidth="1"/>
    <col min="3" max="3" width="34.75" customWidth="1"/>
    <col min="4" max="5" width="28.25" customWidth="1"/>
    <col min="41" max="41" width="17.25" customWidth="1"/>
  </cols>
  <sheetData>
    <row r="1" spans="1:41" s="44" customFormat="1" ht="16.5">
      <c r="A1" s="41">
        <v>181</v>
      </c>
      <c r="B1" s="41" t="s">
        <v>925</v>
      </c>
      <c r="C1" s="41" t="s">
        <v>711</v>
      </c>
      <c r="D1" s="41" t="s">
        <v>704</v>
      </c>
      <c r="E1" s="42">
        <v>11037</v>
      </c>
      <c r="F1" s="41">
        <v>10000</v>
      </c>
      <c r="G1" s="41">
        <v>300</v>
      </c>
      <c r="H1" s="41">
        <v>50</v>
      </c>
      <c r="I1" s="41" t="s">
        <v>718</v>
      </c>
      <c r="J1" s="41">
        <v>6</v>
      </c>
      <c r="K1" s="41">
        <v>20</v>
      </c>
      <c r="L1" s="41">
        <v>60</v>
      </c>
      <c r="M1" s="41">
        <v>0</v>
      </c>
      <c r="N1" s="41">
        <v>0</v>
      </c>
      <c r="O1" s="41">
        <v>180</v>
      </c>
      <c r="P1" s="41">
        <v>0</v>
      </c>
      <c r="Q1" s="41">
        <v>0</v>
      </c>
      <c r="R1" s="41">
        <v>0</v>
      </c>
      <c r="S1" s="41">
        <v>0</v>
      </c>
      <c r="T1" s="41">
        <v>0</v>
      </c>
      <c r="U1" s="41">
        <v>0</v>
      </c>
      <c r="V1" s="41">
        <v>0</v>
      </c>
      <c r="W1" s="41">
        <v>9</v>
      </c>
      <c r="X1" s="41">
        <v>0</v>
      </c>
      <c r="Y1" s="41">
        <v>0</v>
      </c>
      <c r="Z1" s="41">
        <v>0</v>
      </c>
      <c r="AA1" s="41">
        <v>0</v>
      </c>
      <c r="AB1" s="41">
        <v>0</v>
      </c>
      <c r="AC1" s="41">
        <v>0</v>
      </c>
      <c r="AD1" s="41">
        <v>0</v>
      </c>
      <c r="AE1" s="41">
        <v>36</v>
      </c>
      <c r="AF1" s="41">
        <v>0</v>
      </c>
      <c r="AG1" s="41">
        <v>0</v>
      </c>
      <c r="AH1" s="41">
        <v>0</v>
      </c>
      <c r="AI1" s="41">
        <v>0</v>
      </c>
      <c r="AJ1" s="41">
        <v>1.8000000000000002E-2</v>
      </c>
      <c r="AK1" s="41">
        <v>20013</v>
      </c>
      <c r="AL1" s="41">
        <v>2</v>
      </c>
      <c r="AM1" s="41">
        <v>75000</v>
      </c>
      <c r="AN1" s="41" t="s">
        <v>48</v>
      </c>
      <c r="AO1" s="41" t="s">
        <v>724</v>
      </c>
    </row>
    <row r="2" spans="1:41" ht="16.5">
      <c r="A2" s="41">
        <v>182</v>
      </c>
      <c r="B2" s="41" t="s">
        <v>776</v>
      </c>
      <c r="C2" s="41" t="s">
        <v>711</v>
      </c>
      <c r="D2" s="41" t="s">
        <v>704</v>
      </c>
      <c r="E2" s="42">
        <v>11037</v>
      </c>
      <c r="F2" s="41">
        <v>10000</v>
      </c>
      <c r="G2" s="41">
        <v>300</v>
      </c>
      <c r="H2" s="41">
        <v>50</v>
      </c>
      <c r="I2" s="41" t="s">
        <v>718</v>
      </c>
      <c r="J2" s="41">
        <v>6</v>
      </c>
      <c r="K2" s="41">
        <v>20</v>
      </c>
      <c r="L2" s="41">
        <v>60</v>
      </c>
      <c r="M2" s="41">
        <v>0</v>
      </c>
      <c r="N2" s="41">
        <v>0</v>
      </c>
      <c r="O2" s="41">
        <v>180</v>
      </c>
      <c r="P2" s="41">
        <v>0</v>
      </c>
      <c r="Q2" s="41">
        <v>0</v>
      </c>
      <c r="R2" s="41">
        <v>0</v>
      </c>
      <c r="S2" s="41">
        <v>0</v>
      </c>
      <c r="T2" s="41">
        <v>0</v>
      </c>
      <c r="U2" s="41">
        <v>0</v>
      </c>
      <c r="V2" s="41">
        <v>0</v>
      </c>
      <c r="W2" s="41">
        <v>9</v>
      </c>
      <c r="X2" s="41">
        <v>0</v>
      </c>
      <c r="Y2" s="41">
        <v>0</v>
      </c>
      <c r="Z2" s="41">
        <v>0</v>
      </c>
      <c r="AA2" s="41">
        <v>0</v>
      </c>
      <c r="AB2" s="41">
        <v>0</v>
      </c>
      <c r="AC2" s="41">
        <v>0</v>
      </c>
      <c r="AD2" s="41">
        <v>0</v>
      </c>
      <c r="AE2" s="41">
        <v>36</v>
      </c>
      <c r="AF2" s="41">
        <v>0</v>
      </c>
      <c r="AG2" s="41">
        <v>0</v>
      </c>
      <c r="AH2" s="41">
        <v>0</v>
      </c>
      <c r="AI2" s="41">
        <v>0</v>
      </c>
      <c r="AJ2" s="41">
        <v>1.8000000000000002E-2</v>
      </c>
      <c r="AK2" s="41">
        <v>20013</v>
      </c>
      <c r="AL2" s="41">
        <v>2</v>
      </c>
      <c r="AM2" s="41">
        <v>75000</v>
      </c>
      <c r="AN2" s="41" t="s">
        <v>48</v>
      </c>
      <c r="AO2" s="41" t="s">
        <v>724</v>
      </c>
    </row>
    <row r="3" spans="1:41" ht="16.5">
      <c r="A3" s="41">
        <v>183</v>
      </c>
      <c r="B3" s="41" t="s">
        <v>777</v>
      </c>
      <c r="C3" s="41" t="s">
        <v>711</v>
      </c>
      <c r="D3" s="41" t="s">
        <v>704</v>
      </c>
      <c r="E3" s="42">
        <v>11037</v>
      </c>
      <c r="F3" s="41">
        <v>10000</v>
      </c>
      <c r="G3" s="41">
        <v>300</v>
      </c>
      <c r="H3" s="41">
        <v>50</v>
      </c>
      <c r="I3" s="41" t="s">
        <v>718</v>
      </c>
      <c r="J3" s="41">
        <v>6</v>
      </c>
      <c r="K3" s="41">
        <v>20</v>
      </c>
      <c r="L3" s="41">
        <v>60</v>
      </c>
      <c r="M3" s="41">
        <v>0</v>
      </c>
      <c r="N3" s="41">
        <v>0</v>
      </c>
      <c r="O3" s="41">
        <v>180</v>
      </c>
      <c r="P3" s="41">
        <v>0</v>
      </c>
      <c r="Q3" s="41">
        <v>0</v>
      </c>
      <c r="R3" s="41">
        <v>0</v>
      </c>
      <c r="S3" s="41">
        <v>0</v>
      </c>
      <c r="T3" s="41">
        <v>0</v>
      </c>
      <c r="U3" s="41">
        <v>0</v>
      </c>
      <c r="V3" s="41">
        <v>0</v>
      </c>
      <c r="W3" s="41">
        <v>9</v>
      </c>
      <c r="X3" s="41">
        <v>0</v>
      </c>
      <c r="Y3" s="41">
        <v>0</v>
      </c>
      <c r="Z3" s="41">
        <v>0</v>
      </c>
      <c r="AA3" s="41">
        <v>0</v>
      </c>
      <c r="AB3" s="41">
        <v>0</v>
      </c>
      <c r="AC3" s="41">
        <v>0</v>
      </c>
      <c r="AD3" s="41">
        <v>0</v>
      </c>
      <c r="AE3" s="41">
        <v>36</v>
      </c>
      <c r="AF3" s="41">
        <v>0</v>
      </c>
      <c r="AG3" s="41">
        <v>0</v>
      </c>
      <c r="AH3" s="41">
        <v>0</v>
      </c>
      <c r="AI3" s="41">
        <v>0</v>
      </c>
      <c r="AJ3" s="41">
        <v>1.8000000000000002E-2</v>
      </c>
      <c r="AK3" s="41">
        <v>20013</v>
      </c>
      <c r="AL3" s="41">
        <v>2</v>
      </c>
      <c r="AM3" s="41">
        <v>75000</v>
      </c>
      <c r="AN3" s="41" t="s">
        <v>48</v>
      </c>
      <c r="AO3" s="41" t="s">
        <v>724</v>
      </c>
    </row>
    <row r="4" spans="1:41" ht="16.5">
      <c r="A4" s="41">
        <v>184</v>
      </c>
      <c r="B4" s="41" t="s">
        <v>778</v>
      </c>
      <c r="C4" s="41" t="s">
        <v>711</v>
      </c>
      <c r="D4" s="41" t="s">
        <v>704</v>
      </c>
      <c r="E4" s="42">
        <v>11037</v>
      </c>
      <c r="F4" s="41">
        <v>10000</v>
      </c>
      <c r="G4" s="41">
        <v>300</v>
      </c>
      <c r="H4" s="41">
        <v>50</v>
      </c>
      <c r="I4" s="41" t="s">
        <v>718</v>
      </c>
      <c r="J4" s="41">
        <v>6</v>
      </c>
      <c r="K4" s="41">
        <v>20</v>
      </c>
      <c r="L4" s="41">
        <v>60</v>
      </c>
      <c r="M4" s="41">
        <v>0</v>
      </c>
      <c r="N4" s="41">
        <v>0</v>
      </c>
      <c r="O4" s="41">
        <v>180</v>
      </c>
      <c r="P4" s="41">
        <v>0</v>
      </c>
      <c r="Q4" s="41">
        <v>0</v>
      </c>
      <c r="R4" s="41">
        <v>0</v>
      </c>
      <c r="S4" s="41">
        <v>0</v>
      </c>
      <c r="T4" s="41">
        <v>0</v>
      </c>
      <c r="U4" s="41">
        <v>0</v>
      </c>
      <c r="V4" s="41">
        <v>0</v>
      </c>
      <c r="W4" s="41">
        <v>9</v>
      </c>
      <c r="X4" s="41">
        <v>0</v>
      </c>
      <c r="Y4" s="41">
        <v>0</v>
      </c>
      <c r="Z4" s="41">
        <v>0</v>
      </c>
      <c r="AA4" s="41">
        <v>0</v>
      </c>
      <c r="AB4" s="41">
        <v>0</v>
      </c>
      <c r="AC4" s="41">
        <v>0</v>
      </c>
      <c r="AD4" s="41">
        <v>0</v>
      </c>
      <c r="AE4" s="41">
        <v>36</v>
      </c>
      <c r="AF4" s="41">
        <v>0</v>
      </c>
      <c r="AG4" s="41">
        <v>0</v>
      </c>
      <c r="AH4" s="41">
        <v>0</v>
      </c>
      <c r="AI4" s="41">
        <v>0</v>
      </c>
      <c r="AJ4" s="41">
        <v>1.8000000000000002E-2</v>
      </c>
      <c r="AK4" s="41">
        <v>20013</v>
      </c>
      <c r="AL4" s="41">
        <v>2</v>
      </c>
      <c r="AM4" s="41">
        <v>75000</v>
      </c>
      <c r="AN4" s="41" t="s">
        <v>48</v>
      </c>
      <c r="AO4" s="41" t="s">
        <v>724</v>
      </c>
    </row>
    <row r="5" spans="1:41" ht="16.5">
      <c r="A5" s="41">
        <v>185</v>
      </c>
      <c r="B5" s="41" t="s">
        <v>779</v>
      </c>
      <c r="C5" s="41" t="s">
        <v>711</v>
      </c>
      <c r="D5" s="41" t="s">
        <v>704</v>
      </c>
      <c r="E5" s="42">
        <v>11037</v>
      </c>
      <c r="F5" s="41">
        <v>10000</v>
      </c>
      <c r="G5" s="41">
        <v>300</v>
      </c>
      <c r="H5" s="41">
        <v>50</v>
      </c>
      <c r="I5" s="41" t="s">
        <v>718</v>
      </c>
      <c r="J5" s="41">
        <v>6</v>
      </c>
      <c r="K5" s="41">
        <v>20</v>
      </c>
      <c r="L5" s="41">
        <v>60</v>
      </c>
      <c r="M5" s="41">
        <v>0</v>
      </c>
      <c r="N5" s="41">
        <v>0</v>
      </c>
      <c r="O5" s="41">
        <v>180</v>
      </c>
      <c r="P5" s="41">
        <v>0</v>
      </c>
      <c r="Q5" s="41">
        <v>0</v>
      </c>
      <c r="R5" s="41">
        <v>0</v>
      </c>
      <c r="S5" s="41">
        <v>0</v>
      </c>
      <c r="T5" s="41">
        <v>0</v>
      </c>
      <c r="U5" s="41">
        <v>0</v>
      </c>
      <c r="V5" s="41">
        <v>0</v>
      </c>
      <c r="W5" s="41">
        <v>9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36</v>
      </c>
      <c r="AF5" s="41">
        <v>0</v>
      </c>
      <c r="AG5" s="41">
        <v>0</v>
      </c>
      <c r="AH5" s="41">
        <v>0</v>
      </c>
      <c r="AI5" s="41">
        <v>0</v>
      </c>
      <c r="AJ5" s="41">
        <v>1.8000000000000002E-2</v>
      </c>
      <c r="AK5" s="41">
        <v>20013</v>
      </c>
      <c r="AL5" s="41">
        <v>2</v>
      </c>
      <c r="AM5" s="41">
        <v>75000</v>
      </c>
      <c r="AN5" s="41" t="s">
        <v>48</v>
      </c>
      <c r="AO5" s="41" t="s">
        <v>724</v>
      </c>
    </row>
    <row r="6" spans="1:41" ht="16.5">
      <c r="A6" s="41">
        <v>186</v>
      </c>
      <c r="B6" s="41" t="s">
        <v>780</v>
      </c>
      <c r="C6" s="41" t="s">
        <v>711</v>
      </c>
      <c r="D6" s="41" t="s">
        <v>704</v>
      </c>
      <c r="E6" s="42">
        <v>11037</v>
      </c>
      <c r="F6" s="41">
        <v>10000</v>
      </c>
      <c r="G6" s="41">
        <v>300</v>
      </c>
      <c r="H6" s="41">
        <v>50</v>
      </c>
      <c r="I6" s="41" t="s">
        <v>718</v>
      </c>
      <c r="J6" s="41">
        <v>6</v>
      </c>
      <c r="K6" s="41">
        <v>20</v>
      </c>
      <c r="L6" s="41">
        <v>60</v>
      </c>
      <c r="M6" s="41">
        <v>0</v>
      </c>
      <c r="N6" s="41">
        <v>0</v>
      </c>
      <c r="O6" s="41">
        <v>180</v>
      </c>
      <c r="P6" s="41">
        <v>0</v>
      </c>
      <c r="Q6" s="41">
        <v>0</v>
      </c>
      <c r="R6" s="41">
        <v>0</v>
      </c>
      <c r="S6" s="41">
        <v>0</v>
      </c>
      <c r="T6" s="41">
        <v>0</v>
      </c>
      <c r="U6" s="41">
        <v>0</v>
      </c>
      <c r="V6" s="41">
        <v>0</v>
      </c>
      <c r="W6" s="41">
        <v>9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36</v>
      </c>
      <c r="AF6" s="41">
        <v>0</v>
      </c>
      <c r="AG6" s="41">
        <v>0</v>
      </c>
      <c r="AH6" s="41">
        <v>0</v>
      </c>
      <c r="AI6" s="41">
        <v>0</v>
      </c>
      <c r="AJ6" s="41">
        <v>1.8000000000000002E-2</v>
      </c>
      <c r="AK6" s="41">
        <v>20013</v>
      </c>
      <c r="AL6" s="41">
        <v>2</v>
      </c>
      <c r="AM6" s="41">
        <v>75000</v>
      </c>
      <c r="AN6" s="41" t="s">
        <v>48</v>
      </c>
      <c r="AO6" s="41" t="s">
        <v>724</v>
      </c>
    </row>
    <row r="7" spans="1:41" ht="16.5">
      <c r="A7" s="41">
        <v>187</v>
      </c>
      <c r="B7" s="41" t="s">
        <v>781</v>
      </c>
      <c r="C7" s="41" t="s">
        <v>711</v>
      </c>
      <c r="D7" s="41" t="s">
        <v>704</v>
      </c>
      <c r="E7" s="42">
        <v>11037</v>
      </c>
      <c r="F7" s="41">
        <v>10000</v>
      </c>
      <c r="G7" s="41">
        <v>300</v>
      </c>
      <c r="H7" s="41">
        <v>50</v>
      </c>
      <c r="I7" s="41" t="s">
        <v>718</v>
      </c>
      <c r="J7" s="41">
        <v>6</v>
      </c>
      <c r="K7" s="41">
        <v>20</v>
      </c>
      <c r="L7" s="41">
        <v>60</v>
      </c>
      <c r="M7" s="41">
        <v>0</v>
      </c>
      <c r="N7" s="41">
        <v>0</v>
      </c>
      <c r="O7" s="41">
        <v>180</v>
      </c>
      <c r="P7" s="41">
        <v>0</v>
      </c>
      <c r="Q7" s="41">
        <v>0</v>
      </c>
      <c r="R7" s="41">
        <v>0</v>
      </c>
      <c r="S7" s="41">
        <v>0</v>
      </c>
      <c r="T7" s="41">
        <v>0</v>
      </c>
      <c r="U7" s="41">
        <v>0</v>
      </c>
      <c r="V7" s="41">
        <v>0</v>
      </c>
      <c r="W7" s="41">
        <v>9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36</v>
      </c>
      <c r="AF7" s="41">
        <v>0</v>
      </c>
      <c r="AG7" s="41">
        <v>0</v>
      </c>
      <c r="AH7" s="41">
        <v>0</v>
      </c>
      <c r="AI7" s="41">
        <v>0</v>
      </c>
      <c r="AJ7" s="41">
        <v>1.8000000000000002E-2</v>
      </c>
      <c r="AK7" s="41">
        <v>20013</v>
      </c>
      <c r="AL7" s="41">
        <v>2</v>
      </c>
      <c r="AM7" s="41">
        <v>75000</v>
      </c>
      <c r="AN7" s="41" t="s">
        <v>48</v>
      </c>
      <c r="AO7" s="41" t="s">
        <v>724</v>
      </c>
    </row>
    <row r="8" spans="1:41" ht="16.5">
      <c r="A8" s="41">
        <v>2081</v>
      </c>
      <c r="B8" s="41" t="s">
        <v>782</v>
      </c>
      <c r="C8" s="41" t="s">
        <v>711</v>
      </c>
      <c r="D8" s="41" t="s">
        <v>704</v>
      </c>
      <c r="E8" s="42">
        <v>11037</v>
      </c>
      <c r="F8" s="41">
        <v>10000</v>
      </c>
      <c r="G8" s="41">
        <v>300</v>
      </c>
      <c r="H8" s="41">
        <v>50</v>
      </c>
      <c r="I8" s="41" t="s">
        <v>718</v>
      </c>
      <c r="J8" s="41">
        <v>6</v>
      </c>
      <c r="K8" s="41">
        <v>20</v>
      </c>
      <c r="L8" s="41">
        <v>60</v>
      </c>
      <c r="M8" s="41">
        <v>0</v>
      </c>
      <c r="N8" s="41">
        <v>0</v>
      </c>
      <c r="O8" s="41">
        <v>180</v>
      </c>
      <c r="P8" s="41">
        <v>0</v>
      </c>
      <c r="Q8" s="41">
        <v>0</v>
      </c>
      <c r="R8" s="41">
        <v>0</v>
      </c>
      <c r="S8" s="41">
        <v>0</v>
      </c>
      <c r="T8" s="41">
        <v>0</v>
      </c>
      <c r="U8" s="41">
        <v>0</v>
      </c>
      <c r="V8" s="41">
        <v>0</v>
      </c>
      <c r="W8" s="41">
        <v>9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36</v>
      </c>
      <c r="AF8" s="41">
        <v>0</v>
      </c>
      <c r="AG8" s="41">
        <v>0</v>
      </c>
      <c r="AH8" s="41">
        <v>0</v>
      </c>
      <c r="AI8" s="41">
        <v>0</v>
      </c>
      <c r="AJ8" s="41">
        <v>1.8000000000000002E-2</v>
      </c>
      <c r="AK8" s="41">
        <v>20013</v>
      </c>
      <c r="AL8" s="41">
        <v>2</v>
      </c>
      <c r="AM8" s="41">
        <v>75000</v>
      </c>
      <c r="AN8" s="41" t="s">
        <v>48</v>
      </c>
      <c r="AO8" s="41" t="s">
        <v>724</v>
      </c>
    </row>
    <row r="9" spans="1:41" ht="16.5">
      <c r="A9" s="41">
        <v>20811</v>
      </c>
      <c r="B9" s="41" t="s">
        <v>783</v>
      </c>
      <c r="C9" s="41" t="s">
        <v>711</v>
      </c>
      <c r="D9" s="41" t="s">
        <v>704</v>
      </c>
      <c r="E9" s="42">
        <v>11037</v>
      </c>
      <c r="F9" s="41">
        <v>10000</v>
      </c>
      <c r="G9" s="41">
        <v>300</v>
      </c>
      <c r="H9" s="41">
        <v>50</v>
      </c>
      <c r="I9" s="41" t="s">
        <v>718</v>
      </c>
      <c r="J9" s="41">
        <v>6</v>
      </c>
      <c r="K9" s="41">
        <v>20</v>
      </c>
      <c r="L9" s="41">
        <v>60</v>
      </c>
      <c r="M9" s="41">
        <v>0</v>
      </c>
      <c r="N9" s="41">
        <v>0</v>
      </c>
      <c r="O9" s="41">
        <v>180</v>
      </c>
      <c r="P9" s="41">
        <v>0</v>
      </c>
      <c r="Q9" s="41">
        <v>0</v>
      </c>
      <c r="R9" s="41">
        <v>0</v>
      </c>
      <c r="S9" s="41">
        <v>0</v>
      </c>
      <c r="T9" s="41">
        <v>0</v>
      </c>
      <c r="U9" s="41">
        <v>0</v>
      </c>
      <c r="V9" s="41">
        <v>0</v>
      </c>
      <c r="W9" s="41">
        <v>9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36</v>
      </c>
      <c r="AF9" s="41">
        <v>0</v>
      </c>
      <c r="AG9" s="41">
        <v>0</v>
      </c>
      <c r="AH9" s="41">
        <v>0</v>
      </c>
      <c r="AI9" s="41">
        <v>0</v>
      </c>
      <c r="AJ9" s="41">
        <v>1.8000000000000002E-2</v>
      </c>
      <c r="AK9" s="41">
        <v>20013</v>
      </c>
      <c r="AL9" s="41">
        <v>2</v>
      </c>
      <c r="AM9" s="41">
        <v>75000</v>
      </c>
      <c r="AN9" s="41" t="s">
        <v>48</v>
      </c>
      <c r="AO9" s="41" t="s">
        <v>724</v>
      </c>
    </row>
    <row r="10" spans="1:41" ht="16.5">
      <c r="A10" s="41">
        <v>20812</v>
      </c>
      <c r="B10" s="41" t="s">
        <v>784</v>
      </c>
      <c r="C10" s="41" t="s">
        <v>711</v>
      </c>
      <c r="D10" s="41" t="s">
        <v>704</v>
      </c>
      <c r="E10" s="42">
        <v>11037</v>
      </c>
      <c r="F10" s="41">
        <v>10000</v>
      </c>
      <c r="G10" s="41">
        <v>300</v>
      </c>
      <c r="H10" s="41">
        <v>50</v>
      </c>
      <c r="I10" s="41" t="s">
        <v>718</v>
      </c>
      <c r="J10" s="41">
        <v>6</v>
      </c>
      <c r="K10" s="41">
        <v>20</v>
      </c>
      <c r="L10" s="41">
        <v>60</v>
      </c>
      <c r="M10" s="41">
        <v>0</v>
      </c>
      <c r="N10" s="41">
        <v>0</v>
      </c>
      <c r="O10" s="41">
        <v>180</v>
      </c>
      <c r="P10" s="41">
        <v>0</v>
      </c>
      <c r="Q10" s="41">
        <v>0</v>
      </c>
      <c r="R10" s="41">
        <v>0</v>
      </c>
      <c r="S10" s="41">
        <v>0</v>
      </c>
      <c r="T10" s="41">
        <v>0</v>
      </c>
      <c r="U10" s="41">
        <v>0</v>
      </c>
      <c r="V10" s="41">
        <v>0</v>
      </c>
      <c r="W10" s="41">
        <v>9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36</v>
      </c>
      <c r="AF10" s="41">
        <v>0</v>
      </c>
      <c r="AG10" s="41">
        <v>0</v>
      </c>
      <c r="AH10" s="41">
        <v>0</v>
      </c>
      <c r="AI10" s="41">
        <v>0</v>
      </c>
      <c r="AJ10" s="41">
        <v>1.8000000000000002E-2</v>
      </c>
      <c r="AK10" s="41">
        <v>20013</v>
      </c>
      <c r="AL10" s="41">
        <v>2</v>
      </c>
      <c r="AM10" s="41">
        <v>75000</v>
      </c>
      <c r="AN10" s="41" t="s">
        <v>48</v>
      </c>
      <c r="AO10" s="41" t="s">
        <v>724</v>
      </c>
    </row>
    <row r="11" spans="1:41" ht="16.5">
      <c r="A11" s="41">
        <v>20813</v>
      </c>
      <c r="B11" s="41" t="s">
        <v>785</v>
      </c>
      <c r="C11" s="41" t="s">
        <v>711</v>
      </c>
      <c r="D11" s="41" t="s">
        <v>704</v>
      </c>
      <c r="E11" s="42">
        <v>11037</v>
      </c>
      <c r="F11" s="41">
        <v>10000</v>
      </c>
      <c r="G11" s="41">
        <v>300</v>
      </c>
      <c r="H11" s="41">
        <v>50</v>
      </c>
      <c r="I11" s="41" t="s">
        <v>718</v>
      </c>
      <c r="J11" s="41">
        <v>6</v>
      </c>
      <c r="K11" s="41">
        <v>20</v>
      </c>
      <c r="L11" s="41">
        <v>60</v>
      </c>
      <c r="M11" s="41">
        <v>0</v>
      </c>
      <c r="N11" s="41">
        <v>0</v>
      </c>
      <c r="O11" s="41">
        <v>180</v>
      </c>
      <c r="P11" s="41">
        <v>0</v>
      </c>
      <c r="Q11" s="41">
        <v>0</v>
      </c>
      <c r="R11" s="41">
        <v>0</v>
      </c>
      <c r="S11" s="41">
        <v>0</v>
      </c>
      <c r="T11" s="41">
        <v>0</v>
      </c>
      <c r="U11" s="41">
        <v>0</v>
      </c>
      <c r="V11" s="41">
        <v>0</v>
      </c>
      <c r="W11" s="41">
        <v>9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36</v>
      </c>
      <c r="AF11" s="41">
        <v>0</v>
      </c>
      <c r="AG11" s="41">
        <v>0</v>
      </c>
      <c r="AH11" s="41">
        <v>0</v>
      </c>
      <c r="AI11" s="41">
        <v>0</v>
      </c>
      <c r="AJ11" s="41">
        <v>1.8000000000000002E-2</v>
      </c>
      <c r="AK11" s="41">
        <v>20013</v>
      </c>
      <c r="AL11" s="41">
        <v>2</v>
      </c>
      <c r="AM11" s="41">
        <v>75000</v>
      </c>
      <c r="AN11" s="41" t="s">
        <v>48</v>
      </c>
      <c r="AO11" s="41" t="s">
        <v>724</v>
      </c>
    </row>
    <row r="12" spans="1:41" ht="16.5">
      <c r="A12" s="41">
        <v>20814</v>
      </c>
      <c r="B12" s="41" t="s">
        <v>786</v>
      </c>
      <c r="C12" s="41" t="s">
        <v>711</v>
      </c>
      <c r="D12" s="41" t="s">
        <v>704</v>
      </c>
      <c r="E12" s="42">
        <v>11037</v>
      </c>
      <c r="F12" s="41">
        <v>10000</v>
      </c>
      <c r="G12" s="41">
        <v>300</v>
      </c>
      <c r="H12" s="41">
        <v>50</v>
      </c>
      <c r="I12" s="41" t="s">
        <v>718</v>
      </c>
      <c r="J12" s="41">
        <v>6</v>
      </c>
      <c r="K12" s="41">
        <v>20</v>
      </c>
      <c r="L12" s="41">
        <v>60</v>
      </c>
      <c r="M12" s="41">
        <v>0</v>
      </c>
      <c r="N12" s="41">
        <v>0</v>
      </c>
      <c r="O12" s="41">
        <v>180</v>
      </c>
      <c r="P12" s="41">
        <v>0</v>
      </c>
      <c r="Q12" s="41">
        <v>0</v>
      </c>
      <c r="R12" s="41">
        <v>0</v>
      </c>
      <c r="S12" s="41">
        <v>0</v>
      </c>
      <c r="T12" s="41">
        <v>0</v>
      </c>
      <c r="U12" s="41">
        <v>0</v>
      </c>
      <c r="V12" s="41">
        <v>0</v>
      </c>
      <c r="W12" s="41">
        <v>9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36</v>
      </c>
      <c r="AF12" s="41">
        <v>0</v>
      </c>
      <c r="AG12" s="41">
        <v>0</v>
      </c>
      <c r="AH12" s="41">
        <v>0</v>
      </c>
      <c r="AI12" s="41">
        <v>0</v>
      </c>
      <c r="AJ12" s="41">
        <v>1.8000000000000002E-2</v>
      </c>
      <c r="AK12" s="41">
        <v>20013</v>
      </c>
      <c r="AL12" s="41">
        <v>2</v>
      </c>
      <c r="AM12" s="41">
        <v>75000</v>
      </c>
      <c r="AN12" s="41" t="s">
        <v>48</v>
      </c>
      <c r="AO12" s="41" t="s">
        <v>724</v>
      </c>
    </row>
    <row r="13" spans="1:41" ht="16.5">
      <c r="A13" s="41">
        <v>20815</v>
      </c>
      <c r="B13" s="41" t="s">
        <v>787</v>
      </c>
      <c r="C13" s="41" t="s">
        <v>711</v>
      </c>
      <c r="D13" s="41" t="s">
        <v>704</v>
      </c>
      <c r="E13" s="42">
        <v>11037</v>
      </c>
      <c r="F13" s="41">
        <v>10000</v>
      </c>
      <c r="G13" s="41">
        <v>300</v>
      </c>
      <c r="H13" s="41">
        <v>50</v>
      </c>
      <c r="I13" s="41" t="s">
        <v>718</v>
      </c>
      <c r="J13" s="41">
        <v>6</v>
      </c>
      <c r="K13" s="41">
        <v>20</v>
      </c>
      <c r="L13" s="41">
        <v>60</v>
      </c>
      <c r="M13" s="41">
        <v>0</v>
      </c>
      <c r="N13" s="41">
        <v>0</v>
      </c>
      <c r="O13" s="41">
        <v>180</v>
      </c>
      <c r="P13" s="41">
        <v>0</v>
      </c>
      <c r="Q13" s="41">
        <v>0</v>
      </c>
      <c r="R13" s="41">
        <v>0</v>
      </c>
      <c r="S13" s="41">
        <v>0</v>
      </c>
      <c r="T13" s="41">
        <v>0</v>
      </c>
      <c r="U13" s="41">
        <v>0</v>
      </c>
      <c r="V13" s="41">
        <v>0</v>
      </c>
      <c r="W13" s="41">
        <v>9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36</v>
      </c>
      <c r="AF13" s="41">
        <v>0</v>
      </c>
      <c r="AG13" s="41">
        <v>0</v>
      </c>
      <c r="AH13" s="41">
        <v>0</v>
      </c>
      <c r="AI13" s="41">
        <v>0</v>
      </c>
      <c r="AJ13" s="41">
        <v>1.8000000000000002E-2</v>
      </c>
      <c r="AK13" s="41">
        <v>20013</v>
      </c>
      <c r="AL13" s="41">
        <v>2</v>
      </c>
      <c r="AM13" s="41">
        <v>75000</v>
      </c>
      <c r="AN13" s="41" t="s">
        <v>48</v>
      </c>
      <c r="AO13" s="41" t="s">
        <v>724</v>
      </c>
    </row>
    <row r="14" spans="1:41" ht="16.5">
      <c r="A14" s="41">
        <v>20816</v>
      </c>
      <c r="B14" s="41" t="s">
        <v>788</v>
      </c>
      <c r="C14" s="41" t="s">
        <v>711</v>
      </c>
      <c r="D14" s="41" t="s">
        <v>704</v>
      </c>
      <c r="E14" s="42">
        <v>11037</v>
      </c>
      <c r="F14" s="41">
        <v>10000</v>
      </c>
      <c r="G14" s="41">
        <v>300</v>
      </c>
      <c r="H14" s="41">
        <v>50</v>
      </c>
      <c r="I14" s="41" t="s">
        <v>718</v>
      </c>
      <c r="J14" s="41">
        <v>6</v>
      </c>
      <c r="K14" s="41">
        <v>20</v>
      </c>
      <c r="L14" s="41">
        <v>60</v>
      </c>
      <c r="M14" s="41">
        <v>0</v>
      </c>
      <c r="N14" s="41">
        <v>0</v>
      </c>
      <c r="O14" s="41">
        <v>180</v>
      </c>
      <c r="P14" s="41">
        <v>0</v>
      </c>
      <c r="Q14" s="41">
        <v>0</v>
      </c>
      <c r="R14" s="41">
        <v>0</v>
      </c>
      <c r="S14" s="41">
        <v>0</v>
      </c>
      <c r="T14" s="41">
        <v>0</v>
      </c>
      <c r="U14" s="41">
        <v>0</v>
      </c>
      <c r="V14" s="41">
        <v>0</v>
      </c>
      <c r="W14" s="41">
        <v>9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36</v>
      </c>
      <c r="AF14" s="41">
        <v>0</v>
      </c>
      <c r="AG14" s="41">
        <v>0</v>
      </c>
      <c r="AH14" s="41">
        <v>0</v>
      </c>
      <c r="AI14" s="41">
        <v>0</v>
      </c>
      <c r="AJ14" s="41">
        <v>1.8000000000000002E-2</v>
      </c>
      <c r="AK14" s="41">
        <v>20013</v>
      </c>
      <c r="AL14" s="41">
        <v>2</v>
      </c>
      <c r="AM14" s="41">
        <v>75000</v>
      </c>
      <c r="AN14" s="41" t="s">
        <v>48</v>
      </c>
      <c r="AO14" s="41" t="s">
        <v>724</v>
      </c>
    </row>
    <row r="15" spans="1:41" ht="16.5">
      <c r="A15" s="41">
        <v>20817</v>
      </c>
      <c r="B15" s="41" t="s">
        <v>789</v>
      </c>
      <c r="C15" s="41" t="s">
        <v>711</v>
      </c>
      <c r="D15" s="41" t="s">
        <v>704</v>
      </c>
      <c r="E15" s="42">
        <v>11037</v>
      </c>
      <c r="F15" s="41">
        <v>10000</v>
      </c>
      <c r="G15" s="41">
        <v>300</v>
      </c>
      <c r="H15" s="41">
        <v>50</v>
      </c>
      <c r="I15" s="41" t="s">
        <v>718</v>
      </c>
      <c r="J15" s="41">
        <v>6</v>
      </c>
      <c r="K15" s="41">
        <v>20</v>
      </c>
      <c r="L15" s="41">
        <v>60</v>
      </c>
      <c r="M15" s="41">
        <v>0</v>
      </c>
      <c r="N15" s="41">
        <v>0</v>
      </c>
      <c r="O15" s="41">
        <v>180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W15" s="41">
        <v>9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36</v>
      </c>
      <c r="AF15" s="41">
        <v>0</v>
      </c>
      <c r="AG15" s="41">
        <v>0</v>
      </c>
      <c r="AH15" s="41">
        <v>0</v>
      </c>
      <c r="AI15" s="41">
        <v>0</v>
      </c>
      <c r="AJ15" s="41">
        <v>1.8000000000000002E-2</v>
      </c>
      <c r="AK15" s="41">
        <v>20013</v>
      </c>
      <c r="AL15" s="41">
        <v>2</v>
      </c>
      <c r="AM15" s="41">
        <v>75000</v>
      </c>
      <c r="AN15" s="41" t="s">
        <v>48</v>
      </c>
      <c r="AO15" s="41" t="s">
        <v>724</v>
      </c>
    </row>
    <row r="16" spans="1:41" s="44" customFormat="1" ht="17.25" customHeight="1">
      <c r="A16" s="41">
        <v>281</v>
      </c>
      <c r="B16" s="41" t="s">
        <v>761</v>
      </c>
      <c r="C16" s="41" t="s">
        <v>711</v>
      </c>
      <c r="D16" s="41" t="s">
        <v>705</v>
      </c>
      <c r="E16" s="42">
        <v>11038</v>
      </c>
      <c r="F16" s="41">
        <v>10000</v>
      </c>
      <c r="G16" s="41">
        <v>300</v>
      </c>
      <c r="H16" s="41">
        <v>50</v>
      </c>
      <c r="I16" s="41" t="s">
        <v>719</v>
      </c>
      <c r="J16" s="41">
        <v>6</v>
      </c>
      <c r="K16" s="41">
        <v>20</v>
      </c>
      <c r="L16" s="41">
        <v>60</v>
      </c>
      <c r="M16" s="41">
        <v>0</v>
      </c>
      <c r="N16" s="41">
        <v>360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1">
        <v>0</v>
      </c>
      <c r="U16" s="41">
        <v>0</v>
      </c>
      <c r="V16" s="41">
        <v>18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72</v>
      </c>
      <c r="AE16" s="41">
        <v>0</v>
      </c>
      <c r="AF16" s="41">
        <v>0</v>
      </c>
      <c r="AG16" s="43">
        <v>0</v>
      </c>
      <c r="AH16" s="41">
        <v>0</v>
      </c>
      <c r="AI16" s="41">
        <v>1.8000000000000002E-2</v>
      </c>
      <c r="AJ16" s="41">
        <v>0</v>
      </c>
      <c r="AK16" s="41">
        <v>20013</v>
      </c>
      <c r="AL16" s="41">
        <v>1</v>
      </c>
      <c r="AM16" s="41">
        <v>75000</v>
      </c>
      <c r="AN16" s="41" t="s">
        <v>48</v>
      </c>
      <c r="AO16" s="41" t="s">
        <v>724</v>
      </c>
    </row>
    <row r="17" spans="1:41" s="44" customFormat="1" ht="17.25" customHeight="1">
      <c r="A17" s="41">
        <v>282</v>
      </c>
      <c r="B17" s="41" t="s">
        <v>762</v>
      </c>
      <c r="C17" s="41" t="s">
        <v>711</v>
      </c>
      <c r="D17" s="41" t="s">
        <v>705</v>
      </c>
      <c r="E17" s="42">
        <v>11038</v>
      </c>
      <c r="F17" s="41">
        <v>10000</v>
      </c>
      <c r="G17" s="41">
        <v>300</v>
      </c>
      <c r="H17" s="41">
        <v>50</v>
      </c>
      <c r="I17" s="41" t="s">
        <v>719</v>
      </c>
      <c r="J17" s="41">
        <v>6</v>
      </c>
      <c r="K17" s="41">
        <v>20</v>
      </c>
      <c r="L17" s="41">
        <v>60</v>
      </c>
      <c r="M17" s="41">
        <v>0</v>
      </c>
      <c r="N17" s="41">
        <v>360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1">
        <v>0</v>
      </c>
      <c r="U17" s="41">
        <v>0</v>
      </c>
      <c r="V17" s="41">
        <v>18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72</v>
      </c>
      <c r="AE17" s="41">
        <v>0</v>
      </c>
      <c r="AF17" s="41">
        <v>0</v>
      </c>
      <c r="AG17" s="43">
        <v>0</v>
      </c>
      <c r="AH17" s="41">
        <v>0</v>
      </c>
      <c r="AI17" s="41">
        <v>1.8000000000000002E-2</v>
      </c>
      <c r="AJ17" s="41">
        <v>0</v>
      </c>
      <c r="AK17" s="41">
        <v>20013</v>
      </c>
      <c r="AL17" s="41">
        <v>1</v>
      </c>
      <c r="AM17" s="41">
        <v>75000</v>
      </c>
      <c r="AN17" s="41" t="s">
        <v>48</v>
      </c>
      <c r="AO17" s="41" t="s">
        <v>724</v>
      </c>
    </row>
    <row r="18" spans="1:41" ht="16.5">
      <c r="A18" s="41">
        <v>283</v>
      </c>
      <c r="B18" s="41" t="s">
        <v>763</v>
      </c>
      <c r="C18" s="41" t="s">
        <v>711</v>
      </c>
      <c r="D18" s="41" t="s">
        <v>705</v>
      </c>
      <c r="E18" s="42">
        <v>11038</v>
      </c>
      <c r="F18" s="41">
        <v>10000</v>
      </c>
      <c r="G18" s="41">
        <v>300</v>
      </c>
      <c r="H18" s="41">
        <v>50</v>
      </c>
      <c r="I18" s="41" t="s">
        <v>719</v>
      </c>
      <c r="J18" s="41">
        <v>6</v>
      </c>
      <c r="K18" s="41">
        <v>20</v>
      </c>
      <c r="L18" s="41">
        <v>60</v>
      </c>
      <c r="M18" s="41">
        <v>0</v>
      </c>
      <c r="N18" s="41">
        <v>360</v>
      </c>
      <c r="O18" s="41">
        <v>0</v>
      </c>
      <c r="P18" s="41">
        <v>0</v>
      </c>
      <c r="Q18" s="41">
        <v>0</v>
      </c>
      <c r="R18" s="41">
        <v>0</v>
      </c>
      <c r="S18" s="41">
        <v>0</v>
      </c>
      <c r="T18" s="41">
        <v>0</v>
      </c>
      <c r="U18" s="41">
        <v>0</v>
      </c>
      <c r="V18" s="41">
        <v>18</v>
      </c>
      <c r="W18" s="41">
        <v>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72</v>
      </c>
      <c r="AE18" s="41">
        <v>0</v>
      </c>
      <c r="AF18" s="41">
        <v>0</v>
      </c>
      <c r="AG18" s="43">
        <v>0</v>
      </c>
      <c r="AH18" s="41">
        <v>0</v>
      </c>
      <c r="AI18" s="41">
        <v>1.7999999999999999E-2</v>
      </c>
      <c r="AJ18" s="41">
        <v>0</v>
      </c>
      <c r="AK18" s="41">
        <v>20013</v>
      </c>
      <c r="AL18" s="41">
        <v>1</v>
      </c>
      <c r="AM18" s="41">
        <v>75000</v>
      </c>
      <c r="AN18" s="41" t="s">
        <v>48</v>
      </c>
      <c r="AO18" s="41" t="s">
        <v>724</v>
      </c>
    </row>
    <row r="19" spans="1:41" ht="16.5">
      <c r="A19" s="41">
        <v>284</v>
      </c>
      <c r="B19" s="41" t="s">
        <v>764</v>
      </c>
      <c r="C19" s="41" t="s">
        <v>711</v>
      </c>
      <c r="D19" s="41" t="s">
        <v>705</v>
      </c>
      <c r="E19" s="42">
        <v>11038</v>
      </c>
      <c r="F19" s="41">
        <v>10000</v>
      </c>
      <c r="G19" s="41">
        <v>300</v>
      </c>
      <c r="H19" s="41">
        <v>50</v>
      </c>
      <c r="I19" s="41" t="s">
        <v>719</v>
      </c>
      <c r="J19" s="41">
        <v>6</v>
      </c>
      <c r="K19" s="41">
        <v>20</v>
      </c>
      <c r="L19" s="41">
        <v>60</v>
      </c>
      <c r="M19" s="41">
        <v>0</v>
      </c>
      <c r="N19" s="41">
        <v>360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18</v>
      </c>
      <c r="W19" s="41">
        <v>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72</v>
      </c>
      <c r="AE19" s="41">
        <v>0</v>
      </c>
      <c r="AF19" s="41">
        <v>0</v>
      </c>
      <c r="AG19" s="43">
        <v>0</v>
      </c>
      <c r="AH19" s="41">
        <v>0</v>
      </c>
      <c r="AI19" s="41">
        <v>1.7999999999999999E-2</v>
      </c>
      <c r="AJ19" s="41">
        <v>0</v>
      </c>
      <c r="AK19" s="41">
        <v>20013</v>
      </c>
      <c r="AL19" s="41">
        <v>1</v>
      </c>
      <c r="AM19" s="41">
        <v>75000</v>
      </c>
      <c r="AN19" s="41" t="s">
        <v>48</v>
      </c>
      <c r="AO19" s="41" t="s">
        <v>724</v>
      </c>
    </row>
    <row r="20" spans="1:41" ht="16.5">
      <c r="A20" s="41">
        <v>285</v>
      </c>
      <c r="B20" s="41" t="s">
        <v>765</v>
      </c>
      <c r="C20" s="41" t="s">
        <v>711</v>
      </c>
      <c r="D20" s="41" t="s">
        <v>705</v>
      </c>
      <c r="E20" s="42">
        <v>11038</v>
      </c>
      <c r="F20" s="41">
        <v>10000</v>
      </c>
      <c r="G20" s="41">
        <v>300</v>
      </c>
      <c r="H20" s="41">
        <v>50</v>
      </c>
      <c r="I20" s="41" t="s">
        <v>719</v>
      </c>
      <c r="J20" s="41">
        <v>6</v>
      </c>
      <c r="K20" s="41">
        <v>20</v>
      </c>
      <c r="L20" s="41">
        <v>60</v>
      </c>
      <c r="M20" s="41">
        <v>0</v>
      </c>
      <c r="N20" s="41">
        <v>360</v>
      </c>
      <c r="O20" s="41">
        <v>0</v>
      </c>
      <c r="P20" s="41">
        <v>0</v>
      </c>
      <c r="Q20" s="41">
        <v>0</v>
      </c>
      <c r="R20" s="41">
        <v>0</v>
      </c>
      <c r="S20" s="41">
        <v>0</v>
      </c>
      <c r="T20" s="41">
        <v>0</v>
      </c>
      <c r="U20" s="41">
        <v>0</v>
      </c>
      <c r="V20" s="41">
        <v>18</v>
      </c>
      <c r="W20" s="41"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72</v>
      </c>
      <c r="AE20" s="41">
        <v>0</v>
      </c>
      <c r="AF20" s="41">
        <v>0</v>
      </c>
      <c r="AG20" s="43">
        <v>0</v>
      </c>
      <c r="AH20" s="41">
        <v>0</v>
      </c>
      <c r="AI20" s="41">
        <v>1.7999999999999999E-2</v>
      </c>
      <c r="AJ20" s="41">
        <v>0</v>
      </c>
      <c r="AK20" s="41">
        <v>20013</v>
      </c>
      <c r="AL20" s="41">
        <v>1</v>
      </c>
      <c r="AM20" s="41">
        <v>75000</v>
      </c>
      <c r="AN20" s="41" t="s">
        <v>48</v>
      </c>
      <c r="AO20" s="41" t="s">
        <v>724</v>
      </c>
    </row>
    <row r="21" spans="1:41" ht="16.5">
      <c r="A21" s="41">
        <v>286</v>
      </c>
      <c r="B21" s="41" t="s">
        <v>766</v>
      </c>
      <c r="C21" s="41" t="s">
        <v>711</v>
      </c>
      <c r="D21" s="41" t="s">
        <v>705</v>
      </c>
      <c r="E21" s="42">
        <v>11038</v>
      </c>
      <c r="F21" s="41">
        <v>10000</v>
      </c>
      <c r="G21" s="41">
        <v>300</v>
      </c>
      <c r="H21" s="41">
        <v>50</v>
      </c>
      <c r="I21" s="41" t="s">
        <v>719</v>
      </c>
      <c r="J21" s="41">
        <v>6</v>
      </c>
      <c r="K21" s="41">
        <v>20</v>
      </c>
      <c r="L21" s="41">
        <v>60</v>
      </c>
      <c r="M21" s="41">
        <v>0</v>
      </c>
      <c r="N21" s="41">
        <v>360</v>
      </c>
      <c r="O21" s="41">
        <v>0</v>
      </c>
      <c r="P21" s="41"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18</v>
      </c>
      <c r="W21" s="41">
        <v>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72</v>
      </c>
      <c r="AE21" s="41">
        <v>0</v>
      </c>
      <c r="AF21" s="41">
        <v>0</v>
      </c>
      <c r="AG21" s="43">
        <v>0</v>
      </c>
      <c r="AH21" s="41">
        <v>0</v>
      </c>
      <c r="AI21" s="41">
        <v>1.7999999999999999E-2</v>
      </c>
      <c r="AJ21" s="41">
        <v>0</v>
      </c>
      <c r="AK21" s="41">
        <v>20013</v>
      </c>
      <c r="AL21" s="41">
        <v>1</v>
      </c>
      <c r="AM21" s="41">
        <v>75000</v>
      </c>
      <c r="AN21" s="41" t="s">
        <v>48</v>
      </c>
      <c r="AO21" s="41" t="s">
        <v>724</v>
      </c>
    </row>
    <row r="22" spans="1:41" ht="16.5">
      <c r="A22" s="41">
        <v>287</v>
      </c>
      <c r="B22" s="41" t="s">
        <v>767</v>
      </c>
      <c r="C22" s="41" t="s">
        <v>711</v>
      </c>
      <c r="D22" s="41" t="s">
        <v>705</v>
      </c>
      <c r="E22" s="42">
        <v>11038</v>
      </c>
      <c r="F22" s="41">
        <v>10000</v>
      </c>
      <c r="G22" s="41">
        <v>300</v>
      </c>
      <c r="H22" s="41">
        <v>50</v>
      </c>
      <c r="I22" s="41" t="s">
        <v>719</v>
      </c>
      <c r="J22" s="41">
        <v>6</v>
      </c>
      <c r="K22" s="41">
        <v>20</v>
      </c>
      <c r="L22" s="41">
        <v>60</v>
      </c>
      <c r="M22" s="41">
        <v>0</v>
      </c>
      <c r="N22" s="41">
        <v>360</v>
      </c>
      <c r="O22" s="41">
        <v>0</v>
      </c>
      <c r="P22" s="41">
        <v>0</v>
      </c>
      <c r="Q22" s="41">
        <v>0</v>
      </c>
      <c r="R22" s="41">
        <v>0</v>
      </c>
      <c r="S22" s="41">
        <v>0</v>
      </c>
      <c r="T22" s="41">
        <v>0</v>
      </c>
      <c r="U22" s="41">
        <v>0</v>
      </c>
      <c r="V22" s="41">
        <v>18</v>
      </c>
      <c r="W22" s="41"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72</v>
      </c>
      <c r="AE22" s="41">
        <v>0</v>
      </c>
      <c r="AF22" s="41">
        <v>0</v>
      </c>
      <c r="AG22" s="43">
        <v>0</v>
      </c>
      <c r="AH22" s="41">
        <v>0</v>
      </c>
      <c r="AI22" s="41">
        <v>1.7999999999999999E-2</v>
      </c>
      <c r="AJ22" s="41">
        <v>0</v>
      </c>
      <c r="AK22" s="41">
        <v>20013</v>
      </c>
      <c r="AL22" s="41">
        <v>1</v>
      </c>
      <c r="AM22" s="41">
        <v>75000</v>
      </c>
      <c r="AN22" s="41" t="s">
        <v>48</v>
      </c>
      <c r="AO22" s="41" t="s">
        <v>724</v>
      </c>
    </row>
    <row r="23" spans="1:41" ht="16.5">
      <c r="A23" s="41">
        <v>2082</v>
      </c>
      <c r="B23" s="41" t="s">
        <v>768</v>
      </c>
      <c r="C23" s="41" t="s">
        <v>711</v>
      </c>
      <c r="D23" s="41" t="s">
        <v>705</v>
      </c>
      <c r="E23" s="42">
        <v>11038</v>
      </c>
      <c r="F23" s="41">
        <v>10000</v>
      </c>
      <c r="G23" s="41">
        <v>300</v>
      </c>
      <c r="H23" s="41">
        <v>50</v>
      </c>
      <c r="I23" s="41" t="s">
        <v>719</v>
      </c>
      <c r="J23" s="41">
        <v>6</v>
      </c>
      <c r="K23" s="41">
        <v>20</v>
      </c>
      <c r="L23" s="41">
        <v>60</v>
      </c>
      <c r="M23" s="41">
        <v>0</v>
      </c>
      <c r="N23" s="41">
        <v>360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18</v>
      </c>
      <c r="W23" s="41">
        <v>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41">
        <v>72</v>
      </c>
      <c r="AE23" s="41">
        <v>0</v>
      </c>
      <c r="AF23" s="41">
        <v>0</v>
      </c>
      <c r="AG23" s="43">
        <v>0</v>
      </c>
      <c r="AH23" s="41">
        <v>0</v>
      </c>
      <c r="AI23" s="41">
        <v>1.7999999999999999E-2</v>
      </c>
      <c r="AJ23" s="41">
        <v>0</v>
      </c>
      <c r="AK23" s="41">
        <v>20013</v>
      </c>
      <c r="AL23" s="41">
        <v>1</v>
      </c>
      <c r="AM23" s="41">
        <v>75000</v>
      </c>
      <c r="AN23" s="41" t="s">
        <v>48</v>
      </c>
      <c r="AO23" s="41" t="s">
        <v>724</v>
      </c>
    </row>
    <row r="24" spans="1:41" ht="16.5">
      <c r="A24" s="41">
        <v>20821</v>
      </c>
      <c r="B24" s="41" t="s">
        <v>769</v>
      </c>
      <c r="C24" s="41" t="s">
        <v>711</v>
      </c>
      <c r="D24" s="41" t="s">
        <v>705</v>
      </c>
      <c r="E24" s="42">
        <v>11038</v>
      </c>
      <c r="F24" s="41">
        <v>10000</v>
      </c>
      <c r="G24" s="41">
        <v>300</v>
      </c>
      <c r="H24" s="41">
        <v>50</v>
      </c>
      <c r="I24" s="41" t="s">
        <v>719</v>
      </c>
      <c r="J24" s="41">
        <v>6</v>
      </c>
      <c r="K24" s="41">
        <v>20</v>
      </c>
      <c r="L24" s="41">
        <v>60</v>
      </c>
      <c r="M24" s="41">
        <v>0</v>
      </c>
      <c r="N24" s="41">
        <v>360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18</v>
      </c>
      <c r="W24" s="41">
        <v>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72</v>
      </c>
      <c r="AE24" s="41">
        <v>0</v>
      </c>
      <c r="AF24" s="41">
        <v>0</v>
      </c>
      <c r="AG24" s="43">
        <v>0</v>
      </c>
      <c r="AH24" s="41">
        <v>0</v>
      </c>
      <c r="AI24" s="41">
        <v>1.7999999999999999E-2</v>
      </c>
      <c r="AJ24" s="41">
        <v>0</v>
      </c>
      <c r="AK24" s="41">
        <v>20013</v>
      </c>
      <c r="AL24" s="41">
        <v>1</v>
      </c>
      <c r="AM24" s="41">
        <v>75000</v>
      </c>
      <c r="AN24" s="41" t="s">
        <v>48</v>
      </c>
      <c r="AO24" s="41" t="s">
        <v>724</v>
      </c>
    </row>
    <row r="25" spans="1:41" ht="16.5">
      <c r="A25" s="41">
        <v>20822</v>
      </c>
      <c r="B25" s="41" t="s">
        <v>770</v>
      </c>
      <c r="C25" s="41" t="s">
        <v>711</v>
      </c>
      <c r="D25" s="41" t="s">
        <v>705</v>
      </c>
      <c r="E25" s="42">
        <v>11038</v>
      </c>
      <c r="F25" s="41">
        <v>10000</v>
      </c>
      <c r="G25" s="41">
        <v>300</v>
      </c>
      <c r="H25" s="41">
        <v>50</v>
      </c>
      <c r="I25" s="41" t="s">
        <v>719</v>
      </c>
      <c r="J25" s="41">
        <v>6</v>
      </c>
      <c r="K25" s="41">
        <v>20</v>
      </c>
      <c r="L25" s="41">
        <v>60</v>
      </c>
      <c r="M25" s="41">
        <v>0</v>
      </c>
      <c r="N25" s="41">
        <v>360</v>
      </c>
      <c r="O25" s="41">
        <v>0</v>
      </c>
      <c r="P25" s="41">
        <v>0</v>
      </c>
      <c r="Q25" s="41">
        <v>0</v>
      </c>
      <c r="R25" s="41">
        <v>0</v>
      </c>
      <c r="S25" s="41">
        <v>0</v>
      </c>
      <c r="T25" s="41">
        <v>0</v>
      </c>
      <c r="U25" s="41">
        <v>0</v>
      </c>
      <c r="V25" s="41">
        <v>18</v>
      </c>
      <c r="W25" s="41">
        <v>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41">
        <v>0</v>
      </c>
      <c r="AD25" s="41">
        <v>72</v>
      </c>
      <c r="AE25" s="41">
        <v>0</v>
      </c>
      <c r="AF25" s="41">
        <v>0</v>
      </c>
      <c r="AG25" s="43">
        <v>0</v>
      </c>
      <c r="AH25" s="41">
        <v>0</v>
      </c>
      <c r="AI25" s="41">
        <v>1.7999999999999999E-2</v>
      </c>
      <c r="AJ25" s="41">
        <v>0</v>
      </c>
      <c r="AK25" s="41">
        <v>20013</v>
      </c>
      <c r="AL25" s="41">
        <v>1</v>
      </c>
      <c r="AM25" s="41">
        <v>75000</v>
      </c>
      <c r="AN25" s="41" t="s">
        <v>48</v>
      </c>
      <c r="AO25" s="41" t="s">
        <v>724</v>
      </c>
    </row>
    <row r="26" spans="1:41" ht="16.5">
      <c r="A26" s="41">
        <v>20823</v>
      </c>
      <c r="B26" s="41" t="s">
        <v>771</v>
      </c>
      <c r="C26" s="41" t="s">
        <v>711</v>
      </c>
      <c r="D26" s="41" t="s">
        <v>705</v>
      </c>
      <c r="E26" s="42">
        <v>11038</v>
      </c>
      <c r="F26" s="41">
        <v>10000</v>
      </c>
      <c r="G26" s="41">
        <v>300</v>
      </c>
      <c r="H26" s="41">
        <v>50</v>
      </c>
      <c r="I26" s="41" t="s">
        <v>719</v>
      </c>
      <c r="J26" s="41">
        <v>6</v>
      </c>
      <c r="K26" s="41">
        <v>20</v>
      </c>
      <c r="L26" s="41">
        <v>60</v>
      </c>
      <c r="M26" s="41">
        <v>0</v>
      </c>
      <c r="N26" s="41">
        <v>360</v>
      </c>
      <c r="O26" s="41">
        <v>0</v>
      </c>
      <c r="P26" s="41">
        <v>0</v>
      </c>
      <c r="Q26" s="41">
        <v>0</v>
      </c>
      <c r="R26" s="41">
        <v>0</v>
      </c>
      <c r="S26" s="41">
        <v>0</v>
      </c>
      <c r="T26" s="41">
        <v>0</v>
      </c>
      <c r="U26" s="41">
        <v>0</v>
      </c>
      <c r="V26" s="41">
        <v>18</v>
      </c>
      <c r="W26" s="41">
        <v>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41">
        <v>0</v>
      </c>
      <c r="AD26" s="41">
        <v>72</v>
      </c>
      <c r="AE26" s="41">
        <v>0</v>
      </c>
      <c r="AF26" s="41">
        <v>0</v>
      </c>
      <c r="AG26" s="43">
        <v>0</v>
      </c>
      <c r="AH26" s="41">
        <v>0</v>
      </c>
      <c r="AI26" s="41">
        <v>1.7999999999999999E-2</v>
      </c>
      <c r="AJ26" s="41">
        <v>0</v>
      </c>
      <c r="AK26" s="41">
        <v>20013</v>
      </c>
      <c r="AL26" s="41">
        <v>1</v>
      </c>
      <c r="AM26" s="41">
        <v>75000</v>
      </c>
      <c r="AN26" s="41" t="s">
        <v>48</v>
      </c>
      <c r="AO26" s="41" t="s">
        <v>724</v>
      </c>
    </row>
    <row r="27" spans="1:41" ht="16.5">
      <c r="A27" s="41">
        <v>20824</v>
      </c>
      <c r="B27" s="41" t="s">
        <v>772</v>
      </c>
      <c r="C27" s="41" t="s">
        <v>711</v>
      </c>
      <c r="D27" s="41" t="s">
        <v>705</v>
      </c>
      <c r="E27" s="42">
        <v>11038</v>
      </c>
      <c r="F27" s="41">
        <v>10000</v>
      </c>
      <c r="G27" s="41">
        <v>300</v>
      </c>
      <c r="H27" s="41">
        <v>50</v>
      </c>
      <c r="I27" s="41" t="s">
        <v>719</v>
      </c>
      <c r="J27" s="41">
        <v>6</v>
      </c>
      <c r="K27" s="41">
        <v>20</v>
      </c>
      <c r="L27" s="41">
        <v>60</v>
      </c>
      <c r="M27" s="41">
        <v>0</v>
      </c>
      <c r="N27" s="41">
        <v>360</v>
      </c>
      <c r="O27" s="41">
        <v>0</v>
      </c>
      <c r="P27" s="41">
        <v>0</v>
      </c>
      <c r="Q27" s="41">
        <v>0</v>
      </c>
      <c r="R27" s="41">
        <v>0</v>
      </c>
      <c r="S27" s="41">
        <v>0</v>
      </c>
      <c r="T27" s="41">
        <v>0</v>
      </c>
      <c r="U27" s="41">
        <v>0</v>
      </c>
      <c r="V27" s="41">
        <v>18</v>
      </c>
      <c r="W27" s="41">
        <v>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41">
        <v>0</v>
      </c>
      <c r="AD27" s="41">
        <v>72</v>
      </c>
      <c r="AE27" s="41">
        <v>0</v>
      </c>
      <c r="AF27" s="41">
        <v>0</v>
      </c>
      <c r="AG27" s="43">
        <v>0</v>
      </c>
      <c r="AH27" s="41">
        <v>0</v>
      </c>
      <c r="AI27" s="41">
        <v>1.7999999999999999E-2</v>
      </c>
      <c r="AJ27" s="41">
        <v>0</v>
      </c>
      <c r="AK27" s="41">
        <v>20013</v>
      </c>
      <c r="AL27" s="41">
        <v>1</v>
      </c>
      <c r="AM27" s="41">
        <v>75000</v>
      </c>
      <c r="AN27" s="41" t="s">
        <v>48</v>
      </c>
      <c r="AO27" s="41" t="s">
        <v>724</v>
      </c>
    </row>
    <row r="28" spans="1:41" ht="16.5">
      <c r="A28" s="41">
        <v>20825</v>
      </c>
      <c r="B28" s="41" t="s">
        <v>773</v>
      </c>
      <c r="C28" s="41" t="s">
        <v>711</v>
      </c>
      <c r="D28" s="41" t="s">
        <v>705</v>
      </c>
      <c r="E28" s="42">
        <v>11038</v>
      </c>
      <c r="F28" s="41">
        <v>10000</v>
      </c>
      <c r="G28" s="41">
        <v>300</v>
      </c>
      <c r="H28" s="41">
        <v>50</v>
      </c>
      <c r="I28" s="41" t="s">
        <v>719</v>
      </c>
      <c r="J28" s="41">
        <v>6</v>
      </c>
      <c r="K28" s="41">
        <v>20</v>
      </c>
      <c r="L28" s="41">
        <v>60</v>
      </c>
      <c r="M28" s="41">
        <v>0</v>
      </c>
      <c r="N28" s="41">
        <v>360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18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72</v>
      </c>
      <c r="AE28" s="41">
        <v>0</v>
      </c>
      <c r="AF28" s="41">
        <v>0</v>
      </c>
      <c r="AG28" s="43">
        <v>0</v>
      </c>
      <c r="AH28" s="41">
        <v>0</v>
      </c>
      <c r="AI28" s="41">
        <v>1.7999999999999999E-2</v>
      </c>
      <c r="AJ28" s="41">
        <v>0</v>
      </c>
      <c r="AK28" s="41">
        <v>20013</v>
      </c>
      <c r="AL28" s="41">
        <v>1</v>
      </c>
      <c r="AM28" s="41">
        <v>75000</v>
      </c>
      <c r="AN28" s="41" t="s">
        <v>48</v>
      </c>
      <c r="AO28" s="41" t="s">
        <v>724</v>
      </c>
    </row>
    <row r="29" spans="1:41" ht="16.5">
      <c r="A29" s="41">
        <v>20826</v>
      </c>
      <c r="B29" s="41" t="s">
        <v>774</v>
      </c>
      <c r="C29" s="41" t="s">
        <v>711</v>
      </c>
      <c r="D29" s="41" t="s">
        <v>705</v>
      </c>
      <c r="E29" s="42">
        <v>11038</v>
      </c>
      <c r="F29" s="41">
        <v>10000</v>
      </c>
      <c r="G29" s="41">
        <v>300</v>
      </c>
      <c r="H29" s="41">
        <v>50</v>
      </c>
      <c r="I29" s="41" t="s">
        <v>719</v>
      </c>
      <c r="J29" s="41">
        <v>6</v>
      </c>
      <c r="K29" s="41">
        <v>20</v>
      </c>
      <c r="L29" s="41">
        <v>60</v>
      </c>
      <c r="M29" s="41">
        <v>0</v>
      </c>
      <c r="N29" s="41">
        <v>360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1">
        <v>0</v>
      </c>
      <c r="U29" s="41">
        <v>0</v>
      </c>
      <c r="V29" s="41">
        <v>18</v>
      </c>
      <c r="W29" s="41">
        <v>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41">
        <v>0</v>
      </c>
      <c r="AD29" s="41">
        <v>72</v>
      </c>
      <c r="AE29" s="41">
        <v>0</v>
      </c>
      <c r="AF29" s="41">
        <v>0</v>
      </c>
      <c r="AG29" s="43">
        <v>0</v>
      </c>
      <c r="AH29" s="41">
        <v>0</v>
      </c>
      <c r="AI29" s="41">
        <v>1.7999999999999999E-2</v>
      </c>
      <c r="AJ29" s="41">
        <v>0</v>
      </c>
      <c r="AK29" s="41">
        <v>20013</v>
      </c>
      <c r="AL29" s="41">
        <v>1</v>
      </c>
      <c r="AM29" s="41">
        <v>75000</v>
      </c>
      <c r="AN29" s="41" t="s">
        <v>48</v>
      </c>
      <c r="AO29" s="41" t="s">
        <v>724</v>
      </c>
    </row>
    <row r="30" spans="1:41" ht="16.5">
      <c r="A30" s="41">
        <v>20827</v>
      </c>
      <c r="B30" s="41" t="s">
        <v>775</v>
      </c>
      <c r="C30" s="41" t="s">
        <v>711</v>
      </c>
      <c r="D30" s="41" t="s">
        <v>705</v>
      </c>
      <c r="E30" s="42">
        <v>11038</v>
      </c>
      <c r="F30" s="41">
        <v>10000</v>
      </c>
      <c r="G30" s="41">
        <v>300</v>
      </c>
      <c r="H30" s="41">
        <v>50</v>
      </c>
      <c r="I30" s="41" t="s">
        <v>719</v>
      </c>
      <c r="J30" s="41">
        <v>6</v>
      </c>
      <c r="K30" s="41">
        <v>20</v>
      </c>
      <c r="L30" s="41">
        <v>60</v>
      </c>
      <c r="M30" s="41">
        <v>0</v>
      </c>
      <c r="N30" s="41">
        <v>360</v>
      </c>
      <c r="O30" s="41">
        <v>0</v>
      </c>
      <c r="P30" s="41">
        <v>0</v>
      </c>
      <c r="Q30" s="41">
        <v>0</v>
      </c>
      <c r="R30" s="41">
        <v>0</v>
      </c>
      <c r="S30" s="41">
        <v>0</v>
      </c>
      <c r="T30" s="41">
        <v>0</v>
      </c>
      <c r="U30" s="41">
        <v>0</v>
      </c>
      <c r="V30" s="41">
        <v>18</v>
      </c>
      <c r="W30" s="41">
        <v>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41">
        <v>0</v>
      </c>
      <c r="AD30" s="41">
        <v>72</v>
      </c>
      <c r="AE30" s="41">
        <v>0</v>
      </c>
      <c r="AF30" s="41">
        <v>0</v>
      </c>
      <c r="AG30" s="43">
        <v>0</v>
      </c>
      <c r="AH30" s="41">
        <v>0</v>
      </c>
      <c r="AI30" s="41">
        <v>1.7999999999999999E-2</v>
      </c>
      <c r="AJ30" s="41">
        <v>0</v>
      </c>
      <c r="AK30" s="41">
        <v>20013</v>
      </c>
      <c r="AL30" s="41">
        <v>1</v>
      </c>
      <c r="AM30" s="41">
        <v>75000</v>
      </c>
      <c r="AN30" s="41" t="s">
        <v>48</v>
      </c>
      <c r="AO30" s="41" t="s">
        <v>724</v>
      </c>
    </row>
    <row r="31" spans="1:41" ht="16.5">
      <c r="A31" s="41">
        <v>381</v>
      </c>
      <c r="B31" s="41" t="s">
        <v>790</v>
      </c>
      <c r="C31" s="41" t="s">
        <v>711</v>
      </c>
      <c r="D31" s="41" t="s">
        <v>706</v>
      </c>
      <c r="E31" s="42">
        <v>11039</v>
      </c>
      <c r="F31" s="41">
        <v>10000</v>
      </c>
      <c r="G31" s="41">
        <v>300</v>
      </c>
      <c r="H31" s="41">
        <v>50</v>
      </c>
      <c r="I31" s="41" t="s">
        <v>720</v>
      </c>
      <c r="J31" s="41">
        <v>6</v>
      </c>
      <c r="K31" s="41">
        <v>20</v>
      </c>
      <c r="L31" s="41">
        <v>60</v>
      </c>
      <c r="M31" s="41">
        <v>9000</v>
      </c>
      <c r="N31" s="41">
        <v>0</v>
      </c>
      <c r="O31" s="41">
        <v>0</v>
      </c>
      <c r="P31" s="41">
        <v>0</v>
      </c>
      <c r="Q31" s="41">
        <v>0</v>
      </c>
      <c r="R31" s="41">
        <v>0</v>
      </c>
      <c r="S31" s="41">
        <v>0</v>
      </c>
      <c r="T31" s="41">
        <v>0</v>
      </c>
      <c r="U31" s="41">
        <v>450</v>
      </c>
      <c r="V31" s="41">
        <v>0</v>
      </c>
      <c r="W31" s="41">
        <v>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41">
        <v>1800</v>
      </c>
      <c r="AD31" s="41">
        <v>0</v>
      </c>
      <c r="AE31" s="41">
        <v>0</v>
      </c>
      <c r="AF31" s="41">
        <v>0</v>
      </c>
      <c r="AG31" s="41">
        <v>9.0000000000000011E-3</v>
      </c>
      <c r="AH31" s="41">
        <v>0</v>
      </c>
      <c r="AI31" s="41">
        <v>0</v>
      </c>
      <c r="AJ31" s="43">
        <v>0</v>
      </c>
      <c r="AK31" s="41">
        <v>20013</v>
      </c>
      <c r="AL31" s="41">
        <v>3</v>
      </c>
      <c r="AM31" s="41">
        <v>75000</v>
      </c>
      <c r="AN31" s="41" t="s">
        <v>48</v>
      </c>
      <c r="AO31" s="41" t="s">
        <v>724</v>
      </c>
    </row>
    <row r="32" spans="1:41" ht="16.5">
      <c r="A32" s="41">
        <v>382</v>
      </c>
      <c r="B32" s="41" t="s">
        <v>791</v>
      </c>
      <c r="C32" s="41" t="s">
        <v>711</v>
      </c>
      <c r="D32" s="41" t="s">
        <v>706</v>
      </c>
      <c r="E32" s="42">
        <v>11039</v>
      </c>
      <c r="F32" s="41">
        <v>10000</v>
      </c>
      <c r="G32" s="41">
        <v>300</v>
      </c>
      <c r="H32" s="41">
        <v>50</v>
      </c>
      <c r="I32" s="41" t="s">
        <v>720</v>
      </c>
      <c r="J32" s="41">
        <v>6</v>
      </c>
      <c r="K32" s="41">
        <v>20</v>
      </c>
      <c r="L32" s="41">
        <v>60</v>
      </c>
      <c r="M32" s="41">
        <v>9000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450</v>
      </c>
      <c r="V32" s="41">
        <v>0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1800</v>
      </c>
      <c r="AD32" s="41">
        <v>0</v>
      </c>
      <c r="AE32" s="41">
        <v>0</v>
      </c>
      <c r="AF32" s="41">
        <v>0</v>
      </c>
      <c r="AG32" s="41">
        <v>9.0000000000000011E-3</v>
      </c>
      <c r="AH32" s="41">
        <v>0</v>
      </c>
      <c r="AI32" s="41">
        <v>0</v>
      </c>
      <c r="AJ32" s="43">
        <v>0</v>
      </c>
      <c r="AK32" s="41">
        <v>20013</v>
      </c>
      <c r="AL32" s="41">
        <v>3</v>
      </c>
      <c r="AM32" s="41">
        <v>75000</v>
      </c>
      <c r="AN32" s="41" t="s">
        <v>48</v>
      </c>
      <c r="AO32" s="41" t="s">
        <v>724</v>
      </c>
    </row>
    <row r="33" spans="1:41" ht="16.5">
      <c r="A33" s="41">
        <v>383</v>
      </c>
      <c r="B33" s="41" t="s">
        <v>792</v>
      </c>
      <c r="C33" s="41" t="s">
        <v>711</v>
      </c>
      <c r="D33" s="41" t="s">
        <v>706</v>
      </c>
      <c r="E33" s="42">
        <v>11039</v>
      </c>
      <c r="F33" s="41">
        <v>10000</v>
      </c>
      <c r="G33" s="41">
        <v>300</v>
      </c>
      <c r="H33" s="41">
        <v>50</v>
      </c>
      <c r="I33" s="41" t="s">
        <v>720</v>
      </c>
      <c r="J33" s="41">
        <v>6</v>
      </c>
      <c r="K33" s="41">
        <v>20</v>
      </c>
      <c r="L33" s="41">
        <v>60</v>
      </c>
      <c r="M33" s="41">
        <v>9000</v>
      </c>
      <c r="N33" s="41">
        <v>0</v>
      </c>
      <c r="O33" s="41">
        <v>0</v>
      </c>
      <c r="P33" s="41">
        <v>0</v>
      </c>
      <c r="Q33" s="41">
        <v>0</v>
      </c>
      <c r="R33" s="41">
        <v>0</v>
      </c>
      <c r="S33" s="41">
        <v>0</v>
      </c>
      <c r="T33" s="41">
        <v>0</v>
      </c>
      <c r="U33" s="41">
        <v>450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41">
        <v>1800</v>
      </c>
      <c r="AD33" s="41">
        <v>0</v>
      </c>
      <c r="AE33" s="41">
        <v>0</v>
      </c>
      <c r="AF33" s="41">
        <v>0</v>
      </c>
      <c r="AG33" s="41">
        <v>9.0000000000000011E-3</v>
      </c>
      <c r="AH33" s="41">
        <v>0</v>
      </c>
      <c r="AI33" s="41">
        <v>0</v>
      </c>
      <c r="AJ33" s="43">
        <v>0</v>
      </c>
      <c r="AK33" s="41">
        <v>20013</v>
      </c>
      <c r="AL33" s="41">
        <v>3</v>
      </c>
      <c r="AM33" s="41">
        <v>75000</v>
      </c>
      <c r="AN33" s="41" t="s">
        <v>48</v>
      </c>
      <c r="AO33" s="41" t="s">
        <v>724</v>
      </c>
    </row>
    <row r="34" spans="1:41" ht="16.5">
      <c r="A34" s="41">
        <v>384</v>
      </c>
      <c r="B34" s="41" t="s">
        <v>793</v>
      </c>
      <c r="C34" s="41" t="s">
        <v>711</v>
      </c>
      <c r="D34" s="41" t="s">
        <v>706</v>
      </c>
      <c r="E34" s="42">
        <v>11039</v>
      </c>
      <c r="F34" s="41">
        <v>10000</v>
      </c>
      <c r="G34" s="41">
        <v>300</v>
      </c>
      <c r="H34" s="41">
        <v>50</v>
      </c>
      <c r="I34" s="41" t="s">
        <v>720</v>
      </c>
      <c r="J34" s="41">
        <v>6</v>
      </c>
      <c r="K34" s="41">
        <v>20</v>
      </c>
      <c r="L34" s="41">
        <v>60</v>
      </c>
      <c r="M34" s="41">
        <v>9000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41">
        <v>0</v>
      </c>
      <c r="T34" s="41">
        <v>0</v>
      </c>
      <c r="U34" s="41">
        <v>450</v>
      </c>
      <c r="V34" s="41">
        <v>0</v>
      </c>
      <c r="W34" s="41">
        <v>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41">
        <v>1800</v>
      </c>
      <c r="AD34" s="41">
        <v>0</v>
      </c>
      <c r="AE34" s="41">
        <v>0</v>
      </c>
      <c r="AF34" s="41">
        <v>0</v>
      </c>
      <c r="AG34" s="41">
        <v>9.0000000000000011E-3</v>
      </c>
      <c r="AH34" s="41">
        <v>0</v>
      </c>
      <c r="AI34" s="41">
        <v>0</v>
      </c>
      <c r="AJ34" s="43">
        <v>0</v>
      </c>
      <c r="AK34" s="41">
        <v>20013</v>
      </c>
      <c r="AL34" s="41">
        <v>3</v>
      </c>
      <c r="AM34" s="41">
        <v>75000</v>
      </c>
      <c r="AN34" s="41" t="s">
        <v>48</v>
      </c>
      <c r="AO34" s="41" t="s">
        <v>724</v>
      </c>
    </row>
    <row r="35" spans="1:41" ht="16.5">
      <c r="A35" s="41">
        <v>385</v>
      </c>
      <c r="B35" s="41" t="s">
        <v>794</v>
      </c>
      <c r="C35" s="41" t="s">
        <v>711</v>
      </c>
      <c r="D35" s="41" t="s">
        <v>706</v>
      </c>
      <c r="E35" s="42">
        <v>11039</v>
      </c>
      <c r="F35" s="41">
        <v>10000</v>
      </c>
      <c r="G35" s="41">
        <v>300</v>
      </c>
      <c r="H35" s="41">
        <v>50</v>
      </c>
      <c r="I35" s="41" t="s">
        <v>720</v>
      </c>
      <c r="J35" s="41">
        <v>6</v>
      </c>
      <c r="K35" s="41">
        <v>20</v>
      </c>
      <c r="L35" s="41">
        <v>60</v>
      </c>
      <c r="M35" s="41">
        <v>9000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1">
        <v>0</v>
      </c>
      <c r="U35" s="41">
        <v>450</v>
      </c>
      <c r="V35" s="41">
        <v>0</v>
      </c>
      <c r="W35" s="41">
        <v>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41">
        <v>1800</v>
      </c>
      <c r="AD35" s="41">
        <v>0</v>
      </c>
      <c r="AE35" s="41">
        <v>0</v>
      </c>
      <c r="AF35" s="41">
        <v>0</v>
      </c>
      <c r="AG35" s="41">
        <v>9.0000000000000011E-3</v>
      </c>
      <c r="AH35" s="41">
        <v>0</v>
      </c>
      <c r="AI35" s="41">
        <v>0</v>
      </c>
      <c r="AJ35" s="43">
        <v>0</v>
      </c>
      <c r="AK35" s="41">
        <v>20013</v>
      </c>
      <c r="AL35" s="41">
        <v>3</v>
      </c>
      <c r="AM35" s="41">
        <v>75000</v>
      </c>
      <c r="AN35" s="41" t="s">
        <v>48</v>
      </c>
      <c r="AO35" s="41" t="s">
        <v>724</v>
      </c>
    </row>
    <row r="36" spans="1:41" ht="16.5">
      <c r="A36" s="41">
        <v>386</v>
      </c>
      <c r="B36" s="41" t="s">
        <v>795</v>
      </c>
      <c r="C36" s="41" t="s">
        <v>711</v>
      </c>
      <c r="D36" s="41" t="s">
        <v>706</v>
      </c>
      <c r="E36" s="42">
        <v>11039</v>
      </c>
      <c r="F36" s="41">
        <v>10000</v>
      </c>
      <c r="G36" s="41">
        <v>300</v>
      </c>
      <c r="H36" s="41">
        <v>50</v>
      </c>
      <c r="I36" s="41" t="s">
        <v>720</v>
      </c>
      <c r="J36" s="41">
        <v>6</v>
      </c>
      <c r="K36" s="41">
        <v>20</v>
      </c>
      <c r="L36" s="41">
        <v>60</v>
      </c>
      <c r="M36" s="41">
        <v>9000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41">
        <v>0</v>
      </c>
      <c r="T36" s="41">
        <v>0</v>
      </c>
      <c r="U36" s="41">
        <v>450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41">
        <v>1800</v>
      </c>
      <c r="AD36" s="41">
        <v>0</v>
      </c>
      <c r="AE36" s="41">
        <v>0</v>
      </c>
      <c r="AF36" s="41">
        <v>0</v>
      </c>
      <c r="AG36" s="41">
        <v>9.0000000000000011E-3</v>
      </c>
      <c r="AH36" s="41">
        <v>0</v>
      </c>
      <c r="AI36" s="41">
        <v>0</v>
      </c>
      <c r="AJ36" s="43">
        <v>0</v>
      </c>
      <c r="AK36" s="41">
        <v>20013</v>
      </c>
      <c r="AL36" s="41">
        <v>3</v>
      </c>
      <c r="AM36" s="41">
        <v>75000</v>
      </c>
      <c r="AN36" s="41" t="s">
        <v>48</v>
      </c>
      <c r="AO36" s="41" t="s">
        <v>724</v>
      </c>
    </row>
    <row r="37" spans="1:41" ht="16.5">
      <c r="A37" s="41">
        <v>387</v>
      </c>
      <c r="B37" s="41" t="s">
        <v>796</v>
      </c>
      <c r="C37" s="41" t="s">
        <v>711</v>
      </c>
      <c r="D37" s="41" t="s">
        <v>706</v>
      </c>
      <c r="E37" s="42">
        <v>11039</v>
      </c>
      <c r="F37" s="41">
        <v>10000</v>
      </c>
      <c r="G37" s="41">
        <v>300</v>
      </c>
      <c r="H37" s="41">
        <v>50</v>
      </c>
      <c r="I37" s="41" t="s">
        <v>720</v>
      </c>
      <c r="J37" s="41">
        <v>6</v>
      </c>
      <c r="K37" s="41">
        <v>20</v>
      </c>
      <c r="L37" s="41">
        <v>60</v>
      </c>
      <c r="M37" s="41">
        <v>9000</v>
      </c>
      <c r="N37" s="41">
        <v>0</v>
      </c>
      <c r="O37" s="41">
        <v>0</v>
      </c>
      <c r="P37" s="41">
        <v>0</v>
      </c>
      <c r="Q37" s="41">
        <v>0</v>
      </c>
      <c r="R37" s="41">
        <v>0</v>
      </c>
      <c r="S37" s="41">
        <v>0</v>
      </c>
      <c r="T37" s="41">
        <v>0</v>
      </c>
      <c r="U37" s="41">
        <v>450</v>
      </c>
      <c r="V37" s="41">
        <v>0</v>
      </c>
      <c r="W37" s="41">
        <v>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41">
        <v>1800</v>
      </c>
      <c r="AD37" s="41">
        <v>0</v>
      </c>
      <c r="AE37" s="41">
        <v>0</v>
      </c>
      <c r="AF37" s="41">
        <v>0</v>
      </c>
      <c r="AG37" s="41">
        <v>9.0000000000000011E-3</v>
      </c>
      <c r="AH37" s="41">
        <v>0</v>
      </c>
      <c r="AI37" s="41">
        <v>0</v>
      </c>
      <c r="AJ37" s="43">
        <v>0</v>
      </c>
      <c r="AK37" s="41">
        <v>20013</v>
      </c>
      <c r="AL37" s="41">
        <v>3</v>
      </c>
      <c r="AM37" s="41">
        <v>75000</v>
      </c>
      <c r="AN37" s="41" t="s">
        <v>48</v>
      </c>
      <c r="AO37" s="41" t="s">
        <v>724</v>
      </c>
    </row>
    <row r="38" spans="1:41" ht="16.5">
      <c r="A38" s="41">
        <v>2083</v>
      </c>
      <c r="B38" s="41" t="s">
        <v>797</v>
      </c>
      <c r="C38" s="41" t="s">
        <v>711</v>
      </c>
      <c r="D38" s="41" t="s">
        <v>706</v>
      </c>
      <c r="E38" s="42">
        <v>11039</v>
      </c>
      <c r="F38" s="41">
        <v>10000</v>
      </c>
      <c r="G38" s="41">
        <v>300</v>
      </c>
      <c r="H38" s="41">
        <v>50</v>
      </c>
      <c r="I38" s="41" t="s">
        <v>720</v>
      </c>
      <c r="J38" s="41">
        <v>6</v>
      </c>
      <c r="K38" s="41">
        <v>20</v>
      </c>
      <c r="L38" s="41">
        <v>60</v>
      </c>
      <c r="M38" s="41">
        <v>9000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450</v>
      </c>
      <c r="V38" s="41">
        <v>0</v>
      </c>
      <c r="W38" s="41">
        <v>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41">
        <v>1800</v>
      </c>
      <c r="AD38" s="41">
        <v>0</v>
      </c>
      <c r="AE38" s="41">
        <v>0</v>
      </c>
      <c r="AF38" s="41">
        <v>0</v>
      </c>
      <c r="AG38" s="41">
        <v>9.0000000000000011E-3</v>
      </c>
      <c r="AH38" s="41">
        <v>0</v>
      </c>
      <c r="AI38" s="41">
        <v>0</v>
      </c>
      <c r="AJ38" s="43">
        <v>0</v>
      </c>
      <c r="AK38" s="41">
        <v>20013</v>
      </c>
      <c r="AL38" s="41">
        <v>3</v>
      </c>
      <c r="AM38" s="41">
        <v>75000</v>
      </c>
      <c r="AN38" s="41" t="s">
        <v>48</v>
      </c>
      <c r="AO38" s="41" t="s">
        <v>724</v>
      </c>
    </row>
    <row r="39" spans="1:41" ht="16.5">
      <c r="A39" s="41">
        <v>20831</v>
      </c>
      <c r="B39" s="41" t="s">
        <v>798</v>
      </c>
      <c r="C39" s="41" t="s">
        <v>711</v>
      </c>
      <c r="D39" s="41" t="s">
        <v>706</v>
      </c>
      <c r="E39" s="42">
        <v>11039</v>
      </c>
      <c r="F39" s="41">
        <v>10000</v>
      </c>
      <c r="G39" s="41">
        <v>300</v>
      </c>
      <c r="H39" s="41">
        <v>50</v>
      </c>
      <c r="I39" s="41" t="s">
        <v>720</v>
      </c>
      <c r="J39" s="41">
        <v>6</v>
      </c>
      <c r="K39" s="41">
        <v>20</v>
      </c>
      <c r="L39" s="41">
        <v>60</v>
      </c>
      <c r="M39" s="41">
        <v>9000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1">
        <v>0</v>
      </c>
      <c r="U39" s="41">
        <v>450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41">
        <v>1800</v>
      </c>
      <c r="AD39" s="41">
        <v>0</v>
      </c>
      <c r="AE39" s="41">
        <v>0</v>
      </c>
      <c r="AF39" s="41">
        <v>0</v>
      </c>
      <c r="AG39" s="41">
        <v>9.0000000000000011E-3</v>
      </c>
      <c r="AH39" s="41">
        <v>0</v>
      </c>
      <c r="AI39" s="41">
        <v>0</v>
      </c>
      <c r="AJ39" s="43">
        <v>0</v>
      </c>
      <c r="AK39" s="41">
        <v>20013</v>
      </c>
      <c r="AL39" s="41">
        <v>3</v>
      </c>
      <c r="AM39" s="41">
        <v>75000</v>
      </c>
      <c r="AN39" s="41" t="s">
        <v>48</v>
      </c>
      <c r="AO39" s="41" t="s">
        <v>724</v>
      </c>
    </row>
    <row r="40" spans="1:41" ht="16.5">
      <c r="A40" s="41">
        <v>20832</v>
      </c>
      <c r="B40" s="41" t="s">
        <v>799</v>
      </c>
      <c r="C40" s="41" t="s">
        <v>711</v>
      </c>
      <c r="D40" s="41" t="s">
        <v>706</v>
      </c>
      <c r="E40" s="42">
        <v>11039</v>
      </c>
      <c r="F40" s="41">
        <v>10000</v>
      </c>
      <c r="G40" s="41">
        <v>300</v>
      </c>
      <c r="H40" s="41">
        <v>50</v>
      </c>
      <c r="I40" s="41" t="s">
        <v>720</v>
      </c>
      <c r="J40" s="41">
        <v>6</v>
      </c>
      <c r="K40" s="41">
        <v>20</v>
      </c>
      <c r="L40" s="41">
        <v>60</v>
      </c>
      <c r="M40" s="41">
        <v>9000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450</v>
      </c>
      <c r="V40" s="41">
        <v>0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1800</v>
      </c>
      <c r="AD40" s="41">
        <v>0</v>
      </c>
      <c r="AE40" s="41">
        <v>0</v>
      </c>
      <c r="AF40" s="41">
        <v>0</v>
      </c>
      <c r="AG40" s="41">
        <v>9.0000000000000011E-3</v>
      </c>
      <c r="AH40" s="41">
        <v>0</v>
      </c>
      <c r="AI40" s="41">
        <v>0</v>
      </c>
      <c r="AJ40" s="43">
        <v>0</v>
      </c>
      <c r="AK40" s="41">
        <v>20013</v>
      </c>
      <c r="AL40" s="41">
        <v>3</v>
      </c>
      <c r="AM40" s="41">
        <v>75000</v>
      </c>
      <c r="AN40" s="41" t="s">
        <v>48</v>
      </c>
      <c r="AO40" s="41" t="s">
        <v>724</v>
      </c>
    </row>
    <row r="41" spans="1:41" ht="16.5">
      <c r="A41" s="41">
        <v>20833</v>
      </c>
      <c r="B41" s="41" t="s">
        <v>800</v>
      </c>
      <c r="C41" s="41" t="s">
        <v>711</v>
      </c>
      <c r="D41" s="41" t="s">
        <v>706</v>
      </c>
      <c r="E41" s="42">
        <v>11039</v>
      </c>
      <c r="F41" s="41">
        <v>10000</v>
      </c>
      <c r="G41" s="41">
        <v>300</v>
      </c>
      <c r="H41" s="41">
        <v>50</v>
      </c>
      <c r="I41" s="41" t="s">
        <v>720</v>
      </c>
      <c r="J41" s="41">
        <v>6</v>
      </c>
      <c r="K41" s="41">
        <v>20</v>
      </c>
      <c r="L41" s="41">
        <v>60</v>
      </c>
      <c r="M41" s="41">
        <v>9000</v>
      </c>
      <c r="N41" s="41">
        <v>0</v>
      </c>
      <c r="O41" s="41">
        <v>0</v>
      </c>
      <c r="P41" s="41">
        <v>0</v>
      </c>
      <c r="Q41" s="41">
        <v>0</v>
      </c>
      <c r="R41" s="41">
        <v>0</v>
      </c>
      <c r="S41" s="41">
        <v>0</v>
      </c>
      <c r="T41" s="41">
        <v>0</v>
      </c>
      <c r="U41" s="41">
        <v>450</v>
      </c>
      <c r="V41" s="41">
        <v>0</v>
      </c>
      <c r="W41" s="41">
        <v>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41">
        <v>1800</v>
      </c>
      <c r="AD41" s="41">
        <v>0</v>
      </c>
      <c r="AE41" s="41">
        <v>0</v>
      </c>
      <c r="AF41" s="41">
        <v>0</v>
      </c>
      <c r="AG41" s="41">
        <v>9.0000000000000011E-3</v>
      </c>
      <c r="AH41" s="41">
        <v>0</v>
      </c>
      <c r="AI41" s="41">
        <v>0</v>
      </c>
      <c r="AJ41" s="43">
        <v>0</v>
      </c>
      <c r="AK41" s="41">
        <v>20013</v>
      </c>
      <c r="AL41" s="41">
        <v>3</v>
      </c>
      <c r="AM41" s="41">
        <v>75000</v>
      </c>
      <c r="AN41" s="41" t="s">
        <v>48</v>
      </c>
      <c r="AO41" s="41" t="s">
        <v>724</v>
      </c>
    </row>
    <row r="42" spans="1:41" ht="16.5">
      <c r="A42" s="41">
        <v>20834</v>
      </c>
      <c r="B42" s="41" t="s">
        <v>801</v>
      </c>
      <c r="C42" s="41" t="s">
        <v>711</v>
      </c>
      <c r="D42" s="41" t="s">
        <v>706</v>
      </c>
      <c r="E42" s="42">
        <v>11039</v>
      </c>
      <c r="F42" s="41">
        <v>10000</v>
      </c>
      <c r="G42" s="41">
        <v>300</v>
      </c>
      <c r="H42" s="41">
        <v>50</v>
      </c>
      <c r="I42" s="41" t="s">
        <v>720</v>
      </c>
      <c r="J42" s="41">
        <v>6</v>
      </c>
      <c r="K42" s="41">
        <v>20</v>
      </c>
      <c r="L42" s="41">
        <v>60</v>
      </c>
      <c r="M42" s="41">
        <v>9000</v>
      </c>
      <c r="N42" s="41">
        <v>0</v>
      </c>
      <c r="O42" s="41">
        <v>0</v>
      </c>
      <c r="P42" s="41">
        <v>0</v>
      </c>
      <c r="Q42" s="41">
        <v>0</v>
      </c>
      <c r="R42" s="41">
        <v>0</v>
      </c>
      <c r="S42" s="41">
        <v>0</v>
      </c>
      <c r="T42" s="41">
        <v>0</v>
      </c>
      <c r="U42" s="41">
        <v>450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41">
        <v>1800</v>
      </c>
      <c r="AD42" s="41">
        <v>0</v>
      </c>
      <c r="AE42" s="41">
        <v>0</v>
      </c>
      <c r="AF42" s="41">
        <v>0</v>
      </c>
      <c r="AG42" s="41">
        <v>9.0000000000000011E-3</v>
      </c>
      <c r="AH42" s="41">
        <v>0</v>
      </c>
      <c r="AI42" s="41">
        <v>0</v>
      </c>
      <c r="AJ42" s="43">
        <v>0</v>
      </c>
      <c r="AK42" s="41">
        <v>20013</v>
      </c>
      <c r="AL42" s="41">
        <v>3</v>
      </c>
      <c r="AM42" s="41">
        <v>75000</v>
      </c>
      <c r="AN42" s="41" t="s">
        <v>48</v>
      </c>
      <c r="AO42" s="41" t="s">
        <v>724</v>
      </c>
    </row>
    <row r="43" spans="1:41" ht="16.5">
      <c r="A43" s="41">
        <v>20835</v>
      </c>
      <c r="B43" s="41" t="s">
        <v>802</v>
      </c>
      <c r="C43" s="41" t="s">
        <v>711</v>
      </c>
      <c r="D43" s="41" t="s">
        <v>706</v>
      </c>
      <c r="E43" s="42">
        <v>11039</v>
      </c>
      <c r="F43" s="41">
        <v>10000</v>
      </c>
      <c r="G43" s="41">
        <v>300</v>
      </c>
      <c r="H43" s="41">
        <v>50</v>
      </c>
      <c r="I43" s="41" t="s">
        <v>720</v>
      </c>
      <c r="J43" s="41">
        <v>6</v>
      </c>
      <c r="K43" s="41">
        <v>20</v>
      </c>
      <c r="L43" s="41">
        <v>60</v>
      </c>
      <c r="M43" s="41">
        <v>9000</v>
      </c>
      <c r="N43" s="41">
        <v>0</v>
      </c>
      <c r="O43" s="41">
        <v>0</v>
      </c>
      <c r="P43" s="41">
        <v>0</v>
      </c>
      <c r="Q43" s="41">
        <v>0</v>
      </c>
      <c r="R43" s="41">
        <v>0</v>
      </c>
      <c r="S43" s="41">
        <v>0</v>
      </c>
      <c r="T43" s="41">
        <v>0</v>
      </c>
      <c r="U43" s="41">
        <v>450</v>
      </c>
      <c r="V43" s="41">
        <v>0</v>
      </c>
      <c r="W43" s="41">
        <v>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41">
        <v>1800</v>
      </c>
      <c r="AD43" s="41">
        <v>0</v>
      </c>
      <c r="AE43" s="41">
        <v>0</v>
      </c>
      <c r="AF43" s="41">
        <v>0</v>
      </c>
      <c r="AG43" s="41">
        <v>9.0000000000000011E-3</v>
      </c>
      <c r="AH43" s="41">
        <v>0</v>
      </c>
      <c r="AI43" s="41">
        <v>0</v>
      </c>
      <c r="AJ43" s="43">
        <v>0</v>
      </c>
      <c r="AK43" s="41">
        <v>20013</v>
      </c>
      <c r="AL43" s="41">
        <v>3</v>
      </c>
      <c r="AM43" s="41">
        <v>75000</v>
      </c>
      <c r="AN43" s="41" t="s">
        <v>48</v>
      </c>
      <c r="AO43" s="41" t="s">
        <v>724</v>
      </c>
    </row>
    <row r="44" spans="1:41" ht="16.5">
      <c r="A44" s="41">
        <v>20836</v>
      </c>
      <c r="B44" s="41" t="s">
        <v>803</v>
      </c>
      <c r="C44" s="41" t="s">
        <v>711</v>
      </c>
      <c r="D44" s="41" t="s">
        <v>706</v>
      </c>
      <c r="E44" s="42">
        <v>11039</v>
      </c>
      <c r="F44" s="41">
        <v>10000</v>
      </c>
      <c r="G44" s="41">
        <v>300</v>
      </c>
      <c r="H44" s="41">
        <v>50</v>
      </c>
      <c r="I44" s="41" t="s">
        <v>720</v>
      </c>
      <c r="J44" s="41">
        <v>6</v>
      </c>
      <c r="K44" s="41">
        <v>20</v>
      </c>
      <c r="L44" s="41">
        <v>60</v>
      </c>
      <c r="M44" s="41">
        <v>9000</v>
      </c>
      <c r="N44" s="41">
        <v>0</v>
      </c>
      <c r="O44" s="41">
        <v>0</v>
      </c>
      <c r="P44" s="41">
        <v>0</v>
      </c>
      <c r="Q44" s="41">
        <v>0</v>
      </c>
      <c r="R44" s="41">
        <v>0</v>
      </c>
      <c r="S44" s="41">
        <v>0</v>
      </c>
      <c r="T44" s="41">
        <v>0</v>
      </c>
      <c r="U44" s="41">
        <v>450</v>
      </c>
      <c r="V44" s="41">
        <v>0</v>
      </c>
      <c r="W44" s="41">
        <v>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41">
        <v>1800</v>
      </c>
      <c r="AD44" s="41">
        <v>0</v>
      </c>
      <c r="AE44" s="41">
        <v>0</v>
      </c>
      <c r="AF44" s="41">
        <v>0</v>
      </c>
      <c r="AG44" s="41">
        <v>9.0000000000000011E-3</v>
      </c>
      <c r="AH44" s="41">
        <v>0</v>
      </c>
      <c r="AI44" s="41">
        <v>0</v>
      </c>
      <c r="AJ44" s="43">
        <v>0</v>
      </c>
      <c r="AK44" s="41">
        <v>20013</v>
      </c>
      <c r="AL44" s="41">
        <v>3</v>
      </c>
      <c r="AM44" s="41">
        <v>75000</v>
      </c>
      <c r="AN44" s="41" t="s">
        <v>48</v>
      </c>
      <c r="AO44" s="41" t="s">
        <v>724</v>
      </c>
    </row>
    <row r="45" spans="1:41" ht="16.5">
      <c r="A45" s="41">
        <v>20837</v>
      </c>
      <c r="B45" s="41" t="s">
        <v>804</v>
      </c>
      <c r="C45" s="41" t="s">
        <v>711</v>
      </c>
      <c r="D45" s="41" t="s">
        <v>706</v>
      </c>
      <c r="E45" s="42">
        <v>11039</v>
      </c>
      <c r="F45" s="41">
        <v>10000</v>
      </c>
      <c r="G45" s="41">
        <v>300</v>
      </c>
      <c r="H45" s="41">
        <v>50</v>
      </c>
      <c r="I45" s="41" t="s">
        <v>720</v>
      </c>
      <c r="J45" s="41">
        <v>6</v>
      </c>
      <c r="K45" s="41">
        <v>20</v>
      </c>
      <c r="L45" s="41">
        <v>60</v>
      </c>
      <c r="M45" s="41">
        <v>9000</v>
      </c>
      <c r="N45" s="41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1">
        <v>0</v>
      </c>
      <c r="U45" s="41">
        <v>450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41">
        <v>1800</v>
      </c>
      <c r="AD45" s="41">
        <v>0</v>
      </c>
      <c r="AE45" s="41">
        <v>0</v>
      </c>
      <c r="AF45" s="41">
        <v>0</v>
      </c>
      <c r="AG45" s="41">
        <v>9.0000000000000011E-3</v>
      </c>
      <c r="AH45" s="41">
        <v>0</v>
      </c>
      <c r="AI45" s="41">
        <v>0</v>
      </c>
      <c r="AJ45" s="43">
        <v>0</v>
      </c>
      <c r="AK45" s="41">
        <v>20013</v>
      </c>
      <c r="AL45" s="41">
        <v>3</v>
      </c>
      <c r="AM45" s="41">
        <v>75000</v>
      </c>
      <c r="AN45" s="41" t="s">
        <v>48</v>
      </c>
      <c r="AO45" s="41" t="s">
        <v>724</v>
      </c>
    </row>
    <row r="46" spans="1:41" ht="16.5">
      <c r="A46" s="41">
        <v>481</v>
      </c>
      <c r="B46" s="41" t="s">
        <v>805</v>
      </c>
      <c r="C46" s="41" t="s">
        <v>712</v>
      </c>
      <c r="D46" s="41" t="s">
        <v>707</v>
      </c>
      <c r="E46" s="42">
        <v>11040</v>
      </c>
      <c r="F46" s="41">
        <v>10000</v>
      </c>
      <c r="G46" s="41">
        <v>300</v>
      </c>
      <c r="H46" s="41">
        <v>50</v>
      </c>
      <c r="I46" s="41" t="s">
        <v>159</v>
      </c>
      <c r="J46" s="41">
        <v>6</v>
      </c>
      <c r="K46" s="41">
        <v>20</v>
      </c>
      <c r="L46" s="41">
        <v>60</v>
      </c>
      <c r="M46" s="41">
        <v>0</v>
      </c>
      <c r="N46" s="41">
        <v>0</v>
      </c>
      <c r="O46" s="41">
        <v>0</v>
      </c>
      <c r="P46" s="41">
        <v>180</v>
      </c>
      <c r="Q46" s="41">
        <v>0</v>
      </c>
      <c r="R46" s="41">
        <v>0</v>
      </c>
      <c r="S46" s="41">
        <v>0</v>
      </c>
      <c r="T46" s="41">
        <v>0</v>
      </c>
      <c r="U46" s="41">
        <v>0</v>
      </c>
      <c r="V46" s="41">
        <v>0</v>
      </c>
      <c r="W46" s="41">
        <v>0</v>
      </c>
      <c r="X46" s="41">
        <v>9</v>
      </c>
      <c r="Y46" s="41">
        <v>0</v>
      </c>
      <c r="Z46" s="41">
        <v>0</v>
      </c>
      <c r="AA46" s="41">
        <v>0</v>
      </c>
      <c r="AB46" s="41">
        <v>0</v>
      </c>
      <c r="AC46" s="41">
        <v>0</v>
      </c>
      <c r="AD46" s="41">
        <v>0</v>
      </c>
      <c r="AE46" s="41">
        <v>0</v>
      </c>
      <c r="AF46" s="41">
        <v>36</v>
      </c>
      <c r="AG46" s="41">
        <v>0</v>
      </c>
      <c r="AH46" s="41">
        <v>9.0000000000000011E-3</v>
      </c>
      <c r="AI46" s="41">
        <v>0</v>
      </c>
      <c r="AJ46" s="41">
        <v>0</v>
      </c>
      <c r="AK46" s="41">
        <v>20013</v>
      </c>
      <c r="AL46" s="41">
        <v>4</v>
      </c>
      <c r="AM46" s="41">
        <v>75000</v>
      </c>
      <c r="AN46" s="41" t="s">
        <v>48</v>
      </c>
      <c r="AO46" s="41" t="s">
        <v>724</v>
      </c>
    </row>
    <row r="47" spans="1:41" ht="16.5">
      <c r="A47" s="41">
        <v>482</v>
      </c>
      <c r="B47" s="41" t="s">
        <v>806</v>
      </c>
      <c r="C47" s="41" t="s">
        <v>712</v>
      </c>
      <c r="D47" s="41" t="s">
        <v>707</v>
      </c>
      <c r="E47" s="42">
        <v>11040</v>
      </c>
      <c r="F47" s="41">
        <v>10000</v>
      </c>
      <c r="G47" s="41">
        <v>300</v>
      </c>
      <c r="H47" s="41">
        <v>50</v>
      </c>
      <c r="I47" s="41" t="s">
        <v>159</v>
      </c>
      <c r="J47" s="41">
        <v>6</v>
      </c>
      <c r="K47" s="41">
        <v>20</v>
      </c>
      <c r="L47" s="41">
        <v>60</v>
      </c>
      <c r="M47" s="41">
        <v>0</v>
      </c>
      <c r="N47" s="41">
        <v>0</v>
      </c>
      <c r="O47" s="41">
        <v>0</v>
      </c>
      <c r="P47" s="41">
        <v>180</v>
      </c>
      <c r="Q47" s="41">
        <v>0</v>
      </c>
      <c r="R47" s="41">
        <v>0</v>
      </c>
      <c r="S47" s="41">
        <v>0</v>
      </c>
      <c r="T47" s="41">
        <v>0</v>
      </c>
      <c r="U47" s="41">
        <v>0</v>
      </c>
      <c r="V47" s="41">
        <v>0</v>
      </c>
      <c r="W47" s="41">
        <v>0</v>
      </c>
      <c r="X47" s="41">
        <v>9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41">
        <v>0</v>
      </c>
      <c r="AE47" s="41">
        <v>0</v>
      </c>
      <c r="AF47" s="41">
        <v>36</v>
      </c>
      <c r="AG47" s="41">
        <v>0</v>
      </c>
      <c r="AH47" s="41">
        <v>9.0000000000000011E-3</v>
      </c>
      <c r="AI47" s="41">
        <v>0</v>
      </c>
      <c r="AJ47" s="41">
        <v>0</v>
      </c>
      <c r="AK47" s="41">
        <v>20013</v>
      </c>
      <c r="AL47" s="41">
        <v>4</v>
      </c>
      <c r="AM47" s="41">
        <v>75000</v>
      </c>
      <c r="AN47" s="41" t="s">
        <v>48</v>
      </c>
      <c r="AO47" s="41" t="s">
        <v>724</v>
      </c>
    </row>
    <row r="48" spans="1:41" ht="16.5">
      <c r="A48" s="41">
        <v>483</v>
      </c>
      <c r="B48" s="41" t="s">
        <v>807</v>
      </c>
      <c r="C48" s="41" t="s">
        <v>712</v>
      </c>
      <c r="D48" s="41" t="s">
        <v>707</v>
      </c>
      <c r="E48" s="42">
        <v>11040</v>
      </c>
      <c r="F48" s="41">
        <v>10000</v>
      </c>
      <c r="G48" s="41">
        <v>300</v>
      </c>
      <c r="H48" s="41">
        <v>50</v>
      </c>
      <c r="I48" s="41" t="s">
        <v>159</v>
      </c>
      <c r="J48" s="41">
        <v>6</v>
      </c>
      <c r="K48" s="41">
        <v>20</v>
      </c>
      <c r="L48" s="41">
        <v>60</v>
      </c>
      <c r="M48" s="41">
        <v>0</v>
      </c>
      <c r="N48" s="41">
        <v>0</v>
      </c>
      <c r="O48" s="41">
        <v>0</v>
      </c>
      <c r="P48" s="41">
        <v>180</v>
      </c>
      <c r="Q48" s="41">
        <v>0</v>
      </c>
      <c r="R48" s="41">
        <v>0</v>
      </c>
      <c r="S48" s="41">
        <v>0</v>
      </c>
      <c r="T48" s="41">
        <v>0</v>
      </c>
      <c r="U48" s="41">
        <v>0</v>
      </c>
      <c r="V48" s="41">
        <v>0</v>
      </c>
      <c r="W48" s="41">
        <v>0</v>
      </c>
      <c r="X48" s="41">
        <v>9</v>
      </c>
      <c r="Y48" s="41">
        <v>0</v>
      </c>
      <c r="Z48" s="41">
        <v>0</v>
      </c>
      <c r="AA48" s="41">
        <v>0</v>
      </c>
      <c r="AB48" s="41">
        <v>0</v>
      </c>
      <c r="AC48" s="41">
        <v>0</v>
      </c>
      <c r="AD48" s="41">
        <v>0</v>
      </c>
      <c r="AE48" s="41">
        <v>0</v>
      </c>
      <c r="AF48" s="41">
        <v>36</v>
      </c>
      <c r="AG48" s="41">
        <v>0</v>
      </c>
      <c r="AH48" s="41">
        <v>9.0000000000000011E-3</v>
      </c>
      <c r="AI48" s="41">
        <v>0</v>
      </c>
      <c r="AJ48" s="41">
        <v>0</v>
      </c>
      <c r="AK48" s="41">
        <v>20013</v>
      </c>
      <c r="AL48" s="41">
        <v>4</v>
      </c>
      <c r="AM48" s="41">
        <v>75000</v>
      </c>
      <c r="AN48" s="41" t="s">
        <v>48</v>
      </c>
      <c r="AO48" s="41" t="s">
        <v>724</v>
      </c>
    </row>
    <row r="49" spans="1:41" ht="16.5">
      <c r="A49" s="41">
        <v>484</v>
      </c>
      <c r="B49" s="41" t="s">
        <v>808</v>
      </c>
      <c r="C49" s="41" t="s">
        <v>712</v>
      </c>
      <c r="D49" s="41" t="s">
        <v>707</v>
      </c>
      <c r="E49" s="42">
        <v>11040</v>
      </c>
      <c r="F49" s="41">
        <v>10000</v>
      </c>
      <c r="G49" s="41">
        <v>300</v>
      </c>
      <c r="H49" s="41">
        <v>50</v>
      </c>
      <c r="I49" s="41" t="s">
        <v>159</v>
      </c>
      <c r="J49" s="41">
        <v>6</v>
      </c>
      <c r="K49" s="41">
        <v>20</v>
      </c>
      <c r="L49" s="41">
        <v>60</v>
      </c>
      <c r="M49" s="41">
        <v>0</v>
      </c>
      <c r="N49" s="41">
        <v>0</v>
      </c>
      <c r="O49" s="41">
        <v>0</v>
      </c>
      <c r="P49" s="41">
        <v>180</v>
      </c>
      <c r="Q49" s="41">
        <v>0</v>
      </c>
      <c r="R49" s="41">
        <v>0</v>
      </c>
      <c r="S49" s="41">
        <v>0</v>
      </c>
      <c r="T49" s="41">
        <v>0</v>
      </c>
      <c r="U49" s="41">
        <v>0</v>
      </c>
      <c r="V49" s="41">
        <v>0</v>
      </c>
      <c r="W49" s="41">
        <v>0</v>
      </c>
      <c r="X49" s="41">
        <v>9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41">
        <v>0</v>
      </c>
      <c r="AE49" s="41">
        <v>0</v>
      </c>
      <c r="AF49" s="41">
        <v>36</v>
      </c>
      <c r="AG49" s="41">
        <v>0</v>
      </c>
      <c r="AH49" s="41">
        <v>9.0000000000000011E-3</v>
      </c>
      <c r="AI49" s="41">
        <v>0</v>
      </c>
      <c r="AJ49" s="41">
        <v>0</v>
      </c>
      <c r="AK49" s="41">
        <v>20013</v>
      </c>
      <c r="AL49" s="41">
        <v>4</v>
      </c>
      <c r="AM49" s="41">
        <v>75000</v>
      </c>
      <c r="AN49" s="41" t="s">
        <v>48</v>
      </c>
      <c r="AO49" s="41" t="s">
        <v>724</v>
      </c>
    </row>
    <row r="50" spans="1:41" ht="16.5">
      <c r="A50" s="41">
        <v>485</v>
      </c>
      <c r="B50" s="41" t="s">
        <v>809</v>
      </c>
      <c r="C50" s="41" t="s">
        <v>712</v>
      </c>
      <c r="D50" s="41" t="s">
        <v>707</v>
      </c>
      <c r="E50" s="42">
        <v>11040</v>
      </c>
      <c r="F50" s="41">
        <v>10000</v>
      </c>
      <c r="G50" s="41">
        <v>300</v>
      </c>
      <c r="H50" s="41">
        <v>50</v>
      </c>
      <c r="I50" s="41" t="s">
        <v>159</v>
      </c>
      <c r="J50" s="41">
        <v>6</v>
      </c>
      <c r="K50" s="41">
        <v>20</v>
      </c>
      <c r="L50" s="41">
        <v>60</v>
      </c>
      <c r="M50" s="41">
        <v>0</v>
      </c>
      <c r="N50" s="41">
        <v>0</v>
      </c>
      <c r="O50" s="41">
        <v>0</v>
      </c>
      <c r="P50" s="41">
        <v>180</v>
      </c>
      <c r="Q50" s="41">
        <v>0</v>
      </c>
      <c r="R50" s="41">
        <v>0</v>
      </c>
      <c r="S50" s="41">
        <v>0</v>
      </c>
      <c r="T50" s="41">
        <v>0</v>
      </c>
      <c r="U50" s="41">
        <v>0</v>
      </c>
      <c r="V50" s="41">
        <v>0</v>
      </c>
      <c r="W50" s="41">
        <v>0</v>
      </c>
      <c r="X50" s="41">
        <v>9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41">
        <v>0</v>
      </c>
      <c r="AE50" s="41">
        <v>0</v>
      </c>
      <c r="AF50" s="41">
        <v>36</v>
      </c>
      <c r="AG50" s="41">
        <v>0</v>
      </c>
      <c r="AH50" s="41">
        <v>9.0000000000000011E-3</v>
      </c>
      <c r="AI50" s="41">
        <v>0</v>
      </c>
      <c r="AJ50" s="41">
        <v>0</v>
      </c>
      <c r="AK50" s="41">
        <v>20013</v>
      </c>
      <c r="AL50" s="41">
        <v>4</v>
      </c>
      <c r="AM50" s="41">
        <v>75000</v>
      </c>
      <c r="AN50" s="41" t="s">
        <v>48</v>
      </c>
      <c r="AO50" s="41" t="s">
        <v>724</v>
      </c>
    </row>
    <row r="51" spans="1:41" ht="16.5">
      <c r="A51" s="41">
        <v>486</v>
      </c>
      <c r="B51" s="41" t="s">
        <v>810</v>
      </c>
      <c r="C51" s="41" t="s">
        <v>712</v>
      </c>
      <c r="D51" s="41" t="s">
        <v>707</v>
      </c>
      <c r="E51" s="42">
        <v>11040</v>
      </c>
      <c r="F51" s="41">
        <v>10000</v>
      </c>
      <c r="G51" s="41">
        <v>300</v>
      </c>
      <c r="H51" s="41">
        <v>50</v>
      </c>
      <c r="I51" s="41" t="s">
        <v>159</v>
      </c>
      <c r="J51" s="41">
        <v>6</v>
      </c>
      <c r="K51" s="41">
        <v>20</v>
      </c>
      <c r="L51" s="41">
        <v>60</v>
      </c>
      <c r="M51" s="41">
        <v>0</v>
      </c>
      <c r="N51" s="41">
        <v>0</v>
      </c>
      <c r="O51" s="41">
        <v>0</v>
      </c>
      <c r="P51" s="41">
        <v>180</v>
      </c>
      <c r="Q51" s="41">
        <v>0</v>
      </c>
      <c r="R51" s="41">
        <v>0</v>
      </c>
      <c r="S51" s="41">
        <v>0</v>
      </c>
      <c r="T51" s="41">
        <v>0</v>
      </c>
      <c r="U51" s="41">
        <v>0</v>
      </c>
      <c r="V51" s="41">
        <v>0</v>
      </c>
      <c r="W51" s="41">
        <v>0</v>
      </c>
      <c r="X51" s="41">
        <v>9</v>
      </c>
      <c r="Y51" s="41">
        <v>0</v>
      </c>
      <c r="Z51" s="41">
        <v>0</v>
      </c>
      <c r="AA51" s="41">
        <v>0</v>
      </c>
      <c r="AB51" s="41">
        <v>0</v>
      </c>
      <c r="AC51" s="41">
        <v>0</v>
      </c>
      <c r="AD51" s="41">
        <v>0</v>
      </c>
      <c r="AE51" s="41">
        <v>0</v>
      </c>
      <c r="AF51" s="41">
        <v>36</v>
      </c>
      <c r="AG51" s="41">
        <v>0</v>
      </c>
      <c r="AH51" s="41">
        <v>9.0000000000000011E-3</v>
      </c>
      <c r="AI51" s="41">
        <v>0</v>
      </c>
      <c r="AJ51" s="41">
        <v>0</v>
      </c>
      <c r="AK51" s="41">
        <v>20013</v>
      </c>
      <c r="AL51" s="41">
        <v>4</v>
      </c>
      <c r="AM51" s="41">
        <v>75000</v>
      </c>
      <c r="AN51" s="41" t="s">
        <v>48</v>
      </c>
      <c r="AO51" s="41" t="s">
        <v>724</v>
      </c>
    </row>
    <row r="52" spans="1:41" ht="16.5">
      <c r="A52" s="41">
        <v>487</v>
      </c>
      <c r="B52" s="41" t="s">
        <v>811</v>
      </c>
      <c r="C52" s="41" t="s">
        <v>712</v>
      </c>
      <c r="D52" s="41" t="s">
        <v>707</v>
      </c>
      <c r="E52" s="42">
        <v>11040</v>
      </c>
      <c r="F52" s="41">
        <v>10000</v>
      </c>
      <c r="G52" s="41">
        <v>300</v>
      </c>
      <c r="H52" s="41">
        <v>50</v>
      </c>
      <c r="I52" s="41" t="s">
        <v>159</v>
      </c>
      <c r="J52" s="41">
        <v>6</v>
      </c>
      <c r="K52" s="41">
        <v>20</v>
      </c>
      <c r="L52" s="41">
        <v>60</v>
      </c>
      <c r="M52" s="41">
        <v>0</v>
      </c>
      <c r="N52" s="41">
        <v>0</v>
      </c>
      <c r="O52" s="41">
        <v>0</v>
      </c>
      <c r="P52" s="41">
        <v>180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9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36</v>
      </c>
      <c r="AG52" s="41">
        <v>0</v>
      </c>
      <c r="AH52" s="41">
        <v>9.0000000000000011E-3</v>
      </c>
      <c r="AI52" s="41">
        <v>0</v>
      </c>
      <c r="AJ52" s="41">
        <v>0</v>
      </c>
      <c r="AK52" s="41">
        <v>20013</v>
      </c>
      <c r="AL52" s="41">
        <v>4</v>
      </c>
      <c r="AM52" s="41">
        <v>75000</v>
      </c>
      <c r="AN52" s="41" t="s">
        <v>48</v>
      </c>
      <c r="AO52" s="41" t="s">
        <v>724</v>
      </c>
    </row>
    <row r="53" spans="1:41" ht="16.5">
      <c r="A53" s="41">
        <v>2084</v>
      </c>
      <c r="B53" s="41" t="s">
        <v>812</v>
      </c>
      <c r="C53" s="41" t="s">
        <v>712</v>
      </c>
      <c r="D53" s="41" t="s">
        <v>707</v>
      </c>
      <c r="E53" s="42">
        <v>11040</v>
      </c>
      <c r="F53" s="41">
        <v>10000</v>
      </c>
      <c r="G53" s="41">
        <v>300</v>
      </c>
      <c r="H53" s="41">
        <v>50</v>
      </c>
      <c r="I53" s="41" t="s">
        <v>159</v>
      </c>
      <c r="J53" s="41">
        <v>6</v>
      </c>
      <c r="K53" s="41">
        <v>20</v>
      </c>
      <c r="L53" s="41">
        <v>60</v>
      </c>
      <c r="M53" s="41">
        <v>0</v>
      </c>
      <c r="N53" s="41">
        <v>0</v>
      </c>
      <c r="O53" s="41">
        <v>0</v>
      </c>
      <c r="P53" s="41">
        <v>180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W53" s="41">
        <v>0</v>
      </c>
      <c r="X53" s="41">
        <v>9</v>
      </c>
      <c r="Y53" s="41">
        <v>0</v>
      </c>
      <c r="Z53" s="41">
        <v>0</v>
      </c>
      <c r="AA53" s="41">
        <v>0</v>
      </c>
      <c r="AB53" s="41">
        <v>0</v>
      </c>
      <c r="AC53" s="41">
        <v>0</v>
      </c>
      <c r="AD53" s="41">
        <v>0</v>
      </c>
      <c r="AE53" s="41">
        <v>0</v>
      </c>
      <c r="AF53" s="41">
        <v>36</v>
      </c>
      <c r="AG53" s="41">
        <v>0</v>
      </c>
      <c r="AH53" s="41">
        <v>9.0000000000000011E-3</v>
      </c>
      <c r="AI53" s="41">
        <v>0</v>
      </c>
      <c r="AJ53" s="41">
        <v>0</v>
      </c>
      <c r="AK53" s="41">
        <v>20013</v>
      </c>
      <c r="AL53" s="41">
        <v>4</v>
      </c>
      <c r="AM53" s="41">
        <v>75000</v>
      </c>
      <c r="AN53" s="41" t="s">
        <v>48</v>
      </c>
      <c r="AO53" s="41" t="s">
        <v>724</v>
      </c>
    </row>
    <row r="54" spans="1:41" ht="16.5">
      <c r="A54" s="41">
        <v>20841</v>
      </c>
      <c r="B54" s="41" t="s">
        <v>813</v>
      </c>
      <c r="C54" s="41" t="s">
        <v>712</v>
      </c>
      <c r="D54" s="41" t="s">
        <v>707</v>
      </c>
      <c r="E54" s="42">
        <v>11040</v>
      </c>
      <c r="F54" s="41">
        <v>10000</v>
      </c>
      <c r="G54" s="41">
        <v>300</v>
      </c>
      <c r="H54" s="41">
        <v>50</v>
      </c>
      <c r="I54" s="41" t="s">
        <v>159</v>
      </c>
      <c r="J54" s="41">
        <v>6</v>
      </c>
      <c r="K54" s="41">
        <v>20</v>
      </c>
      <c r="L54" s="41">
        <v>60</v>
      </c>
      <c r="M54" s="41">
        <v>0</v>
      </c>
      <c r="N54" s="41">
        <v>0</v>
      </c>
      <c r="O54" s="41">
        <v>0</v>
      </c>
      <c r="P54" s="41">
        <v>180</v>
      </c>
      <c r="Q54" s="41">
        <v>0</v>
      </c>
      <c r="R54" s="41">
        <v>0</v>
      </c>
      <c r="S54" s="41">
        <v>0</v>
      </c>
      <c r="T54" s="41">
        <v>0</v>
      </c>
      <c r="U54" s="41">
        <v>0</v>
      </c>
      <c r="V54" s="41">
        <v>0</v>
      </c>
      <c r="W54" s="41">
        <v>0</v>
      </c>
      <c r="X54" s="41">
        <v>9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41">
        <v>0</v>
      </c>
      <c r="AE54" s="41">
        <v>0</v>
      </c>
      <c r="AF54" s="41">
        <v>36</v>
      </c>
      <c r="AG54" s="41">
        <v>0</v>
      </c>
      <c r="AH54" s="41">
        <v>9.0000000000000011E-3</v>
      </c>
      <c r="AI54" s="41">
        <v>0</v>
      </c>
      <c r="AJ54" s="41">
        <v>0</v>
      </c>
      <c r="AK54" s="41">
        <v>20013</v>
      </c>
      <c r="AL54" s="41">
        <v>4</v>
      </c>
      <c r="AM54" s="41">
        <v>75000</v>
      </c>
      <c r="AN54" s="41" t="s">
        <v>48</v>
      </c>
      <c r="AO54" s="41" t="s">
        <v>724</v>
      </c>
    </row>
    <row r="55" spans="1:41" ht="16.5">
      <c r="A55" s="41">
        <v>20842</v>
      </c>
      <c r="B55" s="41" t="s">
        <v>814</v>
      </c>
      <c r="C55" s="41" t="s">
        <v>712</v>
      </c>
      <c r="D55" s="41" t="s">
        <v>707</v>
      </c>
      <c r="E55" s="42">
        <v>11040</v>
      </c>
      <c r="F55" s="41">
        <v>10000</v>
      </c>
      <c r="G55" s="41">
        <v>300</v>
      </c>
      <c r="H55" s="41">
        <v>50</v>
      </c>
      <c r="I55" s="41" t="s">
        <v>159</v>
      </c>
      <c r="J55" s="41">
        <v>6</v>
      </c>
      <c r="K55" s="41">
        <v>20</v>
      </c>
      <c r="L55" s="41">
        <v>60</v>
      </c>
      <c r="M55" s="41">
        <v>0</v>
      </c>
      <c r="N55" s="41">
        <v>0</v>
      </c>
      <c r="O55" s="41">
        <v>0</v>
      </c>
      <c r="P55" s="41">
        <v>180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W55" s="41">
        <v>0</v>
      </c>
      <c r="X55" s="41">
        <v>9</v>
      </c>
      <c r="Y55" s="41">
        <v>0</v>
      </c>
      <c r="Z55" s="41">
        <v>0</v>
      </c>
      <c r="AA55" s="41">
        <v>0</v>
      </c>
      <c r="AB55" s="41">
        <v>0</v>
      </c>
      <c r="AC55" s="41">
        <v>0</v>
      </c>
      <c r="AD55" s="41">
        <v>0</v>
      </c>
      <c r="AE55" s="41">
        <v>0</v>
      </c>
      <c r="AF55" s="41">
        <v>36</v>
      </c>
      <c r="AG55" s="41">
        <v>0</v>
      </c>
      <c r="AH55" s="41">
        <v>9.0000000000000011E-3</v>
      </c>
      <c r="AI55" s="41">
        <v>0</v>
      </c>
      <c r="AJ55" s="41">
        <v>0</v>
      </c>
      <c r="AK55" s="41">
        <v>20013</v>
      </c>
      <c r="AL55" s="41">
        <v>4</v>
      </c>
      <c r="AM55" s="41">
        <v>75000</v>
      </c>
      <c r="AN55" s="41" t="s">
        <v>48</v>
      </c>
      <c r="AO55" s="41" t="s">
        <v>724</v>
      </c>
    </row>
    <row r="56" spans="1:41" ht="16.5">
      <c r="A56" s="41">
        <v>20843</v>
      </c>
      <c r="B56" s="41" t="s">
        <v>815</v>
      </c>
      <c r="C56" s="41" t="s">
        <v>712</v>
      </c>
      <c r="D56" s="41" t="s">
        <v>707</v>
      </c>
      <c r="E56" s="42">
        <v>11040</v>
      </c>
      <c r="F56" s="41">
        <v>10000</v>
      </c>
      <c r="G56" s="41">
        <v>300</v>
      </c>
      <c r="H56" s="41">
        <v>50</v>
      </c>
      <c r="I56" s="41" t="s">
        <v>159</v>
      </c>
      <c r="J56" s="41">
        <v>6</v>
      </c>
      <c r="K56" s="41">
        <v>20</v>
      </c>
      <c r="L56" s="41">
        <v>60</v>
      </c>
      <c r="M56" s="41">
        <v>0</v>
      </c>
      <c r="N56" s="41">
        <v>0</v>
      </c>
      <c r="O56" s="41">
        <v>0</v>
      </c>
      <c r="P56" s="41">
        <v>180</v>
      </c>
      <c r="Q56" s="41">
        <v>0</v>
      </c>
      <c r="R56" s="41">
        <v>0</v>
      </c>
      <c r="S56" s="41">
        <v>0</v>
      </c>
      <c r="T56" s="41">
        <v>0</v>
      </c>
      <c r="U56" s="41">
        <v>0</v>
      </c>
      <c r="V56" s="41">
        <v>0</v>
      </c>
      <c r="W56" s="41">
        <v>0</v>
      </c>
      <c r="X56" s="41">
        <v>9</v>
      </c>
      <c r="Y56" s="41">
        <v>0</v>
      </c>
      <c r="Z56" s="41">
        <v>0</v>
      </c>
      <c r="AA56" s="41">
        <v>0</v>
      </c>
      <c r="AB56" s="41">
        <v>0</v>
      </c>
      <c r="AC56" s="41">
        <v>0</v>
      </c>
      <c r="AD56" s="41">
        <v>0</v>
      </c>
      <c r="AE56" s="41">
        <v>0</v>
      </c>
      <c r="AF56" s="41">
        <v>36</v>
      </c>
      <c r="AG56" s="41">
        <v>0</v>
      </c>
      <c r="AH56" s="41">
        <v>9.0000000000000011E-3</v>
      </c>
      <c r="AI56" s="41">
        <v>0</v>
      </c>
      <c r="AJ56" s="41">
        <v>0</v>
      </c>
      <c r="AK56" s="41">
        <v>20013</v>
      </c>
      <c r="AL56" s="41">
        <v>4</v>
      </c>
      <c r="AM56" s="41">
        <v>75000</v>
      </c>
      <c r="AN56" s="41" t="s">
        <v>48</v>
      </c>
      <c r="AO56" s="41" t="s">
        <v>724</v>
      </c>
    </row>
    <row r="57" spans="1:41" ht="16.5">
      <c r="A57" s="41">
        <v>20844</v>
      </c>
      <c r="B57" s="41" t="s">
        <v>816</v>
      </c>
      <c r="C57" s="41" t="s">
        <v>712</v>
      </c>
      <c r="D57" s="41" t="s">
        <v>707</v>
      </c>
      <c r="E57" s="42">
        <v>11040</v>
      </c>
      <c r="F57" s="41">
        <v>10000</v>
      </c>
      <c r="G57" s="41">
        <v>300</v>
      </c>
      <c r="H57" s="41">
        <v>50</v>
      </c>
      <c r="I57" s="41" t="s">
        <v>159</v>
      </c>
      <c r="J57" s="41">
        <v>6</v>
      </c>
      <c r="K57" s="41">
        <v>20</v>
      </c>
      <c r="L57" s="41">
        <v>60</v>
      </c>
      <c r="M57" s="41">
        <v>0</v>
      </c>
      <c r="N57" s="41">
        <v>0</v>
      </c>
      <c r="O57" s="41">
        <v>0</v>
      </c>
      <c r="P57" s="41">
        <v>180</v>
      </c>
      <c r="Q57" s="41">
        <v>0</v>
      </c>
      <c r="R57" s="41">
        <v>0</v>
      </c>
      <c r="S57" s="41">
        <v>0</v>
      </c>
      <c r="T57" s="41">
        <v>0</v>
      </c>
      <c r="U57" s="41">
        <v>0</v>
      </c>
      <c r="V57" s="41">
        <v>0</v>
      </c>
      <c r="W57" s="41">
        <v>0</v>
      </c>
      <c r="X57" s="41">
        <v>9</v>
      </c>
      <c r="Y57" s="41">
        <v>0</v>
      </c>
      <c r="Z57" s="41">
        <v>0</v>
      </c>
      <c r="AA57" s="41">
        <v>0</v>
      </c>
      <c r="AB57" s="41">
        <v>0</v>
      </c>
      <c r="AC57" s="41">
        <v>0</v>
      </c>
      <c r="AD57" s="41">
        <v>0</v>
      </c>
      <c r="AE57" s="41">
        <v>0</v>
      </c>
      <c r="AF57" s="41">
        <v>36</v>
      </c>
      <c r="AG57" s="41">
        <v>0</v>
      </c>
      <c r="AH57" s="41">
        <v>9.0000000000000011E-3</v>
      </c>
      <c r="AI57" s="41">
        <v>0</v>
      </c>
      <c r="AJ57" s="41">
        <v>0</v>
      </c>
      <c r="AK57" s="41">
        <v>20013</v>
      </c>
      <c r="AL57" s="41">
        <v>4</v>
      </c>
      <c r="AM57" s="41">
        <v>75000</v>
      </c>
      <c r="AN57" s="41" t="s">
        <v>48</v>
      </c>
      <c r="AO57" s="41" t="s">
        <v>724</v>
      </c>
    </row>
    <row r="58" spans="1:41" ht="16.5">
      <c r="A58" s="41">
        <v>20845</v>
      </c>
      <c r="B58" s="41" t="s">
        <v>817</v>
      </c>
      <c r="C58" s="41" t="s">
        <v>712</v>
      </c>
      <c r="D58" s="41" t="s">
        <v>707</v>
      </c>
      <c r="E58" s="42">
        <v>11040</v>
      </c>
      <c r="F58" s="41">
        <v>10000</v>
      </c>
      <c r="G58" s="41">
        <v>300</v>
      </c>
      <c r="H58" s="41">
        <v>50</v>
      </c>
      <c r="I58" s="41" t="s">
        <v>159</v>
      </c>
      <c r="J58" s="41">
        <v>6</v>
      </c>
      <c r="K58" s="41">
        <v>20</v>
      </c>
      <c r="L58" s="41">
        <v>60</v>
      </c>
      <c r="M58" s="41">
        <v>0</v>
      </c>
      <c r="N58" s="41">
        <v>0</v>
      </c>
      <c r="O58" s="41">
        <v>0</v>
      </c>
      <c r="P58" s="41">
        <v>180</v>
      </c>
      <c r="Q58" s="41">
        <v>0</v>
      </c>
      <c r="R58" s="41">
        <v>0</v>
      </c>
      <c r="S58" s="41">
        <v>0</v>
      </c>
      <c r="T58" s="41">
        <v>0</v>
      </c>
      <c r="U58" s="41">
        <v>0</v>
      </c>
      <c r="V58" s="41">
        <v>0</v>
      </c>
      <c r="W58" s="41">
        <v>0</v>
      </c>
      <c r="X58" s="41">
        <v>9</v>
      </c>
      <c r="Y58" s="41">
        <v>0</v>
      </c>
      <c r="Z58" s="41">
        <v>0</v>
      </c>
      <c r="AA58" s="41">
        <v>0</v>
      </c>
      <c r="AB58" s="41">
        <v>0</v>
      </c>
      <c r="AC58" s="41">
        <v>0</v>
      </c>
      <c r="AD58" s="41">
        <v>0</v>
      </c>
      <c r="AE58" s="41">
        <v>0</v>
      </c>
      <c r="AF58" s="41">
        <v>36</v>
      </c>
      <c r="AG58" s="41">
        <v>0</v>
      </c>
      <c r="AH58" s="41">
        <v>9.0000000000000011E-3</v>
      </c>
      <c r="AI58" s="41">
        <v>0</v>
      </c>
      <c r="AJ58" s="41">
        <v>0</v>
      </c>
      <c r="AK58" s="41">
        <v>20013</v>
      </c>
      <c r="AL58" s="41">
        <v>4</v>
      </c>
      <c r="AM58" s="41">
        <v>75000</v>
      </c>
      <c r="AN58" s="41" t="s">
        <v>48</v>
      </c>
      <c r="AO58" s="41" t="s">
        <v>724</v>
      </c>
    </row>
    <row r="59" spans="1:41" ht="16.5">
      <c r="A59" s="41">
        <v>20846</v>
      </c>
      <c r="B59" s="41" t="s">
        <v>818</v>
      </c>
      <c r="C59" s="41" t="s">
        <v>712</v>
      </c>
      <c r="D59" s="41" t="s">
        <v>707</v>
      </c>
      <c r="E59" s="42">
        <v>11040</v>
      </c>
      <c r="F59" s="41">
        <v>10000</v>
      </c>
      <c r="G59" s="41">
        <v>300</v>
      </c>
      <c r="H59" s="41">
        <v>50</v>
      </c>
      <c r="I59" s="41" t="s">
        <v>159</v>
      </c>
      <c r="J59" s="41">
        <v>6</v>
      </c>
      <c r="K59" s="41">
        <v>20</v>
      </c>
      <c r="L59" s="41">
        <v>60</v>
      </c>
      <c r="M59" s="41">
        <v>0</v>
      </c>
      <c r="N59" s="41">
        <v>0</v>
      </c>
      <c r="O59" s="41">
        <v>0</v>
      </c>
      <c r="P59" s="41">
        <v>180</v>
      </c>
      <c r="Q59" s="41">
        <v>0</v>
      </c>
      <c r="R59" s="41">
        <v>0</v>
      </c>
      <c r="S59" s="41">
        <v>0</v>
      </c>
      <c r="T59" s="41">
        <v>0</v>
      </c>
      <c r="U59" s="41">
        <v>0</v>
      </c>
      <c r="V59" s="41">
        <v>0</v>
      </c>
      <c r="W59" s="41">
        <v>0</v>
      </c>
      <c r="X59" s="41">
        <v>9</v>
      </c>
      <c r="Y59" s="41">
        <v>0</v>
      </c>
      <c r="Z59" s="41">
        <v>0</v>
      </c>
      <c r="AA59" s="41">
        <v>0</v>
      </c>
      <c r="AB59" s="41">
        <v>0</v>
      </c>
      <c r="AC59" s="41">
        <v>0</v>
      </c>
      <c r="AD59" s="41">
        <v>0</v>
      </c>
      <c r="AE59" s="41">
        <v>0</v>
      </c>
      <c r="AF59" s="41">
        <v>36</v>
      </c>
      <c r="AG59" s="41">
        <v>0</v>
      </c>
      <c r="AH59" s="41">
        <v>9.0000000000000011E-3</v>
      </c>
      <c r="AI59" s="41">
        <v>0</v>
      </c>
      <c r="AJ59" s="41">
        <v>0</v>
      </c>
      <c r="AK59" s="41">
        <v>20013</v>
      </c>
      <c r="AL59" s="41">
        <v>4</v>
      </c>
      <c r="AM59" s="41">
        <v>75000</v>
      </c>
      <c r="AN59" s="41" t="s">
        <v>48</v>
      </c>
      <c r="AO59" s="41" t="s">
        <v>724</v>
      </c>
    </row>
    <row r="60" spans="1:41" ht="16.5">
      <c r="A60" s="41">
        <v>20847</v>
      </c>
      <c r="B60" s="41" t="s">
        <v>819</v>
      </c>
      <c r="C60" s="41" t="s">
        <v>712</v>
      </c>
      <c r="D60" s="41" t="s">
        <v>707</v>
      </c>
      <c r="E60" s="42">
        <v>11040</v>
      </c>
      <c r="F60" s="41">
        <v>10000</v>
      </c>
      <c r="G60" s="41">
        <v>300</v>
      </c>
      <c r="H60" s="41">
        <v>50</v>
      </c>
      <c r="I60" s="41" t="s">
        <v>159</v>
      </c>
      <c r="J60" s="41">
        <v>6</v>
      </c>
      <c r="K60" s="41">
        <v>20</v>
      </c>
      <c r="L60" s="41">
        <v>60</v>
      </c>
      <c r="M60" s="41">
        <v>0</v>
      </c>
      <c r="N60" s="41">
        <v>0</v>
      </c>
      <c r="O60" s="41">
        <v>0</v>
      </c>
      <c r="P60" s="41">
        <v>180</v>
      </c>
      <c r="Q60" s="41">
        <v>0</v>
      </c>
      <c r="R60" s="41">
        <v>0</v>
      </c>
      <c r="S60" s="41">
        <v>0</v>
      </c>
      <c r="T60" s="41">
        <v>0</v>
      </c>
      <c r="U60" s="41">
        <v>0</v>
      </c>
      <c r="V60" s="41">
        <v>0</v>
      </c>
      <c r="W60" s="41">
        <v>0</v>
      </c>
      <c r="X60" s="41">
        <v>9</v>
      </c>
      <c r="Y60" s="41">
        <v>0</v>
      </c>
      <c r="Z60" s="41">
        <v>0</v>
      </c>
      <c r="AA60" s="41">
        <v>0</v>
      </c>
      <c r="AB60" s="41">
        <v>0</v>
      </c>
      <c r="AC60" s="41">
        <v>0</v>
      </c>
      <c r="AD60" s="41">
        <v>0</v>
      </c>
      <c r="AE60" s="41">
        <v>0</v>
      </c>
      <c r="AF60" s="41">
        <v>36</v>
      </c>
      <c r="AG60" s="41">
        <v>0</v>
      </c>
      <c r="AH60" s="41">
        <v>9.0000000000000011E-3</v>
      </c>
      <c r="AI60" s="41">
        <v>0</v>
      </c>
      <c r="AJ60" s="41">
        <v>0</v>
      </c>
      <c r="AK60" s="41">
        <v>20013</v>
      </c>
      <c r="AL60" s="41">
        <v>4</v>
      </c>
      <c r="AM60" s="41">
        <v>75000</v>
      </c>
      <c r="AN60" s="41" t="s">
        <v>48</v>
      </c>
      <c r="AO60" s="41" t="s">
        <v>724</v>
      </c>
    </row>
    <row r="61" spans="1:41" ht="16.5">
      <c r="A61" s="37">
        <v>1691</v>
      </c>
      <c r="B61" s="37" t="s">
        <v>820</v>
      </c>
      <c r="C61" s="37" t="s">
        <v>168</v>
      </c>
      <c r="D61" s="37" t="s">
        <v>130</v>
      </c>
      <c r="E61" s="38">
        <v>11033</v>
      </c>
      <c r="F61" s="37">
        <v>10000</v>
      </c>
      <c r="G61" s="37">
        <v>300</v>
      </c>
      <c r="H61" s="37">
        <v>50</v>
      </c>
      <c r="I61" s="37" t="s">
        <v>718</v>
      </c>
      <c r="J61" s="37">
        <v>5</v>
      </c>
      <c r="K61" s="16">
        <v>16</v>
      </c>
      <c r="L61" s="37">
        <v>40</v>
      </c>
      <c r="M61" s="37">
        <v>0</v>
      </c>
      <c r="N61" s="37">
        <v>0</v>
      </c>
      <c r="O61" s="37">
        <v>140</v>
      </c>
      <c r="P61" s="37">
        <v>0</v>
      </c>
      <c r="Q61" s="37">
        <v>0</v>
      </c>
      <c r="R61" s="37">
        <v>0</v>
      </c>
      <c r="S61" s="37">
        <v>0</v>
      </c>
      <c r="T61" s="37">
        <v>0</v>
      </c>
      <c r="U61" s="37">
        <v>0</v>
      </c>
      <c r="V61" s="37">
        <v>0</v>
      </c>
      <c r="W61" s="37">
        <v>7</v>
      </c>
      <c r="X61" s="37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28</v>
      </c>
      <c r="AF61" s="37">
        <v>0</v>
      </c>
      <c r="AG61" s="37">
        <v>0</v>
      </c>
      <c r="AH61" s="37">
        <v>0</v>
      </c>
      <c r="AI61" s="39">
        <v>0</v>
      </c>
      <c r="AJ61" s="37">
        <v>1.4E-2</v>
      </c>
      <c r="AK61" s="37">
        <v>20012</v>
      </c>
      <c r="AL61" s="37">
        <v>2</v>
      </c>
      <c r="AM61" s="37">
        <v>24000</v>
      </c>
      <c r="AN61" s="37" t="s">
        <v>48</v>
      </c>
      <c r="AO61" s="37" t="s">
        <v>753</v>
      </c>
    </row>
    <row r="62" spans="1:41" ht="16.5">
      <c r="A62" s="37">
        <v>1692</v>
      </c>
      <c r="B62" s="37" t="s">
        <v>821</v>
      </c>
      <c r="C62" s="37" t="s">
        <v>168</v>
      </c>
      <c r="D62" s="37" t="s">
        <v>130</v>
      </c>
      <c r="E62" s="38">
        <v>11033</v>
      </c>
      <c r="F62" s="37">
        <v>10000</v>
      </c>
      <c r="G62" s="37">
        <v>300</v>
      </c>
      <c r="H62" s="37">
        <v>50</v>
      </c>
      <c r="I62" s="37" t="s">
        <v>718</v>
      </c>
      <c r="J62" s="37">
        <v>5</v>
      </c>
      <c r="K62" s="16">
        <v>16</v>
      </c>
      <c r="L62" s="37">
        <v>40</v>
      </c>
      <c r="M62" s="37">
        <v>0</v>
      </c>
      <c r="N62" s="37">
        <v>0</v>
      </c>
      <c r="O62" s="37">
        <v>140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7</v>
      </c>
      <c r="X62" s="37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28</v>
      </c>
      <c r="AF62" s="37">
        <v>0</v>
      </c>
      <c r="AG62" s="37">
        <v>0</v>
      </c>
      <c r="AH62" s="37">
        <v>0</v>
      </c>
      <c r="AI62" s="39">
        <v>0</v>
      </c>
      <c r="AJ62" s="37">
        <v>1.4E-2</v>
      </c>
      <c r="AK62" s="37">
        <v>20012</v>
      </c>
      <c r="AL62" s="37">
        <v>2</v>
      </c>
      <c r="AM62" s="37">
        <v>24000</v>
      </c>
      <c r="AN62" s="37" t="s">
        <v>48</v>
      </c>
      <c r="AO62" s="37" t="s">
        <v>753</v>
      </c>
    </row>
    <row r="63" spans="1:41" ht="16.5">
      <c r="A63" s="37">
        <v>1693</v>
      </c>
      <c r="B63" s="37" t="s">
        <v>822</v>
      </c>
      <c r="C63" s="37" t="s">
        <v>168</v>
      </c>
      <c r="D63" s="37" t="s">
        <v>130</v>
      </c>
      <c r="E63" s="38">
        <v>11033</v>
      </c>
      <c r="F63" s="37">
        <v>10000</v>
      </c>
      <c r="G63" s="37">
        <v>300</v>
      </c>
      <c r="H63" s="37">
        <v>50</v>
      </c>
      <c r="I63" s="37" t="s">
        <v>718</v>
      </c>
      <c r="J63" s="37">
        <v>5</v>
      </c>
      <c r="K63" s="16">
        <v>16</v>
      </c>
      <c r="L63" s="37">
        <v>40</v>
      </c>
      <c r="M63" s="37">
        <v>0</v>
      </c>
      <c r="N63" s="37">
        <v>0</v>
      </c>
      <c r="O63" s="37">
        <v>140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7</v>
      </c>
      <c r="X63" s="37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28</v>
      </c>
      <c r="AF63" s="37">
        <v>0</v>
      </c>
      <c r="AG63" s="37">
        <v>0</v>
      </c>
      <c r="AH63" s="37">
        <v>0</v>
      </c>
      <c r="AI63" s="39">
        <v>0</v>
      </c>
      <c r="AJ63" s="37">
        <v>1.4E-2</v>
      </c>
      <c r="AK63" s="37">
        <v>20012</v>
      </c>
      <c r="AL63" s="37">
        <v>2</v>
      </c>
      <c r="AM63" s="37">
        <v>24000</v>
      </c>
      <c r="AN63" s="37" t="s">
        <v>48</v>
      </c>
      <c r="AO63" s="37" t="s">
        <v>753</v>
      </c>
    </row>
    <row r="64" spans="1:41" ht="16.5">
      <c r="A64" s="37">
        <v>1694</v>
      </c>
      <c r="B64" s="37" t="s">
        <v>823</v>
      </c>
      <c r="C64" s="37" t="s">
        <v>168</v>
      </c>
      <c r="D64" s="37" t="s">
        <v>130</v>
      </c>
      <c r="E64" s="38">
        <v>11033</v>
      </c>
      <c r="F64" s="37">
        <v>10000</v>
      </c>
      <c r="G64" s="37">
        <v>300</v>
      </c>
      <c r="H64" s="37">
        <v>50</v>
      </c>
      <c r="I64" s="37" t="s">
        <v>718</v>
      </c>
      <c r="J64" s="37">
        <v>5</v>
      </c>
      <c r="K64" s="16">
        <v>16</v>
      </c>
      <c r="L64" s="37">
        <v>40</v>
      </c>
      <c r="M64" s="37">
        <v>0</v>
      </c>
      <c r="N64" s="37">
        <v>0</v>
      </c>
      <c r="O64" s="37">
        <v>140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7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28</v>
      </c>
      <c r="AF64" s="37">
        <v>0</v>
      </c>
      <c r="AG64" s="37">
        <v>0</v>
      </c>
      <c r="AH64" s="37">
        <v>0</v>
      </c>
      <c r="AI64" s="39">
        <v>0</v>
      </c>
      <c r="AJ64" s="37">
        <v>1.4E-2</v>
      </c>
      <c r="AK64" s="37">
        <v>20012</v>
      </c>
      <c r="AL64" s="37">
        <v>2</v>
      </c>
      <c r="AM64" s="37">
        <v>24000</v>
      </c>
      <c r="AN64" s="37" t="s">
        <v>48</v>
      </c>
      <c r="AO64" s="37" t="s">
        <v>753</v>
      </c>
    </row>
    <row r="65" spans="1:41" ht="16.5">
      <c r="A65" s="37">
        <v>2069</v>
      </c>
      <c r="B65" s="37" t="s">
        <v>824</v>
      </c>
      <c r="C65" s="37" t="s">
        <v>168</v>
      </c>
      <c r="D65" s="37" t="s">
        <v>130</v>
      </c>
      <c r="E65" s="38">
        <v>11033</v>
      </c>
      <c r="F65" s="37">
        <v>10000</v>
      </c>
      <c r="G65" s="37">
        <v>300</v>
      </c>
      <c r="H65" s="37">
        <v>50</v>
      </c>
      <c r="I65" s="37" t="s">
        <v>718</v>
      </c>
      <c r="J65" s="37">
        <v>5</v>
      </c>
      <c r="K65" s="16">
        <v>16</v>
      </c>
      <c r="L65" s="37">
        <v>40</v>
      </c>
      <c r="M65" s="37">
        <v>0</v>
      </c>
      <c r="N65" s="37">
        <v>0</v>
      </c>
      <c r="O65" s="37">
        <v>140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7</v>
      </c>
      <c r="X65" s="37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28</v>
      </c>
      <c r="AF65" s="37">
        <v>0</v>
      </c>
      <c r="AG65" s="37">
        <v>0</v>
      </c>
      <c r="AH65" s="37">
        <v>0</v>
      </c>
      <c r="AI65" s="39">
        <v>0</v>
      </c>
      <c r="AJ65" s="37">
        <v>1.4E-2</v>
      </c>
      <c r="AK65" s="37">
        <v>20012</v>
      </c>
      <c r="AL65" s="37">
        <v>2</v>
      </c>
      <c r="AM65" s="37">
        <v>24000</v>
      </c>
      <c r="AN65" s="37" t="s">
        <v>48</v>
      </c>
      <c r="AO65" s="37" t="s">
        <v>753</v>
      </c>
    </row>
    <row r="66" spans="1:41" ht="16.5">
      <c r="A66" s="37">
        <v>20691</v>
      </c>
      <c r="B66" s="37" t="s">
        <v>825</v>
      </c>
      <c r="C66" s="37" t="s">
        <v>168</v>
      </c>
      <c r="D66" s="37" t="s">
        <v>130</v>
      </c>
      <c r="E66" s="38">
        <v>11033</v>
      </c>
      <c r="F66" s="37">
        <v>10000</v>
      </c>
      <c r="G66" s="37">
        <v>300</v>
      </c>
      <c r="H66" s="37">
        <v>50</v>
      </c>
      <c r="I66" s="37" t="s">
        <v>718</v>
      </c>
      <c r="J66" s="37">
        <v>5</v>
      </c>
      <c r="K66" s="16">
        <v>16</v>
      </c>
      <c r="L66" s="37">
        <v>40</v>
      </c>
      <c r="M66" s="37">
        <v>0</v>
      </c>
      <c r="N66" s="37">
        <v>0</v>
      </c>
      <c r="O66" s="37">
        <v>140</v>
      </c>
      <c r="P66" s="37">
        <v>0</v>
      </c>
      <c r="Q66" s="37">
        <v>0</v>
      </c>
      <c r="R66" s="37">
        <v>0</v>
      </c>
      <c r="S66" s="37">
        <v>0</v>
      </c>
      <c r="T66" s="37">
        <v>0</v>
      </c>
      <c r="U66" s="37">
        <v>0</v>
      </c>
      <c r="V66" s="37">
        <v>0</v>
      </c>
      <c r="W66" s="37">
        <v>7</v>
      </c>
      <c r="X66" s="37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28</v>
      </c>
      <c r="AF66" s="37">
        <v>0</v>
      </c>
      <c r="AG66" s="37">
        <v>0</v>
      </c>
      <c r="AH66" s="37">
        <v>0</v>
      </c>
      <c r="AI66" s="39">
        <v>0</v>
      </c>
      <c r="AJ66" s="37">
        <v>1.4E-2</v>
      </c>
      <c r="AK66" s="37">
        <v>20012</v>
      </c>
      <c r="AL66" s="37">
        <v>2</v>
      </c>
      <c r="AM66" s="37">
        <v>24000</v>
      </c>
      <c r="AN66" s="37" t="s">
        <v>48</v>
      </c>
      <c r="AO66" s="37" t="s">
        <v>753</v>
      </c>
    </row>
    <row r="67" spans="1:41" ht="16.5">
      <c r="A67" s="37">
        <v>20692</v>
      </c>
      <c r="B67" s="37" t="s">
        <v>826</v>
      </c>
      <c r="C67" s="37" t="s">
        <v>168</v>
      </c>
      <c r="D67" s="37" t="s">
        <v>130</v>
      </c>
      <c r="E67" s="38">
        <v>11033</v>
      </c>
      <c r="F67" s="37">
        <v>10000</v>
      </c>
      <c r="G67" s="37">
        <v>300</v>
      </c>
      <c r="H67" s="37">
        <v>50</v>
      </c>
      <c r="I67" s="37" t="s">
        <v>718</v>
      </c>
      <c r="J67" s="37">
        <v>5</v>
      </c>
      <c r="K67" s="16">
        <v>16</v>
      </c>
      <c r="L67" s="37">
        <v>40</v>
      </c>
      <c r="M67" s="37">
        <v>0</v>
      </c>
      <c r="N67" s="37">
        <v>0</v>
      </c>
      <c r="O67" s="37">
        <v>140</v>
      </c>
      <c r="P67" s="37">
        <v>0</v>
      </c>
      <c r="Q67" s="37">
        <v>0</v>
      </c>
      <c r="R67" s="37">
        <v>0</v>
      </c>
      <c r="S67" s="37">
        <v>0</v>
      </c>
      <c r="T67" s="37">
        <v>0</v>
      </c>
      <c r="U67" s="37">
        <v>0</v>
      </c>
      <c r="V67" s="37">
        <v>0</v>
      </c>
      <c r="W67" s="37">
        <v>7</v>
      </c>
      <c r="X67" s="37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28</v>
      </c>
      <c r="AF67" s="37">
        <v>0</v>
      </c>
      <c r="AG67" s="37">
        <v>0</v>
      </c>
      <c r="AH67" s="37">
        <v>0</v>
      </c>
      <c r="AI67" s="39">
        <v>0</v>
      </c>
      <c r="AJ67" s="37">
        <v>1.4E-2</v>
      </c>
      <c r="AK67" s="37">
        <v>20012</v>
      </c>
      <c r="AL67" s="37">
        <v>2</v>
      </c>
      <c r="AM67" s="37">
        <v>24000</v>
      </c>
      <c r="AN67" s="37" t="s">
        <v>48</v>
      </c>
      <c r="AO67" s="37" t="s">
        <v>753</v>
      </c>
    </row>
    <row r="68" spans="1:41" ht="16.5">
      <c r="A68" s="37">
        <v>20693</v>
      </c>
      <c r="B68" s="37" t="s">
        <v>827</v>
      </c>
      <c r="C68" s="37" t="s">
        <v>168</v>
      </c>
      <c r="D68" s="37" t="s">
        <v>130</v>
      </c>
      <c r="E68" s="38">
        <v>11033</v>
      </c>
      <c r="F68" s="37">
        <v>10000</v>
      </c>
      <c r="G68" s="37">
        <v>300</v>
      </c>
      <c r="H68" s="37">
        <v>50</v>
      </c>
      <c r="I68" s="37" t="s">
        <v>718</v>
      </c>
      <c r="J68" s="37">
        <v>5</v>
      </c>
      <c r="K68" s="16">
        <v>16</v>
      </c>
      <c r="L68" s="37">
        <v>40</v>
      </c>
      <c r="M68" s="37">
        <v>0</v>
      </c>
      <c r="N68" s="37">
        <v>0</v>
      </c>
      <c r="O68" s="37">
        <v>140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7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28</v>
      </c>
      <c r="AF68" s="37">
        <v>0</v>
      </c>
      <c r="AG68" s="37">
        <v>0</v>
      </c>
      <c r="AH68" s="37">
        <v>0</v>
      </c>
      <c r="AI68" s="39">
        <v>0</v>
      </c>
      <c r="AJ68" s="37">
        <v>1.4E-2</v>
      </c>
      <c r="AK68" s="37">
        <v>20012</v>
      </c>
      <c r="AL68" s="37">
        <v>2</v>
      </c>
      <c r="AM68" s="37">
        <v>24000</v>
      </c>
      <c r="AN68" s="37" t="s">
        <v>48</v>
      </c>
      <c r="AO68" s="37" t="s">
        <v>753</v>
      </c>
    </row>
    <row r="69" spans="1:41" ht="16.5">
      <c r="A69" s="37">
        <v>20694</v>
      </c>
      <c r="B69" s="37" t="s">
        <v>828</v>
      </c>
      <c r="C69" s="37" t="s">
        <v>168</v>
      </c>
      <c r="D69" s="37" t="s">
        <v>130</v>
      </c>
      <c r="E69" s="38">
        <v>11033</v>
      </c>
      <c r="F69" s="37">
        <v>10000</v>
      </c>
      <c r="G69" s="37">
        <v>300</v>
      </c>
      <c r="H69" s="37">
        <v>50</v>
      </c>
      <c r="I69" s="37" t="s">
        <v>718</v>
      </c>
      <c r="J69" s="37">
        <v>5</v>
      </c>
      <c r="K69" s="16">
        <v>16</v>
      </c>
      <c r="L69" s="37">
        <v>40</v>
      </c>
      <c r="M69" s="37">
        <v>0</v>
      </c>
      <c r="N69" s="37">
        <v>0</v>
      </c>
      <c r="O69" s="37">
        <v>140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7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28</v>
      </c>
      <c r="AF69" s="37">
        <v>0</v>
      </c>
      <c r="AG69" s="37">
        <v>0</v>
      </c>
      <c r="AH69" s="37">
        <v>0</v>
      </c>
      <c r="AI69" s="39">
        <v>0</v>
      </c>
      <c r="AJ69" s="37">
        <v>1.4E-2</v>
      </c>
      <c r="AK69" s="37">
        <v>20012</v>
      </c>
      <c r="AL69" s="37">
        <v>2</v>
      </c>
      <c r="AM69" s="37">
        <v>24000</v>
      </c>
      <c r="AN69" s="37" t="s">
        <v>48</v>
      </c>
      <c r="AO69" s="37" t="s">
        <v>753</v>
      </c>
    </row>
    <row r="70" spans="1:41" ht="16.5">
      <c r="A70" s="37">
        <v>20695</v>
      </c>
      <c r="B70" s="37" t="s">
        <v>829</v>
      </c>
      <c r="C70" s="37" t="s">
        <v>168</v>
      </c>
      <c r="D70" s="37" t="s">
        <v>130</v>
      </c>
      <c r="E70" s="38">
        <v>11033</v>
      </c>
      <c r="F70" s="37">
        <v>10000</v>
      </c>
      <c r="G70" s="37">
        <v>300</v>
      </c>
      <c r="H70" s="37">
        <v>50</v>
      </c>
      <c r="I70" s="37" t="s">
        <v>718</v>
      </c>
      <c r="J70" s="37">
        <v>5</v>
      </c>
      <c r="K70" s="16">
        <v>16</v>
      </c>
      <c r="L70" s="37">
        <v>40</v>
      </c>
      <c r="M70" s="37">
        <v>0</v>
      </c>
      <c r="N70" s="37">
        <v>0</v>
      </c>
      <c r="O70" s="37">
        <v>140</v>
      </c>
      <c r="P70" s="37">
        <v>0</v>
      </c>
      <c r="Q70" s="37">
        <v>0</v>
      </c>
      <c r="R70" s="37">
        <v>0</v>
      </c>
      <c r="S70" s="37">
        <v>0</v>
      </c>
      <c r="T70" s="37">
        <v>0</v>
      </c>
      <c r="U70" s="37">
        <v>0</v>
      </c>
      <c r="V70" s="37">
        <v>0</v>
      </c>
      <c r="W70" s="37">
        <v>7</v>
      </c>
      <c r="X70" s="37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28</v>
      </c>
      <c r="AF70" s="37">
        <v>0</v>
      </c>
      <c r="AG70" s="37">
        <v>0</v>
      </c>
      <c r="AH70" s="37">
        <v>0</v>
      </c>
      <c r="AI70" s="39">
        <v>0</v>
      </c>
      <c r="AJ70" s="37">
        <v>1.4E-2</v>
      </c>
      <c r="AK70" s="37">
        <v>20012</v>
      </c>
      <c r="AL70" s="37">
        <v>2</v>
      </c>
      <c r="AM70" s="37">
        <v>24000</v>
      </c>
      <c r="AN70" s="37" t="s">
        <v>48</v>
      </c>
      <c r="AO70" s="37" t="s">
        <v>753</v>
      </c>
    </row>
    <row r="71" spans="1:41" ht="16.5">
      <c r="A71" s="37">
        <v>20696</v>
      </c>
      <c r="B71" s="37" t="s">
        <v>830</v>
      </c>
      <c r="C71" s="37" t="s">
        <v>168</v>
      </c>
      <c r="D71" s="37" t="s">
        <v>130</v>
      </c>
      <c r="E71" s="38">
        <v>11033</v>
      </c>
      <c r="F71" s="37">
        <v>10000</v>
      </c>
      <c r="G71" s="37">
        <v>300</v>
      </c>
      <c r="H71" s="37">
        <v>50</v>
      </c>
      <c r="I71" s="37" t="s">
        <v>718</v>
      </c>
      <c r="J71" s="37">
        <v>5</v>
      </c>
      <c r="K71" s="16">
        <v>16</v>
      </c>
      <c r="L71" s="37">
        <v>40</v>
      </c>
      <c r="M71" s="37">
        <v>0</v>
      </c>
      <c r="N71" s="37">
        <v>0</v>
      </c>
      <c r="O71" s="37">
        <v>140</v>
      </c>
      <c r="P71" s="37">
        <v>0</v>
      </c>
      <c r="Q71" s="37">
        <v>0</v>
      </c>
      <c r="R71" s="37">
        <v>0</v>
      </c>
      <c r="S71" s="37">
        <v>0</v>
      </c>
      <c r="T71" s="37">
        <v>0</v>
      </c>
      <c r="U71" s="37">
        <v>0</v>
      </c>
      <c r="V71" s="37">
        <v>0</v>
      </c>
      <c r="W71" s="37">
        <v>7</v>
      </c>
      <c r="X71" s="37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28</v>
      </c>
      <c r="AF71" s="37">
        <v>0</v>
      </c>
      <c r="AG71" s="37">
        <v>0</v>
      </c>
      <c r="AH71" s="37">
        <v>0</v>
      </c>
      <c r="AI71" s="39">
        <v>0</v>
      </c>
      <c r="AJ71" s="37">
        <v>1.4E-2</v>
      </c>
      <c r="AK71" s="37">
        <v>20012</v>
      </c>
      <c r="AL71" s="37">
        <v>2</v>
      </c>
      <c r="AM71" s="37">
        <v>24000</v>
      </c>
      <c r="AN71" s="37" t="s">
        <v>48</v>
      </c>
      <c r="AO71" s="37" t="s">
        <v>753</v>
      </c>
    </row>
    <row r="72" spans="1:41" ht="16.5">
      <c r="A72" s="37">
        <v>20697</v>
      </c>
      <c r="B72" s="37" t="s">
        <v>831</v>
      </c>
      <c r="C72" s="37" t="s">
        <v>168</v>
      </c>
      <c r="D72" s="37" t="s">
        <v>130</v>
      </c>
      <c r="E72" s="38">
        <v>11033</v>
      </c>
      <c r="F72" s="37">
        <v>10000</v>
      </c>
      <c r="G72" s="37">
        <v>300</v>
      </c>
      <c r="H72" s="37">
        <v>50</v>
      </c>
      <c r="I72" s="37" t="s">
        <v>718</v>
      </c>
      <c r="J72" s="37">
        <v>5</v>
      </c>
      <c r="K72" s="16">
        <v>16</v>
      </c>
      <c r="L72" s="37">
        <v>40</v>
      </c>
      <c r="M72" s="37">
        <v>0</v>
      </c>
      <c r="N72" s="37">
        <v>0</v>
      </c>
      <c r="O72" s="37">
        <v>140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7</v>
      </c>
      <c r="X72" s="37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28</v>
      </c>
      <c r="AF72" s="37">
        <v>0</v>
      </c>
      <c r="AG72" s="37">
        <v>0</v>
      </c>
      <c r="AH72" s="37">
        <v>0</v>
      </c>
      <c r="AI72" s="39">
        <v>0</v>
      </c>
      <c r="AJ72" s="37">
        <v>1.4E-2</v>
      </c>
      <c r="AK72" s="37">
        <v>20012</v>
      </c>
      <c r="AL72" s="37">
        <v>2</v>
      </c>
      <c r="AM72" s="37">
        <v>24000</v>
      </c>
      <c r="AN72" s="37" t="s">
        <v>48</v>
      </c>
      <c r="AO72" s="37" t="s">
        <v>753</v>
      </c>
    </row>
    <row r="73" spans="1:41" ht="16.5">
      <c r="A73" s="37">
        <v>20698</v>
      </c>
      <c r="B73" s="37" t="s">
        <v>832</v>
      </c>
      <c r="C73" s="37" t="s">
        <v>168</v>
      </c>
      <c r="D73" s="37" t="s">
        <v>130</v>
      </c>
      <c r="E73" s="38">
        <v>11033</v>
      </c>
      <c r="F73" s="37">
        <v>10000</v>
      </c>
      <c r="G73" s="37">
        <v>300</v>
      </c>
      <c r="H73" s="37">
        <v>50</v>
      </c>
      <c r="I73" s="37" t="s">
        <v>718</v>
      </c>
      <c r="J73" s="37">
        <v>5</v>
      </c>
      <c r="K73" s="16">
        <v>16</v>
      </c>
      <c r="L73" s="37">
        <v>40</v>
      </c>
      <c r="M73" s="37">
        <v>0</v>
      </c>
      <c r="N73" s="37">
        <v>0</v>
      </c>
      <c r="O73" s="37">
        <v>140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7</v>
      </c>
      <c r="X73" s="37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28</v>
      </c>
      <c r="AF73" s="37">
        <v>0</v>
      </c>
      <c r="AG73" s="37">
        <v>0</v>
      </c>
      <c r="AH73" s="37">
        <v>0</v>
      </c>
      <c r="AI73" s="39">
        <v>0</v>
      </c>
      <c r="AJ73" s="37">
        <v>1.4E-2</v>
      </c>
      <c r="AK73" s="37">
        <v>20012</v>
      </c>
      <c r="AL73" s="37">
        <v>2</v>
      </c>
      <c r="AM73" s="37">
        <v>24000</v>
      </c>
      <c r="AN73" s="37" t="s">
        <v>48</v>
      </c>
      <c r="AO73" s="37" t="s">
        <v>753</v>
      </c>
    </row>
    <row r="74" spans="1:41" ht="16.5">
      <c r="A74" s="37">
        <v>20699</v>
      </c>
      <c r="B74" s="37" t="s">
        <v>833</v>
      </c>
      <c r="C74" s="37" t="s">
        <v>168</v>
      </c>
      <c r="D74" s="37" t="s">
        <v>130</v>
      </c>
      <c r="E74" s="38">
        <v>11033</v>
      </c>
      <c r="F74" s="37">
        <v>10000</v>
      </c>
      <c r="G74" s="37">
        <v>300</v>
      </c>
      <c r="H74" s="37">
        <v>50</v>
      </c>
      <c r="I74" s="37" t="s">
        <v>718</v>
      </c>
      <c r="J74" s="37">
        <v>5</v>
      </c>
      <c r="K74" s="16">
        <v>16</v>
      </c>
      <c r="L74" s="37">
        <v>40</v>
      </c>
      <c r="M74" s="37">
        <v>0</v>
      </c>
      <c r="N74" s="37">
        <v>0</v>
      </c>
      <c r="O74" s="37">
        <v>140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7</v>
      </c>
      <c r="X74" s="37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28</v>
      </c>
      <c r="AF74" s="37">
        <v>0</v>
      </c>
      <c r="AG74" s="37">
        <v>0</v>
      </c>
      <c r="AH74" s="37">
        <v>0</v>
      </c>
      <c r="AI74" s="39">
        <v>0</v>
      </c>
      <c r="AJ74" s="37">
        <v>1.4E-2</v>
      </c>
      <c r="AK74" s="37">
        <v>20012</v>
      </c>
      <c r="AL74" s="37">
        <v>2</v>
      </c>
      <c r="AM74" s="37">
        <v>24000</v>
      </c>
      <c r="AN74" s="37" t="s">
        <v>48</v>
      </c>
      <c r="AO74" s="37" t="s">
        <v>753</v>
      </c>
    </row>
    <row r="75" spans="1:41" ht="16.5">
      <c r="A75" s="37">
        <v>20700</v>
      </c>
      <c r="B75" s="37" t="s">
        <v>834</v>
      </c>
      <c r="C75" s="37" t="s">
        <v>168</v>
      </c>
      <c r="D75" s="37" t="s">
        <v>130</v>
      </c>
      <c r="E75" s="38">
        <v>11033</v>
      </c>
      <c r="F75" s="37">
        <v>10000</v>
      </c>
      <c r="G75" s="37">
        <v>300</v>
      </c>
      <c r="H75" s="37">
        <v>50</v>
      </c>
      <c r="I75" s="37" t="s">
        <v>718</v>
      </c>
      <c r="J75" s="37">
        <v>5</v>
      </c>
      <c r="K75" s="16">
        <v>16</v>
      </c>
      <c r="L75" s="37">
        <v>40</v>
      </c>
      <c r="M75" s="37">
        <v>0</v>
      </c>
      <c r="N75" s="37">
        <v>0</v>
      </c>
      <c r="O75" s="37">
        <v>140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7</v>
      </c>
      <c r="X75" s="37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28</v>
      </c>
      <c r="AF75" s="37">
        <v>0</v>
      </c>
      <c r="AG75" s="37">
        <v>0</v>
      </c>
      <c r="AH75" s="37">
        <v>0</v>
      </c>
      <c r="AI75" s="39">
        <v>0</v>
      </c>
      <c r="AJ75" s="37">
        <v>1.4E-2</v>
      </c>
      <c r="AK75" s="37">
        <v>20012</v>
      </c>
      <c r="AL75" s="37">
        <v>2</v>
      </c>
      <c r="AM75" s="37">
        <v>24000</v>
      </c>
      <c r="AN75" s="37" t="s">
        <v>48</v>
      </c>
      <c r="AO75" s="37" t="s">
        <v>753</v>
      </c>
    </row>
    <row r="76" spans="1:41" s="40" customFormat="1" ht="16.5">
      <c r="A76" s="37">
        <v>1701</v>
      </c>
      <c r="B76" s="37" t="s">
        <v>835</v>
      </c>
      <c r="C76" s="37" t="s">
        <v>168</v>
      </c>
      <c r="D76" s="37" t="s">
        <v>132</v>
      </c>
      <c r="E76" s="38">
        <v>11034</v>
      </c>
      <c r="F76" s="37">
        <v>10000</v>
      </c>
      <c r="G76" s="37">
        <v>300</v>
      </c>
      <c r="H76" s="37">
        <v>50</v>
      </c>
      <c r="I76" s="37" t="s">
        <v>719</v>
      </c>
      <c r="J76" s="37">
        <v>5</v>
      </c>
      <c r="K76" s="16">
        <v>16</v>
      </c>
      <c r="L76" s="37">
        <v>40</v>
      </c>
      <c r="M76" s="37">
        <v>0</v>
      </c>
      <c r="N76" s="37">
        <v>280</v>
      </c>
      <c r="O76" s="37">
        <v>0</v>
      </c>
      <c r="P76" s="37">
        <v>0</v>
      </c>
      <c r="Q76" s="37">
        <v>0</v>
      </c>
      <c r="R76" s="37">
        <v>0</v>
      </c>
      <c r="S76" s="37">
        <v>0</v>
      </c>
      <c r="T76" s="37">
        <v>0</v>
      </c>
      <c r="U76" s="37">
        <v>0</v>
      </c>
      <c r="V76" s="37">
        <v>14</v>
      </c>
      <c r="W76" s="37">
        <v>0</v>
      </c>
      <c r="X76" s="37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56</v>
      </c>
      <c r="AE76" s="37">
        <v>0</v>
      </c>
      <c r="AF76" s="37">
        <v>0</v>
      </c>
      <c r="AG76" s="39">
        <v>0</v>
      </c>
      <c r="AH76" s="37">
        <v>0</v>
      </c>
      <c r="AI76" s="37">
        <v>1.4E-2</v>
      </c>
      <c r="AJ76" s="37">
        <v>0</v>
      </c>
      <c r="AK76" s="37">
        <v>20012</v>
      </c>
      <c r="AL76" s="37">
        <v>1</v>
      </c>
      <c r="AM76" s="37">
        <v>24000</v>
      </c>
      <c r="AN76" s="37" t="s">
        <v>48</v>
      </c>
      <c r="AO76" s="37" t="s">
        <v>754</v>
      </c>
    </row>
    <row r="77" spans="1:41" ht="16.5">
      <c r="A77" s="37">
        <v>1702</v>
      </c>
      <c r="B77" s="37" t="s">
        <v>836</v>
      </c>
      <c r="C77" s="37" t="s">
        <v>168</v>
      </c>
      <c r="D77" s="37" t="s">
        <v>132</v>
      </c>
      <c r="E77" s="38">
        <v>11034</v>
      </c>
      <c r="F77" s="37">
        <v>10000</v>
      </c>
      <c r="G77" s="37">
        <v>300</v>
      </c>
      <c r="H77" s="37">
        <v>50</v>
      </c>
      <c r="I77" s="37" t="s">
        <v>719</v>
      </c>
      <c r="J77" s="37">
        <v>5</v>
      </c>
      <c r="K77" s="16">
        <v>16</v>
      </c>
      <c r="L77" s="37">
        <v>40</v>
      </c>
      <c r="M77" s="37">
        <v>0</v>
      </c>
      <c r="N77" s="37">
        <v>280</v>
      </c>
      <c r="O77" s="37">
        <v>0</v>
      </c>
      <c r="P77" s="37">
        <v>0</v>
      </c>
      <c r="Q77" s="37">
        <v>0</v>
      </c>
      <c r="R77" s="37">
        <v>0</v>
      </c>
      <c r="S77" s="37">
        <v>0</v>
      </c>
      <c r="T77" s="37">
        <v>0</v>
      </c>
      <c r="U77" s="37">
        <v>0</v>
      </c>
      <c r="V77" s="37">
        <v>14</v>
      </c>
      <c r="W77" s="37">
        <v>0</v>
      </c>
      <c r="X77" s="37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56</v>
      </c>
      <c r="AE77" s="37">
        <v>0</v>
      </c>
      <c r="AF77" s="37">
        <v>0</v>
      </c>
      <c r="AG77" s="39">
        <v>0</v>
      </c>
      <c r="AH77" s="37">
        <v>0</v>
      </c>
      <c r="AI77" s="37">
        <v>1.4E-2</v>
      </c>
      <c r="AJ77" s="37">
        <v>0</v>
      </c>
      <c r="AK77" s="37">
        <v>20012</v>
      </c>
      <c r="AL77" s="37">
        <v>1</v>
      </c>
      <c r="AM77" s="37">
        <v>24000</v>
      </c>
      <c r="AN77" s="37" t="s">
        <v>48</v>
      </c>
      <c r="AO77" s="37" t="s">
        <v>754</v>
      </c>
    </row>
    <row r="78" spans="1:41" ht="16.5">
      <c r="A78" s="37">
        <v>1703</v>
      </c>
      <c r="B78" s="37" t="s">
        <v>837</v>
      </c>
      <c r="C78" s="37" t="s">
        <v>168</v>
      </c>
      <c r="D78" s="37" t="s">
        <v>132</v>
      </c>
      <c r="E78" s="38">
        <v>11034</v>
      </c>
      <c r="F78" s="37">
        <v>10000</v>
      </c>
      <c r="G78" s="37">
        <v>300</v>
      </c>
      <c r="H78" s="37">
        <v>50</v>
      </c>
      <c r="I78" s="37" t="s">
        <v>719</v>
      </c>
      <c r="J78" s="37">
        <v>5</v>
      </c>
      <c r="K78" s="16">
        <v>16</v>
      </c>
      <c r="L78" s="37">
        <v>40</v>
      </c>
      <c r="M78" s="37">
        <v>0</v>
      </c>
      <c r="N78" s="37">
        <v>280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14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56</v>
      </c>
      <c r="AE78" s="37">
        <v>0</v>
      </c>
      <c r="AF78" s="37">
        <v>0</v>
      </c>
      <c r="AG78" s="39">
        <v>0</v>
      </c>
      <c r="AH78" s="37">
        <v>0</v>
      </c>
      <c r="AI78" s="37">
        <v>1.4E-2</v>
      </c>
      <c r="AJ78" s="37">
        <v>0</v>
      </c>
      <c r="AK78" s="37">
        <v>20012</v>
      </c>
      <c r="AL78" s="37">
        <v>1</v>
      </c>
      <c r="AM78" s="37">
        <v>24000</v>
      </c>
      <c r="AN78" s="37" t="s">
        <v>48</v>
      </c>
      <c r="AO78" s="37" t="s">
        <v>754</v>
      </c>
    </row>
    <row r="79" spans="1:41" ht="16.5">
      <c r="A79" s="37">
        <v>1704</v>
      </c>
      <c r="B79" s="37" t="s">
        <v>838</v>
      </c>
      <c r="C79" s="37" t="s">
        <v>168</v>
      </c>
      <c r="D79" s="37" t="s">
        <v>132</v>
      </c>
      <c r="E79" s="38">
        <v>11034</v>
      </c>
      <c r="F79" s="37">
        <v>10000</v>
      </c>
      <c r="G79" s="37">
        <v>300</v>
      </c>
      <c r="H79" s="37">
        <v>50</v>
      </c>
      <c r="I79" s="37" t="s">
        <v>719</v>
      </c>
      <c r="J79" s="37">
        <v>5</v>
      </c>
      <c r="K79" s="16">
        <v>16</v>
      </c>
      <c r="L79" s="37">
        <v>40</v>
      </c>
      <c r="M79" s="37">
        <v>0</v>
      </c>
      <c r="N79" s="37">
        <v>280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14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56</v>
      </c>
      <c r="AE79" s="37">
        <v>0</v>
      </c>
      <c r="AF79" s="37">
        <v>0</v>
      </c>
      <c r="AG79" s="39">
        <v>0</v>
      </c>
      <c r="AH79" s="37">
        <v>0</v>
      </c>
      <c r="AI79" s="37">
        <v>1.4E-2</v>
      </c>
      <c r="AJ79" s="37">
        <v>0</v>
      </c>
      <c r="AK79" s="37">
        <v>20012</v>
      </c>
      <c r="AL79" s="37">
        <v>1</v>
      </c>
      <c r="AM79" s="37">
        <v>24000</v>
      </c>
      <c r="AN79" s="37" t="s">
        <v>48</v>
      </c>
      <c r="AO79" s="37" t="s">
        <v>754</v>
      </c>
    </row>
    <row r="80" spans="1:41" ht="16.5">
      <c r="A80" s="37">
        <v>2070</v>
      </c>
      <c r="B80" s="37" t="s">
        <v>839</v>
      </c>
      <c r="C80" s="37" t="s">
        <v>168</v>
      </c>
      <c r="D80" s="37" t="s">
        <v>132</v>
      </c>
      <c r="E80" s="38">
        <v>11034</v>
      </c>
      <c r="F80" s="37">
        <v>10000</v>
      </c>
      <c r="G80" s="37">
        <v>300</v>
      </c>
      <c r="H80" s="37">
        <v>50</v>
      </c>
      <c r="I80" s="37" t="s">
        <v>719</v>
      </c>
      <c r="J80" s="37">
        <v>5</v>
      </c>
      <c r="K80" s="16">
        <v>16</v>
      </c>
      <c r="L80" s="37">
        <v>40</v>
      </c>
      <c r="M80" s="37">
        <v>0</v>
      </c>
      <c r="N80" s="37">
        <v>280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14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56</v>
      </c>
      <c r="AE80" s="37">
        <v>0</v>
      </c>
      <c r="AF80" s="37">
        <v>0</v>
      </c>
      <c r="AG80" s="39">
        <v>0</v>
      </c>
      <c r="AH80" s="37">
        <v>0</v>
      </c>
      <c r="AI80" s="37">
        <v>1.4E-2</v>
      </c>
      <c r="AJ80" s="37">
        <v>0</v>
      </c>
      <c r="AK80" s="37">
        <v>20012</v>
      </c>
      <c r="AL80" s="37">
        <v>1</v>
      </c>
      <c r="AM80" s="37">
        <v>24000</v>
      </c>
      <c r="AN80" s="37" t="s">
        <v>48</v>
      </c>
      <c r="AO80" s="37" t="s">
        <v>754</v>
      </c>
    </row>
    <row r="81" spans="1:41" ht="16.5">
      <c r="A81" s="37">
        <v>20701</v>
      </c>
      <c r="B81" s="37" t="s">
        <v>840</v>
      </c>
      <c r="C81" s="37" t="s">
        <v>168</v>
      </c>
      <c r="D81" s="37" t="s">
        <v>132</v>
      </c>
      <c r="E81" s="38">
        <v>11034</v>
      </c>
      <c r="F81" s="37">
        <v>10000</v>
      </c>
      <c r="G81" s="37">
        <v>300</v>
      </c>
      <c r="H81" s="37">
        <v>50</v>
      </c>
      <c r="I81" s="37" t="s">
        <v>719</v>
      </c>
      <c r="J81" s="37">
        <v>5</v>
      </c>
      <c r="K81" s="16">
        <v>16</v>
      </c>
      <c r="L81" s="37">
        <v>40</v>
      </c>
      <c r="M81" s="37">
        <v>0</v>
      </c>
      <c r="N81" s="37">
        <v>280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14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56</v>
      </c>
      <c r="AE81" s="37">
        <v>0</v>
      </c>
      <c r="AF81" s="37">
        <v>0</v>
      </c>
      <c r="AG81" s="39">
        <v>0</v>
      </c>
      <c r="AH81" s="37">
        <v>0</v>
      </c>
      <c r="AI81" s="37">
        <v>1.4E-2</v>
      </c>
      <c r="AJ81" s="37">
        <v>0</v>
      </c>
      <c r="AK81" s="37">
        <v>20012</v>
      </c>
      <c r="AL81" s="37">
        <v>1</v>
      </c>
      <c r="AM81" s="37">
        <v>24000</v>
      </c>
      <c r="AN81" s="37" t="s">
        <v>48</v>
      </c>
      <c r="AO81" s="37" t="s">
        <v>754</v>
      </c>
    </row>
    <row r="82" spans="1:41" ht="16.5">
      <c r="A82" s="37">
        <v>20702</v>
      </c>
      <c r="B82" s="37" t="s">
        <v>841</v>
      </c>
      <c r="C82" s="37" t="s">
        <v>168</v>
      </c>
      <c r="D82" s="37" t="s">
        <v>132</v>
      </c>
      <c r="E82" s="38">
        <v>11034</v>
      </c>
      <c r="F82" s="37">
        <v>10000</v>
      </c>
      <c r="G82" s="37">
        <v>300</v>
      </c>
      <c r="H82" s="37">
        <v>50</v>
      </c>
      <c r="I82" s="37" t="s">
        <v>719</v>
      </c>
      <c r="J82" s="37">
        <v>5</v>
      </c>
      <c r="K82" s="16">
        <v>16</v>
      </c>
      <c r="L82" s="37">
        <v>40</v>
      </c>
      <c r="M82" s="37">
        <v>0</v>
      </c>
      <c r="N82" s="37">
        <v>280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>
        <v>0</v>
      </c>
      <c r="V82" s="37">
        <v>14</v>
      </c>
      <c r="W82" s="37">
        <v>0</v>
      </c>
      <c r="X82" s="37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56</v>
      </c>
      <c r="AE82" s="37">
        <v>0</v>
      </c>
      <c r="AF82" s="37">
        <v>0</v>
      </c>
      <c r="AG82" s="39">
        <v>0</v>
      </c>
      <c r="AH82" s="37">
        <v>0</v>
      </c>
      <c r="AI82" s="37">
        <v>1.4E-2</v>
      </c>
      <c r="AJ82" s="37">
        <v>0</v>
      </c>
      <c r="AK82" s="37">
        <v>20012</v>
      </c>
      <c r="AL82" s="37">
        <v>1</v>
      </c>
      <c r="AM82" s="37">
        <v>24000</v>
      </c>
      <c r="AN82" s="37" t="s">
        <v>48</v>
      </c>
      <c r="AO82" s="37" t="s">
        <v>754</v>
      </c>
    </row>
    <row r="83" spans="1:41" ht="16.5">
      <c r="A83" s="37">
        <v>20703</v>
      </c>
      <c r="B83" s="37" t="s">
        <v>842</v>
      </c>
      <c r="C83" s="37" t="s">
        <v>168</v>
      </c>
      <c r="D83" s="37" t="s">
        <v>132</v>
      </c>
      <c r="E83" s="38">
        <v>11034</v>
      </c>
      <c r="F83" s="37">
        <v>10000</v>
      </c>
      <c r="G83" s="37">
        <v>300</v>
      </c>
      <c r="H83" s="37">
        <v>50</v>
      </c>
      <c r="I83" s="37" t="s">
        <v>719</v>
      </c>
      <c r="J83" s="37">
        <v>5</v>
      </c>
      <c r="K83" s="16">
        <v>16</v>
      </c>
      <c r="L83" s="37">
        <v>40</v>
      </c>
      <c r="M83" s="37">
        <v>0</v>
      </c>
      <c r="N83" s="37">
        <v>280</v>
      </c>
      <c r="O83" s="37">
        <v>0</v>
      </c>
      <c r="P83" s="37">
        <v>0</v>
      </c>
      <c r="Q83" s="37">
        <v>0</v>
      </c>
      <c r="R83" s="37">
        <v>0</v>
      </c>
      <c r="S83" s="37">
        <v>0</v>
      </c>
      <c r="T83" s="37">
        <v>0</v>
      </c>
      <c r="U83" s="37">
        <v>0</v>
      </c>
      <c r="V83" s="37">
        <v>14</v>
      </c>
      <c r="W83" s="37">
        <v>0</v>
      </c>
      <c r="X83" s="37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56</v>
      </c>
      <c r="AE83" s="37">
        <v>0</v>
      </c>
      <c r="AF83" s="37">
        <v>0</v>
      </c>
      <c r="AG83" s="39">
        <v>0</v>
      </c>
      <c r="AH83" s="37">
        <v>0</v>
      </c>
      <c r="AI83" s="37">
        <v>1.4E-2</v>
      </c>
      <c r="AJ83" s="37">
        <v>0</v>
      </c>
      <c r="AK83" s="37">
        <v>20012</v>
      </c>
      <c r="AL83" s="37">
        <v>1</v>
      </c>
      <c r="AM83" s="37">
        <v>24000</v>
      </c>
      <c r="AN83" s="37" t="s">
        <v>48</v>
      </c>
      <c r="AO83" s="37" t="s">
        <v>754</v>
      </c>
    </row>
    <row r="84" spans="1:41" ht="16.5">
      <c r="A84" s="37">
        <v>20704</v>
      </c>
      <c r="B84" s="37" t="s">
        <v>843</v>
      </c>
      <c r="C84" s="37" t="s">
        <v>168</v>
      </c>
      <c r="D84" s="37" t="s">
        <v>132</v>
      </c>
      <c r="E84" s="38">
        <v>11034</v>
      </c>
      <c r="F84" s="37">
        <v>10000</v>
      </c>
      <c r="G84" s="37">
        <v>300</v>
      </c>
      <c r="H84" s="37">
        <v>50</v>
      </c>
      <c r="I84" s="37" t="s">
        <v>719</v>
      </c>
      <c r="J84" s="37">
        <v>5</v>
      </c>
      <c r="K84" s="16">
        <v>16</v>
      </c>
      <c r="L84" s="37">
        <v>40</v>
      </c>
      <c r="M84" s="37">
        <v>0</v>
      </c>
      <c r="N84" s="37">
        <v>280</v>
      </c>
      <c r="O84" s="37">
        <v>0</v>
      </c>
      <c r="P84" s="37">
        <v>0</v>
      </c>
      <c r="Q84" s="37">
        <v>0</v>
      </c>
      <c r="R84" s="37">
        <v>0</v>
      </c>
      <c r="S84" s="37">
        <v>0</v>
      </c>
      <c r="T84" s="37">
        <v>0</v>
      </c>
      <c r="U84" s="37">
        <v>0</v>
      </c>
      <c r="V84" s="37">
        <v>14</v>
      </c>
      <c r="W84" s="37">
        <v>0</v>
      </c>
      <c r="X84" s="37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56</v>
      </c>
      <c r="AE84" s="37">
        <v>0</v>
      </c>
      <c r="AF84" s="37">
        <v>0</v>
      </c>
      <c r="AG84" s="39">
        <v>0</v>
      </c>
      <c r="AH84" s="37">
        <v>0</v>
      </c>
      <c r="AI84" s="37">
        <v>1.4E-2</v>
      </c>
      <c r="AJ84" s="37">
        <v>0</v>
      </c>
      <c r="AK84" s="37">
        <v>20012</v>
      </c>
      <c r="AL84" s="37">
        <v>1</v>
      </c>
      <c r="AM84" s="37">
        <v>24000</v>
      </c>
      <c r="AN84" s="37" t="s">
        <v>48</v>
      </c>
      <c r="AO84" s="37" t="s">
        <v>754</v>
      </c>
    </row>
    <row r="85" spans="1:41" ht="16.5">
      <c r="A85" s="37">
        <v>20705</v>
      </c>
      <c r="B85" s="37" t="s">
        <v>844</v>
      </c>
      <c r="C85" s="37" t="s">
        <v>168</v>
      </c>
      <c r="D85" s="37" t="s">
        <v>132</v>
      </c>
      <c r="E85" s="38">
        <v>11034</v>
      </c>
      <c r="F85" s="37">
        <v>10000</v>
      </c>
      <c r="G85" s="37">
        <v>300</v>
      </c>
      <c r="H85" s="37">
        <v>50</v>
      </c>
      <c r="I85" s="37" t="s">
        <v>719</v>
      </c>
      <c r="J85" s="37">
        <v>5</v>
      </c>
      <c r="K85" s="16">
        <v>16</v>
      </c>
      <c r="L85" s="37">
        <v>40</v>
      </c>
      <c r="M85" s="37">
        <v>0</v>
      </c>
      <c r="N85" s="37">
        <v>280</v>
      </c>
      <c r="O85" s="37">
        <v>0</v>
      </c>
      <c r="P85" s="37">
        <v>0</v>
      </c>
      <c r="Q85" s="37">
        <v>0</v>
      </c>
      <c r="R85" s="37">
        <v>0</v>
      </c>
      <c r="S85" s="37">
        <v>0</v>
      </c>
      <c r="T85" s="37">
        <v>0</v>
      </c>
      <c r="U85" s="37">
        <v>0</v>
      </c>
      <c r="V85" s="37">
        <v>14</v>
      </c>
      <c r="W85" s="37">
        <v>0</v>
      </c>
      <c r="X85" s="37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56</v>
      </c>
      <c r="AE85" s="37">
        <v>0</v>
      </c>
      <c r="AF85" s="37">
        <v>0</v>
      </c>
      <c r="AG85" s="39">
        <v>0</v>
      </c>
      <c r="AH85" s="37">
        <v>0</v>
      </c>
      <c r="AI85" s="37">
        <v>1.4E-2</v>
      </c>
      <c r="AJ85" s="37">
        <v>0</v>
      </c>
      <c r="AK85" s="37">
        <v>20012</v>
      </c>
      <c r="AL85" s="37">
        <v>1</v>
      </c>
      <c r="AM85" s="37">
        <v>24000</v>
      </c>
      <c r="AN85" s="37" t="s">
        <v>48</v>
      </c>
      <c r="AO85" s="37" t="s">
        <v>754</v>
      </c>
    </row>
    <row r="86" spans="1:41" ht="16.5">
      <c r="A86" s="37">
        <v>20706</v>
      </c>
      <c r="B86" s="37" t="s">
        <v>845</v>
      </c>
      <c r="C86" s="37" t="s">
        <v>168</v>
      </c>
      <c r="D86" s="37" t="s">
        <v>132</v>
      </c>
      <c r="E86" s="38">
        <v>11034</v>
      </c>
      <c r="F86" s="37">
        <v>10000</v>
      </c>
      <c r="G86" s="37">
        <v>300</v>
      </c>
      <c r="H86" s="37">
        <v>50</v>
      </c>
      <c r="I86" s="37" t="s">
        <v>719</v>
      </c>
      <c r="J86" s="37">
        <v>5</v>
      </c>
      <c r="K86" s="16">
        <v>16</v>
      </c>
      <c r="L86" s="37">
        <v>40</v>
      </c>
      <c r="M86" s="37">
        <v>0</v>
      </c>
      <c r="N86" s="37">
        <v>280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>
        <v>14</v>
      </c>
      <c r="W86" s="37">
        <v>0</v>
      </c>
      <c r="X86" s="37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56</v>
      </c>
      <c r="AE86" s="37">
        <v>0</v>
      </c>
      <c r="AF86" s="37">
        <v>0</v>
      </c>
      <c r="AG86" s="39">
        <v>0</v>
      </c>
      <c r="AH86" s="37">
        <v>0</v>
      </c>
      <c r="AI86" s="37">
        <v>1.4E-2</v>
      </c>
      <c r="AJ86" s="37">
        <v>0</v>
      </c>
      <c r="AK86" s="37">
        <v>20012</v>
      </c>
      <c r="AL86" s="37">
        <v>1</v>
      </c>
      <c r="AM86" s="37">
        <v>24000</v>
      </c>
      <c r="AN86" s="37" t="s">
        <v>48</v>
      </c>
      <c r="AO86" s="37" t="s">
        <v>754</v>
      </c>
    </row>
    <row r="87" spans="1:41" ht="16.5">
      <c r="A87" s="37">
        <v>20707</v>
      </c>
      <c r="B87" s="37" t="s">
        <v>846</v>
      </c>
      <c r="C87" s="37" t="s">
        <v>168</v>
      </c>
      <c r="D87" s="37" t="s">
        <v>132</v>
      </c>
      <c r="E87" s="38">
        <v>11034</v>
      </c>
      <c r="F87" s="37">
        <v>10000</v>
      </c>
      <c r="G87" s="37">
        <v>300</v>
      </c>
      <c r="H87" s="37">
        <v>50</v>
      </c>
      <c r="I87" s="37" t="s">
        <v>719</v>
      </c>
      <c r="J87" s="37">
        <v>5</v>
      </c>
      <c r="K87" s="16">
        <v>16</v>
      </c>
      <c r="L87" s="37">
        <v>40</v>
      </c>
      <c r="M87" s="37">
        <v>0</v>
      </c>
      <c r="N87" s="37">
        <v>280</v>
      </c>
      <c r="O87" s="37">
        <v>0</v>
      </c>
      <c r="P87" s="37">
        <v>0</v>
      </c>
      <c r="Q87" s="37">
        <v>0</v>
      </c>
      <c r="R87" s="37">
        <v>0</v>
      </c>
      <c r="S87" s="37">
        <v>0</v>
      </c>
      <c r="T87" s="37">
        <v>0</v>
      </c>
      <c r="U87" s="37">
        <v>0</v>
      </c>
      <c r="V87" s="37">
        <v>14</v>
      </c>
      <c r="W87" s="37">
        <v>0</v>
      </c>
      <c r="X87" s="37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56</v>
      </c>
      <c r="AE87" s="37">
        <v>0</v>
      </c>
      <c r="AF87" s="37">
        <v>0</v>
      </c>
      <c r="AG87" s="39">
        <v>0</v>
      </c>
      <c r="AH87" s="37">
        <v>0</v>
      </c>
      <c r="AI87" s="37">
        <v>1.4E-2</v>
      </c>
      <c r="AJ87" s="37">
        <v>0</v>
      </c>
      <c r="AK87" s="37">
        <v>20012</v>
      </c>
      <c r="AL87" s="37">
        <v>1</v>
      </c>
      <c r="AM87" s="37">
        <v>24000</v>
      </c>
      <c r="AN87" s="37" t="s">
        <v>48</v>
      </c>
      <c r="AO87" s="37" t="s">
        <v>754</v>
      </c>
    </row>
    <row r="88" spans="1:41" ht="16.5">
      <c r="A88" s="37">
        <v>20708</v>
      </c>
      <c r="B88" s="37" t="s">
        <v>847</v>
      </c>
      <c r="C88" s="37" t="s">
        <v>168</v>
      </c>
      <c r="D88" s="37" t="s">
        <v>132</v>
      </c>
      <c r="E88" s="38">
        <v>11034</v>
      </c>
      <c r="F88" s="37">
        <v>10000</v>
      </c>
      <c r="G88" s="37">
        <v>300</v>
      </c>
      <c r="H88" s="37">
        <v>50</v>
      </c>
      <c r="I88" s="37" t="s">
        <v>719</v>
      </c>
      <c r="J88" s="37">
        <v>5</v>
      </c>
      <c r="K88" s="16">
        <v>16</v>
      </c>
      <c r="L88" s="37">
        <v>40</v>
      </c>
      <c r="M88" s="37">
        <v>0</v>
      </c>
      <c r="N88" s="37">
        <v>280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>
        <v>14</v>
      </c>
      <c r="W88" s="37">
        <v>0</v>
      </c>
      <c r="X88" s="37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56</v>
      </c>
      <c r="AE88" s="37">
        <v>0</v>
      </c>
      <c r="AF88" s="37">
        <v>0</v>
      </c>
      <c r="AG88" s="39">
        <v>0</v>
      </c>
      <c r="AH88" s="37">
        <v>0</v>
      </c>
      <c r="AI88" s="37">
        <v>1.4E-2</v>
      </c>
      <c r="AJ88" s="37">
        <v>0</v>
      </c>
      <c r="AK88" s="37">
        <v>20012</v>
      </c>
      <c r="AL88" s="37">
        <v>1</v>
      </c>
      <c r="AM88" s="37">
        <v>24000</v>
      </c>
      <c r="AN88" s="37" t="s">
        <v>48</v>
      </c>
      <c r="AO88" s="37" t="s">
        <v>754</v>
      </c>
    </row>
    <row r="89" spans="1:41" ht="16.5">
      <c r="A89" s="37">
        <v>20709</v>
      </c>
      <c r="B89" s="37" t="s">
        <v>848</v>
      </c>
      <c r="C89" s="37" t="s">
        <v>168</v>
      </c>
      <c r="D89" s="37" t="s">
        <v>132</v>
      </c>
      <c r="E89" s="38">
        <v>11034</v>
      </c>
      <c r="F89" s="37">
        <v>10000</v>
      </c>
      <c r="G89" s="37">
        <v>300</v>
      </c>
      <c r="H89" s="37">
        <v>50</v>
      </c>
      <c r="I89" s="37" t="s">
        <v>719</v>
      </c>
      <c r="J89" s="37">
        <v>5</v>
      </c>
      <c r="K89" s="16">
        <v>16</v>
      </c>
      <c r="L89" s="37">
        <v>40</v>
      </c>
      <c r="M89" s="37">
        <v>0</v>
      </c>
      <c r="N89" s="37">
        <v>280</v>
      </c>
      <c r="O89" s="37">
        <v>0</v>
      </c>
      <c r="P89" s="37">
        <v>0</v>
      </c>
      <c r="Q89" s="37">
        <v>0</v>
      </c>
      <c r="R89" s="37">
        <v>0</v>
      </c>
      <c r="S89" s="37">
        <v>0</v>
      </c>
      <c r="T89" s="37">
        <v>0</v>
      </c>
      <c r="U89" s="37">
        <v>0</v>
      </c>
      <c r="V89" s="37">
        <v>14</v>
      </c>
      <c r="W89" s="37">
        <v>0</v>
      </c>
      <c r="X89" s="37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56</v>
      </c>
      <c r="AE89" s="37">
        <v>0</v>
      </c>
      <c r="AF89" s="37">
        <v>0</v>
      </c>
      <c r="AG89" s="39">
        <v>0</v>
      </c>
      <c r="AH89" s="37">
        <v>0</v>
      </c>
      <c r="AI89" s="37">
        <v>1.4E-2</v>
      </c>
      <c r="AJ89" s="37">
        <v>0</v>
      </c>
      <c r="AK89" s="37">
        <v>20012</v>
      </c>
      <c r="AL89" s="37">
        <v>1</v>
      </c>
      <c r="AM89" s="37">
        <v>24000</v>
      </c>
      <c r="AN89" s="37" t="s">
        <v>48</v>
      </c>
      <c r="AO89" s="37" t="s">
        <v>754</v>
      </c>
    </row>
    <row r="90" spans="1:41" ht="16.5">
      <c r="A90" s="37">
        <v>20710</v>
      </c>
      <c r="B90" s="37" t="s">
        <v>849</v>
      </c>
      <c r="C90" s="37" t="s">
        <v>168</v>
      </c>
      <c r="D90" s="37" t="s">
        <v>132</v>
      </c>
      <c r="E90" s="38">
        <v>11034</v>
      </c>
      <c r="F90" s="37">
        <v>10000</v>
      </c>
      <c r="G90" s="37">
        <v>300</v>
      </c>
      <c r="H90" s="37">
        <v>50</v>
      </c>
      <c r="I90" s="37" t="s">
        <v>719</v>
      </c>
      <c r="J90" s="37">
        <v>5</v>
      </c>
      <c r="K90" s="16">
        <v>16</v>
      </c>
      <c r="L90" s="37">
        <v>40</v>
      </c>
      <c r="M90" s="37">
        <v>0</v>
      </c>
      <c r="N90" s="37">
        <v>280</v>
      </c>
      <c r="O90" s="37">
        <v>0</v>
      </c>
      <c r="P90" s="37">
        <v>0</v>
      </c>
      <c r="Q90" s="37">
        <v>0</v>
      </c>
      <c r="R90" s="37">
        <v>0</v>
      </c>
      <c r="S90" s="37">
        <v>0</v>
      </c>
      <c r="T90" s="37">
        <v>0</v>
      </c>
      <c r="U90" s="37">
        <v>0</v>
      </c>
      <c r="V90" s="37">
        <v>14</v>
      </c>
      <c r="W90" s="37">
        <v>0</v>
      </c>
      <c r="X90" s="37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56</v>
      </c>
      <c r="AE90" s="37">
        <v>0</v>
      </c>
      <c r="AF90" s="37">
        <v>0</v>
      </c>
      <c r="AG90" s="39">
        <v>0</v>
      </c>
      <c r="AH90" s="37">
        <v>0</v>
      </c>
      <c r="AI90" s="37">
        <v>1.4E-2</v>
      </c>
      <c r="AJ90" s="37">
        <v>0</v>
      </c>
      <c r="AK90" s="37">
        <v>20012</v>
      </c>
      <c r="AL90" s="37">
        <v>1</v>
      </c>
      <c r="AM90" s="37">
        <v>24000</v>
      </c>
      <c r="AN90" s="37" t="s">
        <v>48</v>
      </c>
      <c r="AO90" s="37" t="s">
        <v>754</v>
      </c>
    </row>
    <row r="91" spans="1:41" ht="16.5">
      <c r="A91" s="37">
        <v>1711</v>
      </c>
      <c r="B91" s="37" t="s">
        <v>850</v>
      </c>
      <c r="C91" s="37" t="s">
        <v>168</v>
      </c>
      <c r="D91" s="37" t="s">
        <v>131</v>
      </c>
      <c r="E91" s="38">
        <v>11035</v>
      </c>
      <c r="F91" s="37">
        <v>10000</v>
      </c>
      <c r="G91" s="37">
        <v>300</v>
      </c>
      <c r="H91" s="37">
        <v>50</v>
      </c>
      <c r="I91" s="37" t="s">
        <v>720</v>
      </c>
      <c r="J91" s="37">
        <v>5</v>
      </c>
      <c r="K91" s="16">
        <v>16</v>
      </c>
      <c r="L91" s="37">
        <v>40</v>
      </c>
      <c r="M91" s="37">
        <v>7000</v>
      </c>
      <c r="N91" s="37">
        <v>0</v>
      </c>
      <c r="O91" s="37">
        <v>0</v>
      </c>
      <c r="P91" s="37">
        <v>0</v>
      </c>
      <c r="Q91" s="37">
        <v>0</v>
      </c>
      <c r="R91" s="37">
        <v>0</v>
      </c>
      <c r="S91" s="37">
        <v>0</v>
      </c>
      <c r="T91" s="37">
        <v>0</v>
      </c>
      <c r="U91" s="37">
        <v>350</v>
      </c>
      <c r="V91" s="37">
        <v>0</v>
      </c>
      <c r="W91" s="37">
        <v>0</v>
      </c>
      <c r="X91" s="37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1400</v>
      </c>
      <c r="AD91" s="37">
        <v>0</v>
      </c>
      <c r="AE91" s="37">
        <v>0</v>
      </c>
      <c r="AF91" s="37">
        <v>0</v>
      </c>
      <c r="AG91" s="37">
        <v>7.0000000000000001E-3</v>
      </c>
      <c r="AH91" s="37">
        <v>0</v>
      </c>
      <c r="AI91" s="37">
        <v>0</v>
      </c>
      <c r="AJ91" s="39">
        <v>0</v>
      </c>
      <c r="AK91" s="37">
        <v>20012</v>
      </c>
      <c r="AL91" s="37">
        <v>3</v>
      </c>
      <c r="AM91" s="37">
        <v>24000</v>
      </c>
      <c r="AN91" s="37" t="s">
        <v>48</v>
      </c>
      <c r="AO91" s="37" t="s">
        <v>755</v>
      </c>
    </row>
    <row r="92" spans="1:41" ht="16.5">
      <c r="A92" s="37">
        <v>1712</v>
      </c>
      <c r="B92" s="37" t="s">
        <v>851</v>
      </c>
      <c r="C92" s="37" t="s">
        <v>168</v>
      </c>
      <c r="D92" s="37" t="s">
        <v>131</v>
      </c>
      <c r="E92" s="38">
        <v>11035</v>
      </c>
      <c r="F92" s="37">
        <v>10000</v>
      </c>
      <c r="G92" s="37">
        <v>300</v>
      </c>
      <c r="H92" s="37">
        <v>50</v>
      </c>
      <c r="I92" s="37" t="s">
        <v>720</v>
      </c>
      <c r="J92" s="37">
        <v>5</v>
      </c>
      <c r="K92" s="16">
        <v>16</v>
      </c>
      <c r="L92" s="37">
        <v>40</v>
      </c>
      <c r="M92" s="37">
        <v>7000</v>
      </c>
      <c r="N92" s="37">
        <v>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350</v>
      </c>
      <c r="V92" s="37">
        <v>0</v>
      </c>
      <c r="W92" s="37">
        <v>0</v>
      </c>
      <c r="X92" s="37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1400</v>
      </c>
      <c r="AD92" s="37">
        <v>0</v>
      </c>
      <c r="AE92" s="37">
        <v>0</v>
      </c>
      <c r="AF92" s="37">
        <v>0</v>
      </c>
      <c r="AG92" s="37">
        <v>7.0000000000000001E-3</v>
      </c>
      <c r="AH92" s="37">
        <v>0</v>
      </c>
      <c r="AI92" s="37">
        <v>0</v>
      </c>
      <c r="AJ92" s="39">
        <v>0</v>
      </c>
      <c r="AK92" s="37">
        <v>20012</v>
      </c>
      <c r="AL92" s="37">
        <v>3</v>
      </c>
      <c r="AM92" s="37">
        <v>24000</v>
      </c>
      <c r="AN92" s="37" t="s">
        <v>48</v>
      </c>
      <c r="AO92" s="37" t="s">
        <v>755</v>
      </c>
    </row>
    <row r="93" spans="1:41" ht="16.5">
      <c r="A93" s="37">
        <v>1713</v>
      </c>
      <c r="B93" s="37" t="s">
        <v>852</v>
      </c>
      <c r="C93" s="37" t="s">
        <v>168</v>
      </c>
      <c r="D93" s="37" t="s">
        <v>131</v>
      </c>
      <c r="E93" s="38">
        <v>11035</v>
      </c>
      <c r="F93" s="37">
        <v>10000</v>
      </c>
      <c r="G93" s="37">
        <v>300</v>
      </c>
      <c r="H93" s="37">
        <v>50</v>
      </c>
      <c r="I93" s="37" t="s">
        <v>720</v>
      </c>
      <c r="J93" s="37">
        <v>5</v>
      </c>
      <c r="K93" s="16">
        <v>16</v>
      </c>
      <c r="L93" s="37">
        <v>40</v>
      </c>
      <c r="M93" s="37">
        <v>7000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350</v>
      </c>
      <c r="V93" s="37">
        <v>0</v>
      </c>
      <c r="W93" s="37">
        <v>0</v>
      </c>
      <c r="X93" s="37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1400</v>
      </c>
      <c r="AD93" s="37">
        <v>0</v>
      </c>
      <c r="AE93" s="37">
        <v>0</v>
      </c>
      <c r="AF93" s="37">
        <v>0</v>
      </c>
      <c r="AG93" s="37">
        <v>7.0000000000000001E-3</v>
      </c>
      <c r="AH93" s="37">
        <v>0</v>
      </c>
      <c r="AI93" s="37">
        <v>0</v>
      </c>
      <c r="AJ93" s="39">
        <v>0</v>
      </c>
      <c r="AK93" s="37">
        <v>20012</v>
      </c>
      <c r="AL93" s="37">
        <v>3</v>
      </c>
      <c r="AM93" s="37">
        <v>24000</v>
      </c>
      <c r="AN93" s="37" t="s">
        <v>48</v>
      </c>
      <c r="AO93" s="37" t="s">
        <v>755</v>
      </c>
    </row>
    <row r="94" spans="1:41" ht="16.5">
      <c r="A94" s="37">
        <v>1714</v>
      </c>
      <c r="B94" s="37" t="s">
        <v>853</v>
      </c>
      <c r="C94" s="37" t="s">
        <v>168</v>
      </c>
      <c r="D94" s="37" t="s">
        <v>131</v>
      </c>
      <c r="E94" s="38">
        <v>11035</v>
      </c>
      <c r="F94" s="37">
        <v>10000</v>
      </c>
      <c r="G94" s="37">
        <v>300</v>
      </c>
      <c r="H94" s="37">
        <v>50</v>
      </c>
      <c r="I94" s="37" t="s">
        <v>720</v>
      </c>
      <c r="J94" s="37">
        <v>5</v>
      </c>
      <c r="K94" s="16">
        <v>16</v>
      </c>
      <c r="L94" s="37">
        <v>40</v>
      </c>
      <c r="M94" s="37">
        <v>7000</v>
      </c>
      <c r="N94" s="37">
        <v>0</v>
      </c>
      <c r="O94" s="37">
        <v>0</v>
      </c>
      <c r="P94" s="37">
        <v>0</v>
      </c>
      <c r="Q94" s="37">
        <v>0</v>
      </c>
      <c r="R94" s="37">
        <v>0</v>
      </c>
      <c r="S94" s="37">
        <v>0</v>
      </c>
      <c r="T94" s="37">
        <v>0</v>
      </c>
      <c r="U94" s="37">
        <v>350</v>
      </c>
      <c r="V94" s="37">
        <v>0</v>
      </c>
      <c r="W94" s="37">
        <v>0</v>
      </c>
      <c r="X94" s="37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1400</v>
      </c>
      <c r="AD94" s="37">
        <v>0</v>
      </c>
      <c r="AE94" s="37">
        <v>0</v>
      </c>
      <c r="AF94" s="37">
        <v>0</v>
      </c>
      <c r="AG94" s="37">
        <v>7.0000000000000001E-3</v>
      </c>
      <c r="AH94" s="37">
        <v>0</v>
      </c>
      <c r="AI94" s="37">
        <v>0</v>
      </c>
      <c r="AJ94" s="39">
        <v>0</v>
      </c>
      <c r="AK94" s="37">
        <v>20012</v>
      </c>
      <c r="AL94" s="37">
        <v>3</v>
      </c>
      <c r="AM94" s="37">
        <v>24000</v>
      </c>
      <c r="AN94" s="37" t="s">
        <v>48</v>
      </c>
      <c r="AO94" s="37" t="s">
        <v>755</v>
      </c>
    </row>
    <row r="95" spans="1:41" ht="16.5">
      <c r="A95" s="37">
        <v>2071</v>
      </c>
      <c r="B95" s="37" t="s">
        <v>854</v>
      </c>
      <c r="C95" s="37" t="s">
        <v>168</v>
      </c>
      <c r="D95" s="37" t="s">
        <v>131</v>
      </c>
      <c r="E95" s="38">
        <v>11035</v>
      </c>
      <c r="F95" s="37">
        <v>10000</v>
      </c>
      <c r="G95" s="37">
        <v>300</v>
      </c>
      <c r="H95" s="37">
        <v>50</v>
      </c>
      <c r="I95" s="37" t="s">
        <v>720</v>
      </c>
      <c r="J95" s="37">
        <v>5</v>
      </c>
      <c r="K95" s="16">
        <v>16</v>
      </c>
      <c r="L95" s="37">
        <v>40</v>
      </c>
      <c r="M95" s="37">
        <v>7000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350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1400</v>
      </c>
      <c r="AD95" s="37">
        <v>0</v>
      </c>
      <c r="AE95" s="37">
        <v>0</v>
      </c>
      <c r="AF95" s="37">
        <v>0</v>
      </c>
      <c r="AG95" s="37">
        <v>7.0000000000000001E-3</v>
      </c>
      <c r="AH95" s="37">
        <v>0</v>
      </c>
      <c r="AI95" s="37">
        <v>0</v>
      </c>
      <c r="AJ95" s="39">
        <v>0</v>
      </c>
      <c r="AK95" s="37">
        <v>20012</v>
      </c>
      <c r="AL95" s="37">
        <v>3</v>
      </c>
      <c r="AM95" s="37">
        <v>24000</v>
      </c>
      <c r="AN95" s="37" t="s">
        <v>48</v>
      </c>
      <c r="AO95" s="37" t="s">
        <v>755</v>
      </c>
    </row>
    <row r="96" spans="1:41" ht="16.5">
      <c r="A96" s="37">
        <v>20711</v>
      </c>
      <c r="B96" s="37" t="s">
        <v>855</v>
      </c>
      <c r="C96" s="37" t="s">
        <v>168</v>
      </c>
      <c r="D96" s="37" t="s">
        <v>131</v>
      </c>
      <c r="E96" s="38">
        <v>11035</v>
      </c>
      <c r="F96" s="37">
        <v>10000</v>
      </c>
      <c r="G96" s="37">
        <v>300</v>
      </c>
      <c r="H96" s="37">
        <v>50</v>
      </c>
      <c r="I96" s="37" t="s">
        <v>720</v>
      </c>
      <c r="J96" s="37">
        <v>5</v>
      </c>
      <c r="K96" s="16">
        <v>16</v>
      </c>
      <c r="L96" s="37">
        <v>40</v>
      </c>
      <c r="M96" s="37">
        <v>7000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350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1400</v>
      </c>
      <c r="AD96" s="37">
        <v>0</v>
      </c>
      <c r="AE96" s="37">
        <v>0</v>
      </c>
      <c r="AF96" s="37">
        <v>0</v>
      </c>
      <c r="AG96" s="37">
        <v>7.0000000000000001E-3</v>
      </c>
      <c r="AH96" s="37">
        <v>0</v>
      </c>
      <c r="AI96" s="37">
        <v>0</v>
      </c>
      <c r="AJ96" s="39">
        <v>0</v>
      </c>
      <c r="AK96" s="37">
        <v>20012</v>
      </c>
      <c r="AL96" s="37">
        <v>3</v>
      </c>
      <c r="AM96" s="37">
        <v>24000</v>
      </c>
      <c r="AN96" s="37" t="s">
        <v>48</v>
      </c>
      <c r="AO96" s="37" t="s">
        <v>755</v>
      </c>
    </row>
    <row r="97" spans="1:41" ht="16.5">
      <c r="A97" s="37">
        <v>20712</v>
      </c>
      <c r="B97" s="37" t="s">
        <v>856</v>
      </c>
      <c r="C97" s="37" t="s">
        <v>168</v>
      </c>
      <c r="D97" s="37" t="s">
        <v>131</v>
      </c>
      <c r="E97" s="38">
        <v>11035</v>
      </c>
      <c r="F97" s="37">
        <v>10000</v>
      </c>
      <c r="G97" s="37">
        <v>300</v>
      </c>
      <c r="H97" s="37">
        <v>50</v>
      </c>
      <c r="I97" s="37" t="s">
        <v>720</v>
      </c>
      <c r="J97" s="37">
        <v>5</v>
      </c>
      <c r="K97" s="16">
        <v>16</v>
      </c>
      <c r="L97" s="37">
        <v>40</v>
      </c>
      <c r="M97" s="37">
        <v>7000</v>
      </c>
      <c r="N97" s="37">
        <v>0</v>
      </c>
      <c r="O97" s="37">
        <v>0</v>
      </c>
      <c r="P97" s="37">
        <v>0</v>
      </c>
      <c r="Q97" s="37">
        <v>0</v>
      </c>
      <c r="R97" s="37">
        <v>0</v>
      </c>
      <c r="S97" s="37">
        <v>0</v>
      </c>
      <c r="T97" s="37">
        <v>0</v>
      </c>
      <c r="U97" s="37">
        <v>350</v>
      </c>
      <c r="V97" s="37">
        <v>0</v>
      </c>
      <c r="W97" s="37">
        <v>0</v>
      </c>
      <c r="X97" s="37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1400</v>
      </c>
      <c r="AD97" s="37">
        <v>0</v>
      </c>
      <c r="AE97" s="37">
        <v>0</v>
      </c>
      <c r="AF97" s="37">
        <v>0</v>
      </c>
      <c r="AG97" s="37">
        <v>7.0000000000000001E-3</v>
      </c>
      <c r="AH97" s="37">
        <v>0</v>
      </c>
      <c r="AI97" s="37">
        <v>0</v>
      </c>
      <c r="AJ97" s="39">
        <v>0</v>
      </c>
      <c r="AK97" s="37">
        <v>20012</v>
      </c>
      <c r="AL97" s="37">
        <v>3</v>
      </c>
      <c r="AM97" s="37">
        <v>24000</v>
      </c>
      <c r="AN97" s="37" t="s">
        <v>48</v>
      </c>
      <c r="AO97" s="37" t="s">
        <v>755</v>
      </c>
    </row>
    <row r="98" spans="1:41" ht="16.5">
      <c r="A98" s="37">
        <v>20713</v>
      </c>
      <c r="B98" s="37" t="s">
        <v>857</v>
      </c>
      <c r="C98" s="37" t="s">
        <v>168</v>
      </c>
      <c r="D98" s="37" t="s">
        <v>131</v>
      </c>
      <c r="E98" s="38">
        <v>11035</v>
      </c>
      <c r="F98" s="37">
        <v>10000</v>
      </c>
      <c r="G98" s="37">
        <v>300</v>
      </c>
      <c r="H98" s="37">
        <v>50</v>
      </c>
      <c r="I98" s="37" t="s">
        <v>720</v>
      </c>
      <c r="J98" s="37">
        <v>5</v>
      </c>
      <c r="K98" s="16">
        <v>16</v>
      </c>
      <c r="L98" s="37">
        <v>40</v>
      </c>
      <c r="M98" s="37">
        <v>7000</v>
      </c>
      <c r="N98" s="37">
        <v>0</v>
      </c>
      <c r="O98" s="37">
        <v>0</v>
      </c>
      <c r="P98" s="37">
        <v>0</v>
      </c>
      <c r="Q98" s="37">
        <v>0</v>
      </c>
      <c r="R98" s="37">
        <v>0</v>
      </c>
      <c r="S98" s="37">
        <v>0</v>
      </c>
      <c r="T98" s="37">
        <v>0</v>
      </c>
      <c r="U98" s="37">
        <v>350</v>
      </c>
      <c r="V98" s="37">
        <v>0</v>
      </c>
      <c r="W98" s="37">
        <v>0</v>
      </c>
      <c r="X98" s="37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1400</v>
      </c>
      <c r="AD98" s="37">
        <v>0</v>
      </c>
      <c r="AE98" s="37">
        <v>0</v>
      </c>
      <c r="AF98" s="37">
        <v>0</v>
      </c>
      <c r="AG98" s="37">
        <v>7.0000000000000001E-3</v>
      </c>
      <c r="AH98" s="37">
        <v>0</v>
      </c>
      <c r="AI98" s="37">
        <v>0</v>
      </c>
      <c r="AJ98" s="39">
        <v>0</v>
      </c>
      <c r="AK98" s="37">
        <v>20012</v>
      </c>
      <c r="AL98" s="37">
        <v>3</v>
      </c>
      <c r="AM98" s="37">
        <v>24000</v>
      </c>
      <c r="AN98" s="37" t="s">
        <v>48</v>
      </c>
      <c r="AO98" s="37" t="s">
        <v>755</v>
      </c>
    </row>
    <row r="99" spans="1:41" ht="16.5">
      <c r="A99" s="37">
        <v>20714</v>
      </c>
      <c r="B99" s="37" t="s">
        <v>858</v>
      </c>
      <c r="C99" s="37" t="s">
        <v>168</v>
      </c>
      <c r="D99" s="37" t="s">
        <v>131</v>
      </c>
      <c r="E99" s="38">
        <v>11035</v>
      </c>
      <c r="F99" s="37">
        <v>10000</v>
      </c>
      <c r="G99" s="37">
        <v>300</v>
      </c>
      <c r="H99" s="37">
        <v>50</v>
      </c>
      <c r="I99" s="37" t="s">
        <v>720</v>
      </c>
      <c r="J99" s="37">
        <v>5</v>
      </c>
      <c r="K99" s="16">
        <v>16</v>
      </c>
      <c r="L99" s="37">
        <v>40</v>
      </c>
      <c r="M99" s="37">
        <v>7000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350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1400</v>
      </c>
      <c r="AD99" s="37">
        <v>0</v>
      </c>
      <c r="AE99" s="37">
        <v>0</v>
      </c>
      <c r="AF99" s="37">
        <v>0</v>
      </c>
      <c r="AG99" s="37">
        <v>7.0000000000000001E-3</v>
      </c>
      <c r="AH99" s="37">
        <v>0</v>
      </c>
      <c r="AI99" s="37">
        <v>0</v>
      </c>
      <c r="AJ99" s="39">
        <v>0</v>
      </c>
      <c r="AK99" s="37">
        <v>20012</v>
      </c>
      <c r="AL99" s="37">
        <v>3</v>
      </c>
      <c r="AM99" s="37">
        <v>24000</v>
      </c>
      <c r="AN99" s="37" t="s">
        <v>48</v>
      </c>
      <c r="AO99" s="37" t="s">
        <v>755</v>
      </c>
    </row>
    <row r="100" spans="1:41" ht="16.5">
      <c r="A100" s="37">
        <v>20715</v>
      </c>
      <c r="B100" s="37" t="s">
        <v>859</v>
      </c>
      <c r="C100" s="37" t="s">
        <v>168</v>
      </c>
      <c r="D100" s="37" t="s">
        <v>131</v>
      </c>
      <c r="E100" s="38">
        <v>11035</v>
      </c>
      <c r="F100" s="37">
        <v>10000</v>
      </c>
      <c r="G100" s="37">
        <v>300</v>
      </c>
      <c r="H100" s="37">
        <v>50</v>
      </c>
      <c r="I100" s="37" t="s">
        <v>720</v>
      </c>
      <c r="J100" s="37">
        <v>5</v>
      </c>
      <c r="K100" s="16">
        <v>16</v>
      </c>
      <c r="L100" s="37">
        <v>40</v>
      </c>
      <c r="M100" s="37">
        <v>7000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350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1400</v>
      </c>
      <c r="AD100" s="37">
        <v>0</v>
      </c>
      <c r="AE100" s="37">
        <v>0</v>
      </c>
      <c r="AF100" s="37">
        <v>0</v>
      </c>
      <c r="AG100" s="37">
        <v>7.0000000000000001E-3</v>
      </c>
      <c r="AH100" s="37">
        <v>0</v>
      </c>
      <c r="AI100" s="37">
        <v>0</v>
      </c>
      <c r="AJ100" s="39">
        <v>0</v>
      </c>
      <c r="AK100" s="37">
        <v>20012</v>
      </c>
      <c r="AL100" s="37">
        <v>3</v>
      </c>
      <c r="AM100" s="37">
        <v>24000</v>
      </c>
      <c r="AN100" s="37" t="s">
        <v>48</v>
      </c>
      <c r="AO100" s="37" t="s">
        <v>755</v>
      </c>
    </row>
    <row r="101" spans="1:41" ht="16.5">
      <c r="A101" s="37">
        <v>20716</v>
      </c>
      <c r="B101" s="37" t="s">
        <v>860</v>
      </c>
      <c r="C101" s="37" t="s">
        <v>168</v>
      </c>
      <c r="D101" s="37" t="s">
        <v>131</v>
      </c>
      <c r="E101" s="38">
        <v>11035</v>
      </c>
      <c r="F101" s="37">
        <v>10000</v>
      </c>
      <c r="G101" s="37">
        <v>300</v>
      </c>
      <c r="H101" s="37">
        <v>50</v>
      </c>
      <c r="I101" s="37" t="s">
        <v>720</v>
      </c>
      <c r="J101" s="37">
        <v>5</v>
      </c>
      <c r="K101" s="16">
        <v>16</v>
      </c>
      <c r="L101" s="37">
        <v>40</v>
      </c>
      <c r="M101" s="37">
        <v>7000</v>
      </c>
      <c r="N101" s="37">
        <v>0</v>
      </c>
      <c r="O101" s="37">
        <v>0</v>
      </c>
      <c r="P101" s="37">
        <v>0</v>
      </c>
      <c r="Q101" s="37">
        <v>0</v>
      </c>
      <c r="R101" s="37">
        <v>0</v>
      </c>
      <c r="S101" s="37">
        <v>0</v>
      </c>
      <c r="T101" s="37">
        <v>0</v>
      </c>
      <c r="U101" s="37">
        <v>350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1400</v>
      </c>
      <c r="AD101" s="37">
        <v>0</v>
      </c>
      <c r="AE101" s="37">
        <v>0</v>
      </c>
      <c r="AF101" s="37">
        <v>0</v>
      </c>
      <c r="AG101" s="37">
        <v>7.0000000000000001E-3</v>
      </c>
      <c r="AH101" s="37">
        <v>0</v>
      </c>
      <c r="AI101" s="37">
        <v>0</v>
      </c>
      <c r="AJ101" s="39">
        <v>0</v>
      </c>
      <c r="AK101" s="37">
        <v>20012</v>
      </c>
      <c r="AL101" s="37">
        <v>3</v>
      </c>
      <c r="AM101" s="37">
        <v>24000</v>
      </c>
      <c r="AN101" s="37" t="s">
        <v>48</v>
      </c>
      <c r="AO101" s="37" t="s">
        <v>755</v>
      </c>
    </row>
    <row r="102" spans="1:41" ht="16.5">
      <c r="A102" s="37">
        <v>20717</v>
      </c>
      <c r="B102" s="37" t="s">
        <v>861</v>
      </c>
      <c r="C102" s="37" t="s">
        <v>168</v>
      </c>
      <c r="D102" s="37" t="s">
        <v>131</v>
      </c>
      <c r="E102" s="38">
        <v>11035</v>
      </c>
      <c r="F102" s="37">
        <v>10000</v>
      </c>
      <c r="G102" s="37">
        <v>300</v>
      </c>
      <c r="H102" s="37">
        <v>50</v>
      </c>
      <c r="I102" s="37" t="s">
        <v>720</v>
      </c>
      <c r="J102" s="37">
        <v>5</v>
      </c>
      <c r="K102" s="16">
        <v>16</v>
      </c>
      <c r="L102" s="37">
        <v>40</v>
      </c>
      <c r="M102" s="37">
        <v>7000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350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1400</v>
      </c>
      <c r="AD102" s="37">
        <v>0</v>
      </c>
      <c r="AE102" s="37">
        <v>0</v>
      </c>
      <c r="AF102" s="37">
        <v>0</v>
      </c>
      <c r="AG102" s="37">
        <v>7.0000000000000001E-3</v>
      </c>
      <c r="AH102" s="37">
        <v>0</v>
      </c>
      <c r="AI102" s="37">
        <v>0</v>
      </c>
      <c r="AJ102" s="39">
        <v>0</v>
      </c>
      <c r="AK102" s="37">
        <v>20012</v>
      </c>
      <c r="AL102" s="37">
        <v>3</v>
      </c>
      <c r="AM102" s="37">
        <v>24000</v>
      </c>
      <c r="AN102" s="37" t="s">
        <v>48</v>
      </c>
      <c r="AO102" s="37" t="s">
        <v>755</v>
      </c>
    </row>
    <row r="103" spans="1:41" ht="16.5">
      <c r="A103" s="37">
        <v>20718</v>
      </c>
      <c r="B103" s="37" t="s">
        <v>862</v>
      </c>
      <c r="C103" s="37" t="s">
        <v>168</v>
      </c>
      <c r="D103" s="37" t="s">
        <v>131</v>
      </c>
      <c r="E103" s="38">
        <v>11035</v>
      </c>
      <c r="F103" s="37">
        <v>10000</v>
      </c>
      <c r="G103" s="37">
        <v>300</v>
      </c>
      <c r="H103" s="37">
        <v>50</v>
      </c>
      <c r="I103" s="37" t="s">
        <v>720</v>
      </c>
      <c r="J103" s="37">
        <v>5</v>
      </c>
      <c r="K103" s="16">
        <v>16</v>
      </c>
      <c r="L103" s="37">
        <v>40</v>
      </c>
      <c r="M103" s="37">
        <v>7000</v>
      </c>
      <c r="N103" s="37">
        <v>0</v>
      </c>
      <c r="O103" s="37">
        <v>0</v>
      </c>
      <c r="P103" s="37">
        <v>0</v>
      </c>
      <c r="Q103" s="37">
        <v>0</v>
      </c>
      <c r="R103" s="37">
        <v>0</v>
      </c>
      <c r="S103" s="37">
        <v>0</v>
      </c>
      <c r="T103" s="37">
        <v>0</v>
      </c>
      <c r="U103" s="37">
        <v>350</v>
      </c>
      <c r="V103" s="37">
        <v>0</v>
      </c>
      <c r="W103" s="37">
        <v>0</v>
      </c>
      <c r="X103" s="37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1400</v>
      </c>
      <c r="AD103" s="37">
        <v>0</v>
      </c>
      <c r="AE103" s="37">
        <v>0</v>
      </c>
      <c r="AF103" s="37">
        <v>0</v>
      </c>
      <c r="AG103" s="37">
        <v>7.0000000000000001E-3</v>
      </c>
      <c r="AH103" s="37">
        <v>0</v>
      </c>
      <c r="AI103" s="37">
        <v>0</v>
      </c>
      <c r="AJ103" s="39">
        <v>0</v>
      </c>
      <c r="AK103" s="37">
        <v>20012</v>
      </c>
      <c r="AL103" s="37">
        <v>3</v>
      </c>
      <c r="AM103" s="37">
        <v>24000</v>
      </c>
      <c r="AN103" s="37" t="s">
        <v>48</v>
      </c>
      <c r="AO103" s="37" t="s">
        <v>755</v>
      </c>
    </row>
    <row r="104" spans="1:41" ht="16.5">
      <c r="A104" s="37">
        <v>20719</v>
      </c>
      <c r="B104" s="37" t="s">
        <v>863</v>
      </c>
      <c r="C104" s="37" t="s">
        <v>168</v>
      </c>
      <c r="D104" s="37" t="s">
        <v>131</v>
      </c>
      <c r="E104" s="38">
        <v>11035</v>
      </c>
      <c r="F104" s="37">
        <v>10000</v>
      </c>
      <c r="G104" s="37">
        <v>300</v>
      </c>
      <c r="H104" s="37">
        <v>50</v>
      </c>
      <c r="I104" s="37" t="s">
        <v>720</v>
      </c>
      <c r="J104" s="37">
        <v>5</v>
      </c>
      <c r="K104" s="16">
        <v>16</v>
      </c>
      <c r="L104" s="37">
        <v>40</v>
      </c>
      <c r="M104" s="37">
        <v>7000</v>
      </c>
      <c r="N104" s="37">
        <v>0</v>
      </c>
      <c r="O104" s="37">
        <v>0</v>
      </c>
      <c r="P104" s="37">
        <v>0</v>
      </c>
      <c r="Q104" s="37">
        <v>0</v>
      </c>
      <c r="R104" s="37">
        <v>0</v>
      </c>
      <c r="S104" s="37">
        <v>0</v>
      </c>
      <c r="T104" s="37">
        <v>0</v>
      </c>
      <c r="U104" s="37">
        <v>350</v>
      </c>
      <c r="V104" s="37">
        <v>0</v>
      </c>
      <c r="W104" s="37">
        <v>0</v>
      </c>
      <c r="X104" s="37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1400</v>
      </c>
      <c r="AD104" s="37">
        <v>0</v>
      </c>
      <c r="AE104" s="37">
        <v>0</v>
      </c>
      <c r="AF104" s="37">
        <v>0</v>
      </c>
      <c r="AG104" s="37">
        <v>7.0000000000000001E-3</v>
      </c>
      <c r="AH104" s="37">
        <v>0</v>
      </c>
      <c r="AI104" s="37">
        <v>0</v>
      </c>
      <c r="AJ104" s="39">
        <v>0</v>
      </c>
      <c r="AK104" s="37">
        <v>20012</v>
      </c>
      <c r="AL104" s="37">
        <v>3</v>
      </c>
      <c r="AM104" s="37">
        <v>24000</v>
      </c>
      <c r="AN104" s="37" t="s">
        <v>48</v>
      </c>
      <c r="AO104" s="37" t="s">
        <v>755</v>
      </c>
    </row>
    <row r="105" spans="1:41" ht="16.5">
      <c r="A105" s="37">
        <v>20720</v>
      </c>
      <c r="B105" s="37" t="s">
        <v>864</v>
      </c>
      <c r="C105" s="37" t="s">
        <v>168</v>
      </c>
      <c r="D105" s="37" t="s">
        <v>131</v>
      </c>
      <c r="E105" s="38">
        <v>11035</v>
      </c>
      <c r="F105" s="37">
        <v>10000</v>
      </c>
      <c r="G105" s="37">
        <v>300</v>
      </c>
      <c r="H105" s="37">
        <v>50</v>
      </c>
      <c r="I105" s="37" t="s">
        <v>720</v>
      </c>
      <c r="J105" s="37">
        <v>5</v>
      </c>
      <c r="K105" s="16">
        <v>16</v>
      </c>
      <c r="L105" s="37">
        <v>40</v>
      </c>
      <c r="M105" s="37">
        <v>7000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350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1400</v>
      </c>
      <c r="AD105" s="37">
        <v>0</v>
      </c>
      <c r="AE105" s="37">
        <v>0</v>
      </c>
      <c r="AF105" s="37">
        <v>0</v>
      </c>
      <c r="AG105" s="37">
        <v>7.0000000000000001E-3</v>
      </c>
      <c r="AH105" s="37">
        <v>0</v>
      </c>
      <c r="AI105" s="37">
        <v>0</v>
      </c>
      <c r="AJ105" s="39">
        <v>0</v>
      </c>
      <c r="AK105" s="37">
        <v>20012</v>
      </c>
      <c r="AL105" s="37">
        <v>3</v>
      </c>
      <c r="AM105" s="37">
        <v>24000</v>
      </c>
      <c r="AN105" s="37" t="s">
        <v>48</v>
      </c>
      <c r="AO105" s="37" t="s">
        <v>755</v>
      </c>
    </row>
    <row r="106" spans="1:41" ht="16.5">
      <c r="A106" s="37">
        <v>1721</v>
      </c>
      <c r="B106" s="37" t="s">
        <v>865</v>
      </c>
      <c r="C106" s="37" t="s">
        <v>168</v>
      </c>
      <c r="D106" s="37" t="s">
        <v>133</v>
      </c>
      <c r="E106" s="38">
        <v>11036</v>
      </c>
      <c r="F106" s="37">
        <v>10000</v>
      </c>
      <c r="G106" s="37">
        <v>300</v>
      </c>
      <c r="H106" s="37">
        <v>50</v>
      </c>
      <c r="I106" s="37" t="s">
        <v>159</v>
      </c>
      <c r="J106" s="37">
        <v>5</v>
      </c>
      <c r="K106" s="16">
        <v>16</v>
      </c>
      <c r="L106" s="37">
        <v>40</v>
      </c>
      <c r="M106" s="37">
        <v>0</v>
      </c>
      <c r="N106" s="37">
        <v>0</v>
      </c>
      <c r="O106" s="37">
        <v>0</v>
      </c>
      <c r="P106" s="37">
        <v>140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7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28</v>
      </c>
      <c r="AG106" s="37">
        <v>0</v>
      </c>
      <c r="AH106" s="37">
        <v>7.0000000000000001E-3</v>
      </c>
      <c r="AI106" s="37">
        <v>0</v>
      </c>
      <c r="AJ106" s="37">
        <v>0</v>
      </c>
      <c r="AK106" s="37">
        <v>20012</v>
      </c>
      <c r="AL106" s="37">
        <v>4</v>
      </c>
      <c r="AM106" s="37">
        <v>24000</v>
      </c>
      <c r="AN106" s="37" t="s">
        <v>48</v>
      </c>
      <c r="AO106" s="37" t="s">
        <v>756</v>
      </c>
    </row>
    <row r="107" spans="1:41" ht="16.5">
      <c r="A107" s="37">
        <v>1722</v>
      </c>
      <c r="B107" s="37" t="s">
        <v>866</v>
      </c>
      <c r="C107" s="37" t="s">
        <v>168</v>
      </c>
      <c r="D107" s="37" t="s">
        <v>133</v>
      </c>
      <c r="E107" s="38">
        <v>11036</v>
      </c>
      <c r="F107" s="37">
        <v>10000</v>
      </c>
      <c r="G107" s="37">
        <v>300</v>
      </c>
      <c r="H107" s="37">
        <v>50</v>
      </c>
      <c r="I107" s="37" t="s">
        <v>159</v>
      </c>
      <c r="J107" s="37">
        <v>5</v>
      </c>
      <c r="K107" s="16">
        <v>16</v>
      </c>
      <c r="L107" s="37">
        <v>40</v>
      </c>
      <c r="M107" s="37">
        <v>0</v>
      </c>
      <c r="N107" s="37">
        <v>0</v>
      </c>
      <c r="O107" s="37">
        <v>0</v>
      </c>
      <c r="P107" s="37">
        <v>140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7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28</v>
      </c>
      <c r="AG107" s="37">
        <v>0</v>
      </c>
      <c r="AH107" s="37">
        <v>7.0000000000000001E-3</v>
      </c>
      <c r="AI107" s="37">
        <v>0</v>
      </c>
      <c r="AJ107" s="37">
        <v>0</v>
      </c>
      <c r="AK107" s="37">
        <v>20012</v>
      </c>
      <c r="AL107" s="37">
        <v>4</v>
      </c>
      <c r="AM107" s="37">
        <v>24000</v>
      </c>
      <c r="AN107" s="37" t="s">
        <v>48</v>
      </c>
      <c r="AO107" s="37" t="s">
        <v>756</v>
      </c>
    </row>
    <row r="108" spans="1:41" ht="16.5">
      <c r="A108" s="37">
        <v>1723</v>
      </c>
      <c r="B108" s="37" t="s">
        <v>867</v>
      </c>
      <c r="C108" s="37" t="s">
        <v>168</v>
      </c>
      <c r="D108" s="37" t="s">
        <v>133</v>
      </c>
      <c r="E108" s="38">
        <v>11036</v>
      </c>
      <c r="F108" s="37">
        <v>10000</v>
      </c>
      <c r="G108" s="37">
        <v>300</v>
      </c>
      <c r="H108" s="37">
        <v>50</v>
      </c>
      <c r="I108" s="37" t="s">
        <v>159</v>
      </c>
      <c r="J108" s="37">
        <v>5</v>
      </c>
      <c r="K108" s="16">
        <v>16</v>
      </c>
      <c r="L108" s="37">
        <v>40</v>
      </c>
      <c r="M108" s="37">
        <v>0</v>
      </c>
      <c r="N108" s="37">
        <v>0</v>
      </c>
      <c r="O108" s="37">
        <v>0</v>
      </c>
      <c r="P108" s="37">
        <v>140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7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28</v>
      </c>
      <c r="AG108" s="37">
        <v>0</v>
      </c>
      <c r="AH108" s="37">
        <v>7.0000000000000001E-3</v>
      </c>
      <c r="AI108" s="37">
        <v>0</v>
      </c>
      <c r="AJ108" s="37">
        <v>0</v>
      </c>
      <c r="AK108" s="37">
        <v>20012</v>
      </c>
      <c r="AL108" s="37">
        <v>4</v>
      </c>
      <c r="AM108" s="37">
        <v>24000</v>
      </c>
      <c r="AN108" s="37" t="s">
        <v>48</v>
      </c>
      <c r="AO108" s="37" t="s">
        <v>756</v>
      </c>
    </row>
    <row r="109" spans="1:41" ht="16.5">
      <c r="A109" s="37">
        <v>1724</v>
      </c>
      <c r="B109" s="37" t="s">
        <v>868</v>
      </c>
      <c r="C109" s="37" t="s">
        <v>168</v>
      </c>
      <c r="D109" s="37" t="s">
        <v>133</v>
      </c>
      <c r="E109" s="38">
        <v>11036</v>
      </c>
      <c r="F109" s="37">
        <v>10000</v>
      </c>
      <c r="G109" s="37">
        <v>300</v>
      </c>
      <c r="H109" s="37">
        <v>50</v>
      </c>
      <c r="I109" s="37" t="s">
        <v>159</v>
      </c>
      <c r="J109" s="37">
        <v>5</v>
      </c>
      <c r="K109" s="16">
        <v>16</v>
      </c>
      <c r="L109" s="37">
        <v>40</v>
      </c>
      <c r="M109" s="37">
        <v>0</v>
      </c>
      <c r="N109" s="37">
        <v>0</v>
      </c>
      <c r="O109" s="37">
        <v>0</v>
      </c>
      <c r="P109" s="37">
        <v>140</v>
      </c>
      <c r="Q109" s="37">
        <v>0</v>
      </c>
      <c r="R109" s="37">
        <v>0</v>
      </c>
      <c r="S109" s="37">
        <v>0</v>
      </c>
      <c r="T109" s="37">
        <v>0</v>
      </c>
      <c r="U109" s="37">
        <v>0</v>
      </c>
      <c r="V109" s="37">
        <v>0</v>
      </c>
      <c r="W109" s="37">
        <v>0</v>
      </c>
      <c r="X109" s="37">
        <v>7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28</v>
      </c>
      <c r="AG109" s="37">
        <v>0</v>
      </c>
      <c r="AH109" s="37">
        <v>7.0000000000000001E-3</v>
      </c>
      <c r="AI109" s="37">
        <v>0</v>
      </c>
      <c r="AJ109" s="37">
        <v>0</v>
      </c>
      <c r="AK109" s="37">
        <v>20012</v>
      </c>
      <c r="AL109" s="37">
        <v>4</v>
      </c>
      <c r="AM109" s="37">
        <v>24000</v>
      </c>
      <c r="AN109" s="37" t="s">
        <v>48</v>
      </c>
      <c r="AO109" s="37" t="s">
        <v>756</v>
      </c>
    </row>
    <row r="110" spans="1:41" ht="16.5">
      <c r="A110" s="37">
        <v>2072</v>
      </c>
      <c r="B110" s="37" t="s">
        <v>869</v>
      </c>
      <c r="C110" s="37" t="s">
        <v>168</v>
      </c>
      <c r="D110" s="37" t="s">
        <v>133</v>
      </c>
      <c r="E110" s="38">
        <v>11036</v>
      </c>
      <c r="F110" s="37">
        <v>10000</v>
      </c>
      <c r="G110" s="37">
        <v>300</v>
      </c>
      <c r="H110" s="37">
        <v>50</v>
      </c>
      <c r="I110" s="37" t="s">
        <v>159</v>
      </c>
      <c r="J110" s="37">
        <v>5</v>
      </c>
      <c r="K110" s="16">
        <v>16</v>
      </c>
      <c r="L110" s="37">
        <v>40</v>
      </c>
      <c r="M110" s="37">
        <v>0</v>
      </c>
      <c r="N110" s="37">
        <v>0</v>
      </c>
      <c r="O110" s="37">
        <v>0</v>
      </c>
      <c r="P110" s="37">
        <v>140</v>
      </c>
      <c r="Q110" s="37">
        <v>0</v>
      </c>
      <c r="R110" s="37">
        <v>0</v>
      </c>
      <c r="S110" s="37">
        <v>0</v>
      </c>
      <c r="T110" s="37">
        <v>0</v>
      </c>
      <c r="U110" s="37">
        <v>0</v>
      </c>
      <c r="V110" s="37">
        <v>0</v>
      </c>
      <c r="W110" s="37">
        <v>0</v>
      </c>
      <c r="X110" s="37">
        <v>7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28</v>
      </c>
      <c r="AG110" s="37">
        <v>0</v>
      </c>
      <c r="AH110" s="37">
        <v>7.0000000000000001E-3</v>
      </c>
      <c r="AI110" s="37">
        <v>0</v>
      </c>
      <c r="AJ110" s="37">
        <v>0</v>
      </c>
      <c r="AK110" s="37">
        <v>20012</v>
      </c>
      <c r="AL110" s="37">
        <v>4</v>
      </c>
      <c r="AM110" s="37">
        <v>24000</v>
      </c>
      <c r="AN110" s="37" t="s">
        <v>48</v>
      </c>
      <c r="AO110" s="37" t="s">
        <v>756</v>
      </c>
    </row>
    <row r="111" spans="1:41" ht="16.5">
      <c r="A111" s="37">
        <v>20721</v>
      </c>
      <c r="B111" s="37" t="s">
        <v>870</v>
      </c>
      <c r="C111" s="37" t="s">
        <v>168</v>
      </c>
      <c r="D111" s="37" t="s">
        <v>133</v>
      </c>
      <c r="E111" s="38">
        <v>11036</v>
      </c>
      <c r="F111" s="37">
        <v>10000</v>
      </c>
      <c r="G111" s="37">
        <v>300</v>
      </c>
      <c r="H111" s="37">
        <v>50</v>
      </c>
      <c r="I111" s="37" t="s">
        <v>159</v>
      </c>
      <c r="J111" s="37">
        <v>5</v>
      </c>
      <c r="K111" s="16">
        <v>16</v>
      </c>
      <c r="L111" s="37">
        <v>40</v>
      </c>
      <c r="M111" s="37">
        <v>0</v>
      </c>
      <c r="N111" s="37">
        <v>0</v>
      </c>
      <c r="O111" s="37">
        <v>0</v>
      </c>
      <c r="P111" s="37">
        <v>140</v>
      </c>
      <c r="Q111" s="37">
        <v>0</v>
      </c>
      <c r="R111" s="37">
        <v>0</v>
      </c>
      <c r="S111" s="37">
        <v>0</v>
      </c>
      <c r="T111" s="37">
        <v>0</v>
      </c>
      <c r="U111" s="37">
        <v>0</v>
      </c>
      <c r="V111" s="37">
        <v>0</v>
      </c>
      <c r="W111" s="37">
        <v>0</v>
      </c>
      <c r="X111" s="37">
        <v>7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28</v>
      </c>
      <c r="AG111" s="37">
        <v>0</v>
      </c>
      <c r="AH111" s="37">
        <v>7.0000000000000001E-3</v>
      </c>
      <c r="AI111" s="37">
        <v>0</v>
      </c>
      <c r="AJ111" s="37">
        <v>0</v>
      </c>
      <c r="AK111" s="37">
        <v>20012</v>
      </c>
      <c r="AL111" s="37">
        <v>4</v>
      </c>
      <c r="AM111" s="37">
        <v>24000</v>
      </c>
      <c r="AN111" s="37" t="s">
        <v>48</v>
      </c>
      <c r="AO111" s="37" t="s">
        <v>756</v>
      </c>
    </row>
    <row r="112" spans="1:41" ht="16.5">
      <c r="A112" s="37">
        <v>20722</v>
      </c>
      <c r="B112" s="37" t="s">
        <v>871</v>
      </c>
      <c r="C112" s="37" t="s">
        <v>168</v>
      </c>
      <c r="D112" s="37" t="s">
        <v>133</v>
      </c>
      <c r="E112" s="38">
        <v>11036</v>
      </c>
      <c r="F112" s="37">
        <v>10000</v>
      </c>
      <c r="G112" s="37">
        <v>300</v>
      </c>
      <c r="H112" s="37">
        <v>50</v>
      </c>
      <c r="I112" s="37" t="s">
        <v>159</v>
      </c>
      <c r="J112" s="37">
        <v>5</v>
      </c>
      <c r="K112" s="16">
        <v>16</v>
      </c>
      <c r="L112" s="37">
        <v>40</v>
      </c>
      <c r="M112" s="37">
        <v>0</v>
      </c>
      <c r="N112" s="37">
        <v>0</v>
      </c>
      <c r="O112" s="37">
        <v>0</v>
      </c>
      <c r="P112" s="37">
        <v>140</v>
      </c>
      <c r="Q112" s="37">
        <v>0</v>
      </c>
      <c r="R112" s="37">
        <v>0</v>
      </c>
      <c r="S112" s="37">
        <v>0</v>
      </c>
      <c r="T112" s="37">
        <v>0</v>
      </c>
      <c r="U112" s="37">
        <v>0</v>
      </c>
      <c r="V112" s="37">
        <v>0</v>
      </c>
      <c r="W112" s="37">
        <v>0</v>
      </c>
      <c r="X112" s="37">
        <v>7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28</v>
      </c>
      <c r="AG112" s="37">
        <v>0</v>
      </c>
      <c r="AH112" s="37">
        <v>7.0000000000000001E-3</v>
      </c>
      <c r="AI112" s="37">
        <v>0</v>
      </c>
      <c r="AJ112" s="37">
        <v>0</v>
      </c>
      <c r="AK112" s="37">
        <v>20012</v>
      </c>
      <c r="AL112" s="37">
        <v>4</v>
      </c>
      <c r="AM112" s="37">
        <v>24000</v>
      </c>
      <c r="AN112" s="37" t="s">
        <v>48</v>
      </c>
      <c r="AO112" s="37" t="s">
        <v>756</v>
      </c>
    </row>
    <row r="113" spans="1:41" ht="16.5">
      <c r="A113" s="37">
        <v>20723</v>
      </c>
      <c r="B113" s="37" t="s">
        <v>872</v>
      </c>
      <c r="C113" s="37" t="s">
        <v>168</v>
      </c>
      <c r="D113" s="37" t="s">
        <v>133</v>
      </c>
      <c r="E113" s="38">
        <v>11036</v>
      </c>
      <c r="F113" s="37">
        <v>10000</v>
      </c>
      <c r="G113" s="37">
        <v>300</v>
      </c>
      <c r="H113" s="37">
        <v>50</v>
      </c>
      <c r="I113" s="37" t="s">
        <v>159</v>
      </c>
      <c r="J113" s="37">
        <v>5</v>
      </c>
      <c r="K113" s="16">
        <v>16</v>
      </c>
      <c r="L113" s="37">
        <v>40</v>
      </c>
      <c r="M113" s="37">
        <v>0</v>
      </c>
      <c r="N113" s="37">
        <v>0</v>
      </c>
      <c r="O113" s="37">
        <v>0</v>
      </c>
      <c r="P113" s="37">
        <v>140</v>
      </c>
      <c r="Q113" s="37">
        <v>0</v>
      </c>
      <c r="R113" s="37">
        <v>0</v>
      </c>
      <c r="S113" s="37">
        <v>0</v>
      </c>
      <c r="T113" s="37">
        <v>0</v>
      </c>
      <c r="U113" s="37">
        <v>0</v>
      </c>
      <c r="V113" s="37">
        <v>0</v>
      </c>
      <c r="W113" s="37">
        <v>0</v>
      </c>
      <c r="X113" s="37">
        <v>7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28</v>
      </c>
      <c r="AG113" s="37">
        <v>0</v>
      </c>
      <c r="AH113" s="37">
        <v>7.0000000000000001E-3</v>
      </c>
      <c r="AI113" s="37">
        <v>0</v>
      </c>
      <c r="AJ113" s="37">
        <v>0</v>
      </c>
      <c r="AK113" s="37">
        <v>20012</v>
      </c>
      <c r="AL113" s="37">
        <v>4</v>
      </c>
      <c r="AM113" s="37">
        <v>24000</v>
      </c>
      <c r="AN113" s="37" t="s">
        <v>48</v>
      </c>
      <c r="AO113" s="37" t="s">
        <v>756</v>
      </c>
    </row>
    <row r="114" spans="1:41" ht="16.5">
      <c r="A114" s="37">
        <v>20724</v>
      </c>
      <c r="B114" s="37" t="s">
        <v>873</v>
      </c>
      <c r="C114" s="37" t="s">
        <v>168</v>
      </c>
      <c r="D114" s="37" t="s">
        <v>133</v>
      </c>
      <c r="E114" s="38">
        <v>11036</v>
      </c>
      <c r="F114" s="37">
        <v>10000</v>
      </c>
      <c r="G114" s="37">
        <v>300</v>
      </c>
      <c r="H114" s="37">
        <v>50</v>
      </c>
      <c r="I114" s="37" t="s">
        <v>159</v>
      </c>
      <c r="J114" s="37">
        <v>5</v>
      </c>
      <c r="K114" s="16">
        <v>16</v>
      </c>
      <c r="L114" s="37">
        <v>40</v>
      </c>
      <c r="M114" s="37">
        <v>0</v>
      </c>
      <c r="N114" s="37">
        <v>0</v>
      </c>
      <c r="O114" s="37">
        <v>0</v>
      </c>
      <c r="P114" s="37">
        <v>140</v>
      </c>
      <c r="Q114" s="37">
        <v>0</v>
      </c>
      <c r="R114" s="37">
        <v>0</v>
      </c>
      <c r="S114" s="37">
        <v>0</v>
      </c>
      <c r="T114" s="37">
        <v>0</v>
      </c>
      <c r="U114" s="37">
        <v>0</v>
      </c>
      <c r="V114" s="37">
        <v>0</v>
      </c>
      <c r="W114" s="37">
        <v>0</v>
      </c>
      <c r="X114" s="37">
        <v>7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28</v>
      </c>
      <c r="AG114" s="37">
        <v>0</v>
      </c>
      <c r="AH114" s="37">
        <v>7.0000000000000001E-3</v>
      </c>
      <c r="AI114" s="37">
        <v>0</v>
      </c>
      <c r="AJ114" s="37">
        <v>0</v>
      </c>
      <c r="AK114" s="37">
        <v>20012</v>
      </c>
      <c r="AL114" s="37">
        <v>4</v>
      </c>
      <c r="AM114" s="37">
        <v>24000</v>
      </c>
      <c r="AN114" s="37" t="s">
        <v>48</v>
      </c>
      <c r="AO114" s="37" t="s">
        <v>756</v>
      </c>
    </row>
    <row r="115" spans="1:41" ht="16.5">
      <c r="A115" s="37">
        <v>20725</v>
      </c>
      <c r="B115" s="37" t="s">
        <v>874</v>
      </c>
      <c r="C115" s="37" t="s">
        <v>168</v>
      </c>
      <c r="D115" s="37" t="s">
        <v>133</v>
      </c>
      <c r="E115" s="38">
        <v>11036</v>
      </c>
      <c r="F115" s="37">
        <v>10000</v>
      </c>
      <c r="G115" s="37">
        <v>300</v>
      </c>
      <c r="H115" s="37">
        <v>50</v>
      </c>
      <c r="I115" s="37" t="s">
        <v>159</v>
      </c>
      <c r="J115" s="37">
        <v>5</v>
      </c>
      <c r="K115" s="16">
        <v>16</v>
      </c>
      <c r="L115" s="37">
        <v>40</v>
      </c>
      <c r="M115" s="37">
        <v>0</v>
      </c>
      <c r="N115" s="37">
        <v>0</v>
      </c>
      <c r="O115" s="37">
        <v>0</v>
      </c>
      <c r="P115" s="37">
        <v>140</v>
      </c>
      <c r="Q115" s="37">
        <v>0</v>
      </c>
      <c r="R115" s="37">
        <v>0</v>
      </c>
      <c r="S115" s="37">
        <v>0</v>
      </c>
      <c r="T115" s="37">
        <v>0</v>
      </c>
      <c r="U115" s="37">
        <v>0</v>
      </c>
      <c r="V115" s="37">
        <v>0</v>
      </c>
      <c r="W115" s="37">
        <v>0</v>
      </c>
      <c r="X115" s="37">
        <v>7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28</v>
      </c>
      <c r="AG115" s="37">
        <v>0</v>
      </c>
      <c r="AH115" s="37">
        <v>7.0000000000000001E-3</v>
      </c>
      <c r="AI115" s="37">
        <v>0</v>
      </c>
      <c r="AJ115" s="37">
        <v>0</v>
      </c>
      <c r="AK115" s="37">
        <v>20012</v>
      </c>
      <c r="AL115" s="37">
        <v>4</v>
      </c>
      <c r="AM115" s="37">
        <v>24000</v>
      </c>
      <c r="AN115" s="37" t="s">
        <v>48</v>
      </c>
      <c r="AO115" s="37" t="s">
        <v>756</v>
      </c>
    </row>
    <row r="116" spans="1:41" ht="16.5">
      <c r="A116" s="37">
        <v>20726</v>
      </c>
      <c r="B116" s="37" t="s">
        <v>875</v>
      </c>
      <c r="C116" s="37" t="s">
        <v>168</v>
      </c>
      <c r="D116" s="37" t="s">
        <v>133</v>
      </c>
      <c r="E116" s="38">
        <v>11036</v>
      </c>
      <c r="F116" s="37">
        <v>10000</v>
      </c>
      <c r="G116" s="37">
        <v>300</v>
      </c>
      <c r="H116" s="37">
        <v>50</v>
      </c>
      <c r="I116" s="37" t="s">
        <v>159</v>
      </c>
      <c r="J116" s="37">
        <v>5</v>
      </c>
      <c r="K116" s="16">
        <v>16</v>
      </c>
      <c r="L116" s="37">
        <v>40</v>
      </c>
      <c r="M116" s="37">
        <v>0</v>
      </c>
      <c r="N116" s="37">
        <v>0</v>
      </c>
      <c r="O116" s="37">
        <v>0</v>
      </c>
      <c r="P116" s="37">
        <v>140</v>
      </c>
      <c r="Q116" s="37">
        <v>0</v>
      </c>
      <c r="R116" s="37">
        <v>0</v>
      </c>
      <c r="S116" s="37">
        <v>0</v>
      </c>
      <c r="T116" s="37">
        <v>0</v>
      </c>
      <c r="U116" s="37">
        <v>0</v>
      </c>
      <c r="V116" s="37">
        <v>0</v>
      </c>
      <c r="W116" s="37">
        <v>0</v>
      </c>
      <c r="X116" s="37">
        <v>7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28</v>
      </c>
      <c r="AG116" s="37">
        <v>0</v>
      </c>
      <c r="AH116" s="37">
        <v>7.0000000000000001E-3</v>
      </c>
      <c r="AI116" s="37">
        <v>0</v>
      </c>
      <c r="AJ116" s="37">
        <v>0</v>
      </c>
      <c r="AK116" s="37">
        <v>20012</v>
      </c>
      <c r="AL116" s="37">
        <v>4</v>
      </c>
      <c r="AM116" s="37">
        <v>24000</v>
      </c>
      <c r="AN116" s="37" t="s">
        <v>48</v>
      </c>
      <c r="AO116" s="37" t="s">
        <v>756</v>
      </c>
    </row>
    <row r="117" spans="1:41" ht="16.5">
      <c r="A117" s="37">
        <v>20727</v>
      </c>
      <c r="B117" s="37" t="s">
        <v>876</v>
      </c>
      <c r="C117" s="37" t="s">
        <v>168</v>
      </c>
      <c r="D117" s="37" t="s">
        <v>133</v>
      </c>
      <c r="E117" s="38">
        <v>11036</v>
      </c>
      <c r="F117" s="37">
        <v>10000</v>
      </c>
      <c r="G117" s="37">
        <v>300</v>
      </c>
      <c r="H117" s="37">
        <v>50</v>
      </c>
      <c r="I117" s="37" t="s">
        <v>159</v>
      </c>
      <c r="J117" s="37">
        <v>5</v>
      </c>
      <c r="K117" s="16">
        <v>16</v>
      </c>
      <c r="L117" s="37">
        <v>40</v>
      </c>
      <c r="M117" s="37">
        <v>0</v>
      </c>
      <c r="N117" s="37">
        <v>0</v>
      </c>
      <c r="O117" s="37">
        <v>0</v>
      </c>
      <c r="P117" s="37">
        <v>140</v>
      </c>
      <c r="Q117" s="37">
        <v>0</v>
      </c>
      <c r="R117" s="37">
        <v>0</v>
      </c>
      <c r="S117" s="37">
        <v>0</v>
      </c>
      <c r="T117" s="37">
        <v>0</v>
      </c>
      <c r="U117" s="37">
        <v>0</v>
      </c>
      <c r="V117" s="37">
        <v>0</v>
      </c>
      <c r="W117" s="37">
        <v>0</v>
      </c>
      <c r="X117" s="37">
        <v>7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28</v>
      </c>
      <c r="AG117" s="37">
        <v>0</v>
      </c>
      <c r="AH117" s="37">
        <v>7.0000000000000001E-3</v>
      </c>
      <c r="AI117" s="37">
        <v>0</v>
      </c>
      <c r="AJ117" s="37">
        <v>0</v>
      </c>
      <c r="AK117" s="37">
        <v>20012</v>
      </c>
      <c r="AL117" s="37">
        <v>4</v>
      </c>
      <c r="AM117" s="37">
        <v>24000</v>
      </c>
      <c r="AN117" s="37" t="s">
        <v>48</v>
      </c>
      <c r="AO117" s="37" t="s">
        <v>756</v>
      </c>
    </row>
    <row r="118" spans="1:41" ht="16.5">
      <c r="A118" s="37">
        <v>20728</v>
      </c>
      <c r="B118" s="37" t="s">
        <v>877</v>
      </c>
      <c r="C118" s="37" t="s">
        <v>168</v>
      </c>
      <c r="D118" s="37" t="s">
        <v>133</v>
      </c>
      <c r="E118" s="38">
        <v>11036</v>
      </c>
      <c r="F118" s="37">
        <v>10000</v>
      </c>
      <c r="G118" s="37">
        <v>300</v>
      </c>
      <c r="H118" s="37">
        <v>50</v>
      </c>
      <c r="I118" s="37" t="s">
        <v>159</v>
      </c>
      <c r="J118" s="37">
        <v>5</v>
      </c>
      <c r="K118" s="16">
        <v>16</v>
      </c>
      <c r="L118" s="37">
        <v>40</v>
      </c>
      <c r="M118" s="37">
        <v>0</v>
      </c>
      <c r="N118" s="37">
        <v>0</v>
      </c>
      <c r="O118" s="37">
        <v>0</v>
      </c>
      <c r="P118" s="37">
        <v>140</v>
      </c>
      <c r="Q118" s="37">
        <v>0</v>
      </c>
      <c r="R118" s="37">
        <v>0</v>
      </c>
      <c r="S118" s="37">
        <v>0</v>
      </c>
      <c r="T118" s="37">
        <v>0</v>
      </c>
      <c r="U118" s="37">
        <v>0</v>
      </c>
      <c r="V118" s="37">
        <v>0</v>
      </c>
      <c r="W118" s="37">
        <v>0</v>
      </c>
      <c r="X118" s="37">
        <v>7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28</v>
      </c>
      <c r="AG118" s="37">
        <v>0</v>
      </c>
      <c r="AH118" s="37">
        <v>7.0000000000000001E-3</v>
      </c>
      <c r="AI118" s="37">
        <v>0</v>
      </c>
      <c r="AJ118" s="37">
        <v>0</v>
      </c>
      <c r="AK118" s="37">
        <v>20012</v>
      </c>
      <c r="AL118" s="37">
        <v>4</v>
      </c>
      <c r="AM118" s="37">
        <v>24000</v>
      </c>
      <c r="AN118" s="37" t="s">
        <v>48</v>
      </c>
      <c r="AO118" s="37" t="s">
        <v>756</v>
      </c>
    </row>
    <row r="119" spans="1:41" ht="16.5">
      <c r="A119" s="37">
        <v>20729</v>
      </c>
      <c r="B119" s="37" t="s">
        <v>878</v>
      </c>
      <c r="C119" s="37" t="s">
        <v>168</v>
      </c>
      <c r="D119" s="37" t="s">
        <v>133</v>
      </c>
      <c r="E119" s="38">
        <v>11036</v>
      </c>
      <c r="F119" s="37">
        <v>10000</v>
      </c>
      <c r="G119" s="37">
        <v>300</v>
      </c>
      <c r="H119" s="37">
        <v>50</v>
      </c>
      <c r="I119" s="37" t="s">
        <v>159</v>
      </c>
      <c r="J119" s="37">
        <v>5</v>
      </c>
      <c r="K119" s="16">
        <v>16</v>
      </c>
      <c r="L119" s="37">
        <v>40</v>
      </c>
      <c r="M119" s="37">
        <v>0</v>
      </c>
      <c r="N119" s="37">
        <v>0</v>
      </c>
      <c r="O119" s="37">
        <v>0</v>
      </c>
      <c r="P119" s="37">
        <v>140</v>
      </c>
      <c r="Q119" s="37">
        <v>0</v>
      </c>
      <c r="R119" s="37">
        <v>0</v>
      </c>
      <c r="S119" s="37">
        <v>0</v>
      </c>
      <c r="T119" s="37">
        <v>0</v>
      </c>
      <c r="U119" s="37">
        <v>0</v>
      </c>
      <c r="V119" s="37">
        <v>0</v>
      </c>
      <c r="W119" s="37">
        <v>0</v>
      </c>
      <c r="X119" s="37">
        <v>7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28</v>
      </c>
      <c r="AG119" s="37">
        <v>0</v>
      </c>
      <c r="AH119" s="37">
        <v>7.0000000000000001E-3</v>
      </c>
      <c r="AI119" s="37">
        <v>0</v>
      </c>
      <c r="AJ119" s="37">
        <v>0</v>
      </c>
      <c r="AK119" s="37">
        <v>20012</v>
      </c>
      <c r="AL119" s="37">
        <v>4</v>
      </c>
      <c r="AM119" s="37">
        <v>24000</v>
      </c>
      <c r="AN119" s="37" t="s">
        <v>48</v>
      </c>
      <c r="AO119" s="37" t="s">
        <v>756</v>
      </c>
    </row>
    <row r="120" spans="1:41" ht="16.5">
      <c r="A120" s="37">
        <v>20730</v>
      </c>
      <c r="B120" s="37" t="s">
        <v>879</v>
      </c>
      <c r="C120" s="37" t="s">
        <v>168</v>
      </c>
      <c r="D120" s="37" t="s">
        <v>133</v>
      </c>
      <c r="E120" s="38">
        <v>11036</v>
      </c>
      <c r="F120" s="37">
        <v>10000</v>
      </c>
      <c r="G120" s="37">
        <v>300</v>
      </c>
      <c r="H120" s="37">
        <v>50</v>
      </c>
      <c r="I120" s="37" t="s">
        <v>159</v>
      </c>
      <c r="J120" s="37">
        <v>5</v>
      </c>
      <c r="K120" s="16">
        <v>16</v>
      </c>
      <c r="L120" s="37">
        <v>40</v>
      </c>
      <c r="M120" s="37">
        <v>0</v>
      </c>
      <c r="N120" s="37">
        <v>0</v>
      </c>
      <c r="O120" s="37">
        <v>0</v>
      </c>
      <c r="P120" s="37">
        <v>140</v>
      </c>
      <c r="Q120" s="37">
        <v>0</v>
      </c>
      <c r="R120" s="37">
        <v>0</v>
      </c>
      <c r="S120" s="37">
        <v>0</v>
      </c>
      <c r="T120" s="37">
        <v>0</v>
      </c>
      <c r="U120" s="37">
        <v>0</v>
      </c>
      <c r="V120" s="37">
        <v>0</v>
      </c>
      <c r="W120" s="37">
        <v>0</v>
      </c>
      <c r="X120" s="37">
        <v>7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28</v>
      </c>
      <c r="AG120" s="37">
        <v>0</v>
      </c>
      <c r="AH120" s="37">
        <v>7.0000000000000001E-3</v>
      </c>
      <c r="AI120" s="37">
        <v>0</v>
      </c>
      <c r="AJ120" s="37">
        <v>0</v>
      </c>
      <c r="AK120" s="37">
        <v>20012</v>
      </c>
      <c r="AL120" s="37">
        <v>4</v>
      </c>
      <c r="AM120" s="37">
        <v>24000</v>
      </c>
      <c r="AN120" s="37" t="s">
        <v>48</v>
      </c>
      <c r="AO120" s="37" t="s">
        <v>756</v>
      </c>
    </row>
    <row r="121" spans="1:41" ht="16.5">
      <c r="A121" s="16">
        <v>1651</v>
      </c>
      <c r="B121" s="23" t="s">
        <v>880</v>
      </c>
      <c r="C121" s="23" t="s">
        <v>167</v>
      </c>
      <c r="D121" s="19" t="s">
        <v>126</v>
      </c>
      <c r="E121" s="17">
        <v>11029</v>
      </c>
      <c r="F121" s="37">
        <v>10000</v>
      </c>
      <c r="G121" s="16">
        <v>300</v>
      </c>
      <c r="H121" s="16">
        <v>50</v>
      </c>
      <c r="I121" s="19" t="s">
        <v>718</v>
      </c>
      <c r="J121" s="37">
        <v>5</v>
      </c>
      <c r="K121" s="16">
        <v>16</v>
      </c>
      <c r="L121" s="16">
        <v>40</v>
      </c>
      <c r="M121" s="16">
        <v>0</v>
      </c>
      <c r="N121" s="16">
        <v>0</v>
      </c>
      <c r="O121" s="16">
        <v>140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v>0</v>
      </c>
      <c r="W121" s="16">
        <v>7</v>
      </c>
      <c r="X121" s="16">
        <v>0</v>
      </c>
      <c r="Y121" s="16">
        <v>0</v>
      </c>
      <c r="Z121" s="16">
        <v>0</v>
      </c>
      <c r="AA121" s="16">
        <v>0</v>
      </c>
      <c r="AB121" s="16">
        <v>0</v>
      </c>
      <c r="AC121" s="18">
        <v>0</v>
      </c>
      <c r="AD121" s="18">
        <v>0</v>
      </c>
      <c r="AE121" s="18">
        <v>28</v>
      </c>
      <c r="AF121" s="18">
        <v>0</v>
      </c>
      <c r="AG121" s="18">
        <v>0</v>
      </c>
      <c r="AH121" s="18">
        <v>0</v>
      </c>
      <c r="AI121" s="28">
        <v>0</v>
      </c>
      <c r="AJ121" s="18">
        <v>1.4E-2</v>
      </c>
      <c r="AK121" s="18">
        <v>20011</v>
      </c>
      <c r="AL121" s="16">
        <v>2</v>
      </c>
      <c r="AM121" s="18">
        <v>24000</v>
      </c>
      <c r="AN121" s="16" t="s">
        <v>48</v>
      </c>
      <c r="AO121" s="16" t="s">
        <v>749</v>
      </c>
    </row>
    <row r="122" spans="1:41" ht="16.5">
      <c r="A122" s="16">
        <v>1652</v>
      </c>
      <c r="B122" s="23" t="s">
        <v>881</v>
      </c>
      <c r="C122" s="23" t="s">
        <v>167</v>
      </c>
      <c r="D122" s="19" t="s">
        <v>126</v>
      </c>
      <c r="E122" s="17">
        <v>11029</v>
      </c>
      <c r="F122" s="37">
        <v>10000</v>
      </c>
      <c r="G122" s="16">
        <v>300</v>
      </c>
      <c r="H122" s="16">
        <v>50</v>
      </c>
      <c r="I122" s="19" t="s">
        <v>718</v>
      </c>
      <c r="J122" s="37">
        <v>5</v>
      </c>
      <c r="K122" s="16">
        <v>16</v>
      </c>
      <c r="L122" s="16">
        <v>40</v>
      </c>
      <c r="M122" s="16">
        <v>0</v>
      </c>
      <c r="N122" s="16">
        <v>0</v>
      </c>
      <c r="O122" s="16">
        <v>140</v>
      </c>
      <c r="P122" s="16">
        <v>0</v>
      </c>
      <c r="Q122" s="16">
        <v>0</v>
      </c>
      <c r="R122" s="16">
        <v>0</v>
      </c>
      <c r="S122" s="16">
        <v>0</v>
      </c>
      <c r="T122" s="16">
        <v>0</v>
      </c>
      <c r="U122" s="16">
        <v>0</v>
      </c>
      <c r="V122" s="16">
        <v>0</v>
      </c>
      <c r="W122" s="16">
        <v>7</v>
      </c>
      <c r="X122" s="16">
        <v>0</v>
      </c>
      <c r="Y122" s="16">
        <v>0</v>
      </c>
      <c r="Z122" s="16">
        <v>0</v>
      </c>
      <c r="AA122" s="16">
        <v>0</v>
      </c>
      <c r="AB122" s="16">
        <v>0</v>
      </c>
      <c r="AC122" s="18">
        <v>0</v>
      </c>
      <c r="AD122" s="18">
        <v>0</v>
      </c>
      <c r="AE122" s="18">
        <v>28</v>
      </c>
      <c r="AF122" s="18">
        <v>0</v>
      </c>
      <c r="AG122" s="18">
        <v>0</v>
      </c>
      <c r="AH122" s="18">
        <v>0</v>
      </c>
      <c r="AI122" s="28">
        <v>0</v>
      </c>
      <c r="AJ122" s="18">
        <v>1.4E-2</v>
      </c>
      <c r="AK122" s="18">
        <v>20011</v>
      </c>
      <c r="AL122" s="16">
        <v>2</v>
      </c>
      <c r="AM122" s="18">
        <v>24000</v>
      </c>
      <c r="AN122" s="16" t="s">
        <v>48</v>
      </c>
      <c r="AO122" s="16" t="s">
        <v>749</v>
      </c>
    </row>
    <row r="123" spans="1:41" ht="16.5">
      <c r="A123" s="16">
        <v>1653</v>
      </c>
      <c r="B123" s="23" t="s">
        <v>882</v>
      </c>
      <c r="C123" s="23" t="s">
        <v>167</v>
      </c>
      <c r="D123" s="19" t="s">
        <v>126</v>
      </c>
      <c r="E123" s="17">
        <v>11029</v>
      </c>
      <c r="F123" s="37">
        <v>10000</v>
      </c>
      <c r="G123" s="16">
        <v>300</v>
      </c>
      <c r="H123" s="16">
        <v>50</v>
      </c>
      <c r="I123" s="19" t="s">
        <v>718</v>
      </c>
      <c r="J123" s="37">
        <v>5</v>
      </c>
      <c r="K123" s="16">
        <v>16</v>
      </c>
      <c r="L123" s="16">
        <v>40</v>
      </c>
      <c r="M123" s="16">
        <v>0</v>
      </c>
      <c r="N123" s="16">
        <v>0</v>
      </c>
      <c r="O123" s="16">
        <v>140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v>0</v>
      </c>
      <c r="W123" s="16">
        <v>7</v>
      </c>
      <c r="X123" s="16">
        <v>0</v>
      </c>
      <c r="Y123" s="16">
        <v>0</v>
      </c>
      <c r="Z123" s="16">
        <v>0</v>
      </c>
      <c r="AA123" s="16">
        <v>0</v>
      </c>
      <c r="AB123" s="16">
        <v>0</v>
      </c>
      <c r="AC123" s="18">
        <v>0</v>
      </c>
      <c r="AD123" s="18">
        <v>0</v>
      </c>
      <c r="AE123" s="18">
        <v>28</v>
      </c>
      <c r="AF123" s="18">
        <v>0</v>
      </c>
      <c r="AG123" s="18">
        <v>0</v>
      </c>
      <c r="AH123" s="18">
        <v>0</v>
      </c>
      <c r="AI123" s="28">
        <v>0</v>
      </c>
      <c r="AJ123" s="18">
        <v>1.4E-2</v>
      </c>
      <c r="AK123" s="18">
        <v>20011</v>
      </c>
      <c r="AL123" s="16">
        <v>2</v>
      </c>
      <c r="AM123" s="18">
        <v>24000</v>
      </c>
      <c r="AN123" s="16" t="s">
        <v>48</v>
      </c>
      <c r="AO123" s="16" t="s">
        <v>749</v>
      </c>
    </row>
    <row r="124" spans="1:41" ht="16.5">
      <c r="A124" s="16">
        <v>1654</v>
      </c>
      <c r="B124" s="23" t="s">
        <v>883</v>
      </c>
      <c r="C124" s="23" t="s">
        <v>167</v>
      </c>
      <c r="D124" s="19" t="s">
        <v>126</v>
      </c>
      <c r="E124" s="17">
        <v>11029</v>
      </c>
      <c r="F124" s="37">
        <v>10000</v>
      </c>
      <c r="G124" s="16">
        <v>300</v>
      </c>
      <c r="H124" s="16">
        <v>50</v>
      </c>
      <c r="I124" s="19" t="s">
        <v>718</v>
      </c>
      <c r="J124" s="37">
        <v>5</v>
      </c>
      <c r="K124" s="16">
        <v>16</v>
      </c>
      <c r="L124" s="16">
        <v>40</v>
      </c>
      <c r="M124" s="16">
        <v>0</v>
      </c>
      <c r="N124" s="16">
        <v>0</v>
      </c>
      <c r="O124" s="16">
        <v>140</v>
      </c>
      <c r="P124" s="16">
        <v>0</v>
      </c>
      <c r="Q124" s="16">
        <v>0</v>
      </c>
      <c r="R124" s="16">
        <v>0</v>
      </c>
      <c r="S124" s="16">
        <v>0</v>
      </c>
      <c r="T124" s="16">
        <v>0</v>
      </c>
      <c r="U124" s="16">
        <v>0</v>
      </c>
      <c r="V124" s="16">
        <v>0</v>
      </c>
      <c r="W124" s="16">
        <v>7</v>
      </c>
      <c r="X124" s="16">
        <v>0</v>
      </c>
      <c r="Y124" s="16">
        <v>0</v>
      </c>
      <c r="Z124" s="16">
        <v>0</v>
      </c>
      <c r="AA124" s="16">
        <v>0</v>
      </c>
      <c r="AB124" s="16">
        <v>0</v>
      </c>
      <c r="AC124" s="18">
        <v>0</v>
      </c>
      <c r="AD124" s="18">
        <v>0</v>
      </c>
      <c r="AE124" s="18">
        <v>28</v>
      </c>
      <c r="AF124" s="18">
        <v>0</v>
      </c>
      <c r="AG124" s="18">
        <v>0</v>
      </c>
      <c r="AH124" s="18">
        <v>0</v>
      </c>
      <c r="AI124" s="28">
        <v>0</v>
      </c>
      <c r="AJ124" s="18">
        <v>1.4E-2</v>
      </c>
      <c r="AK124" s="18">
        <v>20011</v>
      </c>
      <c r="AL124" s="16">
        <v>2</v>
      </c>
      <c r="AM124" s="18">
        <v>24000</v>
      </c>
      <c r="AN124" s="16" t="s">
        <v>48</v>
      </c>
      <c r="AO124" s="16" t="s">
        <v>749</v>
      </c>
    </row>
    <row r="125" spans="1:41" ht="16.5">
      <c r="A125" s="16">
        <v>2065</v>
      </c>
      <c r="B125" s="23" t="s">
        <v>884</v>
      </c>
      <c r="C125" s="23" t="s">
        <v>167</v>
      </c>
      <c r="D125" s="19" t="s">
        <v>126</v>
      </c>
      <c r="E125" s="17">
        <v>11029</v>
      </c>
      <c r="F125" s="37">
        <v>10000</v>
      </c>
      <c r="G125" s="16">
        <v>300</v>
      </c>
      <c r="H125" s="16">
        <v>50</v>
      </c>
      <c r="I125" s="19" t="s">
        <v>718</v>
      </c>
      <c r="J125" s="37">
        <v>5</v>
      </c>
      <c r="K125" s="16">
        <v>16</v>
      </c>
      <c r="L125" s="16">
        <v>40</v>
      </c>
      <c r="M125" s="16">
        <v>0</v>
      </c>
      <c r="N125" s="16">
        <v>0</v>
      </c>
      <c r="O125" s="16">
        <v>140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v>0</v>
      </c>
      <c r="W125" s="16">
        <v>7</v>
      </c>
      <c r="X125" s="16">
        <v>0</v>
      </c>
      <c r="Y125" s="16">
        <v>0</v>
      </c>
      <c r="Z125" s="16">
        <v>0</v>
      </c>
      <c r="AA125" s="16">
        <v>0</v>
      </c>
      <c r="AB125" s="16">
        <v>0</v>
      </c>
      <c r="AC125" s="18">
        <v>0</v>
      </c>
      <c r="AD125" s="18">
        <v>0</v>
      </c>
      <c r="AE125" s="18">
        <v>28</v>
      </c>
      <c r="AF125" s="18">
        <v>0</v>
      </c>
      <c r="AG125" s="18">
        <v>0</v>
      </c>
      <c r="AH125" s="18">
        <v>0</v>
      </c>
      <c r="AI125" s="28">
        <v>0</v>
      </c>
      <c r="AJ125" s="18">
        <v>1.4E-2</v>
      </c>
      <c r="AK125" s="18">
        <v>20011</v>
      </c>
      <c r="AL125" s="16">
        <v>2</v>
      </c>
      <c r="AM125" s="18">
        <v>24000</v>
      </c>
      <c r="AN125" s="16" t="s">
        <v>48</v>
      </c>
      <c r="AO125" s="16" t="s">
        <v>749</v>
      </c>
    </row>
    <row r="126" spans="1:41" ht="16.5">
      <c r="A126" s="16">
        <v>20651</v>
      </c>
      <c r="B126" s="23" t="s">
        <v>885</v>
      </c>
      <c r="C126" s="23" t="s">
        <v>167</v>
      </c>
      <c r="D126" s="19" t="s">
        <v>126</v>
      </c>
      <c r="E126" s="17">
        <v>11029</v>
      </c>
      <c r="F126" s="37">
        <v>10000</v>
      </c>
      <c r="G126" s="16">
        <v>300</v>
      </c>
      <c r="H126" s="16">
        <v>50</v>
      </c>
      <c r="I126" s="19" t="s">
        <v>718</v>
      </c>
      <c r="J126" s="37">
        <v>5</v>
      </c>
      <c r="K126" s="16">
        <v>16</v>
      </c>
      <c r="L126" s="16">
        <v>40</v>
      </c>
      <c r="M126" s="16">
        <v>0</v>
      </c>
      <c r="N126" s="16">
        <v>0</v>
      </c>
      <c r="O126" s="16">
        <v>140</v>
      </c>
      <c r="P126" s="16">
        <v>0</v>
      </c>
      <c r="Q126" s="16">
        <v>0</v>
      </c>
      <c r="R126" s="16">
        <v>0</v>
      </c>
      <c r="S126" s="16">
        <v>0</v>
      </c>
      <c r="T126" s="16">
        <v>0</v>
      </c>
      <c r="U126" s="16">
        <v>0</v>
      </c>
      <c r="V126" s="16">
        <v>0</v>
      </c>
      <c r="W126" s="16">
        <v>7</v>
      </c>
      <c r="X126" s="16">
        <v>0</v>
      </c>
      <c r="Y126" s="16">
        <v>0</v>
      </c>
      <c r="Z126" s="16">
        <v>0</v>
      </c>
      <c r="AA126" s="16">
        <v>0</v>
      </c>
      <c r="AB126" s="16">
        <v>0</v>
      </c>
      <c r="AC126" s="18">
        <v>0</v>
      </c>
      <c r="AD126" s="18">
        <v>0</v>
      </c>
      <c r="AE126" s="18">
        <v>28</v>
      </c>
      <c r="AF126" s="18">
        <v>0</v>
      </c>
      <c r="AG126" s="18">
        <v>0</v>
      </c>
      <c r="AH126" s="18">
        <v>0</v>
      </c>
      <c r="AI126" s="28">
        <v>0</v>
      </c>
      <c r="AJ126" s="18">
        <v>1.4E-2</v>
      </c>
      <c r="AK126" s="18">
        <v>20011</v>
      </c>
      <c r="AL126" s="16">
        <v>2</v>
      </c>
      <c r="AM126" s="18">
        <v>24000</v>
      </c>
      <c r="AN126" s="16" t="s">
        <v>48</v>
      </c>
      <c r="AO126" s="16" t="s">
        <v>749</v>
      </c>
    </row>
    <row r="127" spans="1:41" ht="16.5">
      <c r="A127" s="16">
        <v>20652</v>
      </c>
      <c r="B127" s="23" t="s">
        <v>886</v>
      </c>
      <c r="C127" s="23" t="s">
        <v>167</v>
      </c>
      <c r="D127" s="19" t="s">
        <v>126</v>
      </c>
      <c r="E127" s="17">
        <v>11029</v>
      </c>
      <c r="F127" s="37">
        <v>10000</v>
      </c>
      <c r="G127" s="16">
        <v>300</v>
      </c>
      <c r="H127" s="16">
        <v>50</v>
      </c>
      <c r="I127" s="19" t="s">
        <v>718</v>
      </c>
      <c r="J127" s="37">
        <v>5</v>
      </c>
      <c r="K127" s="16">
        <v>16</v>
      </c>
      <c r="L127" s="16">
        <v>40</v>
      </c>
      <c r="M127" s="16">
        <v>0</v>
      </c>
      <c r="N127" s="16">
        <v>0</v>
      </c>
      <c r="O127" s="16">
        <v>140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v>0</v>
      </c>
      <c r="W127" s="16">
        <v>7</v>
      </c>
      <c r="X127" s="16">
        <v>0</v>
      </c>
      <c r="Y127" s="16">
        <v>0</v>
      </c>
      <c r="Z127" s="16">
        <v>0</v>
      </c>
      <c r="AA127" s="16">
        <v>0</v>
      </c>
      <c r="AB127" s="16">
        <v>0</v>
      </c>
      <c r="AC127" s="18">
        <v>0</v>
      </c>
      <c r="AD127" s="18">
        <v>0</v>
      </c>
      <c r="AE127" s="18">
        <v>28</v>
      </c>
      <c r="AF127" s="18">
        <v>0</v>
      </c>
      <c r="AG127" s="18">
        <v>0</v>
      </c>
      <c r="AH127" s="18">
        <v>0</v>
      </c>
      <c r="AI127" s="28">
        <v>0</v>
      </c>
      <c r="AJ127" s="18">
        <v>1.4E-2</v>
      </c>
      <c r="AK127" s="18">
        <v>20011</v>
      </c>
      <c r="AL127" s="16">
        <v>2</v>
      </c>
      <c r="AM127" s="18">
        <v>24000</v>
      </c>
      <c r="AN127" s="16" t="s">
        <v>48</v>
      </c>
      <c r="AO127" s="16" t="s">
        <v>749</v>
      </c>
    </row>
    <row r="128" spans="1:41" ht="16.5">
      <c r="A128" s="16">
        <v>20653</v>
      </c>
      <c r="B128" s="23" t="s">
        <v>887</v>
      </c>
      <c r="C128" s="23" t="s">
        <v>167</v>
      </c>
      <c r="D128" s="19" t="s">
        <v>126</v>
      </c>
      <c r="E128" s="17">
        <v>11029</v>
      </c>
      <c r="F128" s="37">
        <v>10000</v>
      </c>
      <c r="G128" s="16">
        <v>300</v>
      </c>
      <c r="H128" s="16">
        <v>50</v>
      </c>
      <c r="I128" s="19" t="s">
        <v>718</v>
      </c>
      <c r="J128" s="37">
        <v>5</v>
      </c>
      <c r="K128" s="16">
        <v>16</v>
      </c>
      <c r="L128" s="16">
        <v>40</v>
      </c>
      <c r="M128" s="16">
        <v>0</v>
      </c>
      <c r="N128" s="16">
        <v>0</v>
      </c>
      <c r="O128" s="16">
        <v>140</v>
      </c>
      <c r="P128" s="16">
        <v>0</v>
      </c>
      <c r="Q128" s="16">
        <v>0</v>
      </c>
      <c r="R128" s="16">
        <v>0</v>
      </c>
      <c r="S128" s="16">
        <v>0</v>
      </c>
      <c r="T128" s="16">
        <v>0</v>
      </c>
      <c r="U128" s="16">
        <v>0</v>
      </c>
      <c r="V128" s="16">
        <v>0</v>
      </c>
      <c r="W128" s="16">
        <v>7</v>
      </c>
      <c r="X128" s="16">
        <v>0</v>
      </c>
      <c r="Y128" s="16">
        <v>0</v>
      </c>
      <c r="Z128" s="16">
        <v>0</v>
      </c>
      <c r="AA128" s="16">
        <v>0</v>
      </c>
      <c r="AB128" s="16">
        <v>0</v>
      </c>
      <c r="AC128" s="18">
        <v>0</v>
      </c>
      <c r="AD128" s="18">
        <v>0</v>
      </c>
      <c r="AE128" s="18">
        <v>28</v>
      </c>
      <c r="AF128" s="18">
        <v>0</v>
      </c>
      <c r="AG128" s="18">
        <v>0</v>
      </c>
      <c r="AH128" s="18">
        <v>0</v>
      </c>
      <c r="AI128" s="28">
        <v>0</v>
      </c>
      <c r="AJ128" s="18">
        <v>1.4E-2</v>
      </c>
      <c r="AK128" s="18">
        <v>20011</v>
      </c>
      <c r="AL128" s="16">
        <v>2</v>
      </c>
      <c r="AM128" s="18">
        <v>24000</v>
      </c>
      <c r="AN128" s="16" t="s">
        <v>48</v>
      </c>
      <c r="AO128" s="16" t="s">
        <v>749</v>
      </c>
    </row>
    <row r="129" spans="1:41" ht="16.5">
      <c r="A129" s="16">
        <v>20654</v>
      </c>
      <c r="B129" s="23" t="s">
        <v>888</v>
      </c>
      <c r="C129" s="23" t="s">
        <v>167</v>
      </c>
      <c r="D129" s="19" t="s">
        <v>126</v>
      </c>
      <c r="E129" s="17">
        <v>11029</v>
      </c>
      <c r="F129" s="37">
        <v>10000</v>
      </c>
      <c r="G129" s="16">
        <v>300</v>
      </c>
      <c r="H129" s="16">
        <v>50</v>
      </c>
      <c r="I129" s="19" t="s">
        <v>718</v>
      </c>
      <c r="J129" s="37">
        <v>5</v>
      </c>
      <c r="K129" s="16">
        <v>16</v>
      </c>
      <c r="L129" s="16">
        <v>40</v>
      </c>
      <c r="M129" s="16">
        <v>0</v>
      </c>
      <c r="N129" s="16">
        <v>0</v>
      </c>
      <c r="O129" s="16">
        <v>140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v>0</v>
      </c>
      <c r="W129" s="16">
        <v>7</v>
      </c>
      <c r="X129" s="16">
        <v>0</v>
      </c>
      <c r="Y129" s="16">
        <v>0</v>
      </c>
      <c r="Z129" s="16">
        <v>0</v>
      </c>
      <c r="AA129" s="16">
        <v>0</v>
      </c>
      <c r="AB129" s="16">
        <v>0</v>
      </c>
      <c r="AC129" s="18">
        <v>0</v>
      </c>
      <c r="AD129" s="18">
        <v>0</v>
      </c>
      <c r="AE129" s="18">
        <v>28</v>
      </c>
      <c r="AF129" s="18">
        <v>0</v>
      </c>
      <c r="AG129" s="18">
        <v>0</v>
      </c>
      <c r="AH129" s="18">
        <v>0</v>
      </c>
      <c r="AI129" s="28">
        <v>0</v>
      </c>
      <c r="AJ129" s="18">
        <v>1.4E-2</v>
      </c>
      <c r="AK129" s="18">
        <v>20011</v>
      </c>
      <c r="AL129" s="16">
        <v>2</v>
      </c>
      <c r="AM129" s="18">
        <v>24000</v>
      </c>
      <c r="AN129" s="16" t="s">
        <v>48</v>
      </c>
      <c r="AO129" s="16" t="s">
        <v>749</v>
      </c>
    </row>
    <row r="130" spans="1:41" ht="16.5">
      <c r="A130" s="16">
        <v>20655</v>
      </c>
      <c r="B130" s="23" t="s">
        <v>889</v>
      </c>
      <c r="C130" s="23" t="s">
        <v>167</v>
      </c>
      <c r="D130" s="19" t="s">
        <v>126</v>
      </c>
      <c r="E130" s="17">
        <v>11029</v>
      </c>
      <c r="F130" s="37">
        <v>10000</v>
      </c>
      <c r="G130" s="16">
        <v>300</v>
      </c>
      <c r="H130" s="16">
        <v>50</v>
      </c>
      <c r="I130" s="19" t="s">
        <v>718</v>
      </c>
      <c r="J130" s="37">
        <v>5</v>
      </c>
      <c r="K130" s="16">
        <v>16</v>
      </c>
      <c r="L130" s="16">
        <v>40</v>
      </c>
      <c r="M130" s="16">
        <v>0</v>
      </c>
      <c r="N130" s="16">
        <v>0</v>
      </c>
      <c r="O130" s="16">
        <v>140</v>
      </c>
      <c r="P130" s="16">
        <v>0</v>
      </c>
      <c r="Q130" s="16">
        <v>0</v>
      </c>
      <c r="R130" s="16">
        <v>0</v>
      </c>
      <c r="S130" s="16">
        <v>0</v>
      </c>
      <c r="T130" s="16">
        <v>0</v>
      </c>
      <c r="U130" s="16">
        <v>0</v>
      </c>
      <c r="V130" s="16">
        <v>0</v>
      </c>
      <c r="W130" s="16">
        <v>7</v>
      </c>
      <c r="X130" s="16">
        <v>0</v>
      </c>
      <c r="Y130" s="16">
        <v>0</v>
      </c>
      <c r="Z130" s="16">
        <v>0</v>
      </c>
      <c r="AA130" s="16">
        <v>0</v>
      </c>
      <c r="AB130" s="16">
        <v>0</v>
      </c>
      <c r="AC130" s="18">
        <v>0</v>
      </c>
      <c r="AD130" s="18">
        <v>0</v>
      </c>
      <c r="AE130" s="18">
        <v>28</v>
      </c>
      <c r="AF130" s="18">
        <v>0</v>
      </c>
      <c r="AG130" s="18">
        <v>0</v>
      </c>
      <c r="AH130" s="18">
        <v>0</v>
      </c>
      <c r="AI130" s="28">
        <v>0</v>
      </c>
      <c r="AJ130" s="18">
        <v>1.4E-2</v>
      </c>
      <c r="AK130" s="18">
        <v>20011</v>
      </c>
      <c r="AL130" s="16">
        <v>2</v>
      </c>
      <c r="AM130" s="18">
        <v>24000</v>
      </c>
      <c r="AN130" s="16" t="s">
        <v>48</v>
      </c>
      <c r="AO130" s="16" t="s">
        <v>749</v>
      </c>
    </row>
    <row r="131" spans="1:41" ht="16.5">
      <c r="A131" s="16">
        <v>20656</v>
      </c>
      <c r="B131" s="23" t="s">
        <v>890</v>
      </c>
      <c r="C131" s="23" t="s">
        <v>167</v>
      </c>
      <c r="D131" s="19" t="s">
        <v>126</v>
      </c>
      <c r="E131" s="17">
        <v>11029</v>
      </c>
      <c r="F131" s="37">
        <v>10000</v>
      </c>
      <c r="G131" s="16">
        <v>300</v>
      </c>
      <c r="H131" s="16">
        <v>50</v>
      </c>
      <c r="I131" s="19" t="s">
        <v>718</v>
      </c>
      <c r="J131" s="37">
        <v>5</v>
      </c>
      <c r="K131" s="16">
        <v>16</v>
      </c>
      <c r="L131" s="16">
        <v>40</v>
      </c>
      <c r="M131" s="16">
        <v>0</v>
      </c>
      <c r="N131" s="16">
        <v>0</v>
      </c>
      <c r="O131" s="16">
        <v>140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v>0</v>
      </c>
      <c r="W131" s="16">
        <v>7</v>
      </c>
      <c r="X131" s="16">
        <v>0</v>
      </c>
      <c r="Y131" s="16">
        <v>0</v>
      </c>
      <c r="Z131" s="16">
        <v>0</v>
      </c>
      <c r="AA131" s="16">
        <v>0</v>
      </c>
      <c r="AB131" s="16">
        <v>0</v>
      </c>
      <c r="AC131" s="18">
        <v>0</v>
      </c>
      <c r="AD131" s="18">
        <v>0</v>
      </c>
      <c r="AE131" s="18">
        <v>28</v>
      </c>
      <c r="AF131" s="18">
        <v>0</v>
      </c>
      <c r="AG131" s="18">
        <v>0</v>
      </c>
      <c r="AH131" s="18">
        <v>0</v>
      </c>
      <c r="AI131" s="28">
        <v>0</v>
      </c>
      <c r="AJ131" s="18">
        <v>1.4E-2</v>
      </c>
      <c r="AK131" s="18">
        <v>20011</v>
      </c>
      <c r="AL131" s="16">
        <v>2</v>
      </c>
      <c r="AM131" s="18">
        <v>24000</v>
      </c>
      <c r="AN131" s="16" t="s">
        <v>48</v>
      </c>
      <c r="AO131" s="16" t="s">
        <v>749</v>
      </c>
    </row>
    <row r="132" spans="1:41" ht="16.5">
      <c r="A132" s="16">
        <v>20657</v>
      </c>
      <c r="B132" s="23" t="s">
        <v>891</v>
      </c>
      <c r="C132" s="23" t="s">
        <v>167</v>
      </c>
      <c r="D132" s="19" t="s">
        <v>126</v>
      </c>
      <c r="E132" s="17">
        <v>11029</v>
      </c>
      <c r="F132" s="37">
        <v>10000</v>
      </c>
      <c r="G132" s="16">
        <v>300</v>
      </c>
      <c r="H132" s="16">
        <v>50</v>
      </c>
      <c r="I132" s="19" t="s">
        <v>718</v>
      </c>
      <c r="J132" s="37">
        <v>5</v>
      </c>
      <c r="K132" s="16">
        <v>16</v>
      </c>
      <c r="L132" s="16">
        <v>40</v>
      </c>
      <c r="M132" s="16">
        <v>0</v>
      </c>
      <c r="N132" s="16">
        <v>0</v>
      </c>
      <c r="O132" s="16">
        <v>140</v>
      </c>
      <c r="P132" s="16">
        <v>0</v>
      </c>
      <c r="Q132" s="16">
        <v>0</v>
      </c>
      <c r="R132" s="16">
        <v>0</v>
      </c>
      <c r="S132" s="16">
        <v>0</v>
      </c>
      <c r="T132" s="16">
        <v>0</v>
      </c>
      <c r="U132" s="16">
        <v>0</v>
      </c>
      <c r="V132" s="16">
        <v>0</v>
      </c>
      <c r="W132" s="16">
        <v>7</v>
      </c>
      <c r="X132" s="16">
        <v>0</v>
      </c>
      <c r="Y132" s="16">
        <v>0</v>
      </c>
      <c r="Z132" s="16">
        <v>0</v>
      </c>
      <c r="AA132" s="16">
        <v>0</v>
      </c>
      <c r="AB132" s="16">
        <v>0</v>
      </c>
      <c r="AC132" s="18">
        <v>0</v>
      </c>
      <c r="AD132" s="18">
        <v>0</v>
      </c>
      <c r="AE132" s="18">
        <v>28</v>
      </c>
      <c r="AF132" s="18">
        <v>0</v>
      </c>
      <c r="AG132" s="18">
        <v>0</v>
      </c>
      <c r="AH132" s="18">
        <v>0</v>
      </c>
      <c r="AI132" s="28">
        <v>0</v>
      </c>
      <c r="AJ132" s="18">
        <v>1.4E-2</v>
      </c>
      <c r="AK132" s="18">
        <v>20011</v>
      </c>
      <c r="AL132" s="16">
        <v>2</v>
      </c>
      <c r="AM132" s="18">
        <v>24000</v>
      </c>
      <c r="AN132" s="16" t="s">
        <v>48</v>
      </c>
      <c r="AO132" s="16" t="s">
        <v>749</v>
      </c>
    </row>
    <row r="133" spans="1:41" ht="16.5">
      <c r="A133" s="16">
        <v>20658</v>
      </c>
      <c r="B133" s="23" t="s">
        <v>892</v>
      </c>
      <c r="C133" s="23" t="s">
        <v>167</v>
      </c>
      <c r="D133" s="19" t="s">
        <v>126</v>
      </c>
      <c r="E133" s="17">
        <v>11029</v>
      </c>
      <c r="F133" s="37">
        <v>10000</v>
      </c>
      <c r="G133" s="16">
        <v>300</v>
      </c>
      <c r="H133" s="16">
        <v>50</v>
      </c>
      <c r="I133" s="19" t="s">
        <v>718</v>
      </c>
      <c r="J133" s="37">
        <v>5</v>
      </c>
      <c r="K133" s="16">
        <v>16</v>
      </c>
      <c r="L133" s="16">
        <v>40</v>
      </c>
      <c r="M133" s="16">
        <v>0</v>
      </c>
      <c r="N133" s="16">
        <v>0</v>
      </c>
      <c r="O133" s="16">
        <v>140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v>0</v>
      </c>
      <c r="W133" s="16">
        <v>7</v>
      </c>
      <c r="X133" s="16">
        <v>0</v>
      </c>
      <c r="Y133" s="16">
        <v>0</v>
      </c>
      <c r="Z133" s="16">
        <v>0</v>
      </c>
      <c r="AA133" s="16">
        <v>0</v>
      </c>
      <c r="AB133" s="16">
        <v>0</v>
      </c>
      <c r="AC133" s="18">
        <v>0</v>
      </c>
      <c r="AD133" s="18">
        <v>0</v>
      </c>
      <c r="AE133" s="18">
        <v>28</v>
      </c>
      <c r="AF133" s="18">
        <v>0</v>
      </c>
      <c r="AG133" s="18">
        <v>0</v>
      </c>
      <c r="AH133" s="18">
        <v>0</v>
      </c>
      <c r="AI133" s="28">
        <v>0</v>
      </c>
      <c r="AJ133" s="18">
        <v>1.4E-2</v>
      </c>
      <c r="AK133" s="18">
        <v>20011</v>
      </c>
      <c r="AL133" s="16">
        <v>2</v>
      </c>
      <c r="AM133" s="18">
        <v>24000</v>
      </c>
      <c r="AN133" s="16" t="s">
        <v>48</v>
      </c>
      <c r="AO133" s="16" t="s">
        <v>749</v>
      </c>
    </row>
    <row r="134" spans="1:41" ht="16.5">
      <c r="A134" s="16">
        <v>20659</v>
      </c>
      <c r="B134" s="23" t="s">
        <v>893</v>
      </c>
      <c r="C134" s="23" t="s">
        <v>167</v>
      </c>
      <c r="D134" s="19" t="s">
        <v>126</v>
      </c>
      <c r="E134" s="17">
        <v>11029</v>
      </c>
      <c r="F134" s="37">
        <v>10000</v>
      </c>
      <c r="G134" s="16">
        <v>300</v>
      </c>
      <c r="H134" s="16">
        <v>50</v>
      </c>
      <c r="I134" s="19" t="s">
        <v>718</v>
      </c>
      <c r="J134" s="37">
        <v>5</v>
      </c>
      <c r="K134" s="16">
        <v>16</v>
      </c>
      <c r="L134" s="16">
        <v>40</v>
      </c>
      <c r="M134" s="16">
        <v>0</v>
      </c>
      <c r="N134" s="16">
        <v>0</v>
      </c>
      <c r="O134" s="16">
        <v>140</v>
      </c>
      <c r="P134" s="16">
        <v>0</v>
      </c>
      <c r="Q134" s="16">
        <v>0</v>
      </c>
      <c r="R134" s="16">
        <v>0</v>
      </c>
      <c r="S134" s="16">
        <v>0</v>
      </c>
      <c r="T134" s="16">
        <v>0</v>
      </c>
      <c r="U134" s="16">
        <v>0</v>
      </c>
      <c r="V134" s="16">
        <v>0</v>
      </c>
      <c r="W134" s="16">
        <v>7</v>
      </c>
      <c r="X134" s="16">
        <v>0</v>
      </c>
      <c r="Y134" s="16">
        <v>0</v>
      </c>
      <c r="Z134" s="16">
        <v>0</v>
      </c>
      <c r="AA134" s="16">
        <v>0</v>
      </c>
      <c r="AB134" s="16">
        <v>0</v>
      </c>
      <c r="AC134" s="18">
        <v>0</v>
      </c>
      <c r="AD134" s="18">
        <v>0</v>
      </c>
      <c r="AE134" s="18">
        <v>28</v>
      </c>
      <c r="AF134" s="18">
        <v>0</v>
      </c>
      <c r="AG134" s="18">
        <v>0</v>
      </c>
      <c r="AH134" s="18">
        <v>0</v>
      </c>
      <c r="AI134" s="28">
        <v>0</v>
      </c>
      <c r="AJ134" s="18">
        <v>1.4E-2</v>
      </c>
      <c r="AK134" s="18">
        <v>20011</v>
      </c>
      <c r="AL134" s="16">
        <v>2</v>
      </c>
      <c r="AM134" s="18">
        <v>24000</v>
      </c>
      <c r="AN134" s="16" t="s">
        <v>48</v>
      </c>
      <c r="AO134" s="16" t="s">
        <v>749</v>
      </c>
    </row>
    <row r="135" spans="1:41" ht="16.5">
      <c r="A135" s="16">
        <v>20660</v>
      </c>
      <c r="B135" s="23" t="s">
        <v>894</v>
      </c>
      <c r="C135" s="23" t="s">
        <v>167</v>
      </c>
      <c r="D135" s="19" t="s">
        <v>126</v>
      </c>
      <c r="E135" s="17">
        <v>11029</v>
      </c>
      <c r="F135" s="37">
        <v>10000</v>
      </c>
      <c r="G135" s="16">
        <v>300</v>
      </c>
      <c r="H135" s="16">
        <v>50</v>
      </c>
      <c r="I135" s="19" t="s">
        <v>718</v>
      </c>
      <c r="J135" s="37">
        <v>5</v>
      </c>
      <c r="K135" s="16">
        <v>16</v>
      </c>
      <c r="L135" s="16">
        <v>40</v>
      </c>
      <c r="M135" s="16">
        <v>0</v>
      </c>
      <c r="N135" s="16">
        <v>0</v>
      </c>
      <c r="O135" s="16">
        <v>140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v>0</v>
      </c>
      <c r="W135" s="16">
        <v>7</v>
      </c>
      <c r="X135" s="16">
        <v>0</v>
      </c>
      <c r="Y135" s="16">
        <v>0</v>
      </c>
      <c r="Z135" s="16">
        <v>0</v>
      </c>
      <c r="AA135" s="16">
        <v>0</v>
      </c>
      <c r="AB135" s="16">
        <v>0</v>
      </c>
      <c r="AC135" s="18">
        <v>0</v>
      </c>
      <c r="AD135" s="18">
        <v>0</v>
      </c>
      <c r="AE135" s="18">
        <v>28</v>
      </c>
      <c r="AF135" s="18">
        <v>0</v>
      </c>
      <c r="AG135" s="18">
        <v>0</v>
      </c>
      <c r="AH135" s="18">
        <v>0</v>
      </c>
      <c r="AI135" s="28">
        <v>0</v>
      </c>
      <c r="AJ135" s="18">
        <v>1.4E-2</v>
      </c>
      <c r="AK135" s="18">
        <v>20011</v>
      </c>
      <c r="AL135" s="16">
        <v>2</v>
      </c>
      <c r="AM135" s="18">
        <v>24000</v>
      </c>
      <c r="AN135" s="16" t="s">
        <v>48</v>
      </c>
      <c r="AO135" s="16" t="s">
        <v>749</v>
      </c>
    </row>
    <row r="136" spans="1:41" ht="16.5">
      <c r="A136" s="16">
        <v>1661</v>
      </c>
      <c r="B136" s="23" t="s">
        <v>895</v>
      </c>
      <c r="C136" s="23" t="s">
        <v>167</v>
      </c>
      <c r="D136" s="19" t="s">
        <v>127</v>
      </c>
      <c r="E136" s="17">
        <v>11030</v>
      </c>
      <c r="F136" s="37">
        <v>10000</v>
      </c>
      <c r="G136" s="16">
        <v>300</v>
      </c>
      <c r="H136" s="16">
        <v>50</v>
      </c>
      <c r="I136" s="19" t="s">
        <v>719</v>
      </c>
      <c r="J136" s="37">
        <v>5</v>
      </c>
      <c r="K136" s="16">
        <v>16</v>
      </c>
      <c r="L136" s="16">
        <v>40</v>
      </c>
      <c r="M136" s="16">
        <v>0</v>
      </c>
      <c r="N136" s="16">
        <v>280</v>
      </c>
      <c r="O136" s="16">
        <v>0</v>
      </c>
      <c r="P136" s="16">
        <v>0</v>
      </c>
      <c r="Q136" s="16">
        <v>0</v>
      </c>
      <c r="R136" s="16">
        <v>0</v>
      </c>
      <c r="S136" s="16">
        <v>0</v>
      </c>
      <c r="T136" s="16">
        <v>0</v>
      </c>
      <c r="U136" s="16">
        <v>0</v>
      </c>
      <c r="V136" s="16">
        <v>14</v>
      </c>
      <c r="W136" s="16">
        <v>0</v>
      </c>
      <c r="X136" s="16">
        <v>0</v>
      </c>
      <c r="Y136" s="16">
        <v>0</v>
      </c>
      <c r="Z136" s="16">
        <v>0</v>
      </c>
      <c r="AA136" s="16">
        <v>0</v>
      </c>
      <c r="AB136" s="16">
        <v>0</v>
      </c>
      <c r="AC136" s="18">
        <v>0</v>
      </c>
      <c r="AD136" s="18">
        <v>56</v>
      </c>
      <c r="AE136" s="18">
        <v>0</v>
      </c>
      <c r="AF136" s="18">
        <v>0</v>
      </c>
      <c r="AG136" s="28">
        <v>0</v>
      </c>
      <c r="AH136" s="18">
        <v>0</v>
      </c>
      <c r="AI136" s="18">
        <v>1.4E-2</v>
      </c>
      <c r="AJ136" s="18">
        <v>0</v>
      </c>
      <c r="AK136" s="18">
        <v>20011</v>
      </c>
      <c r="AL136" s="16">
        <v>1</v>
      </c>
      <c r="AM136" s="18">
        <v>24000</v>
      </c>
      <c r="AN136" s="16" t="s">
        <v>48</v>
      </c>
      <c r="AO136" s="16" t="s">
        <v>750</v>
      </c>
    </row>
    <row r="137" spans="1:41" ht="16.5">
      <c r="A137" s="16">
        <v>1662</v>
      </c>
      <c r="B137" s="23" t="s">
        <v>896</v>
      </c>
      <c r="C137" s="23" t="s">
        <v>167</v>
      </c>
      <c r="D137" s="19" t="s">
        <v>127</v>
      </c>
      <c r="E137" s="17">
        <v>11030</v>
      </c>
      <c r="F137" s="37">
        <v>10000</v>
      </c>
      <c r="G137" s="16">
        <v>300</v>
      </c>
      <c r="H137" s="16">
        <v>50</v>
      </c>
      <c r="I137" s="19" t="s">
        <v>719</v>
      </c>
      <c r="J137" s="37">
        <v>5</v>
      </c>
      <c r="K137" s="16">
        <v>16</v>
      </c>
      <c r="L137" s="16">
        <v>40</v>
      </c>
      <c r="M137" s="16">
        <v>0</v>
      </c>
      <c r="N137" s="16">
        <v>280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v>14</v>
      </c>
      <c r="W137" s="16">
        <v>0</v>
      </c>
      <c r="X137" s="16">
        <v>0</v>
      </c>
      <c r="Y137" s="16">
        <v>0</v>
      </c>
      <c r="Z137" s="16">
        <v>0</v>
      </c>
      <c r="AA137" s="16">
        <v>0</v>
      </c>
      <c r="AB137" s="16">
        <v>0</v>
      </c>
      <c r="AC137" s="18">
        <v>0</v>
      </c>
      <c r="AD137" s="18">
        <v>56</v>
      </c>
      <c r="AE137" s="18">
        <v>0</v>
      </c>
      <c r="AF137" s="18">
        <v>0</v>
      </c>
      <c r="AG137" s="28">
        <v>0</v>
      </c>
      <c r="AH137" s="18">
        <v>0</v>
      </c>
      <c r="AI137" s="18">
        <v>1.4E-2</v>
      </c>
      <c r="AJ137" s="18">
        <v>0</v>
      </c>
      <c r="AK137" s="18">
        <v>20011</v>
      </c>
      <c r="AL137" s="16">
        <v>1</v>
      </c>
      <c r="AM137" s="18">
        <v>24000</v>
      </c>
      <c r="AN137" s="16" t="s">
        <v>48</v>
      </c>
      <c r="AO137" s="16" t="s">
        <v>750</v>
      </c>
    </row>
    <row r="138" spans="1:41" ht="16.5">
      <c r="A138" s="16">
        <v>1663</v>
      </c>
      <c r="B138" s="23" t="s">
        <v>897</v>
      </c>
      <c r="C138" s="23" t="s">
        <v>167</v>
      </c>
      <c r="D138" s="19" t="s">
        <v>127</v>
      </c>
      <c r="E138" s="17">
        <v>11030</v>
      </c>
      <c r="F138" s="37">
        <v>10000</v>
      </c>
      <c r="G138" s="16">
        <v>300</v>
      </c>
      <c r="H138" s="16">
        <v>50</v>
      </c>
      <c r="I138" s="19" t="s">
        <v>719</v>
      </c>
      <c r="J138" s="37">
        <v>5</v>
      </c>
      <c r="K138" s="16">
        <v>16</v>
      </c>
      <c r="L138" s="16">
        <v>40</v>
      </c>
      <c r="M138" s="16">
        <v>0</v>
      </c>
      <c r="N138" s="16">
        <v>280</v>
      </c>
      <c r="O138" s="16">
        <v>0</v>
      </c>
      <c r="P138" s="16">
        <v>0</v>
      </c>
      <c r="Q138" s="16">
        <v>0</v>
      </c>
      <c r="R138" s="16">
        <v>0</v>
      </c>
      <c r="S138" s="16">
        <v>0</v>
      </c>
      <c r="T138" s="16">
        <v>0</v>
      </c>
      <c r="U138" s="16">
        <v>0</v>
      </c>
      <c r="V138" s="16">
        <v>14</v>
      </c>
      <c r="W138" s="16">
        <v>0</v>
      </c>
      <c r="X138" s="16">
        <v>0</v>
      </c>
      <c r="Y138" s="16">
        <v>0</v>
      </c>
      <c r="Z138" s="16">
        <v>0</v>
      </c>
      <c r="AA138" s="16">
        <v>0</v>
      </c>
      <c r="AB138" s="16">
        <v>0</v>
      </c>
      <c r="AC138" s="18">
        <v>0</v>
      </c>
      <c r="AD138" s="18">
        <v>56</v>
      </c>
      <c r="AE138" s="18">
        <v>0</v>
      </c>
      <c r="AF138" s="18">
        <v>0</v>
      </c>
      <c r="AG138" s="28">
        <v>0</v>
      </c>
      <c r="AH138" s="18">
        <v>0</v>
      </c>
      <c r="AI138" s="18">
        <v>1.4E-2</v>
      </c>
      <c r="AJ138" s="18">
        <v>0</v>
      </c>
      <c r="AK138" s="18">
        <v>20011</v>
      </c>
      <c r="AL138" s="16">
        <v>1</v>
      </c>
      <c r="AM138" s="18">
        <v>24000</v>
      </c>
      <c r="AN138" s="16" t="s">
        <v>48</v>
      </c>
      <c r="AO138" s="16" t="s">
        <v>750</v>
      </c>
    </row>
    <row r="139" spans="1:41" ht="16.5">
      <c r="A139" s="16">
        <v>1664</v>
      </c>
      <c r="B139" s="23" t="s">
        <v>898</v>
      </c>
      <c r="C139" s="23" t="s">
        <v>167</v>
      </c>
      <c r="D139" s="19" t="s">
        <v>127</v>
      </c>
      <c r="E139" s="17">
        <v>11030</v>
      </c>
      <c r="F139" s="37">
        <v>10000</v>
      </c>
      <c r="G139" s="16">
        <v>300</v>
      </c>
      <c r="H139" s="16">
        <v>50</v>
      </c>
      <c r="I139" s="19" t="s">
        <v>719</v>
      </c>
      <c r="J139" s="37">
        <v>5</v>
      </c>
      <c r="K139" s="16">
        <v>16</v>
      </c>
      <c r="L139" s="16">
        <v>40</v>
      </c>
      <c r="M139" s="16">
        <v>0</v>
      </c>
      <c r="N139" s="16">
        <v>280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v>14</v>
      </c>
      <c r="W139" s="16">
        <v>0</v>
      </c>
      <c r="X139" s="16">
        <v>0</v>
      </c>
      <c r="Y139" s="16">
        <v>0</v>
      </c>
      <c r="Z139" s="16">
        <v>0</v>
      </c>
      <c r="AA139" s="16">
        <v>0</v>
      </c>
      <c r="AB139" s="16">
        <v>0</v>
      </c>
      <c r="AC139" s="18">
        <v>0</v>
      </c>
      <c r="AD139" s="18">
        <v>56</v>
      </c>
      <c r="AE139" s="18">
        <v>0</v>
      </c>
      <c r="AF139" s="18">
        <v>0</v>
      </c>
      <c r="AG139" s="28">
        <v>0</v>
      </c>
      <c r="AH139" s="18">
        <v>0</v>
      </c>
      <c r="AI139" s="18">
        <v>1.4E-2</v>
      </c>
      <c r="AJ139" s="18">
        <v>0</v>
      </c>
      <c r="AK139" s="18">
        <v>20011</v>
      </c>
      <c r="AL139" s="16">
        <v>1</v>
      </c>
      <c r="AM139" s="18">
        <v>24000</v>
      </c>
      <c r="AN139" s="16" t="s">
        <v>48</v>
      </c>
      <c r="AO139" s="16" t="s">
        <v>750</v>
      </c>
    </row>
    <row r="140" spans="1:41" ht="16.5">
      <c r="A140" s="16">
        <v>2066</v>
      </c>
      <c r="B140" s="23" t="s">
        <v>899</v>
      </c>
      <c r="C140" s="23" t="s">
        <v>167</v>
      </c>
      <c r="D140" s="19" t="s">
        <v>127</v>
      </c>
      <c r="E140" s="17">
        <v>11030</v>
      </c>
      <c r="F140" s="37">
        <v>10000</v>
      </c>
      <c r="G140" s="16">
        <v>300</v>
      </c>
      <c r="H140" s="16">
        <v>50</v>
      </c>
      <c r="I140" s="19" t="s">
        <v>719</v>
      </c>
      <c r="J140" s="37">
        <v>5</v>
      </c>
      <c r="K140" s="16">
        <v>16</v>
      </c>
      <c r="L140" s="16">
        <v>40</v>
      </c>
      <c r="M140" s="16">
        <v>0</v>
      </c>
      <c r="N140" s="16">
        <v>280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14</v>
      </c>
      <c r="W140" s="16">
        <v>0</v>
      </c>
      <c r="X140" s="16">
        <v>0</v>
      </c>
      <c r="Y140" s="16">
        <v>0</v>
      </c>
      <c r="Z140" s="16">
        <v>0</v>
      </c>
      <c r="AA140" s="16">
        <v>0</v>
      </c>
      <c r="AB140" s="16">
        <v>0</v>
      </c>
      <c r="AC140" s="18">
        <v>0</v>
      </c>
      <c r="AD140" s="18">
        <v>56</v>
      </c>
      <c r="AE140" s="18">
        <v>0</v>
      </c>
      <c r="AF140" s="18">
        <v>0</v>
      </c>
      <c r="AG140" s="28">
        <v>0</v>
      </c>
      <c r="AH140" s="18">
        <v>0</v>
      </c>
      <c r="AI140" s="18">
        <v>1.4E-2</v>
      </c>
      <c r="AJ140" s="18">
        <v>0</v>
      </c>
      <c r="AK140" s="18">
        <v>20011</v>
      </c>
      <c r="AL140" s="16">
        <v>1</v>
      </c>
      <c r="AM140" s="18">
        <v>24000</v>
      </c>
      <c r="AN140" s="16" t="s">
        <v>48</v>
      </c>
      <c r="AO140" s="16" t="s">
        <v>750</v>
      </c>
    </row>
    <row r="141" spans="1:41" ht="16.5">
      <c r="A141" s="16">
        <v>20661</v>
      </c>
      <c r="B141" s="23" t="s">
        <v>900</v>
      </c>
      <c r="C141" s="23" t="s">
        <v>167</v>
      </c>
      <c r="D141" s="19" t="s">
        <v>127</v>
      </c>
      <c r="E141" s="17">
        <v>11030</v>
      </c>
      <c r="F141" s="37">
        <v>10000</v>
      </c>
      <c r="G141" s="16">
        <v>300</v>
      </c>
      <c r="H141" s="16">
        <v>50</v>
      </c>
      <c r="I141" s="19" t="s">
        <v>719</v>
      </c>
      <c r="J141" s="37">
        <v>5</v>
      </c>
      <c r="K141" s="16">
        <v>16</v>
      </c>
      <c r="L141" s="16">
        <v>40</v>
      </c>
      <c r="M141" s="16">
        <v>0</v>
      </c>
      <c r="N141" s="16">
        <v>280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v>14</v>
      </c>
      <c r="W141" s="16">
        <v>0</v>
      </c>
      <c r="X141" s="16">
        <v>0</v>
      </c>
      <c r="Y141" s="16">
        <v>0</v>
      </c>
      <c r="Z141" s="16">
        <v>0</v>
      </c>
      <c r="AA141" s="16">
        <v>0</v>
      </c>
      <c r="AB141" s="16">
        <v>0</v>
      </c>
      <c r="AC141" s="18">
        <v>0</v>
      </c>
      <c r="AD141" s="18">
        <v>56</v>
      </c>
      <c r="AE141" s="18">
        <v>0</v>
      </c>
      <c r="AF141" s="18">
        <v>0</v>
      </c>
      <c r="AG141" s="28">
        <v>0</v>
      </c>
      <c r="AH141" s="18">
        <v>0</v>
      </c>
      <c r="AI141" s="18">
        <v>1.4E-2</v>
      </c>
      <c r="AJ141" s="18">
        <v>0</v>
      </c>
      <c r="AK141" s="18">
        <v>20011</v>
      </c>
      <c r="AL141" s="16">
        <v>1</v>
      </c>
      <c r="AM141" s="18">
        <v>24000</v>
      </c>
      <c r="AN141" s="16" t="s">
        <v>48</v>
      </c>
      <c r="AO141" s="16" t="s">
        <v>750</v>
      </c>
    </row>
    <row r="142" spans="1:41" ht="16.5">
      <c r="A142" s="16">
        <v>20662</v>
      </c>
      <c r="B142" s="23" t="s">
        <v>901</v>
      </c>
      <c r="C142" s="23" t="s">
        <v>167</v>
      </c>
      <c r="D142" s="19" t="s">
        <v>127</v>
      </c>
      <c r="E142" s="17">
        <v>11030</v>
      </c>
      <c r="F142" s="37">
        <v>10000</v>
      </c>
      <c r="G142" s="16">
        <v>300</v>
      </c>
      <c r="H142" s="16">
        <v>50</v>
      </c>
      <c r="I142" s="19" t="s">
        <v>719</v>
      </c>
      <c r="J142" s="37">
        <v>5</v>
      </c>
      <c r="K142" s="16">
        <v>16</v>
      </c>
      <c r="L142" s="16">
        <v>40</v>
      </c>
      <c r="M142" s="16">
        <v>0</v>
      </c>
      <c r="N142" s="16">
        <v>280</v>
      </c>
      <c r="O142" s="16">
        <v>0</v>
      </c>
      <c r="P142" s="16">
        <v>0</v>
      </c>
      <c r="Q142" s="16">
        <v>0</v>
      </c>
      <c r="R142" s="16">
        <v>0</v>
      </c>
      <c r="S142" s="16">
        <v>0</v>
      </c>
      <c r="T142" s="16">
        <v>0</v>
      </c>
      <c r="U142" s="16">
        <v>0</v>
      </c>
      <c r="V142" s="16">
        <v>14</v>
      </c>
      <c r="W142" s="16">
        <v>0</v>
      </c>
      <c r="X142" s="16">
        <v>0</v>
      </c>
      <c r="Y142" s="16">
        <v>0</v>
      </c>
      <c r="Z142" s="16">
        <v>0</v>
      </c>
      <c r="AA142" s="16">
        <v>0</v>
      </c>
      <c r="AB142" s="16">
        <v>0</v>
      </c>
      <c r="AC142" s="18">
        <v>0</v>
      </c>
      <c r="AD142" s="18">
        <v>56</v>
      </c>
      <c r="AE142" s="18">
        <v>0</v>
      </c>
      <c r="AF142" s="18">
        <v>0</v>
      </c>
      <c r="AG142" s="28">
        <v>0</v>
      </c>
      <c r="AH142" s="18">
        <v>0</v>
      </c>
      <c r="AI142" s="18">
        <v>1.4E-2</v>
      </c>
      <c r="AJ142" s="18">
        <v>0</v>
      </c>
      <c r="AK142" s="18">
        <v>20011</v>
      </c>
      <c r="AL142" s="16">
        <v>1</v>
      </c>
      <c r="AM142" s="18">
        <v>24000</v>
      </c>
      <c r="AN142" s="16" t="s">
        <v>48</v>
      </c>
      <c r="AO142" s="16" t="s">
        <v>750</v>
      </c>
    </row>
    <row r="143" spans="1:41" ht="16.5">
      <c r="A143" s="16">
        <v>20663</v>
      </c>
      <c r="B143" s="23" t="s">
        <v>902</v>
      </c>
      <c r="C143" s="23" t="s">
        <v>167</v>
      </c>
      <c r="D143" s="19" t="s">
        <v>127</v>
      </c>
      <c r="E143" s="17">
        <v>11030</v>
      </c>
      <c r="F143" s="37">
        <v>10000</v>
      </c>
      <c r="G143" s="16">
        <v>300</v>
      </c>
      <c r="H143" s="16">
        <v>50</v>
      </c>
      <c r="I143" s="19" t="s">
        <v>719</v>
      </c>
      <c r="J143" s="37">
        <v>5</v>
      </c>
      <c r="K143" s="16">
        <v>16</v>
      </c>
      <c r="L143" s="16">
        <v>40</v>
      </c>
      <c r="M143" s="16">
        <v>0</v>
      </c>
      <c r="N143" s="16">
        <v>280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v>14</v>
      </c>
      <c r="W143" s="16">
        <v>0</v>
      </c>
      <c r="X143" s="16">
        <v>0</v>
      </c>
      <c r="Y143" s="16">
        <v>0</v>
      </c>
      <c r="Z143" s="16">
        <v>0</v>
      </c>
      <c r="AA143" s="16">
        <v>0</v>
      </c>
      <c r="AB143" s="16">
        <v>0</v>
      </c>
      <c r="AC143" s="18">
        <v>0</v>
      </c>
      <c r="AD143" s="18">
        <v>56</v>
      </c>
      <c r="AE143" s="18">
        <v>0</v>
      </c>
      <c r="AF143" s="18">
        <v>0</v>
      </c>
      <c r="AG143" s="28">
        <v>0</v>
      </c>
      <c r="AH143" s="18">
        <v>0</v>
      </c>
      <c r="AI143" s="18">
        <v>1.4E-2</v>
      </c>
      <c r="AJ143" s="18">
        <v>0</v>
      </c>
      <c r="AK143" s="18">
        <v>20011</v>
      </c>
      <c r="AL143" s="16">
        <v>1</v>
      </c>
      <c r="AM143" s="18">
        <v>24000</v>
      </c>
      <c r="AN143" s="16" t="s">
        <v>48</v>
      </c>
      <c r="AO143" s="16" t="s">
        <v>750</v>
      </c>
    </row>
    <row r="144" spans="1:41" ht="16.5">
      <c r="A144" s="16">
        <v>20664</v>
      </c>
      <c r="B144" s="23" t="s">
        <v>903</v>
      </c>
      <c r="C144" s="23" t="s">
        <v>167</v>
      </c>
      <c r="D144" s="19" t="s">
        <v>127</v>
      </c>
      <c r="E144" s="17">
        <v>11030</v>
      </c>
      <c r="F144" s="37">
        <v>10000</v>
      </c>
      <c r="G144" s="16">
        <v>300</v>
      </c>
      <c r="H144" s="16">
        <v>50</v>
      </c>
      <c r="I144" s="19" t="s">
        <v>719</v>
      </c>
      <c r="J144" s="37">
        <v>5</v>
      </c>
      <c r="K144" s="16">
        <v>16</v>
      </c>
      <c r="L144" s="16">
        <v>40</v>
      </c>
      <c r="M144" s="16">
        <v>0</v>
      </c>
      <c r="N144" s="16">
        <v>280</v>
      </c>
      <c r="O144" s="16">
        <v>0</v>
      </c>
      <c r="P144" s="16">
        <v>0</v>
      </c>
      <c r="Q144" s="16">
        <v>0</v>
      </c>
      <c r="R144" s="16">
        <v>0</v>
      </c>
      <c r="S144" s="16">
        <v>0</v>
      </c>
      <c r="T144" s="16">
        <v>0</v>
      </c>
      <c r="U144" s="16">
        <v>0</v>
      </c>
      <c r="V144" s="16">
        <v>14</v>
      </c>
      <c r="W144" s="16">
        <v>0</v>
      </c>
      <c r="X144" s="16">
        <v>0</v>
      </c>
      <c r="Y144" s="16">
        <v>0</v>
      </c>
      <c r="Z144" s="16">
        <v>0</v>
      </c>
      <c r="AA144" s="16">
        <v>0</v>
      </c>
      <c r="AB144" s="16">
        <v>0</v>
      </c>
      <c r="AC144" s="18">
        <v>0</v>
      </c>
      <c r="AD144" s="18">
        <v>56</v>
      </c>
      <c r="AE144" s="18">
        <v>0</v>
      </c>
      <c r="AF144" s="18">
        <v>0</v>
      </c>
      <c r="AG144" s="28">
        <v>0</v>
      </c>
      <c r="AH144" s="18">
        <v>0</v>
      </c>
      <c r="AI144" s="18">
        <v>1.4E-2</v>
      </c>
      <c r="AJ144" s="18">
        <v>0</v>
      </c>
      <c r="AK144" s="18">
        <v>20011</v>
      </c>
      <c r="AL144" s="16">
        <v>1</v>
      </c>
      <c r="AM144" s="18">
        <v>24000</v>
      </c>
      <c r="AN144" s="16" t="s">
        <v>48</v>
      </c>
      <c r="AO144" s="16" t="s">
        <v>750</v>
      </c>
    </row>
    <row r="145" spans="1:41" ht="16.5">
      <c r="A145" s="16">
        <v>20665</v>
      </c>
      <c r="B145" s="23" t="s">
        <v>904</v>
      </c>
      <c r="C145" s="23" t="s">
        <v>167</v>
      </c>
      <c r="D145" s="19" t="s">
        <v>127</v>
      </c>
      <c r="E145" s="17">
        <v>11030</v>
      </c>
      <c r="F145" s="37">
        <v>10000</v>
      </c>
      <c r="G145" s="16">
        <v>300</v>
      </c>
      <c r="H145" s="16">
        <v>50</v>
      </c>
      <c r="I145" s="19" t="s">
        <v>719</v>
      </c>
      <c r="J145" s="37">
        <v>5</v>
      </c>
      <c r="K145" s="16">
        <v>16</v>
      </c>
      <c r="L145" s="16">
        <v>40</v>
      </c>
      <c r="M145" s="16">
        <v>0</v>
      </c>
      <c r="N145" s="16">
        <v>280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v>14</v>
      </c>
      <c r="W145" s="16">
        <v>0</v>
      </c>
      <c r="X145" s="16">
        <v>0</v>
      </c>
      <c r="Y145" s="16">
        <v>0</v>
      </c>
      <c r="Z145" s="16">
        <v>0</v>
      </c>
      <c r="AA145" s="16">
        <v>0</v>
      </c>
      <c r="AB145" s="16">
        <v>0</v>
      </c>
      <c r="AC145" s="18">
        <v>0</v>
      </c>
      <c r="AD145" s="18">
        <v>56</v>
      </c>
      <c r="AE145" s="18">
        <v>0</v>
      </c>
      <c r="AF145" s="18">
        <v>0</v>
      </c>
      <c r="AG145" s="28">
        <v>0</v>
      </c>
      <c r="AH145" s="18">
        <v>0</v>
      </c>
      <c r="AI145" s="18">
        <v>1.4E-2</v>
      </c>
      <c r="AJ145" s="18">
        <v>0</v>
      </c>
      <c r="AK145" s="18">
        <v>20011</v>
      </c>
      <c r="AL145" s="16">
        <v>1</v>
      </c>
      <c r="AM145" s="18">
        <v>24000</v>
      </c>
      <c r="AN145" s="16" t="s">
        <v>48</v>
      </c>
      <c r="AO145" s="16" t="s">
        <v>750</v>
      </c>
    </row>
    <row r="146" spans="1:41" ht="16.5">
      <c r="A146" s="16">
        <v>20666</v>
      </c>
      <c r="B146" s="23" t="s">
        <v>905</v>
      </c>
      <c r="C146" s="23" t="s">
        <v>167</v>
      </c>
      <c r="D146" s="19" t="s">
        <v>127</v>
      </c>
      <c r="E146" s="17">
        <v>11030</v>
      </c>
      <c r="F146" s="37">
        <v>10000</v>
      </c>
      <c r="G146" s="16">
        <v>300</v>
      </c>
      <c r="H146" s="16">
        <v>50</v>
      </c>
      <c r="I146" s="19" t="s">
        <v>719</v>
      </c>
      <c r="J146" s="37">
        <v>5</v>
      </c>
      <c r="K146" s="16">
        <v>16</v>
      </c>
      <c r="L146" s="16">
        <v>40</v>
      </c>
      <c r="M146" s="16">
        <v>0</v>
      </c>
      <c r="N146" s="16">
        <v>280</v>
      </c>
      <c r="O146" s="16">
        <v>0</v>
      </c>
      <c r="P146" s="16">
        <v>0</v>
      </c>
      <c r="Q146" s="16">
        <v>0</v>
      </c>
      <c r="R146" s="16">
        <v>0</v>
      </c>
      <c r="S146" s="16">
        <v>0</v>
      </c>
      <c r="T146" s="16">
        <v>0</v>
      </c>
      <c r="U146" s="16">
        <v>0</v>
      </c>
      <c r="V146" s="16">
        <v>14</v>
      </c>
      <c r="W146" s="16">
        <v>0</v>
      </c>
      <c r="X146" s="16">
        <v>0</v>
      </c>
      <c r="Y146" s="16">
        <v>0</v>
      </c>
      <c r="Z146" s="16">
        <v>0</v>
      </c>
      <c r="AA146" s="16">
        <v>0</v>
      </c>
      <c r="AB146" s="16">
        <v>0</v>
      </c>
      <c r="AC146" s="18">
        <v>0</v>
      </c>
      <c r="AD146" s="18">
        <v>56</v>
      </c>
      <c r="AE146" s="18">
        <v>0</v>
      </c>
      <c r="AF146" s="18">
        <v>0</v>
      </c>
      <c r="AG146" s="28">
        <v>0</v>
      </c>
      <c r="AH146" s="18">
        <v>0</v>
      </c>
      <c r="AI146" s="18">
        <v>1.4E-2</v>
      </c>
      <c r="AJ146" s="18">
        <v>0</v>
      </c>
      <c r="AK146" s="18">
        <v>20011</v>
      </c>
      <c r="AL146" s="16">
        <v>1</v>
      </c>
      <c r="AM146" s="18">
        <v>24000</v>
      </c>
      <c r="AN146" s="16" t="s">
        <v>48</v>
      </c>
      <c r="AO146" s="16" t="s">
        <v>750</v>
      </c>
    </row>
    <row r="147" spans="1:41" ht="16.5">
      <c r="A147" s="16">
        <v>20667</v>
      </c>
      <c r="B147" s="23" t="s">
        <v>906</v>
      </c>
      <c r="C147" s="23" t="s">
        <v>167</v>
      </c>
      <c r="D147" s="19" t="s">
        <v>127</v>
      </c>
      <c r="E147" s="17">
        <v>11030</v>
      </c>
      <c r="F147" s="37">
        <v>10000</v>
      </c>
      <c r="G147" s="16">
        <v>300</v>
      </c>
      <c r="H147" s="16">
        <v>50</v>
      </c>
      <c r="I147" s="19" t="s">
        <v>719</v>
      </c>
      <c r="J147" s="37">
        <v>5</v>
      </c>
      <c r="K147" s="16">
        <v>16</v>
      </c>
      <c r="L147" s="16">
        <v>40</v>
      </c>
      <c r="M147" s="16">
        <v>0</v>
      </c>
      <c r="N147" s="16">
        <v>280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v>14</v>
      </c>
      <c r="W147" s="16">
        <v>0</v>
      </c>
      <c r="X147" s="16">
        <v>0</v>
      </c>
      <c r="Y147" s="16">
        <v>0</v>
      </c>
      <c r="Z147" s="16">
        <v>0</v>
      </c>
      <c r="AA147" s="16">
        <v>0</v>
      </c>
      <c r="AB147" s="16">
        <v>0</v>
      </c>
      <c r="AC147" s="18">
        <v>0</v>
      </c>
      <c r="AD147" s="18">
        <v>56</v>
      </c>
      <c r="AE147" s="18">
        <v>0</v>
      </c>
      <c r="AF147" s="18">
        <v>0</v>
      </c>
      <c r="AG147" s="28">
        <v>0</v>
      </c>
      <c r="AH147" s="18">
        <v>0</v>
      </c>
      <c r="AI147" s="18">
        <v>1.4E-2</v>
      </c>
      <c r="AJ147" s="18">
        <v>0</v>
      </c>
      <c r="AK147" s="18">
        <v>20011</v>
      </c>
      <c r="AL147" s="16">
        <v>1</v>
      </c>
      <c r="AM147" s="18">
        <v>24000</v>
      </c>
      <c r="AN147" s="16" t="s">
        <v>48</v>
      </c>
      <c r="AO147" s="16" t="s">
        <v>750</v>
      </c>
    </row>
    <row r="148" spans="1:41" ht="16.5">
      <c r="A148" s="16">
        <v>20668</v>
      </c>
      <c r="B148" s="23" t="s">
        <v>907</v>
      </c>
      <c r="C148" s="23" t="s">
        <v>167</v>
      </c>
      <c r="D148" s="19" t="s">
        <v>127</v>
      </c>
      <c r="E148" s="17">
        <v>11030</v>
      </c>
      <c r="F148" s="37">
        <v>10000</v>
      </c>
      <c r="G148" s="16">
        <v>300</v>
      </c>
      <c r="H148" s="16">
        <v>50</v>
      </c>
      <c r="I148" s="19" t="s">
        <v>719</v>
      </c>
      <c r="J148" s="37">
        <v>5</v>
      </c>
      <c r="K148" s="16">
        <v>16</v>
      </c>
      <c r="L148" s="16">
        <v>40</v>
      </c>
      <c r="M148" s="16">
        <v>0</v>
      </c>
      <c r="N148" s="16">
        <v>280</v>
      </c>
      <c r="O148" s="16">
        <v>0</v>
      </c>
      <c r="P148" s="16">
        <v>0</v>
      </c>
      <c r="Q148" s="16">
        <v>0</v>
      </c>
      <c r="R148" s="16">
        <v>0</v>
      </c>
      <c r="S148" s="16">
        <v>0</v>
      </c>
      <c r="T148" s="16">
        <v>0</v>
      </c>
      <c r="U148" s="16">
        <v>0</v>
      </c>
      <c r="V148" s="16">
        <v>14</v>
      </c>
      <c r="W148" s="16">
        <v>0</v>
      </c>
      <c r="X148" s="16">
        <v>0</v>
      </c>
      <c r="Y148" s="16">
        <v>0</v>
      </c>
      <c r="Z148" s="16">
        <v>0</v>
      </c>
      <c r="AA148" s="16">
        <v>0</v>
      </c>
      <c r="AB148" s="16">
        <v>0</v>
      </c>
      <c r="AC148" s="18">
        <v>0</v>
      </c>
      <c r="AD148" s="18">
        <v>56</v>
      </c>
      <c r="AE148" s="18">
        <v>0</v>
      </c>
      <c r="AF148" s="18">
        <v>0</v>
      </c>
      <c r="AG148" s="28">
        <v>0</v>
      </c>
      <c r="AH148" s="18">
        <v>0</v>
      </c>
      <c r="AI148" s="18">
        <v>1.4E-2</v>
      </c>
      <c r="AJ148" s="18">
        <v>0</v>
      </c>
      <c r="AK148" s="18">
        <v>20011</v>
      </c>
      <c r="AL148" s="16">
        <v>1</v>
      </c>
      <c r="AM148" s="18">
        <v>24000</v>
      </c>
      <c r="AN148" s="16" t="s">
        <v>48</v>
      </c>
      <c r="AO148" s="16" t="s">
        <v>750</v>
      </c>
    </row>
    <row r="149" spans="1:41" ht="16.5">
      <c r="A149" s="16">
        <v>20669</v>
      </c>
      <c r="B149" s="23" t="s">
        <v>908</v>
      </c>
      <c r="C149" s="23" t="s">
        <v>167</v>
      </c>
      <c r="D149" s="19" t="s">
        <v>127</v>
      </c>
      <c r="E149" s="17">
        <v>11030</v>
      </c>
      <c r="F149" s="37">
        <v>10000</v>
      </c>
      <c r="G149" s="16">
        <v>300</v>
      </c>
      <c r="H149" s="16">
        <v>50</v>
      </c>
      <c r="I149" s="19" t="s">
        <v>719</v>
      </c>
      <c r="J149" s="37">
        <v>5</v>
      </c>
      <c r="K149" s="16">
        <v>16</v>
      </c>
      <c r="L149" s="16">
        <v>40</v>
      </c>
      <c r="M149" s="16">
        <v>0</v>
      </c>
      <c r="N149" s="16">
        <v>280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v>14</v>
      </c>
      <c r="W149" s="16">
        <v>0</v>
      </c>
      <c r="X149" s="16">
        <v>0</v>
      </c>
      <c r="Y149" s="16">
        <v>0</v>
      </c>
      <c r="Z149" s="16">
        <v>0</v>
      </c>
      <c r="AA149" s="16">
        <v>0</v>
      </c>
      <c r="AB149" s="16">
        <v>0</v>
      </c>
      <c r="AC149" s="18">
        <v>0</v>
      </c>
      <c r="AD149" s="18">
        <v>56</v>
      </c>
      <c r="AE149" s="18">
        <v>0</v>
      </c>
      <c r="AF149" s="18">
        <v>0</v>
      </c>
      <c r="AG149" s="28">
        <v>0</v>
      </c>
      <c r="AH149" s="18">
        <v>0</v>
      </c>
      <c r="AI149" s="18">
        <v>1.4E-2</v>
      </c>
      <c r="AJ149" s="18">
        <v>0</v>
      </c>
      <c r="AK149" s="18">
        <v>20011</v>
      </c>
      <c r="AL149" s="16">
        <v>1</v>
      </c>
      <c r="AM149" s="18">
        <v>24000</v>
      </c>
      <c r="AN149" s="16" t="s">
        <v>48</v>
      </c>
      <c r="AO149" s="16" t="s">
        <v>750</v>
      </c>
    </row>
    <row r="150" spans="1:41" ht="16.5">
      <c r="A150" s="16">
        <v>20670</v>
      </c>
      <c r="B150" s="23" t="s">
        <v>909</v>
      </c>
      <c r="C150" s="23" t="s">
        <v>167</v>
      </c>
      <c r="D150" s="19" t="s">
        <v>127</v>
      </c>
      <c r="E150" s="17">
        <v>11030</v>
      </c>
      <c r="F150" s="37">
        <v>10000</v>
      </c>
      <c r="G150" s="16">
        <v>300</v>
      </c>
      <c r="H150" s="16">
        <v>50</v>
      </c>
      <c r="I150" s="19" t="s">
        <v>719</v>
      </c>
      <c r="J150" s="37">
        <v>5</v>
      </c>
      <c r="K150" s="16">
        <v>16</v>
      </c>
      <c r="L150" s="16">
        <v>40</v>
      </c>
      <c r="M150" s="16">
        <v>0</v>
      </c>
      <c r="N150" s="16">
        <v>280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14</v>
      </c>
      <c r="W150" s="16">
        <v>0</v>
      </c>
      <c r="X150" s="16">
        <v>0</v>
      </c>
      <c r="Y150" s="16">
        <v>0</v>
      </c>
      <c r="Z150" s="16">
        <v>0</v>
      </c>
      <c r="AA150" s="16">
        <v>0</v>
      </c>
      <c r="AB150" s="16">
        <v>0</v>
      </c>
      <c r="AC150" s="18">
        <v>0</v>
      </c>
      <c r="AD150" s="18">
        <v>56</v>
      </c>
      <c r="AE150" s="18">
        <v>0</v>
      </c>
      <c r="AF150" s="18">
        <v>0</v>
      </c>
      <c r="AG150" s="28">
        <v>0</v>
      </c>
      <c r="AH150" s="18">
        <v>0</v>
      </c>
      <c r="AI150" s="18">
        <v>1.4E-2</v>
      </c>
      <c r="AJ150" s="18">
        <v>0</v>
      </c>
      <c r="AK150" s="18">
        <v>20011</v>
      </c>
      <c r="AL150" s="16">
        <v>1</v>
      </c>
      <c r="AM150" s="18">
        <v>24000</v>
      </c>
      <c r="AN150" s="16" t="s">
        <v>48</v>
      </c>
      <c r="AO150" s="16" t="s">
        <v>750</v>
      </c>
    </row>
    <row r="151" spans="1:41" ht="16.5">
      <c r="A151" s="16">
        <v>1671</v>
      </c>
      <c r="B151" s="23" t="s">
        <v>910</v>
      </c>
      <c r="C151" s="23" t="s">
        <v>167</v>
      </c>
      <c r="D151" s="19" t="s">
        <v>128</v>
      </c>
      <c r="E151" s="17">
        <v>11031</v>
      </c>
      <c r="F151" s="37">
        <v>10000</v>
      </c>
      <c r="G151" s="16">
        <v>300</v>
      </c>
      <c r="H151" s="16">
        <v>50</v>
      </c>
      <c r="I151" s="19" t="s">
        <v>720</v>
      </c>
      <c r="J151" s="37">
        <v>5</v>
      </c>
      <c r="K151" s="16">
        <v>16</v>
      </c>
      <c r="L151" s="16">
        <v>40</v>
      </c>
      <c r="M151" s="16">
        <v>7000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350</v>
      </c>
      <c r="V151" s="16">
        <v>0</v>
      </c>
      <c r="W151" s="16">
        <v>0</v>
      </c>
      <c r="X151" s="16">
        <v>0</v>
      </c>
      <c r="Y151" s="16">
        <v>0</v>
      </c>
      <c r="Z151" s="16">
        <v>0</v>
      </c>
      <c r="AA151" s="16">
        <v>0</v>
      </c>
      <c r="AB151" s="16">
        <v>0</v>
      </c>
      <c r="AC151" s="18">
        <v>1400</v>
      </c>
      <c r="AD151" s="18">
        <v>0</v>
      </c>
      <c r="AE151" s="18">
        <v>0</v>
      </c>
      <c r="AF151" s="18">
        <v>0</v>
      </c>
      <c r="AG151" s="18">
        <v>7.0000000000000001E-3</v>
      </c>
      <c r="AH151" s="18">
        <v>0</v>
      </c>
      <c r="AI151" s="18">
        <v>0</v>
      </c>
      <c r="AJ151" s="28">
        <v>0</v>
      </c>
      <c r="AK151" s="18">
        <v>20011</v>
      </c>
      <c r="AL151" s="16">
        <v>3</v>
      </c>
      <c r="AM151" s="18">
        <v>24000</v>
      </c>
      <c r="AN151" s="16" t="s">
        <v>48</v>
      </c>
      <c r="AO151" s="16" t="s">
        <v>751</v>
      </c>
    </row>
    <row r="152" spans="1:41" ht="16.5">
      <c r="A152" s="16">
        <v>1672</v>
      </c>
      <c r="B152" s="23" t="s">
        <v>911</v>
      </c>
      <c r="C152" s="23" t="s">
        <v>167</v>
      </c>
      <c r="D152" s="19" t="s">
        <v>128</v>
      </c>
      <c r="E152" s="17">
        <v>11031</v>
      </c>
      <c r="F152" s="37">
        <v>10000</v>
      </c>
      <c r="G152" s="16">
        <v>300</v>
      </c>
      <c r="H152" s="16">
        <v>50</v>
      </c>
      <c r="I152" s="19" t="s">
        <v>720</v>
      </c>
      <c r="J152" s="37">
        <v>5</v>
      </c>
      <c r="K152" s="16">
        <v>16</v>
      </c>
      <c r="L152" s="16">
        <v>40</v>
      </c>
      <c r="M152" s="16">
        <v>7000</v>
      </c>
      <c r="N152" s="16">
        <v>0</v>
      </c>
      <c r="O152" s="16">
        <v>0</v>
      </c>
      <c r="P152" s="16">
        <v>0</v>
      </c>
      <c r="Q152" s="16">
        <v>0</v>
      </c>
      <c r="R152" s="16">
        <v>0</v>
      </c>
      <c r="S152" s="16">
        <v>0</v>
      </c>
      <c r="T152" s="16">
        <v>0</v>
      </c>
      <c r="U152" s="16">
        <v>350</v>
      </c>
      <c r="V152" s="16">
        <v>0</v>
      </c>
      <c r="W152" s="16">
        <v>0</v>
      </c>
      <c r="X152" s="16">
        <v>0</v>
      </c>
      <c r="Y152" s="16">
        <v>0</v>
      </c>
      <c r="Z152" s="16">
        <v>0</v>
      </c>
      <c r="AA152" s="16">
        <v>0</v>
      </c>
      <c r="AB152" s="16">
        <v>0</v>
      </c>
      <c r="AC152" s="18">
        <v>1400</v>
      </c>
      <c r="AD152" s="18">
        <v>0</v>
      </c>
      <c r="AE152" s="18">
        <v>0</v>
      </c>
      <c r="AF152" s="18">
        <v>0</v>
      </c>
      <c r="AG152" s="18">
        <v>7.0000000000000001E-3</v>
      </c>
      <c r="AH152" s="18">
        <v>0</v>
      </c>
      <c r="AI152" s="18">
        <v>0</v>
      </c>
      <c r="AJ152" s="28">
        <v>0</v>
      </c>
      <c r="AK152" s="18">
        <v>20011</v>
      </c>
      <c r="AL152" s="16">
        <v>3</v>
      </c>
      <c r="AM152" s="18">
        <v>24000</v>
      </c>
      <c r="AN152" s="16" t="s">
        <v>48</v>
      </c>
      <c r="AO152" s="16" t="s">
        <v>751</v>
      </c>
    </row>
    <row r="153" spans="1:41" ht="16.5">
      <c r="A153" s="16">
        <v>1673</v>
      </c>
      <c r="B153" s="23" t="s">
        <v>912</v>
      </c>
      <c r="C153" s="23" t="s">
        <v>167</v>
      </c>
      <c r="D153" s="19" t="s">
        <v>128</v>
      </c>
      <c r="E153" s="17">
        <v>11031</v>
      </c>
      <c r="F153" s="37">
        <v>10000</v>
      </c>
      <c r="G153" s="16">
        <v>300</v>
      </c>
      <c r="H153" s="16">
        <v>50</v>
      </c>
      <c r="I153" s="19" t="s">
        <v>720</v>
      </c>
      <c r="J153" s="37">
        <v>5</v>
      </c>
      <c r="K153" s="16">
        <v>16</v>
      </c>
      <c r="L153" s="16">
        <v>40</v>
      </c>
      <c r="M153" s="16">
        <v>7000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350</v>
      </c>
      <c r="V153" s="16">
        <v>0</v>
      </c>
      <c r="W153" s="16">
        <v>0</v>
      </c>
      <c r="X153" s="16">
        <v>0</v>
      </c>
      <c r="Y153" s="16">
        <v>0</v>
      </c>
      <c r="Z153" s="16">
        <v>0</v>
      </c>
      <c r="AA153" s="16">
        <v>0</v>
      </c>
      <c r="AB153" s="16">
        <v>0</v>
      </c>
      <c r="AC153" s="18">
        <v>1400</v>
      </c>
      <c r="AD153" s="18">
        <v>0</v>
      </c>
      <c r="AE153" s="18">
        <v>0</v>
      </c>
      <c r="AF153" s="18">
        <v>0</v>
      </c>
      <c r="AG153" s="18">
        <v>7.0000000000000001E-3</v>
      </c>
      <c r="AH153" s="18">
        <v>0</v>
      </c>
      <c r="AI153" s="18">
        <v>0</v>
      </c>
      <c r="AJ153" s="28">
        <v>0</v>
      </c>
      <c r="AK153" s="18">
        <v>20011</v>
      </c>
      <c r="AL153" s="16">
        <v>3</v>
      </c>
      <c r="AM153" s="18">
        <v>24000</v>
      </c>
      <c r="AN153" s="16" t="s">
        <v>48</v>
      </c>
      <c r="AO153" s="16" t="s">
        <v>751</v>
      </c>
    </row>
    <row r="154" spans="1:41" ht="16.5">
      <c r="A154" s="16">
        <v>1674</v>
      </c>
      <c r="B154" s="23" t="s">
        <v>913</v>
      </c>
      <c r="C154" s="23" t="s">
        <v>167</v>
      </c>
      <c r="D154" s="19" t="s">
        <v>128</v>
      </c>
      <c r="E154" s="17">
        <v>11031</v>
      </c>
      <c r="F154" s="37">
        <v>10000</v>
      </c>
      <c r="G154" s="16">
        <v>300</v>
      </c>
      <c r="H154" s="16">
        <v>50</v>
      </c>
      <c r="I154" s="19" t="s">
        <v>720</v>
      </c>
      <c r="J154" s="37">
        <v>5</v>
      </c>
      <c r="K154" s="16">
        <v>16</v>
      </c>
      <c r="L154" s="16">
        <v>40</v>
      </c>
      <c r="M154" s="16">
        <v>7000</v>
      </c>
      <c r="N154" s="16">
        <v>0</v>
      </c>
      <c r="O154" s="16">
        <v>0</v>
      </c>
      <c r="P154" s="16">
        <v>0</v>
      </c>
      <c r="Q154" s="16">
        <v>0</v>
      </c>
      <c r="R154" s="16">
        <v>0</v>
      </c>
      <c r="S154" s="16">
        <v>0</v>
      </c>
      <c r="T154" s="16">
        <v>0</v>
      </c>
      <c r="U154" s="16">
        <v>350</v>
      </c>
      <c r="V154" s="16">
        <v>0</v>
      </c>
      <c r="W154" s="16">
        <v>0</v>
      </c>
      <c r="X154" s="16">
        <v>0</v>
      </c>
      <c r="Y154" s="16">
        <v>0</v>
      </c>
      <c r="Z154" s="16">
        <v>0</v>
      </c>
      <c r="AA154" s="16">
        <v>0</v>
      </c>
      <c r="AB154" s="16">
        <v>0</v>
      </c>
      <c r="AC154" s="18">
        <v>1400</v>
      </c>
      <c r="AD154" s="18">
        <v>0</v>
      </c>
      <c r="AE154" s="18">
        <v>0</v>
      </c>
      <c r="AF154" s="18">
        <v>0</v>
      </c>
      <c r="AG154" s="18">
        <v>7.0000000000000001E-3</v>
      </c>
      <c r="AH154" s="18">
        <v>0</v>
      </c>
      <c r="AI154" s="18">
        <v>0</v>
      </c>
      <c r="AJ154" s="28">
        <v>0</v>
      </c>
      <c r="AK154" s="18">
        <v>20011</v>
      </c>
      <c r="AL154" s="16">
        <v>3</v>
      </c>
      <c r="AM154" s="18">
        <v>24000</v>
      </c>
      <c r="AN154" s="16" t="s">
        <v>48</v>
      </c>
      <c r="AO154" s="16" t="s">
        <v>751</v>
      </c>
    </row>
    <row r="155" spans="1:41" ht="16.5">
      <c r="A155" s="16">
        <v>2067</v>
      </c>
      <c r="B155" s="23" t="s">
        <v>914</v>
      </c>
      <c r="C155" s="23" t="s">
        <v>167</v>
      </c>
      <c r="D155" s="19" t="s">
        <v>128</v>
      </c>
      <c r="E155" s="17">
        <v>11031</v>
      </c>
      <c r="F155" s="37">
        <v>10000</v>
      </c>
      <c r="G155" s="16">
        <v>300</v>
      </c>
      <c r="H155" s="16">
        <v>50</v>
      </c>
      <c r="I155" s="19" t="s">
        <v>720</v>
      </c>
      <c r="J155" s="37">
        <v>5</v>
      </c>
      <c r="K155" s="16">
        <v>16</v>
      </c>
      <c r="L155" s="16">
        <v>40</v>
      </c>
      <c r="M155" s="16">
        <v>7000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350</v>
      </c>
      <c r="V155" s="16">
        <v>0</v>
      </c>
      <c r="W155" s="16">
        <v>0</v>
      </c>
      <c r="X155" s="16">
        <v>0</v>
      </c>
      <c r="Y155" s="16">
        <v>0</v>
      </c>
      <c r="Z155" s="16">
        <v>0</v>
      </c>
      <c r="AA155" s="16">
        <v>0</v>
      </c>
      <c r="AB155" s="16">
        <v>0</v>
      </c>
      <c r="AC155" s="18">
        <v>1400</v>
      </c>
      <c r="AD155" s="18">
        <v>0</v>
      </c>
      <c r="AE155" s="18">
        <v>0</v>
      </c>
      <c r="AF155" s="18">
        <v>0</v>
      </c>
      <c r="AG155" s="18">
        <v>7.0000000000000001E-3</v>
      </c>
      <c r="AH155" s="18">
        <v>0</v>
      </c>
      <c r="AI155" s="18">
        <v>0</v>
      </c>
      <c r="AJ155" s="28">
        <v>0</v>
      </c>
      <c r="AK155" s="18">
        <v>20011</v>
      </c>
      <c r="AL155" s="16">
        <v>3</v>
      </c>
      <c r="AM155" s="18">
        <v>24000</v>
      </c>
      <c r="AN155" s="16" t="s">
        <v>48</v>
      </c>
      <c r="AO155" s="16" t="s">
        <v>751</v>
      </c>
    </row>
    <row r="156" spans="1:41" ht="16.5">
      <c r="A156" s="16">
        <v>20671</v>
      </c>
      <c r="B156" s="23" t="s">
        <v>915</v>
      </c>
      <c r="C156" s="23" t="s">
        <v>167</v>
      </c>
      <c r="D156" s="19" t="s">
        <v>128</v>
      </c>
      <c r="E156" s="17">
        <v>11031</v>
      </c>
      <c r="F156" s="37">
        <v>10000</v>
      </c>
      <c r="G156" s="16">
        <v>300</v>
      </c>
      <c r="H156" s="16">
        <v>50</v>
      </c>
      <c r="I156" s="19" t="s">
        <v>720</v>
      </c>
      <c r="J156" s="37">
        <v>5</v>
      </c>
      <c r="K156" s="16">
        <v>16</v>
      </c>
      <c r="L156" s="16">
        <v>40</v>
      </c>
      <c r="M156" s="16">
        <v>7000</v>
      </c>
      <c r="N156" s="16">
        <v>0</v>
      </c>
      <c r="O156" s="16">
        <v>0</v>
      </c>
      <c r="P156" s="16">
        <v>0</v>
      </c>
      <c r="Q156" s="16">
        <v>0</v>
      </c>
      <c r="R156" s="16">
        <v>0</v>
      </c>
      <c r="S156" s="16">
        <v>0</v>
      </c>
      <c r="T156" s="16">
        <v>0</v>
      </c>
      <c r="U156" s="16">
        <v>350</v>
      </c>
      <c r="V156" s="16">
        <v>0</v>
      </c>
      <c r="W156" s="16">
        <v>0</v>
      </c>
      <c r="X156" s="16">
        <v>0</v>
      </c>
      <c r="Y156" s="16">
        <v>0</v>
      </c>
      <c r="Z156" s="16">
        <v>0</v>
      </c>
      <c r="AA156" s="16">
        <v>0</v>
      </c>
      <c r="AB156" s="16">
        <v>0</v>
      </c>
      <c r="AC156" s="18">
        <v>1400</v>
      </c>
      <c r="AD156" s="18">
        <v>0</v>
      </c>
      <c r="AE156" s="18">
        <v>0</v>
      </c>
      <c r="AF156" s="18">
        <v>0</v>
      </c>
      <c r="AG156" s="18">
        <v>7.0000000000000001E-3</v>
      </c>
      <c r="AH156" s="18">
        <v>0</v>
      </c>
      <c r="AI156" s="18">
        <v>0</v>
      </c>
      <c r="AJ156" s="28">
        <v>0</v>
      </c>
      <c r="AK156" s="18">
        <v>20011</v>
      </c>
      <c r="AL156" s="16">
        <v>3</v>
      </c>
      <c r="AM156" s="18">
        <v>24000</v>
      </c>
      <c r="AN156" s="16" t="s">
        <v>48</v>
      </c>
      <c r="AO156" s="16" t="s">
        <v>751</v>
      </c>
    </row>
    <row r="157" spans="1:41" ht="16.5">
      <c r="A157" s="16">
        <v>20672</v>
      </c>
      <c r="B157" s="23" t="s">
        <v>916</v>
      </c>
      <c r="C157" s="23" t="s">
        <v>167</v>
      </c>
      <c r="D157" s="19" t="s">
        <v>128</v>
      </c>
      <c r="E157" s="17">
        <v>11031</v>
      </c>
      <c r="F157" s="37">
        <v>10000</v>
      </c>
      <c r="G157" s="16">
        <v>300</v>
      </c>
      <c r="H157" s="16">
        <v>50</v>
      </c>
      <c r="I157" s="19" t="s">
        <v>720</v>
      </c>
      <c r="J157" s="37">
        <v>5</v>
      </c>
      <c r="K157" s="16">
        <v>16</v>
      </c>
      <c r="L157" s="16">
        <v>40</v>
      </c>
      <c r="M157" s="16">
        <v>7000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350</v>
      </c>
      <c r="V157" s="16">
        <v>0</v>
      </c>
      <c r="W157" s="16">
        <v>0</v>
      </c>
      <c r="X157" s="16">
        <v>0</v>
      </c>
      <c r="Y157" s="16">
        <v>0</v>
      </c>
      <c r="Z157" s="16">
        <v>0</v>
      </c>
      <c r="AA157" s="16">
        <v>0</v>
      </c>
      <c r="AB157" s="16">
        <v>0</v>
      </c>
      <c r="AC157" s="18">
        <v>1400</v>
      </c>
      <c r="AD157" s="18">
        <v>0</v>
      </c>
      <c r="AE157" s="18">
        <v>0</v>
      </c>
      <c r="AF157" s="18">
        <v>0</v>
      </c>
      <c r="AG157" s="18">
        <v>7.0000000000000001E-3</v>
      </c>
      <c r="AH157" s="18">
        <v>0</v>
      </c>
      <c r="AI157" s="18">
        <v>0</v>
      </c>
      <c r="AJ157" s="28">
        <v>0</v>
      </c>
      <c r="AK157" s="18">
        <v>20011</v>
      </c>
      <c r="AL157" s="16">
        <v>3</v>
      </c>
      <c r="AM157" s="18">
        <v>24000</v>
      </c>
      <c r="AN157" s="16" t="s">
        <v>48</v>
      </c>
      <c r="AO157" s="16" t="s">
        <v>751</v>
      </c>
    </row>
    <row r="158" spans="1:41" ht="16.5">
      <c r="A158" s="16">
        <v>20673</v>
      </c>
      <c r="B158" s="23" t="s">
        <v>917</v>
      </c>
      <c r="C158" s="23" t="s">
        <v>167</v>
      </c>
      <c r="D158" s="19" t="s">
        <v>128</v>
      </c>
      <c r="E158" s="17">
        <v>11031</v>
      </c>
      <c r="F158" s="37">
        <v>10000</v>
      </c>
      <c r="G158" s="16">
        <v>300</v>
      </c>
      <c r="H158" s="16">
        <v>50</v>
      </c>
      <c r="I158" s="19" t="s">
        <v>720</v>
      </c>
      <c r="J158" s="37">
        <v>5</v>
      </c>
      <c r="K158" s="16">
        <v>16</v>
      </c>
      <c r="L158" s="16">
        <v>40</v>
      </c>
      <c r="M158" s="16">
        <v>7000</v>
      </c>
      <c r="N158" s="16">
        <v>0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T158" s="16">
        <v>0</v>
      </c>
      <c r="U158" s="16">
        <v>350</v>
      </c>
      <c r="V158" s="16">
        <v>0</v>
      </c>
      <c r="W158" s="16">
        <v>0</v>
      </c>
      <c r="X158" s="16">
        <v>0</v>
      </c>
      <c r="Y158" s="16">
        <v>0</v>
      </c>
      <c r="Z158" s="16">
        <v>0</v>
      </c>
      <c r="AA158" s="16">
        <v>0</v>
      </c>
      <c r="AB158" s="16">
        <v>0</v>
      </c>
      <c r="AC158" s="18">
        <v>1400</v>
      </c>
      <c r="AD158" s="18">
        <v>0</v>
      </c>
      <c r="AE158" s="18">
        <v>0</v>
      </c>
      <c r="AF158" s="18">
        <v>0</v>
      </c>
      <c r="AG158" s="18">
        <v>7.0000000000000001E-3</v>
      </c>
      <c r="AH158" s="18">
        <v>0</v>
      </c>
      <c r="AI158" s="18">
        <v>0</v>
      </c>
      <c r="AJ158" s="28">
        <v>0</v>
      </c>
      <c r="AK158" s="18">
        <v>20011</v>
      </c>
      <c r="AL158" s="16">
        <v>3</v>
      </c>
      <c r="AM158" s="18">
        <v>24000</v>
      </c>
      <c r="AN158" s="16" t="s">
        <v>48</v>
      </c>
      <c r="AO158" s="16" t="s">
        <v>751</v>
      </c>
    </row>
    <row r="159" spans="1:41" ht="16.5">
      <c r="A159" s="16">
        <v>20674</v>
      </c>
      <c r="B159" s="23" t="s">
        <v>918</v>
      </c>
      <c r="C159" s="23" t="s">
        <v>167</v>
      </c>
      <c r="D159" s="19" t="s">
        <v>128</v>
      </c>
      <c r="E159" s="17">
        <v>11031</v>
      </c>
      <c r="F159" s="37">
        <v>10000</v>
      </c>
      <c r="G159" s="16">
        <v>300</v>
      </c>
      <c r="H159" s="16">
        <v>50</v>
      </c>
      <c r="I159" s="19" t="s">
        <v>720</v>
      </c>
      <c r="J159" s="37">
        <v>5</v>
      </c>
      <c r="K159" s="16">
        <v>16</v>
      </c>
      <c r="L159" s="16">
        <v>40</v>
      </c>
      <c r="M159" s="16">
        <v>7000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350</v>
      </c>
      <c r="V159" s="16">
        <v>0</v>
      </c>
      <c r="W159" s="16">
        <v>0</v>
      </c>
      <c r="X159" s="16">
        <v>0</v>
      </c>
      <c r="Y159" s="16">
        <v>0</v>
      </c>
      <c r="Z159" s="16">
        <v>0</v>
      </c>
      <c r="AA159" s="16">
        <v>0</v>
      </c>
      <c r="AB159" s="16">
        <v>0</v>
      </c>
      <c r="AC159" s="18">
        <v>1400</v>
      </c>
      <c r="AD159" s="18">
        <v>0</v>
      </c>
      <c r="AE159" s="18">
        <v>0</v>
      </c>
      <c r="AF159" s="18">
        <v>0</v>
      </c>
      <c r="AG159" s="18">
        <v>7.0000000000000001E-3</v>
      </c>
      <c r="AH159" s="18">
        <v>0</v>
      </c>
      <c r="AI159" s="18">
        <v>0</v>
      </c>
      <c r="AJ159" s="28">
        <v>0</v>
      </c>
      <c r="AK159" s="18">
        <v>20011</v>
      </c>
      <c r="AL159" s="16">
        <v>3</v>
      </c>
      <c r="AM159" s="18">
        <v>24000</v>
      </c>
      <c r="AN159" s="16" t="s">
        <v>48</v>
      </c>
      <c r="AO159" s="16" t="s">
        <v>751</v>
      </c>
    </row>
    <row r="160" spans="1:41" ht="16.5">
      <c r="A160" s="16">
        <v>20675</v>
      </c>
      <c r="B160" s="23" t="s">
        <v>919</v>
      </c>
      <c r="C160" s="23" t="s">
        <v>167</v>
      </c>
      <c r="D160" s="19" t="s">
        <v>128</v>
      </c>
      <c r="E160" s="17">
        <v>11031</v>
      </c>
      <c r="F160" s="37">
        <v>10000</v>
      </c>
      <c r="G160" s="16">
        <v>300</v>
      </c>
      <c r="H160" s="16">
        <v>50</v>
      </c>
      <c r="I160" s="19" t="s">
        <v>720</v>
      </c>
      <c r="J160" s="37">
        <v>5</v>
      </c>
      <c r="K160" s="16">
        <v>16</v>
      </c>
      <c r="L160" s="16">
        <v>40</v>
      </c>
      <c r="M160" s="16">
        <v>7000</v>
      </c>
      <c r="N160" s="16">
        <v>0</v>
      </c>
      <c r="O160" s="16">
        <v>0</v>
      </c>
      <c r="P160" s="16">
        <v>0</v>
      </c>
      <c r="Q160" s="16">
        <v>0</v>
      </c>
      <c r="R160" s="16">
        <v>0</v>
      </c>
      <c r="S160" s="16">
        <v>0</v>
      </c>
      <c r="T160" s="16">
        <v>0</v>
      </c>
      <c r="U160" s="16">
        <v>350</v>
      </c>
      <c r="V160" s="16">
        <v>0</v>
      </c>
      <c r="W160" s="16">
        <v>0</v>
      </c>
      <c r="X160" s="16">
        <v>0</v>
      </c>
      <c r="Y160" s="16">
        <v>0</v>
      </c>
      <c r="Z160" s="16">
        <v>0</v>
      </c>
      <c r="AA160" s="16">
        <v>0</v>
      </c>
      <c r="AB160" s="16">
        <v>0</v>
      </c>
      <c r="AC160" s="18">
        <v>1400</v>
      </c>
      <c r="AD160" s="18">
        <v>0</v>
      </c>
      <c r="AE160" s="18">
        <v>0</v>
      </c>
      <c r="AF160" s="18">
        <v>0</v>
      </c>
      <c r="AG160" s="18">
        <v>7.0000000000000001E-3</v>
      </c>
      <c r="AH160" s="18">
        <v>0</v>
      </c>
      <c r="AI160" s="18">
        <v>0</v>
      </c>
      <c r="AJ160" s="28">
        <v>0</v>
      </c>
      <c r="AK160" s="18">
        <v>20011</v>
      </c>
      <c r="AL160" s="16">
        <v>3</v>
      </c>
      <c r="AM160" s="18">
        <v>24000</v>
      </c>
      <c r="AN160" s="16" t="s">
        <v>48</v>
      </c>
      <c r="AO160" s="16" t="s">
        <v>751</v>
      </c>
    </row>
    <row r="161" spans="1:41" ht="16.5">
      <c r="A161" s="16">
        <v>20676</v>
      </c>
      <c r="B161" s="23" t="s">
        <v>920</v>
      </c>
      <c r="C161" s="23" t="s">
        <v>167</v>
      </c>
      <c r="D161" s="19" t="s">
        <v>128</v>
      </c>
      <c r="E161" s="17">
        <v>11031</v>
      </c>
      <c r="F161" s="37">
        <v>10000</v>
      </c>
      <c r="G161" s="16">
        <v>300</v>
      </c>
      <c r="H161" s="16">
        <v>50</v>
      </c>
      <c r="I161" s="19" t="s">
        <v>720</v>
      </c>
      <c r="J161" s="37">
        <v>5</v>
      </c>
      <c r="K161" s="16">
        <v>16</v>
      </c>
      <c r="L161" s="16">
        <v>40</v>
      </c>
      <c r="M161" s="16">
        <v>7000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350</v>
      </c>
      <c r="V161" s="16">
        <v>0</v>
      </c>
      <c r="W161" s="16">
        <v>0</v>
      </c>
      <c r="X161" s="16">
        <v>0</v>
      </c>
      <c r="Y161" s="16">
        <v>0</v>
      </c>
      <c r="Z161" s="16">
        <v>0</v>
      </c>
      <c r="AA161" s="16">
        <v>0</v>
      </c>
      <c r="AB161" s="16">
        <v>0</v>
      </c>
      <c r="AC161" s="18">
        <v>1400</v>
      </c>
      <c r="AD161" s="18">
        <v>0</v>
      </c>
      <c r="AE161" s="18">
        <v>0</v>
      </c>
      <c r="AF161" s="18">
        <v>0</v>
      </c>
      <c r="AG161" s="18">
        <v>7.0000000000000001E-3</v>
      </c>
      <c r="AH161" s="18">
        <v>0</v>
      </c>
      <c r="AI161" s="18">
        <v>0</v>
      </c>
      <c r="AJ161" s="28">
        <v>0</v>
      </c>
      <c r="AK161" s="18">
        <v>20011</v>
      </c>
      <c r="AL161" s="16">
        <v>3</v>
      </c>
      <c r="AM161" s="18">
        <v>24000</v>
      </c>
      <c r="AN161" s="16" t="s">
        <v>48</v>
      </c>
      <c r="AO161" s="16" t="s">
        <v>751</v>
      </c>
    </row>
    <row r="162" spans="1:41" ht="16.5">
      <c r="A162" s="16">
        <v>20677</v>
      </c>
      <c r="B162" s="23" t="s">
        <v>921</v>
      </c>
      <c r="C162" s="23" t="s">
        <v>167</v>
      </c>
      <c r="D162" s="19" t="s">
        <v>128</v>
      </c>
      <c r="E162" s="17">
        <v>11031</v>
      </c>
      <c r="F162" s="37">
        <v>10000</v>
      </c>
      <c r="G162" s="16">
        <v>300</v>
      </c>
      <c r="H162" s="16">
        <v>50</v>
      </c>
      <c r="I162" s="19" t="s">
        <v>720</v>
      </c>
      <c r="J162" s="37">
        <v>5</v>
      </c>
      <c r="K162" s="16">
        <v>16</v>
      </c>
      <c r="L162" s="16">
        <v>40</v>
      </c>
      <c r="M162" s="16">
        <v>7000</v>
      </c>
      <c r="N162" s="16">
        <v>0</v>
      </c>
      <c r="O162" s="16">
        <v>0</v>
      </c>
      <c r="P162" s="16">
        <v>0</v>
      </c>
      <c r="Q162" s="16">
        <v>0</v>
      </c>
      <c r="R162" s="16">
        <v>0</v>
      </c>
      <c r="S162" s="16">
        <v>0</v>
      </c>
      <c r="T162" s="16">
        <v>0</v>
      </c>
      <c r="U162" s="16">
        <v>350</v>
      </c>
      <c r="V162" s="16">
        <v>0</v>
      </c>
      <c r="W162" s="16">
        <v>0</v>
      </c>
      <c r="X162" s="16">
        <v>0</v>
      </c>
      <c r="Y162" s="16">
        <v>0</v>
      </c>
      <c r="Z162" s="16">
        <v>0</v>
      </c>
      <c r="AA162" s="16">
        <v>0</v>
      </c>
      <c r="AB162" s="16">
        <v>0</v>
      </c>
      <c r="AC162" s="18">
        <v>1400</v>
      </c>
      <c r="AD162" s="18">
        <v>0</v>
      </c>
      <c r="AE162" s="18">
        <v>0</v>
      </c>
      <c r="AF162" s="18">
        <v>0</v>
      </c>
      <c r="AG162" s="18">
        <v>7.0000000000000001E-3</v>
      </c>
      <c r="AH162" s="18">
        <v>0</v>
      </c>
      <c r="AI162" s="18">
        <v>0</v>
      </c>
      <c r="AJ162" s="28">
        <v>0</v>
      </c>
      <c r="AK162" s="18">
        <v>20011</v>
      </c>
      <c r="AL162" s="16">
        <v>3</v>
      </c>
      <c r="AM162" s="18">
        <v>24000</v>
      </c>
      <c r="AN162" s="16" t="s">
        <v>48</v>
      </c>
      <c r="AO162" s="16" t="s">
        <v>751</v>
      </c>
    </row>
    <row r="163" spans="1:41" ht="16.5">
      <c r="A163" s="16">
        <v>20678</v>
      </c>
      <c r="B163" s="23" t="s">
        <v>922</v>
      </c>
      <c r="C163" s="23" t="s">
        <v>167</v>
      </c>
      <c r="D163" s="19" t="s">
        <v>128</v>
      </c>
      <c r="E163" s="17">
        <v>11031</v>
      </c>
      <c r="F163" s="37">
        <v>10000</v>
      </c>
      <c r="G163" s="16">
        <v>300</v>
      </c>
      <c r="H163" s="16">
        <v>50</v>
      </c>
      <c r="I163" s="19" t="s">
        <v>720</v>
      </c>
      <c r="J163" s="37">
        <v>5</v>
      </c>
      <c r="K163" s="16">
        <v>16</v>
      </c>
      <c r="L163" s="16">
        <v>40</v>
      </c>
      <c r="M163" s="16">
        <v>7000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350</v>
      </c>
      <c r="V163" s="16">
        <v>0</v>
      </c>
      <c r="W163" s="16">
        <v>0</v>
      </c>
      <c r="X163" s="16">
        <v>0</v>
      </c>
      <c r="Y163" s="16">
        <v>0</v>
      </c>
      <c r="Z163" s="16">
        <v>0</v>
      </c>
      <c r="AA163" s="16">
        <v>0</v>
      </c>
      <c r="AB163" s="16">
        <v>0</v>
      </c>
      <c r="AC163" s="18">
        <v>1400</v>
      </c>
      <c r="AD163" s="18">
        <v>0</v>
      </c>
      <c r="AE163" s="18">
        <v>0</v>
      </c>
      <c r="AF163" s="18">
        <v>0</v>
      </c>
      <c r="AG163" s="18">
        <v>7.0000000000000001E-3</v>
      </c>
      <c r="AH163" s="18">
        <v>0</v>
      </c>
      <c r="AI163" s="18">
        <v>0</v>
      </c>
      <c r="AJ163" s="28">
        <v>0</v>
      </c>
      <c r="AK163" s="18">
        <v>20011</v>
      </c>
      <c r="AL163" s="16">
        <v>3</v>
      </c>
      <c r="AM163" s="18">
        <v>24000</v>
      </c>
      <c r="AN163" s="16" t="s">
        <v>48</v>
      </c>
      <c r="AO163" s="16" t="s">
        <v>751</v>
      </c>
    </row>
    <row r="164" spans="1:41" ht="16.5">
      <c r="A164" s="16">
        <v>20679</v>
      </c>
      <c r="B164" s="23" t="s">
        <v>923</v>
      </c>
      <c r="C164" s="23" t="s">
        <v>167</v>
      </c>
      <c r="D164" s="19" t="s">
        <v>128</v>
      </c>
      <c r="E164" s="17">
        <v>11031</v>
      </c>
      <c r="F164" s="37">
        <v>10000</v>
      </c>
      <c r="G164" s="16">
        <v>300</v>
      </c>
      <c r="H164" s="16">
        <v>50</v>
      </c>
      <c r="I164" s="19" t="s">
        <v>720</v>
      </c>
      <c r="J164" s="37">
        <v>5</v>
      </c>
      <c r="K164" s="16">
        <v>16</v>
      </c>
      <c r="L164" s="16">
        <v>40</v>
      </c>
      <c r="M164" s="16">
        <v>7000</v>
      </c>
      <c r="N164" s="16">
        <v>0</v>
      </c>
      <c r="O164" s="16">
        <v>0</v>
      </c>
      <c r="P164" s="16">
        <v>0</v>
      </c>
      <c r="Q164" s="16">
        <v>0</v>
      </c>
      <c r="R164" s="16">
        <v>0</v>
      </c>
      <c r="S164" s="16">
        <v>0</v>
      </c>
      <c r="T164" s="16">
        <v>0</v>
      </c>
      <c r="U164" s="16">
        <v>350</v>
      </c>
      <c r="V164" s="16">
        <v>0</v>
      </c>
      <c r="W164" s="16">
        <v>0</v>
      </c>
      <c r="X164" s="16">
        <v>0</v>
      </c>
      <c r="Y164" s="16">
        <v>0</v>
      </c>
      <c r="Z164" s="16">
        <v>0</v>
      </c>
      <c r="AA164" s="16">
        <v>0</v>
      </c>
      <c r="AB164" s="16">
        <v>0</v>
      </c>
      <c r="AC164" s="18">
        <v>1400</v>
      </c>
      <c r="AD164" s="18">
        <v>0</v>
      </c>
      <c r="AE164" s="18">
        <v>0</v>
      </c>
      <c r="AF164" s="18">
        <v>0</v>
      </c>
      <c r="AG164" s="18">
        <v>7.0000000000000001E-3</v>
      </c>
      <c r="AH164" s="18">
        <v>0</v>
      </c>
      <c r="AI164" s="18">
        <v>0</v>
      </c>
      <c r="AJ164" s="28">
        <v>0</v>
      </c>
      <c r="AK164" s="18">
        <v>20011</v>
      </c>
      <c r="AL164" s="16">
        <v>3</v>
      </c>
      <c r="AM164" s="18">
        <v>24000</v>
      </c>
      <c r="AN164" s="16" t="s">
        <v>48</v>
      </c>
      <c r="AO164" s="16" t="s">
        <v>751</v>
      </c>
    </row>
    <row r="165" spans="1:41" ht="16.5">
      <c r="A165" s="16">
        <v>20680</v>
      </c>
      <c r="B165" s="23" t="s">
        <v>924</v>
      </c>
      <c r="C165" s="23" t="s">
        <v>167</v>
      </c>
      <c r="D165" s="19" t="s">
        <v>128</v>
      </c>
      <c r="E165" s="17">
        <v>11031</v>
      </c>
      <c r="F165" s="37">
        <v>10000</v>
      </c>
      <c r="G165" s="16">
        <v>300</v>
      </c>
      <c r="H165" s="16">
        <v>50</v>
      </c>
      <c r="I165" s="19" t="s">
        <v>720</v>
      </c>
      <c r="J165" s="37">
        <v>5</v>
      </c>
      <c r="K165" s="16">
        <v>16</v>
      </c>
      <c r="L165" s="16">
        <v>40</v>
      </c>
      <c r="M165" s="16">
        <v>7000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350</v>
      </c>
      <c r="V165" s="16">
        <v>0</v>
      </c>
      <c r="W165" s="16">
        <v>0</v>
      </c>
      <c r="X165" s="16">
        <v>0</v>
      </c>
      <c r="Y165" s="16">
        <v>0</v>
      </c>
      <c r="Z165" s="16">
        <v>0</v>
      </c>
      <c r="AA165" s="16">
        <v>0</v>
      </c>
      <c r="AB165" s="16">
        <v>0</v>
      </c>
      <c r="AC165" s="18">
        <v>1400</v>
      </c>
      <c r="AD165" s="18">
        <v>0</v>
      </c>
      <c r="AE165" s="18">
        <v>0</v>
      </c>
      <c r="AF165" s="18">
        <v>0</v>
      </c>
      <c r="AG165" s="18">
        <v>7.0000000000000001E-3</v>
      </c>
      <c r="AH165" s="18">
        <v>0</v>
      </c>
      <c r="AI165" s="18">
        <v>0</v>
      </c>
      <c r="AJ165" s="28">
        <v>0</v>
      </c>
      <c r="AK165" s="18">
        <v>20011</v>
      </c>
      <c r="AL165" s="16">
        <v>3</v>
      </c>
      <c r="AM165" s="18">
        <v>24000</v>
      </c>
      <c r="AN165" s="16" t="s">
        <v>48</v>
      </c>
      <c r="AO165" s="16" t="s">
        <v>751</v>
      </c>
    </row>
    <row r="166" spans="1:41" ht="16.5">
      <c r="A166" s="16">
        <v>1681</v>
      </c>
      <c r="B166" s="23" t="s">
        <v>926</v>
      </c>
      <c r="C166" s="23" t="s">
        <v>167</v>
      </c>
      <c r="D166" s="19" t="s">
        <v>129</v>
      </c>
      <c r="E166" s="17">
        <v>11032</v>
      </c>
      <c r="F166" s="37">
        <v>10000</v>
      </c>
      <c r="G166" s="16">
        <v>300</v>
      </c>
      <c r="H166" s="16">
        <v>50</v>
      </c>
      <c r="I166" s="19" t="s">
        <v>159</v>
      </c>
      <c r="J166" s="37">
        <v>5</v>
      </c>
      <c r="K166" s="16">
        <v>16</v>
      </c>
      <c r="L166" s="16">
        <v>40</v>
      </c>
      <c r="M166" s="16">
        <v>0</v>
      </c>
      <c r="N166" s="16">
        <v>0</v>
      </c>
      <c r="O166" s="16">
        <v>0</v>
      </c>
      <c r="P166" s="16">
        <v>140</v>
      </c>
      <c r="Q166" s="16">
        <v>0</v>
      </c>
      <c r="R166" s="16">
        <v>0</v>
      </c>
      <c r="S166" s="16">
        <v>0</v>
      </c>
      <c r="T166" s="16">
        <v>0</v>
      </c>
      <c r="U166" s="16">
        <v>0</v>
      </c>
      <c r="V166" s="16">
        <v>0</v>
      </c>
      <c r="W166" s="16">
        <v>0</v>
      </c>
      <c r="X166" s="16">
        <v>7</v>
      </c>
      <c r="Y166" s="16">
        <v>0</v>
      </c>
      <c r="Z166" s="16">
        <v>0</v>
      </c>
      <c r="AA166" s="16">
        <v>0</v>
      </c>
      <c r="AB166" s="16">
        <v>0</v>
      </c>
      <c r="AC166" s="18">
        <v>0</v>
      </c>
      <c r="AD166" s="18">
        <v>0</v>
      </c>
      <c r="AE166" s="18">
        <v>0</v>
      </c>
      <c r="AF166" s="18">
        <v>28</v>
      </c>
      <c r="AG166" s="18">
        <v>0</v>
      </c>
      <c r="AH166" s="18">
        <v>7.0000000000000001E-3</v>
      </c>
      <c r="AI166" s="18">
        <v>0</v>
      </c>
      <c r="AJ166" s="18">
        <v>0</v>
      </c>
      <c r="AK166" s="18">
        <v>20011</v>
      </c>
      <c r="AL166" s="16">
        <v>4</v>
      </c>
      <c r="AM166" s="18">
        <v>24000</v>
      </c>
      <c r="AN166" s="16" t="s">
        <v>48</v>
      </c>
      <c r="AO166" s="16" t="s">
        <v>752</v>
      </c>
    </row>
    <row r="167" spans="1:41" ht="16.5">
      <c r="A167" s="16">
        <v>1682</v>
      </c>
      <c r="B167" s="23" t="s">
        <v>927</v>
      </c>
      <c r="C167" s="23" t="s">
        <v>167</v>
      </c>
      <c r="D167" s="19" t="s">
        <v>129</v>
      </c>
      <c r="E167" s="17">
        <v>11032</v>
      </c>
      <c r="F167" s="37">
        <v>10000</v>
      </c>
      <c r="G167" s="16">
        <v>300</v>
      </c>
      <c r="H167" s="16">
        <v>50</v>
      </c>
      <c r="I167" s="19" t="s">
        <v>159</v>
      </c>
      <c r="J167" s="37">
        <v>5</v>
      </c>
      <c r="K167" s="16">
        <v>16</v>
      </c>
      <c r="L167" s="16">
        <v>40</v>
      </c>
      <c r="M167" s="16">
        <v>0</v>
      </c>
      <c r="N167" s="16">
        <v>0</v>
      </c>
      <c r="O167" s="16">
        <v>0</v>
      </c>
      <c r="P167" s="16">
        <v>140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v>0</v>
      </c>
      <c r="W167" s="16">
        <v>0</v>
      </c>
      <c r="X167" s="16">
        <v>7</v>
      </c>
      <c r="Y167" s="16">
        <v>0</v>
      </c>
      <c r="Z167" s="16">
        <v>0</v>
      </c>
      <c r="AA167" s="16">
        <v>0</v>
      </c>
      <c r="AB167" s="16">
        <v>0</v>
      </c>
      <c r="AC167" s="18">
        <v>0</v>
      </c>
      <c r="AD167" s="18">
        <v>0</v>
      </c>
      <c r="AE167" s="18">
        <v>0</v>
      </c>
      <c r="AF167" s="18">
        <v>28</v>
      </c>
      <c r="AG167" s="18">
        <v>0</v>
      </c>
      <c r="AH167" s="18">
        <v>7.0000000000000001E-3</v>
      </c>
      <c r="AI167" s="18">
        <v>0</v>
      </c>
      <c r="AJ167" s="18">
        <v>0</v>
      </c>
      <c r="AK167" s="18">
        <v>20011</v>
      </c>
      <c r="AL167" s="16">
        <v>4</v>
      </c>
      <c r="AM167" s="18">
        <v>24000</v>
      </c>
      <c r="AN167" s="16" t="s">
        <v>48</v>
      </c>
      <c r="AO167" s="16" t="s">
        <v>752</v>
      </c>
    </row>
    <row r="168" spans="1:41" ht="16.5">
      <c r="A168" s="16">
        <v>1683</v>
      </c>
      <c r="B168" s="23" t="s">
        <v>928</v>
      </c>
      <c r="C168" s="23" t="s">
        <v>167</v>
      </c>
      <c r="D168" s="19" t="s">
        <v>129</v>
      </c>
      <c r="E168" s="17">
        <v>11032</v>
      </c>
      <c r="F168" s="37">
        <v>10000</v>
      </c>
      <c r="G168" s="16">
        <v>300</v>
      </c>
      <c r="H168" s="16">
        <v>50</v>
      </c>
      <c r="I168" s="19" t="s">
        <v>159</v>
      </c>
      <c r="J168" s="37">
        <v>5</v>
      </c>
      <c r="K168" s="16">
        <v>16</v>
      </c>
      <c r="L168" s="16">
        <v>40</v>
      </c>
      <c r="M168" s="16">
        <v>0</v>
      </c>
      <c r="N168" s="16">
        <v>0</v>
      </c>
      <c r="O168" s="16">
        <v>0</v>
      </c>
      <c r="P168" s="16">
        <v>140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0</v>
      </c>
      <c r="X168" s="16">
        <v>7</v>
      </c>
      <c r="Y168" s="16">
        <v>0</v>
      </c>
      <c r="Z168" s="16">
        <v>0</v>
      </c>
      <c r="AA168" s="16">
        <v>0</v>
      </c>
      <c r="AB168" s="16">
        <v>0</v>
      </c>
      <c r="AC168" s="18">
        <v>0</v>
      </c>
      <c r="AD168" s="18">
        <v>0</v>
      </c>
      <c r="AE168" s="18">
        <v>0</v>
      </c>
      <c r="AF168" s="18">
        <v>28</v>
      </c>
      <c r="AG168" s="18">
        <v>0</v>
      </c>
      <c r="AH168" s="18">
        <v>7.0000000000000001E-3</v>
      </c>
      <c r="AI168" s="18">
        <v>0</v>
      </c>
      <c r="AJ168" s="18">
        <v>0</v>
      </c>
      <c r="AK168" s="18">
        <v>20011</v>
      </c>
      <c r="AL168" s="16">
        <v>4</v>
      </c>
      <c r="AM168" s="18">
        <v>24000</v>
      </c>
      <c r="AN168" s="16" t="s">
        <v>48</v>
      </c>
      <c r="AO168" s="16" t="s">
        <v>752</v>
      </c>
    </row>
    <row r="169" spans="1:41" ht="16.5">
      <c r="A169" s="16">
        <v>1684</v>
      </c>
      <c r="B169" s="23" t="s">
        <v>929</v>
      </c>
      <c r="C169" s="23" t="s">
        <v>167</v>
      </c>
      <c r="D169" s="19" t="s">
        <v>129</v>
      </c>
      <c r="E169" s="17">
        <v>11032</v>
      </c>
      <c r="F169" s="37">
        <v>10000</v>
      </c>
      <c r="G169" s="16">
        <v>300</v>
      </c>
      <c r="H169" s="16">
        <v>50</v>
      </c>
      <c r="I169" s="19" t="s">
        <v>159</v>
      </c>
      <c r="J169" s="37">
        <v>5</v>
      </c>
      <c r="K169" s="16">
        <v>16</v>
      </c>
      <c r="L169" s="16">
        <v>40</v>
      </c>
      <c r="M169" s="16">
        <v>0</v>
      </c>
      <c r="N169" s="16">
        <v>0</v>
      </c>
      <c r="O169" s="16">
        <v>0</v>
      </c>
      <c r="P169" s="16">
        <v>140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v>0</v>
      </c>
      <c r="W169" s="16">
        <v>0</v>
      </c>
      <c r="X169" s="16">
        <v>7</v>
      </c>
      <c r="Y169" s="16">
        <v>0</v>
      </c>
      <c r="Z169" s="16">
        <v>0</v>
      </c>
      <c r="AA169" s="16">
        <v>0</v>
      </c>
      <c r="AB169" s="16">
        <v>0</v>
      </c>
      <c r="AC169" s="18">
        <v>0</v>
      </c>
      <c r="AD169" s="18">
        <v>0</v>
      </c>
      <c r="AE169" s="18">
        <v>0</v>
      </c>
      <c r="AF169" s="18">
        <v>28</v>
      </c>
      <c r="AG169" s="18">
        <v>0</v>
      </c>
      <c r="AH169" s="18">
        <v>7.0000000000000001E-3</v>
      </c>
      <c r="AI169" s="18">
        <v>0</v>
      </c>
      <c r="AJ169" s="18">
        <v>0</v>
      </c>
      <c r="AK169" s="18">
        <v>20011</v>
      </c>
      <c r="AL169" s="16">
        <v>4</v>
      </c>
      <c r="AM169" s="18">
        <v>24000</v>
      </c>
      <c r="AN169" s="16" t="s">
        <v>48</v>
      </c>
      <c r="AO169" s="16" t="s">
        <v>752</v>
      </c>
    </row>
    <row r="170" spans="1:41" ht="16.5">
      <c r="A170" s="16">
        <v>2068</v>
      </c>
      <c r="B170" s="23" t="s">
        <v>930</v>
      </c>
      <c r="C170" s="23" t="s">
        <v>167</v>
      </c>
      <c r="D170" s="19" t="s">
        <v>129</v>
      </c>
      <c r="E170" s="17">
        <v>11032</v>
      </c>
      <c r="F170" s="37">
        <v>10000</v>
      </c>
      <c r="G170" s="16">
        <v>300</v>
      </c>
      <c r="H170" s="16">
        <v>50</v>
      </c>
      <c r="I170" s="19" t="s">
        <v>159</v>
      </c>
      <c r="J170" s="37">
        <v>5</v>
      </c>
      <c r="K170" s="16">
        <v>16</v>
      </c>
      <c r="L170" s="16">
        <v>40</v>
      </c>
      <c r="M170" s="16">
        <v>0</v>
      </c>
      <c r="N170" s="16">
        <v>0</v>
      </c>
      <c r="O170" s="16">
        <v>0</v>
      </c>
      <c r="P170" s="16">
        <v>140</v>
      </c>
      <c r="Q170" s="16">
        <v>0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0</v>
      </c>
      <c r="X170" s="16">
        <v>7</v>
      </c>
      <c r="Y170" s="16">
        <v>0</v>
      </c>
      <c r="Z170" s="16">
        <v>0</v>
      </c>
      <c r="AA170" s="16">
        <v>0</v>
      </c>
      <c r="AB170" s="16">
        <v>0</v>
      </c>
      <c r="AC170" s="18">
        <v>0</v>
      </c>
      <c r="AD170" s="18">
        <v>0</v>
      </c>
      <c r="AE170" s="18">
        <v>0</v>
      </c>
      <c r="AF170" s="18">
        <v>28</v>
      </c>
      <c r="AG170" s="18">
        <v>0</v>
      </c>
      <c r="AH170" s="18">
        <v>7.0000000000000001E-3</v>
      </c>
      <c r="AI170" s="18">
        <v>0</v>
      </c>
      <c r="AJ170" s="18">
        <v>0</v>
      </c>
      <c r="AK170" s="18">
        <v>20011</v>
      </c>
      <c r="AL170" s="16">
        <v>4</v>
      </c>
      <c r="AM170" s="18">
        <v>24000</v>
      </c>
      <c r="AN170" s="16" t="s">
        <v>48</v>
      </c>
      <c r="AO170" s="16" t="s">
        <v>752</v>
      </c>
    </row>
    <row r="171" spans="1:41" ht="16.5">
      <c r="A171" s="16">
        <v>20681</v>
      </c>
      <c r="B171" s="23" t="s">
        <v>931</v>
      </c>
      <c r="C171" s="23" t="s">
        <v>167</v>
      </c>
      <c r="D171" s="19" t="s">
        <v>129</v>
      </c>
      <c r="E171" s="17">
        <v>11032</v>
      </c>
      <c r="F171" s="37">
        <v>10000</v>
      </c>
      <c r="G171" s="16">
        <v>300</v>
      </c>
      <c r="H171" s="16">
        <v>50</v>
      </c>
      <c r="I171" s="19" t="s">
        <v>159</v>
      </c>
      <c r="J171" s="37">
        <v>5</v>
      </c>
      <c r="K171" s="16">
        <v>16</v>
      </c>
      <c r="L171" s="16">
        <v>40</v>
      </c>
      <c r="M171" s="16">
        <v>0</v>
      </c>
      <c r="N171" s="16">
        <v>0</v>
      </c>
      <c r="O171" s="16">
        <v>0</v>
      </c>
      <c r="P171" s="16">
        <v>140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v>0</v>
      </c>
      <c r="W171" s="16">
        <v>0</v>
      </c>
      <c r="X171" s="16">
        <v>7</v>
      </c>
      <c r="Y171" s="16">
        <v>0</v>
      </c>
      <c r="Z171" s="16">
        <v>0</v>
      </c>
      <c r="AA171" s="16">
        <v>0</v>
      </c>
      <c r="AB171" s="16">
        <v>0</v>
      </c>
      <c r="AC171" s="18">
        <v>0</v>
      </c>
      <c r="AD171" s="18">
        <v>0</v>
      </c>
      <c r="AE171" s="18">
        <v>0</v>
      </c>
      <c r="AF171" s="18">
        <v>28</v>
      </c>
      <c r="AG171" s="18">
        <v>0</v>
      </c>
      <c r="AH171" s="18">
        <v>7.0000000000000001E-3</v>
      </c>
      <c r="AI171" s="18">
        <v>0</v>
      </c>
      <c r="AJ171" s="18">
        <v>0</v>
      </c>
      <c r="AK171" s="18">
        <v>20011</v>
      </c>
      <c r="AL171" s="16">
        <v>4</v>
      </c>
      <c r="AM171" s="18">
        <v>24000</v>
      </c>
      <c r="AN171" s="16" t="s">
        <v>48</v>
      </c>
      <c r="AO171" s="16" t="s">
        <v>752</v>
      </c>
    </row>
    <row r="172" spans="1:41" ht="16.5">
      <c r="A172" s="16">
        <v>20682</v>
      </c>
      <c r="B172" s="23" t="s">
        <v>932</v>
      </c>
      <c r="C172" s="23" t="s">
        <v>167</v>
      </c>
      <c r="D172" s="19" t="s">
        <v>129</v>
      </c>
      <c r="E172" s="17">
        <v>11032</v>
      </c>
      <c r="F172" s="37">
        <v>10000</v>
      </c>
      <c r="G172" s="16">
        <v>300</v>
      </c>
      <c r="H172" s="16">
        <v>50</v>
      </c>
      <c r="I172" s="19" t="s">
        <v>159</v>
      </c>
      <c r="J172" s="37">
        <v>5</v>
      </c>
      <c r="K172" s="16">
        <v>16</v>
      </c>
      <c r="L172" s="16">
        <v>40</v>
      </c>
      <c r="M172" s="16">
        <v>0</v>
      </c>
      <c r="N172" s="16">
        <v>0</v>
      </c>
      <c r="O172" s="16">
        <v>0</v>
      </c>
      <c r="P172" s="16">
        <v>140</v>
      </c>
      <c r="Q172" s="16">
        <v>0</v>
      </c>
      <c r="R172" s="16">
        <v>0</v>
      </c>
      <c r="S172" s="16">
        <v>0</v>
      </c>
      <c r="T172" s="16">
        <v>0</v>
      </c>
      <c r="U172" s="16">
        <v>0</v>
      </c>
      <c r="V172" s="16">
        <v>0</v>
      </c>
      <c r="W172" s="16">
        <v>0</v>
      </c>
      <c r="X172" s="16">
        <v>7</v>
      </c>
      <c r="Y172" s="16">
        <v>0</v>
      </c>
      <c r="Z172" s="16">
        <v>0</v>
      </c>
      <c r="AA172" s="16">
        <v>0</v>
      </c>
      <c r="AB172" s="16">
        <v>0</v>
      </c>
      <c r="AC172" s="18">
        <v>0</v>
      </c>
      <c r="AD172" s="18">
        <v>0</v>
      </c>
      <c r="AE172" s="18">
        <v>0</v>
      </c>
      <c r="AF172" s="18">
        <v>28</v>
      </c>
      <c r="AG172" s="18">
        <v>0</v>
      </c>
      <c r="AH172" s="18">
        <v>7.0000000000000001E-3</v>
      </c>
      <c r="AI172" s="18">
        <v>0</v>
      </c>
      <c r="AJ172" s="18">
        <v>0</v>
      </c>
      <c r="AK172" s="18">
        <v>20011</v>
      </c>
      <c r="AL172" s="16">
        <v>4</v>
      </c>
      <c r="AM172" s="18">
        <v>24000</v>
      </c>
      <c r="AN172" s="16" t="s">
        <v>48</v>
      </c>
      <c r="AO172" s="16" t="s">
        <v>752</v>
      </c>
    </row>
    <row r="173" spans="1:41" ht="16.5">
      <c r="A173" s="16">
        <v>20683</v>
      </c>
      <c r="B173" s="23" t="s">
        <v>933</v>
      </c>
      <c r="C173" s="23" t="s">
        <v>167</v>
      </c>
      <c r="D173" s="19" t="s">
        <v>129</v>
      </c>
      <c r="E173" s="17">
        <v>11032</v>
      </c>
      <c r="F173" s="37">
        <v>10000</v>
      </c>
      <c r="G173" s="16">
        <v>300</v>
      </c>
      <c r="H173" s="16">
        <v>50</v>
      </c>
      <c r="I173" s="19" t="s">
        <v>159</v>
      </c>
      <c r="J173" s="37">
        <v>5</v>
      </c>
      <c r="K173" s="16">
        <v>16</v>
      </c>
      <c r="L173" s="16">
        <v>40</v>
      </c>
      <c r="M173" s="16">
        <v>0</v>
      </c>
      <c r="N173" s="16">
        <v>0</v>
      </c>
      <c r="O173" s="16">
        <v>0</v>
      </c>
      <c r="P173" s="16">
        <v>140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v>0</v>
      </c>
      <c r="W173" s="16">
        <v>0</v>
      </c>
      <c r="X173" s="16">
        <v>7</v>
      </c>
      <c r="Y173" s="16">
        <v>0</v>
      </c>
      <c r="Z173" s="16">
        <v>0</v>
      </c>
      <c r="AA173" s="16">
        <v>0</v>
      </c>
      <c r="AB173" s="16">
        <v>0</v>
      </c>
      <c r="AC173" s="18">
        <v>0</v>
      </c>
      <c r="AD173" s="18">
        <v>0</v>
      </c>
      <c r="AE173" s="18">
        <v>0</v>
      </c>
      <c r="AF173" s="18">
        <v>28</v>
      </c>
      <c r="AG173" s="18">
        <v>0</v>
      </c>
      <c r="AH173" s="18">
        <v>7.0000000000000001E-3</v>
      </c>
      <c r="AI173" s="18">
        <v>0</v>
      </c>
      <c r="AJ173" s="18">
        <v>0</v>
      </c>
      <c r="AK173" s="18">
        <v>20011</v>
      </c>
      <c r="AL173" s="16">
        <v>4</v>
      </c>
      <c r="AM173" s="18">
        <v>24000</v>
      </c>
      <c r="AN173" s="16" t="s">
        <v>48</v>
      </c>
      <c r="AO173" s="16" t="s">
        <v>752</v>
      </c>
    </row>
    <row r="174" spans="1:41" ht="16.5">
      <c r="A174" s="16">
        <v>20684</v>
      </c>
      <c r="B174" s="23" t="s">
        <v>934</v>
      </c>
      <c r="C174" s="23" t="s">
        <v>167</v>
      </c>
      <c r="D174" s="19" t="s">
        <v>129</v>
      </c>
      <c r="E174" s="17">
        <v>11032</v>
      </c>
      <c r="F174" s="37">
        <v>10000</v>
      </c>
      <c r="G174" s="16">
        <v>300</v>
      </c>
      <c r="H174" s="16">
        <v>50</v>
      </c>
      <c r="I174" s="19" t="s">
        <v>159</v>
      </c>
      <c r="J174" s="37">
        <v>5</v>
      </c>
      <c r="K174" s="16">
        <v>16</v>
      </c>
      <c r="L174" s="16">
        <v>40</v>
      </c>
      <c r="M174" s="16">
        <v>0</v>
      </c>
      <c r="N174" s="16">
        <v>0</v>
      </c>
      <c r="O174" s="16">
        <v>0</v>
      </c>
      <c r="P174" s="16">
        <v>140</v>
      </c>
      <c r="Q174" s="16">
        <v>0</v>
      </c>
      <c r="R174" s="16">
        <v>0</v>
      </c>
      <c r="S174" s="16">
        <v>0</v>
      </c>
      <c r="T174" s="16">
        <v>0</v>
      </c>
      <c r="U174" s="16">
        <v>0</v>
      </c>
      <c r="V174" s="16">
        <v>0</v>
      </c>
      <c r="W174" s="16">
        <v>0</v>
      </c>
      <c r="X174" s="16">
        <v>7</v>
      </c>
      <c r="Y174" s="16">
        <v>0</v>
      </c>
      <c r="Z174" s="16">
        <v>0</v>
      </c>
      <c r="AA174" s="16">
        <v>0</v>
      </c>
      <c r="AB174" s="16">
        <v>0</v>
      </c>
      <c r="AC174" s="18">
        <v>0</v>
      </c>
      <c r="AD174" s="18">
        <v>0</v>
      </c>
      <c r="AE174" s="18">
        <v>0</v>
      </c>
      <c r="AF174" s="18">
        <v>28</v>
      </c>
      <c r="AG174" s="18">
        <v>0</v>
      </c>
      <c r="AH174" s="18">
        <v>7.0000000000000001E-3</v>
      </c>
      <c r="AI174" s="18">
        <v>0</v>
      </c>
      <c r="AJ174" s="18">
        <v>0</v>
      </c>
      <c r="AK174" s="18">
        <v>20011</v>
      </c>
      <c r="AL174" s="16">
        <v>4</v>
      </c>
      <c r="AM174" s="18">
        <v>24000</v>
      </c>
      <c r="AN174" s="16" t="s">
        <v>48</v>
      </c>
      <c r="AO174" s="16" t="s">
        <v>752</v>
      </c>
    </row>
    <row r="175" spans="1:41" ht="16.5">
      <c r="A175" s="16">
        <v>20685</v>
      </c>
      <c r="B175" s="23" t="s">
        <v>935</v>
      </c>
      <c r="C175" s="23" t="s">
        <v>167</v>
      </c>
      <c r="D175" s="19" t="s">
        <v>129</v>
      </c>
      <c r="E175" s="17">
        <v>11032</v>
      </c>
      <c r="F175" s="37">
        <v>10000</v>
      </c>
      <c r="G175" s="16">
        <v>300</v>
      </c>
      <c r="H175" s="16">
        <v>50</v>
      </c>
      <c r="I175" s="19" t="s">
        <v>159</v>
      </c>
      <c r="J175" s="37">
        <v>5</v>
      </c>
      <c r="K175" s="16">
        <v>16</v>
      </c>
      <c r="L175" s="16">
        <v>40</v>
      </c>
      <c r="M175" s="16">
        <v>0</v>
      </c>
      <c r="N175" s="16">
        <v>0</v>
      </c>
      <c r="O175" s="16">
        <v>0</v>
      </c>
      <c r="P175" s="16">
        <v>140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v>0</v>
      </c>
      <c r="W175" s="16">
        <v>0</v>
      </c>
      <c r="X175" s="16">
        <v>7</v>
      </c>
      <c r="Y175" s="16">
        <v>0</v>
      </c>
      <c r="Z175" s="16">
        <v>0</v>
      </c>
      <c r="AA175" s="16">
        <v>0</v>
      </c>
      <c r="AB175" s="16">
        <v>0</v>
      </c>
      <c r="AC175" s="18">
        <v>0</v>
      </c>
      <c r="AD175" s="18">
        <v>0</v>
      </c>
      <c r="AE175" s="18">
        <v>0</v>
      </c>
      <c r="AF175" s="18">
        <v>28</v>
      </c>
      <c r="AG175" s="18">
        <v>0</v>
      </c>
      <c r="AH175" s="18">
        <v>7.0000000000000001E-3</v>
      </c>
      <c r="AI175" s="18">
        <v>0</v>
      </c>
      <c r="AJ175" s="18">
        <v>0</v>
      </c>
      <c r="AK175" s="18">
        <v>20011</v>
      </c>
      <c r="AL175" s="16">
        <v>4</v>
      </c>
      <c r="AM175" s="18">
        <v>24000</v>
      </c>
      <c r="AN175" s="16" t="s">
        <v>48</v>
      </c>
      <c r="AO175" s="16" t="s">
        <v>752</v>
      </c>
    </row>
    <row r="176" spans="1:41" ht="16.5">
      <c r="A176" s="16">
        <v>20686</v>
      </c>
      <c r="B176" s="23" t="s">
        <v>936</v>
      </c>
      <c r="C176" s="23" t="s">
        <v>167</v>
      </c>
      <c r="D176" s="19" t="s">
        <v>129</v>
      </c>
      <c r="E176" s="17">
        <v>11032</v>
      </c>
      <c r="F176" s="37">
        <v>10000</v>
      </c>
      <c r="G176" s="16">
        <v>300</v>
      </c>
      <c r="H176" s="16">
        <v>50</v>
      </c>
      <c r="I176" s="19" t="s">
        <v>159</v>
      </c>
      <c r="J176" s="37">
        <v>5</v>
      </c>
      <c r="K176" s="16">
        <v>16</v>
      </c>
      <c r="L176" s="16">
        <v>40</v>
      </c>
      <c r="M176" s="16">
        <v>0</v>
      </c>
      <c r="N176" s="16">
        <v>0</v>
      </c>
      <c r="O176" s="16">
        <v>0</v>
      </c>
      <c r="P176" s="16">
        <v>140</v>
      </c>
      <c r="Q176" s="16">
        <v>0</v>
      </c>
      <c r="R176" s="16">
        <v>0</v>
      </c>
      <c r="S176" s="16">
        <v>0</v>
      </c>
      <c r="T176" s="16">
        <v>0</v>
      </c>
      <c r="U176" s="16">
        <v>0</v>
      </c>
      <c r="V176" s="16">
        <v>0</v>
      </c>
      <c r="W176" s="16">
        <v>0</v>
      </c>
      <c r="X176" s="16">
        <v>7</v>
      </c>
      <c r="Y176" s="16">
        <v>0</v>
      </c>
      <c r="Z176" s="16">
        <v>0</v>
      </c>
      <c r="AA176" s="16">
        <v>0</v>
      </c>
      <c r="AB176" s="16">
        <v>0</v>
      </c>
      <c r="AC176" s="18">
        <v>0</v>
      </c>
      <c r="AD176" s="18">
        <v>0</v>
      </c>
      <c r="AE176" s="18">
        <v>0</v>
      </c>
      <c r="AF176" s="18">
        <v>28</v>
      </c>
      <c r="AG176" s="18">
        <v>0</v>
      </c>
      <c r="AH176" s="18">
        <v>7.0000000000000001E-3</v>
      </c>
      <c r="AI176" s="18">
        <v>0</v>
      </c>
      <c r="AJ176" s="18">
        <v>0</v>
      </c>
      <c r="AK176" s="18">
        <v>20011</v>
      </c>
      <c r="AL176" s="16">
        <v>4</v>
      </c>
      <c r="AM176" s="18">
        <v>24000</v>
      </c>
      <c r="AN176" s="16" t="s">
        <v>48</v>
      </c>
      <c r="AO176" s="16" t="s">
        <v>752</v>
      </c>
    </row>
    <row r="177" spans="1:41" ht="16.5">
      <c r="A177" s="16">
        <v>20687</v>
      </c>
      <c r="B177" s="23" t="s">
        <v>937</v>
      </c>
      <c r="C177" s="23" t="s">
        <v>167</v>
      </c>
      <c r="D177" s="19" t="s">
        <v>129</v>
      </c>
      <c r="E177" s="17">
        <v>11032</v>
      </c>
      <c r="F177" s="37">
        <v>10000</v>
      </c>
      <c r="G177" s="16">
        <v>300</v>
      </c>
      <c r="H177" s="16">
        <v>50</v>
      </c>
      <c r="I177" s="19" t="s">
        <v>159</v>
      </c>
      <c r="J177" s="37">
        <v>5</v>
      </c>
      <c r="K177" s="16">
        <v>16</v>
      </c>
      <c r="L177" s="16">
        <v>40</v>
      </c>
      <c r="M177" s="16">
        <v>0</v>
      </c>
      <c r="N177" s="16">
        <v>0</v>
      </c>
      <c r="O177" s="16">
        <v>0</v>
      </c>
      <c r="P177" s="16">
        <v>140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v>0</v>
      </c>
      <c r="W177" s="16">
        <v>0</v>
      </c>
      <c r="X177" s="16">
        <v>7</v>
      </c>
      <c r="Y177" s="16">
        <v>0</v>
      </c>
      <c r="Z177" s="16">
        <v>0</v>
      </c>
      <c r="AA177" s="16">
        <v>0</v>
      </c>
      <c r="AB177" s="16">
        <v>0</v>
      </c>
      <c r="AC177" s="18">
        <v>0</v>
      </c>
      <c r="AD177" s="18">
        <v>0</v>
      </c>
      <c r="AE177" s="18">
        <v>0</v>
      </c>
      <c r="AF177" s="18">
        <v>28</v>
      </c>
      <c r="AG177" s="18">
        <v>0</v>
      </c>
      <c r="AH177" s="18">
        <v>7.0000000000000001E-3</v>
      </c>
      <c r="AI177" s="18">
        <v>0</v>
      </c>
      <c r="AJ177" s="18">
        <v>0</v>
      </c>
      <c r="AK177" s="18">
        <v>20011</v>
      </c>
      <c r="AL177" s="16">
        <v>4</v>
      </c>
      <c r="AM177" s="18">
        <v>24000</v>
      </c>
      <c r="AN177" s="16" t="s">
        <v>48</v>
      </c>
      <c r="AO177" s="16" t="s">
        <v>752</v>
      </c>
    </row>
    <row r="178" spans="1:41" ht="16.5">
      <c r="A178" s="16">
        <v>20688</v>
      </c>
      <c r="B178" s="23" t="s">
        <v>938</v>
      </c>
      <c r="C178" s="23" t="s">
        <v>167</v>
      </c>
      <c r="D178" s="19" t="s">
        <v>129</v>
      </c>
      <c r="E178" s="17">
        <v>11032</v>
      </c>
      <c r="F178" s="37">
        <v>10000</v>
      </c>
      <c r="G178" s="16">
        <v>300</v>
      </c>
      <c r="H178" s="16">
        <v>50</v>
      </c>
      <c r="I178" s="19" t="s">
        <v>159</v>
      </c>
      <c r="J178" s="37">
        <v>5</v>
      </c>
      <c r="K178" s="16">
        <v>16</v>
      </c>
      <c r="L178" s="16">
        <v>40</v>
      </c>
      <c r="M178" s="16">
        <v>0</v>
      </c>
      <c r="N178" s="16">
        <v>0</v>
      </c>
      <c r="O178" s="16">
        <v>0</v>
      </c>
      <c r="P178" s="16">
        <v>140</v>
      </c>
      <c r="Q178" s="16">
        <v>0</v>
      </c>
      <c r="R178" s="16">
        <v>0</v>
      </c>
      <c r="S178" s="16">
        <v>0</v>
      </c>
      <c r="T178" s="16">
        <v>0</v>
      </c>
      <c r="U178" s="16">
        <v>0</v>
      </c>
      <c r="V178" s="16">
        <v>0</v>
      </c>
      <c r="W178" s="16">
        <v>0</v>
      </c>
      <c r="X178" s="16">
        <v>7</v>
      </c>
      <c r="Y178" s="16">
        <v>0</v>
      </c>
      <c r="Z178" s="16">
        <v>0</v>
      </c>
      <c r="AA178" s="16">
        <v>0</v>
      </c>
      <c r="AB178" s="16">
        <v>0</v>
      </c>
      <c r="AC178" s="18">
        <v>0</v>
      </c>
      <c r="AD178" s="18">
        <v>0</v>
      </c>
      <c r="AE178" s="18">
        <v>0</v>
      </c>
      <c r="AF178" s="18">
        <v>28</v>
      </c>
      <c r="AG178" s="18">
        <v>0</v>
      </c>
      <c r="AH178" s="18">
        <v>7.0000000000000001E-3</v>
      </c>
      <c r="AI178" s="18">
        <v>0</v>
      </c>
      <c r="AJ178" s="18">
        <v>0</v>
      </c>
      <c r="AK178" s="18">
        <v>20011</v>
      </c>
      <c r="AL178" s="16">
        <v>4</v>
      </c>
      <c r="AM178" s="18">
        <v>24000</v>
      </c>
      <c r="AN178" s="16" t="s">
        <v>48</v>
      </c>
      <c r="AO178" s="16" t="s">
        <v>752</v>
      </c>
    </row>
    <row r="179" spans="1:41" ht="16.5">
      <c r="A179" s="16">
        <v>20689</v>
      </c>
      <c r="B179" s="23" t="s">
        <v>939</v>
      </c>
      <c r="C179" s="23" t="s">
        <v>167</v>
      </c>
      <c r="D179" s="19" t="s">
        <v>129</v>
      </c>
      <c r="E179" s="17">
        <v>11032</v>
      </c>
      <c r="F179" s="37">
        <v>10000</v>
      </c>
      <c r="G179" s="16">
        <v>300</v>
      </c>
      <c r="H179" s="16">
        <v>50</v>
      </c>
      <c r="I179" s="19" t="s">
        <v>159</v>
      </c>
      <c r="J179" s="37">
        <v>5</v>
      </c>
      <c r="K179" s="16">
        <v>16</v>
      </c>
      <c r="L179" s="16">
        <v>40</v>
      </c>
      <c r="M179" s="16">
        <v>0</v>
      </c>
      <c r="N179" s="16">
        <v>0</v>
      </c>
      <c r="O179" s="16">
        <v>0</v>
      </c>
      <c r="P179" s="16">
        <v>140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v>0</v>
      </c>
      <c r="W179" s="16">
        <v>0</v>
      </c>
      <c r="X179" s="16">
        <v>7</v>
      </c>
      <c r="Y179" s="16">
        <v>0</v>
      </c>
      <c r="Z179" s="16">
        <v>0</v>
      </c>
      <c r="AA179" s="16">
        <v>0</v>
      </c>
      <c r="AB179" s="16">
        <v>0</v>
      </c>
      <c r="AC179" s="18">
        <v>0</v>
      </c>
      <c r="AD179" s="18">
        <v>0</v>
      </c>
      <c r="AE179" s="18">
        <v>0</v>
      </c>
      <c r="AF179" s="18">
        <v>28</v>
      </c>
      <c r="AG179" s="18">
        <v>0</v>
      </c>
      <c r="AH179" s="18">
        <v>7.0000000000000001E-3</v>
      </c>
      <c r="AI179" s="18">
        <v>0</v>
      </c>
      <c r="AJ179" s="18">
        <v>0</v>
      </c>
      <c r="AK179" s="18">
        <v>20011</v>
      </c>
      <c r="AL179" s="16">
        <v>4</v>
      </c>
      <c r="AM179" s="18">
        <v>24000</v>
      </c>
      <c r="AN179" s="16" t="s">
        <v>48</v>
      </c>
      <c r="AO179" s="16" t="s">
        <v>752</v>
      </c>
    </row>
    <row r="180" spans="1:41" ht="16.5">
      <c r="A180" s="16">
        <v>20690</v>
      </c>
      <c r="B180" s="23" t="s">
        <v>940</v>
      </c>
      <c r="C180" s="23" t="s">
        <v>167</v>
      </c>
      <c r="D180" s="19" t="s">
        <v>129</v>
      </c>
      <c r="E180" s="17">
        <v>11032</v>
      </c>
      <c r="F180" s="37">
        <v>10000</v>
      </c>
      <c r="G180" s="16">
        <v>300</v>
      </c>
      <c r="H180" s="16">
        <v>50</v>
      </c>
      <c r="I180" s="19" t="s">
        <v>159</v>
      </c>
      <c r="J180" s="37">
        <v>5</v>
      </c>
      <c r="K180" s="16">
        <v>16</v>
      </c>
      <c r="L180" s="16">
        <v>40</v>
      </c>
      <c r="M180" s="16">
        <v>0</v>
      </c>
      <c r="N180" s="16">
        <v>0</v>
      </c>
      <c r="O180" s="16">
        <v>0</v>
      </c>
      <c r="P180" s="16">
        <v>140</v>
      </c>
      <c r="Q180" s="16">
        <v>0</v>
      </c>
      <c r="R180" s="16">
        <v>0</v>
      </c>
      <c r="S180" s="16">
        <v>0</v>
      </c>
      <c r="T180" s="16">
        <v>0</v>
      </c>
      <c r="U180" s="16">
        <v>0</v>
      </c>
      <c r="V180" s="16">
        <v>0</v>
      </c>
      <c r="W180" s="16">
        <v>0</v>
      </c>
      <c r="X180" s="16">
        <v>7</v>
      </c>
      <c r="Y180" s="16">
        <v>0</v>
      </c>
      <c r="Z180" s="16">
        <v>0</v>
      </c>
      <c r="AA180" s="16">
        <v>0</v>
      </c>
      <c r="AB180" s="16">
        <v>0</v>
      </c>
      <c r="AC180" s="18">
        <v>0</v>
      </c>
      <c r="AD180" s="18">
        <v>0</v>
      </c>
      <c r="AE180" s="18">
        <v>0</v>
      </c>
      <c r="AF180" s="18">
        <v>28</v>
      </c>
      <c r="AG180" s="18">
        <v>0</v>
      </c>
      <c r="AH180" s="18">
        <v>7.0000000000000001E-3</v>
      </c>
      <c r="AI180" s="18">
        <v>0</v>
      </c>
      <c r="AJ180" s="18">
        <v>0</v>
      </c>
      <c r="AK180" s="18">
        <v>20011</v>
      </c>
      <c r="AL180" s="16">
        <v>4</v>
      </c>
      <c r="AM180" s="18">
        <v>24000</v>
      </c>
      <c r="AN180" s="16" t="s">
        <v>48</v>
      </c>
      <c r="AO180" s="16" t="s">
        <v>752</v>
      </c>
    </row>
    <row r="181" spans="1:41" s="51" customFormat="1" ht="16.5">
      <c r="A181" s="45">
        <v>1611</v>
      </c>
      <c r="B181" s="46" t="s">
        <v>941</v>
      </c>
      <c r="C181" s="46" t="s">
        <v>699</v>
      </c>
      <c r="D181" s="47" t="s">
        <v>72</v>
      </c>
      <c r="E181" s="48">
        <v>11025</v>
      </c>
      <c r="F181" s="67">
        <v>10000</v>
      </c>
      <c r="G181" s="45">
        <v>300</v>
      </c>
      <c r="H181" s="45">
        <v>50</v>
      </c>
      <c r="I181" s="47" t="s">
        <v>718</v>
      </c>
      <c r="J181" s="45">
        <v>4</v>
      </c>
      <c r="K181" s="45">
        <v>13</v>
      </c>
      <c r="L181" s="45">
        <v>40</v>
      </c>
      <c r="M181" s="45">
        <v>0</v>
      </c>
      <c r="N181" s="45">
        <v>0</v>
      </c>
      <c r="O181" s="45">
        <v>120</v>
      </c>
      <c r="P181" s="45">
        <v>0</v>
      </c>
      <c r="Q181" s="45">
        <v>0</v>
      </c>
      <c r="R181" s="45">
        <v>0</v>
      </c>
      <c r="S181" s="45">
        <v>0</v>
      </c>
      <c r="T181" s="45">
        <v>0</v>
      </c>
      <c r="U181" s="45">
        <v>0</v>
      </c>
      <c r="V181" s="45">
        <v>0</v>
      </c>
      <c r="W181" s="45">
        <v>6</v>
      </c>
      <c r="X181" s="45">
        <v>0</v>
      </c>
      <c r="Y181" s="45">
        <v>0</v>
      </c>
      <c r="Z181" s="45">
        <v>0</v>
      </c>
      <c r="AA181" s="45">
        <v>0</v>
      </c>
      <c r="AB181" s="45">
        <v>0</v>
      </c>
      <c r="AC181" s="49">
        <v>0</v>
      </c>
      <c r="AD181" s="49">
        <v>0</v>
      </c>
      <c r="AE181" s="49">
        <v>24</v>
      </c>
      <c r="AF181" s="49">
        <v>0</v>
      </c>
      <c r="AG181" s="50">
        <v>0</v>
      </c>
      <c r="AH181" s="50">
        <v>0</v>
      </c>
      <c r="AI181" s="50">
        <v>0</v>
      </c>
      <c r="AJ181" s="50">
        <v>1.2E-2</v>
      </c>
      <c r="AK181" s="49" t="s">
        <v>713</v>
      </c>
      <c r="AL181" s="45">
        <v>2</v>
      </c>
      <c r="AM181" s="49">
        <v>20000</v>
      </c>
      <c r="AN181" s="45" t="s">
        <v>48</v>
      </c>
      <c r="AO181" s="45" t="s">
        <v>745</v>
      </c>
    </row>
    <row r="182" spans="1:41" s="51" customFormat="1" ht="16.5">
      <c r="A182" s="45">
        <v>1612</v>
      </c>
      <c r="B182" s="46" t="s">
        <v>942</v>
      </c>
      <c r="C182" s="46" t="s">
        <v>699</v>
      </c>
      <c r="D182" s="47" t="s">
        <v>72</v>
      </c>
      <c r="E182" s="48">
        <v>11025</v>
      </c>
      <c r="F182" s="67">
        <v>10000</v>
      </c>
      <c r="G182" s="45">
        <v>300</v>
      </c>
      <c r="H182" s="45">
        <v>50</v>
      </c>
      <c r="I182" s="47" t="s">
        <v>718</v>
      </c>
      <c r="J182" s="45">
        <v>4</v>
      </c>
      <c r="K182" s="45">
        <v>13</v>
      </c>
      <c r="L182" s="45">
        <v>40</v>
      </c>
      <c r="M182" s="45">
        <v>0</v>
      </c>
      <c r="N182" s="45">
        <v>0</v>
      </c>
      <c r="O182" s="45">
        <v>120</v>
      </c>
      <c r="P182" s="45">
        <v>0</v>
      </c>
      <c r="Q182" s="45">
        <v>0</v>
      </c>
      <c r="R182" s="45">
        <v>0</v>
      </c>
      <c r="S182" s="45">
        <v>0</v>
      </c>
      <c r="T182" s="45">
        <v>0</v>
      </c>
      <c r="U182" s="45">
        <v>0</v>
      </c>
      <c r="V182" s="45">
        <v>0</v>
      </c>
      <c r="W182" s="45">
        <v>6</v>
      </c>
      <c r="X182" s="45">
        <v>0</v>
      </c>
      <c r="Y182" s="45">
        <v>0</v>
      </c>
      <c r="Z182" s="45">
        <v>0</v>
      </c>
      <c r="AA182" s="45">
        <v>0</v>
      </c>
      <c r="AB182" s="45">
        <v>0</v>
      </c>
      <c r="AC182" s="49">
        <v>0</v>
      </c>
      <c r="AD182" s="49">
        <v>0</v>
      </c>
      <c r="AE182" s="49">
        <v>24</v>
      </c>
      <c r="AF182" s="49">
        <v>0</v>
      </c>
      <c r="AG182" s="50">
        <v>0</v>
      </c>
      <c r="AH182" s="50">
        <v>0</v>
      </c>
      <c r="AI182" s="50">
        <v>0</v>
      </c>
      <c r="AJ182" s="50">
        <v>1.2E-2</v>
      </c>
      <c r="AK182" s="49" t="s">
        <v>713</v>
      </c>
      <c r="AL182" s="45">
        <v>2</v>
      </c>
      <c r="AM182" s="49">
        <v>20000</v>
      </c>
      <c r="AN182" s="45" t="s">
        <v>48</v>
      </c>
      <c r="AO182" s="45" t="s">
        <v>745</v>
      </c>
    </row>
    <row r="183" spans="1:41" s="51" customFormat="1" ht="16.5">
      <c r="A183" s="45">
        <v>1613</v>
      </c>
      <c r="B183" s="46" t="s">
        <v>943</v>
      </c>
      <c r="C183" s="46" t="s">
        <v>699</v>
      </c>
      <c r="D183" s="47" t="s">
        <v>72</v>
      </c>
      <c r="E183" s="48">
        <v>11025</v>
      </c>
      <c r="F183" s="67">
        <v>10000</v>
      </c>
      <c r="G183" s="45">
        <v>300</v>
      </c>
      <c r="H183" s="45">
        <v>50</v>
      </c>
      <c r="I183" s="47" t="s">
        <v>718</v>
      </c>
      <c r="J183" s="45">
        <v>4</v>
      </c>
      <c r="K183" s="45">
        <v>13</v>
      </c>
      <c r="L183" s="45">
        <v>40</v>
      </c>
      <c r="M183" s="45">
        <v>0</v>
      </c>
      <c r="N183" s="45">
        <v>0</v>
      </c>
      <c r="O183" s="45">
        <v>120</v>
      </c>
      <c r="P183" s="45">
        <v>0</v>
      </c>
      <c r="Q183" s="45">
        <v>0</v>
      </c>
      <c r="R183" s="45">
        <v>0</v>
      </c>
      <c r="S183" s="45">
        <v>0</v>
      </c>
      <c r="T183" s="45">
        <v>0</v>
      </c>
      <c r="U183" s="45">
        <v>0</v>
      </c>
      <c r="V183" s="45">
        <v>0</v>
      </c>
      <c r="W183" s="45">
        <v>6</v>
      </c>
      <c r="X183" s="45">
        <v>0</v>
      </c>
      <c r="Y183" s="45">
        <v>0</v>
      </c>
      <c r="Z183" s="45">
        <v>0</v>
      </c>
      <c r="AA183" s="45">
        <v>0</v>
      </c>
      <c r="AB183" s="45">
        <v>0</v>
      </c>
      <c r="AC183" s="49">
        <v>0</v>
      </c>
      <c r="AD183" s="49">
        <v>0</v>
      </c>
      <c r="AE183" s="49">
        <v>24</v>
      </c>
      <c r="AF183" s="49">
        <v>0</v>
      </c>
      <c r="AG183" s="50">
        <v>0</v>
      </c>
      <c r="AH183" s="50">
        <v>0</v>
      </c>
      <c r="AI183" s="50">
        <v>0</v>
      </c>
      <c r="AJ183" s="50">
        <v>1.2E-2</v>
      </c>
      <c r="AK183" s="49" t="s">
        <v>713</v>
      </c>
      <c r="AL183" s="45">
        <v>2</v>
      </c>
      <c r="AM183" s="49">
        <v>20000</v>
      </c>
      <c r="AN183" s="45" t="s">
        <v>48</v>
      </c>
      <c r="AO183" s="45" t="s">
        <v>745</v>
      </c>
    </row>
    <row r="184" spans="1:41" s="51" customFormat="1" ht="16.5">
      <c r="A184" s="45">
        <v>2061</v>
      </c>
      <c r="B184" s="46" t="s">
        <v>944</v>
      </c>
      <c r="C184" s="46" t="s">
        <v>699</v>
      </c>
      <c r="D184" s="47" t="s">
        <v>72</v>
      </c>
      <c r="E184" s="48">
        <v>11025</v>
      </c>
      <c r="F184" s="67">
        <v>10000</v>
      </c>
      <c r="G184" s="45">
        <v>300</v>
      </c>
      <c r="H184" s="45">
        <v>50</v>
      </c>
      <c r="I184" s="47" t="s">
        <v>718</v>
      </c>
      <c r="J184" s="45">
        <v>4</v>
      </c>
      <c r="K184" s="45">
        <v>13</v>
      </c>
      <c r="L184" s="45">
        <v>40</v>
      </c>
      <c r="M184" s="45">
        <v>0</v>
      </c>
      <c r="N184" s="45">
        <v>0</v>
      </c>
      <c r="O184" s="45">
        <v>120</v>
      </c>
      <c r="P184" s="45">
        <v>0</v>
      </c>
      <c r="Q184" s="45">
        <v>0</v>
      </c>
      <c r="R184" s="45">
        <v>0</v>
      </c>
      <c r="S184" s="45">
        <v>0</v>
      </c>
      <c r="T184" s="45">
        <v>0</v>
      </c>
      <c r="U184" s="45">
        <v>0</v>
      </c>
      <c r="V184" s="45">
        <v>0</v>
      </c>
      <c r="W184" s="45">
        <v>6</v>
      </c>
      <c r="X184" s="45">
        <v>0</v>
      </c>
      <c r="Y184" s="45">
        <v>0</v>
      </c>
      <c r="Z184" s="45">
        <v>0</v>
      </c>
      <c r="AA184" s="45">
        <v>0</v>
      </c>
      <c r="AB184" s="45">
        <v>0</v>
      </c>
      <c r="AC184" s="49">
        <v>0</v>
      </c>
      <c r="AD184" s="49">
        <v>0</v>
      </c>
      <c r="AE184" s="49">
        <v>24</v>
      </c>
      <c r="AF184" s="49">
        <v>0</v>
      </c>
      <c r="AG184" s="50">
        <v>0</v>
      </c>
      <c r="AH184" s="50">
        <v>0</v>
      </c>
      <c r="AI184" s="50">
        <v>0</v>
      </c>
      <c r="AJ184" s="50">
        <v>1.2E-2</v>
      </c>
      <c r="AK184" s="49" t="s">
        <v>713</v>
      </c>
      <c r="AL184" s="45">
        <v>2</v>
      </c>
      <c r="AM184" s="49">
        <v>20000</v>
      </c>
      <c r="AN184" s="45" t="s">
        <v>48</v>
      </c>
      <c r="AO184" s="45" t="s">
        <v>745</v>
      </c>
    </row>
    <row r="185" spans="1:41" ht="16.5">
      <c r="A185" s="45">
        <v>20611</v>
      </c>
      <c r="B185" s="46" t="s">
        <v>945</v>
      </c>
      <c r="C185" s="46" t="s">
        <v>699</v>
      </c>
      <c r="D185" s="47" t="s">
        <v>72</v>
      </c>
      <c r="E185" s="48">
        <v>11025</v>
      </c>
      <c r="F185" s="67">
        <v>10000</v>
      </c>
      <c r="G185" s="45">
        <v>300</v>
      </c>
      <c r="H185" s="45">
        <v>50</v>
      </c>
      <c r="I185" s="47" t="s">
        <v>718</v>
      </c>
      <c r="J185" s="45">
        <v>4</v>
      </c>
      <c r="K185" s="45">
        <v>13</v>
      </c>
      <c r="L185" s="45">
        <v>40</v>
      </c>
      <c r="M185" s="45">
        <v>0</v>
      </c>
      <c r="N185" s="45">
        <v>0</v>
      </c>
      <c r="O185" s="45">
        <v>120</v>
      </c>
      <c r="P185" s="45">
        <v>0</v>
      </c>
      <c r="Q185" s="45">
        <v>0</v>
      </c>
      <c r="R185" s="45">
        <v>0</v>
      </c>
      <c r="S185" s="45">
        <v>0</v>
      </c>
      <c r="T185" s="45">
        <v>0</v>
      </c>
      <c r="U185" s="45">
        <v>0</v>
      </c>
      <c r="V185" s="45">
        <v>0</v>
      </c>
      <c r="W185" s="45">
        <v>6</v>
      </c>
      <c r="X185" s="45">
        <v>0</v>
      </c>
      <c r="Y185" s="45">
        <v>0</v>
      </c>
      <c r="Z185" s="45">
        <v>0</v>
      </c>
      <c r="AA185" s="45">
        <v>0</v>
      </c>
      <c r="AB185" s="45">
        <v>0</v>
      </c>
      <c r="AC185" s="49">
        <v>0</v>
      </c>
      <c r="AD185" s="49">
        <v>0</v>
      </c>
      <c r="AE185" s="49">
        <v>24</v>
      </c>
      <c r="AF185" s="49">
        <v>0</v>
      </c>
      <c r="AG185" s="50">
        <v>0</v>
      </c>
      <c r="AH185" s="50">
        <v>0</v>
      </c>
      <c r="AI185" s="50">
        <v>0</v>
      </c>
      <c r="AJ185" s="50">
        <v>1.2E-2</v>
      </c>
      <c r="AK185" s="49" t="s">
        <v>713</v>
      </c>
      <c r="AL185" s="45">
        <v>2</v>
      </c>
      <c r="AM185" s="49">
        <v>20000</v>
      </c>
      <c r="AN185" s="45" t="s">
        <v>48</v>
      </c>
      <c r="AO185" s="45" t="s">
        <v>745</v>
      </c>
    </row>
    <row r="186" spans="1:41" ht="16.5">
      <c r="A186" s="45">
        <v>20612</v>
      </c>
      <c r="B186" s="46" t="s">
        <v>946</v>
      </c>
      <c r="C186" s="46" t="s">
        <v>699</v>
      </c>
      <c r="D186" s="47" t="s">
        <v>72</v>
      </c>
      <c r="E186" s="48">
        <v>11025</v>
      </c>
      <c r="F186" s="67">
        <v>10000</v>
      </c>
      <c r="G186" s="45">
        <v>300</v>
      </c>
      <c r="H186" s="45">
        <v>50</v>
      </c>
      <c r="I186" s="47" t="s">
        <v>718</v>
      </c>
      <c r="J186" s="45">
        <v>4</v>
      </c>
      <c r="K186" s="45">
        <v>13</v>
      </c>
      <c r="L186" s="45">
        <v>40</v>
      </c>
      <c r="M186" s="45">
        <v>0</v>
      </c>
      <c r="N186" s="45">
        <v>0</v>
      </c>
      <c r="O186" s="45">
        <v>120</v>
      </c>
      <c r="P186" s="45">
        <v>0</v>
      </c>
      <c r="Q186" s="45">
        <v>0</v>
      </c>
      <c r="R186" s="45">
        <v>0</v>
      </c>
      <c r="S186" s="45">
        <v>0</v>
      </c>
      <c r="T186" s="45">
        <v>0</v>
      </c>
      <c r="U186" s="45">
        <v>0</v>
      </c>
      <c r="V186" s="45">
        <v>0</v>
      </c>
      <c r="W186" s="45">
        <v>6</v>
      </c>
      <c r="X186" s="45">
        <v>0</v>
      </c>
      <c r="Y186" s="45">
        <v>0</v>
      </c>
      <c r="Z186" s="45">
        <v>0</v>
      </c>
      <c r="AA186" s="45">
        <v>0</v>
      </c>
      <c r="AB186" s="45">
        <v>0</v>
      </c>
      <c r="AC186" s="49">
        <v>0</v>
      </c>
      <c r="AD186" s="49">
        <v>0</v>
      </c>
      <c r="AE186" s="49">
        <v>24</v>
      </c>
      <c r="AF186" s="49">
        <v>0</v>
      </c>
      <c r="AG186" s="50">
        <v>0</v>
      </c>
      <c r="AH186" s="50">
        <v>0</v>
      </c>
      <c r="AI186" s="50">
        <v>0</v>
      </c>
      <c r="AJ186" s="50">
        <v>1.2E-2</v>
      </c>
      <c r="AK186" s="49" t="s">
        <v>713</v>
      </c>
      <c r="AL186" s="45">
        <v>2</v>
      </c>
      <c r="AM186" s="49">
        <v>20000</v>
      </c>
      <c r="AN186" s="45" t="s">
        <v>48</v>
      </c>
      <c r="AO186" s="45" t="s">
        <v>745</v>
      </c>
    </row>
    <row r="187" spans="1:41" ht="16.5">
      <c r="A187" s="45">
        <v>20613</v>
      </c>
      <c r="B187" s="46" t="s">
        <v>947</v>
      </c>
      <c r="C187" s="46" t="s">
        <v>699</v>
      </c>
      <c r="D187" s="47" t="s">
        <v>72</v>
      </c>
      <c r="E187" s="48">
        <v>11025</v>
      </c>
      <c r="F187" s="67">
        <v>10000</v>
      </c>
      <c r="G187" s="45">
        <v>300</v>
      </c>
      <c r="H187" s="45">
        <v>50</v>
      </c>
      <c r="I187" s="47" t="s">
        <v>718</v>
      </c>
      <c r="J187" s="45">
        <v>4</v>
      </c>
      <c r="K187" s="45">
        <v>13</v>
      </c>
      <c r="L187" s="45">
        <v>40</v>
      </c>
      <c r="M187" s="45">
        <v>0</v>
      </c>
      <c r="N187" s="45">
        <v>0</v>
      </c>
      <c r="O187" s="45">
        <v>120</v>
      </c>
      <c r="P187" s="45">
        <v>0</v>
      </c>
      <c r="Q187" s="45">
        <v>0</v>
      </c>
      <c r="R187" s="45">
        <v>0</v>
      </c>
      <c r="S187" s="45">
        <v>0</v>
      </c>
      <c r="T187" s="45">
        <v>0</v>
      </c>
      <c r="U187" s="45">
        <v>0</v>
      </c>
      <c r="V187" s="45">
        <v>0</v>
      </c>
      <c r="W187" s="45">
        <v>6</v>
      </c>
      <c r="X187" s="45">
        <v>0</v>
      </c>
      <c r="Y187" s="45">
        <v>0</v>
      </c>
      <c r="Z187" s="45">
        <v>0</v>
      </c>
      <c r="AA187" s="45">
        <v>0</v>
      </c>
      <c r="AB187" s="45">
        <v>0</v>
      </c>
      <c r="AC187" s="49">
        <v>0</v>
      </c>
      <c r="AD187" s="49">
        <v>0</v>
      </c>
      <c r="AE187" s="49">
        <v>24</v>
      </c>
      <c r="AF187" s="49">
        <v>0</v>
      </c>
      <c r="AG187" s="50">
        <v>0</v>
      </c>
      <c r="AH187" s="50">
        <v>0</v>
      </c>
      <c r="AI187" s="50">
        <v>0</v>
      </c>
      <c r="AJ187" s="50">
        <v>1.2E-2</v>
      </c>
      <c r="AK187" s="49" t="s">
        <v>713</v>
      </c>
      <c r="AL187" s="45">
        <v>2</v>
      </c>
      <c r="AM187" s="49">
        <v>20000</v>
      </c>
      <c r="AN187" s="45" t="s">
        <v>48</v>
      </c>
      <c r="AO187" s="45" t="s">
        <v>745</v>
      </c>
    </row>
    <row r="188" spans="1:41" ht="16.5">
      <c r="A188" s="45">
        <v>20614</v>
      </c>
      <c r="B188" s="46" t="s">
        <v>948</v>
      </c>
      <c r="C188" s="46" t="s">
        <v>699</v>
      </c>
      <c r="D188" s="47" t="s">
        <v>72</v>
      </c>
      <c r="E188" s="48">
        <v>11025</v>
      </c>
      <c r="F188" s="67">
        <v>10000</v>
      </c>
      <c r="G188" s="45">
        <v>300</v>
      </c>
      <c r="H188" s="45">
        <v>50</v>
      </c>
      <c r="I188" s="47" t="s">
        <v>718</v>
      </c>
      <c r="J188" s="45">
        <v>4</v>
      </c>
      <c r="K188" s="45">
        <v>13</v>
      </c>
      <c r="L188" s="45">
        <v>40</v>
      </c>
      <c r="M188" s="45">
        <v>0</v>
      </c>
      <c r="N188" s="45">
        <v>0</v>
      </c>
      <c r="O188" s="45">
        <v>120</v>
      </c>
      <c r="P188" s="45">
        <v>0</v>
      </c>
      <c r="Q188" s="45">
        <v>0</v>
      </c>
      <c r="R188" s="45">
        <v>0</v>
      </c>
      <c r="S188" s="45">
        <v>0</v>
      </c>
      <c r="T188" s="45">
        <v>0</v>
      </c>
      <c r="U188" s="45">
        <v>0</v>
      </c>
      <c r="V188" s="45">
        <v>0</v>
      </c>
      <c r="W188" s="45">
        <v>6</v>
      </c>
      <c r="X188" s="45">
        <v>0</v>
      </c>
      <c r="Y188" s="45">
        <v>0</v>
      </c>
      <c r="Z188" s="45">
        <v>0</v>
      </c>
      <c r="AA188" s="45">
        <v>0</v>
      </c>
      <c r="AB188" s="45">
        <v>0</v>
      </c>
      <c r="AC188" s="49">
        <v>0</v>
      </c>
      <c r="AD188" s="49">
        <v>0</v>
      </c>
      <c r="AE188" s="49">
        <v>24</v>
      </c>
      <c r="AF188" s="49">
        <v>0</v>
      </c>
      <c r="AG188" s="50">
        <v>0</v>
      </c>
      <c r="AH188" s="50">
        <v>0</v>
      </c>
      <c r="AI188" s="50">
        <v>0</v>
      </c>
      <c r="AJ188" s="50">
        <v>1.2E-2</v>
      </c>
      <c r="AK188" s="49" t="s">
        <v>713</v>
      </c>
      <c r="AL188" s="45">
        <v>2</v>
      </c>
      <c r="AM188" s="49">
        <v>20000</v>
      </c>
      <c r="AN188" s="45" t="s">
        <v>48</v>
      </c>
      <c r="AO188" s="45" t="s">
        <v>745</v>
      </c>
    </row>
    <row r="189" spans="1:41" ht="16.5">
      <c r="A189" s="45">
        <v>20615</v>
      </c>
      <c r="B189" s="46" t="s">
        <v>949</v>
      </c>
      <c r="C189" s="46" t="s">
        <v>699</v>
      </c>
      <c r="D189" s="47" t="s">
        <v>72</v>
      </c>
      <c r="E189" s="48">
        <v>11025</v>
      </c>
      <c r="F189" s="67">
        <v>10000</v>
      </c>
      <c r="G189" s="45">
        <v>300</v>
      </c>
      <c r="H189" s="45">
        <v>50</v>
      </c>
      <c r="I189" s="47" t="s">
        <v>718</v>
      </c>
      <c r="J189" s="45">
        <v>4</v>
      </c>
      <c r="K189" s="45">
        <v>13</v>
      </c>
      <c r="L189" s="45">
        <v>40</v>
      </c>
      <c r="M189" s="45">
        <v>0</v>
      </c>
      <c r="N189" s="45">
        <v>0</v>
      </c>
      <c r="O189" s="45">
        <v>120</v>
      </c>
      <c r="P189" s="45">
        <v>0</v>
      </c>
      <c r="Q189" s="45">
        <v>0</v>
      </c>
      <c r="R189" s="45">
        <v>0</v>
      </c>
      <c r="S189" s="45">
        <v>0</v>
      </c>
      <c r="T189" s="45">
        <v>0</v>
      </c>
      <c r="U189" s="45">
        <v>0</v>
      </c>
      <c r="V189" s="45">
        <v>0</v>
      </c>
      <c r="W189" s="45">
        <v>6</v>
      </c>
      <c r="X189" s="45">
        <v>0</v>
      </c>
      <c r="Y189" s="45">
        <v>0</v>
      </c>
      <c r="Z189" s="45">
        <v>0</v>
      </c>
      <c r="AA189" s="45">
        <v>0</v>
      </c>
      <c r="AB189" s="45">
        <v>0</v>
      </c>
      <c r="AC189" s="49">
        <v>0</v>
      </c>
      <c r="AD189" s="49">
        <v>0</v>
      </c>
      <c r="AE189" s="49">
        <v>24</v>
      </c>
      <c r="AF189" s="49">
        <v>0</v>
      </c>
      <c r="AG189" s="50">
        <v>0</v>
      </c>
      <c r="AH189" s="50">
        <v>0</v>
      </c>
      <c r="AI189" s="50">
        <v>0</v>
      </c>
      <c r="AJ189" s="50">
        <v>1.2E-2</v>
      </c>
      <c r="AK189" s="49" t="s">
        <v>713</v>
      </c>
      <c r="AL189" s="45">
        <v>2</v>
      </c>
      <c r="AM189" s="49">
        <v>20000</v>
      </c>
      <c r="AN189" s="45" t="s">
        <v>48</v>
      </c>
      <c r="AO189" s="45" t="s">
        <v>745</v>
      </c>
    </row>
    <row r="190" spans="1:41" ht="16.5">
      <c r="A190" s="45">
        <v>20616</v>
      </c>
      <c r="B190" s="46" t="s">
        <v>950</v>
      </c>
      <c r="C190" s="46" t="s">
        <v>699</v>
      </c>
      <c r="D190" s="47" t="s">
        <v>72</v>
      </c>
      <c r="E190" s="48">
        <v>11025</v>
      </c>
      <c r="F190" s="67">
        <v>10000</v>
      </c>
      <c r="G190" s="45">
        <v>300</v>
      </c>
      <c r="H190" s="45">
        <v>50</v>
      </c>
      <c r="I190" s="47" t="s">
        <v>718</v>
      </c>
      <c r="J190" s="45">
        <v>4</v>
      </c>
      <c r="K190" s="45">
        <v>13</v>
      </c>
      <c r="L190" s="45">
        <v>40</v>
      </c>
      <c r="M190" s="45">
        <v>0</v>
      </c>
      <c r="N190" s="45">
        <v>0</v>
      </c>
      <c r="O190" s="45">
        <v>120</v>
      </c>
      <c r="P190" s="45">
        <v>0</v>
      </c>
      <c r="Q190" s="45">
        <v>0</v>
      </c>
      <c r="R190" s="45">
        <v>0</v>
      </c>
      <c r="S190" s="45">
        <v>0</v>
      </c>
      <c r="T190" s="45">
        <v>0</v>
      </c>
      <c r="U190" s="45">
        <v>0</v>
      </c>
      <c r="V190" s="45">
        <v>0</v>
      </c>
      <c r="W190" s="45">
        <v>6</v>
      </c>
      <c r="X190" s="45">
        <v>0</v>
      </c>
      <c r="Y190" s="45">
        <v>0</v>
      </c>
      <c r="Z190" s="45">
        <v>0</v>
      </c>
      <c r="AA190" s="45">
        <v>0</v>
      </c>
      <c r="AB190" s="45">
        <v>0</v>
      </c>
      <c r="AC190" s="49">
        <v>0</v>
      </c>
      <c r="AD190" s="49">
        <v>0</v>
      </c>
      <c r="AE190" s="49">
        <v>24</v>
      </c>
      <c r="AF190" s="49">
        <v>0</v>
      </c>
      <c r="AG190" s="50">
        <v>0</v>
      </c>
      <c r="AH190" s="50">
        <v>0</v>
      </c>
      <c r="AI190" s="50">
        <v>0</v>
      </c>
      <c r="AJ190" s="50">
        <v>1.2E-2</v>
      </c>
      <c r="AK190" s="49" t="s">
        <v>713</v>
      </c>
      <c r="AL190" s="45">
        <v>2</v>
      </c>
      <c r="AM190" s="49">
        <v>20000</v>
      </c>
      <c r="AN190" s="45" t="s">
        <v>48</v>
      </c>
      <c r="AO190" s="45" t="s">
        <v>745</v>
      </c>
    </row>
    <row r="191" spans="1:41" ht="16.5">
      <c r="A191" s="45">
        <v>20617</v>
      </c>
      <c r="B191" s="46" t="s">
        <v>951</v>
      </c>
      <c r="C191" s="46" t="s">
        <v>699</v>
      </c>
      <c r="D191" s="47" t="s">
        <v>72</v>
      </c>
      <c r="E191" s="48">
        <v>11025</v>
      </c>
      <c r="F191" s="67">
        <v>10000</v>
      </c>
      <c r="G191" s="45">
        <v>300</v>
      </c>
      <c r="H191" s="45">
        <v>50</v>
      </c>
      <c r="I191" s="47" t="s">
        <v>718</v>
      </c>
      <c r="J191" s="45">
        <v>4</v>
      </c>
      <c r="K191" s="45">
        <v>13</v>
      </c>
      <c r="L191" s="45">
        <v>40</v>
      </c>
      <c r="M191" s="45">
        <v>0</v>
      </c>
      <c r="N191" s="45">
        <v>0</v>
      </c>
      <c r="O191" s="45">
        <v>120</v>
      </c>
      <c r="P191" s="45">
        <v>0</v>
      </c>
      <c r="Q191" s="45">
        <v>0</v>
      </c>
      <c r="R191" s="45">
        <v>0</v>
      </c>
      <c r="S191" s="45">
        <v>0</v>
      </c>
      <c r="T191" s="45">
        <v>0</v>
      </c>
      <c r="U191" s="45">
        <v>0</v>
      </c>
      <c r="V191" s="45">
        <v>0</v>
      </c>
      <c r="W191" s="45">
        <v>6</v>
      </c>
      <c r="X191" s="45">
        <v>0</v>
      </c>
      <c r="Y191" s="45">
        <v>0</v>
      </c>
      <c r="Z191" s="45">
        <v>0</v>
      </c>
      <c r="AA191" s="45">
        <v>0</v>
      </c>
      <c r="AB191" s="45">
        <v>0</v>
      </c>
      <c r="AC191" s="49">
        <v>0</v>
      </c>
      <c r="AD191" s="49">
        <v>0</v>
      </c>
      <c r="AE191" s="49">
        <v>24</v>
      </c>
      <c r="AF191" s="49">
        <v>0</v>
      </c>
      <c r="AG191" s="50">
        <v>0</v>
      </c>
      <c r="AH191" s="50">
        <v>0</v>
      </c>
      <c r="AI191" s="50">
        <v>0</v>
      </c>
      <c r="AJ191" s="50">
        <v>1.2E-2</v>
      </c>
      <c r="AK191" s="49" t="s">
        <v>713</v>
      </c>
      <c r="AL191" s="45">
        <v>2</v>
      </c>
      <c r="AM191" s="49">
        <v>20000</v>
      </c>
      <c r="AN191" s="45" t="s">
        <v>48</v>
      </c>
      <c r="AO191" s="45" t="s">
        <v>745</v>
      </c>
    </row>
    <row r="192" spans="1:41" ht="16.5">
      <c r="A192" s="45">
        <v>20618</v>
      </c>
      <c r="B192" s="46" t="s">
        <v>952</v>
      </c>
      <c r="C192" s="46" t="s">
        <v>699</v>
      </c>
      <c r="D192" s="47" t="s">
        <v>72</v>
      </c>
      <c r="E192" s="48">
        <v>11025</v>
      </c>
      <c r="F192" s="67">
        <v>10000</v>
      </c>
      <c r="G192" s="45">
        <v>300</v>
      </c>
      <c r="H192" s="45">
        <v>50</v>
      </c>
      <c r="I192" s="47" t="s">
        <v>718</v>
      </c>
      <c r="J192" s="45">
        <v>4</v>
      </c>
      <c r="K192" s="45">
        <v>13</v>
      </c>
      <c r="L192" s="45">
        <v>40</v>
      </c>
      <c r="M192" s="45">
        <v>0</v>
      </c>
      <c r="N192" s="45">
        <v>0</v>
      </c>
      <c r="O192" s="45">
        <v>120</v>
      </c>
      <c r="P192" s="45">
        <v>0</v>
      </c>
      <c r="Q192" s="45">
        <v>0</v>
      </c>
      <c r="R192" s="45">
        <v>0</v>
      </c>
      <c r="S192" s="45">
        <v>0</v>
      </c>
      <c r="T192" s="45">
        <v>0</v>
      </c>
      <c r="U192" s="45">
        <v>0</v>
      </c>
      <c r="V192" s="45">
        <v>0</v>
      </c>
      <c r="W192" s="45">
        <v>6</v>
      </c>
      <c r="X192" s="45">
        <v>0</v>
      </c>
      <c r="Y192" s="45">
        <v>0</v>
      </c>
      <c r="Z192" s="45">
        <v>0</v>
      </c>
      <c r="AA192" s="45">
        <v>0</v>
      </c>
      <c r="AB192" s="45">
        <v>0</v>
      </c>
      <c r="AC192" s="49">
        <v>0</v>
      </c>
      <c r="AD192" s="49">
        <v>0</v>
      </c>
      <c r="AE192" s="49">
        <v>24</v>
      </c>
      <c r="AF192" s="49">
        <v>0</v>
      </c>
      <c r="AG192" s="50">
        <v>0</v>
      </c>
      <c r="AH192" s="50">
        <v>0</v>
      </c>
      <c r="AI192" s="50">
        <v>0</v>
      </c>
      <c r="AJ192" s="50">
        <v>1.2E-2</v>
      </c>
      <c r="AK192" s="49" t="s">
        <v>713</v>
      </c>
      <c r="AL192" s="45">
        <v>2</v>
      </c>
      <c r="AM192" s="49">
        <v>20000</v>
      </c>
      <c r="AN192" s="45" t="s">
        <v>48</v>
      </c>
      <c r="AO192" s="45" t="s">
        <v>745</v>
      </c>
    </row>
    <row r="193" spans="1:41" ht="16.5">
      <c r="A193" s="45">
        <v>20619</v>
      </c>
      <c r="B193" s="46" t="s">
        <v>953</v>
      </c>
      <c r="C193" s="46" t="s">
        <v>699</v>
      </c>
      <c r="D193" s="47" t="s">
        <v>72</v>
      </c>
      <c r="E193" s="48">
        <v>11025</v>
      </c>
      <c r="F193" s="67">
        <v>10000</v>
      </c>
      <c r="G193" s="45">
        <v>300</v>
      </c>
      <c r="H193" s="45">
        <v>50</v>
      </c>
      <c r="I193" s="47" t="s">
        <v>718</v>
      </c>
      <c r="J193" s="45">
        <v>4</v>
      </c>
      <c r="K193" s="45">
        <v>13</v>
      </c>
      <c r="L193" s="45">
        <v>40</v>
      </c>
      <c r="M193" s="45">
        <v>0</v>
      </c>
      <c r="N193" s="45">
        <v>0</v>
      </c>
      <c r="O193" s="45">
        <v>120</v>
      </c>
      <c r="P193" s="45">
        <v>0</v>
      </c>
      <c r="Q193" s="45">
        <v>0</v>
      </c>
      <c r="R193" s="45">
        <v>0</v>
      </c>
      <c r="S193" s="45">
        <v>0</v>
      </c>
      <c r="T193" s="45">
        <v>0</v>
      </c>
      <c r="U193" s="45">
        <v>0</v>
      </c>
      <c r="V193" s="45">
        <v>0</v>
      </c>
      <c r="W193" s="45">
        <v>6</v>
      </c>
      <c r="X193" s="45">
        <v>0</v>
      </c>
      <c r="Y193" s="45">
        <v>0</v>
      </c>
      <c r="Z193" s="45">
        <v>0</v>
      </c>
      <c r="AA193" s="45">
        <v>0</v>
      </c>
      <c r="AB193" s="45">
        <v>0</v>
      </c>
      <c r="AC193" s="49">
        <v>0</v>
      </c>
      <c r="AD193" s="49">
        <v>0</v>
      </c>
      <c r="AE193" s="49">
        <v>24</v>
      </c>
      <c r="AF193" s="49">
        <v>0</v>
      </c>
      <c r="AG193" s="50">
        <v>0</v>
      </c>
      <c r="AH193" s="50">
        <v>0</v>
      </c>
      <c r="AI193" s="50">
        <v>0</v>
      </c>
      <c r="AJ193" s="50">
        <v>1.2E-2</v>
      </c>
      <c r="AK193" s="49" t="s">
        <v>713</v>
      </c>
      <c r="AL193" s="45">
        <v>2</v>
      </c>
      <c r="AM193" s="49">
        <v>20000</v>
      </c>
      <c r="AN193" s="45" t="s">
        <v>48</v>
      </c>
      <c r="AO193" s="45" t="s">
        <v>745</v>
      </c>
    </row>
    <row r="194" spans="1:41" ht="16.5">
      <c r="A194" s="45">
        <v>20620</v>
      </c>
      <c r="B194" s="46" t="s">
        <v>954</v>
      </c>
      <c r="C194" s="46" t="s">
        <v>699</v>
      </c>
      <c r="D194" s="47" t="s">
        <v>72</v>
      </c>
      <c r="E194" s="48">
        <v>11025</v>
      </c>
      <c r="F194" s="67">
        <v>10000</v>
      </c>
      <c r="G194" s="45">
        <v>300</v>
      </c>
      <c r="H194" s="45">
        <v>50</v>
      </c>
      <c r="I194" s="47" t="s">
        <v>718</v>
      </c>
      <c r="J194" s="45">
        <v>4</v>
      </c>
      <c r="K194" s="45">
        <v>13</v>
      </c>
      <c r="L194" s="45">
        <v>40</v>
      </c>
      <c r="M194" s="45">
        <v>0</v>
      </c>
      <c r="N194" s="45">
        <v>0</v>
      </c>
      <c r="O194" s="45">
        <v>120</v>
      </c>
      <c r="P194" s="45">
        <v>0</v>
      </c>
      <c r="Q194" s="45">
        <v>0</v>
      </c>
      <c r="R194" s="45">
        <v>0</v>
      </c>
      <c r="S194" s="45">
        <v>0</v>
      </c>
      <c r="T194" s="45">
        <v>0</v>
      </c>
      <c r="U194" s="45">
        <v>0</v>
      </c>
      <c r="V194" s="45">
        <v>0</v>
      </c>
      <c r="W194" s="45">
        <v>6</v>
      </c>
      <c r="X194" s="45">
        <v>0</v>
      </c>
      <c r="Y194" s="45">
        <v>0</v>
      </c>
      <c r="Z194" s="45">
        <v>0</v>
      </c>
      <c r="AA194" s="45">
        <v>0</v>
      </c>
      <c r="AB194" s="45">
        <v>0</v>
      </c>
      <c r="AC194" s="49">
        <v>0</v>
      </c>
      <c r="AD194" s="49">
        <v>0</v>
      </c>
      <c r="AE194" s="49">
        <v>24</v>
      </c>
      <c r="AF194" s="49">
        <v>0</v>
      </c>
      <c r="AG194" s="50">
        <v>0</v>
      </c>
      <c r="AH194" s="50">
        <v>0</v>
      </c>
      <c r="AI194" s="50">
        <v>0</v>
      </c>
      <c r="AJ194" s="50">
        <v>1.2E-2</v>
      </c>
      <c r="AK194" s="49" t="s">
        <v>713</v>
      </c>
      <c r="AL194" s="45">
        <v>2</v>
      </c>
      <c r="AM194" s="49">
        <v>20000</v>
      </c>
      <c r="AN194" s="45" t="s">
        <v>48</v>
      </c>
      <c r="AO194" s="45" t="s">
        <v>745</v>
      </c>
    </row>
    <row r="195" spans="1:41" ht="16.5">
      <c r="A195" s="45">
        <v>206211</v>
      </c>
      <c r="B195" s="46" t="s">
        <v>955</v>
      </c>
      <c r="C195" s="46" t="s">
        <v>699</v>
      </c>
      <c r="D195" s="47" t="s">
        <v>72</v>
      </c>
      <c r="E195" s="48">
        <v>11025</v>
      </c>
      <c r="F195" s="67">
        <v>10000</v>
      </c>
      <c r="G195" s="45">
        <v>300</v>
      </c>
      <c r="H195" s="45">
        <v>50</v>
      </c>
      <c r="I195" s="47" t="s">
        <v>718</v>
      </c>
      <c r="J195" s="45">
        <v>4</v>
      </c>
      <c r="K195" s="45">
        <v>13</v>
      </c>
      <c r="L195" s="45">
        <v>40</v>
      </c>
      <c r="M195" s="45">
        <v>0</v>
      </c>
      <c r="N195" s="45">
        <v>0</v>
      </c>
      <c r="O195" s="45">
        <v>120</v>
      </c>
      <c r="P195" s="45">
        <v>0</v>
      </c>
      <c r="Q195" s="45">
        <v>0</v>
      </c>
      <c r="R195" s="45">
        <v>0</v>
      </c>
      <c r="S195" s="45">
        <v>0</v>
      </c>
      <c r="T195" s="45">
        <v>0</v>
      </c>
      <c r="U195" s="45">
        <v>0</v>
      </c>
      <c r="V195" s="45">
        <v>0</v>
      </c>
      <c r="W195" s="45">
        <v>6</v>
      </c>
      <c r="X195" s="45">
        <v>0</v>
      </c>
      <c r="Y195" s="45">
        <v>0</v>
      </c>
      <c r="Z195" s="45">
        <v>0</v>
      </c>
      <c r="AA195" s="45">
        <v>0</v>
      </c>
      <c r="AB195" s="45">
        <v>0</v>
      </c>
      <c r="AC195" s="49">
        <v>0</v>
      </c>
      <c r="AD195" s="49">
        <v>0</v>
      </c>
      <c r="AE195" s="49">
        <v>24</v>
      </c>
      <c r="AF195" s="49">
        <v>0</v>
      </c>
      <c r="AG195" s="50">
        <v>0</v>
      </c>
      <c r="AH195" s="50">
        <v>0</v>
      </c>
      <c r="AI195" s="50">
        <v>0</v>
      </c>
      <c r="AJ195" s="50">
        <v>1.2E-2</v>
      </c>
      <c r="AK195" s="49" t="s">
        <v>713</v>
      </c>
      <c r="AL195" s="45">
        <v>2</v>
      </c>
      <c r="AM195" s="49">
        <v>20000</v>
      </c>
      <c r="AN195" s="45" t="s">
        <v>48</v>
      </c>
      <c r="AO195" s="45" t="s">
        <v>745</v>
      </c>
    </row>
    <row r="196" spans="1:41" ht="16.5">
      <c r="A196" s="45">
        <v>621</v>
      </c>
      <c r="B196" s="46" t="s">
        <v>956</v>
      </c>
      <c r="C196" s="46" t="s">
        <v>700</v>
      </c>
      <c r="D196" s="47" t="s">
        <v>73</v>
      </c>
      <c r="E196" s="48">
        <v>11026</v>
      </c>
      <c r="F196" s="67">
        <v>10000</v>
      </c>
      <c r="G196" s="45">
        <v>300</v>
      </c>
      <c r="H196" s="45">
        <v>50</v>
      </c>
      <c r="I196" s="47" t="s">
        <v>719</v>
      </c>
      <c r="J196" s="45">
        <v>4</v>
      </c>
      <c r="K196" s="45">
        <v>13</v>
      </c>
      <c r="L196" s="45">
        <v>40</v>
      </c>
      <c r="M196" s="45">
        <v>0</v>
      </c>
      <c r="N196" s="45">
        <v>240</v>
      </c>
      <c r="O196" s="45">
        <v>0</v>
      </c>
      <c r="P196" s="45">
        <v>0</v>
      </c>
      <c r="Q196" s="45">
        <v>0</v>
      </c>
      <c r="R196" s="45">
        <v>0</v>
      </c>
      <c r="S196" s="45">
        <v>0</v>
      </c>
      <c r="T196" s="45">
        <v>0</v>
      </c>
      <c r="U196" s="45">
        <v>0</v>
      </c>
      <c r="V196" s="45">
        <v>12</v>
      </c>
      <c r="W196" s="45">
        <v>0</v>
      </c>
      <c r="X196" s="45">
        <v>0</v>
      </c>
      <c r="Y196" s="45">
        <v>0</v>
      </c>
      <c r="Z196" s="45">
        <v>0</v>
      </c>
      <c r="AA196" s="45">
        <v>0</v>
      </c>
      <c r="AB196" s="45">
        <v>0</v>
      </c>
      <c r="AC196" s="49">
        <v>0</v>
      </c>
      <c r="AD196" s="49">
        <v>48</v>
      </c>
      <c r="AE196" s="49">
        <v>0</v>
      </c>
      <c r="AF196" s="49">
        <v>0</v>
      </c>
      <c r="AG196" s="50">
        <v>0</v>
      </c>
      <c r="AH196" s="49">
        <v>0</v>
      </c>
      <c r="AI196" s="49">
        <v>1.2E-2</v>
      </c>
      <c r="AJ196" s="49">
        <v>0</v>
      </c>
      <c r="AK196" s="49" t="s">
        <v>713</v>
      </c>
      <c r="AL196" s="45">
        <v>1</v>
      </c>
      <c r="AM196" s="49">
        <v>20000</v>
      </c>
      <c r="AN196" s="45" t="s">
        <v>48</v>
      </c>
      <c r="AO196" s="45" t="s">
        <v>746</v>
      </c>
    </row>
    <row r="197" spans="1:41" ht="16.5">
      <c r="A197" s="45">
        <v>622</v>
      </c>
      <c r="B197" s="46" t="s">
        <v>957</v>
      </c>
      <c r="C197" s="46" t="s">
        <v>700</v>
      </c>
      <c r="D197" s="47" t="s">
        <v>73</v>
      </c>
      <c r="E197" s="48">
        <v>11026</v>
      </c>
      <c r="F197" s="67">
        <v>10000</v>
      </c>
      <c r="G197" s="45">
        <v>300</v>
      </c>
      <c r="H197" s="45">
        <v>50</v>
      </c>
      <c r="I197" s="47" t="s">
        <v>719</v>
      </c>
      <c r="J197" s="45">
        <v>4</v>
      </c>
      <c r="K197" s="45">
        <v>13</v>
      </c>
      <c r="L197" s="45">
        <v>40</v>
      </c>
      <c r="M197" s="45">
        <v>0</v>
      </c>
      <c r="N197" s="45">
        <v>240</v>
      </c>
      <c r="O197" s="45">
        <v>0</v>
      </c>
      <c r="P197" s="45">
        <v>0</v>
      </c>
      <c r="Q197" s="45">
        <v>0</v>
      </c>
      <c r="R197" s="45">
        <v>0</v>
      </c>
      <c r="S197" s="45">
        <v>0</v>
      </c>
      <c r="T197" s="45">
        <v>0</v>
      </c>
      <c r="U197" s="45">
        <v>0</v>
      </c>
      <c r="V197" s="45">
        <v>12</v>
      </c>
      <c r="W197" s="45">
        <v>0</v>
      </c>
      <c r="X197" s="45">
        <v>0</v>
      </c>
      <c r="Y197" s="45">
        <v>0</v>
      </c>
      <c r="Z197" s="45">
        <v>0</v>
      </c>
      <c r="AA197" s="45">
        <v>0</v>
      </c>
      <c r="AB197" s="45">
        <v>0</v>
      </c>
      <c r="AC197" s="49">
        <v>0</v>
      </c>
      <c r="AD197" s="49">
        <v>48</v>
      </c>
      <c r="AE197" s="49">
        <v>0</v>
      </c>
      <c r="AF197" s="49">
        <v>0</v>
      </c>
      <c r="AG197" s="50">
        <v>0</v>
      </c>
      <c r="AH197" s="49">
        <v>0</v>
      </c>
      <c r="AI197" s="49">
        <v>1.2E-2</v>
      </c>
      <c r="AJ197" s="49">
        <v>0</v>
      </c>
      <c r="AK197" s="49" t="s">
        <v>713</v>
      </c>
      <c r="AL197" s="45">
        <v>1</v>
      </c>
      <c r="AM197" s="49">
        <v>20000</v>
      </c>
      <c r="AN197" s="45" t="s">
        <v>48</v>
      </c>
      <c r="AO197" s="45" t="s">
        <v>746</v>
      </c>
    </row>
    <row r="198" spans="1:41" ht="16.5">
      <c r="A198" s="45">
        <v>623</v>
      </c>
      <c r="B198" s="46" t="s">
        <v>958</v>
      </c>
      <c r="C198" s="46" t="s">
        <v>700</v>
      </c>
      <c r="D198" s="47" t="s">
        <v>73</v>
      </c>
      <c r="E198" s="48">
        <v>11026</v>
      </c>
      <c r="F198" s="67">
        <v>10000</v>
      </c>
      <c r="G198" s="45">
        <v>300</v>
      </c>
      <c r="H198" s="45">
        <v>50</v>
      </c>
      <c r="I198" s="47" t="s">
        <v>719</v>
      </c>
      <c r="J198" s="45">
        <v>4</v>
      </c>
      <c r="K198" s="45">
        <v>13</v>
      </c>
      <c r="L198" s="45">
        <v>40</v>
      </c>
      <c r="M198" s="45">
        <v>0</v>
      </c>
      <c r="N198" s="45">
        <v>240</v>
      </c>
      <c r="O198" s="45">
        <v>0</v>
      </c>
      <c r="P198" s="45">
        <v>0</v>
      </c>
      <c r="Q198" s="45">
        <v>0</v>
      </c>
      <c r="R198" s="45">
        <v>0</v>
      </c>
      <c r="S198" s="45">
        <v>0</v>
      </c>
      <c r="T198" s="45">
        <v>0</v>
      </c>
      <c r="U198" s="45">
        <v>0</v>
      </c>
      <c r="V198" s="45">
        <v>12</v>
      </c>
      <c r="W198" s="45">
        <v>0</v>
      </c>
      <c r="X198" s="45">
        <v>0</v>
      </c>
      <c r="Y198" s="45">
        <v>0</v>
      </c>
      <c r="Z198" s="45">
        <v>0</v>
      </c>
      <c r="AA198" s="45">
        <v>0</v>
      </c>
      <c r="AB198" s="45">
        <v>0</v>
      </c>
      <c r="AC198" s="49">
        <v>0</v>
      </c>
      <c r="AD198" s="49">
        <v>48</v>
      </c>
      <c r="AE198" s="49">
        <v>0</v>
      </c>
      <c r="AF198" s="49">
        <v>0</v>
      </c>
      <c r="AG198" s="50">
        <v>0</v>
      </c>
      <c r="AH198" s="49">
        <v>0</v>
      </c>
      <c r="AI198" s="49">
        <v>1.2E-2</v>
      </c>
      <c r="AJ198" s="49">
        <v>0</v>
      </c>
      <c r="AK198" s="49" t="s">
        <v>713</v>
      </c>
      <c r="AL198" s="45">
        <v>1</v>
      </c>
      <c r="AM198" s="49">
        <v>20000</v>
      </c>
      <c r="AN198" s="45" t="s">
        <v>48</v>
      </c>
      <c r="AO198" s="45" t="s">
        <v>746</v>
      </c>
    </row>
    <row r="199" spans="1:41" ht="16.5">
      <c r="A199" s="45">
        <v>2062</v>
      </c>
      <c r="B199" s="46" t="s">
        <v>959</v>
      </c>
      <c r="C199" s="46" t="s">
        <v>700</v>
      </c>
      <c r="D199" s="47" t="s">
        <v>73</v>
      </c>
      <c r="E199" s="48">
        <v>11026</v>
      </c>
      <c r="F199" s="67">
        <v>10000</v>
      </c>
      <c r="G199" s="45">
        <v>300</v>
      </c>
      <c r="H199" s="45">
        <v>50</v>
      </c>
      <c r="I199" s="47" t="s">
        <v>719</v>
      </c>
      <c r="J199" s="45">
        <v>4</v>
      </c>
      <c r="K199" s="45">
        <v>13</v>
      </c>
      <c r="L199" s="45">
        <v>40</v>
      </c>
      <c r="M199" s="45">
        <v>0</v>
      </c>
      <c r="N199" s="45">
        <v>240</v>
      </c>
      <c r="O199" s="45">
        <v>0</v>
      </c>
      <c r="P199" s="45">
        <v>0</v>
      </c>
      <c r="Q199" s="45">
        <v>0</v>
      </c>
      <c r="R199" s="45">
        <v>0</v>
      </c>
      <c r="S199" s="45">
        <v>0</v>
      </c>
      <c r="T199" s="45">
        <v>0</v>
      </c>
      <c r="U199" s="45">
        <v>0</v>
      </c>
      <c r="V199" s="45">
        <v>12</v>
      </c>
      <c r="W199" s="45">
        <v>0</v>
      </c>
      <c r="X199" s="45">
        <v>0</v>
      </c>
      <c r="Y199" s="45">
        <v>0</v>
      </c>
      <c r="Z199" s="45">
        <v>0</v>
      </c>
      <c r="AA199" s="45">
        <v>0</v>
      </c>
      <c r="AB199" s="45">
        <v>0</v>
      </c>
      <c r="AC199" s="49">
        <v>0</v>
      </c>
      <c r="AD199" s="49">
        <v>48</v>
      </c>
      <c r="AE199" s="49">
        <v>0</v>
      </c>
      <c r="AF199" s="49">
        <v>0</v>
      </c>
      <c r="AG199" s="50">
        <v>0</v>
      </c>
      <c r="AH199" s="49">
        <v>0</v>
      </c>
      <c r="AI199" s="49">
        <v>1.2E-2</v>
      </c>
      <c r="AJ199" s="49">
        <v>0</v>
      </c>
      <c r="AK199" s="49" t="s">
        <v>713</v>
      </c>
      <c r="AL199" s="45">
        <v>1</v>
      </c>
      <c r="AM199" s="49">
        <v>20000</v>
      </c>
      <c r="AN199" s="45" t="s">
        <v>48</v>
      </c>
      <c r="AO199" s="45" t="s">
        <v>746</v>
      </c>
    </row>
    <row r="200" spans="1:41" ht="16.5">
      <c r="A200" s="45">
        <v>20621</v>
      </c>
      <c r="B200" s="46" t="s">
        <v>960</v>
      </c>
      <c r="C200" s="46" t="s">
        <v>700</v>
      </c>
      <c r="D200" s="47" t="s">
        <v>73</v>
      </c>
      <c r="E200" s="48">
        <v>11026</v>
      </c>
      <c r="F200" s="67">
        <v>10000</v>
      </c>
      <c r="G200" s="45">
        <v>300</v>
      </c>
      <c r="H200" s="45">
        <v>50</v>
      </c>
      <c r="I200" s="47" t="s">
        <v>719</v>
      </c>
      <c r="J200" s="45">
        <v>4</v>
      </c>
      <c r="K200" s="45">
        <v>13</v>
      </c>
      <c r="L200" s="45">
        <v>40</v>
      </c>
      <c r="M200" s="45">
        <v>0</v>
      </c>
      <c r="N200" s="45">
        <v>240</v>
      </c>
      <c r="O200" s="45">
        <v>0</v>
      </c>
      <c r="P200" s="45">
        <v>0</v>
      </c>
      <c r="Q200" s="45">
        <v>0</v>
      </c>
      <c r="R200" s="45">
        <v>0</v>
      </c>
      <c r="S200" s="45">
        <v>0</v>
      </c>
      <c r="T200" s="45">
        <v>0</v>
      </c>
      <c r="U200" s="45">
        <v>0</v>
      </c>
      <c r="V200" s="45">
        <v>12</v>
      </c>
      <c r="W200" s="45">
        <v>0</v>
      </c>
      <c r="X200" s="45">
        <v>0</v>
      </c>
      <c r="Y200" s="45">
        <v>0</v>
      </c>
      <c r="Z200" s="45">
        <v>0</v>
      </c>
      <c r="AA200" s="45">
        <v>0</v>
      </c>
      <c r="AB200" s="45">
        <v>0</v>
      </c>
      <c r="AC200" s="49">
        <v>0</v>
      </c>
      <c r="AD200" s="49">
        <v>48</v>
      </c>
      <c r="AE200" s="49">
        <v>0</v>
      </c>
      <c r="AF200" s="49">
        <v>0</v>
      </c>
      <c r="AG200" s="50">
        <v>0</v>
      </c>
      <c r="AH200" s="49">
        <v>0</v>
      </c>
      <c r="AI200" s="49">
        <v>1.2E-2</v>
      </c>
      <c r="AJ200" s="49">
        <v>0</v>
      </c>
      <c r="AK200" s="49" t="s">
        <v>713</v>
      </c>
      <c r="AL200" s="45">
        <v>1</v>
      </c>
      <c r="AM200" s="49">
        <v>20000</v>
      </c>
      <c r="AN200" s="45" t="s">
        <v>48</v>
      </c>
      <c r="AO200" s="45" t="s">
        <v>746</v>
      </c>
    </row>
    <row r="201" spans="1:41" ht="16.5">
      <c r="A201" s="45">
        <v>20622</v>
      </c>
      <c r="B201" s="46" t="s">
        <v>961</v>
      </c>
      <c r="C201" s="46" t="s">
        <v>700</v>
      </c>
      <c r="D201" s="47" t="s">
        <v>73</v>
      </c>
      <c r="E201" s="48">
        <v>11026</v>
      </c>
      <c r="F201" s="67">
        <v>10000</v>
      </c>
      <c r="G201" s="45">
        <v>300</v>
      </c>
      <c r="H201" s="45">
        <v>50</v>
      </c>
      <c r="I201" s="47" t="s">
        <v>719</v>
      </c>
      <c r="J201" s="45">
        <v>4</v>
      </c>
      <c r="K201" s="45">
        <v>13</v>
      </c>
      <c r="L201" s="45">
        <v>40</v>
      </c>
      <c r="M201" s="45">
        <v>0</v>
      </c>
      <c r="N201" s="45">
        <v>240</v>
      </c>
      <c r="O201" s="45">
        <v>0</v>
      </c>
      <c r="P201" s="45">
        <v>0</v>
      </c>
      <c r="Q201" s="45">
        <v>0</v>
      </c>
      <c r="R201" s="45">
        <v>0</v>
      </c>
      <c r="S201" s="45">
        <v>0</v>
      </c>
      <c r="T201" s="45">
        <v>0</v>
      </c>
      <c r="U201" s="45">
        <v>0</v>
      </c>
      <c r="V201" s="45">
        <v>12</v>
      </c>
      <c r="W201" s="45">
        <v>0</v>
      </c>
      <c r="X201" s="45">
        <v>0</v>
      </c>
      <c r="Y201" s="45">
        <v>0</v>
      </c>
      <c r="Z201" s="45">
        <v>0</v>
      </c>
      <c r="AA201" s="45">
        <v>0</v>
      </c>
      <c r="AB201" s="45">
        <v>0</v>
      </c>
      <c r="AC201" s="49">
        <v>0</v>
      </c>
      <c r="AD201" s="49">
        <v>48</v>
      </c>
      <c r="AE201" s="49">
        <v>0</v>
      </c>
      <c r="AF201" s="49">
        <v>0</v>
      </c>
      <c r="AG201" s="50">
        <v>0</v>
      </c>
      <c r="AH201" s="49">
        <v>0</v>
      </c>
      <c r="AI201" s="49">
        <v>1.2E-2</v>
      </c>
      <c r="AJ201" s="49">
        <v>0</v>
      </c>
      <c r="AK201" s="49" t="s">
        <v>713</v>
      </c>
      <c r="AL201" s="45">
        <v>1</v>
      </c>
      <c r="AM201" s="49">
        <v>20000</v>
      </c>
      <c r="AN201" s="45" t="s">
        <v>48</v>
      </c>
      <c r="AO201" s="45" t="s">
        <v>746</v>
      </c>
    </row>
    <row r="202" spans="1:41" ht="16.5">
      <c r="A202" s="45">
        <v>20623</v>
      </c>
      <c r="B202" s="46" t="s">
        <v>962</v>
      </c>
      <c r="C202" s="46" t="s">
        <v>700</v>
      </c>
      <c r="D202" s="47" t="s">
        <v>73</v>
      </c>
      <c r="E202" s="48">
        <v>11026</v>
      </c>
      <c r="F202" s="67">
        <v>10000</v>
      </c>
      <c r="G202" s="45">
        <v>300</v>
      </c>
      <c r="H202" s="45">
        <v>50</v>
      </c>
      <c r="I202" s="47" t="s">
        <v>719</v>
      </c>
      <c r="J202" s="45">
        <v>4</v>
      </c>
      <c r="K202" s="45">
        <v>13</v>
      </c>
      <c r="L202" s="45">
        <v>40</v>
      </c>
      <c r="M202" s="45">
        <v>0</v>
      </c>
      <c r="N202" s="45">
        <v>240</v>
      </c>
      <c r="O202" s="45">
        <v>0</v>
      </c>
      <c r="P202" s="45">
        <v>0</v>
      </c>
      <c r="Q202" s="45">
        <v>0</v>
      </c>
      <c r="R202" s="45">
        <v>0</v>
      </c>
      <c r="S202" s="45">
        <v>0</v>
      </c>
      <c r="T202" s="45">
        <v>0</v>
      </c>
      <c r="U202" s="45">
        <v>0</v>
      </c>
      <c r="V202" s="45">
        <v>12</v>
      </c>
      <c r="W202" s="45">
        <v>0</v>
      </c>
      <c r="X202" s="45">
        <v>0</v>
      </c>
      <c r="Y202" s="45">
        <v>0</v>
      </c>
      <c r="Z202" s="45">
        <v>0</v>
      </c>
      <c r="AA202" s="45">
        <v>0</v>
      </c>
      <c r="AB202" s="45">
        <v>0</v>
      </c>
      <c r="AC202" s="49">
        <v>0</v>
      </c>
      <c r="AD202" s="49">
        <v>48</v>
      </c>
      <c r="AE202" s="49">
        <v>0</v>
      </c>
      <c r="AF202" s="49">
        <v>0</v>
      </c>
      <c r="AG202" s="50">
        <v>0</v>
      </c>
      <c r="AH202" s="49">
        <v>0</v>
      </c>
      <c r="AI202" s="49">
        <v>1.2E-2</v>
      </c>
      <c r="AJ202" s="49">
        <v>0</v>
      </c>
      <c r="AK202" s="49" t="s">
        <v>713</v>
      </c>
      <c r="AL202" s="45">
        <v>1</v>
      </c>
      <c r="AM202" s="49">
        <v>20000</v>
      </c>
      <c r="AN202" s="45" t="s">
        <v>48</v>
      </c>
      <c r="AO202" s="45" t="s">
        <v>746</v>
      </c>
    </row>
    <row r="203" spans="1:41" ht="16.5">
      <c r="A203" s="45">
        <v>20624</v>
      </c>
      <c r="B203" s="46" t="s">
        <v>963</v>
      </c>
      <c r="C203" s="46" t="s">
        <v>700</v>
      </c>
      <c r="D203" s="47" t="s">
        <v>73</v>
      </c>
      <c r="E203" s="48">
        <v>11026</v>
      </c>
      <c r="F203" s="67">
        <v>10000</v>
      </c>
      <c r="G203" s="45">
        <v>300</v>
      </c>
      <c r="H203" s="45">
        <v>50</v>
      </c>
      <c r="I203" s="47" t="s">
        <v>719</v>
      </c>
      <c r="J203" s="45">
        <v>4</v>
      </c>
      <c r="K203" s="45">
        <v>13</v>
      </c>
      <c r="L203" s="45">
        <v>40</v>
      </c>
      <c r="M203" s="45">
        <v>0</v>
      </c>
      <c r="N203" s="45">
        <v>240</v>
      </c>
      <c r="O203" s="45">
        <v>0</v>
      </c>
      <c r="P203" s="45">
        <v>0</v>
      </c>
      <c r="Q203" s="45">
        <v>0</v>
      </c>
      <c r="R203" s="45">
        <v>0</v>
      </c>
      <c r="S203" s="45">
        <v>0</v>
      </c>
      <c r="T203" s="45">
        <v>0</v>
      </c>
      <c r="U203" s="45">
        <v>0</v>
      </c>
      <c r="V203" s="45">
        <v>12</v>
      </c>
      <c r="W203" s="45">
        <v>0</v>
      </c>
      <c r="X203" s="45">
        <v>0</v>
      </c>
      <c r="Y203" s="45">
        <v>0</v>
      </c>
      <c r="Z203" s="45">
        <v>0</v>
      </c>
      <c r="AA203" s="45">
        <v>0</v>
      </c>
      <c r="AB203" s="45">
        <v>0</v>
      </c>
      <c r="AC203" s="49">
        <v>0</v>
      </c>
      <c r="AD203" s="49">
        <v>48</v>
      </c>
      <c r="AE203" s="49">
        <v>0</v>
      </c>
      <c r="AF203" s="49">
        <v>0</v>
      </c>
      <c r="AG203" s="50">
        <v>0</v>
      </c>
      <c r="AH203" s="49">
        <v>0</v>
      </c>
      <c r="AI203" s="49">
        <v>1.2E-2</v>
      </c>
      <c r="AJ203" s="49">
        <v>0</v>
      </c>
      <c r="AK203" s="49" t="s">
        <v>713</v>
      </c>
      <c r="AL203" s="45">
        <v>1</v>
      </c>
      <c r="AM203" s="49">
        <v>20000</v>
      </c>
      <c r="AN203" s="45" t="s">
        <v>48</v>
      </c>
      <c r="AO203" s="45" t="s">
        <v>746</v>
      </c>
    </row>
    <row r="204" spans="1:41" ht="16.5">
      <c r="A204" s="45">
        <v>20625</v>
      </c>
      <c r="B204" s="46" t="s">
        <v>964</v>
      </c>
      <c r="C204" s="46" t="s">
        <v>700</v>
      </c>
      <c r="D204" s="47" t="s">
        <v>73</v>
      </c>
      <c r="E204" s="48">
        <v>11026</v>
      </c>
      <c r="F204" s="67">
        <v>10000</v>
      </c>
      <c r="G204" s="45">
        <v>300</v>
      </c>
      <c r="H204" s="45">
        <v>50</v>
      </c>
      <c r="I204" s="47" t="s">
        <v>719</v>
      </c>
      <c r="J204" s="45">
        <v>4</v>
      </c>
      <c r="K204" s="45">
        <v>13</v>
      </c>
      <c r="L204" s="45">
        <v>40</v>
      </c>
      <c r="M204" s="45">
        <v>0</v>
      </c>
      <c r="N204" s="45">
        <v>240</v>
      </c>
      <c r="O204" s="45">
        <v>0</v>
      </c>
      <c r="P204" s="45">
        <v>0</v>
      </c>
      <c r="Q204" s="45">
        <v>0</v>
      </c>
      <c r="R204" s="45">
        <v>0</v>
      </c>
      <c r="S204" s="45">
        <v>0</v>
      </c>
      <c r="T204" s="45">
        <v>0</v>
      </c>
      <c r="U204" s="45">
        <v>0</v>
      </c>
      <c r="V204" s="45">
        <v>12</v>
      </c>
      <c r="W204" s="45">
        <v>0</v>
      </c>
      <c r="X204" s="45">
        <v>0</v>
      </c>
      <c r="Y204" s="45">
        <v>0</v>
      </c>
      <c r="Z204" s="45">
        <v>0</v>
      </c>
      <c r="AA204" s="45">
        <v>0</v>
      </c>
      <c r="AB204" s="45">
        <v>0</v>
      </c>
      <c r="AC204" s="49">
        <v>0</v>
      </c>
      <c r="AD204" s="49">
        <v>48</v>
      </c>
      <c r="AE204" s="49">
        <v>0</v>
      </c>
      <c r="AF204" s="49">
        <v>0</v>
      </c>
      <c r="AG204" s="50">
        <v>0</v>
      </c>
      <c r="AH204" s="49">
        <v>0</v>
      </c>
      <c r="AI204" s="49">
        <v>1.2E-2</v>
      </c>
      <c r="AJ204" s="49">
        <v>0</v>
      </c>
      <c r="AK204" s="49" t="s">
        <v>713</v>
      </c>
      <c r="AL204" s="45">
        <v>1</v>
      </c>
      <c r="AM204" s="49">
        <v>20000</v>
      </c>
      <c r="AN204" s="45" t="s">
        <v>48</v>
      </c>
      <c r="AO204" s="45" t="s">
        <v>746</v>
      </c>
    </row>
    <row r="205" spans="1:41" ht="16.5">
      <c r="A205" s="45">
        <v>20626</v>
      </c>
      <c r="B205" s="46" t="s">
        <v>965</v>
      </c>
      <c r="C205" s="46" t="s">
        <v>700</v>
      </c>
      <c r="D205" s="47" t="s">
        <v>73</v>
      </c>
      <c r="E205" s="48">
        <v>11026</v>
      </c>
      <c r="F205" s="67">
        <v>10000</v>
      </c>
      <c r="G205" s="45">
        <v>300</v>
      </c>
      <c r="H205" s="45">
        <v>50</v>
      </c>
      <c r="I205" s="47" t="s">
        <v>719</v>
      </c>
      <c r="J205" s="45">
        <v>4</v>
      </c>
      <c r="K205" s="45">
        <v>13</v>
      </c>
      <c r="L205" s="45">
        <v>40</v>
      </c>
      <c r="M205" s="45">
        <v>0</v>
      </c>
      <c r="N205" s="45">
        <v>240</v>
      </c>
      <c r="O205" s="45">
        <v>0</v>
      </c>
      <c r="P205" s="45">
        <v>0</v>
      </c>
      <c r="Q205" s="45">
        <v>0</v>
      </c>
      <c r="R205" s="45">
        <v>0</v>
      </c>
      <c r="S205" s="45">
        <v>0</v>
      </c>
      <c r="T205" s="45">
        <v>0</v>
      </c>
      <c r="U205" s="45">
        <v>0</v>
      </c>
      <c r="V205" s="45">
        <v>12</v>
      </c>
      <c r="W205" s="45">
        <v>0</v>
      </c>
      <c r="X205" s="45">
        <v>0</v>
      </c>
      <c r="Y205" s="45">
        <v>0</v>
      </c>
      <c r="Z205" s="45">
        <v>0</v>
      </c>
      <c r="AA205" s="45">
        <v>0</v>
      </c>
      <c r="AB205" s="45">
        <v>0</v>
      </c>
      <c r="AC205" s="49">
        <v>0</v>
      </c>
      <c r="AD205" s="49">
        <v>48</v>
      </c>
      <c r="AE205" s="49">
        <v>0</v>
      </c>
      <c r="AF205" s="49">
        <v>0</v>
      </c>
      <c r="AG205" s="50">
        <v>0</v>
      </c>
      <c r="AH205" s="49">
        <v>0</v>
      </c>
      <c r="AI205" s="49">
        <v>1.2E-2</v>
      </c>
      <c r="AJ205" s="49">
        <v>0</v>
      </c>
      <c r="AK205" s="49" t="s">
        <v>713</v>
      </c>
      <c r="AL205" s="45">
        <v>1</v>
      </c>
      <c r="AM205" s="49">
        <v>20000</v>
      </c>
      <c r="AN205" s="45" t="s">
        <v>48</v>
      </c>
      <c r="AO205" s="45" t="s">
        <v>746</v>
      </c>
    </row>
    <row r="206" spans="1:41" ht="16.5">
      <c r="A206" s="45">
        <v>20627</v>
      </c>
      <c r="B206" s="46" t="s">
        <v>966</v>
      </c>
      <c r="C206" s="46" t="s">
        <v>700</v>
      </c>
      <c r="D206" s="47" t="s">
        <v>73</v>
      </c>
      <c r="E206" s="48">
        <v>11026</v>
      </c>
      <c r="F206" s="67">
        <v>10000</v>
      </c>
      <c r="G206" s="45">
        <v>300</v>
      </c>
      <c r="H206" s="45">
        <v>50</v>
      </c>
      <c r="I206" s="47" t="s">
        <v>719</v>
      </c>
      <c r="J206" s="45">
        <v>4</v>
      </c>
      <c r="K206" s="45">
        <v>13</v>
      </c>
      <c r="L206" s="45">
        <v>40</v>
      </c>
      <c r="M206" s="45">
        <v>0</v>
      </c>
      <c r="N206" s="45">
        <v>240</v>
      </c>
      <c r="O206" s="45">
        <v>0</v>
      </c>
      <c r="P206" s="45">
        <v>0</v>
      </c>
      <c r="Q206" s="45">
        <v>0</v>
      </c>
      <c r="R206" s="45">
        <v>0</v>
      </c>
      <c r="S206" s="45">
        <v>0</v>
      </c>
      <c r="T206" s="45">
        <v>0</v>
      </c>
      <c r="U206" s="45">
        <v>0</v>
      </c>
      <c r="V206" s="45">
        <v>12</v>
      </c>
      <c r="W206" s="45">
        <v>0</v>
      </c>
      <c r="X206" s="45">
        <v>0</v>
      </c>
      <c r="Y206" s="45">
        <v>0</v>
      </c>
      <c r="Z206" s="45">
        <v>0</v>
      </c>
      <c r="AA206" s="45">
        <v>0</v>
      </c>
      <c r="AB206" s="45">
        <v>0</v>
      </c>
      <c r="AC206" s="49">
        <v>0</v>
      </c>
      <c r="AD206" s="49">
        <v>48</v>
      </c>
      <c r="AE206" s="49">
        <v>0</v>
      </c>
      <c r="AF206" s="49">
        <v>0</v>
      </c>
      <c r="AG206" s="50">
        <v>0</v>
      </c>
      <c r="AH206" s="49">
        <v>0</v>
      </c>
      <c r="AI206" s="49">
        <v>1.2E-2</v>
      </c>
      <c r="AJ206" s="49">
        <v>0</v>
      </c>
      <c r="AK206" s="49" t="s">
        <v>713</v>
      </c>
      <c r="AL206" s="45">
        <v>1</v>
      </c>
      <c r="AM206" s="49">
        <v>20000</v>
      </c>
      <c r="AN206" s="45" t="s">
        <v>48</v>
      </c>
      <c r="AO206" s="45" t="s">
        <v>746</v>
      </c>
    </row>
    <row r="207" spans="1:41" ht="16.5">
      <c r="A207" s="45">
        <v>20628</v>
      </c>
      <c r="B207" s="46" t="s">
        <v>967</v>
      </c>
      <c r="C207" s="46" t="s">
        <v>700</v>
      </c>
      <c r="D207" s="47" t="s">
        <v>73</v>
      </c>
      <c r="E207" s="48">
        <v>11026</v>
      </c>
      <c r="F207" s="67">
        <v>10000</v>
      </c>
      <c r="G207" s="45">
        <v>300</v>
      </c>
      <c r="H207" s="45">
        <v>50</v>
      </c>
      <c r="I207" s="47" t="s">
        <v>719</v>
      </c>
      <c r="J207" s="45">
        <v>4</v>
      </c>
      <c r="K207" s="45">
        <v>13</v>
      </c>
      <c r="L207" s="45">
        <v>40</v>
      </c>
      <c r="M207" s="45">
        <v>0</v>
      </c>
      <c r="N207" s="45">
        <v>240</v>
      </c>
      <c r="O207" s="45">
        <v>0</v>
      </c>
      <c r="P207" s="45">
        <v>0</v>
      </c>
      <c r="Q207" s="45">
        <v>0</v>
      </c>
      <c r="R207" s="45">
        <v>0</v>
      </c>
      <c r="S207" s="45">
        <v>0</v>
      </c>
      <c r="T207" s="45">
        <v>0</v>
      </c>
      <c r="U207" s="45">
        <v>0</v>
      </c>
      <c r="V207" s="45">
        <v>12</v>
      </c>
      <c r="W207" s="45">
        <v>0</v>
      </c>
      <c r="X207" s="45">
        <v>0</v>
      </c>
      <c r="Y207" s="45">
        <v>0</v>
      </c>
      <c r="Z207" s="45">
        <v>0</v>
      </c>
      <c r="AA207" s="45">
        <v>0</v>
      </c>
      <c r="AB207" s="45">
        <v>0</v>
      </c>
      <c r="AC207" s="49">
        <v>0</v>
      </c>
      <c r="AD207" s="49">
        <v>48</v>
      </c>
      <c r="AE207" s="49">
        <v>0</v>
      </c>
      <c r="AF207" s="49">
        <v>0</v>
      </c>
      <c r="AG207" s="50">
        <v>0</v>
      </c>
      <c r="AH207" s="49">
        <v>0</v>
      </c>
      <c r="AI207" s="49">
        <v>1.2E-2</v>
      </c>
      <c r="AJ207" s="49">
        <v>0</v>
      </c>
      <c r="AK207" s="49" t="s">
        <v>713</v>
      </c>
      <c r="AL207" s="45">
        <v>1</v>
      </c>
      <c r="AM207" s="49">
        <v>20000</v>
      </c>
      <c r="AN207" s="45" t="s">
        <v>48</v>
      </c>
      <c r="AO207" s="45" t="s">
        <v>746</v>
      </c>
    </row>
    <row r="208" spans="1:41" ht="16.5">
      <c r="A208" s="45">
        <v>20629</v>
      </c>
      <c r="B208" s="46" t="s">
        <v>968</v>
      </c>
      <c r="C208" s="46" t="s">
        <v>700</v>
      </c>
      <c r="D208" s="47" t="s">
        <v>73</v>
      </c>
      <c r="E208" s="48">
        <v>11026</v>
      </c>
      <c r="F208" s="67">
        <v>10000</v>
      </c>
      <c r="G208" s="45">
        <v>300</v>
      </c>
      <c r="H208" s="45">
        <v>50</v>
      </c>
      <c r="I208" s="47" t="s">
        <v>719</v>
      </c>
      <c r="J208" s="45">
        <v>4</v>
      </c>
      <c r="K208" s="45">
        <v>13</v>
      </c>
      <c r="L208" s="45">
        <v>40</v>
      </c>
      <c r="M208" s="45">
        <v>0</v>
      </c>
      <c r="N208" s="45">
        <v>240</v>
      </c>
      <c r="O208" s="45">
        <v>0</v>
      </c>
      <c r="P208" s="45">
        <v>0</v>
      </c>
      <c r="Q208" s="45">
        <v>0</v>
      </c>
      <c r="R208" s="45">
        <v>0</v>
      </c>
      <c r="S208" s="45">
        <v>0</v>
      </c>
      <c r="T208" s="45">
        <v>0</v>
      </c>
      <c r="U208" s="45">
        <v>0</v>
      </c>
      <c r="V208" s="45">
        <v>12</v>
      </c>
      <c r="W208" s="45">
        <v>0</v>
      </c>
      <c r="X208" s="45">
        <v>0</v>
      </c>
      <c r="Y208" s="45">
        <v>0</v>
      </c>
      <c r="Z208" s="45">
        <v>0</v>
      </c>
      <c r="AA208" s="45">
        <v>0</v>
      </c>
      <c r="AB208" s="45">
        <v>0</v>
      </c>
      <c r="AC208" s="49">
        <v>0</v>
      </c>
      <c r="AD208" s="49">
        <v>48</v>
      </c>
      <c r="AE208" s="49">
        <v>0</v>
      </c>
      <c r="AF208" s="49">
        <v>0</v>
      </c>
      <c r="AG208" s="50">
        <v>0</v>
      </c>
      <c r="AH208" s="49">
        <v>0</v>
      </c>
      <c r="AI208" s="49">
        <v>1.2E-2</v>
      </c>
      <c r="AJ208" s="49">
        <v>0</v>
      </c>
      <c r="AK208" s="49" t="s">
        <v>713</v>
      </c>
      <c r="AL208" s="45">
        <v>1</v>
      </c>
      <c r="AM208" s="49">
        <v>20000</v>
      </c>
      <c r="AN208" s="45" t="s">
        <v>48</v>
      </c>
      <c r="AO208" s="45" t="s">
        <v>746</v>
      </c>
    </row>
    <row r="209" spans="1:41" ht="16.5">
      <c r="A209" s="45">
        <v>20630</v>
      </c>
      <c r="B209" s="46" t="s">
        <v>969</v>
      </c>
      <c r="C209" s="46" t="s">
        <v>700</v>
      </c>
      <c r="D209" s="47" t="s">
        <v>73</v>
      </c>
      <c r="E209" s="48">
        <v>11026</v>
      </c>
      <c r="F209" s="67">
        <v>10000</v>
      </c>
      <c r="G209" s="45">
        <v>300</v>
      </c>
      <c r="H209" s="45">
        <v>50</v>
      </c>
      <c r="I209" s="47" t="s">
        <v>719</v>
      </c>
      <c r="J209" s="45">
        <v>4</v>
      </c>
      <c r="K209" s="45">
        <v>13</v>
      </c>
      <c r="L209" s="45">
        <v>40</v>
      </c>
      <c r="M209" s="45">
        <v>0</v>
      </c>
      <c r="N209" s="45">
        <v>240</v>
      </c>
      <c r="O209" s="45">
        <v>0</v>
      </c>
      <c r="P209" s="45">
        <v>0</v>
      </c>
      <c r="Q209" s="45">
        <v>0</v>
      </c>
      <c r="R209" s="45">
        <v>0</v>
      </c>
      <c r="S209" s="45">
        <v>0</v>
      </c>
      <c r="T209" s="45">
        <v>0</v>
      </c>
      <c r="U209" s="45">
        <v>0</v>
      </c>
      <c r="V209" s="45">
        <v>12</v>
      </c>
      <c r="W209" s="45">
        <v>0</v>
      </c>
      <c r="X209" s="45">
        <v>0</v>
      </c>
      <c r="Y209" s="45">
        <v>0</v>
      </c>
      <c r="Z209" s="45">
        <v>0</v>
      </c>
      <c r="AA209" s="45">
        <v>0</v>
      </c>
      <c r="AB209" s="45">
        <v>0</v>
      </c>
      <c r="AC209" s="49">
        <v>0</v>
      </c>
      <c r="AD209" s="49">
        <v>48</v>
      </c>
      <c r="AE209" s="49">
        <v>0</v>
      </c>
      <c r="AF209" s="49">
        <v>0</v>
      </c>
      <c r="AG209" s="50">
        <v>0</v>
      </c>
      <c r="AH209" s="49">
        <v>0</v>
      </c>
      <c r="AI209" s="49">
        <v>1.2E-2</v>
      </c>
      <c r="AJ209" s="49">
        <v>0</v>
      </c>
      <c r="AK209" s="49" t="s">
        <v>713</v>
      </c>
      <c r="AL209" s="45">
        <v>1</v>
      </c>
      <c r="AM209" s="49">
        <v>20000</v>
      </c>
      <c r="AN209" s="45" t="s">
        <v>48</v>
      </c>
      <c r="AO209" s="45" t="s">
        <v>746</v>
      </c>
    </row>
    <row r="210" spans="1:41" ht="16.5">
      <c r="A210" s="45">
        <v>20631</v>
      </c>
      <c r="B210" s="46" t="s">
        <v>970</v>
      </c>
      <c r="C210" s="46" t="s">
        <v>700</v>
      </c>
      <c r="D210" s="47" t="s">
        <v>73</v>
      </c>
      <c r="E210" s="48">
        <v>11026</v>
      </c>
      <c r="F210" s="67">
        <v>10000</v>
      </c>
      <c r="G210" s="45">
        <v>300</v>
      </c>
      <c r="H210" s="45">
        <v>50</v>
      </c>
      <c r="I210" s="47" t="s">
        <v>719</v>
      </c>
      <c r="J210" s="45">
        <v>4</v>
      </c>
      <c r="K210" s="45">
        <v>13</v>
      </c>
      <c r="L210" s="45">
        <v>40</v>
      </c>
      <c r="M210" s="45">
        <v>0</v>
      </c>
      <c r="N210" s="45">
        <v>240</v>
      </c>
      <c r="O210" s="45">
        <v>0</v>
      </c>
      <c r="P210" s="45">
        <v>0</v>
      </c>
      <c r="Q210" s="45">
        <v>0</v>
      </c>
      <c r="R210" s="45">
        <v>0</v>
      </c>
      <c r="S210" s="45">
        <v>0</v>
      </c>
      <c r="T210" s="45">
        <v>0</v>
      </c>
      <c r="U210" s="45">
        <v>0</v>
      </c>
      <c r="V210" s="45">
        <v>12</v>
      </c>
      <c r="W210" s="45">
        <v>0</v>
      </c>
      <c r="X210" s="45">
        <v>0</v>
      </c>
      <c r="Y210" s="45">
        <v>0</v>
      </c>
      <c r="Z210" s="45">
        <v>0</v>
      </c>
      <c r="AA210" s="45">
        <v>0</v>
      </c>
      <c r="AB210" s="45">
        <v>0</v>
      </c>
      <c r="AC210" s="49">
        <v>0</v>
      </c>
      <c r="AD210" s="49">
        <v>48</v>
      </c>
      <c r="AE210" s="49">
        <v>0</v>
      </c>
      <c r="AF210" s="49">
        <v>0</v>
      </c>
      <c r="AG210" s="50">
        <v>0</v>
      </c>
      <c r="AH210" s="49">
        <v>0</v>
      </c>
      <c r="AI210" s="49">
        <v>1.2E-2</v>
      </c>
      <c r="AJ210" s="49">
        <v>0</v>
      </c>
      <c r="AK210" s="49" t="s">
        <v>713</v>
      </c>
      <c r="AL210" s="45">
        <v>1</v>
      </c>
      <c r="AM210" s="49">
        <v>20000</v>
      </c>
      <c r="AN210" s="45" t="s">
        <v>48</v>
      </c>
      <c r="AO210" s="45" t="s">
        <v>746</v>
      </c>
    </row>
    <row r="211" spans="1:41" ht="16.5">
      <c r="A211" s="45">
        <v>631</v>
      </c>
      <c r="B211" s="46" t="s">
        <v>971</v>
      </c>
      <c r="C211" s="46" t="s">
        <v>702</v>
      </c>
      <c r="D211" s="47" t="s">
        <v>124</v>
      </c>
      <c r="E211" s="48">
        <v>11027</v>
      </c>
      <c r="F211" s="67">
        <v>10000</v>
      </c>
      <c r="G211" s="45">
        <v>300</v>
      </c>
      <c r="H211" s="45">
        <v>50</v>
      </c>
      <c r="I211" s="47" t="s">
        <v>720</v>
      </c>
      <c r="J211" s="45">
        <v>4</v>
      </c>
      <c r="K211" s="45">
        <v>13</v>
      </c>
      <c r="L211" s="45">
        <v>40</v>
      </c>
      <c r="M211" s="45">
        <v>6000</v>
      </c>
      <c r="N211" s="45">
        <v>0</v>
      </c>
      <c r="O211" s="45">
        <v>0</v>
      </c>
      <c r="P211" s="45">
        <v>0</v>
      </c>
      <c r="Q211" s="45">
        <v>0</v>
      </c>
      <c r="R211" s="45">
        <v>0</v>
      </c>
      <c r="S211" s="45">
        <v>0</v>
      </c>
      <c r="T211" s="45">
        <v>0</v>
      </c>
      <c r="U211" s="45">
        <v>300</v>
      </c>
      <c r="V211" s="45">
        <v>0</v>
      </c>
      <c r="W211" s="45">
        <v>0</v>
      </c>
      <c r="X211" s="45">
        <v>0</v>
      </c>
      <c r="Y211" s="45">
        <v>0</v>
      </c>
      <c r="Z211" s="45">
        <v>0</v>
      </c>
      <c r="AA211" s="45">
        <v>0</v>
      </c>
      <c r="AB211" s="45">
        <v>0</v>
      </c>
      <c r="AC211" s="49">
        <v>1200</v>
      </c>
      <c r="AD211" s="49">
        <v>0</v>
      </c>
      <c r="AE211" s="49">
        <v>0</v>
      </c>
      <c r="AF211" s="49">
        <v>0</v>
      </c>
      <c r="AG211" s="49">
        <v>6.0000000000000001E-3</v>
      </c>
      <c r="AH211" s="49">
        <v>0</v>
      </c>
      <c r="AI211" s="49">
        <v>0</v>
      </c>
      <c r="AJ211" s="50">
        <v>0</v>
      </c>
      <c r="AK211" s="49" t="s">
        <v>713</v>
      </c>
      <c r="AL211" s="45">
        <v>3</v>
      </c>
      <c r="AM211" s="49">
        <v>20000</v>
      </c>
      <c r="AN211" s="45" t="s">
        <v>48</v>
      </c>
      <c r="AO211" s="45" t="s">
        <v>747</v>
      </c>
    </row>
    <row r="212" spans="1:41" ht="16.5">
      <c r="A212" s="45">
        <v>632</v>
      </c>
      <c r="B212" s="46" t="s">
        <v>972</v>
      </c>
      <c r="C212" s="46" t="s">
        <v>702</v>
      </c>
      <c r="D212" s="47" t="s">
        <v>124</v>
      </c>
      <c r="E212" s="48">
        <v>11027</v>
      </c>
      <c r="F212" s="67">
        <v>10000</v>
      </c>
      <c r="G212" s="45">
        <v>300</v>
      </c>
      <c r="H212" s="45">
        <v>50</v>
      </c>
      <c r="I212" s="47" t="s">
        <v>720</v>
      </c>
      <c r="J212" s="45">
        <v>4</v>
      </c>
      <c r="K212" s="45">
        <v>13</v>
      </c>
      <c r="L212" s="45">
        <v>40</v>
      </c>
      <c r="M212" s="45">
        <v>6000</v>
      </c>
      <c r="N212" s="45">
        <v>0</v>
      </c>
      <c r="O212" s="45">
        <v>0</v>
      </c>
      <c r="P212" s="45">
        <v>0</v>
      </c>
      <c r="Q212" s="45">
        <v>0</v>
      </c>
      <c r="R212" s="45">
        <v>0</v>
      </c>
      <c r="S212" s="45">
        <v>0</v>
      </c>
      <c r="T212" s="45">
        <v>0</v>
      </c>
      <c r="U212" s="45">
        <v>300</v>
      </c>
      <c r="V212" s="45">
        <v>0</v>
      </c>
      <c r="W212" s="45">
        <v>0</v>
      </c>
      <c r="X212" s="45">
        <v>0</v>
      </c>
      <c r="Y212" s="45">
        <v>0</v>
      </c>
      <c r="Z212" s="45">
        <v>0</v>
      </c>
      <c r="AA212" s="45">
        <v>0</v>
      </c>
      <c r="AB212" s="45">
        <v>0</v>
      </c>
      <c r="AC212" s="49">
        <v>1200</v>
      </c>
      <c r="AD212" s="49">
        <v>0</v>
      </c>
      <c r="AE212" s="49">
        <v>0</v>
      </c>
      <c r="AF212" s="49">
        <v>0</v>
      </c>
      <c r="AG212" s="49">
        <v>6.0000000000000001E-3</v>
      </c>
      <c r="AH212" s="49">
        <v>0</v>
      </c>
      <c r="AI212" s="49">
        <v>0</v>
      </c>
      <c r="AJ212" s="50">
        <v>0</v>
      </c>
      <c r="AK212" s="49" t="s">
        <v>713</v>
      </c>
      <c r="AL212" s="45">
        <v>3</v>
      </c>
      <c r="AM212" s="49">
        <v>20000</v>
      </c>
      <c r="AN212" s="45" t="s">
        <v>48</v>
      </c>
      <c r="AO212" s="45" t="s">
        <v>747</v>
      </c>
    </row>
    <row r="213" spans="1:41" ht="16.5">
      <c r="A213" s="45">
        <v>633</v>
      </c>
      <c r="B213" s="46" t="s">
        <v>973</v>
      </c>
      <c r="C213" s="46" t="s">
        <v>702</v>
      </c>
      <c r="D213" s="47" t="s">
        <v>124</v>
      </c>
      <c r="E213" s="48">
        <v>11027</v>
      </c>
      <c r="F213" s="67">
        <v>10000</v>
      </c>
      <c r="G213" s="45">
        <v>300</v>
      </c>
      <c r="H213" s="45">
        <v>50</v>
      </c>
      <c r="I213" s="47" t="s">
        <v>720</v>
      </c>
      <c r="J213" s="45">
        <v>4</v>
      </c>
      <c r="K213" s="45">
        <v>13</v>
      </c>
      <c r="L213" s="45">
        <v>40</v>
      </c>
      <c r="M213" s="45">
        <v>6000</v>
      </c>
      <c r="N213" s="45">
        <v>0</v>
      </c>
      <c r="O213" s="45">
        <v>0</v>
      </c>
      <c r="P213" s="45">
        <v>0</v>
      </c>
      <c r="Q213" s="45">
        <v>0</v>
      </c>
      <c r="R213" s="45">
        <v>0</v>
      </c>
      <c r="S213" s="45">
        <v>0</v>
      </c>
      <c r="T213" s="45">
        <v>0</v>
      </c>
      <c r="U213" s="45">
        <v>300</v>
      </c>
      <c r="V213" s="45">
        <v>0</v>
      </c>
      <c r="W213" s="45">
        <v>0</v>
      </c>
      <c r="X213" s="45">
        <v>0</v>
      </c>
      <c r="Y213" s="45">
        <v>0</v>
      </c>
      <c r="Z213" s="45">
        <v>0</v>
      </c>
      <c r="AA213" s="45">
        <v>0</v>
      </c>
      <c r="AB213" s="45">
        <v>0</v>
      </c>
      <c r="AC213" s="49">
        <v>1200</v>
      </c>
      <c r="AD213" s="49">
        <v>0</v>
      </c>
      <c r="AE213" s="49">
        <v>0</v>
      </c>
      <c r="AF213" s="49">
        <v>0</v>
      </c>
      <c r="AG213" s="49">
        <v>6.0000000000000001E-3</v>
      </c>
      <c r="AH213" s="49">
        <v>0</v>
      </c>
      <c r="AI213" s="49">
        <v>0</v>
      </c>
      <c r="AJ213" s="50">
        <v>0</v>
      </c>
      <c r="AK213" s="49" t="s">
        <v>713</v>
      </c>
      <c r="AL213" s="45">
        <v>3</v>
      </c>
      <c r="AM213" s="49">
        <v>20000</v>
      </c>
      <c r="AN213" s="45" t="s">
        <v>48</v>
      </c>
      <c r="AO213" s="45" t="s">
        <v>747</v>
      </c>
    </row>
    <row r="214" spans="1:41" ht="16.5">
      <c r="A214" s="45">
        <v>2063</v>
      </c>
      <c r="B214" s="46" t="s">
        <v>974</v>
      </c>
      <c r="C214" s="46" t="s">
        <v>702</v>
      </c>
      <c r="D214" s="47" t="s">
        <v>124</v>
      </c>
      <c r="E214" s="48">
        <v>11027</v>
      </c>
      <c r="F214" s="67">
        <v>10000</v>
      </c>
      <c r="G214" s="45">
        <v>300</v>
      </c>
      <c r="H214" s="45">
        <v>50</v>
      </c>
      <c r="I214" s="47" t="s">
        <v>720</v>
      </c>
      <c r="J214" s="45">
        <v>4</v>
      </c>
      <c r="K214" s="45">
        <v>13</v>
      </c>
      <c r="L214" s="45">
        <v>40</v>
      </c>
      <c r="M214" s="45">
        <v>6000</v>
      </c>
      <c r="N214" s="45">
        <v>0</v>
      </c>
      <c r="O214" s="45">
        <v>0</v>
      </c>
      <c r="P214" s="45">
        <v>0</v>
      </c>
      <c r="Q214" s="45">
        <v>0</v>
      </c>
      <c r="R214" s="45">
        <v>0</v>
      </c>
      <c r="S214" s="45">
        <v>0</v>
      </c>
      <c r="T214" s="45">
        <v>0</v>
      </c>
      <c r="U214" s="45">
        <v>300</v>
      </c>
      <c r="V214" s="45">
        <v>0</v>
      </c>
      <c r="W214" s="45">
        <v>0</v>
      </c>
      <c r="X214" s="45">
        <v>0</v>
      </c>
      <c r="Y214" s="45">
        <v>0</v>
      </c>
      <c r="Z214" s="45">
        <v>0</v>
      </c>
      <c r="AA214" s="45">
        <v>0</v>
      </c>
      <c r="AB214" s="45">
        <v>0</v>
      </c>
      <c r="AC214" s="49">
        <v>1200</v>
      </c>
      <c r="AD214" s="49">
        <v>0</v>
      </c>
      <c r="AE214" s="49">
        <v>0</v>
      </c>
      <c r="AF214" s="49">
        <v>0</v>
      </c>
      <c r="AG214" s="49">
        <v>6.0000000000000001E-3</v>
      </c>
      <c r="AH214" s="49">
        <v>0</v>
      </c>
      <c r="AI214" s="49">
        <v>0</v>
      </c>
      <c r="AJ214" s="50">
        <v>0</v>
      </c>
      <c r="AK214" s="49" t="s">
        <v>713</v>
      </c>
      <c r="AL214" s="45">
        <v>3</v>
      </c>
      <c r="AM214" s="49">
        <v>20000</v>
      </c>
      <c r="AN214" s="45" t="s">
        <v>48</v>
      </c>
      <c r="AO214" s="45" t="s">
        <v>747</v>
      </c>
    </row>
    <row r="215" spans="1:41" ht="16.5">
      <c r="A215" s="45">
        <v>20631</v>
      </c>
      <c r="B215" s="46" t="s">
        <v>975</v>
      </c>
      <c r="C215" s="46" t="s">
        <v>702</v>
      </c>
      <c r="D215" s="47" t="s">
        <v>124</v>
      </c>
      <c r="E215" s="48">
        <v>11027</v>
      </c>
      <c r="F215" s="67">
        <v>10000</v>
      </c>
      <c r="G215" s="45">
        <v>300</v>
      </c>
      <c r="H215" s="45">
        <v>50</v>
      </c>
      <c r="I215" s="47" t="s">
        <v>720</v>
      </c>
      <c r="J215" s="45">
        <v>4</v>
      </c>
      <c r="K215" s="45">
        <v>13</v>
      </c>
      <c r="L215" s="45">
        <v>40</v>
      </c>
      <c r="M215" s="45">
        <v>6000</v>
      </c>
      <c r="N215" s="45">
        <v>0</v>
      </c>
      <c r="O215" s="45">
        <v>0</v>
      </c>
      <c r="P215" s="45">
        <v>0</v>
      </c>
      <c r="Q215" s="45">
        <v>0</v>
      </c>
      <c r="R215" s="45">
        <v>0</v>
      </c>
      <c r="S215" s="45">
        <v>0</v>
      </c>
      <c r="T215" s="45">
        <v>0</v>
      </c>
      <c r="U215" s="45">
        <v>300</v>
      </c>
      <c r="V215" s="45">
        <v>0</v>
      </c>
      <c r="W215" s="45">
        <v>0</v>
      </c>
      <c r="X215" s="45">
        <v>0</v>
      </c>
      <c r="Y215" s="45">
        <v>0</v>
      </c>
      <c r="Z215" s="45">
        <v>0</v>
      </c>
      <c r="AA215" s="45">
        <v>0</v>
      </c>
      <c r="AB215" s="45">
        <v>0</v>
      </c>
      <c r="AC215" s="49">
        <v>1200</v>
      </c>
      <c r="AD215" s="49">
        <v>0</v>
      </c>
      <c r="AE215" s="49">
        <v>0</v>
      </c>
      <c r="AF215" s="49">
        <v>0</v>
      </c>
      <c r="AG215" s="49">
        <v>6.0000000000000001E-3</v>
      </c>
      <c r="AH215" s="49">
        <v>0</v>
      </c>
      <c r="AI215" s="49">
        <v>0</v>
      </c>
      <c r="AJ215" s="50">
        <v>0</v>
      </c>
      <c r="AK215" s="49" t="s">
        <v>713</v>
      </c>
      <c r="AL215" s="45">
        <v>3</v>
      </c>
      <c r="AM215" s="49">
        <v>20000</v>
      </c>
      <c r="AN215" s="45" t="s">
        <v>48</v>
      </c>
      <c r="AO215" s="45" t="s">
        <v>747</v>
      </c>
    </row>
    <row r="216" spans="1:41" ht="16.5">
      <c r="A216" s="45">
        <v>20632</v>
      </c>
      <c r="B216" s="46" t="s">
        <v>976</v>
      </c>
      <c r="C216" s="46" t="s">
        <v>702</v>
      </c>
      <c r="D216" s="47" t="s">
        <v>124</v>
      </c>
      <c r="E216" s="48">
        <v>11027</v>
      </c>
      <c r="F216" s="67">
        <v>10000</v>
      </c>
      <c r="G216" s="45">
        <v>300</v>
      </c>
      <c r="H216" s="45">
        <v>50</v>
      </c>
      <c r="I216" s="47" t="s">
        <v>720</v>
      </c>
      <c r="J216" s="45">
        <v>4</v>
      </c>
      <c r="K216" s="45">
        <v>13</v>
      </c>
      <c r="L216" s="45">
        <v>40</v>
      </c>
      <c r="M216" s="45">
        <v>6000</v>
      </c>
      <c r="N216" s="45">
        <v>0</v>
      </c>
      <c r="O216" s="45">
        <v>0</v>
      </c>
      <c r="P216" s="45">
        <v>0</v>
      </c>
      <c r="Q216" s="45">
        <v>0</v>
      </c>
      <c r="R216" s="45">
        <v>0</v>
      </c>
      <c r="S216" s="45">
        <v>0</v>
      </c>
      <c r="T216" s="45">
        <v>0</v>
      </c>
      <c r="U216" s="45">
        <v>300</v>
      </c>
      <c r="V216" s="45">
        <v>0</v>
      </c>
      <c r="W216" s="45">
        <v>0</v>
      </c>
      <c r="X216" s="45">
        <v>0</v>
      </c>
      <c r="Y216" s="45">
        <v>0</v>
      </c>
      <c r="Z216" s="45">
        <v>0</v>
      </c>
      <c r="AA216" s="45">
        <v>0</v>
      </c>
      <c r="AB216" s="45">
        <v>0</v>
      </c>
      <c r="AC216" s="49">
        <v>1200</v>
      </c>
      <c r="AD216" s="49">
        <v>0</v>
      </c>
      <c r="AE216" s="49">
        <v>0</v>
      </c>
      <c r="AF216" s="49">
        <v>0</v>
      </c>
      <c r="AG216" s="49">
        <v>6.0000000000000001E-3</v>
      </c>
      <c r="AH216" s="49">
        <v>0</v>
      </c>
      <c r="AI216" s="49">
        <v>0</v>
      </c>
      <c r="AJ216" s="50">
        <v>0</v>
      </c>
      <c r="AK216" s="49" t="s">
        <v>713</v>
      </c>
      <c r="AL216" s="45">
        <v>3</v>
      </c>
      <c r="AM216" s="49">
        <v>20000</v>
      </c>
      <c r="AN216" s="45" t="s">
        <v>48</v>
      </c>
      <c r="AO216" s="45" t="s">
        <v>747</v>
      </c>
    </row>
    <row r="217" spans="1:41" ht="16.5">
      <c r="A217" s="45">
        <v>20633</v>
      </c>
      <c r="B217" s="46" t="s">
        <v>977</v>
      </c>
      <c r="C217" s="46" t="s">
        <v>702</v>
      </c>
      <c r="D217" s="47" t="s">
        <v>124</v>
      </c>
      <c r="E217" s="48">
        <v>11027</v>
      </c>
      <c r="F217" s="67">
        <v>10000</v>
      </c>
      <c r="G217" s="45">
        <v>300</v>
      </c>
      <c r="H217" s="45">
        <v>50</v>
      </c>
      <c r="I217" s="47" t="s">
        <v>720</v>
      </c>
      <c r="J217" s="45">
        <v>4</v>
      </c>
      <c r="K217" s="45">
        <v>13</v>
      </c>
      <c r="L217" s="45">
        <v>40</v>
      </c>
      <c r="M217" s="45">
        <v>6000</v>
      </c>
      <c r="N217" s="45">
        <v>0</v>
      </c>
      <c r="O217" s="45">
        <v>0</v>
      </c>
      <c r="P217" s="45">
        <v>0</v>
      </c>
      <c r="Q217" s="45">
        <v>0</v>
      </c>
      <c r="R217" s="45">
        <v>0</v>
      </c>
      <c r="S217" s="45">
        <v>0</v>
      </c>
      <c r="T217" s="45">
        <v>0</v>
      </c>
      <c r="U217" s="45">
        <v>300</v>
      </c>
      <c r="V217" s="45">
        <v>0</v>
      </c>
      <c r="W217" s="45">
        <v>0</v>
      </c>
      <c r="X217" s="45">
        <v>0</v>
      </c>
      <c r="Y217" s="45">
        <v>0</v>
      </c>
      <c r="Z217" s="45">
        <v>0</v>
      </c>
      <c r="AA217" s="45">
        <v>0</v>
      </c>
      <c r="AB217" s="45">
        <v>0</v>
      </c>
      <c r="AC217" s="49">
        <v>1200</v>
      </c>
      <c r="AD217" s="49">
        <v>0</v>
      </c>
      <c r="AE217" s="49">
        <v>0</v>
      </c>
      <c r="AF217" s="49">
        <v>0</v>
      </c>
      <c r="AG217" s="49">
        <v>6.0000000000000001E-3</v>
      </c>
      <c r="AH217" s="49">
        <v>0</v>
      </c>
      <c r="AI217" s="49">
        <v>0</v>
      </c>
      <c r="AJ217" s="50">
        <v>0</v>
      </c>
      <c r="AK217" s="49" t="s">
        <v>713</v>
      </c>
      <c r="AL217" s="45">
        <v>3</v>
      </c>
      <c r="AM217" s="49">
        <v>20000</v>
      </c>
      <c r="AN217" s="45" t="s">
        <v>48</v>
      </c>
      <c r="AO217" s="45" t="s">
        <v>747</v>
      </c>
    </row>
    <row r="218" spans="1:41" ht="16.5">
      <c r="A218" s="45">
        <v>20634</v>
      </c>
      <c r="B218" s="46" t="s">
        <v>978</v>
      </c>
      <c r="C218" s="46" t="s">
        <v>702</v>
      </c>
      <c r="D218" s="47" t="s">
        <v>124</v>
      </c>
      <c r="E218" s="48">
        <v>11027</v>
      </c>
      <c r="F218" s="67">
        <v>10000</v>
      </c>
      <c r="G218" s="45">
        <v>300</v>
      </c>
      <c r="H218" s="45">
        <v>50</v>
      </c>
      <c r="I218" s="47" t="s">
        <v>720</v>
      </c>
      <c r="J218" s="45">
        <v>4</v>
      </c>
      <c r="K218" s="45">
        <v>13</v>
      </c>
      <c r="L218" s="45">
        <v>40</v>
      </c>
      <c r="M218" s="45">
        <v>6000</v>
      </c>
      <c r="N218" s="45">
        <v>0</v>
      </c>
      <c r="O218" s="45">
        <v>0</v>
      </c>
      <c r="P218" s="45">
        <v>0</v>
      </c>
      <c r="Q218" s="45">
        <v>0</v>
      </c>
      <c r="R218" s="45">
        <v>0</v>
      </c>
      <c r="S218" s="45">
        <v>0</v>
      </c>
      <c r="T218" s="45">
        <v>0</v>
      </c>
      <c r="U218" s="45">
        <v>300</v>
      </c>
      <c r="V218" s="45">
        <v>0</v>
      </c>
      <c r="W218" s="45">
        <v>0</v>
      </c>
      <c r="X218" s="45">
        <v>0</v>
      </c>
      <c r="Y218" s="45">
        <v>0</v>
      </c>
      <c r="Z218" s="45">
        <v>0</v>
      </c>
      <c r="AA218" s="45">
        <v>0</v>
      </c>
      <c r="AB218" s="45">
        <v>0</v>
      </c>
      <c r="AC218" s="49">
        <v>1200</v>
      </c>
      <c r="AD218" s="49">
        <v>0</v>
      </c>
      <c r="AE218" s="49">
        <v>0</v>
      </c>
      <c r="AF218" s="49">
        <v>0</v>
      </c>
      <c r="AG218" s="49">
        <v>6.0000000000000001E-3</v>
      </c>
      <c r="AH218" s="49">
        <v>0</v>
      </c>
      <c r="AI218" s="49">
        <v>0</v>
      </c>
      <c r="AJ218" s="50">
        <v>0</v>
      </c>
      <c r="AK218" s="49" t="s">
        <v>713</v>
      </c>
      <c r="AL218" s="45">
        <v>3</v>
      </c>
      <c r="AM218" s="49">
        <v>20000</v>
      </c>
      <c r="AN218" s="45" t="s">
        <v>48</v>
      </c>
      <c r="AO218" s="45" t="s">
        <v>747</v>
      </c>
    </row>
    <row r="219" spans="1:41" ht="16.5">
      <c r="A219" s="45">
        <v>20635</v>
      </c>
      <c r="B219" s="46" t="s">
        <v>979</v>
      </c>
      <c r="C219" s="46" t="s">
        <v>702</v>
      </c>
      <c r="D219" s="47" t="s">
        <v>124</v>
      </c>
      <c r="E219" s="48">
        <v>11027</v>
      </c>
      <c r="F219" s="67">
        <v>10000</v>
      </c>
      <c r="G219" s="45">
        <v>300</v>
      </c>
      <c r="H219" s="45">
        <v>50</v>
      </c>
      <c r="I219" s="47" t="s">
        <v>720</v>
      </c>
      <c r="J219" s="45">
        <v>4</v>
      </c>
      <c r="K219" s="45">
        <v>13</v>
      </c>
      <c r="L219" s="45">
        <v>40</v>
      </c>
      <c r="M219" s="45">
        <v>6000</v>
      </c>
      <c r="N219" s="45">
        <v>0</v>
      </c>
      <c r="O219" s="45">
        <v>0</v>
      </c>
      <c r="P219" s="45">
        <v>0</v>
      </c>
      <c r="Q219" s="45">
        <v>0</v>
      </c>
      <c r="R219" s="45">
        <v>0</v>
      </c>
      <c r="S219" s="45">
        <v>0</v>
      </c>
      <c r="T219" s="45">
        <v>0</v>
      </c>
      <c r="U219" s="45">
        <v>300</v>
      </c>
      <c r="V219" s="45">
        <v>0</v>
      </c>
      <c r="W219" s="45">
        <v>0</v>
      </c>
      <c r="X219" s="45">
        <v>0</v>
      </c>
      <c r="Y219" s="45">
        <v>0</v>
      </c>
      <c r="Z219" s="45">
        <v>0</v>
      </c>
      <c r="AA219" s="45">
        <v>0</v>
      </c>
      <c r="AB219" s="45">
        <v>0</v>
      </c>
      <c r="AC219" s="49">
        <v>1200</v>
      </c>
      <c r="AD219" s="49">
        <v>0</v>
      </c>
      <c r="AE219" s="49">
        <v>0</v>
      </c>
      <c r="AF219" s="49">
        <v>0</v>
      </c>
      <c r="AG219" s="49">
        <v>6.0000000000000001E-3</v>
      </c>
      <c r="AH219" s="49">
        <v>0</v>
      </c>
      <c r="AI219" s="49">
        <v>0</v>
      </c>
      <c r="AJ219" s="50">
        <v>0</v>
      </c>
      <c r="AK219" s="49" t="s">
        <v>713</v>
      </c>
      <c r="AL219" s="45">
        <v>3</v>
      </c>
      <c r="AM219" s="49">
        <v>20000</v>
      </c>
      <c r="AN219" s="45" t="s">
        <v>48</v>
      </c>
      <c r="AO219" s="45" t="s">
        <v>747</v>
      </c>
    </row>
    <row r="220" spans="1:41" ht="16.5">
      <c r="A220" s="45">
        <v>20636</v>
      </c>
      <c r="B220" s="46" t="s">
        <v>980</v>
      </c>
      <c r="C220" s="46" t="s">
        <v>702</v>
      </c>
      <c r="D220" s="47" t="s">
        <v>124</v>
      </c>
      <c r="E220" s="48">
        <v>11027</v>
      </c>
      <c r="F220" s="67">
        <v>10000</v>
      </c>
      <c r="G220" s="45">
        <v>300</v>
      </c>
      <c r="H220" s="45">
        <v>50</v>
      </c>
      <c r="I220" s="47" t="s">
        <v>720</v>
      </c>
      <c r="J220" s="45">
        <v>4</v>
      </c>
      <c r="K220" s="45">
        <v>13</v>
      </c>
      <c r="L220" s="45">
        <v>40</v>
      </c>
      <c r="M220" s="45">
        <v>6000</v>
      </c>
      <c r="N220" s="45">
        <v>0</v>
      </c>
      <c r="O220" s="45">
        <v>0</v>
      </c>
      <c r="P220" s="45">
        <v>0</v>
      </c>
      <c r="Q220" s="45">
        <v>0</v>
      </c>
      <c r="R220" s="45">
        <v>0</v>
      </c>
      <c r="S220" s="45">
        <v>0</v>
      </c>
      <c r="T220" s="45">
        <v>0</v>
      </c>
      <c r="U220" s="45">
        <v>300</v>
      </c>
      <c r="V220" s="45">
        <v>0</v>
      </c>
      <c r="W220" s="45">
        <v>0</v>
      </c>
      <c r="X220" s="45">
        <v>0</v>
      </c>
      <c r="Y220" s="45">
        <v>0</v>
      </c>
      <c r="Z220" s="45">
        <v>0</v>
      </c>
      <c r="AA220" s="45">
        <v>0</v>
      </c>
      <c r="AB220" s="45">
        <v>0</v>
      </c>
      <c r="AC220" s="49">
        <v>1200</v>
      </c>
      <c r="AD220" s="49">
        <v>0</v>
      </c>
      <c r="AE220" s="49">
        <v>0</v>
      </c>
      <c r="AF220" s="49">
        <v>0</v>
      </c>
      <c r="AG220" s="49">
        <v>6.0000000000000001E-3</v>
      </c>
      <c r="AH220" s="49">
        <v>0</v>
      </c>
      <c r="AI220" s="49">
        <v>0</v>
      </c>
      <c r="AJ220" s="50">
        <v>0</v>
      </c>
      <c r="AK220" s="49" t="s">
        <v>713</v>
      </c>
      <c r="AL220" s="45">
        <v>3</v>
      </c>
      <c r="AM220" s="49">
        <v>20000</v>
      </c>
      <c r="AN220" s="45" t="s">
        <v>48</v>
      </c>
      <c r="AO220" s="45" t="s">
        <v>747</v>
      </c>
    </row>
    <row r="221" spans="1:41" ht="16.5">
      <c r="A221" s="45">
        <v>20637</v>
      </c>
      <c r="B221" s="46" t="s">
        <v>981</v>
      </c>
      <c r="C221" s="46" t="s">
        <v>702</v>
      </c>
      <c r="D221" s="47" t="s">
        <v>124</v>
      </c>
      <c r="E221" s="48">
        <v>11027</v>
      </c>
      <c r="F221" s="67">
        <v>10000</v>
      </c>
      <c r="G221" s="45">
        <v>300</v>
      </c>
      <c r="H221" s="45">
        <v>50</v>
      </c>
      <c r="I221" s="47" t="s">
        <v>720</v>
      </c>
      <c r="J221" s="45">
        <v>4</v>
      </c>
      <c r="K221" s="45">
        <v>13</v>
      </c>
      <c r="L221" s="45">
        <v>40</v>
      </c>
      <c r="M221" s="45">
        <v>6000</v>
      </c>
      <c r="N221" s="45">
        <v>0</v>
      </c>
      <c r="O221" s="45">
        <v>0</v>
      </c>
      <c r="P221" s="45">
        <v>0</v>
      </c>
      <c r="Q221" s="45">
        <v>0</v>
      </c>
      <c r="R221" s="45">
        <v>0</v>
      </c>
      <c r="S221" s="45">
        <v>0</v>
      </c>
      <c r="T221" s="45">
        <v>0</v>
      </c>
      <c r="U221" s="45">
        <v>300</v>
      </c>
      <c r="V221" s="45">
        <v>0</v>
      </c>
      <c r="W221" s="45">
        <v>0</v>
      </c>
      <c r="X221" s="45">
        <v>0</v>
      </c>
      <c r="Y221" s="45">
        <v>0</v>
      </c>
      <c r="Z221" s="45">
        <v>0</v>
      </c>
      <c r="AA221" s="45">
        <v>0</v>
      </c>
      <c r="AB221" s="45">
        <v>0</v>
      </c>
      <c r="AC221" s="49">
        <v>1200</v>
      </c>
      <c r="AD221" s="49">
        <v>0</v>
      </c>
      <c r="AE221" s="49">
        <v>0</v>
      </c>
      <c r="AF221" s="49">
        <v>0</v>
      </c>
      <c r="AG221" s="49">
        <v>6.0000000000000001E-3</v>
      </c>
      <c r="AH221" s="49">
        <v>0</v>
      </c>
      <c r="AI221" s="49">
        <v>0</v>
      </c>
      <c r="AJ221" s="50">
        <v>0</v>
      </c>
      <c r="AK221" s="49" t="s">
        <v>713</v>
      </c>
      <c r="AL221" s="45">
        <v>3</v>
      </c>
      <c r="AM221" s="49">
        <v>20000</v>
      </c>
      <c r="AN221" s="45" t="s">
        <v>48</v>
      </c>
      <c r="AO221" s="45" t="s">
        <v>747</v>
      </c>
    </row>
    <row r="222" spans="1:41" ht="16.5">
      <c r="A222" s="45">
        <v>20638</v>
      </c>
      <c r="B222" s="46" t="s">
        <v>982</v>
      </c>
      <c r="C222" s="46" t="s">
        <v>702</v>
      </c>
      <c r="D222" s="47" t="s">
        <v>124</v>
      </c>
      <c r="E222" s="48">
        <v>11027</v>
      </c>
      <c r="F222" s="67">
        <v>10000</v>
      </c>
      <c r="G222" s="45">
        <v>300</v>
      </c>
      <c r="H222" s="45">
        <v>50</v>
      </c>
      <c r="I222" s="47" t="s">
        <v>720</v>
      </c>
      <c r="J222" s="45">
        <v>4</v>
      </c>
      <c r="K222" s="45">
        <v>13</v>
      </c>
      <c r="L222" s="45">
        <v>40</v>
      </c>
      <c r="M222" s="45">
        <v>6000</v>
      </c>
      <c r="N222" s="45">
        <v>0</v>
      </c>
      <c r="O222" s="45">
        <v>0</v>
      </c>
      <c r="P222" s="45">
        <v>0</v>
      </c>
      <c r="Q222" s="45">
        <v>0</v>
      </c>
      <c r="R222" s="45">
        <v>0</v>
      </c>
      <c r="S222" s="45">
        <v>0</v>
      </c>
      <c r="T222" s="45">
        <v>0</v>
      </c>
      <c r="U222" s="45">
        <v>300</v>
      </c>
      <c r="V222" s="45">
        <v>0</v>
      </c>
      <c r="W222" s="45">
        <v>0</v>
      </c>
      <c r="X222" s="45">
        <v>0</v>
      </c>
      <c r="Y222" s="45">
        <v>0</v>
      </c>
      <c r="Z222" s="45">
        <v>0</v>
      </c>
      <c r="AA222" s="45">
        <v>0</v>
      </c>
      <c r="AB222" s="45">
        <v>0</v>
      </c>
      <c r="AC222" s="49">
        <v>1200</v>
      </c>
      <c r="AD222" s="49">
        <v>0</v>
      </c>
      <c r="AE222" s="49">
        <v>0</v>
      </c>
      <c r="AF222" s="49">
        <v>0</v>
      </c>
      <c r="AG222" s="49">
        <v>6.0000000000000001E-3</v>
      </c>
      <c r="AH222" s="49">
        <v>0</v>
      </c>
      <c r="AI222" s="49">
        <v>0</v>
      </c>
      <c r="AJ222" s="50">
        <v>0</v>
      </c>
      <c r="AK222" s="49" t="s">
        <v>713</v>
      </c>
      <c r="AL222" s="45">
        <v>3</v>
      </c>
      <c r="AM222" s="49">
        <v>20000</v>
      </c>
      <c r="AN222" s="45" t="s">
        <v>48</v>
      </c>
      <c r="AO222" s="45" t="s">
        <v>747</v>
      </c>
    </row>
    <row r="223" spans="1:41" ht="16.5">
      <c r="A223" s="45">
        <v>20639</v>
      </c>
      <c r="B223" s="46" t="s">
        <v>983</v>
      </c>
      <c r="C223" s="46" t="s">
        <v>702</v>
      </c>
      <c r="D223" s="47" t="s">
        <v>124</v>
      </c>
      <c r="E223" s="48">
        <v>11027</v>
      </c>
      <c r="F223" s="67">
        <v>10000</v>
      </c>
      <c r="G223" s="45">
        <v>300</v>
      </c>
      <c r="H223" s="45">
        <v>50</v>
      </c>
      <c r="I223" s="47" t="s">
        <v>720</v>
      </c>
      <c r="J223" s="45">
        <v>4</v>
      </c>
      <c r="K223" s="45">
        <v>13</v>
      </c>
      <c r="L223" s="45">
        <v>40</v>
      </c>
      <c r="M223" s="45">
        <v>6000</v>
      </c>
      <c r="N223" s="45">
        <v>0</v>
      </c>
      <c r="O223" s="45">
        <v>0</v>
      </c>
      <c r="P223" s="45">
        <v>0</v>
      </c>
      <c r="Q223" s="45">
        <v>0</v>
      </c>
      <c r="R223" s="45">
        <v>0</v>
      </c>
      <c r="S223" s="45">
        <v>0</v>
      </c>
      <c r="T223" s="45">
        <v>0</v>
      </c>
      <c r="U223" s="45">
        <v>300</v>
      </c>
      <c r="V223" s="45">
        <v>0</v>
      </c>
      <c r="W223" s="45">
        <v>0</v>
      </c>
      <c r="X223" s="45">
        <v>0</v>
      </c>
      <c r="Y223" s="45">
        <v>0</v>
      </c>
      <c r="Z223" s="45">
        <v>0</v>
      </c>
      <c r="AA223" s="45">
        <v>0</v>
      </c>
      <c r="AB223" s="45">
        <v>0</v>
      </c>
      <c r="AC223" s="49">
        <v>1200</v>
      </c>
      <c r="AD223" s="49">
        <v>0</v>
      </c>
      <c r="AE223" s="49">
        <v>0</v>
      </c>
      <c r="AF223" s="49">
        <v>0</v>
      </c>
      <c r="AG223" s="49">
        <v>6.0000000000000001E-3</v>
      </c>
      <c r="AH223" s="49">
        <v>0</v>
      </c>
      <c r="AI223" s="49">
        <v>0</v>
      </c>
      <c r="AJ223" s="50">
        <v>0</v>
      </c>
      <c r="AK223" s="49" t="s">
        <v>713</v>
      </c>
      <c r="AL223" s="45">
        <v>3</v>
      </c>
      <c r="AM223" s="49">
        <v>20000</v>
      </c>
      <c r="AN223" s="45" t="s">
        <v>48</v>
      </c>
      <c r="AO223" s="45" t="s">
        <v>747</v>
      </c>
    </row>
    <row r="224" spans="1:41" ht="16.5">
      <c r="A224" s="45">
        <v>20640</v>
      </c>
      <c r="B224" s="46" t="s">
        <v>984</v>
      </c>
      <c r="C224" s="46" t="s">
        <v>702</v>
      </c>
      <c r="D224" s="47" t="s">
        <v>124</v>
      </c>
      <c r="E224" s="48">
        <v>11027</v>
      </c>
      <c r="F224" s="67">
        <v>10000</v>
      </c>
      <c r="G224" s="45">
        <v>300</v>
      </c>
      <c r="H224" s="45">
        <v>50</v>
      </c>
      <c r="I224" s="47" t="s">
        <v>720</v>
      </c>
      <c r="J224" s="45">
        <v>4</v>
      </c>
      <c r="K224" s="45">
        <v>13</v>
      </c>
      <c r="L224" s="45">
        <v>40</v>
      </c>
      <c r="M224" s="45">
        <v>6000</v>
      </c>
      <c r="N224" s="45">
        <v>0</v>
      </c>
      <c r="O224" s="45">
        <v>0</v>
      </c>
      <c r="P224" s="45">
        <v>0</v>
      </c>
      <c r="Q224" s="45">
        <v>0</v>
      </c>
      <c r="R224" s="45">
        <v>0</v>
      </c>
      <c r="S224" s="45">
        <v>0</v>
      </c>
      <c r="T224" s="45">
        <v>0</v>
      </c>
      <c r="U224" s="45">
        <v>300</v>
      </c>
      <c r="V224" s="45">
        <v>0</v>
      </c>
      <c r="W224" s="45">
        <v>0</v>
      </c>
      <c r="X224" s="45">
        <v>0</v>
      </c>
      <c r="Y224" s="45">
        <v>0</v>
      </c>
      <c r="Z224" s="45">
        <v>0</v>
      </c>
      <c r="AA224" s="45">
        <v>0</v>
      </c>
      <c r="AB224" s="45">
        <v>0</v>
      </c>
      <c r="AC224" s="49">
        <v>1200</v>
      </c>
      <c r="AD224" s="49">
        <v>0</v>
      </c>
      <c r="AE224" s="49">
        <v>0</v>
      </c>
      <c r="AF224" s="49">
        <v>0</v>
      </c>
      <c r="AG224" s="49">
        <v>6.0000000000000001E-3</v>
      </c>
      <c r="AH224" s="49">
        <v>0</v>
      </c>
      <c r="AI224" s="49">
        <v>0</v>
      </c>
      <c r="AJ224" s="50">
        <v>0</v>
      </c>
      <c r="AK224" s="49" t="s">
        <v>713</v>
      </c>
      <c r="AL224" s="45">
        <v>3</v>
      </c>
      <c r="AM224" s="49">
        <v>20000</v>
      </c>
      <c r="AN224" s="45" t="s">
        <v>48</v>
      </c>
      <c r="AO224" s="45" t="s">
        <v>747</v>
      </c>
    </row>
    <row r="225" spans="1:41" ht="16.5">
      <c r="A225" s="45">
        <v>20641</v>
      </c>
      <c r="B225" s="46" t="s">
        <v>985</v>
      </c>
      <c r="C225" s="46" t="s">
        <v>702</v>
      </c>
      <c r="D225" s="47" t="s">
        <v>124</v>
      </c>
      <c r="E225" s="48">
        <v>11027</v>
      </c>
      <c r="F225" s="67">
        <v>10000</v>
      </c>
      <c r="G225" s="45">
        <v>300</v>
      </c>
      <c r="H225" s="45">
        <v>50</v>
      </c>
      <c r="I225" s="47" t="s">
        <v>720</v>
      </c>
      <c r="J225" s="45">
        <v>4</v>
      </c>
      <c r="K225" s="45">
        <v>13</v>
      </c>
      <c r="L225" s="45">
        <v>40</v>
      </c>
      <c r="M225" s="45">
        <v>6000</v>
      </c>
      <c r="N225" s="45">
        <v>0</v>
      </c>
      <c r="O225" s="45">
        <v>0</v>
      </c>
      <c r="P225" s="45">
        <v>0</v>
      </c>
      <c r="Q225" s="45">
        <v>0</v>
      </c>
      <c r="R225" s="45">
        <v>0</v>
      </c>
      <c r="S225" s="45">
        <v>0</v>
      </c>
      <c r="T225" s="45">
        <v>0</v>
      </c>
      <c r="U225" s="45">
        <v>300</v>
      </c>
      <c r="V225" s="45">
        <v>0</v>
      </c>
      <c r="W225" s="45">
        <v>0</v>
      </c>
      <c r="X225" s="45">
        <v>0</v>
      </c>
      <c r="Y225" s="45">
        <v>0</v>
      </c>
      <c r="Z225" s="45">
        <v>0</v>
      </c>
      <c r="AA225" s="45">
        <v>0</v>
      </c>
      <c r="AB225" s="45">
        <v>0</v>
      </c>
      <c r="AC225" s="49">
        <v>1200</v>
      </c>
      <c r="AD225" s="49">
        <v>0</v>
      </c>
      <c r="AE225" s="49">
        <v>0</v>
      </c>
      <c r="AF225" s="49">
        <v>0</v>
      </c>
      <c r="AG225" s="49">
        <v>6.0000000000000001E-3</v>
      </c>
      <c r="AH225" s="49">
        <v>0</v>
      </c>
      <c r="AI225" s="49">
        <v>0</v>
      </c>
      <c r="AJ225" s="50">
        <v>0</v>
      </c>
      <c r="AK225" s="49" t="s">
        <v>713</v>
      </c>
      <c r="AL225" s="45">
        <v>3</v>
      </c>
      <c r="AM225" s="49">
        <v>20000</v>
      </c>
      <c r="AN225" s="45" t="s">
        <v>48</v>
      </c>
      <c r="AO225" s="45" t="s">
        <v>747</v>
      </c>
    </row>
    <row r="226" spans="1:41" ht="16.5">
      <c r="A226" s="45">
        <v>641</v>
      </c>
      <c r="B226" s="46" t="s">
        <v>986</v>
      </c>
      <c r="C226" s="46" t="s">
        <v>701</v>
      </c>
      <c r="D226" s="47" t="s">
        <v>125</v>
      </c>
      <c r="E226" s="48">
        <v>11028</v>
      </c>
      <c r="F226" s="67">
        <v>10000</v>
      </c>
      <c r="G226" s="45">
        <v>300</v>
      </c>
      <c r="H226" s="45">
        <v>50</v>
      </c>
      <c r="I226" s="47" t="s">
        <v>159</v>
      </c>
      <c r="J226" s="45">
        <v>4</v>
      </c>
      <c r="K226" s="45">
        <v>13</v>
      </c>
      <c r="L226" s="45">
        <v>40</v>
      </c>
      <c r="M226" s="45">
        <v>0</v>
      </c>
      <c r="N226" s="45">
        <v>0</v>
      </c>
      <c r="O226" s="45">
        <v>0</v>
      </c>
      <c r="P226" s="45">
        <v>120</v>
      </c>
      <c r="Q226" s="45">
        <v>0</v>
      </c>
      <c r="R226" s="45">
        <v>0</v>
      </c>
      <c r="S226" s="45">
        <v>0</v>
      </c>
      <c r="T226" s="45">
        <v>0</v>
      </c>
      <c r="U226" s="45">
        <v>0</v>
      </c>
      <c r="V226" s="45">
        <v>0</v>
      </c>
      <c r="W226" s="45">
        <v>0</v>
      </c>
      <c r="X226" s="45">
        <v>6</v>
      </c>
      <c r="Y226" s="45">
        <v>0</v>
      </c>
      <c r="Z226" s="45">
        <v>0</v>
      </c>
      <c r="AA226" s="45">
        <v>0</v>
      </c>
      <c r="AB226" s="45">
        <v>0</v>
      </c>
      <c r="AC226" s="49">
        <v>0</v>
      </c>
      <c r="AD226" s="49">
        <v>0</v>
      </c>
      <c r="AE226" s="49">
        <v>0</v>
      </c>
      <c r="AF226" s="49">
        <v>24</v>
      </c>
      <c r="AG226" s="49">
        <v>0</v>
      </c>
      <c r="AH226" s="49">
        <v>6.0000000000000001E-3</v>
      </c>
      <c r="AI226" s="49">
        <v>0</v>
      </c>
      <c r="AJ226" s="49">
        <v>0</v>
      </c>
      <c r="AK226" s="49" t="s">
        <v>713</v>
      </c>
      <c r="AL226" s="45">
        <v>4</v>
      </c>
      <c r="AM226" s="49">
        <v>20000</v>
      </c>
      <c r="AN226" s="45" t="s">
        <v>48</v>
      </c>
      <c r="AO226" s="45" t="s">
        <v>748</v>
      </c>
    </row>
    <row r="227" spans="1:41" ht="16.5">
      <c r="A227" s="45">
        <v>642</v>
      </c>
      <c r="B227" s="46" t="s">
        <v>987</v>
      </c>
      <c r="C227" s="46" t="s">
        <v>701</v>
      </c>
      <c r="D227" s="47" t="s">
        <v>125</v>
      </c>
      <c r="E227" s="48">
        <v>11028</v>
      </c>
      <c r="F227" s="67">
        <v>10000</v>
      </c>
      <c r="G227" s="45">
        <v>300</v>
      </c>
      <c r="H227" s="45">
        <v>50</v>
      </c>
      <c r="I227" s="47" t="s">
        <v>159</v>
      </c>
      <c r="J227" s="45">
        <v>4</v>
      </c>
      <c r="K227" s="45">
        <v>13</v>
      </c>
      <c r="L227" s="45">
        <v>40</v>
      </c>
      <c r="M227" s="45">
        <v>0</v>
      </c>
      <c r="N227" s="45">
        <v>0</v>
      </c>
      <c r="O227" s="45">
        <v>0</v>
      </c>
      <c r="P227" s="45">
        <v>120</v>
      </c>
      <c r="Q227" s="45">
        <v>0</v>
      </c>
      <c r="R227" s="45">
        <v>0</v>
      </c>
      <c r="S227" s="45">
        <v>0</v>
      </c>
      <c r="T227" s="45">
        <v>0</v>
      </c>
      <c r="U227" s="45">
        <v>0</v>
      </c>
      <c r="V227" s="45">
        <v>0</v>
      </c>
      <c r="W227" s="45">
        <v>0</v>
      </c>
      <c r="X227" s="45">
        <v>6</v>
      </c>
      <c r="Y227" s="45">
        <v>0</v>
      </c>
      <c r="Z227" s="45">
        <v>0</v>
      </c>
      <c r="AA227" s="45">
        <v>0</v>
      </c>
      <c r="AB227" s="45">
        <v>0</v>
      </c>
      <c r="AC227" s="49">
        <v>0</v>
      </c>
      <c r="AD227" s="49">
        <v>0</v>
      </c>
      <c r="AE227" s="49">
        <v>0</v>
      </c>
      <c r="AF227" s="49">
        <v>24</v>
      </c>
      <c r="AG227" s="49">
        <v>0</v>
      </c>
      <c r="AH227" s="49">
        <v>6.0000000000000001E-3</v>
      </c>
      <c r="AI227" s="49">
        <v>0</v>
      </c>
      <c r="AJ227" s="49">
        <v>0</v>
      </c>
      <c r="AK227" s="49" t="s">
        <v>713</v>
      </c>
      <c r="AL227" s="45">
        <v>4</v>
      </c>
      <c r="AM227" s="49">
        <v>20000</v>
      </c>
      <c r="AN227" s="45" t="s">
        <v>48</v>
      </c>
      <c r="AO227" s="45" t="s">
        <v>748</v>
      </c>
    </row>
    <row r="228" spans="1:41" ht="16.5">
      <c r="A228" s="45">
        <v>643</v>
      </c>
      <c r="B228" s="46" t="s">
        <v>988</v>
      </c>
      <c r="C228" s="46" t="s">
        <v>701</v>
      </c>
      <c r="D228" s="47" t="s">
        <v>125</v>
      </c>
      <c r="E228" s="48">
        <v>11028</v>
      </c>
      <c r="F228" s="67">
        <v>10000</v>
      </c>
      <c r="G228" s="45">
        <v>300</v>
      </c>
      <c r="H228" s="45">
        <v>50</v>
      </c>
      <c r="I228" s="47" t="s">
        <v>159</v>
      </c>
      <c r="J228" s="45">
        <v>4</v>
      </c>
      <c r="K228" s="45">
        <v>13</v>
      </c>
      <c r="L228" s="45">
        <v>40</v>
      </c>
      <c r="M228" s="45">
        <v>0</v>
      </c>
      <c r="N228" s="45">
        <v>0</v>
      </c>
      <c r="O228" s="45">
        <v>0</v>
      </c>
      <c r="P228" s="45">
        <v>120</v>
      </c>
      <c r="Q228" s="45">
        <v>0</v>
      </c>
      <c r="R228" s="45">
        <v>0</v>
      </c>
      <c r="S228" s="45">
        <v>0</v>
      </c>
      <c r="T228" s="45">
        <v>0</v>
      </c>
      <c r="U228" s="45">
        <v>0</v>
      </c>
      <c r="V228" s="45">
        <v>0</v>
      </c>
      <c r="W228" s="45">
        <v>0</v>
      </c>
      <c r="X228" s="45">
        <v>6</v>
      </c>
      <c r="Y228" s="45">
        <v>0</v>
      </c>
      <c r="Z228" s="45">
        <v>0</v>
      </c>
      <c r="AA228" s="45">
        <v>0</v>
      </c>
      <c r="AB228" s="45">
        <v>0</v>
      </c>
      <c r="AC228" s="49">
        <v>0</v>
      </c>
      <c r="AD228" s="49">
        <v>0</v>
      </c>
      <c r="AE228" s="49">
        <v>0</v>
      </c>
      <c r="AF228" s="49">
        <v>24</v>
      </c>
      <c r="AG228" s="49">
        <v>0</v>
      </c>
      <c r="AH228" s="49">
        <v>6.0000000000000001E-3</v>
      </c>
      <c r="AI228" s="49">
        <v>0</v>
      </c>
      <c r="AJ228" s="49">
        <v>0</v>
      </c>
      <c r="AK228" s="49" t="s">
        <v>713</v>
      </c>
      <c r="AL228" s="45">
        <v>4</v>
      </c>
      <c r="AM228" s="49">
        <v>20000</v>
      </c>
      <c r="AN228" s="45" t="s">
        <v>48</v>
      </c>
      <c r="AO228" s="45" t="s">
        <v>748</v>
      </c>
    </row>
    <row r="229" spans="1:41" ht="16.5">
      <c r="A229" s="45">
        <v>2064</v>
      </c>
      <c r="B229" s="46" t="s">
        <v>989</v>
      </c>
      <c r="C229" s="46" t="s">
        <v>701</v>
      </c>
      <c r="D229" s="47" t="s">
        <v>125</v>
      </c>
      <c r="E229" s="48">
        <v>11028</v>
      </c>
      <c r="F229" s="67">
        <v>10000</v>
      </c>
      <c r="G229" s="45">
        <v>300</v>
      </c>
      <c r="H229" s="45">
        <v>50</v>
      </c>
      <c r="I229" s="47" t="s">
        <v>159</v>
      </c>
      <c r="J229" s="45">
        <v>4</v>
      </c>
      <c r="K229" s="45">
        <v>13</v>
      </c>
      <c r="L229" s="45">
        <v>40</v>
      </c>
      <c r="M229" s="45">
        <v>0</v>
      </c>
      <c r="N229" s="45">
        <v>0</v>
      </c>
      <c r="O229" s="45">
        <v>0</v>
      </c>
      <c r="P229" s="45">
        <v>120</v>
      </c>
      <c r="Q229" s="45">
        <v>0</v>
      </c>
      <c r="R229" s="45">
        <v>0</v>
      </c>
      <c r="S229" s="45">
        <v>0</v>
      </c>
      <c r="T229" s="45">
        <v>0</v>
      </c>
      <c r="U229" s="45">
        <v>0</v>
      </c>
      <c r="V229" s="45">
        <v>0</v>
      </c>
      <c r="W229" s="45">
        <v>0</v>
      </c>
      <c r="X229" s="45">
        <v>6</v>
      </c>
      <c r="Y229" s="45">
        <v>0</v>
      </c>
      <c r="Z229" s="45">
        <v>0</v>
      </c>
      <c r="AA229" s="45">
        <v>0</v>
      </c>
      <c r="AB229" s="45">
        <v>0</v>
      </c>
      <c r="AC229" s="49">
        <v>0</v>
      </c>
      <c r="AD229" s="49">
        <v>0</v>
      </c>
      <c r="AE229" s="49">
        <v>0</v>
      </c>
      <c r="AF229" s="49">
        <v>24</v>
      </c>
      <c r="AG229" s="49">
        <v>0</v>
      </c>
      <c r="AH229" s="49">
        <v>6.0000000000000001E-3</v>
      </c>
      <c r="AI229" s="49">
        <v>0</v>
      </c>
      <c r="AJ229" s="49">
        <v>0</v>
      </c>
      <c r="AK229" s="49" t="s">
        <v>713</v>
      </c>
      <c r="AL229" s="45">
        <v>4</v>
      </c>
      <c r="AM229" s="49">
        <v>20000</v>
      </c>
      <c r="AN229" s="45" t="s">
        <v>48</v>
      </c>
      <c r="AO229" s="45" t="s">
        <v>748</v>
      </c>
    </row>
    <row r="230" spans="1:41" ht="16.5">
      <c r="A230" s="45">
        <v>20641</v>
      </c>
      <c r="B230" s="46" t="s">
        <v>990</v>
      </c>
      <c r="C230" s="46" t="s">
        <v>701</v>
      </c>
      <c r="D230" s="47" t="s">
        <v>125</v>
      </c>
      <c r="E230" s="48">
        <v>11028</v>
      </c>
      <c r="F230" s="67">
        <v>10000</v>
      </c>
      <c r="G230" s="45">
        <v>300</v>
      </c>
      <c r="H230" s="45">
        <v>50</v>
      </c>
      <c r="I230" s="47" t="s">
        <v>159</v>
      </c>
      <c r="J230" s="45">
        <v>4</v>
      </c>
      <c r="K230" s="45">
        <v>13</v>
      </c>
      <c r="L230" s="45">
        <v>40</v>
      </c>
      <c r="M230" s="45">
        <v>0</v>
      </c>
      <c r="N230" s="45">
        <v>0</v>
      </c>
      <c r="O230" s="45">
        <v>0</v>
      </c>
      <c r="P230" s="45">
        <v>120</v>
      </c>
      <c r="Q230" s="45">
        <v>0</v>
      </c>
      <c r="R230" s="45">
        <v>0</v>
      </c>
      <c r="S230" s="45">
        <v>0</v>
      </c>
      <c r="T230" s="45">
        <v>0</v>
      </c>
      <c r="U230" s="45">
        <v>0</v>
      </c>
      <c r="V230" s="45">
        <v>0</v>
      </c>
      <c r="W230" s="45">
        <v>0</v>
      </c>
      <c r="X230" s="45">
        <v>6</v>
      </c>
      <c r="Y230" s="45">
        <v>0</v>
      </c>
      <c r="Z230" s="45">
        <v>0</v>
      </c>
      <c r="AA230" s="45">
        <v>0</v>
      </c>
      <c r="AB230" s="45">
        <v>0</v>
      </c>
      <c r="AC230" s="49">
        <v>0</v>
      </c>
      <c r="AD230" s="49">
        <v>0</v>
      </c>
      <c r="AE230" s="49">
        <v>0</v>
      </c>
      <c r="AF230" s="49">
        <v>24</v>
      </c>
      <c r="AG230" s="49">
        <v>0</v>
      </c>
      <c r="AH230" s="49">
        <v>6.0000000000000001E-3</v>
      </c>
      <c r="AI230" s="49">
        <v>0</v>
      </c>
      <c r="AJ230" s="49">
        <v>0</v>
      </c>
      <c r="AK230" s="49" t="s">
        <v>713</v>
      </c>
      <c r="AL230" s="45">
        <v>4</v>
      </c>
      <c r="AM230" s="49">
        <v>20000</v>
      </c>
      <c r="AN230" s="45" t="s">
        <v>48</v>
      </c>
      <c r="AO230" s="45" t="s">
        <v>748</v>
      </c>
    </row>
    <row r="231" spans="1:41" ht="16.5">
      <c r="A231" s="45">
        <v>20642</v>
      </c>
      <c r="B231" s="46" t="s">
        <v>991</v>
      </c>
      <c r="C231" s="46" t="s">
        <v>701</v>
      </c>
      <c r="D231" s="47" t="s">
        <v>125</v>
      </c>
      <c r="E231" s="48">
        <v>11028</v>
      </c>
      <c r="F231" s="67">
        <v>10000</v>
      </c>
      <c r="G231" s="45">
        <v>300</v>
      </c>
      <c r="H231" s="45">
        <v>50</v>
      </c>
      <c r="I231" s="47" t="s">
        <v>159</v>
      </c>
      <c r="J231" s="45">
        <v>4</v>
      </c>
      <c r="K231" s="45">
        <v>13</v>
      </c>
      <c r="L231" s="45">
        <v>40</v>
      </c>
      <c r="M231" s="45">
        <v>0</v>
      </c>
      <c r="N231" s="45">
        <v>0</v>
      </c>
      <c r="O231" s="45">
        <v>0</v>
      </c>
      <c r="P231" s="45">
        <v>120</v>
      </c>
      <c r="Q231" s="45">
        <v>0</v>
      </c>
      <c r="R231" s="45">
        <v>0</v>
      </c>
      <c r="S231" s="45">
        <v>0</v>
      </c>
      <c r="T231" s="45">
        <v>0</v>
      </c>
      <c r="U231" s="45">
        <v>0</v>
      </c>
      <c r="V231" s="45">
        <v>0</v>
      </c>
      <c r="W231" s="45">
        <v>0</v>
      </c>
      <c r="X231" s="45">
        <v>6</v>
      </c>
      <c r="Y231" s="45">
        <v>0</v>
      </c>
      <c r="Z231" s="45">
        <v>0</v>
      </c>
      <c r="AA231" s="45">
        <v>0</v>
      </c>
      <c r="AB231" s="45">
        <v>0</v>
      </c>
      <c r="AC231" s="49">
        <v>0</v>
      </c>
      <c r="AD231" s="49">
        <v>0</v>
      </c>
      <c r="AE231" s="49">
        <v>0</v>
      </c>
      <c r="AF231" s="49">
        <v>24</v>
      </c>
      <c r="AG231" s="49">
        <v>0</v>
      </c>
      <c r="AH231" s="49">
        <v>6.0000000000000001E-3</v>
      </c>
      <c r="AI231" s="49">
        <v>0</v>
      </c>
      <c r="AJ231" s="49">
        <v>0</v>
      </c>
      <c r="AK231" s="49" t="s">
        <v>713</v>
      </c>
      <c r="AL231" s="45">
        <v>4</v>
      </c>
      <c r="AM231" s="49">
        <v>20000</v>
      </c>
      <c r="AN231" s="45" t="s">
        <v>48</v>
      </c>
      <c r="AO231" s="45" t="s">
        <v>748</v>
      </c>
    </row>
    <row r="232" spans="1:41" ht="16.5">
      <c r="A232" s="45">
        <v>20643</v>
      </c>
      <c r="B232" s="46" t="s">
        <v>992</v>
      </c>
      <c r="C232" s="46" t="s">
        <v>701</v>
      </c>
      <c r="D232" s="47" t="s">
        <v>125</v>
      </c>
      <c r="E232" s="48">
        <v>11028</v>
      </c>
      <c r="F232" s="67">
        <v>10000</v>
      </c>
      <c r="G232" s="45">
        <v>300</v>
      </c>
      <c r="H232" s="45">
        <v>50</v>
      </c>
      <c r="I232" s="47" t="s">
        <v>159</v>
      </c>
      <c r="J232" s="45">
        <v>4</v>
      </c>
      <c r="K232" s="45">
        <v>13</v>
      </c>
      <c r="L232" s="45">
        <v>40</v>
      </c>
      <c r="M232" s="45">
        <v>0</v>
      </c>
      <c r="N232" s="45">
        <v>0</v>
      </c>
      <c r="O232" s="45">
        <v>0</v>
      </c>
      <c r="P232" s="45">
        <v>120</v>
      </c>
      <c r="Q232" s="45">
        <v>0</v>
      </c>
      <c r="R232" s="45">
        <v>0</v>
      </c>
      <c r="S232" s="45">
        <v>0</v>
      </c>
      <c r="T232" s="45">
        <v>0</v>
      </c>
      <c r="U232" s="45">
        <v>0</v>
      </c>
      <c r="V232" s="45">
        <v>0</v>
      </c>
      <c r="W232" s="45">
        <v>0</v>
      </c>
      <c r="X232" s="45">
        <v>6</v>
      </c>
      <c r="Y232" s="45">
        <v>0</v>
      </c>
      <c r="Z232" s="45">
        <v>0</v>
      </c>
      <c r="AA232" s="45">
        <v>0</v>
      </c>
      <c r="AB232" s="45">
        <v>0</v>
      </c>
      <c r="AC232" s="49">
        <v>0</v>
      </c>
      <c r="AD232" s="49">
        <v>0</v>
      </c>
      <c r="AE232" s="49">
        <v>0</v>
      </c>
      <c r="AF232" s="49">
        <v>24</v>
      </c>
      <c r="AG232" s="49">
        <v>0</v>
      </c>
      <c r="AH232" s="49">
        <v>6.0000000000000001E-3</v>
      </c>
      <c r="AI232" s="49">
        <v>0</v>
      </c>
      <c r="AJ232" s="49">
        <v>0</v>
      </c>
      <c r="AK232" s="49" t="s">
        <v>713</v>
      </c>
      <c r="AL232" s="45">
        <v>4</v>
      </c>
      <c r="AM232" s="49">
        <v>20000</v>
      </c>
      <c r="AN232" s="45" t="s">
        <v>48</v>
      </c>
      <c r="AO232" s="45" t="s">
        <v>748</v>
      </c>
    </row>
    <row r="233" spans="1:41" ht="16.5">
      <c r="A233" s="45">
        <v>20644</v>
      </c>
      <c r="B233" s="46" t="s">
        <v>993</v>
      </c>
      <c r="C233" s="46" t="s">
        <v>701</v>
      </c>
      <c r="D233" s="47" t="s">
        <v>125</v>
      </c>
      <c r="E233" s="48">
        <v>11028</v>
      </c>
      <c r="F233" s="67">
        <v>10000</v>
      </c>
      <c r="G233" s="45">
        <v>300</v>
      </c>
      <c r="H233" s="45">
        <v>50</v>
      </c>
      <c r="I233" s="47" t="s">
        <v>159</v>
      </c>
      <c r="J233" s="45">
        <v>4</v>
      </c>
      <c r="K233" s="45">
        <v>13</v>
      </c>
      <c r="L233" s="45">
        <v>40</v>
      </c>
      <c r="M233" s="45">
        <v>0</v>
      </c>
      <c r="N233" s="45">
        <v>0</v>
      </c>
      <c r="O233" s="45">
        <v>0</v>
      </c>
      <c r="P233" s="45">
        <v>120</v>
      </c>
      <c r="Q233" s="45">
        <v>0</v>
      </c>
      <c r="R233" s="45">
        <v>0</v>
      </c>
      <c r="S233" s="45">
        <v>0</v>
      </c>
      <c r="T233" s="45">
        <v>0</v>
      </c>
      <c r="U233" s="45">
        <v>0</v>
      </c>
      <c r="V233" s="45">
        <v>0</v>
      </c>
      <c r="W233" s="45">
        <v>0</v>
      </c>
      <c r="X233" s="45">
        <v>6</v>
      </c>
      <c r="Y233" s="45">
        <v>0</v>
      </c>
      <c r="Z233" s="45">
        <v>0</v>
      </c>
      <c r="AA233" s="45">
        <v>0</v>
      </c>
      <c r="AB233" s="45">
        <v>0</v>
      </c>
      <c r="AC233" s="49">
        <v>0</v>
      </c>
      <c r="AD233" s="49">
        <v>0</v>
      </c>
      <c r="AE233" s="49">
        <v>0</v>
      </c>
      <c r="AF233" s="49">
        <v>24</v>
      </c>
      <c r="AG233" s="49">
        <v>0</v>
      </c>
      <c r="AH233" s="49">
        <v>6.0000000000000001E-3</v>
      </c>
      <c r="AI233" s="49">
        <v>0</v>
      </c>
      <c r="AJ233" s="49">
        <v>0</v>
      </c>
      <c r="AK233" s="49" t="s">
        <v>713</v>
      </c>
      <c r="AL233" s="45">
        <v>4</v>
      </c>
      <c r="AM233" s="49">
        <v>20000</v>
      </c>
      <c r="AN233" s="45" t="s">
        <v>48</v>
      </c>
      <c r="AO233" s="45" t="s">
        <v>748</v>
      </c>
    </row>
    <row r="234" spans="1:41" ht="16.5">
      <c r="A234" s="45">
        <v>20645</v>
      </c>
      <c r="B234" s="46" t="s">
        <v>994</v>
      </c>
      <c r="C234" s="46" t="s">
        <v>701</v>
      </c>
      <c r="D234" s="47" t="s">
        <v>125</v>
      </c>
      <c r="E234" s="48">
        <v>11028</v>
      </c>
      <c r="F234" s="67">
        <v>10000</v>
      </c>
      <c r="G234" s="45">
        <v>300</v>
      </c>
      <c r="H234" s="45">
        <v>50</v>
      </c>
      <c r="I234" s="47" t="s">
        <v>159</v>
      </c>
      <c r="J234" s="45">
        <v>4</v>
      </c>
      <c r="K234" s="45">
        <v>13</v>
      </c>
      <c r="L234" s="45">
        <v>40</v>
      </c>
      <c r="M234" s="45">
        <v>0</v>
      </c>
      <c r="N234" s="45">
        <v>0</v>
      </c>
      <c r="O234" s="45">
        <v>0</v>
      </c>
      <c r="P234" s="45">
        <v>120</v>
      </c>
      <c r="Q234" s="45">
        <v>0</v>
      </c>
      <c r="R234" s="45">
        <v>0</v>
      </c>
      <c r="S234" s="45">
        <v>0</v>
      </c>
      <c r="T234" s="45">
        <v>0</v>
      </c>
      <c r="U234" s="45">
        <v>0</v>
      </c>
      <c r="V234" s="45">
        <v>0</v>
      </c>
      <c r="W234" s="45">
        <v>0</v>
      </c>
      <c r="X234" s="45">
        <v>6</v>
      </c>
      <c r="Y234" s="45">
        <v>0</v>
      </c>
      <c r="Z234" s="45">
        <v>0</v>
      </c>
      <c r="AA234" s="45">
        <v>0</v>
      </c>
      <c r="AB234" s="45">
        <v>0</v>
      </c>
      <c r="AC234" s="49">
        <v>0</v>
      </c>
      <c r="AD234" s="49">
        <v>0</v>
      </c>
      <c r="AE234" s="49">
        <v>0</v>
      </c>
      <c r="AF234" s="49">
        <v>24</v>
      </c>
      <c r="AG234" s="49">
        <v>0</v>
      </c>
      <c r="AH234" s="49">
        <v>6.0000000000000001E-3</v>
      </c>
      <c r="AI234" s="49">
        <v>0</v>
      </c>
      <c r="AJ234" s="49">
        <v>0</v>
      </c>
      <c r="AK234" s="49" t="s">
        <v>713</v>
      </c>
      <c r="AL234" s="45">
        <v>4</v>
      </c>
      <c r="AM234" s="49">
        <v>20000</v>
      </c>
      <c r="AN234" s="45" t="s">
        <v>48</v>
      </c>
      <c r="AO234" s="45" t="s">
        <v>748</v>
      </c>
    </row>
    <row r="235" spans="1:41" ht="16.5">
      <c r="A235" s="45">
        <v>20646</v>
      </c>
      <c r="B235" s="46" t="s">
        <v>995</v>
      </c>
      <c r="C235" s="46" t="s">
        <v>701</v>
      </c>
      <c r="D235" s="47" t="s">
        <v>125</v>
      </c>
      <c r="E235" s="48">
        <v>11028</v>
      </c>
      <c r="F235" s="67">
        <v>10000</v>
      </c>
      <c r="G235" s="45">
        <v>300</v>
      </c>
      <c r="H235" s="45">
        <v>50</v>
      </c>
      <c r="I235" s="47" t="s">
        <v>159</v>
      </c>
      <c r="J235" s="45">
        <v>4</v>
      </c>
      <c r="K235" s="45">
        <v>13</v>
      </c>
      <c r="L235" s="45">
        <v>40</v>
      </c>
      <c r="M235" s="45">
        <v>0</v>
      </c>
      <c r="N235" s="45">
        <v>0</v>
      </c>
      <c r="O235" s="45">
        <v>0</v>
      </c>
      <c r="P235" s="45">
        <v>120</v>
      </c>
      <c r="Q235" s="45">
        <v>0</v>
      </c>
      <c r="R235" s="45">
        <v>0</v>
      </c>
      <c r="S235" s="45">
        <v>0</v>
      </c>
      <c r="T235" s="45">
        <v>0</v>
      </c>
      <c r="U235" s="45">
        <v>0</v>
      </c>
      <c r="V235" s="45">
        <v>0</v>
      </c>
      <c r="W235" s="45">
        <v>0</v>
      </c>
      <c r="X235" s="45">
        <v>6</v>
      </c>
      <c r="Y235" s="45">
        <v>0</v>
      </c>
      <c r="Z235" s="45">
        <v>0</v>
      </c>
      <c r="AA235" s="45">
        <v>0</v>
      </c>
      <c r="AB235" s="45">
        <v>0</v>
      </c>
      <c r="AC235" s="49">
        <v>0</v>
      </c>
      <c r="AD235" s="49">
        <v>0</v>
      </c>
      <c r="AE235" s="49">
        <v>0</v>
      </c>
      <c r="AF235" s="49">
        <v>24</v>
      </c>
      <c r="AG235" s="49">
        <v>0</v>
      </c>
      <c r="AH235" s="49">
        <v>6.0000000000000001E-3</v>
      </c>
      <c r="AI235" s="49">
        <v>0</v>
      </c>
      <c r="AJ235" s="49">
        <v>0</v>
      </c>
      <c r="AK235" s="49" t="s">
        <v>713</v>
      </c>
      <c r="AL235" s="45">
        <v>4</v>
      </c>
      <c r="AM235" s="49">
        <v>20000</v>
      </c>
      <c r="AN235" s="45" t="s">
        <v>48</v>
      </c>
      <c r="AO235" s="45" t="s">
        <v>748</v>
      </c>
    </row>
    <row r="236" spans="1:41" ht="16.5">
      <c r="A236" s="45">
        <v>20647</v>
      </c>
      <c r="B236" s="46" t="s">
        <v>996</v>
      </c>
      <c r="C236" s="46" t="s">
        <v>701</v>
      </c>
      <c r="D236" s="47" t="s">
        <v>125</v>
      </c>
      <c r="E236" s="48">
        <v>11028</v>
      </c>
      <c r="F236" s="67">
        <v>10000</v>
      </c>
      <c r="G236" s="45">
        <v>300</v>
      </c>
      <c r="H236" s="45">
        <v>50</v>
      </c>
      <c r="I236" s="47" t="s">
        <v>159</v>
      </c>
      <c r="J236" s="45">
        <v>4</v>
      </c>
      <c r="K236" s="45">
        <v>13</v>
      </c>
      <c r="L236" s="45">
        <v>40</v>
      </c>
      <c r="M236" s="45">
        <v>0</v>
      </c>
      <c r="N236" s="45">
        <v>0</v>
      </c>
      <c r="O236" s="45">
        <v>0</v>
      </c>
      <c r="P236" s="45">
        <v>120</v>
      </c>
      <c r="Q236" s="45">
        <v>0</v>
      </c>
      <c r="R236" s="45">
        <v>0</v>
      </c>
      <c r="S236" s="45">
        <v>0</v>
      </c>
      <c r="T236" s="45">
        <v>0</v>
      </c>
      <c r="U236" s="45">
        <v>0</v>
      </c>
      <c r="V236" s="45">
        <v>0</v>
      </c>
      <c r="W236" s="45">
        <v>0</v>
      </c>
      <c r="X236" s="45">
        <v>6</v>
      </c>
      <c r="Y236" s="45">
        <v>0</v>
      </c>
      <c r="Z236" s="45">
        <v>0</v>
      </c>
      <c r="AA236" s="45">
        <v>0</v>
      </c>
      <c r="AB236" s="45">
        <v>0</v>
      </c>
      <c r="AC236" s="49">
        <v>0</v>
      </c>
      <c r="AD236" s="49">
        <v>0</v>
      </c>
      <c r="AE236" s="49">
        <v>0</v>
      </c>
      <c r="AF236" s="49">
        <v>24</v>
      </c>
      <c r="AG236" s="49">
        <v>0</v>
      </c>
      <c r="AH236" s="49">
        <v>6.0000000000000001E-3</v>
      </c>
      <c r="AI236" s="49">
        <v>0</v>
      </c>
      <c r="AJ236" s="49">
        <v>0</v>
      </c>
      <c r="AK236" s="49" t="s">
        <v>713</v>
      </c>
      <c r="AL236" s="45">
        <v>4</v>
      </c>
      <c r="AM236" s="49">
        <v>20000</v>
      </c>
      <c r="AN236" s="45" t="s">
        <v>48</v>
      </c>
      <c r="AO236" s="45" t="s">
        <v>748</v>
      </c>
    </row>
    <row r="237" spans="1:41" ht="16.5">
      <c r="A237" s="45">
        <v>20648</v>
      </c>
      <c r="B237" s="46" t="s">
        <v>997</v>
      </c>
      <c r="C237" s="46" t="s">
        <v>701</v>
      </c>
      <c r="D237" s="47" t="s">
        <v>125</v>
      </c>
      <c r="E237" s="48">
        <v>11028</v>
      </c>
      <c r="F237" s="67">
        <v>10000</v>
      </c>
      <c r="G237" s="45">
        <v>300</v>
      </c>
      <c r="H237" s="45">
        <v>50</v>
      </c>
      <c r="I237" s="47" t="s">
        <v>159</v>
      </c>
      <c r="J237" s="45">
        <v>4</v>
      </c>
      <c r="K237" s="45">
        <v>13</v>
      </c>
      <c r="L237" s="45">
        <v>40</v>
      </c>
      <c r="M237" s="45">
        <v>0</v>
      </c>
      <c r="N237" s="45">
        <v>0</v>
      </c>
      <c r="O237" s="45">
        <v>0</v>
      </c>
      <c r="P237" s="45">
        <v>120</v>
      </c>
      <c r="Q237" s="45">
        <v>0</v>
      </c>
      <c r="R237" s="45">
        <v>0</v>
      </c>
      <c r="S237" s="45">
        <v>0</v>
      </c>
      <c r="T237" s="45">
        <v>0</v>
      </c>
      <c r="U237" s="45">
        <v>0</v>
      </c>
      <c r="V237" s="45">
        <v>0</v>
      </c>
      <c r="W237" s="45">
        <v>0</v>
      </c>
      <c r="X237" s="45">
        <v>6</v>
      </c>
      <c r="Y237" s="45">
        <v>0</v>
      </c>
      <c r="Z237" s="45">
        <v>0</v>
      </c>
      <c r="AA237" s="45">
        <v>0</v>
      </c>
      <c r="AB237" s="45">
        <v>0</v>
      </c>
      <c r="AC237" s="49">
        <v>0</v>
      </c>
      <c r="AD237" s="49">
        <v>0</v>
      </c>
      <c r="AE237" s="49">
        <v>0</v>
      </c>
      <c r="AF237" s="49">
        <v>24</v>
      </c>
      <c r="AG237" s="49">
        <v>0</v>
      </c>
      <c r="AH237" s="49">
        <v>6.0000000000000001E-3</v>
      </c>
      <c r="AI237" s="49">
        <v>0</v>
      </c>
      <c r="AJ237" s="49">
        <v>0</v>
      </c>
      <c r="AK237" s="49" t="s">
        <v>713</v>
      </c>
      <c r="AL237" s="45">
        <v>4</v>
      </c>
      <c r="AM237" s="49">
        <v>20000</v>
      </c>
      <c r="AN237" s="45" t="s">
        <v>48</v>
      </c>
      <c r="AO237" s="45" t="s">
        <v>748</v>
      </c>
    </row>
    <row r="238" spans="1:41" ht="16.5">
      <c r="A238" s="45">
        <v>20649</v>
      </c>
      <c r="B238" s="46" t="s">
        <v>998</v>
      </c>
      <c r="C238" s="46" t="s">
        <v>701</v>
      </c>
      <c r="D238" s="47" t="s">
        <v>125</v>
      </c>
      <c r="E238" s="48">
        <v>11028</v>
      </c>
      <c r="F238" s="67">
        <v>10000</v>
      </c>
      <c r="G238" s="45">
        <v>300</v>
      </c>
      <c r="H238" s="45">
        <v>50</v>
      </c>
      <c r="I238" s="47" t="s">
        <v>159</v>
      </c>
      <c r="J238" s="45">
        <v>4</v>
      </c>
      <c r="K238" s="45">
        <v>13</v>
      </c>
      <c r="L238" s="45">
        <v>40</v>
      </c>
      <c r="M238" s="45">
        <v>0</v>
      </c>
      <c r="N238" s="45">
        <v>0</v>
      </c>
      <c r="O238" s="45">
        <v>0</v>
      </c>
      <c r="P238" s="45">
        <v>120</v>
      </c>
      <c r="Q238" s="45">
        <v>0</v>
      </c>
      <c r="R238" s="45">
        <v>0</v>
      </c>
      <c r="S238" s="45">
        <v>0</v>
      </c>
      <c r="T238" s="45">
        <v>0</v>
      </c>
      <c r="U238" s="45">
        <v>0</v>
      </c>
      <c r="V238" s="45">
        <v>0</v>
      </c>
      <c r="W238" s="45">
        <v>0</v>
      </c>
      <c r="X238" s="45">
        <v>6</v>
      </c>
      <c r="Y238" s="45">
        <v>0</v>
      </c>
      <c r="Z238" s="45">
        <v>0</v>
      </c>
      <c r="AA238" s="45">
        <v>0</v>
      </c>
      <c r="AB238" s="45">
        <v>0</v>
      </c>
      <c r="AC238" s="49">
        <v>0</v>
      </c>
      <c r="AD238" s="49">
        <v>0</v>
      </c>
      <c r="AE238" s="49">
        <v>0</v>
      </c>
      <c r="AF238" s="49">
        <v>24</v>
      </c>
      <c r="AG238" s="49">
        <v>0</v>
      </c>
      <c r="AH238" s="49">
        <v>6.0000000000000001E-3</v>
      </c>
      <c r="AI238" s="49">
        <v>0</v>
      </c>
      <c r="AJ238" s="49">
        <v>0</v>
      </c>
      <c r="AK238" s="49" t="s">
        <v>713</v>
      </c>
      <c r="AL238" s="45">
        <v>4</v>
      </c>
      <c r="AM238" s="49">
        <v>20000</v>
      </c>
      <c r="AN238" s="45" t="s">
        <v>48</v>
      </c>
      <c r="AO238" s="45" t="s">
        <v>748</v>
      </c>
    </row>
    <row r="239" spans="1:41" ht="16.5">
      <c r="A239" s="45">
        <v>20650</v>
      </c>
      <c r="B239" s="46" t="s">
        <v>999</v>
      </c>
      <c r="C239" s="46" t="s">
        <v>701</v>
      </c>
      <c r="D239" s="47" t="s">
        <v>125</v>
      </c>
      <c r="E239" s="48">
        <v>11028</v>
      </c>
      <c r="F239" s="67">
        <v>10000</v>
      </c>
      <c r="G239" s="45">
        <v>300</v>
      </c>
      <c r="H239" s="45">
        <v>50</v>
      </c>
      <c r="I239" s="47" t="s">
        <v>159</v>
      </c>
      <c r="J239" s="45">
        <v>4</v>
      </c>
      <c r="K239" s="45">
        <v>13</v>
      </c>
      <c r="L239" s="45">
        <v>40</v>
      </c>
      <c r="M239" s="45">
        <v>0</v>
      </c>
      <c r="N239" s="45">
        <v>0</v>
      </c>
      <c r="O239" s="45">
        <v>0</v>
      </c>
      <c r="P239" s="45">
        <v>120</v>
      </c>
      <c r="Q239" s="45">
        <v>0</v>
      </c>
      <c r="R239" s="45">
        <v>0</v>
      </c>
      <c r="S239" s="45">
        <v>0</v>
      </c>
      <c r="T239" s="45">
        <v>0</v>
      </c>
      <c r="U239" s="45">
        <v>0</v>
      </c>
      <c r="V239" s="45">
        <v>0</v>
      </c>
      <c r="W239" s="45">
        <v>0</v>
      </c>
      <c r="X239" s="45">
        <v>6</v>
      </c>
      <c r="Y239" s="45">
        <v>0</v>
      </c>
      <c r="Z239" s="45">
        <v>0</v>
      </c>
      <c r="AA239" s="45">
        <v>0</v>
      </c>
      <c r="AB239" s="45">
        <v>0</v>
      </c>
      <c r="AC239" s="49">
        <v>0</v>
      </c>
      <c r="AD239" s="49">
        <v>0</v>
      </c>
      <c r="AE239" s="49">
        <v>0</v>
      </c>
      <c r="AF239" s="49">
        <v>24</v>
      </c>
      <c r="AG239" s="49">
        <v>0</v>
      </c>
      <c r="AH239" s="49">
        <v>6.0000000000000001E-3</v>
      </c>
      <c r="AI239" s="49">
        <v>0</v>
      </c>
      <c r="AJ239" s="49">
        <v>0</v>
      </c>
      <c r="AK239" s="49" t="s">
        <v>713</v>
      </c>
      <c r="AL239" s="45">
        <v>4</v>
      </c>
      <c r="AM239" s="49">
        <v>20000</v>
      </c>
      <c r="AN239" s="45" t="s">
        <v>48</v>
      </c>
      <c r="AO239" s="45" t="s">
        <v>748</v>
      </c>
    </row>
    <row r="240" spans="1:41" ht="16.5">
      <c r="A240" s="45">
        <v>20651</v>
      </c>
      <c r="B240" s="46" t="s">
        <v>1000</v>
      </c>
      <c r="C240" s="46" t="s">
        <v>701</v>
      </c>
      <c r="D240" s="47" t="s">
        <v>125</v>
      </c>
      <c r="E240" s="48">
        <v>11028</v>
      </c>
      <c r="F240" s="67">
        <v>10000</v>
      </c>
      <c r="G240" s="45">
        <v>300</v>
      </c>
      <c r="H240" s="45">
        <v>50</v>
      </c>
      <c r="I240" s="47" t="s">
        <v>159</v>
      </c>
      <c r="J240" s="45">
        <v>4</v>
      </c>
      <c r="K240" s="45">
        <v>13</v>
      </c>
      <c r="L240" s="45">
        <v>40</v>
      </c>
      <c r="M240" s="45">
        <v>0</v>
      </c>
      <c r="N240" s="45">
        <v>0</v>
      </c>
      <c r="O240" s="45">
        <v>0</v>
      </c>
      <c r="P240" s="45">
        <v>120</v>
      </c>
      <c r="Q240" s="45">
        <v>0</v>
      </c>
      <c r="R240" s="45">
        <v>0</v>
      </c>
      <c r="S240" s="45">
        <v>0</v>
      </c>
      <c r="T240" s="45">
        <v>0</v>
      </c>
      <c r="U240" s="45">
        <v>0</v>
      </c>
      <c r="V240" s="45">
        <v>0</v>
      </c>
      <c r="W240" s="45">
        <v>0</v>
      </c>
      <c r="X240" s="45">
        <v>6</v>
      </c>
      <c r="Y240" s="45">
        <v>0</v>
      </c>
      <c r="Z240" s="45">
        <v>0</v>
      </c>
      <c r="AA240" s="45">
        <v>0</v>
      </c>
      <c r="AB240" s="45">
        <v>0</v>
      </c>
      <c r="AC240" s="49">
        <v>0</v>
      </c>
      <c r="AD240" s="49">
        <v>0</v>
      </c>
      <c r="AE240" s="49">
        <v>0</v>
      </c>
      <c r="AF240" s="49">
        <v>24</v>
      </c>
      <c r="AG240" s="49">
        <v>0</v>
      </c>
      <c r="AH240" s="49">
        <v>6.0000000000000001E-3</v>
      </c>
      <c r="AI240" s="49">
        <v>0</v>
      </c>
      <c r="AJ240" s="49">
        <v>0</v>
      </c>
      <c r="AK240" s="49" t="s">
        <v>713</v>
      </c>
      <c r="AL240" s="45">
        <v>4</v>
      </c>
      <c r="AM240" s="49">
        <v>20000</v>
      </c>
      <c r="AN240" s="45" t="s">
        <v>48</v>
      </c>
      <c r="AO240" s="45" t="s">
        <v>748</v>
      </c>
    </row>
    <row r="241" spans="1:41" ht="16.5">
      <c r="A241" s="59">
        <v>491</v>
      </c>
      <c r="B241" s="59" t="s">
        <v>1001</v>
      </c>
      <c r="C241" s="59" t="s">
        <v>166</v>
      </c>
      <c r="D241" s="59" t="s">
        <v>120</v>
      </c>
      <c r="E241" s="60">
        <v>11021</v>
      </c>
      <c r="F241" s="59">
        <v>5000</v>
      </c>
      <c r="G241" s="59">
        <v>300</v>
      </c>
      <c r="H241" s="59">
        <v>50</v>
      </c>
      <c r="I241" s="59" t="s">
        <v>718</v>
      </c>
      <c r="J241" s="59">
        <v>3</v>
      </c>
      <c r="K241" s="59">
        <v>10</v>
      </c>
      <c r="L241" s="59">
        <v>30</v>
      </c>
      <c r="M241" s="59">
        <v>0</v>
      </c>
      <c r="N241" s="59">
        <v>0</v>
      </c>
      <c r="O241" s="59">
        <v>100</v>
      </c>
      <c r="P241" s="59">
        <v>0</v>
      </c>
      <c r="Q241" s="59">
        <v>0</v>
      </c>
      <c r="R241" s="59">
        <v>0</v>
      </c>
      <c r="S241" s="59">
        <v>0</v>
      </c>
      <c r="T241" s="59">
        <v>0</v>
      </c>
      <c r="U241" s="59">
        <v>0</v>
      </c>
      <c r="V241" s="59">
        <v>0</v>
      </c>
      <c r="W241" s="59">
        <v>5</v>
      </c>
      <c r="X241" s="59">
        <v>0</v>
      </c>
      <c r="Y241" s="59">
        <v>0</v>
      </c>
      <c r="Z241" s="59">
        <v>0</v>
      </c>
      <c r="AA241" s="59">
        <v>0</v>
      </c>
      <c r="AB241" s="59">
        <v>0</v>
      </c>
      <c r="AC241" s="59">
        <v>0</v>
      </c>
      <c r="AD241" s="59">
        <v>0</v>
      </c>
      <c r="AE241" s="59">
        <v>20</v>
      </c>
      <c r="AF241" s="59">
        <v>0</v>
      </c>
      <c r="AG241" s="59">
        <v>0</v>
      </c>
      <c r="AH241" s="59">
        <v>0</v>
      </c>
      <c r="AI241" s="61">
        <v>0</v>
      </c>
      <c r="AJ241" s="59">
        <v>0.01</v>
      </c>
      <c r="AK241" s="59">
        <v>20009</v>
      </c>
      <c r="AL241" s="59">
        <v>2</v>
      </c>
      <c r="AM241" s="59">
        <v>9000</v>
      </c>
      <c r="AN241" s="59" t="s">
        <v>48</v>
      </c>
      <c r="AO241" s="59" t="s">
        <v>741</v>
      </c>
    </row>
    <row r="242" spans="1:41" ht="16.5">
      <c r="A242" s="59">
        <v>492</v>
      </c>
      <c r="B242" s="59" t="s">
        <v>1002</v>
      </c>
      <c r="C242" s="59" t="s">
        <v>166</v>
      </c>
      <c r="D242" s="59" t="s">
        <v>120</v>
      </c>
      <c r="E242" s="60">
        <v>11021</v>
      </c>
      <c r="F242" s="59">
        <v>5000</v>
      </c>
      <c r="G242" s="59">
        <v>300</v>
      </c>
      <c r="H242" s="59">
        <v>50</v>
      </c>
      <c r="I242" s="59" t="s">
        <v>718</v>
      </c>
      <c r="J242" s="59">
        <v>3</v>
      </c>
      <c r="K242" s="59">
        <v>10</v>
      </c>
      <c r="L242" s="59">
        <v>30</v>
      </c>
      <c r="M242" s="59">
        <v>0</v>
      </c>
      <c r="N242" s="59">
        <v>0</v>
      </c>
      <c r="O242" s="59">
        <v>100</v>
      </c>
      <c r="P242" s="59">
        <v>0</v>
      </c>
      <c r="Q242" s="59">
        <v>0</v>
      </c>
      <c r="R242" s="59">
        <v>0</v>
      </c>
      <c r="S242" s="59">
        <v>0</v>
      </c>
      <c r="T242" s="59">
        <v>0</v>
      </c>
      <c r="U242" s="59">
        <v>0</v>
      </c>
      <c r="V242" s="59">
        <v>0</v>
      </c>
      <c r="W242" s="59">
        <v>5</v>
      </c>
      <c r="X242" s="59">
        <v>0</v>
      </c>
      <c r="Y242" s="59">
        <v>0</v>
      </c>
      <c r="Z242" s="59">
        <v>0</v>
      </c>
      <c r="AA242" s="59">
        <v>0</v>
      </c>
      <c r="AB242" s="59">
        <v>0</v>
      </c>
      <c r="AC242" s="59">
        <v>0</v>
      </c>
      <c r="AD242" s="59">
        <v>0</v>
      </c>
      <c r="AE242" s="59">
        <v>20</v>
      </c>
      <c r="AF242" s="59">
        <v>0</v>
      </c>
      <c r="AG242" s="59">
        <v>0</v>
      </c>
      <c r="AH242" s="59">
        <v>0</v>
      </c>
      <c r="AI242" s="61">
        <v>0</v>
      </c>
      <c r="AJ242" s="59">
        <v>0.01</v>
      </c>
      <c r="AK242" s="59">
        <v>20009</v>
      </c>
      <c r="AL242" s="59">
        <v>2</v>
      </c>
      <c r="AM242" s="59">
        <v>9000</v>
      </c>
      <c r="AN242" s="59" t="s">
        <v>48</v>
      </c>
      <c r="AO242" s="59" t="s">
        <v>741</v>
      </c>
    </row>
    <row r="243" spans="1:41" ht="16.5">
      <c r="A243" s="59">
        <v>2049</v>
      </c>
      <c r="B243" s="59" t="s">
        <v>1003</v>
      </c>
      <c r="C243" s="59" t="s">
        <v>166</v>
      </c>
      <c r="D243" s="59" t="s">
        <v>120</v>
      </c>
      <c r="E243" s="60">
        <v>11021</v>
      </c>
      <c r="F243" s="59">
        <v>5000</v>
      </c>
      <c r="G243" s="59">
        <v>300</v>
      </c>
      <c r="H243" s="59">
        <v>50</v>
      </c>
      <c r="I243" s="59" t="s">
        <v>718</v>
      </c>
      <c r="J243" s="59">
        <v>3</v>
      </c>
      <c r="K243" s="59">
        <v>10</v>
      </c>
      <c r="L243" s="59">
        <v>30</v>
      </c>
      <c r="M243" s="59">
        <v>0</v>
      </c>
      <c r="N243" s="59">
        <v>0</v>
      </c>
      <c r="O243" s="59">
        <v>100</v>
      </c>
      <c r="P243" s="59">
        <v>0</v>
      </c>
      <c r="Q243" s="59">
        <v>0</v>
      </c>
      <c r="R243" s="59">
        <v>0</v>
      </c>
      <c r="S243" s="59">
        <v>0</v>
      </c>
      <c r="T243" s="59">
        <v>0</v>
      </c>
      <c r="U243" s="59">
        <v>0</v>
      </c>
      <c r="V243" s="59">
        <v>0</v>
      </c>
      <c r="W243" s="59">
        <v>5</v>
      </c>
      <c r="X243" s="59">
        <v>0</v>
      </c>
      <c r="Y243" s="59">
        <v>0</v>
      </c>
      <c r="Z243" s="59">
        <v>0</v>
      </c>
      <c r="AA243" s="59">
        <v>0</v>
      </c>
      <c r="AB243" s="59">
        <v>0</v>
      </c>
      <c r="AC243" s="59">
        <v>0</v>
      </c>
      <c r="AD243" s="59">
        <v>0</v>
      </c>
      <c r="AE243" s="59">
        <v>20</v>
      </c>
      <c r="AF243" s="59">
        <v>0</v>
      </c>
      <c r="AG243" s="59">
        <v>0</v>
      </c>
      <c r="AH243" s="59">
        <v>0</v>
      </c>
      <c r="AI243" s="61">
        <v>0</v>
      </c>
      <c r="AJ243" s="59">
        <v>0.01</v>
      </c>
      <c r="AK243" s="59">
        <v>20009</v>
      </c>
      <c r="AL243" s="59">
        <v>2</v>
      </c>
      <c r="AM243" s="59">
        <v>9000</v>
      </c>
      <c r="AN243" s="59" t="s">
        <v>48</v>
      </c>
      <c r="AO243" s="59" t="s">
        <v>741</v>
      </c>
    </row>
    <row r="244" spans="1:41" ht="16.5">
      <c r="A244" s="59">
        <v>20491</v>
      </c>
      <c r="B244" s="59" t="s">
        <v>1004</v>
      </c>
      <c r="C244" s="59" t="s">
        <v>166</v>
      </c>
      <c r="D244" s="59" t="s">
        <v>120</v>
      </c>
      <c r="E244" s="60">
        <v>11021</v>
      </c>
      <c r="F244" s="59">
        <v>5000</v>
      </c>
      <c r="G244" s="59">
        <v>300</v>
      </c>
      <c r="H244" s="59">
        <v>50</v>
      </c>
      <c r="I244" s="59" t="s">
        <v>718</v>
      </c>
      <c r="J244" s="59">
        <v>3</v>
      </c>
      <c r="K244" s="59">
        <v>10</v>
      </c>
      <c r="L244" s="59">
        <v>30</v>
      </c>
      <c r="M244" s="59">
        <v>0</v>
      </c>
      <c r="N244" s="59">
        <v>0</v>
      </c>
      <c r="O244" s="59">
        <v>100</v>
      </c>
      <c r="P244" s="59">
        <v>0</v>
      </c>
      <c r="Q244" s="59">
        <v>0</v>
      </c>
      <c r="R244" s="59">
        <v>0</v>
      </c>
      <c r="S244" s="59">
        <v>0</v>
      </c>
      <c r="T244" s="59">
        <v>0</v>
      </c>
      <c r="U244" s="59">
        <v>0</v>
      </c>
      <c r="V244" s="59">
        <v>0</v>
      </c>
      <c r="W244" s="59">
        <v>5</v>
      </c>
      <c r="X244" s="59">
        <v>0</v>
      </c>
      <c r="Y244" s="59">
        <v>0</v>
      </c>
      <c r="Z244" s="59">
        <v>0</v>
      </c>
      <c r="AA244" s="59">
        <v>0</v>
      </c>
      <c r="AB244" s="59">
        <v>0</v>
      </c>
      <c r="AC244" s="59">
        <v>0</v>
      </c>
      <c r="AD244" s="59">
        <v>0</v>
      </c>
      <c r="AE244" s="59">
        <v>20</v>
      </c>
      <c r="AF244" s="59">
        <v>0</v>
      </c>
      <c r="AG244" s="59">
        <v>0</v>
      </c>
      <c r="AH244" s="59">
        <v>0</v>
      </c>
      <c r="AI244" s="61">
        <v>0</v>
      </c>
      <c r="AJ244" s="59">
        <v>0.01</v>
      </c>
      <c r="AK244" s="59">
        <v>20009</v>
      </c>
      <c r="AL244" s="59">
        <v>2</v>
      </c>
      <c r="AM244" s="59">
        <v>9000</v>
      </c>
      <c r="AN244" s="59" t="s">
        <v>48</v>
      </c>
      <c r="AO244" s="59" t="s">
        <v>741</v>
      </c>
    </row>
    <row r="245" spans="1:41" ht="16.5">
      <c r="A245" s="59">
        <v>20492</v>
      </c>
      <c r="B245" s="59" t="s">
        <v>1005</v>
      </c>
      <c r="C245" s="59" t="s">
        <v>166</v>
      </c>
      <c r="D245" s="59" t="s">
        <v>120</v>
      </c>
      <c r="E245" s="60">
        <v>11021</v>
      </c>
      <c r="F245" s="59">
        <v>5000</v>
      </c>
      <c r="G245" s="59">
        <v>300</v>
      </c>
      <c r="H245" s="59">
        <v>50</v>
      </c>
      <c r="I245" s="59" t="s">
        <v>718</v>
      </c>
      <c r="J245" s="59">
        <v>3</v>
      </c>
      <c r="K245" s="59">
        <v>10</v>
      </c>
      <c r="L245" s="59">
        <v>30</v>
      </c>
      <c r="M245" s="59">
        <v>0</v>
      </c>
      <c r="N245" s="59">
        <v>0</v>
      </c>
      <c r="O245" s="59">
        <v>100</v>
      </c>
      <c r="P245" s="59">
        <v>0</v>
      </c>
      <c r="Q245" s="59">
        <v>0</v>
      </c>
      <c r="R245" s="59">
        <v>0</v>
      </c>
      <c r="S245" s="59">
        <v>0</v>
      </c>
      <c r="T245" s="59">
        <v>0</v>
      </c>
      <c r="U245" s="59">
        <v>0</v>
      </c>
      <c r="V245" s="59">
        <v>0</v>
      </c>
      <c r="W245" s="59">
        <v>5</v>
      </c>
      <c r="X245" s="59">
        <v>0</v>
      </c>
      <c r="Y245" s="59">
        <v>0</v>
      </c>
      <c r="Z245" s="59">
        <v>0</v>
      </c>
      <c r="AA245" s="59">
        <v>0</v>
      </c>
      <c r="AB245" s="59">
        <v>0</v>
      </c>
      <c r="AC245" s="59">
        <v>0</v>
      </c>
      <c r="AD245" s="59">
        <v>0</v>
      </c>
      <c r="AE245" s="59">
        <v>20</v>
      </c>
      <c r="AF245" s="59">
        <v>0</v>
      </c>
      <c r="AG245" s="59">
        <v>0</v>
      </c>
      <c r="AH245" s="59">
        <v>0</v>
      </c>
      <c r="AI245" s="61">
        <v>0</v>
      </c>
      <c r="AJ245" s="59">
        <v>0.01</v>
      </c>
      <c r="AK245" s="59">
        <v>20009</v>
      </c>
      <c r="AL245" s="59">
        <v>2</v>
      </c>
      <c r="AM245" s="59">
        <v>9000</v>
      </c>
      <c r="AN245" s="59" t="s">
        <v>48</v>
      </c>
      <c r="AO245" s="59" t="s">
        <v>741</v>
      </c>
    </row>
    <row r="246" spans="1:41" ht="16.5">
      <c r="A246" s="59">
        <v>20493</v>
      </c>
      <c r="B246" s="59" t="s">
        <v>1006</v>
      </c>
      <c r="C246" s="59" t="s">
        <v>166</v>
      </c>
      <c r="D246" s="59" t="s">
        <v>120</v>
      </c>
      <c r="E246" s="60">
        <v>11021</v>
      </c>
      <c r="F246" s="59">
        <v>5000</v>
      </c>
      <c r="G246" s="59">
        <v>300</v>
      </c>
      <c r="H246" s="59">
        <v>50</v>
      </c>
      <c r="I246" s="59" t="s">
        <v>718</v>
      </c>
      <c r="J246" s="59">
        <v>3</v>
      </c>
      <c r="K246" s="59">
        <v>10</v>
      </c>
      <c r="L246" s="59">
        <v>30</v>
      </c>
      <c r="M246" s="59">
        <v>0</v>
      </c>
      <c r="N246" s="59">
        <v>0</v>
      </c>
      <c r="O246" s="59">
        <v>100</v>
      </c>
      <c r="P246" s="59">
        <v>0</v>
      </c>
      <c r="Q246" s="59">
        <v>0</v>
      </c>
      <c r="R246" s="59">
        <v>0</v>
      </c>
      <c r="S246" s="59">
        <v>0</v>
      </c>
      <c r="T246" s="59">
        <v>0</v>
      </c>
      <c r="U246" s="59">
        <v>0</v>
      </c>
      <c r="V246" s="59">
        <v>0</v>
      </c>
      <c r="W246" s="59">
        <v>5</v>
      </c>
      <c r="X246" s="59">
        <v>0</v>
      </c>
      <c r="Y246" s="59">
        <v>0</v>
      </c>
      <c r="Z246" s="59">
        <v>0</v>
      </c>
      <c r="AA246" s="59">
        <v>0</v>
      </c>
      <c r="AB246" s="59">
        <v>0</v>
      </c>
      <c r="AC246" s="59">
        <v>0</v>
      </c>
      <c r="AD246" s="59">
        <v>0</v>
      </c>
      <c r="AE246" s="59">
        <v>20</v>
      </c>
      <c r="AF246" s="59">
        <v>0</v>
      </c>
      <c r="AG246" s="59">
        <v>0</v>
      </c>
      <c r="AH246" s="59">
        <v>0</v>
      </c>
      <c r="AI246" s="61">
        <v>0</v>
      </c>
      <c r="AJ246" s="59">
        <v>0.01</v>
      </c>
      <c r="AK246" s="59">
        <v>20009</v>
      </c>
      <c r="AL246" s="59">
        <v>2</v>
      </c>
      <c r="AM246" s="59">
        <v>9000</v>
      </c>
      <c r="AN246" s="59" t="s">
        <v>48</v>
      </c>
      <c r="AO246" s="59" t="s">
        <v>741</v>
      </c>
    </row>
    <row r="247" spans="1:41" ht="16.5">
      <c r="A247" s="59">
        <v>20494</v>
      </c>
      <c r="B247" s="59" t="s">
        <v>1007</v>
      </c>
      <c r="C247" s="59" t="s">
        <v>166</v>
      </c>
      <c r="D247" s="59" t="s">
        <v>120</v>
      </c>
      <c r="E247" s="60">
        <v>11021</v>
      </c>
      <c r="F247" s="59">
        <v>5000</v>
      </c>
      <c r="G247" s="59">
        <v>300</v>
      </c>
      <c r="H247" s="59">
        <v>50</v>
      </c>
      <c r="I247" s="59" t="s">
        <v>718</v>
      </c>
      <c r="J247" s="59">
        <v>3</v>
      </c>
      <c r="K247" s="59">
        <v>10</v>
      </c>
      <c r="L247" s="59">
        <v>30</v>
      </c>
      <c r="M247" s="59">
        <v>0</v>
      </c>
      <c r="N247" s="59">
        <v>0</v>
      </c>
      <c r="O247" s="59">
        <v>100</v>
      </c>
      <c r="P247" s="59">
        <v>0</v>
      </c>
      <c r="Q247" s="59">
        <v>0</v>
      </c>
      <c r="R247" s="59">
        <v>0</v>
      </c>
      <c r="S247" s="59">
        <v>0</v>
      </c>
      <c r="T247" s="59">
        <v>0</v>
      </c>
      <c r="U247" s="59">
        <v>0</v>
      </c>
      <c r="V247" s="59">
        <v>0</v>
      </c>
      <c r="W247" s="59">
        <v>5</v>
      </c>
      <c r="X247" s="59">
        <v>0</v>
      </c>
      <c r="Y247" s="59">
        <v>0</v>
      </c>
      <c r="Z247" s="59">
        <v>0</v>
      </c>
      <c r="AA247" s="59">
        <v>0</v>
      </c>
      <c r="AB247" s="59">
        <v>0</v>
      </c>
      <c r="AC247" s="59">
        <v>0</v>
      </c>
      <c r="AD247" s="59">
        <v>0</v>
      </c>
      <c r="AE247" s="59">
        <v>20</v>
      </c>
      <c r="AF247" s="59">
        <v>0</v>
      </c>
      <c r="AG247" s="59">
        <v>0</v>
      </c>
      <c r="AH247" s="59">
        <v>0</v>
      </c>
      <c r="AI247" s="61">
        <v>0</v>
      </c>
      <c r="AJ247" s="59">
        <v>0.01</v>
      </c>
      <c r="AK247" s="59">
        <v>20009</v>
      </c>
      <c r="AL247" s="59">
        <v>2</v>
      </c>
      <c r="AM247" s="59">
        <v>9000</v>
      </c>
      <c r="AN247" s="59" t="s">
        <v>48</v>
      </c>
      <c r="AO247" s="59" t="s">
        <v>741</v>
      </c>
    </row>
    <row r="248" spans="1:41" ht="16.5">
      <c r="A248" s="59">
        <v>20495</v>
      </c>
      <c r="B248" s="59" t="s">
        <v>1008</v>
      </c>
      <c r="C248" s="59" t="s">
        <v>166</v>
      </c>
      <c r="D248" s="59" t="s">
        <v>120</v>
      </c>
      <c r="E248" s="60">
        <v>11021</v>
      </c>
      <c r="F248" s="59">
        <v>5000</v>
      </c>
      <c r="G248" s="59">
        <v>300</v>
      </c>
      <c r="H248" s="59">
        <v>50</v>
      </c>
      <c r="I248" s="59" t="s">
        <v>718</v>
      </c>
      <c r="J248" s="59">
        <v>3</v>
      </c>
      <c r="K248" s="59">
        <v>10</v>
      </c>
      <c r="L248" s="59">
        <v>30</v>
      </c>
      <c r="M248" s="59">
        <v>0</v>
      </c>
      <c r="N248" s="59">
        <v>0</v>
      </c>
      <c r="O248" s="59">
        <v>100</v>
      </c>
      <c r="P248" s="59">
        <v>0</v>
      </c>
      <c r="Q248" s="59">
        <v>0</v>
      </c>
      <c r="R248" s="59">
        <v>0</v>
      </c>
      <c r="S248" s="59">
        <v>0</v>
      </c>
      <c r="T248" s="59">
        <v>0</v>
      </c>
      <c r="U248" s="59">
        <v>0</v>
      </c>
      <c r="V248" s="59">
        <v>0</v>
      </c>
      <c r="W248" s="59">
        <v>5</v>
      </c>
      <c r="X248" s="59">
        <v>0</v>
      </c>
      <c r="Y248" s="59">
        <v>0</v>
      </c>
      <c r="Z248" s="59">
        <v>0</v>
      </c>
      <c r="AA248" s="59">
        <v>0</v>
      </c>
      <c r="AB248" s="59">
        <v>0</v>
      </c>
      <c r="AC248" s="59">
        <v>0</v>
      </c>
      <c r="AD248" s="59">
        <v>0</v>
      </c>
      <c r="AE248" s="59">
        <v>20</v>
      </c>
      <c r="AF248" s="59">
        <v>0</v>
      </c>
      <c r="AG248" s="59">
        <v>0</v>
      </c>
      <c r="AH248" s="59">
        <v>0</v>
      </c>
      <c r="AI248" s="61">
        <v>0</v>
      </c>
      <c r="AJ248" s="59">
        <v>0.01</v>
      </c>
      <c r="AK248" s="59">
        <v>20009</v>
      </c>
      <c r="AL248" s="59">
        <v>2</v>
      </c>
      <c r="AM248" s="59">
        <v>9000</v>
      </c>
      <c r="AN248" s="59" t="s">
        <v>48</v>
      </c>
      <c r="AO248" s="59" t="s">
        <v>741</v>
      </c>
    </row>
    <row r="249" spans="1:41" ht="16.5">
      <c r="A249" s="59">
        <v>20496</v>
      </c>
      <c r="B249" s="59" t="s">
        <v>1009</v>
      </c>
      <c r="C249" s="59" t="s">
        <v>166</v>
      </c>
      <c r="D249" s="59" t="s">
        <v>120</v>
      </c>
      <c r="E249" s="60">
        <v>11021</v>
      </c>
      <c r="F249" s="59">
        <v>5000</v>
      </c>
      <c r="G249" s="59">
        <v>300</v>
      </c>
      <c r="H249" s="59">
        <v>50</v>
      </c>
      <c r="I249" s="59" t="s">
        <v>718</v>
      </c>
      <c r="J249" s="59">
        <v>3</v>
      </c>
      <c r="K249" s="59">
        <v>10</v>
      </c>
      <c r="L249" s="59">
        <v>30</v>
      </c>
      <c r="M249" s="59">
        <v>0</v>
      </c>
      <c r="N249" s="59">
        <v>0</v>
      </c>
      <c r="O249" s="59">
        <v>100</v>
      </c>
      <c r="P249" s="59">
        <v>0</v>
      </c>
      <c r="Q249" s="59">
        <v>0</v>
      </c>
      <c r="R249" s="59">
        <v>0</v>
      </c>
      <c r="S249" s="59">
        <v>0</v>
      </c>
      <c r="T249" s="59">
        <v>0</v>
      </c>
      <c r="U249" s="59">
        <v>0</v>
      </c>
      <c r="V249" s="59">
        <v>0</v>
      </c>
      <c r="W249" s="59">
        <v>5</v>
      </c>
      <c r="X249" s="59">
        <v>0</v>
      </c>
      <c r="Y249" s="59">
        <v>0</v>
      </c>
      <c r="Z249" s="59">
        <v>0</v>
      </c>
      <c r="AA249" s="59">
        <v>0</v>
      </c>
      <c r="AB249" s="59">
        <v>0</v>
      </c>
      <c r="AC249" s="59">
        <v>0</v>
      </c>
      <c r="AD249" s="59">
        <v>0</v>
      </c>
      <c r="AE249" s="59">
        <v>20</v>
      </c>
      <c r="AF249" s="59">
        <v>0</v>
      </c>
      <c r="AG249" s="59">
        <v>0</v>
      </c>
      <c r="AH249" s="59">
        <v>0</v>
      </c>
      <c r="AI249" s="61">
        <v>0</v>
      </c>
      <c r="AJ249" s="59">
        <v>0.01</v>
      </c>
      <c r="AK249" s="59">
        <v>20009</v>
      </c>
      <c r="AL249" s="59">
        <v>2</v>
      </c>
      <c r="AM249" s="59">
        <v>9000</v>
      </c>
      <c r="AN249" s="59" t="s">
        <v>48</v>
      </c>
      <c r="AO249" s="59" t="s">
        <v>741</v>
      </c>
    </row>
    <row r="250" spans="1:41" ht="16.5">
      <c r="A250" s="59">
        <v>20497</v>
      </c>
      <c r="B250" s="59" t="s">
        <v>1010</v>
      </c>
      <c r="C250" s="59" t="s">
        <v>166</v>
      </c>
      <c r="D250" s="59" t="s">
        <v>120</v>
      </c>
      <c r="E250" s="60">
        <v>11021</v>
      </c>
      <c r="F250" s="59">
        <v>5000</v>
      </c>
      <c r="G250" s="59">
        <v>300</v>
      </c>
      <c r="H250" s="59">
        <v>50</v>
      </c>
      <c r="I250" s="59" t="s">
        <v>718</v>
      </c>
      <c r="J250" s="59">
        <v>3</v>
      </c>
      <c r="K250" s="59">
        <v>10</v>
      </c>
      <c r="L250" s="59">
        <v>30</v>
      </c>
      <c r="M250" s="59">
        <v>0</v>
      </c>
      <c r="N250" s="59">
        <v>0</v>
      </c>
      <c r="O250" s="59">
        <v>100</v>
      </c>
      <c r="P250" s="59">
        <v>0</v>
      </c>
      <c r="Q250" s="59">
        <v>0</v>
      </c>
      <c r="R250" s="59">
        <v>0</v>
      </c>
      <c r="S250" s="59">
        <v>0</v>
      </c>
      <c r="T250" s="59">
        <v>0</v>
      </c>
      <c r="U250" s="59">
        <v>0</v>
      </c>
      <c r="V250" s="59">
        <v>0</v>
      </c>
      <c r="W250" s="59">
        <v>5</v>
      </c>
      <c r="X250" s="59">
        <v>0</v>
      </c>
      <c r="Y250" s="59">
        <v>0</v>
      </c>
      <c r="Z250" s="59">
        <v>0</v>
      </c>
      <c r="AA250" s="59">
        <v>0</v>
      </c>
      <c r="AB250" s="59">
        <v>0</v>
      </c>
      <c r="AC250" s="59">
        <v>0</v>
      </c>
      <c r="AD250" s="59">
        <v>0</v>
      </c>
      <c r="AE250" s="59">
        <v>20</v>
      </c>
      <c r="AF250" s="59">
        <v>0</v>
      </c>
      <c r="AG250" s="59">
        <v>0</v>
      </c>
      <c r="AH250" s="59">
        <v>0</v>
      </c>
      <c r="AI250" s="61">
        <v>0</v>
      </c>
      <c r="AJ250" s="59">
        <v>0.01</v>
      </c>
      <c r="AK250" s="59">
        <v>20009</v>
      </c>
      <c r="AL250" s="59">
        <v>2</v>
      </c>
      <c r="AM250" s="59">
        <v>9000</v>
      </c>
      <c r="AN250" s="59" t="s">
        <v>48</v>
      </c>
      <c r="AO250" s="59" t="s">
        <v>741</v>
      </c>
    </row>
    <row r="251" spans="1:41" ht="16.5">
      <c r="A251" s="59">
        <v>20498</v>
      </c>
      <c r="B251" s="59" t="s">
        <v>1011</v>
      </c>
      <c r="C251" s="59" t="s">
        <v>166</v>
      </c>
      <c r="D251" s="59" t="s">
        <v>120</v>
      </c>
      <c r="E251" s="60">
        <v>11021</v>
      </c>
      <c r="F251" s="59">
        <v>5000</v>
      </c>
      <c r="G251" s="59">
        <v>300</v>
      </c>
      <c r="H251" s="59">
        <v>50</v>
      </c>
      <c r="I251" s="59" t="s">
        <v>718</v>
      </c>
      <c r="J251" s="59">
        <v>3</v>
      </c>
      <c r="K251" s="59">
        <v>10</v>
      </c>
      <c r="L251" s="59">
        <v>30</v>
      </c>
      <c r="M251" s="59">
        <v>0</v>
      </c>
      <c r="N251" s="59">
        <v>0</v>
      </c>
      <c r="O251" s="59">
        <v>100</v>
      </c>
      <c r="P251" s="59">
        <v>0</v>
      </c>
      <c r="Q251" s="59">
        <v>0</v>
      </c>
      <c r="R251" s="59">
        <v>0</v>
      </c>
      <c r="S251" s="59">
        <v>0</v>
      </c>
      <c r="T251" s="59">
        <v>0</v>
      </c>
      <c r="U251" s="59">
        <v>0</v>
      </c>
      <c r="V251" s="59">
        <v>0</v>
      </c>
      <c r="W251" s="59">
        <v>5</v>
      </c>
      <c r="X251" s="59">
        <v>0</v>
      </c>
      <c r="Y251" s="59">
        <v>0</v>
      </c>
      <c r="Z251" s="59">
        <v>0</v>
      </c>
      <c r="AA251" s="59">
        <v>0</v>
      </c>
      <c r="AB251" s="59">
        <v>0</v>
      </c>
      <c r="AC251" s="59">
        <v>0</v>
      </c>
      <c r="AD251" s="59">
        <v>0</v>
      </c>
      <c r="AE251" s="59">
        <v>20</v>
      </c>
      <c r="AF251" s="59">
        <v>0</v>
      </c>
      <c r="AG251" s="59">
        <v>0</v>
      </c>
      <c r="AH251" s="59">
        <v>0</v>
      </c>
      <c r="AI251" s="61">
        <v>0</v>
      </c>
      <c r="AJ251" s="59">
        <v>0.01</v>
      </c>
      <c r="AK251" s="59">
        <v>20009</v>
      </c>
      <c r="AL251" s="59">
        <v>2</v>
      </c>
      <c r="AM251" s="59">
        <v>9000</v>
      </c>
      <c r="AN251" s="59" t="s">
        <v>48</v>
      </c>
      <c r="AO251" s="59" t="s">
        <v>741</v>
      </c>
    </row>
    <row r="252" spans="1:41" ht="16.5">
      <c r="A252" s="59">
        <v>20499</v>
      </c>
      <c r="B252" s="59" t="s">
        <v>1012</v>
      </c>
      <c r="C252" s="59" t="s">
        <v>166</v>
      </c>
      <c r="D252" s="59" t="s">
        <v>120</v>
      </c>
      <c r="E252" s="60">
        <v>11021</v>
      </c>
      <c r="F252" s="59">
        <v>5000</v>
      </c>
      <c r="G252" s="59">
        <v>300</v>
      </c>
      <c r="H252" s="59">
        <v>50</v>
      </c>
      <c r="I252" s="59" t="s">
        <v>718</v>
      </c>
      <c r="J252" s="59">
        <v>3</v>
      </c>
      <c r="K252" s="59">
        <v>10</v>
      </c>
      <c r="L252" s="59">
        <v>30</v>
      </c>
      <c r="M252" s="59">
        <v>0</v>
      </c>
      <c r="N252" s="59">
        <v>0</v>
      </c>
      <c r="O252" s="59">
        <v>100</v>
      </c>
      <c r="P252" s="59">
        <v>0</v>
      </c>
      <c r="Q252" s="59">
        <v>0</v>
      </c>
      <c r="R252" s="59">
        <v>0</v>
      </c>
      <c r="S252" s="59">
        <v>0</v>
      </c>
      <c r="T252" s="59">
        <v>0</v>
      </c>
      <c r="U252" s="59">
        <v>0</v>
      </c>
      <c r="V252" s="59">
        <v>0</v>
      </c>
      <c r="W252" s="59">
        <v>5</v>
      </c>
      <c r="X252" s="59">
        <v>0</v>
      </c>
      <c r="Y252" s="59">
        <v>0</v>
      </c>
      <c r="Z252" s="59">
        <v>0</v>
      </c>
      <c r="AA252" s="59">
        <v>0</v>
      </c>
      <c r="AB252" s="59">
        <v>0</v>
      </c>
      <c r="AC252" s="59">
        <v>0</v>
      </c>
      <c r="AD252" s="59">
        <v>0</v>
      </c>
      <c r="AE252" s="59">
        <v>20</v>
      </c>
      <c r="AF252" s="59">
        <v>0</v>
      </c>
      <c r="AG252" s="59">
        <v>0</v>
      </c>
      <c r="AH252" s="59">
        <v>0</v>
      </c>
      <c r="AI252" s="61">
        <v>0</v>
      </c>
      <c r="AJ252" s="59">
        <v>0.01</v>
      </c>
      <c r="AK252" s="59">
        <v>20009</v>
      </c>
      <c r="AL252" s="59">
        <v>2</v>
      </c>
      <c r="AM252" s="59">
        <v>9000</v>
      </c>
      <c r="AN252" s="59" t="s">
        <v>48</v>
      </c>
      <c r="AO252" s="59" t="s">
        <v>741</v>
      </c>
    </row>
    <row r="253" spans="1:41" ht="16.5">
      <c r="A253" s="59">
        <v>20500</v>
      </c>
      <c r="B253" s="59" t="s">
        <v>1013</v>
      </c>
      <c r="C253" s="59" t="s">
        <v>166</v>
      </c>
      <c r="D253" s="59" t="s">
        <v>120</v>
      </c>
      <c r="E253" s="60">
        <v>11021</v>
      </c>
      <c r="F253" s="59">
        <v>5000</v>
      </c>
      <c r="G253" s="59">
        <v>300</v>
      </c>
      <c r="H253" s="59">
        <v>50</v>
      </c>
      <c r="I253" s="59" t="s">
        <v>718</v>
      </c>
      <c r="J253" s="59">
        <v>3</v>
      </c>
      <c r="K253" s="59">
        <v>10</v>
      </c>
      <c r="L253" s="59">
        <v>30</v>
      </c>
      <c r="M253" s="59">
        <v>0</v>
      </c>
      <c r="N253" s="59">
        <v>0</v>
      </c>
      <c r="O253" s="59">
        <v>100</v>
      </c>
      <c r="P253" s="59">
        <v>0</v>
      </c>
      <c r="Q253" s="59">
        <v>0</v>
      </c>
      <c r="R253" s="59">
        <v>0</v>
      </c>
      <c r="S253" s="59">
        <v>0</v>
      </c>
      <c r="T253" s="59">
        <v>0</v>
      </c>
      <c r="U253" s="59">
        <v>0</v>
      </c>
      <c r="V253" s="59">
        <v>0</v>
      </c>
      <c r="W253" s="59">
        <v>5</v>
      </c>
      <c r="X253" s="59">
        <v>0</v>
      </c>
      <c r="Y253" s="59">
        <v>0</v>
      </c>
      <c r="Z253" s="59">
        <v>0</v>
      </c>
      <c r="AA253" s="59">
        <v>0</v>
      </c>
      <c r="AB253" s="59">
        <v>0</v>
      </c>
      <c r="AC253" s="59">
        <v>0</v>
      </c>
      <c r="AD253" s="59">
        <v>0</v>
      </c>
      <c r="AE253" s="59">
        <v>20</v>
      </c>
      <c r="AF253" s="59">
        <v>0</v>
      </c>
      <c r="AG253" s="59">
        <v>0</v>
      </c>
      <c r="AH253" s="59">
        <v>0</v>
      </c>
      <c r="AI253" s="61">
        <v>0</v>
      </c>
      <c r="AJ253" s="59">
        <v>0.01</v>
      </c>
      <c r="AK253" s="59">
        <v>20009</v>
      </c>
      <c r="AL253" s="59">
        <v>2</v>
      </c>
      <c r="AM253" s="59">
        <v>9000</v>
      </c>
      <c r="AN253" s="59" t="s">
        <v>48</v>
      </c>
      <c r="AO253" s="59" t="s">
        <v>741</v>
      </c>
    </row>
    <row r="254" spans="1:41" ht="16.5">
      <c r="A254" s="59">
        <v>205011</v>
      </c>
      <c r="B254" s="59" t="s">
        <v>1014</v>
      </c>
      <c r="C254" s="59" t="s">
        <v>166</v>
      </c>
      <c r="D254" s="59" t="s">
        <v>120</v>
      </c>
      <c r="E254" s="60">
        <v>11021</v>
      </c>
      <c r="F254" s="59">
        <v>5000</v>
      </c>
      <c r="G254" s="59">
        <v>300</v>
      </c>
      <c r="H254" s="59">
        <v>50</v>
      </c>
      <c r="I254" s="59" t="s">
        <v>718</v>
      </c>
      <c r="J254" s="59">
        <v>3</v>
      </c>
      <c r="K254" s="59">
        <v>10</v>
      </c>
      <c r="L254" s="59">
        <v>30</v>
      </c>
      <c r="M254" s="59">
        <v>0</v>
      </c>
      <c r="N254" s="59">
        <v>0</v>
      </c>
      <c r="O254" s="59">
        <v>100</v>
      </c>
      <c r="P254" s="59">
        <v>0</v>
      </c>
      <c r="Q254" s="59">
        <v>0</v>
      </c>
      <c r="R254" s="59">
        <v>0</v>
      </c>
      <c r="S254" s="59">
        <v>0</v>
      </c>
      <c r="T254" s="59">
        <v>0</v>
      </c>
      <c r="U254" s="59">
        <v>0</v>
      </c>
      <c r="V254" s="59">
        <v>0</v>
      </c>
      <c r="W254" s="59">
        <v>5</v>
      </c>
      <c r="X254" s="59">
        <v>0</v>
      </c>
      <c r="Y254" s="59">
        <v>0</v>
      </c>
      <c r="Z254" s="59">
        <v>0</v>
      </c>
      <c r="AA254" s="59">
        <v>0</v>
      </c>
      <c r="AB254" s="59">
        <v>0</v>
      </c>
      <c r="AC254" s="59">
        <v>0</v>
      </c>
      <c r="AD254" s="59">
        <v>0</v>
      </c>
      <c r="AE254" s="59">
        <v>20</v>
      </c>
      <c r="AF254" s="59">
        <v>0</v>
      </c>
      <c r="AG254" s="59">
        <v>0</v>
      </c>
      <c r="AH254" s="59">
        <v>0</v>
      </c>
      <c r="AI254" s="61">
        <v>0</v>
      </c>
      <c r="AJ254" s="59">
        <v>0.01</v>
      </c>
      <c r="AK254" s="59">
        <v>20009</v>
      </c>
      <c r="AL254" s="59">
        <v>2</v>
      </c>
      <c r="AM254" s="59">
        <v>9000</v>
      </c>
      <c r="AN254" s="59" t="s">
        <v>48</v>
      </c>
      <c r="AO254" s="59" t="s">
        <v>741</v>
      </c>
    </row>
    <row r="255" spans="1:41" ht="16.5">
      <c r="A255" s="59">
        <v>205012</v>
      </c>
      <c r="B255" s="59" t="s">
        <v>1015</v>
      </c>
      <c r="C255" s="59" t="s">
        <v>166</v>
      </c>
      <c r="D255" s="59" t="s">
        <v>120</v>
      </c>
      <c r="E255" s="60">
        <v>11021</v>
      </c>
      <c r="F255" s="59">
        <v>5000</v>
      </c>
      <c r="G255" s="59">
        <v>300</v>
      </c>
      <c r="H255" s="59">
        <v>50</v>
      </c>
      <c r="I255" s="59" t="s">
        <v>718</v>
      </c>
      <c r="J255" s="59">
        <v>3</v>
      </c>
      <c r="K255" s="59">
        <v>10</v>
      </c>
      <c r="L255" s="59">
        <v>30</v>
      </c>
      <c r="M255" s="59">
        <v>0</v>
      </c>
      <c r="N255" s="59">
        <v>0</v>
      </c>
      <c r="O255" s="59">
        <v>100</v>
      </c>
      <c r="P255" s="59">
        <v>0</v>
      </c>
      <c r="Q255" s="59">
        <v>0</v>
      </c>
      <c r="R255" s="59">
        <v>0</v>
      </c>
      <c r="S255" s="59">
        <v>0</v>
      </c>
      <c r="T255" s="59">
        <v>0</v>
      </c>
      <c r="U255" s="59">
        <v>0</v>
      </c>
      <c r="V255" s="59">
        <v>0</v>
      </c>
      <c r="W255" s="59">
        <v>5</v>
      </c>
      <c r="X255" s="59">
        <v>0</v>
      </c>
      <c r="Y255" s="59">
        <v>0</v>
      </c>
      <c r="Z255" s="59">
        <v>0</v>
      </c>
      <c r="AA255" s="59">
        <v>0</v>
      </c>
      <c r="AB255" s="59">
        <v>0</v>
      </c>
      <c r="AC255" s="59">
        <v>0</v>
      </c>
      <c r="AD255" s="59">
        <v>0</v>
      </c>
      <c r="AE255" s="59">
        <v>20</v>
      </c>
      <c r="AF255" s="59">
        <v>0</v>
      </c>
      <c r="AG255" s="59">
        <v>0</v>
      </c>
      <c r="AH255" s="59">
        <v>0</v>
      </c>
      <c r="AI255" s="61">
        <v>0</v>
      </c>
      <c r="AJ255" s="59">
        <v>0.01</v>
      </c>
      <c r="AK255" s="59">
        <v>20009</v>
      </c>
      <c r="AL255" s="59">
        <v>2</v>
      </c>
      <c r="AM255" s="59">
        <v>9000</v>
      </c>
      <c r="AN255" s="59" t="s">
        <v>48</v>
      </c>
      <c r="AO255" s="59" t="s">
        <v>741</v>
      </c>
    </row>
    <row r="256" spans="1:41" ht="16.5">
      <c r="A256" s="59">
        <v>501</v>
      </c>
      <c r="B256" s="59" t="s">
        <v>1016</v>
      </c>
      <c r="C256" s="59" t="s">
        <v>166</v>
      </c>
      <c r="D256" s="59" t="s">
        <v>121</v>
      </c>
      <c r="E256" s="60">
        <v>11022</v>
      </c>
      <c r="F256" s="59">
        <v>5000</v>
      </c>
      <c r="G256" s="59">
        <v>300</v>
      </c>
      <c r="H256" s="59">
        <v>50</v>
      </c>
      <c r="I256" s="59" t="s">
        <v>719</v>
      </c>
      <c r="J256" s="59">
        <v>3</v>
      </c>
      <c r="K256" s="59">
        <v>10</v>
      </c>
      <c r="L256" s="59">
        <v>30</v>
      </c>
      <c r="M256" s="59">
        <v>0</v>
      </c>
      <c r="N256" s="59">
        <v>200</v>
      </c>
      <c r="O256" s="59">
        <v>0</v>
      </c>
      <c r="P256" s="59">
        <v>0</v>
      </c>
      <c r="Q256" s="59">
        <v>0</v>
      </c>
      <c r="R256" s="59">
        <v>0</v>
      </c>
      <c r="S256" s="59">
        <v>0</v>
      </c>
      <c r="T256" s="59">
        <v>0</v>
      </c>
      <c r="U256" s="59">
        <v>0</v>
      </c>
      <c r="V256" s="59">
        <v>10</v>
      </c>
      <c r="W256" s="59">
        <v>0</v>
      </c>
      <c r="X256" s="59">
        <v>0</v>
      </c>
      <c r="Y256" s="59">
        <v>0</v>
      </c>
      <c r="Z256" s="59">
        <v>0</v>
      </c>
      <c r="AA256" s="59">
        <v>0</v>
      </c>
      <c r="AB256" s="59">
        <v>0</v>
      </c>
      <c r="AC256" s="59">
        <v>0</v>
      </c>
      <c r="AD256" s="59">
        <v>40</v>
      </c>
      <c r="AE256" s="59">
        <v>0</v>
      </c>
      <c r="AF256" s="59">
        <v>0</v>
      </c>
      <c r="AG256" s="61">
        <v>0</v>
      </c>
      <c r="AH256" s="59">
        <v>0</v>
      </c>
      <c r="AI256" s="59">
        <v>0.01</v>
      </c>
      <c r="AJ256" s="59">
        <v>0</v>
      </c>
      <c r="AK256" s="59">
        <v>20009</v>
      </c>
      <c r="AL256" s="59">
        <v>1</v>
      </c>
      <c r="AM256" s="59">
        <v>9000</v>
      </c>
      <c r="AN256" s="59" t="s">
        <v>48</v>
      </c>
      <c r="AO256" s="59" t="s">
        <v>742</v>
      </c>
    </row>
    <row r="257" spans="1:41" ht="16.5">
      <c r="A257" s="59">
        <v>502</v>
      </c>
      <c r="B257" s="59" t="s">
        <v>1017</v>
      </c>
      <c r="C257" s="59" t="s">
        <v>166</v>
      </c>
      <c r="D257" s="59" t="s">
        <v>121</v>
      </c>
      <c r="E257" s="60">
        <v>11022</v>
      </c>
      <c r="F257" s="59">
        <v>5000</v>
      </c>
      <c r="G257" s="59">
        <v>300</v>
      </c>
      <c r="H257" s="59">
        <v>50</v>
      </c>
      <c r="I257" s="59" t="s">
        <v>719</v>
      </c>
      <c r="J257" s="59">
        <v>3</v>
      </c>
      <c r="K257" s="59">
        <v>10</v>
      </c>
      <c r="L257" s="59">
        <v>30</v>
      </c>
      <c r="M257" s="59">
        <v>0</v>
      </c>
      <c r="N257" s="59">
        <v>200</v>
      </c>
      <c r="O257" s="59">
        <v>0</v>
      </c>
      <c r="P257" s="59">
        <v>0</v>
      </c>
      <c r="Q257" s="59">
        <v>0</v>
      </c>
      <c r="R257" s="59">
        <v>0</v>
      </c>
      <c r="S257" s="59">
        <v>0</v>
      </c>
      <c r="T257" s="59">
        <v>0</v>
      </c>
      <c r="U257" s="59">
        <v>0</v>
      </c>
      <c r="V257" s="59">
        <v>10</v>
      </c>
      <c r="W257" s="59">
        <v>0</v>
      </c>
      <c r="X257" s="59">
        <v>0</v>
      </c>
      <c r="Y257" s="59">
        <v>0</v>
      </c>
      <c r="Z257" s="59">
        <v>0</v>
      </c>
      <c r="AA257" s="59">
        <v>0</v>
      </c>
      <c r="AB257" s="59">
        <v>0</v>
      </c>
      <c r="AC257" s="59">
        <v>0</v>
      </c>
      <c r="AD257" s="59">
        <v>40</v>
      </c>
      <c r="AE257" s="59">
        <v>0</v>
      </c>
      <c r="AF257" s="59">
        <v>0</v>
      </c>
      <c r="AG257" s="61">
        <v>0</v>
      </c>
      <c r="AH257" s="59">
        <v>0</v>
      </c>
      <c r="AI257" s="59">
        <v>0.01</v>
      </c>
      <c r="AJ257" s="59">
        <v>0</v>
      </c>
      <c r="AK257" s="59">
        <v>20009</v>
      </c>
      <c r="AL257" s="59">
        <v>1</v>
      </c>
      <c r="AM257" s="59">
        <v>9000</v>
      </c>
      <c r="AN257" s="59" t="s">
        <v>48</v>
      </c>
      <c r="AO257" s="59" t="s">
        <v>742</v>
      </c>
    </row>
    <row r="258" spans="1:41" ht="16.5">
      <c r="A258" s="59">
        <v>2050</v>
      </c>
      <c r="B258" s="59" t="s">
        <v>1018</v>
      </c>
      <c r="C258" s="59" t="s">
        <v>166</v>
      </c>
      <c r="D258" s="59" t="s">
        <v>121</v>
      </c>
      <c r="E258" s="60">
        <v>11022</v>
      </c>
      <c r="F258" s="59">
        <v>5000</v>
      </c>
      <c r="G258" s="59">
        <v>300</v>
      </c>
      <c r="H258" s="59">
        <v>50</v>
      </c>
      <c r="I258" s="59" t="s">
        <v>719</v>
      </c>
      <c r="J258" s="59">
        <v>3</v>
      </c>
      <c r="K258" s="59">
        <v>10</v>
      </c>
      <c r="L258" s="59">
        <v>30</v>
      </c>
      <c r="M258" s="59">
        <v>0</v>
      </c>
      <c r="N258" s="59">
        <v>200</v>
      </c>
      <c r="O258" s="59">
        <v>0</v>
      </c>
      <c r="P258" s="59">
        <v>0</v>
      </c>
      <c r="Q258" s="59">
        <v>0</v>
      </c>
      <c r="R258" s="59">
        <v>0</v>
      </c>
      <c r="S258" s="59">
        <v>0</v>
      </c>
      <c r="T258" s="59">
        <v>0</v>
      </c>
      <c r="U258" s="59">
        <v>0</v>
      </c>
      <c r="V258" s="59">
        <v>10</v>
      </c>
      <c r="W258" s="59">
        <v>0</v>
      </c>
      <c r="X258" s="59">
        <v>0</v>
      </c>
      <c r="Y258" s="59">
        <v>0</v>
      </c>
      <c r="Z258" s="59">
        <v>0</v>
      </c>
      <c r="AA258" s="59">
        <v>0</v>
      </c>
      <c r="AB258" s="59">
        <v>0</v>
      </c>
      <c r="AC258" s="59">
        <v>0</v>
      </c>
      <c r="AD258" s="59">
        <v>40</v>
      </c>
      <c r="AE258" s="59">
        <v>0</v>
      </c>
      <c r="AF258" s="59">
        <v>0</v>
      </c>
      <c r="AG258" s="61">
        <v>0</v>
      </c>
      <c r="AH258" s="59">
        <v>0</v>
      </c>
      <c r="AI258" s="59">
        <v>0.01</v>
      </c>
      <c r="AJ258" s="59">
        <v>0</v>
      </c>
      <c r="AK258" s="59">
        <v>20009</v>
      </c>
      <c r="AL258" s="59">
        <v>1</v>
      </c>
      <c r="AM258" s="59">
        <v>9000</v>
      </c>
      <c r="AN258" s="59" t="s">
        <v>48</v>
      </c>
      <c r="AO258" s="59" t="s">
        <v>742</v>
      </c>
    </row>
    <row r="259" spans="1:41" ht="16.5">
      <c r="A259" s="59">
        <v>20501</v>
      </c>
      <c r="B259" s="59" t="s">
        <v>1019</v>
      </c>
      <c r="C259" s="59" t="s">
        <v>166</v>
      </c>
      <c r="D259" s="59" t="s">
        <v>121</v>
      </c>
      <c r="E259" s="60">
        <v>11022</v>
      </c>
      <c r="F259" s="59">
        <v>5000</v>
      </c>
      <c r="G259" s="59">
        <v>300</v>
      </c>
      <c r="H259" s="59">
        <v>50</v>
      </c>
      <c r="I259" s="59" t="s">
        <v>719</v>
      </c>
      <c r="J259" s="59">
        <v>3</v>
      </c>
      <c r="K259" s="59">
        <v>10</v>
      </c>
      <c r="L259" s="59">
        <v>30</v>
      </c>
      <c r="M259" s="59">
        <v>0</v>
      </c>
      <c r="N259" s="59">
        <v>200</v>
      </c>
      <c r="O259" s="59">
        <v>0</v>
      </c>
      <c r="P259" s="59">
        <v>0</v>
      </c>
      <c r="Q259" s="59">
        <v>0</v>
      </c>
      <c r="R259" s="59">
        <v>0</v>
      </c>
      <c r="S259" s="59">
        <v>0</v>
      </c>
      <c r="T259" s="59">
        <v>0</v>
      </c>
      <c r="U259" s="59">
        <v>0</v>
      </c>
      <c r="V259" s="59">
        <v>10</v>
      </c>
      <c r="W259" s="59">
        <v>0</v>
      </c>
      <c r="X259" s="59">
        <v>0</v>
      </c>
      <c r="Y259" s="59">
        <v>0</v>
      </c>
      <c r="Z259" s="59">
        <v>0</v>
      </c>
      <c r="AA259" s="59">
        <v>0</v>
      </c>
      <c r="AB259" s="59">
        <v>0</v>
      </c>
      <c r="AC259" s="59">
        <v>0</v>
      </c>
      <c r="AD259" s="59">
        <v>40</v>
      </c>
      <c r="AE259" s="59">
        <v>0</v>
      </c>
      <c r="AF259" s="59">
        <v>0</v>
      </c>
      <c r="AG259" s="61">
        <v>0</v>
      </c>
      <c r="AH259" s="59">
        <v>0</v>
      </c>
      <c r="AI259" s="59">
        <v>0.01</v>
      </c>
      <c r="AJ259" s="59">
        <v>0</v>
      </c>
      <c r="AK259" s="59">
        <v>20009</v>
      </c>
      <c r="AL259" s="59">
        <v>1</v>
      </c>
      <c r="AM259" s="59">
        <v>9000</v>
      </c>
      <c r="AN259" s="59" t="s">
        <v>48</v>
      </c>
      <c r="AO259" s="59" t="s">
        <v>742</v>
      </c>
    </row>
    <row r="260" spans="1:41" ht="16.5">
      <c r="A260" s="59">
        <v>20502</v>
      </c>
      <c r="B260" s="59" t="s">
        <v>1020</v>
      </c>
      <c r="C260" s="59" t="s">
        <v>166</v>
      </c>
      <c r="D260" s="59" t="s">
        <v>121</v>
      </c>
      <c r="E260" s="60">
        <v>11022</v>
      </c>
      <c r="F260" s="59">
        <v>5000</v>
      </c>
      <c r="G260" s="59">
        <v>300</v>
      </c>
      <c r="H260" s="59">
        <v>50</v>
      </c>
      <c r="I260" s="59" t="s">
        <v>719</v>
      </c>
      <c r="J260" s="59">
        <v>3</v>
      </c>
      <c r="K260" s="59">
        <v>10</v>
      </c>
      <c r="L260" s="59">
        <v>30</v>
      </c>
      <c r="M260" s="59">
        <v>0</v>
      </c>
      <c r="N260" s="59">
        <v>200</v>
      </c>
      <c r="O260" s="59">
        <v>0</v>
      </c>
      <c r="P260" s="59">
        <v>0</v>
      </c>
      <c r="Q260" s="59">
        <v>0</v>
      </c>
      <c r="R260" s="59">
        <v>0</v>
      </c>
      <c r="S260" s="59">
        <v>0</v>
      </c>
      <c r="T260" s="59">
        <v>0</v>
      </c>
      <c r="U260" s="59">
        <v>0</v>
      </c>
      <c r="V260" s="59">
        <v>10</v>
      </c>
      <c r="W260" s="59">
        <v>0</v>
      </c>
      <c r="X260" s="59">
        <v>0</v>
      </c>
      <c r="Y260" s="59">
        <v>0</v>
      </c>
      <c r="Z260" s="59">
        <v>0</v>
      </c>
      <c r="AA260" s="59">
        <v>0</v>
      </c>
      <c r="AB260" s="59">
        <v>0</v>
      </c>
      <c r="AC260" s="59">
        <v>0</v>
      </c>
      <c r="AD260" s="59">
        <v>40</v>
      </c>
      <c r="AE260" s="59">
        <v>0</v>
      </c>
      <c r="AF260" s="59">
        <v>0</v>
      </c>
      <c r="AG260" s="61">
        <v>0</v>
      </c>
      <c r="AH260" s="59">
        <v>0</v>
      </c>
      <c r="AI260" s="59">
        <v>0.01</v>
      </c>
      <c r="AJ260" s="59">
        <v>0</v>
      </c>
      <c r="AK260" s="59">
        <v>20009</v>
      </c>
      <c r="AL260" s="59">
        <v>1</v>
      </c>
      <c r="AM260" s="59">
        <v>9000</v>
      </c>
      <c r="AN260" s="59" t="s">
        <v>48</v>
      </c>
      <c r="AO260" s="59" t="s">
        <v>742</v>
      </c>
    </row>
    <row r="261" spans="1:41" ht="16.5">
      <c r="A261" s="59">
        <v>20503</v>
      </c>
      <c r="B261" s="59" t="s">
        <v>1021</v>
      </c>
      <c r="C261" s="59" t="s">
        <v>166</v>
      </c>
      <c r="D261" s="59" t="s">
        <v>121</v>
      </c>
      <c r="E261" s="60">
        <v>11022</v>
      </c>
      <c r="F261" s="59">
        <v>5000</v>
      </c>
      <c r="G261" s="59">
        <v>300</v>
      </c>
      <c r="H261" s="59">
        <v>50</v>
      </c>
      <c r="I261" s="59" t="s">
        <v>719</v>
      </c>
      <c r="J261" s="59">
        <v>3</v>
      </c>
      <c r="K261" s="59">
        <v>10</v>
      </c>
      <c r="L261" s="59">
        <v>30</v>
      </c>
      <c r="M261" s="59">
        <v>0</v>
      </c>
      <c r="N261" s="59">
        <v>200</v>
      </c>
      <c r="O261" s="59">
        <v>0</v>
      </c>
      <c r="P261" s="59">
        <v>0</v>
      </c>
      <c r="Q261" s="59">
        <v>0</v>
      </c>
      <c r="R261" s="59">
        <v>0</v>
      </c>
      <c r="S261" s="59">
        <v>0</v>
      </c>
      <c r="T261" s="59">
        <v>0</v>
      </c>
      <c r="U261" s="59">
        <v>0</v>
      </c>
      <c r="V261" s="59">
        <v>10</v>
      </c>
      <c r="W261" s="59">
        <v>0</v>
      </c>
      <c r="X261" s="59">
        <v>0</v>
      </c>
      <c r="Y261" s="59">
        <v>0</v>
      </c>
      <c r="Z261" s="59">
        <v>0</v>
      </c>
      <c r="AA261" s="59">
        <v>0</v>
      </c>
      <c r="AB261" s="59">
        <v>0</v>
      </c>
      <c r="AC261" s="59">
        <v>0</v>
      </c>
      <c r="AD261" s="59">
        <v>40</v>
      </c>
      <c r="AE261" s="59">
        <v>0</v>
      </c>
      <c r="AF261" s="59">
        <v>0</v>
      </c>
      <c r="AG261" s="61">
        <v>0</v>
      </c>
      <c r="AH261" s="59">
        <v>0</v>
      </c>
      <c r="AI261" s="59">
        <v>0.01</v>
      </c>
      <c r="AJ261" s="59">
        <v>0</v>
      </c>
      <c r="AK261" s="59">
        <v>20009</v>
      </c>
      <c r="AL261" s="59">
        <v>1</v>
      </c>
      <c r="AM261" s="59">
        <v>9000</v>
      </c>
      <c r="AN261" s="59" t="s">
        <v>48</v>
      </c>
      <c r="AO261" s="59" t="s">
        <v>742</v>
      </c>
    </row>
    <row r="262" spans="1:41" ht="16.5">
      <c r="A262" s="59">
        <v>20504</v>
      </c>
      <c r="B262" s="59" t="s">
        <v>1022</v>
      </c>
      <c r="C262" s="59" t="s">
        <v>166</v>
      </c>
      <c r="D262" s="59" t="s">
        <v>121</v>
      </c>
      <c r="E262" s="60">
        <v>11022</v>
      </c>
      <c r="F262" s="59">
        <v>5000</v>
      </c>
      <c r="G262" s="59">
        <v>300</v>
      </c>
      <c r="H262" s="59">
        <v>50</v>
      </c>
      <c r="I262" s="59" t="s">
        <v>719</v>
      </c>
      <c r="J262" s="59">
        <v>3</v>
      </c>
      <c r="K262" s="59">
        <v>10</v>
      </c>
      <c r="L262" s="59">
        <v>30</v>
      </c>
      <c r="M262" s="59">
        <v>0</v>
      </c>
      <c r="N262" s="59">
        <v>200</v>
      </c>
      <c r="O262" s="59">
        <v>0</v>
      </c>
      <c r="P262" s="59">
        <v>0</v>
      </c>
      <c r="Q262" s="59">
        <v>0</v>
      </c>
      <c r="R262" s="59">
        <v>0</v>
      </c>
      <c r="S262" s="59">
        <v>0</v>
      </c>
      <c r="T262" s="59">
        <v>0</v>
      </c>
      <c r="U262" s="59">
        <v>0</v>
      </c>
      <c r="V262" s="59">
        <v>10</v>
      </c>
      <c r="W262" s="59">
        <v>0</v>
      </c>
      <c r="X262" s="59">
        <v>0</v>
      </c>
      <c r="Y262" s="59">
        <v>0</v>
      </c>
      <c r="Z262" s="59">
        <v>0</v>
      </c>
      <c r="AA262" s="59">
        <v>0</v>
      </c>
      <c r="AB262" s="59">
        <v>0</v>
      </c>
      <c r="AC262" s="59">
        <v>0</v>
      </c>
      <c r="AD262" s="59">
        <v>40</v>
      </c>
      <c r="AE262" s="59">
        <v>0</v>
      </c>
      <c r="AF262" s="59">
        <v>0</v>
      </c>
      <c r="AG262" s="61">
        <v>0</v>
      </c>
      <c r="AH262" s="59">
        <v>0</v>
      </c>
      <c r="AI262" s="59">
        <v>0.01</v>
      </c>
      <c r="AJ262" s="59">
        <v>0</v>
      </c>
      <c r="AK262" s="59">
        <v>20009</v>
      </c>
      <c r="AL262" s="59">
        <v>1</v>
      </c>
      <c r="AM262" s="59">
        <v>9000</v>
      </c>
      <c r="AN262" s="59" t="s">
        <v>48</v>
      </c>
      <c r="AO262" s="59" t="s">
        <v>742</v>
      </c>
    </row>
    <row r="263" spans="1:41" ht="16.5">
      <c r="A263" s="59">
        <v>20505</v>
      </c>
      <c r="B263" s="59" t="s">
        <v>1023</v>
      </c>
      <c r="C263" s="59" t="s">
        <v>166</v>
      </c>
      <c r="D263" s="59" t="s">
        <v>121</v>
      </c>
      <c r="E263" s="60">
        <v>11022</v>
      </c>
      <c r="F263" s="59">
        <v>5000</v>
      </c>
      <c r="G263" s="59">
        <v>300</v>
      </c>
      <c r="H263" s="59">
        <v>50</v>
      </c>
      <c r="I263" s="59" t="s">
        <v>719</v>
      </c>
      <c r="J263" s="59">
        <v>3</v>
      </c>
      <c r="K263" s="59">
        <v>10</v>
      </c>
      <c r="L263" s="59">
        <v>30</v>
      </c>
      <c r="M263" s="59">
        <v>0</v>
      </c>
      <c r="N263" s="59">
        <v>200</v>
      </c>
      <c r="O263" s="59">
        <v>0</v>
      </c>
      <c r="P263" s="59">
        <v>0</v>
      </c>
      <c r="Q263" s="59">
        <v>0</v>
      </c>
      <c r="R263" s="59">
        <v>0</v>
      </c>
      <c r="S263" s="59">
        <v>0</v>
      </c>
      <c r="T263" s="59">
        <v>0</v>
      </c>
      <c r="U263" s="59">
        <v>0</v>
      </c>
      <c r="V263" s="59">
        <v>10</v>
      </c>
      <c r="W263" s="59">
        <v>0</v>
      </c>
      <c r="X263" s="59">
        <v>0</v>
      </c>
      <c r="Y263" s="59">
        <v>0</v>
      </c>
      <c r="Z263" s="59">
        <v>0</v>
      </c>
      <c r="AA263" s="59">
        <v>0</v>
      </c>
      <c r="AB263" s="59">
        <v>0</v>
      </c>
      <c r="AC263" s="59">
        <v>0</v>
      </c>
      <c r="AD263" s="59">
        <v>40</v>
      </c>
      <c r="AE263" s="59">
        <v>0</v>
      </c>
      <c r="AF263" s="59">
        <v>0</v>
      </c>
      <c r="AG263" s="61">
        <v>0</v>
      </c>
      <c r="AH263" s="59">
        <v>0</v>
      </c>
      <c r="AI263" s="59">
        <v>0.01</v>
      </c>
      <c r="AJ263" s="59">
        <v>0</v>
      </c>
      <c r="AK263" s="59">
        <v>20009</v>
      </c>
      <c r="AL263" s="59">
        <v>1</v>
      </c>
      <c r="AM263" s="59">
        <v>9000</v>
      </c>
      <c r="AN263" s="59" t="s">
        <v>48</v>
      </c>
      <c r="AO263" s="59" t="s">
        <v>742</v>
      </c>
    </row>
    <row r="264" spans="1:41" ht="16.5">
      <c r="A264" s="59">
        <v>20506</v>
      </c>
      <c r="B264" s="59" t="s">
        <v>1024</v>
      </c>
      <c r="C264" s="59" t="s">
        <v>166</v>
      </c>
      <c r="D264" s="59" t="s">
        <v>121</v>
      </c>
      <c r="E264" s="60">
        <v>11022</v>
      </c>
      <c r="F264" s="59">
        <v>5000</v>
      </c>
      <c r="G264" s="59">
        <v>300</v>
      </c>
      <c r="H264" s="59">
        <v>50</v>
      </c>
      <c r="I264" s="59" t="s">
        <v>719</v>
      </c>
      <c r="J264" s="59">
        <v>3</v>
      </c>
      <c r="K264" s="59">
        <v>10</v>
      </c>
      <c r="L264" s="59">
        <v>30</v>
      </c>
      <c r="M264" s="59">
        <v>0</v>
      </c>
      <c r="N264" s="59">
        <v>200</v>
      </c>
      <c r="O264" s="59">
        <v>0</v>
      </c>
      <c r="P264" s="59">
        <v>0</v>
      </c>
      <c r="Q264" s="59">
        <v>0</v>
      </c>
      <c r="R264" s="59">
        <v>0</v>
      </c>
      <c r="S264" s="59">
        <v>0</v>
      </c>
      <c r="T264" s="59">
        <v>0</v>
      </c>
      <c r="U264" s="59">
        <v>0</v>
      </c>
      <c r="V264" s="59">
        <v>10</v>
      </c>
      <c r="W264" s="59">
        <v>0</v>
      </c>
      <c r="X264" s="59">
        <v>0</v>
      </c>
      <c r="Y264" s="59">
        <v>0</v>
      </c>
      <c r="Z264" s="59">
        <v>0</v>
      </c>
      <c r="AA264" s="59">
        <v>0</v>
      </c>
      <c r="AB264" s="59">
        <v>0</v>
      </c>
      <c r="AC264" s="59">
        <v>0</v>
      </c>
      <c r="AD264" s="59">
        <v>40</v>
      </c>
      <c r="AE264" s="59">
        <v>0</v>
      </c>
      <c r="AF264" s="59">
        <v>0</v>
      </c>
      <c r="AG264" s="61">
        <v>0</v>
      </c>
      <c r="AH264" s="59">
        <v>0</v>
      </c>
      <c r="AI264" s="59">
        <v>0.01</v>
      </c>
      <c r="AJ264" s="59">
        <v>0</v>
      </c>
      <c r="AK264" s="59">
        <v>20009</v>
      </c>
      <c r="AL264" s="59">
        <v>1</v>
      </c>
      <c r="AM264" s="59">
        <v>9000</v>
      </c>
      <c r="AN264" s="59" t="s">
        <v>48</v>
      </c>
      <c r="AO264" s="59" t="s">
        <v>742</v>
      </c>
    </row>
    <row r="265" spans="1:41" ht="16.5">
      <c r="A265" s="59">
        <v>20507</v>
      </c>
      <c r="B265" s="59" t="s">
        <v>1025</v>
      </c>
      <c r="C265" s="59" t="s">
        <v>166</v>
      </c>
      <c r="D265" s="59" t="s">
        <v>121</v>
      </c>
      <c r="E265" s="60">
        <v>11022</v>
      </c>
      <c r="F265" s="59">
        <v>5000</v>
      </c>
      <c r="G265" s="59">
        <v>300</v>
      </c>
      <c r="H265" s="59">
        <v>50</v>
      </c>
      <c r="I265" s="59" t="s">
        <v>719</v>
      </c>
      <c r="J265" s="59">
        <v>3</v>
      </c>
      <c r="K265" s="59">
        <v>10</v>
      </c>
      <c r="L265" s="59">
        <v>30</v>
      </c>
      <c r="M265" s="59">
        <v>0</v>
      </c>
      <c r="N265" s="59">
        <v>200</v>
      </c>
      <c r="O265" s="59">
        <v>0</v>
      </c>
      <c r="P265" s="59">
        <v>0</v>
      </c>
      <c r="Q265" s="59">
        <v>0</v>
      </c>
      <c r="R265" s="59">
        <v>0</v>
      </c>
      <c r="S265" s="59">
        <v>0</v>
      </c>
      <c r="T265" s="59">
        <v>0</v>
      </c>
      <c r="U265" s="59">
        <v>0</v>
      </c>
      <c r="V265" s="59">
        <v>10</v>
      </c>
      <c r="W265" s="59">
        <v>0</v>
      </c>
      <c r="X265" s="59">
        <v>0</v>
      </c>
      <c r="Y265" s="59">
        <v>0</v>
      </c>
      <c r="Z265" s="59">
        <v>0</v>
      </c>
      <c r="AA265" s="59">
        <v>0</v>
      </c>
      <c r="AB265" s="59">
        <v>0</v>
      </c>
      <c r="AC265" s="59">
        <v>0</v>
      </c>
      <c r="AD265" s="59">
        <v>40</v>
      </c>
      <c r="AE265" s="59">
        <v>0</v>
      </c>
      <c r="AF265" s="59">
        <v>0</v>
      </c>
      <c r="AG265" s="61">
        <v>0</v>
      </c>
      <c r="AH265" s="59">
        <v>0</v>
      </c>
      <c r="AI265" s="59">
        <v>0.01</v>
      </c>
      <c r="AJ265" s="59">
        <v>0</v>
      </c>
      <c r="AK265" s="59">
        <v>20009</v>
      </c>
      <c r="AL265" s="59">
        <v>1</v>
      </c>
      <c r="AM265" s="59">
        <v>9000</v>
      </c>
      <c r="AN265" s="59" t="s">
        <v>48</v>
      </c>
      <c r="AO265" s="59" t="s">
        <v>742</v>
      </c>
    </row>
    <row r="266" spans="1:41" ht="16.5">
      <c r="A266" s="59">
        <v>20508</v>
      </c>
      <c r="B266" s="59" t="s">
        <v>1026</v>
      </c>
      <c r="C266" s="59" t="s">
        <v>166</v>
      </c>
      <c r="D266" s="59" t="s">
        <v>121</v>
      </c>
      <c r="E266" s="60">
        <v>11022</v>
      </c>
      <c r="F266" s="59">
        <v>5000</v>
      </c>
      <c r="G266" s="59">
        <v>300</v>
      </c>
      <c r="H266" s="59">
        <v>50</v>
      </c>
      <c r="I266" s="59" t="s">
        <v>719</v>
      </c>
      <c r="J266" s="59">
        <v>3</v>
      </c>
      <c r="K266" s="59">
        <v>10</v>
      </c>
      <c r="L266" s="59">
        <v>30</v>
      </c>
      <c r="M266" s="59">
        <v>0</v>
      </c>
      <c r="N266" s="59">
        <v>200</v>
      </c>
      <c r="O266" s="59">
        <v>0</v>
      </c>
      <c r="P266" s="59">
        <v>0</v>
      </c>
      <c r="Q266" s="59">
        <v>0</v>
      </c>
      <c r="R266" s="59">
        <v>0</v>
      </c>
      <c r="S266" s="59">
        <v>0</v>
      </c>
      <c r="T266" s="59">
        <v>0</v>
      </c>
      <c r="U266" s="59">
        <v>0</v>
      </c>
      <c r="V266" s="59">
        <v>10</v>
      </c>
      <c r="W266" s="59">
        <v>0</v>
      </c>
      <c r="X266" s="59">
        <v>0</v>
      </c>
      <c r="Y266" s="59">
        <v>0</v>
      </c>
      <c r="Z266" s="59">
        <v>0</v>
      </c>
      <c r="AA266" s="59">
        <v>0</v>
      </c>
      <c r="AB266" s="59">
        <v>0</v>
      </c>
      <c r="AC266" s="59">
        <v>0</v>
      </c>
      <c r="AD266" s="59">
        <v>40</v>
      </c>
      <c r="AE266" s="59">
        <v>0</v>
      </c>
      <c r="AF266" s="59">
        <v>0</v>
      </c>
      <c r="AG266" s="61">
        <v>0</v>
      </c>
      <c r="AH266" s="59">
        <v>0</v>
      </c>
      <c r="AI266" s="59">
        <v>0.01</v>
      </c>
      <c r="AJ266" s="59">
        <v>0</v>
      </c>
      <c r="AK266" s="59">
        <v>20009</v>
      </c>
      <c r="AL266" s="59">
        <v>1</v>
      </c>
      <c r="AM266" s="59">
        <v>9000</v>
      </c>
      <c r="AN266" s="59" t="s">
        <v>48</v>
      </c>
      <c r="AO266" s="59" t="s">
        <v>742</v>
      </c>
    </row>
    <row r="267" spans="1:41" ht="16.5">
      <c r="A267" s="59">
        <v>20509</v>
      </c>
      <c r="B267" s="59" t="s">
        <v>1027</v>
      </c>
      <c r="C267" s="59" t="s">
        <v>166</v>
      </c>
      <c r="D267" s="59" t="s">
        <v>121</v>
      </c>
      <c r="E267" s="60">
        <v>11022</v>
      </c>
      <c r="F267" s="59">
        <v>5000</v>
      </c>
      <c r="G267" s="59">
        <v>300</v>
      </c>
      <c r="H267" s="59">
        <v>50</v>
      </c>
      <c r="I267" s="59" t="s">
        <v>719</v>
      </c>
      <c r="J267" s="59">
        <v>3</v>
      </c>
      <c r="K267" s="59">
        <v>10</v>
      </c>
      <c r="L267" s="59">
        <v>30</v>
      </c>
      <c r="M267" s="59">
        <v>0</v>
      </c>
      <c r="N267" s="59">
        <v>200</v>
      </c>
      <c r="O267" s="59">
        <v>0</v>
      </c>
      <c r="P267" s="59">
        <v>0</v>
      </c>
      <c r="Q267" s="59">
        <v>0</v>
      </c>
      <c r="R267" s="59">
        <v>0</v>
      </c>
      <c r="S267" s="59">
        <v>0</v>
      </c>
      <c r="T267" s="59">
        <v>0</v>
      </c>
      <c r="U267" s="59">
        <v>0</v>
      </c>
      <c r="V267" s="59">
        <v>10</v>
      </c>
      <c r="W267" s="59">
        <v>0</v>
      </c>
      <c r="X267" s="59">
        <v>0</v>
      </c>
      <c r="Y267" s="59">
        <v>0</v>
      </c>
      <c r="Z267" s="59">
        <v>0</v>
      </c>
      <c r="AA267" s="59">
        <v>0</v>
      </c>
      <c r="AB267" s="59">
        <v>0</v>
      </c>
      <c r="AC267" s="59">
        <v>0</v>
      </c>
      <c r="AD267" s="59">
        <v>40</v>
      </c>
      <c r="AE267" s="59">
        <v>0</v>
      </c>
      <c r="AF267" s="59">
        <v>0</v>
      </c>
      <c r="AG267" s="61">
        <v>0</v>
      </c>
      <c r="AH267" s="59">
        <v>0</v>
      </c>
      <c r="AI267" s="59">
        <v>0.01</v>
      </c>
      <c r="AJ267" s="59">
        <v>0</v>
      </c>
      <c r="AK267" s="59">
        <v>20009</v>
      </c>
      <c r="AL267" s="59">
        <v>1</v>
      </c>
      <c r="AM267" s="59">
        <v>9000</v>
      </c>
      <c r="AN267" s="59" t="s">
        <v>48</v>
      </c>
      <c r="AO267" s="59" t="s">
        <v>742</v>
      </c>
    </row>
    <row r="268" spans="1:41" ht="16.5">
      <c r="A268" s="59">
        <v>20510</v>
      </c>
      <c r="B268" s="59" t="s">
        <v>1028</v>
      </c>
      <c r="C268" s="59" t="s">
        <v>166</v>
      </c>
      <c r="D268" s="59" t="s">
        <v>121</v>
      </c>
      <c r="E268" s="60">
        <v>11022</v>
      </c>
      <c r="F268" s="59">
        <v>5000</v>
      </c>
      <c r="G268" s="59">
        <v>300</v>
      </c>
      <c r="H268" s="59">
        <v>50</v>
      </c>
      <c r="I268" s="59" t="s">
        <v>719</v>
      </c>
      <c r="J268" s="59">
        <v>3</v>
      </c>
      <c r="K268" s="59">
        <v>10</v>
      </c>
      <c r="L268" s="59">
        <v>30</v>
      </c>
      <c r="M268" s="59">
        <v>0</v>
      </c>
      <c r="N268" s="59">
        <v>200</v>
      </c>
      <c r="O268" s="59">
        <v>0</v>
      </c>
      <c r="P268" s="59">
        <v>0</v>
      </c>
      <c r="Q268" s="59">
        <v>0</v>
      </c>
      <c r="R268" s="59">
        <v>0</v>
      </c>
      <c r="S268" s="59">
        <v>0</v>
      </c>
      <c r="T268" s="59">
        <v>0</v>
      </c>
      <c r="U268" s="59">
        <v>0</v>
      </c>
      <c r="V268" s="59">
        <v>10</v>
      </c>
      <c r="W268" s="59">
        <v>0</v>
      </c>
      <c r="X268" s="59">
        <v>0</v>
      </c>
      <c r="Y268" s="59">
        <v>0</v>
      </c>
      <c r="Z268" s="59">
        <v>0</v>
      </c>
      <c r="AA268" s="59">
        <v>0</v>
      </c>
      <c r="AB268" s="59">
        <v>0</v>
      </c>
      <c r="AC268" s="59">
        <v>0</v>
      </c>
      <c r="AD268" s="59">
        <v>40</v>
      </c>
      <c r="AE268" s="59">
        <v>0</v>
      </c>
      <c r="AF268" s="59">
        <v>0</v>
      </c>
      <c r="AG268" s="61">
        <v>0</v>
      </c>
      <c r="AH268" s="59">
        <v>0</v>
      </c>
      <c r="AI268" s="59">
        <v>0.01</v>
      </c>
      <c r="AJ268" s="59">
        <v>0</v>
      </c>
      <c r="AK268" s="59">
        <v>20009</v>
      </c>
      <c r="AL268" s="59">
        <v>1</v>
      </c>
      <c r="AM268" s="59">
        <v>9000</v>
      </c>
      <c r="AN268" s="59" t="s">
        <v>48</v>
      </c>
      <c r="AO268" s="59" t="s">
        <v>742</v>
      </c>
    </row>
    <row r="269" spans="1:41" ht="16.5">
      <c r="A269" s="59">
        <v>205111</v>
      </c>
      <c r="B269" s="59" t="s">
        <v>1029</v>
      </c>
      <c r="C269" s="59" t="s">
        <v>166</v>
      </c>
      <c r="D269" s="59" t="s">
        <v>121</v>
      </c>
      <c r="E269" s="60">
        <v>11022</v>
      </c>
      <c r="F269" s="59">
        <v>5000</v>
      </c>
      <c r="G269" s="59">
        <v>300</v>
      </c>
      <c r="H269" s="59">
        <v>50</v>
      </c>
      <c r="I269" s="59" t="s">
        <v>719</v>
      </c>
      <c r="J269" s="59">
        <v>3</v>
      </c>
      <c r="K269" s="59">
        <v>10</v>
      </c>
      <c r="L269" s="59">
        <v>30</v>
      </c>
      <c r="M269" s="59">
        <v>0</v>
      </c>
      <c r="N269" s="59">
        <v>200</v>
      </c>
      <c r="O269" s="59">
        <v>0</v>
      </c>
      <c r="P269" s="59">
        <v>0</v>
      </c>
      <c r="Q269" s="59">
        <v>0</v>
      </c>
      <c r="R269" s="59">
        <v>0</v>
      </c>
      <c r="S269" s="59">
        <v>0</v>
      </c>
      <c r="T269" s="59">
        <v>0</v>
      </c>
      <c r="U269" s="59">
        <v>0</v>
      </c>
      <c r="V269" s="59">
        <v>10</v>
      </c>
      <c r="W269" s="59">
        <v>0</v>
      </c>
      <c r="X269" s="59">
        <v>0</v>
      </c>
      <c r="Y269" s="59">
        <v>0</v>
      </c>
      <c r="Z269" s="59">
        <v>0</v>
      </c>
      <c r="AA269" s="59">
        <v>0</v>
      </c>
      <c r="AB269" s="59">
        <v>0</v>
      </c>
      <c r="AC269" s="59">
        <v>0</v>
      </c>
      <c r="AD269" s="59">
        <v>40</v>
      </c>
      <c r="AE269" s="59">
        <v>0</v>
      </c>
      <c r="AF269" s="59">
        <v>0</v>
      </c>
      <c r="AG269" s="61">
        <v>0</v>
      </c>
      <c r="AH269" s="59">
        <v>0</v>
      </c>
      <c r="AI269" s="59">
        <v>0.01</v>
      </c>
      <c r="AJ269" s="59">
        <v>0</v>
      </c>
      <c r="AK269" s="59">
        <v>20009</v>
      </c>
      <c r="AL269" s="59">
        <v>1</v>
      </c>
      <c r="AM269" s="59">
        <v>9000</v>
      </c>
      <c r="AN269" s="59" t="s">
        <v>48</v>
      </c>
      <c r="AO269" s="59" t="s">
        <v>742</v>
      </c>
    </row>
    <row r="270" spans="1:41" ht="16.5">
      <c r="A270" s="59">
        <v>205112</v>
      </c>
      <c r="B270" s="59" t="s">
        <v>1030</v>
      </c>
      <c r="C270" s="59" t="s">
        <v>166</v>
      </c>
      <c r="D270" s="59" t="s">
        <v>121</v>
      </c>
      <c r="E270" s="60">
        <v>11022</v>
      </c>
      <c r="F270" s="59">
        <v>5000</v>
      </c>
      <c r="G270" s="59">
        <v>300</v>
      </c>
      <c r="H270" s="59">
        <v>50</v>
      </c>
      <c r="I270" s="59" t="s">
        <v>719</v>
      </c>
      <c r="J270" s="59">
        <v>3</v>
      </c>
      <c r="K270" s="59">
        <v>10</v>
      </c>
      <c r="L270" s="59">
        <v>30</v>
      </c>
      <c r="M270" s="59">
        <v>0</v>
      </c>
      <c r="N270" s="59">
        <v>200</v>
      </c>
      <c r="O270" s="59">
        <v>0</v>
      </c>
      <c r="P270" s="59">
        <v>0</v>
      </c>
      <c r="Q270" s="59">
        <v>0</v>
      </c>
      <c r="R270" s="59">
        <v>0</v>
      </c>
      <c r="S270" s="59">
        <v>0</v>
      </c>
      <c r="T270" s="59">
        <v>0</v>
      </c>
      <c r="U270" s="59">
        <v>0</v>
      </c>
      <c r="V270" s="59">
        <v>10</v>
      </c>
      <c r="W270" s="59">
        <v>0</v>
      </c>
      <c r="X270" s="59">
        <v>0</v>
      </c>
      <c r="Y270" s="59">
        <v>0</v>
      </c>
      <c r="Z270" s="59">
        <v>0</v>
      </c>
      <c r="AA270" s="59">
        <v>0</v>
      </c>
      <c r="AB270" s="59">
        <v>0</v>
      </c>
      <c r="AC270" s="59">
        <v>0</v>
      </c>
      <c r="AD270" s="59">
        <v>40</v>
      </c>
      <c r="AE270" s="59">
        <v>0</v>
      </c>
      <c r="AF270" s="59">
        <v>0</v>
      </c>
      <c r="AG270" s="61">
        <v>0</v>
      </c>
      <c r="AH270" s="59">
        <v>0</v>
      </c>
      <c r="AI270" s="59">
        <v>0.01</v>
      </c>
      <c r="AJ270" s="59">
        <v>0</v>
      </c>
      <c r="AK270" s="59">
        <v>20009</v>
      </c>
      <c r="AL270" s="59">
        <v>1</v>
      </c>
      <c r="AM270" s="59">
        <v>9000</v>
      </c>
      <c r="AN270" s="59" t="s">
        <v>48</v>
      </c>
      <c r="AO270" s="59" t="s">
        <v>742</v>
      </c>
    </row>
    <row r="271" spans="1:41" ht="16.5">
      <c r="A271" s="59">
        <v>511</v>
      </c>
      <c r="B271" s="59" t="s">
        <v>1031</v>
      </c>
      <c r="C271" s="59" t="s">
        <v>166</v>
      </c>
      <c r="D271" s="59" t="s">
        <v>122</v>
      </c>
      <c r="E271" s="60">
        <v>11023</v>
      </c>
      <c r="F271" s="59">
        <v>5000</v>
      </c>
      <c r="G271" s="59">
        <v>300</v>
      </c>
      <c r="H271" s="59">
        <v>50</v>
      </c>
      <c r="I271" s="59" t="s">
        <v>720</v>
      </c>
      <c r="J271" s="59">
        <v>3</v>
      </c>
      <c r="K271" s="59">
        <v>10</v>
      </c>
      <c r="L271" s="59">
        <v>30</v>
      </c>
      <c r="M271" s="59">
        <v>5000</v>
      </c>
      <c r="N271" s="59">
        <v>0</v>
      </c>
      <c r="O271" s="59">
        <v>0</v>
      </c>
      <c r="P271" s="59">
        <v>0</v>
      </c>
      <c r="Q271" s="59">
        <v>0</v>
      </c>
      <c r="R271" s="59">
        <v>0</v>
      </c>
      <c r="S271" s="59">
        <v>0</v>
      </c>
      <c r="T271" s="59">
        <v>0</v>
      </c>
      <c r="U271" s="59">
        <v>250</v>
      </c>
      <c r="V271" s="59">
        <v>0</v>
      </c>
      <c r="W271" s="59">
        <v>0</v>
      </c>
      <c r="X271" s="59">
        <v>0</v>
      </c>
      <c r="Y271" s="59">
        <v>0</v>
      </c>
      <c r="Z271" s="59">
        <v>0</v>
      </c>
      <c r="AA271" s="59">
        <v>0</v>
      </c>
      <c r="AB271" s="59">
        <v>0</v>
      </c>
      <c r="AC271" s="59">
        <v>1000</v>
      </c>
      <c r="AD271" s="59">
        <v>0</v>
      </c>
      <c r="AE271" s="59">
        <v>0</v>
      </c>
      <c r="AF271" s="59">
        <v>0</v>
      </c>
      <c r="AG271" s="59">
        <v>5.0000000000000001E-3</v>
      </c>
      <c r="AH271" s="59">
        <v>0</v>
      </c>
      <c r="AI271" s="59">
        <v>0</v>
      </c>
      <c r="AJ271" s="61">
        <v>0</v>
      </c>
      <c r="AK271" s="59">
        <v>20009</v>
      </c>
      <c r="AL271" s="59">
        <v>3</v>
      </c>
      <c r="AM271" s="59">
        <v>9000</v>
      </c>
      <c r="AN271" s="59" t="s">
        <v>48</v>
      </c>
      <c r="AO271" s="59" t="s">
        <v>743</v>
      </c>
    </row>
    <row r="272" spans="1:41" ht="16.5">
      <c r="A272" s="59">
        <v>512</v>
      </c>
      <c r="B272" s="59" t="s">
        <v>1032</v>
      </c>
      <c r="C272" s="59" t="s">
        <v>166</v>
      </c>
      <c r="D272" s="59" t="s">
        <v>122</v>
      </c>
      <c r="E272" s="60">
        <v>11023</v>
      </c>
      <c r="F272" s="59">
        <v>5000</v>
      </c>
      <c r="G272" s="59">
        <v>300</v>
      </c>
      <c r="H272" s="59">
        <v>50</v>
      </c>
      <c r="I272" s="59" t="s">
        <v>720</v>
      </c>
      <c r="J272" s="59">
        <v>3</v>
      </c>
      <c r="K272" s="59">
        <v>10</v>
      </c>
      <c r="L272" s="59">
        <v>30</v>
      </c>
      <c r="M272" s="59">
        <v>5000</v>
      </c>
      <c r="N272" s="59">
        <v>0</v>
      </c>
      <c r="O272" s="59">
        <v>0</v>
      </c>
      <c r="P272" s="59">
        <v>0</v>
      </c>
      <c r="Q272" s="59">
        <v>0</v>
      </c>
      <c r="R272" s="59">
        <v>0</v>
      </c>
      <c r="S272" s="59">
        <v>0</v>
      </c>
      <c r="T272" s="59">
        <v>0</v>
      </c>
      <c r="U272" s="59">
        <v>250</v>
      </c>
      <c r="V272" s="59">
        <v>0</v>
      </c>
      <c r="W272" s="59">
        <v>0</v>
      </c>
      <c r="X272" s="59">
        <v>0</v>
      </c>
      <c r="Y272" s="59">
        <v>0</v>
      </c>
      <c r="Z272" s="59">
        <v>0</v>
      </c>
      <c r="AA272" s="59">
        <v>0</v>
      </c>
      <c r="AB272" s="59">
        <v>0</v>
      </c>
      <c r="AC272" s="59">
        <v>1000</v>
      </c>
      <c r="AD272" s="59">
        <v>0</v>
      </c>
      <c r="AE272" s="59">
        <v>0</v>
      </c>
      <c r="AF272" s="59">
        <v>0</v>
      </c>
      <c r="AG272" s="59">
        <v>5.0000000000000001E-3</v>
      </c>
      <c r="AH272" s="59">
        <v>0</v>
      </c>
      <c r="AI272" s="59">
        <v>0</v>
      </c>
      <c r="AJ272" s="61">
        <v>0</v>
      </c>
      <c r="AK272" s="59">
        <v>20009</v>
      </c>
      <c r="AL272" s="59">
        <v>3</v>
      </c>
      <c r="AM272" s="59">
        <v>9000</v>
      </c>
      <c r="AN272" s="59" t="s">
        <v>48</v>
      </c>
      <c r="AO272" s="59" t="s">
        <v>743</v>
      </c>
    </row>
    <row r="273" spans="1:41" ht="16.5">
      <c r="A273" s="59">
        <v>2051</v>
      </c>
      <c r="B273" s="59" t="s">
        <v>1033</v>
      </c>
      <c r="C273" s="59" t="s">
        <v>166</v>
      </c>
      <c r="D273" s="59" t="s">
        <v>122</v>
      </c>
      <c r="E273" s="60">
        <v>11023</v>
      </c>
      <c r="F273" s="59">
        <v>5000</v>
      </c>
      <c r="G273" s="59">
        <v>300</v>
      </c>
      <c r="H273" s="59">
        <v>50</v>
      </c>
      <c r="I273" s="59" t="s">
        <v>720</v>
      </c>
      <c r="J273" s="59">
        <v>3</v>
      </c>
      <c r="K273" s="59">
        <v>10</v>
      </c>
      <c r="L273" s="59">
        <v>30</v>
      </c>
      <c r="M273" s="59">
        <v>5000</v>
      </c>
      <c r="N273" s="59">
        <v>0</v>
      </c>
      <c r="O273" s="59">
        <v>0</v>
      </c>
      <c r="P273" s="59">
        <v>0</v>
      </c>
      <c r="Q273" s="59">
        <v>0</v>
      </c>
      <c r="R273" s="59">
        <v>0</v>
      </c>
      <c r="S273" s="59">
        <v>0</v>
      </c>
      <c r="T273" s="59">
        <v>0</v>
      </c>
      <c r="U273" s="59">
        <v>250</v>
      </c>
      <c r="V273" s="59">
        <v>0</v>
      </c>
      <c r="W273" s="59">
        <v>0</v>
      </c>
      <c r="X273" s="59">
        <v>0</v>
      </c>
      <c r="Y273" s="59">
        <v>0</v>
      </c>
      <c r="Z273" s="59">
        <v>0</v>
      </c>
      <c r="AA273" s="59">
        <v>0</v>
      </c>
      <c r="AB273" s="59">
        <v>0</v>
      </c>
      <c r="AC273" s="59">
        <v>1000</v>
      </c>
      <c r="AD273" s="59">
        <v>0</v>
      </c>
      <c r="AE273" s="59">
        <v>0</v>
      </c>
      <c r="AF273" s="59">
        <v>0</v>
      </c>
      <c r="AG273" s="59">
        <v>5.0000000000000001E-3</v>
      </c>
      <c r="AH273" s="59">
        <v>0</v>
      </c>
      <c r="AI273" s="59">
        <v>0</v>
      </c>
      <c r="AJ273" s="61">
        <v>0</v>
      </c>
      <c r="AK273" s="59">
        <v>20009</v>
      </c>
      <c r="AL273" s="59">
        <v>3</v>
      </c>
      <c r="AM273" s="59">
        <v>9000</v>
      </c>
      <c r="AN273" s="59" t="s">
        <v>48</v>
      </c>
      <c r="AO273" s="59" t="s">
        <v>743</v>
      </c>
    </row>
    <row r="274" spans="1:41" ht="16.5">
      <c r="A274" s="59">
        <v>20511</v>
      </c>
      <c r="B274" s="59" t="s">
        <v>1034</v>
      </c>
      <c r="C274" s="59" t="s">
        <v>166</v>
      </c>
      <c r="D274" s="59" t="s">
        <v>122</v>
      </c>
      <c r="E274" s="60">
        <v>11023</v>
      </c>
      <c r="F274" s="59">
        <v>5000</v>
      </c>
      <c r="G274" s="59">
        <v>300</v>
      </c>
      <c r="H274" s="59">
        <v>50</v>
      </c>
      <c r="I274" s="59" t="s">
        <v>720</v>
      </c>
      <c r="J274" s="59">
        <v>3</v>
      </c>
      <c r="K274" s="59">
        <v>10</v>
      </c>
      <c r="L274" s="59">
        <v>30</v>
      </c>
      <c r="M274" s="59">
        <v>5000</v>
      </c>
      <c r="N274" s="59">
        <v>0</v>
      </c>
      <c r="O274" s="59">
        <v>0</v>
      </c>
      <c r="P274" s="59">
        <v>0</v>
      </c>
      <c r="Q274" s="59">
        <v>0</v>
      </c>
      <c r="R274" s="59">
        <v>0</v>
      </c>
      <c r="S274" s="59">
        <v>0</v>
      </c>
      <c r="T274" s="59">
        <v>0</v>
      </c>
      <c r="U274" s="59">
        <v>250</v>
      </c>
      <c r="V274" s="59">
        <v>0</v>
      </c>
      <c r="W274" s="59">
        <v>0</v>
      </c>
      <c r="X274" s="59">
        <v>0</v>
      </c>
      <c r="Y274" s="59">
        <v>0</v>
      </c>
      <c r="Z274" s="59">
        <v>0</v>
      </c>
      <c r="AA274" s="59">
        <v>0</v>
      </c>
      <c r="AB274" s="59">
        <v>0</v>
      </c>
      <c r="AC274" s="59">
        <v>1000</v>
      </c>
      <c r="AD274" s="59">
        <v>0</v>
      </c>
      <c r="AE274" s="59">
        <v>0</v>
      </c>
      <c r="AF274" s="59">
        <v>0</v>
      </c>
      <c r="AG274" s="59">
        <v>5.0000000000000001E-3</v>
      </c>
      <c r="AH274" s="59">
        <v>0</v>
      </c>
      <c r="AI274" s="59">
        <v>0</v>
      </c>
      <c r="AJ274" s="61">
        <v>0</v>
      </c>
      <c r="AK274" s="59">
        <v>20009</v>
      </c>
      <c r="AL274" s="59">
        <v>3</v>
      </c>
      <c r="AM274" s="59">
        <v>9000</v>
      </c>
      <c r="AN274" s="59" t="s">
        <v>48</v>
      </c>
      <c r="AO274" s="59" t="s">
        <v>743</v>
      </c>
    </row>
    <row r="275" spans="1:41" ht="16.5">
      <c r="A275" s="59">
        <v>20512</v>
      </c>
      <c r="B275" s="59" t="s">
        <v>1035</v>
      </c>
      <c r="C275" s="59" t="s">
        <v>166</v>
      </c>
      <c r="D275" s="59" t="s">
        <v>122</v>
      </c>
      <c r="E275" s="60">
        <v>11023</v>
      </c>
      <c r="F275" s="59">
        <v>5000</v>
      </c>
      <c r="G275" s="59">
        <v>300</v>
      </c>
      <c r="H275" s="59">
        <v>50</v>
      </c>
      <c r="I275" s="59" t="s">
        <v>720</v>
      </c>
      <c r="J275" s="59">
        <v>3</v>
      </c>
      <c r="K275" s="59">
        <v>10</v>
      </c>
      <c r="L275" s="59">
        <v>30</v>
      </c>
      <c r="M275" s="59">
        <v>5000</v>
      </c>
      <c r="N275" s="59">
        <v>0</v>
      </c>
      <c r="O275" s="59">
        <v>0</v>
      </c>
      <c r="P275" s="59">
        <v>0</v>
      </c>
      <c r="Q275" s="59">
        <v>0</v>
      </c>
      <c r="R275" s="59">
        <v>0</v>
      </c>
      <c r="S275" s="59">
        <v>0</v>
      </c>
      <c r="T275" s="59">
        <v>0</v>
      </c>
      <c r="U275" s="59">
        <v>250</v>
      </c>
      <c r="V275" s="59">
        <v>0</v>
      </c>
      <c r="W275" s="59">
        <v>0</v>
      </c>
      <c r="X275" s="59">
        <v>0</v>
      </c>
      <c r="Y275" s="59">
        <v>0</v>
      </c>
      <c r="Z275" s="59">
        <v>0</v>
      </c>
      <c r="AA275" s="59">
        <v>0</v>
      </c>
      <c r="AB275" s="59">
        <v>0</v>
      </c>
      <c r="AC275" s="59">
        <v>1000</v>
      </c>
      <c r="AD275" s="59">
        <v>0</v>
      </c>
      <c r="AE275" s="59">
        <v>0</v>
      </c>
      <c r="AF275" s="59">
        <v>0</v>
      </c>
      <c r="AG275" s="59">
        <v>5.0000000000000001E-3</v>
      </c>
      <c r="AH275" s="59">
        <v>0</v>
      </c>
      <c r="AI275" s="59">
        <v>0</v>
      </c>
      <c r="AJ275" s="61">
        <v>0</v>
      </c>
      <c r="AK275" s="59">
        <v>20009</v>
      </c>
      <c r="AL275" s="59">
        <v>3</v>
      </c>
      <c r="AM275" s="59">
        <v>9000</v>
      </c>
      <c r="AN275" s="59" t="s">
        <v>48</v>
      </c>
      <c r="AO275" s="59" t="s">
        <v>743</v>
      </c>
    </row>
    <row r="276" spans="1:41" ht="16.5">
      <c r="A276" s="59">
        <v>20513</v>
      </c>
      <c r="B276" s="59" t="s">
        <v>1036</v>
      </c>
      <c r="C276" s="59" t="s">
        <v>166</v>
      </c>
      <c r="D276" s="59" t="s">
        <v>122</v>
      </c>
      <c r="E276" s="60">
        <v>11023</v>
      </c>
      <c r="F276" s="59">
        <v>5000</v>
      </c>
      <c r="G276" s="59">
        <v>300</v>
      </c>
      <c r="H276" s="59">
        <v>50</v>
      </c>
      <c r="I276" s="59" t="s">
        <v>720</v>
      </c>
      <c r="J276" s="59">
        <v>3</v>
      </c>
      <c r="K276" s="59">
        <v>10</v>
      </c>
      <c r="L276" s="59">
        <v>30</v>
      </c>
      <c r="M276" s="59">
        <v>5000</v>
      </c>
      <c r="N276" s="59">
        <v>0</v>
      </c>
      <c r="O276" s="59">
        <v>0</v>
      </c>
      <c r="P276" s="59">
        <v>0</v>
      </c>
      <c r="Q276" s="59">
        <v>0</v>
      </c>
      <c r="R276" s="59">
        <v>0</v>
      </c>
      <c r="S276" s="59">
        <v>0</v>
      </c>
      <c r="T276" s="59">
        <v>0</v>
      </c>
      <c r="U276" s="59">
        <v>250</v>
      </c>
      <c r="V276" s="59">
        <v>0</v>
      </c>
      <c r="W276" s="59">
        <v>0</v>
      </c>
      <c r="X276" s="59">
        <v>0</v>
      </c>
      <c r="Y276" s="59">
        <v>0</v>
      </c>
      <c r="Z276" s="59">
        <v>0</v>
      </c>
      <c r="AA276" s="59">
        <v>0</v>
      </c>
      <c r="AB276" s="59">
        <v>0</v>
      </c>
      <c r="AC276" s="59">
        <v>1000</v>
      </c>
      <c r="AD276" s="59">
        <v>0</v>
      </c>
      <c r="AE276" s="59">
        <v>0</v>
      </c>
      <c r="AF276" s="59">
        <v>0</v>
      </c>
      <c r="AG276" s="59">
        <v>5.0000000000000001E-3</v>
      </c>
      <c r="AH276" s="59">
        <v>0</v>
      </c>
      <c r="AI276" s="59">
        <v>0</v>
      </c>
      <c r="AJ276" s="61">
        <v>0</v>
      </c>
      <c r="AK276" s="59">
        <v>20009</v>
      </c>
      <c r="AL276" s="59">
        <v>3</v>
      </c>
      <c r="AM276" s="59">
        <v>9000</v>
      </c>
      <c r="AN276" s="59" t="s">
        <v>48</v>
      </c>
      <c r="AO276" s="59" t="s">
        <v>743</v>
      </c>
    </row>
    <row r="277" spans="1:41" ht="16.5">
      <c r="A277" s="59">
        <v>20514</v>
      </c>
      <c r="B277" s="59" t="s">
        <v>1037</v>
      </c>
      <c r="C277" s="59" t="s">
        <v>166</v>
      </c>
      <c r="D277" s="59" t="s">
        <v>122</v>
      </c>
      <c r="E277" s="60">
        <v>11023</v>
      </c>
      <c r="F277" s="59">
        <v>5000</v>
      </c>
      <c r="G277" s="59">
        <v>300</v>
      </c>
      <c r="H277" s="59">
        <v>50</v>
      </c>
      <c r="I277" s="59" t="s">
        <v>720</v>
      </c>
      <c r="J277" s="59">
        <v>3</v>
      </c>
      <c r="K277" s="59">
        <v>10</v>
      </c>
      <c r="L277" s="59">
        <v>30</v>
      </c>
      <c r="M277" s="59">
        <v>5000</v>
      </c>
      <c r="N277" s="59">
        <v>0</v>
      </c>
      <c r="O277" s="59">
        <v>0</v>
      </c>
      <c r="P277" s="59">
        <v>0</v>
      </c>
      <c r="Q277" s="59">
        <v>0</v>
      </c>
      <c r="R277" s="59">
        <v>0</v>
      </c>
      <c r="S277" s="59">
        <v>0</v>
      </c>
      <c r="T277" s="59">
        <v>0</v>
      </c>
      <c r="U277" s="59">
        <v>250</v>
      </c>
      <c r="V277" s="59">
        <v>0</v>
      </c>
      <c r="W277" s="59">
        <v>0</v>
      </c>
      <c r="X277" s="59">
        <v>0</v>
      </c>
      <c r="Y277" s="59">
        <v>0</v>
      </c>
      <c r="Z277" s="59">
        <v>0</v>
      </c>
      <c r="AA277" s="59">
        <v>0</v>
      </c>
      <c r="AB277" s="59">
        <v>0</v>
      </c>
      <c r="AC277" s="59">
        <v>1000</v>
      </c>
      <c r="AD277" s="59">
        <v>0</v>
      </c>
      <c r="AE277" s="59">
        <v>0</v>
      </c>
      <c r="AF277" s="59">
        <v>0</v>
      </c>
      <c r="AG277" s="59">
        <v>5.0000000000000001E-3</v>
      </c>
      <c r="AH277" s="59">
        <v>0</v>
      </c>
      <c r="AI277" s="59">
        <v>0</v>
      </c>
      <c r="AJ277" s="61">
        <v>0</v>
      </c>
      <c r="AK277" s="59">
        <v>20009</v>
      </c>
      <c r="AL277" s="59">
        <v>3</v>
      </c>
      <c r="AM277" s="59">
        <v>9000</v>
      </c>
      <c r="AN277" s="59" t="s">
        <v>48</v>
      </c>
      <c r="AO277" s="59" t="s">
        <v>743</v>
      </c>
    </row>
    <row r="278" spans="1:41" ht="16.5">
      <c r="A278" s="59">
        <v>20515</v>
      </c>
      <c r="B278" s="59" t="s">
        <v>1038</v>
      </c>
      <c r="C278" s="59" t="s">
        <v>166</v>
      </c>
      <c r="D278" s="59" t="s">
        <v>122</v>
      </c>
      <c r="E278" s="60">
        <v>11023</v>
      </c>
      <c r="F278" s="59">
        <v>5000</v>
      </c>
      <c r="G278" s="59">
        <v>300</v>
      </c>
      <c r="H278" s="59">
        <v>50</v>
      </c>
      <c r="I278" s="59" t="s">
        <v>720</v>
      </c>
      <c r="J278" s="59">
        <v>3</v>
      </c>
      <c r="K278" s="59">
        <v>10</v>
      </c>
      <c r="L278" s="59">
        <v>30</v>
      </c>
      <c r="M278" s="59">
        <v>5000</v>
      </c>
      <c r="N278" s="59">
        <v>0</v>
      </c>
      <c r="O278" s="59">
        <v>0</v>
      </c>
      <c r="P278" s="59">
        <v>0</v>
      </c>
      <c r="Q278" s="59">
        <v>0</v>
      </c>
      <c r="R278" s="59">
        <v>0</v>
      </c>
      <c r="S278" s="59">
        <v>0</v>
      </c>
      <c r="T278" s="59">
        <v>0</v>
      </c>
      <c r="U278" s="59">
        <v>250</v>
      </c>
      <c r="V278" s="59">
        <v>0</v>
      </c>
      <c r="W278" s="59">
        <v>0</v>
      </c>
      <c r="X278" s="59">
        <v>0</v>
      </c>
      <c r="Y278" s="59">
        <v>0</v>
      </c>
      <c r="Z278" s="59">
        <v>0</v>
      </c>
      <c r="AA278" s="59">
        <v>0</v>
      </c>
      <c r="AB278" s="59">
        <v>0</v>
      </c>
      <c r="AC278" s="59">
        <v>1000</v>
      </c>
      <c r="AD278" s="59">
        <v>0</v>
      </c>
      <c r="AE278" s="59">
        <v>0</v>
      </c>
      <c r="AF278" s="59">
        <v>0</v>
      </c>
      <c r="AG278" s="59">
        <v>5.0000000000000001E-3</v>
      </c>
      <c r="AH278" s="59">
        <v>0</v>
      </c>
      <c r="AI278" s="59">
        <v>0</v>
      </c>
      <c r="AJ278" s="61">
        <v>0</v>
      </c>
      <c r="AK278" s="59">
        <v>20009</v>
      </c>
      <c r="AL278" s="59">
        <v>3</v>
      </c>
      <c r="AM278" s="59">
        <v>9000</v>
      </c>
      <c r="AN278" s="59" t="s">
        <v>48</v>
      </c>
      <c r="AO278" s="59" t="s">
        <v>743</v>
      </c>
    </row>
    <row r="279" spans="1:41" ht="16.5">
      <c r="A279" s="59">
        <v>20516</v>
      </c>
      <c r="B279" s="59" t="s">
        <v>1039</v>
      </c>
      <c r="C279" s="59" t="s">
        <v>166</v>
      </c>
      <c r="D279" s="59" t="s">
        <v>122</v>
      </c>
      <c r="E279" s="60">
        <v>11023</v>
      </c>
      <c r="F279" s="59">
        <v>5000</v>
      </c>
      <c r="G279" s="59">
        <v>300</v>
      </c>
      <c r="H279" s="59">
        <v>50</v>
      </c>
      <c r="I279" s="59" t="s">
        <v>720</v>
      </c>
      <c r="J279" s="59">
        <v>3</v>
      </c>
      <c r="K279" s="59">
        <v>10</v>
      </c>
      <c r="L279" s="59">
        <v>30</v>
      </c>
      <c r="M279" s="59">
        <v>5000</v>
      </c>
      <c r="N279" s="59">
        <v>0</v>
      </c>
      <c r="O279" s="59">
        <v>0</v>
      </c>
      <c r="P279" s="59">
        <v>0</v>
      </c>
      <c r="Q279" s="59">
        <v>0</v>
      </c>
      <c r="R279" s="59">
        <v>0</v>
      </c>
      <c r="S279" s="59">
        <v>0</v>
      </c>
      <c r="T279" s="59">
        <v>0</v>
      </c>
      <c r="U279" s="59">
        <v>250</v>
      </c>
      <c r="V279" s="59">
        <v>0</v>
      </c>
      <c r="W279" s="59">
        <v>0</v>
      </c>
      <c r="X279" s="59">
        <v>0</v>
      </c>
      <c r="Y279" s="59">
        <v>0</v>
      </c>
      <c r="Z279" s="59">
        <v>0</v>
      </c>
      <c r="AA279" s="59">
        <v>0</v>
      </c>
      <c r="AB279" s="59">
        <v>0</v>
      </c>
      <c r="AC279" s="59">
        <v>1000</v>
      </c>
      <c r="AD279" s="59">
        <v>0</v>
      </c>
      <c r="AE279" s="59">
        <v>0</v>
      </c>
      <c r="AF279" s="59">
        <v>0</v>
      </c>
      <c r="AG279" s="59">
        <v>5.0000000000000001E-3</v>
      </c>
      <c r="AH279" s="59">
        <v>0</v>
      </c>
      <c r="AI279" s="59">
        <v>0</v>
      </c>
      <c r="AJ279" s="61">
        <v>0</v>
      </c>
      <c r="AK279" s="59">
        <v>20009</v>
      </c>
      <c r="AL279" s="59">
        <v>3</v>
      </c>
      <c r="AM279" s="59">
        <v>9000</v>
      </c>
      <c r="AN279" s="59" t="s">
        <v>48</v>
      </c>
      <c r="AO279" s="59" t="s">
        <v>743</v>
      </c>
    </row>
    <row r="280" spans="1:41" ht="16.5">
      <c r="A280" s="59">
        <v>20517</v>
      </c>
      <c r="B280" s="59" t="s">
        <v>1040</v>
      </c>
      <c r="C280" s="59" t="s">
        <v>166</v>
      </c>
      <c r="D280" s="59" t="s">
        <v>122</v>
      </c>
      <c r="E280" s="60">
        <v>11023</v>
      </c>
      <c r="F280" s="59">
        <v>5000</v>
      </c>
      <c r="G280" s="59">
        <v>300</v>
      </c>
      <c r="H280" s="59">
        <v>50</v>
      </c>
      <c r="I280" s="59" t="s">
        <v>720</v>
      </c>
      <c r="J280" s="59">
        <v>3</v>
      </c>
      <c r="K280" s="59">
        <v>10</v>
      </c>
      <c r="L280" s="59">
        <v>30</v>
      </c>
      <c r="M280" s="59">
        <v>5000</v>
      </c>
      <c r="N280" s="59">
        <v>0</v>
      </c>
      <c r="O280" s="59">
        <v>0</v>
      </c>
      <c r="P280" s="59">
        <v>0</v>
      </c>
      <c r="Q280" s="59">
        <v>0</v>
      </c>
      <c r="R280" s="59">
        <v>0</v>
      </c>
      <c r="S280" s="59">
        <v>0</v>
      </c>
      <c r="T280" s="59">
        <v>0</v>
      </c>
      <c r="U280" s="59">
        <v>250</v>
      </c>
      <c r="V280" s="59">
        <v>0</v>
      </c>
      <c r="W280" s="59">
        <v>0</v>
      </c>
      <c r="X280" s="59">
        <v>0</v>
      </c>
      <c r="Y280" s="59">
        <v>0</v>
      </c>
      <c r="Z280" s="59">
        <v>0</v>
      </c>
      <c r="AA280" s="59">
        <v>0</v>
      </c>
      <c r="AB280" s="59">
        <v>0</v>
      </c>
      <c r="AC280" s="59">
        <v>1000</v>
      </c>
      <c r="AD280" s="59">
        <v>0</v>
      </c>
      <c r="AE280" s="59">
        <v>0</v>
      </c>
      <c r="AF280" s="59">
        <v>0</v>
      </c>
      <c r="AG280" s="59">
        <v>5.0000000000000001E-3</v>
      </c>
      <c r="AH280" s="59">
        <v>0</v>
      </c>
      <c r="AI280" s="59">
        <v>0</v>
      </c>
      <c r="AJ280" s="61">
        <v>0</v>
      </c>
      <c r="AK280" s="59">
        <v>20009</v>
      </c>
      <c r="AL280" s="59">
        <v>3</v>
      </c>
      <c r="AM280" s="59">
        <v>9000</v>
      </c>
      <c r="AN280" s="59" t="s">
        <v>48</v>
      </c>
      <c r="AO280" s="59" t="s">
        <v>743</v>
      </c>
    </row>
    <row r="281" spans="1:41" ht="16.5">
      <c r="A281" s="59">
        <v>20518</v>
      </c>
      <c r="B281" s="59" t="s">
        <v>1041</v>
      </c>
      <c r="C281" s="59" t="s">
        <v>166</v>
      </c>
      <c r="D281" s="59" t="s">
        <v>122</v>
      </c>
      <c r="E281" s="60">
        <v>11023</v>
      </c>
      <c r="F281" s="59">
        <v>5000</v>
      </c>
      <c r="G281" s="59">
        <v>300</v>
      </c>
      <c r="H281" s="59">
        <v>50</v>
      </c>
      <c r="I281" s="59" t="s">
        <v>720</v>
      </c>
      <c r="J281" s="59">
        <v>3</v>
      </c>
      <c r="K281" s="59">
        <v>10</v>
      </c>
      <c r="L281" s="59">
        <v>30</v>
      </c>
      <c r="M281" s="59">
        <v>5000</v>
      </c>
      <c r="N281" s="59">
        <v>0</v>
      </c>
      <c r="O281" s="59">
        <v>0</v>
      </c>
      <c r="P281" s="59">
        <v>0</v>
      </c>
      <c r="Q281" s="59">
        <v>0</v>
      </c>
      <c r="R281" s="59">
        <v>0</v>
      </c>
      <c r="S281" s="59">
        <v>0</v>
      </c>
      <c r="T281" s="59">
        <v>0</v>
      </c>
      <c r="U281" s="59">
        <v>250</v>
      </c>
      <c r="V281" s="59">
        <v>0</v>
      </c>
      <c r="W281" s="59">
        <v>0</v>
      </c>
      <c r="X281" s="59">
        <v>0</v>
      </c>
      <c r="Y281" s="59">
        <v>0</v>
      </c>
      <c r="Z281" s="59">
        <v>0</v>
      </c>
      <c r="AA281" s="59">
        <v>0</v>
      </c>
      <c r="AB281" s="59">
        <v>0</v>
      </c>
      <c r="AC281" s="59">
        <v>1000</v>
      </c>
      <c r="AD281" s="59">
        <v>0</v>
      </c>
      <c r="AE281" s="59">
        <v>0</v>
      </c>
      <c r="AF281" s="59">
        <v>0</v>
      </c>
      <c r="AG281" s="59">
        <v>5.0000000000000001E-3</v>
      </c>
      <c r="AH281" s="59">
        <v>0</v>
      </c>
      <c r="AI281" s="59">
        <v>0</v>
      </c>
      <c r="AJ281" s="61">
        <v>0</v>
      </c>
      <c r="AK281" s="59">
        <v>20009</v>
      </c>
      <c r="AL281" s="59">
        <v>3</v>
      </c>
      <c r="AM281" s="59">
        <v>9000</v>
      </c>
      <c r="AN281" s="59" t="s">
        <v>48</v>
      </c>
      <c r="AO281" s="59" t="s">
        <v>743</v>
      </c>
    </row>
    <row r="282" spans="1:41" ht="16.5">
      <c r="A282" s="59">
        <v>20519</v>
      </c>
      <c r="B282" s="59" t="s">
        <v>1042</v>
      </c>
      <c r="C282" s="59" t="s">
        <v>166</v>
      </c>
      <c r="D282" s="59" t="s">
        <v>122</v>
      </c>
      <c r="E282" s="60">
        <v>11023</v>
      </c>
      <c r="F282" s="59">
        <v>5000</v>
      </c>
      <c r="G282" s="59">
        <v>300</v>
      </c>
      <c r="H282" s="59">
        <v>50</v>
      </c>
      <c r="I282" s="59" t="s">
        <v>720</v>
      </c>
      <c r="J282" s="59">
        <v>3</v>
      </c>
      <c r="K282" s="59">
        <v>10</v>
      </c>
      <c r="L282" s="59">
        <v>30</v>
      </c>
      <c r="M282" s="59">
        <v>5000</v>
      </c>
      <c r="N282" s="59">
        <v>0</v>
      </c>
      <c r="O282" s="59">
        <v>0</v>
      </c>
      <c r="P282" s="59">
        <v>0</v>
      </c>
      <c r="Q282" s="59">
        <v>0</v>
      </c>
      <c r="R282" s="59">
        <v>0</v>
      </c>
      <c r="S282" s="59">
        <v>0</v>
      </c>
      <c r="T282" s="59">
        <v>0</v>
      </c>
      <c r="U282" s="59">
        <v>250</v>
      </c>
      <c r="V282" s="59">
        <v>0</v>
      </c>
      <c r="W282" s="59">
        <v>0</v>
      </c>
      <c r="X282" s="59">
        <v>0</v>
      </c>
      <c r="Y282" s="59">
        <v>0</v>
      </c>
      <c r="Z282" s="59">
        <v>0</v>
      </c>
      <c r="AA282" s="59">
        <v>0</v>
      </c>
      <c r="AB282" s="59">
        <v>0</v>
      </c>
      <c r="AC282" s="59">
        <v>1000</v>
      </c>
      <c r="AD282" s="59">
        <v>0</v>
      </c>
      <c r="AE282" s="59">
        <v>0</v>
      </c>
      <c r="AF282" s="59">
        <v>0</v>
      </c>
      <c r="AG282" s="59">
        <v>5.0000000000000001E-3</v>
      </c>
      <c r="AH282" s="59">
        <v>0</v>
      </c>
      <c r="AI282" s="59">
        <v>0</v>
      </c>
      <c r="AJ282" s="61">
        <v>0</v>
      </c>
      <c r="AK282" s="59">
        <v>20009</v>
      </c>
      <c r="AL282" s="59">
        <v>3</v>
      </c>
      <c r="AM282" s="59">
        <v>9000</v>
      </c>
      <c r="AN282" s="59" t="s">
        <v>48</v>
      </c>
      <c r="AO282" s="59" t="s">
        <v>743</v>
      </c>
    </row>
    <row r="283" spans="1:41" ht="16.5">
      <c r="A283" s="59">
        <v>20520</v>
      </c>
      <c r="B283" s="59" t="s">
        <v>1043</v>
      </c>
      <c r="C283" s="59" t="s">
        <v>166</v>
      </c>
      <c r="D283" s="59" t="s">
        <v>122</v>
      </c>
      <c r="E283" s="60">
        <v>11023</v>
      </c>
      <c r="F283" s="59">
        <v>5000</v>
      </c>
      <c r="G283" s="59">
        <v>300</v>
      </c>
      <c r="H283" s="59">
        <v>50</v>
      </c>
      <c r="I283" s="59" t="s">
        <v>720</v>
      </c>
      <c r="J283" s="59">
        <v>3</v>
      </c>
      <c r="K283" s="59">
        <v>10</v>
      </c>
      <c r="L283" s="59">
        <v>30</v>
      </c>
      <c r="M283" s="59">
        <v>5000</v>
      </c>
      <c r="N283" s="59">
        <v>0</v>
      </c>
      <c r="O283" s="59">
        <v>0</v>
      </c>
      <c r="P283" s="59">
        <v>0</v>
      </c>
      <c r="Q283" s="59">
        <v>0</v>
      </c>
      <c r="R283" s="59">
        <v>0</v>
      </c>
      <c r="S283" s="59">
        <v>0</v>
      </c>
      <c r="T283" s="59">
        <v>0</v>
      </c>
      <c r="U283" s="59">
        <v>250</v>
      </c>
      <c r="V283" s="59">
        <v>0</v>
      </c>
      <c r="W283" s="59">
        <v>0</v>
      </c>
      <c r="X283" s="59">
        <v>0</v>
      </c>
      <c r="Y283" s="59">
        <v>0</v>
      </c>
      <c r="Z283" s="59">
        <v>0</v>
      </c>
      <c r="AA283" s="59">
        <v>0</v>
      </c>
      <c r="AB283" s="59">
        <v>0</v>
      </c>
      <c r="AC283" s="59">
        <v>1000</v>
      </c>
      <c r="AD283" s="59">
        <v>0</v>
      </c>
      <c r="AE283" s="59">
        <v>0</v>
      </c>
      <c r="AF283" s="59">
        <v>0</v>
      </c>
      <c r="AG283" s="59">
        <v>5.0000000000000001E-3</v>
      </c>
      <c r="AH283" s="59">
        <v>0</v>
      </c>
      <c r="AI283" s="59">
        <v>0</v>
      </c>
      <c r="AJ283" s="61">
        <v>0</v>
      </c>
      <c r="AK283" s="59">
        <v>20009</v>
      </c>
      <c r="AL283" s="59">
        <v>3</v>
      </c>
      <c r="AM283" s="59">
        <v>9000</v>
      </c>
      <c r="AN283" s="59" t="s">
        <v>48</v>
      </c>
      <c r="AO283" s="59" t="s">
        <v>743</v>
      </c>
    </row>
    <row r="284" spans="1:41" ht="16.5">
      <c r="A284" s="59">
        <v>205211</v>
      </c>
      <c r="B284" s="59" t="s">
        <v>1044</v>
      </c>
      <c r="C284" s="59" t="s">
        <v>166</v>
      </c>
      <c r="D284" s="59" t="s">
        <v>122</v>
      </c>
      <c r="E284" s="60">
        <v>11023</v>
      </c>
      <c r="F284" s="59">
        <v>5000</v>
      </c>
      <c r="G284" s="59">
        <v>300</v>
      </c>
      <c r="H284" s="59">
        <v>50</v>
      </c>
      <c r="I284" s="59" t="s">
        <v>720</v>
      </c>
      <c r="J284" s="59">
        <v>3</v>
      </c>
      <c r="K284" s="59">
        <v>10</v>
      </c>
      <c r="L284" s="59">
        <v>30</v>
      </c>
      <c r="M284" s="59">
        <v>5000</v>
      </c>
      <c r="N284" s="59">
        <v>0</v>
      </c>
      <c r="O284" s="59">
        <v>0</v>
      </c>
      <c r="P284" s="59">
        <v>0</v>
      </c>
      <c r="Q284" s="59">
        <v>0</v>
      </c>
      <c r="R284" s="59">
        <v>0</v>
      </c>
      <c r="S284" s="59">
        <v>0</v>
      </c>
      <c r="T284" s="59">
        <v>0</v>
      </c>
      <c r="U284" s="59">
        <v>250</v>
      </c>
      <c r="V284" s="59">
        <v>0</v>
      </c>
      <c r="W284" s="59">
        <v>0</v>
      </c>
      <c r="X284" s="59">
        <v>0</v>
      </c>
      <c r="Y284" s="59">
        <v>0</v>
      </c>
      <c r="Z284" s="59">
        <v>0</v>
      </c>
      <c r="AA284" s="59">
        <v>0</v>
      </c>
      <c r="AB284" s="59">
        <v>0</v>
      </c>
      <c r="AC284" s="59">
        <v>1000</v>
      </c>
      <c r="AD284" s="59">
        <v>0</v>
      </c>
      <c r="AE284" s="59">
        <v>0</v>
      </c>
      <c r="AF284" s="59">
        <v>0</v>
      </c>
      <c r="AG284" s="59">
        <v>5.0000000000000001E-3</v>
      </c>
      <c r="AH284" s="59">
        <v>0</v>
      </c>
      <c r="AI284" s="59">
        <v>0</v>
      </c>
      <c r="AJ284" s="61">
        <v>0</v>
      </c>
      <c r="AK284" s="59">
        <v>20009</v>
      </c>
      <c r="AL284" s="59">
        <v>3</v>
      </c>
      <c r="AM284" s="59">
        <v>9000</v>
      </c>
      <c r="AN284" s="59" t="s">
        <v>48</v>
      </c>
      <c r="AO284" s="59" t="s">
        <v>743</v>
      </c>
    </row>
    <row r="285" spans="1:41" ht="16.5">
      <c r="A285" s="59">
        <v>205212</v>
      </c>
      <c r="B285" s="59" t="s">
        <v>1045</v>
      </c>
      <c r="C285" s="59" t="s">
        <v>166</v>
      </c>
      <c r="D285" s="59" t="s">
        <v>122</v>
      </c>
      <c r="E285" s="60">
        <v>11023</v>
      </c>
      <c r="F285" s="59">
        <v>5000</v>
      </c>
      <c r="G285" s="59">
        <v>300</v>
      </c>
      <c r="H285" s="59">
        <v>50</v>
      </c>
      <c r="I285" s="59" t="s">
        <v>720</v>
      </c>
      <c r="J285" s="59">
        <v>3</v>
      </c>
      <c r="K285" s="59">
        <v>10</v>
      </c>
      <c r="L285" s="59">
        <v>30</v>
      </c>
      <c r="M285" s="59">
        <v>5000</v>
      </c>
      <c r="N285" s="59">
        <v>0</v>
      </c>
      <c r="O285" s="59">
        <v>0</v>
      </c>
      <c r="P285" s="59">
        <v>0</v>
      </c>
      <c r="Q285" s="59">
        <v>0</v>
      </c>
      <c r="R285" s="59">
        <v>0</v>
      </c>
      <c r="S285" s="59">
        <v>0</v>
      </c>
      <c r="T285" s="59">
        <v>0</v>
      </c>
      <c r="U285" s="59">
        <v>250</v>
      </c>
      <c r="V285" s="59">
        <v>0</v>
      </c>
      <c r="W285" s="59">
        <v>0</v>
      </c>
      <c r="X285" s="59">
        <v>0</v>
      </c>
      <c r="Y285" s="59">
        <v>0</v>
      </c>
      <c r="Z285" s="59">
        <v>0</v>
      </c>
      <c r="AA285" s="59">
        <v>0</v>
      </c>
      <c r="AB285" s="59">
        <v>0</v>
      </c>
      <c r="AC285" s="59">
        <v>1000</v>
      </c>
      <c r="AD285" s="59">
        <v>0</v>
      </c>
      <c r="AE285" s="59">
        <v>0</v>
      </c>
      <c r="AF285" s="59">
        <v>0</v>
      </c>
      <c r="AG285" s="59">
        <v>5.0000000000000001E-3</v>
      </c>
      <c r="AH285" s="59">
        <v>0</v>
      </c>
      <c r="AI285" s="59">
        <v>0</v>
      </c>
      <c r="AJ285" s="61">
        <v>0</v>
      </c>
      <c r="AK285" s="59">
        <v>20009</v>
      </c>
      <c r="AL285" s="59">
        <v>3</v>
      </c>
      <c r="AM285" s="59">
        <v>9000</v>
      </c>
      <c r="AN285" s="59" t="s">
        <v>48</v>
      </c>
      <c r="AO285" s="59" t="s">
        <v>743</v>
      </c>
    </row>
    <row r="286" spans="1:41" ht="16.5">
      <c r="A286" s="59">
        <v>521</v>
      </c>
      <c r="B286" s="59" t="s">
        <v>1046</v>
      </c>
      <c r="C286" s="59" t="s">
        <v>166</v>
      </c>
      <c r="D286" s="59" t="s">
        <v>123</v>
      </c>
      <c r="E286" s="60">
        <v>11024</v>
      </c>
      <c r="F286" s="59">
        <v>5000</v>
      </c>
      <c r="G286" s="59">
        <v>300</v>
      </c>
      <c r="H286" s="59">
        <v>50</v>
      </c>
      <c r="I286" s="59" t="s">
        <v>159</v>
      </c>
      <c r="J286" s="59">
        <v>3</v>
      </c>
      <c r="K286" s="59">
        <v>10</v>
      </c>
      <c r="L286" s="59">
        <v>30</v>
      </c>
      <c r="M286" s="59">
        <v>0</v>
      </c>
      <c r="N286" s="59">
        <v>0</v>
      </c>
      <c r="O286" s="59">
        <v>0</v>
      </c>
      <c r="P286" s="59">
        <v>100</v>
      </c>
      <c r="Q286" s="59">
        <v>0</v>
      </c>
      <c r="R286" s="59">
        <v>0</v>
      </c>
      <c r="S286" s="59">
        <v>0</v>
      </c>
      <c r="T286" s="59">
        <v>0</v>
      </c>
      <c r="U286" s="59">
        <v>0</v>
      </c>
      <c r="V286" s="59">
        <v>0</v>
      </c>
      <c r="W286" s="59">
        <v>0</v>
      </c>
      <c r="X286" s="59">
        <v>5</v>
      </c>
      <c r="Y286" s="59">
        <v>0</v>
      </c>
      <c r="Z286" s="59">
        <v>0</v>
      </c>
      <c r="AA286" s="59">
        <v>0</v>
      </c>
      <c r="AB286" s="59">
        <v>0</v>
      </c>
      <c r="AC286" s="59">
        <v>0</v>
      </c>
      <c r="AD286" s="59">
        <v>0</v>
      </c>
      <c r="AE286" s="59">
        <v>0</v>
      </c>
      <c r="AF286" s="59">
        <v>20</v>
      </c>
      <c r="AG286" s="59">
        <v>0</v>
      </c>
      <c r="AH286" s="59">
        <v>5.0000000000000001E-3</v>
      </c>
      <c r="AI286" s="59">
        <v>0</v>
      </c>
      <c r="AJ286" s="59">
        <v>0</v>
      </c>
      <c r="AK286" s="59">
        <v>20009</v>
      </c>
      <c r="AL286" s="59">
        <v>4</v>
      </c>
      <c r="AM286" s="59">
        <v>9000</v>
      </c>
      <c r="AN286" s="59" t="s">
        <v>48</v>
      </c>
      <c r="AO286" s="59" t="s">
        <v>744</v>
      </c>
    </row>
    <row r="287" spans="1:41" ht="16.5">
      <c r="A287" s="59">
        <v>522</v>
      </c>
      <c r="B287" s="59" t="s">
        <v>1047</v>
      </c>
      <c r="C287" s="59" t="s">
        <v>166</v>
      </c>
      <c r="D287" s="59" t="s">
        <v>123</v>
      </c>
      <c r="E287" s="60">
        <v>11024</v>
      </c>
      <c r="F287" s="59">
        <v>5000</v>
      </c>
      <c r="G287" s="59">
        <v>300</v>
      </c>
      <c r="H287" s="59">
        <v>50</v>
      </c>
      <c r="I287" s="59" t="s">
        <v>159</v>
      </c>
      <c r="J287" s="59">
        <v>3</v>
      </c>
      <c r="K287" s="59">
        <v>10</v>
      </c>
      <c r="L287" s="59">
        <v>30</v>
      </c>
      <c r="M287" s="59">
        <v>0</v>
      </c>
      <c r="N287" s="59">
        <v>0</v>
      </c>
      <c r="O287" s="59">
        <v>0</v>
      </c>
      <c r="P287" s="59">
        <v>100</v>
      </c>
      <c r="Q287" s="59">
        <v>0</v>
      </c>
      <c r="R287" s="59">
        <v>0</v>
      </c>
      <c r="S287" s="59">
        <v>0</v>
      </c>
      <c r="T287" s="59">
        <v>0</v>
      </c>
      <c r="U287" s="59">
        <v>0</v>
      </c>
      <c r="V287" s="59">
        <v>0</v>
      </c>
      <c r="W287" s="59">
        <v>0</v>
      </c>
      <c r="X287" s="59">
        <v>5</v>
      </c>
      <c r="Y287" s="59">
        <v>0</v>
      </c>
      <c r="Z287" s="59">
        <v>0</v>
      </c>
      <c r="AA287" s="59">
        <v>0</v>
      </c>
      <c r="AB287" s="59">
        <v>0</v>
      </c>
      <c r="AC287" s="59">
        <v>0</v>
      </c>
      <c r="AD287" s="59">
        <v>0</v>
      </c>
      <c r="AE287" s="59">
        <v>0</v>
      </c>
      <c r="AF287" s="59">
        <v>20</v>
      </c>
      <c r="AG287" s="59">
        <v>0</v>
      </c>
      <c r="AH287" s="59">
        <v>5.0000000000000001E-3</v>
      </c>
      <c r="AI287" s="59">
        <v>0</v>
      </c>
      <c r="AJ287" s="59">
        <v>0</v>
      </c>
      <c r="AK287" s="59">
        <v>20009</v>
      </c>
      <c r="AL287" s="59">
        <v>4</v>
      </c>
      <c r="AM287" s="59">
        <v>9000</v>
      </c>
      <c r="AN287" s="59" t="s">
        <v>48</v>
      </c>
      <c r="AO287" s="59" t="s">
        <v>744</v>
      </c>
    </row>
    <row r="288" spans="1:41" ht="16.5">
      <c r="A288" s="59">
        <v>2052</v>
      </c>
      <c r="B288" s="59" t="s">
        <v>1048</v>
      </c>
      <c r="C288" s="59" t="s">
        <v>166</v>
      </c>
      <c r="D288" s="59" t="s">
        <v>123</v>
      </c>
      <c r="E288" s="60">
        <v>11024</v>
      </c>
      <c r="F288" s="59">
        <v>5000</v>
      </c>
      <c r="G288" s="59">
        <v>300</v>
      </c>
      <c r="H288" s="59">
        <v>50</v>
      </c>
      <c r="I288" s="59" t="s">
        <v>159</v>
      </c>
      <c r="J288" s="59">
        <v>3</v>
      </c>
      <c r="K288" s="59">
        <v>10</v>
      </c>
      <c r="L288" s="59">
        <v>30</v>
      </c>
      <c r="M288" s="59">
        <v>0</v>
      </c>
      <c r="N288" s="59">
        <v>0</v>
      </c>
      <c r="O288" s="59">
        <v>0</v>
      </c>
      <c r="P288" s="59">
        <v>100</v>
      </c>
      <c r="Q288" s="59">
        <v>0</v>
      </c>
      <c r="R288" s="59">
        <v>0</v>
      </c>
      <c r="S288" s="59">
        <v>0</v>
      </c>
      <c r="T288" s="59">
        <v>0</v>
      </c>
      <c r="U288" s="59">
        <v>0</v>
      </c>
      <c r="V288" s="59">
        <v>0</v>
      </c>
      <c r="W288" s="59">
        <v>0</v>
      </c>
      <c r="X288" s="59">
        <v>5</v>
      </c>
      <c r="Y288" s="59">
        <v>0</v>
      </c>
      <c r="Z288" s="59">
        <v>0</v>
      </c>
      <c r="AA288" s="59">
        <v>0</v>
      </c>
      <c r="AB288" s="59">
        <v>0</v>
      </c>
      <c r="AC288" s="59">
        <v>0</v>
      </c>
      <c r="AD288" s="59">
        <v>0</v>
      </c>
      <c r="AE288" s="59">
        <v>0</v>
      </c>
      <c r="AF288" s="59">
        <v>20</v>
      </c>
      <c r="AG288" s="59">
        <v>0</v>
      </c>
      <c r="AH288" s="59">
        <v>5.0000000000000001E-3</v>
      </c>
      <c r="AI288" s="59">
        <v>0</v>
      </c>
      <c r="AJ288" s="59">
        <v>0</v>
      </c>
      <c r="AK288" s="59">
        <v>20009</v>
      </c>
      <c r="AL288" s="59">
        <v>4</v>
      </c>
      <c r="AM288" s="59">
        <v>9000</v>
      </c>
      <c r="AN288" s="59" t="s">
        <v>48</v>
      </c>
      <c r="AO288" s="59" t="s">
        <v>744</v>
      </c>
    </row>
    <row r="289" spans="1:41" ht="16.5">
      <c r="A289" s="59">
        <v>20521</v>
      </c>
      <c r="B289" s="59" t="s">
        <v>1049</v>
      </c>
      <c r="C289" s="59" t="s">
        <v>166</v>
      </c>
      <c r="D289" s="59" t="s">
        <v>123</v>
      </c>
      <c r="E289" s="60">
        <v>11024</v>
      </c>
      <c r="F289" s="59">
        <v>5000</v>
      </c>
      <c r="G289" s="59">
        <v>300</v>
      </c>
      <c r="H289" s="59">
        <v>50</v>
      </c>
      <c r="I289" s="59" t="s">
        <v>159</v>
      </c>
      <c r="J289" s="59">
        <v>3</v>
      </c>
      <c r="K289" s="59">
        <v>10</v>
      </c>
      <c r="L289" s="59">
        <v>30</v>
      </c>
      <c r="M289" s="59">
        <v>0</v>
      </c>
      <c r="N289" s="59">
        <v>0</v>
      </c>
      <c r="O289" s="59">
        <v>0</v>
      </c>
      <c r="P289" s="59">
        <v>100</v>
      </c>
      <c r="Q289" s="59">
        <v>0</v>
      </c>
      <c r="R289" s="59">
        <v>0</v>
      </c>
      <c r="S289" s="59">
        <v>0</v>
      </c>
      <c r="T289" s="59">
        <v>0</v>
      </c>
      <c r="U289" s="59">
        <v>0</v>
      </c>
      <c r="V289" s="59">
        <v>0</v>
      </c>
      <c r="W289" s="59">
        <v>0</v>
      </c>
      <c r="X289" s="59">
        <v>5</v>
      </c>
      <c r="Y289" s="59">
        <v>0</v>
      </c>
      <c r="Z289" s="59">
        <v>0</v>
      </c>
      <c r="AA289" s="59">
        <v>0</v>
      </c>
      <c r="AB289" s="59">
        <v>0</v>
      </c>
      <c r="AC289" s="59">
        <v>0</v>
      </c>
      <c r="AD289" s="59">
        <v>0</v>
      </c>
      <c r="AE289" s="59">
        <v>0</v>
      </c>
      <c r="AF289" s="59">
        <v>20</v>
      </c>
      <c r="AG289" s="59">
        <v>0</v>
      </c>
      <c r="AH289" s="59">
        <v>5.0000000000000001E-3</v>
      </c>
      <c r="AI289" s="59">
        <v>0</v>
      </c>
      <c r="AJ289" s="59">
        <v>0</v>
      </c>
      <c r="AK289" s="59">
        <v>20009</v>
      </c>
      <c r="AL289" s="59">
        <v>4</v>
      </c>
      <c r="AM289" s="59">
        <v>9000</v>
      </c>
      <c r="AN289" s="59" t="s">
        <v>48</v>
      </c>
      <c r="AO289" s="59" t="s">
        <v>744</v>
      </c>
    </row>
    <row r="290" spans="1:41" ht="16.5">
      <c r="A290" s="59">
        <v>20522</v>
      </c>
      <c r="B290" s="59" t="s">
        <v>1050</v>
      </c>
      <c r="C290" s="59" t="s">
        <v>166</v>
      </c>
      <c r="D290" s="59" t="s">
        <v>123</v>
      </c>
      <c r="E290" s="60">
        <v>11024</v>
      </c>
      <c r="F290" s="59">
        <v>5000</v>
      </c>
      <c r="G290" s="59">
        <v>300</v>
      </c>
      <c r="H290" s="59">
        <v>50</v>
      </c>
      <c r="I290" s="59" t="s">
        <v>159</v>
      </c>
      <c r="J290" s="59">
        <v>3</v>
      </c>
      <c r="K290" s="59">
        <v>10</v>
      </c>
      <c r="L290" s="59">
        <v>30</v>
      </c>
      <c r="M290" s="59">
        <v>0</v>
      </c>
      <c r="N290" s="59">
        <v>0</v>
      </c>
      <c r="O290" s="59">
        <v>0</v>
      </c>
      <c r="P290" s="59">
        <v>100</v>
      </c>
      <c r="Q290" s="59">
        <v>0</v>
      </c>
      <c r="R290" s="59">
        <v>0</v>
      </c>
      <c r="S290" s="59">
        <v>0</v>
      </c>
      <c r="T290" s="59">
        <v>0</v>
      </c>
      <c r="U290" s="59">
        <v>0</v>
      </c>
      <c r="V290" s="59">
        <v>0</v>
      </c>
      <c r="W290" s="59">
        <v>0</v>
      </c>
      <c r="X290" s="59">
        <v>5</v>
      </c>
      <c r="Y290" s="59">
        <v>0</v>
      </c>
      <c r="Z290" s="59">
        <v>0</v>
      </c>
      <c r="AA290" s="59">
        <v>0</v>
      </c>
      <c r="AB290" s="59">
        <v>0</v>
      </c>
      <c r="AC290" s="59">
        <v>0</v>
      </c>
      <c r="AD290" s="59">
        <v>0</v>
      </c>
      <c r="AE290" s="59">
        <v>0</v>
      </c>
      <c r="AF290" s="59">
        <v>20</v>
      </c>
      <c r="AG290" s="59">
        <v>0</v>
      </c>
      <c r="AH290" s="59">
        <v>5.0000000000000001E-3</v>
      </c>
      <c r="AI290" s="59">
        <v>0</v>
      </c>
      <c r="AJ290" s="59">
        <v>0</v>
      </c>
      <c r="AK290" s="59">
        <v>20009</v>
      </c>
      <c r="AL290" s="59">
        <v>4</v>
      </c>
      <c r="AM290" s="59">
        <v>9000</v>
      </c>
      <c r="AN290" s="59" t="s">
        <v>48</v>
      </c>
      <c r="AO290" s="59" t="s">
        <v>744</v>
      </c>
    </row>
    <row r="291" spans="1:41" ht="16.5">
      <c r="A291" s="59">
        <v>20523</v>
      </c>
      <c r="B291" s="59" t="s">
        <v>1051</v>
      </c>
      <c r="C291" s="59" t="s">
        <v>166</v>
      </c>
      <c r="D291" s="59" t="s">
        <v>123</v>
      </c>
      <c r="E291" s="60">
        <v>11024</v>
      </c>
      <c r="F291" s="59">
        <v>5000</v>
      </c>
      <c r="G291" s="59">
        <v>300</v>
      </c>
      <c r="H291" s="59">
        <v>50</v>
      </c>
      <c r="I291" s="59" t="s">
        <v>159</v>
      </c>
      <c r="J291" s="59">
        <v>3</v>
      </c>
      <c r="K291" s="59">
        <v>10</v>
      </c>
      <c r="L291" s="59">
        <v>30</v>
      </c>
      <c r="M291" s="59">
        <v>0</v>
      </c>
      <c r="N291" s="59">
        <v>0</v>
      </c>
      <c r="O291" s="59">
        <v>0</v>
      </c>
      <c r="P291" s="59">
        <v>100</v>
      </c>
      <c r="Q291" s="59">
        <v>0</v>
      </c>
      <c r="R291" s="59">
        <v>0</v>
      </c>
      <c r="S291" s="59">
        <v>0</v>
      </c>
      <c r="T291" s="59">
        <v>0</v>
      </c>
      <c r="U291" s="59">
        <v>0</v>
      </c>
      <c r="V291" s="59">
        <v>0</v>
      </c>
      <c r="W291" s="59">
        <v>0</v>
      </c>
      <c r="X291" s="59">
        <v>5</v>
      </c>
      <c r="Y291" s="59">
        <v>0</v>
      </c>
      <c r="Z291" s="59">
        <v>0</v>
      </c>
      <c r="AA291" s="59">
        <v>0</v>
      </c>
      <c r="AB291" s="59">
        <v>0</v>
      </c>
      <c r="AC291" s="59">
        <v>0</v>
      </c>
      <c r="AD291" s="59">
        <v>0</v>
      </c>
      <c r="AE291" s="59">
        <v>0</v>
      </c>
      <c r="AF291" s="59">
        <v>20</v>
      </c>
      <c r="AG291" s="59">
        <v>0</v>
      </c>
      <c r="AH291" s="59">
        <v>5.0000000000000001E-3</v>
      </c>
      <c r="AI291" s="59">
        <v>0</v>
      </c>
      <c r="AJ291" s="59">
        <v>0</v>
      </c>
      <c r="AK291" s="59">
        <v>20009</v>
      </c>
      <c r="AL291" s="59">
        <v>4</v>
      </c>
      <c r="AM291" s="59">
        <v>9000</v>
      </c>
      <c r="AN291" s="59" t="s">
        <v>48</v>
      </c>
      <c r="AO291" s="59" t="s">
        <v>744</v>
      </c>
    </row>
    <row r="292" spans="1:41" ht="16.5">
      <c r="A292" s="59">
        <v>20524</v>
      </c>
      <c r="B292" s="59" t="s">
        <v>1052</v>
      </c>
      <c r="C292" s="59" t="s">
        <v>166</v>
      </c>
      <c r="D292" s="59" t="s">
        <v>123</v>
      </c>
      <c r="E292" s="60">
        <v>11024</v>
      </c>
      <c r="F292" s="59">
        <v>5000</v>
      </c>
      <c r="G292" s="59">
        <v>300</v>
      </c>
      <c r="H292" s="59">
        <v>50</v>
      </c>
      <c r="I292" s="59" t="s">
        <v>159</v>
      </c>
      <c r="J292" s="59">
        <v>3</v>
      </c>
      <c r="K292" s="59">
        <v>10</v>
      </c>
      <c r="L292" s="59">
        <v>30</v>
      </c>
      <c r="M292" s="59">
        <v>0</v>
      </c>
      <c r="N292" s="59">
        <v>0</v>
      </c>
      <c r="O292" s="59">
        <v>0</v>
      </c>
      <c r="P292" s="59">
        <v>100</v>
      </c>
      <c r="Q292" s="59">
        <v>0</v>
      </c>
      <c r="R292" s="59">
        <v>0</v>
      </c>
      <c r="S292" s="59">
        <v>0</v>
      </c>
      <c r="T292" s="59">
        <v>0</v>
      </c>
      <c r="U292" s="59">
        <v>0</v>
      </c>
      <c r="V292" s="59">
        <v>0</v>
      </c>
      <c r="W292" s="59">
        <v>0</v>
      </c>
      <c r="X292" s="59">
        <v>5</v>
      </c>
      <c r="Y292" s="59">
        <v>0</v>
      </c>
      <c r="Z292" s="59">
        <v>0</v>
      </c>
      <c r="AA292" s="59">
        <v>0</v>
      </c>
      <c r="AB292" s="59">
        <v>0</v>
      </c>
      <c r="AC292" s="59">
        <v>0</v>
      </c>
      <c r="AD292" s="59">
        <v>0</v>
      </c>
      <c r="AE292" s="59">
        <v>0</v>
      </c>
      <c r="AF292" s="59">
        <v>20</v>
      </c>
      <c r="AG292" s="59">
        <v>0</v>
      </c>
      <c r="AH292" s="59">
        <v>5.0000000000000001E-3</v>
      </c>
      <c r="AI292" s="59">
        <v>0</v>
      </c>
      <c r="AJ292" s="59">
        <v>0</v>
      </c>
      <c r="AK292" s="59">
        <v>20009</v>
      </c>
      <c r="AL292" s="59">
        <v>4</v>
      </c>
      <c r="AM292" s="59">
        <v>9000</v>
      </c>
      <c r="AN292" s="59" t="s">
        <v>48</v>
      </c>
      <c r="AO292" s="59" t="s">
        <v>744</v>
      </c>
    </row>
    <row r="293" spans="1:41" ht="16.5">
      <c r="A293" s="59">
        <v>20525</v>
      </c>
      <c r="B293" s="59" t="s">
        <v>1053</v>
      </c>
      <c r="C293" s="59" t="s">
        <v>166</v>
      </c>
      <c r="D293" s="59" t="s">
        <v>123</v>
      </c>
      <c r="E293" s="60">
        <v>11024</v>
      </c>
      <c r="F293" s="59">
        <v>5000</v>
      </c>
      <c r="G293" s="59">
        <v>300</v>
      </c>
      <c r="H293" s="59">
        <v>50</v>
      </c>
      <c r="I293" s="59" t="s">
        <v>159</v>
      </c>
      <c r="J293" s="59">
        <v>3</v>
      </c>
      <c r="K293" s="59">
        <v>10</v>
      </c>
      <c r="L293" s="59">
        <v>30</v>
      </c>
      <c r="M293" s="59">
        <v>0</v>
      </c>
      <c r="N293" s="59">
        <v>0</v>
      </c>
      <c r="O293" s="59">
        <v>0</v>
      </c>
      <c r="P293" s="59">
        <v>100</v>
      </c>
      <c r="Q293" s="59">
        <v>0</v>
      </c>
      <c r="R293" s="59">
        <v>0</v>
      </c>
      <c r="S293" s="59">
        <v>0</v>
      </c>
      <c r="T293" s="59">
        <v>0</v>
      </c>
      <c r="U293" s="59">
        <v>0</v>
      </c>
      <c r="V293" s="59">
        <v>0</v>
      </c>
      <c r="W293" s="59">
        <v>0</v>
      </c>
      <c r="X293" s="59">
        <v>5</v>
      </c>
      <c r="Y293" s="59">
        <v>0</v>
      </c>
      <c r="Z293" s="59">
        <v>0</v>
      </c>
      <c r="AA293" s="59">
        <v>0</v>
      </c>
      <c r="AB293" s="59">
        <v>0</v>
      </c>
      <c r="AC293" s="59">
        <v>0</v>
      </c>
      <c r="AD293" s="59">
        <v>0</v>
      </c>
      <c r="AE293" s="59">
        <v>0</v>
      </c>
      <c r="AF293" s="59">
        <v>20</v>
      </c>
      <c r="AG293" s="59">
        <v>0</v>
      </c>
      <c r="AH293" s="59">
        <v>5.0000000000000001E-3</v>
      </c>
      <c r="AI293" s="59">
        <v>0</v>
      </c>
      <c r="AJ293" s="59">
        <v>0</v>
      </c>
      <c r="AK293" s="59">
        <v>20009</v>
      </c>
      <c r="AL293" s="59">
        <v>4</v>
      </c>
      <c r="AM293" s="59">
        <v>9000</v>
      </c>
      <c r="AN293" s="59" t="s">
        <v>48</v>
      </c>
      <c r="AO293" s="59" t="s">
        <v>744</v>
      </c>
    </row>
    <row r="294" spans="1:41" ht="16.5">
      <c r="A294" s="59">
        <v>20526</v>
      </c>
      <c r="B294" s="59" t="s">
        <v>1054</v>
      </c>
      <c r="C294" s="59" t="s">
        <v>166</v>
      </c>
      <c r="D294" s="59" t="s">
        <v>123</v>
      </c>
      <c r="E294" s="60">
        <v>11024</v>
      </c>
      <c r="F294" s="59">
        <v>5000</v>
      </c>
      <c r="G294" s="59">
        <v>300</v>
      </c>
      <c r="H294" s="59">
        <v>50</v>
      </c>
      <c r="I294" s="59" t="s">
        <v>159</v>
      </c>
      <c r="J294" s="59">
        <v>3</v>
      </c>
      <c r="K294" s="59">
        <v>10</v>
      </c>
      <c r="L294" s="59">
        <v>30</v>
      </c>
      <c r="M294" s="59">
        <v>0</v>
      </c>
      <c r="N294" s="59">
        <v>0</v>
      </c>
      <c r="O294" s="59">
        <v>0</v>
      </c>
      <c r="P294" s="59">
        <v>100</v>
      </c>
      <c r="Q294" s="59">
        <v>0</v>
      </c>
      <c r="R294" s="59">
        <v>0</v>
      </c>
      <c r="S294" s="59">
        <v>0</v>
      </c>
      <c r="T294" s="59">
        <v>0</v>
      </c>
      <c r="U294" s="59">
        <v>0</v>
      </c>
      <c r="V294" s="59">
        <v>0</v>
      </c>
      <c r="W294" s="59">
        <v>0</v>
      </c>
      <c r="X294" s="59">
        <v>5</v>
      </c>
      <c r="Y294" s="59">
        <v>0</v>
      </c>
      <c r="Z294" s="59">
        <v>0</v>
      </c>
      <c r="AA294" s="59">
        <v>0</v>
      </c>
      <c r="AB294" s="59">
        <v>0</v>
      </c>
      <c r="AC294" s="59">
        <v>0</v>
      </c>
      <c r="AD294" s="59">
        <v>0</v>
      </c>
      <c r="AE294" s="59">
        <v>0</v>
      </c>
      <c r="AF294" s="59">
        <v>20</v>
      </c>
      <c r="AG294" s="59">
        <v>0</v>
      </c>
      <c r="AH294" s="59">
        <v>5.0000000000000001E-3</v>
      </c>
      <c r="AI294" s="59">
        <v>0</v>
      </c>
      <c r="AJ294" s="59">
        <v>0</v>
      </c>
      <c r="AK294" s="59">
        <v>20009</v>
      </c>
      <c r="AL294" s="59">
        <v>4</v>
      </c>
      <c r="AM294" s="59">
        <v>9000</v>
      </c>
      <c r="AN294" s="59" t="s">
        <v>48</v>
      </c>
      <c r="AO294" s="59" t="s">
        <v>744</v>
      </c>
    </row>
    <row r="295" spans="1:41" ht="16.5">
      <c r="A295" s="59">
        <v>20527</v>
      </c>
      <c r="B295" s="59" t="s">
        <v>1055</v>
      </c>
      <c r="C295" s="59" t="s">
        <v>166</v>
      </c>
      <c r="D295" s="59" t="s">
        <v>123</v>
      </c>
      <c r="E295" s="60">
        <v>11024</v>
      </c>
      <c r="F295" s="59">
        <v>5000</v>
      </c>
      <c r="G295" s="59">
        <v>300</v>
      </c>
      <c r="H295" s="59">
        <v>50</v>
      </c>
      <c r="I295" s="59" t="s">
        <v>159</v>
      </c>
      <c r="J295" s="59">
        <v>3</v>
      </c>
      <c r="K295" s="59">
        <v>10</v>
      </c>
      <c r="L295" s="59">
        <v>30</v>
      </c>
      <c r="M295" s="59">
        <v>0</v>
      </c>
      <c r="N295" s="59">
        <v>0</v>
      </c>
      <c r="O295" s="59">
        <v>0</v>
      </c>
      <c r="P295" s="59">
        <v>100</v>
      </c>
      <c r="Q295" s="59">
        <v>0</v>
      </c>
      <c r="R295" s="59">
        <v>0</v>
      </c>
      <c r="S295" s="59">
        <v>0</v>
      </c>
      <c r="T295" s="59">
        <v>0</v>
      </c>
      <c r="U295" s="59">
        <v>0</v>
      </c>
      <c r="V295" s="59">
        <v>0</v>
      </c>
      <c r="W295" s="59">
        <v>0</v>
      </c>
      <c r="X295" s="59">
        <v>5</v>
      </c>
      <c r="Y295" s="59">
        <v>0</v>
      </c>
      <c r="Z295" s="59">
        <v>0</v>
      </c>
      <c r="AA295" s="59">
        <v>0</v>
      </c>
      <c r="AB295" s="59">
        <v>0</v>
      </c>
      <c r="AC295" s="59">
        <v>0</v>
      </c>
      <c r="AD295" s="59">
        <v>0</v>
      </c>
      <c r="AE295" s="59">
        <v>0</v>
      </c>
      <c r="AF295" s="59">
        <v>20</v>
      </c>
      <c r="AG295" s="59">
        <v>0</v>
      </c>
      <c r="AH295" s="59">
        <v>5.0000000000000001E-3</v>
      </c>
      <c r="AI295" s="59">
        <v>0</v>
      </c>
      <c r="AJ295" s="59">
        <v>0</v>
      </c>
      <c r="AK295" s="59">
        <v>20009</v>
      </c>
      <c r="AL295" s="59">
        <v>4</v>
      </c>
      <c r="AM295" s="59">
        <v>9000</v>
      </c>
      <c r="AN295" s="59" t="s">
        <v>48</v>
      </c>
      <c r="AO295" s="59" t="s">
        <v>744</v>
      </c>
    </row>
    <row r="296" spans="1:41" ht="16.5">
      <c r="A296" s="59">
        <v>20528</v>
      </c>
      <c r="B296" s="59" t="s">
        <v>1056</v>
      </c>
      <c r="C296" s="59" t="s">
        <v>166</v>
      </c>
      <c r="D296" s="59" t="s">
        <v>123</v>
      </c>
      <c r="E296" s="60">
        <v>11024</v>
      </c>
      <c r="F296" s="59">
        <v>5000</v>
      </c>
      <c r="G296" s="59">
        <v>300</v>
      </c>
      <c r="H296" s="59">
        <v>50</v>
      </c>
      <c r="I296" s="59" t="s">
        <v>159</v>
      </c>
      <c r="J296" s="59">
        <v>3</v>
      </c>
      <c r="K296" s="59">
        <v>10</v>
      </c>
      <c r="L296" s="59">
        <v>30</v>
      </c>
      <c r="M296" s="59">
        <v>0</v>
      </c>
      <c r="N296" s="59">
        <v>0</v>
      </c>
      <c r="O296" s="59">
        <v>0</v>
      </c>
      <c r="P296" s="59">
        <v>100</v>
      </c>
      <c r="Q296" s="59">
        <v>0</v>
      </c>
      <c r="R296" s="59">
        <v>0</v>
      </c>
      <c r="S296" s="59">
        <v>0</v>
      </c>
      <c r="T296" s="59">
        <v>0</v>
      </c>
      <c r="U296" s="59">
        <v>0</v>
      </c>
      <c r="V296" s="59">
        <v>0</v>
      </c>
      <c r="W296" s="59">
        <v>0</v>
      </c>
      <c r="X296" s="59">
        <v>5</v>
      </c>
      <c r="Y296" s="59">
        <v>0</v>
      </c>
      <c r="Z296" s="59">
        <v>0</v>
      </c>
      <c r="AA296" s="59">
        <v>0</v>
      </c>
      <c r="AB296" s="59">
        <v>0</v>
      </c>
      <c r="AC296" s="59">
        <v>0</v>
      </c>
      <c r="AD296" s="59">
        <v>0</v>
      </c>
      <c r="AE296" s="59">
        <v>0</v>
      </c>
      <c r="AF296" s="59">
        <v>20</v>
      </c>
      <c r="AG296" s="59">
        <v>0</v>
      </c>
      <c r="AH296" s="59">
        <v>5.0000000000000001E-3</v>
      </c>
      <c r="AI296" s="59">
        <v>0</v>
      </c>
      <c r="AJ296" s="59">
        <v>0</v>
      </c>
      <c r="AK296" s="59">
        <v>20009</v>
      </c>
      <c r="AL296" s="59">
        <v>4</v>
      </c>
      <c r="AM296" s="59">
        <v>9000</v>
      </c>
      <c r="AN296" s="59" t="s">
        <v>48</v>
      </c>
      <c r="AO296" s="59" t="s">
        <v>744</v>
      </c>
    </row>
    <row r="297" spans="1:41" ht="16.5">
      <c r="A297" s="59">
        <v>20529</v>
      </c>
      <c r="B297" s="59" t="s">
        <v>1057</v>
      </c>
      <c r="C297" s="59" t="s">
        <v>166</v>
      </c>
      <c r="D297" s="59" t="s">
        <v>123</v>
      </c>
      <c r="E297" s="60">
        <v>11024</v>
      </c>
      <c r="F297" s="59">
        <v>5000</v>
      </c>
      <c r="G297" s="59">
        <v>300</v>
      </c>
      <c r="H297" s="59">
        <v>50</v>
      </c>
      <c r="I297" s="59" t="s">
        <v>159</v>
      </c>
      <c r="J297" s="59">
        <v>3</v>
      </c>
      <c r="K297" s="59">
        <v>10</v>
      </c>
      <c r="L297" s="59">
        <v>30</v>
      </c>
      <c r="M297" s="59">
        <v>0</v>
      </c>
      <c r="N297" s="59">
        <v>0</v>
      </c>
      <c r="O297" s="59">
        <v>0</v>
      </c>
      <c r="P297" s="59">
        <v>100</v>
      </c>
      <c r="Q297" s="59">
        <v>0</v>
      </c>
      <c r="R297" s="59">
        <v>0</v>
      </c>
      <c r="S297" s="59">
        <v>0</v>
      </c>
      <c r="T297" s="59">
        <v>0</v>
      </c>
      <c r="U297" s="59">
        <v>0</v>
      </c>
      <c r="V297" s="59">
        <v>0</v>
      </c>
      <c r="W297" s="59">
        <v>0</v>
      </c>
      <c r="X297" s="59">
        <v>5</v>
      </c>
      <c r="Y297" s="59">
        <v>0</v>
      </c>
      <c r="Z297" s="59">
        <v>0</v>
      </c>
      <c r="AA297" s="59">
        <v>0</v>
      </c>
      <c r="AB297" s="59">
        <v>0</v>
      </c>
      <c r="AC297" s="59">
        <v>0</v>
      </c>
      <c r="AD297" s="59">
        <v>0</v>
      </c>
      <c r="AE297" s="59">
        <v>0</v>
      </c>
      <c r="AF297" s="59">
        <v>20</v>
      </c>
      <c r="AG297" s="59">
        <v>0</v>
      </c>
      <c r="AH297" s="59">
        <v>5.0000000000000001E-3</v>
      </c>
      <c r="AI297" s="59">
        <v>0</v>
      </c>
      <c r="AJ297" s="59">
        <v>0</v>
      </c>
      <c r="AK297" s="59">
        <v>20009</v>
      </c>
      <c r="AL297" s="59">
        <v>4</v>
      </c>
      <c r="AM297" s="59">
        <v>9000</v>
      </c>
      <c r="AN297" s="59" t="s">
        <v>48</v>
      </c>
      <c r="AO297" s="59" t="s">
        <v>744</v>
      </c>
    </row>
    <row r="298" spans="1:41" ht="16.5">
      <c r="A298" s="59">
        <v>20530</v>
      </c>
      <c r="B298" s="59" t="s">
        <v>1058</v>
      </c>
      <c r="C298" s="59" t="s">
        <v>166</v>
      </c>
      <c r="D298" s="59" t="s">
        <v>123</v>
      </c>
      <c r="E298" s="60">
        <v>11024</v>
      </c>
      <c r="F298" s="59">
        <v>5000</v>
      </c>
      <c r="G298" s="59">
        <v>300</v>
      </c>
      <c r="H298" s="59">
        <v>50</v>
      </c>
      <c r="I298" s="59" t="s">
        <v>159</v>
      </c>
      <c r="J298" s="59">
        <v>3</v>
      </c>
      <c r="K298" s="59">
        <v>10</v>
      </c>
      <c r="L298" s="59">
        <v>30</v>
      </c>
      <c r="M298" s="59">
        <v>0</v>
      </c>
      <c r="N298" s="59">
        <v>0</v>
      </c>
      <c r="O298" s="59">
        <v>0</v>
      </c>
      <c r="P298" s="59">
        <v>100</v>
      </c>
      <c r="Q298" s="59">
        <v>0</v>
      </c>
      <c r="R298" s="59">
        <v>0</v>
      </c>
      <c r="S298" s="59">
        <v>0</v>
      </c>
      <c r="T298" s="59">
        <v>0</v>
      </c>
      <c r="U298" s="59">
        <v>0</v>
      </c>
      <c r="V298" s="59">
        <v>0</v>
      </c>
      <c r="W298" s="59">
        <v>0</v>
      </c>
      <c r="X298" s="59">
        <v>5</v>
      </c>
      <c r="Y298" s="59">
        <v>0</v>
      </c>
      <c r="Z298" s="59">
        <v>0</v>
      </c>
      <c r="AA298" s="59">
        <v>0</v>
      </c>
      <c r="AB298" s="59">
        <v>0</v>
      </c>
      <c r="AC298" s="59">
        <v>0</v>
      </c>
      <c r="AD298" s="59">
        <v>0</v>
      </c>
      <c r="AE298" s="59">
        <v>0</v>
      </c>
      <c r="AF298" s="59">
        <v>20</v>
      </c>
      <c r="AG298" s="59">
        <v>0</v>
      </c>
      <c r="AH298" s="59">
        <v>5.0000000000000001E-3</v>
      </c>
      <c r="AI298" s="59">
        <v>0</v>
      </c>
      <c r="AJ298" s="59">
        <v>0</v>
      </c>
      <c r="AK298" s="59">
        <v>20009</v>
      </c>
      <c r="AL298" s="59">
        <v>4</v>
      </c>
      <c r="AM298" s="59">
        <v>9000</v>
      </c>
      <c r="AN298" s="59" t="s">
        <v>48</v>
      </c>
      <c r="AO298" s="59" t="s">
        <v>744</v>
      </c>
    </row>
    <row r="299" spans="1:41" ht="16.5">
      <c r="A299" s="59">
        <v>205311</v>
      </c>
      <c r="B299" s="59" t="s">
        <v>1059</v>
      </c>
      <c r="C299" s="59" t="s">
        <v>166</v>
      </c>
      <c r="D299" s="59" t="s">
        <v>123</v>
      </c>
      <c r="E299" s="60">
        <v>11024</v>
      </c>
      <c r="F299" s="59">
        <v>5000</v>
      </c>
      <c r="G299" s="59">
        <v>300</v>
      </c>
      <c r="H299" s="59">
        <v>50</v>
      </c>
      <c r="I299" s="59" t="s">
        <v>159</v>
      </c>
      <c r="J299" s="59">
        <v>3</v>
      </c>
      <c r="K299" s="59">
        <v>10</v>
      </c>
      <c r="L299" s="59">
        <v>30</v>
      </c>
      <c r="M299" s="59">
        <v>0</v>
      </c>
      <c r="N299" s="59">
        <v>0</v>
      </c>
      <c r="O299" s="59">
        <v>0</v>
      </c>
      <c r="P299" s="59">
        <v>100</v>
      </c>
      <c r="Q299" s="59">
        <v>0</v>
      </c>
      <c r="R299" s="59">
        <v>0</v>
      </c>
      <c r="S299" s="59">
        <v>0</v>
      </c>
      <c r="T299" s="59">
        <v>0</v>
      </c>
      <c r="U299" s="59">
        <v>0</v>
      </c>
      <c r="V299" s="59">
        <v>0</v>
      </c>
      <c r="W299" s="59">
        <v>0</v>
      </c>
      <c r="X299" s="59">
        <v>5</v>
      </c>
      <c r="Y299" s="59">
        <v>0</v>
      </c>
      <c r="Z299" s="59">
        <v>0</v>
      </c>
      <c r="AA299" s="59">
        <v>0</v>
      </c>
      <c r="AB299" s="59">
        <v>0</v>
      </c>
      <c r="AC299" s="59">
        <v>0</v>
      </c>
      <c r="AD299" s="59">
        <v>0</v>
      </c>
      <c r="AE299" s="59">
        <v>0</v>
      </c>
      <c r="AF299" s="59">
        <v>20</v>
      </c>
      <c r="AG299" s="59">
        <v>0</v>
      </c>
      <c r="AH299" s="59">
        <v>5.0000000000000001E-3</v>
      </c>
      <c r="AI299" s="59">
        <v>0</v>
      </c>
      <c r="AJ299" s="59">
        <v>0</v>
      </c>
      <c r="AK299" s="59">
        <v>20009</v>
      </c>
      <c r="AL299" s="59">
        <v>4</v>
      </c>
      <c r="AM299" s="59">
        <v>9000</v>
      </c>
      <c r="AN299" s="59" t="s">
        <v>48</v>
      </c>
      <c r="AO299" s="59" t="s">
        <v>744</v>
      </c>
    </row>
    <row r="300" spans="1:41" ht="16.5">
      <c r="A300" s="59">
        <v>205312</v>
      </c>
      <c r="B300" s="59" t="s">
        <v>1060</v>
      </c>
      <c r="C300" s="59" t="s">
        <v>166</v>
      </c>
      <c r="D300" s="59" t="s">
        <v>123</v>
      </c>
      <c r="E300" s="60">
        <v>11024</v>
      </c>
      <c r="F300" s="59">
        <v>5000</v>
      </c>
      <c r="G300" s="59">
        <v>300</v>
      </c>
      <c r="H300" s="59">
        <v>50</v>
      </c>
      <c r="I300" s="59" t="s">
        <v>159</v>
      </c>
      <c r="J300" s="59">
        <v>3</v>
      </c>
      <c r="K300" s="59">
        <v>10</v>
      </c>
      <c r="L300" s="59">
        <v>30</v>
      </c>
      <c r="M300" s="59">
        <v>0</v>
      </c>
      <c r="N300" s="59">
        <v>0</v>
      </c>
      <c r="O300" s="59">
        <v>0</v>
      </c>
      <c r="P300" s="59">
        <v>100</v>
      </c>
      <c r="Q300" s="59">
        <v>0</v>
      </c>
      <c r="R300" s="59">
        <v>0</v>
      </c>
      <c r="S300" s="59">
        <v>0</v>
      </c>
      <c r="T300" s="59">
        <v>0</v>
      </c>
      <c r="U300" s="59">
        <v>0</v>
      </c>
      <c r="V300" s="59">
        <v>0</v>
      </c>
      <c r="W300" s="59">
        <v>0</v>
      </c>
      <c r="X300" s="59">
        <v>5</v>
      </c>
      <c r="Y300" s="59">
        <v>0</v>
      </c>
      <c r="Z300" s="59">
        <v>0</v>
      </c>
      <c r="AA300" s="59">
        <v>0</v>
      </c>
      <c r="AB300" s="59">
        <v>0</v>
      </c>
      <c r="AC300" s="59">
        <v>0</v>
      </c>
      <c r="AD300" s="59">
        <v>0</v>
      </c>
      <c r="AE300" s="59">
        <v>0</v>
      </c>
      <c r="AF300" s="59">
        <v>20</v>
      </c>
      <c r="AG300" s="59">
        <v>0</v>
      </c>
      <c r="AH300" s="59">
        <v>5.0000000000000001E-3</v>
      </c>
      <c r="AI300" s="59">
        <v>0</v>
      </c>
      <c r="AJ300" s="59">
        <v>0</v>
      </c>
      <c r="AK300" s="59">
        <v>20009</v>
      </c>
      <c r="AL300" s="59">
        <v>4</v>
      </c>
      <c r="AM300" s="59">
        <v>9000</v>
      </c>
      <c r="AN300" s="59" t="s">
        <v>48</v>
      </c>
      <c r="AO300" s="59" t="s">
        <v>744</v>
      </c>
    </row>
    <row r="301" spans="1:41" ht="16.5">
      <c r="A301" s="52">
        <v>411</v>
      </c>
      <c r="B301" s="53" t="s">
        <v>1061</v>
      </c>
      <c r="C301" s="53" t="s">
        <v>698</v>
      </c>
      <c r="D301" s="54" t="s">
        <v>116</v>
      </c>
      <c r="E301" s="55">
        <v>11013</v>
      </c>
      <c r="F301" s="66">
        <v>5000</v>
      </c>
      <c r="G301" s="52">
        <v>300</v>
      </c>
      <c r="H301" s="52">
        <v>50</v>
      </c>
      <c r="I301" s="54" t="s">
        <v>718</v>
      </c>
      <c r="J301" s="52">
        <v>3</v>
      </c>
      <c r="K301" s="52">
        <v>10</v>
      </c>
      <c r="L301" s="52">
        <v>30</v>
      </c>
      <c r="M301" s="52">
        <v>0</v>
      </c>
      <c r="N301" s="52">
        <v>0</v>
      </c>
      <c r="O301" s="52">
        <v>80</v>
      </c>
      <c r="P301" s="52">
        <v>0</v>
      </c>
      <c r="Q301" s="52">
        <v>0</v>
      </c>
      <c r="R301" s="52">
        <v>0</v>
      </c>
      <c r="S301" s="52">
        <v>0</v>
      </c>
      <c r="T301" s="52">
        <v>0</v>
      </c>
      <c r="U301" s="52">
        <v>0</v>
      </c>
      <c r="V301" s="52">
        <v>0</v>
      </c>
      <c r="W301" s="52">
        <v>4</v>
      </c>
      <c r="X301" s="52">
        <v>0</v>
      </c>
      <c r="Y301" s="52">
        <v>0</v>
      </c>
      <c r="Z301" s="52">
        <v>0</v>
      </c>
      <c r="AA301" s="52">
        <v>0</v>
      </c>
      <c r="AB301" s="52">
        <v>0</v>
      </c>
      <c r="AC301" s="56">
        <v>0</v>
      </c>
      <c r="AD301" s="56">
        <v>0</v>
      </c>
      <c r="AE301" s="56">
        <v>16</v>
      </c>
      <c r="AF301" s="56">
        <v>0</v>
      </c>
      <c r="AG301" s="56">
        <v>0</v>
      </c>
      <c r="AH301" s="56">
        <v>0</v>
      </c>
      <c r="AI301" s="57">
        <v>0</v>
      </c>
      <c r="AJ301" s="56">
        <v>8.0000000000000002E-3</v>
      </c>
      <c r="AK301" s="56" t="s">
        <v>713</v>
      </c>
      <c r="AL301" s="52">
        <v>2</v>
      </c>
      <c r="AM301" s="56">
        <v>6000</v>
      </c>
      <c r="AN301" s="52" t="s">
        <v>63</v>
      </c>
      <c r="AO301" s="52" t="s">
        <v>737</v>
      </c>
    </row>
    <row r="302" spans="1:41" ht="16.5">
      <c r="A302" s="52">
        <v>412</v>
      </c>
      <c r="B302" s="53" t="s">
        <v>1062</v>
      </c>
      <c r="C302" s="53" t="s">
        <v>698</v>
      </c>
      <c r="D302" s="54" t="s">
        <v>116</v>
      </c>
      <c r="E302" s="55">
        <v>11013</v>
      </c>
      <c r="F302" s="66">
        <v>5000</v>
      </c>
      <c r="G302" s="52">
        <v>300</v>
      </c>
      <c r="H302" s="52">
        <v>50</v>
      </c>
      <c r="I302" s="54" t="s">
        <v>718</v>
      </c>
      <c r="J302" s="52">
        <v>3</v>
      </c>
      <c r="K302" s="52">
        <v>10</v>
      </c>
      <c r="L302" s="52">
        <v>30</v>
      </c>
      <c r="M302" s="52">
        <v>0</v>
      </c>
      <c r="N302" s="52">
        <v>0</v>
      </c>
      <c r="O302" s="52">
        <v>80</v>
      </c>
      <c r="P302" s="52">
        <v>0</v>
      </c>
      <c r="Q302" s="52">
        <v>0</v>
      </c>
      <c r="R302" s="52">
        <v>0</v>
      </c>
      <c r="S302" s="52">
        <v>0</v>
      </c>
      <c r="T302" s="52">
        <v>0</v>
      </c>
      <c r="U302" s="52">
        <v>0</v>
      </c>
      <c r="V302" s="52">
        <v>0</v>
      </c>
      <c r="W302" s="52">
        <v>4</v>
      </c>
      <c r="X302" s="52">
        <v>0</v>
      </c>
      <c r="Y302" s="52">
        <v>0</v>
      </c>
      <c r="Z302" s="52">
        <v>0</v>
      </c>
      <c r="AA302" s="52">
        <v>0</v>
      </c>
      <c r="AB302" s="52">
        <v>0</v>
      </c>
      <c r="AC302" s="56">
        <v>0</v>
      </c>
      <c r="AD302" s="56">
        <v>0</v>
      </c>
      <c r="AE302" s="56">
        <v>16</v>
      </c>
      <c r="AF302" s="56">
        <v>0</v>
      </c>
      <c r="AG302" s="56">
        <v>0</v>
      </c>
      <c r="AH302" s="56">
        <v>0</v>
      </c>
      <c r="AI302" s="57">
        <v>0</v>
      </c>
      <c r="AJ302" s="56">
        <v>8.0000000000000002E-3</v>
      </c>
      <c r="AK302" s="56" t="s">
        <v>713</v>
      </c>
      <c r="AL302" s="52">
        <v>2</v>
      </c>
      <c r="AM302" s="56">
        <v>6000</v>
      </c>
      <c r="AN302" s="52" t="s">
        <v>63</v>
      </c>
      <c r="AO302" s="52" t="s">
        <v>737</v>
      </c>
    </row>
    <row r="303" spans="1:41" ht="16.5">
      <c r="A303" s="52">
        <v>2041</v>
      </c>
      <c r="B303" s="53" t="s">
        <v>1063</v>
      </c>
      <c r="C303" s="53" t="s">
        <v>698</v>
      </c>
      <c r="D303" s="54" t="s">
        <v>116</v>
      </c>
      <c r="E303" s="55">
        <v>11013</v>
      </c>
      <c r="F303" s="66">
        <v>5000</v>
      </c>
      <c r="G303" s="52">
        <v>300</v>
      </c>
      <c r="H303" s="52">
        <v>50</v>
      </c>
      <c r="I303" s="54" t="s">
        <v>718</v>
      </c>
      <c r="J303" s="52">
        <v>3</v>
      </c>
      <c r="K303" s="52">
        <v>10</v>
      </c>
      <c r="L303" s="52">
        <v>30</v>
      </c>
      <c r="M303" s="52">
        <v>0</v>
      </c>
      <c r="N303" s="52">
        <v>0</v>
      </c>
      <c r="O303" s="52">
        <v>80</v>
      </c>
      <c r="P303" s="52">
        <v>0</v>
      </c>
      <c r="Q303" s="52">
        <v>0</v>
      </c>
      <c r="R303" s="52">
        <v>0</v>
      </c>
      <c r="S303" s="52">
        <v>0</v>
      </c>
      <c r="T303" s="52">
        <v>0</v>
      </c>
      <c r="U303" s="52">
        <v>0</v>
      </c>
      <c r="V303" s="52">
        <v>0</v>
      </c>
      <c r="W303" s="52">
        <v>4</v>
      </c>
      <c r="X303" s="52">
        <v>0</v>
      </c>
      <c r="Y303" s="52">
        <v>0</v>
      </c>
      <c r="Z303" s="52">
        <v>0</v>
      </c>
      <c r="AA303" s="52">
        <v>0</v>
      </c>
      <c r="AB303" s="52">
        <v>0</v>
      </c>
      <c r="AC303" s="56">
        <v>0</v>
      </c>
      <c r="AD303" s="56">
        <v>0</v>
      </c>
      <c r="AE303" s="56">
        <v>16</v>
      </c>
      <c r="AF303" s="56">
        <v>0</v>
      </c>
      <c r="AG303" s="56">
        <v>0</v>
      </c>
      <c r="AH303" s="56">
        <v>0</v>
      </c>
      <c r="AI303" s="57">
        <v>0</v>
      </c>
      <c r="AJ303" s="56">
        <v>8.0000000000000002E-3</v>
      </c>
      <c r="AK303" s="56" t="s">
        <v>713</v>
      </c>
      <c r="AL303" s="52">
        <v>2</v>
      </c>
      <c r="AM303" s="56">
        <v>6000</v>
      </c>
      <c r="AN303" s="52" t="s">
        <v>63</v>
      </c>
      <c r="AO303" s="52" t="s">
        <v>737</v>
      </c>
    </row>
    <row r="304" spans="1:41" ht="16.5">
      <c r="A304" s="52">
        <v>20411</v>
      </c>
      <c r="B304" s="53" t="s">
        <v>1064</v>
      </c>
      <c r="C304" s="53" t="s">
        <v>698</v>
      </c>
      <c r="D304" s="54" t="s">
        <v>116</v>
      </c>
      <c r="E304" s="55">
        <v>11013</v>
      </c>
      <c r="F304" s="66">
        <v>5000</v>
      </c>
      <c r="G304" s="52">
        <v>300</v>
      </c>
      <c r="H304" s="52">
        <v>50</v>
      </c>
      <c r="I304" s="54" t="s">
        <v>718</v>
      </c>
      <c r="J304" s="52">
        <v>3</v>
      </c>
      <c r="K304" s="52">
        <v>10</v>
      </c>
      <c r="L304" s="52">
        <v>30</v>
      </c>
      <c r="M304" s="52">
        <v>0</v>
      </c>
      <c r="N304" s="52">
        <v>0</v>
      </c>
      <c r="O304" s="52">
        <v>80</v>
      </c>
      <c r="P304" s="52">
        <v>0</v>
      </c>
      <c r="Q304" s="52">
        <v>0</v>
      </c>
      <c r="R304" s="52">
        <v>0</v>
      </c>
      <c r="S304" s="52">
        <v>0</v>
      </c>
      <c r="T304" s="52">
        <v>0</v>
      </c>
      <c r="U304" s="52">
        <v>0</v>
      </c>
      <c r="V304" s="52">
        <v>0</v>
      </c>
      <c r="W304" s="52">
        <v>4</v>
      </c>
      <c r="X304" s="52">
        <v>0</v>
      </c>
      <c r="Y304" s="52">
        <v>0</v>
      </c>
      <c r="Z304" s="52">
        <v>0</v>
      </c>
      <c r="AA304" s="52">
        <v>0</v>
      </c>
      <c r="AB304" s="52">
        <v>0</v>
      </c>
      <c r="AC304" s="56">
        <v>0</v>
      </c>
      <c r="AD304" s="56">
        <v>0</v>
      </c>
      <c r="AE304" s="56">
        <v>16</v>
      </c>
      <c r="AF304" s="56">
        <v>0</v>
      </c>
      <c r="AG304" s="56">
        <v>0</v>
      </c>
      <c r="AH304" s="56">
        <v>0</v>
      </c>
      <c r="AI304" s="57">
        <v>0</v>
      </c>
      <c r="AJ304" s="56">
        <v>8.0000000000000002E-3</v>
      </c>
      <c r="AK304" s="56" t="s">
        <v>713</v>
      </c>
      <c r="AL304" s="52">
        <v>2</v>
      </c>
      <c r="AM304" s="56">
        <v>6000</v>
      </c>
      <c r="AN304" s="52" t="s">
        <v>63</v>
      </c>
      <c r="AO304" s="52" t="s">
        <v>737</v>
      </c>
    </row>
    <row r="305" spans="1:41" ht="16.5">
      <c r="A305" s="52">
        <v>20412</v>
      </c>
      <c r="B305" s="53" t="s">
        <v>1065</v>
      </c>
      <c r="C305" s="53" t="s">
        <v>698</v>
      </c>
      <c r="D305" s="54" t="s">
        <v>116</v>
      </c>
      <c r="E305" s="55">
        <v>11013</v>
      </c>
      <c r="F305" s="66">
        <v>5000</v>
      </c>
      <c r="G305" s="52">
        <v>300</v>
      </c>
      <c r="H305" s="52">
        <v>50</v>
      </c>
      <c r="I305" s="54" t="s">
        <v>718</v>
      </c>
      <c r="J305" s="52">
        <v>3</v>
      </c>
      <c r="K305" s="52">
        <v>10</v>
      </c>
      <c r="L305" s="52">
        <v>30</v>
      </c>
      <c r="M305" s="52">
        <v>0</v>
      </c>
      <c r="N305" s="52">
        <v>0</v>
      </c>
      <c r="O305" s="52">
        <v>80</v>
      </c>
      <c r="P305" s="52">
        <v>0</v>
      </c>
      <c r="Q305" s="52">
        <v>0</v>
      </c>
      <c r="R305" s="52">
        <v>0</v>
      </c>
      <c r="S305" s="52">
        <v>0</v>
      </c>
      <c r="T305" s="52">
        <v>0</v>
      </c>
      <c r="U305" s="52">
        <v>0</v>
      </c>
      <c r="V305" s="52">
        <v>0</v>
      </c>
      <c r="W305" s="52">
        <v>4</v>
      </c>
      <c r="X305" s="52">
        <v>0</v>
      </c>
      <c r="Y305" s="52">
        <v>0</v>
      </c>
      <c r="Z305" s="52">
        <v>0</v>
      </c>
      <c r="AA305" s="52">
        <v>0</v>
      </c>
      <c r="AB305" s="52">
        <v>0</v>
      </c>
      <c r="AC305" s="56">
        <v>0</v>
      </c>
      <c r="AD305" s="56">
        <v>0</v>
      </c>
      <c r="AE305" s="56">
        <v>16</v>
      </c>
      <c r="AF305" s="56">
        <v>0</v>
      </c>
      <c r="AG305" s="56">
        <v>0</v>
      </c>
      <c r="AH305" s="56">
        <v>0</v>
      </c>
      <c r="AI305" s="57">
        <v>0</v>
      </c>
      <c r="AJ305" s="56">
        <v>8.0000000000000002E-3</v>
      </c>
      <c r="AK305" s="56" t="s">
        <v>713</v>
      </c>
      <c r="AL305" s="52">
        <v>2</v>
      </c>
      <c r="AM305" s="56">
        <v>6000</v>
      </c>
      <c r="AN305" s="52" t="s">
        <v>63</v>
      </c>
      <c r="AO305" s="52" t="s">
        <v>737</v>
      </c>
    </row>
    <row r="306" spans="1:41" ht="16.5">
      <c r="A306" s="52">
        <v>20413</v>
      </c>
      <c r="B306" s="53" t="s">
        <v>1066</v>
      </c>
      <c r="C306" s="53" t="s">
        <v>698</v>
      </c>
      <c r="D306" s="54" t="s">
        <v>116</v>
      </c>
      <c r="E306" s="55">
        <v>11013</v>
      </c>
      <c r="F306" s="66">
        <v>5000</v>
      </c>
      <c r="G306" s="52">
        <v>300</v>
      </c>
      <c r="H306" s="52">
        <v>50</v>
      </c>
      <c r="I306" s="54" t="s">
        <v>718</v>
      </c>
      <c r="J306" s="52">
        <v>3</v>
      </c>
      <c r="K306" s="52">
        <v>10</v>
      </c>
      <c r="L306" s="52">
        <v>30</v>
      </c>
      <c r="M306" s="52">
        <v>0</v>
      </c>
      <c r="N306" s="52">
        <v>0</v>
      </c>
      <c r="O306" s="52">
        <v>80</v>
      </c>
      <c r="P306" s="52">
        <v>0</v>
      </c>
      <c r="Q306" s="52">
        <v>0</v>
      </c>
      <c r="R306" s="52">
        <v>0</v>
      </c>
      <c r="S306" s="52">
        <v>0</v>
      </c>
      <c r="T306" s="52">
        <v>0</v>
      </c>
      <c r="U306" s="52">
        <v>0</v>
      </c>
      <c r="V306" s="52">
        <v>0</v>
      </c>
      <c r="W306" s="52">
        <v>4</v>
      </c>
      <c r="X306" s="52">
        <v>0</v>
      </c>
      <c r="Y306" s="52">
        <v>0</v>
      </c>
      <c r="Z306" s="52">
        <v>0</v>
      </c>
      <c r="AA306" s="52">
        <v>0</v>
      </c>
      <c r="AB306" s="52">
        <v>0</v>
      </c>
      <c r="AC306" s="56">
        <v>0</v>
      </c>
      <c r="AD306" s="56">
        <v>0</v>
      </c>
      <c r="AE306" s="56">
        <v>16</v>
      </c>
      <c r="AF306" s="56">
        <v>0</v>
      </c>
      <c r="AG306" s="56">
        <v>0</v>
      </c>
      <c r="AH306" s="56">
        <v>0</v>
      </c>
      <c r="AI306" s="57">
        <v>0</v>
      </c>
      <c r="AJ306" s="56">
        <v>8.0000000000000002E-3</v>
      </c>
      <c r="AK306" s="56" t="s">
        <v>713</v>
      </c>
      <c r="AL306" s="52">
        <v>2</v>
      </c>
      <c r="AM306" s="56">
        <v>6000</v>
      </c>
      <c r="AN306" s="52" t="s">
        <v>63</v>
      </c>
      <c r="AO306" s="52" t="s">
        <v>737</v>
      </c>
    </row>
    <row r="307" spans="1:41" ht="16.5">
      <c r="A307" s="52">
        <v>20414</v>
      </c>
      <c r="B307" s="53" t="s">
        <v>1067</v>
      </c>
      <c r="C307" s="53" t="s">
        <v>698</v>
      </c>
      <c r="D307" s="54" t="s">
        <v>116</v>
      </c>
      <c r="E307" s="55">
        <v>11013</v>
      </c>
      <c r="F307" s="66">
        <v>5000</v>
      </c>
      <c r="G307" s="52">
        <v>300</v>
      </c>
      <c r="H307" s="52">
        <v>50</v>
      </c>
      <c r="I307" s="54" t="s">
        <v>718</v>
      </c>
      <c r="J307" s="52">
        <v>3</v>
      </c>
      <c r="K307" s="52">
        <v>10</v>
      </c>
      <c r="L307" s="52">
        <v>30</v>
      </c>
      <c r="M307" s="52">
        <v>0</v>
      </c>
      <c r="N307" s="52">
        <v>0</v>
      </c>
      <c r="O307" s="52">
        <v>80</v>
      </c>
      <c r="P307" s="52">
        <v>0</v>
      </c>
      <c r="Q307" s="52">
        <v>0</v>
      </c>
      <c r="R307" s="52">
        <v>0</v>
      </c>
      <c r="S307" s="52">
        <v>0</v>
      </c>
      <c r="T307" s="52">
        <v>0</v>
      </c>
      <c r="U307" s="52">
        <v>0</v>
      </c>
      <c r="V307" s="52">
        <v>0</v>
      </c>
      <c r="W307" s="52">
        <v>4</v>
      </c>
      <c r="X307" s="52">
        <v>0</v>
      </c>
      <c r="Y307" s="52">
        <v>0</v>
      </c>
      <c r="Z307" s="52">
        <v>0</v>
      </c>
      <c r="AA307" s="52">
        <v>0</v>
      </c>
      <c r="AB307" s="52">
        <v>0</v>
      </c>
      <c r="AC307" s="56">
        <v>0</v>
      </c>
      <c r="AD307" s="56">
        <v>0</v>
      </c>
      <c r="AE307" s="56">
        <v>16</v>
      </c>
      <c r="AF307" s="56">
        <v>0</v>
      </c>
      <c r="AG307" s="56">
        <v>0</v>
      </c>
      <c r="AH307" s="56">
        <v>0</v>
      </c>
      <c r="AI307" s="57">
        <v>0</v>
      </c>
      <c r="AJ307" s="56">
        <v>8.0000000000000002E-3</v>
      </c>
      <c r="AK307" s="56" t="s">
        <v>713</v>
      </c>
      <c r="AL307" s="52">
        <v>2</v>
      </c>
      <c r="AM307" s="56">
        <v>6000</v>
      </c>
      <c r="AN307" s="52" t="s">
        <v>63</v>
      </c>
      <c r="AO307" s="52" t="s">
        <v>737</v>
      </c>
    </row>
    <row r="308" spans="1:41" ht="16.5">
      <c r="A308" s="52">
        <v>20415</v>
      </c>
      <c r="B308" s="53" t="s">
        <v>1068</v>
      </c>
      <c r="C308" s="53" t="s">
        <v>698</v>
      </c>
      <c r="D308" s="54" t="s">
        <v>116</v>
      </c>
      <c r="E308" s="55">
        <v>11013</v>
      </c>
      <c r="F308" s="66">
        <v>5000</v>
      </c>
      <c r="G308" s="52">
        <v>300</v>
      </c>
      <c r="H308" s="52">
        <v>50</v>
      </c>
      <c r="I308" s="54" t="s">
        <v>718</v>
      </c>
      <c r="J308" s="52">
        <v>3</v>
      </c>
      <c r="K308" s="52">
        <v>10</v>
      </c>
      <c r="L308" s="52">
        <v>30</v>
      </c>
      <c r="M308" s="52">
        <v>0</v>
      </c>
      <c r="N308" s="52">
        <v>0</v>
      </c>
      <c r="O308" s="52">
        <v>80</v>
      </c>
      <c r="P308" s="52">
        <v>0</v>
      </c>
      <c r="Q308" s="52">
        <v>0</v>
      </c>
      <c r="R308" s="52">
        <v>0</v>
      </c>
      <c r="S308" s="52">
        <v>0</v>
      </c>
      <c r="T308" s="52">
        <v>0</v>
      </c>
      <c r="U308" s="52">
        <v>0</v>
      </c>
      <c r="V308" s="52">
        <v>0</v>
      </c>
      <c r="W308" s="52">
        <v>4</v>
      </c>
      <c r="X308" s="52">
        <v>0</v>
      </c>
      <c r="Y308" s="52">
        <v>0</v>
      </c>
      <c r="Z308" s="52">
        <v>0</v>
      </c>
      <c r="AA308" s="52">
        <v>0</v>
      </c>
      <c r="AB308" s="52">
        <v>0</v>
      </c>
      <c r="AC308" s="56">
        <v>0</v>
      </c>
      <c r="AD308" s="56">
        <v>0</v>
      </c>
      <c r="AE308" s="56">
        <v>16</v>
      </c>
      <c r="AF308" s="56">
        <v>0</v>
      </c>
      <c r="AG308" s="56">
        <v>0</v>
      </c>
      <c r="AH308" s="56">
        <v>0</v>
      </c>
      <c r="AI308" s="57">
        <v>0</v>
      </c>
      <c r="AJ308" s="56">
        <v>8.0000000000000002E-3</v>
      </c>
      <c r="AK308" s="56" t="s">
        <v>713</v>
      </c>
      <c r="AL308" s="52">
        <v>2</v>
      </c>
      <c r="AM308" s="56">
        <v>6000</v>
      </c>
      <c r="AN308" s="52" t="s">
        <v>63</v>
      </c>
      <c r="AO308" s="52" t="s">
        <v>737</v>
      </c>
    </row>
    <row r="309" spans="1:41" ht="16.5">
      <c r="A309" s="52">
        <v>20416</v>
      </c>
      <c r="B309" s="53" t="s">
        <v>1069</v>
      </c>
      <c r="C309" s="53" t="s">
        <v>698</v>
      </c>
      <c r="D309" s="54" t="s">
        <v>116</v>
      </c>
      <c r="E309" s="55">
        <v>11013</v>
      </c>
      <c r="F309" s="66">
        <v>5000</v>
      </c>
      <c r="G309" s="52">
        <v>300</v>
      </c>
      <c r="H309" s="52">
        <v>50</v>
      </c>
      <c r="I309" s="54" t="s">
        <v>718</v>
      </c>
      <c r="J309" s="52">
        <v>3</v>
      </c>
      <c r="K309" s="52">
        <v>10</v>
      </c>
      <c r="L309" s="52">
        <v>30</v>
      </c>
      <c r="M309" s="52">
        <v>0</v>
      </c>
      <c r="N309" s="52">
        <v>0</v>
      </c>
      <c r="O309" s="52">
        <v>80</v>
      </c>
      <c r="P309" s="52">
        <v>0</v>
      </c>
      <c r="Q309" s="52">
        <v>0</v>
      </c>
      <c r="R309" s="52">
        <v>0</v>
      </c>
      <c r="S309" s="52">
        <v>0</v>
      </c>
      <c r="T309" s="52">
        <v>0</v>
      </c>
      <c r="U309" s="52">
        <v>0</v>
      </c>
      <c r="V309" s="52">
        <v>0</v>
      </c>
      <c r="W309" s="52">
        <v>4</v>
      </c>
      <c r="X309" s="52">
        <v>0</v>
      </c>
      <c r="Y309" s="52">
        <v>0</v>
      </c>
      <c r="Z309" s="52">
        <v>0</v>
      </c>
      <c r="AA309" s="52">
        <v>0</v>
      </c>
      <c r="AB309" s="52">
        <v>0</v>
      </c>
      <c r="AC309" s="56">
        <v>0</v>
      </c>
      <c r="AD309" s="56">
        <v>0</v>
      </c>
      <c r="AE309" s="56">
        <v>16</v>
      </c>
      <c r="AF309" s="56">
        <v>0</v>
      </c>
      <c r="AG309" s="56">
        <v>0</v>
      </c>
      <c r="AH309" s="56">
        <v>0</v>
      </c>
      <c r="AI309" s="57">
        <v>0</v>
      </c>
      <c r="AJ309" s="56">
        <v>8.0000000000000002E-3</v>
      </c>
      <c r="AK309" s="56" t="s">
        <v>713</v>
      </c>
      <c r="AL309" s="52">
        <v>2</v>
      </c>
      <c r="AM309" s="56">
        <v>6000</v>
      </c>
      <c r="AN309" s="52" t="s">
        <v>63</v>
      </c>
      <c r="AO309" s="52" t="s">
        <v>737</v>
      </c>
    </row>
    <row r="310" spans="1:41" ht="16.5">
      <c r="A310" s="52">
        <v>20417</v>
      </c>
      <c r="B310" s="53" t="s">
        <v>1070</v>
      </c>
      <c r="C310" s="53" t="s">
        <v>698</v>
      </c>
      <c r="D310" s="54" t="s">
        <v>116</v>
      </c>
      <c r="E310" s="55">
        <v>11013</v>
      </c>
      <c r="F310" s="66">
        <v>5000</v>
      </c>
      <c r="G310" s="52">
        <v>300</v>
      </c>
      <c r="H310" s="52">
        <v>50</v>
      </c>
      <c r="I310" s="54" t="s">
        <v>718</v>
      </c>
      <c r="J310" s="52">
        <v>3</v>
      </c>
      <c r="K310" s="52">
        <v>10</v>
      </c>
      <c r="L310" s="52">
        <v>30</v>
      </c>
      <c r="M310" s="52">
        <v>0</v>
      </c>
      <c r="N310" s="52">
        <v>0</v>
      </c>
      <c r="O310" s="52">
        <v>80</v>
      </c>
      <c r="P310" s="52">
        <v>0</v>
      </c>
      <c r="Q310" s="52">
        <v>0</v>
      </c>
      <c r="R310" s="52">
        <v>0</v>
      </c>
      <c r="S310" s="52">
        <v>0</v>
      </c>
      <c r="T310" s="52">
        <v>0</v>
      </c>
      <c r="U310" s="52">
        <v>0</v>
      </c>
      <c r="V310" s="52">
        <v>0</v>
      </c>
      <c r="W310" s="52">
        <v>4</v>
      </c>
      <c r="X310" s="52">
        <v>0</v>
      </c>
      <c r="Y310" s="52">
        <v>0</v>
      </c>
      <c r="Z310" s="52">
        <v>0</v>
      </c>
      <c r="AA310" s="52">
        <v>0</v>
      </c>
      <c r="AB310" s="52">
        <v>0</v>
      </c>
      <c r="AC310" s="56">
        <v>0</v>
      </c>
      <c r="AD310" s="56">
        <v>0</v>
      </c>
      <c r="AE310" s="56">
        <v>16</v>
      </c>
      <c r="AF310" s="56">
        <v>0</v>
      </c>
      <c r="AG310" s="56">
        <v>0</v>
      </c>
      <c r="AH310" s="56">
        <v>0</v>
      </c>
      <c r="AI310" s="57">
        <v>0</v>
      </c>
      <c r="AJ310" s="56">
        <v>8.0000000000000002E-3</v>
      </c>
      <c r="AK310" s="56" t="s">
        <v>713</v>
      </c>
      <c r="AL310" s="52">
        <v>2</v>
      </c>
      <c r="AM310" s="56">
        <v>6000</v>
      </c>
      <c r="AN310" s="52" t="s">
        <v>63</v>
      </c>
      <c r="AO310" s="52" t="s">
        <v>737</v>
      </c>
    </row>
    <row r="311" spans="1:41" ht="16.5">
      <c r="A311" s="52">
        <v>20418</v>
      </c>
      <c r="B311" s="53" t="s">
        <v>1071</v>
      </c>
      <c r="C311" s="53" t="s">
        <v>698</v>
      </c>
      <c r="D311" s="54" t="s">
        <v>116</v>
      </c>
      <c r="E311" s="55">
        <v>11013</v>
      </c>
      <c r="F311" s="66">
        <v>5000</v>
      </c>
      <c r="G311" s="52">
        <v>300</v>
      </c>
      <c r="H311" s="52">
        <v>50</v>
      </c>
      <c r="I311" s="54" t="s">
        <v>718</v>
      </c>
      <c r="J311" s="52">
        <v>3</v>
      </c>
      <c r="K311" s="52">
        <v>10</v>
      </c>
      <c r="L311" s="52">
        <v>30</v>
      </c>
      <c r="M311" s="52">
        <v>0</v>
      </c>
      <c r="N311" s="52">
        <v>0</v>
      </c>
      <c r="O311" s="52">
        <v>80</v>
      </c>
      <c r="P311" s="52">
        <v>0</v>
      </c>
      <c r="Q311" s="52">
        <v>0</v>
      </c>
      <c r="R311" s="52">
        <v>0</v>
      </c>
      <c r="S311" s="52">
        <v>0</v>
      </c>
      <c r="T311" s="52">
        <v>0</v>
      </c>
      <c r="U311" s="52">
        <v>0</v>
      </c>
      <c r="V311" s="52">
        <v>0</v>
      </c>
      <c r="W311" s="52">
        <v>4</v>
      </c>
      <c r="X311" s="52">
        <v>0</v>
      </c>
      <c r="Y311" s="52">
        <v>0</v>
      </c>
      <c r="Z311" s="52">
        <v>0</v>
      </c>
      <c r="AA311" s="52">
        <v>0</v>
      </c>
      <c r="AB311" s="52">
        <v>0</v>
      </c>
      <c r="AC311" s="56">
        <v>0</v>
      </c>
      <c r="AD311" s="56">
        <v>0</v>
      </c>
      <c r="AE311" s="56">
        <v>16</v>
      </c>
      <c r="AF311" s="56">
        <v>0</v>
      </c>
      <c r="AG311" s="56">
        <v>0</v>
      </c>
      <c r="AH311" s="56">
        <v>0</v>
      </c>
      <c r="AI311" s="57">
        <v>0</v>
      </c>
      <c r="AJ311" s="56">
        <v>8.0000000000000002E-3</v>
      </c>
      <c r="AK311" s="56" t="s">
        <v>713</v>
      </c>
      <c r="AL311" s="52">
        <v>2</v>
      </c>
      <c r="AM311" s="56">
        <v>6000</v>
      </c>
      <c r="AN311" s="52" t="s">
        <v>63</v>
      </c>
      <c r="AO311" s="52" t="s">
        <v>737</v>
      </c>
    </row>
    <row r="312" spans="1:41" ht="16.5">
      <c r="A312" s="52">
        <v>20419</v>
      </c>
      <c r="B312" s="53" t="s">
        <v>1072</v>
      </c>
      <c r="C312" s="53" t="s">
        <v>698</v>
      </c>
      <c r="D312" s="54" t="s">
        <v>116</v>
      </c>
      <c r="E312" s="55">
        <v>11013</v>
      </c>
      <c r="F312" s="66">
        <v>5000</v>
      </c>
      <c r="G312" s="52">
        <v>300</v>
      </c>
      <c r="H312" s="52">
        <v>50</v>
      </c>
      <c r="I312" s="54" t="s">
        <v>718</v>
      </c>
      <c r="J312" s="52">
        <v>3</v>
      </c>
      <c r="K312" s="52">
        <v>10</v>
      </c>
      <c r="L312" s="52">
        <v>30</v>
      </c>
      <c r="M312" s="52">
        <v>0</v>
      </c>
      <c r="N312" s="52">
        <v>0</v>
      </c>
      <c r="O312" s="52">
        <v>80</v>
      </c>
      <c r="P312" s="52">
        <v>0</v>
      </c>
      <c r="Q312" s="52">
        <v>0</v>
      </c>
      <c r="R312" s="52">
        <v>0</v>
      </c>
      <c r="S312" s="52">
        <v>0</v>
      </c>
      <c r="T312" s="52">
        <v>0</v>
      </c>
      <c r="U312" s="52">
        <v>0</v>
      </c>
      <c r="V312" s="52">
        <v>0</v>
      </c>
      <c r="W312" s="52">
        <v>4</v>
      </c>
      <c r="X312" s="52">
        <v>0</v>
      </c>
      <c r="Y312" s="52">
        <v>0</v>
      </c>
      <c r="Z312" s="52">
        <v>0</v>
      </c>
      <c r="AA312" s="52">
        <v>0</v>
      </c>
      <c r="AB312" s="52">
        <v>0</v>
      </c>
      <c r="AC312" s="56">
        <v>0</v>
      </c>
      <c r="AD312" s="56">
        <v>0</v>
      </c>
      <c r="AE312" s="56">
        <v>16</v>
      </c>
      <c r="AF312" s="56">
        <v>0</v>
      </c>
      <c r="AG312" s="56">
        <v>0</v>
      </c>
      <c r="AH312" s="56">
        <v>0</v>
      </c>
      <c r="AI312" s="57">
        <v>0</v>
      </c>
      <c r="AJ312" s="56">
        <v>8.0000000000000002E-3</v>
      </c>
      <c r="AK312" s="56" t="s">
        <v>713</v>
      </c>
      <c r="AL312" s="52">
        <v>2</v>
      </c>
      <c r="AM312" s="56">
        <v>6000</v>
      </c>
      <c r="AN312" s="52" t="s">
        <v>63</v>
      </c>
      <c r="AO312" s="52" t="s">
        <v>737</v>
      </c>
    </row>
    <row r="313" spans="1:41" ht="16.5">
      <c r="A313" s="52">
        <v>20420</v>
      </c>
      <c r="B313" s="53" t="s">
        <v>1073</v>
      </c>
      <c r="C313" s="53" t="s">
        <v>698</v>
      </c>
      <c r="D313" s="54" t="s">
        <v>116</v>
      </c>
      <c r="E313" s="55">
        <v>11013</v>
      </c>
      <c r="F313" s="66">
        <v>5000</v>
      </c>
      <c r="G313" s="52">
        <v>300</v>
      </c>
      <c r="H313" s="52">
        <v>50</v>
      </c>
      <c r="I313" s="54" t="s">
        <v>718</v>
      </c>
      <c r="J313" s="52">
        <v>3</v>
      </c>
      <c r="K313" s="52">
        <v>10</v>
      </c>
      <c r="L313" s="52">
        <v>30</v>
      </c>
      <c r="M313" s="52">
        <v>0</v>
      </c>
      <c r="N313" s="52">
        <v>0</v>
      </c>
      <c r="O313" s="52">
        <v>80</v>
      </c>
      <c r="P313" s="52">
        <v>0</v>
      </c>
      <c r="Q313" s="52">
        <v>0</v>
      </c>
      <c r="R313" s="52">
        <v>0</v>
      </c>
      <c r="S313" s="52">
        <v>0</v>
      </c>
      <c r="T313" s="52">
        <v>0</v>
      </c>
      <c r="U313" s="52">
        <v>0</v>
      </c>
      <c r="V313" s="52">
        <v>0</v>
      </c>
      <c r="W313" s="52">
        <v>4</v>
      </c>
      <c r="X313" s="52">
        <v>0</v>
      </c>
      <c r="Y313" s="52">
        <v>0</v>
      </c>
      <c r="Z313" s="52">
        <v>0</v>
      </c>
      <c r="AA313" s="52">
        <v>0</v>
      </c>
      <c r="AB313" s="52">
        <v>0</v>
      </c>
      <c r="AC313" s="56">
        <v>0</v>
      </c>
      <c r="AD313" s="56">
        <v>0</v>
      </c>
      <c r="AE313" s="56">
        <v>16</v>
      </c>
      <c r="AF313" s="56">
        <v>0</v>
      </c>
      <c r="AG313" s="56">
        <v>0</v>
      </c>
      <c r="AH313" s="56">
        <v>0</v>
      </c>
      <c r="AI313" s="57">
        <v>0</v>
      </c>
      <c r="AJ313" s="56">
        <v>8.0000000000000002E-3</v>
      </c>
      <c r="AK313" s="56" t="s">
        <v>713</v>
      </c>
      <c r="AL313" s="52">
        <v>2</v>
      </c>
      <c r="AM313" s="56">
        <v>6000</v>
      </c>
      <c r="AN313" s="52" t="s">
        <v>63</v>
      </c>
      <c r="AO313" s="52" t="s">
        <v>737</v>
      </c>
    </row>
    <row r="314" spans="1:41" ht="16.5">
      <c r="A314" s="52">
        <v>204211</v>
      </c>
      <c r="B314" s="53" t="s">
        <v>1074</v>
      </c>
      <c r="C314" s="53" t="s">
        <v>698</v>
      </c>
      <c r="D314" s="54" t="s">
        <v>116</v>
      </c>
      <c r="E314" s="55">
        <v>11013</v>
      </c>
      <c r="F314" s="66">
        <v>5000</v>
      </c>
      <c r="G314" s="52">
        <v>300</v>
      </c>
      <c r="H314" s="52">
        <v>50</v>
      </c>
      <c r="I314" s="54" t="s">
        <v>718</v>
      </c>
      <c r="J314" s="52">
        <v>3</v>
      </c>
      <c r="K314" s="52">
        <v>10</v>
      </c>
      <c r="L314" s="52">
        <v>30</v>
      </c>
      <c r="M314" s="52">
        <v>0</v>
      </c>
      <c r="N314" s="52">
        <v>0</v>
      </c>
      <c r="O314" s="52">
        <v>80</v>
      </c>
      <c r="P314" s="52">
        <v>0</v>
      </c>
      <c r="Q314" s="52">
        <v>0</v>
      </c>
      <c r="R314" s="52">
        <v>0</v>
      </c>
      <c r="S314" s="52">
        <v>0</v>
      </c>
      <c r="T314" s="52">
        <v>0</v>
      </c>
      <c r="U314" s="52">
        <v>0</v>
      </c>
      <c r="V314" s="52">
        <v>0</v>
      </c>
      <c r="W314" s="52">
        <v>4</v>
      </c>
      <c r="X314" s="52">
        <v>0</v>
      </c>
      <c r="Y314" s="52">
        <v>0</v>
      </c>
      <c r="Z314" s="52">
        <v>0</v>
      </c>
      <c r="AA314" s="52">
        <v>0</v>
      </c>
      <c r="AB314" s="52">
        <v>0</v>
      </c>
      <c r="AC314" s="56">
        <v>0</v>
      </c>
      <c r="AD314" s="56">
        <v>0</v>
      </c>
      <c r="AE314" s="56">
        <v>16</v>
      </c>
      <c r="AF314" s="56">
        <v>0</v>
      </c>
      <c r="AG314" s="56">
        <v>0</v>
      </c>
      <c r="AH314" s="56">
        <v>0</v>
      </c>
      <c r="AI314" s="57">
        <v>0</v>
      </c>
      <c r="AJ314" s="56">
        <v>8.0000000000000002E-3</v>
      </c>
      <c r="AK314" s="56" t="s">
        <v>713</v>
      </c>
      <c r="AL314" s="52">
        <v>2</v>
      </c>
      <c r="AM314" s="56">
        <v>6000</v>
      </c>
      <c r="AN314" s="52" t="s">
        <v>63</v>
      </c>
      <c r="AO314" s="52" t="s">
        <v>737</v>
      </c>
    </row>
    <row r="315" spans="1:41" ht="16.5">
      <c r="A315" s="52">
        <v>204212</v>
      </c>
      <c r="B315" s="53" t="s">
        <v>1075</v>
      </c>
      <c r="C315" s="53" t="s">
        <v>698</v>
      </c>
      <c r="D315" s="54" t="s">
        <v>116</v>
      </c>
      <c r="E315" s="55">
        <v>11013</v>
      </c>
      <c r="F315" s="66">
        <v>5000</v>
      </c>
      <c r="G315" s="52">
        <v>300</v>
      </c>
      <c r="H315" s="52">
        <v>50</v>
      </c>
      <c r="I315" s="54" t="s">
        <v>718</v>
      </c>
      <c r="J315" s="52">
        <v>3</v>
      </c>
      <c r="K315" s="52">
        <v>10</v>
      </c>
      <c r="L315" s="52">
        <v>30</v>
      </c>
      <c r="M315" s="52">
        <v>0</v>
      </c>
      <c r="N315" s="52">
        <v>0</v>
      </c>
      <c r="O315" s="52">
        <v>80</v>
      </c>
      <c r="P315" s="52">
        <v>0</v>
      </c>
      <c r="Q315" s="52">
        <v>0</v>
      </c>
      <c r="R315" s="52">
        <v>0</v>
      </c>
      <c r="S315" s="52">
        <v>0</v>
      </c>
      <c r="T315" s="52">
        <v>0</v>
      </c>
      <c r="U315" s="52">
        <v>0</v>
      </c>
      <c r="V315" s="52">
        <v>0</v>
      </c>
      <c r="W315" s="52">
        <v>4</v>
      </c>
      <c r="X315" s="52">
        <v>0</v>
      </c>
      <c r="Y315" s="52">
        <v>0</v>
      </c>
      <c r="Z315" s="52">
        <v>0</v>
      </c>
      <c r="AA315" s="52">
        <v>0</v>
      </c>
      <c r="AB315" s="52">
        <v>0</v>
      </c>
      <c r="AC315" s="56">
        <v>0</v>
      </c>
      <c r="AD315" s="56">
        <v>0</v>
      </c>
      <c r="AE315" s="56">
        <v>16</v>
      </c>
      <c r="AF315" s="56">
        <v>0</v>
      </c>
      <c r="AG315" s="56">
        <v>0</v>
      </c>
      <c r="AH315" s="56">
        <v>0</v>
      </c>
      <c r="AI315" s="57">
        <v>0</v>
      </c>
      <c r="AJ315" s="56">
        <v>8.0000000000000002E-3</v>
      </c>
      <c r="AK315" s="56" t="s">
        <v>713</v>
      </c>
      <c r="AL315" s="52">
        <v>2</v>
      </c>
      <c r="AM315" s="56">
        <v>6000</v>
      </c>
      <c r="AN315" s="52" t="s">
        <v>63</v>
      </c>
      <c r="AO315" s="52" t="s">
        <v>737</v>
      </c>
    </row>
    <row r="316" spans="1:41" ht="16.5">
      <c r="A316" s="52">
        <v>421</v>
      </c>
      <c r="B316" s="53" t="s">
        <v>1076</v>
      </c>
      <c r="C316" s="53" t="s">
        <v>165</v>
      </c>
      <c r="D316" s="54" t="s">
        <v>117</v>
      </c>
      <c r="E316" s="55">
        <v>11014</v>
      </c>
      <c r="F316" s="66">
        <v>5000</v>
      </c>
      <c r="G316" s="52">
        <v>300</v>
      </c>
      <c r="H316" s="52">
        <v>50</v>
      </c>
      <c r="I316" s="54" t="s">
        <v>719</v>
      </c>
      <c r="J316" s="52">
        <v>3</v>
      </c>
      <c r="K316" s="52">
        <v>10</v>
      </c>
      <c r="L316" s="52">
        <v>30</v>
      </c>
      <c r="M316" s="52">
        <v>0</v>
      </c>
      <c r="N316" s="52">
        <v>160</v>
      </c>
      <c r="O316" s="52">
        <v>0</v>
      </c>
      <c r="P316" s="52">
        <v>0</v>
      </c>
      <c r="Q316" s="52">
        <v>0</v>
      </c>
      <c r="R316" s="52">
        <v>0</v>
      </c>
      <c r="S316" s="52">
        <v>0</v>
      </c>
      <c r="T316" s="52">
        <v>0</v>
      </c>
      <c r="U316" s="52">
        <v>0</v>
      </c>
      <c r="V316" s="52">
        <v>8</v>
      </c>
      <c r="W316" s="52">
        <v>0</v>
      </c>
      <c r="X316" s="52">
        <v>0</v>
      </c>
      <c r="Y316" s="52">
        <v>0</v>
      </c>
      <c r="Z316" s="52">
        <v>0</v>
      </c>
      <c r="AA316" s="52">
        <v>0</v>
      </c>
      <c r="AB316" s="52">
        <v>0</v>
      </c>
      <c r="AC316" s="56">
        <v>0</v>
      </c>
      <c r="AD316" s="56">
        <v>32</v>
      </c>
      <c r="AE316" s="56">
        <v>0</v>
      </c>
      <c r="AF316" s="56">
        <v>0</v>
      </c>
      <c r="AG316" s="57">
        <v>0</v>
      </c>
      <c r="AH316" s="56">
        <v>0</v>
      </c>
      <c r="AI316" s="56">
        <v>8.0000000000000002E-3</v>
      </c>
      <c r="AJ316" s="56">
        <v>0</v>
      </c>
      <c r="AK316" s="56" t="s">
        <v>713</v>
      </c>
      <c r="AL316" s="52">
        <v>1</v>
      </c>
      <c r="AM316" s="56">
        <v>6000</v>
      </c>
      <c r="AN316" s="52" t="s">
        <v>63</v>
      </c>
      <c r="AO316" s="52" t="s">
        <v>738</v>
      </c>
    </row>
    <row r="317" spans="1:41" ht="16.5">
      <c r="A317" s="52">
        <v>422</v>
      </c>
      <c r="B317" s="53" t="s">
        <v>1077</v>
      </c>
      <c r="C317" s="53" t="s">
        <v>165</v>
      </c>
      <c r="D317" s="54" t="s">
        <v>117</v>
      </c>
      <c r="E317" s="55">
        <v>11014</v>
      </c>
      <c r="F317" s="66">
        <v>5000</v>
      </c>
      <c r="G317" s="52">
        <v>300</v>
      </c>
      <c r="H317" s="52">
        <v>50</v>
      </c>
      <c r="I317" s="54" t="s">
        <v>719</v>
      </c>
      <c r="J317" s="52">
        <v>3</v>
      </c>
      <c r="K317" s="52">
        <v>10</v>
      </c>
      <c r="L317" s="52">
        <v>30</v>
      </c>
      <c r="M317" s="52">
        <v>0</v>
      </c>
      <c r="N317" s="52">
        <v>160</v>
      </c>
      <c r="O317" s="52">
        <v>0</v>
      </c>
      <c r="P317" s="52">
        <v>0</v>
      </c>
      <c r="Q317" s="52">
        <v>0</v>
      </c>
      <c r="R317" s="52">
        <v>0</v>
      </c>
      <c r="S317" s="52">
        <v>0</v>
      </c>
      <c r="T317" s="52">
        <v>0</v>
      </c>
      <c r="U317" s="52">
        <v>0</v>
      </c>
      <c r="V317" s="52">
        <v>8</v>
      </c>
      <c r="W317" s="52">
        <v>0</v>
      </c>
      <c r="X317" s="52">
        <v>0</v>
      </c>
      <c r="Y317" s="52">
        <v>0</v>
      </c>
      <c r="Z317" s="52">
        <v>0</v>
      </c>
      <c r="AA317" s="52">
        <v>0</v>
      </c>
      <c r="AB317" s="52">
        <v>0</v>
      </c>
      <c r="AC317" s="56">
        <v>0</v>
      </c>
      <c r="AD317" s="56">
        <v>32</v>
      </c>
      <c r="AE317" s="56">
        <v>0</v>
      </c>
      <c r="AF317" s="56">
        <v>0</v>
      </c>
      <c r="AG317" s="57">
        <v>0</v>
      </c>
      <c r="AH317" s="56">
        <v>0</v>
      </c>
      <c r="AI317" s="56">
        <v>8.0000000000000002E-3</v>
      </c>
      <c r="AJ317" s="56">
        <v>0</v>
      </c>
      <c r="AK317" s="56" t="s">
        <v>713</v>
      </c>
      <c r="AL317" s="52">
        <v>1</v>
      </c>
      <c r="AM317" s="56">
        <v>6000</v>
      </c>
      <c r="AN317" s="52" t="s">
        <v>63</v>
      </c>
      <c r="AO317" s="52" t="s">
        <v>738</v>
      </c>
    </row>
    <row r="318" spans="1:41" ht="16.5">
      <c r="A318" s="52">
        <v>2042</v>
      </c>
      <c r="B318" s="53" t="s">
        <v>1078</v>
      </c>
      <c r="C318" s="53" t="s">
        <v>165</v>
      </c>
      <c r="D318" s="54" t="s">
        <v>117</v>
      </c>
      <c r="E318" s="55">
        <v>11014</v>
      </c>
      <c r="F318" s="66">
        <v>5000</v>
      </c>
      <c r="G318" s="52">
        <v>300</v>
      </c>
      <c r="H318" s="52">
        <v>50</v>
      </c>
      <c r="I318" s="54" t="s">
        <v>719</v>
      </c>
      <c r="J318" s="52">
        <v>3</v>
      </c>
      <c r="K318" s="52">
        <v>10</v>
      </c>
      <c r="L318" s="52">
        <v>30</v>
      </c>
      <c r="M318" s="52">
        <v>0</v>
      </c>
      <c r="N318" s="52">
        <v>160</v>
      </c>
      <c r="O318" s="52">
        <v>0</v>
      </c>
      <c r="P318" s="52">
        <v>0</v>
      </c>
      <c r="Q318" s="52">
        <v>0</v>
      </c>
      <c r="R318" s="52">
        <v>0</v>
      </c>
      <c r="S318" s="52">
        <v>0</v>
      </c>
      <c r="T318" s="52">
        <v>0</v>
      </c>
      <c r="U318" s="52">
        <v>0</v>
      </c>
      <c r="V318" s="52">
        <v>8</v>
      </c>
      <c r="W318" s="52">
        <v>0</v>
      </c>
      <c r="X318" s="52">
        <v>0</v>
      </c>
      <c r="Y318" s="52">
        <v>0</v>
      </c>
      <c r="Z318" s="52">
        <v>0</v>
      </c>
      <c r="AA318" s="52">
        <v>0</v>
      </c>
      <c r="AB318" s="52">
        <v>0</v>
      </c>
      <c r="AC318" s="56">
        <v>0</v>
      </c>
      <c r="AD318" s="56">
        <v>32</v>
      </c>
      <c r="AE318" s="56">
        <v>0</v>
      </c>
      <c r="AF318" s="56">
        <v>0</v>
      </c>
      <c r="AG318" s="57">
        <v>0</v>
      </c>
      <c r="AH318" s="56">
        <v>0</v>
      </c>
      <c r="AI318" s="56">
        <v>8.0000000000000002E-3</v>
      </c>
      <c r="AJ318" s="56">
        <v>0</v>
      </c>
      <c r="AK318" s="56" t="s">
        <v>713</v>
      </c>
      <c r="AL318" s="52">
        <v>1</v>
      </c>
      <c r="AM318" s="56">
        <v>6000</v>
      </c>
      <c r="AN318" s="52" t="s">
        <v>63</v>
      </c>
      <c r="AO318" s="52" t="s">
        <v>738</v>
      </c>
    </row>
    <row r="319" spans="1:41" ht="16.5">
      <c r="A319" s="52">
        <v>20421</v>
      </c>
      <c r="B319" s="53" t="s">
        <v>1079</v>
      </c>
      <c r="C319" s="53" t="s">
        <v>165</v>
      </c>
      <c r="D319" s="54" t="s">
        <v>117</v>
      </c>
      <c r="E319" s="55">
        <v>11014</v>
      </c>
      <c r="F319" s="66">
        <v>5000</v>
      </c>
      <c r="G319" s="52">
        <v>300</v>
      </c>
      <c r="H319" s="52">
        <v>50</v>
      </c>
      <c r="I319" s="54" t="s">
        <v>719</v>
      </c>
      <c r="J319" s="52">
        <v>3</v>
      </c>
      <c r="K319" s="52">
        <v>10</v>
      </c>
      <c r="L319" s="52">
        <v>30</v>
      </c>
      <c r="M319" s="52">
        <v>0</v>
      </c>
      <c r="N319" s="52">
        <v>160</v>
      </c>
      <c r="O319" s="52">
        <v>0</v>
      </c>
      <c r="P319" s="52">
        <v>0</v>
      </c>
      <c r="Q319" s="52">
        <v>0</v>
      </c>
      <c r="R319" s="52">
        <v>0</v>
      </c>
      <c r="S319" s="52">
        <v>0</v>
      </c>
      <c r="T319" s="52">
        <v>0</v>
      </c>
      <c r="U319" s="52">
        <v>0</v>
      </c>
      <c r="V319" s="52">
        <v>8</v>
      </c>
      <c r="W319" s="52">
        <v>0</v>
      </c>
      <c r="X319" s="52">
        <v>0</v>
      </c>
      <c r="Y319" s="52">
        <v>0</v>
      </c>
      <c r="Z319" s="52">
        <v>0</v>
      </c>
      <c r="AA319" s="52">
        <v>0</v>
      </c>
      <c r="AB319" s="52">
        <v>0</v>
      </c>
      <c r="AC319" s="56">
        <v>0</v>
      </c>
      <c r="AD319" s="56">
        <v>32</v>
      </c>
      <c r="AE319" s="56">
        <v>0</v>
      </c>
      <c r="AF319" s="56">
        <v>0</v>
      </c>
      <c r="AG319" s="57">
        <v>0</v>
      </c>
      <c r="AH319" s="56">
        <v>0</v>
      </c>
      <c r="AI319" s="56">
        <v>8.0000000000000002E-3</v>
      </c>
      <c r="AJ319" s="56">
        <v>0</v>
      </c>
      <c r="AK319" s="56" t="s">
        <v>713</v>
      </c>
      <c r="AL319" s="52">
        <v>1</v>
      </c>
      <c r="AM319" s="56">
        <v>6000</v>
      </c>
      <c r="AN319" s="52" t="s">
        <v>63</v>
      </c>
      <c r="AO319" s="52" t="s">
        <v>738</v>
      </c>
    </row>
    <row r="320" spans="1:41" ht="16.5">
      <c r="A320" s="52">
        <v>20422</v>
      </c>
      <c r="B320" s="53" t="s">
        <v>1080</v>
      </c>
      <c r="C320" s="53" t="s">
        <v>165</v>
      </c>
      <c r="D320" s="54" t="s">
        <v>117</v>
      </c>
      <c r="E320" s="55">
        <v>11014</v>
      </c>
      <c r="F320" s="66">
        <v>5000</v>
      </c>
      <c r="G320" s="52">
        <v>300</v>
      </c>
      <c r="H320" s="52">
        <v>50</v>
      </c>
      <c r="I320" s="54" t="s">
        <v>719</v>
      </c>
      <c r="J320" s="52">
        <v>3</v>
      </c>
      <c r="K320" s="52">
        <v>10</v>
      </c>
      <c r="L320" s="52">
        <v>30</v>
      </c>
      <c r="M320" s="52">
        <v>0</v>
      </c>
      <c r="N320" s="52">
        <v>160</v>
      </c>
      <c r="O320" s="52">
        <v>0</v>
      </c>
      <c r="P320" s="52">
        <v>0</v>
      </c>
      <c r="Q320" s="52">
        <v>0</v>
      </c>
      <c r="R320" s="52">
        <v>0</v>
      </c>
      <c r="S320" s="52">
        <v>0</v>
      </c>
      <c r="T320" s="52">
        <v>0</v>
      </c>
      <c r="U320" s="52">
        <v>0</v>
      </c>
      <c r="V320" s="52">
        <v>8</v>
      </c>
      <c r="W320" s="52">
        <v>0</v>
      </c>
      <c r="X320" s="52">
        <v>0</v>
      </c>
      <c r="Y320" s="52">
        <v>0</v>
      </c>
      <c r="Z320" s="52">
        <v>0</v>
      </c>
      <c r="AA320" s="52">
        <v>0</v>
      </c>
      <c r="AB320" s="52">
        <v>0</v>
      </c>
      <c r="AC320" s="56">
        <v>0</v>
      </c>
      <c r="AD320" s="56">
        <v>32</v>
      </c>
      <c r="AE320" s="56">
        <v>0</v>
      </c>
      <c r="AF320" s="56">
        <v>0</v>
      </c>
      <c r="AG320" s="57">
        <v>0</v>
      </c>
      <c r="AH320" s="56">
        <v>0</v>
      </c>
      <c r="AI320" s="56">
        <v>8.0000000000000002E-3</v>
      </c>
      <c r="AJ320" s="56">
        <v>0</v>
      </c>
      <c r="AK320" s="56" t="s">
        <v>713</v>
      </c>
      <c r="AL320" s="52">
        <v>1</v>
      </c>
      <c r="AM320" s="56">
        <v>6000</v>
      </c>
      <c r="AN320" s="52" t="s">
        <v>63</v>
      </c>
      <c r="AO320" s="52" t="s">
        <v>738</v>
      </c>
    </row>
    <row r="321" spans="1:41" ht="16.5">
      <c r="A321" s="52">
        <v>20423</v>
      </c>
      <c r="B321" s="53" t="s">
        <v>1081</v>
      </c>
      <c r="C321" s="53" t="s">
        <v>165</v>
      </c>
      <c r="D321" s="54" t="s">
        <v>117</v>
      </c>
      <c r="E321" s="55">
        <v>11014</v>
      </c>
      <c r="F321" s="66">
        <v>5000</v>
      </c>
      <c r="G321" s="52">
        <v>300</v>
      </c>
      <c r="H321" s="52">
        <v>50</v>
      </c>
      <c r="I321" s="54" t="s">
        <v>719</v>
      </c>
      <c r="J321" s="52">
        <v>3</v>
      </c>
      <c r="K321" s="52">
        <v>10</v>
      </c>
      <c r="L321" s="52">
        <v>30</v>
      </c>
      <c r="M321" s="52">
        <v>0</v>
      </c>
      <c r="N321" s="52">
        <v>160</v>
      </c>
      <c r="O321" s="52">
        <v>0</v>
      </c>
      <c r="P321" s="52">
        <v>0</v>
      </c>
      <c r="Q321" s="52">
        <v>0</v>
      </c>
      <c r="R321" s="52">
        <v>0</v>
      </c>
      <c r="S321" s="52">
        <v>0</v>
      </c>
      <c r="T321" s="52">
        <v>0</v>
      </c>
      <c r="U321" s="52">
        <v>0</v>
      </c>
      <c r="V321" s="52">
        <v>8</v>
      </c>
      <c r="W321" s="52">
        <v>0</v>
      </c>
      <c r="X321" s="52">
        <v>0</v>
      </c>
      <c r="Y321" s="52">
        <v>0</v>
      </c>
      <c r="Z321" s="52">
        <v>0</v>
      </c>
      <c r="AA321" s="52">
        <v>0</v>
      </c>
      <c r="AB321" s="52">
        <v>0</v>
      </c>
      <c r="AC321" s="56">
        <v>0</v>
      </c>
      <c r="AD321" s="56">
        <v>32</v>
      </c>
      <c r="AE321" s="56">
        <v>0</v>
      </c>
      <c r="AF321" s="56">
        <v>0</v>
      </c>
      <c r="AG321" s="57">
        <v>0</v>
      </c>
      <c r="AH321" s="56">
        <v>0</v>
      </c>
      <c r="AI321" s="56">
        <v>8.0000000000000002E-3</v>
      </c>
      <c r="AJ321" s="56">
        <v>0</v>
      </c>
      <c r="AK321" s="56" t="s">
        <v>713</v>
      </c>
      <c r="AL321" s="52">
        <v>1</v>
      </c>
      <c r="AM321" s="56">
        <v>6000</v>
      </c>
      <c r="AN321" s="52" t="s">
        <v>63</v>
      </c>
      <c r="AO321" s="52" t="s">
        <v>738</v>
      </c>
    </row>
    <row r="322" spans="1:41" ht="16.5">
      <c r="A322" s="52">
        <v>20424</v>
      </c>
      <c r="B322" s="53" t="s">
        <v>1082</v>
      </c>
      <c r="C322" s="53" t="s">
        <v>165</v>
      </c>
      <c r="D322" s="54" t="s">
        <v>117</v>
      </c>
      <c r="E322" s="55">
        <v>11014</v>
      </c>
      <c r="F322" s="66">
        <v>5000</v>
      </c>
      <c r="G322" s="52">
        <v>300</v>
      </c>
      <c r="H322" s="52">
        <v>50</v>
      </c>
      <c r="I322" s="54" t="s">
        <v>719</v>
      </c>
      <c r="J322" s="52">
        <v>3</v>
      </c>
      <c r="K322" s="52">
        <v>10</v>
      </c>
      <c r="L322" s="52">
        <v>30</v>
      </c>
      <c r="M322" s="52">
        <v>0</v>
      </c>
      <c r="N322" s="52">
        <v>160</v>
      </c>
      <c r="O322" s="52">
        <v>0</v>
      </c>
      <c r="P322" s="52">
        <v>0</v>
      </c>
      <c r="Q322" s="52">
        <v>0</v>
      </c>
      <c r="R322" s="52">
        <v>0</v>
      </c>
      <c r="S322" s="52">
        <v>0</v>
      </c>
      <c r="T322" s="52">
        <v>0</v>
      </c>
      <c r="U322" s="52">
        <v>0</v>
      </c>
      <c r="V322" s="52">
        <v>8</v>
      </c>
      <c r="W322" s="52">
        <v>0</v>
      </c>
      <c r="X322" s="52">
        <v>0</v>
      </c>
      <c r="Y322" s="52">
        <v>0</v>
      </c>
      <c r="Z322" s="52">
        <v>0</v>
      </c>
      <c r="AA322" s="52">
        <v>0</v>
      </c>
      <c r="AB322" s="52">
        <v>0</v>
      </c>
      <c r="AC322" s="56">
        <v>0</v>
      </c>
      <c r="AD322" s="56">
        <v>32</v>
      </c>
      <c r="AE322" s="56">
        <v>0</v>
      </c>
      <c r="AF322" s="56">
        <v>0</v>
      </c>
      <c r="AG322" s="57">
        <v>0</v>
      </c>
      <c r="AH322" s="56">
        <v>0</v>
      </c>
      <c r="AI322" s="56">
        <v>8.0000000000000002E-3</v>
      </c>
      <c r="AJ322" s="56">
        <v>0</v>
      </c>
      <c r="AK322" s="56" t="s">
        <v>713</v>
      </c>
      <c r="AL322" s="52">
        <v>1</v>
      </c>
      <c r="AM322" s="56">
        <v>6000</v>
      </c>
      <c r="AN322" s="52" t="s">
        <v>63</v>
      </c>
      <c r="AO322" s="52" t="s">
        <v>738</v>
      </c>
    </row>
    <row r="323" spans="1:41" ht="16.5">
      <c r="A323" s="52">
        <v>20425</v>
      </c>
      <c r="B323" s="53" t="s">
        <v>1083</v>
      </c>
      <c r="C323" s="53" t="s">
        <v>165</v>
      </c>
      <c r="D323" s="54" t="s">
        <v>117</v>
      </c>
      <c r="E323" s="55">
        <v>11014</v>
      </c>
      <c r="F323" s="66">
        <v>5000</v>
      </c>
      <c r="G323" s="52">
        <v>300</v>
      </c>
      <c r="H323" s="52">
        <v>50</v>
      </c>
      <c r="I323" s="54" t="s">
        <v>719</v>
      </c>
      <c r="J323" s="52">
        <v>3</v>
      </c>
      <c r="K323" s="52">
        <v>10</v>
      </c>
      <c r="L323" s="52">
        <v>30</v>
      </c>
      <c r="M323" s="52">
        <v>0</v>
      </c>
      <c r="N323" s="52">
        <v>160</v>
      </c>
      <c r="O323" s="52">
        <v>0</v>
      </c>
      <c r="P323" s="52">
        <v>0</v>
      </c>
      <c r="Q323" s="52">
        <v>0</v>
      </c>
      <c r="R323" s="52">
        <v>0</v>
      </c>
      <c r="S323" s="52">
        <v>0</v>
      </c>
      <c r="T323" s="52">
        <v>0</v>
      </c>
      <c r="U323" s="52">
        <v>0</v>
      </c>
      <c r="V323" s="52">
        <v>8</v>
      </c>
      <c r="W323" s="52">
        <v>0</v>
      </c>
      <c r="X323" s="52">
        <v>0</v>
      </c>
      <c r="Y323" s="52">
        <v>0</v>
      </c>
      <c r="Z323" s="52">
        <v>0</v>
      </c>
      <c r="AA323" s="52">
        <v>0</v>
      </c>
      <c r="AB323" s="52">
        <v>0</v>
      </c>
      <c r="AC323" s="56">
        <v>0</v>
      </c>
      <c r="AD323" s="56">
        <v>32</v>
      </c>
      <c r="AE323" s="56">
        <v>0</v>
      </c>
      <c r="AF323" s="56">
        <v>0</v>
      </c>
      <c r="AG323" s="57">
        <v>0</v>
      </c>
      <c r="AH323" s="56">
        <v>0</v>
      </c>
      <c r="AI323" s="56">
        <v>8.0000000000000002E-3</v>
      </c>
      <c r="AJ323" s="56">
        <v>0</v>
      </c>
      <c r="AK323" s="56" t="s">
        <v>713</v>
      </c>
      <c r="AL323" s="52">
        <v>1</v>
      </c>
      <c r="AM323" s="56">
        <v>6000</v>
      </c>
      <c r="AN323" s="52" t="s">
        <v>63</v>
      </c>
      <c r="AO323" s="52" t="s">
        <v>738</v>
      </c>
    </row>
    <row r="324" spans="1:41" ht="16.5">
      <c r="A324" s="52">
        <v>20426</v>
      </c>
      <c r="B324" s="53" t="s">
        <v>1084</v>
      </c>
      <c r="C324" s="53" t="s">
        <v>165</v>
      </c>
      <c r="D324" s="54" t="s">
        <v>117</v>
      </c>
      <c r="E324" s="55">
        <v>11014</v>
      </c>
      <c r="F324" s="66">
        <v>5000</v>
      </c>
      <c r="G324" s="52">
        <v>300</v>
      </c>
      <c r="H324" s="52">
        <v>50</v>
      </c>
      <c r="I324" s="54" t="s">
        <v>719</v>
      </c>
      <c r="J324" s="52">
        <v>3</v>
      </c>
      <c r="K324" s="52">
        <v>10</v>
      </c>
      <c r="L324" s="52">
        <v>30</v>
      </c>
      <c r="M324" s="52">
        <v>0</v>
      </c>
      <c r="N324" s="52">
        <v>160</v>
      </c>
      <c r="O324" s="52">
        <v>0</v>
      </c>
      <c r="P324" s="52">
        <v>0</v>
      </c>
      <c r="Q324" s="52">
        <v>0</v>
      </c>
      <c r="R324" s="52">
        <v>0</v>
      </c>
      <c r="S324" s="52">
        <v>0</v>
      </c>
      <c r="T324" s="52">
        <v>0</v>
      </c>
      <c r="U324" s="52">
        <v>0</v>
      </c>
      <c r="V324" s="52">
        <v>8</v>
      </c>
      <c r="W324" s="52">
        <v>0</v>
      </c>
      <c r="X324" s="52">
        <v>0</v>
      </c>
      <c r="Y324" s="52">
        <v>0</v>
      </c>
      <c r="Z324" s="52">
        <v>0</v>
      </c>
      <c r="AA324" s="52">
        <v>0</v>
      </c>
      <c r="AB324" s="52">
        <v>0</v>
      </c>
      <c r="AC324" s="56">
        <v>0</v>
      </c>
      <c r="AD324" s="56">
        <v>32</v>
      </c>
      <c r="AE324" s="56">
        <v>0</v>
      </c>
      <c r="AF324" s="56">
        <v>0</v>
      </c>
      <c r="AG324" s="57">
        <v>0</v>
      </c>
      <c r="AH324" s="56">
        <v>0</v>
      </c>
      <c r="AI324" s="56">
        <v>8.0000000000000002E-3</v>
      </c>
      <c r="AJ324" s="56">
        <v>0</v>
      </c>
      <c r="AK324" s="56" t="s">
        <v>713</v>
      </c>
      <c r="AL324" s="52">
        <v>1</v>
      </c>
      <c r="AM324" s="56">
        <v>6000</v>
      </c>
      <c r="AN324" s="52" t="s">
        <v>63</v>
      </c>
      <c r="AO324" s="52" t="s">
        <v>738</v>
      </c>
    </row>
    <row r="325" spans="1:41" ht="16.5">
      <c r="A325" s="52">
        <v>20427</v>
      </c>
      <c r="B325" s="53" t="s">
        <v>1085</v>
      </c>
      <c r="C325" s="53" t="s">
        <v>165</v>
      </c>
      <c r="D325" s="54" t="s">
        <v>117</v>
      </c>
      <c r="E325" s="55">
        <v>11014</v>
      </c>
      <c r="F325" s="66">
        <v>5000</v>
      </c>
      <c r="G325" s="52">
        <v>300</v>
      </c>
      <c r="H325" s="52">
        <v>50</v>
      </c>
      <c r="I325" s="54" t="s">
        <v>719</v>
      </c>
      <c r="J325" s="52">
        <v>3</v>
      </c>
      <c r="K325" s="52">
        <v>10</v>
      </c>
      <c r="L325" s="52">
        <v>30</v>
      </c>
      <c r="M325" s="52">
        <v>0</v>
      </c>
      <c r="N325" s="52">
        <v>160</v>
      </c>
      <c r="O325" s="52">
        <v>0</v>
      </c>
      <c r="P325" s="52">
        <v>0</v>
      </c>
      <c r="Q325" s="52">
        <v>0</v>
      </c>
      <c r="R325" s="52">
        <v>0</v>
      </c>
      <c r="S325" s="52">
        <v>0</v>
      </c>
      <c r="T325" s="52">
        <v>0</v>
      </c>
      <c r="U325" s="52">
        <v>0</v>
      </c>
      <c r="V325" s="52">
        <v>8</v>
      </c>
      <c r="W325" s="52">
        <v>0</v>
      </c>
      <c r="X325" s="52">
        <v>0</v>
      </c>
      <c r="Y325" s="52">
        <v>0</v>
      </c>
      <c r="Z325" s="52">
        <v>0</v>
      </c>
      <c r="AA325" s="52">
        <v>0</v>
      </c>
      <c r="AB325" s="52">
        <v>0</v>
      </c>
      <c r="AC325" s="56">
        <v>0</v>
      </c>
      <c r="AD325" s="56">
        <v>32</v>
      </c>
      <c r="AE325" s="56">
        <v>0</v>
      </c>
      <c r="AF325" s="56">
        <v>0</v>
      </c>
      <c r="AG325" s="57">
        <v>0</v>
      </c>
      <c r="AH325" s="56">
        <v>0</v>
      </c>
      <c r="AI325" s="56">
        <v>8.0000000000000002E-3</v>
      </c>
      <c r="AJ325" s="56">
        <v>0</v>
      </c>
      <c r="AK325" s="56" t="s">
        <v>713</v>
      </c>
      <c r="AL325" s="52">
        <v>1</v>
      </c>
      <c r="AM325" s="56">
        <v>6000</v>
      </c>
      <c r="AN325" s="52" t="s">
        <v>63</v>
      </c>
      <c r="AO325" s="52" t="s">
        <v>738</v>
      </c>
    </row>
    <row r="326" spans="1:41" ht="16.5">
      <c r="A326" s="52">
        <v>20428</v>
      </c>
      <c r="B326" s="53" t="s">
        <v>1086</v>
      </c>
      <c r="C326" s="53" t="s">
        <v>165</v>
      </c>
      <c r="D326" s="54" t="s">
        <v>117</v>
      </c>
      <c r="E326" s="55">
        <v>11014</v>
      </c>
      <c r="F326" s="66">
        <v>5000</v>
      </c>
      <c r="G326" s="52">
        <v>300</v>
      </c>
      <c r="H326" s="52">
        <v>50</v>
      </c>
      <c r="I326" s="54" t="s">
        <v>719</v>
      </c>
      <c r="J326" s="52">
        <v>3</v>
      </c>
      <c r="K326" s="52">
        <v>10</v>
      </c>
      <c r="L326" s="52">
        <v>30</v>
      </c>
      <c r="M326" s="52">
        <v>0</v>
      </c>
      <c r="N326" s="52">
        <v>160</v>
      </c>
      <c r="O326" s="52">
        <v>0</v>
      </c>
      <c r="P326" s="52">
        <v>0</v>
      </c>
      <c r="Q326" s="52">
        <v>0</v>
      </c>
      <c r="R326" s="52">
        <v>0</v>
      </c>
      <c r="S326" s="52">
        <v>0</v>
      </c>
      <c r="T326" s="52">
        <v>0</v>
      </c>
      <c r="U326" s="52">
        <v>0</v>
      </c>
      <c r="V326" s="52">
        <v>8</v>
      </c>
      <c r="W326" s="52">
        <v>0</v>
      </c>
      <c r="X326" s="52">
        <v>0</v>
      </c>
      <c r="Y326" s="52">
        <v>0</v>
      </c>
      <c r="Z326" s="52">
        <v>0</v>
      </c>
      <c r="AA326" s="52">
        <v>0</v>
      </c>
      <c r="AB326" s="52">
        <v>0</v>
      </c>
      <c r="AC326" s="56">
        <v>0</v>
      </c>
      <c r="AD326" s="56">
        <v>32</v>
      </c>
      <c r="AE326" s="56">
        <v>0</v>
      </c>
      <c r="AF326" s="56">
        <v>0</v>
      </c>
      <c r="AG326" s="57">
        <v>0</v>
      </c>
      <c r="AH326" s="56">
        <v>0</v>
      </c>
      <c r="AI326" s="56">
        <v>8.0000000000000002E-3</v>
      </c>
      <c r="AJ326" s="56">
        <v>0</v>
      </c>
      <c r="AK326" s="56" t="s">
        <v>713</v>
      </c>
      <c r="AL326" s="52">
        <v>1</v>
      </c>
      <c r="AM326" s="56">
        <v>6000</v>
      </c>
      <c r="AN326" s="52" t="s">
        <v>63</v>
      </c>
      <c r="AO326" s="52" t="s">
        <v>738</v>
      </c>
    </row>
    <row r="327" spans="1:41" ht="16.5">
      <c r="A327" s="52">
        <v>20429</v>
      </c>
      <c r="B327" s="53" t="s">
        <v>1087</v>
      </c>
      <c r="C327" s="53" t="s">
        <v>165</v>
      </c>
      <c r="D327" s="54" t="s">
        <v>117</v>
      </c>
      <c r="E327" s="55">
        <v>11014</v>
      </c>
      <c r="F327" s="66">
        <v>5000</v>
      </c>
      <c r="G327" s="52">
        <v>300</v>
      </c>
      <c r="H327" s="52">
        <v>50</v>
      </c>
      <c r="I327" s="54" t="s">
        <v>719</v>
      </c>
      <c r="J327" s="52">
        <v>3</v>
      </c>
      <c r="K327" s="52">
        <v>10</v>
      </c>
      <c r="L327" s="52">
        <v>30</v>
      </c>
      <c r="M327" s="52">
        <v>0</v>
      </c>
      <c r="N327" s="52">
        <v>160</v>
      </c>
      <c r="O327" s="52">
        <v>0</v>
      </c>
      <c r="P327" s="52">
        <v>0</v>
      </c>
      <c r="Q327" s="52">
        <v>0</v>
      </c>
      <c r="R327" s="52">
        <v>0</v>
      </c>
      <c r="S327" s="52">
        <v>0</v>
      </c>
      <c r="T327" s="52">
        <v>0</v>
      </c>
      <c r="U327" s="52">
        <v>0</v>
      </c>
      <c r="V327" s="52">
        <v>8</v>
      </c>
      <c r="W327" s="52">
        <v>0</v>
      </c>
      <c r="X327" s="52">
        <v>0</v>
      </c>
      <c r="Y327" s="52">
        <v>0</v>
      </c>
      <c r="Z327" s="52">
        <v>0</v>
      </c>
      <c r="AA327" s="52">
        <v>0</v>
      </c>
      <c r="AB327" s="52">
        <v>0</v>
      </c>
      <c r="AC327" s="56">
        <v>0</v>
      </c>
      <c r="AD327" s="56">
        <v>32</v>
      </c>
      <c r="AE327" s="56">
        <v>0</v>
      </c>
      <c r="AF327" s="56">
        <v>0</v>
      </c>
      <c r="AG327" s="57">
        <v>0</v>
      </c>
      <c r="AH327" s="56">
        <v>0</v>
      </c>
      <c r="AI327" s="56">
        <v>8.0000000000000002E-3</v>
      </c>
      <c r="AJ327" s="56">
        <v>0</v>
      </c>
      <c r="AK327" s="56" t="s">
        <v>713</v>
      </c>
      <c r="AL327" s="52">
        <v>1</v>
      </c>
      <c r="AM327" s="56">
        <v>6000</v>
      </c>
      <c r="AN327" s="52" t="s">
        <v>63</v>
      </c>
      <c r="AO327" s="52" t="s">
        <v>738</v>
      </c>
    </row>
    <row r="328" spans="1:41" ht="16.5">
      <c r="A328" s="52">
        <v>20430</v>
      </c>
      <c r="B328" s="53" t="s">
        <v>1088</v>
      </c>
      <c r="C328" s="53" t="s">
        <v>165</v>
      </c>
      <c r="D328" s="54" t="s">
        <v>117</v>
      </c>
      <c r="E328" s="55">
        <v>11014</v>
      </c>
      <c r="F328" s="66">
        <v>5000</v>
      </c>
      <c r="G328" s="52">
        <v>300</v>
      </c>
      <c r="H328" s="52">
        <v>50</v>
      </c>
      <c r="I328" s="54" t="s">
        <v>719</v>
      </c>
      <c r="J328" s="52">
        <v>3</v>
      </c>
      <c r="K328" s="52">
        <v>10</v>
      </c>
      <c r="L328" s="52">
        <v>30</v>
      </c>
      <c r="M328" s="52">
        <v>0</v>
      </c>
      <c r="N328" s="52">
        <v>160</v>
      </c>
      <c r="O328" s="52">
        <v>0</v>
      </c>
      <c r="P328" s="52">
        <v>0</v>
      </c>
      <c r="Q328" s="52">
        <v>0</v>
      </c>
      <c r="R328" s="52">
        <v>0</v>
      </c>
      <c r="S328" s="52">
        <v>0</v>
      </c>
      <c r="T328" s="52">
        <v>0</v>
      </c>
      <c r="U328" s="52">
        <v>0</v>
      </c>
      <c r="V328" s="52">
        <v>8</v>
      </c>
      <c r="W328" s="52">
        <v>0</v>
      </c>
      <c r="X328" s="52">
        <v>0</v>
      </c>
      <c r="Y328" s="52">
        <v>0</v>
      </c>
      <c r="Z328" s="52">
        <v>0</v>
      </c>
      <c r="AA328" s="52">
        <v>0</v>
      </c>
      <c r="AB328" s="52">
        <v>0</v>
      </c>
      <c r="AC328" s="56">
        <v>0</v>
      </c>
      <c r="AD328" s="56">
        <v>32</v>
      </c>
      <c r="AE328" s="56">
        <v>0</v>
      </c>
      <c r="AF328" s="56">
        <v>0</v>
      </c>
      <c r="AG328" s="57">
        <v>0</v>
      </c>
      <c r="AH328" s="56">
        <v>0</v>
      </c>
      <c r="AI328" s="56">
        <v>8.0000000000000002E-3</v>
      </c>
      <c r="AJ328" s="56">
        <v>0</v>
      </c>
      <c r="AK328" s="56" t="s">
        <v>713</v>
      </c>
      <c r="AL328" s="52">
        <v>1</v>
      </c>
      <c r="AM328" s="56">
        <v>6000</v>
      </c>
      <c r="AN328" s="52" t="s">
        <v>63</v>
      </c>
      <c r="AO328" s="52" t="s">
        <v>738</v>
      </c>
    </row>
    <row r="329" spans="1:41" ht="16.5">
      <c r="A329" s="52">
        <v>204311</v>
      </c>
      <c r="B329" s="53" t="s">
        <v>1089</v>
      </c>
      <c r="C329" s="53" t="s">
        <v>165</v>
      </c>
      <c r="D329" s="54" t="s">
        <v>117</v>
      </c>
      <c r="E329" s="55">
        <v>11014</v>
      </c>
      <c r="F329" s="66">
        <v>5000</v>
      </c>
      <c r="G329" s="52">
        <v>300</v>
      </c>
      <c r="H329" s="52">
        <v>50</v>
      </c>
      <c r="I329" s="54" t="s">
        <v>719</v>
      </c>
      <c r="J329" s="52">
        <v>3</v>
      </c>
      <c r="K329" s="52">
        <v>10</v>
      </c>
      <c r="L329" s="52">
        <v>30</v>
      </c>
      <c r="M329" s="52">
        <v>0</v>
      </c>
      <c r="N329" s="52">
        <v>160</v>
      </c>
      <c r="O329" s="52">
        <v>0</v>
      </c>
      <c r="P329" s="52">
        <v>0</v>
      </c>
      <c r="Q329" s="52">
        <v>0</v>
      </c>
      <c r="R329" s="52">
        <v>0</v>
      </c>
      <c r="S329" s="52">
        <v>0</v>
      </c>
      <c r="T329" s="52">
        <v>0</v>
      </c>
      <c r="U329" s="52">
        <v>0</v>
      </c>
      <c r="V329" s="52">
        <v>8</v>
      </c>
      <c r="W329" s="52">
        <v>0</v>
      </c>
      <c r="X329" s="52">
        <v>0</v>
      </c>
      <c r="Y329" s="52">
        <v>0</v>
      </c>
      <c r="Z329" s="52">
        <v>0</v>
      </c>
      <c r="AA329" s="52">
        <v>0</v>
      </c>
      <c r="AB329" s="52">
        <v>0</v>
      </c>
      <c r="AC329" s="56">
        <v>0</v>
      </c>
      <c r="AD329" s="56">
        <v>32</v>
      </c>
      <c r="AE329" s="56">
        <v>0</v>
      </c>
      <c r="AF329" s="56">
        <v>0</v>
      </c>
      <c r="AG329" s="57">
        <v>0</v>
      </c>
      <c r="AH329" s="56">
        <v>0</v>
      </c>
      <c r="AI329" s="56">
        <v>8.0000000000000002E-3</v>
      </c>
      <c r="AJ329" s="56">
        <v>0</v>
      </c>
      <c r="AK329" s="56" t="s">
        <v>713</v>
      </c>
      <c r="AL329" s="52">
        <v>1</v>
      </c>
      <c r="AM329" s="56">
        <v>6000</v>
      </c>
      <c r="AN329" s="52" t="s">
        <v>63</v>
      </c>
      <c r="AO329" s="52" t="s">
        <v>738</v>
      </c>
    </row>
    <row r="330" spans="1:41" ht="16.5">
      <c r="A330" s="52">
        <v>204312</v>
      </c>
      <c r="B330" s="53" t="s">
        <v>1090</v>
      </c>
      <c r="C330" s="53" t="s">
        <v>165</v>
      </c>
      <c r="D330" s="54" t="s">
        <v>117</v>
      </c>
      <c r="E330" s="55">
        <v>11014</v>
      </c>
      <c r="F330" s="66">
        <v>5000</v>
      </c>
      <c r="G330" s="52">
        <v>300</v>
      </c>
      <c r="H330" s="52">
        <v>50</v>
      </c>
      <c r="I330" s="54" t="s">
        <v>719</v>
      </c>
      <c r="J330" s="52">
        <v>3</v>
      </c>
      <c r="K330" s="52">
        <v>10</v>
      </c>
      <c r="L330" s="52">
        <v>30</v>
      </c>
      <c r="M330" s="52">
        <v>0</v>
      </c>
      <c r="N330" s="52">
        <v>160</v>
      </c>
      <c r="O330" s="52">
        <v>0</v>
      </c>
      <c r="P330" s="52">
        <v>0</v>
      </c>
      <c r="Q330" s="52">
        <v>0</v>
      </c>
      <c r="R330" s="52">
        <v>0</v>
      </c>
      <c r="S330" s="52">
        <v>0</v>
      </c>
      <c r="T330" s="52">
        <v>0</v>
      </c>
      <c r="U330" s="52">
        <v>0</v>
      </c>
      <c r="V330" s="52">
        <v>8</v>
      </c>
      <c r="W330" s="52">
        <v>0</v>
      </c>
      <c r="X330" s="52">
        <v>0</v>
      </c>
      <c r="Y330" s="52">
        <v>0</v>
      </c>
      <c r="Z330" s="52">
        <v>0</v>
      </c>
      <c r="AA330" s="52">
        <v>0</v>
      </c>
      <c r="AB330" s="52">
        <v>0</v>
      </c>
      <c r="AC330" s="56">
        <v>0</v>
      </c>
      <c r="AD330" s="56">
        <v>32</v>
      </c>
      <c r="AE330" s="56">
        <v>0</v>
      </c>
      <c r="AF330" s="56">
        <v>0</v>
      </c>
      <c r="AG330" s="57">
        <v>0</v>
      </c>
      <c r="AH330" s="56">
        <v>0</v>
      </c>
      <c r="AI330" s="56">
        <v>8.0000000000000002E-3</v>
      </c>
      <c r="AJ330" s="56">
        <v>0</v>
      </c>
      <c r="AK330" s="56" t="s">
        <v>713</v>
      </c>
      <c r="AL330" s="52">
        <v>1</v>
      </c>
      <c r="AM330" s="56">
        <v>6000</v>
      </c>
      <c r="AN330" s="52" t="s">
        <v>63</v>
      </c>
      <c r="AO330" s="52" t="s">
        <v>738</v>
      </c>
    </row>
    <row r="331" spans="1:41" ht="16.5">
      <c r="A331" s="52">
        <v>431</v>
      </c>
      <c r="B331" s="53" t="s">
        <v>1091</v>
      </c>
      <c r="C331" s="53" t="s">
        <v>696</v>
      </c>
      <c r="D331" s="54" t="s">
        <v>118</v>
      </c>
      <c r="E331" s="55">
        <v>11015</v>
      </c>
      <c r="F331" s="66">
        <v>5000</v>
      </c>
      <c r="G331" s="52">
        <v>300</v>
      </c>
      <c r="H331" s="52">
        <v>50</v>
      </c>
      <c r="I331" s="54" t="s">
        <v>720</v>
      </c>
      <c r="J331" s="52">
        <v>3</v>
      </c>
      <c r="K331" s="52">
        <v>10</v>
      </c>
      <c r="L331" s="52">
        <v>30</v>
      </c>
      <c r="M331" s="52">
        <v>4000</v>
      </c>
      <c r="N331" s="52">
        <v>0</v>
      </c>
      <c r="O331" s="52">
        <v>0</v>
      </c>
      <c r="P331" s="52">
        <v>0</v>
      </c>
      <c r="Q331" s="52">
        <v>0</v>
      </c>
      <c r="R331" s="52">
        <v>0</v>
      </c>
      <c r="S331" s="52">
        <v>0</v>
      </c>
      <c r="T331" s="52">
        <v>0</v>
      </c>
      <c r="U331" s="52">
        <v>200</v>
      </c>
      <c r="V331" s="52">
        <v>0</v>
      </c>
      <c r="W331" s="52">
        <v>0</v>
      </c>
      <c r="X331" s="52">
        <v>0</v>
      </c>
      <c r="Y331" s="52">
        <v>0</v>
      </c>
      <c r="Z331" s="52">
        <v>0</v>
      </c>
      <c r="AA331" s="52">
        <v>0</v>
      </c>
      <c r="AB331" s="52">
        <v>0</v>
      </c>
      <c r="AC331" s="56">
        <v>800</v>
      </c>
      <c r="AD331" s="56">
        <v>0</v>
      </c>
      <c r="AE331" s="56">
        <v>0</v>
      </c>
      <c r="AF331" s="56">
        <v>0</v>
      </c>
      <c r="AG331" s="56">
        <v>4.0000000000000001E-3</v>
      </c>
      <c r="AH331" s="56">
        <v>0</v>
      </c>
      <c r="AI331" s="56">
        <v>0</v>
      </c>
      <c r="AJ331" s="57">
        <v>0</v>
      </c>
      <c r="AK331" s="56" t="s">
        <v>713</v>
      </c>
      <c r="AL331" s="52">
        <v>3</v>
      </c>
      <c r="AM331" s="56">
        <v>6000</v>
      </c>
      <c r="AN331" s="52" t="s">
        <v>63</v>
      </c>
      <c r="AO331" s="52" t="s">
        <v>739</v>
      </c>
    </row>
    <row r="332" spans="1:41" ht="16.5">
      <c r="A332" s="52">
        <v>432</v>
      </c>
      <c r="B332" s="53" t="s">
        <v>1092</v>
      </c>
      <c r="C332" s="53" t="s">
        <v>696</v>
      </c>
      <c r="D332" s="54" t="s">
        <v>118</v>
      </c>
      <c r="E332" s="55">
        <v>11015</v>
      </c>
      <c r="F332" s="66">
        <v>5000</v>
      </c>
      <c r="G332" s="52">
        <v>300</v>
      </c>
      <c r="H332" s="52">
        <v>50</v>
      </c>
      <c r="I332" s="54" t="s">
        <v>720</v>
      </c>
      <c r="J332" s="52">
        <v>3</v>
      </c>
      <c r="K332" s="52">
        <v>10</v>
      </c>
      <c r="L332" s="52">
        <v>30</v>
      </c>
      <c r="M332" s="52">
        <v>4000</v>
      </c>
      <c r="N332" s="52">
        <v>0</v>
      </c>
      <c r="O332" s="52">
        <v>0</v>
      </c>
      <c r="P332" s="52">
        <v>0</v>
      </c>
      <c r="Q332" s="52">
        <v>0</v>
      </c>
      <c r="R332" s="52">
        <v>0</v>
      </c>
      <c r="S332" s="52">
        <v>0</v>
      </c>
      <c r="T332" s="52">
        <v>0</v>
      </c>
      <c r="U332" s="52">
        <v>200</v>
      </c>
      <c r="V332" s="52">
        <v>0</v>
      </c>
      <c r="W332" s="52">
        <v>0</v>
      </c>
      <c r="X332" s="52">
        <v>0</v>
      </c>
      <c r="Y332" s="52">
        <v>0</v>
      </c>
      <c r="Z332" s="52">
        <v>0</v>
      </c>
      <c r="AA332" s="52">
        <v>0</v>
      </c>
      <c r="AB332" s="52">
        <v>0</v>
      </c>
      <c r="AC332" s="56">
        <v>800</v>
      </c>
      <c r="AD332" s="56">
        <v>0</v>
      </c>
      <c r="AE332" s="56">
        <v>0</v>
      </c>
      <c r="AF332" s="56">
        <v>0</v>
      </c>
      <c r="AG332" s="56">
        <v>4.0000000000000001E-3</v>
      </c>
      <c r="AH332" s="56">
        <v>0</v>
      </c>
      <c r="AI332" s="56">
        <v>0</v>
      </c>
      <c r="AJ332" s="57">
        <v>0</v>
      </c>
      <c r="AK332" s="56" t="s">
        <v>713</v>
      </c>
      <c r="AL332" s="52">
        <v>3</v>
      </c>
      <c r="AM332" s="56">
        <v>6000</v>
      </c>
      <c r="AN332" s="52" t="s">
        <v>63</v>
      </c>
      <c r="AO332" s="52" t="s">
        <v>739</v>
      </c>
    </row>
    <row r="333" spans="1:41" ht="16.5">
      <c r="A333" s="52">
        <v>2043</v>
      </c>
      <c r="B333" s="53" t="s">
        <v>1093</v>
      </c>
      <c r="C333" s="53" t="s">
        <v>696</v>
      </c>
      <c r="D333" s="54" t="s">
        <v>118</v>
      </c>
      <c r="E333" s="55">
        <v>11015</v>
      </c>
      <c r="F333" s="66">
        <v>5000</v>
      </c>
      <c r="G333" s="52">
        <v>300</v>
      </c>
      <c r="H333" s="52">
        <v>50</v>
      </c>
      <c r="I333" s="54" t="s">
        <v>720</v>
      </c>
      <c r="J333" s="52">
        <v>3</v>
      </c>
      <c r="K333" s="52">
        <v>10</v>
      </c>
      <c r="L333" s="52">
        <v>30</v>
      </c>
      <c r="M333" s="52">
        <v>4000</v>
      </c>
      <c r="N333" s="52">
        <v>0</v>
      </c>
      <c r="O333" s="52">
        <v>0</v>
      </c>
      <c r="P333" s="52">
        <v>0</v>
      </c>
      <c r="Q333" s="52">
        <v>0</v>
      </c>
      <c r="R333" s="52">
        <v>0</v>
      </c>
      <c r="S333" s="52">
        <v>0</v>
      </c>
      <c r="T333" s="52">
        <v>0</v>
      </c>
      <c r="U333" s="52">
        <v>200</v>
      </c>
      <c r="V333" s="52">
        <v>0</v>
      </c>
      <c r="W333" s="52">
        <v>0</v>
      </c>
      <c r="X333" s="52">
        <v>0</v>
      </c>
      <c r="Y333" s="52">
        <v>0</v>
      </c>
      <c r="Z333" s="52">
        <v>0</v>
      </c>
      <c r="AA333" s="52">
        <v>0</v>
      </c>
      <c r="AB333" s="52">
        <v>0</v>
      </c>
      <c r="AC333" s="56">
        <v>800</v>
      </c>
      <c r="AD333" s="56">
        <v>0</v>
      </c>
      <c r="AE333" s="56">
        <v>0</v>
      </c>
      <c r="AF333" s="56">
        <v>0</v>
      </c>
      <c r="AG333" s="56">
        <v>4.0000000000000001E-3</v>
      </c>
      <c r="AH333" s="56">
        <v>0</v>
      </c>
      <c r="AI333" s="56">
        <v>0</v>
      </c>
      <c r="AJ333" s="57">
        <v>0</v>
      </c>
      <c r="AK333" s="56" t="s">
        <v>713</v>
      </c>
      <c r="AL333" s="52">
        <v>3</v>
      </c>
      <c r="AM333" s="56">
        <v>6000</v>
      </c>
      <c r="AN333" s="52" t="s">
        <v>63</v>
      </c>
      <c r="AO333" s="52" t="s">
        <v>739</v>
      </c>
    </row>
    <row r="334" spans="1:41" ht="16.5">
      <c r="A334" s="52">
        <v>20431</v>
      </c>
      <c r="B334" s="53" t="s">
        <v>1094</v>
      </c>
      <c r="C334" s="53" t="s">
        <v>696</v>
      </c>
      <c r="D334" s="54" t="s">
        <v>118</v>
      </c>
      <c r="E334" s="55">
        <v>11015</v>
      </c>
      <c r="F334" s="66">
        <v>5000</v>
      </c>
      <c r="G334" s="52">
        <v>300</v>
      </c>
      <c r="H334" s="52">
        <v>50</v>
      </c>
      <c r="I334" s="54" t="s">
        <v>720</v>
      </c>
      <c r="J334" s="52">
        <v>3</v>
      </c>
      <c r="K334" s="52">
        <v>10</v>
      </c>
      <c r="L334" s="52">
        <v>30</v>
      </c>
      <c r="M334" s="52">
        <v>4000</v>
      </c>
      <c r="N334" s="52">
        <v>0</v>
      </c>
      <c r="O334" s="52">
        <v>0</v>
      </c>
      <c r="P334" s="52">
        <v>0</v>
      </c>
      <c r="Q334" s="52">
        <v>0</v>
      </c>
      <c r="R334" s="52">
        <v>0</v>
      </c>
      <c r="S334" s="52">
        <v>0</v>
      </c>
      <c r="T334" s="52">
        <v>0</v>
      </c>
      <c r="U334" s="52">
        <v>200</v>
      </c>
      <c r="V334" s="52">
        <v>0</v>
      </c>
      <c r="W334" s="52">
        <v>0</v>
      </c>
      <c r="X334" s="52">
        <v>0</v>
      </c>
      <c r="Y334" s="52">
        <v>0</v>
      </c>
      <c r="Z334" s="52">
        <v>0</v>
      </c>
      <c r="AA334" s="52">
        <v>0</v>
      </c>
      <c r="AB334" s="52">
        <v>0</v>
      </c>
      <c r="AC334" s="56">
        <v>800</v>
      </c>
      <c r="AD334" s="56">
        <v>0</v>
      </c>
      <c r="AE334" s="56">
        <v>0</v>
      </c>
      <c r="AF334" s="56">
        <v>0</v>
      </c>
      <c r="AG334" s="56">
        <v>4.0000000000000001E-3</v>
      </c>
      <c r="AH334" s="56">
        <v>0</v>
      </c>
      <c r="AI334" s="56">
        <v>0</v>
      </c>
      <c r="AJ334" s="57">
        <v>0</v>
      </c>
      <c r="AK334" s="56" t="s">
        <v>713</v>
      </c>
      <c r="AL334" s="52">
        <v>3</v>
      </c>
      <c r="AM334" s="56">
        <v>6000</v>
      </c>
      <c r="AN334" s="52" t="s">
        <v>63</v>
      </c>
      <c r="AO334" s="52" t="s">
        <v>739</v>
      </c>
    </row>
    <row r="335" spans="1:41" ht="16.5">
      <c r="A335" s="52">
        <v>20432</v>
      </c>
      <c r="B335" s="53" t="s">
        <v>1095</v>
      </c>
      <c r="C335" s="53" t="s">
        <v>696</v>
      </c>
      <c r="D335" s="54" t="s">
        <v>118</v>
      </c>
      <c r="E335" s="55">
        <v>11015</v>
      </c>
      <c r="F335" s="66">
        <v>5000</v>
      </c>
      <c r="G335" s="52">
        <v>300</v>
      </c>
      <c r="H335" s="52">
        <v>50</v>
      </c>
      <c r="I335" s="54" t="s">
        <v>720</v>
      </c>
      <c r="J335" s="52">
        <v>3</v>
      </c>
      <c r="K335" s="52">
        <v>10</v>
      </c>
      <c r="L335" s="52">
        <v>30</v>
      </c>
      <c r="M335" s="52">
        <v>4000</v>
      </c>
      <c r="N335" s="52">
        <v>0</v>
      </c>
      <c r="O335" s="52">
        <v>0</v>
      </c>
      <c r="P335" s="52">
        <v>0</v>
      </c>
      <c r="Q335" s="52">
        <v>0</v>
      </c>
      <c r="R335" s="52">
        <v>0</v>
      </c>
      <c r="S335" s="52">
        <v>0</v>
      </c>
      <c r="T335" s="52">
        <v>0</v>
      </c>
      <c r="U335" s="52">
        <v>200</v>
      </c>
      <c r="V335" s="52">
        <v>0</v>
      </c>
      <c r="W335" s="52">
        <v>0</v>
      </c>
      <c r="X335" s="52">
        <v>0</v>
      </c>
      <c r="Y335" s="52">
        <v>0</v>
      </c>
      <c r="Z335" s="52">
        <v>0</v>
      </c>
      <c r="AA335" s="52">
        <v>0</v>
      </c>
      <c r="AB335" s="52">
        <v>0</v>
      </c>
      <c r="AC335" s="56">
        <v>800</v>
      </c>
      <c r="AD335" s="56">
        <v>0</v>
      </c>
      <c r="AE335" s="56">
        <v>0</v>
      </c>
      <c r="AF335" s="56">
        <v>0</v>
      </c>
      <c r="AG335" s="56">
        <v>4.0000000000000001E-3</v>
      </c>
      <c r="AH335" s="56">
        <v>0</v>
      </c>
      <c r="AI335" s="56">
        <v>0</v>
      </c>
      <c r="AJ335" s="57">
        <v>0</v>
      </c>
      <c r="AK335" s="56" t="s">
        <v>713</v>
      </c>
      <c r="AL335" s="52">
        <v>3</v>
      </c>
      <c r="AM335" s="56">
        <v>6000</v>
      </c>
      <c r="AN335" s="52" t="s">
        <v>63</v>
      </c>
      <c r="AO335" s="52" t="s">
        <v>739</v>
      </c>
    </row>
    <row r="336" spans="1:41" ht="16.5">
      <c r="A336" s="52">
        <v>20433</v>
      </c>
      <c r="B336" s="53" t="s">
        <v>1096</v>
      </c>
      <c r="C336" s="53" t="s">
        <v>696</v>
      </c>
      <c r="D336" s="54" t="s">
        <v>118</v>
      </c>
      <c r="E336" s="55">
        <v>11015</v>
      </c>
      <c r="F336" s="66">
        <v>5000</v>
      </c>
      <c r="G336" s="52">
        <v>300</v>
      </c>
      <c r="H336" s="52">
        <v>50</v>
      </c>
      <c r="I336" s="54" t="s">
        <v>720</v>
      </c>
      <c r="J336" s="52">
        <v>3</v>
      </c>
      <c r="K336" s="52">
        <v>10</v>
      </c>
      <c r="L336" s="52">
        <v>30</v>
      </c>
      <c r="M336" s="52">
        <v>4000</v>
      </c>
      <c r="N336" s="52">
        <v>0</v>
      </c>
      <c r="O336" s="52">
        <v>0</v>
      </c>
      <c r="P336" s="52">
        <v>0</v>
      </c>
      <c r="Q336" s="52">
        <v>0</v>
      </c>
      <c r="R336" s="52">
        <v>0</v>
      </c>
      <c r="S336" s="52">
        <v>0</v>
      </c>
      <c r="T336" s="52">
        <v>0</v>
      </c>
      <c r="U336" s="52">
        <v>200</v>
      </c>
      <c r="V336" s="52">
        <v>0</v>
      </c>
      <c r="W336" s="52">
        <v>0</v>
      </c>
      <c r="X336" s="52">
        <v>0</v>
      </c>
      <c r="Y336" s="52">
        <v>0</v>
      </c>
      <c r="Z336" s="52">
        <v>0</v>
      </c>
      <c r="AA336" s="52">
        <v>0</v>
      </c>
      <c r="AB336" s="52">
        <v>0</v>
      </c>
      <c r="AC336" s="56">
        <v>800</v>
      </c>
      <c r="AD336" s="56">
        <v>0</v>
      </c>
      <c r="AE336" s="56">
        <v>0</v>
      </c>
      <c r="AF336" s="56">
        <v>0</v>
      </c>
      <c r="AG336" s="56">
        <v>4.0000000000000001E-3</v>
      </c>
      <c r="AH336" s="56">
        <v>0</v>
      </c>
      <c r="AI336" s="56">
        <v>0</v>
      </c>
      <c r="AJ336" s="57">
        <v>0</v>
      </c>
      <c r="AK336" s="56" t="s">
        <v>713</v>
      </c>
      <c r="AL336" s="52">
        <v>3</v>
      </c>
      <c r="AM336" s="56">
        <v>6000</v>
      </c>
      <c r="AN336" s="52" t="s">
        <v>63</v>
      </c>
      <c r="AO336" s="52" t="s">
        <v>739</v>
      </c>
    </row>
    <row r="337" spans="1:41" ht="16.5">
      <c r="A337" s="52">
        <v>20434</v>
      </c>
      <c r="B337" s="53" t="s">
        <v>1097</v>
      </c>
      <c r="C337" s="53" t="s">
        <v>696</v>
      </c>
      <c r="D337" s="54" t="s">
        <v>118</v>
      </c>
      <c r="E337" s="55">
        <v>11015</v>
      </c>
      <c r="F337" s="66">
        <v>5000</v>
      </c>
      <c r="G337" s="52">
        <v>300</v>
      </c>
      <c r="H337" s="52">
        <v>50</v>
      </c>
      <c r="I337" s="54" t="s">
        <v>720</v>
      </c>
      <c r="J337" s="52">
        <v>3</v>
      </c>
      <c r="K337" s="52">
        <v>10</v>
      </c>
      <c r="L337" s="52">
        <v>30</v>
      </c>
      <c r="M337" s="52">
        <v>4000</v>
      </c>
      <c r="N337" s="52">
        <v>0</v>
      </c>
      <c r="O337" s="52">
        <v>0</v>
      </c>
      <c r="P337" s="52">
        <v>0</v>
      </c>
      <c r="Q337" s="52">
        <v>0</v>
      </c>
      <c r="R337" s="52">
        <v>0</v>
      </c>
      <c r="S337" s="52">
        <v>0</v>
      </c>
      <c r="T337" s="52">
        <v>0</v>
      </c>
      <c r="U337" s="52">
        <v>200</v>
      </c>
      <c r="V337" s="52">
        <v>0</v>
      </c>
      <c r="W337" s="52">
        <v>0</v>
      </c>
      <c r="X337" s="52">
        <v>0</v>
      </c>
      <c r="Y337" s="52">
        <v>0</v>
      </c>
      <c r="Z337" s="52">
        <v>0</v>
      </c>
      <c r="AA337" s="52">
        <v>0</v>
      </c>
      <c r="AB337" s="52">
        <v>0</v>
      </c>
      <c r="AC337" s="56">
        <v>800</v>
      </c>
      <c r="AD337" s="56">
        <v>0</v>
      </c>
      <c r="AE337" s="56">
        <v>0</v>
      </c>
      <c r="AF337" s="56">
        <v>0</v>
      </c>
      <c r="AG337" s="56">
        <v>4.0000000000000001E-3</v>
      </c>
      <c r="AH337" s="56">
        <v>0</v>
      </c>
      <c r="AI337" s="56">
        <v>0</v>
      </c>
      <c r="AJ337" s="57">
        <v>0</v>
      </c>
      <c r="AK337" s="56" t="s">
        <v>713</v>
      </c>
      <c r="AL337" s="52">
        <v>3</v>
      </c>
      <c r="AM337" s="56">
        <v>6000</v>
      </c>
      <c r="AN337" s="52" t="s">
        <v>63</v>
      </c>
      <c r="AO337" s="52" t="s">
        <v>739</v>
      </c>
    </row>
    <row r="338" spans="1:41" ht="16.5">
      <c r="A338" s="52">
        <v>20435</v>
      </c>
      <c r="B338" s="53" t="s">
        <v>1098</v>
      </c>
      <c r="C338" s="53" t="s">
        <v>696</v>
      </c>
      <c r="D338" s="54" t="s">
        <v>118</v>
      </c>
      <c r="E338" s="55">
        <v>11015</v>
      </c>
      <c r="F338" s="66">
        <v>5000</v>
      </c>
      <c r="G338" s="52">
        <v>300</v>
      </c>
      <c r="H338" s="52">
        <v>50</v>
      </c>
      <c r="I338" s="54" t="s">
        <v>720</v>
      </c>
      <c r="J338" s="52">
        <v>3</v>
      </c>
      <c r="K338" s="52">
        <v>10</v>
      </c>
      <c r="L338" s="52">
        <v>30</v>
      </c>
      <c r="M338" s="52">
        <v>4000</v>
      </c>
      <c r="N338" s="52">
        <v>0</v>
      </c>
      <c r="O338" s="52">
        <v>0</v>
      </c>
      <c r="P338" s="52">
        <v>0</v>
      </c>
      <c r="Q338" s="52">
        <v>0</v>
      </c>
      <c r="R338" s="52">
        <v>0</v>
      </c>
      <c r="S338" s="52">
        <v>0</v>
      </c>
      <c r="T338" s="52">
        <v>0</v>
      </c>
      <c r="U338" s="52">
        <v>200</v>
      </c>
      <c r="V338" s="52">
        <v>0</v>
      </c>
      <c r="W338" s="52">
        <v>0</v>
      </c>
      <c r="X338" s="52">
        <v>0</v>
      </c>
      <c r="Y338" s="52">
        <v>0</v>
      </c>
      <c r="Z338" s="52">
        <v>0</v>
      </c>
      <c r="AA338" s="52">
        <v>0</v>
      </c>
      <c r="AB338" s="52">
        <v>0</v>
      </c>
      <c r="AC338" s="56">
        <v>800</v>
      </c>
      <c r="AD338" s="56">
        <v>0</v>
      </c>
      <c r="AE338" s="56">
        <v>0</v>
      </c>
      <c r="AF338" s="56">
        <v>0</v>
      </c>
      <c r="AG338" s="56">
        <v>4.0000000000000001E-3</v>
      </c>
      <c r="AH338" s="56">
        <v>0</v>
      </c>
      <c r="AI338" s="56">
        <v>0</v>
      </c>
      <c r="AJ338" s="57">
        <v>0</v>
      </c>
      <c r="AK338" s="56" t="s">
        <v>713</v>
      </c>
      <c r="AL338" s="52">
        <v>3</v>
      </c>
      <c r="AM338" s="56">
        <v>6000</v>
      </c>
      <c r="AN338" s="52" t="s">
        <v>63</v>
      </c>
      <c r="AO338" s="52" t="s">
        <v>739</v>
      </c>
    </row>
    <row r="339" spans="1:41" ht="16.5">
      <c r="A339" s="52">
        <v>20436</v>
      </c>
      <c r="B339" s="53" t="s">
        <v>1099</v>
      </c>
      <c r="C339" s="53" t="s">
        <v>696</v>
      </c>
      <c r="D339" s="54" t="s">
        <v>118</v>
      </c>
      <c r="E339" s="55">
        <v>11015</v>
      </c>
      <c r="F339" s="66">
        <v>5000</v>
      </c>
      <c r="G339" s="52">
        <v>300</v>
      </c>
      <c r="H339" s="52">
        <v>50</v>
      </c>
      <c r="I339" s="54" t="s">
        <v>720</v>
      </c>
      <c r="J339" s="52">
        <v>3</v>
      </c>
      <c r="K339" s="52">
        <v>10</v>
      </c>
      <c r="L339" s="52">
        <v>30</v>
      </c>
      <c r="M339" s="52">
        <v>4000</v>
      </c>
      <c r="N339" s="52">
        <v>0</v>
      </c>
      <c r="O339" s="52">
        <v>0</v>
      </c>
      <c r="P339" s="52">
        <v>0</v>
      </c>
      <c r="Q339" s="52">
        <v>0</v>
      </c>
      <c r="R339" s="52">
        <v>0</v>
      </c>
      <c r="S339" s="52">
        <v>0</v>
      </c>
      <c r="T339" s="52">
        <v>0</v>
      </c>
      <c r="U339" s="52">
        <v>200</v>
      </c>
      <c r="V339" s="52">
        <v>0</v>
      </c>
      <c r="W339" s="52">
        <v>0</v>
      </c>
      <c r="X339" s="52">
        <v>0</v>
      </c>
      <c r="Y339" s="52">
        <v>0</v>
      </c>
      <c r="Z339" s="52">
        <v>0</v>
      </c>
      <c r="AA339" s="52">
        <v>0</v>
      </c>
      <c r="AB339" s="52">
        <v>0</v>
      </c>
      <c r="AC339" s="56">
        <v>800</v>
      </c>
      <c r="AD339" s="56">
        <v>0</v>
      </c>
      <c r="AE339" s="56">
        <v>0</v>
      </c>
      <c r="AF339" s="56">
        <v>0</v>
      </c>
      <c r="AG339" s="56">
        <v>4.0000000000000001E-3</v>
      </c>
      <c r="AH339" s="56">
        <v>0</v>
      </c>
      <c r="AI339" s="56">
        <v>0</v>
      </c>
      <c r="AJ339" s="57">
        <v>0</v>
      </c>
      <c r="AK339" s="56" t="s">
        <v>713</v>
      </c>
      <c r="AL339" s="52">
        <v>3</v>
      </c>
      <c r="AM339" s="56">
        <v>6000</v>
      </c>
      <c r="AN339" s="52" t="s">
        <v>63</v>
      </c>
      <c r="AO339" s="52" t="s">
        <v>739</v>
      </c>
    </row>
    <row r="340" spans="1:41" ht="16.5">
      <c r="A340" s="52">
        <v>20437</v>
      </c>
      <c r="B340" s="53" t="s">
        <v>1100</v>
      </c>
      <c r="C340" s="53" t="s">
        <v>696</v>
      </c>
      <c r="D340" s="54" t="s">
        <v>118</v>
      </c>
      <c r="E340" s="55">
        <v>11015</v>
      </c>
      <c r="F340" s="66">
        <v>5000</v>
      </c>
      <c r="G340" s="52">
        <v>300</v>
      </c>
      <c r="H340" s="52">
        <v>50</v>
      </c>
      <c r="I340" s="54" t="s">
        <v>720</v>
      </c>
      <c r="J340" s="52">
        <v>3</v>
      </c>
      <c r="K340" s="52">
        <v>10</v>
      </c>
      <c r="L340" s="52">
        <v>30</v>
      </c>
      <c r="M340" s="52">
        <v>4000</v>
      </c>
      <c r="N340" s="52">
        <v>0</v>
      </c>
      <c r="O340" s="52">
        <v>0</v>
      </c>
      <c r="P340" s="52">
        <v>0</v>
      </c>
      <c r="Q340" s="52">
        <v>0</v>
      </c>
      <c r="R340" s="52">
        <v>0</v>
      </c>
      <c r="S340" s="52">
        <v>0</v>
      </c>
      <c r="T340" s="52">
        <v>0</v>
      </c>
      <c r="U340" s="52">
        <v>200</v>
      </c>
      <c r="V340" s="52">
        <v>0</v>
      </c>
      <c r="W340" s="52">
        <v>0</v>
      </c>
      <c r="X340" s="52">
        <v>0</v>
      </c>
      <c r="Y340" s="52">
        <v>0</v>
      </c>
      <c r="Z340" s="52">
        <v>0</v>
      </c>
      <c r="AA340" s="52">
        <v>0</v>
      </c>
      <c r="AB340" s="52">
        <v>0</v>
      </c>
      <c r="AC340" s="56">
        <v>800</v>
      </c>
      <c r="AD340" s="56">
        <v>0</v>
      </c>
      <c r="AE340" s="56">
        <v>0</v>
      </c>
      <c r="AF340" s="56">
        <v>0</v>
      </c>
      <c r="AG340" s="56">
        <v>4.0000000000000001E-3</v>
      </c>
      <c r="AH340" s="56">
        <v>0</v>
      </c>
      <c r="AI340" s="56">
        <v>0</v>
      </c>
      <c r="AJ340" s="57">
        <v>0</v>
      </c>
      <c r="AK340" s="56" t="s">
        <v>713</v>
      </c>
      <c r="AL340" s="52">
        <v>3</v>
      </c>
      <c r="AM340" s="56">
        <v>6000</v>
      </c>
      <c r="AN340" s="52" t="s">
        <v>63</v>
      </c>
      <c r="AO340" s="52" t="s">
        <v>739</v>
      </c>
    </row>
    <row r="341" spans="1:41" ht="16.5">
      <c r="A341" s="52">
        <v>20438</v>
      </c>
      <c r="B341" s="53" t="s">
        <v>1101</v>
      </c>
      <c r="C341" s="53" t="s">
        <v>696</v>
      </c>
      <c r="D341" s="54" t="s">
        <v>118</v>
      </c>
      <c r="E341" s="55">
        <v>11015</v>
      </c>
      <c r="F341" s="66">
        <v>5000</v>
      </c>
      <c r="G341" s="52">
        <v>300</v>
      </c>
      <c r="H341" s="52">
        <v>50</v>
      </c>
      <c r="I341" s="54" t="s">
        <v>720</v>
      </c>
      <c r="J341" s="52">
        <v>3</v>
      </c>
      <c r="K341" s="52">
        <v>10</v>
      </c>
      <c r="L341" s="52">
        <v>30</v>
      </c>
      <c r="M341" s="52">
        <v>4000</v>
      </c>
      <c r="N341" s="52">
        <v>0</v>
      </c>
      <c r="O341" s="52">
        <v>0</v>
      </c>
      <c r="P341" s="52">
        <v>0</v>
      </c>
      <c r="Q341" s="52">
        <v>0</v>
      </c>
      <c r="R341" s="52">
        <v>0</v>
      </c>
      <c r="S341" s="52">
        <v>0</v>
      </c>
      <c r="T341" s="52">
        <v>0</v>
      </c>
      <c r="U341" s="52">
        <v>200</v>
      </c>
      <c r="V341" s="52">
        <v>0</v>
      </c>
      <c r="W341" s="52">
        <v>0</v>
      </c>
      <c r="X341" s="52">
        <v>0</v>
      </c>
      <c r="Y341" s="52">
        <v>0</v>
      </c>
      <c r="Z341" s="52">
        <v>0</v>
      </c>
      <c r="AA341" s="52">
        <v>0</v>
      </c>
      <c r="AB341" s="52">
        <v>0</v>
      </c>
      <c r="AC341" s="56">
        <v>800</v>
      </c>
      <c r="AD341" s="56">
        <v>0</v>
      </c>
      <c r="AE341" s="56">
        <v>0</v>
      </c>
      <c r="AF341" s="56">
        <v>0</v>
      </c>
      <c r="AG341" s="56">
        <v>4.0000000000000001E-3</v>
      </c>
      <c r="AH341" s="56">
        <v>0</v>
      </c>
      <c r="AI341" s="56">
        <v>0</v>
      </c>
      <c r="AJ341" s="57">
        <v>0</v>
      </c>
      <c r="AK341" s="56" t="s">
        <v>713</v>
      </c>
      <c r="AL341" s="52">
        <v>3</v>
      </c>
      <c r="AM341" s="56">
        <v>6000</v>
      </c>
      <c r="AN341" s="52" t="s">
        <v>63</v>
      </c>
      <c r="AO341" s="52" t="s">
        <v>739</v>
      </c>
    </row>
    <row r="342" spans="1:41" ht="16.5">
      <c r="A342" s="52">
        <v>20439</v>
      </c>
      <c r="B342" s="53" t="s">
        <v>1102</v>
      </c>
      <c r="C342" s="53" t="s">
        <v>696</v>
      </c>
      <c r="D342" s="54" t="s">
        <v>118</v>
      </c>
      <c r="E342" s="55">
        <v>11015</v>
      </c>
      <c r="F342" s="66">
        <v>5000</v>
      </c>
      <c r="G342" s="52">
        <v>300</v>
      </c>
      <c r="H342" s="52">
        <v>50</v>
      </c>
      <c r="I342" s="54" t="s">
        <v>720</v>
      </c>
      <c r="J342" s="52">
        <v>3</v>
      </c>
      <c r="K342" s="52">
        <v>10</v>
      </c>
      <c r="L342" s="52">
        <v>30</v>
      </c>
      <c r="M342" s="52">
        <v>4000</v>
      </c>
      <c r="N342" s="52">
        <v>0</v>
      </c>
      <c r="O342" s="52">
        <v>0</v>
      </c>
      <c r="P342" s="52">
        <v>0</v>
      </c>
      <c r="Q342" s="52">
        <v>0</v>
      </c>
      <c r="R342" s="52">
        <v>0</v>
      </c>
      <c r="S342" s="52">
        <v>0</v>
      </c>
      <c r="T342" s="52">
        <v>0</v>
      </c>
      <c r="U342" s="52">
        <v>200</v>
      </c>
      <c r="V342" s="52">
        <v>0</v>
      </c>
      <c r="W342" s="52">
        <v>0</v>
      </c>
      <c r="X342" s="52">
        <v>0</v>
      </c>
      <c r="Y342" s="52">
        <v>0</v>
      </c>
      <c r="Z342" s="52">
        <v>0</v>
      </c>
      <c r="AA342" s="52">
        <v>0</v>
      </c>
      <c r="AB342" s="52">
        <v>0</v>
      </c>
      <c r="AC342" s="56">
        <v>800</v>
      </c>
      <c r="AD342" s="56">
        <v>0</v>
      </c>
      <c r="AE342" s="56">
        <v>0</v>
      </c>
      <c r="AF342" s="56">
        <v>0</v>
      </c>
      <c r="AG342" s="56">
        <v>4.0000000000000001E-3</v>
      </c>
      <c r="AH342" s="56">
        <v>0</v>
      </c>
      <c r="AI342" s="56">
        <v>0</v>
      </c>
      <c r="AJ342" s="57">
        <v>0</v>
      </c>
      <c r="AK342" s="56" t="s">
        <v>713</v>
      </c>
      <c r="AL342" s="52">
        <v>3</v>
      </c>
      <c r="AM342" s="56">
        <v>6000</v>
      </c>
      <c r="AN342" s="52" t="s">
        <v>63</v>
      </c>
      <c r="AO342" s="52" t="s">
        <v>739</v>
      </c>
    </row>
    <row r="343" spans="1:41" ht="16.5">
      <c r="A343" s="52">
        <v>20440</v>
      </c>
      <c r="B343" s="53" t="s">
        <v>1103</v>
      </c>
      <c r="C343" s="53" t="s">
        <v>696</v>
      </c>
      <c r="D343" s="54" t="s">
        <v>118</v>
      </c>
      <c r="E343" s="55">
        <v>11015</v>
      </c>
      <c r="F343" s="66">
        <v>5000</v>
      </c>
      <c r="G343" s="52">
        <v>300</v>
      </c>
      <c r="H343" s="52">
        <v>50</v>
      </c>
      <c r="I343" s="54" t="s">
        <v>720</v>
      </c>
      <c r="J343" s="52">
        <v>3</v>
      </c>
      <c r="K343" s="52">
        <v>10</v>
      </c>
      <c r="L343" s="52">
        <v>30</v>
      </c>
      <c r="M343" s="52">
        <v>4000</v>
      </c>
      <c r="N343" s="52">
        <v>0</v>
      </c>
      <c r="O343" s="52">
        <v>0</v>
      </c>
      <c r="P343" s="52">
        <v>0</v>
      </c>
      <c r="Q343" s="52">
        <v>0</v>
      </c>
      <c r="R343" s="52">
        <v>0</v>
      </c>
      <c r="S343" s="52">
        <v>0</v>
      </c>
      <c r="T343" s="52">
        <v>0</v>
      </c>
      <c r="U343" s="52">
        <v>200</v>
      </c>
      <c r="V343" s="52">
        <v>0</v>
      </c>
      <c r="W343" s="52">
        <v>0</v>
      </c>
      <c r="X343" s="52">
        <v>0</v>
      </c>
      <c r="Y343" s="52">
        <v>0</v>
      </c>
      <c r="Z343" s="52">
        <v>0</v>
      </c>
      <c r="AA343" s="52">
        <v>0</v>
      </c>
      <c r="AB343" s="52">
        <v>0</v>
      </c>
      <c r="AC343" s="56">
        <v>800</v>
      </c>
      <c r="AD343" s="56">
        <v>0</v>
      </c>
      <c r="AE343" s="56">
        <v>0</v>
      </c>
      <c r="AF343" s="56">
        <v>0</v>
      </c>
      <c r="AG343" s="56">
        <v>4.0000000000000001E-3</v>
      </c>
      <c r="AH343" s="56">
        <v>0</v>
      </c>
      <c r="AI343" s="56">
        <v>0</v>
      </c>
      <c r="AJ343" s="57">
        <v>0</v>
      </c>
      <c r="AK343" s="56" t="s">
        <v>713</v>
      </c>
      <c r="AL343" s="52">
        <v>3</v>
      </c>
      <c r="AM343" s="56">
        <v>6000</v>
      </c>
      <c r="AN343" s="52" t="s">
        <v>63</v>
      </c>
      <c r="AO343" s="52" t="s">
        <v>739</v>
      </c>
    </row>
    <row r="344" spans="1:41" ht="16.5">
      <c r="A344" s="52">
        <v>204411</v>
      </c>
      <c r="B344" s="53" t="s">
        <v>1104</v>
      </c>
      <c r="C344" s="53" t="s">
        <v>696</v>
      </c>
      <c r="D344" s="54" t="s">
        <v>118</v>
      </c>
      <c r="E344" s="55">
        <v>11015</v>
      </c>
      <c r="F344" s="66">
        <v>5000</v>
      </c>
      <c r="G344" s="52">
        <v>300</v>
      </c>
      <c r="H344" s="52">
        <v>50</v>
      </c>
      <c r="I344" s="54" t="s">
        <v>720</v>
      </c>
      <c r="J344" s="52">
        <v>3</v>
      </c>
      <c r="K344" s="52">
        <v>10</v>
      </c>
      <c r="L344" s="52">
        <v>30</v>
      </c>
      <c r="M344" s="52">
        <v>4000</v>
      </c>
      <c r="N344" s="52">
        <v>0</v>
      </c>
      <c r="O344" s="52">
        <v>0</v>
      </c>
      <c r="P344" s="52">
        <v>0</v>
      </c>
      <c r="Q344" s="52">
        <v>0</v>
      </c>
      <c r="R344" s="52">
        <v>0</v>
      </c>
      <c r="S344" s="52">
        <v>0</v>
      </c>
      <c r="T344" s="52">
        <v>0</v>
      </c>
      <c r="U344" s="52">
        <v>200</v>
      </c>
      <c r="V344" s="52">
        <v>0</v>
      </c>
      <c r="W344" s="52">
        <v>0</v>
      </c>
      <c r="X344" s="52">
        <v>0</v>
      </c>
      <c r="Y344" s="52">
        <v>0</v>
      </c>
      <c r="Z344" s="52">
        <v>0</v>
      </c>
      <c r="AA344" s="52">
        <v>0</v>
      </c>
      <c r="AB344" s="52">
        <v>0</v>
      </c>
      <c r="AC344" s="56">
        <v>800</v>
      </c>
      <c r="AD344" s="56">
        <v>0</v>
      </c>
      <c r="AE344" s="56">
        <v>0</v>
      </c>
      <c r="AF344" s="56">
        <v>0</v>
      </c>
      <c r="AG344" s="56">
        <v>4.0000000000000001E-3</v>
      </c>
      <c r="AH344" s="56">
        <v>0</v>
      </c>
      <c r="AI344" s="56">
        <v>0</v>
      </c>
      <c r="AJ344" s="57">
        <v>0</v>
      </c>
      <c r="AK344" s="56" t="s">
        <v>713</v>
      </c>
      <c r="AL344" s="52">
        <v>3</v>
      </c>
      <c r="AM344" s="56">
        <v>6000</v>
      </c>
      <c r="AN344" s="52" t="s">
        <v>63</v>
      </c>
      <c r="AO344" s="52" t="s">
        <v>739</v>
      </c>
    </row>
    <row r="345" spans="1:41" ht="16.5">
      <c r="A345" s="52">
        <v>204412</v>
      </c>
      <c r="B345" s="53" t="s">
        <v>1105</v>
      </c>
      <c r="C345" s="53" t="s">
        <v>696</v>
      </c>
      <c r="D345" s="54" t="s">
        <v>118</v>
      </c>
      <c r="E345" s="55">
        <v>11015</v>
      </c>
      <c r="F345" s="66">
        <v>5000</v>
      </c>
      <c r="G345" s="52">
        <v>300</v>
      </c>
      <c r="H345" s="52">
        <v>50</v>
      </c>
      <c r="I345" s="54" t="s">
        <v>720</v>
      </c>
      <c r="J345" s="52">
        <v>3</v>
      </c>
      <c r="K345" s="52">
        <v>10</v>
      </c>
      <c r="L345" s="52">
        <v>30</v>
      </c>
      <c r="M345" s="52">
        <v>4000</v>
      </c>
      <c r="N345" s="52">
        <v>0</v>
      </c>
      <c r="O345" s="52">
        <v>0</v>
      </c>
      <c r="P345" s="52">
        <v>0</v>
      </c>
      <c r="Q345" s="52">
        <v>0</v>
      </c>
      <c r="R345" s="52">
        <v>0</v>
      </c>
      <c r="S345" s="52">
        <v>0</v>
      </c>
      <c r="T345" s="52">
        <v>0</v>
      </c>
      <c r="U345" s="52">
        <v>200</v>
      </c>
      <c r="V345" s="52">
        <v>0</v>
      </c>
      <c r="W345" s="52">
        <v>0</v>
      </c>
      <c r="X345" s="52">
        <v>0</v>
      </c>
      <c r="Y345" s="52">
        <v>0</v>
      </c>
      <c r="Z345" s="52">
        <v>0</v>
      </c>
      <c r="AA345" s="52">
        <v>0</v>
      </c>
      <c r="AB345" s="52">
        <v>0</v>
      </c>
      <c r="AC345" s="56">
        <v>800</v>
      </c>
      <c r="AD345" s="56">
        <v>0</v>
      </c>
      <c r="AE345" s="56">
        <v>0</v>
      </c>
      <c r="AF345" s="56">
        <v>0</v>
      </c>
      <c r="AG345" s="56">
        <v>4.0000000000000001E-3</v>
      </c>
      <c r="AH345" s="56">
        <v>0</v>
      </c>
      <c r="AI345" s="56">
        <v>0</v>
      </c>
      <c r="AJ345" s="57">
        <v>0</v>
      </c>
      <c r="AK345" s="56" t="s">
        <v>713</v>
      </c>
      <c r="AL345" s="52">
        <v>3</v>
      </c>
      <c r="AM345" s="56">
        <v>6000</v>
      </c>
      <c r="AN345" s="52" t="s">
        <v>63</v>
      </c>
      <c r="AO345" s="52" t="s">
        <v>739</v>
      </c>
    </row>
    <row r="346" spans="1:41" ht="16.5">
      <c r="A346" s="52">
        <v>441</v>
      </c>
      <c r="B346" s="53" t="s">
        <v>1106</v>
      </c>
      <c r="C346" s="53" t="s">
        <v>697</v>
      </c>
      <c r="D346" s="54" t="s">
        <v>119</v>
      </c>
      <c r="E346" s="55">
        <v>11016</v>
      </c>
      <c r="F346" s="66">
        <v>5000</v>
      </c>
      <c r="G346" s="52">
        <v>300</v>
      </c>
      <c r="H346" s="52">
        <v>50</v>
      </c>
      <c r="I346" s="54" t="s">
        <v>159</v>
      </c>
      <c r="J346" s="52">
        <v>3</v>
      </c>
      <c r="K346" s="52">
        <v>10</v>
      </c>
      <c r="L346" s="52">
        <v>30</v>
      </c>
      <c r="M346" s="52">
        <v>0</v>
      </c>
      <c r="N346" s="52">
        <v>0</v>
      </c>
      <c r="O346" s="52">
        <v>0</v>
      </c>
      <c r="P346" s="52">
        <v>80</v>
      </c>
      <c r="Q346" s="52">
        <v>0</v>
      </c>
      <c r="R346" s="52">
        <v>0</v>
      </c>
      <c r="S346" s="52">
        <v>0</v>
      </c>
      <c r="T346" s="52">
        <v>0</v>
      </c>
      <c r="U346" s="52">
        <v>0</v>
      </c>
      <c r="V346" s="52">
        <v>0</v>
      </c>
      <c r="W346" s="52">
        <v>0</v>
      </c>
      <c r="X346" s="52">
        <v>4</v>
      </c>
      <c r="Y346" s="52">
        <v>0</v>
      </c>
      <c r="Z346" s="52">
        <v>0</v>
      </c>
      <c r="AA346" s="52">
        <v>0</v>
      </c>
      <c r="AB346" s="52">
        <v>0</v>
      </c>
      <c r="AC346" s="56">
        <v>0</v>
      </c>
      <c r="AD346" s="56">
        <v>0</v>
      </c>
      <c r="AE346" s="56">
        <v>0</v>
      </c>
      <c r="AF346" s="56">
        <v>16</v>
      </c>
      <c r="AG346" s="56">
        <v>0</v>
      </c>
      <c r="AH346" s="56">
        <v>4.0000000000000001E-3</v>
      </c>
      <c r="AI346" s="56">
        <v>0</v>
      </c>
      <c r="AJ346" s="57">
        <v>0</v>
      </c>
      <c r="AK346" s="56" t="s">
        <v>713</v>
      </c>
      <c r="AL346" s="52">
        <v>4</v>
      </c>
      <c r="AM346" s="56">
        <v>6000</v>
      </c>
      <c r="AN346" s="52" t="s">
        <v>63</v>
      </c>
      <c r="AO346" s="52" t="s">
        <v>740</v>
      </c>
    </row>
    <row r="347" spans="1:41" ht="16.5">
      <c r="A347" s="52">
        <v>442</v>
      </c>
      <c r="B347" s="53" t="s">
        <v>1107</v>
      </c>
      <c r="C347" s="53" t="s">
        <v>697</v>
      </c>
      <c r="D347" s="54" t="s">
        <v>119</v>
      </c>
      <c r="E347" s="55">
        <v>11016</v>
      </c>
      <c r="F347" s="66">
        <v>5000</v>
      </c>
      <c r="G347" s="52">
        <v>300</v>
      </c>
      <c r="H347" s="52">
        <v>50</v>
      </c>
      <c r="I347" s="54" t="s">
        <v>159</v>
      </c>
      <c r="J347" s="52">
        <v>3</v>
      </c>
      <c r="K347" s="52">
        <v>10</v>
      </c>
      <c r="L347" s="52">
        <v>30</v>
      </c>
      <c r="M347" s="52">
        <v>0</v>
      </c>
      <c r="N347" s="52">
        <v>0</v>
      </c>
      <c r="O347" s="52">
        <v>0</v>
      </c>
      <c r="P347" s="52">
        <v>80</v>
      </c>
      <c r="Q347" s="52">
        <v>0</v>
      </c>
      <c r="R347" s="52">
        <v>0</v>
      </c>
      <c r="S347" s="52">
        <v>0</v>
      </c>
      <c r="T347" s="52">
        <v>0</v>
      </c>
      <c r="U347" s="52">
        <v>0</v>
      </c>
      <c r="V347" s="52">
        <v>0</v>
      </c>
      <c r="W347" s="52">
        <v>0</v>
      </c>
      <c r="X347" s="52">
        <v>4</v>
      </c>
      <c r="Y347" s="52">
        <v>0</v>
      </c>
      <c r="Z347" s="52">
        <v>0</v>
      </c>
      <c r="AA347" s="52">
        <v>0</v>
      </c>
      <c r="AB347" s="52">
        <v>0</v>
      </c>
      <c r="AC347" s="56">
        <v>0</v>
      </c>
      <c r="AD347" s="56">
        <v>0</v>
      </c>
      <c r="AE347" s="56">
        <v>0</v>
      </c>
      <c r="AF347" s="56">
        <v>16</v>
      </c>
      <c r="AG347" s="56">
        <v>0</v>
      </c>
      <c r="AH347" s="56">
        <v>4.0000000000000001E-3</v>
      </c>
      <c r="AI347" s="56">
        <v>0</v>
      </c>
      <c r="AJ347" s="57">
        <v>0</v>
      </c>
      <c r="AK347" s="56" t="s">
        <v>713</v>
      </c>
      <c r="AL347" s="52">
        <v>4</v>
      </c>
      <c r="AM347" s="56">
        <v>6000</v>
      </c>
      <c r="AN347" s="52" t="s">
        <v>63</v>
      </c>
      <c r="AO347" s="52" t="s">
        <v>740</v>
      </c>
    </row>
    <row r="348" spans="1:41" ht="16.5">
      <c r="A348" s="52">
        <v>2044</v>
      </c>
      <c r="B348" s="53" t="s">
        <v>1108</v>
      </c>
      <c r="C348" s="53" t="s">
        <v>697</v>
      </c>
      <c r="D348" s="54" t="s">
        <v>119</v>
      </c>
      <c r="E348" s="55">
        <v>11016</v>
      </c>
      <c r="F348" s="66">
        <v>5000</v>
      </c>
      <c r="G348" s="52">
        <v>300</v>
      </c>
      <c r="H348" s="52">
        <v>50</v>
      </c>
      <c r="I348" s="54" t="s">
        <v>159</v>
      </c>
      <c r="J348" s="52">
        <v>3</v>
      </c>
      <c r="K348" s="52">
        <v>10</v>
      </c>
      <c r="L348" s="52">
        <v>30</v>
      </c>
      <c r="M348" s="52">
        <v>0</v>
      </c>
      <c r="N348" s="52">
        <v>0</v>
      </c>
      <c r="O348" s="52">
        <v>0</v>
      </c>
      <c r="P348" s="52">
        <v>80</v>
      </c>
      <c r="Q348" s="52">
        <v>0</v>
      </c>
      <c r="R348" s="52">
        <v>0</v>
      </c>
      <c r="S348" s="52">
        <v>0</v>
      </c>
      <c r="T348" s="52">
        <v>0</v>
      </c>
      <c r="U348" s="52">
        <v>0</v>
      </c>
      <c r="V348" s="52">
        <v>0</v>
      </c>
      <c r="W348" s="52">
        <v>0</v>
      </c>
      <c r="X348" s="52">
        <v>4</v>
      </c>
      <c r="Y348" s="52">
        <v>0</v>
      </c>
      <c r="Z348" s="52">
        <v>0</v>
      </c>
      <c r="AA348" s="52">
        <v>0</v>
      </c>
      <c r="AB348" s="52">
        <v>0</v>
      </c>
      <c r="AC348" s="56">
        <v>0</v>
      </c>
      <c r="AD348" s="56">
        <v>0</v>
      </c>
      <c r="AE348" s="56">
        <v>0</v>
      </c>
      <c r="AF348" s="56">
        <v>16</v>
      </c>
      <c r="AG348" s="56">
        <v>0</v>
      </c>
      <c r="AH348" s="56">
        <v>4.0000000000000001E-3</v>
      </c>
      <c r="AI348" s="56">
        <v>0</v>
      </c>
      <c r="AJ348" s="57">
        <v>0</v>
      </c>
      <c r="AK348" s="56" t="s">
        <v>713</v>
      </c>
      <c r="AL348" s="52">
        <v>4</v>
      </c>
      <c r="AM348" s="56">
        <v>6000</v>
      </c>
      <c r="AN348" s="52" t="s">
        <v>63</v>
      </c>
      <c r="AO348" s="52" t="s">
        <v>740</v>
      </c>
    </row>
    <row r="349" spans="1:41" ht="16.5">
      <c r="A349" s="52">
        <v>20441</v>
      </c>
      <c r="B349" s="53" t="s">
        <v>1109</v>
      </c>
      <c r="C349" s="53" t="s">
        <v>697</v>
      </c>
      <c r="D349" s="54" t="s">
        <v>119</v>
      </c>
      <c r="E349" s="55">
        <v>11016</v>
      </c>
      <c r="F349" s="66">
        <v>5000</v>
      </c>
      <c r="G349" s="52">
        <v>300</v>
      </c>
      <c r="H349" s="52">
        <v>50</v>
      </c>
      <c r="I349" s="54" t="s">
        <v>159</v>
      </c>
      <c r="J349" s="52">
        <v>3</v>
      </c>
      <c r="K349" s="52">
        <v>10</v>
      </c>
      <c r="L349" s="52">
        <v>30</v>
      </c>
      <c r="M349" s="52">
        <v>0</v>
      </c>
      <c r="N349" s="52">
        <v>0</v>
      </c>
      <c r="O349" s="52">
        <v>0</v>
      </c>
      <c r="P349" s="52">
        <v>80</v>
      </c>
      <c r="Q349" s="52">
        <v>0</v>
      </c>
      <c r="R349" s="52">
        <v>0</v>
      </c>
      <c r="S349" s="52">
        <v>0</v>
      </c>
      <c r="T349" s="52">
        <v>0</v>
      </c>
      <c r="U349" s="52">
        <v>0</v>
      </c>
      <c r="V349" s="52">
        <v>0</v>
      </c>
      <c r="W349" s="52">
        <v>0</v>
      </c>
      <c r="X349" s="52">
        <v>4</v>
      </c>
      <c r="Y349" s="52">
        <v>0</v>
      </c>
      <c r="Z349" s="52">
        <v>0</v>
      </c>
      <c r="AA349" s="52">
        <v>0</v>
      </c>
      <c r="AB349" s="52">
        <v>0</v>
      </c>
      <c r="AC349" s="56">
        <v>0</v>
      </c>
      <c r="AD349" s="56">
        <v>0</v>
      </c>
      <c r="AE349" s="56">
        <v>0</v>
      </c>
      <c r="AF349" s="56">
        <v>16</v>
      </c>
      <c r="AG349" s="56">
        <v>0</v>
      </c>
      <c r="AH349" s="56">
        <v>4.0000000000000001E-3</v>
      </c>
      <c r="AI349" s="56">
        <v>0</v>
      </c>
      <c r="AJ349" s="57">
        <v>0</v>
      </c>
      <c r="AK349" s="56" t="s">
        <v>713</v>
      </c>
      <c r="AL349" s="52">
        <v>4</v>
      </c>
      <c r="AM349" s="56">
        <v>6000</v>
      </c>
      <c r="AN349" s="52" t="s">
        <v>63</v>
      </c>
      <c r="AO349" s="52" t="s">
        <v>740</v>
      </c>
    </row>
    <row r="350" spans="1:41" ht="16.5">
      <c r="A350" s="52">
        <v>20442</v>
      </c>
      <c r="B350" s="53" t="s">
        <v>1110</v>
      </c>
      <c r="C350" s="53" t="s">
        <v>697</v>
      </c>
      <c r="D350" s="54" t="s">
        <v>119</v>
      </c>
      <c r="E350" s="55">
        <v>11016</v>
      </c>
      <c r="F350" s="66">
        <v>5000</v>
      </c>
      <c r="G350" s="52">
        <v>300</v>
      </c>
      <c r="H350" s="52">
        <v>50</v>
      </c>
      <c r="I350" s="54" t="s">
        <v>159</v>
      </c>
      <c r="J350" s="52">
        <v>3</v>
      </c>
      <c r="K350" s="52">
        <v>10</v>
      </c>
      <c r="L350" s="52">
        <v>30</v>
      </c>
      <c r="M350" s="52">
        <v>0</v>
      </c>
      <c r="N350" s="52">
        <v>0</v>
      </c>
      <c r="O350" s="52">
        <v>0</v>
      </c>
      <c r="P350" s="52">
        <v>80</v>
      </c>
      <c r="Q350" s="52">
        <v>0</v>
      </c>
      <c r="R350" s="52">
        <v>0</v>
      </c>
      <c r="S350" s="52">
        <v>0</v>
      </c>
      <c r="T350" s="52">
        <v>0</v>
      </c>
      <c r="U350" s="52">
        <v>0</v>
      </c>
      <c r="V350" s="52">
        <v>0</v>
      </c>
      <c r="W350" s="52">
        <v>0</v>
      </c>
      <c r="X350" s="52">
        <v>4</v>
      </c>
      <c r="Y350" s="52">
        <v>0</v>
      </c>
      <c r="Z350" s="52">
        <v>0</v>
      </c>
      <c r="AA350" s="52">
        <v>0</v>
      </c>
      <c r="AB350" s="52">
        <v>0</v>
      </c>
      <c r="AC350" s="56">
        <v>0</v>
      </c>
      <c r="AD350" s="56">
        <v>0</v>
      </c>
      <c r="AE350" s="56">
        <v>0</v>
      </c>
      <c r="AF350" s="56">
        <v>16</v>
      </c>
      <c r="AG350" s="56">
        <v>0</v>
      </c>
      <c r="AH350" s="56">
        <v>4.0000000000000001E-3</v>
      </c>
      <c r="AI350" s="56">
        <v>0</v>
      </c>
      <c r="AJ350" s="57">
        <v>0</v>
      </c>
      <c r="AK350" s="56" t="s">
        <v>713</v>
      </c>
      <c r="AL350" s="52">
        <v>4</v>
      </c>
      <c r="AM350" s="56">
        <v>6000</v>
      </c>
      <c r="AN350" s="52" t="s">
        <v>63</v>
      </c>
      <c r="AO350" s="52" t="s">
        <v>740</v>
      </c>
    </row>
    <row r="351" spans="1:41" ht="16.5">
      <c r="A351" s="52">
        <v>20443</v>
      </c>
      <c r="B351" s="53" t="s">
        <v>1111</v>
      </c>
      <c r="C351" s="53" t="s">
        <v>697</v>
      </c>
      <c r="D351" s="54" t="s">
        <v>119</v>
      </c>
      <c r="E351" s="55">
        <v>11016</v>
      </c>
      <c r="F351" s="66">
        <v>5000</v>
      </c>
      <c r="G351" s="52">
        <v>300</v>
      </c>
      <c r="H351" s="52">
        <v>50</v>
      </c>
      <c r="I351" s="54" t="s">
        <v>159</v>
      </c>
      <c r="J351" s="52">
        <v>3</v>
      </c>
      <c r="K351" s="52">
        <v>10</v>
      </c>
      <c r="L351" s="52">
        <v>30</v>
      </c>
      <c r="M351" s="52">
        <v>0</v>
      </c>
      <c r="N351" s="52">
        <v>0</v>
      </c>
      <c r="O351" s="52">
        <v>0</v>
      </c>
      <c r="P351" s="52">
        <v>80</v>
      </c>
      <c r="Q351" s="52">
        <v>0</v>
      </c>
      <c r="R351" s="52">
        <v>0</v>
      </c>
      <c r="S351" s="52">
        <v>0</v>
      </c>
      <c r="T351" s="52">
        <v>0</v>
      </c>
      <c r="U351" s="52">
        <v>0</v>
      </c>
      <c r="V351" s="52">
        <v>0</v>
      </c>
      <c r="W351" s="52">
        <v>0</v>
      </c>
      <c r="X351" s="52">
        <v>4</v>
      </c>
      <c r="Y351" s="52">
        <v>0</v>
      </c>
      <c r="Z351" s="52">
        <v>0</v>
      </c>
      <c r="AA351" s="52">
        <v>0</v>
      </c>
      <c r="AB351" s="52">
        <v>0</v>
      </c>
      <c r="AC351" s="56">
        <v>0</v>
      </c>
      <c r="AD351" s="56">
        <v>0</v>
      </c>
      <c r="AE351" s="56">
        <v>0</v>
      </c>
      <c r="AF351" s="56">
        <v>16</v>
      </c>
      <c r="AG351" s="56">
        <v>0</v>
      </c>
      <c r="AH351" s="56">
        <v>4.0000000000000001E-3</v>
      </c>
      <c r="AI351" s="56">
        <v>0</v>
      </c>
      <c r="AJ351" s="57">
        <v>0</v>
      </c>
      <c r="AK351" s="56" t="s">
        <v>713</v>
      </c>
      <c r="AL351" s="52">
        <v>4</v>
      </c>
      <c r="AM351" s="56">
        <v>6000</v>
      </c>
      <c r="AN351" s="52" t="s">
        <v>63</v>
      </c>
      <c r="AO351" s="52" t="s">
        <v>740</v>
      </c>
    </row>
    <row r="352" spans="1:41" ht="16.5">
      <c r="A352" s="52">
        <v>20444</v>
      </c>
      <c r="B352" s="53" t="s">
        <v>1112</v>
      </c>
      <c r="C352" s="53" t="s">
        <v>697</v>
      </c>
      <c r="D352" s="54" t="s">
        <v>119</v>
      </c>
      <c r="E352" s="55">
        <v>11016</v>
      </c>
      <c r="F352" s="66">
        <v>5000</v>
      </c>
      <c r="G352" s="52">
        <v>300</v>
      </c>
      <c r="H352" s="52">
        <v>50</v>
      </c>
      <c r="I352" s="54" t="s">
        <v>159</v>
      </c>
      <c r="J352" s="52">
        <v>3</v>
      </c>
      <c r="K352" s="52">
        <v>10</v>
      </c>
      <c r="L352" s="52">
        <v>30</v>
      </c>
      <c r="M352" s="52">
        <v>0</v>
      </c>
      <c r="N352" s="52">
        <v>0</v>
      </c>
      <c r="O352" s="52">
        <v>0</v>
      </c>
      <c r="P352" s="52">
        <v>80</v>
      </c>
      <c r="Q352" s="52">
        <v>0</v>
      </c>
      <c r="R352" s="52">
        <v>0</v>
      </c>
      <c r="S352" s="52">
        <v>0</v>
      </c>
      <c r="T352" s="52">
        <v>0</v>
      </c>
      <c r="U352" s="52">
        <v>0</v>
      </c>
      <c r="V352" s="52">
        <v>0</v>
      </c>
      <c r="W352" s="52">
        <v>0</v>
      </c>
      <c r="X352" s="52">
        <v>4</v>
      </c>
      <c r="Y352" s="52">
        <v>0</v>
      </c>
      <c r="Z352" s="52">
        <v>0</v>
      </c>
      <c r="AA352" s="52">
        <v>0</v>
      </c>
      <c r="AB352" s="52">
        <v>0</v>
      </c>
      <c r="AC352" s="56">
        <v>0</v>
      </c>
      <c r="AD352" s="56">
        <v>0</v>
      </c>
      <c r="AE352" s="56">
        <v>0</v>
      </c>
      <c r="AF352" s="56">
        <v>16</v>
      </c>
      <c r="AG352" s="56">
        <v>0</v>
      </c>
      <c r="AH352" s="56">
        <v>4.0000000000000001E-3</v>
      </c>
      <c r="AI352" s="56">
        <v>0</v>
      </c>
      <c r="AJ352" s="57">
        <v>0</v>
      </c>
      <c r="AK352" s="56" t="s">
        <v>713</v>
      </c>
      <c r="AL352" s="52">
        <v>4</v>
      </c>
      <c r="AM352" s="56">
        <v>6000</v>
      </c>
      <c r="AN352" s="52" t="s">
        <v>63</v>
      </c>
      <c r="AO352" s="52" t="s">
        <v>740</v>
      </c>
    </row>
    <row r="353" spans="1:41" ht="16.5">
      <c r="A353" s="52">
        <v>20445</v>
      </c>
      <c r="B353" s="53" t="s">
        <v>1113</v>
      </c>
      <c r="C353" s="53" t="s">
        <v>697</v>
      </c>
      <c r="D353" s="54" t="s">
        <v>119</v>
      </c>
      <c r="E353" s="55">
        <v>11016</v>
      </c>
      <c r="F353" s="66">
        <v>5000</v>
      </c>
      <c r="G353" s="52">
        <v>300</v>
      </c>
      <c r="H353" s="52">
        <v>50</v>
      </c>
      <c r="I353" s="54" t="s">
        <v>159</v>
      </c>
      <c r="J353" s="52">
        <v>3</v>
      </c>
      <c r="K353" s="52">
        <v>10</v>
      </c>
      <c r="L353" s="52">
        <v>30</v>
      </c>
      <c r="M353" s="52">
        <v>0</v>
      </c>
      <c r="N353" s="52">
        <v>0</v>
      </c>
      <c r="O353" s="52">
        <v>0</v>
      </c>
      <c r="P353" s="52">
        <v>80</v>
      </c>
      <c r="Q353" s="52">
        <v>0</v>
      </c>
      <c r="R353" s="52">
        <v>0</v>
      </c>
      <c r="S353" s="52">
        <v>0</v>
      </c>
      <c r="T353" s="52">
        <v>0</v>
      </c>
      <c r="U353" s="52">
        <v>0</v>
      </c>
      <c r="V353" s="52">
        <v>0</v>
      </c>
      <c r="W353" s="52">
        <v>0</v>
      </c>
      <c r="X353" s="52">
        <v>4</v>
      </c>
      <c r="Y353" s="52">
        <v>0</v>
      </c>
      <c r="Z353" s="52">
        <v>0</v>
      </c>
      <c r="AA353" s="52">
        <v>0</v>
      </c>
      <c r="AB353" s="52">
        <v>0</v>
      </c>
      <c r="AC353" s="56">
        <v>0</v>
      </c>
      <c r="AD353" s="56">
        <v>0</v>
      </c>
      <c r="AE353" s="56">
        <v>0</v>
      </c>
      <c r="AF353" s="56">
        <v>16</v>
      </c>
      <c r="AG353" s="56">
        <v>0</v>
      </c>
      <c r="AH353" s="56">
        <v>4.0000000000000001E-3</v>
      </c>
      <c r="AI353" s="56">
        <v>0</v>
      </c>
      <c r="AJ353" s="57">
        <v>0</v>
      </c>
      <c r="AK353" s="56" t="s">
        <v>713</v>
      </c>
      <c r="AL353" s="52">
        <v>4</v>
      </c>
      <c r="AM353" s="56">
        <v>6000</v>
      </c>
      <c r="AN353" s="52" t="s">
        <v>63</v>
      </c>
      <c r="AO353" s="52" t="s">
        <v>740</v>
      </c>
    </row>
    <row r="354" spans="1:41" ht="16.5">
      <c r="A354" s="52">
        <v>20446</v>
      </c>
      <c r="B354" s="53" t="s">
        <v>1114</v>
      </c>
      <c r="C354" s="53" t="s">
        <v>697</v>
      </c>
      <c r="D354" s="54" t="s">
        <v>119</v>
      </c>
      <c r="E354" s="55">
        <v>11016</v>
      </c>
      <c r="F354" s="66">
        <v>5000</v>
      </c>
      <c r="G354" s="52">
        <v>300</v>
      </c>
      <c r="H354" s="52">
        <v>50</v>
      </c>
      <c r="I354" s="54" t="s">
        <v>159</v>
      </c>
      <c r="J354" s="52">
        <v>3</v>
      </c>
      <c r="K354" s="52">
        <v>10</v>
      </c>
      <c r="L354" s="52">
        <v>30</v>
      </c>
      <c r="M354" s="52">
        <v>0</v>
      </c>
      <c r="N354" s="52">
        <v>0</v>
      </c>
      <c r="O354" s="52">
        <v>0</v>
      </c>
      <c r="P354" s="52">
        <v>80</v>
      </c>
      <c r="Q354" s="52">
        <v>0</v>
      </c>
      <c r="R354" s="52">
        <v>0</v>
      </c>
      <c r="S354" s="52">
        <v>0</v>
      </c>
      <c r="T354" s="52">
        <v>0</v>
      </c>
      <c r="U354" s="52">
        <v>0</v>
      </c>
      <c r="V354" s="52">
        <v>0</v>
      </c>
      <c r="W354" s="52">
        <v>0</v>
      </c>
      <c r="X354" s="52">
        <v>4</v>
      </c>
      <c r="Y354" s="52">
        <v>0</v>
      </c>
      <c r="Z354" s="52">
        <v>0</v>
      </c>
      <c r="AA354" s="52">
        <v>0</v>
      </c>
      <c r="AB354" s="52">
        <v>0</v>
      </c>
      <c r="AC354" s="56">
        <v>0</v>
      </c>
      <c r="AD354" s="56">
        <v>0</v>
      </c>
      <c r="AE354" s="56">
        <v>0</v>
      </c>
      <c r="AF354" s="56">
        <v>16</v>
      </c>
      <c r="AG354" s="56">
        <v>0</v>
      </c>
      <c r="AH354" s="56">
        <v>4.0000000000000001E-3</v>
      </c>
      <c r="AI354" s="56">
        <v>0</v>
      </c>
      <c r="AJ354" s="57">
        <v>0</v>
      </c>
      <c r="AK354" s="56" t="s">
        <v>713</v>
      </c>
      <c r="AL354" s="52">
        <v>4</v>
      </c>
      <c r="AM354" s="56">
        <v>6000</v>
      </c>
      <c r="AN354" s="52" t="s">
        <v>63</v>
      </c>
      <c r="AO354" s="52" t="s">
        <v>740</v>
      </c>
    </row>
    <row r="355" spans="1:41" ht="16.5">
      <c r="A355" s="52">
        <v>20447</v>
      </c>
      <c r="B355" s="53" t="s">
        <v>1115</v>
      </c>
      <c r="C355" s="53" t="s">
        <v>697</v>
      </c>
      <c r="D355" s="54" t="s">
        <v>119</v>
      </c>
      <c r="E355" s="55">
        <v>11016</v>
      </c>
      <c r="F355" s="66">
        <v>5000</v>
      </c>
      <c r="G355" s="52">
        <v>300</v>
      </c>
      <c r="H355" s="52">
        <v>50</v>
      </c>
      <c r="I355" s="54" t="s">
        <v>159</v>
      </c>
      <c r="J355" s="52">
        <v>3</v>
      </c>
      <c r="K355" s="52">
        <v>10</v>
      </c>
      <c r="L355" s="52">
        <v>30</v>
      </c>
      <c r="M355" s="52">
        <v>0</v>
      </c>
      <c r="N355" s="52">
        <v>0</v>
      </c>
      <c r="O355" s="52">
        <v>0</v>
      </c>
      <c r="P355" s="52">
        <v>80</v>
      </c>
      <c r="Q355" s="52">
        <v>0</v>
      </c>
      <c r="R355" s="52">
        <v>0</v>
      </c>
      <c r="S355" s="52">
        <v>0</v>
      </c>
      <c r="T355" s="52">
        <v>0</v>
      </c>
      <c r="U355" s="52">
        <v>0</v>
      </c>
      <c r="V355" s="52">
        <v>0</v>
      </c>
      <c r="W355" s="52">
        <v>0</v>
      </c>
      <c r="X355" s="52">
        <v>4</v>
      </c>
      <c r="Y355" s="52">
        <v>0</v>
      </c>
      <c r="Z355" s="52">
        <v>0</v>
      </c>
      <c r="AA355" s="52">
        <v>0</v>
      </c>
      <c r="AB355" s="52">
        <v>0</v>
      </c>
      <c r="AC355" s="56">
        <v>0</v>
      </c>
      <c r="AD355" s="56">
        <v>0</v>
      </c>
      <c r="AE355" s="56">
        <v>0</v>
      </c>
      <c r="AF355" s="56">
        <v>16</v>
      </c>
      <c r="AG355" s="56">
        <v>0</v>
      </c>
      <c r="AH355" s="56">
        <v>4.0000000000000001E-3</v>
      </c>
      <c r="AI355" s="56">
        <v>0</v>
      </c>
      <c r="AJ355" s="57">
        <v>0</v>
      </c>
      <c r="AK355" s="56" t="s">
        <v>713</v>
      </c>
      <c r="AL355" s="52">
        <v>4</v>
      </c>
      <c r="AM355" s="56">
        <v>6000</v>
      </c>
      <c r="AN355" s="52" t="s">
        <v>63</v>
      </c>
      <c r="AO355" s="52" t="s">
        <v>740</v>
      </c>
    </row>
    <row r="356" spans="1:41" ht="16.5">
      <c r="A356" s="52">
        <v>20448</v>
      </c>
      <c r="B356" s="53" t="s">
        <v>1116</v>
      </c>
      <c r="C356" s="53" t="s">
        <v>697</v>
      </c>
      <c r="D356" s="54" t="s">
        <v>119</v>
      </c>
      <c r="E356" s="55">
        <v>11016</v>
      </c>
      <c r="F356" s="66">
        <v>5000</v>
      </c>
      <c r="G356" s="52">
        <v>300</v>
      </c>
      <c r="H356" s="52">
        <v>50</v>
      </c>
      <c r="I356" s="54" t="s">
        <v>159</v>
      </c>
      <c r="J356" s="52">
        <v>3</v>
      </c>
      <c r="K356" s="52">
        <v>10</v>
      </c>
      <c r="L356" s="52">
        <v>30</v>
      </c>
      <c r="M356" s="52">
        <v>0</v>
      </c>
      <c r="N356" s="52">
        <v>0</v>
      </c>
      <c r="O356" s="52">
        <v>0</v>
      </c>
      <c r="P356" s="52">
        <v>80</v>
      </c>
      <c r="Q356" s="52">
        <v>0</v>
      </c>
      <c r="R356" s="52">
        <v>0</v>
      </c>
      <c r="S356" s="52">
        <v>0</v>
      </c>
      <c r="T356" s="52">
        <v>0</v>
      </c>
      <c r="U356" s="52">
        <v>0</v>
      </c>
      <c r="V356" s="52">
        <v>0</v>
      </c>
      <c r="W356" s="52">
        <v>0</v>
      </c>
      <c r="X356" s="52">
        <v>4</v>
      </c>
      <c r="Y356" s="52">
        <v>0</v>
      </c>
      <c r="Z356" s="52">
        <v>0</v>
      </c>
      <c r="AA356" s="52">
        <v>0</v>
      </c>
      <c r="AB356" s="52">
        <v>0</v>
      </c>
      <c r="AC356" s="56">
        <v>0</v>
      </c>
      <c r="AD356" s="56">
        <v>0</v>
      </c>
      <c r="AE356" s="56">
        <v>0</v>
      </c>
      <c r="AF356" s="56">
        <v>16</v>
      </c>
      <c r="AG356" s="56">
        <v>0</v>
      </c>
      <c r="AH356" s="56">
        <v>4.0000000000000001E-3</v>
      </c>
      <c r="AI356" s="56">
        <v>0</v>
      </c>
      <c r="AJ356" s="57">
        <v>0</v>
      </c>
      <c r="AK356" s="56" t="s">
        <v>713</v>
      </c>
      <c r="AL356" s="52">
        <v>4</v>
      </c>
      <c r="AM356" s="56">
        <v>6000</v>
      </c>
      <c r="AN356" s="52" t="s">
        <v>63</v>
      </c>
      <c r="AO356" s="52" t="s">
        <v>740</v>
      </c>
    </row>
    <row r="357" spans="1:41" ht="16.5">
      <c r="A357" s="52">
        <v>20449</v>
      </c>
      <c r="B357" s="53" t="s">
        <v>1117</v>
      </c>
      <c r="C357" s="53" t="s">
        <v>697</v>
      </c>
      <c r="D357" s="54" t="s">
        <v>119</v>
      </c>
      <c r="E357" s="55">
        <v>11016</v>
      </c>
      <c r="F357" s="66">
        <v>5000</v>
      </c>
      <c r="G357" s="52">
        <v>300</v>
      </c>
      <c r="H357" s="52">
        <v>50</v>
      </c>
      <c r="I357" s="54" t="s">
        <v>159</v>
      </c>
      <c r="J357" s="52">
        <v>3</v>
      </c>
      <c r="K357" s="52">
        <v>10</v>
      </c>
      <c r="L357" s="52">
        <v>30</v>
      </c>
      <c r="M357" s="52">
        <v>0</v>
      </c>
      <c r="N357" s="52">
        <v>0</v>
      </c>
      <c r="O357" s="52">
        <v>0</v>
      </c>
      <c r="P357" s="52">
        <v>80</v>
      </c>
      <c r="Q357" s="52">
        <v>0</v>
      </c>
      <c r="R357" s="52">
        <v>0</v>
      </c>
      <c r="S357" s="52">
        <v>0</v>
      </c>
      <c r="T357" s="52">
        <v>0</v>
      </c>
      <c r="U357" s="52">
        <v>0</v>
      </c>
      <c r="V357" s="52">
        <v>0</v>
      </c>
      <c r="W357" s="52">
        <v>0</v>
      </c>
      <c r="X357" s="52">
        <v>4</v>
      </c>
      <c r="Y357" s="52">
        <v>0</v>
      </c>
      <c r="Z357" s="52">
        <v>0</v>
      </c>
      <c r="AA357" s="52">
        <v>0</v>
      </c>
      <c r="AB357" s="52">
        <v>0</v>
      </c>
      <c r="AC357" s="56">
        <v>0</v>
      </c>
      <c r="AD357" s="56">
        <v>0</v>
      </c>
      <c r="AE357" s="56">
        <v>0</v>
      </c>
      <c r="AF357" s="56">
        <v>16</v>
      </c>
      <c r="AG357" s="56">
        <v>0</v>
      </c>
      <c r="AH357" s="56">
        <v>4.0000000000000001E-3</v>
      </c>
      <c r="AI357" s="56">
        <v>0</v>
      </c>
      <c r="AJ357" s="57">
        <v>0</v>
      </c>
      <c r="AK357" s="56" t="s">
        <v>713</v>
      </c>
      <c r="AL357" s="52">
        <v>4</v>
      </c>
      <c r="AM357" s="56">
        <v>6000</v>
      </c>
      <c r="AN357" s="52" t="s">
        <v>63</v>
      </c>
      <c r="AO357" s="52" t="s">
        <v>740</v>
      </c>
    </row>
    <row r="358" spans="1:41" ht="16.5">
      <c r="A358" s="52">
        <v>20450</v>
      </c>
      <c r="B358" s="53" t="s">
        <v>1118</v>
      </c>
      <c r="C358" s="53" t="s">
        <v>697</v>
      </c>
      <c r="D358" s="54" t="s">
        <v>119</v>
      </c>
      <c r="E358" s="55">
        <v>11016</v>
      </c>
      <c r="F358" s="66">
        <v>5000</v>
      </c>
      <c r="G358" s="52">
        <v>300</v>
      </c>
      <c r="H358" s="52">
        <v>50</v>
      </c>
      <c r="I358" s="54" t="s">
        <v>159</v>
      </c>
      <c r="J358" s="52">
        <v>3</v>
      </c>
      <c r="K358" s="52">
        <v>10</v>
      </c>
      <c r="L358" s="52">
        <v>30</v>
      </c>
      <c r="M358" s="52">
        <v>0</v>
      </c>
      <c r="N358" s="52">
        <v>0</v>
      </c>
      <c r="O358" s="52">
        <v>0</v>
      </c>
      <c r="P358" s="52">
        <v>80</v>
      </c>
      <c r="Q358" s="52">
        <v>0</v>
      </c>
      <c r="R358" s="52">
        <v>0</v>
      </c>
      <c r="S358" s="52">
        <v>0</v>
      </c>
      <c r="T358" s="52">
        <v>0</v>
      </c>
      <c r="U358" s="52">
        <v>0</v>
      </c>
      <c r="V358" s="52">
        <v>0</v>
      </c>
      <c r="W358" s="52">
        <v>0</v>
      </c>
      <c r="X358" s="52">
        <v>4</v>
      </c>
      <c r="Y358" s="52">
        <v>0</v>
      </c>
      <c r="Z358" s="52">
        <v>0</v>
      </c>
      <c r="AA358" s="52">
        <v>0</v>
      </c>
      <c r="AB358" s="52">
        <v>0</v>
      </c>
      <c r="AC358" s="56">
        <v>0</v>
      </c>
      <c r="AD358" s="56">
        <v>0</v>
      </c>
      <c r="AE358" s="56">
        <v>0</v>
      </c>
      <c r="AF358" s="56">
        <v>16</v>
      </c>
      <c r="AG358" s="56">
        <v>0</v>
      </c>
      <c r="AH358" s="56">
        <v>4.0000000000000001E-3</v>
      </c>
      <c r="AI358" s="56">
        <v>0</v>
      </c>
      <c r="AJ358" s="57">
        <v>0</v>
      </c>
      <c r="AK358" s="56" t="s">
        <v>713</v>
      </c>
      <c r="AL358" s="52">
        <v>4</v>
      </c>
      <c r="AM358" s="56">
        <v>6000</v>
      </c>
      <c r="AN358" s="52" t="s">
        <v>63</v>
      </c>
      <c r="AO358" s="52" t="s">
        <v>740</v>
      </c>
    </row>
    <row r="359" spans="1:41" ht="16.5">
      <c r="A359" s="52">
        <v>204511</v>
      </c>
      <c r="B359" s="53" t="s">
        <v>1119</v>
      </c>
      <c r="C359" s="53" t="s">
        <v>697</v>
      </c>
      <c r="D359" s="54" t="s">
        <v>119</v>
      </c>
      <c r="E359" s="55">
        <v>11016</v>
      </c>
      <c r="F359" s="66">
        <v>5000</v>
      </c>
      <c r="G359" s="52">
        <v>300</v>
      </c>
      <c r="H359" s="52">
        <v>50</v>
      </c>
      <c r="I359" s="54" t="s">
        <v>159</v>
      </c>
      <c r="J359" s="52">
        <v>3</v>
      </c>
      <c r="K359" s="52">
        <v>10</v>
      </c>
      <c r="L359" s="52">
        <v>30</v>
      </c>
      <c r="M359" s="52">
        <v>0</v>
      </c>
      <c r="N359" s="52">
        <v>0</v>
      </c>
      <c r="O359" s="52">
        <v>0</v>
      </c>
      <c r="P359" s="52">
        <v>80</v>
      </c>
      <c r="Q359" s="52">
        <v>0</v>
      </c>
      <c r="R359" s="52">
        <v>0</v>
      </c>
      <c r="S359" s="52">
        <v>0</v>
      </c>
      <c r="T359" s="52">
        <v>0</v>
      </c>
      <c r="U359" s="52">
        <v>0</v>
      </c>
      <c r="V359" s="52">
        <v>0</v>
      </c>
      <c r="W359" s="52">
        <v>0</v>
      </c>
      <c r="X359" s="52">
        <v>4</v>
      </c>
      <c r="Y359" s="52">
        <v>0</v>
      </c>
      <c r="Z359" s="52">
        <v>0</v>
      </c>
      <c r="AA359" s="52">
        <v>0</v>
      </c>
      <c r="AB359" s="52">
        <v>0</v>
      </c>
      <c r="AC359" s="56">
        <v>0</v>
      </c>
      <c r="AD359" s="56">
        <v>0</v>
      </c>
      <c r="AE359" s="56">
        <v>0</v>
      </c>
      <c r="AF359" s="56">
        <v>16</v>
      </c>
      <c r="AG359" s="56">
        <v>0</v>
      </c>
      <c r="AH359" s="56">
        <v>4.0000000000000001E-3</v>
      </c>
      <c r="AI359" s="56">
        <v>0</v>
      </c>
      <c r="AJ359" s="57">
        <v>0</v>
      </c>
      <c r="AK359" s="56" t="s">
        <v>713</v>
      </c>
      <c r="AL359" s="52">
        <v>4</v>
      </c>
      <c r="AM359" s="56">
        <v>6000</v>
      </c>
      <c r="AN359" s="52" t="s">
        <v>63</v>
      </c>
      <c r="AO359" s="52" t="s">
        <v>740</v>
      </c>
    </row>
    <row r="360" spans="1:41" ht="16.5">
      <c r="A360" s="52">
        <v>204512</v>
      </c>
      <c r="B360" s="53" t="s">
        <v>1120</v>
      </c>
      <c r="C360" s="53" t="s">
        <v>697</v>
      </c>
      <c r="D360" s="54" t="s">
        <v>119</v>
      </c>
      <c r="E360" s="55">
        <v>11016</v>
      </c>
      <c r="F360" s="66">
        <v>5000</v>
      </c>
      <c r="G360" s="52">
        <v>300</v>
      </c>
      <c r="H360" s="52">
        <v>50</v>
      </c>
      <c r="I360" s="54" t="s">
        <v>159</v>
      </c>
      <c r="J360" s="52">
        <v>3</v>
      </c>
      <c r="K360" s="52">
        <v>10</v>
      </c>
      <c r="L360" s="52">
        <v>30</v>
      </c>
      <c r="M360" s="52">
        <v>0</v>
      </c>
      <c r="N360" s="52">
        <v>0</v>
      </c>
      <c r="O360" s="52">
        <v>0</v>
      </c>
      <c r="P360" s="52">
        <v>80</v>
      </c>
      <c r="Q360" s="52">
        <v>0</v>
      </c>
      <c r="R360" s="52">
        <v>0</v>
      </c>
      <c r="S360" s="52">
        <v>0</v>
      </c>
      <c r="T360" s="52">
        <v>0</v>
      </c>
      <c r="U360" s="52">
        <v>0</v>
      </c>
      <c r="V360" s="52">
        <v>0</v>
      </c>
      <c r="W360" s="52">
        <v>0</v>
      </c>
      <c r="X360" s="52">
        <v>4</v>
      </c>
      <c r="Y360" s="52">
        <v>0</v>
      </c>
      <c r="Z360" s="52">
        <v>0</v>
      </c>
      <c r="AA360" s="52">
        <v>0</v>
      </c>
      <c r="AB360" s="52">
        <v>0</v>
      </c>
      <c r="AC360" s="56">
        <v>0</v>
      </c>
      <c r="AD360" s="56">
        <v>0</v>
      </c>
      <c r="AE360" s="56">
        <v>0</v>
      </c>
      <c r="AF360" s="56">
        <v>16</v>
      </c>
      <c r="AG360" s="56">
        <v>0</v>
      </c>
      <c r="AH360" s="56">
        <v>4.0000000000000001E-3</v>
      </c>
      <c r="AI360" s="56">
        <v>0</v>
      </c>
      <c r="AJ360" s="57">
        <v>0</v>
      </c>
      <c r="AK360" s="56" t="s">
        <v>713</v>
      </c>
      <c r="AL360" s="52">
        <v>4</v>
      </c>
      <c r="AM360" s="56">
        <v>6000</v>
      </c>
      <c r="AN360" s="52" t="s">
        <v>63</v>
      </c>
      <c r="AO360" s="52" t="s">
        <v>740</v>
      </c>
    </row>
    <row r="361" spans="1:41" ht="16.5">
      <c r="A361" s="6">
        <v>29</v>
      </c>
      <c r="B361" s="22" t="s">
        <v>1121</v>
      </c>
      <c r="C361" s="22" t="s">
        <v>164</v>
      </c>
      <c r="D361" s="8" t="s">
        <v>112</v>
      </c>
      <c r="E361" s="14">
        <v>11009</v>
      </c>
      <c r="F361" s="65">
        <v>2000</v>
      </c>
      <c r="G361" s="6">
        <v>300</v>
      </c>
      <c r="H361" s="6">
        <v>50</v>
      </c>
      <c r="I361" s="8" t="s">
        <v>718</v>
      </c>
      <c r="J361" s="6">
        <v>2</v>
      </c>
      <c r="K361" s="6">
        <v>6</v>
      </c>
      <c r="L361" s="6">
        <v>20</v>
      </c>
      <c r="M361" s="6">
        <v>0</v>
      </c>
      <c r="N361" s="6">
        <v>0</v>
      </c>
      <c r="O361" s="6">
        <v>60</v>
      </c>
      <c r="P361" s="6">
        <v>0</v>
      </c>
      <c r="Q361" s="6">
        <v>0</v>
      </c>
      <c r="R361" s="6">
        <v>0</v>
      </c>
      <c r="S361" s="6">
        <v>0</v>
      </c>
      <c r="T361" s="6">
        <v>0</v>
      </c>
      <c r="U361" s="6">
        <v>0</v>
      </c>
      <c r="V361" s="6">
        <v>0</v>
      </c>
      <c r="W361" s="6">
        <v>3</v>
      </c>
      <c r="X361" s="6">
        <v>0</v>
      </c>
      <c r="Y361" s="6">
        <v>0</v>
      </c>
      <c r="Z361" s="6">
        <v>0</v>
      </c>
      <c r="AA361" s="6">
        <v>0</v>
      </c>
      <c r="AB361" s="6">
        <v>0</v>
      </c>
      <c r="AC361" s="7">
        <v>0</v>
      </c>
      <c r="AD361" s="7">
        <v>0</v>
      </c>
      <c r="AE361" s="7">
        <v>12</v>
      </c>
      <c r="AF361" s="7">
        <v>0</v>
      </c>
      <c r="AG361" s="7">
        <v>0</v>
      </c>
      <c r="AH361" s="7">
        <v>0</v>
      </c>
      <c r="AI361" s="7">
        <v>0</v>
      </c>
      <c r="AJ361" s="7">
        <v>6.0000000000000001E-3</v>
      </c>
      <c r="AK361" s="7">
        <v>20006</v>
      </c>
      <c r="AL361" s="6">
        <v>2</v>
      </c>
      <c r="AM361" s="7">
        <v>1500</v>
      </c>
      <c r="AN361" s="6" t="s">
        <v>48</v>
      </c>
      <c r="AO361" s="6" t="s">
        <v>733</v>
      </c>
    </row>
    <row r="362" spans="1:41" ht="16.5">
      <c r="A362" s="6">
        <v>2029</v>
      </c>
      <c r="B362" s="22" t="s">
        <v>1122</v>
      </c>
      <c r="C362" s="22" t="s">
        <v>164</v>
      </c>
      <c r="D362" s="8" t="s">
        <v>112</v>
      </c>
      <c r="E362" s="14">
        <v>11009</v>
      </c>
      <c r="F362" s="65">
        <v>2000</v>
      </c>
      <c r="G362" s="6">
        <v>300</v>
      </c>
      <c r="H362" s="6">
        <v>50</v>
      </c>
      <c r="I362" s="8" t="s">
        <v>718</v>
      </c>
      <c r="J362" s="6">
        <v>2</v>
      </c>
      <c r="K362" s="6">
        <v>6</v>
      </c>
      <c r="L362" s="6">
        <v>20</v>
      </c>
      <c r="M362" s="6">
        <v>0</v>
      </c>
      <c r="N362" s="6">
        <v>0</v>
      </c>
      <c r="O362" s="6">
        <v>60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v>0</v>
      </c>
      <c r="W362" s="6">
        <v>3</v>
      </c>
      <c r="X362" s="6">
        <v>0</v>
      </c>
      <c r="Y362" s="6">
        <v>0</v>
      </c>
      <c r="Z362" s="6">
        <v>0</v>
      </c>
      <c r="AA362" s="6">
        <v>0</v>
      </c>
      <c r="AB362" s="6">
        <v>0</v>
      </c>
      <c r="AC362" s="7">
        <v>0</v>
      </c>
      <c r="AD362" s="7">
        <v>0</v>
      </c>
      <c r="AE362" s="7">
        <v>12</v>
      </c>
      <c r="AF362" s="7">
        <v>0</v>
      </c>
      <c r="AG362" s="7">
        <v>0</v>
      </c>
      <c r="AH362" s="7">
        <v>0</v>
      </c>
      <c r="AI362" s="7">
        <v>0</v>
      </c>
      <c r="AJ362" s="7">
        <v>6.0000000000000001E-3</v>
      </c>
      <c r="AK362" s="7">
        <v>20006</v>
      </c>
      <c r="AL362" s="6">
        <v>2</v>
      </c>
      <c r="AM362" s="7">
        <v>1500</v>
      </c>
      <c r="AN362" s="6" t="s">
        <v>48</v>
      </c>
      <c r="AO362" s="6" t="s">
        <v>733</v>
      </c>
    </row>
    <row r="363" spans="1:41" ht="16.5">
      <c r="A363" s="6">
        <v>20291</v>
      </c>
      <c r="B363" s="22" t="s">
        <v>1123</v>
      </c>
      <c r="C363" s="22" t="s">
        <v>164</v>
      </c>
      <c r="D363" s="8" t="s">
        <v>112</v>
      </c>
      <c r="E363" s="14">
        <v>11009</v>
      </c>
      <c r="F363" s="65">
        <v>2000</v>
      </c>
      <c r="G363" s="6">
        <v>300</v>
      </c>
      <c r="H363" s="6">
        <v>50</v>
      </c>
      <c r="I363" s="8" t="s">
        <v>718</v>
      </c>
      <c r="J363" s="6">
        <v>2</v>
      </c>
      <c r="K363" s="6">
        <v>6</v>
      </c>
      <c r="L363" s="6">
        <v>20</v>
      </c>
      <c r="M363" s="6">
        <v>0</v>
      </c>
      <c r="N363" s="6">
        <v>0</v>
      </c>
      <c r="O363" s="6">
        <v>60</v>
      </c>
      <c r="P363" s="6">
        <v>0</v>
      </c>
      <c r="Q363" s="6">
        <v>0</v>
      </c>
      <c r="R363" s="6">
        <v>0</v>
      </c>
      <c r="S363" s="6">
        <v>0</v>
      </c>
      <c r="T363" s="6">
        <v>0</v>
      </c>
      <c r="U363" s="6">
        <v>0</v>
      </c>
      <c r="V363" s="6">
        <v>0</v>
      </c>
      <c r="W363" s="6">
        <v>3</v>
      </c>
      <c r="X363" s="6">
        <v>0</v>
      </c>
      <c r="Y363" s="6">
        <v>0</v>
      </c>
      <c r="Z363" s="6">
        <v>0</v>
      </c>
      <c r="AA363" s="6">
        <v>0</v>
      </c>
      <c r="AB363" s="6">
        <v>0</v>
      </c>
      <c r="AC363" s="7">
        <v>0</v>
      </c>
      <c r="AD363" s="7">
        <v>0</v>
      </c>
      <c r="AE363" s="7">
        <v>12</v>
      </c>
      <c r="AF363" s="7">
        <v>0</v>
      </c>
      <c r="AG363" s="7">
        <v>0</v>
      </c>
      <c r="AH363" s="7">
        <v>0</v>
      </c>
      <c r="AI363" s="7">
        <v>0</v>
      </c>
      <c r="AJ363" s="7">
        <v>6.0000000000000001E-3</v>
      </c>
      <c r="AK363" s="7">
        <v>20006</v>
      </c>
      <c r="AL363" s="6">
        <v>2</v>
      </c>
      <c r="AM363" s="7">
        <v>1500</v>
      </c>
      <c r="AN363" s="6" t="s">
        <v>48</v>
      </c>
      <c r="AO363" s="6" t="s">
        <v>733</v>
      </c>
    </row>
    <row r="364" spans="1:41" ht="16.5">
      <c r="A364" s="6">
        <v>20292</v>
      </c>
      <c r="B364" s="22" t="s">
        <v>1124</v>
      </c>
      <c r="C364" s="22" t="s">
        <v>164</v>
      </c>
      <c r="D364" s="8" t="s">
        <v>112</v>
      </c>
      <c r="E364" s="14">
        <v>11009</v>
      </c>
      <c r="F364" s="65">
        <v>2000</v>
      </c>
      <c r="G364" s="6">
        <v>300</v>
      </c>
      <c r="H364" s="6">
        <v>50</v>
      </c>
      <c r="I364" s="8" t="s">
        <v>718</v>
      </c>
      <c r="J364" s="6">
        <v>2</v>
      </c>
      <c r="K364" s="6">
        <v>6</v>
      </c>
      <c r="L364" s="6">
        <v>20</v>
      </c>
      <c r="M364" s="6">
        <v>0</v>
      </c>
      <c r="N364" s="6">
        <v>0</v>
      </c>
      <c r="O364" s="6">
        <v>60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3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  <c r="AC364" s="7">
        <v>0</v>
      </c>
      <c r="AD364" s="7">
        <v>0</v>
      </c>
      <c r="AE364" s="7">
        <v>12</v>
      </c>
      <c r="AF364" s="7">
        <v>0</v>
      </c>
      <c r="AG364" s="7">
        <v>0</v>
      </c>
      <c r="AH364" s="7">
        <v>0</v>
      </c>
      <c r="AI364" s="7">
        <v>0</v>
      </c>
      <c r="AJ364" s="7">
        <v>6.0000000000000001E-3</v>
      </c>
      <c r="AK364" s="7">
        <v>20006</v>
      </c>
      <c r="AL364" s="6">
        <v>2</v>
      </c>
      <c r="AM364" s="7">
        <v>1500</v>
      </c>
      <c r="AN364" s="6" t="s">
        <v>48</v>
      </c>
      <c r="AO364" s="6" t="s">
        <v>733</v>
      </c>
    </row>
    <row r="365" spans="1:41" ht="16.5">
      <c r="A365" s="6">
        <v>20293</v>
      </c>
      <c r="B365" s="22" t="s">
        <v>1125</v>
      </c>
      <c r="C365" s="22" t="s">
        <v>164</v>
      </c>
      <c r="D365" s="8" t="s">
        <v>112</v>
      </c>
      <c r="E365" s="14">
        <v>11009</v>
      </c>
      <c r="F365" s="65">
        <v>2000</v>
      </c>
      <c r="G365" s="6">
        <v>300</v>
      </c>
      <c r="H365" s="6">
        <v>50</v>
      </c>
      <c r="I365" s="8" t="s">
        <v>718</v>
      </c>
      <c r="J365" s="6">
        <v>2</v>
      </c>
      <c r="K365" s="6">
        <v>6</v>
      </c>
      <c r="L365" s="6">
        <v>20</v>
      </c>
      <c r="M365" s="6">
        <v>0</v>
      </c>
      <c r="N365" s="6">
        <v>0</v>
      </c>
      <c r="O365" s="6">
        <v>60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W365" s="6">
        <v>3</v>
      </c>
      <c r="X365" s="6">
        <v>0</v>
      </c>
      <c r="Y365" s="6">
        <v>0</v>
      </c>
      <c r="Z365" s="6">
        <v>0</v>
      </c>
      <c r="AA365" s="6">
        <v>0</v>
      </c>
      <c r="AB365" s="6">
        <v>0</v>
      </c>
      <c r="AC365" s="7">
        <v>0</v>
      </c>
      <c r="AD365" s="7">
        <v>0</v>
      </c>
      <c r="AE365" s="7">
        <v>12</v>
      </c>
      <c r="AF365" s="7">
        <v>0</v>
      </c>
      <c r="AG365" s="7">
        <v>0</v>
      </c>
      <c r="AH365" s="7">
        <v>0</v>
      </c>
      <c r="AI365" s="7">
        <v>0</v>
      </c>
      <c r="AJ365" s="7">
        <v>6.0000000000000001E-3</v>
      </c>
      <c r="AK365" s="7">
        <v>20006</v>
      </c>
      <c r="AL365" s="6">
        <v>2</v>
      </c>
      <c r="AM365" s="7">
        <v>1500</v>
      </c>
      <c r="AN365" s="6" t="s">
        <v>48</v>
      </c>
      <c r="AO365" s="6" t="s">
        <v>733</v>
      </c>
    </row>
    <row r="366" spans="1:41" ht="16.5">
      <c r="A366" s="6">
        <v>20294</v>
      </c>
      <c r="B366" s="22" t="s">
        <v>1126</v>
      </c>
      <c r="C366" s="22" t="s">
        <v>164</v>
      </c>
      <c r="D366" s="8" t="s">
        <v>112</v>
      </c>
      <c r="E366" s="14">
        <v>11009</v>
      </c>
      <c r="F366" s="65">
        <v>2000</v>
      </c>
      <c r="G366" s="6">
        <v>300</v>
      </c>
      <c r="H366" s="6">
        <v>50</v>
      </c>
      <c r="I366" s="8" t="s">
        <v>718</v>
      </c>
      <c r="J366" s="6">
        <v>2</v>
      </c>
      <c r="K366" s="6">
        <v>6</v>
      </c>
      <c r="L366" s="6">
        <v>20</v>
      </c>
      <c r="M366" s="6">
        <v>0</v>
      </c>
      <c r="N366" s="6">
        <v>0</v>
      </c>
      <c r="O366" s="6">
        <v>60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v>0</v>
      </c>
      <c r="W366" s="6">
        <v>3</v>
      </c>
      <c r="X366" s="6">
        <v>0</v>
      </c>
      <c r="Y366" s="6">
        <v>0</v>
      </c>
      <c r="Z366" s="6">
        <v>0</v>
      </c>
      <c r="AA366" s="6">
        <v>0</v>
      </c>
      <c r="AB366" s="6">
        <v>0</v>
      </c>
      <c r="AC366" s="7">
        <v>0</v>
      </c>
      <c r="AD366" s="7">
        <v>0</v>
      </c>
      <c r="AE366" s="7">
        <v>12</v>
      </c>
      <c r="AF366" s="7">
        <v>0</v>
      </c>
      <c r="AG366" s="7">
        <v>0</v>
      </c>
      <c r="AH366" s="7">
        <v>0</v>
      </c>
      <c r="AI366" s="7">
        <v>0</v>
      </c>
      <c r="AJ366" s="7">
        <v>6.0000000000000001E-3</v>
      </c>
      <c r="AK366" s="7">
        <v>20006</v>
      </c>
      <c r="AL366" s="6">
        <v>2</v>
      </c>
      <c r="AM366" s="7">
        <v>1500</v>
      </c>
      <c r="AN366" s="6" t="s">
        <v>48</v>
      </c>
      <c r="AO366" s="6" t="s">
        <v>733</v>
      </c>
    </row>
    <row r="367" spans="1:41" ht="16.5">
      <c r="A367" s="6">
        <v>20295</v>
      </c>
      <c r="B367" s="22" t="s">
        <v>1127</v>
      </c>
      <c r="C367" s="22" t="s">
        <v>164</v>
      </c>
      <c r="D367" s="8" t="s">
        <v>112</v>
      </c>
      <c r="E367" s="14">
        <v>11009</v>
      </c>
      <c r="F367" s="65">
        <v>2000</v>
      </c>
      <c r="G367" s="6">
        <v>300</v>
      </c>
      <c r="H367" s="6">
        <v>50</v>
      </c>
      <c r="I367" s="8" t="s">
        <v>718</v>
      </c>
      <c r="J367" s="6">
        <v>2</v>
      </c>
      <c r="K367" s="6">
        <v>6</v>
      </c>
      <c r="L367" s="6">
        <v>20</v>
      </c>
      <c r="M367" s="6">
        <v>0</v>
      </c>
      <c r="N367" s="6">
        <v>0</v>
      </c>
      <c r="O367" s="6">
        <v>60</v>
      </c>
      <c r="P367" s="6">
        <v>0</v>
      </c>
      <c r="Q367" s="6">
        <v>0</v>
      </c>
      <c r="R367" s="6">
        <v>0</v>
      </c>
      <c r="S367" s="6">
        <v>0</v>
      </c>
      <c r="T367" s="6">
        <v>0</v>
      </c>
      <c r="U367" s="6">
        <v>0</v>
      </c>
      <c r="V367" s="6">
        <v>0</v>
      </c>
      <c r="W367" s="6">
        <v>3</v>
      </c>
      <c r="X367" s="6">
        <v>0</v>
      </c>
      <c r="Y367" s="6">
        <v>0</v>
      </c>
      <c r="Z367" s="6">
        <v>0</v>
      </c>
      <c r="AA367" s="6">
        <v>0</v>
      </c>
      <c r="AB367" s="6">
        <v>0</v>
      </c>
      <c r="AC367" s="7">
        <v>0</v>
      </c>
      <c r="AD367" s="7">
        <v>0</v>
      </c>
      <c r="AE367" s="7">
        <v>12</v>
      </c>
      <c r="AF367" s="7">
        <v>0</v>
      </c>
      <c r="AG367" s="7">
        <v>0</v>
      </c>
      <c r="AH367" s="7">
        <v>0</v>
      </c>
      <c r="AI367" s="7">
        <v>0</v>
      </c>
      <c r="AJ367" s="7">
        <v>6.0000000000000001E-3</v>
      </c>
      <c r="AK367" s="7">
        <v>20006</v>
      </c>
      <c r="AL367" s="6">
        <v>2</v>
      </c>
      <c r="AM367" s="7">
        <v>1500</v>
      </c>
      <c r="AN367" s="6" t="s">
        <v>48</v>
      </c>
      <c r="AO367" s="6" t="s">
        <v>733</v>
      </c>
    </row>
    <row r="368" spans="1:41" ht="16.5">
      <c r="A368" s="6">
        <v>20296</v>
      </c>
      <c r="B368" s="22" t="s">
        <v>1128</v>
      </c>
      <c r="C368" s="22" t="s">
        <v>164</v>
      </c>
      <c r="D368" s="8" t="s">
        <v>112</v>
      </c>
      <c r="E368" s="14">
        <v>11009</v>
      </c>
      <c r="F368" s="65">
        <v>2000</v>
      </c>
      <c r="G368" s="6">
        <v>300</v>
      </c>
      <c r="H368" s="6">
        <v>50</v>
      </c>
      <c r="I368" s="8" t="s">
        <v>718</v>
      </c>
      <c r="J368" s="6">
        <v>2</v>
      </c>
      <c r="K368" s="6">
        <v>6</v>
      </c>
      <c r="L368" s="6">
        <v>20</v>
      </c>
      <c r="M368" s="6">
        <v>0</v>
      </c>
      <c r="N368" s="6">
        <v>0</v>
      </c>
      <c r="O368" s="6">
        <v>60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v>0</v>
      </c>
      <c r="W368" s="6">
        <v>3</v>
      </c>
      <c r="X368" s="6">
        <v>0</v>
      </c>
      <c r="Y368" s="6">
        <v>0</v>
      </c>
      <c r="Z368" s="6">
        <v>0</v>
      </c>
      <c r="AA368" s="6">
        <v>0</v>
      </c>
      <c r="AB368" s="6">
        <v>0</v>
      </c>
      <c r="AC368" s="7">
        <v>0</v>
      </c>
      <c r="AD368" s="7">
        <v>0</v>
      </c>
      <c r="AE368" s="7">
        <v>12</v>
      </c>
      <c r="AF368" s="7">
        <v>0</v>
      </c>
      <c r="AG368" s="7">
        <v>0</v>
      </c>
      <c r="AH368" s="7">
        <v>0</v>
      </c>
      <c r="AI368" s="7">
        <v>0</v>
      </c>
      <c r="AJ368" s="7">
        <v>6.0000000000000001E-3</v>
      </c>
      <c r="AK368" s="7">
        <v>20006</v>
      </c>
      <c r="AL368" s="6">
        <v>2</v>
      </c>
      <c r="AM368" s="7">
        <v>1500</v>
      </c>
      <c r="AN368" s="6" t="s">
        <v>48</v>
      </c>
      <c r="AO368" s="6" t="s">
        <v>733</v>
      </c>
    </row>
    <row r="369" spans="1:41" ht="16.5">
      <c r="A369" s="6">
        <v>20297</v>
      </c>
      <c r="B369" s="22" t="s">
        <v>1129</v>
      </c>
      <c r="C369" s="22" t="s">
        <v>164</v>
      </c>
      <c r="D369" s="8" t="s">
        <v>112</v>
      </c>
      <c r="E369" s="14">
        <v>11009</v>
      </c>
      <c r="F369" s="65">
        <v>2000</v>
      </c>
      <c r="G369" s="6">
        <v>300</v>
      </c>
      <c r="H369" s="6">
        <v>50</v>
      </c>
      <c r="I369" s="8" t="s">
        <v>718</v>
      </c>
      <c r="J369" s="6">
        <v>2</v>
      </c>
      <c r="K369" s="6">
        <v>6</v>
      </c>
      <c r="L369" s="6">
        <v>20</v>
      </c>
      <c r="M369" s="6">
        <v>0</v>
      </c>
      <c r="N369" s="6">
        <v>0</v>
      </c>
      <c r="O369" s="6">
        <v>60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W369" s="6">
        <v>3</v>
      </c>
      <c r="X369" s="6">
        <v>0</v>
      </c>
      <c r="Y369" s="6">
        <v>0</v>
      </c>
      <c r="Z369" s="6">
        <v>0</v>
      </c>
      <c r="AA369" s="6">
        <v>0</v>
      </c>
      <c r="AB369" s="6">
        <v>0</v>
      </c>
      <c r="AC369" s="7">
        <v>0</v>
      </c>
      <c r="AD369" s="7">
        <v>0</v>
      </c>
      <c r="AE369" s="7">
        <v>12</v>
      </c>
      <c r="AF369" s="7">
        <v>0</v>
      </c>
      <c r="AG369" s="7">
        <v>0</v>
      </c>
      <c r="AH369" s="7">
        <v>0</v>
      </c>
      <c r="AI369" s="7">
        <v>0</v>
      </c>
      <c r="AJ369" s="7">
        <v>6.0000000000000001E-3</v>
      </c>
      <c r="AK369" s="7">
        <v>20006</v>
      </c>
      <c r="AL369" s="6">
        <v>2</v>
      </c>
      <c r="AM369" s="7">
        <v>1500</v>
      </c>
      <c r="AN369" s="6" t="s">
        <v>48</v>
      </c>
      <c r="AO369" s="6" t="s">
        <v>733</v>
      </c>
    </row>
    <row r="370" spans="1:41" ht="16.5">
      <c r="A370" s="6">
        <v>20298</v>
      </c>
      <c r="B370" s="22" t="s">
        <v>1130</v>
      </c>
      <c r="C370" s="22" t="s">
        <v>164</v>
      </c>
      <c r="D370" s="8" t="s">
        <v>112</v>
      </c>
      <c r="E370" s="14">
        <v>11009</v>
      </c>
      <c r="F370" s="65">
        <v>2000</v>
      </c>
      <c r="G370" s="6">
        <v>300</v>
      </c>
      <c r="H370" s="6">
        <v>50</v>
      </c>
      <c r="I370" s="8" t="s">
        <v>718</v>
      </c>
      <c r="J370" s="6">
        <v>2</v>
      </c>
      <c r="K370" s="6">
        <v>6</v>
      </c>
      <c r="L370" s="6">
        <v>20</v>
      </c>
      <c r="M370" s="6">
        <v>0</v>
      </c>
      <c r="N370" s="6">
        <v>0</v>
      </c>
      <c r="O370" s="6">
        <v>60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W370" s="6">
        <v>3</v>
      </c>
      <c r="X370" s="6">
        <v>0</v>
      </c>
      <c r="Y370" s="6">
        <v>0</v>
      </c>
      <c r="Z370" s="6">
        <v>0</v>
      </c>
      <c r="AA370" s="6">
        <v>0</v>
      </c>
      <c r="AB370" s="6">
        <v>0</v>
      </c>
      <c r="AC370" s="7">
        <v>0</v>
      </c>
      <c r="AD370" s="7">
        <v>0</v>
      </c>
      <c r="AE370" s="7">
        <v>12</v>
      </c>
      <c r="AF370" s="7">
        <v>0</v>
      </c>
      <c r="AG370" s="7">
        <v>0</v>
      </c>
      <c r="AH370" s="7">
        <v>0</v>
      </c>
      <c r="AI370" s="7">
        <v>0</v>
      </c>
      <c r="AJ370" s="7">
        <v>6.0000000000000001E-3</v>
      </c>
      <c r="AK370" s="7">
        <v>20006</v>
      </c>
      <c r="AL370" s="6">
        <v>2</v>
      </c>
      <c r="AM370" s="7">
        <v>1500</v>
      </c>
      <c r="AN370" s="6" t="s">
        <v>48</v>
      </c>
      <c r="AO370" s="6" t="s">
        <v>733</v>
      </c>
    </row>
    <row r="371" spans="1:41" ht="16.5">
      <c r="A371" s="6">
        <v>20299</v>
      </c>
      <c r="B371" s="22" t="s">
        <v>1131</v>
      </c>
      <c r="C371" s="22" t="s">
        <v>164</v>
      </c>
      <c r="D371" s="8" t="s">
        <v>112</v>
      </c>
      <c r="E371" s="14">
        <v>11009</v>
      </c>
      <c r="F371" s="65">
        <v>2000</v>
      </c>
      <c r="G371" s="6">
        <v>300</v>
      </c>
      <c r="H371" s="6">
        <v>50</v>
      </c>
      <c r="I371" s="8" t="s">
        <v>718</v>
      </c>
      <c r="J371" s="6">
        <v>2</v>
      </c>
      <c r="K371" s="6">
        <v>6</v>
      </c>
      <c r="L371" s="6">
        <v>20</v>
      </c>
      <c r="M371" s="6">
        <v>0</v>
      </c>
      <c r="N371" s="6">
        <v>0</v>
      </c>
      <c r="O371" s="6">
        <v>60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W371" s="6">
        <v>3</v>
      </c>
      <c r="X371" s="6">
        <v>0</v>
      </c>
      <c r="Y371" s="6">
        <v>0</v>
      </c>
      <c r="Z371" s="6">
        <v>0</v>
      </c>
      <c r="AA371" s="6">
        <v>0</v>
      </c>
      <c r="AB371" s="6">
        <v>0</v>
      </c>
      <c r="AC371" s="7">
        <v>0</v>
      </c>
      <c r="AD371" s="7">
        <v>0</v>
      </c>
      <c r="AE371" s="7">
        <v>12</v>
      </c>
      <c r="AF371" s="7">
        <v>0</v>
      </c>
      <c r="AG371" s="7">
        <v>0</v>
      </c>
      <c r="AH371" s="7">
        <v>0</v>
      </c>
      <c r="AI371" s="7">
        <v>0</v>
      </c>
      <c r="AJ371" s="7">
        <v>6.0000000000000001E-3</v>
      </c>
      <c r="AK371" s="7">
        <v>20006</v>
      </c>
      <c r="AL371" s="6">
        <v>2</v>
      </c>
      <c r="AM371" s="7">
        <v>1500</v>
      </c>
      <c r="AN371" s="6" t="s">
        <v>48</v>
      </c>
      <c r="AO371" s="6" t="s">
        <v>733</v>
      </c>
    </row>
    <row r="372" spans="1:41" ht="16.5">
      <c r="A372" s="6">
        <v>20300</v>
      </c>
      <c r="B372" s="22" t="s">
        <v>1132</v>
      </c>
      <c r="C372" s="22" t="s">
        <v>164</v>
      </c>
      <c r="D372" s="8" t="s">
        <v>112</v>
      </c>
      <c r="E372" s="14">
        <v>11009</v>
      </c>
      <c r="F372" s="65">
        <v>2000</v>
      </c>
      <c r="G372" s="6">
        <v>300</v>
      </c>
      <c r="H372" s="6">
        <v>50</v>
      </c>
      <c r="I372" s="8" t="s">
        <v>718</v>
      </c>
      <c r="J372" s="6">
        <v>2</v>
      </c>
      <c r="K372" s="6">
        <v>6</v>
      </c>
      <c r="L372" s="6">
        <v>20</v>
      </c>
      <c r="M372" s="6">
        <v>0</v>
      </c>
      <c r="N372" s="6">
        <v>0</v>
      </c>
      <c r="O372" s="6">
        <v>60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v>0</v>
      </c>
      <c r="W372" s="6">
        <v>3</v>
      </c>
      <c r="X372" s="6">
        <v>0</v>
      </c>
      <c r="Y372" s="6">
        <v>0</v>
      </c>
      <c r="Z372" s="6">
        <v>0</v>
      </c>
      <c r="AA372" s="6">
        <v>0</v>
      </c>
      <c r="AB372" s="6">
        <v>0</v>
      </c>
      <c r="AC372" s="7">
        <v>0</v>
      </c>
      <c r="AD372" s="7">
        <v>0</v>
      </c>
      <c r="AE372" s="7">
        <v>12</v>
      </c>
      <c r="AF372" s="7">
        <v>0</v>
      </c>
      <c r="AG372" s="7">
        <v>0</v>
      </c>
      <c r="AH372" s="7">
        <v>0</v>
      </c>
      <c r="AI372" s="7">
        <v>0</v>
      </c>
      <c r="AJ372" s="7">
        <v>6.0000000000000001E-3</v>
      </c>
      <c r="AK372" s="7">
        <v>20006</v>
      </c>
      <c r="AL372" s="6">
        <v>2</v>
      </c>
      <c r="AM372" s="7">
        <v>1500</v>
      </c>
      <c r="AN372" s="6" t="s">
        <v>48</v>
      </c>
      <c r="AO372" s="6" t="s">
        <v>733</v>
      </c>
    </row>
    <row r="373" spans="1:41" ht="16.5">
      <c r="A373" s="6">
        <v>203011</v>
      </c>
      <c r="B373" s="22" t="s">
        <v>1133</v>
      </c>
      <c r="C373" s="22" t="s">
        <v>164</v>
      </c>
      <c r="D373" s="8" t="s">
        <v>112</v>
      </c>
      <c r="E373" s="14">
        <v>11009</v>
      </c>
      <c r="F373" s="65">
        <v>2000</v>
      </c>
      <c r="G373" s="6">
        <v>300</v>
      </c>
      <c r="H373" s="6">
        <v>50</v>
      </c>
      <c r="I373" s="8" t="s">
        <v>718</v>
      </c>
      <c r="J373" s="6">
        <v>2</v>
      </c>
      <c r="K373" s="6">
        <v>6</v>
      </c>
      <c r="L373" s="6">
        <v>20</v>
      </c>
      <c r="M373" s="6">
        <v>0</v>
      </c>
      <c r="N373" s="6">
        <v>0</v>
      </c>
      <c r="O373" s="6">
        <v>60</v>
      </c>
      <c r="P373" s="6">
        <v>0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W373" s="6">
        <v>3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 s="7">
        <v>0</v>
      </c>
      <c r="AD373" s="7">
        <v>0</v>
      </c>
      <c r="AE373" s="7">
        <v>12</v>
      </c>
      <c r="AF373" s="7">
        <v>0</v>
      </c>
      <c r="AG373" s="7">
        <v>0</v>
      </c>
      <c r="AH373" s="7">
        <v>0</v>
      </c>
      <c r="AI373" s="7">
        <v>0</v>
      </c>
      <c r="AJ373" s="7">
        <v>6.0000000000000001E-3</v>
      </c>
      <c r="AK373" s="7">
        <v>20006</v>
      </c>
      <c r="AL373" s="6">
        <v>2</v>
      </c>
      <c r="AM373" s="7">
        <v>1500</v>
      </c>
      <c r="AN373" s="6" t="s">
        <v>48</v>
      </c>
      <c r="AO373" s="6" t="s">
        <v>733</v>
      </c>
    </row>
    <row r="374" spans="1:41" ht="16.5">
      <c r="A374" s="6">
        <v>203012</v>
      </c>
      <c r="B374" s="22" t="s">
        <v>1134</v>
      </c>
      <c r="C374" s="22" t="s">
        <v>164</v>
      </c>
      <c r="D374" s="8" t="s">
        <v>112</v>
      </c>
      <c r="E374" s="14">
        <v>11009</v>
      </c>
      <c r="F374" s="65">
        <v>2000</v>
      </c>
      <c r="G374" s="6">
        <v>300</v>
      </c>
      <c r="H374" s="6">
        <v>50</v>
      </c>
      <c r="I374" s="8" t="s">
        <v>718</v>
      </c>
      <c r="J374" s="6">
        <v>2</v>
      </c>
      <c r="K374" s="6">
        <v>6</v>
      </c>
      <c r="L374" s="6">
        <v>20</v>
      </c>
      <c r="M374" s="6">
        <v>0</v>
      </c>
      <c r="N374" s="6">
        <v>0</v>
      </c>
      <c r="O374" s="6">
        <v>60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W374" s="6">
        <v>3</v>
      </c>
      <c r="X374" s="6">
        <v>0</v>
      </c>
      <c r="Y374" s="6">
        <v>0</v>
      </c>
      <c r="Z374" s="6">
        <v>0</v>
      </c>
      <c r="AA374" s="6">
        <v>0</v>
      </c>
      <c r="AB374" s="6">
        <v>0</v>
      </c>
      <c r="AC374" s="7">
        <v>0</v>
      </c>
      <c r="AD374" s="7">
        <v>0</v>
      </c>
      <c r="AE374" s="7">
        <v>12</v>
      </c>
      <c r="AF374" s="7">
        <v>0</v>
      </c>
      <c r="AG374" s="7">
        <v>0</v>
      </c>
      <c r="AH374" s="7">
        <v>0</v>
      </c>
      <c r="AI374" s="7">
        <v>0</v>
      </c>
      <c r="AJ374" s="7">
        <v>6.0000000000000001E-3</v>
      </c>
      <c r="AK374" s="7">
        <v>20006</v>
      </c>
      <c r="AL374" s="6">
        <v>2</v>
      </c>
      <c r="AM374" s="7">
        <v>1500</v>
      </c>
      <c r="AN374" s="6" t="s">
        <v>48</v>
      </c>
      <c r="AO374" s="6" t="s">
        <v>733</v>
      </c>
    </row>
    <row r="375" spans="1:41" ht="16.5">
      <c r="A375" s="6">
        <v>203013</v>
      </c>
      <c r="B375" s="22" t="s">
        <v>1135</v>
      </c>
      <c r="C375" s="22" t="s">
        <v>164</v>
      </c>
      <c r="D375" s="8" t="s">
        <v>112</v>
      </c>
      <c r="E375" s="14">
        <v>11009</v>
      </c>
      <c r="F375" s="65">
        <v>2000</v>
      </c>
      <c r="G375" s="6">
        <v>300</v>
      </c>
      <c r="H375" s="6">
        <v>50</v>
      </c>
      <c r="I375" s="8" t="s">
        <v>718</v>
      </c>
      <c r="J375" s="6">
        <v>2</v>
      </c>
      <c r="K375" s="6">
        <v>6</v>
      </c>
      <c r="L375" s="6">
        <v>20</v>
      </c>
      <c r="M375" s="6">
        <v>0</v>
      </c>
      <c r="N375" s="6">
        <v>0</v>
      </c>
      <c r="O375" s="6">
        <v>60</v>
      </c>
      <c r="P375" s="6">
        <v>0</v>
      </c>
      <c r="Q375" s="6">
        <v>0</v>
      </c>
      <c r="R375" s="6">
        <v>0</v>
      </c>
      <c r="S375" s="6">
        <v>0</v>
      </c>
      <c r="T375" s="6">
        <v>0</v>
      </c>
      <c r="U375" s="6">
        <v>0</v>
      </c>
      <c r="V375" s="6">
        <v>0</v>
      </c>
      <c r="W375" s="6">
        <v>3</v>
      </c>
      <c r="X375" s="6">
        <v>0</v>
      </c>
      <c r="Y375" s="6">
        <v>0</v>
      </c>
      <c r="Z375" s="6">
        <v>0</v>
      </c>
      <c r="AA375" s="6">
        <v>0</v>
      </c>
      <c r="AB375" s="6">
        <v>0</v>
      </c>
      <c r="AC375" s="7">
        <v>0</v>
      </c>
      <c r="AD375" s="7">
        <v>0</v>
      </c>
      <c r="AE375" s="7">
        <v>12</v>
      </c>
      <c r="AF375" s="7">
        <v>0</v>
      </c>
      <c r="AG375" s="7">
        <v>0</v>
      </c>
      <c r="AH375" s="7">
        <v>0</v>
      </c>
      <c r="AI375" s="7">
        <v>0</v>
      </c>
      <c r="AJ375" s="7">
        <v>6.0000000000000001E-3</v>
      </c>
      <c r="AK375" s="7">
        <v>20006</v>
      </c>
      <c r="AL375" s="6">
        <v>2</v>
      </c>
      <c r="AM375" s="7">
        <v>1500</v>
      </c>
      <c r="AN375" s="6" t="s">
        <v>48</v>
      </c>
      <c r="AO375" s="6" t="s">
        <v>733</v>
      </c>
    </row>
    <row r="376" spans="1:41" ht="16.5">
      <c r="A376" s="6">
        <v>30</v>
      </c>
      <c r="B376" s="22" t="s">
        <v>1136</v>
      </c>
      <c r="C376" s="22" t="s">
        <v>164</v>
      </c>
      <c r="D376" s="8" t="s">
        <v>113</v>
      </c>
      <c r="E376" s="14">
        <v>11010</v>
      </c>
      <c r="F376" s="65">
        <v>2000</v>
      </c>
      <c r="G376" s="6">
        <v>300</v>
      </c>
      <c r="H376" s="6">
        <v>50</v>
      </c>
      <c r="I376" s="8" t="s">
        <v>719</v>
      </c>
      <c r="J376" s="6">
        <v>2</v>
      </c>
      <c r="K376" s="6">
        <v>6</v>
      </c>
      <c r="L376" s="6">
        <v>20</v>
      </c>
      <c r="M376" s="6">
        <v>0</v>
      </c>
      <c r="N376" s="6">
        <v>120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v>6</v>
      </c>
      <c r="W376" s="6">
        <v>0</v>
      </c>
      <c r="X376" s="6">
        <v>0</v>
      </c>
      <c r="Y376" s="6">
        <v>0</v>
      </c>
      <c r="Z376" s="6">
        <v>0</v>
      </c>
      <c r="AA376" s="6">
        <v>0</v>
      </c>
      <c r="AB376" s="6">
        <v>0</v>
      </c>
      <c r="AC376" s="7">
        <v>0</v>
      </c>
      <c r="AD376" s="7">
        <v>24</v>
      </c>
      <c r="AE376" s="7">
        <v>0</v>
      </c>
      <c r="AF376" s="7">
        <v>0</v>
      </c>
      <c r="AG376" s="7">
        <v>0</v>
      </c>
      <c r="AH376" s="7">
        <v>0</v>
      </c>
      <c r="AI376" s="7">
        <v>6.0000000000000001E-3</v>
      </c>
      <c r="AJ376" s="7">
        <v>0</v>
      </c>
      <c r="AK376" s="7">
        <v>20006</v>
      </c>
      <c r="AL376" s="6">
        <v>1</v>
      </c>
      <c r="AM376" s="7">
        <v>1500</v>
      </c>
      <c r="AN376" s="6" t="s">
        <v>48</v>
      </c>
      <c r="AO376" s="6" t="s">
        <v>734</v>
      </c>
    </row>
    <row r="377" spans="1:41" ht="16.5">
      <c r="A377" s="6">
        <v>2030</v>
      </c>
      <c r="B377" s="22" t="s">
        <v>1137</v>
      </c>
      <c r="C377" s="22" t="s">
        <v>164</v>
      </c>
      <c r="D377" s="8" t="s">
        <v>113</v>
      </c>
      <c r="E377" s="14">
        <v>11010</v>
      </c>
      <c r="F377" s="65">
        <v>2000</v>
      </c>
      <c r="G377" s="6">
        <v>300</v>
      </c>
      <c r="H377" s="6">
        <v>50</v>
      </c>
      <c r="I377" s="8" t="s">
        <v>719</v>
      </c>
      <c r="J377" s="6">
        <v>2</v>
      </c>
      <c r="K377" s="6">
        <v>6</v>
      </c>
      <c r="L377" s="6">
        <v>20</v>
      </c>
      <c r="M377" s="6">
        <v>0</v>
      </c>
      <c r="N377" s="6">
        <v>120</v>
      </c>
      <c r="O377" s="6">
        <v>0</v>
      </c>
      <c r="P377" s="6">
        <v>0</v>
      </c>
      <c r="Q377" s="6">
        <v>0</v>
      </c>
      <c r="R377" s="6">
        <v>0</v>
      </c>
      <c r="S377" s="6">
        <v>0</v>
      </c>
      <c r="T377" s="6">
        <v>0</v>
      </c>
      <c r="U377" s="6">
        <v>0</v>
      </c>
      <c r="V377" s="6">
        <v>6</v>
      </c>
      <c r="W377" s="6">
        <v>0</v>
      </c>
      <c r="X377" s="6">
        <v>0</v>
      </c>
      <c r="Y377" s="6">
        <v>0</v>
      </c>
      <c r="Z377" s="6">
        <v>0</v>
      </c>
      <c r="AA377" s="6">
        <v>0</v>
      </c>
      <c r="AB377" s="6">
        <v>0</v>
      </c>
      <c r="AC377" s="7">
        <v>0</v>
      </c>
      <c r="AD377" s="7">
        <v>24</v>
      </c>
      <c r="AE377" s="7">
        <v>0</v>
      </c>
      <c r="AF377" s="7">
        <v>0</v>
      </c>
      <c r="AG377" s="7">
        <v>0</v>
      </c>
      <c r="AH377" s="7">
        <v>0</v>
      </c>
      <c r="AI377" s="7">
        <v>6.0000000000000001E-3</v>
      </c>
      <c r="AJ377" s="7">
        <v>0</v>
      </c>
      <c r="AK377" s="7">
        <v>20006</v>
      </c>
      <c r="AL377" s="6">
        <v>1</v>
      </c>
      <c r="AM377" s="7">
        <v>1500</v>
      </c>
      <c r="AN377" s="6" t="s">
        <v>48</v>
      </c>
      <c r="AO377" s="6" t="s">
        <v>734</v>
      </c>
    </row>
    <row r="378" spans="1:41" ht="16.5">
      <c r="A378" s="6">
        <v>20301</v>
      </c>
      <c r="B378" s="22" t="s">
        <v>1138</v>
      </c>
      <c r="C378" s="22" t="s">
        <v>164</v>
      </c>
      <c r="D378" s="8" t="s">
        <v>113</v>
      </c>
      <c r="E378" s="14">
        <v>11010</v>
      </c>
      <c r="F378" s="65">
        <v>2000</v>
      </c>
      <c r="G378" s="6">
        <v>300</v>
      </c>
      <c r="H378" s="6">
        <v>50</v>
      </c>
      <c r="I378" s="8" t="s">
        <v>719</v>
      </c>
      <c r="J378" s="6">
        <v>2</v>
      </c>
      <c r="K378" s="6">
        <v>6</v>
      </c>
      <c r="L378" s="6">
        <v>20</v>
      </c>
      <c r="M378" s="6">
        <v>0</v>
      </c>
      <c r="N378" s="6">
        <v>120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6</v>
      </c>
      <c r="W378" s="6">
        <v>0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7">
        <v>0</v>
      </c>
      <c r="AD378" s="7">
        <v>24</v>
      </c>
      <c r="AE378" s="7">
        <v>0</v>
      </c>
      <c r="AF378" s="7">
        <v>0</v>
      </c>
      <c r="AG378" s="7">
        <v>0</v>
      </c>
      <c r="AH378" s="7">
        <v>0</v>
      </c>
      <c r="AI378" s="7">
        <v>6.0000000000000001E-3</v>
      </c>
      <c r="AJ378" s="7">
        <v>0</v>
      </c>
      <c r="AK378" s="7">
        <v>20006</v>
      </c>
      <c r="AL378" s="6">
        <v>1</v>
      </c>
      <c r="AM378" s="7">
        <v>1500</v>
      </c>
      <c r="AN378" s="6" t="s">
        <v>48</v>
      </c>
      <c r="AO378" s="6" t="s">
        <v>734</v>
      </c>
    </row>
    <row r="379" spans="1:41" ht="16.5">
      <c r="A379" s="6">
        <v>20302</v>
      </c>
      <c r="B379" s="22" t="s">
        <v>1139</v>
      </c>
      <c r="C379" s="22" t="s">
        <v>164</v>
      </c>
      <c r="D379" s="8" t="s">
        <v>113</v>
      </c>
      <c r="E379" s="14">
        <v>11010</v>
      </c>
      <c r="F379" s="65">
        <v>2000</v>
      </c>
      <c r="G379" s="6">
        <v>300</v>
      </c>
      <c r="H379" s="6">
        <v>50</v>
      </c>
      <c r="I379" s="8" t="s">
        <v>719</v>
      </c>
      <c r="J379" s="6">
        <v>2</v>
      </c>
      <c r="K379" s="6">
        <v>6</v>
      </c>
      <c r="L379" s="6">
        <v>20</v>
      </c>
      <c r="M379" s="6">
        <v>0</v>
      </c>
      <c r="N379" s="6">
        <v>120</v>
      </c>
      <c r="O379" s="6">
        <v>0</v>
      </c>
      <c r="P379" s="6">
        <v>0</v>
      </c>
      <c r="Q379" s="6">
        <v>0</v>
      </c>
      <c r="R379" s="6">
        <v>0</v>
      </c>
      <c r="S379" s="6">
        <v>0</v>
      </c>
      <c r="T379" s="6">
        <v>0</v>
      </c>
      <c r="U379" s="6">
        <v>0</v>
      </c>
      <c r="V379" s="6">
        <v>6</v>
      </c>
      <c r="W379" s="6">
        <v>0</v>
      </c>
      <c r="X379" s="6">
        <v>0</v>
      </c>
      <c r="Y379" s="6">
        <v>0</v>
      </c>
      <c r="Z379" s="6">
        <v>0</v>
      </c>
      <c r="AA379" s="6">
        <v>0</v>
      </c>
      <c r="AB379" s="6">
        <v>0</v>
      </c>
      <c r="AC379" s="7">
        <v>0</v>
      </c>
      <c r="AD379" s="7">
        <v>24</v>
      </c>
      <c r="AE379" s="7">
        <v>0</v>
      </c>
      <c r="AF379" s="7">
        <v>0</v>
      </c>
      <c r="AG379" s="7">
        <v>0</v>
      </c>
      <c r="AH379" s="7">
        <v>0</v>
      </c>
      <c r="AI379" s="7">
        <v>6.0000000000000001E-3</v>
      </c>
      <c r="AJ379" s="7">
        <v>0</v>
      </c>
      <c r="AK379" s="7">
        <v>20006</v>
      </c>
      <c r="AL379" s="6">
        <v>1</v>
      </c>
      <c r="AM379" s="7">
        <v>1500</v>
      </c>
      <c r="AN379" s="6" t="s">
        <v>48</v>
      </c>
      <c r="AO379" s="6" t="s">
        <v>734</v>
      </c>
    </row>
    <row r="380" spans="1:41" ht="16.5">
      <c r="A380" s="6">
        <v>20303</v>
      </c>
      <c r="B380" s="22" t="s">
        <v>1140</v>
      </c>
      <c r="C380" s="22" t="s">
        <v>164</v>
      </c>
      <c r="D380" s="8" t="s">
        <v>113</v>
      </c>
      <c r="E380" s="14">
        <v>11010</v>
      </c>
      <c r="F380" s="65">
        <v>2000</v>
      </c>
      <c r="G380" s="6">
        <v>300</v>
      </c>
      <c r="H380" s="6">
        <v>50</v>
      </c>
      <c r="I380" s="8" t="s">
        <v>719</v>
      </c>
      <c r="J380" s="6">
        <v>2</v>
      </c>
      <c r="K380" s="6">
        <v>6</v>
      </c>
      <c r="L380" s="6">
        <v>20</v>
      </c>
      <c r="M380" s="6">
        <v>0</v>
      </c>
      <c r="N380" s="6">
        <v>120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v>6</v>
      </c>
      <c r="W380" s="6">
        <v>0</v>
      </c>
      <c r="X380" s="6">
        <v>0</v>
      </c>
      <c r="Y380" s="6">
        <v>0</v>
      </c>
      <c r="Z380" s="6">
        <v>0</v>
      </c>
      <c r="AA380" s="6">
        <v>0</v>
      </c>
      <c r="AB380" s="6">
        <v>0</v>
      </c>
      <c r="AC380" s="7">
        <v>0</v>
      </c>
      <c r="AD380" s="7">
        <v>24</v>
      </c>
      <c r="AE380" s="7">
        <v>0</v>
      </c>
      <c r="AF380" s="7">
        <v>0</v>
      </c>
      <c r="AG380" s="7">
        <v>0</v>
      </c>
      <c r="AH380" s="7">
        <v>0</v>
      </c>
      <c r="AI380" s="7">
        <v>6.0000000000000001E-3</v>
      </c>
      <c r="AJ380" s="7">
        <v>0</v>
      </c>
      <c r="AK380" s="7">
        <v>20006</v>
      </c>
      <c r="AL380" s="6">
        <v>1</v>
      </c>
      <c r="AM380" s="7">
        <v>1500</v>
      </c>
      <c r="AN380" s="6" t="s">
        <v>48</v>
      </c>
      <c r="AO380" s="6" t="s">
        <v>734</v>
      </c>
    </row>
    <row r="381" spans="1:41" ht="16.5">
      <c r="A381" s="6">
        <v>20304</v>
      </c>
      <c r="B381" s="22" t="s">
        <v>1141</v>
      </c>
      <c r="C381" s="22" t="s">
        <v>164</v>
      </c>
      <c r="D381" s="8" t="s">
        <v>113</v>
      </c>
      <c r="E381" s="14">
        <v>11010</v>
      </c>
      <c r="F381" s="65">
        <v>2000</v>
      </c>
      <c r="G381" s="6">
        <v>300</v>
      </c>
      <c r="H381" s="6">
        <v>50</v>
      </c>
      <c r="I381" s="8" t="s">
        <v>719</v>
      </c>
      <c r="J381" s="6">
        <v>2</v>
      </c>
      <c r="K381" s="6">
        <v>6</v>
      </c>
      <c r="L381" s="6">
        <v>20</v>
      </c>
      <c r="M381" s="6">
        <v>0</v>
      </c>
      <c r="N381" s="6">
        <v>120</v>
      </c>
      <c r="O381" s="6">
        <v>0</v>
      </c>
      <c r="P381" s="6">
        <v>0</v>
      </c>
      <c r="Q381" s="6">
        <v>0</v>
      </c>
      <c r="R381" s="6">
        <v>0</v>
      </c>
      <c r="S381" s="6">
        <v>0</v>
      </c>
      <c r="T381" s="6">
        <v>0</v>
      </c>
      <c r="U381" s="6">
        <v>0</v>
      </c>
      <c r="V381" s="6">
        <v>6</v>
      </c>
      <c r="W381" s="6">
        <v>0</v>
      </c>
      <c r="X381" s="6">
        <v>0</v>
      </c>
      <c r="Y381" s="6">
        <v>0</v>
      </c>
      <c r="Z381" s="6">
        <v>0</v>
      </c>
      <c r="AA381" s="6">
        <v>0</v>
      </c>
      <c r="AB381" s="6">
        <v>0</v>
      </c>
      <c r="AC381" s="7">
        <v>0</v>
      </c>
      <c r="AD381" s="7">
        <v>24</v>
      </c>
      <c r="AE381" s="7">
        <v>0</v>
      </c>
      <c r="AF381" s="7">
        <v>0</v>
      </c>
      <c r="AG381" s="7">
        <v>0</v>
      </c>
      <c r="AH381" s="7">
        <v>0</v>
      </c>
      <c r="AI381" s="7">
        <v>6.0000000000000001E-3</v>
      </c>
      <c r="AJ381" s="7">
        <v>0</v>
      </c>
      <c r="AK381" s="7">
        <v>20006</v>
      </c>
      <c r="AL381" s="6">
        <v>1</v>
      </c>
      <c r="AM381" s="7">
        <v>1500</v>
      </c>
      <c r="AN381" s="6" t="s">
        <v>48</v>
      </c>
      <c r="AO381" s="6" t="s">
        <v>734</v>
      </c>
    </row>
    <row r="382" spans="1:41" ht="16.5">
      <c r="A382" s="6">
        <v>20305</v>
      </c>
      <c r="B382" s="22" t="s">
        <v>1142</v>
      </c>
      <c r="C382" s="22" t="s">
        <v>164</v>
      </c>
      <c r="D382" s="8" t="s">
        <v>113</v>
      </c>
      <c r="E382" s="14">
        <v>11010</v>
      </c>
      <c r="F382" s="65">
        <v>2000</v>
      </c>
      <c r="G382" s="6">
        <v>300</v>
      </c>
      <c r="H382" s="6">
        <v>50</v>
      </c>
      <c r="I382" s="8" t="s">
        <v>719</v>
      </c>
      <c r="J382" s="6">
        <v>2</v>
      </c>
      <c r="K382" s="6">
        <v>6</v>
      </c>
      <c r="L382" s="6">
        <v>20</v>
      </c>
      <c r="M382" s="6">
        <v>0</v>
      </c>
      <c r="N382" s="6">
        <v>120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v>6</v>
      </c>
      <c r="W382" s="6">
        <v>0</v>
      </c>
      <c r="X382" s="6">
        <v>0</v>
      </c>
      <c r="Y382" s="6">
        <v>0</v>
      </c>
      <c r="Z382" s="6">
        <v>0</v>
      </c>
      <c r="AA382" s="6">
        <v>0</v>
      </c>
      <c r="AB382" s="6">
        <v>0</v>
      </c>
      <c r="AC382" s="7">
        <v>0</v>
      </c>
      <c r="AD382" s="7">
        <v>24</v>
      </c>
      <c r="AE382" s="7">
        <v>0</v>
      </c>
      <c r="AF382" s="7">
        <v>0</v>
      </c>
      <c r="AG382" s="7">
        <v>0</v>
      </c>
      <c r="AH382" s="7">
        <v>0</v>
      </c>
      <c r="AI382" s="7">
        <v>6.0000000000000001E-3</v>
      </c>
      <c r="AJ382" s="7">
        <v>0</v>
      </c>
      <c r="AK382" s="7">
        <v>20006</v>
      </c>
      <c r="AL382" s="6">
        <v>1</v>
      </c>
      <c r="AM382" s="7">
        <v>1500</v>
      </c>
      <c r="AN382" s="6" t="s">
        <v>48</v>
      </c>
      <c r="AO382" s="6" t="s">
        <v>734</v>
      </c>
    </row>
    <row r="383" spans="1:41" ht="16.5">
      <c r="A383" s="6">
        <v>20306</v>
      </c>
      <c r="B383" s="22" t="s">
        <v>1143</v>
      </c>
      <c r="C383" s="22" t="s">
        <v>164</v>
      </c>
      <c r="D383" s="8" t="s">
        <v>113</v>
      </c>
      <c r="E383" s="14">
        <v>11010</v>
      </c>
      <c r="F383" s="65">
        <v>2000</v>
      </c>
      <c r="G383" s="6">
        <v>300</v>
      </c>
      <c r="H383" s="6">
        <v>50</v>
      </c>
      <c r="I383" s="8" t="s">
        <v>719</v>
      </c>
      <c r="J383" s="6">
        <v>2</v>
      </c>
      <c r="K383" s="6">
        <v>6</v>
      </c>
      <c r="L383" s="6">
        <v>20</v>
      </c>
      <c r="M383" s="6">
        <v>0</v>
      </c>
      <c r="N383" s="6">
        <v>120</v>
      </c>
      <c r="O383" s="6">
        <v>0</v>
      </c>
      <c r="P383" s="6">
        <v>0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6</v>
      </c>
      <c r="W383" s="6">
        <v>0</v>
      </c>
      <c r="X383" s="6">
        <v>0</v>
      </c>
      <c r="Y383" s="6">
        <v>0</v>
      </c>
      <c r="Z383" s="6">
        <v>0</v>
      </c>
      <c r="AA383" s="6">
        <v>0</v>
      </c>
      <c r="AB383" s="6">
        <v>0</v>
      </c>
      <c r="AC383" s="7">
        <v>0</v>
      </c>
      <c r="AD383" s="7">
        <v>24</v>
      </c>
      <c r="AE383" s="7">
        <v>0</v>
      </c>
      <c r="AF383" s="7">
        <v>0</v>
      </c>
      <c r="AG383" s="7">
        <v>0</v>
      </c>
      <c r="AH383" s="7">
        <v>0</v>
      </c>
      <c r="AI383" s="7">
        <v>6.0000000000000001E-3</v>
      </c>
      <c r="AJ383" s="7">
        <v>0</v>
      </c>
      <c r="AK383" s="7">
        <v>20006</v>
      </c>
      <c r="AL383" s="6">
        <v>1</v>
      </c>
      <c r="AM383" s="7">
        <v>1500</v>
      </c>
      <c r="AN383" s="6" t="s">
        <v>48</v>
      </c>
      <c r="AO383" s="6" t="s">
        <v>734</v>
      </c>
    </row>
    <row r="384" spans="1:41" ht="16.5">
      <c r="A384" s="6">
        <v>20307</v>
      </c>
      <c r="B384" s="22" t="s">
        <v>1144</v>
      </c>
      <c r="C384" s="22" t="s">
        <v>164</v>
      </c>
      <c r="D384" s="8" t="s">
        <v>113</v>
      </c>
      <c r="E384" s="14">
        <v>11010</v>
      </c>
      <c r="F384" s="65">
        <v>2000</v>
      </c>
      <c r="G384" s="6">
        <v>300</v>
      </c>
      <c r="H384" s="6">
        <v>50</v>
      </c>
      <c r="I384" s="8" t="s">
        <v>719</v>
      </c>
      <c r="J384" s="6">
        <v>2</v>
      </c>
      <c r="K384" s="6">
        <v>6</v>
      </c>
      <c r="L384" s="6">
        <v>20</v>
      </c>
      <c r="M384" s="6">
        <v>0</v>
      </c>
      <c r="N384" s="6">
        <v>120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v>6</v>
      </c>
      <c r="W384" s="6">
        <v>0</v>
      </c>
      <c r="X384" s="6">
        <v>0</v>
      </c>
      <c r="Y384" s="6">
        <v>0</v>
      </c>
      <c r="Z384" s="6">
        <v>0</v>
      </c>
      <c r="AA384" s="6">
        <v>0</v>
      </c>
      <c r="AB384" s="6">
        <v>0</v>
      </c>
      <c r="AC384" s="7">
        <v>0</v>
      </c>
      <c r="AD384" s="7">
        <v>24</v>
      </c>
      <c r="AE384" s="7">
        <v>0</v>
      </c>
      <c r="AF384" s="7">
        <v>0</v>
      </c>
      <c r="AG384" s="7">
        <v>0</v>
      </c>
      <c r="AH384" s="7">
        <v>0</v>
      </c>
      <c r="AI384" s="7">
        <v>6.0000000000000001E-3</v>
      </c>
      <c r="AJ384" s="7">
        <v>0</v>
      </c>
      <c r="AK384" s="7">
        <v>20006</v>
      </c>
      <c r="AL384" s="6">
        <v>1</v>
      </c>
      <c r="AM384" s="7">
        <v>1500</v>
      </c>
      <c r="AN384" s="6" t="s">
        <v>48</v>
      </c>
      <c r="AO384" s="6" t="s">
        <v>734</v>
      </c>
    </row>
    <row r="385" spans="1:41" ht="16.5">
      <c r="A385" s="6">
        <v>20308</v>
      </c>
      <c r="B385" s="22" t="s">
        <v>1145</v>
      </c>
      <c r="C385" s="22" t="s">
        <v>164</v>
      </c>
      <c r="D385" s="8" t="s">
        <v>113</v>
      </c>
      <c r="E385" s="14">
        <v>11010</v>
      </c>
      <c r="F385" s="65">
        <v>2000</v>
      </c>
      <c r="G385" s="6">
        <v>300</v>
      </c>
      <c r="H385" s="6">
        <v>50</v>
      </c>
      <c r="I385" s="8" t="s">
        <v>719</v>
      </c>
      <c r="J385" s="6">
        <v>2</v>
      </c>
      <c r="K385" s="6">
        <v>6</v>
      </c>
      <c r="L385" s="6">
        <v>20</v>
      </c>
      <c r="M385" s="6">
        <v>0</v>
      </c>
      <c r="N385" s="6">
        <v>120</v>
      </c>
      <c r="O385" s="6">
        <v>0</v>
      </c>
      <c r="P385" s="6">
        <v>0</v>
      </c>
      <c r="Q385" s="6">
        <v>0</v>
      </c>
      <c r="R385" s="6">
        <v>0</v>
      </c>
      <c r="S385" s="6">
        <v>0</v>
      </c>
      <c r="T385" s="6">
        <v>0</v>
      </c>
      <c r="U385" s="6">
        <v>0</v>
      </c>
      <c r="V385" s="6">
        <v>6</v>
      </c>
      <c r="W385" s="6">
        <v>0</v>
      </c>
      <c r="X385" s="6">
        <v>0</v>
      </c>
      <c r="Y385" s="6">
        <v>0</v>
      </c>
      <c r="Z385" s="6">
        <v>0</v>
      </c>
      <c r="AA385" s="6">
        <v>0</v>
      </c>
      <c r="AB385" s="6">
        <v>0</v>
      </c>
      <c r="AC385" s="7">
        <v>0</v>
      </c>
      <c r="AD385" s="7">
        <v>24</v>
      </c>
      <c r="AE385" s="7">
        <v>0</v>
      </c>
      <c r="AF385" s="7">
        <v>0</v>
      </c>
      <c r="AG385" s="7">
        <v>0</v>
      </c>
      <c r="AH385" s="7">
        <v>0</v>
      </c>
      <c r="AI385" s="7">
        <v>6.0000000000000001E-3</v>
      </c>
      <c r="AJ385" s="7">
        <v>0</v>
      </c>
      <c r="AK385" s="7">
        <v>20006</v>
      </c>
      <c r="AL385" s="6">
        <v>1</v>
      </c>
      <c r="AM385" s="7">
        <v>1500</v>
      </c>
      <c r="AN385" s="6" t="s">
        <v>48</v>
      </c>
      <c r="AO385" s="6" t="s">
        <v>734</v>
      </c>
    </row>
    <row r="386" spans="1:41" ht="16.5">
      <c r="A386" s="6">
        <v>20309</v>
      </c>
      <c r="B386" s="22" t="s">
        <v>1146</v>
      </c>
      <c r="C386" s="22" t="s">
        <v>164</v>
      </c>
      <c r="D386" s="8" t="s">
        <v>113</v>
      </c>
      <c r="E386" s="14">
        <v>11010</v>
      </c>
      <c r="F386" s="65">
        <v>2000</v>
      </c>
      <c r="G386" s="6">
        <v>300</v>
      </c>
      <c r="H386" s="6">
        <v>50</v>
      </c>
      <c r="I386" s="8" t="s">
        <v>719</v>
      </c>
      <c r="J386" s="6">
        <v>2</v>
      </c>
      <c r="K386" s="6">
        <v>6</v>
      </c>
      <c r="L386" s="6">
        <v>20</v>
      </c>
      <c r="M386" s="6">
        <v>0</v>
      </c>
      <c r="N386" s="6">
        <v>120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v>6</v>
      </c>
      <c r="W386" s="6">
        <v>0</v>
      </c>
      <c r="X386" s="6">
        <v>0</v>
      </c>
      <c r="Y386" s="6">
        <v>0</v>
      </c>
      <c r="Z386" s="6">
        <v>0</v>
      </c>
      <c r="AA386" s="6">
        <v>0</v>
      </c>
      <c r="AB386" s="6">
        <v>0</v>
      </c>
      <c r="AC386" s="7">
        <v>0</v>
      </c>
      <c r="AD386" s="7">
        <v>24</v>
      </c>
      <c r="AE386" s="7">
        <v>0</v>
      </c>
      <c r="AF386" s="7">
        <v>0</v>
      </c>
      <c r="AG386" s="7">
        <v>0</v>
      </c>
      <c r="AH386" s="7">
        <v>0</v>
      </c>
      <c r="AI386" s="7">
        <v>6.0000000000000001E-3</v>
      </c>
      <c r="AJ386" s="7">
        <v>0</v>
      </c>
      <c r="AK386" s="7">
        <v>20006</v>
      </c>
      <c r="AL386" s="6">
        <v>1</v>
      </c>
      <c r="AM386" s="7">
        <v>1500</v>
      </c>
      <c r="AN386" s="6" t="s">
        <v>48</v>
      </c>
      <c r="AO386" s="6" t="s">
        <v>734</v>
      </c>
    </row>
    <row r="387" spans="1:41" ht="16.5">
      <c r="A387" s="6">
        <v>20310</v>
      </c>
      <c r="B387" s="22" t="s">
        <v>1147</v>
      </c>
      <c r="C387" s="22" t="s">
        <v>164</v>
      </c>
      <c r="D387" s="8" t="s">
        <v>113</v>
      </c>
      <c r="E387" s="14">
        <v>11010</v>
      </c>
      <c r="F387" s="65">
        <v>2000</v>
      </c>
      <c r="G387" s="6">
        <v>300</v>
      </c>
      <c r="H387" s="6">
        <v>50</v>
      </c>
      <c r="I387" s="8" t="s">
        <v>719</v>
      </c>
      <c r="J387" s="6">
        <v>2</v>
      </c>
      <c r="K387" s="6">
        <v>6</v>
      </c>
      <c r="L387" s="6">
        <v>20</v>
      </c>
      <c r="M387" s="6">
        <v>0</v>
      </c>
      <c r="N387" s="6">
        <v>120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6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7">
        <v>0</v>
      </c>
      <c r="AD387" s="7">
        <v>24</v>
      </c>
      <c r="AE387" s="7">
        <v>0</v>
      </c>
      <c r="AF387" s="7">
        <v>0</v>
      </c>
      <c r="AG387" s="7">
        <v>0</v>
      </c>
      <c r="AH387" s="7">
        <v>0</v>
      </c>
      <c r="AI387" s="7">
        <v>6.0000000000000001E-3</v>
      </c>
      <c r="AJ387" s="7">
        <v>0</v>
      </c>
      <c r="AK387" s="7">
        <v>20006</v>
      </c>
      <c r="AL387" s="6">
        <v>1</v>
      </c>
      <c r="AM387" s="7">
        <v>1500</v>
      </c>
      <c r="AN387" s="6" t="s">
        <v>48</v>
      </c>
      <c r="AO387" s="6" t="s">
        <v>734</v>
      </c>
    </row>
    <row r="388" spans="1:41" ht="16.5">
      <c r="A388" s="6">
        <v>203111</v>
      </c>
      <c r="B388" s="22" t="s">
        <v>1148</v>
      </c>
      <c r="C388" s="22" t="s">
        <v>164</v>
      </c>
      <c r="D388" s="8" t="s">
        <v>113</v>
      </c>
      <c r="E388" s="14">
        <v>11010</v>
      </c>
      <c r="F388" s="65">
        <v>2000</v>
      </c>
      <c r="G388" s="6">
        <v>300</v>
      </c>
      <c r="H388" s="6">
        <v>50</v>
      </c>
      <c r="I388" s="8" t="s">
        <v>719</v>
      </c>
      <c r="J388" s="6">
        <v>2</v>
      </c>
      <c r="K388" s="6">
        <v>6</v>
      </c>
      <c r="L388" s="6">
        <v>20</v>
      </c>
      <c r="M388" s="6">
        <v>0</v>
      </c>
      <c r="N388" s="6">
        <v>120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6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7">
        <v>0</v>
      </c>
      <c r="AD388" s="7">
        <v>24</v>
      </c>
      <c r="AE388" s="7">
        <v>0</v>
      </c>
      <c r="AF388" s="7">
        <v>0</v>
      </c>
      <c r="AG388" s="7">
        <v>0</v>
      </c>
      <c r="AH388" s="7">
        <v>0</v>
      </c>
      <c r="AI388" s="7">
        <v>6.0000000000000001E-3</v>
      </c>
      <c r="AJ388" s="7">
        <v>0</v>
      </c>
      <c r="AK388" s="7">
        <v>20006</v>
      </c>
      <c r="AL388" s="6">
        <v>1</v>
      </c>
      <c r="AM388" s="7">
        <v>1500</v>
      </c>
      <c r="AN388" s="6" t="s">
        <v>48</v>
      </c>
      <c r="AO388" s="6" t="s">
        <v>734</v>
      </c>
    </row>
    <row r="389" spans="1:41" ht="16.5">
      <c r="A389" s="6">
        <v>203112</v>
      </c>
      <c r="B389" s="22" t="s">
        <v>1149</v>
      </c>
      <c r="C389" s="22" t="s">
        <v>164</v>
      </c>
      <c r="D389" s="8" t="s">
        <v>113</v>
      </c>
      <c r="E389" s="14">
        <v>11010</v>
      </c>
      <c r="F389" s="65">
        <v>2000</v>
      </c>
      <c r="G389" s="6">
        <v>300</v>
      </c>
      <c r="H389" s="6">
        <v>50</v>
      </c>
      <c r="I389" s="8" t="s">
        <v>719</v>
      </c>
      <c r="J389" s="6">
        <v>2</v>
      </c>
      <c r="K389" s="6">
        <v>6</v>
      </c>
      <c r="L389" s="6">
        <v>20</v>
      </c>
      <c r="M389" s="6">
        <v>0</v>
      </c>
      <c r="N389" s="6">
        <v>120</v>
      </c>
      <c r="O389" s="6">
        <v>0</v>
      </c>
      <c r="P389" s="6">
        <v>0</v>
      </c>
      <c r="Q389" s="6">
        <v>0</v>
      </c>
      <c r="R389" s="6">
        <v>0</v>
      </c>
      <c r="S389" s="6">
        <v>0</v>
      </c>
      <c r="T389" s="6">
        <v>0</v>
      </c>
      <c r="U389" s="6">
        <v>0</v>
      </c>
      <c r="V389" s="6">
        <v>6</v>
      </c>
      <c r="W389" s="6">
        <v>0</v>
      </c>
      <c r="X389" s="6">
        <v>0</v>
      </c>
      <c r="Y389" s="6">
        <v>0</v>
      </c>
      <c r="Z389" s="6">
        <v>0</v>
      </c>
      <c r="AA389" s="6">
        <v>0</v>
      </c>
      <c r="AB389" s="6">
        <v>0</v>
      </c>
      <c r="AC389" s="7">
        <v>0</v>
      </c>
      <c r="AD389" s="7">
        <v>24</v>
      </c>
      <c r="AE389" s="7">
        <v>0</v>
      </c>
      <c r="AF389" s="7">
        <v>0</v>
      </c>
      <c r="AG389" s="7">
        <v>0</v>
      </c>
      <c r="AH389" s="7">
        <v>0</v>
      </c>
      <c r="AI389" s="7">
        <v>6.0000000000000001E-3</v>
      </c>
      <c r="AJ389" s="7">
        <v>0</v>
      </c>
      <c r="AK389" s="7">
        <v>20006</v>
      </c>
      <c r="AL389" s="6">
        <v>1</v>
      </c>
      <c r="AM389" s="7">
        <v>1500</v>
      </c>
      <c r="AN389" s="6" t="s">
        <v>48</v>
      </c>
      <c r="AO389" s="6" t="s">
        <v>734</v>
      </c>
    </row>
    <row r="390" spans="1:41" ht="16.5">
      <c r="A390" s="6">
        <v>203113</v>
      </c>
      <c r="B390" s="22" t="s">
        <v>1150</v>
      </c>
      <c r="C390" s="22" t="s">
        <v>164</v>
      </c>
      <c r="D390" s="8" t="s">
        <v>113</v>
      </c>
      <c r="E390" s="14">
        <v>11010</v>
      </c>
      <c r="F390" s="65">
        <v>2000</v>
      </c>
      <c r="G390" s="6">
        <v>300</v>
      </c>
      <c r="H390" s="6">
        <v>50</v>
      </c>
      <c r="I390" s="8" t="s">
        <v>719</v>
      </c>
      <c r="J390" s="6">
        <v>2</v>
      </c>
      <c r="K390" s="6">
        <v>6</v>
      </c>
      <c r="L390" s="6">
        <v>20</v>
      </c>
      <c r="M390" s="6">
        <v>0</v>
      </c>
      <c r="N390" s="6">
        <v>120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6</v>
      </c>
      <c r="W390" s="6">
        <v>0</v>
      </c>
      <c r="X390" s="6">
        <v>0</v>
      </c>
      <c r="Y390" s="6">
        <v>0</v>
      </c>
      <c r="Z390" s="6">
        <v>0</v>
      </c>
      <c r="AA390" s="6">
        <v>0</v>
      </c>
      <c r="AB390" s="6">
        <v>0</v>
      </c>
      <c r="AC390" s="7">
        <v>0</v>
      </c>
      <c r="AD390" s="7">
        <v>24</v>
      </c>
      <c r="AE390" s="7">
        <v>0</v>
      </c>
      <c r="AF390" s="7">
        <v>0</v>
      </c>
      <c r="AG390" s="7">
        <v>0</v>
      </c>
      <c r="AH390" s="7">
        <v>0</v>
      </c>
      <c r="AI390" s="7">
        <v>6.0000000000000001E-3</v>
      </c>
      <c r="AJ390" s="7">
        <v>0</v>
      </c>
      <c r="AK390" s="7">
        <v>20006</v>
      </c>
      <c r="AL390" s="6">
        <v>1</v>
      </c>
      <c r="AM390" s="7">
        <v>1500</v>
      </c>
      <c r="AN390" s="6" t="s">
        <v>48</v>
      </c>
      <c r="AO390" s="6" t="s">
        <v>734</v>
      </c>
    </row>
    <row r="391" spans="1:41" ht="16.5">
      <c r="A391" s="6">
        <v>31</v>
      </c>
      <c r="B391" s="22" t="s">
        <v>1151</v>
      </c>
      <c r="C391" s="22" t="s">
        <v>164</v>
      </c>
      <c r="D391" s="8" t="s">
        <v>114</v>
      </c>
      <c r="E391" s="14">
        <v>11011</v>
      </c>
      <c r="F391" s="65">
        <v>2000</v>
      </c>
      <c r="G391" s="6">
        <v>300</v>
      </c>
      <c r="H391" s="6">
        <v>50</v>
      </c>
      <c r="I391" s="8" t="s">
        <v>720</v>
      </c>
      <c r="J391" s="6">
        <v>2</v>
      </c>
      <c r="K391" s="6">
        <v>6</v>
      </c>
      <c r="L391" s="6">
        <v>20</v>
      </c>
      <c r="M391" s="6">
        <v>3000</v>
      </c>
      <c r="N391" s="6">
        <v>0</v>
      </c>
      <c r="O391" s="6">
        <v>0</v>
      </c>
      <c r="P391" s="6">
        <v>0</v>
      </c>
      <c r="Q391" s="6">
        <v>0</v>
      </c>
      <c r="R391" s="6">
        <v>0</v>
      </c>
      <c r="S391" s="6">
        <v>0</v>
      </c>
      <c r="T391" s="6">
        <v>0</v>
      </c>
      <c r="U391" s="6">
        <v>150</v>
      </c>
      <c r="V391" s="6">
        <v>0</v>
      </c>
      <c r="W391" s="6">
        <v>0</v>
      </c>
      <c r="X391" s="6">
        <v>0</v>
      </c>
      <c r="Y391" s="6">
        <v>0</v>
      </c>
      <c r="Z391" s="6">
        <v>0</v>
      </c>
      <c r="AA391" s="6">
        <v>0</v>
      </c>
      <c r="AB391" s="6">
        <v>0</v>
      </c>
      <c r="AC391" s="7">
        <v>600</v>
      </c>
      <c r="AD391" s="7">
        <v>0</v>
      </c>
      <c r="AE391" s="7">
        <v>0</v>
      </c>
      <c r="AF391" s="7">
        <v>0</v>
      </c>
      <c r="AG391" s="7">
        <v>3.0000000000000001E-3</v>
      </c>
      <c r="AH391" s="7">
        <v>0</v>
      </c>
      <c r="AI391" s="7">
        <v>0</v>
      </c>
      <c r="AJ391" s="7">
        <v>0</v>
      </c>
      <c r="AK391" s="7">
        <v>20006</v>
      </c>
      <c r="AL391" s="6">
        <v>3</v>
      </c>
      <c r="AM391" s="7">
        <v>1500</v>
      </c>
      <c r="AN391" s="6" t="s">
        <v>48</v>
      </c>
      <c r="AO391" s="6" t="s">
        <v>735</v>
      </c>
    </row>
    <row r="392" spans="1:41" ht="16.5">
      <c r="A392" s="6">
        <v>2031</v>
      </c>
      <c r="B392" s="22" t="s">
        <v>1152</v>
      </c>
      <c r="C392" s="22" t="s">
        <v>164</v>
      </c>
      <c r="D392" s="8" t="s">
        <v>114</v>
      </c>
      <c r="E392" s="14">
        <v>11011</v>
      </c>
      <c r="F392" s="65">
        <v>2000</v>
      </c>
      <c r="G392" s="6">
        <v>300</v>
      </c>
      <c r="H392" s="6">
        <v>50</v>
      </c>
      <c r="I392" s="8" t="s">
        <v>720</v>
      </c>
      <c r="J392" s="6">
        <v>2</v>
      </c>
      <c r="K392" s="6">
        <v>6</v>
      </c>
      <c r="L392" s="6">
        <v>20</v>
      </c>
      <c r="M392" s="6">
        <v>3000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150</v>
      </c>
      <c r="V392" s="6">
        <v>0</v>
      </c>
      <c r="W392" s="6">
        <v>0</v>
      </c>
      <c r="X392" s="6">
        <v>0</v>
      </c>
      <c r="Y392" s="6">
        <v>0</v>
      </c>
      <c r="Z392" s="6">
        <v>0</v>
      </c>
      <c r="AA392" s="6">
        <v>0</v>
      </c>
      <c r="AB392" s="6">
        <v>0</v>
      </c>
      <c r="AC392" s="7">
        <v>600</v>
      </c>
      <c r="AD392" s="7">
        <v>0</v>
      </c>
      <c r="AE392" s="7">
        <v>0</v>
      </c>
      <c r="AF392" s="7">
        <v>0</v>
      </c>
      <c r="AG392" s="7">
        <v>3.0000000000000001E-3</v>
      </c>
      <c r="AH392" s="7">
        <v>0</v>
      </c>
      <c r="AI392" s="7">
        <v>0</v>
      </c>
      <c r="AJ392" s="7">
        <v>0</v>
      </c>
      <c r="AK392" s="7">
        <v>20006</v>
      </c>
      <c r="AL392" s="6">
        <v>3</v>
      </c>
      <c r="AM392" s="7">
        <v>1500</v>
      </c>
      <c r="AN392" s="6" t="s">
        <v>48</v>
      </c>
      <c r="AO392" s="6" t="s">
        <v>735</v>
      </c>
    </row>
    <row r="393" spans="1:41" ht="16.5">
      <c r="A393" s="6">
        <v>20311</v>
      </c>
      <c r="B393" s="22" t="s">
        <v>1153</v>
      </c>
      <c r="C393" s="22" t="s">
        <v>164</v>
      </c>
      <c r="D393" s="8" t="s">
        <v>114</v>
      </c>
      <c r="E393" s="14">
        <v>11011</v>
      </c>
      <c r="F393" s="65">
        <v>2000</v>
      </c>
      <c r="G393" s="6">
        <v>300</v>
      </c>
      <c r="H393" s="6">
        <v>50</v>
      </c>
      <c r="I393" s="8" t="s">
        <v>720</v>
      </c>
      <c r="J393" s="6">
        <v>2</v>
      </c>
      <c r="K393" s="6">
        <v>6</v>
      </c>
      <c r="L393" s="6">
        <v>20</v>
      </c>
      <c r="M393" s="6">
        <v>3000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6">
        <v>0</v>
      </c>
      <c r="U393" s="6">
        <v>150</v>
      </c>
      <c r="V393" s="6">
        <v>0</v>
      </c>
      <c r="W393" s="6">
        <v>0</v>
      </c>
      <c r="X393" s="6">
        <v>0</v>
      </c>
      <c r="Y393" s="6">
        <v>0</v>
      </c>
      <c r="Z393" s="6">
        <v>0</v>
      </c>
      <c r="AA393" s="6">
        <v>0</v>
      </c>
      <c r="AB393" s="6">
        <v>0</v>
      </c>
      <c r="AC393" s="7">
        <v>600</v>
      </c>
      <c r="AD393" s="7">
        <v>0</v>
      </c>
      <c r="AE393" s="7">
        <v>0</v>
      </c>
      <c r="AF393" s="7">
        <v>0</v>
      </c>
      <c r="AG393" s="7">
        <v>3.0000000000000001E-3</v>
      </c>
      <c r="AH393" s="7">
        <v>0</v>
      </c>
      <c r="AI393" s="7">
        <v>0</v>
      </c>
      <c r="AJ393" s="7">
        <v>0</v>
      </c>
      <c r="AK393" s="7">
        <v>20006</v>
      </c>
      <c r="AL393" s="6">
        <v>3</v>
      </c>
      <c r="AM393" s="7">
        <v>1500</v>
      </c>
      <c r="AN393" s="6" t="s">
        <v>48</v>
      </c>
      <c r="AO393" s="6" t="s">
        <v>735</v>
      </c>
    </row>
    <row r="394" spans="1:41" ht="16.5">
      <c r="A394" s="6">
        <v>20312</v>
      </c>
      <c r="B394" s="22" t="s">
        <v>1154</v>
      </c>
      <c r="C394" s="22" t="s">
        <v>164</v>
      </c>
      <c r="D394" s="8" t="s">
        <v>114</v>
      </c>
      <c r="E394" s="14">
        <v>11011</v>
      </c>
      <c r="F394" s="65">
        <v>2000</v>
      </c>
      <c r="G394" s="6">
        <v>300</v>
      </c>
      <c r="H394" s="6">
        <v>50</v>
      </c>
      <c r="I394" s="8" t="s">
        <v>720</v>
      </c>
      <c r="J394" s="6">
        <v>2</v>
      </c>
      <c r="K394" s="6">
        <v>6</v>
      </c>
      <c r="L394" s="6">
        <v>20</v>
      </c>
      <c r="M394" s="6">
        <v>3000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150</v>
      </c>
      <c r="V394" s="6">
        <v>0</v>
      </c>
      <c r="W394" s="6">
        <v>0</v>
      </c>
      <c r="X394" s="6">
        <v>0</v>
      </c>
      <c r="Y394" s="6">
        <v>0</v>
      </c>
      <c r="Z394" s="6">
        <v>0</v>
      </c>
      <c r="AA394" s="6">
        <v>0</v>
      </c>
      <c r="AB394" s="6">
        <v>0</v>
      </c>
      <c r="AC394" s="7">
        <v>600</v>
      </c>
      <c r="AD394" s="7">
        <v>0</v>
      </c>
      <c r="AE394" s="7">
        <v>0</v>
      </c>
      <c r="AF394" s="7">
        <v>0</v>
      </c>
      <c r="AG394" s="7">
        <v>3.0000000000000001E-3</v>
      </c>
      <c r="AH394" s="7">
        <v>0</v>
      </c>
      <c r="AI394" s="7">
        <v>0</v>
      </c>
      <c r="AJ394" s="7">
        <v>0</v>
      </c>
      <c r="AK394" s="7">
        <v>20006</v>
      </c>
      <c r="AL394" s="6">
        <v>3</v>
      </c>
      <c r="AM394" s="7">
        <v>1500</v>
      </c>
      <c r="AN394" s="6" t="s">
        <v>48</v>
      </c>
      <c r="AO394" s="6" t="s">
        <v>735</v>
      </c>
    </row>
    <row r="395" spans="1:41" ht="16.5">
      <c r="A395" s="6">
        <v>20313</v>
      </c>
      <c r="B395" s="22" t="s">
        <v>1155</v>
      </c>
      <c r="C395" s="22" t="s">
        <v>164</v>
      </c>
      <c r="D395" s="8" t="s">
        <v>114</v>
      </c>
      <c r="E395" s="14">
        <v>11011</v>
      </c>
      <c r="F395" s="65">
        <v>2000</v>
      </c>
      <c r="G395" s="6">
        <v>300</v>
      </c>
      <c r="H395" s="6">
        <v>50</v>
      </c>
      <c r="I395" s="8" t="s">
        <v>720</v>
      </c>
      <c r="J395" s="6">
        <v>2</v>
      </c>
      <c r="K395" s="6">
        <v>6</v>
      </c>
      <c r="L395" s="6">
        <v>20</v>
      </c>
      <c r="M395" s="6">
        <v>3000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6">
        <v>0</v>
      </c>
      <c r="U395" s="6">
        <v>150</v>
      </c>
      <c r="V395" s="6">
        <v>0</v>
      </c>
      <c r="W395" s="6">
        <v>0</v>
      </c>
      <c r="X395" s="6">
        <v>0</v>
      </c>
      <c r="Y395" s="6">
        <v>0</v>
      </c>
      <c r="Z395" s="6">
        <v>0</v>
      </c>
      <c r="AA395" s="6">
        <v>0</v>
      </c>
      <c r="AB395" s="6">
        <v>0</v>
      </c>
      <c r="AC395" s="7">
        <v>600</v>
      </c>
      <c r="AD395" s="7">
        <v>0</v>
      </c>
      <c r="AE395" s="7">
        <v>0</v>
      </c>
      <c r="AF395" s="7">
        <v>0</v>
      </c>
      <c r="AG395" s="7">
        <v>3.0000000000000001E-3</v>
      </c>
      <c r="AH395" s="7">
        <v>0</v>
      </c>
      <c r="AI395" s="7">
        <v>0</v>
      </c>
      <c r="AJ395" s="7">
        <v>0</v>
      </c>
      <c r="AK395" s="7">
        <v>20006</v>
      </c>
      <c r="AL395" s="6">
        <v>3</v>
      </c>
      <c r="AM395" s="7">
        <v>1500</v>
      </c>
      <c r="AN395" s="6" t="s">
        <v>48</v>
      </c>
      <c r="AO395" s="6" t="s">
        <v>735</v>
      </c>
    </row>
    <row r="396" spans="1:41" ht="16.5">
      <c r="A396" s="6">
        <v>20314</v>
      </c>
      <c r="B396" s="22" t="s">
        <v>1156</v>
      </c>
      <c r="C396" s="22" t="s">
        <v>164</v>
      </c>
      <c r="D396" s="8" t="s">
        <v>114</v>
      </c>
      <c r="E396" s="14">
        <v>11011</v>
      </c>
      <c r="F396" s="65">
        <v>2000</v>
      </c>
      <c r="G396" s="6">
        <v>300</v>
      </c>
      <c r="H396" s="6">
        <v>50</v>
      </c>
      <c r="I396" s="8" t="s">
        <v>720</v>
      </c>
      <c r="J396" s="6">
        <v>2</v>
      </c>
      <c r="K396" s="6">
        <v>6</v>
      </c>
      <c r="L396" s="6">
        <v>20</v>
      </c>
      <c r="M396" s="6">
        <v>3000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150</v>
      </c>
      <c r="V396" s="6">
        <v>0</v>
      </c>
      <c r="W396" s="6">
        <v>0</v>
      </c>
      <c r="X396" s="6">
        <v>0</v>
      </c>
      <c r="Y396" s="6">
        <v>0</v>
      </c>
      <c r="Z396" s="6">
        <v>0</v>
      </c>
      <c r="AA396" s="6">
        <v>0</v>
      </c>
      <c r="AB396" s="6">
        <v>0</v>
      </c>
      <c r="AC396" s="7">
        <v>600</v>
      </c>
      <c r="AD396" s="7">
        <v>0</v>
      </c>
      <c r="AE396" s="7">
        <v>0</v>
      </c>
      <c r="AF396" s="7">
        <v>0</v>
      </c>
      <c r="AG396" s="7">
        <v>3.0000000000000001E-3</v>
      </c>
      <c r="AH396" s="7">
        <v>0</v>
      </c>
      <c r="AI396" s="7">
        <v>0</v>
      </c>
      <c r="AJ396" s="7">
        <v>0</v>
      </c>
      <c r="AK396" s="7">
        <v>20006</v>
      </c>
      <c r="AL396" s="6">
        <v>3</v>
      </c>
      <c r="AM396" s="7">
        <v>1500</v>
      </c>
      <c r="AN396" s="6" t="s">
        <v>48</v>
      </c>
      <c r="AO396" s="6" t="s">
        <v>735</v>
      </c>
    </row>
    <row r="397" spans="1:41" ht="16.5">
      <c r="A397" s="6">
        <v>20315</v>
      </c>
      <c r="B397" s="22" t="s">
        <v>1157</v>
      </c>
      <c r="C397" s="22" t="s">
        <v>164</v>
      </c>
      <c r="D397" s="8" t="s">
        <v>114</v>
      </c>
      <c r="E397" s="14">
        <v>11011</v>
      </c>
      <c r="F397" s="65">
        <v>2000</v>
      </c>
      <c r="G397" s="6">
        <v>300</v>
      </c>
      <c r="H397" s="6">
        <v>50</v>
      </c>
      <c r="I397" s="8" t="s">
        <v>720</v>
      </c>
      <c r="J397" s="6">
        <v>2</v>
      </c>
      <c r="K397" s="6">
        <v>6</v>
      </c>
      <c r="L397" s="6">
        <v>20</v>
      </c>
      <c r="M397" s="6">
        <v>3000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6">
        <v>0</v>
      </c>
      <c r="U397" s="6">
        <v>150</v>
      </c>
      <c r="V397" s="6">
        <v>0</v>
      </c>
      <c r="W397" s="6">
        <v>0</v>
      </c>
      <c r="X397" s="6">
        <v>0</v>
      </c>
      <c r="Y397" s="6">
        <v>0</v>
      </c>
      <c r="Z397" s="6">
        <v>0</v>
      </c>
      <c r="AA397" s="6">
        <v>0</v>
      </c>
      <c r="AB397" s="6">
        <v>0</v>
      </c>
      <c r="AC397" s="7">
        <v>600</v>
      </c>
      <c r="AD397" s="7">
        <v>0</v>
      </c>
      <c r="AE397" s="7">
        <v>0</v>
      </c>
      <c r="AF397" s="7">
        <v>0</v>
      </c>
      <c r="AG397" s="7">
        <v>3.0000000000000001E-3</v>
      </c>
      <c r="AH397" s="7">
        <v>0</v>
      </c>
      <c r="AI397" s="7">
        <v>0</v>
      </c>
      <c r="AJ397" s="7">
        <v>0</v>
      </c>
      <c r="AK397" s="7">
        <v>20006</v>
      </c>
      <c r="AL397" s="6">
        <v>3</v>
      </c>
      <c r="AM397" s="7">
        <v>1500</v>
      </c>
      <c r="AN397" s="6" t="s">
        <v>48</v>
      </c>
      <c r="AO397" s="6" t="s">
        <v>735</v>
      </c>
    </row>
    <row r="398" spans="1:41" ht="16.5">
      <c r="A398" s="6">
        <v>20316</v>
      </c>
      <c r="B398" s="22" t="s">
        <v>1158</v>
      </c>
      <c r="C398" s="22" t="s">
        <v>164</v>
      </c>
      <c r="D398" s="8" t="s">
        <v>114</v>
      </c>
      <c r="E398" s="14">
        <v>11011</v>
      </c>
      <c r="F398" s="65">
        <v>2000</v>
      </c>
      <c r="G398" s="6">
        <v>300</v>
      </c>
      <c r="H398" s="6">
        <v>50</v>
      </c>
      <c r="I398" s="8" t="s">
        <v>720</v>
      </c>
      <c r="J398" s="6">
        <v>2</v>
      </c>
      <c r="K398" s="6">
        <v>6</v>
      </c>
      <c r="L398" s="6">
        <v>20</v>
      </c>
      <c r="M398" s="6">
        <v>3000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150</v>
      </c>
      <c r="V398" s="6">
        <v>0</v>
      </c>
      <c r="W398" s="6">
        <v>0</v>
      </c>
      <c r="X398" s="6">
        <v>0</v>
      </c>
      <c r="Y398" s="6">
        <v>0</v>
      </c>
      <c r="Z398" s="6">
        <v>0</v>
      </c>
      <c r="AA398" s="6">
        <v>0</v>
      </c>
      <c r="AB398" s="6">
        <v>0</v>
      </c>
      <c r="AC398" s="7">
        <v>600</v>
      </c>
      <c r="AD398" s="7">
        <v>0</v>
      </c>
      <c r="AE398" s="7">
        <v>0</v>
      </c>
      <c r="AF398" s="7">
        <v>0</v>
      </c>
      <c r="AG398" s="7">
        <v>3.0000000000000001E-3</v>
      </c>
      <c r="AH398" s="7">
        <v>0</v>
      </c>
      <c r="AI398" s="7">
        <v>0</v>
      </c>
      <c r="AJ398" s="7">
        <v>0</v>
      </c>
      <c r="AK398" s="7">
        <v>20006</v>
      </c>
      <c r="AL398" s="6">
        <v>3</v>
      </c>
      <c r="AM398" s="7">
        <v>1500</v>
      </c>
      <c r="AN398" s="6" t="s">
        <v>48</v>
      </c>
      <c r="AO398" s="6" t="s">
        <v>735</v>
      </c>
    </row>
    <row r="399" spans="1:41" ht="16.5">
      <c r="A399" s="6">
        <v>20317</v>
      </c>
      <c r="B399" s="22" t="s">
        <v>1159</v>
      </c>
      <c r="C399" s="22" t="s">
        <v>164</v>
      </c>
      <c r="D399" s="8" t="s">
        <v>114</v>
      </c>
      <c r="E399" s="14">
        <v>11011</v>
      </c>
      <c r="F399" s="65">
        <v>2000</v>
      </c>
      <c r="G399" s="6">
        <v>300</v>
      </c>
      <c r="H399" s="6">
        <v>50</v>
      </c>
      <c r="I399" s="8" t="s">
        <v>720</v>
      </c>
      <c r="J399" s="6">
        <v>2</v>
      </c>
      <c r="K399" s="6">
        <v>6</v>
      </c>
      <c r="L399" s="6">
        <v>20</v>
      </c>
      <c r="M399" s="6">
        <v>3000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6">
        <v>0</v>
      </c>
      <c r="U399" s="6">
        <v>150</v>
      </c>
      <c r="V399" s="6">
        <v>0</v>
      </c>
      <c r="W399" s="6">
        <v>0</v>
      </c>
      <c r="X399" s="6">
        <v>0</v>
      </c>
      <c r="Y399" s="6">
        <v>0</v>
      </c>
      <c r="Z399" s="6">
        <v>0</v>
      </c>
      <c r="AA399" s="6">
        <v>0</v>
      </c>
      <c r="AB399" s="6">
        <v>0</v>
      </c>
      <c r="AC399" s="7">
        <v>600</v>
      </c>
      <c r="AD399" s="7">
        <v>0</v>
      </c>
      <c r="AE399" s="7">
        <v>0</v>
      </c>
      <c r="AF399" s="7">
        <v>0</v>
      </c>
      <c r="AG399" s="7">
        <v>3.0000000000000001E-3</v>
      </c>
      <c r="AH399" s="7">
        <v>0</v>
      </c>
      <c r="AI399" s="7">
        <v>0</v>
      </c>
      <c r="AJ399" s="7">
        <v>0</v>
      </c>
      <c r="AK399" s="7">
        <v>20006</v>
      </c>
      <c r="AL399" s="6">
        <v>3</v>
      </c>
      <c r="AM399" s="7">
        <v>1500</v>
      </c>
      <c r="AN399" s="6" t="s">
        <v>48</v>
      </c>
      <c r="AO399" s="6" t="s">
        <v>735</v>
      </c>
    </row>
    <row r="400" spans="1:41" ht="16.5">
      <c r="A400" s="6">
        <v>20318</v>
      </c>
      <c r="B400" s="22" t="s">
        <v>1160</v>
      </c>
      <c r="C400" s="22" t="s">
        <v>164</v>
      </c>
      <c r="D400" s="8" t="s">
        <v>114</v>
      </c>
      <c r="E400" s="14">
        <v>11011</v>
      </c>
      <c r="F400" s="65">
        <v>2000</v>
      </c>
      <c r="G400" s="6">
        <v>300</v>
      </c>
      <c r="H400" s="6">
        <v>50</v>
      </c>
      <c r="I400" s="8" t="s">
        <v>720</v>
      </c>
      <c r="J400" s="6">
        <v>2</v>
      </c>
      <c r="K400" s="6">
        <v>6</v>
      </c>
      <c r="L400" s="6">
        <v>20</v>
      </c>
      <c r="M400" s="6">
        <v>3000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150</v>
      </c>
      <c r="V400" s="6">
        <v>0</v>
      </c>
      <c r="W400" s="6">
        <v>0</v>
      </c>
      <c r="X400" s="6">
        <v>0</v>
      </c>
      <c r="Y400" s="6">
        <v>0</v>
      </c>
      <c r="Z400" s="6">
        <v>0</v>
      </c>
      <c r="AA400" s="6">
        <v>0</v>
      </c>
      <c r="AB400" s="6">
        <v>0</v>
      </c>
      <c r="AC400" s="7">
        <v>600</v>
      </c>
      <c r="AD400" s="7">
        <v>0</v>
      </c>
      <c r="AE400" s="7">
        <v>0</v>
      </c>
      <c r="AF400" s="7">
        <v>0</v>
      </c>
      <c r="AG400" s="7">
        <v>3.0000000000000001E-3</v>
      </c>
      <c r="AH400" s="7">
        <v>0</v>
      </c>
      <c r="AI400" s="7">
        <v>0</v>
      </c>
      <c r="AJ400" s="7">
        <v>0</v>
      </c>
      <c r="AK400" s="7">
        <v>20006</v>
      </c>
      <c r="AL400" s="6">
        <v>3</v>
      </c>
      <c r="AM400" s="7">
        <v>1500</v>
      </c>
      <c r="AN400" s="6" t="s">
        <v>48</v>
      </c>
      <c r="AO400" s="6" t="s">
        <v>735</v>
      </c>
    </row>
    <row r="401" spans="1:41" ht="16.5">
      <c r="A401" s="6">
        <v>20319</v>
      </c>
      <c r="B401" s="22" t="s">
        <v>1161</v>
      </c>
      <c r="C401" s="22" t="s">
        <v>164</v>
      </c>
      <c r="D401" s="8" t="s">
        <v>114</v>
      </c>
      <c r="E401" s="14">
        <v>11011</v>
      </c>
      <c r="F401" s="65">
        <v>2000</v>
      </c>
      <c r="G401" s="6">
        <v>300</v>
      </c>
      <c r="H401" s="6">
        <v>50</v>
      </c>
      <c r="I401" s="8" t="s">
        <v>720</v>
      </c>
      <c r="J401" s="6">
        <v>2</v>
      </c>
      <c r="K401" s="6">
        <v>6</v>
      </c>
      <c r="L401" s="6">
        <v>20</v>
      </c>
      <c r="M401" s="6">
        <v>3000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6">
        <v>0</v>
      </c>
      <c r="U401" s="6">
        <v>150</v>
      </c>
      <c r="V401" s="6">
        <v>0</v>
      </c>
      <c r="W401" s="6">
        <v>0</v>
      </c>
      <c r="X401" s="6">
        <v>0</v>
      </c>
      <c r="Y401" s="6">
        <v>0</v>
      </c>
      <c r="Z401" s="6">
        <v>0</v>
      </c>
      <c r="AA401" s="6">
        <v>0</v>
      </c>
      <c r="AB401" s="6">
        <v>0</v>
      </c>
      <c r="AC401" s="7">
        <v>600</v>
      </c>
      <c r="AD401" s="7">
        <v>0</v>
      </c>
      <c r="AE401" s="7">
        <v>0</v>
      </c>
      <c r="AF401" s="7">
        <v>0</v>
      </c>
      <c r="AG401" s="7">
        <v>3.0000000000000001E-3</v>
      </c>
      <c r="AH401" s="7">
        <v>0</v>
      </c>
      <c r="AI401" s="7">
        <v>0</v>
      </c>
      <c r="AJ401" s="7">
        <v>0</v>
      </c>
      <c r="AK401" s="7">
        <v>20006</v>
      </c>
      <c r="AL401" s="6">
        <v>3</v>
      </c>
      <c r="AM401" s="7">
        <v>1500</v>
      </c>
      <c r="AN401" s="6" t="s">
        <v>48</v>
      </c>
      <c r="AO401" s="6" t="s">
        <v>735</v>
      </c>
    </row>
    <row r="402" spans="1:41" ht="16.5">
      <c r="A402" s="6">
        <v>20320</v>
      </c>
      <c r="B402" s="22" t="s">
        <v>1162</v>
      </c>
      <c r="C402" s="22" t="s">
        <v>164</v>
      </c>
      <c r="D402" s="8" t="s">
        <v>114</v>
      </c>
      <c r="E402" s="14">
        <v>11011</v>
      </c>
      <c r="F402" s="65">
        <v>2000</v>
      </c>
      <c r="G402" s="6">
        <v>300</v>
      </c>
      <c r="H402" s="6">
        <v>50</v>
      </c>
      <c r="I402" s="8" t="s">
        <v>720</v>
      </c>
      <c r="J402" s="6">
        <v>2</v>
      </c>
      <c r="K402" s="6">
        <v>6</v>
      </c>
      <c r="L402" s="6">
        <v>20</v>
      </c>
      <c r="M402" s="6">
        <v>3000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150</v>
      </c>
      <c r="V402" s="6">
        <v>0</v>
      </c>
      <c r="W402" s="6">
        <v>0</v>
      </c>
      <c r="X402" s="6">
        <v>0</v>
      </c>
      <c r="Y402" s="6">
        <v>0</v>
      </c>
      <c r="Z402" s="6">
        <v>0</v>
      </c>
      <c r="AA402" s="6">
        <v>0</v>
      </c>
      <c r="AB402" s="6">
        <v>0</v>
      </c>
      <c r="AC402" s="7">
        <v>600</v>
      </c>
      <c r="AD402" s="7">
        <v>0</v>
      </c>
      <c r="AE402" s="7">
        <v>0</v>
      </c>
      <c r="AF402" s="7">
        <v>0</v>
      </c>
      <c r="AG402" s="7">
        <v>3.0000000000000001E-3</v>
      </c>
      <c r="AH402" s="7">
        <v>0</v>
      </c>
      <c r="AI402" s="7">
        <v>0</v>
      </c>
      <c r="AJ402" s="7">
        <v>0</v>
      </c>
      <c r="AK402" s="7">
        <v>20006</v>
      </c>
      <c r="AL402" s="6">
        <v>3</v>
      </c>
      <c r="AM402" s="7">
        <v>1500</v>
      </c>
      <c r="AN402" s="6" t="s">
        <v>48</v>
      </c>
      <c r="AO402" s="6" t="s">
        <v>735</v>
      </c>
    </row>
    <row r="403" spans="1:41" ht="16.5">
      <c r="A403" s="6">
        <v>203211</v>
      </c>
      <c r="B403" s="22" t="s">
        <v>1163</v>
      </c>
      <c r="C403" s="22" t="s">
        <v>164</v>
      </c>
      <c r="D403" s="8" t="s">
        <v>114</v>
      </c>
      <c r="E403" s="14">
        <v>11011</v>
      </c>
      <c r="F403" s="65">
        <v>2000</v>
      </c>
      <c r="G403" s="6">
        <v>300</v>
      </c>
      <c r="H403" s="6">
        <v>50</v>
      </c>
      <c r="I403" s="8" t="s">
        <v>720</v>
      </c>
      <c r="J403" s="6">
        <v>2</v>
      </c>
      <c r="K403" s="6">
        <v>6</v>
      </c>
      <c r="L403" s="6">
        <v>20</v>
      </c>
      <c r="M403" s="6">
        <v>3000</v>
      </c>
      <c r="N403" s="6">
        <v>0</v>
      </c>
      <c r="O403" s="6">
        <v>0</v>
      </c>
      <c r="P403" s="6">
        <v>0</v>
      </c>
      <c r="Q403" s="6">
        <v>0</v>
      </c>
      <c r="R403" s="6">
        <v>0</v>
      </c>
      <c r="S403" s="6">
        <v>0</v>
      </c>
      <c r="T403" s="6">
        <v>0</v>
      </c>
      <c r="U403" s="6">
        <v>150</v>
      </c>
      <c r="V403" s="6">
        <v>0</v>
      </c>
      <c r="W403" s="6">
        <v>0</v>
      </c>
      <c r="X403" s="6">
        <v>0</v>
      </c>
      <c r="Y403" s="6">
        <v>0</v>
      </c>
      <c r="Z403" s="6">
        <v>0</v>
      </c>
      <c r="AA403" s="6">
        <v>0</v>
      </c>
      <c r="AB403" s="6">
        <v>0</v>
      </c>
      <c r="AC403" s="7">
        <v>600</v>
      </c>
      <c r="AD403" s="7">
        <v>0</v>
      </c>
      <c r="AE403" s="7">
        <v>0</v>
      </c>
      <c r="AF403" s="7">
        <v>0</v>
      </c>
      <c r="AG403" s="7">
        <v>3.0000000000000001E-3</v>
      </c>
      <c r="AH403" s="7">
        <v>0</v>
      </c>
      <c r="AI403" s="7">
        <v>0</v>
      </c>
      <c r="AJ403" s="7">
        <v>0</v>
      </c>
      <c r="AK403" s="7">
        <v>20006</v>
      </c>
      <c r="AL403" s="6">
        <v>3</v>
      </c>
      <c r="AM403" s="7">
        <v>1500</v>
      </c>
      <c r="AN403" s="6" t="s">
        <v>48</v>
      </c>
      <c r="AO403" s="6" t="s">
        <v>735</v>
      </c>
    </row>
    <row r="404" spans="1:41" ht="16.5">
      <c r="A404" s="6">
        <v>203212</v>
      </c>
      <c r="B404" s="22" t="s">
        <v>1164</v>
      </c>
      <c r="C404" s="22" t="s">
        <v>164</v>
      </c>
      <c r="D404" s="8" t="s">
        <v>114</v>
      </c>
      <c r="E404" s="14">
        <v>11011</v>
      </c>
      <c r="F404" s="65">
        <v>2000</v>
      </c>
      <c r="G404" s="6">
        <v>300</v>
      </c>
      <c r="H404" s="6">
        <v>50</v>
      </c>
      <c r="I404" s="8" t="s">
        <v>720</v>
      </c>
      <c r="J404" s="6">
        <v>2</v>
      </c>
      <c r="K404" s="6">
        <v>6</v>
      </c>
      <c r="L404" s="6">
        <v>20</v>
      </c>
      <c r="M404" s="6">
        <v>3000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150</v>
      </c>
      <c r="V404" s="6">
        <v>0</v>
      </c>
      <c r="W404" s="6">
        <v>0</v>
      </c>
      <c r="X404" s="6">
        <v>0</v>
      </c>
      <c r="Y404" s="6">
        <v>0</v>
      </c>
      <c r="Z404" s="6">
        <v>0</v>
      </c>
      <c r="AA404" s="6">
        <v>0</v>
      </c>
      <c r="AB404" s="6">
        <v>0</v>
      </c>
      <c r="AC404" s="7">
        <v>600</v>
      </c>
      <c r="AD404" s="7">
        <v>0</v>
      </c>
      <c r="AE404" s="7">
        <v>0</v>
      </c>
      <c r="AF404" s="7">
        <v>0</v>
      </c>
      <c r="AG404" s="7">
        <v>3.0000000000000001E-3</v>
      </c>
      <c r="AH404" s="7">
        <v>0</v>
      </c>
      <c r="AI404" s="7">
        <v>0</v>
      </c>
      <c r="AJ404" s="7">
        <v>0</v>
      </c>
      <c r="AK404" s="7">
        <v>20006</v>
      </c>
      <c r="AL404" s="6">
        <v>3</v>
      </c>
      <c r="AM404" s="7">
        <v>1500</v>
      </c>
      <c r="AN404" s="6" t="s">
        <v>48</v>
      </c>
      <c r="AO404" s="6" t="s">
        <v>735</v>
      </c>
    </row>
    <row r="405" spans="1:41" ht="16.5">
      <c r="A405" s="6">
        <v>203213</v>
      </c>
      <c r="B405" s="22" t="s">
        <v>1165</v>
      </c>
      <c r="C405" s="22" t="s">
        <v>164</v>
      </c>
      <c r="D405" s="8" t="s">
        <v>114</v>
      </c>
      <c r="E405" s="14">
        <v>11011</v>
      </c>
      <c r="F405" s="65">
        <v>2000</v>
      </c>
      <c r="G405" s="6">
        <v>300</v>
      </c>
      <c r="H405" s="6">
        <v>50</v>
      </c>
      <c r="I405" s="8" t="s">
        <v>720</v>
      </c>
      <c r="J405" s="6">
        <v>2</v>
      </c>
      <c r="K405" s="6">
        <v>6</v>
      </c>
      <c r="L405" s="6">
        <v>20</v>
      </c>
      <c r="M405" s="6">
        <v>3000</v>
      </c>
      <c r="N405" s="6">
        <v>0</v>
      </c>
      <c r="O405" s="6">
        <v>0</v>
      </c>
      <c r="P405" s="6">
        <v>0</v>
      </c>
      <c r="Q405" s="6">
        <v>0</v>
      </c>
      <c r="R405" s="6">
        <v>0</v>
      </c>
      <c r="S405" s="6">
        <v>0</v>
      </c>
      <c r="T405" s="6">
        <v>0</v>
      </c>
      <c r="U405" s="6">
        <v>150</v>
      </c>
      <c r="V405" s="6">
        <v>0</v>
      </c>
      <c r="W405" s="6">
        <v>0</v>
      </c>
      <c r="X405" s="6">
        <v>0</v>
      </c>
      <c r="Y405" s="6">
        <v>0</v>
      </c>
      <c r="Z405" s="6">
        <v>0</v>
      </c>
      <c r="AA405" s="6">
        <v>0</v>
      </c>
      <c r="AB405" s="6">
        <v>0</v>
      </c>
      <c r="AC405" s="7">
        <v>600</v>
      </c>
      <c r="AD405" s="7">
        <v>0</v>
      </c>
      <c r="AE405" s="7">
        <v>0</v>
      </c>
      <c r="AF405" s="7">
        <v>0</v>
      </c>
      <c r="AG405" s="7">
        <v>3.0000000000000001E-3</v>
      </c>
      <c r="AH405" s="7">
        <v>0</v>
      </c>
      <c r="AI405" s="7">
        <v>0</v>
      </c>
      <c r="AJ405" s="7">
        <v>0</v>
      </c>
      <c r="AK405" s="7">
        <v>20006</v>
      </c>
      <c r="AL405" s="6">
        <v>3</v>
      </c>
      <c r="AM405" s="7">
        <v>1500</v>
      </c>
      <c r="AN405" s="6" t="s">
        <v>48</v>
      </c>
      <c r="AO405" s="6" t="s">
        <v>735</v>
      </c>
    </row>
    <row r="406" spans="1:41" ht="16.5">
      <c r="A406" s="6">
        <v>32</v>
      </c>
      <c r="B406" s="22" t="s">
        <v>1166</v>
      </c>
      <c r="C406" s="22" t="s">
        <v>164</v>
      </c>
      <c r="D406" s="8" t="s">
        <v>115</v>
      </c>
      <c r="E406" s="14">
        <v>11012</v>
      </c>
      <c r="F406" s="65">
        <v>2000</v>
      </c>
      <c r="G406" s="6">
        <v>300</v>
      </c>
      <c r="H406" s="6">
        <v>50</v>
      </c>
      <c r="I406" s="8" t="s">
        <v>159</v>
      </c>
      <c r="J406" s="6">
        <v>2</v>
      </c>
      <c r="K406" s="6">
        <v>6</v>
      </c>
      <c r="L406" s="6">
        <v>20</v>
      </c>
      <c r="M406" s="6">
        <v>0</v>
      </c>
      <c r="N406" s="6">
        <v>0</v>
      </c>
      <c r="O406" s="6">
        <v>0</v>
      </c>
      <c r="P406" s="6">
        <v>60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v>0</v>
      </c>
      <c r="W406" s="6">
        <v>0</v>
      </c>
      <c r="X406" s="6">
        <v>3</v>
      </c>
      <c r="Y406" s="6">
        <v>0</v>
      </c>
      <c r="Z406" s="6">
        <v>0</v>
      </c>
      <c r="AA406" s="6">
        <v>0</v>
      </c>
      <c r="AB406" s="6">
        <v>0</v>
      </c>
      <c r="AC406" s="7">
        <v>0</v>
      </c>
      <c r="AD406" s="7">
        <v>0</v>
      </c>
      <c r="AE406" s="7">
        <v>0</v>
      </c>
      <c r="AF406" s="7">
        <v>12</v>
      </c>
      <c r="AG406" s="7">
        <v>0</v>
      </c>
      <c r="AH406" s="7">
        <v>3.0000000000000001E-3</v>
      </c>
      <c r="AI406" s="7">
        <v>0</v>
      </c>
      <c r="AJ406" s="7">
        <v>0</v>
      </c>
      <c r="AK406" s="7">
        <v>20006</v>
      </c>
      <c r="AL406" s="6">
        <v>4</v>
      </c>
      <c r="AM406" s="7">
        <v>1500</v>
      </c>
      <c r="AN406" s="6" t="s">
        <v>48</v>
      </c>
      <c r="AO406" s="6" t="s">
        <v>736</v>
      </c>
    </row>
    <row r="407" spans="1:41" ht="16.5">
      <c r="A407" s="6">
        <v>2032</v>
      </c>
      <c r="B407" s="22" t="s">
        <v>1167</v>
      </c>
      <c r="C407" s="22" t="s">
        <v>164</v>
      </c>
      <c r="D407" s="8" t="s">
        <v>115</v>
      </c>
      <c r="E407" s="14">
        <v>11012</v>
      </c>
      <c r="F407" s="65">
        <v>2000</v>
      </c>
      <c r="G407" s="6">
        <v>300</v>
      </c>
      <c r="H407" s="6">
        <v>50</v>
      </c>
      <c r="I407" s="8" t="s">
        <v>159</v>
      </c>
      <c r="J407" s="6">
        <v>2</v>
      </c>
      <c r="K407" s="6">
        <v>6</v>
      </c>
      <c r="L407" s="6">
        <v>20</v>
      </c>
      <c r="M407" s="6">
        <v>0</v>
      </c>
      <c r="N407" s="6">
        <v>0</v>
      </c>
      <c r="O407" s="6">
        <v>0</v>
      </c>
      <c r="P407" s="6">
        <v>60</v>
      </c>
      <c r="Q407" s="6">
        <v>0</v>
      </c>
      <c r="R407" s="6">
        <v>0</v>
      </c>
      <c r="S407" s="6">
        <v>0</v>
      </c>
      <c r="T407" s="6">
        <v>0</v>
      </c>
      <c r="U407" s="6">
        <v>0</v>
      </c>
      <c r="V407" s="6">
        <v>0</v>
      </c>
      <c r="W407" s="6">
        <v>0</v>
      </c>
      <c r="X407" s="6">
        <v>3</v>
      </c>
      <c r="Y407" s="6">
        <v>0</v>
      </c>
      <c r="Z407" s="6">
        <v>0</v>
      </c>
      <c r="AA407" s="6">
        <v>0</v>
      </c>
      <c r="AB407" s="6">
        <v>0</v>
      </c>
      <c r="AC407" s="7">
        <v>0</v>
      </c>
      <c r="AD407" s="7">
        <v>0</v>
      </c>
      <c r="AE407" s="7">
        <v>0</v>
      </c>
      <c r="AF407" s="7">
        <v>12</v>
      </c>
      <c r="AG407" s="7">
        <v>0</v>
      </c>
      <c r="AH407" s="7">
        <v>3.0000000000000001E-3</v>
      </c>
      <c r="AI407" s="7">
        <v>0</v>
      </c>
      <c r="AJ407" s="7">
        <v>0</v>
      </c>
      <c r="AK407" s="7">
        <v>20006</v>
      </c>
      <c r="AL407" s="6">
        <v>4</v>
      </c>
      <c r="AM407" s="7">
        <v>1500</v>
      </c>
      <c r="AN407" s="6" t="s">
        <v>48</v>
      </c>
      <c r="AO407" s="6" t="s">
        <v>736</v>
      </c>
    </row>
    <row r="408" spans="1:41" ht="16.5">
      <c r="A408" s="6">
        <v>20321</v>
      </c>
      <c r="B408" s="22" t="s">
        <v>1168</v>
      </c>
      <c r="C408" s="22" t="s">
        <v>164</v>
      </c>
      <c r="D408" s="8" t="s">
        <v>115</v>
      </c>
      <c r="E408" s="14">
        <v>11012</v>
      </c>
      <c r="F408" s="65">
        <v>2000</v>
      </c>
      <c r="G408" s="6">
        <v>300</v>
      </c>
      <c r="H408" s="6">
        <v>50</v>
      </c>
      <c r="I408" s="8" t="s">
        <v>159</v>
      </c>
      <c r="J408" s="6">
        <v>2</v>
      </c>
      <c r="K408" s="6">
        <v>6</v>
      </c>
      <c r="L408" s="6">
        <v>20</v>
      </c>
      <c r="M408" s="6">
        <v>0</v>
      </c>
      <c r="N408" s="6">
        <v>0</v>
      </c>
      <c r="O408" s="6">
        <v>0</v>
      </c>
      <c r="P408" s="6">
        <v>60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W408" s="6">
        <v>0</v>
      </c>
      <c r="X408" s="6">
        <v>3</v>
      </c>
      <c r="Y408" s="6">
        <v>0</v>
      </c>
      <c r="Z408" s="6">
        <v>0</v>
      </c>
      <c r="AA408" s="6">
        <v>0</v>
      </c>
      <c r="AB408" s="6">
        <v>0</v>
      </c>
      <c r="AC408" s="7">
        <v>0</v>
      </c>
      <c r="AD408" s="7">
        <v>0</v>
      </c>
      <c r="AE408" s="7">
        <v>0</v>
      </c>
      <c r="AF408" s="7">
        <v>12</v>
      </c>
      <c r="AG408" s="7">
        <v>0</v>
      </c>
      <c r="AH408" s="7">
        <v>3.0000000000000001E-3</v>
      </c>
      <c r="AI408" s="7">
        <v>0</v>
      </c>
      <c r="AJ408" s="7">
        <v>0</v>
      </c>
      <c r="AK408" s="7">
        <v>20006</v>
      </c>
      <c r="AL408" s="6">
        <v>4</v>
      </c>
      <c r="AM408" s="7">
        <v>1500</v>
      </c>
      <c r="AN408" s="6" t="s">
        <v>48</v>
      </c>
      <c r="AO408" s="6" t="s">
        <v>736</v>
      </c>
    </row>
    <row r="409" spans="1:41" ht="16.5">
      <c r="A409" s="6">
        <v>20322</v>
      </c>
      <c r="B409" s="22" t="s">
        <v>1169</v>
      </c>
      <c r="C409" s="22" t="s">
        <v>164</v>
      </c>
      <c r="D409" s="8" t="s">
        <v>115</v>
      </c>
      <c r="E409" s="14">
        <v>11012</v>
      </c>
      <c r="F409" s="65">
        <v>2000</v>
      </c>
      <c r="G409" s="6">
        <v>300</v>
      </c>
      <c r="H409" s="6">
        <v>50</v>
      </c>
      <c r="I409" s="8" t="s">
        <v>159</v>
      </c>
      <c r="J409" s="6">
        <v>2</v>
      </c>
      <c r="K409" s="6">
        <v>6</v>
      </c>
      <c r="L409" s="6">
        <v>20</v>
      </c>
      <c r="M409" s="6">
        <v>0</v>
      </c>
      <c r="N409" s="6">
        <v>0</v>
      </c>
      <c r="O409" s="6">
        <v>0</v>
      </c>
      <c r="P409" s="6">
        <v>60</v>
      </c>
      <c r="Q409" s="6">
        <v>0</v>
      </c>
      <c r="R409" s="6">
        <v>0</v>
      </c>
      <c r="S409" s="6">
        <v>0</v>
      </c>
      <c r="T409" s="6">
        <v>0</v>
      </c>
      <c r="U409" s="6">
        <v>0</v>
      </c>
      <c r="V409" s="6">
        <v>0</v>
      </c>
      <c r="W409" s="6">
        <v>0</v>
      </c>
      <c r="X409" s="6">
        <v>3</v>
      </c>
      <c r="Y409" s="6">
        <v>0</v>
      </c>
      <c r="Z409" s="6">
        <v>0</v>
      </c>
      <c r="AA409" s="6">
        <v>0</v>
      </c>
      <c r="AB409" s="6">
        <v>0</v>
      </c>
      <c r="AC409" s="7">
        <v>0</v>
      </c>
      <c r="AD409" s="7">
        <v>0</v>
      </c>
      <c r="AE409" s="7">
        <v>0</v>
      </c>
      <c r="AF409" s="7">
        <v>12</v>
      </c>
      <c r="AG409" s="7">
        <v>0</v>
      </c>
      <c r="AH409" s="7">
        <v>3.0000000000000001E-3</v>
      </c>
      <c r="AI409" s="7">
        <v>0</v>
      </c>
      <c r="AJ409" s="7">
        <v>0</v>
      </c>
      <c r="AK409" s="7">
        <v>20006</v>
      </c>
      <c r="AL409" s="6">
        <v>4</v>
      </c>
      <c r="AM409" s="7">
        <v>1500</v>
      </c>
      <c r="AN409" s="6" t="s">
        <v>48</v>
      </c>
      <c r="AO409" s="6" t="s">
        <v>736</v>
      </c>
    </row>
    <row r="410" spans="1:41" ht="16.5">
      <c r="A410" s="6">
        <v>20323</v>
      </c>
      <c r="B410" s="22" t="s">
        <v>1170</v>
      </c>
      <c r="C410" s="22" t="s">
        <v>164</v>
      </c>
      <c r="D410" s="8" t="s">
        <v>115</v>
      </c>
      <c r="E410" s="14">
        <v>11012</v>
      </c>
      <c r="F410" s="65">
        <v>2000</v>
      </c>
      <c r="G410" s="6">
        <v>300</v>
      </c>
      <c r="H410" s="6">
        <v>50</v>
      </c>
      <c r="I410" s="8" t="s">
        <v>159</v>
      </c>
      <c r="J410" s="6">
        <v>2</v>
      </c>
      <c r="K410" s="6">
        <v>6</v>
      </c>
      <c r="L410" s="6">
        <v>20</v>
      </c>
      <c r="M410" s="6">
        <v>0</v>
      </c>
      <c r="N410" s="6">
        <v>0</v>
      </c>
      <c r="O410" s="6">
        <v>0</v>
      </c>
      <c r="P410" s="6">
        <v>60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v>0</v>
      </c>
      <c r="W410" s="6">
        <v>0</v>
      </c>
      <c r="X410" s="6">
        <v>3</v>
      </c>
      <c r="Y410" s="6">
        <v>0</v>
      </c>
      <c r="Z410" s="6">
        <v>0</v>
      </c>
      <c r="AA410" s="6">
        <v>0</v>
      </c>
      <c r="AB410" s="6">
        <v>0</v>
      </c>
      <c r="AC410" s="7">
        <v>0</v>
      </c>
      <c r="AD410" s="7">
        <v>0</v>
      </c>
      <c r="AE410" s="7">
        <v>0</v>
      </c>
      <c r="AF410" s="7">
        <v>12</v>
      </c>
      <c r="AG410" s="7">
        <v>0</v>
      </c>
      <c r="AH410" s="7">
        <v>3.0000000000000001E-3</v>
      </c>
      <c r="AI410" s="7">
        <v>0</v>
      </c>
      <c r="AJ410" s="7">
        <v>0</v>
      </c>
      <c r="AK410" s="7">
        <v>20006</v>
      </c>
      <c r="AL410" s="6">
        <v>4</v>
      </c>
      <c r="AM410" s="7">
        <v>1500</v>
      </c>
      <c r="AN410" s="6" t="s">
        <v>48</v>
      </c>
      <c r="AO410" s="6" t="s">
        <v>736</v>
      </c>
    </row>
    <row r="411" spans="1:41" ht="16.5">
      <c r="A411" s="6">
        <v>20324</v>
      </c>
      <c r="B411" s="22" t="s">
        <v>1171</v>
      </c>
      <c r="C411" s="22" t="s">
        <v>164</v>
      </c>
      <c r="D411" s="8" t="s">
        <v>115</v>
      </c>
      <c r="E411" s="14">
        <v>11012</v>
      </c>
      <c r="F411" s="65">
        <v>2000</v>
      </c>
      <c r="G411" s="6">
        <v>300</v>
      </c>
      <c r="H411" s="6">
        <v>50</v>
      </c>
      <c r="I411" s="8" t="s">
        <v>159</v>
      </c>
      <c r="J411" s="6">
        <v>2</v>
      </c>
      <c r="K411" s="6">
        <v>6</v>
      </c>
      <c r="L411" s="6">
        <v>20</v>
      </c>
      <c r="M411" s="6">
        <v>0</v>
      </c>
      <c r="N411" s="6">
        <v>0</v>
      </c>
      <c r="O411" s="6">
        <v>0</v>
      </c>
      <c r="P411" s="6">
        <v>60</v>
      </c>
      <c r="Q411" s="6">
        <v>0</v>
      </c>
      <c r="R411" s="6">
        <v>0</v>
      </c>
      <c r="S411" s="6">
        <v>0</v>
      </c>
      <c r="T411" s="6">
        <v>0</v>
      </c>
      <c r="U411" s="6">
        <v>0</v>
      </c>
      <c r="V411" s="6">
        <v>0</v>
      </c>
      <c r="W411" s="6">
        <v>0</v>
      </c>
      <c r="X411" s="6">
        <v>3</v>
      </c>
      <c r="Y411" s="6">
        <v>0</v>
      </c>
      <c r="Z411" s="6">
        <v>0</v>
      </c>
      <c r="AA411" s="6">
        <v>0</v>
      </c>
      <c r="AB411" s="6">
        <v>0</v>
      </c>
      <c r="AC411" s="7">
        <v>0</v>
      </c>
      <c r="AD411" s="7">
        <v>0</v>
      </c>
      <c r="AE411" s="7">
        <v>0</v>
      </c>
      <c r="AF411" s="7">
        <v>12</v>
      </c>
      <c r="AG411" s="7">
        <v>0</v>
      </c>
      <c r="AH411" s="7">
        <v>3.0000000000000001E-3</v>
      </c>
      <c r="AI411" s="7">
        <v>0</v>
      </c>
      <c r="AJ411" s="7">
        <v>0</v>
      </c>
      <c r="AK411" s="7">
        <v>20006</v>
      </c>
      <c r="AL411" s="6">
        <v>4</v>
      </c>
      <c r="AM411" s="7">
        <v>1500</v>
      </c>
      <c r="AN411" s="6" t="s">
        <v>48</v>
      </c>
      <c r="AO411" s="6" t="s">
        <v>736</v>
      </c>
    </row>
    <row r="412" spans="1:41" ht="16.5">
      <c r="A412" s="6">
        <v>20325</v>
      </c>
      <c r="B412" s="22" t="s">
        <v>1172</v>
      </c>
      <c r="C412" s="22" t="s">
        <v>164</v>
      </c>
      <c r="D412" s="8" t="s">
        <v>115</v>
      </c>
      <c r="E412" s="14">
        <v>11012</v>
      </c>
      <c r="F412" s="65">
        <v>2000</v>
      </c>
      <c r="G412" s="6">
        <v>300</v>
      </c>
      <c r="H412" s="6">
        <v>50</v>
      </c>
      <c r="I412" s="8" t="s">
        <v>159</v>
      </c>
      <c r="J412" s="6">
        <v>2</v>
      </c>
      <c r="K412" s="6">
        <v>6</v>
      </c>
      <c r="L412" s="6">
        <v>20</v>
      </c>
      <c r="M412" s="6">
        <v>0</v>
      </c>
      <c r="N412" s="6">
        <v>0</v>
      </c>
      <c r="O412" s="6">
        <v>0</v>
      </c>
      <c r="P412" s="6">
        <v>60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v>0</v>
      </c>
      <c r="W412" s="6">
        <v>0</v>
      </c>
      <c r="X412" s="6">
        <v>3</v>
      </c>
      <c r="Y412" s="6">
        <v>0</v>
      </c>
      <c r="Z412" s="6">
        <v>0</v>
      </c>
      <c r="AA412" s="6">
        <v>0</v>
      </c>
      <c r="AB412" s="6">
        <v>0</v>
      </c>
      <c r="AC412" s="7">
        <v>0</v>
      </c>
      <c r="AD412" s="7">
        <v>0</v>
      </c>
      <c r="AE412" s="7">
        <v>0</v>
      </c>
      <c r="AF412" s="7">
        <v>12</v>
      </c>
      <c r="AG412" s="7">
        <v>0</v>
      </c>
      <c r="AH412" s="7">
        <v>3.0000000000000001E-3</v>
      </c>
      <c r="AI412" s="7">
        <v>0</v>
      </c>
      <c r="AJ412" s="7">
        <v>0</v>
      </c>
      <c r="AK412" s="7">
        <v>20006</v>
      </c>
      <c r="AL412" s="6">
        <v>4</v>
      </c>
      <c r="AM412" s="7">
        <v>1500</v>
      </c>
      <c r="AN412" s="6" t="s">
        <v>48</v>
      </c>
      <c r="AO412" s="6" t="s">
        <v>736</v>
      </c>
    </row>
    <row r="413" spans="1:41" ht="16.5">
      <c r="A413" s="6">
        <v>20326</v>
      </c>
      <c r="B413" s="22" t="s">
        <v>1173</v>
      </c>
      <c r="C413" s="22" t="s">
        <v>164</v>
      </c>
      <c r="D413" s="8" t="s">
        <v>115</v>
      </c>
      <c r="E413" s="14">
        <v>11012</v>
      </c>
      <c r="F413" s="65">
        <v>2000</v>
      </c>
      <c r="G413" s="6">
        <v>300</v>
      </c>
      <c r="H413" s="6">
        <v>50</v>
      </c>
      <c r="I413" s="8" t="s">
        <v>159</v>
      </c>
      <c r="J413" s="6">
        <v>2</v>
      </c>
      <c r="K413" s="6">
        <v>6</v>
      </c>
      <c r="L413" s="6">
        <v>20</v>
      </c>
      <c r="M413" s="6">
        <v>0</v>
      </c>
      <c r="N413" s="6">
        <v>0</v>
      </c>
      <c r="O413" s="6">
        <v>0</v>
      </c>
      <c r="P413" s="6">
        <v>60</v>
      </c>
      <c r="Q413" s="6">
        <v>0</v>
      </c>
      <c r="R413" s="6">
        <v>0</v>
      </c>
      <c r="S413" s="6">
        <v>0</v>
      </c>
      <c r="T413" s="6">
        <v>0</v>
      </c>
      <c r="U413" s="6">
        <v>0</v>
      </c>
      <c r="V413" s="6">
        <v>0</v>
      </c>
      <c r="W413" s="6">
        <v>0</v>
      </c>
      <c r="X413" s="6">
        <v>3</v>
      </c>
      <c r="Y413" s="6">
        <v>0</v>
      </c>
      <c r="Z413" s="6">
        <v>0</v>
      </c>
      <c r="AA413" s="6">
        <v>0</v>
      </c>
      <c r="AB413" s="6">
        <v>0</v>
      </c>
      <c r="AC413" s="7">
        <v>0</v>
      </c>
      <c r="AD413" s="7">
        <v>0</v>
      </c>
      <c r="AE413" s="7">
        <v>0</v>
      </c>
      <c r="AF413" s="7">
        <v>12</v>
      </c>
      <c r="AG413" s="7">
        <v>0</v>
      </c>
      <c r="AH413" s="7">
        <v>3.0000000000000001E-3</v>
      </c>
      <c r="AI413" s="7">
        <v>0</v>
      </c>
      <c r="AJ413" s="7">
        <v>0</v>
      </c>
      <c r="AK413" s="7">
        <v>20006</v>
      </c>
      <c r="AL413" s="6">
        <v>4</v>
      </c>
      <c r="AM413" s="7">
        <v>1500</v>
      </c>
      <c r="AN413" s="6" t="s">
        <v>48</v>
      </c>
      <c r="AO413" s="6" t="s">
        <v>736</v>
      </c>
    </row>
    <row r="414" spans="1:41" ht="16.5">
      <c r="A414" s="6">
        <v>20327</v>
      </c>
      <c r="B414" s="22" t="s">
        <v>1174</v>
      </c>
      <c r="C414" s="22" t="s">
        <v>164</v>
      </c>
      <c r="D414" s="8" t="s">
        <v>115</v>
      </c>
      <c r="E414" s="14">
        <v>11012</v>
      </c>
      <c r="F414" s="65">
        <v>2000</v>
      </c>
      <c r="G414" s="6">
        <v>300</v>
      </c>
      <c r="H414" s="6">
        <v>50</v>
      </c>
      <c r="I414" s="8" t="s">
        <v>159</v>
      </c>
      <c r="J414" s="6">
        <v>2</v>
      </c>
      <c r="K414" s="6">
        <v>6</v>
      </c>
      <c r="L414" s="6">
        <v>20</v>
      </c>
      <c r="M414" s="6">
        <v>0</v>
      </c>
      <c r="N414" s="6">
        <v>0</v>
      </c>
      <c r="O414" s="6">
        <v>0</v>
      </c>
      <c r="P414" s="6">
        <v>60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v>0</v>
      </c>
      <c r="W414" s="6">
        <v>0</v>
      </c>
      <c r="X414" s="6">
        <v>3</v>
      </c>
      <c r="Y414" s="6">
        <v>0</v>
      </c>
      <c r="Z414" s="6">
        <v>0</v>
      </c>
      <c r="AA414" s="6">
        <v>0</v>
      </c>
      <c r="AB414" s="6">
        <v>0</v>
      </c>
      <c r="AC414" s="7">
        <v>0</v>
      </c>
      <c r="AD414" s="7">
        <v>0</v>
      </c>
      <c r="AE414" s="7">
        <v>0</v>
      </c>
      <c r="AF414" s="7">
        <v>12</v>
      </c>
      <c r="AG414" s="7">
        <v>0</v>
      </c>
      <c r="AH414" s="7">
        <v>3.0000000000000001E-3</v>
      </c>
      <c r="AI414" s="7">
        <v>0</v>
      </c>
      <c r="AJ414" s="7">
        <v>0</v>
      </c>
      <c r="AK414" s="7">
        <v>20006</v>
      </c>
      <c r="AL414" s="6">
        <v>4</v>
      </c>
      <c r="AM414" s="7">
        <v>1500</v>
      </c>
      <c r="AN414" s="6" t="s">
        <v>48</v>
      </c>
      <c r="AO414" s="6" t="s">
        <v>736</v>
      </c>
    </row>
    <row r="415" spans="1:41" ht="16.5">
      <c r="A415" s="6">
        <v>20328</v>
      </c>
      <c r="B415" s="22" t="s">
        <v>1175</v>
      </c>
      <c r="C415" s="22" t="s">
        <v>164</v>
      </c>
      <c r="D415" s="8" t="s">
        <v>115</v>
      </c>
      <c r="E415" s="14">
        <v>11012</v>
      </c>
      <c r="F415" s="65">
        <v>2000</v>
      </c>
      <c r="G415" s="6">
        <v>300</v>
      </c>
      <c r="H415" s="6">
        <v>50</v>
      </c>
      <c r="I415" s="8" t="s">
        <v>159</v>
      </c>
      <c r="J415" s="6">
        <v>2</v>
      </c>
      <c r="K415" s="6">
        <v>6</v>
      </c>
      <c r="L415" s="6">
        <v>20</v>
      </c>
      <c r="M415" s="6">
        <v>0</v>
      </c>
      <c r="N415" s="6">
        <v>0</v>
      </c>
      <c r="O415" s="6">
        <v>0</v>
      </c>
      <c r="P415" s="6">
        <v>60</v>
      </c>
      <c r="Q415" s="6">
        <v>0</v>
      </c>
      <c r="R415" s="6">
        <v>0</v>
      </c>
      <c r="S415" s="6">
        <v>0</v>
      </c>
      <c r="T415" s="6">
        <v>0</v>
      </c>
      <c r="U415" s="6">
        <v>0</v>
      </c>
      <c r="V415" s="6">
        <v>0</v>
      </c>
      <c r="W415" s="6">
        <v>0</v>
      </c>
      <c r="X415" s="6">
        <v>3</v>
      </c>
      <c r="Y415" s="6">
        <v>0</v>
      </c>
      <c r="Z415" s="6">
        <v>0</v>
      </c>
      <c r="AA415" s="6">
        <v>0</v>
      </c>
      <c r="AB415" s="6">
        <v>0</v>
      </c>
      <c r="AC415" s="7">
        <v>0</v>
      </c>
      <c r="AD415" s="7">
        <v>0</v>
      </c>
      <c r="AE415" s="7">
        <v>0</v>
      </c>
      <c r="AF415" s="7">
        <v>12</v>
      </c>
      <c r="AG415" s="7">
        <v>0</v>
      </c>
      <c r="AH415" s="7">
        <v>3.0000000000000001E-3</v>
      </c>
      <c r="AI415" s="7">
        <v>0</v>
      </c>
      <c r="AJ415" s="7">
        <v>0</v>
      </c>
      <c r="AK415" s="7">
        <v>20006</v>
      </c>
      <c r="AL415" s="6">
        <v>4</v>
      </c>
      <c r="AM415" s="7">
        <v>1500</v>
      </c>
      <c r="AN415" s="6" t="s">
        <v>48</v>
      </c>
      <c r="AO415" s="6" t="s">
        <v>736</v>
      </c>
    </row>
    <row r="416" spans="1:41" ht="16.5">
      <c r="A416" s="6">
        <v>20329</v>
      </c>
      <c r="B416" s="22" t="s">
        <v>1176</v>
      </c>
      <c r="C416" s="22" t="s">
        <v>164</v>
      </c>
      <c r="D416" s="8" t="s">
        <v>115</v>
      </c>
      <c r="E416" s="14">
        <v>11012</v>
      </c>
      <c r="F416" s="65">
        <v>2000</v>
      </c>
      <c r="G416" s="6">
        <v>300</v>
      </c>
      <c r="H416" s="6">
        <v>50</v>
      </c>
      <c r="I416" s="8" t="s">
        <v>159</v>
      </c>
      <c r="J416" s="6">
        <v>2</v>
      </c>
      <c r="K416" s="6">
        <v>6</v>
      </c>
      <c r="L416" s="6">
        <v>20</v>
      </c>
      <c r="M416" s="6">
        <v>0</v>
      </c>
      <c r="N416" s="6">
        <v>0</v>
      </c>
      <c r="O416" s="6">
        <v>0</v>
      </c>
      <c r="P416" s="6">
        <v>60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v>0</v>
      </c>
      <c r="W416" s="6">
        <v>0</v>
      </c>
      <c r="X416" s="6">
        <v>3</v>
      </c>
      <c r="Y416" s="6">
        <v>0</v>
      </c>
      <c r="Z416" s="6">
        <v>0</v>
      </c>
      <c r="AA416" s="6">
        <v>0</v>
      </c>
      <c r="AB416" s="6">
        <v>0</v>
      </c>
      <c r="AC416" s="7">
        <v>0</v>
      </c>
      <c r="AD416" s="7">
        <v>0</v>
      </c>
      <c r="AE416" s="7">
        <v>0</v>
      </c>
      <c r="AF416" s="7">
        <v>12</v>
      </c>
      <c r="AG416" s="7">
        <v>0</v>
      </c>
      <c r="AH416" s="7">
        <v>3.0000000000000001E-3</v>
      </c>
      <c r="AI416" s="7">
        <v>0</v>
      </c>
      <c r="AJ416" s="7">
        <v>0</v>
      </c>
      <c r="AK416" s="7">
        <v>20006</v>
      </c>
      <c r="AL416" s="6">
        <v>4</v>
      </c>
      <c r="AM416" s="7">
        <v>1500</v>
      </c>
      <c r="AN416" s="6" t="s">
        <v>48</v>
      </c>
      <c r="AO416" s="6" t="s">
        <v>736</v>
      </c>
    </row>
    <row r="417" spans="1:41" ht="16.5">
      <c r="A417" s="6">
        <v>20330</v>
      </c>
      <c r="B417" s="22" t="s">
        <v>1177</v>
      </c>
      <c r="C417" s="22" t="s">
        <v>164</v>
      </c>
      <c r="D417" s="8" t="s">
        <v>115</v>
      </c>
      <c r="E417" s="14">
        <v>11012</v>
      </c>
      <c r="F417" s="65">
        <v>2000</v>
      </c>
      <c r="G417" s="6">
        <v>300</v>
      </c>
      <c r="H417" s="6">
        <v>50</v>
      </c>
      <c r="I417" s="8" t="s">
        <v>159</v>
      </c>
      <c r="J417" s="6">
        <v>2</v>
      </c>
      <c r="K417" s="6">
        <v>6</v>
      </c>
      <c r="L417" s="6">
        <v>20</v>
      </c>
      <c r="M417" s="6">
        <v>0</v>
      </c>
      <c r="N417" s="6">
        <v>0</v>
      </c>
      <c r="O417" s="6">
        <v>0</v>
      </c>
      <c r="P417" s="6">
        <v>60</v>
      </c>
      <c r="Q417" s="6">
        <v>0</v>
      </c>
      <c r="R417" s="6">
        <v>0</v>
      </c>
      <c r="S417" s="6">
        <v>0</v>
      </c>
      <c r="T417" s="6">
        <v>0</v>
      </c>
      <c r="U417" s="6">
        <v>0</v>
      </c>
      <c r="V417" s="6">
        <v>0</v>
      </c>
      <c r="W417" s="6">
        <v>0</v>
      </c>
      <c r="X417" s="6">
        <v>3</v>
      </c>
      <c r="Y417" s="6">
        <v>0</v>
      </c>
      <c r="Z417" s="6">
        <v>0</v>
      </c>
      <c r="AA417" s="6">
        <v>0</v>
      </c>
      <c r="AB417" s="6">
        <v>0</v>
      </c>
      <c r="AC417" s="7">
        <v>0</v>
      </c>
      <c r="AD417" s="7">
        <v>0</v>
      </c>
      <c r="AE417" s="7">
        <v>0</v>
      </c>
      <c r="AF417" s="7">
        <v>12</v>
      </c>
      <c r="AG417" s="7">
        <v>0</v>
      </c>
      <c r="AH417" s="7">
        <v>3.0000000000000001E-3</v>
      </c>
      <c r="AI417" s="7">
        <v>0</v>
      </c>
      <c r="AJ417" s="7">
        <v>0</v>
      </c>
      <c r="AK417" s="7">
        <v>20006</v>
      </c>
      <c r="AL417" s="6">
        <v>4</v>
      </c>
      <c r="AM417" s="7">
        <v>1500</v>
      </c>
      <c r="AN417" s="6" t="s">
        <v>48</v>
      </c>
      <c r="AO417" s="6" t="s">
        <v>736</v>
      </c>
    </row>
    <row r="418" spans="1:41" ht="16.5">
      <c r="A418" s="6">
        <v>203311</v>
      </c>
      <c r="B418" s="22" t="s">
        <v>1178</v>
      </c>
      <c r="C418" s="22" t="s">
        <v>164</v>
      </c>
      <c r="D418" s="8" t="s">
        <v>115</v>
      </c>
      <c r="E418" s="14">
        <v>11012</v>
      </c>
      <c r="F418" s="65">
        <v>2000</v>
      </c>
      <c r="G418" s="6">
        <v>300</v>
      </c>
      <c r="H418" s="6">
        <v>50</v>
      </c>
      <c r="I418" s="8" t="s">
        <v>159</v>
      </c>
      <c r="J418" s="6">
        <v>2</v>
      </c>
      <c r="K418" s="6">
        <v>6</v>
      </c>
      <c r="L418" s="6">
        <v>20</v>
      </c>
      <c r="M418" s="6">
        <v>0</v>
      </c>
      <c r="N418" s="6">
        <v>0</v>
      </c>
      <c r="O418" s="6">
        <v>0</v>
      </c>
      <c r="P418" s="6">
        <v>60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v>0</v>
      </c>
      <c r="W418" s="6">
        <v>0</v>
      </c>
      <c r="X418" s="6">
        <v>3</v>
      </c>
      <c r="Y418" s="6">
        <v>0</v>
      </c>
      <c r="Z418" s="6">
        <v>0</v>
      </c>
      <c r="AA418" s="6">
        <v>0</v>
      </c>
      <c r="AB418" s="6">
        <v>0</v>
      </c>
      <c r="AC418" s="7">
        <v>0</v>
      </c>
      <c r="AD418" s="7">
        <v>0</v>
      </c>
      <c r="AE418" s="7">
        <v>0</v>
      </c>
      <c r="AF418" s="7">
        <v>12</v>
      </c>
      <c r="AG418" s="7">
        <v>0</v>
      </c>
      <c r="AH418" s="7">
        <v>3.0000000000000001E-3</v>
      </c>
      <c r="AI418" s="7">
        <v>0</v>
      </c>
      <c r="AJ418" s="7">
        <v>0</v>
      </c>
      <c r="AK418" s="7">
        <v>20006</v>
      </c>
      <c r="AL418" s="6">
        <v>4</v>
      </c>
      <c r="AM418" s="7">
        <v>1500</v>
      </c>
      <c r="AN418" s="6" t="s">
        <v>48</v>
      </c>
      <c r="AO418" s="6" t="s">
        <v>736</v>
      </c>
    </row>
    <row r="419" spans="1:41" ht="16.5">
      <c r="A419" s="6">
        <v>203312</v>
      </c>
      <c r="B419" s="22" t="s">
        <v>1179</v>
      </c>
      <c r="C419" s="22" t="s">
        <v>164</v>
      </c>
      <c r="D419" s="8" t="s">
        <v>115</v>
      </c>
      <c r="E419" s="14">
        <v>11012</v>
      </c>
      <c r="F419" s="65">
        <v>2000</v>
      </c>
      <c r="G419" s="6">
        <v>300</v>
      </c>
      <c r="H419" s="6">
        <v>50</v>
      </c>
      <c r="I419" s="8" t="s">
        <v>159</v>
      </c>
      <c r="J419" s="6">
        <v>2</v>
      </c>
      <c r="K419" s="6">
        <v>6</v>
      </c>
      <c r="L419" s="6">
        <v>20</v>
      </c>
      <c r="M419" s="6">
        <v>0</v>
      </c>
      <c r="N419" s="6">
        <v>0</v>
      </c>
      <c r="O419" s="6">
        <v>0</v>
      </c>
      <c r="P419" s="6">
        <v>60</v>
      </c>
      <c r="Q419" s="6">
        <v>0</v>
      </c>
      <c r="R419" s="6">
        <v>0</v>
      </c>
      <c r="S419" s="6">
        <v>0</v>
      </c>
      <c r="T419" s="6">
        <v>0</v>
      </c>
      <c r="U419" s="6">
        <v>0</v>
      </c>
      <c r="V419" s="6">
        <v>0</v>
      </c>
      <c r="W419" s="6">
        <v>0</v>
      </c>
      <c r="X419" s="6">
        <v>3</v>
      </c>
      <c r="Y419" s="6">
        <v>0</v>
      </c>
      <c r="Z419" s="6">
        <v>0</v>
      </c>
      <c r="AA419" s="6">
        <v>0</v>
      </c>
      <c r="AB419" s="6">
        <v>0</v>
      </c>
      <c r="AC419" s="7">
        <v>0</v>
      </c>
      <c r="AD419" s="7">
        <v>0</v>
      </c>
      <c r="AE419" s="7">
        <v>0</v>
      </c>
      <c r="AF419" s="7">
        <v>12</v>
      </c>
      <c r="AG419" s="7">
        <v>0</v>
      </c>
      <c r="AH419" s="7">
        <v>3.0000000000000001E-3</v>
      </c>
      <c r="AI419" s="7">
        <v>0</v>
      </c>
      <c r="AJ419" s="7">
        <v>0</v>
      </c>
      <c r="AK419" s="7">
        <v>20006</v>
      </c>
      <c r="AL419" s="6">
        <v>4</v>
      </c>
      <c r="AM419" s="7">
        <v>1500</v>
      </c>
      <c r="AN419" s="6" t="s">
        <v>48</v>
      </c>
      <c r="AO419" s="6" t="s">
        <v>736</v>
      </c>
    </row>
    <row r="420" spans="1:41" ht="16.5">
      <c r="A420" s="6">
        <v>203313</v>
      </c>
      <c r="B420" s="22" t="s">
        <v>1180</v>
      </c>
      <c r="C420" s="22" t="s">
        <v>164</v>
      </c>
      <c r="D420" s="8" t="s">
        <v>115</v>
      </c>
      <c r="E420" s="14">
        <v>11012</v>
      </c>
      <c r="F420" s="65">
        <v>2000</v>
      </c>
      <c r="G420" s="6">
        <v>300</v>
      </c>
      <c r="H420" s="6">
        <v>50</v>
      </c>
      <c r="I420" s="8" t="s">
        <v>159</v>
      </c>
      <c r="J420" s="6">
        <v>2</v>
      </c>
      <c r="K420" s="6">
        <v>6</v>
      </c>
      <c r="L420" s="6">
        <v>20</v>
      </c>
      <c r="M420" s="6">
        <v>0</v>
      </c>
      <c r="N420" s="6">
        <v>0</v>
      </c>
      <c r="O420" s="6">
        <v>0</v>
      </c>
      <c r="P420" s="6">
        <v>60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v>0</v>
      </c>
      <c r="W420" s="6">
        <v>0</v>
      </c>
      <c r="X420" s="6">
        <v>3</v>
      </c>
      <c r="Y420" s="6">
        <v>0</v>
      </c>
      <c r="Z420" s="6">
        <v>0</v>
      </c>
      <c r="AA420" s="6">
        <v>0</v>
      </c>
      <c r="AB420" s="6">
        <v>0</v>
      </c>
      <c r="AC420" s="7">
        <v>0</v>
      </c>
      <c r="AD420" s="7">
        <v>0</v>
      </c>
      <c r="AE420" s="7">
        <v>0</v>
      </c>
      <c r="AF420" s="7">
        <v>12</v>
      </c>
      <c r="AG420" s="7">
        <v>0</v>
      </c>
      <c r="AH420" s="7">
        <v>3.0000000000000001E-3</v>
      </c>
      <c r="AI420" s="7">
        <v>0</v>
      </c>
      <c r="AJ420" s="7">
        <v>0</v>
      </c>
      <c r="AK420" s="7">
        <v>20006</v>
      </c>
      <c r="AL420" s="6">
        <v>4</v>
      </c>
      <c r="AM420" s="7">
        <v>1500</v>
      </c>
      <c r="AN420" s="6" t="s">
        <v>48</v>
      </c>
      <c r="AO420" s="6" t="s">
        <v>736</v>
      </c>
    </row>
    <row r="421" spans="1:41" ht="16.5">
      <c r="A421" s="6">
        <v>25</v>
      </c>
      <c r="B421" s="22" t="s">
        <v>1181</v>
      </c>
      <c r="C421" s="22" t="s">
        <v>163</v>
      </c>
      <c r="D421" s="8" t="s">
        <v>109</v>
      </c>
      <c r="E421" s="14">
        <v>11005</v>
      </c>
      <c r="F421" s="65">
        <v>2000</v>
      </c>
      <c r="G421" s="6">
        <v>300</v>
      </c>
      <c r="H421" s="6">
        <v>50</v>
      </c>
      <c r="I421" s="8" t="s">
        <v>718</v>
      </c>
      <c r="J421" s="6">
        <v>2</v>
      </c>
      <c r="K421" s="6">
        <v>6</v>
      </c>
      <c r="L421" s="6">
        <v>20</v>
      </c>
      <c r="M421" s="6">
        <v>0</v>
      </c>
      <c r="N421" s="6">
        <v>0</v>
      </c>
      <c r="O421" s="6">
        <v>60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W421" s="6">
        <v>3</v>
      </c>
      <c r="X421" s="6">
        <v>0</v>
      </c>
      <c r="Y421" s="6">
        <v>0</v>
      </c>
      <c r="Z421" s="6">
        <v>0</v>
      </c>
      <c r="AA421" s="6">
        <v>0</v>
      </c>
      <c r="AB421" s="6">
        <v>0</v>
      </c>
      <c r="AC421" s="7">
        <v>0</v>
      </c>
      <c r="AD421" s="7">
        <v>0</v>
      </c>
      <c r="AE421" s="7">
        <v>12</v>
      </c>
      <c r="AF421" s="7">
        <v>0</v>
      </c>
      <c r="AG421" s="7">
        <v>0</v>
      </c>
      <c r="AH421" s="7">
        <v>0</v>
      </c>
      <c r="AI421" s="7">
        <v>0</v>
      </c>
      <c r="AJ421" s="7">
        <v>6.0000000000000001E-3</v>
      </c>
      <c r="AK421" s="7">
        <v>20005</v>
      </c>
      <c r="AL421" s="6">
        <v>2</v>
      </c>
      <c r="AM421" s="7">
        <v>1500</v>
      </c>
      <c r="AN421" s="6" t="s">
        <v>63</v>
      </c>
      <c r="AO421" s="6" t="s">
        <v>729</v>
      </c>
    </row>
    <row r="422" spans="1:41" ht="16.5">
      <c r="A422" s="6">
        <v>2025</v>
      </c>
      <c r="B422" s="22" t="s">
        <v>1182</v>
      </c>
      <c r="C422" s="22" t="s">
        <v>163</v>
      </c>
      <c r="D422" s="8" t="s">
        <v>109</v>
      </c>
      <c r="E422" s="14">
        <v>11005</v>
      </c>
      <c r="F422" s="65">
        <v>2000</v>
      </c>
      <c r="G422" s="6">
        <v>300</v>
      </c>
      <c r="H422" s="6">
        <v>50</v>
      </c>
      <c r="I422" s="8" t="s">
        <v>718</v>
      </c>
      <c r="J422" s="6">
        <v>2</v>
      </c>
      <c r="K422" s="6">
        <v>6</v>
      </c>
      <c r="L422" s="6">
        <v>20</v>
      </c>
      <c r="M422" s="6">
        <v>0</v>
      </c>
      <c r="N422" s="6">
        <v>0</v>
      </c>
      <c r="O422" s="6">
        <v>60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W422" s="6">
        <v>3</v>
      </c>
      <c r="X422" s="6">
        <v>0</v>
      </c>
      <c r="Y422" s="6">
        <v>0</v>
      </c>
      <c r="Z422" s="6">
        <v>0</v>
      </c>
      <c r="AA422" s="6">
        <v>0</v>
      </c>
      <c r="AB422" s="6">
        <v>0</v>
      </c>
      <c r="AC422" s="7">
        <v>0</v>
      </c>
      <c r="AD422" s="7">
        <v>0</v>
      </c>
      <c r="AE422" s="7">
        <v>12</v>
      </c>
      <c r="AF422" s="7">
        <v>0</v>
      </c>
      <c r="AG422" s="7">
        <v>0</v>
      </c>
      <c r="AH422" s="7">
        <v>0</v>
      </c>
      <c r="AI422" s="7">
        <v>0</v>
      </c>
      <c r="AJ422" s="7">
        <v>6.0000000000000001E-3</v>
      </c>
      <c r="AK422" s="7">
        <v>20005</v>
      </c>
      <c r="AL422" s="6">
        <v>2</v>
      </c>
      <c r="AM422" s="7">
        <v>1500</v>
      </c>
      <c r="AN422" s="6" t="s">
        <v>63</v>
      </c>
      <c r="AO422" s="6" t="s">
        <v>729</v>
      </c>
    </row>
    <row r="423" spans="1:41" ht="16.5">
      <c r="A423" s="6">
        <v>20251</v>
      </c>
      <c r="B423" s="22" t="s">
        <v>1183</v>
      </c>
      <c r="C423" s="22" t="s">
        <v>163</v>
      </c>
      <c r="D423" s="8" t="s">
        <v>109</v>
      </c>
      <c r="E423" s="14">
        <v>11005</v>
      </c>
      <c r="F423" s="65">
        <v>2000</v>
      </c>
      <c r="G423" s="6">
        <v>300</v>
      </c>
      <c r="H423" s="6">
        <v>50</v>
      </c>
      <c r="I423" s="8" t="s">
        <v>718</v>
      </c>
      <c r="J423" s="6">
        <v>2</v>
      </c>
      <c r="K423" s="6">
        <v>6</v>
      </c>
      <c r="L423" s="6">
        <v>20</v>
      </c>
      <c r="M423" s="6">
        <v>0</v>
      </c>
      <c r="N423" s="6">
        <v>0</v>
      </c>
      <c r="O423" s="6">
        <v>60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W423" s="6">
        <v>3</v>
      </c>
      <c r="X423" s="6">
        <v>0</v>
      </c>
      <c r="Y423" s="6">
        <v>0</v>
      </c>
      <c r="Z423" s="6">
        <v>0</v>
      </c>
      <c r="AA423" s="6">
        <v>0</v>
      </c>
      <c r="AB423" s="6">
        <v>0</v>
      </c>
      <c r="AC423" s="7">
        <v>0</v>
      </c>
      <c r="AD423" s="7">
        <v>0</v>
      </c>
      <c r="AE423" s="7">
        <v>12</v>
      </c>
      <c r="AF423" s="7">
        <v>0</v>
      </c>
      <c r="AG423" s="7">
        <v>0</v>
      </c>
      <c r="AH423" s="7">
        <v>0</v>
      </c>
      <c r="AI423" s="7">
        <v>0</v>
      </c>
      <c r="AJ423" s="7">
        <v>6.0000000000000001E-3</v>
      </c>
      <c r="AK423" s="7">
        <v>20005</v>
      </c>
      <c r="AL423" s="6">
        <v>2</v>
      </c>
      <c r="AM423" s="7">
        <v>1500</v>
      </c>
      <c r="AN423" s="6" t="s">
        <v>63</v>
      </c>
      <c r="AO423" s="6" t="s">
        <v>729</v>
      </c>
    </row>
    <row r="424" spans="1:41" ht="16.5">
      <c r="A424" s="6">
        <v>20252</v>
      </c>
      <c r="B424" s="22" t="s">
        <v>1184</v>
      </c>
      <c r="C424" s="22" t="s">
        <v>163</v>
      </c>
      <c r="D424" s="8" t="s">
        <v>109</v>
      </c>
      <c r="E424" s="14">
        <v>11005</v>
      </c>
      <c r="F424" s="65">
        <v>2000</v>
      </c>
      <c r="G424" s="6">
        <v>300</v>
      </c>
      <c r="H424" s="6">
        <v>50</v>
      </c>
      <c r="I424" s="8" t="s">
        <v>718</v>
      </c>
      <c r="J424" s="6">
        <v>2</v>
      </c>
      <c r="K424" s="6">
        <v>6</v>
      </c>
      <c r="L424" s="6">
        <v>20</v>
      </c>
      <c r="M424" s="6">
        <v>0</v>
      </c>
      <c r="N424" s="6">
        <v>0</v>
      </c>
      <c r="O424" s="6">
        <v>60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W424" s="6">
        <v>3</v>
      </c>
      <c r="X424" s="6">
        <v>0</v>
      </c>
      <c r="Y424" s="6">
        <v>0</v>
      </c>
      <c r="Z424" s="6">
        <v>0</v>
      </c>
      <c r="AA424" s="6">
        <v>0</v>
      </c>
      <c r="AB424" s="6">
        <v>0</v>
      </c>
      <c r="AC424" s="7">
        <v>0</v>
      </c>
      <c r="AD424" s="7">
        <v>0</v>
      </c>
      <c r="AE424" s="7">
        <v>12</v>
      </c>
      <c r="AF424" s="7">
        <v>0</v>
      </c>
      <c r="AG424" s="7">
        <v>0</v>
      </c>
      <c r="AH424" s="7">
        <v>0</v>
      </c>
      <c r="AI424" s="7">
        <v>0</v>
      </c>
      <c r="AJ424" s="7">
        <v>6.0000000000000001E-3</v>
      </c>
      <c r="AK424" s="7">
        <v>20005</v>
      </c>
      <c r="AL424" s="6">
        <v>2</v>
      </c>
      <c r="AM424" s="7">
        <v>1500</v>
      </c>
      <c r="AN424" s="6" t="s">
        <v>63</v>
      </c>
      <c r="AO424" s="6" t="s">
        <v>729</v>
      </c>
    </row>
    <row r="425" spans="1:41" ht="16.5">
      <c r="A425" s="6">
        <v>20253</v>
      </c>
      <c r="B425" s="22" t="s">
        <v>1185</v>
      </c>
      <c r="C425" s="22" t="s">
        <v>163</v>
      </c>
      <c r="D425" s="8" t="s">
        <v>109</v>
      </c>
      <c r="E425" s="14">
        <v>11005</v>
      </c>
      <c r="F425" s="65">
        <v>2000</v>
      </c>
      <c r="G425" s="6">
        <v>300</v>
      </c>
      <c r="H425" s="6">
        <v>50</v>
      </c>
      <c r="I425" s="8" t="s">
        <v>718</v>
      </c>
      <c r="J425" s="6">
        <v>2</v>
      </c>
      <c r="K425" s="6">
        <v>6</v>
      </c>
      <c r="L425" s="6">
        <v>20</v>
      </c>
      <c r="M425" s="6">
        <v>0</v>
      </c>
      <c r="N425" s="6">
        <v>0</v>
      </c>
      <c r="O425" s="6">
        <v>60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W425" s="6">
        <v>3</v>
      </c>
      <c r="X425" s="6">
        <v>0</v>
      </c>
      <c r="Y425" s="6">
        <v>0</v>
      </c>
      <c r="Z425" s="6">
        <v>0</v>
      </c>
      <c r="AA425" s="6">
        <v>0</v>
      </c>
      <c r="AB425" s="6">
        <v>0</v>
      </c>
      <c r="AC425" s="7">
        <v>0</v>
      </c>
      <c r="AD425" s="7">
        <v>0</v>
      </c>
      <c r="AE425" s="7">
        <v>12</v>
      </c>
      <c r="AF425" s="7">
        <v>0</v>
      </c>
      <c r="AG425" s="7">
        <v>0</v>
      </c>
      <c r="AH425" s="7">
        <v>0</v>
      </c>
      <c r="AI425" s="7">
        <v>0</v>
      </c>
      <c r="AJ425" s="7">
        <v>6.0000000000000001E-3</v>
      </c>
      <c r="AK425" s="7">
        <v>20005</v>
      </c>
      <c r="AL425" s="6">
        <v>2</v>
      </c>
      <c r="AM425" s="7">
        <v>1500</v>
      </c>
      <c r="AN425" s="6" t="s">
        <v>63</v>
      </c>
      <c r="AO425" s="6" t="s">
        <v>729</v>
      </c>
    </row>
    <row r="426" spans="1:41" ht="16.5">
      <c r="A426" s="6">
        <v>20254</v>
      </c>
      <c r="B426" s="22" t="s">
        <v>1186</v>
      </c>
      <c r="C426" s="22" t="s">
        <v>163</v>
      </c>
      <c r="D426" s="8" t="s">
        <v>109</v>
      </c>
      <c r="E426" s="14">
        <v>11005</v>
      </c>
      <c r="F426" s="65">
        <v>2000</v>
      </c>
      <c r="G426" s="6">
        <v>300</v>
      </c>
      <c r="H426" s="6">
        <v>50</v>
      </c>
      <c r="I426" s="8" t="s">
        <v>718</v>
      </c>
      <c r="J426" s="6">
        <v>2</v>
      </c>
      <c r="K426" s="6">
        <v>6</v>
      </c>
      <c r="L426" s="6">
        <v>20</v>
      </c>
      <c r="M426" s="6">
        <v>0</v>
      </c>
      <c r="N426" s="6">
        <v>0</v>
      </c>
      <c r="O426" s="6">
        <v>60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W426" s="6">
        <v>3</v>
      </c>
      <c r="X426" s="6">
        <v>0</v>
      </c>
      <c r="Y426" s="6">
        <v>0</v>
      </c>
      <c r="Z426" s="6">
        <v>0</v>
      </c>
      <c r="AA426" s="6">
        <v>0</v>
      </c>
      <c r="AB426" s="6">
        <v>0</v>
      </c>
      <c r="AC426" s="7">
        <v>0</v>
      </c>
      <c r="AD426" s="7">
        <v>0</v>
      </c>
      <c r="AE426" s="7">
        <v>12</v>
      </c>
      <c r="AF426" s="7">
        <v>0</v>
      </c>
      <c r="AG426" s="7">
        <v>0</v>
      </c>
      <c r="AH426" s="7">
        <v>0</v>
      </c>
      <c r="AI426" s="7">
        <v>0</v>
      </c>
      <c r="AJ426" s="7">
        <v>6.0000000000000001E-3</v>
      </c>
      <c r="AK426" s="7">
        <v>20005</v>
      </c>
      <c r="AL426" s="6">
        <v>2</v>
      </c>
      <c r="AM426" s="7">
        <v>1500</v>
      </c>
      <c r="AN426" s="6" t="s">
        <v>63</v>
      </c>
      <c r="AO426" s="6" t="s">
        <v>729</v>
      </c>
    </row>
    <row r="427" spans="1:41" ht="16.5">
      <c r="A427" s="6">
        <v>20255</v>
      </c>
      <c r="B427" s="22" t="s">
        <v>1187</v>
      </c>
      <c r="C427" s="22" t="s">
        <v>163</v>
      </c>
      <c r="D427" s="8" t="s">
        <v>109</v>
      </c>
      <c r="E427" s="14">
        <v>11005</v>
      </c>
      <c r="F427" s="65">
        <v>2000</v>
      </c>
      <c r="G427" s="6">
        <v>300</v>
      </c>
      <c r="H427" s="6">
        <v>50</v>
      </c>
      <c r="I427" s="8" t="s">
        <v>718</v>
      </c>
      <c r="J427" s="6">
        <v>2</v>
      </c>
      <c r="K427" s="6">
        <v>6</v>
      </c>
      <c r="L427" s="6">
        <v>20</v>
      </c>
      <c r="M427" s="6">
        <v>0</v>
      </c>
      <c r="N427" s="6">
        <v>0</v>
      </c>
      <c r="O427" s="6">
        <v>60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W427" s="6">
        <v>3</v>
      </c>
      <c r="X427" s="6">
        <v>0</v>
      </c>
      <c r="Y427" s="6">
        <v>0</v>
      </c>
      <c r="Z427" s="6">
        <v>0</v>
      </c>
      <c r="AA427" s="6">
        <v>0</v>
      </c>
      <c r="AB427" s="6">
        <v>0</v>
      </c>
      <c r="AC427" s="7">
        <v>0</v>
      </c>
      <c r="AD427" s="7">
        <v>0</v>
      </c>
      <c r="AE427" s="7">
        <v>12</v>
      </c>
      <c r="AF427" s="7">
        <v>0</v>
      </c>
      <c r="AG427" s="7">
        <v>0</v>
      </c>
      <c r="AH427" s="7">
        <v>0</v>
      </c>
      <c r="AI427" s="7">
        <v>0</v>
      </c>
      <c r="AJ427" s="7">
        <v>6.0000000000000001E-3</v>
      </c>
      <c r="AK427" s="7">
        <v>20005</v>
      </c>
      <c r="AL427" s="6">
        <v>2</v>
      </c>
      <c r="AM427" s="7">
        <v>1500</v>
      </c>
      <c r="AN427" s="6" t="s">
        <v>63</v>
      </c>
      <c r="AO427" s="6" t="s">
        <v>729</v>
      </c>
    </row>
    <row r="428" spans="1:41" ht="16.5">
      <c r="A428" s="6">
        <v>20256</v>
      </c>
      <c r="B428" s="22" t="s">
        <v>1188</v>
      </c>
      <c r="C428" s="22" t="s">
        <v>163</v>
      </c>
      <c r="D428" s="8" t="s">
        <v>109</v>
      </c>
      <c r="E428" s="14">
        <v>11005</v>
      </c>
      <c r="F428" s="65">
        <v>2000</v>
      </c>
      <c r="G428" s="6">
        <v>300</v>
      </c>
      <c r="H428" s="6">
        <v>50</v>
      </c>
      <c r="I428" s="8" t="s">
        <v>718</v>
      </c>
      <c r="J428" s="6">
        <v>2</v>
      </c>
      <c r="K428" s="6">
        <v>6</v>
      </c>
      <c r="L428" s="6">
        <v>20</v>
      </c>
      <c r="M428" s="6">
        <v>0</v>
      </c>
      <c r="N428" s="6">
        <v>0</v>
      </c>
      <c r="O428" s="6">
        <v>60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W428" s="6">
        <v>3</v>
      </c>
      <c r="X428" s="6">
        <v>0</v>
      </c>
      <c r="Y428" s="6">
        <v>0</v>
      </c>
      <c r="Z428" s="6">
        <v>0</v>
      </c>
      <c r="AA428" s="6">
        <v>0</v>
      </c>
      <c r="AB428" s="6">
        <v>0</v>
      </c>
      <c r="AC428" s="7">
        <v>0</v>
      </c>
      <c r="AD428" s="7">
        <v>0</v>
      </c>
      <c r="AE428" s="7">
        <v>12</v>
      </c>
      <c r="AF428" s="7">
        <v>0</v>
      </c>
      <c r="AG428" s="7">
        <v>0</v>
      </c>
      <c r="AH428" s="7">
        <v>0</v>
      </c>
      <c r="AI428" s="7">
        <v>0</v>
      </c>
      <c r="AJ428" s="7">
        <v>6.0000000000000001E-3</v>
      </c>
      <c r="AK428" s="7">
        <v>20005</v>
      </c>
      <c r="AL428" s="6">
        <v>2</v>
      </c>
      <c r="AM428" s="7">
        <v>1500</v>
      </c>
      <c r="AN428" s="6" t="s">
        <v>63</v>
      </c>
      <c r="AO428" s="6" t="s">
        <v>729</v>
      </c>
    </row>
    <row r="429" spans="1:41" ht="16.5">
      <c r="A429" s="6">
        <v>20257</v>
      </c>
      <c r="B429" s="22" t="s">
        <v>1189</v>
      </c>
      <c r="C429" s="22" t="s">
        <v>163</v>
      </c>
      <c r="D429" s="8" t="s">
        <v>109</v>
      </c>
      <c r="E429" s="14">
        <v>11005</v>
      </c>
      <c r="F429" s="65">
        <v>2000</v>
      </c>
      <c r="G429" s="6">
        <v>300</v>
      </c>
      <c r="H429" s="6">
        <v>50</v>
      </c>
      <c r="I429" s="8" t="s">
        <v>718</v>
      </c>
      <c r="J429" s="6">
        <v>2</v>
      </c>
      <c r="K429" s="6">
        <v>6</v>
      </c>
      <c r="L429" s="6">
        <v>20</v>
      </c>
      <c r="M429" s="6">
        <v>0</v>
      </c>
      <c r="N429" s="6">
        <v>0</v>
      </c>
      <c r="O429" s="6">
        <v>60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W429" s="6">
        <v>3</v>
      </c>
      <c r="X429" s="6">
        <v>0</v>
      </c>
      <c r="Y429" s="6">
        <v>0</v>
      </c>
      <c r="Z429" s="6">
        <v>0</v>
      </c>
      <c r="AA429" s="6">
        <v>0</v>
      </c>
      <c r="AB429" s="6">
        <v>0</v>
      </c>
      <c r="AC429" s="7">
        <v>0</v>
      </c>
      <c r="AD429" s="7">
        <v>0</v>
      </c>
      <c r="AE429" s="7">
        <v>12</v>
      </c>
      <c r="AF429" s="7">
        <v>0</v>
      </c>
      <c r="AG429" s="7">
        <v>0</v>
      </c>
      <c r="AH429" s="7">
        <v>0</v>
      </c>
      <c r="AI429" s="7">
        <v>0</v>
      </c>
      <c r="AJ429" s="7">
        <v>6.0000000000000001E-3</v>
      </c>
      <c r="AK429" s="7">
        <v>20005</v>
      </c>
      <c r="AL429" s="6">
        <v>2</v>
      </c>
      <c r="AM429" s="7">
        <v>1500</v>
      </c>
      <c r="AN429" s="6" t="s">
        <v>63</v>
      </c>
      <c r="AO429" s="6" t="s">
        <v>729</v>
      </c>
    </row>
    <row r="430" spans="1:41" ht="16.5">
      <c r="A430" s="6">
        <v>20258</v>
      </c>
      <c r="B430" s="22" t="s">
        <v>1190</v>
      </c>
      <c r="C430" s="22" t="s">
        <v>163</v>
      </c>
      <c r="D430" s="8" t="s">
        <v>109</v>
      </c>
      <c r="E430" s="14">
        <v>11005</v>
      </c>
      <c r="F430" s="65">
        <v>2000</v>
      </c>
      <c r="G430" s="6">
        <v>300</v>
      </c>
      <c r="H430" s="6">
        <v>50</v>
      </c>
      <c r="I430" s="8" t="s">
        <v>718</v>
      </c>
      <c r="J430" s="6">
        <v>2</v>
      </c>
      <c r="K430" s="6">
        <v>6</v>
      </c>
      <c r="L430" s="6">
        <v>20</v>
      </c>
      <c r="M430" s="6">
        <v>0</v>
      </c>
      <c r="N430" s="6">
        <v>0</v>
      </c>
      <c r="O430" s="6">
        <v>60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W430" s="6">
        <v>3</v>
      </c>
      <c r="X430" s="6">
        <v>0</v>
      </c>
      <c r="Y430" s="6">
        <v>0</v>
      </c>
      <c r="Z430" s="6">
        <v>0</v>
      </c>
      <c r="AA430" s="6">
        <v>0</v>
      </c>
      <c r="AB430" s="6">
        <v>0</v>
      </c>
      <c r="AC430" s="7">
        <v>0</v>
      </c>
      <c r="AD430" s="7">
        <v>0</v>
      </c>
      <c r="AE430" s="7">
        <v>12</v>
      </c>
      <c r="AF430" s="7">
        <v>0</v>
      </c>
      <c r="AG430" s="7">
        <v>0</v>
      </c>
      <c r="AH430" s="7">
        <v>0</v>
      </c>
      <c r="AI430" s="7">
        <v>0</v>
      </c>
      <c r="AJ430" s="7">
        <v>6.0000000000000001E-3</v>
      </c>
      <c r="AK430" s="7">
        <v>20005</v>
      </c>
      <c r="AL430" s="6">
        <v>2</v>
      </c>
      <c r="AM430" s="7">
        <v>1500</v>
      </c>
      <c r="AN430" s="6" t="s">
        <v>63</v>
      </c>
      <c r="AO430" s="6" t="s">
        <v>729</v>
      </c>
    </row>
    <row r="431" spans="1:41" ht="16.5">
      <c r="A431" s="6">
        <v>20259</v>
      </c>
      <c r="B431" s="22" t="s">
        <v>1191</v>
      </c>
      <c r="C431" s="22" t="s">
        <v>163</v>
      </c>
      <c r="D431" s="8" t="s">
        <v>109</v>
      </c>
      <c r="E431" s="14">
        <v>11005</v>
      </c>
      <c r="F431" s="65">
        <v>2000</v>
      </c>
      <c r="G431" s="6">
        <v>300</v>
      </c>
      <c r="H431" s="6">
        <v>50</v>
      </c>
      <c r="I431" s="8" t="s">
        <v>718</v>
      </c>
      <c r="J431" s="6">
        <v>2</v>
      </c>
      <c r="K431" s="6">
        <v>6</v>
      </c>
      <c r="L431" s="6">
        <v>20</v>
      </c>
      <c r="M431" s="6">
        <v>0</v>
      </c>
      <c r="N431" s="6">
        <v>0</v>
      </c>
      <c r="O431" s="6">
        <v>60</v>
      </c>
      <c r="P431" s="6">
        <v>0</v>
      </c>
      <c r="Q431" s="6">
        <v>0</v>
      </c>
      <c r="R431" s="6">
        <v>0</v>
      </c>
      <c r="S431" s="6">
        <v>0</v>
      </c>
      <c r="T431" s="6">
        <v>0</v>
      </c>
      <c r="U431" s="6">
        <v>0</v>
      </c>
      <c r="V431" s="6">
        <v>0</v>
      </c>
      <c r="W431" s="6">
        <v>3</v>
      </c>
      <c r="X431" s="6">
        <v>0</v>
      </c>
      <c r="Y431" s="6">
        <v>0</v>
      </c>
      <c r="Z431" s="6">
        <v>0</v>
      </c>
      <c r="AA431" s="6">
        <v>0</v>
      </c>
      <c r="AB431" s="6">
        <v>0</v>
      </c>
      <c r="AC431" s="7">
        <v>0</v>
      </c>
      <c r="AD431" s="7">
        <v>0</v>
      </c>
      <c r="AE431" s="7">
        <v>12</v>
      </c>
      <c r="AF431" s="7">
        <v>0</v>
      </c>
      <c r="AG431" s="7">
        <v>0</v>
      </c>
      <c r="AH431" s="7">
        <v>0</v>
      </c>
      <c r="AI431" s="7">
        <v>0</v>
      </c>
      <c r="AJ431" s="7">
        <v>6.0000000000000001E-3</v>
      </c>
      <c r="AK431" s="7">
        <v>20005</v>
      </c>
      <c r="AL431" s="6">
        <v>2</v>
      </c>
      <c r="AM431" s="7">
        <v>1500</v>
      </c>
      <c r="AN431" s="6" t="s">
        <v>63</v>
      </c>
      <c r="AO431" s="6" t="s">
        <v>729</v>
      </c>
    </row>
    <row r="432" spans="1:41" ht="16.5">
      <c r="A432" s="6">
        <v>20260</v>
      </c>
      <c r="B432" s="22" t="s">
        <v>1192</v>
      </c>
      <c r="C432" s="22" t="s">
        <v>163</v>
      </c>
      <c r="D432" s="8" t="s">
        <v>109</v>
      </c>
      <c r="E432" s="14">
        <v>11005</v>
      </c>
      <c r="F432" s="65">
        <v>2000</v>
      </c>
      <c r="G432" s="6">
        <v>300</v>
      </c>
      <c r="H432" s="6">
        <v>50</v>
      </c>
      <c r="I432" s="8" t="s">
        <v>718</v>
      </c>
      <c r="J432" s="6">
        <v>2</v>
      </c>
      <c r="K432" s="6">
        <v>6</v>
      </c>
      <c r="L432" s="6">
        <v>20</v>
      </c>
      <c r="M432" s="6">
        <v>0</v>
      </c>
      <c r="N432" s="6">
        <v>0</v>
      </c>
      <c r="O432" s="6">
        <v>60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v>0</v>
      </c>
      <c r="W432" s="6">
        <v>3</v>
      </c>
      <c r="X432" s="6">
        <v>0</v>
      </c>
      <c r="Y432" s="6">
        <v>0</v>
      </c>
      <c r="Z432" s="6">
        <v>0</v>
      </c>
      <c r="AA432" s="6">
        <v>0</v>
      </c>
      <c r="AB432" s="6">
        <v>0</v>
      </c>
      <c r="AC432" s="7">
        <v>0</v>
      </c>
      <c r="AD432" s="7">
        <v>0</v>
      </c>
      <c r="AE432" s="7">
        <v>12</v>
      </c>
      <c r="AF432" s="7">
        <v>0</v>
      </c>
      <c r="AG432" s="7">
        <v>0</v>
      </c>
      <c r="AH432" s="7">
        <v>0</v>
      </c>
      <c r="AI432" s="7">
        <v>0</v>
      </c>
      <c r="AJ432" s="7">
        <v>6.0000000000000001E-3</v>
      </c>
      <c r="AK432" s="7">
        <v>20005</v>
      </c>
      <c r="AL432" s="6">
        <v>2</v>
      </c>
      <c r="AM432" s="7">
        <v>1500</v>
      </c>
      <c r="AN432" s="6" t="s">
        <v>63</v>
      </c>
      <c r="AO432" s="6" t="s">
        <v>729</v>
      </c>
    </row>
    <row r="433" spans="1:41" ht="16.5">
      <c r="A433" s="6">
        <v>202611</v>
      </c>
      <c r="B433" s="22" t="s">
        <v>1193</v>
      </c>
      <c r="C433" s="22" t="s">
        <v>163</v>
      </c>
      <c r="D433" s="8" t="s">
        <v>109</v>
      </c>
      <c r="E433" s="14">
        <v>11005</v>
      </c>
      <c r="F433" s="65">
        <v>2000</v>
      </c>
      <c r="G433" s="6">
        <v>300</v>
      </c>
      <c r="H433" s="6">
        <v>50</v>
      </c>
      <c r="I433" s="8" t="s">
        <v>718</v>
      </c>
      <c r="J433" s="6">
        <v>2</v>
      </c>
      <c r="K433" s="6">
        <v>6</v>
      </c>
      <c r="L433" s="6">
        <v>20</v>
      </c>
      <c r="M433" s="6">
        <v>0</v>
      </c>
      <c r="N433" s="6">
        <v>0</v>
      </c>
      <c r="O433" s="6">
        <v>60</v>
      </c>
      <c r="P433" s="6">
        <v>0</v>
      </c>
      <c r="Q433" s="6">
        <v>0</v>
      </c>
      <c r="R433" s="6">
        <v>0</v>
      </c>
      <c r="S433" s="6">
        <v>0</v>
      </c>
      <c r="T433" s="6">
        <v>0</v>
      </c>
      <c r="U433" s="6">
        <v>0</v>
      </c>
      <c r="V433" s="6">
        <v>0</v>
      </c>
      <c r="W433" s="6">
        <v>3</v>
      </c>
      <c r="X433" s="6">
        <v>0</v>
      </c>
      <c r="Y433" s="6">
        <v>0</v>
      </c>
      <c r="Z433" s="6">
        <v>0</v>
      </c>
      <c r="AA433" s="6">
        <v>0</v>
      </c>
      <c r="AB433" s="6">
        <v>0</v>
      </c>
      <c r="AC433" s="7">
        <v>0</v>
      </c>
      <c r="AD433" s="7">
        <v>0</v>
      </c>
      <c r="AE433" s="7">
        <v>12</v>
      </c>
      <c r="AF433" s="7">
        <v>0</v>
      </c>
      <c r="AG433" s="7">
        <v>0</v>
      </c>
      <c r="AH433" s="7">
        <v>0</v>
      </c>
      <c r="AI433" s="7">
        <v>0</v>
      </c>
      <c r="AJ433" s="7">
        <v>6.0000000000000001E-3</v>
      </c>
      <c r="AK433" s="7">
        <v>20005</v>
      </c>
      <c r="AL433" s="6">
        <v>2</v>
      </c>
      <c r="AM433" s="7">
        <v>1500</v>
      </c>
      <c r="AN433" s="6" t="s">
        <v>63</v>
      </c>
      <c r="AO433" s="6" t="s">
        <v>729</v>
      </c>
    </row>
    <row r="434" spans="1:41" ht="16.5">
      <c r="A434" s="6">
        <v>202612</v>
      </c>
      <c r="B434" s="22" t="s">
        <v>1194</v>
      </c>
      <c r="C434" s="22" t="s">
        <v>163</v>
      </c>
      <c r="D434" s="8" t="s">
        <v>109</v>
      </c>
      <c r="E434" s="14">
        <v>11005</v>
      </c>
      <c r="F434" s="65">
        <v>2000</v>
      </c>
      <c r="G434" s="6">
        <v>300</v>
      </c>
      <c r="H434" s="6">
        <v>50</v>
      </c>
      <c r="I434" s="8" t="s">
        <v>718</v>
      </c>
      <c r="J434" s="6">
        <v>2</v>
      </c>
      <c r="K434" s="6">
        <v>6</v>
      </c>
      <c r="L434" s="6">
        <v>20</v>
      </c>
      <c r="M434" s="6">
        <v>0</v>
      </c>
      <c r="N434" s="6">
        <v>0</v>
      </c>
      <c r="O434" s="6">
        <v>60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W434" s="6">
        <v>3</v>
      </c>
      <c r="X434" s="6">
        <v>0</v>
      </c>
      <c r="Y434" s="6">
        <v>0</v>
      </c>
      <c r="Z434" s="6">
        <v>0</v>
      </c>
      <c r="AA434" s="6">
        <v>0</v>
      </c>
      <c r="AB434" s="6">
        <v>0</v>
      </c>
      <c r="AC434" s="7">
        <v>0</v>
      </c>
      <c r="AD434" s="7">
        <v>0</v>
      </c>
      <c r="AE434" s="7">
        <v>12</v>
      </c>
      <c r="AF434" s="7">
        <v>0</v>
      </c>
      <c r="AG434" s="7">
        <v>0</v>
      </c>
      <c r="AH434" s="7">
        <v>0</v>
      </c>
      <c r="AI434" s="7">
        <v>0</v>
      </c>
      <c r="AJ434" s="7">
        <v>6.0000000000000001E-3</v>
      </c>
      <c r="AK434" s="7">
        <v>20005</v>
      </c>
      <c r="AL434" s="6">
        <v>2</v>
      </c>
      <c r="AM434" s="7">
        <v>1500</v>
      </c>
      <c r="AN434" s="6" t="s">
        <v>63</v>
      </c>
      <c r="AO434" s="6" t="s">
        <v>729</v>
      </c>
    </row>
    <row r="435" spans="1:41" ht="16.5">
      <c r="A435" s="6">
        <v>202613</v>
      </c>
      <c r="B435" s="22" t="s">
        <v>1195</v>
      </c>
      <c r="C435" s="22" t="s">
        <v>163</v>
      </c>
      <c r="D435" s="8" t="s">
        <v>109</v>
      </c>
      <c r="E435" s="14">
        <v>11005</v>
      </c>
      <c r="F435" s="65">
        <v>2000</v>
      </c>
      <c r="G435" s="6">
        <v>300</v>
      </c>
      <c r="H435" s="6">
        <v>50</v>
      </c>
      <c r="I435" s="8" t="s">
        <v>718</v>
      </c>
      <c r="J435" s="6">
        <v>2</v>
      </c>
      <c r="K435" s="6">
        <v>6</v>
      </c>
      <c r="L435" s="6">
        <v>20</v>
      </c>
      <c r="M435" s="6">
        <v>0</v>
      </c>
      <c r="N435" s="6">
        <v>0</v>
      </c>
      <c r="O435" s="6">
        <v>60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W435" s="6">
        <v>3</v>
      </c>
      <c r="X435" s="6">
        <v>0</v>
      </c>
      <c r="Y435" s="6">
        <v>0</v>
      </c>
      <c r="Z435" s="6">
        <v>0</v>
      </c>
      <c r="AA435" s="6">
        <v>0</v>
      </c>
      <c r="AB435" s="6">
        <v>0</v>
      </c>
      <c r="AC435" s="7">
        <v>0</v>
      </c>
      <c r="AD435" s="7">
        <v>0</v>
      </c>
      <c r="AE435" s="7">
        <v>12</v>
      </c>
      <c r="AF435" s="7">
        <v>0</v>
      </c>
      <c r="AG435" s="7">
        <v>0</v>
      </c>
      <c r="AH435" s="7">
        <v>0</v>
      </c>
      <c r="AI435" s="7">
        <v>0</v>
      </c>
      <c r="AJ435" s="7">
        <v>6.0000000000000001E-3</v>
      </c>
      <c r="AK435" s="7">
        <v>20005</v>
      </c>
      <c r="AL435" s="6">
        <v>2</v>
      </c>
      <c r="AM435" s="7">
        <v>1500</v>
      </c>
      <c r="AN435" s="6" t="s">
        <v>63</v>
      </c>
      <c r="AO435" s="6" t="s">
        <v>729</v>
      </c>
    </row>
    <row r="436" spans="1:41" ht="16.5">
      <c r="A436" s="6">
        <v>26</v>
      </c>
      <c r="B436" s="22" t="s">
        <v>1196</v>
      </c>
      <c r="C436" s="22" t="s">
        <v>163</v>
      </c>
      <c r="D436" s="22" t="s">
        <v>134</v>
      </c>
      <c r="E436" s="14">
        <v>11006</v>
      </c>
      <c r="F436" s="65">
        <v>2000</v>
      </c>
      <c r="G436" s="6">
        <v>300</v>
      </c>
      <c r="H436" s="6">
        <v>50</v>
      </c>
      <c r="I436" s="8" t="s">
        <v>719</v>
      </c>
      <c r="J436" s="6">
        <v>2</v>
      </c>
      <c r="K436" s="6">
        <v>6</v>
      </c>
      <c r="L436" s="6">
        <v>20</v>
      </c>
      <c r="M436" s="6">
        <v>0</v>
      </c>
      <c r="N436" s="6">
        <v>120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6</v>
      </c>
      <c r="W436" s="6">
        <v>0</v>
      </c>
      <c r="X436" s="6">
        <v>0</v>
      </c>
      <c r="Y436" s="6">
        <v>0</v>
      </c>
      <c r="Z436" s="6">
        <v>0</v>
      </c>
      <c r="AA436" s="6">
        <v>0</v>
      </c>
      <c r="AB436" s="6">
        <v>0</v>
      </c>
      <c r="AC436" s="7">
        <v>0</v>
      </c>
      <c r="AD436" s="7">
        <v>24</v>
      </c>
      <c r="AE436" s="7">
        <v>0</v>
      </c>
      <c r="AF436" s="7">
        <v>0</v>
      </c>
      <c r="AG436" s="7">
        <v>0</v>
      </c>
      <c r="AH436" s="7">
        <v>0</v>
      </c>
      <c r="AI436" s="7">
        <v>6.0000000000000001E-3</v>
      </c>
      <c r="AJ436" s="7">
        <v>0</v>
      </c>
      <c r="AK436" s="7">
        <v>20005</v>
      </c>
      <c r="AL436" s="6">
        <v>1</v>
      </c>
      <c r="AM436" s="7">
        <v>1500</v>
      </c>
      <c r="AN436" s="6" t="s">
        <v>63</v>
      </c>
      <c r="AO436" s="6" t="s">
        <v>730</v>
      </c>
    </row>
    <row r="437" spans="1:41" ht="16.5">
      <c r="A437" s="6">
        <v>2026</v>
      </c>
      <c r="B437" s="22" t="s">
        <v>1197</v>
      </c>
      <c r="C437" s="22" t="s">
        <v>163</v>
      </c>
      <c r="D437" s="22" t="s">
        <v>134</v>
      </c>
      <c r="E437" s="14">
        <v>11006</v>
      </c>
      <c r="F437" s="65">
        <v>2000</v>
      </c>
      <c r="G437" s="6">
        <v>300</v>
      </c>
      <c r="H437" s="6">
        <v>50</v>
      </c>
      <c r="I437" s="8" t="s">
        <v>719</v>
      </c>
      <c r="J437" s="6">
        <v>2</v>
      </c>
      <c r="K437" s="6">
        <v>6</v>
      </c>
      <c r="L437" s="6">
        <v>20</v>
      </c>
      <c r="M437" s="6">
        <v>0</v>
      </c>
      <c r="N437" s="6">
        <v>120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6</v>
      </c>
      <c r="W437" s="6">
        <v>0</v>
      </c>
      <c r="X437" s="6">
        <v>0</v>
      </c>
      <c r="Y437" s="6">
        <v>0</v>
      </c>
      <c r="Z437" s="6">
        <v>0</v>
      </c>
      <c r="AA437" s="6">
        <v>0</v>
      </c>
      <c r="AB437" s="6">
        <v>0</v>
      </c>
      <c r="AC437" s="7">
        <v>0</v>
      </c>
      <c r="AD437" s="7">
        <v>24</v>
      </c>
      <c r="AE437" s="7">
        <v>0</v>
      </c>
      <c r="AF437" s="7">
        <v>0</v>
      </c>
      <c r="AG437" s="7">
        <v>0</v>
      </c>
      <c r="AH437" s="7">
        <v>0</v>
      </c>
      <c r="AI437" s="7">
        <v>6.0000000000000001E-3</v>
      </c>
      <c r="AJ437" s="7">
        <v>0</v>
      </c>
      <c r="AK437" s="7">
        <v>20005</v>
      </c>
      <c r="AL437" s="6">
        <v>1</v>
      </c>
      <c r="AM437" s="7">
        <v>1500</v>
      </c>
      <c r="AN437" s="6" t="s">
        <v>63</v>
      </c>
      <c r="AO437" s="6" t="s">
        <v>730</v>
      </c>
    </row>
    <row r="438" spans="1:41" ht="16.5">
      <c r="A438" s="6">
        <v>20261</v>
      </c>
      <c r="B438" s="22" t="s">
        <v>1198</v>
      </c>
      <c r="C438" s="22" t="s">
        <v>163</v>
      </c>
      <c r="D438" s="22" t="s">
        <v>134</v>
      </c>
      <c r="E438" s="14">
        <v>11006</v>
      </c>
      <c r="F438" s="65">
        <v>2000</v>
      </c>
      <c r="G438" s="6">
        <v>300</v>
      </c>
      <c r="H438" s="6">
        <v>50</v>
      </c>
      <c r="I438" s="8" t="s">
        <v>719</v>
      </c>
      <c r="J438" s="6">
        <v>2</v>
      </c>
      <c r="K438" s="6">
        <v>6</v>
      </c>
      <c r="L438" s="6">
        <v>20</v>
      </c>
      <c r="M438" s="6">
        <v>0</v>
      </c>
      <c r="N438" s="6">
        <v>120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6</v>
      </c>
      <c r="W438" s="6">
        <v>0</v>
      </c>
      <c r="X438" s="6">
        <v>0</v>
      </c>
      <c r="Y438" s="6">
        <v>0</v>
      </c>
      <c r="Z438" s="6">
        <v>0</v>
      </c>
      <c r="AA438" s="6">
        <v>0</v>
      </c>
      <c r="AB438" s="6">
        <v>0</v>
      </c>
      <c r="AC438" s="7">
        <v>0</v>
      </c>
      <c r="AD438" s="7">
        <v>24</v>
      </c>
      <c r="AE438" s="7">
        <v>0</v>
      </c>
      <c r="AF438" s="7">
        <v>0</v>
      </c>
      <c r="AG438" s="7">
        <v>0</v>
      </c>
      <c r="AH438" s="7">
        <v>0</v>
      </c>
      <c r="AI438" s="7">
        <v>6.0000000000000001E-3</v>
      </c>
      <c r="AJ438" s="7">
        <v>0</v>
      </c>
      <c r="AK438" s="7">
        <v>20005</v>
      </c>
      <c r="AL438" s="6">
        <v>1</v>
      </c>
      <c r="AM438" s="7">
        <v>1500</v>
      </c>
      <c r="AN438" s="6" t="s">
        <v>63</v>
      </c>
      <c r="AO438" s="6" t="s">
        <v>730</v>
      </c>
    </row>
    <row r="439" spans="1:41" ht="16.5">
      <c r="A439" s="6">
        <v>20262</v>
      </c>
      <c r="B439" s="22" t="s">
        <v>1199</v>
      </c>
      <c r="C439" s="22" t="s">
        <v>163</v>
      </c>
      <c r="D439" s="22" t="s">
        <v>134</v>
      </c>
      <c r="E439" s="14">
        <v>11006</v>
      </c>
      <c r="F439" s="65">
        <v>2000</v>
      </c>
      <c r="G439" s="6">
        <v>300</v>
      </c>
      <c r="H439" s="6">
        <v>50</v>
      </c>
      <c r="I439" s="8" t="s">
        <v>719</v>
      </c>
      <c r="J439" s="6">
        <v>2</v>
      </c>
      <c r="K439" s="6">
        <v>6</v>
      </c>
      <c r="L439" s="6">
        <v>20</v>
      </c>
      <c r="M439" s="6">
        <v>0</v>
      </c>
      <c r="N439" s="6">
        <v>120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6</v>
      </c>
      <c r="W439" s="6">
        <v>0</v>
      </c>
      <c r="X439" s="6">
        <v>0</v>
      </c>
      <c r="Y439" s="6">
        <v>0</v>
      </c>
      <c r="Z439" s="6">
        <v>0</v>
      </c>
      <c r="AA439" s="6">
        <v>0</v>
      </c>
      <c r="AB439" s="6">
        <v>0</v>
      </c>
      <c r="AC439" s="7">
        <v>0</v>
      </c>
      <c r="AD439" s="7">
        <v>24</v>
      </c>
      <c r="AE439" s="7">
        <v>0</v>
      </c>
      <c r="AF439" s="7">
        <v>0</v>
      </c>
      <c r="AG439" s="7">
        <v>0</v>
      </c>
      <c r="AH439" s="7">
        <v>0</v>
      </c>
      <c r="AI439" s="7">
        <v>6.0000000000000001E-3</v>
      </c>
      <c r="AJ439" s="7">
        <v>0</v>
      </c>
      <c r="AK439" s="7">
        <v>20005</v>
      </c>
      <c r="AL439" s="6">
        <v>1</v>
      </c>
      <c r="AM439" s="7">
        <v>1500</v>
      </c>
      <c r="AN439" s="6" t="s">
        <v>63</v>
      </c>
      <c r="AO439" s="6" t="s">
        <v>730</v>
      </c>
    </row>
    <row r="440" spans="1:41" ht="16.5">
      <c r="A440" s="6">
        <v>20263</v>
      </c>
      <c r="B440" s="22" t="s">
        <v>1200</v>
      </c>
      <c r="C440" s="22" t="s">
        <v>163</v>
      </c>
      <c r="D440" s="22" t="s">
        <v>134</v>
      </c>
      <c r="E440" s="14">
        <v>11006</v>
      </c>
      <c r="F440" s="65">
        <v>2000</v>
      </c>
      <c r="G440" s="6">
        <v>300</v>
      </c>
      <c r="H440" s="6">
        <v>50</v>
      </c>
      <c r="I440" s="8" t="s">
        <v>719</v>
      </c>
      <c r="J440" s="6">
        <v>2</v>
      </c>
      <c r="K440" s="6">
        <v>6</v>
      </c>
      <c r="L440" s="6">
        <v>20</v>
      </c>
      <c r="M440" s="6">
        <v>0</v>
      </c>
      <c r="N440" s="6">
        <v>120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6</v>
      </c>
      <c r="W440" s="6">
        <v>0</v>
      </c>
      <c r="X440" s="6">
        <v>0</v>
      </c>
      <c r="Y440" s="6">
        <v>0</v>
      </c>
      <c r="Z440" s="6">
        <v>0</v>
      </c>
      <c r="AA440" s="6">
        <v>0</v>
      </c>
      <c r="AB440" s="6">
        <v>0</v>
      </c>
      <c r="AC440" s="7">
        <v>0</v>
      </c>
      <c r="AD440" s="7">
        <v>24</v>
      </c>
      <c r="AE440" s="7">
        <v>0</v>
      </c>
      <c r="AF440" s="7">
        <v>0</v>
      </c>
      <c r="AG440" s="7">
        <v>0</v>
      </c>
      <c r="AH440" s="7">
        <v>0</v>
      </c>
      <c r="AI440" s="7">
        <v>6.0000000000000001E-3</v>
      </c>
      <c r="AJ440" s="7">
        <v>0</v>
      </c>
      <c r="AK440" s="7">
        <v>20005</v>
      </c>
      <c r="AL440" s="6">
        <v>1</v>
      </c>
      <c r="AM440" s="7">
        <v>1500</v>
      </c>
      <c r="AN440" s="6" t="s">
        <v>63</v>
      </c>
      <c r="AO440" s="6" t="s">
        <v>730</v>
      </c>
    </row>
    <row r="441" spans="1:41" ht="16.5">
      <c r="A441" s="6">
        <v>20264</v>
      </c>
      <c r="B441" s="22" t="s">
        <v>1201</v>
      </c>
      <c r="C441" s="22" t="s">
        <v>163</v>
      </c>
      <c r="D441" s="22" t="s">
        <v>134</v>
      </c>
      <c r="E441" s="14">
        <v>11006</v>
      </c>
      <c r="F441" s="65">
        <v>2000</v>
      </c>
      <c r="G441" s="6">
        <v>300</v>
      </c>
      <c r="H441" s="6">
        <v>50</v>
      </c>
      <c r="I441" s="8" t="s">
        <v>719</v>
      </c>
      <c r="J441" s="6">
        <v>2</v>
      </c>
      <c r="K441" s="6">
        <v>6</v>
      </c>
      <c r="L441" s="6">
        <v>20</v>
      </c>
      <c r="M441" s="6">
        <v>0</v>
      </c>
      <c r="N441" s="6">
        <v>120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6</v>
      </c>
      <c r="W441" s="6">
        <v>0</v>
      </c>
      <c r="X441" s="6">
        <v>0</v>
      </c>
      <c r="Y441" s="6">
        <v>0</v>
      </c>
      <c r="Z441" s="6">
        <v>0</v>
      </c>
      <c r="AA441" s="6">
        <v>0</v>
      </c>
      <c r="AB441" s="6">
        <v>0</v>
      </c>
      <c r="AC441" s="7">
        <v>0</v>
      </c>
      <c r="AD441" s="7">
        <v>24</v>
      </c>
      <c r="AE441" s="7">
        <v>0</v>
      </c>
      <c r="AF441" s="7">
        <v>0</v>
      </c>
      <c r="AG441" s="7">
        <v>0</v>
      </c>
      <c r="AH441" s="7">
        <v>0</v>
      </c>
      <c r="AI441" s="7">
        <v>6.0000000000000001E-3</v>
      </c>
      <c r="AJ441" s="7">
        <v>0</v>
      </c>
      <c r="AK441" s="7">
        <v>20005</v>
      </c>
      <c r="AL441" s="6">
        <v>1</v>
      </c>
      <c r="AM441" s="7">
        <v>1500</v>
      </c>
      <c r="AN441" s="6" t="s">
        <v>63</v>
      </c>
      <c r="AO441" s="6" t="s">
        <v>730</v>
      </c>
    </row>
    <row r="442" spans="1:41" ht="16.5">
      <c r="A442" s="6">
        <v>20265</v>
      </c>
      <c r="B442" s="22" t="s">
        <v>1202</v>
      </c>
      <c r="C442" s="22" t="s">
        <v>163</v>
      </c>
      <c r="D442" s="22" t="s">
        <v>134</v>
      </c>
      <c r="E442" s="14">
        <v>11006</v>
      </c>
      <c r="F442" s="65">
        <v>2000</v>
      </c>
      <c r="G442" s="6">
        <v>300</v>
      </c>
      <c r="H442" s="6">
        <v>50</v>
      </c>
      <c r="I442" s="8" t="s">
        <v>719</v>
      </c>
      <c r="J442" s="6">
        <v>2</v>
      </c>
      <c r="K442" s="6">
        <v>6</v>
      </c>
      <c r="L442" s="6">
        <v>20</v>
      </c>
      <c r="M442" s="6">
        <v>0</v>
      </c>
      <c r="N442" s="6">
        <v>120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v>6</v>
      </c>
      <c r="W442" s="6">
        <v>0</v>
      </c>
      <c r="X442" s="6">
        <v>0</v>
      </c>
      <c r="Y442" s="6">
        <v>0</v>
      </c>
      <c r="Z442" s="6">
        <v>0</v>
      </c>
      <c r="AA442" s="6">
        <v>0</v>
      </c>
      <c r="AB442" s="6">
        <v>0</v>
      </c>
      <c r="AC442" s="7">
        <v>0</v>
      </c>
      <c r="AD442" s="7">
        <v>24</v>
      </c>
      <c r="AE442" s="7">
        <v>0</v>
      </c>
      <c r="AF442" s="7">
        <v>0</v>
      </c>
      <c r="AG442" s="7">
        <v>0</v>
      </c>
      <c r="AH442" s="7">
        <v>0</v>
      </c>
      <c r="AI442" s="7">
        <v>6.0000000000000001E-3</v>
      </c>
      <c r="AJ442" s="7">
        <v>0</v>
      </c>
      <c r="AK442" s="7">
        <v>20005</v>
      </c>
      <c r="AL442" s="6">
        <v>1</v>
      </c>
      <c r="AM442" s="7">
        <v>1500</v>
      </c>
      <c r="AN442" s="6" t="s">
        <v>63</v>
      </c>
      <c r="AO442" s="6" t="s">
        <v>730</v>
      </c>
    </row>
    <row r="443" spans="1:41" ht="16.5">
      <c r="A443" s="6">
        <v>20266</v>
      </c>
      <c r="B443" s="22" t="s">
        <v>1203</v>
      </c>
      <c r="C443" s="22" t="s">
        <v>163</v>
      </c>
      <c r="D443" s="22" t="s">
        <v>134</v>
      </c>
      <c r="E443" s="14">
        <v>11006</v>
      </c>
      <c r="F443" s="65">
        <v>2000</v>
      </c>
      <c r="G443" s="6">
        <v>300</v>
      </c>
      <c r="H443" s="6">
        <v>50</v>
      </c>
      <c r="I443" s="8" t="s">
        <v>719</v>
      </c>
      <c r="J443" s="6">
        <v>2</v>
      </c>
      <c r="K443" s="6">
        <v>6</v>
      </c>
      <c r="L443" s="6">
        <v>20</v>
      </c>
      <c r="M443" s="6">
        <v>0</v>
      </c>
      <c r="N443" s="6">
        <v>120</v>
      </c>
      <c r="O443" s="6">
        <v>0</v>
      </c>
      <c r="P443" s="6">
        <v>0</v>
      </c>
      <c r="Q443" s="6">
        <v>0</v>
      </c>
      <c r="R443" s="6">
        <v>0</v>
      </c>
      <c r="S443" s="6">
        <v>0</v>
      </c>
      <c r="T443" s="6">
        <v>0</v>
      </c>
      <c r="U443" s="6">
        <v>0</v>
      </c>
      <c r="V443" s="6">
        <v>6</v>
      </c>
      <c r="W443" s="6">
        <v>0</v>
      </c>
      <c r="X443" s="6">
        <v>0</v>
      </c>
      <c r="Y443" s="6">
        <v>0</v>
      </c>
      <c r="Z443" s="6">
        <v>0</v>
      </c>
      <c r="AA443" s="6">
        <v>0</v>
      </c>
      <c r="AB443" s="6">
        <v>0</v>
      </c>
      <c r="AC443" s="7">
        <v>0</v>
      </c>
      <c r="AD443" s="7">
        <v>24</v>
      </c>
      <c r="AE443" s="7">
        <v>0</v>
      </c>
      <c r="AF443" s="7">
        <v>0</v>
      </c>
      <c r="AG443" s="7">
        <v>0</v>
      </c>
      <c r="AH443" s="7">
        <v>0</v>
      </c>
      <c r="AI443" s="7">
        <v>6.0000000000000001E-3</v>
      </c>
      <c r="AJ443" s="7">
        <v>0</v>
      </c>
      <c r="AK443" s="7">
        <v>20005</v>
      </c>
      <c r="AL443" s="6">
        <v>1</v>
      </c>
      <c r="AM443" s="7">
        <v>1500</v>
      </c>
      <c r="AN443" s="6" t="s">
        <v>63</v>
      </c>
      <c r="AO443" s="6" t="s">
        <v>730</v>
      </c>
    </row>
    <row r="444" spans="1:41" ht="16.5">
      <c r="A444" s="6">
        <v>20267</v>
      </c>
      <c r="B444" s="22" t="s">
        <v>1204</v>
      </c>
      <c r="C444" s="22" t="s">
        <v>163</v>
      </c>
      <c r="D444" s="22" t="s">
        <v>134</v>
      </c>
      <c r="E444" s="14">
        <v>11006</v>
      </c>
      <c r="F444" s="65">
        <v>2000</v>
      </c>
      <c r="G444" s="6">
        <v>300</v>
      </c>
      <c r="H444" s="6">
        <v>50</v>
      </c>
      <c r="I444" s="8" t="s">
        <v>719</v>
      </c>
      <c r="J444" s="6">
        <v>2</v>
      </c>
      <c r="K444" s="6">
        <v>6</v>
      </c>
      <c r="L444" s="6">
        <v>20</v>
      </c>
      <c r="M444" s="6">
        <v>0</v>
      </c>
      <c r="N444" s="6">
        <v>120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v>6</v>
      </c>
      <c r="W444" s="6">
        <v>0</v>
      </c>
      <c r="X444" s="6">
        <v>0</v>
      </c>
      <c r="Y444" s="6">
        <v>0</v>
      </c>
      <c r="Z444" s="6">
        <v>0</v>
      </c>
      <c r="AA444" s="6">
        <v>0</v>
      </c>
      <c r="AB444" s="6">
        <v>0</v>
      </c>
      <c r="AC444" s="7">
        <v>0</v>
      </c>
      <c r="AD444" s="7">
        <v>24</v>
      </c>
      <c r="AE444" s="7">
        <v>0</v>
      </c>
      <c r="AF444" s="7">
        <v>0</v>
      </c>
      <c r="AG444" s="7">
        <v>0</v>
      </c>
      <c r="AH444" s="7">
        <v>0</v>
      </c>
      <c r="AI444" s="7">
        <v>6.0000000000000001E-3</v>
      </c>
      <c r="AJ444" s="7">
        <v>0</v>
      </c>
      <c r="AK444" s="7">
        <v>20005</v>
      </c>
      <c r="AL444" s="6">
        <v>1</v>
      </c>
      <c r="AM444" s="7">
        <v>1500</v>
      </c>
      <c r="AN444" s="6" t="s">
        <v>63</v>
      </c>
      <c r="AO444" s="6" t="s">
        <v>730</v>
      </c>
    </row>
    <row r="445" spans="1:41" ht="16.5">
      <c r="A445" s="6">
        <v>20268</v>
      </c>
      <c r="B445" s="22" t="s">
        <v>1205</v>
      </c>
      <c r="C445" s="22" t="s">
        <v>163</v>
      </c>
      <c r="D445" s="22" t="s">
        <v>134</v>
      </c>
      <c r="E445" s="14">
        <v>11006</v>
      </c>
      <c r="F445" s="65">
        <v>2000</v>
      </c>
      <c r="G445" s="6">
        <v>300</v>
      </c>
      <c r="H445" s="6">
        <v>50</v>
      </c>
      <c r="I445" s="8" t="s">
        <v>719</v>
      </c>
      <c r="J445" s="6">
        <v>2</v>
      </c>
      <c r="K445" s="6">
        <v>6</v>
      </c>
      <c r="L445" s="6">
        <v>20</v>
      </c>
      <c r="M445" s="6">
        <v>0</v>
      </c>
      <c r="N445" s="6">
        <v>120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6</v>
      </c>
      <c r="W445" s="6">
        <v>0</v>
      </c>
      <c r="X445" s="6">
        <v>0</v>
      </c>
      <c r="Y445" s="6">
        <v>0</v>
      </c>
      <c r="Z445" s="6">
        <v>0</v>
      </c>
      <c r="AA445" s="6">
        <v>0</v>
      </c>
      <c r="AB445" s="6">
        <v>0</v>
      </c>
      <c r="AC445" s="7">
        <v>0</v>
      </c>
      <c r="AD445" s="7">
        <v>24</v>
      </c>
      <c r="AE445" s="7">
        <v>0</v>
      </c>
      <c r="AF445" s="7">
        <v>0</v>
      </c>
      <c r="AG445" s="7">
        <v>0</v>
      </c>
      <c r="AH445" s="7">
        <v>0</v>
      </c>
      <c r="AI445" s="7">
        <v>6.0000000000000001E-3</v>
      </c>
      <c r="AJ445" s="7">
        <v>0</v>
      </c>
      <c r="AK445" s="7">
        <v>20005</v>
      </c>
      <c r="AL445" s="6">
        <v>1</v>
      </c>
      <c r="AM445" s="7">
        <v>1500</v>
      </c>
      <c r="AN445" s="6" t="s">
        <v>63</v>
      </c>
      <c r="AO445" s="6" t="s">
        <v>730</v>
      </c>
    </row>
    <row r="446" spans="1:41" ht="16.5">
      <c r="A446" s="6">
        <v>20269</v>
      </c>
      <c r="B446" s="22" t="s">
        <v>1206</v>
      </c>
      <c r="C446" s="22" t="s">
        <v>163</v>
      </c>
      <c r="D446" s="22" t="s">
        <v>134</v>
      </c>
      <c r="E446" s="14">
        <v>11006</v>
      </c>
      <c r="F446" s="65">
        <v>2000</v>
      </c>
      <c r="G446" s="6">
        <v>300</v>
      </c>
      <c r="H446" s="6">
        <v>50</v>
      </c>
      <c r="I446" s="8" t="s">
        <v>719</v>
      </c>
      <c r="J446" s="6">
        <v>2</v>
      </c>
      <c r="K446" s="6">
        <v>6</v>
      </c>
      <c r="L446" s="6">
        <v>20</v>
      </c>
      <c r="M446" s="6">
        <v>0</v>
      </c>
      <c r="N446" s="6">
        <v>120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v>6</v>
      </c>
      <c r="W446" s="6">
        <v>0</v>
      </c>
      <c r="X446" s="6">
        <v>0</v>
      </c>
      <c r="Y446" s="6">
        <v>0</v>
      </c>
      <c r="Z446" s="6">
        <v>0</v>
      </c>
      <c r="AA446" s="6">
        <v>0</v>
      </c>
      <c r="AB446" s="6">
        <v>0</v>
      </c>
      <c r="AC446" s="7">
        <v>0</v>
      </c>
      <c r="AD446" s="7">
        <v>24</v>
      </c>
      <c r="AE446" s="7">
        <v>0</v>
      </c>
      <c r="AF446" s="7">
        <v>0</v>
      </c>
      <c r="AG446" s="7">
        <v>0</v>
      </c>
      <c r="AH446" s="7">
        <v>0</v>
      </c>
      <c r="AI446" s="7">
        <v>6.0000000000000001E-3</v>
      </c>
      <c r="AJ446" s="7">
        <v>0</v>
      </c>
      <c r="AK446" s="7">
        <v>20005</v>
      </c>
      <c r="AL446" s="6">
        <v>1</v>
      </c>
      <c r="AM446" s="7">
        <v>1500</v>
      </c>
      <c r="AN446" s="6" t="s">
        <v>63</v>
      </c>
      <c r="AO446" s="6" t="s">
        <v>730</v>
      </c>
    </row>
    <row r="447" spans="1:41" ht="16.5">
      <c r="A447" s="6">
        <v>20270</v>
      </c>
      <c r="B447" s="22" t="s">
        <v>1207</v>
      </c>
      <c r="C447" s="22" t="s">
        <v>163</v>
      </c>
      <c r="D447" s="22" t="s">
        <v>134</v>
      </c>
      <c r="E447" s="14">
        <v>11006</v>
      </c>
      <c r="F447" s="65">
        <v>2000</v>
      </c>
      <c r="G447" s="6">
        <v>300</v>
      </c>
      <c r="H447" s="6">
        <v>50</v>
      </c>
      <c r="I447" s="8" t="s">
        <v>719</v>
      </c>
      <c r="J447" s="6">
        <v>2</v>
      </c>
      <c r="K447" s="6">
        <v>6</v>
      </c>
      <c r="L447" s="6">
        <v>20</v>
      </c>
      <c r="M447" s="6">
        <v>0</v>
      </c>
      <c r="N447" s="6">
        <v>120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0</v>
      </c>
      <c r="V447" s="6">
        <v>6</v>
      </c>
      <c r="W447" s="6">
        <v>0</v>
      </c>
      <c r="X447" s="6">
        <v>0</v>
      </c>
      <c r="Y447" s="6">
        <v>0</v>
      </c>
      <c r="Z447" s="6">
        <v>0</v>
      </c>
      <c r="AA447" s="6">
        <v>0</v>
      </c>
      <c r="AB447" s="6">
        <v>0</v>
      </c>
      <c r="AC447" s="7">
        <v>0</v>
      </c>
      <c r="AD447" s="7">
        <v>24</v>
      </c>
      <c r="AE447" s="7">
        <v>0</v>
      </c>
      <c r="AF447" s="7">
        <v>0</v>
      </c>
      <c r="AG447" s="7">
        <v>0</v>
      </c>
      <c r="AH447" s="7">
        <v>0</v>
      </c>
      <c r="AI447" s="7">
        <v>6.0000000000000001E-3</v>
      </c>
      <c r="AJ447" s="7">
        <v>0</v>
      </c>
      <c r="AK447" s="7">
        <v>20005</v>
      </c>
      <c r="AL447" s="6">
        <v>1</v>
      </c>
      <c r="AM447" s="7">
        <v>1500</v>
      </c>
      <c r="AN447" s="6" t="s">
        <v>63</v>
      </c>
      <c r="AO447" s="6" t="s">
        <v>730</v>
      </c>
    </row>
    <row r="448" spans="1:41" ht="16.5">
      <c r="A448" s="6">
        <v>202711</v>
      </c>
      <c r="B448" s="22" t="s">
        <v>1208</v>
      </c>
      <c r="C448" s="22" t="s">
        <v>163</v>
      </c>
      <c r="D448" s="22" t="s">
        <v>134</v>
      </c>
      <c r="E448" s="14">
        <v>11006</v>
      </c>
      <c r="F448" s="65">
        <v>2000</v>
      </c>
      <c r="G448" s="6">
        <v>300</v>
      </c>
      <c r="H448" s="6">
        <v>50</v>
      </c>
      <c r="I448" s="8" t="s">
        <v>719</v>
      </c>
      <c r="J448" s="6">
        <v>2</v>
      </c>
      <c r="K448" s="6">
        <v>6</v>
      </c>
      <c r="L448" s="6">
        <v>20</v>
      </c>
      <c r="M448" s="6">
        <v>0</v>
      </c>
      <c r="N448" s="6">
        <v>120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v>6</v>
      </c>
      <c r="W448" s="6">
        <v>0</v>
      </c>
      <c r="X448" s="6">
        <v>0</v>
      </c>
      <c r="Y448" s="6">
        <v>0</v>
      </c>
      <c r="Z448" s="6">
        <v>0</v>
      </c>
      <c r="AA448" s="6">
        <v>0</v>
      </c>
      <c r="AB448" s="6">
        <v>0</v>
      </c>
      <c r="AC448" s="7">
        <v>0</v>
      </c>
      <c r="AD448" s="7">
        <v>24</v>
      </c>
      <c r="AE448" s="7">
        <v>0</v>
      </c>
      <c r="AF448" s="7">
        <v>0</v>
      </c>
      <c r="AG448" s="7">
        <v>0</v>
      </c>
      <c r="AH448" s="7">
        <v>0</v>
      </c>
      <c r="AI448" s="7">
        <v>6.0000000000000001E-3</v>
      </c>
      <c r="AJ448" s="7">
        <v>0</v>
      </c>
      <c r="AK448" s="7">
        <v>20005</v>
      </c>
      <c r="AL448" s="6">
        <v>1</v>
      </c>
      <c r="AM448" s="7">
        <v>1500</v>
      </c>
      <c r="AN448" s="6" t="s">
        <v>63</v>
      </c>
      <c r="AO448" s="6" t="s">
        <v>730</v>
      </c>
    </row>
    <row r="449" spans="1:41" ht="16.5">
      <c r="A449" s="6">
        <v>202712</v>
      </c>
      <c r="B449" s="22" t="s">
        <v>1209</v>
      </c>
      <c r="C449" s="22" t="s">
        <v>163</v>
      </c>
      <c r="D449" s="22" t="s">
        <v>134</v>
      </c>
      <c r="E449" s="14">
        <v>11006</v>
      </c>
      <c r="F449" s="65">
        <v>2000</v>
      </c>
      <c r="G449" s="6">
        <v>300</v>
      </c>
      <c r="H449" s="6">
        <v>50</v>
      </c>
      <c r="I449" s="8" t="s">
        <v>719</v>
      </c>
      <c r="J449" s="6">
        <v>2</v>
      </c>
      <c r="K449" s="6">
        <v>6</v>
      </c>
      <c r="L449" s="6">
        <v>20</v>
      </c>
      <c r="M449" s="6">
        <v>0</v>
      </c>
      <c r="N449" s="6">
        <v>120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6</v>
      </c>
      <c r="W449" s="6">
        <v>0</v>
      </c>
      <c r="X449" s="6">
        <v>0</v>
      </c>
      <c r="Y449" s="6">
        <v>0</v>
      </c>
      <c r="Z449" s="6">
        <v>0</v>
      </c>
      <c r="AA449" s="6">
        <v>0</v>
      </c>
      <c r="AB449" s="6">
        <v>0</v>
      </c>
      <c r="AC449" s="7">
        <v>0</v>
      </c>
      <c r="AD449" s="7">
        <v>24</v>
      </c>
      <c r="AE449" s="7">
        <v>0</v>
      </c>
      <c r="AF449" s="7">
        <v>0</v>
      </c>
      <c r="AG449" s="7">
        <v>0</v>
      </c>
      <c r="AH449" s="7">
        <v>0</v>
      </c>
      <c r="AI449" s="7">
        <v>6.0000000000000001E-3</v>
      </c>
      <c r="AJ449" s="7">
        <v>0</v>
      </c>
      <c r="AK449" s="7">
        <v>20005</v>
      </c>
      <c r="AL449" s="6">
        <v>1</v>
      </c>
      <c r="AM449" s="7">
        <v>1500</v>
      </c>
      <c r="AN449" s="6" t="s">
        <v>63</v>
      </c>
      <c r="AO449" s="6" t="s">
        <v>730</v>
      </c>
    </row>
    <row r="450" spans="1:41" ht="16.5">
      <c r="A450" s="6">
        <v>202713</v>
      </c>
      <c r="B450" s="22" t="s">
        <v>1210</v>
      </c>
      <c r="C450" s="22" t="s">
        <v>163</v>
      </c>
      <c r="D450" s="22" t="s">
        <v>134</v>
      </c>
      <c r="E450" s="14">
        <v>11006</v>
      </c>
      <c r="F450" s="65">
        <v>2000</v>
      </c>
      <c r="G450" s="6">
        <v>300</v>
      </c>
      <c r="H450" s="6">
        <v>50</v>
      </c>
      <c r="I450" s="8" t="s">
        <v>719</v>
      </c>
      <c r="J450" s="6">
        <v>2</v>
      </c>
      <c r="K450" s="6">
        <v>6</v>
      </c>
      <c r="L450" s="6">
        <v>20</v>
      </c>
      <c r="M450" s="6">
        <v>0</v>
      </c>
      <c r="N450" s="6">
        <v>120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6</v>
      </c>
      <c r="W450" s="6">
        <v>0</v>
      </c>
      <c r="X450" s="6">
        <v>0</v>
      </c>
      <c r="Y450" s="6">
        <v>0</v>
      </c>
      <c r="Z450" s="6">
        <v>0</v>
      </c>
      <c r="AA450" s="6">
        <v>0</v>
      </c>
      <c r="AB450" s="6">
        <v>0</v>
      </c>
      <c r="AC450" s="7">
        <v>0</v>
      </c>
      <c r="AD450" s="7">
        <v>24</v>
      </c>
      <c r="AE450" s="7">
        <v>0</v>
      </c>
      <c r="AF450" s="7">
        <v>0</v>
      </c>
      <c r="AG450" s="7">
        <v>0</v>
      </c>
      <c r="AH450" s="7">
        <v>0</v>
      </c>
      <c r="AI450" s="7">
        <v>6.0000000000000001E-3</v>
      </c>
      <c r="AJ450" s="7">
        <v>0</v>
      </c>
      <c r="AK450" s="7">
        <v>20005</v>
      </c>
      <c r="AL450" s="6">
        <v>1</v>
      </c>
      <c r="AM450" s="7">
        <v>1500</v>
      </c>
      <c r="AN450" s="6" t="s">
        <v>63</v>
      </c>
      <c r="AO450" s="6" t="s">
        <v>730</v>
      </c>
    </row>
    <row r="451" spans="1:41" ht="16.5">
      <c r="A451" s="6">
        <v>27</v>
      </c>
      <c r="B451" s="22" t="s">
        <v>1211</v>
      </c>
      <c r="C451" s="22" t="s">
        <v>163</v>
      </c>
      <c r="D451" s="8" t="s">
        <v>110</v>
      </c>
      <c r="E451" s="14">
        <v>11007</v>
      </c>
      <c r="F451" s="65">
        <v>2000</v>
      </c>
      <c r="G451" s="6">
        <v>300</v>
      </c>
      <c r="H451" s="6">
        <v>50</v>
      </c>
      <c r="I451" s="8" t="s">
        <v>720</v>
      </c>
      <c r="J451" s="6">
        <v>2</v>
      </c>
      <c r="K451" s="6">
        <v>6</v>
      </c>
      <c r="L451" s="6">
        <v>20</v>
      </c>
      <c r="M451" s="6">
        <v>3000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150</v>
      </c>
      <c r="V451" s="6">
        <v>0</v>
      </c>
      <c r="W451" s="6">
        <v>0</v>
      </c>
      <c r="X451" s="6">
        <v>0</v>
      </c>
      <c r="Y451" s="6">
        <v>0</v>
      </c>
      <c r="Z451" s="6">
        <v>0</v>
      </c>
      <c r="AA451" s="6">
        <v>0</v>
      </c>
      <c r="AB451" s="6">
        <v>0</v>
      </c>
      <c r="AC451" s="7">
        <v>600</v>
      </c>
      <c r="AD451" s="7">
        <v>0</v>
      </c>
      <c r="AE451" s="7">
        <v>0</v>
      </c>
      <c r="AF451" s="7">
        <v>0</v>
      </c>
      <c r="AG451" s="7">
        <v>3.0000000000000001E-3</v>
      </c>
      <c r="AH451" s="7">
        <v>0</v>
      </c>
      <c r="AI451" s="7">
        <v>0</v>
      </c>
      <c r="AJ451" s="7">
        <v>0</v>
      </c>
      <c r="AK451" s="7">
        <v>20005</v>
      </c>
      <c r="AL451" s="6">
        <v>3</v>
      </c>
      <c r="AM451" s="7">
        <v>1500</v>
      </c>
      <c r="AN451" s="6" t="s">
        <v>63</v>
      </c>
      <c r="AO451" s="6" t="s">
        <v>731</v>
      </c>
    </row>
    <row r="452" spans="1:41" ht="16.5">
      <c r="A452" s="6">
        <v>2027</v>
      </c>
      <c r="B452" s="22" t="s">
        <v>1212</v>
      </c>
      <c r="C452" s="22" t="s">
        <v>163</v>
      </c>
      <c r="D452" s="8" t="s">
        <v>110</v>
      </c>
      <c r="E452" s="14">
        <v>11007</v>
      </c>
      <c r="F452" s="65">
        <v>2000</v>
      </c>
      <c r="G452" s="6">
        <v>300</v>
      </c>
      <c r="H452" s="6">
        <v>50</v>
      </c>
      <c r="I452" s="8" t="s">
        <v>720</v>
      </c>
      <c r="J452" s="6">
        <v>2</v>
      </c>
      <c r="K452" s="6">
        <v>6</v>
      </c>
      <c r="L452" s="6">
        <v>20</v>
      </c>
      <c r="M452" s="6">
        <v>3000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150</v>
      </c>
      <c r="V452" s="6">
        <v>0</v>
      </c>
      <c r="W452" s="6">
        <v>0</v>
      </c>
      <c r="X452" s="6">
        <v>0</v>
      </c>
      <c r="Y452" s="6">
        <v>0</v>
      </c>
      <c r="Z452" s="6">
        <v>0</v>
      </c>
      <c r="AA452" s="6">
        <v>0</v>
      </c>
      <c r="AB452" s="6">
        <v>0</v>
      </c>
      <c r="AC452" s="7">
        <v>600</v>
      </c>
      <c r="AD452" s="7">
        <v>0</v>
      </c>
      <c r="AE452" s="7">
        <v>0</v>
      </c>
      <c r="AF452" s="7">
        <v>0</v>
      </c>
      <c r="AG452" s="7">
        <v>3.0000000000000001E-3</v>
      </c>
      <c r="AH452" s="7">
        <v>0</v>
      </c>
      <c r="AI452" s="7">
        <v>0</v>
      </c>
      <c r="AJ452" s="7">
        <v>0</v>
      </c>
      <c r="AK452" s="7">
        <v>20005</v>
      </c>
      <c r="AL452" s="6">
        <v>3</v>
      </c>
      <c r="AM452" s="7">
        <v>1500</v>
      </c>
      <c r="AN452" s="6" t="s">
        <v>63</v>
      </c>
      <c r="AO452" s="6" t="s">
        <v>731</v>
      </c>
    </row>
    <row r="453" spans="1:41" ht="16.5">
      <c r="A453" s="6">
        <v>20271</v>
      </c>
      <c r="B453" s="22" t="s">
        <v>1213</v>
      </c>
      <c r="C453" s="22" t="s">
        <v>163</v>
      </c>
      <c r="D453" s="8" t="s">
        <v>110</v>
      </c>
      <c r="E453" s="14">
        <v>11007</v>
      </c>
      <c r="F453" s="65">
        <v>2000</v>
      </c>
      <c r="G453" s="6">
        <v>300</v>
      </c>
      <c r="H453" s="6">
        <v>50</v>
      </c>
      <c r="I453" s="8" t="s">
        <v>720</v>
      </c>
      <c r="J453" s="6">
        <v>2</v>
      </c>
      <c r="K453" s="6">
        <v>6</v>
      </c>
      <c r="L453" s="6">
        <v>20</v>
      </c>
      <c r="M453" s="6">
        <v>3000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150</v>
      </c>
      <c r="V453" s="6">
        <v>0</v>
      </c>
      <c r="W453" s="6">
        <v>0</v>
      </c>
      <c r="X453" s="6">
        <v>0</v>
      </c>
      <c r="Y453" s="6">
        <v>0</v>
      </c>
      <c r="Z453" s="6">
        <v>0</v>
      </c>
      <c r="AA453" s="6">
        <v>0</v>
      </c>
      <c r="AB453" s="6">
        <v>0</v>
      </c>
      <c r="AC453" s="7">
        <v>600</v>
      </c>
      <c r="AD453" s="7">
        <v>0</v>
      </c>
      <c r="AE453" s="7">
        <v>0</v>
      </c>
      <c r="AF453" s="7">
        <v>0</v>
      </c>
      <c r="AG453" s="7">
        <v>3.0000000000000001E-3</v>
      </c>
      <c r="AH453" s="7">
        <v>0</v>
      </c>
      <c r="AI453" s="7">
        <v>0</v>
      </c>
      <c r="AJ453" s="7">
        <v>0</v>
      </c>
      <c r="AK453" s="7">
        <v>20005</v>
      </c>
      <c r="AL453" s="6">
        <v>3</v>
      </c>
      <c r="AM453" s="7">
        <v>1500</v>
      </c>
      <c r="AN453" s="6" t="s">
        <v>63</v>
      </c>
      <c r="AO453" s="6" t="s">
        <v>731</v>
      </c>
    </row>
    <row r="454" spans="1:41" ht="16.5">
      <c r="A454" s="6">
        <v>20272</v>
      </c>
      <c r="B454" s="22" t="s">
        <v>1214</v>
      </c>
      <c r="C454" s="22" t="s">
        <v>163</v>
      </c>
      <c r="D454" s="8" t="s">
        <v>110</v>
      </c>
      <c r="E454" s="14">
        <v>11007</v>
      </c>
      <c r="F454" s="65">
        <v>2000</v>
      </c>
      <c r="G454" s="6">
        <v>300</v>
      </c>
      <c r="H454" s="6">
        <v>50</v>
      </c>
      <c r="I454" s="8" t="s">
        <v>720</v>
      </c>
      <c r="J454" s="6">
        <v>2</v>
      </c>
      <c r="K454" s="6">
        <v>6</v>
      </c>
      <c r="L454" s="6">
        <v>20</v>
      </c>
      <c r="M454" s="6">
        <v>3000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150</v>
      </c>
      <c r="V454" s="6">
        <v>0</v>
      </c>
      <c r="W454" s="6">
        <v>0</v>
      </c>
      <c r="X454" s="6">
        <v>0</v>
      </c>
      <c r="Y454" s="6">
        <v>0</v>
      </c>
      <c r="Z454" s="6">
        <v>0</v>
      </c>
      <c r="AA454" s="6">
        <v>0</v>
      </c>
      <c r="AB454" s="6">
        <v>0</v>
      </c>
      <c r="AC454" s="7">
        <v>600</v>
      </c>
      <c r="AD454" s="7">
        <v>0</v>
      </c>
      <c r="AE454" s="7">
        <v>0</v>
      </c>
      <c r="AF454" s="7">
        <v>0</v>
      </c>
      <c r="AG454" s="7">
        <v>3.0000000000000001E-3</v>
      </c>
      <c r="AH454" s="7">
        <v>0</v>
      </c>
      <c r="AI454" s="7">
        <v>0</v>
      </c>
      <c r="AJ454" s="7">
        <v>0</v>
      </c>
      <c r="AK454" s="7">
        <v>20005</v>
      </c>
      <c r="AL454" s="6">
        <v>3</v>
      </c>
      <c r="AM454" s="7">
        <v>1500</v>
      </c>
      <c r="AN454" s="6" t="s">
        <v>63</v>
      </c>
      <c r="AO454" s="6" t="s">
        <v>731</v>
      </c>
    </row>
    <row r="455" spans="1:41" ht="16.5">
      <c r="A455" s="6">
        <v>20273</v>
      </c>
      <c r="B455" s="22" t="s">
        <v>1215</v>
      </c>
      <c r="C455" s="22" t="s">
        <v>163</v>
      </c>
      <c r="D455" s="8" t="s">
        <v>110</v>
      </c>
      <c r="E455" s="14">
        <v>11007</v>
      </c>
      <c r="F455" s="65">
        <v>2000</v>
      </c>
      <c r="G455" s="6">
        <v>300</v>
      </c>
      <c r="H455" s="6">
        <v>50</v>
      </c>
      <c r="I455" s="8" t="s">
        <v>720</v>
      </c>
      <c r="J455" s="6">
        <v>2</v>
      </c>
      <c r="K455" s="6">
        <v>6</v>
      </c>
      <c r="L455" s="6">
        <v>20</v>
      </c>
      <c r="M455" s="6">
        <v>3000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150</v>
      </c>
      <c r="V455" s="6">
        <v>0</v>
      </c>
      <c r="W455" s="6">
        <v>0</v>
      </c>
      <c r="X455" s="6">
        <v>0</v>
      </c>
      <c r="Y455" s="6">
        <v>0</v>
      </c>
      <c r="Z455" s="6">
        <v>0</v>
      </c>
      <c r="AA455" s="6">
        <v>0</v>
      </c>
      <c r="AB455" s="6">
        <v>0</v>
      </c>
      <c r="AC455" s="7">
        <v>600</v>
      </c>
      <c r="AD455" s="7">
        <v>0</v>
      </c>
      <c r="AE455" s="7">
        <v>0</v>
      </c>
      <c r="AF455" s="7">
        <v>0</v>
      </c>
      <c r="AG455" s="7">
        <v>3.0000000000000001E-3</v>
      </c>
      <c r="AH455" s="7">
        <v>0</v>
      </c>
      <c r="AI455" s="7">
        <v>0</v>
      </c>
      <c r="AJ455" s="7">
        <v>0</v>
      </c>
      <c r="AK455" s="7">
        <v>20005</v>
      </c>
      <c r="AL455" s="6">
        <v>3</v>
      </c>
      <c r="AM455" s="7">
        <v>1500</v>
      </c>
      <c r="AN455" s="6" t="s">
        <v>63</v>
      </c>
      <c r="AO455" s="6" t="s">
        <v>731</v>
      </c>
    </row>
    <row r="456" spans="1:41" ht="16.5">
      <c r="A456" s="6">
        <v>20274</v>
      </c>
      <c r="B456" s="22" t="s">
        <v>1216</v>
      </c>
      <c r="C456" s="22" t="s">
        <v>163</v>
      </c>
      <c r="D456" s="8" t="s">
        <v>110</v>
      </c>
      <c r="E456" s="14">
        <v>11007</v>
      </c>
      <c r="F456" s="65">
        <v>2000</v>
      </c>
      <c r="G456" s="6">
        <v>300</v>
      </c>
      <c r="H456" s="6">
        <v>50</v>
      </c>
      <c r="I456" s="8" t="s">
        <v>720</v>
      </c>
      <c r="J456" s="6">
        <v>2</v>
      </c>
      <c r="K456" s="6">
        <v>6</v>
      </c>
      <c r="L456" s="6">
        <v>20</v>
      </c>
      <c r="M456" s="6">
        <v>3000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150</v>
      </c>
      <c r="V456" s="6">
        <v>0</v>
      </c>
      <c r="W456" s="6">
        <v>0</v>
      </c>
      <c r="X456" s="6">
        <v>0</v>
      </c>
      <c r="Y456" s="6">
        <v>0</v>
      </c>
      <c r="Z456" s="6">
        <v>0</v>
      </c>
      <c r="AA456" s="6">
        <v>0</v>
      </c>
      <c r="AB456" s="6">
        <v>0</v>
      </c>
      <c r="AC456" s="7">
        <v>600</v>
      </c>
      <c r="AD456" s="7">
        <v>0</v>
      </c>
      <c r="AE456" s="7">
        <v>0</v>
      </c>
      <c r="AF456" s="7">
        <v>0</v>
      </c>
      <c r="AG456" s="7">
        <v>3.0000000000000001E-3</v>
      </c>
      <c r="AH456" s="7">
        <v>0</v>
      </c>
      <c r="AI456" s="7">
        <v>0</v>
      </c>
      <c r="AJ456" s="7">
        <v>0</v>
      </c>
      <c r="AK456" s="7">
        <v>20005</v>
      </c>
      <c r="AL456" s="6">
        <v>3</v>
      </c>
      <c r="AM456" s="7">
        <v>1500</v>
      </c>
      <c r="AN456" s="6" t="s">
        <v>63</v>
      </c>
      <c r="AO456" s="6" t="s">
        <v>731</v>
      </c>
    </row>
    <row r="457" spans="1:41" ht="16.5">
      <c r="A457" s="6">
        <v>20275</v>
      </c>
      <c r="B457" s="22" t="s">
        <v>1217</v>
      </c>
      <c r="C457" s="22" t="s">
        <v>163</v>
      </c>
      <c r="D457" s="8" t="s">
        <v>110</v>
      </c>
      <c r="E457" s="14">
        <v>11007</v>
      </c>
      <c r="F457" s="65">
        <v>2000</v>
      </c>
      <c r="G457" s="6">
        <v>300</v>
      </c>
      <c r="H457" s="6">
        <v>50</v>
      </c>
      <c r="I457" s="8" t="s">
        <v>720</v>
      </c>
      <c r="J457" s="6">
        <v>2</v>
      </c>
      <c r="K457" s="6">
        <v>6</v>
      </c>
      <c r="L457" s="6">
        <v>20</v>
      </c>
      <c r="M457" s="6">
        <v>3000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150</v>
      </c>
      <c r="V457" s="6">
        <v>0</v>
      </c>
      <c r="W457" s="6">
        <v>0</v>
      </c>
      <c r="X457" s="6">
        <v>0</v>
      </c>
      <c r="Y457" s="6">
        <v>0</v>
      </c>
      <c r="Z457" s="6">
        <v>0</v>
      </c>
      <c r="AA457" s="6">
        <v>0</v>
      </c>
      <c r="AB457" s="6">
        <v>0</v>
      </c>
      <c r="AC457" s="7">
        <v>600</v>
      </c>
      <c r="AD457" s="7">
        <v>0</v>
      </c>
      <c r="AE457" s="7">
        <v>0</v>
      </c>
      <c r="AF457" s="7">
        <v>0</v>
      </c>
      <c r="AG457" s="7">
        <v>3.0000000000000001E-3</v>
      </c>
      <c r="AH457" s="7">
        <v>0</v>
      </c>
      <c r="AI457" s="7">
        <v>0</v>
      </c>
      <c r="AJ457" s="7">
        <v>0</v>
      </c>
      <c r="AK457" s="7">
        <v>20005</v>
      </c>
      <c r="AL457" s="6">
        <v>3</v>
      </c>
      <c r="AM457" s="7">
        <v>1500</v>
      </c>
      <c r="AN457" s="6" t="s">
        <v>63</v>
      </c>
      <c r="AO457" s="6" t="s">
        <v>731</v>
      </c>
    </row>
    <row r="458" spans="1:41" ht="16.5">
      <c r="A458" s="6">
        <v>20276</v>
      </c>
      <c r="B458" s="22" t="s">
        <v>1218</v>
      </c>
      <c r="C458" s="22" t="s">
        <v>163</v>
      </c>
      <c r="D458" s="8" t="s">
        <v>110</v>
      </c>
      <c r="E458" s="14">
        <v>11007</v>
      </c>
      <c r="F458" s="65">
        <v>2000</v>
      </c>
      <c r="G458" s="6">
        <v>300</v>
      </c>
      <c r="H458" s="6">
        <v>50</v>
      </c>
      <c r="I458" s="8" t="s">
        <v>720</v>
      </c>
      <c r="J458" s="6">
        <v>2</v>
      </c>
      <c r="K458" s="6">
        <v>6</v>
      </c>
      <c r="L458" s="6">
        <v>20</v>
      </c>
      <c r="M458" s="6">
        <v>3000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150</v>
      </c>
      <c r="V458" s="6">
        <v>0</v>
      </c>
      <c r="W458" s="6">
        <v>0</v>
      </c>
      <c r="X458" s="6">
        <v>0</v>
      </c>
      <c r="Y458" s="6">
        <v>0</v>
      </c>
      <c r="Z458" s="6">
        <v>0</v>
      </c>
      <c r="AA458" s="6">
        <v>0</v>
      </c>
      <c r="AB458" s="6">
        <v>0</v>
      </c>
      <c r="AC458" s="7">
        <v>600</v>
      </c>
      <c r="AD458" s="7">
        <v>0</v>
      </c>
      <c r="AE458" s="7">
        <v>0</v>
      </c>
      <c r="AF458" s="7">
        <v>0</v>
      </c>
      <c r="AG458" s="7">
        <v>3.0000000000000001E-3</v>
      </c>
      <c r="AH458" s="7">
        <v>0</v>
      </c>
      <c r="AI458" s="7">
        <v>0</v>
      </c>
      <c r="AJ458" s="7">
        <v>0</v>
      </c>
      <c r="AK458" s="7">
        <v>20005</v>
      </c>
      <c r="AL458" s="6">
        <v>3</v>
      </c>
      <c r="AM458" s="7">
        <v>1500</v>
      </c>
      <c r="AN458" s="6" t="s">
        <v>63</v>
      </c>
      <c r="AO458" s="6" t="s">
        <v>731</v>
      </c>
    </row>
    <row r="459" spans="1:41" ht="16.5">
      <c r="A459" s="6">
        <v>20277</v>
      </c>
      <c r="B459" s="22" t="s">
        <v>1219</v>
      </c>
      <c r="C459" s="22" t="s">
        <v>163</v>
      </c>
      <c r="D459" s="8" t="s">
        <v>110</v>
      </c>
      <c r="E459" s="14">
        <v>11007</v>
      </c>
      <c r="F459" s="65">
        <v>2000</v>
      </c>
      <c r="G459" s="6">
        <v>300</v>
      </c>
      <c r="H459" s="6">
        <v>50</v>
      </c>
      <c r="I459" s="8" t="s">
        <v>720</v>
      </c>
      <c r="J459" s="6">
        <v>2</v>
      </c>
      <c r="K459" s="6">
        <v>6</v>
      </c>
      <c r="L459" s="6">
        <v>20</v>
      </c>
      <c r="M459" s="6">
        <v>3000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150</v>
      </c>
      <c r="V459" s="6">
        <v>0</v>
      </c>
      <c r="W459" s="6">
        <v>0</v>
      </c>
      <c r="X459" s="6">
        <v>0</v>
      </c>
      <c r="Y459" s="6">
        <v>0</v>
      </c>
      <c r="Z459" s="6">
        <v>0</v>
      </c>
      <c r="AA459" s="6">
        <v>0</v>
      </c>
      <c r="AB459" s="6">
        <v>0</v>
      </c>
      <c r="AC459" s="7">
        <v>600</v>
      </c>
      <c r="AD459" s="7">
        <v>0</v>
      </c>
      <c r="AE459" s="7">
        <v>0</v>
      </c>
      <c r="AF459" s="7">
        <v>0</v>
      </c>
      <c r="AG459" s="7">
        <v>3.0000000000000001E-3</v>
      </c>
      <c r="AH459" s="7">
        <v>0</v>
      </c>
      <c r="AI459" s="7">
        <v>0</v>
      </c>
      <c r="AJ459" s="7">
        <v>0</v>
      </c>
      <c r="AK459" s="7">
        <v>20005</v>
      </c>
      <c r="AL459" s="6">
        <v>3</v>
      </c>
      <c r="AM459" s="7">
        <v>1500</v>
      </c>
      <c r="AN459" s="6" t="s">
        <v>63</v>
      </c>
      <c r="AO459" s="6" t="s">
        <v>731</v>
      </c>
    </row>
    <row r="460" spans="1:41" ht="16.5">
      <c r="A460" s="6">
        <v>20278</v>
      </c>
      <c r="B460" s="22" t="s">
        <v>1220</v>
      </c>
      <c r="C460" s="22" t="s">
        <v>163</v>
      </c>
      <c r="D460" s="8" t="s">
        <v>110</v>
      </c>
      <c r="E460" s="14">
        <v>11007</v>
      </c>
      <c r="F460" s="65">
        <v>2000</v>
      </c>
      <c r="G460" s="6">
        <v>300</v>
      </c>
      <c r="H460" s="6">
        <v>50</v>
      </c>
      <c r="I460" s="8" t="s">
        <v>720</v>
      </c>
      <c r="J460" s="6">
        <v>2</v>
      </c>
      <c r="K460" s="6">
        <v>6</v>
      </c>
      <c r="L460" s="6">
        <v>20</v>
      </c>
      <c r="M460" s="6">
        <v>3000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150</v>
      </c>
      <c r="V460" s="6">
        <v>0</v>
      </c>
      <c r="W460" s="6">
        <v>0</v>
      </c>
      <c r="X460" s="6">
        <v>0</v>
      </c>
      <c r="Y460" s="6">
        <v>0</v>
      </c>
      <c r="Z460" s="6">
        <v>0</v>
      </c>
      <c r="AA460" s="6">
        <v>0</v>
      </c>
      <c r="AB460" s="6">
        <v>0</v>
      </c>
      <c r="AC460" s="7">
        <v>600</v>
      </c>
      <c r="AD460" s="7">
        <v>0</v>
      </c>
      <c r="AE460" s="7">
        <v>0</v>
      </c>
      <c r="AF460" s="7">
        <v>0</v>
      </c>
      <c r="AG460" s="7">
        <v>3.0000000000000001E-3</v>
      </c>
      <c r="AH460" s="7">
        <v>0</v>
      </c>
      <c r="AI460" s="7">
        <v>0</v>
      </c>
      <c r="AJ460" s="7">
        <v>0</v>
      </c>
      <c r="AK460" s="7">
        <v>20005</v>
      </c>
      <c r="AL460" s="6">
        <v>3</v>
      </c>
      <c r="AM460" s="7">
        <v>1500</v>
      </c>
      <c r="AN460" s="6" t="s">
        <v>63</v>
      </c>
      <c r="AO460" s="6" t="s">
        <v>731</v>
      </c>
    </row>
    <row r="461" spans="1:41" ht="16.5">
      <c r="A461" s="6">
        <v>20279</v>
      </c>
      <c r="B461" s="22" t="s">
        <v>1221</v>
      </c>
      <c r="C461" s="22" t="s">
        <v>163</v>
      </c>
      <c r="D461" s="8" t="s">
        <v>110</v>
      </c>
      <c r="E461" s="14">
        <v>11007</v>
      </c>
      <c r="F461" s="65">
        <v>2000</v>
      </c>
      <c r="G461" s="6">
        <v>300</v>
      </c>
      <c r="H461" s="6">
        <v>50</v>
      </c>
      <c r="I461" s="8" t="s">
        <v>720</v>
      </c>
      <c r="J461" s="6">
        <v>2</v>
      </c>
      <c r="K461" s="6">
        <v>6</v>
      </c>
      <c r="L461" s="6">
        <v>20</v>
      </c>
      <c r="M461" s="6">
        <v>3000</v>
      </c>
      <c r="N461" s="6">
        <v>0</v>
      </c>
      <c r="O461" s="6">
        <v>0</v>
      </c>
      <c r="P461" s="6">
        <v>0</v>
      </c>
      <c r="Q461" s="6">
        <v>0</v>
      </c>
      <c r="R461" s="6">
        <v>0</v>
      </c>
      <c r="S461" s="6">
        <v>0</v>
      </c>
      <c r="T461" s="6">
        <v>0</v>
      </c>
      <c r="U461" s="6">
        <v>150</v>
      </c>
      <c r="V461" s="6">
        <v>0</v>
      </c>
      <c r="W461" s="6">
        <v>0</v>
      </c>
      <c r="X461" s="6">
        <v>0</v>
      </c>
      <c r="Y461" s="6">
        <v>0</v>
      </c>
      <c r="Z461" s="6">
        <v>0</v>
      </c>
      <c r="AA461" s="6">
        <v>0</v>
      </c>
      <c r="AB461" s="6">
        <v>0</v>
      </c>
      <c r="AC461" s="7">
        <v>600</v>
      </c>
      <c r="AD461" s="7">
        <v>0</v>
      </c>
      <c r="AE461" s="7">
        <v>0</v>
      </c>
      <c r="AF461" s="7">
        <v>0</v>
      </c>
      <c r="AG461" s="7">
        <v>3.0000000000000001E-3</v>
      </c>
      <c r="AH461" s="7">
        <v>0</v>
      </c>
      <c r="AI461" s="7">
        <v>0</v>
      </c>
      <c r="AJ461" s="7">
        <v>0</v>
      </c>
      <c r="AK461" s="7">
        <v>20005</v>
      </c>
      <c r="AL461" s="6">
        <v>3</v>
      </c>
      <c r="AM461" s="7">
        <v>1500</v>
      </c>
      <c r="AN461" s="6" t="s">
        <v>63</v>
      </c>
      <c r="AO461" s="6" t="s">
        <v>731</v>
      </c>
    </row>
    <row r="462" spans="1:41" ht="16.5">
      <c r="A462" s="6">
        <v>20280</v>
      </c>
      <c r="B462" s="22" t="s">
        <v>1222</v>
      </c>
      <c r="C462" s="22" t="s">
        <v>163</v>
      </c>
      <c r="D462" s="8" t="s">
        <v>110</v>
      </c>
      <c r="E462" s="14">
        <v>11007</v>
      </c>
      <c r="F462" s="65">
        <v>2000</v>
      </c>
      <c r="G462" s="6">
        <v>300</v>
      </c>
      <c r="H462" s="6">
        <v>50</v>
      </c>
      <c r="I462" s="8" t="s">
        <v>720</v>
      </c>
      <c r="J462" s="6">
        <v>2</v>
      </c>
      <c r="K462" s="6">
        <v>6</v>
      </c>
      <c r="L462" s="6">
        <v>20</v>
      </c>
      <c r="M462" s="6">
        <v>3000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150</v>
      </c>
      <c r="V462" s="6">
        <v>0</v>
      </c>
      <c r="W462" s="6">
        <v>0</v>
      </c>
      <c r="X462" s="6">
        <v>0</v>
      </c>
      <c r="Y462" s="6">
        <v>0</v>
      </c>
      <c r="Z462" s="6">
        <v>0</v>
      </c>
      <c r="AA462" s="6">
        <v>0</v>
      </c>
      <c r="AB462" s="6">
        <v>0</v>
      </c>
      <c r="AC462" s="7">
        <v>600</v>
      </c>
      <c r="AD462" s="7">
        <v>0</v>
      </c>
      <c r="AE462" s="7">
        <v>0</v>
      </c>
      <c r="AF462" s="7">
        <v>0</v>
      </c>
      <c r="AG462" s="7">
        <v>3.0000000000000001E-3</v>
      </c>
      <c r="AH462" s="7">
        <v>0</v>
      </c>
      <c r="AI462" s="7">
        <v>0</v>
      </c>
      <c r="AJ462" s="7">
        <v>0</v>
      </c>
      <c r="AK462" s="7">
        <v>20005</v>
      </c>
      <c r="AL462" s="6">
        <v>3</v>
      </c>
      <c r="AM462" s="7">
        <v>1500</v>
      </c>
      <c r="AN462" s="6" t="s">
        <v>63</v>
      </c>
      <c r="AO462" s="6" t="s">
        <v>731</v>
      </c>
    </row>
    <row r="463" spans="1:41" ht="16.5">
      <c r="A463" s="6">
        <v>202811</v>
      </c>
      <c r="B463" s="22" t="s">
        <v>1223</v>
      </c>
      <c r="C463" s="22" t="s">
        <v>163</v>
      </c>
      <c r="D463" s="8" t="s">
        <v>110</v>
      </c>
      <c r="E463" s="14">
        <v>11007</v>
      </c>
      <c r="F463" s="65">
        <v>2000</v>
      </c>
      <c r="G463" s="6">
        <v>300</v>
      </c>
      <c r="H463" s="6">
        <v>50</v>
      </c>
      <c r="I463" s="8" t="s">
        <v>720</v>
      </c>
      <c r="J463" s="6">
        <v>2</v>
      </c>
      <c r="K463" s="6">
        <v>6</v>
      </c>
      <c r="L463" s="6">
        <v>20</v>
      </c>
      <c r="M463" s="6">
        <v>3000</v>
      </c>
      <c r="N463" s="6">
        <v>0</v>
      </c>
      <c r="O463" s="6"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  <c r="U463" s="6">
        <v>150</v>
      </c>
      <c r="V463" s="6">
        <v>0</v>
      </c>
      <c r="W463" s="6">
        <v>0</v>
      </c>
      <c r="X463" s="6">
        <v>0</v>
      </c>
      <c r="Y463" s="6">
        <v>0</v>
      </c>
      <c r="Z463" s="6">
        <v>0</v>
      </c>
      <c r="AA463" s="6">
        <v>0</v>
      </c>
      <c r="AB463" s="6">
        <v>0</v>
      </c>
      <c r="AC463" s="7">
        <v>600</v>
      </c>
      <c r="AD463" s="7">
        <v>0</v>
      </c>
      <c r="AE463" s="7">
        <v>0</v>
      </c>
      <c r="AF463" s="7">
        <v>0</v>
      </c>
      <c r="AG463" s="7">
        <v>3.0000000000000001E-3</v>
      </c>
      <c r="AH463" s="7">
        <v>0</v>
      </c>
      <c r="AI463" s="7">
        <v>0</v>
      </c>
      <c r="AJ463" s="7">
        <v>0</v>
      </c>
      <c r="AK463" s="7">
        <v>20005</v>
      </c>
      <c r="AL463" s="6">
        <v>3</v>
      </c>
      <c r="AM463" s="7">
        <v>1500</v>
      </c>
      <c r="AN463" s="6" t="s">
        <v>63</v>
      </c>
      <c r="AO463" s="6" t="s">
        <v>731</v>
      </c>
    </row>
    <row r="464" spans="1:41" ht="16.5">
      <c r="A464" s="6">
        <v>202812</v>
      </c>
      <c r="B464" s="22" t="s">
        <v>1224</v>
      </c>
      <c r="C464" s="22" t="s">
        <v>163</v>
      </c>
      <c r="D464" s="8" t="s">
        <v>110</v>
      </c>
      <c r="E464" s="14">
        <v>11007</v>
      </c>
      <c r="F464" s="65">
        <v>2000</v>
      </c>
      <c r="G464" s="6">
        <v>300</v>
      </c>
      <c r="H464" s="6">
        <v>50</v>
      </c>
      <c r="I464" s="8" t="s">
        <v>720</v>
      </c>
      <c r="J464" s="6">
        <v>2</v>
      </c>
      <c r="K464" s="6">
        <v>6</v>
      </c>
      <c r="L464" s="6">
        <v>20</v>
      </c>
      <c r="M464" s="6">
        <v>3000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150</v>
      </c>
      <c r="V464" s="6">
        <v>0</v>
      </c>
      <c r="W464" s="6">
        <v>0</v>
      </c>
      <c r="X464" s="6">
        <v>0</v>
      </c>
      <c r="Y464" s="6">
        <v>0</v>
      </c>
      <c r="Z464" s="6">
        <v>0</v>
      </c>
      <c r="AA464" s="6">
        <v>0</v>
      </c>
      <c r="AB464" s="6">
        <v>0</v>
      </c>
      <c r="AC464" s="7">
        <v>600</v>
      </c>
      <c r="AD464" s="7">
        <v>0</v>
      </c>
      <c r="AE464" s="7">
        <v>0</v>
      </c>
      <c r="AF464" s="7">
        <v>0</v>
      </c>
      <c r="AG464" s="7">
        <v>3.0000000000000001E-3</v>
      </c>
      <c r="AH464" s="7">
        <v>0</v>
      </c>
      <c r="AI464" s="7">
        <v>0</v>
      </c>
      <c r="AJ464" s="7">
        <v>0</v>
      </c>
      <c r="AK464" s="7">
        <v>20005</v>
      </c>
      <c r="AL464" s="6">
        <v>3</v>
      </c>
      <c r="AM464" s="7">
        <v>1500</v>
      </c>
      <c r="AN464" s="6" t="s">
        <v>63</v>
      </c>
      <c r="AO464" s="6" t="s">
        <v>731</v>
      </c>
    </row>
    <row r="465" spans="1:41" ht="16.5">
      <c r="A465" s="6">
        <v>202813</v>
      </c>
      <c r="B465" s="22" t="s">
        <v>1225</v>
      </c>
      <c r="C465" s="22" t="s">
        <v>163</v>
      </c>
      <c r="D465" s="8" t="s">
        <v>110</v>
      </c>
      <c r="E465" s="14">
        <v>11007</v>
      </c>
      <c r="F465" s="65">
        <v>2000</v>
      </c>
      <c r="G465" s="6">
        <v>300</v>
      </c>
      <c r="H465" s="6">
        <v>50</v>
      </c>
      <c r="I465" s="8" t="s">
        <v>720</v>
      </c>
      <c r="J465" s="6">
        <v>2</v>
      </c>
      <c r="K465" s="6">
        <v>6</v>
      </c>
      <c r="L465" s="6">
        <v>20</v>
      </c>
      <c r="M465" s="6">
        <v>3000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150</v>
      </c>
      <c r="V465" s="6">
        <v>0</v>
      </c>
      <c r="W465" s="6">
        <v>0</v>
      </c>
      <c r="X465" s="6">
        <v>0</v>
      </c>
      <c r="Y465" s="6">
        <v>0</v>
      </c>
      <c r="Z465" s="6">
        <v>0</v>
      </c>
      <c r="AA465" s="6">
        <v>0</v>
      </c>
      <c r="AB465" s="6">
        <v>0</v>
      </c>
      <c r="AC465" s="7">
        <v>600</v>
      </c>
      <c r="AD465" s="7">
        <v>0</v>
      </c>
      <c r="AE465" s="7">
        <v>0</v>
      </c>
      <c r="AF465" s="7">
        <v>0</v>
      </c>
      <c r="AG465" s="7">
        <v>3.0000000000000001E-3</v>
      </c>
      <c r="AH465" s="7">
        <v>0</v>
      </c>
      <c r="AI465" s="7">
        <v>0</v>
      </c>
      <c r="AJ465" s="7">
        <v>0</v>
      </c>
      <c r="AK465" s="7">
        <v>20005</v>
      </c>
      <c r="AL465" s="6">
        <v>3</v>
      </c>
      <c r="AM465" s="7">
        <v>1500</v>
      </c>
      <c r="AN465" s="6" t="s">
        <v>63</v>
      </c>
      <c r="AO465" s="6" t="s">
        <v>731</v>
      </c>
    </row>
    <row r="466" spans="1:41" ht="16.5">
      <c r="A466" s="6">
        <v>28</v>
      </c>
      <c r="B466" s="22" t="s">
        <v>1226</v>
      </c>
      <c r="C466" s="22" t="s">
        <v>163</v>
      </c>
      <c r="D466" s="8" t="s">
        <v>111</v>
      </c>
      <c r="E466" s="14">
        <v>11008</v>
      </c>
      <c r="F466" s="65">
        <v>2000</v>
      </c>
      <c r="G466" s="6">
        <v>300</v>
      </c>
      <c r="H466" s="6">
        <v>50</v>
      </c>
      <c r="I466" s="8" t="s">
        <v>159</v>
      </c>
      <c r="J466" s="6">
        <v>2</v>
      </c>
      <c r="K466" s="6">
        <v>6</v>
      </c>
      <c r="L466" s="6">
        <v>20</v>
      </c>
      <c r="M466" s="6">
        <v>0</v>
      </c>
      <c r="N466" s="6">
        <v>0</v>
      </c>
      <c r="O466" s="6">
        <v>0</v>
      </c>
      <c r="P466" s="6">
        <v>60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W466" s="6">
        <v>0</v>
      </c>
      <c r="X466" s="6">
        <v>3</v>
      </c>
      <c r="Y466" s="6">
        <v>0</v>
      </c>
      <c r="Z466" s="6">
        <v>0</v>
      </c>
      <c r="AA466" s="6">
        <v>0</v>
      </c>
      <c r="AB466" s="6">
        <v>0</v>
      </c>
      <c r="AC466" s="7">
        <v>0</v>
      </c>
      <c r="AD466" s="7">
        <v>0</v>
      </c>
      <c r="AE466" s="7">
        <v>0</v>
      </c>
      <c r="AF466" s="7">
        <v>12</v>
      </c>
      <c r="AG466" s="7">
        <v>0</v>
      </c>
      <c r="AH466" s="7">
        <v>3.0000000000000001E-3</v>
      </c>
      <c r="AI466" s="7">
        <v>0</v>
      </c>
      <c r="AJ466" s="7">
        <v>0</v>
      </c>
      <c r="AK466" s="7">
        <v>20005</v>
      </c>
      <c r="AL466" s="6">
        <v>4</v>
      </c>
      <c r="AM466" s="7">
        <v>1500</v>
      </c>
      <c r="AN466" s="6" t="s">
        <v>63</v>
      </c>
      <c r="AO466" s="6" t="s">
        <v>732</v>
      </c>
    </row>
    <row r="467" spans="1:41" ht="16.5">
      <c r="A467" s="6">
        <v>2028</v>
      </c>
      <c r="B467" s="22" t="s">
        <v>1227</v>
      </c>
      <c r="C467" s="22" t="s">
        <v>163</v>
      </c>
      <c r="D467" s="8" t="s">
        <v>111</v>
      </c>
      <c r="E467" s="14">
        <v>11008</v>
      </c>
      <c r="F467" s="65">
        <v>2000</v>
      </c>
      <c r="G467" s="6">
        <v>300</v>
      </c>
      <c r="H467" s="6">
        <v>50</v>
      </c>
      <c r="I467" s="8" t="s">
        <v>159</v>
      </c>
      <c r="J467" s="6">
        <v>2</v>
      </c>
      <c r="K467" s="6">
        <v>6</v>
      </c>
      <c r="L467" s="6">
        <v>20</v>
      </c>
      <c r="M467" s="6">
        <v>0</v>
      </c>
      <c r="N467" s="6">
        <v>0</v>
      </c>
      <c r="O467" s="6">
        <v>0</v>
      </c>
      <c r="P467" s="6">
        <v>60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W467" s="6">
        <v>0</v>
      </c>
      <c r="X467" s="6">
        <v>3</v>
      </c>
      <c r="Y467" s="6">
        <v>0</v>
      </c>
      <c r="Z467" s="6">
        <v>0</v>
      </c>
      <c r="AA467" s="6">
        <v>0</v>
      </c>
      <c r="AB467" s="6">
        <v>0</v>
      </c>
      <c r="AC467" s="7">
        <v>0</v>
      </c>
      <c r="AD467" s="7">
        <v>0</v>
      </c>
      <c r="AE467" s="7">
        <v>0</v>
      </c>
      <c r="AF467" s="7">
        <v>12</v>
      </c>
      <c r="AG467" s="7">
        <v>0</v>
      </c>
      <c r="AH467" s="7">
        <v>3.0000000000000001E-3</v>
      </c>
      <c r="AI467" s="7">
        <v>0</v>
      </c>
      <c r="AJ467" s="7">
        <v>0</v>
      </c>
      <c r="AK467" s="7">
        <v>20005</v>
      </c>
      <c r="AL467" s="6">
        <v>4</v>
      </c>
      <c r="AM467" s="7">
        <v>1500</v>
      </c>
      <c r="AN467" s="6" t="s">
        <v>63</v>
      </c>
      <c r="AO467" s="6" t="s">
        <v>732</v>
      </c>
    </row>
    <row r="468" spans="1:41" ht="16.5">
      <c r="A468" s="6">
        <v>20281</v>
      </c>
      <c r="B468" s="22" t="s">
        <v>1228</v>
      </c>
      <c r="C468" s="22" t="s">
        <v>163</v>
      </c>
      <c r="D468" s="8" t="s">
        <v>111</v>
      </c>
      <c r="E468" s="14">
        <v>11008</v>
      </c>
      <c r="F468" s="65">
        <v>2000</v>
      </c>
      <c r="G468" s="6">
        <v>300</v>
      </c>
      <c r="H468" s="6">
        <v>50</v>
      </c>
      <c r="I468" s="8" t="s">
        <v>159</v>
      </c>
      <c r="J468" s="6">
        <v>2</v>
      </c>
      <c r="K468" s="6">
        <v>6</v>
      </c>
      <c r="L468" s="6">
        <v>20</v>
      </c>
      <c r="M468" s="6">
        <v>0</v>
      </c>
      <c r="N468" s="6">
        <v>0</v>
      </c>
      <c r="O468" s="6">
        <v>0</v>
      </c>
      <c r="P468" s="6">
        <v>60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v>0</v>
      </c>
      <c r="W468" s="6">
        <v>0</v>
      </c>
      <c r="X468" s="6">
        <v>3</v>
      </c>
      <c r="Y468" s="6">
        <v>0</v>
      </c>
      <c r="Z468" s="6">
        <v>0</v>
      </c>
      <c r="AA468" s="6">
        <v>0</v>
      </c>
      <c r="AB468" s="6">
        <v>0</v>
      </c>
      <c r="AC468" s="7">
        <v>0</v>
      </c>
      <c r="AD468" s="7">
        <v>0</v>
      </c>
      <c r="AE468" s="7">
        <v>0</v>
      </c>
      <c r="AF468" s="7">
        <v>12</v>
      </c>
      <c r="AG468" s="7">
        <v>0</v>
      </c>
      <c r="AH468" s="7">
        <v>3.0000000000000001E-3</v>
      </c>
      <c r="AI468" s="7">
        <v>0</v>
      </c>
      <c r="AJ468" s="7">
        <v>0</v>
      </c>
      <c r="AK468" s="7">
        <v>20005</v>
      </c>
      <c r="AL468" s="6">
        <v>4</v>
      </c>
      <c r="AM468" s="7">
        <v>1500</v>
      </c>
      <c r="AN468" s="6" t="s">
        <v>63</v>
      </c>
      <c r="AO468" s="6" t="s">
        <v>732</v>
      </c>
    </row>
    <row r="469" spans="1:41" ht="16.5">
      <c r="A469" s="6">
        <v>20282</v>
      </c>
      <c r="B469" s="22" t="s">
        <v>1229</v>
      </c>
      <c r="C469" s="22" t="s">
        <v>163</v>
      </c>
      <c r="D469" s="8" t="s">
        <v>111</v>
      </c>
      <c r="E469" s="14">
        <v>11008</v>
      </c>
      <c r="F469" s="65">
        <v>2000</v>
      </c>
      <c r="G469" s="6">
        <v>300</v>
      </c>
      <c r="H469" s="6">
        <v>50</v>
      </c>
      <c r="I469" s="8" t="s">
        <v>159</v>
      </c>
      <c r="J469" s="6">
        <v>2</v>
      </c>
      <c r="K469" s="6">
        <v>6</v>
      </c>
      <c r="L469" s="6">
        <v>20</v>
      </c>
      <c r="M469" s="6">
        <v>0</v>
      </c>
      <c r="N469" s="6">
        <v>0</v>
      </c>
      <c r="O469" s="6">
        <v>0</v>
      </c>
      <c r="P469" s="6">
        <v>60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W469" s="6">
        <v>0</v>
      </c>
      <c r="X469" s="6">
        <v>3</v>
      </c>
      <c r="Y469" s="6">
        <v>0</v>
      </c>
      <c r="Z469" s="6">
        <v>0</v>
      </c>
      <c r="AA469" s="6">
        <v>0</v>
      </c>
      <c r="AB469" s="6">
        <v>0</v>
      </c>
      <c r="AC469" s="7">
        <v>0</v>
      </c>
      <c r="AD469" s="7">
        <v>0</v>
      </c>
      <c r="AE469" s="7">
        <v>0</v>
      </c>
      <c r="AF469" s="7">
        <v>12</v>
      </c>
      <c r="AG469" s="7">
        <v>0</v>
      </c>
      <c r="AH469" s="7">
        <v>3.0000000000000001E-3</v>
      </c>
      <c r="AI469" s="7">
        <v>0</v>
      </c>
      <c r="AJ469" s="7">
        <v>0</v>
      </c>
      <c r="AK469" s="7">
        <v>20005</v>
      </c>
      <c r="AL469" s="6">
        <v>4</v>
      </c>
      <c r="AM469" s="7">
        <v>1500</v>
      </c>
      <c r="AN469" s="6" t="s">
        <v>63</v>
      </c>
      <c r="AO469" s="6" t="s">
        <v>732</v>
      </c>
    </row>
    <row r="470" spans="1:41" ht="16.5">
      <c r="A470" s="6">
        <v>20283</v>
      </c>
      <c r="B470" s="22" t="s">
        <v>1230</v>
      </c>
      <c r="C470" s="22" t="s">
        <v>163</v>
      </c>
      <c r="D470" s="8" t="s">
        <v>111</v>
      </c>
      <c r="E470" s="14">
        <v>11008</v>
      </c>
      <c r="F470" s="65">
        <v>2000</v>
      </c>
      <c r="G470" s="6">
        <v>300</v>
      </c>
      <c r="H470" s="6">
        <v>50</v>
      </c>
      <c r="I470" s="8" t="s">
        <v>159</v>
      </c>
      <c r="J470" s="6">
        <v>2</v>
      </c>
      <c r="K470" s="6">
        <v>6</v>
      </c>
      <c r="L470" s="6">
        <v>20</v>
      </c>
      <c r="M470" s="6">
        <v>0</v>
      </c>
      <c r="N470" s="6">
        <v>0</v>
      </c>
      <c r="O470" s="6">
        <v>0</v>
      </c>
      <c r="P470" s="6">
        <v>60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W470" s="6">
        <v>0</v>
      </c>
      <c r="X470" s="6">
        <v>3</v>
      </c>
      <c r="Y470" s="6">
        <v>0</v>
      </c>
      <c r="Z470" s="6">
        <v>0</v>
      </c>
      <c r="AA470" s="6">
        <v>0</v>
      </c>
      <c r="AB470" s="6">
        <v>0</v>
      </c>
      <c r="AC470" s="7">
        <v>0</v>
      </c>
      <c r="AD470" s="7">
        <v>0</v>
      </c>
      <c r="AE470" s="7">
        <v>0</v>
      </c>
      <c r="AF470" s="7">
        <v>12</v>
      </c>
      <c r="AG470" s="7">
        <v>0</v>
      </c>
      <c r="AH470" s="7">
        <v>3.0000000000000001E-3</v>
      </c>
      <c r="AI470" s="7">
        <v>0</v>
      </c>
      <c r="AJ470" s="7">
        <v>0</v>
      </c>
      <c r="AK470" s="7">
        <v>20005</v>
      </c>
      <c r="AL470" s="6">
        <v>4</v>
      </c>
      <c r="AM470" s="7">
        <v>1500</v>
      </c>
      <c r="AN470" s="6" t="s">
        <v>63</v>
      </c>
      <c r="AO470" s="6" t="s">
        <v>732</v>
      </c>
    </row>
    <row r="471" spans="1:41" ht="16.5">
      <c r="A471" s="6">
        <v>20284</v>
      </c>
      <c r="B471" s="22" t="s">
        <v>1231</v>
      </c>
      <c r="C471" s="22" t="s">
        <v>163</v>
      </c>
      <c r="D471" s="8" t="s">
        <v>111</v>
      </c>
      <c r="E471" s="14">
        <v>11008</v>
      </c>
      <c r="F471" s="65">
        <v>2000</v>
      </c>
      <c r="G471" s="6">
        <v>300</v>
      </c>
      <c r="H471" s="6">
        <v>50</v>
      </c>
      <c r="I471" s="8" t="s">
        <v>159</v>
      </c>
      <c r="J471" s="6">
        <v>2</v>
      </c>
      <c r="K471" s="6">
        <v>6</v>
      </c>
      <c r="L471" s="6">
        <v>20</v>
      </c>
      <c r="M471" s="6">
        <v>0</v>
      </c>
      <c r="N471" s="6">
        <v>0</v>
      </c>
      <c r="O471" s="6">
        <v>0</v>
      </c>
      <c r="P471" s="6">
        <v>60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W471" s="6">
        <v>0</v>
      </c>
      <c r="X471" s="6">
        <v>3</v>
      </c>
      <c r="Y471" s="6">
        <v>0</v>
      </c>
      <c r="Z471" s="6">
        <v>0</v>
      </c>
      <c r="AA471" s="6">
        <v>0</v>
      </c>
      <c r="AB471" s="6">
        <v>0</v>
      </c>
      <c r="AC471" s="7">
        <v>0</v>
      </c>
      <c r="AD471" s="7">
        <v>0</v>
      </c>
      <c r="AE471" s="7">
        <v>0</v>
      </c>
      <c r="AF471" s="7">
        <v>12</v>
      </c>
      <c r="AG471" s="7">
        <v>0</v>
      </c>
      <c r="AH471" s="7">
        <v>3.0000000000000001E-3</v>
      </c>
      <c r="AI471" s="7">
        <v>0</v>
      </c>
      <c r="AJ471" s="7">
        <v>0</v>
      </c>
      <c r="AK471" s="7">
        <v>20005</v>
      </c>
      <c r="AL471" s="6">
        <v>4</v>
      </c>
      <c r="AM471" s="7">
        <v>1500</v>
      </c>
      <c r="AN471" s="6" t="s">
        <v>63</v>
      </c>
      <c r="AO471" s="6" t="s">
        <v>732</v>
      </c>
    </row>
    <row r="472" spans="1:41" ht="16.5">
      <c r="A472" s="6">
        <v>20285</v>
      </c>
      <c r="B472" s="22" t="s">
        <v>1232</v>
      </c>
      <c r="C472" s="22" t="s">
        <v>163</v>
      </c>
      <c r="D472" s="8" t="s">
        <v>111</v>
      </c>
      <c r="E472" s="14">
        <v>11008</v>
      </c>
      <c r="F472" s="65">
        <v>2000</v>
      </c>
      <c r="G472" s="6">
        <v>300</v>
      </c>
      <c r="H472" s="6">
        <v>50</v>
      </c>
      <c r="I472" s="8" t="s">
        <v>159</v>
      </c>
      <c r="J472" s="6">
        <v>2</v>
      </c>
      <c r="K472" s="6">
        <v>6</v>
      </c>
      <c r="L472" s="6">
        <v>20</v>
      </c>
      <c r="M472" s="6">
        <v>0</v>
      </c>
      <c r="N472" s="6">
        <v>0</v>
      </c>
      <c r="O472" s="6">
        <v>0</v>
      </c>
      <c r="P472" s="6">
        <v>60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W472" s="6">
        <v>0</v>
      </c>
      <c r="X472" s="6">
        <v>3</v>
      </c>
      <c r="Y472" s="6">
        <v>0</v>
      </c>
      <c r="Z472" s="6">
        <v>0</v>
      </c>
      <c r="AA472" s="6">
        <v>0</v>
      </c>
      <c r="AB472" s="6">
        <v>0</v>
      </c>
      <c r="AC472" s="7">
        <v>0</v>
      </c>
      <c r="AD472" s="7">
        <v>0</v>
      </c>
      <c r="AE472" s="7">
        <v>0</v>
      </c>
      <c r="AF472" s="7">
        <v>12</v>
      </c>
      <c r="AG472" s="7">
        <v>0</v>
      </c>
      <c r="AH472" s="7">
        <v>3.0000000000000001E-3</v>
      </c>
      <c r="AI472" s="7">
        <v>0</v>
      </c>
      <c r="AJ472" s="7">
        <v>0</v>
      </c>
      <c r="AK472" s="7">
        <v>20005</v>
      </c>
      <c r="AL472" s="6">
        <v>4</v>
      </c>
      <c r="AM472" s="7">
        <v>1500</v>
      </c>
      <c r="AN472" s="6" t="s">
        <v>63</v>
      </c>
      <c r="AO472" s="6" t="s">
        <v>732</v>
      </c>
    </row>
    <row r="473" spans="1:41" ht="16.5">
      <c r="A473" s="6">
        <v>20286</v>
      </c>
      <c r="B473" s="22" t="s">
        <v>1233</v>
      </c>
      <c r="C473" s="22" t="s">
        <v>163</v>
      </c>
      <c r="D473" s="8" t="s">
        <v>111</v>
      </c>
      <c r="E473" s="14">
        <v>11008</v>
      </c>
      <c r="F473" s="65">
        <v>2000</v>
      </c>
      <c r="G473" s="6">
        <v>300</v>
      </c>
      <c r="H473" s="6">
        <v>50</v>
      </c>
      <c r="I473" s="8" t="s">
        <v>159</v>
      </c>
      <c r="J473" s="6">
        <v>2</v>
      </c>
      <c r="K473" s="6">
        <v>6</v>
      </c>
      <c r="L473" s="6">
        <v>20</v>
      </c>
      <c r="M473" s="6">
        <v>0</v>
      </c>
      <c r="N473" s="6">
        <v>0</v>
      </c>
      <c r="O473" s="6">
        <v>0</v>
      </c>
      <c r="P473" s="6">
        <v>60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W473" s="6">
        <v>0</v>
      </c>
      <c r="X473" s="6">
        <v>3</v>
      </c>
      <c r="Y473" s="6">
        <v>0</v>
      </c>
      <c r="Z473" s="6">
        <v>0</v>
      </c>
      <c r="AA473" s="6">
        <v>0</v>
      </c>
      <c r="AB473" s="6">
        <v>0</v>
      </c>
      <c r="AC473" s="7">
        <v>0</v>
      </c>
      <c r="AD473" s="7">
        <v>0</v>
      </c>
      <c r="AE473" s="7">
        <v>0</v>
      </c>
      <c r="AF473" s="7">
        <v>12</v>
      </c>
      <c r="AG473" s="7">
        <v>0</v>
      </c>
      <c r="AH473" s="7">
        <v>3.0000000000000001E-3</v>
      </c>
      <c r="AI473" s="7">
        <v>0</v>
      </c>
      <c r="AJ473" s="7">
        <v>0</v>
      </c>
      <c r="AK473" s="7">
        <v>20005</v>
      </c>
      <c r="AL473" s="6">
        <v>4</v>
      </c>
      <c r="AM473" s="7">
        <v>1500</v>
      </c>
      <c r="AN473" s="6" t="s">
        <v>63</v>
      </c>
      <c r="AO473" s="6" t="s">
        <v>732</v>
      </c>
    </row>
    <row r="474" spans="1:41" ht="16.5">
      <c r="A474" s="6">
        <v>20287</v>
      </c>
      <c r="B474" s="22" t="s">
        <v>1234</v>
      </c>
      <c r="C474" s="22" t="s">
        <v>163</v>
      </c>
      <c r="D474" s="8" t="s">
        <v>111</v>
      </c>
      <c r="E474" s="14">
        <v>11008</v>
      </c>
      <c r="F474" s="65">
        <v>2000</v>
      </c>
      <c r="G474" s="6">
        <v>300</v>
      </c>
      <c r="H474" s="6">
        <v>50</v>
      </c>
      <c r="I474" s="8" t="s">
        <v>159</v>
      </c>
      <c r="J474" s="6">
        <v>2</v>
      </c>
      <c r="K474" s="6">
        <v>6</v>
      </c>
      <c r="L474" s="6">
        <v>20</v>
      </c>
      <c r="M474" s="6">
        <v>0</v>
      </c>
      <c r="N474" s="6">
        <v>0</v>
      </c>
      <c r="O474" s="6">
        <v>0</v>
      </c>
      <c r="P474" s="6">
        <v>60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W474" s="6">
        <v>0</v>
      </c>
      <c r="X474" s="6">
        <v>3</v>
      </c>
      <c r="Y474" s="6">
        <v>0</v>
      </c>
      <c r="Z474" s="6">
        <v>0</v>
      </c>
      <c r="AA474" s="6">
        <v>0</v>
      </c>
      <c r="AB474" s="6">
        <v>0</v>
      </c>
      <c r="AC474" s="7">
        <v>0</v>
      </c>
      <c r="AD474" s="7">
        <v>0</v>
      </c>
      <c r="AE474" s="7">
        <v>0</v>
      </c>
      <c r="AF474" s="7">
        <v>12</v>
      </c>
      <c r="AG474" s="7">
        <v>0</v>
      </c>
      <c r="AH474" s="7">
        <v>3.0000000000000001E-3</v>
      </c>
      <c r="AI474" s="7">
        <v>0</v>
      </c>
      <c r="AJ474" s="7">
        <v>0</v>
      </c>
      <c r="AK474" s="7">
        <v>20005</v>
      </c>
      <c r="AL474" s="6">
        <v>4</v>
      </c>
      <c r="AM474" s="7">
        <v>1500</v>
      </c>
      <c r="AN474" s="6" t="s">
        <v>63</v>
      </c>
      <c r="AO474" s="6" t="s">
        <v>732</v>
      </c>
    </row>
    <row r="475" spans="1:41" ht="16.5">
      <c r="A475" s="6">
        <v>20288</v>
      </c>
      <c r="B475" s="22" t="s">
        <v>1235</v>
      </c>
      <c r="C475" s="22" t="s">
        <v>163</v>
      </c>
      <c r="D475" s="8" t="s">
        <v>111</v>
      </c>
      <c r="E475" s="14">
        <v>11008</v>
      </c>
      <c r="F475" s="65">
        <v>2000</v>
      </c>
      <c r="G475" s="6">
        <v>300</v>
      </c>
      <c r="H475" s="6">
        <v>50</v>
      </c>
      <c r="I475" s="8" t="s">
        <v>159</v>
      </c>
      <c r="J475" s="6">
        <v>2</v>
      </c>
      <c r="K475" s="6">
        <v>6</v>
      </c>
      <c r="L475" s="6">
        <v>20</v>
      </c>
      <c r="M475" s="6">
        <v>0</v>
      </c>
      <c r="N475" s="6">
        <v>0</v>
      </c>
      <c r="O475" s="6">
        <v>0</v>
      </c>
      <c r="P475" s="6">
        <v>60</v>
      </c>
      <c r="Q475" s="6">
        <v>0</v>
      </c>
      <c r="R475" s="6">
        <v>0</v>
      </c>
      <c r="S475" s="6">
        <v>0</v>
      </c>
      <c r="T475" s="6">
        <v>0</v>
      </c>
      <c r="U475" s="6">
        <v>0</v>
      </c>
      <c r="V475" s="6">
        <v>0</v>
      </c>
      <c r="W475" s="6">
        <v>0</v>
      </c>
      <c r="X475" s="6">
        <v>3</v>
      </c>
      <c r="Y475" s="6">
        <v>0</v>
      </c>
      <c r="Z475" s="6">
        <v>0</v>
      </c>
      <c r="AA475" s="6">
        <v>0</v>
      </c>
      <c r="AB475" s="6">
        <v>0</v>
      </c>
      <c r="AC475" s="7">
        <v>0</v>
      </c>
      <c r="AD475" s="7">
        <v>0</v>
      </c>
      <c r="AE475" s="7">
        <v>0</v>
      </c>
      <c r="AF475" s="7">
        <v>12</v>
      </c>
      <c r="AG475" s="7">
        <v>0</v>
      </c>
      <c r="AH475" s="7">
        <v>3.0000000000000001E-3</v>
      </c>
      <c r="AI475" s="7">
        <v>0</v>
      </c>
      <c r="AJ475" s="7">
        <v>0</v>
      </c>
      <c r="AK475" s="7">
        <v>20005</v>
      </c>
      <c r="AL475" s="6">
        <v>4</v>
      </c>
      <c r="AM475" s="7">
        <v>1500</v>
      </c>
      <c r="AN475" s="6" t="s">
        <v>63</v>
      </c>
      <c r="AO475" s="6" t="s">
        <v>732</v>
      </c>
    </row>
    <row r="476" spans="1:41" ht="16.5">
      <c r="A476" s="6">
        <v>20289</v>
      </c>
      <c r="B476" s="22" t="s">
        <v>1236</v>
      </c>
      <c r="C476" s="22" t="s">
        <v>163</v>
      </c>
      <c r="D476" s="8" t="s">
        <v>111</v>
      </c>
      <c r="E476" s="14">
        <v>11008</v>
      </c>
      <c r="F476" s="65">
        <v>2000</v>
      </c>
      <c r="G476" s="6">
        <v>300</v>
      </c>
      <c r="H476" s="6">
        <v>50</v>
      </c>
      <c r="I476" s="8" t="s">
        <v>159</v>
      </c>
      <c r="J476" s="6">
        <v>2</v>
      </c>
      <c r="K476" s="6">
        <v>6</v>
      </c>
      <c r="L476" s="6">
        <v>20</v>
      </c>
      <c r="M476" s="6">
        <v>0</v>
      </c>
      <c r="N476" s="6">
        <v>0</v>
      </c>
      <c r="O476" s="6">
        <v>0</v>
      </c>
      <c r="P476" s="6">
        <v>60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W476" s="6">
        <v>0</v>
      </c>
      <c r="X476" s="6">
        <v>3</v>
      </c>
      <c r="Y476" s="6">
        <v>0</v>
      </c>
      <c r="Z476" s="6">
        <v>0</v>
      </c>
      <c r="AA476" s="6">
        <v>0</v>
      </c>
      <c r="AB476" s="6">
        <v>0</v>
      </c>
      <c r="AC476" s="7">
        <v>0</v>
      </c>
      <c r="AD476" s="7">
        <v>0</v>
      </c>
      <c r="AE476" s="7">
        <v>0</v>
      </c>
      <c r="AF476" s="7">
        <v>12</v>
      </c>
      <c r="AG476" s="7">
        <v>0</v>
      </c>
      <c r="AH476" s="7">
        <v>3.0000000000000001E-3</v>
      </c>
      <c r="AI476" s="7">
        <v>0</v>
      </c>
      <c r="AJ476" s="7">
        <v>0</v>
      </c>
      <c r="AK476" s="7">
        <v>20005</v>
      </c>
      <c r="AL476" s="6">
        <v>4</v>
      </c>
      <c r="AM476" s="7">
        <v>1500</v>
      </c>
      <c r="AN476" s="6" t="s">
        <v>63</v>
      </c>
      <c r="AO476" s="6" t="s">
        <v>732</v>
      </c>
    </row>
    <row r="477" spans="1:41" ht="16.5">
      <c r="A477" s="6">
        <v>20290</v>
      </c>
      <c r="B477" s="22" t="s">
        <v>1237</v>
      </c>
      <c r="C477" s="22" t="s">
        <v>163</v>
      </c>
      <c r="D477" s="8" t="s">
        <v>111</v>
      </c>
      <c r="E477" s="14">
        <v>11008</v>
      </c>
      <c r="F477" s="65">
        <v>2000</v>
      </c>
      <c r="G477" s="6">
        <v>300</v>
      </c>
      <c r="H477" s="6">
        <v>50</v>
      </c>
      <c r="I477" s="8" t="s">
        <v>159</v>
      </c>
      <c r="J477" s="6">
        <v>2</v>
      </c>
      <c r="K477" s="6">
        <v>6</v>
      </c>
      <c r="L477" s="6">
        <v>20</v>
      </c>
      <c r="M477" s="6">
        <v>0</v>
      </c>
      <c r="N477" s="6">
        <v>0</v>
      </c>
      <c r="O477" s="6">
        <v>0</v>
      </c>
      <c r="P477" s="6">
        <v>60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W477" s="6">
        <v>0</v>
      </c>
      <c r="X477" s="6">
        <v>3</v>
      </c>
      <c r="Y477" s="6">
        <v>0</v>
      </c>
      <c r="Z477" s="6">
        <v>0</v>
      </c>
      <c r="AA477" s="6">
        <v>0</v>
      </c>
      <c r="AB477" s="6">
        <v>0</v>
      </c>
      <c r="AC477" s="7">
        <v>0</v>
      </c>
      <c r="AD477" s="7">
        <v>0</v>
      </c>
      <c r="AE477" s="7">
        <v>0</v>
      </c>
      <c r="AF477" s="7">
        <v>12</v>
      </c>
      <c r="AG477" s="7">
        <v>0</v>
      </c>
      <c r="AH477" s="7">
        <v>3.0000000000000001E-3</v>
      </c>
      <c r="AI477" s="7">
        <v>0</v>
      </c>
      <c r="AJ477" s="7">
        <v>0</v>
      </c>
      <c r="AK477" s="7">
        <v>20005</v>
      </c>
      <c r="AL477" s="6">
        <v>4</v>
      </c>
      <c r="AM477" s="7">
        <v>1500</v>
      </c>
      <c r="AN477" s="6" t="s">
        <v>63</v>
      </c>
      <c r="AO477" s="6" t="s">
        <v>732</v>
      </c>
    </row>
    <row r="478" spans="1:41" ht="16.5">
      <c r="A478" s="6">
        <v>202911</v>
      </c>
      <c r="B478" s="22" t="s">
        <v>1238</v>
      </c>
      <c r="C478" s="22" t="s">
        <v>163</v>
      </c>
      <c r="D478" s="8" t="s">
        <v>111</v>
      </c>
      <c r="E478" s="14">
        <v>11008</v>
      </c>
      <c r="F478" s="65">
        <v>2000</v>
      </c>
      <c r="G478" s="6">
        <v>300</v>
      </c>
      <c r="H478" s="6">
        <v>50</v>
      </c>
      <c r="I478" s="8" t="s">
        <v>159</v>
      </c>
      <c r="J478" s="6">
        <v>2</v>
      </c>
      <c r="K478" s="6">
        <v>6</v>
      </c>
      <c r="L478" s="6">
        <v>20</v>
      </c>
      <c r="M478" s="6">
        <v>0</v>
      </c>
      <c r="N478" s="6">
        <v>0</v>
      </c>
      <c r="O478" s="6">
        <v>0</v>
      </c>
      <c r="P478" s="6">
        <v>60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W478" s="6">
        <v>0</v>
      </c>
      <c r="X478" s="6">
        <v>3</v>
      </c>
      <c r="Y478" s="6">
        <v>0</v>
      </c>
      <c r="Z478" s="6">
        <v>0</v>
      </c>
      <c r="AA478" s="6">
        <v>0</v>
      </c>
      <c r="AB478" s="6">
        <v>0</v>
      </c>
      <c r="AC478" s="7">
        <v>0</v>
      </c>
      <c r="AD478" s="7">
        <v>0</v>
      </c>
      <c r="AE478" s="7">
        <v>0</v>
      </c>
      <c r="AF478" s="7">
        <v>12</v>
      </c>
      <c r="AG478" s="7">
        <v>0</v>
      </c>
      <c r="AH478" s="7">
        <v>3.0000000000000001E-3</v>
      </c>
      <c r="AI478" s="7">
        <v>0</v>
      </c>
      <c r="AJ478" s="7">
        <v>0</v>
      </c>
      <c r="AK478" s="7">
        <v>20005</v>
      </c>
      <c r="AL478" s="6">
        <v>4</v>
      </c>
      <c r="AM478" s="7">
        <v>1500</v>
      </c>
      <c r="AN478" s="6" t="s">
        <v>63</v>
      </c>
      <c r="AO478" s="6" t="s">
        <v>732</v>
      </c>
    </row>
    <row r="479" spans="1:41" ht="16.5">
      <c r="A479" s="6">
        <v>202912</v>
      </c>
      <c r="B479" s="22" t="s">
        <v>1239</v>
      </c>
      <c r="C479" s="22" t="s">
        <v>163</v>
      </c>
      <c r="D479" s="8" t="s">
        <v>111</v>
      </c>
      <c r="E479" s="14">
        <v>11008</v>
      </c>
      <c r="F479" s="65">
        <v>2000</v>
      </c>
      <c r="G479" s="6">
        <v>300</v>
      </c>
      <c r="H479" s="6">
        <v>50</v>
      </c>
      <c r="I479" s="8" t="s">
        <v>159</v>
      </c>
      <c r="J479" s="6">
        <v>2</v>
      </c>
      <c r="K479" s="6">
        <v>6</v>
      </c>
      <c r="L479" s="6">
        <v>20</v>
      </c>
      <c r="M479" s="6">
        <v>0</v>
      </c>
      <c r="N479" s="6">
        <v>0</v>
      </c>
      <c r="O479" s="6">
        <v>0</v>
      </c>
      <c r="P479" s="6">
        <v>60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W479" s="6">
        <v>0</v>
      </c>
      <c r="X479" s="6">
        <v>3</v>
      </c>
      <c r="Y479" s="6">
        <v>0</v>
      </c>
      <c r="Z479" s="6">
        <v>0</v>
      </c>
      <c r="AA479" s="6">
        <v>0</v>
      </c>
      <c r="AB479" s="6">
        <v>0</v>
      </c>
      <c r="AC479" s="7">
        <v>0</v>
      </c>
      <c r="AD479" s="7">
        <v>0</v>
      </c>
      <c r="AE479" s="7">
        <v>0</v>
      </c>
      <c r="AF479" s="7">
        <v>12</v>
      </c>
      <c r="AG479" s="7">
        <v>0</v>
      </c>
      <c r="AH479" s="7">
        <v>3.0000000000000001E-3</v>
      </c>
      <c r="AI479" s="7">
        <v>0</v>
      </c>
      <c r="AJ479" s="7">
        <v>0</v>
      </c>
      <c r="AK479" s="7">
        <v>20005</v>
      </c>
      <c r="AL479" s="6">
        <v>4</v>
      </c>
      <c r="AM479" s="7">
        <v>1500</v>
      </c>
      <c r="AN479" s="6" t="s">
        <v>63</v>
      </c>
      <c r="AO479" s="6" t="s">
        <v>732</v>
      </c>
    </row>
    <row r="480" spans="1:41" ht="16.5">
      <c r="A480" s="6">
        <v>202913</v>
      </c>
      <c r="B480" s="22" t="s">
        <v>1240</v>
      </c>
      <c r="C480" s="22" t="s">
        <v>163</v>
      </c>
      <c r="D480" s="8" t="s">
        <v>111</v>
      </c>
      <c r="E480" s="14">
        <v>11008</v>
      </c>
      <c r="F480" s="65">
        <v>2000</v>
      </c>
      <c r="G480" s="6">
        <v>300</v>
      </c>
      <c r="H480" s="6">
        <v>50</v>
      </c>
      <c r="I480" s="8" t="s">
        <v>159</v>
      </c>
      <c r="J480" s="6">
        <v>2</v>
      </c>
      <c r="K480" s="6">
        <v>6</v>
      </c>
      <c r="L480" s="6">
        <v>20</v>
      </c>
      <c r="M480" s="6">
        <v>0</v>
      </c>
      <c r="N480" s="6">
        <v>0</v>
      </c>
      <c r="O480" s="6">
        <v>0</v>
      </c>
      <c r="P480" s="6">
        <v>60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W480" s="6">
        <v>0</v>
      </c>
      <c r="X480" s="6">
        <v>3</v>
      </c>
      <c r="Y480" s="6">
        <v>0</v>
      </c>
      <c r="Z480" s="6">
        <v>0</v>
      </c>
      <c r="AA480" s="6">
        <v>0</v>
      </c>
      <c r="AB480" s="6">
        <v>0</v>
      </c>
      <c r="AC480" s="7">
        <v>0</v>
      </c>
      <c r="AD480" s="7">
        <v>0</v>
      </c>
      <c r="AE480" s="7">
        <v>0</v>
      </c>
      <c r="AF480" s="7">
        <v>12</v>
      </c>
      <c r="AG480" s="7">
        <v>0</v>
      </c>
      <c r="AH480" s="7">
        <v>3.0000000000000001E-3</v>
      </c>
      <c r="AI480" s="7">
        <v>0</v>
      </c>
      <c r="AJ480" s="7">
        <v>0</v>
      </c>
      <c r="AK480" s="7">
        <v>20005</v>
      </c>
      <c r="AL480" s="6">
        <v>4</v>
      </c>
      <c r="AM480" s="7">
        <v>1500</v>
      </c>
      <c r="AN480" s="6" t="s">
        <v>63</v>
      </c>
      <c r="AO480" s="6" t="s">
        <v>732</v>
      </c>
    </row>
    <row r="481" spans="1:41" ht="16.5">
      <c r="A481" s="70">
        <v>21</v>
      </c>
      <c r="B481" s="71" t="s">
        <v>1241</v>
      </c>
      <c r="C481" s="71" t="s">
        <v>161</v>
      </c>
      <c r="D481" s="72" t="s">
        <v>105</v>
      </c>
      <c r="E481" s="73">
        <v>11001</v>
      </c>
      <c r="F481" s="74">
        <v>2000</v>
      </c>
      <c r="G481" s="70">
        <v>300</v>
      </c>
      <c r="H481" s="70">
        <v>50</v>
      </c>
      <c r="I481" s="72" t="s">
        <v>718</v>
      </c>
      <c r="J481" s="70">
        <v>2</v>
      </c>
      <c r="K481" s="70">
        <v>6</v>
      </c>
      <c r="L481" s="70">
        <v>20</v>
      </c>
      <c r="M481" s="70">
        <v>0</v>
      </c>
      <c r="N481" s="70">
        <v>0</v>
      </c>
      <c r="O481" s="70">
        <v>60</v>
      </c>
      <c r="P481" s="70">
        <v>0</v>
      </c>
      <c r="Q481" s="70">
        <v>0</v>
      </c>
      <c r="R481" s="70">
        <v>0</v>
      </c>
      <c r="S481" s="70">
        <v>0</v>
      </c>
      <c r="T481" s="70">
        <v>0</v>
      </c>
      <c r="U481" s="70">
        <v>0</v>
      </c>
      <c r="V481" s="70">
        <v>0</v>
      </c>
      <c r="W481" s="70">
        <v>3</v>
      </c>
      <c r="X481" s="70">
        <v>0</v>
      </c>
      <c r="Y481" s="70">
        <v>0</v>
      </c>
      <c r="Z481" s="70">
        <v>0</v>
      </c>
      <c r="AA481" s="70">
        <v>0</v>
      </c>
      <c r="AB481" s="70">
        <v>0</v>
      </c>
      <c r="AC481" s="75">
        <v>0</v>
      </c>
      <c r="AD481" s="75">
        <v>0</v>
      </c>
      <c r="AE481" s="75">
        <v>12</v>
      </c>
      <c r="AF481" s="75">
        <v>0</v>
      </c>
      <c r="AG481" s="75">
        <v>0</v>
      </c>
      <c r="AH481" s="75">
        <v>0</v>
      </c>
      <c r="AI481" s="75">
        <v>0</v>
      </c>
      <c r="AJ481" s="75">
        <v>6.0000000000000001E-3</v>
      </c>
      <c r="AK481" s="75" t="s">
        <v>713</v>
      </c>
      <c r="AL481" s="70">
        <v>2</v>
      </c>
      <c r="AM481" s="75">
        <v>1000</v>
      </c>
      <c r="AN481" s="70" t="s">
        <v>48</v>
      </c>
      <c r="AO481" s="70" t="s">
        <v>725</v>
      </c>
    </row>
    <row r="482" spans="1:41" ht="16.5">
      <c r="A482" s="70">
        <v>2021</v>
      </c>
      <c r="B482" s="71" t="s">
        <v>1242</v>
      </c>
      <c r="C482" s="71" t="s">
        <v>161</v>
      </c>
      <c r="D482" s="72" t="s">
        <v>105</v>
      </c>
      <c r="E482" s="73">
        <v>11001</v>
      </c>
      <c r="F482" s="74">
        <v>2000</v>
      </c>
      <c r="G482" s="70">
        <v>300</v>
      </c>
      <c r="H482" s="70">
        <v>50</v>
      </c>
      <c r="I482" s="72" t="s">
        <v>718</v>
      </c>
      <c r="J482" s="70">
        <v>2</v>
      </c>
      <c r="K482" s="70">
        <v>6</v>
      </c>
      <c r="L482" s="70">
        <v>20</v>
      </c>
      <c r="M482" s="70">
        <v>0</v>
      </c>
      <c r="N482" s="70">
        <v>0</v>
      </c>
      <c r="O482" s="70">
        <v>60</v>
      </c>
      <c r="P482" s="70">
        <v>0</v>
      </c>
      <c r="Q482" s="70">
        <v>0</v>
      </c>
      <c r="R482" s="70">
        <v>0</v>
      </c>
      <c r="S482" s="70">
        <v>0</v>
      </c>
      <c r="T482" s="70">
        <v>0</v>
      </c>
      <c r="U482" s="70">
        <v>0</v>
      </c>
      <c r="V482" s="70">
        <v>0</v>
      </c>
      <c r="W482" s="70">
        <v>3</v>
      </c>
      <c r="X482" s="70">
        <v>0</v>
      </c>
      <c r="Y482" s="70">
        <v>0</v>
      </c>
      <c r="Z482" s="70">
        <v>0</v>
      </c>
      <c r="AA482" s="70">
        <v>0</v>
      </c>
      <c r="AB482" s="70">
        <v>0</v>
      </c>
      <c r="AC482" s="75">
        <v>0</v>
      </c>
      <c r="AD482" s="75">
        <v>0</v>
      </c>
      <c r="AE482" s="75">
        <v>12</v>
      </c>
      <c r="AF482" s="75">
        <v>0</v>
      </c>
      <c r="AG482" s="75">
        <v>0</v>
      </c>
      <c r="AH482" s="75">
        <v>0</v>
      </c>
      <c r="AI482" s="75">
        <v>0</v>
      </c>
      <c r="AJ482" s="75">
        <v>6.0000000000000001E-3</v>
      </c>
      <c r="AK482" s="75" t="s">
        <v>713</v>
      </c>
      <c r="AL482" s="70">
        <v>2</v>
      </c>
      <c r="AM482" s="75">
        <v>1000</v>
      </c>
      <c r="AN482" s="70" t="s">
        <v>48</v>
      </c>
      <c r="AO482" s="70" t="s">
        <v>725</v>
      </c>
    </row>
    <row r="483" spans="1:41" ht="16.5">
      <c r="A483" s="70">
        <v>20211</v>
      </c>
      <c r="B483" s="71" t="s">
        <v>1243</v>
      </c>
      <c r="C483" s="71" t="s">
        <v>161</v>
      </c>
      <c r="D483" s="72" t="s">
        <v>105</v>
      </c>
      <c r="E483" s="73">
        <v>11001</v>
      </c>
      <c r="F483" s="74">
        <v>2000</v>
      </c>
      <c r="G483" s="70">
        <v>300</v>
      </c>
      <c r="H483" s="70">
        <v>50</v>
      </c>
      <c r="I483" s="72" t="s">
        <v>718</v>
      </c>
      <c r="J483" s="70">
        <v>2</v>
      </c>
      <c r="K483" s="70">
        <v>6</v>
      </c>
      <c r="L483" s="70">
        <v>20</v>
      </c>
      <c r="M483" s="70">
        <v>0</v>
      </c>
      <c r="N483" s="70">
        <v>0</v>
      </c>
      <c r="O483" s="70">
        <v>60</v>
      </c>
      <c r="P483" s="70">
        <v>0</v>
      </c>
      <c r="Q483" s="70">
        <v>0</v>
      </c>
      <c r="R483" s="70">
        <v>0</v>
      </c>
      <c r="S483" s="70">
        <v>0</v>
      </c>
      <c r="T483" s="70">
        <v>0</v>
      </c>
      <c r="U483" s="70">
        <v>0</v>
      </c>
      <c r="V483" s="70">
        <v>0</v>
      </c>
      <c r="W483" s="70">
        <v>3</v>
      </c>
      <c r="X483" s="70">
        <v>0</v>
      </c>
      <c r="Y483" s="70">
        <v>0</v>
      </c>
      <c r="Z483" s="70">
        <v>0</v>
      </c>
      <c r="AA483" s="70">
        <v>0</v>
      </c>
      <c r="AB483" s="70">
        <v>0</v>
      </c>
      <c r="AC483" s="75">
        <v>0</v>
      </c>
      <c r="AD483" s="75">
        <v>0</v>
      </c>
      <c r="AE483" s="75">
        <v>12</v>
      </c>
      <c r="AF483" s="75">
        <v>0</v>
      </c>
      <c r="AG483" s="75">
        <v>0</v>
      </c>
      <c r="AH483" s="75">
        <v>0</v>
      </c>
      <c r="AI483" s="75">
        <v>0</v>
      </c>
      <c r="AJ483" s="75">
        <v>6.0000000000000001E-3</v>
      </c>
      <c r="AK483" s="75" t="s">
        <v>713</v>
      </c>
      <c r="AL483" s="70">
        <v>2</v>
      </c>
      <c r="AM483" s="75">
        <v>1000</v>
      </c>
      <c r="AN483" s="70" t="s">
        <v>48</v>
      </c>
      <c r="AO483" s="70" t="s">
        <v>725</v>
      </c>
    </row>
    <row r="484" spans="1:41" ht="16.5">
      <c r="A484" s="70">
        <v>20212</v>
      </c>
      <c r="B484" s="71" t="s">
        <v>1244</v>
      </c>
      <c r="C484" s="71" t="s">
        <v>161</v>
      </c>
      <c r="D484" s="72" t="s">
        <v>105</v>
      </c>
      <c r="E484" s="73">
        <v>11001</v>
      </c>
      <c r="F484" s="74">
        <v>2000</v>
      </c>
      <c r="G484" s="70">
        <v>300</v>
      </c>
      <c r="H484" s="70">
        <v>50</v>
      </c>
      <c r="I484" s="72" t="s">
        <v>718</v>
      </c>
      <c r="J484" s="70">
        <v>2</v>
      </c>
      <c r="K484" s="70">
        <v>6</v>
      </c>
      <c r="L484" s="70">
        <v>20</v>
      </c>
      <c r="M484" s="70">
        <v>0</v>
      </c>
      <c r="N484" s="70">
        <v>0</v>
      </c>
      <c r="O484" s="70">
        <v>60</v>
      </c>
      <c r="P484" s="70">
        <v>0</v>
      </c>
      <c r="Q484" s="70">
        <v>0</v>
      </c>
      <c r="R484" s="70">
        <v>0</v>
      </c>
      <c r="S484" s="70">
        <v>0</v>
      </c>
      <c r="T484" s="70">
        <v>0</v>
      </c>
      <c r="U484" s="70">
        <v>0</v>
      </c>
      <c r="V484" s="70">
        <v>0</v>
      </c>
      <c r="W484" s="70">
        <v>3</v>
      </c>
      <c r="X484" s="70">
        <v>0</v>
      </c>
      <c r="Y484" s="70">
        <v>0</v>
      </c>
      <c r="Z484" s="70">
        <v>0</v>
      </c>
      <c r="AA484" s="70">
        <v>0</v>
      </c>
      <c r="AB484" s="70">
        <v>0</v>
      </c>
      <c r="AC484" s="75">
        <v>0</v>
      </c>
      <c r="AD484" s="75">
        <v>0</v>
      </c>
      <c r="AE484" s="75">
        <v>12</v>
      </c>
      <c r="AF484" s="75">
        <v>0</v>
      </c>
      <c r="AG484" s="75">
        <v>0</v>
      </c>
      <c r="AH484" s="75">
        <v>0</v>
      </c>
      <c r="AI484" s="75">
        <v>0</v>
      </c>
      <c r="AJ484" s="75">
        <v>6.0000000000000001E-3</v>
      </c>
      <c r="AK484" s="75" t="s">
        <v>713</v>
      </c>
      <c r="AL484" s="70">
        <v>2</v>
      </c>
      <c r="AM484" s="75">
        <v>1000</v>
      </c>
      <c r="AN484" s="70" t="s">
        <v>48</v>
      </c>
      <c r="AO484" s="70" t="s">
        <v>725</v>
      </c>
    </row>
    <row r="485" spans="1:41" ht="16.5">
      <c r="A485" s="70">
        <v>20213</v>
      </c>
      <c r="B485" s="71" t="s">
        <v>1245</v>
      </c>
      <c r="C485" s="71" t="s">
        <v>161</v>
      </c>
      <c r="D485" s="72" t="s">
        <v>105</v>
      </c>
      <c r="E485" s="73">
        <v>11001</v>
      </c>
      <c r="F485" s="74">
        <v>2000</v>
      </c>
      <c r="G485" s="70">
        <v>300</v>
      </c>
      <c r="H485" s="70">
        <v>50</v>
      </c>
      <c r="I485" s="72" t="s">
        <v>718</v>
      </c>
      <c r="J485" s="70">
        <v>2</v>
      </c>
      <c r="K485" s="70">
        <v>6</v>
      </c>
      <c r="L485" s="70">
        <v>20</v>
      </c>
      <c r="M485" s="70">
        <v>0</v>
      </c>
      <c r="N485" s="70">
        <v>0</v>
      </c>
      <c r="O485" s="70">
        <v>60</v>
      </c>
      <c r="P485" s="70">
        <v>0</v>
      </c>
      <c r="Q485" s="70">
        <v>0</v>
      </c>
      <c r="R485" s="70">
        <v>0</v>
      </c>
      <c r="S485" s="70">
        <v>0</v>
      </c>
      <c r="T485" s="70">
        <v>0</v>
      </c>
      <c r="U485" s="70">
        <v>0</v>
      </c>
      <c r="V485" s="70">
        <v>0</v>
      </c>
      <c r="W485" s="70">
        <v>3</v>
      </c>
      <c r="X485" s="70">
        <v>0</v>
      </c>
      <c r="Y485" s="70">
        <v>0</v>
      </c>
      <c r="Z485" s="70">
        <v>0</v>
      </c>
      <c r="AA485" s="70">
        <v>0</v>
      </c>
      <c r="AB485" s="70">
        <v>0</v>
      </c>
      <c r="AC485" s="75">
        <v>0</v>
      </c>
      <c r="AD485" s="75">
        <v>0</v>
      </c>
      <c r="AE485" s="75">
        <v>12</v>
      </c>
      <c r="AF485" s="75">
        <v>0</v>
      </c>
      <c r="AG485" s="75">
        <v>0</v>
      </c>
      <c r="AH485" s="75">
        <v>0</v>
      </c>
      <c r="AI485" s="75">
        <v>0</v>
      </c>
      <c r="AJ485" s="75">
        <v>6.0000000000000001E-3</v>
      </c>
      <c r="AK485" s="75" t="s">
        <v>713</v>
      </c>
      <c r="AL485" s="70">
        <v>2</v>
      </c>
      <c r="AM485" s="75">
        <v>1000</v>
      </c>
      <c r="AN485" s="70" t="s">
        <v>48</v>
      </c>
      <c r="AO485" s="70" t="s">
        <v>725</v>
      </c>
    </row>
    <row r="486" spans="1:41" ht="16.5">
      <c r="A486" s="70">
        <v>20214</v>
      </c>
      <c r="B486" s="71" t="s">
        <v>1246</v>
      </c>
      <c r="C486" s="71" t="s">
        <v>161</v>
      </c>
      <c r="D486" s="72" t="s">
        <v>105</v>
      </c>
      <c r="E486" s="73">
        <v>11001</v>
      </c>
      <c r="F486" s="74">
        <v>2000</v>
      </c>
      <c r="G486" s="70">
        <v>300</v>
      </c>
      <c r="H486" s="70">
        <v>50</v>
      </c>
      <c r="I486" s="72" t="s">
        <v>718</v>
      </c>
      <c r="J486" s="70">
        <v>2</v>
      </c>
      <c r="K486" s="70">
        <v>6</v>
      </c>
      <c r="L486" s="70">
        <v>20</v>
      </c>
      <c r="M486" s="70">
        <v>0</v>
      </c>
      <c r="N486" s="70">
        <v>0</v>
      </c>
      <c r="O486" s="70">
        <v>60</v>
      </c>
      <c r="P486" s="70">
        <v>0</v>
      </c>
      <c r="Q486" s="70">
        <v>0</v>
      </c>
      <c r="R486" s="70">
        <v>0</v>
      </c>
      <c r="S486" s="70">
        <v>0</v>
      </c>
      <c r="T486" s="70">
        <v>0</v>
      </c>
      <c r="U486" s="70">
        <v>0</v>
      </c>
      <c r="V486" s="70">
        <v>0</v>
      </c>
      <c r="W486" s="70">
        <v>3</v>
      </c>
      <c r="X486" s="70">
        <v>0</v>
      </c>
      <c r="Y486" s="70">
        <v>0</v>
      </c>
      <c r="Z486" s="70">
        <v>0</v>
      </c>
      <c r="AA486" s="70">
        <v>0</v>
      </c>
      <c r="AB486" s="70">
        <v>0</v>
      </c>
      <c r="AC486" s="75">
        <v>0</v>
      </c>
      <c r="AD486" s="75">
        <v>0</v>
      </c>
      <c r="AE486" s="75">
        <v>12</v>
      </c>
      <c r="AF486" s="75">
        <v>0</v>
      </c>
      <c r="AG486" s="75">
        <v>0</v>
      </c>
      <c r="AH486" s="75">
        <v>0</v>
      </c>
      <c r="AI486" s="75">
        <v>0</v>
      </c>
      <c r="AJ486" s="75">
        <v>6.0000000000000001E-3</v>
      </c>
      <c r="AK486" s="75" t="s">
        <v>713</v>
      </c>
      <c r="AL486" s="70">
        <v>2</v>
      </c>
      <c r="AM486" s="75">
        <v>1000</v>
      </c>
      <c r="AN486" s="70" t="s">
        <v>48</v>
      </c>
      <c r="AO486" s="70" t="s">
        <v>725</v>
      </c>
    </row>
    <row r="487" spans="1:41" ht="16.5">
      <c r="A487" s="70">
        <v>20215</v>
      </c>
      <c r="B487" s="71" t="s">
        <v>1247</v>
      </c>
      <c r="C487" s="71" t="s">
        <v>161</v>
      </c>
      <c r="D487" s="72" t="s">
        <v>105</v>
      </c>
      <c r="E487" s="73">
        <v>11001</v>
      </c>
      <c r="F487" s="74">
        <v>2000</v>
      </c>
      <c r="G487" s="70">
        <v>300</v>
      </c>
      <c r="H487" s="70">
        <v>50</v>
      </c>
      <c r="I487" s="72" t="s">
        <v>718</v>
      </c>
      <c r="J487" s="70">
        <v>2</v>
      </c>
      <c r="K487" s="70">
        <v>6</v>
      </c>
      <c r="L487" s="70">
        <v>20</v>
      </c>
      <c r="M487" s="70">
        <v>0</v>
      </c>
      <c r="N487" s="70">
        <v>0</v>
      </c>
      <c r="O487" s="70">
        <v>60</v>
      </c>
      <c r="P487" s="70">
        <v>0</v>
      </c>
      <c r="Q487" s="70">
        <v>0</v>
      </c>
      <c r="R487" s="70">
        <v>0</v>
      </c>
      <c r="S487" s="70">
        <v>0</v>
      </c>
      <c r="T487" s="70">
        <v>0</v>
      </c>
      <c r="U487" s="70">
        <v>0</v>
      </c>
      <c r="V487" s="70">
        <v>0</v>
      </c>
      <c r="W487" s="70">
        <v>3</v>
      </c>
      <c r="X487" s="70">
        <v>0</v>
      </c>
      <c r="Y487" s="70">
        <v>0</v>
      </c>
      <c r="Z487" s="70">
        <v>0</v>
      </c>
      <c r="AA487" s="70">
        <v>0</v>
      </c>
      <c r="AB487" s="70">
        <v>0</v>
      </c>
      <c r="AC487" s="75">
        <v>0</v>
      </c>
      <c r="AD487" s="75">
        <v>0</v>
      </c>
      <c r="AE487" s="75">
        <v>12</v>
      </c>
      <c r="AF487" s="75">
        <v>0</v>
      </c>
      <c r="AG487" s="75">
        <v>0</v>
      </c>
      <c r="AH487" s="75">
        <v>0</v>
      </c>
      <c r="AI487" s="75">
        <v>0</v>
      </c>
      <c r="AJ487" s="75">
        <v>6.0000000000000001E-3</v>
      </c>
      <c r="AK487" s="75" t="s">
        <v>713</v>
      </c>
      <c r="AL487" s="70">
        <v>2</v>
      </c>
      <c r="AM487" s="75">
        <v>1000</v>
      </c>
      <c r="AN487" s="70" t="s">
        <v>48</v>
      </c>
      <c r="AO487" s="70" t="s">
        <v>725</v>
      </c>
    </row>
    <row r="488" spans="1:41" ht="16.5">
      <c r="A488" s="70">
        <v>20216</v>
      </c>
      <c r="B488" s="71" t="s">
        <v>1248</v>
      </c>
      <c r="C488" s="71" t="s">
        <v>161</v>
      </c>
      <c r="D488" s="72" t="s">
        <v>105</v>
      </c>
      <c r="E488" s="73">
        <v>11001</v>
      </c>
      <c r="F488" s="74">
        <v>2000</v>
      </c>
      <c r="G488" s="70">
        <v>300</v>
      </c>
      <c r="H488" s="70">
        <v>50</v>
      </c>
      <c r="I488" s="72" t="s">
        <v>718</v>
      </c>
      <c r="J488" s="70">
        <v>2</v>
      </c>
      <c r="K488" s="70">
        <v>6</v>
      </c>
      <c r="L488" s="70">
        <v>20</v>
      </c>
      <c r="M488" s="70">
        <v>0</v>
      </c>
      <c r="N488" s="70">
        <v>0</v>
      </c>
      <c r="O488" s="70">
        <v>60</v>
      </c>
      <c r="P488" s="70">
        <v>0</v>
      </c>
      <c r="Q488" s="70">
        <v>0</v>
      </c>
      <c r="R488" s="70">
        <v>0</v>
      </c>
      <c r="S488" s="70">
        <v>0</v>
      </c>
      <c r="T488" s="70">
        <v>0</v>
      </c>
      <c r="U488" s="70">
        <v>0</v>
      </c>
      <c r="V488" s="70">
        <v>0</v>
      </c>
      <c r="W488" s="70">
        <v>3</v>
      </c>
      <c r="X488" s="70">
        <v>0</v>
      </c>
      <c r="Y488" s="70">
        <v>0</v>
      </c>
      <c r="Z488" s="70">
        <v>0</v>
      </c>
      <c r="AA488" s="70">
        <v>0</v>
      </c>
      <c r="AB488" s="70">
        <v>0</v>
      </c>
      <c r="AC488" s="75">
        <v>0</v>
      </c>
      <c r="AD488" s="75">
        <v>0</v>
      </c>
      <c r="AE488" s="75">
        <v>12</v>
      </c>
      <c r="AF488" s="75">
        <v>0</v>
      </c>
      <c r="AG488" s="75">
        <v>0</v>
      </c>
      <c r="AH488" s="75">
        <v>0</v>
      </c>
      <c r="AI488" s="75">
        <v>0</v>
      </c>
      <c r="AJ488" s="75">
        <v>6.0000000000000001E-3</v>
      </c>
      <c r="AK488" s="75" t="s">
        <v>713</v>
      </c>
      <c r="AL488" s="70">
        <v>2</v>
      </c>
      <c r="AM488" s="75">
        <v>1000</v>
      </c>
      <c r="AN488" s="70" t="s">
        <v>48</v>
      </c>
      <c r="AO488" s="70" t="s">
        <v>725</v>
      </c>
    </row>
    <row r="489" spans="1:41" ht="16.5">
      <c r="A489" s="70">
        <v>20217</v>
      </c>
      <c r="B489" s="71" t="s">
        <v>1249</v>
      </c>
      <c r="C489" s="71" t="s">
        <v>161</v>
      </c>
      <c r="D489" s="72" t="s">
        <v>105</v>
      </c>
      <c r="E489" s="73">
        <v>11001</v>
      </c>
      <c r="F489" s="74">
        <v>2000</v>
      </c>
      <c r="G489" s="70">
        <v>300</v>
      </c>
      <c r="H489" s="70">
        <v>50</v>
      </c>
      <c r="I489" s="72" t="s">
        <v>718</v>
      </c>
      <c r="J489" s="70">
        <v>2</v>
      </c>
      <c r="K489" s="70">
        <v>6</v>
      </c>
      <c r="L489" s="70">
        <v>20</v>
      </c>
      <c r="M489" s="70">
        <v>0</v>
      </c>
      <c r="N489" s="70">
        <v>0</v>
      </c>
      <c r="O489" s="70">
        <v>60</v>
      </c>
      <c r="P489" s="70">
        <v>0</v>
      </c>
      <c r="Q489" s="70">
        <v>0</v>
      </c>
      <c r="R489" s="70">
        <v>0</v>
      </c>
      <c r="S489" s="70">
        <v>0</v>
      </c>
      <c r="T489" s="70">
        <v>0</v>
      </c>
      <c r="U489" s="70">
        <v>0</v>
      </c>
      <c r="V489" s="70">
        <v>0</v>
      </c>
      <c r="W489" s="70">
        <v>3</v>
      </c>
      <c r="X489" s="70">
        <v>0</v>
      </c>
      <c r="Y489" s="70">
        <v>0</v>
      </c>
      <c r="Z489" s="70">
        <v>0</v>
      </c>
      <c r="AA489" s="70">
        <v>0</v>
      </c>
      <c r="AB489" s="70">
        <v>0</v>
      </c>
      <c r="AC489" s="75">
        <v>0</v>
      </c>
      <c r="AD489" s="75">
        <v>0</v>
      </c>
      <c r="AE489" s="75">
        <v>12</v>
      </c>
      <c r="AF489" s="75">
        <v>0</v>
      </c>
      <c r="AG489" s="75">
        <v>0</v>
      </c>
      <c r="AH489" s="75">
        <v>0</v>
      </c>
      <c r="AI489" s="75">
        <v>0</v>
      </c>
      <c r="AJ489" s="75">
        <v>6.0000000000000001E-3</v>
      </c>
      <c r="AK489" s="75" t="s">
        <v>713</v>
      </c>
      <c r="AL489" s="70">
        <v>2</v>
      </c>
      <c r="AM489" s="75">
        <v>1000</v>
      </c>
      <c r="AN489" s="70" t="s">
        <v>48</v>
      </c>
      <c r="AO489" s="70" t="s">
        <v>725</v>
      </c>
    </row>
    <row r="490" spans="1:41" ht="16.5">
      <c r="A490" s="70">
        <v>20218</v>
      </c>
      <c r="B490" s="71" t="s">
        <v>1250</v>
      </c>
      <c r="C490" s="71" t="s">
        <v>161</v>
      </c>
      <c r="D490" s="72" t="s">
        <v>105</v>
      </c>
      <c r="E490" s="73">
        <v>11001</v>
      </c>
      <c r="F490" s="74">
        <v>2000</v>
      </c>
      <c r="G490" s="70">
        <v>300</v>
      </c>
      <c r="H490" s="70">
        <v>50</v>
      </c>
      <c r="I490" s="72" t="s">
        <v>718</v>
      </c>
      <c r="J490" s="70">
        <v>2</v>
      </c>
      <c r="K490" s="70">
        <v>6</v>
      </c>
      <c r="L490" s="70">
        <v>20</v>
      </c>
      <c r="M490" s="70">
        <v>0</v>
      </c>
      <c r="N490" s="70">
        <v>0</v>
      </c>
      <c r="O490" s="70">
        <v>60</v>
      </c>
      <c r="P490" s="70">
        <v>0</v>
      </c>
      <c r="Q490" s="70">
        <v>0</v>
      </c>
      <c r="R490" s="70">
        <v>0</v>
      </c>
      <c r="S490" s="70">
        <v>0</v>
      </c>
      <c r="T490" s="70">
        <v>0</v>
      </c>
      <c r="U490" s="70">
        <v>0</v>
      </c>
      <c r="V490" s="70">
        <v>0</v>
      </c>
      <c r="W490" s="70">
        <v>3</v>
      </c>
      <c r="X490" s="70">
        <v>0</v>
      </c>
      <c r="Y490" s="70">
        <v>0</v>
      </c>
      <c r="Z490" s="70">
        <v>0</v>
      </c>
      <c r="AA490" s="70">
        <v>0</v>
      </c>
      <c r="AB490" s="70">
        <v>0</v>
      </c>
      <c r="AC490" s="75">
        <v>0</v>
      </c>
      <c r="AD490" s="75">
        <v>0</v>
      </c>
      <c r="AE490" s="75">
        <v>12</v>
      </c>
      <c r="AF490" s="75">
        <v>0</v>
      </c>
      <c r="AG490" s="75">
        <v>0</v>
      </c>
      <c r="AH490" s="75">
        <v>0</v>
      </c>
      <c r="AI490" s="75">
        <v>0</v>
      </c>
      <c r="AJ490" s="75">
        <v>6.0000000000000001E-3</v>
      </c>
      <c r="AK490" s="75" t="s">
        <v>713</v>
      </c>
      <c r="AL490" s="70">
        <v>2</v>
      </c>
      <c r="AM490" s="75">
        <v>1000</v>
      </c>
      <c r="AN490" s="70" t="s">
        <v>48</v>
      </c>
      <c r="AO490" s="70" t="s">
        <v>725</v>
      </c>
    </row>
    <row r="491" spans="1:41" ht="16.5">
      <c r="A491" s="70">
        <v>20219</v>
      </c>
      <c r="B491" s="71" t="s">
        <v>1251</v>
      </c>
      <c r="C491" s="71" t="s">
        <v>161</v>
      </c>
      <c r="D491" s="72" t="s">
        <v>105</v>
      </c>
      <c r="E491" s="73">
        <v>11001</v>
      </c>
      <c r="F491" s="74">
        <v>2000</v>
      </c>
      <c r="G491" s="70">
        <v>300</v>
      </c>
      <c r="H491" s="70">
        <v>50</v>
      </c>
      <c r="I491" s="72" t="s">
        <v>718</v>
      </c>
      <c r="J491" s="70">
        <v>2</v>
      </c>
      <c r="K491" s="70">
        <v>6</v>
      </c>
      <c r="L491" s="70">
        <v>20</v>
      </c>
      <c r="M491" s="70">
        <v>0</v>
      </c>
      <c r="N491" s="70">
        <v>0</v>
      </c>
      <c r="O491" s="70">
        <v>60</v>
      </c>
      <c r="P491" s="70">
        <v>0</v>
      </c>
      <c r="Q491" s="70">
        <v>0</v>
      </c>
      <c r="R491" s="70">
        <v>0</v>
      </c>
      <c r="S491" s="70">
        <v>0</v>
      </c>
      <c r="T491" s="70">
        <v>0</v>
      </c>
      <c r="U491" s="70">
        <v>0</v>
      </c>
      <c r="V491" s="70">
        <v>0</v>
      </c>
      <c r="W491" s="70">
        <v>3</v>
      </c>
      <c r="X491" s="70">
        <v>0</v>
      </c>
      <c r="Y491" s="70">
        <v>0</v>
      </c>
      <c r="Z491" s="70">
        <v>0</v>
      </c>
      <c r="AA491" s="70">
        <v>0</v>
      </c>
      <c r="AB491" s="70">
        <v>0</v>
      </c>
      <c r="AC491" s="75">
        <v>0</v>
      </c>
      <c r="AD491" s="75">
        <v>0</v>
      </c>
      <c r="AE491" s="75">
        <v>12</v>
      </c>
      <c r="AF491" s="75">
        <v>0</v>
      </c>
      <c r="AG491" s="75">
        <v>0</v>
      </c>
      <c r="AH491" s="75">
        <v>0</v>
      </c>
      <c r="AI491" s="75">
        <v>0</v>
      </c>
      <c r="AJ491" s="75">
        <v>6.0000000000000001E-3</v>
      </c>
      <c r="AK491" s="75" t="s">
        <v>713</v>
      </c>
      <c r="AL491" s="70">
        <v>2</v>
      </c>
      <c r="AM491" s="75">
        <v>1000</v>
      </c>
      <c r="AN491" s="70" t="s">
        <v>48</v>
      </c>
      <c r="AO491" s="70" t="s">
        <v>725</v>
      </c>
    </row>
    <row r="492" spans="1:41" ht="16.5">
      <c r="A492" s="70">
        <v>20220</v>
      </c>
      <c r="B492" s="71" t="s">
        <v>1252</v>
      </c>
      <c r="C492" s="71" t="s">
        <v>161</v>
      </c>
      <c r="D492" s="72" t="s">
        <v>105</v>
      </c>
      <c r="E492" s="73">
        <v>11001</v>
      </c>
      <c r="F492" s="74">
        <v>2000</v>
      </c>
      <c r="G492" s="70">
        <v>300</v>
      </c>
      <c r="H492" s="70">
        <v>50</v>
      </c>
      <c r="I492" s="72" t="s">
        <v>718</v>
      </c>
      <c r="J492" s="70">
        <v>2</v>
      </c>
      <c r="K492" s="70">
        <v>6</v>
      </c>
      <c r="L492" s="70">
        <v>20</v>
      </c>
      <c r="M492" s="70">
        <v>0</v>
      </c>
      <c r="N492" s="70">
        <v>0</v>
      </c>
      <c r="O492" s="70">
        <v>60</v>
      </c>
      <c r="P492" s="70">
        <v>0</v>
      </c>
      <c r="Q492" s="70">
        <v>0</v>
      </c>
      <c r="R492" s="70">
        <v>0</v>
      </c>
      <c r="S492" s="70">
        <v>0</v>
      </c>
      <c r="T492" s="70">
        <v>0</v>
      </c>
      <c r="U492" s="70">
        <v>0</v>
      </c>
      <c r="V492" s="70">
        <v>0</v>
      </c>
      <c r="W492" s="70">
        <v>3</v>
      </c>
      <c r="X492" s="70">
        <v>0</v>
      </c>
      <c r="Y492" s="70">
        <v>0</v>
      </c>
      <c r="Z492" s="70">
        <v>0</v>
      </c>
      <c r="AA492" s="70">
        <v>0</v>
      </c>
      <c r="AB492" s="70">
        <v>0</v>
      </c>
      <c r="AC492" s="75">
        <v>0</v>
      </c>
      <c r="AD492" s="75">
        <v>0</v>
      </c>
      <c r="AE492" s="75">
        <v>12</v>
      </c>
      <c r="AF492" s="75">
        <v>0</v>
      </c>
      <c r="AG492" s="75">
        <v>0</v>
      </c>
      <c r="AH492" s="75">
        <v>0</v>
      </c>
      <c r="AI492" s="75">
        <v>0</v>
      </c>
      <c r="AJ492" s="75">
        <v>6.0000000000000001E-3</v>
      </c>
      <c r="AK492" s="75" t="s">
        <v>713</v>
      </c>
      <c r="AL492" s="70">
        <v>2</v>
      </c>
      <c r="AM492" s="75">
        <v>1000</v>
      </c>
      <c r="AN492" s="70" t="s">
        <v>48</v>
      </c>
      <c r="AO492" s="70" t="s">
        <v>725</v>
      </c>
    </row>
    <row r="493" spans="1:41" ht="16.5">
      <c r="A493" s="70">
        <v>202211</v>
      </c>
      <c r="B493" s="71" t="s">
        <v>1253</v>
      </c>
      <c r="C493" s="71" t="s">
        <v>161</v>
      </c>
      <c r="D493" s="72" t="s">
        <v>105</v>
      </c>
      <c r="E493" s="73">
        <v>11001</v>
      </c>
      <c r="F493" s="74">
        <v>2000</v>
      </c>
      <c r="G493" s="70">
        <v>300</v>
      </c>
      <c r="H493" s="70">
        <v>50</v>
      </c>
      <c r="I493" s="72" t="s">
        <v>718</v>
      </c>
      <c r="J493" s="70">
        <v>2</v>
      </c>
      <c r="K493" s="70">
        <v>6</v>
      </c>
      <c r="L493" s="70">
        <v>20</v>
      </c>
      <c r="M493" s="70">
        <v>0</v>
      </c>
      <c r="N493" s="70">
        <v>0</v>
      </c>
      <c r="O493" s="70">
        <v>60</v>
      </c>
      <c r="P493" s="70">
        <v>0</v>
      </c>
      <c r="Q493" s="70">
        <v>0</v>
      </c>
      <c r="R493" s="70">
        <v>0</v>
      </c>
      <c r="S493" s="70">
        <v>0</v>
      </c>
      <c r="T493" s="70">
        <v>0</v>
      </c>
      <c r="U493" s="70">
        <v>0</v>
      </c>
      <c r="V493" s="70">
        <v>0</v>
      </c>
      <c r="W493" s="70">
        <v>3</v>
      </c>
      <c r="X493" s="70">
        <v>0</v>
      </c>
      <c r="Y493" s="70">
        <v>0</v>
      </c>
      <c r="Z493" s="70">
        <v>0</v>
      </c>
      <c r="AA493" s="70">
        <v>0</v>
      </c>
      <c r="AB493" s="70">
        <v>0</v>
      </c>
      <c r="AC493" s="75">
        <v>0</v>
      </c>
      <c r="AD493" s="75">
        <v>0</v>
      </c>
      <c r="AE493" s="75">
        <v>12</v>
      </c>
      <c r="AF493" s="75">
        <v>0</v>
      </c>
      <c r="AG493" s="75">
        <v>0</v>
      </c>
      <c r="AH493" s="75">
        <v>0</v>
      </c>
      <c r="AI493" s="75">
        <v>0</v>
      </c>
      <c r="AJ493" s="75">
        <v>6.0000000000000001E-3</v>
      </c>
      <c r="AK493" s="75" t="s">
        <v>713</v>
      </c>
      <c r="AL493" s="70">
        <v>2</v>
      </c>
      <c r="AM493" s="75">
        <v>1000</v>
      </c>
      <c r="AN493" s="70" t="s">
        <v>48</v>
      </c>
      <c r="AO493" s="70" t="s">
        <v>725</v>
      </c>
    </row>
    <row r="494" spans="1:41" ht="16.5">
      <c r="A494" s="70">
        <v>202212</v>
      </c>
      <c r="B494" s="71" t="s">
        <v>1254</v>
      </c>
      <c r="C494" s="71" t="s">
        <v>161</v>
      </c>
      <c r="D494" s="72" t="s">
        <v>105</v>
      </c>
      <c r="E494" s="73">
        <v>11001</v>
      </c>
      <c r="F494" s="74">
        <v>2000</v>
      </c>
      <c r="G494" s="70">
        <v>300</v>
      </c>
      <c r="H494" s="70">
        <v>50</v>
      </c>
      <c r="I494" s="72" t="s">
        <v>718</v>
      </c>
      <c r="J494" s="70">
        <v>2</v>
      </c>
      <c r="K494" s="70">
        <v>6</v>
      </c>
      <c r="L494" s="70">
        <v>20</v>
      </c>
      <c r="M494" s="70">
        <v>0</v>
      </c>
      <c r="N494" s="70">
        <v>0</v>
      </c>
      <c r="O494" s="70">
        <v>60</v>
      </c>
      <c r="P494" s="70">
        <v>0</v>
      </c>
      <c r="Q494" s="70">
        <v>0</v>
      </c>
      <c r="R494" s="70">
        <v>0</v>
      </c>
      <c r="S494" s="70">
        <v>0</v>
      </c>
      <c r="T494" s="70">
        <v>0</v>
      </c>
      <c r="U494" s="70">
        <v>0</v>
      </c>
      <c r="V494" s="70">
        <v>0</v>
      </c>
      <c r="W494" s="70">
        <v>3</v>
      </c>
      <c r="X494" s="70">
        <v>0</v>
      </c>
      <c r="Y494" s="70">
        <v>0</v>
      </c>
      <c r="Z494" s="70">
        <v>0</v>
      </c>
      <c r="AA494" s="70">
        <v>0</v>
      </c>
      <c r="AB494" s="70">
        <v>0</v>
      </c>
      <c r="AC494" s="75">
        <v>0</v>
      </c>
      <c r="AD494" s="75">
        <v>0</v>
      </c>
      <c r="AE494" s="75">
        <v>12</v>
      </c>
      <c r="AF494" s="75">
        <v>0</v>
      </c>
      <c r="AG494" s="75">
        <v>0</v>
      </c>
      <c r="AH494" s="75">
        <v>0</v>
      </c>
      <c r="AI494" s="75">
        <v>0</v>
      </c>
      <c r="AJ494" s="75">
        <v>6.0000000000000001E-3</v>
      </c>
      <c r="AK494" s="75" t="s">
        <v>713</v>
      </c>
      <c r="AL494" s="70">
        <v>2</v>
      </c>
      <c r="AM494" s="75">
        <v>1000</v>
      </c>
      <c r="AN494" s="70" t="s">
        <v>48</v>
      </c>
      <c r="AO494" s="70" t="s">
        <v>725</v>
      </c>
    </row>
    <row r="495" spans="1:41" ht="16.5">
      <c r="A495" s="70">
        <v>202213</v>
      </c>
      <c r="B495" s="71" t="s">
        <v>1255</v>
      </c>
      <c r="C495" s="71" t="s">
        <v>161</v>
      </c>
      <c r="D495" s="72" t="s">
        <v>105</v>
      </c>
      <c r="E495" s="73">
        <v>11001</v>
      </c>
      <c r="F495" s="74">
        <v>2000</v>
      </c>
      <c r="G495" s="70">
        <v>300</v>
      </c>
      <c r="H495" s="70">
        <v>50</v>
      </c>
      <c r="I495" s="72" t="s">
        <v>718</v>
      </c>
      <c r="J495" s="70">
        <v>2</v>
      </c>
      <c r="K495" s="70">
        <v>6</v>
      </c>
      <c r="L495" s="70">
        <v>20</v>
      </c>
      <c r="M495" s="70">
        <v>0</v>
      </c>
      <c r="N495" s="70">
        <v>0</v>
      </c>
      <c r="O495" s="70">
        <v>60</v>
      </c>
      <c r="P495" s="70">
        <v>0</v>
      </c>
      <c r="Q495" s="70">
        <v>0</v>
      </c>
      <c r="R495" s="70">
        <v>0</v>
      </c>
      <c r="S495" s="70">
        <v>0</v>
      </c>
      <c r="T495" s="70">
        <v>0</v>
      </c>
      <c r="U495" s="70">
        <v>0</v>
      </c>
      <c r="V495" s="70">
        <v>0</v>
      </c>
      <c r="W495" s="70">
        <v>3</v>
      </c>
      <c r="X495" s="70">
        <v>0</v>
      </c>
      <c r="Y495" s="70">
        <v>0</v>
      </c>
      <c r="Z495" s="70">
        <v>0</v>
      </c>
      <c r="AA495" s="70">
        <v>0</v>
      </c>
      <c r="AB495" s="70">
        <v>0</v>
      </c>
      <c r="AC495" s="75">
        <v>0</v>
      </c>
      <c r="AD495" s="75">
        <v>0</v>
      </c>
      <c r="AE495" s="75">
        <v>12</v>
      </c>
      <c r="AF495" s="75">
        <v>0</v>
      </c>
      <c r="AG495" s="75">
        <v>0</v>
      </c>
      <c r="AH495" s="75">
        <v>0</v>
      </c>
      <c r="AI495" s="75">
        <v>0</v>
      </c>
      <c r="AJ495" s="75">
        <v>6.0000000000000001E-3</v>
      </c>
      <c r="AK495" s="75" t="s">
        <v>713</v>
      </c>
      <c r="AL495" s="70">
        <v>2</v>
      </c>
      <c r="AM495" s="75">
        <v>1000</v>
      </c>
      <c r="AN495" s="70" t="s">
        <v>48</v>
      </c>
      <c r="AO495" s="70" t="s">
        <v>725</v>
      </c>
    </row>
    <row r="496" spans="1:41" ht="16.5">
      <c r="A496" s="70">
        <v>22</v>
      </c>
      <c r="B496" s="71" t="s">
        <v>1256</v>
      </c>
      <c r="C496" s="71" t="s">
        <v>694</v>
      </c>
      <c r="D496" s="72" t="s">
        <v>106</v>
      </c>
      <c r="E496" s="73">
        <v>11002</v>
      </c>
      <c r="F496" s="74">
        <v>2000</v>
      </c>
      <c r="G496" s="70">
        <v>300</v>
      </c>
      <c r="H496" s="70">
        <v>50</v>
      </c>
      <c r="I496" s="72" t="s">
        <v>719</v>
      </c>
      <c r="J496" s="70">
        <v>2</v>
      </c>
      <c r="K496" s="70">
        <v>6</v>
      </c>
      <c r="L496" s="70">
        <v>20</v>
      </c>
      <c r="M496" s="70">
        <v>0</v>
      </c>
      <c r="N496" s="70">
        <v>120</v>
      </c>
      <c r="O496" s="70">
        <v>0</v>
      </c>
      <c r="P496" s="70">
        <v>0</v>
      </c>
      <c r="Q496" s="70">
        <v>0</v>
      </c>
      <c r="R496" s="70">
        <v>0</v>
      </c>
      <c r="S496" s="70">
        <v>0</v>
      </c>
      <c r="T496" s="70">
        <v>0</v>
      </c>
      <c r="U496" s="70">
        <v>0</v>
      </c>
      <c r="V496" s="70">
        <v>6</v>
      </c>
      <c r="W496" s="70">
        <v>0</v>
      </c>
      <c r="X496" s="70">
        <v>0</v>
      </c>
      <c r="Y496" s="70">
        <v>0</v>
      </c>
      <c r="Z496" s="70">
        <v>0</v>
      </c>
      <c r="AA496" s="70">
        <v>0</v>
      </c>
      <c r="AB496" s="70">
        <v>0</v>
      </c>
      <c r="AC496" s="75">
        <v>0</v>
      </c>
      <c r="AD496" s="75">
        <v>24</v>
      </c>
      <c r="AE496" s="75">
        <v>0</v>
      </c>
      <c r="AF496" s="75">
        <v>0</v>
      </c>
      <c r="AG496" s="75">
        <v>0</v>
      </c>
      <c r="AH496" s="75">
        <v>0</v>
      </c>
      <c r="AI496" s="75">
        <v>6.0000000000000001E-3</v>
      </c>
      <c r="AJ496" s="75">
        <v>0</v>
      </c>
      <c r="AK496" s="75" t="s">
        <v>713</v>
      </c>
      <c r="AL496" s="70">
        <v>1</v>
      </c>
      <c r="AM496" s="75">
        <v>1000</v>
      </c>
      <c r="AN496" s="70" t="s">
        <v>48</v>
      </c>
      <c r="AO496" s="70" t="s">
        <v>726</v>
      </c>
    </row>
    <row r="497" spans="1:41" ht="16.5">
      <c r="A497" s="70">
        <v>2022</v>
      </c>
      <c r="B497" s="71" t="s">
        <v>1257</v>
      </c>
      <c r="C497" s="71" t="s">
        <v>694</v>
      </c>
      <c r="D497" s="72" t="s">
        <v>106</v>
      </c>
      <c r="E497" s="73">
        <v>11002</v>
      </c>
      <c r="F497" s="74">
        <v>2000</v>
      </c>
      <c r="G497" s="70">
        <v>300</v>
      </c>
      <c r="H497" s="70">
        <v>50</v>
      </c>
      <c r="I497" s="72" t="s">
        <v>719</v>
      </c>
      <c r="J497" s="70">
        <v>2</v>
      </c>
      <c r="K497" s="70">
        <v>6</v>
      </c>
      <c r="L497" s="70">
        <v>20</v>
      </c>
      <c r="M497" s="70">
        <v>0</v>
      </c>
      <c r="N497" s="70">
        <v>120</v>
      </c>
      <c r="O497" s="70">
        <v>0</v>
      </c>
      <c r="P497" s="70">
        <v>0</v>
      </c>
      <c r="Q497" s="70">
        <v>0</v>
      </c>
      <c r="R497" s="70">
        <v>0</v>
      </c>
      <c r="S497" s="70">
        <v>0</v>
      </c>
      <c r="T497" s="70">
        <v>0</v>
      </c>
      <c r="U497" s="70">
        <v>0</v>
      </c>
      <c r="V497" s="70">
        <v>6</v>
      </c>
      <c r="W497" s="70">
        <v>0</v>
      </c>
      <c r="X497" s="70">
        <v>0</v>
      </c>
      <c r="Y497" s="70">
        <v>0</v>
      </c>
      <c r="Z497" s="70">
        <v>0</v>
      </c>
      <c r="AA497" s="70">
        <v>0</v>
      </c>
      <c r="AB497" s="70">
        <v>0</v>
      </c>
      <c r="AC497" s="75">
        <v>0</v>
      </c>
      <c r="AD497" s="75">
        <v>24</v>
      </c>
      <c r="AE497" s="75">
        <v>0</v>
      </c>
      <c r="AF497" s="75">
        <v>0</v>
      </c>
      <c r="AG497" s="75">
        <v>0</v>
      </c>
      <c r="AH497" s="75">
        <v>0</v>
      </c>
      <c r="AI497" s="75">
        <v>6.0000000000000001E-3</v>
      </c>
      <c r="AJ497" s="75">
        <v>0</v>
      </c>
      <c r="AK497" s="75" t="s">
        <v>713</v>
      </c>
      <c r="AL497" s="70">
        <v>1</v>
      </c>
      <c r="AM497" s="75">
        <v>1000</v>
      </c>
      <c r="AN497" s="70" t="s">
        <v>48</v>
      </c>
      <c r="AO497" s="70" t="s">
        <v>726</v>
      </c>
    </row>
    <row r="498" spans="1:41" ht="16.5">
      <c r="A498" s="70">
        <v>20221</v>
      </c>
      <c r="B498" s="71" t="s">
        <v>1258</v>
      </c>
      <c r="C498" s="71" t="s">
        <v>694</v>
      </c>
      <c r="D498" s="72" t="s">
        <v>106</v>
      </c>
      <c r="E498" s="73">
        <v>11002</v>
      </c>
      <c r="F498" s="74">
        <v>2000</v>
      </c>
      <c r="G498" s="70">
        <v>300</v>
      </c>
      <c r="H498" s="70">
        <v>50</v>
      </c>
      <c r="I498" s="72" t="s">
        <v>719</v>
      </c>
      <c r="J498" s="70">
        <v>2</v>
      </c>
      <c r="K498" s="70">
        <v>6</v>
      </c>
      <c r="L498" s="70">
        <v>20</v>
      </c>
      <c r="M498" s="70">
        <v>0</v>
      </c>
      <c r="N498" s="70">
        <v>120</v>
      </c>
      <c r="O498" s="70">
        <v>0</v>
      </c>
      <c r="P498" s="70">
        <v>0</v>
      </c>
      <c r="Q498" s="70">
        <v>0</v>
      </c>
      <c r="R498" s="70">
        <v>0</v>
      </c>
      <c r="S498" s="70">
        <v>0</v>
      </c>
      <c r="T498" s="70">
        <v>0</v>
      </c>
      <c r="U498" s="70">
        <v>0</v>
      </c>
      <c r="V498" s="70">
        <v>6</v>
      </c>
      <c r="W498" s="70">
        <v>0</v>
      </c>
      <c r="X498" s="70">
        <v>0</v>
      </c>
      <c r="Y498" s="70">
        <v>0</v>
      </c>
      <c r="Z498" s="70">
        <v>0</v>
      </c>
      <c r="AA498" s="70">
        <v>0</v>
      </c>
      <c r="AB498" s="70">
        <v>0</v>
      </c>
      <c r="AC498" s="75">
        <v>0</v>
      </c>
      <c r="AD498" s="75">
        <v>24</v>
      </c>
      <c r="AE498" s="75">
        <v>0</v>
      </c>
      <c r="AF498" s="75">
        <v>0</v>
      </c>
      <c r="AG498" s="75">
        <v>0</v>
      </c>
      <c r="AH498" s="75">
        <v>0</v>
      </c>
      <c r="AI498" s="75">
        <v>6.0000000000000001E-3</v>
      </c>
      <c r="AJ498" s="75">
        <v>0</v>
      </c>
      <c r="AK498" s="75" t="s">
        <v>713</v>
      </c>
      <c r="AL498" s="70">
        <v>1</v>
      </c>
      <c r="AM498" s="75">
        <v>1000</v>
      </c>
      <c r="AN498" s="70" t="s">
        <v>48</v>
      </c>
      <c r="AO498" s="70" t="s">
        <v>726</v>
      </c>
    </row>
    <row r="499" spans="1:41" ht="16.5">
      <c r="A499" s="70">
        <v>20222</v>
      </c>
      <c r="B499" s="71" t="s">
        <v>1259</v>
      </c>
      <c r="C499" s="71" t="s">
        <v>694</v>
      </c>
      <c r="D499" s="72" t="s">
        <v>106</v>
      </c>
      <c r="E499" s="73">
        <v>11002</v>
      </c>
      <c r="F499" s="74">
        <v>2000</v>
      </c>
      <c r="G499" s="70">
        <v>300</v>
      </c>
      <c r="H499" s="70">
        <v>50</v>
      </c>
      <c r="I499" s="72" t="s">
        <v>719</v>
      </c>
      <c r="J499" s="70">
        <v>2</v>
      </c>
      <c r="K499" s="70">
        <v>6</v>
      </c>
      <c r="L499" s="70">
        <v>20</v>
      </c>
      <c r="M499" s="70">
        <v>0</v>
      </c>
      <c r="N499" s="70">
        <v>120</v>
      </c>
      <c r="O499" s="70">
        <v>0</v>
      </c>
      <c r="P499" s="70">
        <v>0</v>
      </c>
      <c r="Q499" s="70">
        <v>0</v>
      </c>
      <c r="R499" s="70">
        <v>0</v>
      </c>
      <c r="S499" s="70">
        <v>0</v>
      </c>
      <c r="T499" s="70">
        <v>0</v>
      </c>
      <c r="U499" s="70">
        <v>0</v>
      </c>
      <c r="V499" s="70">
        <v>6</v>
      </c>
      <c r="W499" s="70">
        <v>0</v>
      </c>
      <c r="X499" s="70">
        <v>0</v>
      </c>
      <c r="Y499" s="70">
        <v>0</v>
      </c>
      <c r="Z499" s="70">
        <v>0</v>
      </c>
      <c r="AA499" s="70">
        <v>0</v>
      </c>
      <c r="AB499" s="70">
        <v>0</v>
      </c>
      <c r="AC499" s="75">
        <v>0</v>
      </c>
      <c r="AD499" s="75">
        <v>24</v>
      </c>
      <c r="AE499" s="75">
        <v>0</v>
      </c>
      <c r="AF499" s="75">
        <v>0</v>
      </c>
      <c r="AG499" s="75">
        <v>0</v>
      </c>
      <c r="AH499" s="75">
        <v>0</v>
      </c>
      <c r="AI499" s="75">
        <v>6.0000000000000001E-3</v>
      </c>
      <c r="AJ499" s="75">
        <v>0</v>
      </c>
      <c r="AK499" s="75" t="s">
        <v>713</v>
      </c>
      <c r="AL499" s="70">
        <v>1</v>
      </c>
      <c r="AM499" s="75">
        <v>1000</v>
      </c>
      <c r="AN499" s="70" t="s">
        <v>48</v>
      </c>
      <c r="AO499" s="70" t="s">
        <v>726</v>
      </c>
    </row>
    <row r="500" spans="1:41" ht="16.5">
      <c r="A500" s="70">
        <v>20223</v>
      </c>
      <c r="B500" s="71" t="s">
        <v>1260</v>
      </c>
      <c r="C500" s="71" t="s">
        <v>694</v>
      </c>
      <c r="D500" s="72" t="s">
        <v>106</v>
      </c>
      <c r="E500" s="73">
        <v>11002</v>
      </c>
      <c r="F500" s="74">
        <v>2000</v>
      </c>
      <c r="G500" s="70">
        <v>300</v>
      </c>
      <c r="H500" s="70">
        <v>50</v>
      </c>
      <c r="I500" s="72" t="s">
        <v>719</v>
      </c>
      <c r="J500" s="70">
        <v>2</v>
      </c>
      <c r="K500" s="70">
        <v>6</v>
      </c>
      <c r="L500" s="70">
        <v>20</v>
      </c>
      <c r="M500" s="70">
        <v>0</v>
      </c>
      <c r="N500" s="70">
        <v>120</v>
      </c>
      <c r="O500" s="70">
        <v>0</v>
      </c>
      <c r="P500" s="70">
        <v>0</v>
      </c>
      <c r="Q500" s="70">
        <v>0</v>
      </c>
      <c r="R500" s="70">
        <v>0</v>
      </c>
      <c r="S500" s="70">
        <v>0</v>
      </c>
      <c r="T500" s="70">
        <v>0</v>
      </c>
      <c r="U500" s="70">
        <v>0</v>
      </c>
      <c r="V500" s="70">
        <v>6</v>
      </c>
      <c r="W500" s="70">
        <v>0</v>
      </c>
      <c r="X500" s="70">
        <v>0</v>
      </c>
      <c r="Y500" s="70">
        <v>0</v>
      </c>
      <c r="Z500" s="70">
        <v>0</v>
      </c>
      <c r="AA500" s="70">
        <v>0</v>
      </c>
      <c r="AB500" s="70">
        <v>0</v>
      </c>
      <c r="AC500" s="75">
        <v>0</v>
      </c>
      <c r="AD500" s="75">
        <v>24</v>
      </c>
      <c r="AE500" s="75">
        <v>0</v>
      </c>
      <c r="AF500" s="75">
        <v>0</v>
      </c>
      <c r="AG500" s="75">
        <v>0</v>
      </c>
      <c r="AH500" s="75">
        <v>0</v>
      </c>
      <c r="AI500" s="75">
        <v>6.0000000000000001E-3</v>
      </c>
      <c r="AJ500" s="75">
        <v>0</v>
      </c>
      <c r="AK500" s="75" t="s">
        <v>713</v>
      </c>
      <c r="AL500" s="70">
        <v>1</v>
      </c>
      <c r="AM500" s="75">
        <v>1000</v>
      </c>
      <c r="AN500" s="70" t="s">
        <v>48</v>
      </c>
      <c r="AO500" s="70" t="s">
        <v>726</v>
      </c>
    </row>
    <row r="501" spans="1:41" ht="16.5">
      <c r="A501" s="70">
        <v>20224</v>
      </c>
      <c r="B501" s="71" t="s">
        <v>1261</v>
      </c>
      <c r="C501" s="71" t="s">
        <v>694</v>
      </c>
      <c r="D501" s="72" t="s">
        <v>106</v>
      </c>
      <c r="E501" s="73">
        <v>11002</v>
      </c>
      <c r="F501" s="74">
        <v>2000</v>
      </c>
      <c r="G501" s="70">
        <v>300</v>
      </c>
      <c r="H501" s="70">
        <v>50</v>
      </c>
      <c r="I501" s="72" t="s">
        <v>719</v>
      </c>
      <c r="J501" s="70">
        <v>2</v>
      </c>
      <c r="K501" s="70">
        <v>6</v>
      </c>
      <c r="L501" s="70">
        <v>20</v>
      </c>
      <c r="M501" s="70">
        <v>0</v>
      </c>
      <c r="N501" s="70">
        <v>120</v>
      </c>
      <c r="O501" s="70">
        <v>0</v>
      </c>
      <c r="P501" s="70">
        <v>0</v>
      </c>
      <c r="Q501" s="70">
        <v>0</v>
      </c>
      <c r="R501" s="70">
        <v>0</v>
      </c>
      <c r="S501" s="70">
        <v>0</v>
      </c>
      <c r="T501" s="70">
        <v>0</v>
      </c>
      <c r="U501" s="70">
        <v>0</v>
      </c>
      <c r="V501" s="70">
        <v>6</v>
      </c>
      <c r="W501" s="70">
        <v>0</v>
      </c>
      <c r="X501" s="70">
        <v>0</v>
      </c>
      <c r="Y501" s="70">
        <v>0</v>
      </c>
      <c r="Z501" s="70">
        <v>0</v>
      </c>
      <c r="AA501" s="70">
        <v>0</v>
      </c>
      <c r="AB501" s="70">
        <v>0</v>
      </c>
      <c r="AC501" s="75">
        <v>0</v>
      </c>
      <c r="AD501" s="75">
        <v>24</v>
      </c>
      <c r="AE501" s="75">
        <v>0</v>
      </c>
      <c r="AF501" s="75">
        <v>0</v>
      </c>
      <c r="AG501" s="75">
        <v>0</v>
      </c>
      <c r="AH501" s="75">
        <v>0</v>
      </c>
      <c r="AI501" s="75">
        <v>6.0000000000000001E-3</v>
      </c>
      <c r="AJ501" s="75">
        <v>0</v>
      </c>
      <c r="AK501" s="75" t="s">
        <v>713</v>
      </c>
      <c r="AL501" s="70">
        <v>1</v>
      </c>
      <c r="AM501" s="75">
        <v>1000</v>
      </c>
      <c r="AN501" s="70" t="s">
        <v>48</v>
      </c>
      <c r="AO501" s="70" t="s">
        <v>726</v>
      </c>
    </row>
    <row r="502" spans="1:41" ht="16.5">
      <c r="A502" s="70">
        <v>20225</v>
      </c>
      <c r="B502" s="71" t="s">
        <v>1262</v>
      </c>
      <c r="C502" s="71" t="s">
        <v>694</v>
      </c>
      <c r="D502" s="72" t="s">
        <v>106</v>
      </c>
      <c r="E502" s="73">
        <v>11002</v>
      </c>
      <c r="F502" s="74">
        <v>2000</v>
      </c>
      <c r="G502" s="70">
        <v>300</v>
      </c>
      <c r="H502" s="70">
        <v>50</v>
      </c>
      <c r="I502" s="72" t="s">
        <v>719</v>
      </c>
      <c r="J502" s="70">
        <v>2</v>
      </c>
      <c r="K502" s="70">
        <v>6</v>
      </c>
      <c r="L502" s="70">
        <v>20</v>
      </c>
      <c r="M502" s="70">
        <v>0</v>
      </c>
      <c r="N502" s="70">
        <v>120</v>
      </c>
      <c r="O502" s="70">
        <v>0</v>
      </c>
      <c r="P502" s="70">
        <v>0</v>
      </c>
      <c r="Q502" s="70">
        <v>0</v>
      </c>
      <c r="R502" s="70">
        <v>0</v>
      </c>
      <c r="S502" s="70">
        <v>0</v>
      </c>
      <c r="T502" s="70">
        <v>0</v>
      </c>
      <c r="U502" s="70">
        <v>0</v>
      </c>
      <c r="V502" s="70">
        <v>6</v>
      </c>
      <c r="W502" s="70">
        <v>0</v>
      </c>
      <c r="X502" s="70">
        <v>0</v>
      </c>
      <c r="Y502" s="70">
        <v>0</v>
      </c>
      <c r="Z502" s="70">
        <v>0</v>
      </c>
      <c r="AA502" s="70">
        <v>0</v>
      </c>
      <c r="AB502" s="70">
        <v>0</v>
      </c>
      <c r="AC502" s="75">
        <v>0</v>
      </c>
      <c r="AD502" s="75">
        <v>24</v>
      </c>
      <c r="AE502" s="75">
        <v>0</v>
      </c>
      <c r="AF502" s="75">
        <v>0</v>
      </c>
      <c r="AG502" s="75">
        <v>0</v>
      </c>
      <c r="AH502" s="75">
        <v>0</v>
      </c>
      <c r="AI502" s="75">
        <v>6.0000000000000001E-3</v>
      </c>
      <c r="AJ502" s="75">
        <v>0</v>
      </c>
      <c r="AK502" s="75" t="s">
        <v>713</v>
      </c>
      <c r="AL502" s="70">
        <v>1</v>
      </c>
      <c r="AM502" s="75">
        <v>1000</v>
      </c>
      <c r="AN502" s="70" t="s">
        <v>48</v>
      </c>
      <c r="AO502" s="70" t="s">
        <v>726</v>
      </c>
    </row>
    <row r="503" spans="1:41" ht="16.5">
      <c r="A503" s="70">
        <v>20226</v>
      </c>
      <c r="B503" s="71" t="s">
        <v>1263</v>
      </c>
      <c r="C503" s="71" t="s">
        <v>694</v>
      </c>
      <c r="D503" s="72" t="s">
        <v>106</v>
      </c>
      <c r="E503" s="73">
        <v>11002</v>
      </c>
      <c r="F503" s="74">
        <v>2000</v>
      </c>
      <c r="G503" s="70">
        <v>300</v>
      </c>
      <c r="H503" s="70">
        <v>50</v>
      </c>
      <c r="I503" s="72" t="s">
        <v>719</v>
      </c>
      <c r="J503" s="70">
        <v>2</v>
      </c>
      <c r="K503" s="70">
        <v>6</v>
      </c>
      <c r="L503" s="70">
        <v>20</v>
      </c>
      <c r="M503" s="70">
        <v>0</v>
      </c>
      <c r="N503" s="70">
        <v>120</v>
      </c>
      <c r="O503" s="70">
        <v>0</v>
      </c>
      <c r="P503" s="70">
        <v>0</v>
      </c>
      <c r="Q503" s="70">
        <v>0</v>
      </c>
      <c r="R503" s="70">
        <v>0</v>
      </c>
      <c r="S503" s="70">
        <v>0</v>
      </c>
      <c r="T503" s="70">
        <v>0</v>
      </c>
      <c r="U503" s="70">
        <v>0</v>
      </c>
      <c r="V503" s="70">
        <v>6</v>
      </c>
      <c r="W503" s="70">
        <v>0</v>
      </c>
      <c r="X503" s="70">
        <v>0</v>
      </c>
      <c r="Y503" s="70">
        <v>0</v>
      </c>
      <c r="Z503" s="70">
        <v>0</v>
      </c>
      <c r="AA503" s="70">
        <v>0</v>
      </c>
      <c r="AB503" s="70">
        <v>0</v>
      </c>
      <c r="AC503" s="75">
        <v>0</v>
      </c>
      <c r="AD503" s="75">
        <v>24</v>
      </c>
      <c r="AE503" s="75">
        <v>0</v>
      </c>
      <c r="AF503" s="75">
        <v>0</v>
      </c>
      <c r="AG503" s="75">
        <v>0</v>
      </c>
      <c r="AH503" s="75">
        <v>0</v>
      </c>
      <c r="AI503" s="75">
        <v>6.0000000000000001E-3</v>
      </c>
      <c r="AJ503" s="75">
        <v>0</v>
      </c>
      <c r="AK503" s="75" t="s">
        <v>713</v>
      </c>
      <c r="AL503" s="70">
        <v>1</v>
      </c>
      <c r="AM503" s="75">
        <v>1000</v>
      </c>
      <c r="AN503" s="70" t="s">
        <v>48</v>
      </c>
      <c r="AO503" s="70" t="s">
        <v>726</v>
      </c>
    </row>
    <row r="504" spans="1:41" ht="16.5">
      <c r="A504" s="70">
        <v>20227</v>
      </c>
      <c r="B504" s="71" t="s">
        <v>1264</v>
      </c>
      <c r="C504" s="71" t="s">
        <v>694</v>
      </c>
      <c r="D504" s="72" t="s">
        <v>106</v>
      </c>
      <c r="E504" s="73">
        <v>11002</v>
      </c>
      <c r="F504" s="74">
        <v>2000</v>
      </c>
      <c r="G504" s="70">
        <v>300</v>
      </c>
      <c r="H504" s="70">
        <v>50</v>
      </c>
      <c r="I504" s="72" t="s">
        <v>719</v>
      </c>
      <c r="J504" s="70">
        <v>2</v>
      </c>
      <c r="K504" s="70">
        <v>6</v>
      </c>
      <c r="L504" s="70">
        <v>20</v>
      </c>
      <c r="M504" s="70">
        <v>0</v>
      </c>
      <c r="N504" s="70">
        <v>120</v>
      </c>
      <c r="O504" s="70">
        <v>0</v>
      </c>
      <c r="P504" s="70">
        <v>0</v>
      </c>
      <c r="Q504" s="70">
        <v>0</v>
      </c>
      <c r="R504" s="70">
        <v>0</v>
      </c>
      <c r="S504" s="70">
        <v>0</v>
      </c>
      <c r="T504" s="70">
        <v>0</v>
      </c>
      <c r="U504" s="70">
        <v>0</v>
      </c>
      <c r="V504" s="70">
        <v>6</v>
      </c>
      <c r="W504" s="70">
        <v>0</v>
      </c>
      <c r="X504" s="70">
        <v>0</v>
      </c>
      <c r="Y504" s="70">
        <v>0</v>
      </c>
      <c r="Z504" s="70">
        <v>0</v>
      </c>
      <c r="AA504" s="70">
        <v>0</v>
      </c>
      <c r="AB504" s="70">
        <v>0</v>
      </c>
      <c r="AC504" s="75">
        <v>0</v>
      </c>
      <c r="AD504" s="75">
        <v>24</v>
      </c>
      <c r="AE504" s="75">
        <v>0</v>
      </c>
      <c r="AF504" s="75">
        <v>0</v>
      </c>
      <c r="AG504" s="75">
        <v>0</v>
      </c>
      <c r="AH504" s="75">
        <v>0</v>
      </c>
      <c r="AI504" s="75">
        <v>6.0000000000000001E-3</v>
      </c>
      <c r="AJ504" s="75">
        <v>0</v>
      </c>
      <c r="AK504" s="75" t="s">
        <v>713</v>
      </c>
      <c r="AL504" s="70">
        <v>1</v>
      </c>
      <c r="AM504" s="75">
        <v>1000</v>
      </c>
      <c r="AN504" s="70" t="s">
        <v>48</v>
      </c>
      <c r="AO504" s="70" t="s">
        <v>726</v>
      </c>
    </row>
    <row r="505" spans="1:41" ht="16.5">
      <c r="A505" s="70">
        <v>20228</v>
      </c>
      <c r="B505" s="71" t="s">
        <v>1265</v>
      </c>
      <c r="C505" s="71" t="s">
        <v>694</v>
      </c>
      <c r="D505" s="72" t="s">
        <v>106</v>
      </c>
      <c r="E505" s="73">
        <v>11002</v>
      </c>
      <c r="F505" s="74">
        <v>2000</v>
      </c>
      <c r="G505" s="70">
        <v>300</v>
      </c>
      <c r="H505" s="70">
        <v>50</v>
      </c>
      <c r="I505" s="72" t="s">
        <v>719</v>
      </c>
      <c r="J505" s="70">
        <v>2</v>
      </c>
      <c r="K505" s="70">
        <v>6</v>
      </c>
      <c r="L505" s="70">
        <v>20</v>
      </c>
      <c r="M505" s="70">
        <v>0</v>
      </c>
      <c r="N505" s="70">
        <v>120</v>
      </c>
      <c r="O505" s="70">
        <v>0</v>
      </c>
      <c r="P505" s="70">
        <v>0</v>
      </c>
      <c r="Q505" s="70">
        <v>0</v>
      </c>
      <c r="R505" s="70">
        <v>0</v>
      </c>
      <c r="S505" s="70">
        <v>0</v>
      </c>
      <c r="T505" s="70">
        <v>0</v>
      </c>
      <c r="U505" s="70">
        <v>0</v>
      </c>
      <c r="V505" s="70">
        <v>6</v>
      </c>
      <c r="W505" s="70">
        <v>0</v>
      </c>
      <c r="X505" s="70">
        <v>0</v>
      </c>
      <c r="Y505" s="70">
        <v>0</v>
      </c>
      <c r="Z505" s="70">
        <v>0</v>
      </c>
      <c r="AA505" s="70">
        <v>0</v>
      </c>
      <c r="AB505" s="70">
        <v>0</v>
      </c>
      <c r="AC505" s="75">
        <v>0</v>
      </c>
      <c r="AD505" s="75">
        <v>24</v>
      </c>
      <c r="AE505" s="75">
        <v>0</v>
      </c>
      <c r="AF505" s="75">
        <v>0</v>
      </c>
      <c r="AG505" s="75">
        <v>0</v>
      </c>
      <c r="AH505" s="75">
        <v>0</v>
      </c>
      <c r="AI505" s="75">
        <v>6.0000000000000001E-3</v>
      </c>
      <c r="AJ505" s="75">
        <v>0</v>
      </c>
      <c r="AK505" s="75" t="s">
        <v>713</v>
      </c>
      <c r="AL505" s="70">
        <v>1</v>
      </c>
      <c r="AM505" s="75">
        <v>1000</v>
      </c>
      <c r="AN505" s="70" t="s">
        <v>48</v>
      </c>
      <c r="AO505" s="70" t="s">
        <v>726</v>
      </c>
    </row>
    <row r="506" spans="1:41" ht="16.5">
      <c r="A506" s="70">
        <v>20229</v>
      </c>
      <c r="B506" s="71" t="s">
        <v>1266</v>
      </c>
      <c r="C506" s="71" t="s">
        <v>694</v>
      </c>
      <c r="D506" s="72" t="s">
        <v>106</v>
      </c>
      <c r="E506" s="73">
        <v>11002</v>
      </c>
      <c r="F506" s="74">
        <v>2000</v>
      </c>
      <c r="G506" s="70">
        <v>300</v>
      </c>
      <c r="H506" s="70">
        <v>50</v>
      </c>
      <c r="I506" s="72" t="s">
        <v>719</v>
      </c>
      <c r="J506" s="70">
        <v>2</v>
      </c>
      <c r="K506" s="70">
        <v>6</v>
      </c>
      <c r="L506" s="70">
        <v>20</v>
      </c>
      <c r="M506" s="70">
        <v>0</v>
      </c>
      <c r="N506" s="70">
        <v>120</v>
      </c>
      <c r="O506" s="70">
        <v>0</v>
      </c>
      <c r="P506" s="70">
        <v>0</v>
      </c>
      <c r="Q506" s="70">
        <v>0</v>
      </c>
      <c r="R506" s="70">
        <v>0</v>
      </c>
      <c r="S506" s="70">
        <v>0</v>
      </c>
      <c r="T506" s="70">
        <v>0</v>
      </c>
      <c r="U506" s="70">
        <v>0</v>
      </c>
      <c r="V506" s="70">
        <v>6</v>
      </c>
      <c r="W506" s="70">
        <v>0</v>
      </c>
      <c r="X506" s="70">
        <v>0</v>
      </c>
      <c r="Y506" s="70">
        <v>0</v>
      </c>
      <c r="Z506" s="70">
        <v>0</v>
      </c>
      <c r="AA506" s="70">
        <v>0</v>
      </c>
      <c r="AB506" s="70">
        <v>0</v>
      </c>
      <c r="AC506" s="75">
        <v>0</v>
      </c>
      <c r="AD506" s="75">
        <v>24</v>
      </c>
      <c r="AE506" s="75">
        <v>0</v>
      </c>
      <c r="AF506" s="75">
        <v>0</v>
      </c>
      <c r="AG506" s="75">
        <v>0</v>
      </c>
      <c r="AH506" s="75">
        <v>0</v>
      </c>
      <c r="AI506" s="75">
        <v>6.0000000000000001E-3</v>
      </c>
      <c r="AJ506" s="75">
        <v>0</v>
      </c>
      <c r="AK506" s="75" t="s">
        <v>713</v>
      </c>
      <c r="AL506" s="70">
        <v>1</v>
      </c>
      <c r="AM506" s="75">
        <v>1000</v>
      </c>
      <c r="AN506" s="70" t="s">
        <v>48</v>
      </c>
      <c r="AO506" s="70" t="s">
        <v>726</v>
      </c>
    </row>
    <row r="507" spans="1:41" ht="16.5">
      <c r="A507" s="70">
        <v>20230</v>
      </c>
      <c r="B507" s="71" t="s">
        <v>1267</v>
      </c>
      <c r="C507" s="71" t="s">
        <v>694</v>
      </c>
      <c r="D507" s="72" t="s">
        <v>106</v>
      </c>
      <c r="E507" s="73">
        <v>11002</v>
      </c>
      <c r="F507" s="74">
        <v>2000</v>
      </c>
      <c r="G507" s="70">
        <v>300</v>
      </c>
      <c r="H507" s="70">
        <v>50</v>
      </c>
      <c r="I507" s="72" t="s">
        <v>719</v>
      </c>
      <c r="J507" s="70">
        <v>2</v>
      </c>
      <c r="K507" s="70">
        <v>6</v>
      </c>
      <c r="L507" s="70">
        <v>20</v>
      </c>
      <c r="M507" s="70">
        <v>0</v>
      </c>
      <c r="N507" s="70">
        <v>120</v>
      </c>
      <c r="O507" s="70">
        <v>0</v>
      </c>
      <c r="P507" s="70">
        <v>0</v>
      </c>
      <c r="Q507" s="70">
        <v>0</v>
      </c>
      <c r="R507" s="70">
        <v>0</v>
      </c>
      <c r="S507" s="70">
        <v>0</v>
      </c>
      <c r="T507" s="70">
        <v>0</v>
      </c>
      <c r="U507" s="70">
        <v>0</v>
      </c>
      <c r="V507" s="70">
        <v>6</v>
      </c>
      <c r="W507" s="70">
        <v>0</v>
      </c>
      <c r="X507" s="70">
        <v>0</v>
      </c>
      <c r="Y507" s="70">
        <v>0</v>
      </c>
      <c r="Z507" s="70">
        <v>0</v>
      </c>
      <c r="AA507" s="70">
        <v>0</v>
      </c>
      <c r="AB507" s="70">
        <v>0</v>
      </c>
      <c r="AC507" s="75">
        <v>0</v>
      </c>
      <c r="AD507" s="75">
        <v>24</v>
      </c>
      <c r="AE507" s="75">
        <v>0</v>
      </c>
      <c r="AF507" s="75">
        <v>0</v>
      </c>
      <c r="AG507" s="75">
        <v>0</v>
      </c>
      <c r="AH507" s="75">
        <v>0</v>
      </c>
      <c r="AI507" s="75">
        <v>6.0000000000000001E-3</v>
      </c>
      <c r="AJ507" s="75">
        <v>0</v>
      </c>
      <c r="AK507" s="75" t="s">
        <v>713</v>
      </c>
      <c r="AL507" s="70">
        <v>1</v>
      </c>
      <c r="AM507" s="75">
        <v>1000</v>
      </c>
      <c r="AN507" s="70" t="s">
        <v>48</v>
      </c>
      <c r="AO507" s="70" t="s">
        <v>726</v>
      </c>
    </row>
    <row r="508" spans="1:41" ht="16.5">
      <c r="A508" s="70">
        <v>202311</v>
      </c>
      <c r="B508" s="71" t="s">
        <v>1268</v>
      </c>
      <c r="C508" s="71" t="s">
        <v>694</v>
      </c>
      <c r="D508" s="72" t="s">
        <v>106</v>
      </c>
      <c r="E508" s="73">
        <v>11002</v>
      </c>
      <c r="F508" s="74">
        <v>2000</v>
      </c>
      <c r="G508" s="70">
        <v>300</v>
      </c>
      <c r="H508" s="70">
        <v>50</v>
      </c>
      <c r="I508" s="72" t="s">
        <v>719</v>
      </c>
      <c r="J508" s="70">
        <v>2</v>
      </c>
      <c r="K508" s="70">
        <v>6</v>
      </c>
      <c r="L508" s="70">
        <v>20</v>
      </c>
      <c r="M508" s="70">
        <v>0</v>
      </c>
      <c r="N508" s="70">
        <v>120</v>
      </c>
      <c r="O508" s="70">
        <v>0</v>
      </c>
      <c r="P508" s="70">
        <v>0</v>
      </c>
      <c r="Q508" s="70">
        <v>0</v>
      </c>
      <c r="R508" s="70">
        <v>0</v>
      </c>
      <c r="S508" s="70">
        <v>0</v>
      </c>
      <c r="T508" s="70">
        <v>0</v>
      </c>
      <c r="U508" s="70">
        <v>0</v>
      </c>
      <c r="V508" s="70">
        <v>6</v>
      </c>
      <c r="W508" s="70">
        <v>0</v>
      </c>
      <c r="X508" s="70">
        <v>0</v>
      </c>
      <c r="Y508" s="70">
        <v>0</v>
      </c>
      <c r="Z508" s="70">
        <v>0</v>
      </c>
      <c r="AA508" s="70">
        <v>0</v>
      </c>
      <c r="AB508" s="70">
        <v>0</v>
      </c>
      <c r="AC508" s="75">
        <v>0</v>
      </c>
      <c r="AD508" s="75">
        <v>24</v>
      </c>
      <c r="AE508" s="75">
        <v>0</v>
      </c>
      <c r="AF508" s="75">
        <v>0</v>
      </c>
      <c r="AG508" s="75">
        <v>0</v>
      </c>
      <c r="AH508" s="75">
        <v>0</v>
      </c>
      <c r="AI508" s="75">
        <v>6.0000000000000001E-3</v>
      </c>
      <c r="AJ508" s="75">
        <v>0</v>
      </c>
      <c r="AK508" s="75" t="s">
        <v>713</v>
      </c>
      <c r="AL508" s="70">
        <v>1</v>
      </c>
      <c r="AM508" s="75">
        <v>1000</v>
      </c>
      <c r="AN508" s="70" t="s">
        <v>48</v>
      </c>
      <c r="AO508" s="70" t="s">
        <v>726</v>
      </c>
    </row>
    <row r="509" spans="1:41" ht="16.5">
      <c r="A509" s="70">
        <v>202312</v>
      </c>
      <c r="B509" s="71" t="s">
        <v>1269</v>
      </c>
      <c r="C509" s="71" t="s">
        <v>694</v>
      </c>
      <c r="D509" s="72" t="s">
        <v>106</v>
      </c>
      <c r="E509" s="73">
        <v>11002</v>
      </c>
      <c r="F509" s="74">
        <v>2000</v>
      </c>
      <c r="G509" s="70">
        <v>300</v>
      </c>
      <c r="H509" s="70">
        <v>50</v>
      </c>
      <c r="I509" s="72" t="s">
        <v>719</v>
      </c>
      <c r="J509" s="70">
        <v>2</v>
      </c>
      <c r="K509" s="70">
        <v>6</v>
      </c>
      <c r="L509" s="70">
        <v>20</v>
      </c>
      <c r="M509" s="70">
        <v>0</v>
      </c>
      <c r="N509" s="70">
        <v>120</v>
      </c>
      <c r="O509" s="70">
        <v>0</v>
      </c>
      <c r="P509" s="70">
        <v>0</v>
      </c>
      <c r="Q509" s="70">
        <v>0</v>
      </c>
      <c r="R509" s="70">
        <v>0</v>
      </c>
      <c r="S509" s="70">
        <v>0</v>
      </c>
      <c r="T509" s="70">
        <v>0</v>
      </c>
      <c r="U509" s="70">
        <v>0</v>
      </c>
      <c r="V509" s="70">
        <v>6</v>
      </c>
      <c r="W509" s="70">
        <v>0</v>
      </c>
      <c r="X509" s="70">
        <v>0</v>
      </c>
      <c r="Y509" s="70">
        <v>0</v>
      </c>
      <c r="Z509" s="70">
        <v>0</v>
      </c>
      <c r="AA509" s="70">
        <v>0</v>
      </c>
      <c r="AB509" s="70">
        <v>0</v>
      </c>
      <c r="AC509" s="75">
        <v>0</v>
      </c>
      <c r="AD509" s="75">
        <v>24</v>
      </c>
      <c r="AE509" s="75">
        <v>0</v>
      </c>
      <c r="AF509" s="75">
        <v>0</v>
      </c>
      <c r="AG509" s="75">
        <v>0</v>
      </c>
      <c r="AH509" s="75">
        <v>0</v>
      </c>
      <c r="AI509" s="75">
        <v>6.0000000000000001E-3</v>
      </c>
      <c r="AJ509" s="75">
        <v>0</v>
      </c>
      <c r="AK509" s="75" t="s">
        <v>713</v>
      </c>
      <c r="AL509" s="70">
        <v>1</v>
      </c>
      <c r="AM509" s="75">
        <v>1000</v>
      </c>
      <c r="AN509" s="70" t="s">
        <v>48</v>
      </c>
      <c r="AO509" s="70" t="s">
        <v>726</v>
      </c>
    </row>
    <row r="510" spans="1:41" ht="16.5">
      <c r="A510" s="70">
        <v>202313</v>
      </c>
      <c r="B510" s="71" t="s">
        <v>1270</v>
      </c>
      <c r="C510" s="71" t="s">
        <v>694</v>
      </c>
      <c r="D510" s="72" t="s">
        <v>106</v>
      </c>
      <c r="E510" s="73">
        <v>11002</v>
      </c>
      <c r="F510" s="74">
        <v>2000</v>
      </c>
      <c r="G510" s="70">
        <v>300</v>
      </c>
      <c r="H510" s="70">
        <v>50</v>
      </c>
      <c r="I510" s="72" t="s">
        <v>719</v>
      </c>
      <c r="J510" s="70">
        <v>2</v>
      </c>
      <c r="K510" s="70">
        <v>6</v>
      </c>
      <c r="L510" s="70">
        <v>20</v>
      </c>
      <c r="M510" s="70">
        <v>0</v>
      </c>
      <c r="N510" s="70">
        <v>120</v>
      </c>
      <c r="O510" s="70">
        <v>0</v>
      </c>
      <c r="P510" s="70">
        <v>0</v>
      </c>
      <c r="Q510" s="70">
        <v>0</v>
      </c>
      <c r="R510" s="70">
        <v>0</v>
      </c>
      <c r="S510" s="70">
        <v>0</v>
      </c>
      <c r="T510" s="70">
        <v>0</v>
      </c>
      <c r="U510" s="70">
        <v>0</v>
      </c>
      <c r="V510" s="70">
        <v>6</v>
      </c>
      <c r="W510" s="70">
        <v>0</v>
      </c>
      <c r="X510" s="70">
        <v>0</v>
      </c>
      <c r="Y510" s="70">
        <v>0</v>
      </c>
      <c r="Z510" s="70">
        <v>0</v>
      </c>
      <c r="AA510" s="70">
        <v>0</v>
      </c>
      <c r="AB510" s="70">
        <v>0</v>
      </c>
      <c r="AC510" s="75">
        <v>0</v>
      </c>
      <c r="AD510" s="75">
        <v>24</v>
      </c>
      <c r="AE510" s="75">
        <v>0</v>
      </c>
      <c r="AF510" s="75">
        <v>0</v>
      </c>
      <c r="AG510" s="75">
        <v>0</v>
      </c>
      <c r="AH510" s="75">
        <v>0</v>
      </c>
      <c r="AI510" s="75">
        <v>6.0000000000000001E-3</v>
      </c>
      <c r="AJ510" s="75">
        <v>0</v>
      </c>
      <c r="AK510" s="75" t="s">
        <v>713</v>
      </c>
      <c r="AL510" s="70">
        <v>1</v>
      </c>
      <c r="AM510" s="75">
        <v>1000</v>
      </c>
      <c r="AN510" s="70" t="s">
        <v>48</v>
      </c>
      <c r="AO510" s="70" t="s">
        <v>726</v>
      </c>
    </row>
    <row r="511" spans="1:41" ht="16.5">
      <c r="A511" s="70">
        <v>23</v>
      </c>
      <c r="B511" s="71" t="s">
        <v>1271</v>
      </c>
      <c r="C511" s="71" t="s">
        <v>162</v>
      </c>
      <c r="D511" s="72" t="s">
        <v>107</v>
      </c>
      <c r="E511" s="73">
        <v>11003</v>
      </c>
      <c r="F511" s="74">
        <v>2000</v>
      </c>
      <c r="G511" s="70">
        <v>300</v>
      </c>
      <c r="H511" s="70">
        <v>50</v>
      </c>
      <c r="I511" s="72" t="s">
        <v>720</v>
      </c>
      <c r="J511" s="70">
        <v>2</v>
      </c>
      <c r="K511" s="70">
        <v>6</v>
      </c>
      <c r="L511" s="70">
        <v>20</v>
      </c>
      <c r="M511" s="70">
        <v>3000</v>
      </c>
      <c r="N511" s="70">
        <v>0</v>
      </c>
      <c r="O511" s="70">
        <v>0</v>
      </c>
      <c r="P511" s="70">
        <v>0</v>
      </c>
      <c r="Q511" s="70">
        <v>0</v>
      </c>
      <c r="R511" s="70">
        <v>0</v>
      </c>
      <c r="S511" s="70">
        <v>0</v>
      </c>
      <c r="T511" s="70">
        <v>0</v>
      </c>
      <c r="U511" s="70">
        <v>150</v>
      </c>
      <c r="V511" s="70">
        <v>0</v>
      </c>
      <c r="W511" s="70">
        <v>0</v>
      </c>
      <c r="X511" s="70">
        <v>0</v>
      </c>
      <c r="Y511" s="70">
        <v>0</v>
      </c>
      <c r="Z511" s="70">
        <v>0</v>
      </c>
      <c r="AA511" s="70">
        <v>0</v>
      </c>
      <c r="AB511" s="70">
        <v>0</v>
      </c>
      <c r="AC511" s="75">
        <v>600</v>
      </c>
      <c r="AD511" s="75">
        <v>0</v>
      </c>
      <c r="AE511" s="75">
        <v>0</v>
      </c>
      <c r="AF511" s="75">
        <v>0</v>
      </c>
      <c r="AG511" s="75">
        <v>3.0000000000000001E-3</v>
      </c>
      <c r="AH511" s="75">
        <v>0</v>
      </c>
      <c r="AI511" s="75">
        <v>0</v>
      </c>
      <c r="AJ511" s="75">
        <v>0</v>
      </c>
      <c r="AK511" s="75" t="s">
        <v>713</v>
      </c>
      <c r="AL511" s="70">
        <v>3</v>
      </c>
      <c r="AM511" s="75">
        <v>1000</v>
      </c>
      <c r="AN511" s="70" t="s">
        <v>63</v>
      </c>
      <c r="AO511" s="70" t="s">
        <v>727</v>
      </c>
    </row>
    <row r="512" spans="1:41" ht="16.5">
      <c r="A512" s="70">
        <v>2023</v>
      </c>
      <c r="B512" s="71" t="s">
        <v>1272</v>
      </c>
      <c r="C512" s="71" t="s">
        <v>162</v>
      </c>
      <c r="D512" s="72" t="s">
        <v>107</v>
      </c>
      <c r="E512" s="73">
        <v>11003</v>
      </c>
      <c r="F512" s="74">
        <v>2000</v>
      </c>
      <c r="G512" s="70">
        <v>300</v>
      </c>
      <c r="H512" s="70">
        <v>50</v>
      </c>
      <c r="I512" s="72" t="s">
        <v>720</v>
      </c>
      <c r="J512" s="70">
        <v>2</v>
      </c>
      <c r="K512" s="70">
        <v>6</v>
      </c>
      <c r="L512" s="70">
        <v>20</v>
      </c>
      <c r="M512" s="70">
        <v>3000</v>
      </c>
      <c r="N512" s="70">
        <v>0</v>
      </c>
      <c r="O512" s="70">
        <v>0</v>
      </c>
      <c r="P512" s="70">
        <v>0</v>
      </c>
      <c r="Q512" s="70">
        <v>0</v>
      </c>
      <c r="R512" s="70">
        <v>0</v>
      </c>
      <c r="S512" s="70">
        <v>0</v>
      </c>
      <c r="T512" s="70">
        <v>0</v>
      </c>
      <c r="U512" s="70">
        <v>150</v>
      </c>
      <c r="V512" s="70">
        <v>0</v>
      </c>
      <c r="W512" s="70">
        <v>0</v>
      </c>
      <c r="X512" s="70">
        <v>0</v>
      </c>
      <c r="Y512" s="70">
        <v>0</v>
      </c>
      <c r="Z512" s="70">
        <v>0</v>
      </c>
      <c r="AA512" s="70">
        <v>0</v>
      </c>
      <c r="AB512" s="70">
        <v>0</v>
      </c>
      <c r="AC512" s="75">
        <v>600</v>
      </c>
      <c r="AD512" s="75">
        <v>0</v>
      </c>
      <c r="AE512" s="75">
        <v>0</v>
      </c>
      <c r="AF512" s="75">
        <v>0</v>
      </c>
      <c r="AG512" s="75">
        <v>3.0000000000000001E-3</v>
      </c>
      <c r="AH512" s="75">
        <v>0</v>
      </c>
      <c r="AI512" s="75">
        <v>0</v>
      </c>
      <c r="AJ512" s="75">
        <v>0</v>
      </c>
      <c r="AK512" s="75" t="s">
        <v>713</v>
      </c>
      <c r="AL512" s="70">
        <v>3</v>
      </c>
      <c r="AM512" s="75">
        <v>1000</v>
      </c>
      <c r="AN512" s="70" t="s">
        <v>63</v>
      </c>
      <c r="AO512" s="70" t="s">
        <v>727</v>
      </c>
    </row>
    <row r="513" spans="1:41" ht="16.5">
      <c r="A513" s="70">
        <v>20231</v>
      </c>
      <c r="B513" s="71" t="s">
        <v>1273</v>
      </c>
      <c r="C513" s="71" t="s">
        <v>162</v>
      </c>
      <c r="D513" s="72" t="s">
        <v>107</v>
      </c>
      <c r="E513" s="73">
        <v>11003</v>
      </c>
      <c r="F513" s="74">
        <v>2000</v>
      </c>
      <c r="G513" s="70">
        <v>300</v>
      </c>
      <c r="H513" s="70">
        <v>50</v>
      </c>
      <c r="I513" s="72" t="s">
        <v>720</v>
      </c>
      <c r="J513" s="70">
        <v>2</v>
      </c>
      <c r="K513" s="70">
        <v>6</v>
      </c>
      <c r="L513" s="70">
        <v>20</v>
      </c>
      <c r="M513" s="70">
        <v>3000</v>
      </c>
      <c r="N513" s="70">
        <v>0</v>
      </c>
      <c r="O513" s="70">
        <v>0</v>
      </c>
      <c r="P513" s="70">
        <v>0</v>
      </c>
      <c r="Q513" s="70">
        <v>0</v>
      </c>
      <c r="R513" s="70">
        <v>0</v>
      </c>
      <c r="S513" s="70">
        <v>0</v>
      </c>
      <c r="T513" s="70">
        <v>0</v>
      </c>
      <c r="U513" s="70">
        <v>150</v>
      </c>
      <c r="V513" s="70">
        <v>0</v>
      </c>
      <c r="W513" s="70">
        <v>0</v>
      </c>
      <c r="X513" s="70">
        <v>0</v>
      </c>
      <c r="Y513" s="70">
        <v>0</v>
      </c>
      <c r="Z513" s="70">
        <v>0</v>
      </c>
      <c r="AA513" s="70">
        <v>0</v>
      </c>
      <c r="AB513" s="70">
        <v>0</v>
      </c>
      <c r="AC513" s="75">
        <v>600</v>
      </c>
      <c r="AD513" s="75">
        <v>0</v>
      </c>
      <c r="AE513" s="75">
        <v>0</v>
      </c>
      <c r="AF513" s="75">
        <v>0</v>
      </c>
      <c r="AG513" s="75">
        <v>3.0000000000000001E-3</v>
      </c>
      <c r="AH513" s="75">
        <v>0</v>
      </c>
      <c r="AI513" s="75">
        <v>0</v>
      </c>
      <c r="AJ513" s="75">
        <v>0</v>
      </c>
      <c r="AK513" s="75" t="s">
        <v>713</v>
      </c>
      <c r="AL513" s="70">
        <v>3</v>
      </c>
      <c r="AM513" s="75">
        <v>1000</v>
      </c>
      <c r="AN513" s="70" t="s">
        <v>63</v>
      </c>
      <c r="AO513" s="70" t="s">
        <v>727</v>
      </c>
    </row>
    <row r="514" spans="1:41" ht="16.5">
      <c r="A514" s="70">
        <v>20232</v>
      </c>
      <c r="B514" s="71" t="s">
        <v>1274</v>
      </c>
      <c r="C514" s="71" t="s">
        <v>162</v>
      </c>
      <c r="D514" s="72" t="s">
        <v>107</v>
      </c>
      <c r="E514" s="73">
        <v>11003</v>
      </c>
      <c r="F514" s="74">
        <v>2000</v>
      </c>
      <c r="G514" s="70">
        <v>300</v>
      </c>
      <c r="H514" s="70">
        <v>50</v>
      </c>
      <c r="I514" s="72" t="s">
        <v>720</v>
      </c>
      <c r="J514" s="70">
        <v>2</v>
      </c>
      <c r="K514" s="70">
        <v>6</v>
      </c>
      <c r="L514" s="70">
        <v>20</v>
      </c>
      <c r="M514" s="70">
        <v>3000</v>
      </c>
      <c r="N514" s="70">
        <v>0</v>
      </c>
      <c r="O514" s="70">
        <v>0</v>
      </c>
      <c r="P514" s="70">
        <v>0</v>
      </c>
      <c r="Q514" s="70">
        <v>0</v>
      </c>
      <c r="R514" s="70">
        <v>0</v>
      </c>
      <c r="S514" s="70">
        <v>0</v>
      </c>
      <c r="T514" s="70">
        <v>0</v>
      </c>
      <c r="U514" s="70">
        <v>150</v>
      </c>
      <c r="V514" s="70">
        <v>0</v>
      </c>
      <c r="W514" s="70">
        <v>0</v>
      </c>
      <c r="X514" s="70">
        <v>0</v>
      </c>
      <c r="Y514" s="70">
        <v>0</v>
      </c>
      <c r="Z514" s="70">
        <v>0</v>
      </c>
      <c r="AA514" s="70">
        <v>0</v>
      </c>
      <c r="AB514" s="70">
        <v>0</v>
      </c>
      <c r="AC514" s="75">
        <v>600</v>
      </c>
      <c r="AD514" s="75">
        <v>0</v>
      </c>
      <c r="AE514" s="75">
        <v>0</v>
      </c>
      <c r="AF514" s="75">
        <v>0</v>
      </c>
      <c r="AG514" s="75">
        <v>3.0000000000000001E-3</v>
      </c>
      <c r="AH514" s="75">
        <v>0</v>
      </c>
      <c r="AI514" s="75">
        <v>0</v>
      </c>
      <c r="AJ514" s="75">
        <v>0</v>
      </c>
      <c r="AK514" s="75" t="s">
        <v>713</v>
      </c>
      <c r="AL514" s="70">
        <v>3</v>
      </c>
      <c r="AM514" s="75">
        <v>1000</v>
      </c>
      <c r="AN514" s="70" t="s">
        <v>63</v>
      </c>
      <c r="AO514" s="70" t="s">
        <v>727</v>
      </c>
    </row>
    <row r="515" spans="1:41" ht="16.5">
      <c r="A515" s="70">
        <v>20233</v>
      </c>
      <c r="B515" s="71" t="s">
        <v>1275</v>
      </c>
      <c r="C515" s="71" t="s">
        <v>162</v>
      </c>
      <c r="D515" s="72" t="s">
        <v>107</v>
      </c>
      <c r="E515" s="73">
        <v>11003</v>
      </c>
      <c r="F515" s="74">
        <v>2000</v>
      </c>
      <c r="G515" s="70">
        <v>300</v>
      </c>
      <c r="H515" s="70">
        <v>50</v>
      </c>
      <c r="I515" s="72" t="s">
        <v>720</v>
      </c>
      <c r="J515" s="70">
        <v>2</v>
      </c>
      <c r="K515" s="70">
        <v>6</v>
      </c>
      <c r="L515" s="70">
        <v>20</v>
      </c>
      <c r="M515" s="70">
        <v>3000</v>
      </c>
      <c r="N515" s="70">
        <v>0</v>
      </c>
      <c r="O515" s="70">
        <v>0</v>
      </c>
      <c r="P515" s="70">
        <v>0</v>
      </c>
      <c r="Q515" s="70">
        <v>0</v>
      </c>
      <c r="R515" s="70">
        <v>0</v>
      </c>
      <c r="S515" s="70">
        <v>0</v>
      </c>
      <c r="T515" s="70">
        <v>0</v>
      </c>
      <c r="U515" s="70">
        <v>150</v>
      </c>
      <c r="V515" s="70">
        <v>0</v>
      </c>
      <c r="W515" s="70">
        <v>0</v>
      </c>
      <c r="X515" s="70">
        <v>0</v>
      </c>
      <c r="Y515" s="70">
        <v>0</v>
      </c>
      <c r="Z515" s="70">
        <v>0</v>
      </c>
      <c r="AA515" s="70">
        <v>0</v>
      </c>
      <c r="AB515" s="70">
        <v>0</v>
      </c>
      <c r="AC515" s="75">
        <v>600</v>
      </c>
      <c r="AD515" s="75">
        <v>0</v>
      </c>
      <c r="AE515" s="75">
        <v>0</v>
      </c>
      <c r="AF515" s="75">
        <v>0</v>
      </c>
      <c r="AG515" s="75">
        <v>3.0000000000000001E-3</v>
      </c>
      <c r="AH515" s="75">
        <v>0</v>
      </c>
      <c r="AI515" s="75">
        <v>0</v>
      </c>
      <c r="AJ515" s="75">
        <v>0</v>
      </c>
      <c r="AK515" s="75" t="s">
        <v>713</v>
      </c>
      <c r="AL515" s="70">
        <v>3</v>
      </c>
      <c r="AM515" s="75">
        <v>1000</v>
      </c>
      <c r="AN515" s="70" t="s">
        <v>63</v>
      </c>
      <c r="AO515" s="70" t="s">
        <v>727</v>
      </c>
    </row>
    <row r="516" spans="1:41" ht="16.5">
      <c r="A516" s="70">
        <v>20234</v>
      </c>
      <c r="B516" s="71" t="s">
        <v>1276</v>
      </c>
      <c r="C516" s="71" t="s">
        <v>162</v>
      </c>
      <c r="D516" s="72" t="s">
        <v>107</v>
      </c>
      <c r="E516" s="73">
        <v>11003</v>
      </c>
      <c r="F516" s="74">
        <v>2000</v>
      </c>
      <c r="G516" s="70">
        <v>300</v>
      </c>
      <c r="H516" s="70">
        <v>50</v>
      </c>
      <c r="I516" s="72" t="s">
        <v>720</v>
      </c>
      <c r="J516" s="70">
        <v>2</v>
      </c>
      <c r="K516" s="70">
        <v>6</v>
      </c>
      <c r="L516" s="70">
        <v>20</v>
      </c>
      <c r="M516" s="70">
        <v>3000</v>
      </c>
      <c r="N516" s="70">
        <v>0</v>
      </c>
      <c r="O516" s="70">
        <v>0</v>
      </c>
      <c r="P516" s="70">
        <v>0</v>
      </c>
      <c r="Q516" s="70">
        <v>0</v>
      </c>
      <c r="R516" s="70">
        <v>0</v>
      </c>
      <c r="S516" s="70">
        <v>0</v>
      </c>
      <c r="T516" s="70">
        <v>0</v>
      </c>
      <c r="U516" s="70">
        <v>150</v>
      </c>
      <c r="V516" s="70">
        <v>0</v>
      </c>
      <c r="W516" s="70">
        <v>0</v>
      </c>
      <c r="X516" s="70">
        <v>0</v>
      </c>
      <c r="Y516" s="70">
        <v>0</v>
      </c>
      <c r="Z516" s="70">
        <v>0</v>
      </c>
      <c r="AA516" s="70">
        <v>0</v>
      </c>
      <c r="AB516" s="70">
        <v>0</v>
      </c>
      <c r="AC516" s="75">
        <v>600</v>
      </c>
      <c r="AD516" s="75">
        <v>0</v>
      </c>
      <c r="AE516" s="75">
        <v>0</v>
      </c>
      <c r="AF516" s="75">
        <v>0</v>
      </c>
      <c r="AG516" s="75">
        <v>3.0000000000000001E-3</v>
      </c>
      <c r="AH516" s="75">
        <v>0</v>
      </c>
      <c r="AI516" s="75">
        <v>0</v>
      </c>
      <c r="AJ516" s="75">
        <v>0</v>
      </c>
      <c r="AK516" s="75" t="s">
        <v>713</v>
      </c>
      <c r="AL516" s="70">
        <v>3</v>
      </c>
      <c r="AM516" s="75">
        <v>1000</v>
      </c>
      <c r="AN516" s="70" t="s">
        <v>63</v>
      </c>
      <c r="AO516" s="70" t="s">
        <v>727</v>
      </c>
    </row>
    <row r="517" spans="1:41" ht="16.5">
      <c r="A517" s="70">
        <v>20235</v>
      </c>
      <c r="B517" s="71" t="s">
        <v>1277</v>
      </c>
      <c r="C517" s="71" t="s">
        <v>162</v>
      </c>
      <c r="D517" s="72" t="s">
        <v>107</v>
      </c>
      <c r="E517" s="73">
        <v>11003</v>
      </c>
      <c r="F517" s="74">
        <v>2000</v>
      </c>
      <c r="G517" s="70">
        <v>300</v>
      </c>
      <c r="H517" s="70">
        <v>50</v>
      </c>
      <c r="I517" s="72" t="s">
        <v>720</v>
      </c>
      <c r="J517" s="70">
        <v>2</v>
      </c>
      <c r="K517" s="70">
        <v>6</v>
      </c>
      <c r="L517" s="70">
        <v>20</v>
      </c>
      <c r="M517" s="70">
        <v>3000</v>
      </c>
      <c r="N517" s="70">
        <v>0</v>
      </c>
      <c r="O517" s="70">
        <v>0</v>
      </c>
      <c r="P517" s="70">
        <v>0</v>
      </c>
      <c r="Q517" s="70">
        <v>0</v>
      </c>
      <c r="R517" s="70">
        <v>0</v>
      </c>
      <c r="S517" s="70">
        <v>0</v>
      </c>
      <c r="T517" s="70">
        <v>0</v>
      </c>
      <c r="U517" s="70">
        <v>150</v>
      </c>
      <c r="V517" s="70">
        <v>0</v>
      </c>
      <c r="W517" s="70">
        <v>0</v>
      </c>
      <c r="X517" s="70">
        <v>0</v>
      </c>
      <c r="Y517" s="70">
        <v>0</v>
      </c>
      <c r="Z517" s="70">
        <v>0</v>
      </c>
      <c r="AA517" s="70">
        <v>0</v>
      </c>
      <c r="AB517" s="70">
        <v>0</v>
      </c>
      <c r="AC517" s="75">
        <v>600</v>
      </c>
      <c r="AD517" s="75">
        <v>0</v>
      </c>
      <c r="AE517" s="75">
        <v>0</v>
      </c>
      <c r="AF517" s="75">
        <v>0</v>
      </c>
      <c r="AG517" s="75">
        <v>3.0000000000000001E-3</v>
      </c>
      <c r="AH517" s="75">
        <v>0</v>
      </c>
      <c r="AI517" s="75">
        <v>0</v>
      </c>
      <c r="AJ517" s="75">
        <v>0</v>
      </c>
      <c r="AK517" s="75" t="s">
        <v>713</v>
      </c>
      <c r="AL517" s="70">
        <v>3</v>
      </c>
      <c r="AM517" s="75">
        <v>1000</v>
      </c>
      <c r="AN517" s="70" t="s">
        <v>63</v>
      </c>
      <c r="AO517" s="70" t="s">
        <v>727</v>
      </c>
    </row>
    <row r="518" spans="1:41" ht="16.5">
      <c r="A518" s="70">
        <v>20236</v>
      </c>
      <c r="B518" s="71" t="s">
        <v>1278</v>
      </c>
      <c r="C518" s="71" t="s">
        <v>162</v>
      </c>
      <c r="D518" s="72" t="s">
        <v>107</v>
      </c>
      <c r="E518" s="73">
        <v>11003</v>
      </c>
      <c r="F518" s="74">
        <v>2000</v>
      </c>
      <c r="G518" s="70">
        <v>300</v>
      </c>
      <c r="H518" s="70">
        <v>50</v>
      </c>
      <c r="I518" s="72" t="s">
        <v>720</v>
      </c>
      <c r="J518" s="70">
        <v>2</v>
      </c>
      <c r="K518" s="70">
        <v>6</v>
      </c>
      <c r="L518" s="70">
        <v>20</v>
      </c>
      <c r="M518" s="70">
        <v>3000</v>
      </c>
      <c r="N518" s="70">
        <v>0</v>
      </c>
      <c r="O518" s="70">
        <v>0</v>
      </c>
      <c r="P518" s="70">
        <v>0</v>
      </c>
      <c r="Q518" s="70">
        <v>0</v>
      </c>
      <c r="R518" s="70">
        <v>0</v>
      </c>
      <c r="S518" s="70">
        <v>0</v>
      </c>
      <c r="T518" s="70">
        <v>0</v>
      </c>
      <c r="U518" s="70">
        <v>150</v>
      </c>
      <c r="V518" s="70">
        <v>0</v>
      </c>
      <c r="W518" s="70">
        <v>0</v>
      </c>
      <c r="X518" s="70">
        <v>0</v>
      </c>
      <c r="Y518" s="70">
        <v>0</v>
      </c>
      <c r="Z518" s="70">
        <v>0</v>
      </c>
      <c r="AA518" s="70">
        <v>0</v>
      </c>
      <c r="AB518" s="70">
        <v>0</v>
      </c>
      <c r="AC518" s="75">
        <v>600</v>
      </c>
      <c r="AD518" s="75">
        <v>0</v>
      </c>
      <c r="AE518" s="75">
        <v>0</v>
      </c>
      <c r="AF518" s="75">
        <v>0</v>
      </c>
      <c r="AG518" s="75">
        <v>3.0000000000000001E-3</v>
      </c>
      <c r="AH518" s="75">
        <v>0</v>
      </c>
      <c r="AI518" s="75">
        <v>0</v>
      </c>
      <c r="AJ518" s="75">
        <v>0</v>
      </c>
      <c r="AK518" s="75" t="s">
        <v>713</v>
      </c>
      <c r="AL518" s="70">
        <v>3</v>
      </c>
      <c r="AM518" s="75">
        <v>1000</v>
      </c>
      <c r="AN518" s="70" t="s">
        <v>63</v>
      </c>
      <c r="AO518" s="70" t="s">
        <v>727</v>
      </c>
    </row>
    <row r="519" spans="1:41" ht="16.5">
      <c r="A519" s="70">
        <v>20237</v>
      </c>
      <c r="B519" s="71" t="s">
        <v>1279</v>
      </c>
      <c r="C519" s="71" t="s">
        <v>162</v>
      </c>
      <c r="D519" s="72" t="s">
        <v>107</v>
      </c>
      <c r="E519" s="73">
        <v>11003</v>
      </c>
      <c r="F519" s="74">
        <v>2000</v>
      </c>
      <c r="G519" s="70">
        <v>300</v>
      </c>
      <c r="H519" s="70">
        <v>50</v>
      </c>
      <c r="I519" s="72" t="s">
        <v>720</v>
      </c>
      <c r="J519" s="70">
        <v>2</v>
      </c>
      <c r="K519" s="70">
        <v>6</v>
      </c>
      <c r="L519" s="70">
        <v>20</v>
      </c>
      <c r="M519" s="70">
        <v>3000</v>
      </c>
      <c r="N519" s="70">
        <v>0</v>
      </c>
      <c r="O519" s="70">
        <v>0</v>
      </c>
      <c r="P519" s="70">
        <v>0</v>
      </c>
      <c r="Q519" s="70">
        <v>0</v>
      </c>
      <c r="R519" s="70">
        <v>0</v>
      </c>
      <c r="S519" s="70">
        <v>0</v>
      </c>
      <c r="T519" s="70">
        <v>0</v>
      </c>
      <c r="U519" s="70">
        <v>150</v>
      </c>
      <c r="V519" s="70">
        <v>0</v>
      </c>
      <c r="W519" s="70">
        <v>0</v>
      </c>
      <c r="X519" s="70">
        <v>0</v>
      </c>
      <c r="Y519" s="70">
        <v>0</v>
      </c>
      <c r="Z519" s="70">
        <v>0</v>
      </c>
      <c r="AA519" s="70">
        <v>0</v>
      </c>
      <c r="AB519" s="70">
        <v>0</v>
      </c>
      <c r="AC519" s="75">
        <v>600</v>
      </c>
      <c r="AD519" s="75">
        <v>0</v>
      </c>
      <c r="AE519" s="75">
        <v>0</v>
      </c>
      <c r="AF519" s="75">
        <v>0</v>
      </c>
      <c r="AG519" s="75">
        <v>3.0000000000000001E-3</v>
      </c>
      <c r="AH519" s="75">
        <v>0</v>
      </c>
      <c r="AI519" s="75">
        <v>0</v>
      </c>
      <c r="AJ519" s="75">
        <v>0</v>
      </c>
      <c r="AK519" s="75" t="s">
        <v>713</v>
      </c>
      <c r="AL519" s="70">
        <v>3</v>
      </c>
      <c r="AM519" s="75">
        <v>1000</v>
      </c>
      <c r="AN519" s="70" t="s">
        <v>63</v>
      </c>
      <c r="AO519" s="70" t="s">
        <v>727</v>
      </c>
    </row>
    <row r="520" spans="1:41" ht="16.5">
      <c r="A520" s="70">
        <v>20238</v>
      </c>
      <c r="B520" s="71" t="s">
        <v>1280</v>
      </c>
      <c r="C520" s="71" t="s">
        <v>162</v>
      </c>
      <c r="D520" s="72" t="s">
        <v>107</v>
      </c>
      <c r="E520" s="73">
        <v>11003</v>
      </c>
      <c r="F520" s="74">
        <v>2000</v>
      </c>
      <c r="G520" s="70">
        <v>300</v>
      </c>
      <c r="H520" s="70">
        <v>50</v>
      </c>
      <c r="I520" s="72" t="s">
        <v>720</v>
      </c>
      <c r="J520" s="70">
        <v>2</v>
      </c>
      <c r="K520" s="70">
        <v>6</v>
      </c>
      <c r="L520" s="70">
        <v>20</v>
      </c>
      <c r="M520" s="70">
        <v>3000</v>
      </c>
      <c r="N520" s="70">
        <v>0</v>
      </c>
      <c r="O520" s="70">
        <v>0</v>
      </c>
      <c r="P520" s="70">
        <v>0</v>
      </c>
      <c r="Q520" s="70">
        <v>0</v>
      </c>
      <c r="R520" s="70">
        <v>0</v>
      </c>
      <c r="S520" s="70">
        <v>0</v>
      </c>
      <c r="T520" s="70">
        <v>0</v>
      </c>
      <c r="U520" s="70">
        <v>150</v>
      </c>
      <c r="V520" s="70">
        <v>0</v>
      </c>
      <c r="W520" s="70">
        <v>0</v>
      </c>
      <c r="X520" s="70">
        <v>0</v>
      </c>
      <c r="Y520" s="70">
        <v>0</v>
      </c>
      <c r="Z520" s="70">
        <v>0</v>
      </c>
      <c r="AA520" s="70">
        <v>0</v>
      </c>
      <c r="AB520" s="70">
        <v>0</v>
      </c>
      <c r="AC520" s="75">
        <v>600</v>
      </c>
      <c r="AD520" s="75">
        <v>0</v>
      </c>
      <c r="AE520" s="75">
        <v>0</v>
      </c>
      <c r="AF520" s="75">
        <v>0</v>
      </c>
      <c r="AG520" s="75">
        <v>3.0000000000000001E-3</v>
      </c>
      <c r="AH520" s="75">
        <v>0</v>
      </c>
      <c r="AI520" s="75">
        <v>0</v>
      </c>
      <c r="AJ520" s="75">
        <v>0</v>
      </c>
      <c r="AK520" s="75" t="s">
        <v>713</v>
      </c>
      <c r="AL520" s="70">
        <v>3</v>
      </c>
      <c r="AM520" s="75">
        <v>1000</v>
      </c>
      <c r="AN520" s="70" t="s">
        <v>63</v>
      </c>
      <c r="AO520" s="70" t="s">
        <v>727</v>
      </c>
    </row>
    <row r="521" spans="1:41" ht="16.5">
      <c r="A521" s="70">
        <v>20239</v>
      </c>
      <c r="B521" s="71" t="s">
        <v>1281</v>
      </c>
      <c r="C521" s="71" t="s">
        <v>162</v>
      </c>
      <c r="D521" s="72" t="s">
        <v>107</v>
      </c>
      <c r="E521" s="73">
        <v>11003</v>
      </c>
      <c r="F521" s="74">
        <v>2000</v>
      </c>
      <c r="G521" s="70">
        <v>300</v>
      </c>
      <c r="H521" s="70">
        <v>50</v>
      </c>
      <c r="I521" s="72" t="s">
        <v>720</v>
      </c>
      <c r="J521" s="70">
        <v>2</v>
      </c>
      <c r="K521" s="70">
        <v>6</v>
      </c>
      <c r="L521" s="70">
        <v>20</v>
      </c>
      <c r="M521" s="70">
        <v>3000</v>
      </c>
      <c r="N521" s="70">
        <v>0</v>
      </c>
      <c r="O521" s="70">
        <v>0</v>
      </c>
      <c r="P521" s="70">
        <v>0</v>
      </c>
      <c r="Q521" s="70">
        <v>0</v>
      </c>
      <c r="R521" s="70">
        <v>0</v>
      </c>
      <c r="S521" s="70">
        <v>0</v>
      </c>
      <c r="T521" s="70">
        <v>0</v>
      </c>
      <c r="U521" s="70">
        <v>150</v>
      </c>
      <c r="V521" s="70">
        <v>0</v>
      </c>
      <c r="W521" s="70">
        <v>0</v>
      </c>
      <c r="X521" s="70">
        <v>0</v>
      </c>
      <c r="Y521" s="70">
        <v>0</v>
      </c>
      <c r="Z521" s="70">
        <v>0</v>
      </c>
      <c r="AA521" s="70">
        <v>0</v>
      </c>
      <c r="AB521" s="70">
        <v>0</v>
      </c>
      <c r="AC521" s="75">
        <v>600</v>
      </c>
      <c r="AD521" s="75">
        <v>0</v>
      </c>
      <c r="AE521" s="75">
        <v>0</v>
      </c>
      <c r="AF521" s="75">
        <v>0</v>
      </c>
      <c r="AG521" s="75">
        <v>3.0000000000000001E-3</v>
      </c>
      <c r="AH521" s="75">
        <v>0</v>
      </c>
      <c r="AI521" s="75">
        <v>0</v>
      </c>
      <c r="AJ521" s="75">
        <v>0</v>
      </c>
      <c r="AK521" s="75" t="s">
        <v>713</v>
      </c>
      <c r="AL521" s="70">
        <v>3</v>
      </c>
      <c r="AM521" s="75">
        <v>1000</v>
      </c>
      <c r="AN521" s="70" t="s">
        <v>63</v>
      </c>
      <c r="AO521" s="70" t="s">
        <v>727</v>
      </c>
    </row>
    <row r="522" spans="1:41" ht="16.5">
      <c r="A522" s="70">
        <v>20240</v>
      </c>
      <c r="B522" s="71" t="s">
        <v>1282</v>
      </c>
      <c r="C522" s="71" t="s">
        <v>162</v>
      </c>
      <c r="D522" s="72" t="s">
        <v>107</v>
      </c>
      <c r="E522" s="73">
        <v>11003</v>
      </c>
      <c r="F522" s="74">
        <v>2000</v>
      </c>
      <c r="G522" s="70">
        <v>300</v>
      </c>
      <c r="H522" s="70">
        <v>50</v>
      </c>
      <c r="I522" s="72" t="s">
        <v>720</v>
      </c>
      <c r="J522" s="70">
        <v>2</v>
      </c>
      <c r="K522" s="70">
        <v>6</v>
      </c>
      <c r="L522" s="70">
        <v>20</v>
      </c>
      <c r="M522" s="70">
        <v>3000</v>
      </c>
      <c r="N522" s="70">
        <v>0</v>
      </c>
      <c r="O522" s="70">
        <v>0</v>
      </c>
      <c r="P522" s="70">
        <v>0</v>
      </c>
      <c r="Q522" s="70">
        <v>0</v>
      </c>
      <c r="R522" s="70">
        <v>0</v>
      </c>
      <c r="S522" s="70">
        <v>0</v>
      </c>
      <c r="T522" s="70">
        <v>0</v>
      </c>
      <c r="U522" s="70">
        <v>150</v>
      </c>
      <c r="V522" s="70">
        <v>0</v>
      </c>
      <c r="W522" s="70">
        <v>0</v>
      </c>
      <c r="X522" s="70">
        <v>0</v>
      </c>
      <c r="Y522" s="70">
        <v>0</v>
      </c>
      <c r="Z522" s="70">
        <v>0</v>
      </c>
      <c r="AA522" s="70">
        <v>0</v>
      </c>
      <c r="AB522" s="70">
        <v>0</v>
      </c>
      <c r="AC522" s="75">
        <v>600</v>
      </c>
      <c r="AD522" s="75">
        <v>0</v>
      </c>
      <c r="AE522" s="75">
        <v>0</v>
      </c>
      <c r="AF522" s="75">
        <v>0</v>
      </c>
      <c r="AG522" s="75">
        <v>3.0000000000000001E-3</v>
      </c>
      <c r="AH522" s="75">
        <v>0</v>
      </c>
      <c r="AI522" s="75">
        <v>0</v>
      </c>
      <c r="AJ522" s="75">
        <v>0</v>
      </c>
      <c r="AK522" s="75" t="s">
        <v>713</v>
      </c>
      <c r="AL522" s="70">
        <v>3</v>
      </c>
      <c r="AM522" s="75">
        <v>1000</v>
      </c>
      <c r="AN522" s="70" t="s">
        <v>63</v>
      </c>
      <c r="AO522" s="70" t="s">
        <v>727</v>
      </c>
    </row>
    <row r="523" spans="1:41" ht="16.5">
      <c r="A523" s="70">
        <v>202411</v>
      </c>
      <c r="B523" s="71" t="s">
        <v>1283</v>
      </c>
      <c r="C523" s="71" t="s">
        <v>162</v>
      </c>
      <c r="D523" s="72" t="s">
        <v>107</v>
      </c>
      <c r="E523" s="73">
        <v>11003</v>
      </c>
      <c r="F523" s="74">
        <v>2000</v>
      </c>
      <c r="G523" s="70">
        <v>300</v>
      </c>
      <c r="H523" s="70">
        <v>50</v>
      </c>
      <c r="I523" s="72" t="s">
        <v>720</v>
      </c>
      <c r="J523" s="70">
        <v>2</v>
      </c>
      <c r="K523" s="70">
        <v>6</v>
      </c>
      <c r="L523" s="70">
        <v>20</v>
      </c>
      <c r="M523" s="70">
        <v>3000</v>
      </c>
      <c r="N523" s="70">
        <v>0</v>
      </c>
      <c r="O523" s="70">
        <v>0</v>
      </c>
      <c r="P523" s="70">
        <v>0</v>
      </c>
      <c r="Q523" s="70">
        <v>0</v>
      </c>
      <c r="R523" s="70">
        <v>0</v>
      </c>
      <c r="S523" s="70">
        <v>0</v>
      </c>
      <c r="T523" s="70">
        <v>0</v>
      </c>
      <c r="U523" s="70">
        <v>150</v>
      </c>
      <c r="V523" s="70">
        <v>0</v>
      </c>
      <c r="W523" s="70">
        <v>0</v>
      </c>
      <c r="X523" s="70">
        <v>0</v>
      </c>
      <c r="Y523" s="70">
        <v>0</v>
      </c>
      <c r="Z523" s="70">
        <v>0</v>
      </c>
      <c r="AA523" s="70">
        <v>0</v>
      </c>
      <c r="AB523" s="70">
        <v>0</v>
      </c>
      <c r="AC523" s="75">
        <v>600</v>
      </c>
      <c r="AD523" s="75">
        <v>0</v>
      </c>
      <c r="AE523" s="75">
        <v>0</v>
      </c>
      <c r="AF523" s="75">
        <v>0</v>
      </c>
      <c r="AG523" s="75">
        <v>3.0000000000000001E-3</v>
      </c>
      <c r="AH523" s="75">
        <v>0</v>
      </c>
      <c r="AI523" s="75">
        <v>0</v>
      </c>
      <c r="AJ523" s="75">
        <v>0</v>
      </c>
      <c r="AK523" s="75" t="s">
        <v>713</v>
      </c>
      <c r="AL523" s="70">
        <v>3</v>
      </c>
      <c r="AM523" s="75">
        <v>1000</v>
      </c>
      <c r="AN523" s="70" t="s">
        <v>63</v>
      </c>
      <c r="AO523" s="70" t="s">
        <v>727</v>
      </c>
    </row>
    <row r="524" spans="1:41" ht="16.5">
      <c r="A524" s="70">
        <v>202412</v>
      </c>
      <c r="B524" s="71" t="s">
        <v>1284</v>
      </c>
      <c r="C524" s="71" t="s">
        <v>162</v>
      </c>
      <c r="D524" s="72" t="s">
        <v>107</v>
      </c>
      <c r="E524" s="73">
        <v>11003</v>
      </c>
      <c r="F524" s="74">
        <v>2000</v>
      </c>
      <c r="G524" s="70">
        <v>300</v>
      </c>
      <c r="H524" s="70">
        <v>50</v>
      </c>
      <c r="I524" s="72" t="s">
        <v>720</v>
      </c>
      <c r="J524" s="70">
        <v>2</v>
      </c>
      <c r="K524" s="70">
        <v>6</v>
      </c>
      <c r="L524" s="70">
        <v>20</v>
      </c>
      <c r="M524" s="70">
        <v>3000</v>
      </c>
      <c r="N524" s="70">
        <v>0</v>
      </c>
      <c r="O524" s="70">
        <v>0</v>
      </c>
      <c r="P524" s="70">
        <v>0</v>
      </c>
      <c r="Q524" s="70">
        <v>0</v>
      </c>
      <c r="R524" s="70">
        <v>0</v>
      </c>
      <c r="S524" s="70">
        <v>0</v>
      </c>
      <c r="T524" s="70">
        <v>0</v>
      </c>
      <c r="U524" s="70">
        <v>150</v>
      </c>
      <c r="V524" s="70">
        <v>0</v>
      </c>
      <c r="W524" s="70">
        <v>0</v>
      </c>
      <c r="X524" s="70">
        <v>0</v>
      </c>
      <c r="Y524" s="70">
        <v>0</v>
      </c>
      <c r="Z524" s="70">
        <v>0</v>
      </c>
      <c r="AA524" s="70">
        <v>0</v>
      </c>
      <c r="AB524" s="70">
        <v>0</v>
      </c>
      <c r="AC524" s="75">
        <v>600</v>
      </c>
      <c r="AD524" s="75">
        <v>0</v>
      </c>
      <c r="AE524" s="75">
        <v>0</v>
      </c>
      <c r="AF524" s="75">
        <v>0</v>
      </c>
      <c r="AG524" s="75">
        <v>3.0000000000000001E-3</v>
      </c>
      <c r="AH524" s="75">
        <v>0</v>
      </c>
      <c r="AI524" s="75">
        <v>0</v>
      </c>
      <c r="AJ524" s="75">
        <v>0</v>
      </c>
      <c r="AK524" s="75" t="s">
        <v>713</v>
      </c>
      <c r="AL524" s="70">
        <v>3</v>
      </c>
      <c r="AM524" s="75">
        <v>1000</v>
      </c>
      <c r="AN524" s="70" t="s">
        <v>63</v>
      </c>
      <c r="AO524" s="70" t="s">
        <v>727</v>
      </c>
    </row>
    <row r="525" spans="1:41" ht="16.5">
      <c r="A525" s="70">
        <v>202413</v>
      </c>
      <c r="B525" s="71" t="s">
        <v>1285</v>
      </c>
      <c r="C525" s="71" t="s">
        <v>162</v>
      </c>
      <c r="D525" s="72" t="s">
        <v>107</v>
      </c>
      <c r="E525" s="73">
        <v>11003</v>
      </c>
      <c r="F525" s="74">
        <v>2000</v>
      </c>
      <c r="G525" s="70">
        <v>300</v>
      </c>
      <c r="H525" s="70">
        <v>50</v>
      </c>
      <c r="I525" s="72" t="s">
        <v>720</v>
      </c>
      <c r="J525" s="70">
        <v>2</v>
      </c>
      <c r="K525" s="70">
        <v>6</v>
      </c>
      <c r="L525" s="70">
        <v>20</v>
      </c>
      <c r="M525" s="70">
        <v>3000</v>
      </c>
      <c r="N525" s="70">
        <v>0</v>
      </c>
      <c r="O525" s="70">
        <v>0</v>
      </c>
      <c r="P525" s="70">
        <v>0</v>
      </c>
      <c r="Q525" s="70">
        <v>0</v>
      </c>
      <c r="R525" s="70">
        <v>0</v>
      </c>
      <c r="S525" s="70">
        <v>0</v>
      </c>
      <c r="T525" s="70">
        <v>0</v>
      </c>
      <c r="U525" s="70">
        <v>150</v>
      </c>
      <c r="V525" s="70">
        <v>0</v>
      </c>
      <c r="W525" s="70">
        <v>0</v>
      </c>
      <c r="X525" s="70">
        <v>0</v>
      </c>
      <c r="Y525" s="70">
        <v>0</v>
      </c>
      <c r="Z525" s="70">
        <v>0</v>
      </c>
      <c r="AA525" s="70">
        <v>0</v>
      </c>
      <c r="AB525" s="70">
        <v>0</v>
      </c>
      <c r="AC525" s="75">
        <v>600</v>
      </c>
      <c r="AD525" s="75">
        <v>0</v>
      </c>
      <c r="AE525" s="75">
        <v>0</v>
      </c>
      <c r="AF525" s="75">
        <v>0</v>
      </c>
      <c r="AG525" s="75">
        <v>3.0000000000000001E-3</v>
      </c>
      <c r="AH525" s="75">
        <v>0</v>
      </c>
      <c r="AI525" s="75">
        <v>0</v>
      </c>
      <c r="AJ525" s="75">
        <v>0</v>
      </c>
      <c r="AK525" s="75" t="s">
        <v>713</v>
      </c>
      <c r="AL525" s="70">
        <v>3</v>
      </c>
      <c r="AM525" s="75">
        <v>1000</v>
      </c>
      <c r="AN525" s="70" t="s">
        <v>63</v>
      </c>
      <c r="AO525" s="70" t="s">
        <v>727</v>
      </c>
    </row>
    <row r="526" spans="1:41" ht="16.5">
      <c r="A526" s="70">
        <v>24</v>
      </c>
      <c r="B526" s="71" t="s">
        <v>1286</v>
      </c>
      <c r="C526" s="71" t="s">
        <v>695</v>
      </c>
      <c r="D526" s="72" t="s">
        <v>108</v>
      </c>
      <c r="E526" s="73">
        <v>11004</v>
      </c>
      <c r="F526" s="74">
        <v>2000</v>
      </c>
      <c r="G526" s="70">
        <v>300</v>
      </c>
      <c r="H526" s="70">
        <v>50</v>
      </c>
      <c r="I526" s="72" t="s">
        <v>159</v>
      </c>
      <c r="J526" s="70">
        <v>2</v>
      </c>
      <c r="K526" s="70">
        <v>6</v>
      </c>
      <c r="L526" s="70">
        <v>20</v>
      </c>
      <c r="M526" s="70">
        <v>0</v>
      </c>
      <c r="N526" s="70">
        <v>0</v>
      </c>
      <c r="O526" s="70">
        <v>0</v>
      </c>
      <c r="P526" s="70">
        <v>60</v>
      </c>
      <c r="Q526" s="70">
        <v>0</v>
      </c>
      <c r="R526" s="70">
        <v>0</v>
      </c>
      <c r="S526" s="70">
        <v>0</v>
      </c>
      <c r="T526" s="70">
        <v>0</v>
      </c>
      <c r="U526" s="70">
        <v>0</v>
      </c>
      <c r="V526" s="70">
        <v>0</v>
      </c>
      <c r="W526" s="70">
        <v>0</v>
      </c>
      <c r="X526" s="70">
        <v>3</v>
      </c>
      <c r="Y526" s="70">
        <v>0</v>
      </c>
      <c r="Z526" s="70">
        <v>0</v>
      </c>
      <c r="AA526" s="70">
        <v>0</v>
      </c>
      <c r="AB526" s="70">
        <v>0</v>
      </c>
      <c r="AC526" s="75">
        <v>0</v>
      </c>
      <c r="AD526" s="75">
        <v>0</v>
      </c>
      <c r="AE526" s="75">
        <v>0</v>
      </c>
      <c r="AF526" s="75">
        <v>12</v>
      </c>
      <c r="AG526" s="75">
        <v>0</v>
      </c>
      <c r="AH526" s="75">
        <v>3.0000000000000001E-3</v>
      </c>
      <c r="AI526" s="75">
        <v>0</v>
      </c>
      <c r="AJ526" s="75">
        <v>0</v>
      </c>
      <c r="AK526" s="75" t="s">
        <v>713</v>
      </c>
      <c r="AL526" s="70">
        <v>4</v>
      </c>
      <c r="AM526" s="75">
        <v>1000</v>
      </c>
      <c r="AN526" s="70" t="s">
        <v>63</v>
      </c>
      <c r="AO526" s="70" t="s">
        <v>728</v>
      </c>
    </row>
    <row r="527" spans="1:41" ht="16.5">
      <c r="A527" s="70">
        <v>2024</v>
      </c>
      <c r="B527" s="71" t="s">
        <v>1287</v>
      </c>
      <c r="C527" s="71" t="s">
        <v>695</v>
      </c>
      <c r="D527" s="72" t="s">
        <v>108</v>
      </c>
      <c r="E527" s="73">
        <v>11004</v>
      </c>
      <c r="F527" s="74">
        <v>2000</v>
      </c>
      <c r="G527" s="70">
        <v>300</v>
      </c>
      <c r="H527" s="70">
        <v>50</v>
      </c>
      <c r="I527" s="72" t="s">
        <v>159</v>
      </c>
      <c r="J527" s="70">
        <v>2</v>
      </c>
      <c r="K527" s="70">
        <v>6</v>
      </c>
      <c r="L527" s="70">
        <v>20</v>
      </c>
      <c r="M527" s="70">
        <v>0</v>
      </c>
      <c r="N527" s="70">
        <v>0</v>
      </c>
      <c r="O527" s="70">
        <v>0</v>
      </c>
      <c r="P527" s="70">
        <v>60</v>
      </c>
      <c r="Q527" s="70">
        <v>0</v>
      </c>
      <c r="R527" s="70">
        <v>0</v>
      </c>
      <c r="S527" s="70">
        <v>0</v>
      </c>
      <c r="T527" s="70">
        <v>0</v>
      </c>
      <c r="U527" s="70">
        <v>0</v>
      </c>
      <c r="V527" s="70">
        <v>0</v>
      </c>
      <c r="W527" s="70">
        <v>0</v>
      </c>
      <c r="X527" s="70">
        <v>3</v>
      </c>
      <c r="Y527" s="70">
        <v>0</v>
      </c>
      <c r="Z527" s="70">
        <v>0</v>
      </c>
      <c r="AA527" s="70">
        <v>0</v>
      </c>
      <c r="AB527" s="70">
        <v>0</v>
      </c>
      <c r="AC527" s="75">
        <v>0</v>
      </c>
      <c r="AD527" s="75">
        <v>0</v>
      </c>
      <c r="AE527" s="75">
        <v>0</v>
      </c>
      <c r="AF527" s="75">
        <v>12</v>
      </c>
      <c r="AG527" s="75">
        <v>0</v>
      </c>
      <c r="AH527" s="75">
        <v>3.0000000000000001E-3</v>
      </c>
      <c r="AI527" s="75">
        <v>0</v>
      </c>
      <c r="AJ527" s="75">
        <v>0</v>
      </c>
      <c r="AK527" s="75" t="s">
        <v>713</v>
      </c>
      <c r="AL527" s="70">
        <v>4</v>
      </c>
      <c r="AM527" s="75">
        <v>1000</v>
      </c>
      <c r="AN527" s="70" t="s">
        <v>63</v>
      </c>
      <c r="AO527" s="70" t="s">
        <v>728</v>
      </c>
    </row>
    <row r="528" spans="1:41" ht="16.5">
      <c r="A528" s="70">
        <v>20241</v>
      </c>
      <c r="B528" s="71" t="s">
        <v>1288</v>
      </c>
      <c r="C528" s="71" t="s">
        <v>695</v>
      </c>
      <c r="D528" s="72" t="s">
        <v>108</v>
      </c>
      <c r="E528" s="73">
        <v>11004</v>
      </c>
      <c r="F528" s="74">
        <v>2000</v>
      </c>
      <c r="G528" s="70">
        <v>300</v>
      </c>
      <c r="H528" s="70">
        <v>50</v>
      </c>
      <c r="I528" s="72" t="s">
        <v>159</v>
      </c>
      <c r="J528" s="70">
        <v>2</v>
      </c>
      <c r="K528" s="70">
        <v>6</v>
      </c>
      <c r="L528" s="70">
        <v>20</v>
      </c>
      <c r="M528" s="70">
        <v>0</v>
      </c>
      <c r="N528" s="70">
        <v>0</v>
      </c>
      <c r="O528" s="70">
        <v>0</v>
      </c>
      <c r="P528" s="70">
        <v>60</v>
      </c>
      <c r="Q528" s="70">
        <v>0</v>
      </c>
      <c r="R528" s="70">
        <v>0</v>
      </c>
      <c r="S528" s="70">
        <v>0</v>
      </c>
      <c r="T528" s="70">
        <v>0</v>
      </c>
      <c r="U528" s="70">
        <v>0</v>
      </c>
      <c r="V528" s="70">
        <v>0</v>
      </c>
      <c r="W528" s="70">
        <v>0</v>
      </c>
      <c r="X528" s="70">
        <v>3</v>
      </c>
      <c r="Y528" s="70">
        <v>0</v>
      </c>
      <c r="Z528" s="70">
        <v>0</v>
      </c>
      <c r="AA528" s="70">
        <v>0</v>
      </c>
      <c r="AB528" s="70">
        <v>0</v>
      </c>
      <c r="AC528" s="75">
        <v>0</v>
      </c>
      <c r="AD528" s="75">
        <v>0</v>
      </c>
      <c r="AE528" s="75">
        <v>0</v>
      </c>
      <c r="AF528" s="75">
        <v>12</v>
      </c>
      <c r="AG528" s="75">
        <v>0</v>
      </c>
      <c r="AH528" s="75">
        <v>3.0000000000000001E-3</v>
      </c>
      <c r="AI528" s="75">
        <v>0</v>
      </c>
      <c r="AJ528" s="75">
        <v>0</v>
      </c>
      <c r="AK528" s="75" t="s">
        <v>713</v>
      </c>
      <c r="AL528" s="70">
        <v>4</v>
      </c>
      <c r="AM528" s="75">
        <v>1000</v>
      </c>
      <c r="AN528" s="70" t="s">
        <v>63</v>
      </c>
      <c r="AO528" s="70" t="s">
        <v>728</v>
      </c>
    </row>
    <row r="529" spans="1:41" ht="16.5">
      <c r="A529" s="70">
        <v>20242</v>
      </c>
      <c r="B529" s="71" t="s">
        <v>1289</v>
      </c>
      <c r="C529" s="71" t="s">
        <v>695</v>
      </c>
      <c r="D529" s="72" t="s">
        <v>108</v>
      </c>
      <c r="E529" s="73">
        <v>11004</v>
      </c>
      <c r="F529" s="74">
        <v>2000</v>
      </c>
      <c r="G529" s="70">
        <v>300</v>
      </c>
      <c r="H529" s="70">
        <v>50</v>
      </c>
      <c r="I529" s="72" t="s">
        <v>159</v>
      </c>
      <c r="J529" s="70">
        <v>2</v>
      </c>
      <c r="K529" s="70">
        <v>6</v>
      </c>
      <c r="L529" s="70">
        <v>20</v>
      </c>
      <c r="M529" s="70">
        <v>0</v>
      </c>
      <c r="N529" s="70">
        <v>0</v>
      </c>
      <c r="O529" s="70">
        <v>0</v>
      </c>
      <c r="P529" s="70">
        <v>60</v>
      </c>
      <c r="Q529" s="70">
        <v>0</v>
      </c>
      <c r="R529" s="70">
        <v>0</v>
      </c>
      <c r="S529" s="70">
        <v>0</v>
      </c>
      <c r="T529" s="70">
        <v>0</v>
      </c>
      <c r="U529" s="70">
        <v>0</v>
      </c>
      <c r="V529" s="70">
        <v>0</v>
      </c>
      <c r="W529" s="70">
        <v>0</v>
      </c>
      <c r="X529" s="70">
        <v>3</v>
      </c>
      <c r="Y529" s="70">
        <v>0</v>
      </c>
      <c r="Z529" s="70">
        <v>0</v>
      </c>
      <c r="AA529" s="70">
        <v>0</v>
      </c>
      <c r="AB529" s="70">
        <v>0</v>
      </c>
      <c r="AC529" s="75">
        <v>0</v>
      </c>
      <c r="AD529" s="75">
        <v>0</v>
      </c>
      <c r="AE529" s="75">
        <v>0</v>
      </c>
      <c r="AF529" s="75">
        <v>12</v>
      </c>
      <c r="AG529" s="75">
        <v>0</v>
      </c>
      <c r="AH529" s="75">
        <v>3.0000000000000001E-3</v>
      </c>
      <c r="AI529" s="75">
        <v>0</v>
      </c>
      <c r="AJ529" s="75">
        <v>0</v>
      </c>
      <c r="AK529" s="75" t="s">
        <v>713</v>
      </c>
      <c r="AL529" s="70">
        <v>4</v>
      </c>
      <c r="AM529" s="75">
        <v>1000</v>
      </c>
      <c r="AN529" s="70" t="s">
        <v>63</v>
      </c>
      <c r="AO529" s="70" t="s">
        <v>728</v>
      </c>
    </row>
    <row r="530" spans="1:41" ht="16.5">
      <c r="A530" s="70">
        <v>20243</v>
      </c>
      <c r="B530" s="71" t="s">
        <v>1290</v>
      </c>
      <c r="C530" s="71" t="s">
        <v>695</v>
      </c>
      <c r="D530" s="72" t="s">
        <v>108</v>
      </c>
      <c r="E530" s="73">
        <v>11004</v>
      </c>
      <c r="F530" s="74">
        <v>2000</v>
      </c>
      <c r="G530" s="70">
        <v>300</v>
      </c>
      <c r="H530" s="70">
        <v>50</v>
      </c>
      <c r="I530" s="72" t="s">
        <v>159</v>
      </c>
      <c r="J530" s="70">
        <v>2</v>
      </c>
      <c r="K530" s="70">
        <v>6</v>
      </c>
      <c r="L530" s="70">
        <v>20</v>
      </c>
      <c r="M530" s="70">
        <v>0</v>
      </c>
      <c r="N530" s="70">
        <v>0</v>
      </c>
      <c r="O530" s="70">
        <v>0</v>
      </c>
      <c r="P530" s="70">
        <v>60</v>
      </c>
      <c r="Q530" s="70">
        <v>0</v>
      </c>
      <c r="R530" s="70">
        <v>0</v>
      </c>
      <c r="S530" s="70">
        <v>0</v>
      </c>
      <c r="T530" s="70">
        <v>0</v>
      </c>
      <c r="U530" s="70">
        <v>0</v>
      </c>
      <c r="V530" s="70">
        <v>0</v>
      </c>
      <c r="W530" s="70">
        <v>0</v>
      </c>
      <c r="X530" s="70">
        <v>3</v>
      </c>
      <c r="Y530" s="70">
        <v>0</v>
      </c>
      <c r="Z530" s="70">
        <v>0</v>
      </c>
      <c r="AA530" s="70">
        <v>0</v>
      </c>
      <c r="AB530" s="70">
        <v>0</v>
      </c>
      <c r="AC530" s="75">
        <v>0</v>
      </c>
      <c r="AD530" s="75">
        <v>0</v>
      </c>
      <c r="AE530" s="75">
        <v>0</v>
      </c>
      <c r="AF530" s="75">
        <v>12</v>
      </c>
      <c r="AG530" s="75">
        <v>0</v>
      </c>
      <c r="AH530" s="75">
        <v>3.0000000000000001E-3</v>
      </c>
      <c r="AI530" s="75">
        <v>0</v>
      </c>
      <c r="AJ530" s="75">
        <v>0</v>
      </c>
      <c r="AK530" s="75" t="s">
        <v>713</v>
      </c>
      <c r="AL530" s="70">
        <v>4</v>
      </c>
      <c r="AM530" s="75">
        <v>1000</v>
      </c>
      <c r="AN530" s="70" t="s">
        <v>63</v>
      </c>
      <c r="AO530" s="70" t="s">
        <v>728</v>
      </c>
    </row>
    <row r="531" spans="1:41" ht="16.5">
      <c r="A531" s="70">
        <v>20244</v>
      </c>
      <c r="B531" s="71" t="s">
        <v>1291</v>
      </c>
      <c r="C531" s="71" t="s">
        <v>695</v>
      </c>
      <c r="D531" s="72" t="s">
        <v>108</v>
      </c>
      <c r="E531" s="73">
        <v>11004</v>
      </c>
      <c r="F531" s="74">
        <v>2000</v>
      </c>
      <c r="G531" s="70">
        <v>300</v>
      </c>
      <c r="H531" s="70">
        <v>50</v>
      </c>
      <c r="I531" s="72" t="s">
        <v>159</v>
      </c>
      <c r="J531" s="70">
        <v>2</v>
      </c>
      <c r="K531" s="70">
        <v>6</v>
      </c>
      <c r="L531" s="70">
        <v>20</v>
      </c>
      <c r="M531" s="70">
        <v>0</v>
      </c>
      <c r="N531" s="70">
        <v>0</v>
      </c>
      <c r="O531" s="70">
        <v>0</v>
      </c>
      <c r="P531" s="70">
        <v>60</v>
      </c>
      <c r="Q531" s="70">
        <v>0</v>
      </c>
      <c r="R531" s="70">
        <v>0</v>
      </c>
      <c r="S531" s="70">
        <v>0</v>
      </c>
      <c r="T531" s="70">
        <v>0</v>
      </c>
      <c r="U531" s="70">
        <v>0</v>
      </c>
      <c r="V531" s="70">
        <v>0</v>
      </c>
      <c r="W531" s="70">
        <v>0</v>
      </c>
      <c r="X531" s="70">
        <v>3</v>
      </c>
      <c r="Y531" s="70">
        <v>0</v>
      </c>
      <c r="Z531" s="70">
        <v>0</v>
      </c>
      <c r="AA531" s="70">
        <v>0</v>
      </c>
      <c r="AB531" s="70">
        <v>0</v>
      </c>
      <c r="AC531" s="75">
        <v>0</v>
      </c>
      <c r="AD531" s="75">
        <v>0</v>
      </c>
      <c r="AE531" s="75">
        <v>0</v>
      </c>
      <c r="AF531" s="75">
        <v>12</v>
      </c>
      <c r="AG531" s="75">
        <v>0</v>
      </c>
      <c r="AH531" s="75">
        <v>3.0000000000000001E-3</v>
      </c>
      <c r="AI531" s="75">
        <v>0</v>
      </c>
      <c r="AJ531" s="75">
        <v>0</v>
      </c>
      <c r="AK531" s="75" t="s">
        <v>713</v>
      </c>
      <c r="AL531" s="70">
        <v>4</v>
      </c>
      <c r="AM531" s="75">
        <v>1000</v>
      </c>
      <c r="AN531" s="70" t="s">
        <v>63</v>
      </c>
      <c r="AO531" s="70" t="s">
        <v>728</v>
      </c>
    </row>
    <row r="532" spans="1:41" ht="16.5">
      <c r="A532" s="70">
        <v>20245</v>
      </c>
      <c r="B532" s="71" t="s">
        <v>1292</v>
      </c>
      <c r="C532" s="71" t="s">
        <v>695</v>
      </c>
      <c r="D532" s="72" t="s">
        <v>108</v>
      </c>
      <c r="E532" s="73">
        <v>11004</v>
      </c>
      <c r="F532" s="74">
        <v>2000</v>
      </c>
      <c r="G532" s="70">
        <v>300</v>
      </c>
      <c r="H532" s="70">
        <v>50</v>
      </c>
      <c r="I532" s="72" t="s">
        <v>159</v>
      </c>
      <c r="J532" s="70">
        <v>2</v>
      </c>
      <c r="K532" s="70">
        <v>6</v>
      </c>
      <c r="L532" s="70">
        <v>20</v>
      </c>
      <c r="M532" s="70">
        <v>0</v>
      </c>
      <c r="N532" s="70">
        <v>0</v>
      </c>
      <c r="O532" s="70">
        <v>0</v>
      </c>
      <c r="P532" s="70">
        <v>60</v>
      </c>
      <c r="Q532" s="70">
        <v>0</v>
      </c>
      <c r="R532" s="70">
        <v>0</v>
      </c>
      <c r="S532" s="70">
        <v>0</v>
      </c>
      <c r="T532" s="70">
        <v>0</v>
      </c>
      <c r="U532" s="70">
        <v>0</v>
      </c>
      <c r="V532" s="70">
        <v>0</v>
      </c>
      <c r="W532" s="70">
        <v>0</v>
      </c>
      <c r="X532" s="70">
        <v>3</v>
      </c>
      <c r="Y532" s="70">
        <v>0</v>
      </c>
      <c r="Z532" s="70">
        <v>0</v>
      </c>
      <c r="AA532" s="70">
        <v>0</v>
      </c>
      <c r="AB532" s="70">
        <v>0</v>
      </c>
      <c r="AC532" s="75">
        <v>0</v>
      </c>
      <c r="AD532" s="75">
        <v>0</v>
      </c>
      <c r="AE532" s="75">
        <v>0</v>
      </c>
      <c r="AF532" s="75">
        <v>12</v>
      </c>
      <c r="AG532" s="75">
        <v>0</v>
      </c>
      <c r="AH532" s="75">
        <v>3.0000000000000001E-3</v>
      </c>
      <c r="AI532" s="75">
        <v>0</v>
      </c>
      <c r="AJ532" s="75">
        <v>0</v>
      </c>
      <c r="AK532" s="75" t="s">
        <v>713</v>
      </c>
      <c r="AL532" s="70">
        <v>4</v>
      </c>
      <c r="AM532" s="75">
        <v>1000</v>
      </c>
      <c r="AN532" s="70" t="s">
        <v>63</v>
      </c>
      <c r="AO532" s="70" t="s">
        <v>728</v>
      </c>
    </row>
    <row r="533" spans="1:41" ht="16.5">
      <c r="A533" s="70">
        <v>20246</v>
      </c>
      <c r="B533" s="71" t="s">
        <v>1293</v>
      </c>
      <c r="C533" s="71" t="s">
        <v>695</v>
      </c>
      <c r="D533" s="72" t="s">
        <v>108</v>
      </c>
      <c r="E533" s="73">
        <v>11004</v>
      </c>
      <c r="F533" s="74">
        <v>2000</v>
      </c>
      <c r="G533" s="70">
        <v>300</v>
      </c>
      <c r="H533" s="70">
        <v>50</v>
      </c>
      <c r="I533" s="72" t="s">
        <v>159</v>
      </c>
      <c r="J533" s="70">
        <v>2</v>
      </c>
      <c r="K533" s="70">
        <v>6</v>
      </c>
      <c r="L533" s="70">
        <v>20</v>
      </c>
      <c r="M533" s="70">
        <v>0</v>
      </c>
      <c r="N533" s="70">
        <v>0</v>
      </c>
      <c r="O533" s="70">
        <v>0</v>
      </c>
      <c r="P533" s="70">
        <v>60</v>
      </c>
      <c r="Q533" s="70">
        <v>0</v>
      </c>
      <c r="R533" s="70">
        <v>0</v>
      </c>
      <c r="S533" s="70">
        <v>0</v>
      </c>
      <c r="T533" s="70">
        <v>0</v>
      </c>
      <c r="U533" s="70">
        <v>0</v>
      </c>
      <c r="V533" s="70">
        <v>0</v>
      </c>
      <c r="W533" s="70">
        <v>0</v>
      </c>
      <c r="X533" s="70">
        <v>3</v>
      </c>
      <c r="Y533" s="70">
        <v>0</v>
      </c>
      <c r="Z533" s="70">
        <v>0</v>
      </c>
      <c r="AA533" s="70">
        <v>0</v>
      </c>
      <c r="AB533" s="70">
        <v>0</v>
      </c>
      <c r="AC533" s="75">
        <v>0</v>
      </c>
      <c r="AD533" s="75">
        <v>0</v>
      </c>
      <c r="AE533" s="75">
        <v>0</v>
      </c>
      <c r="AF533" s="75">
        <v>12</v>
      </c>
      <c r="AG533" s="75">
        <v>0</v>
      </c>
      <c r="AH533" s="75">
        <v>3.0000000000000001E-3</v>
      </c>
      <c r="AI533" s="75">
        <v>0</v>
      </c>
      <c r="AJ533" s="75">
        <v>0</v>
      </c>
      <c r="AK533" s="75" t="s">
        <v>713</v>
      </c>
      <c r="AL533" s="70">
        <v>4</v>
      </c>
      <c r="AM533" s="75">
        <v>1000</v>
      </c>
      <c r="AN533" s="70" t="s">
        <v>63</v>
      </c>
      <c r="AO533" s="70" t="s">
        <v>728</v>
      </c>
    </row>
    <row r="534" spans="1:41" ht="16.5">
      <c r="A534" s="70">
        <v>20247</v>
      </c>
      <c r="B534" s="71" t="s">
        <v>1294</v>
      </c>
      <c r="C534" s="71" t="s">
        <v>695</v>
      </c>
      <c r="D534" s="72" t="s">
        <v>108</v>
      </c>
      <c r="E534" s="73">
        <v>11004</v>
      </c>
      <c r="F534" s="74">
        <v>2000</v>
      </c>
      <c r="G534" s="70">
        <v>300</v>
      </c>
      <c r="H534" s="70">
        <v>50</v>
      </c>
      <c r="I534" s="72" t="s">
        <v>159</v>
      </c>
      <c r="J534" s="70">
        <v>2</v>
      </c>
      <c r="K534" s="70">
        <v>6</v>
      </c>
      <c r="L534" s="70">
        <v>20</v>
      </c>
      <c r="M534" s="70">
        <v>0</v>
      </c>
      <c r="N534" s="70">
        <v>0</v>
      </c>
      <c r="O534" s="70">
        <v>0</v>
      </c>
      <c r="P534" s="70">
        <v>60</v>
      </c>
      <c r="Q534" s="70">
        <v>0</v>
      </c>
      <c r="R534" s="70">
        <v>0</v>
      </c>
      <c r="S534" s="70">
        <v>0</v>
      </c>
      <c r="T534" s="70">
        <v>0</v>
      </c>
      <c r="U534" s="70">
        <v>0</v>
      </c>
      <c r="V534" s="70">
        <v>0</v>
      </c>
      <c r="W534" s="70">
        <v>0</v>
      </c>
      <c r="X534" s="70">
        <v>3</v>
      </c>
      <c r="Y534" s="70">
        <v>0</v>
      </c>
      <c r="Z534" s="70">
        <v>0</v>
      </c>
      <c r="AA534" s="70">
        <v>0</v>
      </c>
      <c r="AB534" s="70">
        <v>0</v>
      </c>
      <c r="AC534" s="75">
        <v>0</v>
      </c>
      <c r="AD534" s="75">
        <v>0</v>
      </c>
      <c r="AE534" s="75">
        <v>0</v>
      </c>
      <c r="AF534" s="75">
        <v>12</v>
      </c>
      <c r="AG534" s="75">
        <v>0</v>
      </c>
      <c r="AH534" s="75">
        <v>3.0000000000000001E-3</v>
      </c>
      <c r="AI534" s="75">
        <v>0</v>
      </c>
      <c r="AJ534" s="75">
        <v>0</v>
      </c>
      <c r="AK534" s="75" t="s">
        <v>713</v>
      </c>
      <c r="AL534" s="70">
        <v>4</v>
      </c>
      <c r="AM534" s="75">
        <v>1000</v>
      </c>
      <c r="AN534" s="70" t="s">
        <v>63</v>
      </c>
      <c r="AO534" s="70" t="s">
        <v>728</v>
      </c>
    </row>
    <row r="535" spans="1:41" ht="16.5">
      <c r="A535" s="70">
        <v>20248</v>
      </c>
      <c r="B535" s="71" t="s">
        <v>1295</v>
      </c>
      <c r="C535" s="71" t="s">
        <v>695</v>
      </c>
      <c r="D535" s="72" t="s">
        <v>108</v>
      </c>
      <c r="E535" s="73">
        <v>11004</v>
      </c>
      <c r="F535" s="74">
        <v>2000</v>
      </c>
      <c r="G535" s="70">
        <v>300</v>
      </c>
      <c r="H535" s="70">
        <v>50</v>
      </c>
      <c r="I535" s="72" t="s">
        <v>159</v>
      </c>
      <c r="J535" s="70">
        <v>2</v>
      </c>
      <c r="K535" s="70">
        <v>6</v>
      </c>
      <c r="L535" s="70">
        <v>20</v>
      </c>
      <c r="M535" s="70">
        <v>0</v>
      </c>
      <c r="N535" s="70">
        <v>0</v>
      </c>
      <c r="O535" s="70">
        <v>0</v>
      </c>
      <c r="P535" s="70">
        <v>60</v>
      </c>
      <c r="Q535" s="70">
        <v>0</v>
      </c>
      <c r="R535" s="70">
        <v>0</v>
      </c>
      <c r="S535" s="70">
        <v>0</v>
      </c>
      <c r="T535" s="70">
        <v>0</v>
      </c>
      <c r="U535" s="70">
        <v>0</v>
      </c>
      <c r="V535" s="70">
        <v>0</v>
      </c>
      <c r="W535" s="70">
        <v>0</v>
      </c>
      <c r="X535" s="70">
        <v>3</v>
      </c>
      <c r="Y535" s="70">
        <v>0</v>
      </c>
      <c r="Z535" s="70">
        <v>0</v>
      </c>
      <c r="AA535" s="70">
        <v>0</v>
      </c>
      <c r="AB535" s="70">
        <v>0</v>
      </c>
      <c r="AC535" s="75">
        <v>0</v>
      </c>
      <c r="AD535" s="75">
        <v>0</v>
      </c>
      <c r="AE535" s="75">
        <v>0</v>
      </c>
      <c r="AF535" s="75">
        <v>12</v>
      </c>
      <c r="AG535" s="75">
        <v>0</v>
      </c>
      <c r="AH535" s="75">
        <v>3.0000000000000001E-3</v>
      </c>
      <c r="AI535" s="75">
        <v>0</v>
      </c>
      <c r="AJ535" s="75">
        <v>0</v>
      </c>
      <c r="AK535" s="75" t="s">
        <v>713</v>
      </c>
      <c r="AL535" s="70">
        <v>4</v>
      </c>
      <c r="AM535" s="75">
        <v>1000</v>
      </c>
      <c r="AN535" s="70" t="s">
        <v>63</v>
      </c>
      <c r="AO535" s="70" t="s">
        <v>728</v>
      </c>
    </row>
    <row r="536" spans="1:41" ht="16.5">
      <c r="A536" s="70">
        <v>20249</v>
      </c>
      <c r="B536" s="71" t="s">
        <v>1296</v>
      </c>
      <c r="C536" s="71" t="s">
        <v>695</v>
      </c>
      <c r="D536" s="72" t="s">
        <v>108</v>
      </c>
      <c r="E536" s="73">
        <v>11004</v>
      </c>
      <c r="F536" s="74">
        <v>2000</v>
      </c>
      <c r="G536" s="70">
        <v>300</v>
      </c>
      <c r="H536" s="70">
        <v>50</v>
      </c>
      <c r="I536" s="72" t="s">
        <v>159</v>
      </c>
      <c r="J536" s="70">
        <v>2</v>
      </c>
      <c r="K536" s="70">
        <v>6</v>
      </c>
      <c r="L536" s="70">
        <v>20</v>
      </c>
      <c r="M536" s="70">
        <v>0</v>
      </c>
      <c r="N536" s="70">
        <v>0</v>
      </c>
      <c r="O536" s="70">
        <v>0</v>
      </c>
      <c r="P536" s="70">
        <v>60</v>
      </c>
      <c r="Q536" s="70">
        <v>0</v>
      </c>
      <c r="R536" s="70">
        <v>0</v>
      </c>
      <c r="S536" s="70">
        <v>0</v>
      </c>
      <c r="T536" s="70">
        <v>0</v>
      </c>
      <c r="U536" s="70">
        <v>0</v>
      </c>
      <c r="V536" s="70">
        <v>0</v>
      </c>
      <c r="W536" s="70">
        <v>0</v>
      </c>
      <c r="X536" s="70">
        <v>3</v>
      </c>
      <c r="Y536" s="70">
        <v>0</v>
      </c>
      <c r="Z536" s="70">
        <v>0</v>
      </c>
      <c r="AA536" s="70">
        <v>0</v>
      </c>
      <c r="AB536" s="70">
        <v>0</v>
      </c>
      <c r="AC536" s="75">
        <v>0</v>
      </c>
      <c r="AD536" s="75">
        <v>0</v>
      </c>
      <c r="AE536" s="75">
        <v>0</v>
      </c>
      <c r="AF536" s="75">
        <v>12</v>
      </c>
      <c r="AG536" s="75">
        <v>0</v>
      </c>
      <c r="AH536" s="75">
        <v>3.0000000000000001E-3</v>
      </c>
      <c r="AI536" s="75">
        <v>0</v>
      </c>
      <c r="AJ536" s="75">
        <v>0</v>
      </c>
      <c r="AK536" s="75" t="s">
        <v>713</v>
      </c>
      <c r="AL536" s="70">
        <v>4</v>
      </c>
      <c r="AM536" s="75">
        <v>1000</v>
      </c>
      <c r="AN536" s="70" t="s">
        <v>63</v>
      </c>
      <c r="AO536" s="70" t="s">
        <v>728</v>
      </c>
    </row>
    <row r="537" spans="1:41" ht="16.5">
      <c r="A537" s="70">
        <v>20250</v>
      </c>
      <c r="B537" s="71" t="s">
        <v>1297</v>
      </c>
      <c r="C537" s="71" t="s">
        <v>695</v>
      </c>
      <c r="D537" s="72" t="s">
        <v>108</v>
      </c>
      <c r="E537" s="73">
        <v>11004</v>
      </c>
      <c r="F537" s="74">
        <v>2000</v>
      </c>
      <c r="G537" s="70">
        <v>300</v>
      </c>
      <c r="H537" s="70">
        <v>50</v>
      </c>
      <c r="I537" s="72" t="s">
        <v>159</v>
      </c>
      <c r="J537" s="70">
        <v>2</v>
      </c>
      <c r="K537" s="70">
        <v>6</v>
      </c>
      <c r="L537" s="70">
        <v>20</v>
      </c>
      <c r="M537" s="70">
        <v>0</v>
      </c>
      <c r="N537" s="70">
        <v>0</v>
      </c>
      <c r="O537" s="70">
        <v>0</v>
      </c>
      <c r="P537" s="70">
        <v>60</v>
      </c>
      <c r="Q537" s="70">
        <v>0</v>
      </c>
      <c r="R537" s="70">
        <v>0</v>
      </c>
      <c r="S537" s="70">
        <v>0</v>
      </c>
      <c r="T537" s="70">
        <v>0</v>
      </c>
      <c r="U537" s="70">
        <v>0</v>
      </c>
      <c r="V537" s="70">
        <v>0</v>
      </c>
      <c r="W537" s="70">
        <v>0</v>
      </c>
      <c r="X537" s="70">
        <v>3</v>
      </c>
      <c r="Y537" s="70">
        <v>0</v>
      </c>
      <c r="Z537" s="70">
        <v>0</v>
      </c>
      <c r="AA537" s="70">
        <v>0</v>
      </c>
      <c r="AB537" s="70">
        <v>0</v>
      </c>
      <c r="AC537" s="75">
        <v>0</v>
      </c>
      <c r="AD537" s="75">
        <v>0</v>
      </c>
      <c r="AE537" s="75">
        <v>0</v>
      </c>
      <c r="AF537" s="75">
        <v>12</v>
      </c>
      <c r="AG537" s="75">
        <v>0</v>
      </c>
      <c r="AH537" s="75">
        <v>3.0000000000000001E-3</v>
      </c>
      <c r="AI537" s="75">
        <v>0</v>
      </c>
      <c r="AJ537" s="75">
        <v>0</v>
      </c>
      <c r="AK537" s="75" t="s">
        <v>713</v>
      </c>
      <c r="AL537" s="70">
        <v>4</v>
      </c>
      <c r="AM537" s="75">
        <v>1000</v>
      </c>
      <c r="AN537" s="70" t="s">
        <v>63</v>
      </c>
      <c r="AO537" s="70" t="s">
        <v>728</v>
      </c>
    </row>
    <row r="538" spans="1:41" ht="16.5">
      <c r="A538" s="70">
        <v>202511</v>
      </c>
      <c r="B538" s="71" t="s">
        <v>1298</v>
      </c>
      <c r="C538" s="71" t="s">
        <v>695</v>
      </c>
      <c r="D538" s="72" t="s">
        <v>108</v>
      </c>
      <c r="E538" s="73">
        <v>11004</v>
      </c>
      <c r="F538" s="74">
        <v>2000</v>
      </c>
      <c r="G538" s="70">
        <v>300</v>
      </c>
      <c r="H538" s="70">
        <v>50</v>
      </c>
      <c r="I538" s="72" t="s">
        <v>159</v>
      </c>
      <c r="J538" s="70">
        <v>2</v>
      </c>
      <c r="K538" s="70">
        <v>6</v>
      </c>
      <c r="L538" s="70">
        <v>20</v>
      </c>
      <c r="M538" s="70">
        <v>0</v>
      </c>
      <c r="N538" s="70">
        <v>0</v>
      </c>
      <c r="O538" s="70">
        <v>0</v>
      </c>
      <c r="P538" s="70">
        <v>60</v>
      </c>
      <c r="Q538" s="70">
        <v>0</v>
      </c>
      <c r="R538" s="70">
        <v>0</v>
      </c>
      <c r="S538" s="70">
        <v>0</v>
      </c>
      <c r="T538" s="70">
        <v>0</v>
      </c>
      <c r="U538" s="70">
        <v>0</v>
      </c>
      <c r="V538" s="70">
        <v>0</v>
      </c>
      <c r="W538" s="70">
        <v>0</v>
      </c>
      <c r="X538" s="70">
        <v>3</v>
      </c>
      <c r="Y538" s="70">
        <v>0</v>
      </c>
      <c r="Z538" s="70">
        <v>0</v>
      </c>
      <c r="AA538" s="70">
        <v>0</v>
      </c>
      <c r="AB538" s="70">
        <v>0</v>
      </c>
      <c r="AC538" s="75">
        <v>0</v>
      </c>
      <c r="AD538" s="75">
        <v>0</v>
      </c>
      <c r="AE538" s="75">
        <v>0</v>
      </c>
      <c r="AF538" s="75">
        <v>12</v>
      </c>
      <c r="AG538" s="75">
        <v>0</v>
      </c>
      <c r="AH538" s="75">
        <v>3.0000000000000001E-3</v>
      </c>
      <c r="AI538" s="75">
        <v>0</v>
      </c>
      <c r="AJ538" s="75">
        <v>0</v>
      </c>
      <c r="AK538" s="75" t="s">
        <v>713</v>
      </c>
      <c r="AL538" s="70">
        <v>4</v>
      </c>
      <c r="AM538" s="75">
        <v>1000</v>
      </c>
      <c r="AN538" s="70" t="s">
        <v>63</v>
      </c>
      <c r="AO538" s="70" t="s">
        <v>728</v>
      </c>
    </row>
    <row r="539" spans="1:41" ht="16.5">
      <c r="A539" s="70">
        <v>202512</v>
      </c>
      <c r="B539" s="71" t="s">
        <v>1299</v>
      </c>
      <c r="C539" s="71" t="s">
        <v>695</v>
      </c>
      <c r="D539" s="72" t="s">
        <v>108</v>
      </c>
      <c r="E539" s="73">
        <v>11004</v>
      </c>
      <c r="F539" s="74">
        <v>2000</v>
      </c>
      <c r="G539" s="70">
        <v>300</v>
      </c>
      <c r="H539" s="70">
        <v>50</v>
      </c>
      <c r="I539" s="72" t="s">
        <v>159</v>
      </c>
      <c r="J539" s="70">
        <v>2</v>
      </c>
      <c r="K539" s="70">
        <v>6</v>
      </c>
      <c r="L539" s="70">
        <v>20</v>
      </c>
      <c r="M539" s="70">
        <v>0</v>
      </c>
      <c r="N539" s="70">
        <v>0</v>
      </c>
      <c r="O539" s="70">
        <v>0</v>
      </c>
      <c r="P539" s="70">
        <v>60</v>
      </c>
      <c r="Q539" s="70">
        <v>0</v>
      </c>
      <c r="R539" s="70">
        <v>0</v>
      </c>
      <c r="S539" s="70">
        <v>0</v>
      </c>
      <c r="T539" s="70">
        <v>0</v>
      </c>
      <c r="U539" s="70">
        <v>0</v>
      </c>
      <c r="V539" s="70">
        <v>0</v>
      </c>
      <c r="W539" s="70">
        <v>0</v>
      </c>
      <c r="X539" s="70">
        <v>3</v>
      </c>
      <c r="Y539" s="70">
        <v>0</v>
      </c>
      <c r="Z539" s="70">
        <v>0</v>
      </c>
      <c r="AA539" s="70">
        <v>0</v>
      </c>
      <c r="AB539" s="70">
        <v>0</v>
      </c>
      <c r="AC539" s="75">
        <v>0</v>
      </c>
      <c r="AD539" s="75">
        <v>0</v>
      </c>
      <c r="AE539" s="75">
        <v>0</v>
      </c>
      <c r="AF539" s="75">
        <v>12</v>
      </c>
      <c r="AG539" s="75">
        <v>0</v>
      </c>
      <c r="AH539" s="75">
        <v>3.0000000000000001E-3</v>
      </c>
      <c r="AI539" s="75">
        <v>0</v>
      </c>
      <c r="AJ539" s="75">
        <v>0</v>
      </c>
      <c r="AK539" s="75" t="s">
        <v>713</v>
      </c>
      <c r="AL539" s="70">
        <v>4</v>
      </c>
      <c r="AM539" s="75">
        <v>1000</v>
      </c>
      <c r="AN539" s="70" t="s">
        <v>63</v>
      </c>
      <c r="AO539" s="70" t="s">
        <v>728</v>
      </c>
    </row>
    <row r="540" spans="1:41" ht="16.5">
      <c r="A540" s="70">
        <v>202513</v>
      </c>
      <c r="B540" s="71" t="s">
        <v>1300</v>
      </c>
      <c r="C540" s="71" t="s">
        <v>695</v>
      </c>
      <c r="D540" s="72" t="s">
        <v>108</v>
      </c>
      <c r="E540" s="73">
        <v>11004</v>
      </c>
      <c r="F540" s="74">
        <v>2000</v>
      </c>
      <c r="G540" s="70">
        <v>300</v>
      </c>
      <c r="H540" s="70">
        <v>50</v>
      </c>
      <c r="I540" s="72" t="s">
        <v>159</v>
      </c>
      <c r="J540" s="70">
        <v>2</v>
      </c>
      <c r="K540" s="70">
        <v>6</v>
      </c>
      <c r="L540" s="70">
        <v>20</v>
      </c>
      <c r="M540" s="70">
        <v>0</v>
      </c>
      <c r="N540" s="70">
        <v>0</v>
      </c>
      <c r="O540" s="70">
        <v>0</v>
      </c>
      <c r="P540" s="70">
        <v>60</v>
      </c>
      <c r="Q540" s="70">
        <v>0</v>
      </c>
      <c r="R540" s="70">
        <v>0</v>
      </c>
      <c r="S540" s="70">
        <v>0</v>
      </c>
      <c r="T540" s="70">
        <v>0</v>
      </c>
      <c r="U540" s="70">
        <v>0</v>
      </c>
      <c r="V540" s="70">
        <v>0</v>
      </c>
      <c r="W540" s="70">
        <v>0</v>
      </c>
      <c r="X540" s="70">
        <v>3</v>
      </c>
      <c r="Y540" s="70">
        <v>0</v>
      </c>
      <c r="Z540" s="70">
        <v>0</v>
      </c>
      <c r="AA540" s="70">
        <v>0</v>
      </c>
      <c r="AB540" s="70">
        <v>0</v>
      </c>
      <c r="AC540" s="75">
        <v>0</v>
      </c>
      <c r="AD540" s="75">
        <v>0</v>
      </c>
      <c r="AE540" s="75">
        <v>0</v>
      </c>
      <c r="AF540" s="75">
        <v>12</v>
      </c>
      <c r="AG540" s="75">
        <v>0</v>
      </c>
      <c r="AH540" s="75">
        <v>3.0000000000000001E-3</v>
      </c>
      <c r="AI540" s="75">
        <v>0</v>
      </c>
      <c r="AJ540" s="75">
        <v>0</v>
      </c>
      <c r="AK540" s="75" t="s">
        <v>713</v>
      </c>
      <c r="AL540" s="70">
        <v>4</v>
      </c>
      <c r="AM540" s="75">
        <v>1000</v>
      </c>
      <c r="AN540" s="70" t="s">
        <v>63</v>
      </c>
      <c r="AO540" s="70" t="s">
        <v>728</v>
      </c>
    </row>
    <row r="541" spans="1:41" ht="16.5">
      <c r="A541" s="10">
        <v>2001</v>
      </c>
      <c r="B541" s="21" t="s">
        <v>1301</v>
      </c>
      <c r="C541" s="21" t="s">
        <v>708</v>
      </c>
      <c r="D541" s="12" t="s">
        <v>101</v>
      </c>
      <c r="E541" s="2" t="s">
        <v>66</v>
      </c>
      <c r="F541" s="64">
        <v>200</v>
      </c>
      <c r="G541" s="10">
        <v>300</v>
      </c>
      <c r="H541" s="10">
        <v>50</v>
      </c>
      <c r="I541" s="21" t="s">
        <v>717</v>
      </c>
      <c r="J541" s="10">
        <v>1</v>
      </c>
      <c r="K541" s="10">
        <v>2</v>
      </c>
      <c r="L541" s="10">
        <v>0</v>
      </c>
      <c r="M541" s="10">
        <v>0</v>
      </c>
      <c r="N541" s="10">
        <v>0</v>
      </c>
      <c r="O541" s="10">
        <v>40</v>
      </c>
      <c r="P541" s="10">
        <v>0</v>
      </c>
      <c r="Q541" s="10">
        <v>0</v>
      </c>
      <c r="R541" s="10">
        <v>0</v>
      </c>
      <c r="S541" s="10">
        <v>0</v>
      </c>
      <c r="T541" s="10">
        <v>0</v>
      </c>
      <c r="U541" s="10">
        <v>0</v>
      </c>
      <c r="V541" s="10">
        <v>0</v>
      </c>
      <c r="W541" s="10">
        <v>2</v>
      </c>
      <c r="X541" s="10">
        <v>0</v>
      </c>
      <c r="Y541" s="10">
        <v>0</v>
      </c>
      <c r="Z541" s="10">
        <v>0</v>
      </c>
      <c r="AA541" s="10">
        <v>0</v>
      </c>
      <c r="AB541" s="10">
        <v>0</v>
      </c>
      <c r="AC541" s="11">
        <v>0</v>
      </c>
      <c r="AD541" s="11">
        <v>0</v>
      </c>
      <c r="AE541" s="11">
        <v>8</v>
      </c>
      <c r="AF541" s="11">
        <v>0</v>
      </c>
      <c r="AG541" s="11">
        <v>0</v>
      </c>
      <c r="AH541" s="11">
        <v>0</v>
      </c>
      <c r="AI541" s="11">
        <v>0</v>
      </c>
      <c r="AJ541" s="11">
        <v>4.0000000000000001E-3</v>
      </c>
      <c r="AK541" s="11" t="s">
        <v>714</v>
      </c>
      <c r="AL541" s="10">
        <v>2</v>
      </c>
      <c r="AM541" s="11">
        <v>20</v>
      </c>
      <c r="AN541" s="10" t="s">
        <v>48</v>
      </c>
      <c r="AO541" s="21" t="s">
        <v>757</v>
      </c>
    </row>
    <row r="542" spans="1:41" ht="16.5">
      <c r="A542" s="10">
        <v>200111</v>
      </c>
      <c r="B542" s="21" t="s">
        <v>1302</v>
      </c>
      <c r="C542" s="21" t="s">
        <v>708</v>
      </c>
      <c r="D542" s="12" t="s">
        <v>101</v>
      </c>
      <c r="E542" s="2" t="s">
        <v>66</v>
      </c>
      <c r="F542" s="64">
        <v>200</v>
      </c>
      <c r="G542" s="10">
        <v>300</v>
      </c>
      <c r="H542" s="10">
        <v>50</v>
      </c>
      <c r="I542" s="21" t="s">
        <v>717</v>
      </c>
      <c r="J542" s="10">
        <v>1</v>
      </c>
      <c r="K542" s="10">
        <v>2</v>
      </c>
      <c r="L542" s="10">
        <v>0</v>
      </c>
      <c r="M542" s="10">
        <v>0</v>
      </c>
      <c r="N542" s="10">
        <v>0</v>
      </c>
      <c r="O542" s="10">
        <v>40</v>
      </c>
      <c r="P542" s="10">
        <v>0</v>
      </c>
      <c r="Q542" s="10">
        <v>0</v>
      </c>
      <c r="R542" s="10">
        <v>0</v>
      </c>
      <c r="S542" s="10">
        <v>0</v>
      </c>
      <c r="T542" s="10">
        <v>0</v>
      </c>
      <c r="U542" s="10">
        <v>0</v>
      </c>
      <c r="V542" s="10">
        <v>0</v>
      </c>
      <c r="W542" s="10">
        <v>2</v>
      </c>
      <c r="X542" s="10">
        <v>0</v>
      </c>
      <c r="Y542" s="10">
        <v>0</v>
      </c>
      <c r="Z542" s="10">
        <v>0</v>
      </c>
      <c r="AA542" s="10">
        <v>0</v>
      </c>
      <c r="AB542" s="10">
        <v>0</v>
      </c>
      <c r="AC542" s="11">
        <v>0</v>
      </c>
      <c r="AD542" s="11">
        <v>0</v>
      </c>
      <c r="AE542" s="11">
        <v>8</v>
      </c>
      <c r="AF542" s="11">
        <v>0</v>
      </c>
      <c r="AG542" s="11">
        <v>0</v>
      </c>
      <c r="AH542" s="11">
        <v>0</v>
      </c>
      <c r="AI542" s="11">
        <v>0</v>
      </c>
      <c r="AJ542" s="11">
        <v>4.0000000000000001E-3</v>
      </c>
      <c r="AK542" s="11" t="s">
        <v>714</v>
      </c>
      <c r="AL542" s="10">
        <v>2</v>
      </c>
      <c r="AM542" s="11">
        <v>20</v>
      </c>
      <c r="AN542" s="10" t="s">
        <v>48</v>
      </c>
      <c r="AO542" s="21" t="s">
        <v>757</v>
      </c>
    </row>
    <row r="543" spans="1:41" ht="16.5">
      <c r="A543" s="10">
        <v>200112</v>
      </c>
      <c r="B543" s="21" t="s">
        <v>1303</v>
      </c>
      <c r="C543" s="21" t="s">
        <v>708</v>
      </c>
      <c r="D543" s="12" t="s">
        <v>101</v>
      </c>
      <c r="E543" s="2" t="s">
        <v>66</v>
      </c>
      <c r="F543" s="64">
        <v>200</v>
      </c>
      <c r="G543" s="10">
        <v>300</v>
      </c>
      <c r="H543" s="10">
        <v>50</v>
      </c>
      <c r="I543" s="21" t="s">
        <v>717</v>
      </c>
      <c r="J543" s="10">
        <v>1</v>
      </c>
      <c r="K543" s="10">
        <v>2</v>
      </c>
      <c r="L543" s="10">
        <v>0</v>
      </c>
      <c r="M543" s="10">
        <v>0</v>
      </c>
      <c r="N543" s="10">
        <v>0</v>
      </c>
      <c r="O543" s="10">
        <v>40</v>
      </c>
      <c r="P543" s="10">
        <v>0</v>
      </c>
      <c r="Q543" s="10">
        <v>0</v>
      </c>
      <c r="R543" s="10">
        <v>0</v>
      </c>
      <c r="S543" s="10">
        <v>0</v>
      </c>
      <c r="T543" s="10">
        <v>0</v>
      </c>
      <c r="U543" s="10">
        <v>0</v>
      </c>
      <c r="V543" s="10">
        <v>0</v>
      </c>
      <c r="W543" s="10">
        <v>2</v>
      </c>
      <c r="X543" s="10">
        <v>0</v>
      </c>
      <c r="Y543" s="10">
        <v>0</v>
      </c>
      <c r="Z543" s="10">
        <v>0</v>
      </c>
      <c r="AA543" s="10">
        <v>0</v>
      </c>
      <c r="AB543" s="10">
        <v>0</v>
      </c>
      <c r="AC543" s="11">
        <v>0</v>
      </c>
      <c r="AD543" s="11">
        <v>0</v>
      </c>
      <c r="AE543" s="11">
        <v>8</v>
      </c>
      <c r="AF543" s="11">
        <v>0</v>
      </c>
      <c r="AG543" s="11">
        <v>0</v>
      </c>
      <c r="AH543" s="11">
        <v>0</v>
      </c>
      <c r="AI543" s="11">
        <v>0</v>
      </c>
      <c r="AJ543" s="11">
        <v>4.0000000000000001E-3</v>
      </c>
      <c r="AK543" s="11" t="s">
        <v>714</v>
      </c>
      <c r="AL543" s="10">
        <v>2</v>
      </c>
      <c r="AM543" s="11">
        <v>20</v>
      </c>
      <c r="AN543" s="10" t="s">
        <v>48</v>
      </c>
      <c r="AO543" s="21" t="s">
        <v>757</v>
      </c>
    </row>
    <row r="544" spans="1:41" ht="16.5">
      <c r="A544" s="10">
        <v>200113</v>
      </c>
      <c r="B544" s="21" t="s">
        <v>1304</v>
      </c>
      <c r="C544" s="21" t="s">
        <v>708</v>
      </c>
      <c r="D544" s="12" t="s">
        <v>101</v>
      </c>
      <c r="E544" s="2" t="s">
        <v>66</v>
      </c>
      <c r="F544" s="64">
        <v>200</v>
      </c>
      <c r="G544" s="10">
        <v>300</v>
      </c>
      <c r="H544" s="10">
        <v>50</v>
      </c>
      <c r="I544" s="21" t="s">
        <v>717</v>
      </c>
      <c r="J544" s="10">
        <v>1</v>
      </c>
      <c r="K544" s="10">
        <v>2</v>
      </c>
      <c r="L544" s="10">
        <v>0</v>
      </c>
      <c r="M544" s="10">
        <v>0</v>
      </c>
      <c r="N544" s="10">
        <v>0</v>
      </c>
      <c r="O544" s="10">
        <v>40</v>
      </c>
      <c r="P544" s="10">
        <v>0</v>
      </c>
      <c r="Q544" s="10">
        <v>0</v>
      </c>
      <c r="R544" s="10">
        <v>0</v>
      </c>
      <c r="S544" s="10">
        <v>0</v>
      </c>
      <c r="T544" s="10">
        <v>0</v>
      </c>
      <c r="U544" s="10">
        <v>0</v>
      </c>
      <c r="V544" s="10">
        <v>0</v>
      </c>
      <c r="W544" s="10">
        <v>2</v>
      </c>
      <c r="X544" s="10">
        <v>0</v>
      </c>
      <c r="Y544" s="10">
        <v>0</v>
      </c>
      <c r="Z544" s="10">
        <v>0</v>
      </c>
      <c r="AA544" s="10">
        <v>0</v>
      </c>
      <c r="AB544" s="10">
        <v>0</v>
      </c>
      <c r="AC544" s="11">
        <v>0</v>
      </c>
      <c r="AD544" s="11">
        <v>0</v>
      </c>
      <c r="AE544" s="11">
        <v>8</v>
      </c>
      <c r="AF544" s="11">
        <v>0</v>
      </c>
      <c r="AG544" s="11">
        <v>0</v>
      </c>
      <c r="AH544" s="11">
        <v>0</v>
      </c>
      <c r="AI544" s="11">
        <v>0</v>
      </c>
      <c r="AJ544" s="11">
        <v>4.0000000000000001E-3</v>
      </c>
      <c r="AK544" s="11" t="s">
        <v>714</v>
      </c>
      <c r="AL544" s="10">
        <v>2</v>
      </c>
      <c r="AM544" s="11">
        <v>20</v>
      </c>
      <c r="AN544" s="10" t="s">
        <v>48</v>
      </c>
      <c r="AO544" s="21" t="s">
        <v>757</v>
      </c>
    </row>
    <row r="545" spans="1:41" ht="16.5">
      <c r="A545" s="10">
        <v>200114</v>
      </c>
      <c r="B545" s="21" t="s">
        <v>1305</v>
      </c>
      <c r="C545" s="21" t="s">
        <v>708</v>
      </c>
      <c r="D545" s="12" t="s">
        <v>101</v>
      </c>
      <c r="E545" s="2" t="s">
        <v>66</v>
      </c>
      <c r="F545" s="64">
        <v>200</v>
      </c>
      <c r="G545" s="10">
        <v>300</v>
      </c>
      <c r="H545" s="10">
        <v>50</v>
      </c>
      <c r="I545" s="21" t="s">
        <v>717</v>
      </c>
      <c r="J545" s="10">
        <v>1</v>
      </c>
      <c r="K545" s="10">
        <v>2</v>
      </c>
      <c r="L545" s="10">
        <v>0</v>
      </c>
      <c r="M545" s="10">
        <v>0</v>
      </c>
      <c r="N545" s="10">
        <v>0</v>
      </c>
      <c r="O545" s="10">
        <v>40</v>
      </c>
      <c r="P545" s="10">
        <v>0</v>
      </c>
      <c r="Q545" s="10">
        <v>0</v>
      </c>
      <c r="R545" s="10">
        <v>0</v>
      </c>
      <c r="S545" s="10">
        <v>0</v>
      </c>
      <c r="T545" s="10">
        <v>0</v>
      </c>
      <c r="U545" s="10">
        <v>0</v>
      </c>
      <c r="V545" s="10">
        <v>0</v>
      </c>
      <c r="W545" s="10">
        <v>2</v>
      </c>
      <c r="X545" s="10">
        <v>0</v>
      </c>
      <c r="Y545" s="10">
        <v>0</v>
      </c>
      <c r="Z545" s="10">
        <v>0</v>
      </c>
      <c r="AA545" s="10">
        <v>0</v>
      </c>
      <c r="AB545" s="10">
        <v>0</v>
      </c>
      <c r="AC545" s="11">
        <v>0</v>
      </c>
      <c r="AD545" s="11">
        <v>0</v>
      </c>
      <c r="AE545" s="11">
        <v>8</v>
      </c>
      <c r="AF545" s="11">
        <v>0</v>
      </c>
      <c r="AG545" s="11">
        <v>0</v>
      </c>
      <c r="AH545" s="11">
        <v>0</v>
      </c>
      <c r="AI545" s="11">
        <v>0</v>
      </c>
      <c r="AJ545" s="11">
        <v>4.0000000000000001E-3</v>
      </c>
      <c r="AK545" s="11" t="s">
        <v>714</v>
      </c>
      <c r="AL545" s="10">
        <v>2</v>
      </c>
      <c r="AM545" s="11">
        <v>20</v>
      </c>
      <c r="AN545" s="10" t="s">
        <v>48</v>
      </c>
      <c r="AO545" s="21" t="s">
        <v>757</v>
      </c>
    </row>
    <row r="546" spans="1:41" ht="16.5">
      <c r="A546" s="10">
        <v>200115</v>
      </c>
      <c r="B546" s="21" t="s">
        <v>1306</v>
      </c>
      <c r="C546" s="21" t="s">
        <v>708</v>
      </c>
      <c r="D546" s="12" t="s">
        <v>101</v>
      </c>
      <c r="E546" s="2" t="s">
        <v>66</v>
      </c>
      <c r="F546" s="64">
        <v>200</v>
      </c>
      <c r="G546" s="10">
        <v>300</v>
      </c>
      <c r="H546" s="10">
        <v>50</v>
      </c>
      <c r="I546" s="21" t="s">
        <v>717</v>
      </c>
      <c r="J546" s="10">
        <v>1</v>
      </c>
      <c r="K546" s="10">
        <v>2</v>
      </c>
      <c r="L546" s="10">
        <v>0</v>
      </c>
      <c r="M546" s="10">
        <v>0</v>
      </c>
      <c r="N546" s="10">
        <v>0</v>
      </c>
      <c r="O546" s="10">
        <v>40</v>
      </c>
      <c r="P546" s="10">
        <v>0</v>
      </c>
      <c r="Q546" s="10">
        <v>0</v>
      </c>
      <c r="R546" s="10">
        <v>0</v>
      </c>
      <c r="S546" s="10">
        <v>0</v>
      </c>
      <c r="T546" s="10">
        <v>0</v>
      </c>
      <c r="U546" s="10">
        <v>0</v>
      </c>
      <c r="V546" s="10">
        <v>0</v>
      </c>
      <c r="W546" s="10">
        <v>2</v>
      </c>
      <c r="X546" s="10">
        <v>0</v>
      </c>
      <c r="Y546" s="10">
        <v>0</v>
      </c>
      <c r="Z546" s="10">
        <v>0</v>
      </c>
      <c r="AA546" s="10">
        <v>0</v>
      </c>
      <c r="AB546" s="10">
        <v>0</v>
      </c>
      <c r="AC546" s="11">
        <v>0</v>
      </c>
      <c r="AD546" s="11">
        <v>0</v>
      </c>
      <c r="AE546" s="11">
        <v>8</v>
      </c>
      <c r="AF546" s="11">
        <v>0</v>
      </c>
      <c r="AG546" s="11">
        <v>0</v>
      </c>
      <c r="AH546" s="11">
        <v>0</v>
      </c>
      <c r="AI546" s="11">
        <v>0</v>
      </c>
      <c r="AJ546" s="11">
        <v>4.0000000000000001E-3</v>
      </c>
      <c r="AK546" s="11" t="s">
        <v>714</v>
      </c>
      <c r="AL546" s="10">
        <v>2</v>
      </c>
      <c r="AM546" s="11">
        <v>20</v>
      </c>
      <c r="AN546" s="10" t="s">
        <v>48</v>
      </c>
      <c r="AO546" s="21" t="s">
        <v>757</v>
      </c>
    </row>
    <row r="547" spans="1:41" ht="16.5">
      <c r="A547" s="10">
        <v>200116</v>
      </c>
      <c r="B547" s="21" t="s">
        <v>1307</v>
      </c>
      <c r="C547" s="21" t="s">
        <v>708</v>
      </c>
      <c r="D547" s="12" t="s">
        <v>101</v>
      </c>
      <c r="E547" s="2" t="s">
        <v>66</v>
      </c>
      <c r="F547" s="64">
        <v>200</v>
      </c>
      <c r="G547" s="10">
        <v>300</v>
      </c>
      <c r="H547" s="10">
        <v>50</v>
      </c>
      <c r="I547" s="21" t="s">
        <v>717</v>
      </c>
      <c r="J547" s="10">
        <v>1</v>
      </c>
      <c r="K547" s="10">
        <v>2</v>
      </c>
      <c r="L547" s="10">
        <v>0</v>
      </c>
      <c r="M547" s="10">
        <v>0</v>
      </c>
      <c r="N547" s="10">
        <v>0</v>
      </c>
      <c r="O547" s="10">
        <v>40</v>
      </c>
      <c r="P547" s="10">
        <v>0</v>
      </c>
      <c r="Q547" s="10">
        <v>0</v>
      </c>
      <c r="R547" s="10">
        <v>0</v>
      </c>
      <c r="S547" s="10">
        <v>0</v>
      </c>
      <c r="T547" s="10">
        <v>0</v>
      </c>
      <c r="U547" s="10">
        <v>0</v>
      </c>
      <c r="V547" s="10">
        <v>0</v>
      </c>
      <c r="W547" s="10">
        <v>2</v>
      </c>
      <c r="X547" s="10">
        <v>0</v>
      </c>
      <c r="Y547" s="10">
        <v>0</v>
      </c>
      <c r="Z547" s="10">
        <v>0</v>
      </c>
      <c r="AA547" s="10">
        <v>0</v>
      </c>
      <c r="AB547" s="10">
        <v>0</v>
      </c>
      <c r="AC547" s="11">
        <v>0</v>
      </c>
      <c r="AD547" s="11">
        <v>0</v>
      </c>
      <c r="AE547" s="11">
        <v>8</v>
      </c>
      <c r="AF547" s="11">
        <v>0</v>
      </c>
      <c r="AG547" s="11">
        <v>0</v>
      </c>
      <c r="AH547" s="11">
        <v>0</v>
      </c>
      <c r="AI547" s="11">
        <v>0</v>
      </c>
      <c r="AJ547" s="11">
        <v>4.0000000000000001E-3</v>
      </c>
      <c r="AK547" s="11" t="s">
        <v>714</v>
      </c>
      <c r="AL547" s="10">
        <v>2</v>
      </c>
      <c r="AM547" s="11">
        <v>20</v>
      </c>
      <c r="AN547" s="10" t="s">
        <v>48</v>
      </c>
      <c r="AO547" s="21" t="s">
        <v>757</v>
      </c>
    </row>
    <row r="548" spans="1:41" ht="16.5">
      <c r="A548" s="10">
        <v>200117</v>
      </c>
      <c r="B548" s="21" t="s">
        <v>1308</v>
      </c>
      <c r="C548" s="21" t="s">
        <v>708</v>
      </c>
      <c r="D548" s="12" t="s">
        <v>101</v>
      </c>
      <c r="E548" s="2" t="s">
        <v>66</v>
      </c>
      <c r="F548" s="64">
        <v>200</v>
      </c>
      <c r="G548" s="10">
        <v>300</v>
      </c>
      <c r="H548" s="10">
        <v>50</v>
      </c>
      <c r="I548" s="21" t="s">
        <v>717</v>
      </c>
      <c r="J548" s="10">
        <v>1</v>
      </c>
      <c r="K548" s="10">
        <v>2</v>
      </c>
      <c r="L548" s="10">
        <v>0</v>
      </c>
      <c r="M548" s="10">
        <v>0</v>
      </c>
      <c r="N548" s="10">
        <v>0</v>
      </c>
      <c r="O548" s="10">
        <v>40</v>
      </c>
      <c r="P548" s="10">
        <v>0</v>
      </c>
      <c r="Q548" s="10">
        <v>0</v>
      </c>
      <c r="R548" s="10">
        <v>0</v>
      </c>
      <c r="S548" s="10">
        <v>0</v>
      </c>
      <c r="T548" s="10">
        <v>0</v>
      </c>
      <c r="U548" s="10">
        <v>0</v>
      </c>
      <c r="V548" s="10">
        <v>0</v>
      </c>
      <c r="W548" s="10">
        <v>2</v>
      </c>
      <c r="X548" s="10">
        <v>0</v>
      </c>
      <c r="Y548" s="10">
        <v>0</v>
      </c>
      <c r="Z548" s="10">
        <v>0</v>
      </c>
      <c r="AA548" s="10">
        <v>0</v>
      </c>
      <c r="AB548" s="10">
        <v>0</v>
      </c>
      <c r="AC548" s="11">
        <v>0</v>
      </c>
      <c r="AD548" s="11">
        <v>0</v>
      </c>
      <c r="AE548" s="11">
        <v>8</v>
      </c>
      <c r="AF548" s="11">
        <v>0</v>
      </c>
      <c r="AG548" s="11">
        <v>0</v>
      </c>
      <c r="AH548" s="11">
        <v>0</v>
      </c>
      <c r="AI548" s="11">
        <v>0</v>
      </c>
      <c r="AJ548" s="11">
        <v>4.0000000000000001E-3</v>
      </c>
      <c r="AK548" s="11" t="s">
        <v>714</v>
      </c>
      <c r="AL548" s="10">
        <v>2</v>
      </c>
      <c r="AM548" s="11">
        <v>20</v>
      </c>
      <c r="AN548" s="10" t="s">
        <v>48</v>
      </c>
      <c r="AO548" s="21" t="s">
        <v>757</v>
      </c>
    </row>
    <row r="549" spans="1:41" ht="16.5">
      <c r="A549" s="10">
        <v>200118</v>
      </c>
      <c r="B549" s="21" t="s">
        <v>1309</v>
      </c>
      <c r="C549" s="21" t="s">
        <v>708</v>
      </c>
      <c r="D549" s="12" t="s">
        <v>101</v>
      </c>
      <c r="E549" s="2" t="s">
        <v>66</v>
      </c>
      <c r="F549" s="64">
        <v>200</v>
      </c>
      <c r="G549" s="10">
        <v>300</v>
      </c>
      <c r="H549" s="10">
        <v>50</v>
      </c>
      <c r="I549" s="21" t="s">
        <v>717</v>
      </c>
      <c r="J549" s="10">
        <v>1</v>
      </c>
      <c r="K549" s="10">
        <v>2</v>
      </c>
      <c r="L549" s="10">
        <v>0</v>
      </c>
      <c r="M549" s="10">
        <v>0</v>
      </c>
      <c r="N549" s="10">
        <v>0</v>
      </c>
      <c r="O549" s="10">
        <v>40</v>
      </c>
      <c r="P549" s="10">
        <v>0</v>
      </c>
      <c r="Q549" s="10">
        <v>0</v>
      </c>
      <c r="R549" s="10">
        <v>0</v>
      </c>
      <c r="S549" s="10">
        <v>0</v>
      </c>
      <c r="T549" s="10">
        <v>0</v>
      </c>
      <c r="U549" s="10">
        <v>0</v>
      </c>
      <c r="V549" s="10">
        <v>0</v>
      </c>
      <c r="W549" s="10">
        <v>2</v>
      </c>
      <c r="X549" s="10">
        <v>0</v>
      </c>
      <c r="Y549" s="10">
        <v>0</v>
      </c>
      <c r="Z549" s="10">
        <v>0</v>
      </c>
      <c r="AA549" s="10">
        <v>0</v>
      </c>
      <c r="AB549" s="10">
        <v>0</v>
      </c>
      <c r="AC549" s="11">
        <v>0</v>
      </c>
      <c r="AD549" s="11">
        <v>0</v>
      </c>
      <c r="AE549" s="11">
        <v>8</v>
      </c>
      <c r="AF549" s="11">
        <v>0</v>
      </c>
      <c r="AG549" s="11">
        <v>0</v>
      </c>
      <c r="AH549" s="11">
        <v>0</v>
      </c>
      <c r="AI549" s="11">
        <v>0</v>
      </c>
      <c r="AJ549" s="11">
        <v>4.0000000000000001E-3</v>
      </c>
      <c r="AK549" s="11" t="s">
        <v>714</v>
      </c>
      <c r="AL549" s="10">
        <v>2</v>
      </c>
      <c r="AM549" s="11">
        <v>20</v>
      </c>
      <c r="AN549" s="10" t="s">
        <v>48</v>
      </c>
      <c r="AO549" s="21" t="s">
        <v>757</v>
      </c>
    </row>
    <row r="550" spans="1:41" ht="16.5">
      <c r="A550" s="10">
        <v>200119</v>
      </c>
      <c r="B550" s="21" t="s">
        <v>1310</v>
      </c>
      <c r="C550" s="21" t="s">
        <v>708</v>
      </c>
      <c r="D550" s="12" t="s">
        <v>101</v>
      </c>
      <c r="E550" s="2" t="s">
        <v>66</v>
      </c>
      <c r="F550" s="64">
        <v>200</v>
      </c>
      <c r="G550" s="10">
        <v>300</v>
      </c>
      <c r="H550" s="10">
        <v>50</v>
      </c>
      <c r="I550" s="21" t="s">
        <v>717</v>
      </c>
      <c r="J550" s="10">
        <v>1</v>
      </c>
      <c r="K550" s="10">
        <v>2</v>
      </c>
      <c r="L550" s="10">
        <v>0</v>
      </c>
      <c r="M550" s="10">
        <v>0</v>
      </c>
      <c r="N550" s="10">
        <v>0</v>
      </c>
      <c r="O550" s="10">
        <v>40</v>
      </c>
      <c r="P550" s="10">
        <v>0</v>
      </c>
      <c r="Q550" s="10">
        <v>0</v>
      </c>
      <c r="R550" s="10">
        <v>0</v>
      </c>
      <c r="S550" s="10">
        <v>0</v>
      </c>
      <c r="T550" s="10">
        <v>0</v>
      </c>
      <c r="U550" s="10">
        <v>0</v>
      </c>
      <c r="V550" s="10">
        <v>0</v>
      </c>
      <c r="W550" s="10">
        <v>2</v>
      </c>
      <c r="X550" s="10">
        <v>0</v>
      </c>
      <c r="Y550" s="10">
        <v>0</v>
      </c>
      <c r="Z550" s="10">
        <v>0</v>
      </c>
      <c r="AA550" s="10">
        <v>0</v>
      </c>
      <c r="AB550" s="10">
        <v>0</v>
      </c>
      <c r="AC550" s="11">
        <v>0</v>
      </c>
      <c r="AD550" s="11">
        <v>0</v>
      </c>
      <c r="AE550" s="11">
        <v>8</v>
      </c>
      <c r="AF550" s="11">
        <v>0</v>
      </c>
      <c r="AG550" s="11">
        <v>0</v>
      </c>
      <c r="AH550" s="11">
        <v>0</v>
      </c>
      <c r="AI550" s="11">
        <v>0</v>
      </c>
      <c r="AJ550" s="11">
        <v>4.0000000000000001E-3</v>
      </c>
      <c r="AK550" s="11" t="s">
        <v>714</v>
      </c>
      <c r="AL550" s="10">
        <v>2</v>
      </c>
      <c r="AM550" s="11">
        <v>20</v>
      </c>
      <c r="AN550" s="10" t="s">
        <v>48</v>
      </c>
      <c r="AO550" s="21" t="s">
        <v>757</v>
      </c>
    </row>
    <row r="551" spans="1:41" ht="16.5">
      <c r="A551" s="10">
        <v>200120</v>
      </c>
      <c r="B551" s="21" t="s">
        <v>1311</v>
      </c>
      <c r="C551" s="21" t="s">
        <v>708</v>
      </c>
      <c r="D551" s="12" t="s">
        <v>101</v>
      </c>
      <c r="E551" s="2" t="s">
        <v>66</v>
      </c>
      <c r="F551" s="64">
        <v>200</v>
      </c>
      <c r="G551" s="10">
        <v>300</v>
      </c>
      <c r="H551" s="10">
        <v>50</v>
      </c>
      <c r="I551" s="21" t="s">
        <v>717</v>
      </c>
      <c r="J551" s="10">
        <v>1</v>
      </c>
      <c r="K551" s="10">
        <v>2</v>
      </c>
      <c r="L551" s="10">
        <v>0</v>
      </c>
      <c r="M551" s="10">
        <v>0</v>
      </c>
      <c r="N551" s="10">
        <v>0</v>
      </c>
      <c r="O551" s="10">
        <v>40</v>
      </c>
      <c r="P551" s="10">
        <v>0</v>
      </c>
      <c r="Q551" s="10">
        <v>0</v>
      </c>
      <c r="R551" s="10">
        <v>0</v>
      </c>
      <c r="S551" s="10">
        <v>0</v>
      </c>
      <c r="T551" s="10">
        <v>0</v>
      </c>
      <c r="U551" s="10">
        <v>0</v>
      </c>
      <c r="V551" s="10">
        <v>0</v>
      </c>
      <c r="W551" s="10">
        <v>2</v>
      </c>
      <c r="X551" s="10">
        <v>0</v>
      </c>
      <c r="Y551" s="10">
        <v>0</v>
      </c>
      <c r="Z551" s="10">
        <v>0</v>
      </c>
      <c r="AA551" s="10">
        <v>0</v>
      </c>
      <c r="AB551" s="10">
        <v>0</v>
      </c>
      <c r="AC551" s="11">
        <v>0</v>
      </c>
      <c r="AD551" s="11">
        <v>0</v>
      </c>
      <c r="AE551" s="11">
        <v>8</v>
      </c>
      <c r="AF551" s="11">
        <v>0</v>
      </c>
      <c r="AG551" s="11">
        <v>0</v>
      </c>
      <c r="AH551" s="11">
        <v>0</v>
      </c>
      <c r="AI551" s="11">
        <v>0</v>
      </c>
      <c r="AJ551" s="11">
        <v>4.0000000000000001E-3</v>
      </c>
      <c r="AK551" s="11" t="s">
        <v>714</v>
      </c>
      <c r="AL551" s="10">
        <v>2</v>
      </c>
      <c r="AM551" s="11">
        <v>20</v>
      </c>
      <c r="AN551" s="10" t="s">
        <v>48</v>
      </c>
      <c r="AO551" s="21" t="s">
        <v>757</v>
      </c>
    </row>
    <row r="552" spans="1:41" ht="16.5">
      <c r="A552" s="10">
        <v>200121</v>
      </c>
      <c r="B552" s="21" t="s">
        <v>1312</v>
      </c>
      <c r="C552" s="21" t="s">
        <v>708</v>
      </c>
      <c r="D552" s="12" t="s">
        <v>101</v>
      </c>
      <c r="E552" s="2" t="s">
        <v>66</v>
      </c>
      <c r="F552" s="64">
        <v>200</v>
      </c>
      <c r="G552" s="10">
        <v>300</v>
      </c>
      <c r="H552" s="10">
        <v>50</v>
      </c>
      <c r="I552" s="21" t="s">
        <v>717</v>
      </c>
      <c r="J552" s="10">
        <v>1</v>
      </c>
      <c r="K552" s="10">
        <v>2</v>
      </c>
      <c r="L552" s="10">
        <v>0</v>
      </c>
      <c r="M552" s="10">
        <v>0</v>
      </c>
      <c r="N552" s="10">
        <v>0</v>
      </c>
      <c r="O552" s="10">
        <v>40</v>
      </c>
      <c r="P552" s="10">
        <v>0</v>
      </c>
      <c r="Q552" s="10">
        <v>0</v>
      </c>
      <c r="R552" s="10">
        <v>0</v>
      </c>
      <c r="S552" s="10">
        <v>0</v>
      </c>
      <c r="T552" s="10">
        <v>0</v>
      </c>
      <c r="U552" s="10">
        <v>0</v>
      </c>
      <c r="V552" s="10">
        <v>0</v>
      </c>
      <c r="W552" s="10">
        <v>2</v>
      </c>
      <c r="X552" s="10">
        <v>0</v>
      </c>
      <c r="Y552" s="10">
        <v>0</v>
      </c>
      <c r="Z552" s="10">
        <v>0</v>
      </c>
      <c r="AA552" s="10">
        <v>0</v>
      </c>
      <c r="AB552" s="10">
        <v>0</v>
      </c>
      <c r="AC552" s="11">
        <v>0</v>
      </c>
      <c r="AD552" s="11">
        <v>0</v>
      </c>
      <c r="AE552" s="11">
        <v>8</v>
      </c>
      <c r="AF552" s="11">
        <v>0</v>
      </c>
      <c r="AG552" s="11">
        <v>0</v>
      </c>
      <c r="AH552" s="11">
        <v>0</v>
      </c>
      <c r="AI552" s="11">
        <v>0</v>
      </c>
      <c r="AJ552" s="11">
        <v>4.0000000000000001E-3</v>
      </c>
      <c r="AK552" s="11" t="s">
        <v>714</v>
      </c>
      <c r="AL552" s="10">
        <v>2</v>
      </c>
      <c r="AM552" s="11">
        <v>20</v>
      </c>
      <c r="AN552" s="10" t="s">
        <v>48</v>
      </c>
      <c r="AO552" s="21" t="s">
        <v>757</v>
      </c>
    </row>
    <row r="553" spans="1:41" ht="16.5">
      <c r="A553" s="10">
        <v>200122</v>
      </c>
      <c r="B553" s="21" t="s">
        <v>1313</v>
      </c>
      <c r="C553" s="21" t="s">
        <v>708</v>
      </c>
      <c r="D553" s="12" t="s">
        <v>101</v>
      </c>
      <c r="E553" s="2" t="s">
        <v>66</v>
      </c>
      <c r="F553" s="64">
        <v>200</v>
      </c>
      <c r="G553" s="10">
        <v>300</v>
      </c>
      <c r="H553" s="10">
        <v>50</v>
      </c>
      <c r="I553" s="21" t="s">
        <v>717</v>
      </c>
      <c r="J553" s="10">
        <v>1</v>
      </c>
      <c r="K553" s="10">
        <v>2</v>
      </c>
      <c r="L553" s="10">
        <v>0</v>
      </c>
      <c r="M553" s="10">
        <v>0</v>
      </c>
      <c r="N553" s="10">
        <v>0</v>
      </c>
      <c r="O553" s="10">
        <v>40</v>
      </c>
      <c r="P553" s="10">
        <v>0</v>
      </c>
      <c r="Q553" s="10">
        <v>0</v>
      </c>
      <c r="R553" s="10">
        <v>0</v>
      </c>
      <c r="S553" s="10">
        <v>0</v>
      </c>
      <c r="T553" s="10">
        <v>0</v>
      </c>
      <c r="U553" s="10">
        <v>0</v>
      </c>
      <c r="V553" s="10">
        <v>0</v>
      </c>
      <c r="W553" s="10">
        <v>2</v>
      </c>
      <c r="X553" s="10">
        <v>0</v>
      </c>
      <c r="Y553" s="10">
        <v>0</v>
      </c>
      <c r="Z553" s="10">
        <v>0</v>
      </c>
      <c r="AA553" s="10">
        <v>0</v>
      </c>
      <c r="AB553" s="10">
        <v>0</v>
      </c>
      <c r="AC553" s="11">
        <v>0</v>
      </c>
      <c r="AD553" s="11">
        <v>0</v>
      </c>
      <c r="AE553" s="11">
        <v>8</v>
      </c>
      <c r="AF553" s="11">
        <v>0</v>
      </c>
      <c r="AG553" s="11">
        <v>0</v>
      </c>
      <c r="AH553" s="11">
        <v>0</v>
      </c>
      <c r="AI553" s="11">
        <v>0</v>
      </c>
      <c r="AJ553" s="11">
        <v>4.0000000000000001E-3</v>
      </c>
      <c r="AK553" s="11" t="s">
        <v>714</v>
      </c>
      <c r="AL553" s="10">
        <v>2</v>
      </c>
      <c r="AM553" s="11">
        <v>20</v>
      </c>
      <c r="AN553" s="10" t="s">
        <v>48</v>
      </c>
      <c r="AO553" s="21" t="s">
        <v>757</v>
      </c>
    </row>
    <row r="554" spans="1:41" ht="16.5">
      <c r="A554" s="10">
        <v>200123</v>
      </c>
      <c r="B554" s="21" t="s">
        <v>1314</v>
      </c>
      <c r="C554" s="21" t="s">
        <v>708</v>
      </c>
      <c r="D554" s="12" t="s">
        <v>101</v>
      </c>
      <c r="E554" s="2" t="s">
        <v>66</v>
      </c>
      <c r="F554" s="64">
        <v>200</v>
      </c>
      <c r="G554" s="10">
        <v>300</v>
      </c>
      <c r="H554" s="10">
        <v>50</v>
      </c>
      <c r="I554" s="21" t="s">
        <v>717</v>
      </c>
      <c r="J554" s="10">
        <v>1</v>
      </c>
      <c r="K554" s="10">
        <v>2</v>
      </c>
      <c r="L554" s="10">
        <v>0</v>
      </c>
      <c r="M554" s="10">
        <v>0</v>
      </c>
      <c r="N554" s="10">
        <v>0</v>
      </c>
      <c r="O554" s="10">
        <v>40</v>
      </c>
      <c r="P554" s="10">
        <v>0</v>
      </c>
      <c r="Q554" s="10">
        <v>0</v>
      </c>
      <c r="R554" s="10">
        <v>0</v>
      </c>
      <c r="S554" s="10">
        <v>0</v>
      </c>
      <c r="T554" s="10">
        <v>0</v>
      </c>
      <c r="U554" s="10">
        <v>0</v>
      </c>
      <c r="V554" s="10">
        <v>0</v>
      </c>
      <c r="W554" s="10">
        <v>2</v>
      </c>
      <c r="X554" s="10">
        <v>0</v>
      </c>
      <c r="Y554" s="10">
        <v>0</v>
      </c>
      <c r="Z554" s="10">
        <v>0</v>
      </c>
      <c r="AA554" s="10">
        <v>0</v>
      </c>
      <c r="AB554" s="10">
        <v>0</v>
      </c>
      <c r="AC554" s="11">
        <v>0</v>
      </c>
      <c r="AD554" s="11">
        <v>0</v>
      </c>
      <c r="AE554" s="11">
        <v>8</v>
      </c>
      <c r="AF554" s="11">
        <v>0</v>
      </c>
      <c r="AG554" s="11">
        <v>0</v>
      </c>
      <c r="AH554" s="11">
        <v>0</v>
      </c>
      <c r="AI554" s="11">
        <v>0</v>
      </c>
      <c r="AJ554" s="11">
        <v>4.0000000000000001E-3</v>
      </c>
      <c r="AK554" s="11" t="s">
        <v>714</v>
      </c>
      <c r="AL554" s="10">
        <v>2</v>
      </c>
      <c r="AM554" s="11">
        <v>20</v>
      </c>
      <c r="AN554" s="10" t="s">
        <v>48</v>
      </c>
      <c r="AO554" s="21" t="s">
        <v>757</v>
      </c>
    </row>
    <row r="555" spans="1:41" ht="16.5">
      <c r="A555" s="10">
        <v>200124</v>
      </c>
      <c r="B555" s="21" t="s">
        <v>1315</v>
      </c>
      <c r="C555" s="21" t="s">
        <v>708</v>
      </c>
      <c r="D555" s="12" t="s">
        <v>101</v>
      </c>
      <c r="E555" s="2" t="s">
        <v>66</v>
      </c>
      <c r="F555" s="64">
        <v>200</v>
      </c>
      <c r="G555" s="10">
        <v>300</v>
      </c>
      <c r="H555" s="10">
        <v>50</v>
      </c>
      <c r="I555" s="21" t="s">
        <v>717</v>
      </c>
      <c r="J555" s="10">
        <v>1</v>
      </c>
      <c r="K555" s="10">
        <v>2</v>
      </c>
      <c r="L555" s="10">
        <v>0</v>
      </c>
      <c r="M555" s="10">
        <v>0</v>
      </c>
      <c r="N555" s="10">
        <v>0</v>
      </c>
      <c r="O555" s="10">
        <v>40</v>
      </c>
      <c r="P555" s="10">
        <v>0</v>
      </c>
      <c r="Q555" s="10">
        <v>0</v>
      </c>
      <c r="R555" s="10">
        <v>0</v>
      </c>
      <c r="S555" s="10">
        <v>0</v>
      </c>
      <c r="T555" s="10">
        <v>0</v>
      </c>
      <c r="U555" s="10">
        <v>0</v>
      </c>
      <c r="V555" s="10">
        <v>0</v>
      </c>
      <c r="W555" s="10">
        <v>2</v>
      </c>
      <c r="X555" s="10">
        <v>0</v>
      </c>
      <c r="Y555" s="10">
        <v>0</v>
      </c>
      <c r="Z555" s="10">
        <v>0</v>
      </c>
      <c r="AA555" s="10">
        <v>0</v>
      </c>
      <c r="AB555" s="10">
        <v>0</v>
      </c>
      <c r="AC555" s="11">
        <v>0</v>
      </c>
      <c r="AD555" s="11">
        <v>0</v>
      </c>
      <c r="AE555" s="11">
        <v>8</v>
      </c>
      <c r="AF555" s="11">
        <v>0</v>
      </c>
      <c r="AG555" s="11">
        <v>0</v>
      </c>
      <c r="AH555" s="11">
        <v>0</v>
      </c>
      <c r="AI555" s="11">
        <v>0</v>
      </c>
      <c r="AJ555" s="11">
        <v>4.0000000000000001E-3</v>
      </c>
      <c r="AK555" s="11" t="s">
        <v>714</v>
      </c>
      <c r="AL555" s="10">
        <v>2</v>
      </c>
      <c r="AM555" s="11">
        <v>20</v>
      </c>
      <c r="AN555" s="10" t="s">
        <v>48</v>
      </c>
      <c r="AO555" s="21" t="s">
        <v>757</v>
      </c>
    </row>
    <row r="556" spans="1:41" ht="16.5">
      <c r="A556" s="10">
        <v>2002</v>
      </c>
      <c r="B556" s="21" t="s">
        <v>1316</v>
      </c>
      <c r="C556" s="21" t="s">
        <v>709</v>
      </c>
      <c r="D556" s="12" t="s">
        <v>102</v>
      </c>
      <c r="E556" s="2" t="s">
        <v>66</v>
      </c>
      <c r="F556" s="64">
        <v>200</v>
      </c>
      <c r="G556" s="10">
        <v>300</v>
      </c>
      <c r="H556" s="10">
        <v>50</v>
      </c>
      <c r="I556" s="21" t="s">
        <v>716</v>
      </c>
      <c r="J556" s="10">
        <v>1</v>
      </c>
      <c r="K556" s="10">
        <v>2</v>
      </c>
      <c r="L556" s="10">
        <v>0</v>
      </c>
      <c r="M556" s="10">
        <v>0</v>
      </c>
      <c r="N556" s="10">
        <v>80</v>
      </c>
      <c r="O556" s="10">
        <v>0</v>
      </c>
      <c r="P556" s="10">
        <v>0</v>
      </c>
      <c r="Q556" s="10">
        <v>0</v>
      </c>
      <c r="R556" s="10">
        <v>0</v>
      </c>
      <c r="S556" s="10">
        <v>0</v>
      </c>
      <c r="T556" s="10">
        <v>0</v>
      </c>
      <c r="U556" s="10">
        <v>0</v>
      </c>
      <c r="V556" s="10">
        <v>4</v>
      </c>
      <c r="W556" s="10">
        <v>0</v>
      </c>
      <c r="X556" s="10">
        <v>0</v>
      </c>
      <c r="Y556" s="10">
        <v>0</v>
      </c>
      <c r="Z556" s="10">
        <v>0</v>
      </c>
      <c r="AA556" s="10">
        <v>0</v>
      </c>
      <c r="AB556" s="10">
        <v>0</v>
      </c>
      <c r="AC556" s="11">
        <v>0</v>
      </c>
      <c r="AD556" s="11">
        <v>16</v>
      </c>
      <c r="AE556" s="11">
        <v>0</v>
      </c>
      <c r="AF556" s="11">
        <v>0</v>
      </c>
      <c r="AG556" s="27">
        <v>0</v>
      </c>
      <c r="AH556" s="11">
        <v>0</v>
      </c>
      <c r="AI556" s="11">
        <v>4.0000000000000001E-3</v>
      </c>
      <c r="AJ556" s="11">
        <v>0</v>
      </c>
      <c r="AK556" s="11" t="s">
        <v>714</v>
      </c>
      <c r="AL556" s="10">
        <v>1</v>
      </c>
      <c r="AM556" s="11">
        <v>20</v>
      </c>
      <c r="AN556" s="10" t="s">
        <v>48</v>
      </c>
      <c r="AO556" s="21" t="s">
        <v>758</v>
      </c>
    </row>
    <row r="557" spans="1:41" ht="16.5">
      <c r="A557" s="10">
        <v>200211</v>
      </c>
      <c r="B557" s="21" t="s">
        <v>1317</v>
      </c>
      <c r="C557" s="21" t="s">
        <v>709</v>
      </c>
      <c r="D557" s="12" t="s">
        <v>102</v>
      </c>
      <c r="E557" s="2" t="s">
        <v>66</v>
      </c>
      <c r="F557" s="64">
        <v>200</v>
      </c>
      <c r="G557" s="10">
        <v>300</v>
      </c>
      <c r="H557" s="10">
        <v>50</v>
      </c>
      <c r="I557" s="21" t="s">
        <v>716</v>
      </c>
      <c r="J557" s="10">
        <v>1</v>
      </c>
      <c r="K557" s="10">
        <v>2</v>
      </c>
      <c r="L557" s="10">
        <v>0</v>
      </c>
      <c r="M557" s="10">
        <v>0</v>
      </c>
      <c r="N557" s="10">
        <v>80</v>
      </c>
      <c r="O557" s="10">
        <v>0</v>
      </c>
      <c r="P557" s="10">
        <v>0</v>
      </c>
      <c r="Q557" s="10">
        <v>0</v>
      </c>
      <c r="R557" s="10">
        <v>0</v>
      </c>
      <c r="S557" s="10">
        <v>0</v>
      </c>
      <c r="T557" s="10">
        <v>0</v>
      </c>
      <c r="U557" s="10">
        <v>0</v>
      </c>
      <c r="V557" s="10">
        <v>4</v>
      </c>
      <c r="W557" s="10">
        <v>0</v>
      </c>
      <c r="X557" s="10">
        <v>0</v>
      </c>
      <c r="Y557" s="10">
        <v>0</v>
      </c>
      <c r="Z557" s="10">
        <v>0</v>
      </c>
      <c r="AA557" s="10">
        <v>0</v>
      </c>
      <c r="AB557" s="10">
        <v>0</v>
      </c>
      <c r="AC557" s="11">
        <v>0</v>
      </c>
      <c r="AD557" s="11">
        <v>16</v>
      </c>
      <c r="AE557" s="11">
        <v>0</v>
      </c>
      <c r="AF557" s="11">
        <v>0</v>
      </c>
      <c r="AG557" s="27">
        <v>0</v>
      </c>
      <c r="AH557" s="11">
        <v>0</v>
      </c>
      <c r="AI557" s="11">
        <v>4.0000000000000001E-3</v>
      </c>
      <c r="AJ557" s="11">
        <v>0</v>
      </c>
      <c r="AK557" s="11" t="s">
        <v>714</v>
      </c>
      <c r="AL557" s="10">
        <v>1</v>
      </c>
      <c r="AM557" s="11">
        <v>20</v>
      </c>
      <c r="AN557" s="10" t="s">
        <v>48</v>
      </c>
      <c r="AO557" s="21" t="s">
        <v>758</v>
      </c>
    </row>
    <row r="558" spans="1:41" ht="16.5">
      <c r="A558" s="10">
        <v>200212</v>
      </c>
      <c r="B558" s="21" t="s">
        <v>1318</v>
      </c>
      <c r="C558" s="21" t="s">
        <v>709</v>
      </c>
      <c r="D558" s="12" t="s">
        <v>102</v>
      </c>
      <c r="E558" s="2" t="s">
        <v>66</v>
      </c>
      <c r="F558" s="64">
        <v>200</v>
      </c>
      <c r="G558" s="10">
        <v>300</v>
      </c>
      <c r="H558" s="10">
        <v>50</v>
      </c>
      <c r="I558" s="21" t="s">
        <v>716</v>
      </c>
      <c r="J558" s="10">
        <v>1</v>
      </c>
      <c r="K558" s="10">
        <v>2</v>
      </c>
      <c r="L558" s="10">
        <v>0</v>
      </c>
      <c r="M558" s="10">
        <v>0</v>
      </c>
      <c r="N558" s="10">
        <v>80</v>
      </c>
      <c r="O558" s="10">
        <v>0</v>
      </c>
      <c r="P558" s="10">
        <v>0</v>
      </c>
      <c r="Q558" s="10">
        <v>0</v>
      </c>
      <c r="R558" s="10">
        <v>0</v>
      </c>
      <c r="S558" s="10">
        <v>0</v>
      </c>
      <c r="T558" s="10">
        <v>0</v>
      </c>
      <c r="U558" s="10">
        <v>0</v>
      </c>
      <c r="V558" s="10">
        <v>4</v>
      </c>
      <c r="W558" s="10">
        <v>0</v>
      </c>
      <c r="X558" s="10">
        <v>0</v>
      </c>
      <c r="Y558" s="10">
        <v>0</v>
      </c>
      <c r="Z558" s="10">
        <v>0</v>
      </c>
      <c r="AA558" s="10">
        <v>0</v>
      </c>
      <c r="AB558" s="10">
        <v>0</v>
      </c>
      <c r="AC558" s="11">
        <v>0</v>
      </c>
      <c r="AD558" s="11">
        <v>16</v>
      </c>
      <c r="AE558" s="11">
        <v>0</v>
      </c>
      <c r="AF558" s="11">
        <v>0</v>
      </c>
      <c r="AG558" s="27">
        <v>0</v>
      </c>
      <c r="AH558" s="11">
        <v>0</v>
      </c>
      <c r="AI558" s="11">
        <v>4.0000000000000001E-3</v>
      </c>
      <c r="AJ558" s="11">
        <v>0</v>
      </c>
      <c r="AK558" s="11" t="s">
        <v>714</v>
      </c>
      <c r="AL558" s="10">
        <v>1</v>
      </c>
      <c r="AM558" s="11">
        <v>20</v>
      </c>
      <c r="AN558" s="10" t="s">
        <v>48</v>
      </c>
      <c r="AO558" s="21" t="s">
        <v>758</v>
      </c>
    </row>
    <row r="559" spans="1:41" ht="16.5">
      <c r="A559" s="10">
        <v>200213</v>
      </c>
      <c r="B559" s="21" t="s">
        <v>1319</v>
      </c>
      <c r="C559" s="21" t="s">
        <v>709</v>
      </c>
      <c r="D559" s="12" t="s">
        <v>102</v>
      </c>
      <c r="E559" s="2" t="s">
        <v>66</v>
      </c>
      <c r="F559" s="64">
        <v>200</v>
      </c>
      <c r="G559" s="10">
        <v>300</v>
      </c>
      <c r="H559" s="10">
        <v>50</v>
      </c>
      <c r="I559" s="21" t="s">
        <v>716</v>
      </c>
      <c r="J559" s="10">
        <v>1</v>
      </c>
      <c r="K559" s="10">
        <v>2</v>
      </c>
      <c r="L559" s="10">
        <v>0</v>
      </c>
      <c r="M559" s="10">
        <v>0</v>
      </c>
      <c r="N559" s="10">
        <v>80</v>
      </c>
      <c r="O559" s="10">
        <v>0</v>
      </c>
      <c r="P559" s="10">
        <v>0</v>
      </c>
      <c r="Q559" s="10">
        <v>0</v>
      </c>
      <c r="R559" s="10">
        <v>0</v>
      </c>
      <c r="S559" s="10">
        <v>0</v>
      </c>
      <c r="T559" s="10">
        <v>0</v>
      </c>
      <c r="U559" s="10">
        <v>0</v>
      </c>
      <c r="V559" s="10">
        <v>4</v>
      </c>
      <c r="W559" s="10">
        <v>0</v>
      </c>
      <c r="X559" s="10">
        <v>0</v>
      </c>
      <c r="Y559" s="10">
        <v>0</v>
      </c>
      <c r="Z559" s="10">
        <v>0</v>
      </c>
      <c r="AA559" s="10">
        <v>0</v>
      </c>
      <c r="AB559" s="10">
        <v>0</v>
      </c>
      <c r="AC559" s="11">
        <v>0</v>
      </c>
      <c r="AD559" s="11">
        <v>16</v>
      </c>
      <c r="AE559" s="11">
        <v>0</v>
      </c>
      <c r="AF559" s="11">
        <v>0</v>
      </c>
      <c r="AG559" s="27">
        <v>0</v>
      </c>
      <c r="AH559" s="11">
        <v>0</v>
      </c>
      <c r="AI559" s="11">
        <v>4.0000000000000001E-3</v>
      </c>
      <c r="AJ559" s="11">
        <v>0</v>
      </c>
      <c r="AK559" s="11" t="s">
        <v>714</v>
      </c>
      <c r="AL559" s="10">
        <v>1</v>
      </c>
      <c r="AM559" s="11">
        <v>20</v>
      </c>
      <c r="AN559" s="10" t="s">
        <v>48</v>
      </c>
      <c r="AO559" s="21" t="s">
        <v>758</v>
      </c>
    </row>
    <row r="560" spans="1:41" ht="16.5">
      <c r="A560" s="10">
        <v>200214</v>
      </c>
      <c r="B560" s="21" t="s">
        <v>1320</v>
      </c>
      <c r="C560" s="21" t="s">
        <v>709</v>
      </c>
      <c r="D560" s="12" t="s">
        <v>102</v>
      </c>
      <c r="E560" s="2" t="s">
        <v>66</v>
      </c>
      <c r="F560" s="64">
        <v>200</v>
      </c>
      <c r="G560" s="10">
        <v>300</v>
      </c>
      <c r="H560" s="10">
        <v>50</v>
      </c>
      <c r="I560" s="21" t="s">
        <v>716</v>
      </c>
      <c r="J560" s="10">
        <v>1</v>
      </c>
      <c r="K560" s="10">
        <v>2</v>
      </c>
      <c r="L560" s="10">
        <v>0</v>
      </c>
      <c r="M560" s="10">
        <v>0</v>
      </c>
      <c r="N560" s="10">
        <v>80</v>
      </c>
      <c r="O560" s="10">
        <v>0</v>
      </c>
      <c r="P560" s="10">
        <v>0</v>
      </c>
      <c r="Q560" s="10">
        <v>0</v>
      </c>
      <c r="R560" s="10">
        <v>0</v>
      </c>
      <c r="S560" s="10">
        <v>0</v>
      </c>
      <c r="T560" s="10">
        <v>0</v>
      </c>
      <c r="U560" s="10">
        <v>0</v>
      </c>
      <c r="V560" s="10">
        <v>4</v>
      </c>
      <c r="W560" s="10">
        <v>0</v>
      </c>
      <c r="X560" s="10">
        <v>0</v>
      </c>
      <c r="Y560" s="10">
        <v>0</v>
      </c>
      <c r="Z560" s="10">
        <v>0</v>
      </c>
      <c r="AA560" s="10">
        <v>0</v>
      </c>
      <c r="AB560" s="10">
        <v>0</v>
      </c>
      <c r="AC560" s="11">
        <v>0</v>
      </c>
      <c r="AD560" s="11">
        <v>16</v>
      </c>
      <c r="AE560" s="11">
        <v>0</v>
      </c>
      <c r="AF560" s="11">
        <v>0</v>
      </c>
      <c r="AG560" s="27">
        <v>0</v>
      </c>
      <c r="AH560" s="11">
        <v>0</v>
      </c>
      <c r="AI560" s="11">
        <v>4.0000000000000001E-3</v>
      </c>
      <c r="AJ560" s="11">
        <v>0</v>
      </c>
      <c r="AK560" s="11" t="s">
        <v>714</v>
      </c>
      <c r="AL560" s="10">
        <v>1</v>
      </c>
      <c r="AM560" s="11">
        <v>20</v>
      </c>
      <c r="AN560" s="10" t="s">
        <v>48</v>
      </c>
      <c r="AO560" s="21" t="s">
        <v>758</v>
      </c>
    </row>
    <row r="561" spans="1:41" ht="16.5">
      <c r="A561" s="10">
        <v>200215</v>
      </c>
      <c r="B561" s="21" t="s">
        <v>1321</v>
      </c>
      <c r="C561" s="21" t="s">
        <v>709</v>
      </c>
      <c r="D561" s="12" t="s">
        <v>102</v>
      </c>
      <c r="E561" s="2" t="s">
        <v>66</v>
      </c>
      <c r="F561" s="64">
        <v>200</v>
      </c>
      <c r="G561" s="10">
        <v>300</v>
      </c>
      <c r="H561" s="10">
        <v>50</v>
      </c>
      <c r="I561" s="21" t="s">
        <v>716</v>
      </c>
      <c r="J561" s="10">
        <v>1</v>
      </c>
      <c r="K561" s="10">
        <v>2</v>
      </c>
      <c r="L561" s="10">
        <v>0</v>
      </c>
      <c r="M561" s="10">
        <v>0</v>
      </c>
      <c r="N561" s="10">
        <v>80</v>
      </c>
      <c r="O561" s="10">
        <v>0</v>
      </c>
      <c r="P561" s="10">
        <v>0</v>
      </c>
      <c r="Q561" s="10">
        <v>0</v>
      </c>
      <c r="R561" s="10">
        <v>0</v>
      </c>
      <c r="S561" s="10">
        <v>0</v>
      </c>
      <c r="T561" s="10">
        <v>0</v>
      </c>
      <c r="U561" s="10">
        <v>0</v>
      </c>
      <c r="V561" s="10">
        <v>4</v>
      </c>
      <c r="W561" s="10">
        <v>0</v>
      </c>
      <c r="X561" s="10">
        <v>0</v>
      </c>
      <c r="Y561" s="10">
        <v>0</v>
      </c>
      <c r="Z561" s="10">
        <v>0</v>
      </c>
      <c r="AA561" s="10">
        <v>0</v>
      </c>
      <c r="AB561" s="10">
        <v>0</v>
      </c>
      <c r="AC561" s="11">
        <v>0</v>
      </c>
      <c r="AD561" s="11">
        <v>16</v>
      </c>
      <c r="AE561" s="11">
        <v>0</v>
      </c>
      <c r="AF561" s="11">
        <v>0</v>
      </c>
      <c r="AG561" s="27">
        <v>0</v>
      </c>
      <c r="AH561" s="11">
        <v>0</v>
      </c>
      <c r="AI561" s="11">
        <v>4.0000000000000001E-3</v>
      </c>
      <c r="AJ561" s="11">
        <v>0</v>
      </c>
      <c r="AK561" s="11" t="s">
        <v>714</v>
      </c>
      <c r="AL561" s="10">
        <v>1</v>
      </c>
      <c r="AM561" s="11">
        <v>20</v>
      </c>
      <c r="AN561" s="10" t="s">
        <v>48</v>
      </c>
      <c r="AO561" s="21" t="s">
        <v>758</v>
      </c>
    </row>
    <row r="562" spans="1:41" ht="16.5">
      <c r="A562" s="10">
        <v>200216</v>
      </c>
      <c r="B562" s="21" t="s">
        <v>1322</v>
      </c>
      <c r="C562" s="21" t="s">
        <v>709</v>
      </c>
      <c r="D562" s="12" t="s">
        <v>102</v>
      </c>
      <c r="E562" s="2" t="s">
        <v>66</v>
      </c>
      <c r="F562" s="64">
        <v>200</v>
      </c>
      <c r="G562" s="10">
        <v>300</v>
      </c>
      <c r="H562" s="10">
        <v>50</v>
      </c>
      <c r="I562" s="21" t="s">
        <v>716</v>
      </c>
      <c r="J562" s="10">
        <v>1</v>
      </c>
      <c r="K562" s="10">
        <v>2</v>
      </c>
      <c r="L562" s="10">
        <v>0</v>
      </c>
      <c r="M562" s="10">
        <v>0</v>
      </c>
      <c r="N562" s="10">
        <v>80</v>
      </c>
      <c r="O562" s="10">
        <v>0</v>
      </c>
      <c r="P562" s="10">
        <v>0</v>
      </c>
      <c r="Q562" s="10">
        <v>0</v>
      </c>
      <c r="R562" s="10">
        <v>0</v>
      </c>
      <c r="S562" s="10">
        <v>0</v>
      </c>
      <c r="T562" s="10">
        <v>0</v>
      </c>
      <c r="U562" s="10">
        <v>0</v>
      </c>
      <c r="V562" s="10">
        <v>4</v>
      </c>
      <c r="W562" s="10">
        <v>0</v>
      </c>
      <c r="X562" s="10">
        <v>0</v>
      </c>
      <c r="Y562" s="10">
        <v>0</v>
      </c>
      <c r="Z562" s="10">
        <v>0</v>
      </c>
      <c r="AA562" s="10">
        <v>0</v>
      </c>
      <c r="AB562" s="10">
        <v>0</v>
      </c>
      <c r="AC562" s="11">
        <v>0</v>
      </c>
      <c r="AD562" s="11">
        <v>16</v>
      </c>
      <c r="AE562" s="11">
        <v>0</v>
      </c>
      <c r="AF562" s="11">
        <v>0</v>
      </c>
      <c r="AG562" s="27">
        <v>0</v>
      </c>
      <c r="AH562" s="11">
        <v>0</v>
      </c>
      <c r="AI562" s="11">
        <v>4.0000000000000001E-3</v>
      </c>
      <c r="AJ562" s="11">
        <v>0</v>
      </c>
      <c r="AK562" s="11" t="s">
        <v>714</v>
      </c>
      <c r="AL562" s="10">
        <v>1</v>
      </c>
      <c r="AM562" s="11">
        <v>20</v>
      </c>
      <c r="AN562" s="10" t="s">
        <v>48</v>
      </c>
      <c r="AO562" s="21" t="s">
        <v>758</v>
      </c>
    </row>
    <row r="563" spans="1:41" ht="16.5">
      <c r="A563" s="10">
        <v>200217</v>
      </c>
      <c r="B563" s="21" t="s">
        <v>1323</v>
      </c>
      <c r="C563" s="21" t="s">
        <v>709</v>
      </c>
      <c r="D563" s="12" t="s">
        <v>102</v>
      </c>
      <c r="E563" s="2" t="s">
        <v>66</v>
      </c>
      <c r="F563" s="64">
        <v>200</v>
      </c>
      <c r="G563" s="10">
        <v>300</v>
      </c>
      <c r="H563" s="10">
        <v>50</v>
      </c>
      <c r="I563" s="21" t="s">
        <v>716</v>
      </c>
      <c r="J563" s="10">
        <v>1</v>
      </c>
      <c r="K563" s="10">
        <v>2</v>
      </c>
      <c r="L563" s="10">
        <v>0</v>
      </c>
      <c r="M563" s="10">
        <v>0</v>
      </c>
      <c r="N563" s="10">
        <v>80</v>
      </c>
      <c r="O563" s="10">
        <v>0</v>
      </c>
      <c r="P563" s="10">
        <v>0</v>
      </c>
      <c r="Q563" s="10">
        <v>0</v>
      </c>
      <c r="R563" s="10">
        <v>0</v>
      </c>
      <c r="S563" s="10">
        <v>0</v>
      </c>
      <c r="T563" s="10">
        <v>0</v>
      </c>
      <c r="U563" s="10">
        <v>0</v>
      </c>
      <c r="V563" s="10">
        <v>4</v>
      </c>
      <c r="W563" s="10">
        <v>0</v>
      </c>
      <c r="X563" s="10">
        <v>0</v>
      </c>
      <c r="Y563" s="10">
        <v>0</v>
      </c>
      <c r="Z563" s="10">
        <v>0</v>
      </c>
      <c r="AA563" s="10">
        <v>0</v>
      </c>
      <c r="AB563" s="10">
        <v>0</v>
      </c>
      <c r="AC563" s="11">
        <v>0</v>
      </c>
      <c r="AD563" s="11">
        <v>16</v>
      </c>
      <c r="AE563" s="11">
        <v>0</v>
      </c>
      <c r="AF563" s="11">
        <v>0</v>
      </c>
      <c r="AG563" s="27">
        <v>0</v>
      </c>
      <c r="AH563" s="11">
        <v>0</v>
      </c>
      <c r="AI563" s="11">
        <v>4.0000000000000001E-3</v>
      </c>
      <c r="AJ563" s="11">
        <v>0</v>
      </c>
      <c r="AK563" s="11" t="s">
        <v>714</v>
      </c>
      <c r="AL563" s="10">
        <v>1</v>
      </c>
      <c r="AM563" s="11">
        <v>20</v>
      </c>
      <c r="AN563" s="10" t="s">
        <v>48</v>
      </c>
      <c r="AO563" s="21" t="s">
        <v>758</v>
      </c>
    </row>
    <row r="564" spans="1:41" ht="16.5">
      <c r="A564" s="10">
        <v>200218</v>
      </c>
      <c r="B564" s="21" t="s">
        <v>1324</v>
      </c>
      <c r="C564" s="21" t="s">
        <v>709</v>
      </c>
      <c r="D564" s="12" t="s">
        <v>102</v>
      </c>
      <c r="E564" s="2" t="s">
        <v>66</v>
      </c>
      <c r="F564" s="64">
        <v>200</v>
      </c>
      <c r="G564" s="10">
        <v>300</v>
      </c>
      <c r="H564" s="10">
        <v>50</v>
      </c>
      <c r="I564" s="21" t="s">
        <v>716</v>
      </c>
      <c r="J564" s="10">
        <v>1</v>
      </c>
      <c r="K564" s="10">
        <v>2</v>
      </c>
      <c r="L564" s="10">
        <v>0</v>
      </c>
      <c r="M564" s="10">
        <v>0</v>
      </c>
      <c r="N564" s="10">
        <v>80</v>
      </c>
      <c r="O564" s="10">
        <v>0</v>
      </c>
      <c r="P564" s="10">
        <v>0</v>
      </c>
      <c r="Q564" s="10">
        <v>0</v>
      </c>
      <c r="R564" s="10">
        <v>0</v>
      </c>
      <c r="S564" s="10">
        <v>0</v>
      </c>
      <c r="T564" s="10">
        <v>0</v>
      </c>
      <c r="U564" s="10">
        <v>0</v>
      </c>
      <c r="V564" s="10">
        <v>4</v>
      </c>
      <c r="W564" s="10">
        <v>0</v>
      </c>
      <c r="X564" s="10">
        <v>0</v>
      </c>
      <c r="Y564" s="10">
        <v>0</v>
      </c>
      <c r="Z564" s="10">
        <v>0</v>
      </c>
      <c r="AA564" s="10">
        <v>0</v>
      </c>
      <c r="AB564" s="10">
        <v>0</v>
      </c>
      <c r="AC564" s="11">
        <v>0</v>
      </c>
      <c r="AD564" s="11">
        <v>16</v>
      </c>
      <c r="AE564" s="11">
        <v>0</v>
      </c>
      <c r="AF564" s="11">
        <v>0</v>
      </c>
      <c r="AG564" s="27">
        <v>0</v>
      </c>
      <c r="AH564" s="11">
        <v>0</v>
      </c>
      <c r="AI564" s="11">
        <v>4.0000000000000001E-3</v>
      </c>
      <c r="AJ564" s="11">
        <v>0</v>
      </c>
      <c r="AK564" s="11" t="s">
        <v>714</v>
      </c>
      <c r="AL564" s="10">
        <v>1</v>
      </c>
      <c r="AM564" s="11">
        <v>20</v>
      </c>
      <c r="AN564" s="10" t="s">
        <v>48</v>
      </c>
      <c r="AO564" s="21" t="s">
        <v>758</v>
      </c>
    </row>
    <row r="565" spans="1:41" ht="16.5">
      <c r="A565" s="10">
        <v>200219</v>
      </c>
      <c r="B565" s="21" t="s">
        <v>1325</v>
      </c>
      <c r="C565" s="21" t="s">
        <v>709</v>
      </c>
      <c r="D565" s="12" t="s">
        <v>102</v>
      </c>
      <c r="E565" s="2" t="s">
        <v>66</v>
      </c>
      <c r="F565" s="64">
        <v>200</v>
      </c>
      <c r="G565" s="10">
        <v>300</v>
      </c>
      <c r="H565" s="10">
        <v>50</v>
      </c>
      <c r="I565" s="21" t="s">
        <v>716</v>
      </c>
      <c r="J565" s="10">
        <v>1</v>
      </c>
      <c r="K565" s="10">
        <v>2</v>
      </c>
      <c r="L565" s="10">
        <v>0</v>
      </c>
      <c r="M565" s="10">
        <v>0</v>
      </c>
      <c r="N565" s="10">
        <v>80</v>
      </c>
      <c r="O565" s="10">
        <v>0</v>
      </c>
      <c r="P565" s="10">
        <v>0</v>
      </c>
      <c r="Q565" s="10">
        <v>0</v>
      </c>
      <c r="R565" s="10">
        <v>0</v>
      </c>
      <c r="S565" s="10">
        <v>0</v>
      </c>
      <c r="T565" s="10">
        <v>0</v>
      </c>
      <c r="U565" s="10">
        <v>0</v>
      </c>
      <c r="V565" s="10">
        <v>4</v>
      </c>
      <c r="W565" s="10">
        <v>0</v>
      </c>
      <c r="X565" s="10">
        <v>0</v>
      </c>
      <c r="Y565" s="10">
        <v>0</v>
      </c>
      <c r="Z565" s="10">
        <v>0</v>
      </c>
      <c r="AA565" s="10">
        <v>0</v>
      </c>
      <c r="AB565" s="10">
        <v>0</v>
      </c>
      <c r="AC565" s="11">
        <v>0</v>
      </c>
      <c r="AD565" s="11">
        <v>16</v>
      </c>
      <c r="AE565" s="11">
        <v>0</v>
      </c>
      <c r="AF565" s="11">
        <v>0</v>
      </c>
      <c r="AG565" s="27">
        <v>0</v>
      </c>
      <c r="AH565" s="11">
        <v>0</v>
      </c>
      <c r="AI565" s="11">
        <v>4.0000000000000001E-3</v>
      </c>
      <c r="AJ565" s="11">
        <v>0</v>
      </c>
      <c r="AK565" s="11" t="s">
        <v>714</v>
      </c>
      <c r="AL565" s="10">
        <v>1</v>
      </c>
      <c r="AM565" s="11">
        <v>20</v>
      </c>
      <c r="AN565" s="10" t="s">
        <v>48</v>
      </c>
      <c r="AO565" s="21" t="s">
        <v>758</v>
      </c>
    </row>
    <row r="566" spans="1:41" ht="16.5">
      <c r="A566" s="10">
        <v>200220</v>
      </c>
      <c r="B566" s="21" t="s">
        <v>1326</v>
      </c>
      <c r="C566" s="21" t="s">
        <v>709</v>
      </c>
      <c r="D566" s="12" t="s">
        <v>102</v>
      </c>
      <c r="E566" s="2" t="s">
        <v>66</v>
      </c>
      <c r="F566" s="64">
        <v>200</v>
      </c>
      <c r="G566" s="10">
        <v>300</v>
      </c>
      <c r="H566" s="10">
        <v>50</v>
      </c>
      <c r="I566" s="21" t="s">
        <v>716</v>
      </c>
      <c r="J566" s="10">
        <v>1</v>
      </c>
      <c r="K566" s="10">
        <v>2</v>
      </c>
      <c r="L566" s="10">
        <v>0</v>
      </c>
      <c r="M566" s="10">
        <v>0</v>
      </c>
      <c r="N566" s="10">
        <v>80</v>
      </c>
      <c r="O566" s="10">
        <v>0</v>
      </c>
      <c r="P566" s="10">
        <v>0</v>
      </c>
      <c r="Q566" s="10">
        <v>0</v>
      </c>
      <c r="R566" s="10">
        <v>0</v>
      </c>
      <c r="S566" s="10">
        <v>0</v>
      </c>
      <c r="T566" s="10">
        <v>0</v>
      </c>
      <c r="U566" s="10">
        <v>0</v>
      </c>
      <c r="V566" s="10">
        <v>4</v>
      </c>
      <c r="W566" s="10">
        <v>0</v>
      </c>
      <c r="X566" s="10">
        <v>0</v>
      </c>
      <c r="Y566" s="10">
        <v>0</v>
      </c>
      <c r="Z566" s="10">
        <v>0</v>
      </c>
      <c r="AA566" s="10">
        <v>0</v>
      </c>
      <c r="AB566" s="10">
        <v>0</v>
      </c>
      <c r="AC566" s="11">
        <v>0</v>
      </c>
      <c r="AD566" s="11">
        <v>16</v>
      </c>
      <c r="AE566" s="11">
        <v>0</v>
      </c>
      <c r="AF566" s="11">
        <v>0</v>
      </c>
      <c r="AG566" s="27">
        <v>0</v>
      </c>
      <c r="AH566" s="11">
        <v>0</v>
      </c>
      <c r="AI566" s="11">
        <v>4.0000000000000001E-3</v>
      </c>
      <c r="AJ566" s="11">
        <v>0</v>
      </c>
      <c r="AK566" s="11" t="s">
        <v>714</v>
      </c>
      <c r="AL566" s="10">
        <v>1</v>
      </c>
      <c r="AM566" s="11">
        <v>20</v>
      </c>
      <c r="AN566" s="10" t="s">
        <v>48</v>
      </c>
      <c r="AO566" s="21" t="s">
        <v>758</v>
      </c>
    </row>
    <row r="567" spans="1:41" ht="16.5">
      <c r="A567" s="10">
        <v>200221</v>
      </c>
      <c r="B567" s="21" t="s">
        <v>1327</v>
      </c>
      <c r="C567" s="21" t="s">
        <v>709</v>
      </c>
      <c r="D567" s="12" t="s">
        <v>102</v>
      </c>
      <c r="E567" s="2" t="s">
        <v>66</v>
      </c>
      <c r="F567" s="64">
        <v>200</v>
      </c>
      <c r="G567" s="10">
        <v>300</v>
      </c>
      <c r="H567" s="10">
        <v>50</v>
      </c>
      <c r="I567" s="21" t="s">
        <v>716</v>
      </c>
      <c r="J567" s="10">
        <v>1</v>
      </c>
      <c r="K567" s="10">
        <v>2</v>
      </c>
      <c r="L567" s="10">
        <v>0</v>
      </c>
      <c r="M567" s="10">
        <v>0</v>
      </c>
      <c r="N567" s="10">
        <v>80</v>
      </c>
      <c r="O567" s="10">
        <v>0</v>
      </c>
      <c r="P567" s="10">
        <v>0</v>
      </c>
      <c r="Q567" s="10">
        <v>0</v>
      </c>
      <c r="R567" s="10">
        <v>0</v>
      </c>
      <c r="S567" s="10">
        <v>0</v>
      </c>
      <c r="T567" s="10">
        <v>0</v>
      </c>
      <c r="U567" s="10">
        <v>0</v>
      </c>
      <c r="V567" s="10">
        <v>4</v>
      </c>
      <c r="W567" s="10">
        <v>0</v>
      </c>
      <c r="X567" s="10">
        <v>0</v>
      </c>
      <c r="Y567" s="10">
        <v>0</v>
      </c>
      <c r="Z567" s="10">
        <v>0</v>
      </c>
      <c r="AA567" s="10">
        <v>0</v>
      </c>
      <c r="AB567" s="10">
        <v>0</v>
      </c>
      <c r="AC567" s="11">
        <v>0</v>
      </c>
      <c r="AD567" s="11">
        <v>16</v>
      </c>
      <c r="AE567" s="11">
        <v>0</v>
      </c>
      <c r="AF567" s="11">
        <v>0</v>
      </c>
      <c r="AG567" s="27">
        <v>0</v>
      </c>
      <c r="AH567" s="11">
        <v>0</v>
      </c>
      <c r="AI567" s="11">
        <v>4.0000000000000001E-3</v>
      </c>
      <c r="AJ567" s="11">
        <v>0</v>
      </c>
      <c r="AK567" s="11" t="s">
        <v>714</v>
      </c>
      <c r="AL567" s="10">
        <v>1</v>
      </c>
      <c r="AM567" s="11">
        <v>20</v>
      </c>
      <c r="AN567" s="10" t="s">
        <v>48</v>
      </c>
      <c r="AO567" s="21" t="s">
        <v>758</v>
      </c>
    </row>
    <row r="568" spans="1:41" ht="16.5">
      <c r="A568" s="10">
        <v>200222</v>
      </c>
      <c r="B568" s="21" t="s">
        <v>1328</v>
      </c>
      <c r="C568" s="21" t="s">
        <v>709</v>
      </c>
      <c r="D568" s="12" t="s">
        <v>102</v>
      </c>
      <c r="E568" s="2" t="s">
        <v>66</v>
      </c>
      <c r="F568" s="64">
        <v>200</v>
      </c>
      <c r="G568" s="10">
        <v>300</v>
      </c>
      <c r="H568" s="10">
        <v>50</v>
      </c>
      <c r="I568" s="21" t="s">
        <v>716</v>
      </c>
      <c r="J568" s="10">
        <v>1</v>
      </c>
      <c r="K568" s="10">
        <v>2</v>
      </c>
      <c r="L568" s="10">
        <v>0</v>
      </c>
      <c r="M568" s="10">
        <v>0</v>
      </c>
      <c r="N568" s="10">
        <v>80</v>
      </c>
      <c r="O568" s="10">
        <v>0</v>
      </c>
      <c r="P568" s="10">
        <v>0</v>
      </c>
      <c r="Q568" s="10">
        <v>0</v>
      </c>
      <c r="R568" s="10">
        <v>0</v>
      </c>
      <c r="S568" s="10">
        <v>0</v>
      </c>
      <c r="T568" s="10">
        <v>0</v>
      </c>
      <c r="U568" s="10">
        <v>0</v>
      </c>
      <c r="V568" s="10">
        <v>4</v>
      </c>
      <c r="W568" s="10">
        <v>0</v>
      </c>
      <c r="X568" s="10">
        <v>0</v>
      </c>
      <c r="Y568" s="10">
        <v>0</v>
      </c>
      <c r="Z568" s="10">
        <v>0</v>
      </c>
      <c r="AA568" s="10">
        <v>0</v>
      </c>
      <c r="AB568" s="10">
        <v>0</v>
      </c>
      <c r="AC568" s="11">
        <v>0</v>
      </c>
      <c r="AD568" s="11">
        <v>16</v>
      </c>
      <c r="AE568" s="11">
        <v>0</v>
      </c>
      <c r="AF568" s="11">
        <v>0</v>
      </c>
      <c r="AG568" s="27">
        <v>0</v>
      </c>
      <c r="AH568" s="11">
        <v>0</v>
      </c>
      <c r="AI568" s="11">
        <v>4.0000000000000001E-3</v>
      </c>
      <c r="AJ568" s="11">
        <v>0</v>
      </c>
      <c r="AK568" s="11" t="s">
        <v>714</v>
      </c>
      <c r="AL568" s="10">
        <v>1</v>
      </c>
      <c r="AM568" s="11">
        <v>20</v>
      </c>
      <c r="AN568" s="10" t="s">
        <v>48</v>
      </c>
      <c r="AO568" s="21" t="s">
        <v>758</v>
      </c>
    </row>
    <row r="569" spans="1:41" ht="16.5">
      <c r="A569" s="10">
        <v>200223</v>
      </c>
      <c r="B569" s="21" t="s">
        <v>1329</v>
      </c>
      <c r="C569" s="21" t="s">
        <v>709</v>
      </c>
      <c r="D569" s="12" t="s">
        <v>102</v>
      </c>
      <c r="E569" s="2" t="s">
        <v>66</v>
      </c>
      <c r="F569" s="64">
        <v>200</v>
      </c>
      <c r="G569" s="10">
        <v>300</v>
      </c>
      <c r="H569" s="10">
        <v>50</v>
      </c>
      <c r="I569" s="21" t="s">
        <v>716</v>
      </c>
      <c r="J569" s="10">
        <v>1</v>
      </c>
      <c r="K569" s="10">
        <v>2</v>
      </c>
      <c r="L569" s="10">
        <v>0</v>
      </c>
      <c r="M569" s="10">
        <v>0</v>
      </c>
      <c r="N569" s="10">
        <v>80</v>
      </c>
      <c r="O569" s="10">
        <v>0</v>
      </c>
      <c r="P569" s="10">
        <v>0</v>
      </c>
      <c r="Q569" s="10">
        <v>0</v>
      </c>
      <c r="R569" s="10">
        <v>0</v>
      </c>
      <c r="S569" s="10">
        <v>0</v>
      </c>
      <c r="T569" s="10">
        <v>0</v>
      </c>
      <c r="U569" s="10">
        <v>0</v>
      </c>
      <c r="V569" s="10">
        <v>4</v>
      </c>
      <c r="W569" s="10">
        <v>0</v>
      </c>
      <c r="X569" s="10">
        <v>0</v>
      </c>
      <c r="Y569" s="10">
        <v>0</v>
      </c>
      <c r="Z569" s="10">
        <v>0</v>
      </c>
      <c r="AA569" s="10">
        <v>0</v>
      </c>
      <c r="AB569" s="10">
        <v>0</v>
      </c>
      <c r="AC569" s="11">
        <v>0</v>
      </c>
      <c r="AD569" s="11">
        <v>16</v>
      </c>
      <c r="AE569" s="11">
        <v>0</v>
      </c>
      <c r="AF569" s="11">
        <v>0</v>
      </c>
      <c r="AG569" s="27">
        <v>0</v>
      </c>
      <c r="AH569" s="11">
        <v>0</v>
      </c>
      <c r="AI569" s="11">
        <v>4.0000000000000001E-3</v>
      </c>
      <c r="AJ569" s="11">
        <v>0</v>
      </c>
      <c r="AK569" s="11" t="s">
        <v>714</v>
      </c>
      <c r="AL569" s="10">
        <v>1</v>
      </c>
      <c r="AM569" s="11">
        <v>20</v>
      </c>
      <c r="AN569" s="10" t="s">
        <v>48</v>
      </c>
      <c r="AO569" s="21" t="s">
        <v>758</v>
      </c>
    </row>
    <row r="570" spans="1:41" ht="16.5">
      <c r="A570" s="10">
        <v>200224</v>
      </c>
      <c r="B570" s="21" t="s">
        <v>1330</v>
      </c>
      <c r="C570" s="21" t="s">
        <v>709</v>
      </c>
      <c r="D570" s="12" t="s">
        <v>102</v>
      </c>
      <c r="E570" s="2" t="s">
        <v>66</v>
      </c>
      <c r="F570" s="64">
        <v>200</v>
      </c>
      <c r="G570" s="10">
        <v>300</v>
      </c>
      <c r="H570" s="10">
        <v>50</v>
      </c>
      <c r="I570" s="21" t="s">
        <v>716</v>
      </c>
      <c r="J570" s="10">
        <v>1</v>
      </c>
      <c r="K570" s="10">
        <v>2</v>
      </c>
      <c r="L570" s="10">
        <v>0</v>
      </c>
      <c r="M570" s="10">
        <v>0</v>
      </c>
      <c r="N570" s="10">
        <v>80</v>
      </c>
      <c r="O570" s="10">
        <v>0</v>
      </c>
      <c r="P570" s="10">
        <v>0</v>
      </c>
      <c r="Q570" s="10">
        <v>0</v>
      </c>
      <c r="R570" s="10">
        <v>0</v>
      </c>
      <c r="S570" s="10">
        <v>0</v>
      </c>
      <c r="T570" s="10">
        <v>0</v>
      </c>
      <c r="U570" s="10">
        <v>0</v>
      </c>
      <c r="V570" s="10">
        <v>4</v>
      </c>
      <c r="W570" s="10">
        <v>0</v>
      </c>
      <c r="X570" s="10">
        <v>0</v>
      </c>
      <c r="Y570" s="10">
        <v>0</v>
      </c>
      <c r="Z570" s="10">
        <v>0</v>
      </c>
      <c r="AA570" s="10">
        <v>0</v>
      </c>
      <c r="AB570" s="10">
        <v>0</v>
      </c>
      <c r="AC570" s="11">
        <v>0</v>
      </c>
      <c r="AD570" s="11">
        <v>16</v>
      </c>
      <c r="AE570" s="11">
        <v>0</v>
      </c>
      <c r="AF570" s="11">
        <v>0</v>
      </c>
      <c r="AG570" s="27">
        <v>0</v>
      </c>
      <c r="AH570" s="11">
        <v>0</v>
      </c>
      <c r="AI570" s="11">
        <v>4.0000000000000001E-3</v>
      </c>
      <c r="AJ570" s="11">
        <v>0</v>
      </c>
      <c r="AK570" s="11" t="s">
        <v>714</v>
      </c>
      <c r="AL570" s="10">
        <v>1</v>
      </c>
      <c r="AM570" s="11">
        <v>20</v>
      </c>
      <c r="AN570" s="10" t="s">
        <v>48</v>
      </c>
      <c r="AO570" s="21" t="s">
        <v>758</v>
      </c>
    </row>
    <row r="571" spans="1:41" ht="16.5">
      <c r="A571" s="10">
        <v>2003</v>
      </c>
      <c r="B571" s="21" t="s">
        <v>1331</v>
      </c>
      <c r="C571" s="21" t="s">
        <v>710</v>
      </c>
      <c r="D571" s="12" t="s">
        <v>103</v>
      </c>
      <c r="E571" s="2" t="s">
        <v>48</v>
      </c>
      <c r="F571" s="64">
        <v>200</v>
      </c>
      <c r="G571" s="10">
        <v>300</v>
      </c>
      <c r="H571" s="10">
        <v>50</v>
      </c>
      <c r="I571" s="21" t="s">
        <v>715</v>
      </c>
      <c r="J571" s="10">
        <v>1</v>
      </c>
      <c r="K571" s="10">
        <v>2</v>
      </c>
      <c r="L571" s="10">
        <v>0</v>
      </c>
      <c r="M571" s="10">
        <v>2000</v>
      </c>
      <c r="N571" s="10">
        <v>0</v>
      </c>
      <c r="O571" s="10">
        <v>0</v>
      </c>
      <c r="P571" s="10">
        <v>0</v>
      </c>
      <c r="Q571" s="10">
        <v>0</v>
      </c>
      <c r="R571" s="10">
        <v>0</v>
      </c>
      <c r="S571" s="10">
        <v>0</v>
      </c>
      <c r="T571" s="10">
        <v>0</v>
      </c>
      <c r="U571" s="10">
        <v>100</v>
      </c>
      <c r="V571" s="10">
        <v>0</v>
      </c>
      <c r="W571" s="10">
        <v>0</v>
      </c>
      <c r="X571" s="10">
        <v>0</v>
      </c>
      <c r="Y571" s="10">
        <v>0</v>
      </c>
      <c r="Z571" s="10">
        <v>0</v>
      </c>
      <c r="AA571" s="10">
        <v>0</v>
      </c>
      <c r="AB571" s="10">
        <v>0</v>
      </c>
      <c r="AC571" s="11">
        <v>400</v>
      </c>
      <c r="AD571" s="11">
        <v>0</v>
      </c>
      <c r="AE571" s="11">
        <v>0</v>
      </c>
      <c r="AF571" s="11">
        <v>0</v>
      </c>
      <c r="AG571" s="27">
        <v>2E-3</v>
      </c>
      <c r="AH571" s="11">
        <v>0</v>
      </c>
      <c r="AI571" s="11">
        <v>0</v>
      </c>
      <c r="AJ571" s="11">
        <v>0</v>
      </c>
      <c r="AK571" s="11" t="s">
        <v>714</v>
      </c>
      <c r="AL571" s="10">
        <v>3</v>
      </c>
      <c r="AM571" s="11">
        <v>20</v>
      </c>
      <c r="AN571" s="10" t="s">
        <v>48</v>
      </c>
      <c r="AO571" s="21" t="s">
        <v>759</v>
      </c>
    </row>
    <row r="572" spans="1:41" ht="16.5">
      <c r="A572" s="10">
        <v>200311</v>
      </c>
      <c r="B572" s="21" t="s">
        <v>1332</v>
      </c>
      <c r="C572" s="21" t="s">
        <v>710</v>
      </c>
      <c r="D572" s="12" t="s">
        <v>103</v>
      </c>
      <c r="E572" s="2" t="s">
        <v>48</v>
      </c>
      <c r="F572" s="64">
        <v>200</v>
      </c>
      <c r="G572" s="10">
        <v>300</v>
      </c>
      <c r="H572" s="10">
        <v>50</v>
      </c>
      <c r="I572" s="21" t="s">
        <v>715</v>
      </c>
      <c r="J572" s="10">
        <v>1</v>
      </c>
      <c r="K572" s="10">
        <v>2</v>
      </c>
      <c r="L572" s="10">
        <v>0</v>
      </c>
      <c r="M572" s="10">
        <v>2000</v>
      </c>
      <c r="N572" s="10">
        <v>0</v>
      </c>
      <c r="O572" s="10">
        <v>0</v>
      </c>
      <c r="P572" s="10">
        <v>0</v>
      </c>
      <c r="Q572" s="10">
        <v>0</v>
      </c>
      <c r="R572" s="10">
        <v>0</v>
      </c>
      <c r="S572" s="10">
        <v>0</v>
      </c>
      <c r="T572" s="10">
        <v>0</v>
      </c>
      <c r="U572" s="10">
        <v>100</v>
      </c>
      <c r="V572" s="10">
        <v>0</v>
      </c>
      <c r="W572" s="10">
        <v>0</v>
      </c>
      <c r="X572" s="10">
        <v>0</v>
      </c>
      <c r="Y572" s="10">
        <v>0</v>
      </c>
      <c r="Z572" s="10">
        <v>0</v>
      </c>
      <c r="AA572" s="10">
        <v>0</v>
      </c>
      <c r="AB572" s="10">
        <v>0</v>
      </c>
      <c r="AC572" s="11">
        <v>400</v>
      </c>
      <c r="AD572" s="11">
        <v>0</v>
      </c>
      <c r="AE572" s="11">
        <v>0</v>
      </c>
      <c r="AF572" s="11">
        <v>0</v>
      </c>
      <c r="AG572" s="27">
        <v>2E-3</v>
      </c>
      <c r="AH572" s="11">
        <v>0</v>
      </c>
      <c r="AI572" s="11">
        <v>0</v>
      </c>
      <c r="AJ572" s="11">
        <v>0</v>
      </c>
      <c r="AK572" s="11" t="s">
        <v>714</v>
      </c>
      <c r="AL572" s="10">
        <v>3</v>
      </c>
      <c r="AM572" s="11">
        <v>20</v>
      </c>
      <c r="AN572" s="10" t="s">
        <v>48</v>
      </c>
      <c r="AO572" s="21" t="s">
        <v>759</v>
      </c>
    </row>
    <row r="573" spans="1:41" ht="16.5">
      <c r="A573" s="10">
        <v>200312</v>
      </c>
      <c r="B573" s="21" t="s">
        <v>1333</v>
      </c>
      <c r="C573" s="21" t="s">
        <v>710</v>
      </c>
      <c r="D573" s="12" t="s">
        <v>103</v>
      </c>
      <c r="E573" s="2" t="s">
        <v>48</v>
      </c>
      <c r="F573" s="64">
        <v>200</v>
      </c>
      <c r="G573" s="10">
        <v>300</v>
      </c>
      <c r="H573" s="10">
        <v>50</v>
      </c>
      <c r="I573" s="21" t="s">
        <v>715</v>
      </c>
      <c r="J573" s="10">
        <v>1</v>
      </c>
      <c r="K573" s="10">
        <v>2</v>
      </c>
      <c r="L573" s="10">
        <v>0</v>
      </c>
      <c r="M573" s="10">
        <v>2000</v>
      </c>
      <c r="N573" s="10">
        <v>0</v>
      </c>
      <c r="O573" s="10">
        <v>0</v>
      </c>
      <c r="P573" s="10">
        <v>0</v>
      </c>
      <c r="Q573" s="10">
        <v>0</v>
      </c>
      <c r="R573" s="10">
        <v>0</v>
      </c>
      <c r="S573" s="10">
        <v>0</v>
      </c>
      <c r="T573" s="10">
        <v>0</v>
      </c>
      <c r="U573" s="10">
        <v>100</v>
      </c>
      <c r="V573" s="10">
        <v>0</v>
      </c>
      <c r="W573" s="10">
        <v>0</v>
      </c>
      <c r="X573" s="10">
        <v>0</v>
      </c>
      <c r="Y573" s="10">
        <v>0</v>
      </c>
      <c r="Z573" s="10">
        <v>0</v>
      </c>
      <c r="AA573" s="10">
        <v>0</v>
      </c>
      <c r="AB573" s="10">
        <v>0</v>
      </c>
      <c r="AC573" s="11">
        <v>400</v>
      </c>
      <c r="AD573" s="11">
        <v>0</v>
      </c>
      <c r="AE573" s="11">
        <v>0</v>
      </c>
      <c r="AF573" s="11">
        <v>0</v>
      </c>
      <c r="AG573" s="27">
        <v>2E-3</v>
      </c>
      <c r="AH573" s="11">
        <v>0</v>
      </c>
      <c r="AI573" s="11">
        <v>0</v>
      </c>
      <c r="AJ573" s="11">
        <v>0</v>
      </c>
      <c r="AK573" s="11" t="s">
        <v>714</v>
      </c>
      <c r="AL573" s="10">
        <v>3</v>
      </c>
      <c r="AM573" s="11">
        <v>20</v>
      </c>
      <c r="AN573" s="10" t="s">
        <v>48</v>
      </c>
      <c r="AO573" s="21" t="s">
        <v>759</v>
      </c>
    </row>
    <row r="574" spans="1:41" ht="16.5">
      <c r="A574" s="10">
        <v>200313</v>
      </c>
      <c r="B574" s="21" t="s">
        <v>1334</v>
      </c>
      <c r="C574" s="21" t="s">
        <v>710</v>
      </c>
      <c r="D574" s="12" t="s">
        <v>103</v>
      </c>
      <c r="E574" s="2" t="s">
        <v>48</v>
      </c>
      <c r="F574" s="64">
        <v>200</v>
      </c>
      <c r="G574" s="10">
        <v>300</v>
      </c>
      <c r="H574" s="10">
        <v>50</v>
      </c>
      <c r="I574" s="21" t="s">
        <v>715</v>
      </c>
      <c r="J574" s="10">
        <v>1</v>
      </c>
      <c r="K574" s="10">
        <v>2</v>
      </c>
      <c r="L574" s="10">
        <v>0</v>
      </c>
      <c r="M574" s="10">
        <v>2000</v>
      </c>
      <c r="N574" s="10">
        <v>0</v>
      </c>
      <c r="O574" s="10">
        <v>0</v>
      </c>
      <c r="P574" s="10">
        <v>0</v>
      </c>
      <c r="Q574" s="10">
        <v>0</v>
      </c>
      <c r="R574" s="10">
        <v>0</v>
      </c>
      <c r="S574" s="10">
        <v>0</v>
      </c>
      <c r="T574" s="10">
        <v>0</v>
      </c>
      <c r="U574" s="10">
        <v>100</v>
      </c>
      <c r="V574" s="10">
        <v>0</v>
      </c>
      <c r="W574" s="10">
        <v>0</v>
      </c>
      <c r="X574" s="10">
        <v>0</v>
      </c>
      <c r="Y574" s="10">
        <v>0</v>
      </c>
      <c r="Z574" s="10">
        <v>0</v>
      </c>
      <c r="AA574" s="10">
        <v>0</v>
      </c>
      <c r="AB574" s="10">
        <v>0</v>
      </c>
      <c r="AC574" s="11">
        <v>400</v>
      </c>
      <c r="AD574" s="11">
        <v>0</v>
      </c>
      <c r="AE574" s="11">
        <v>0</v>
      </c>
      <c r="AF574" s="11">
        <v>0</v>
      </c>
      <c r="AG574" s="27">
        <v>2E-3</v>
      </c>
      <c r="AH574" s="11">
        <v>0</v>
      </c>
      <c r="AI574" s="11">
        <v>0</v>
      </c>
      <c r="AJ574" s="11">
        <v>0</v>
      </c>
      <c r="AK574" s="11" t="s">
        <v>714</v>
      </c>
      <c r="AL574" s="10">
        <v>3</v>
      </c>
      <c r="AM574" s="11">
        <v>20</v>
      </c>
      <c r="AN574" s="10" t="s">
        <v>48</v>
      </c>
      <c r="AO574" s="21" t="s">
        <v>759</v>
      </c>
    </row>
    <row r="575" spans="1:41" ht="16.5">
      <c r="A575" s="10">
        <v>200314</v>
      </c>
      <c r="B575" s="21" t="s">
        <v>1335</v>
      </c>
      <c r="C575" s="21" t="s">
        <v>710</v>
      </c>
      <c r="D575" s="12" t="s">
        <v>103</v>
      </c>
      <c r="E575" s="2" t="s">
        <v>48</v>
      </c>
      <c r="F575" s="64">
        <v>200</v>
      </c>
      <c r="G575" s="10">
        <v>300</v>
      </c>
      <c r="H575" s="10">
        <v>50</v>
      </c>
      <c r="I575" s="21" t="s">
        <v>715</v>
      </c>
      <c r="J575" s="10">
        <v>1</v>
      </c>
      <c r="K575" s="10">
        <v>2</v>
      </c>
      <c r="L575" s="10">
        <v>0</v>
      </c>
      <c r="M575" s="10">
        <v>2000</v>
      </c>
      <c r="N575" s="10">
        <v>0</v>
      </c>
      <c r="O575" s="10">
        <v>0</v>
      </c>
      <c r="P575" s="10">
        <v>0</v>
      </c>
      <c r="Q575" s="10">
        <v>0</v>
      </c>
      <c r="R575" s="10">
        <v>0</v>
      </c>
      <c r="S575" s="10">
        <v>0</v>
      </c>
      <c r="T575" s="10">
        <v>0</v>
      </c>
      <c r="U575" s="10">
        <v>100</v>
      </c>
      <c r="V575" s="10">
        <v>0</v>
      </c>
      <c r="W575" s="10">
        <v>0</v>
      </c>
      <c r="X575" s="10">
        <v>0</v>
      </c>
      <c r="Y575" s="10">
        <v>0</v>
      </c>
      <c r="Z575" s="10">
        <v>0</v>
      </c>
      <c r="AA575" s="10">
        <v>0</v>
      </c>
      <c r="AB575" s="10">
        <v>0</v>
      </c>
      <c r="AC575" s="11">
        <v>400</v>
      </c>
      <c r="AD575" s="11">
        <v>0</v>
      </c>
      <c r="AE575" s="11">
        <v>0</v>
      </c>
      <c r="AF575" s="11">
        <v>0</v>
      </c>
      <c r="AG575" s="27">
        <v>2E-3</v>
      </c>
      <c r="AH575" s="11">
        <v>0</v>
      </c>
      <c r="AI575" s="11">
        <v>0</v>
      </c>
      <c r="AJ575" s="11">
        <v>0</v>
      </c>
      <c r="AK575" s="11" t="s">
        <v>714</v>
      </c>
      <c r="AL575" s="10">
        <v>3</v>
      </c>
      <c r="AM575" s="11">
        <v>20</v>
      </c>
      <c r="AN575" s="10" t="s">
        <v>48</v>
      </c>
      <c r="AO575" s="21" t="s">
        <v>759</v>
      </c>
    </row>
    <row r="576" spans="1:41" ht="16.5">
      <c r="A576" s="10">
        <v>200315</v>
      </c>
      <c r="B576" s="21" t="s">
        <v>1336</v>
      </c>
      <c r="C576" s="21" t="s">
        <v>710</v>
      </c>
      <c r="D576" s="12" t="s">
        <v>103</v>
      </c>
      <c r="E576" s="2" t="s">
        <v>48</v>
      </c>
      <c r="F576" s="64">
        <v>200</v>
      </c>
      <c r="G576" s="10">
        <v>300</v>
      </c>
      <c r="H576" s="10">
        <v>50</v>
      </c>
      <c r="I576" s="21" t="s">
        <v>715</v>
      </c>
      <c r="J576" s="10">
        <v>1</v>
      </c>
      <c r="K576" s="10">
        <v>2</v>
      </c>
      <c r="L576" s="10">
        <v>0</v>
      </c>
      <c r="M576" s="10">
        <v>2000</v>
      </c>
      <c r="N576" s="10">
        <v>0</v>
      </c>
      <c r="O576" s="10">
        <v>0</v>
      </c>
      <c r="P576" s="10">
        <v>0</v>
      </c>
      <c r="Q576" s="10">
        <v>0</v>
      </c>
      <c r="R576" s="10">
        <v>0</v>
      </c>
      <c r="S576" s="10">
        <v>0</v>
      </c>
      <c r="T576" s="10">
        <v>0</v>
      </c>
      <c r="U576" s="10">
        <v>100</v>
      </c>
      <c r="V576" s="10">
        <v>0</v>
      </c>
      <c r="W576" s="10">
        <v>0</v>
      </c>
      <c r="X576" s="10">
        <v>0</v>
      </c>
      <c r="Y576" s="10">
        <v>0</v>
      </c>
      <c r="Z576" s="10">
        <v>0</v>
      </c>
      <c r="AA576" s="10">
        <v>0</v>
      </c>
      <c r="AB576" s="10">
        <v>0</v>
      </c>
      <c r="AC576" s="11">
        <v>400</v>
      </c>
      <c r="AD576" s="11">
        <v>0</v>
      </c>
      <c r="AE576" s="11">
        <v>0</v>
      </c>
      <c r="AF576" s="11">
        <v>0</v>
      </c>
      <c r="AG576" s="27">
        <v>2E-3</v>
      </c>
      <c r="AH576" s="11">
        <v>0</v>
      </c>
      <c r="AI576" s="11">
        <v>0</v>
      </c>
      <c r="AJ576" s="11">
        <v>0</v>
      </c>
      <c r="AK576" s="11" t="s">
        <v>714</v>
      </c>
      <c r="AL576" s="10">
        <v>3</v>
      </c>
      <c r="AM576" s="11">
        <v>20</v>
      </c>
      <c r="AN576" s="10" t="s">
        <v>48</v>
      </c>
      <c r="AO576" s="21" t="s">
        <v>759</v>
      </c>
    </row>
    <row r="577" spans="1:41" ht="16.5">
      <c r="A577" s="10">
        <v>200316</v>
      </c>
      <c r="B577" s="21" t="s">
        <v>1337</v>
      </c>
      <c r="C577" s="21" t="s">
        <v>710</v>
      </c>
      <c r="D577" s="12" t="s">
        <v>103</v>
      </c>
      <c r="E577" s="2" t="s">
        <v>48</v>
      </c>
      <c r="F577" s="64">
        <v>200</v>
      </c>
      <c r="G577" s="10">
        <v>300</v>
      </c>
      <c r="H577" s="10">
        <v>50</v>
      </c>
      <c r="I577" s="21" t="s">
        <v>715</v>
      </c>
      <c r="J577" s="10">
        <v>1</v>
      </c>
      <c r="K577" s="10">
        <v>2</v>
      </c>
      <c r="L577" s="10">
        <v>0</v>
      </c>
      <c r="M577" s="10">
        <v>2000</v>
      </c>
      <c r="N577" s="10">
        <v>0</v>
      </c>
      <c r="O577" s="10">
        <v>0</v>
      </c>
      <c r="P577" s="10">
        <v>0</v>
      </c>
      <c r="Q577" s="10">
        <v>0</v>
      </c>
      <c r="R577" s="10">
        <v>0</v>
      </c>
      <c r="S577" s="10">
        <v>0</v>
      </c>
      <c r="T577" s="10">
        <v>0</v>
      </c>
      <c r="U577" s="10">
        <v>100</v>
      </c>
      <c r="V577" s="10">
        <v>0</v>
      </c>
      <c r="W577" s="10">
        <v>0</v>
      </c>
      <c r="X577" s="10">
        <v>0</v>
      </c>
      <c r="Y577" s="10">
        <v>0</v>
      </c>
      <c r="Z577" s="10">
        <v>0</v>
      </c>
      <c r="AA577" s="10">
        <v>0</v>
      </c>
      <c r="AB577" s="10">
        <v>0</v>
      </c>
      <c r="AC577" s="11">
        <v>400</v>
      </c>
      <c r="AD577" s="11">
        <v>0</v>
      </c>
      <c r="AE577" s="11">
        <v>0</v>
      </c>
      <c r="AF577" s="11">
        <v>0</v>
      </c>
      <c r="AG577" s="27">
        <v>2E-3</v>
      </c>
      <c r="AH577" s="11">
        <v>0</v>
      </c>
      <c r="AI577" s="11">
        <v>0</v>
      </c>
      <c r="AJ577" s="11">
        <v>0</v>
      </c>
      <c r="AK577" s="11" t="s">
        <v>714</v>
      </c>
      <c r="AL577" s="10">
        <v>3</v>
      </c>
      <c r="AM577" s="11">
        <v>20</v>
      </c>
      <c r="AN577" s="10" t="s">
        <v>48</v>
      </c>
      <c r="AO577" s="21" t="s">
        <v>759</v>
      </c>
    </row>
    <row r="578" spans="1:41" ht="16.5">
      <c r="A578" s="10">
        <v>200317</v>
      </c>
      <c r="B578" s="21" t="s">
        <v>1338</v>
      </c>
      <c r="C578" s="21" t="s">
        <v>710</v>
      </c>
      <c r="D578" s="12" t="s">
        <v>103</v>
      </c>
      <c r="E578" s="2" t="s">
        <v>48</v>
      </c>
      <c r="F578" s="64">
        <v>200</v>
      </c>
      <c r="G578" s="10">
        <v>300</v>
      </c>
      <c r="H578" s="10">
        <v>50</v>
      </c>
      <c r="I578" s="21" t="s">
        <v>715</v>
      </c>
      <c r="J578" s="10">
        <v>1</v>
      </c>
      <c r="K578" s="10">
        <v>2</v>
      </c>
      <c r="L578" s="10">
        <v>0</v>
      </c>
      <c r="M578" s="10">
        <v>2000</v>
      </c>
      <c r="N578" s="10">
        <v>0</v>
      </c>
      <c r="O578" s="10">
        <v>0</v>
      </c>
      <c r="P578" s="10">
        <v>0</v>
      </c>
      <c r="Q578" s="10">
        <v>0</v>
      </c>
      <c r="R578" s="10">
        <v>0</v>
      </c>
      <c r="S578" s="10">
        <v>0</v>
      </c>
      <c r="T578" s="10">
        <v>0</v>
      </c>
      <c r="U578" s="10">
        <v>100</v>
      </c>
      <c r="V578" s="10">
        <v>0</v>
      </c>
      <c r="W578" s="10">
        <v>0</v>
      </c>
      <c r="X578" s="10">
        <v>0</v>
      </c>
      <c r="Y578" s="10">
        <v>0</v>
      </c>
      <c r="Z578" s="10">
        <v>0</v>
      </c>
      <c r="AA578" s="10">
        <v>0</v>
      </c>
      <c r="AB578" s="10">
        <v>0</v>
      </c>
      <c r="AC578" s="11">
        <v>400</v>
      </c>
      <c r="AD578" s="11">
        <v>0</v>
      </c>
      <c r="AE578" s="11">
        <v>0</v>
      </c>
      <c r="AF578" s="11">
        <v>0</v>
      </c>
      <c r="AG578" s="27">
        <v>2E-3</v>
      </c>
      <c r="AH578" s="11">
        <v>0</v>
      </c>
      <c r="AI578" s="11">
        <v>0</v>
      </c>
      <c r="AJ578" s="11">
        <v>0</v>
      </c>
      <c r="AK578" s="11" t="s">
        <v>714</v>
      </c>
      <c r="AL578" s="10">
        <v>3</v>
      </c>
      <c r="AM578" s="11">
        <v>20</v>
      </c>
      <c r="AN578" s="10" t="s">
        <v>48</v>
      </c>
      <c r="AO578" s="21" t="s">
        <v>759</v>
      </c>
    </row>
    <row r="579" spans="1:41" ht="16.5">
      <c r="A579" s="10">
        <v>200318</v>
      </c>
      <c r="B579" s="21" t="s">
        <v>1339</v>
      </c>
      <c r="C579" s="21" t="s">
        <v>710</v>
      </c>
      <c r="D579" s="12" t="s">
        <v>103</v>
      </c>
      <c r="E579" s="2" t="s">
        <v>48</v>
      </c>
      <c r="F579" s="64">
        <v>200</v>
      </c>
      <c r="G579" s="10">
        <v>300</v>
      </c>
      <c r="H579" s="10">
        <v>50</v>
      </c>
      <c r="I579" s="21" t="s">
        <v>715</v>
      </c>
      <c r="J579" s="10">
        <v>1</v>
      </c>
      <c r="K579" s="10">
        <v>2</v>
      </c>
      <c r="L579" s="10">
        <v>0</v>
      </c>
      <c r="M579" s="10">
        <v>2000</v>
      </c>
      <c r="N579" s="10">
        <v>0</v>
      </c>
      <c r="O579" s="10">
        <v>0</v>
      </c>
      <c r="P579" s="10">
        <v>0</v>
      </c>
      <c r="Q579" s="10">
        <v>0</v>
      </c>
      <c r="R579" s="10">
        <v>0</v>
      </c>
      <c r="S579" s="10">
        <v>0</v>
      </c>
      <c r="T579" s="10">
        <v>0</v>
      </c>
      <c r="U579" s="10">
        <v>100</v>
      </c>
      <c r="V579" s="10">
        <v>0</v>
      </c>
      <c r="W579" s="10">
        <v>0</v>
      </c>
      <c r="X579" s="10">
        <v>0</v>
      </c>
      <c r="Y579" s="10">
        <v>0</v>
      </c>
      <c r="Z579" s="10">
        <v>0</v>
      </c>
      <c r="AA579" s="10">
        <v>0</v>
      </c>
      <c r="AB579" s="10">
        <v>0</v>
      </c>
      <c r="AC579" s="11">
        <v>400</v>
      </c>
      <c r="AD579" s="11">
        <v>0</v>
      </c>
      <c r="AE579" s="11">
        <v>0</v>
      </c>
      <c r="AF579" s="11">
        <v>0</v>
      </c>
      <c r="AG579" s="27">
        <v>2E-3</v>
      </c>
      <c r="AH579" s="11">
        <v>0</v>
      </c>
      <c r="AI579" s="11">
        <v>0</v>
      </c>
      <c r="AJ579" s="11">
        <v>0</v>
      </c>
      <c r="AK579" s="11" t="s">
        <v>714</v>
      </c>
      <c r="AL579" s="10">
        <v>3</v>
      </c>
      <c r="AM579" s="11">
        <v>20</v>
      </c>
      <c r="AN579" s="10" t="s">
        <v>48</v>
      </c>
      <c r="AO579" s="21" t="s">
        <v>759</v>
      </c>
    </row>
    <row r="580" spans="1:41" ht="16.5">
      <c r="A580" s="10">
        <v>200319</v>
      </c>
      <c r="B580" s="21" t="s">
        <v>1340</v>
      </c>
      <c r="C580" s="21" t="s">
        <v>710</v>
      </c>
      <c r="D580" s="12" t="s">
        <v>103</v>
      </c>
      <c r="E580" s="2" t="s">
        <v>48</v>
      </c>
      <c r="F580" s="64">
        <v>200</v>
      </c>
      <c r="G580" s="10">
        <v>300</v>
      </c>
      <c r="H580" s="10">
        <v>50</v>
      </c>
      <c r="I580" s="21" t="s">
        <v>715</v>
      </c>
      <c r="J580" s="10">
        <v>1</v>
      </c>
      <c r="K580" s="10">
        <v>2</v>
      </c>
      <c r="L580" s="10">
        <v>0</v>
      </c>
      <c r="M580" s="10">
        <v>2000</v>
      </c>
      <c r="N580" s="10">
        <v>0</v>
      </c>
      <c r="O580" s="10">
        <v>0</v>
      </c>
      <c r="P580" s="10">
        <v>0</v>
      </c>
      <c r="Q580" s="10">
        <v>0</v>
      </c>
      <c r="R580" s="10">
        <v>0</v>
      </c>
      <c r="S580" s="10">
        <v>0</v>
      </c>
      <c r="T580" s="10">
        <v>0</v>
      </c>
      <c r="U580" s="10">
        <v>100</v>
      </c>
      <c r="V580" s="10">
        <v>0</v>
      </c>
      <c r="W580" s="10">
        <v>0</v>
      </c>
      <c r="X580" s="10">
        <v>0</v>
      </c>
      <c r="Y580" s="10">
        <v>0</v>
      </c>
      <c r="Z580" s="10">
        <v>0</v>
      </c>
      <c r="AA580" s="10">
        <v>0</v>
      </c>
      <c r="AB580" s="10">
        <v>0</v>
      </c>
      <c r="AC580" s="11">
        <v>400</v>
      </c>
      <c r="AD580" s="11">
        <v>0</v>
      </c>
      <c r="AE580" s="11">
        <v>0</v>
      </c>
      <c r="AF580" s="11">
        <v>0</v>
      </c>
      <c r="AG580" s="27">
        <v>2E-3</v>
      </c>
      <c r="AH580" s="11">
        <v>0</v>
      </c>
      <c r="AI580" s="11">
        <v>0</v>
      </c>
      <c r="AJ580" s="11">
        <v>0</v>
      </c>
      <c r="AK580" s="11" t="s">
        <v>714</v>
      </c>
      <c r="AL580" s="10">
        <v>3</v>
      </c>
      <c r="AM580" s="11">
        <v>20</v>
      </c>
      <c r="AN580" s="10" t="s">
        <v>48</v>
      </c>
      <c r="AO580" s="21" t="s">
        <v>759</v>
      </c>
    </row>
    <row r="581" spans="1:41" ht="16.5">
      <c r="A581" s="10">
        <v>200320</v>
      </c>
      <c r="B581" s="21" t="s">
        <v>1341</v>
      </c>
      <c r="C581" s="21" t="s">
        <v>710</v>
      </c>
      <c r="D581" s="12" t="s">
        <v>103</v>
      </c>
      <c r="E581" s="2" t="s">
        <v>48</v>
      </c>
      <c r="F581" s="64">
        <v>200</v>
      </c>
      <c r="G581" s="10">
        <v>300</v>
      </c>
      <c r="H581" s="10">
        <v>50</v>
      </c>
      <c r="I581" s="21" t="s">
        <v>715</v>
      </c>
      <c r="J581" s="10">
        <v>1</v>
      </c>
      <c r="K581" s="10">
        <v>2</v>
      </c>
      <c r="L581" s="10">
        <v>0</v>
      </c>
      <c r="M581" s="10">
        <v>2000</v>
      </c>
      <c r="N581" s="10">
        <v>0</v>
      </c>
      <c r="O581" s="10">
        <v>0</v>
      </c>
      <c r="P581" s="10">
        <v>0</v>
      </c>
      <c r="Q581" s="10">
        <v>0</v>
      </c>
      <c r="R581" s="10">
        <v>0</v>
      </c>
      <c r="S581" s="10">
        <v>0</v>
      </c>
      <c r="T581" s="10">
        <v>0</v>
      </c>
      <c r="U581" s="10">
        <v>100</v>
      </c>
      <c r="V581" s="10">
        <v>0</v>
      </c>
      <c r="W581" s="10">
        <v>0</v>
      </c>
      <c r="X581" s="10">
        <v>0</v>
      </c>
      <c r="Y581" s="10">
        <v>0</v>
      </c>
      <c r="Z581" s="10">
        <v>0</v>
      </c>
      <c r="AA581" s="10">
        <v>0</v>
      </c>
      <c r="AB581" s="10">
        <v>0</v>
      </c>
      <c r="AC581" s="11">
        <v>400</v>
      </c>
      <c r="AD581" s="11">
        <v>0</v>
      </c>
      <c r="AE581" s="11">
        <v>0</v>
      </c>
      <c r="AF581" s="11">
        <v>0</v>
      </c>
      <c r="AG581" s="27">
        <v>2E-3</v>
      </c>
      <c r="AH581" s="11">
        <v>0</v>
      </c>
      <c r="AI581" s="11">
        <v>0</v>
      </c>
      <c r="AJ581" s="11">
        <v>0</v>
      </c>
      <c r="AK581" s="11" t="s">
        <v>714</v>
      </c>
      <c r="AL581" s="10">
        <v>3</v>
      </c>
      <c r="AM581" s="11">
        <v>20</v>
      </c>
      <c r="AN581" s="10" t="s">
        <v>48</v>
      </c>
      <c r="AO581" s="21" t="s">
        <v>759</v>
      </c>
    </row>
    <row r="582" spans="1:41" ht="16.5">
      <c r="A582" s="10">
        <v>200321</v>
      </c>
      <c r="B582" s="21" t="s">
        <v>1342</v>
      </c>
      <c r="C582" s="21" t="s">
        <v>710</v>
      </c>
      <c r="D582" s="12" t="s">
        <v>103</v>
      </c>
      <c r="E582" s="2" t="s">
        <v>48</v>
      </c>
      <c r="F582" s="64">
        <v>200</v>
      </c>
      <c r="G582" s="10">
        <v>300</v>
      </c>
      <c r="H582" s="10">
        <v>50</v>
      </c>
      <c r="I582" s="21" t="s">
        <v>715</v>
      </c>
      <c r="J582" s="10">
        <v>1</v>
      </c>
      <c r="K582" s="10">
        <v>2</v>
      </c>
      <c r="L582" s="10">
        <v>0</v>
      </c>
      <c r="M582" s="10">
        <v>2000</v>
      </c>
      <c r="N582" s="10">
        <v>0</v>
      </c>
      <c r="O582" s="10">
        <v>0</v>
      </c>
      <c r="P582" s="10">
        <v>0</v>
      </c>
      <c r="Q582" s="10">
        <v>0</v>
      </c>
      <c r="R582" s="10">
        <v>0</v>
      </c>
      <c r="S582" s="10">
        <v>0</v>
      </c>
      <c r="T582" s="10">
        <v>0</v>
      </c>
      <c r="U582" s="10">
        <v>100</v>
      </c>
      <c r="V582" s="10">
        <v>0</v>
      </c>
      <c r="W582" s="10">
        <v>0</v>
      </c>
      <c r="X582" s="10">
        <v>0</v>
      </c>
      <c r="Y582" s="10">
        <v>0</v>
      </c>
      <c r="Z582" s="10">
        <v>0</v>
      </c>
      <c r="AA582" s="10">
        <v>0</v>
      </c>
      <c r="AB582" s="10">
        <v>0</v>
      </c>
      <c r="AC582" s="11">
        <v>400</v>
      </c>
      <c r="AD582" s="11">
        <v>0</v>
      </c>
      <c r="AE582" s="11">
        <v>0</v>
      </c>
      <c r="AF582" s="11">
        <v>0</v>
      </c>
      <c r="AG582" s="27">
        <v>2E-3</v>
      </c>
      <c r="AH582" s="11">
        <v>0</v>
      </c>
      <c r="AI582" s="11">
        <v>0</v>
      </c>
      <c r="AJ582" s="11">
        <v>0</v>
      </c>
      <c r="AK582" s="11" t="s">
        <v>714</v>
      </c>
      <c r="AL582" s="10">
        <v>3</v>
      </c>
      <c r="AM582" s="11">
        <v>20</v>
      </c>
      <c r="AN582" s="10" t="s">
        <v>48</v>
      </c>
      <c r="AO582" s="21" t="s">
        <v>759</v>
      </c>
    </row>
    <row r="583" spans="1:41" ht="16.5">
      <c r="A583" s="10">
        <v>200322</v>
      </c>
      <c r="B583" s="21" t="s">
        <v>1343</v>
      </c>
      <c r="C583" s="21" t="s">
        <v>710</v>
      </c>
      <c r="D583" s="12" t="s">
        <v>103</v>
      </c>
      <c r="E583" s="2" t="s">
        <v>48</v>
      </c>
      <c r="F583" s="64">
        <v>200</v>
      </c>
      <c r="G583" s="10">
        <v>300</v>
      </c>
      <c r="H583" s="10">
        <v>50</v>
      </c>
      <c r="I583" s="21" t="s">
        <v>715</v>
      </c>
      <c r="J583" s="10">
        <v>1</v>
      </c>
      <c r="K583" s="10">
        <v>2</v>
      </c>
      <c r="L583" s="10">
        <v>0</v>
      </c>
      <c r="M583" s="10">
        <v>2000</v>
      </c>
      <c r="N583" s="10">
        <v>0</v>
      </c>
      <c r="O583" s="10">
        <v>0</v>
      </c>
      <c r="P583" s="10">
        <v>0</v>
      </c>
      <c r="Q583" s="10">
        <v>0</v>
      </c>
      <c r="R583" s="10">
        <v>0</v>
      </c>
      <c r="S583" s="10">
        <v>0</v>
      </c>
      <c r="T583" s="10">
        <v>0</v>
      </c>
      <c r="U583" s="10">
        <v>100</v>
      </c>
      <c r="V583" s="10">
        <v>0</v>
      </c>
      <c r="W583" s="10">
        <v>0</v>
      </c>
      <c r="X583" s="10">
        <v>0</v>
      </c>
      <c r="Y583" s="10">
        <v>0</v>
      </c>
      <c r="Z583" s="10">
        <v>0</v>
      </c>
      <c r="AA583" s="10">
        <v>0</v>
      </c>
      <c r="AB583" s="10">
        <v>0</v>
      </c>
      <c r="AC583" s="11">
        <v>400</v>
      </c>
      <c r="AD583" s="11">
        <v>0</v>
      </c>
      <c r="AE583" s="11">
        <v>0</v>
      </c>
      <c r="AF583" s="11">
        <v>0</v>
      </c>
      <c r="AG583" s="27">
        <v>2E-3</v>
      </c>
      <c r="AH583" s="11">
        <v>0</v>
      </c>
      <c r="AI583" s="11">
        <v>0</v>
      </c>
      <c r="AJ583" s="11">
        <v>0</v>
      </c>
      <c r="AK583" s="11" t="s">
        <v>714</v>
      </c>
      <c r="AL583" s="10">
        <v>3</v>
      </c>
      <c r="AM583" s="11">
        <v>20</v>
      </c>
      <c r="AN583" s="10" t="s">
        <v>48</v>
      </c>
      <c r="AO583" s="21" t="s">
        <v>759</v>
      </c>
    </row>
    <row r="584" spans="1:41" ht="16.5">
      <c r="A584" s="10">
        <v>200323</v>
      </c>
      <c r="B584" s="21" t="s">
        <v>1344</v>
      </c>
      <c r="C584" s="21" t="s">
        <v>710</v>
      </c>
      <c r="D584" s="12" t="s">
        <v>103</v>
      </c>
      <c r="E584" s="2" t="s">
        <v>48</v>
      </c>
      <c r="F584" s="64">
        <v>200</v>
      </c>
      <c r="G584" s="10">
        <v>300</v>
      </c>
      <c r="H584" s="10">
        <v>50</v>
      </c>
      <c r="I584" s="21" t="s">
        <v>715</v>
      </c>
      <c r="J584" s="10">
        <v>1</v>
      </c>
      <c r="K584" s="10">
        <v>2</v>
      </c>
      <c r="L584" s="10">
        <v>0</v>
      </c>
      <c r="M584" s="10">
        <v>2000</v>
      </c>
      <c r="N584" s="10">
        <v>0</v>
      </c>
      <c r="O584" s="10">
        <v>0</v>
      </c>
      <c r="P584" s="10">
        <v>0</v>
      </c>
      <c r="Q584" s="10">
        <v>0</v>
      </c>
      <c r="R584" s="10">
        <v>0</v>
      </c>
      <c r="S584" s="10">
        <v>0</v>
      </c>
      <c r="T584" s="10">
        <v>0</v>
      </c>
      <c r="U584" s="10">
        <v>100</v>
      </c>
      <c r="V584" s="10">
        <v>0</v>
      </c>
      <c r="W584" s="10">
        <v>0</v>
      </c>
      <c r="X584" s="10">
        <v>0</v>
      </c>
      <c r="Y584" s="10">
        <v>0</v>
      </c>
      <c r="Z584" s="10">
        <v>0</v>
      </c>
      <c r="AA584" s="10">
        <v>0</v>
      </c>
      <c r="AB584" s="10">
        <v>0</v>
      </c>
      <c r="AC584" s="11">
        <v>400</v>
      </c>
      <c r="AD584" s="11">
        <v>0</v>
      </c>
      <c r="AE584" s="11">
        <v>0</v>
      </c>
      <c r="AF584" s="11">
        <v>0</v>
      </c>
      <c r="AG584" s="27">
        <v>2E-3</v>
      </c>
      <c r="AH584" s="11">
        <v>0</v>
      </c>
      <c r="AI584" s="11">
        <v>0</v>
      </c>
      <c r="AJ584" s="11">
        <v>0</v>
      </c>
      <c r="AK584" s="11" t="s">
        <v>714</v>
      </c>
      <c r="AL584" s="10">
        <v>3</v>
      </c>
      <c r="AM584" s="11">
        <v>20</v>
      </c>
      <c r="AN584" s="10" t="s">
        <v>48</v>
      </c>
      <c r="AO584" s="21" t="s">
        <v>759</v>
      </c>
    </row>
    <row r="585" spans="1:41" ht="16.5">
      <c r="A585" s="10">
        <v>200324</v>
      </c>
      <c r="B585" s="21" t="s">
        <v>1345</v>
      </c>
      <c r="C585" s="21" t="s">
        <v>710</v>
      </c>
      <c r="D585" s="12" t="s">
        <v>103</v>
      </c>
      <c r="E585" s="2" t="s">
        <v>48</v>
      </c>
      <c r="F585" s="64">
        <v>200</v>
      </c>
      <c r="G585" s="10">
        <v>300</v>
      </c>
      <c r="H585" s="10">
        <v>50</v>
      </c>
      <c r="I585" s="21" t="s">
        <v>715</v>
      </c>
      <c r="J585" s="10">
        <v>1</v>
      </c>
      <c r="K585" s="10">
        <v>2</v>
      </c>
      <c r="L585" s="10">
        <v>0</v>
      </c>
      <c r="M585" s="10">
        <v>2000</v>
      </c>
      <c r="N585" s="10">
        <v>0</v>
      </c>
      <c r="O585" s="10">
        <v>0</v>
      </c>
      <c r="P585" s="10">
        <v>0</v>
      </c>
      <c r="Q585" s="10">
        <v>0</v>
      </c>
      <c r="R585" s="10">
        <v>0</v>
      </c>
      <c r="S585" s="10">
        <v>0</v>
      </c>
      <c r="T585" s="10">
        <v>0</v>
      </c>
      <c r="U585" s="10">
        <v>100</v>
      </c>
      <c r="V585" s="10">
        <v>0</v>
      </c>
      <c r="W585" s="10">
        <v>0</v>
      </c>
      <c r="X585" s="10">
        <v>0</v>
      </c>
      <c r="Y585" s="10">
        <v>0</v>
      </c>
      <c r="Z585" s="10">
        <v>0</v>
      </c>
      <c r="AA585" s="10">
        <v>0</v>
      </c>
      <c r="AB585" s="10">
        <v>0</v>
      </c>
      <c r="AC585" s="11">
        <v>400</v>
      </c>
      <c r="AD585" s="11">
        <v>0</v>
      </c>
      <c r="AE585" s="11">
        <v>0</v>
      </c>
      <c r="AF585" s="11">
        <v>0</v>
      </c>
      <c r="AG585" s="27">
        <v>2E-3</v>
      </c>
      <c r="AH585" s="11">
        <v>0</v>
      </c>
      <c r="AI585" s="11">
        <v>0</v>
      </c>
      <c r="AJ585" s="11">
        <v>0</v>
      </c>
      <c r="AK585" s="11" t="s">
        <v>714</v>
      </c>
      <c r="AL585" s="10">
        <v>3</v>
      </c>
      <c r="AM585" s="11">
        <v>20</v>
      </c>
      <c r="AN585" s="10" t="s">
        <v>48</v>
      </c>
      <c r="AO585" s="21" t="s">
        <v>759</v>
      </c>
    </row>
    <row r="586" spans="1:41" ht="16.5">
      <c r="A586" s="10">
        <v>2004</v>
      </c>
      <c r="B586" s="21" t="s">
        <v>1346</v>
      </c>
      <c r="C586" s="21" t="s">
        <v>160</v>
      </c>
      <c r="D586" s="12" t="s">
        <v>104</v>
      </c>
      <c r="E586" s="2" t="s">
        <v>63</v>
      </c>
      <c r="F586" s="64">
        <v>200</v>
      </c>
      <c r="G586" s="10">
        <v>300</v>
      </c>
      <c r="H586" s="10">
        <v>50</v>
      </c>
      <c r="I586" s="12" t="s">
        <v>159</v>
      </c>
      <c r="J586" s="10">
        <v>1</v>
      </c>
      <c r="K586" s="10">
        <v>2</v>
      </c>
      <c r="L586" s="10">
        <v>0</v>
      </c>
      <c r="M586" s="10">
        <v>0</v>
      </c>
      <c r="N586" s="10">
        <v>0</v>
      </c>
      <c r="O586" s="10">
        <v>0</v>
      </c>
      <c r="P586" s="10">
        <v>40</v>
      </c>
      <c r="Q586" s="10">
        <v>0</v>
      </c>
      <c r="R586" s="10">
        <v>0</v>
      </c>
      <c r="S586" s="10">
        <v>0</v>
      </c>
      <c r="T586" s="10">
        <v>0</v>
      </c>
      <c r="U586" s="10">
        <v>0</v>
      </c>
      <c r="V586" s="10">
        <v>0</v>
      </c>
      <c r="W586" s="10">
        <v>0</v>
      </c>
      <c r="X586" s="10">
        <v>2</v>
      </c>
      <c r="Y586" s="10">
        <v>0</v>
      </c>
      <c r="Z586" s="10">
        <v>0</v>
      </c>
      <c r="AA586" s="10">
        <v>0</v>
      </c>
      <c r="AB586" s="10">
        <v>0</v>
      </c>
      <c r="AC586" s="11">
        <v>0</v>
      </c>
      <c r="AD586" s="11">
        <v>0</v>
      </c>
      <c r="AE586" s="11">
        <v>0</v>
      </c>
      <c r="AF586" s="11">
        <v>8</v>
      </c>
      <c r="AG586" s="11">
        <v>0</v>
      </c>
      <c r="AH586" s="27">
        <v>2E-3</v>
      </c>
      <c r="AI586" s="11">
        <v>0</v>
      </c>
      <c r="AJ586" s="11">
        <v>0</v>
      </c>
      <c r="AK586" s="11" t="s">
        <v>714</v>
      </c>
      <c r="AL586" s="10">
        <v>4</v>
      </c>
      <c r="AM586" s="11">
        <v>20</v>
      </c>
      <c r="AN586" s="10" t="s">
        <v>48</v>
      </c>
      <c r="AO586" s="21" t="s">
        <v>760</v>
      </c>
    </row>
    <row r="587" spans="1:41" ht="16.5">
      <c r="A587" s="10">
        <v>200411</v>
      </c>
      <c r="B587" s="21" t="s">
        <v>1347</v>
      </c>
      <c r="C587" s="21" t="s">
        <v>160</v>
      </c>
      <c r="D587" s="12" t="s">
        <v>104</v>
      </c>
      <c r="E587" s="2" t="s">
        <v>63</v>
      </c>
      <c r="F587" s="64">
        <v>200</v>
      </c>
      <c r="G587" s="10">
        <v>300</v>
      </c>
      <c r="H587" s="10">
        <v>50</v>
      </c>
      <c r="I587" s="12" t="s">
        <v>159</v>
      </c>
      <c r="J587" s="10">
        <v>1</v>
      </c>
      <c r="K587" s="10">
        <v>2</v>
      </c>
      <c r="L587" s="10">
        <v>0</v>
      </c>
      <c r="M587" s="10">
        <v>0</v>
      </c>
      <c r="N587" s="10">
        <v>0</v>
      </c>
      <c r="O587" s="10">
        <v>0</v>
      </c>
      <c r="P587" s="10">
        <v>40</v>
      </c>
      <c r="Q587" s="10">
        <v>0</v>
      </c>
      <c r="R587" s="10">
        <v>0</v>
      </c>
      <c r="S587" s="10">
        <v>0</v>
      </c>
      <c r="T587" s="10">
        <v>0</v>
      </c>
      <c r="U587" s="10">
        <v>0</v>
      </c>
      <c r="V587" s="10">
        <v>0</v>
      </c>
      <c r="W587" s="10">
        <v>0</v>
      </c>
      <c r="X587" s="10">
        <v>2</v>
      </c>
      <c r="Y587" s="10">
        <v>0</v>
      </c>
      <c r="Z587" s="10">
        <v>0</v>
      </c>
      <c r="AA587" s="10">
        <v>0</v>
      </c>
      <c r="AB587" s="10">
        <v>0</v>
      </c>
      <c r="AC587" s="11">
        <v>0</v>
      </c>
      <c r="AD587" s="11">
        <v>0</v>
      </c>
      <c r="AE587" s="11">
        <v>0</v>
      </c>
      <c r="AF587" s="11">
        <v>8</v>
      </c>
      <c r="AG587" s="11">
        <v>0</v>
      </c>
      <c r="AH587" s="27">
        <v>2E-3</v>
      </c>
      <c r="AI587" s="11">
        <v>0</v>
      </c>
      <c r="AJ587" s="11">
        <v>0</v>
      </c>
      <c r="AK587" s="11" t="s">
        <v>714</v>
      </c>
      <c r="AL587" s="10">
        <v>4</v>
      </c>
      <c r="AM587" s="11">
        <v>20</v>
      </c>
      <c r="AN587" s="10" t="s">
        <v>48</v>
      </c>
      <c r="AO587" s="21" t="s">
        <v>760</v>
      </c>
    </row>
    <row r="588" spans="1:41" ht="16.5">
      <c r="A588" s="10">
        <v>200412</v>
      </c>
      <c r="B588" s="21" t="s">
        <v>1348</v>
      </c>
      <c r="C588" s="21" t="s">
        <v>160</v>
      </c>
      <c r="D588" s="12" t="s">
        <v>104</v>
      </c>
      <c r="E588" s="2" t="s">
        <v>63</v>
      </c>
      <c r="F588" s="64">
        <v>200</v>
      </c>
      <c r="G588" s="10">
        <v>300</v>
      </c>
      <c r="H588" s="10">
        <v>50</v>
      </c>
      <c r="I588" s="12" t="s">
        <v>159</v>
      </c>
      <c r="J588" s="10">
        <v>1</v>
      </c>
      <c r="K588" s="10">
        <v>2</v>
      </c>
      <c r="L588" s="10">
        <v>0</v>
      </c>
      <c r="M588" s="10">
        <v>0</v>
      </c>
      <c r="N588" s="10">
        <v>0</v>
      </c>
      <c r="O588" s="10">
        <v>0</v>
      </c>
      <c r="P588" s="10">
        <v>40</v>
      </c>
      <c r="Q588" s="10">
        <v>0</v>
      </c>
      <c r="R588" s="10">
        <v>0</v>
      </c>
      <c r="S588" s="10">
        <v>0</v>
      </c>
      <c r="T588" s="10">
        <v>0</v>
      </c>
      <c r="U588" s="10">
        <v>0</v>
      </c>
      <c r="V588" s="10">
        <v>0</v>
      </c>
      <c r="W588" s="10">
        <v>0</v>
      </c>
      <c r="X588" s="10">
        <v>2</v>
      </c>
      <c r="Y588" s="10">
        <v>0</v>
      </c>
      <c r="Z588" s="10">
        <v>0</v>
      </c>
      <c r="AA588" s="10">
        <v>0</v>
      </c>
      <c r="AB588" s="10">
        <v>0</v>
      </c>
      <c r="AC588" s="11">
        <v>0</v>
      </c>
      <c r="AD588" s="11">
        <v>0</v>
      </c>
      <c r="AE588" s="11">
        <v>0</v>
      </c>
      <c r="AF588" s="11">
        <v>8</v>
      </c>
      <c r="AG588" s="11">
        <v>0</v>
      </c>
      <c r="AH588" s="27">
        <v>2E-3</v>
      </c>
      <c r="AI588" s="11">
        <v>0</v>
      </c>
      <c r="AJ588" s="11">
        <v>0</v>
      </c>
      <c r="AK588" s="11" t="s">
        <v>714</v>
      </c>
      <c r="AL588" s="10">
        <v>4</v>
      </c>
      <c r="AM588" s="11">
        <v>20</v>
      </c>
      <c r="AN588" s="10" t="s">
        <v>48</v>
      </c>
      <c r="AO588" s="21" t="s">
        <v>760</v>
      </c>
    </row>
    <row r="589" spans="1:41" ht="16.5">
      <c r="A589" s="10">
        <v>200413</v>
      </c>
      <c r="B589" s="21" t="s">
        <v>1349</v>
      </c>
      <c r="C589" s="21" t="s">
        <v>160</v>
      </c>
      <c r="D589" s="12" t="s">
        <v>104</v>
      </c>
      <c r="E589" s="2" t="s">
        <v>63</v>
      </c>
      <c r="F589" s="64">
        <v>200</v>
      </c>
      <c r="G589" s="10">
        <v>300</v>
      </c>
      <c r="H589" s="10">
        <v>50</v>
      </c>
      <c r="I589" s="12" t="s">
        <v>159</v>
      </c>
      <c r="J589" s="10">
        <v>1</v>
      </c>
      <c r="K589" s="10">
        <v>2</v>
      </c>
      <c r="L589" s="10">
        <v>0</v>
      </c>
      <c r="M589" s="10">
        <v>0</v>
      </c>
      <c r="N589" s="10">
        <v>0</v>
      </c>
      <c r="O589" s="10">
        <v>0</v>
      </c>
      <c r="P589" s="10">
        <v>40</v>
      </c>
      <c r="Q589" s="10">
        <v>0</v>
      </c>
      <c r="R589" s="10">
        <v>0</v>
      </c>
      <c r="S589" s="10">
        <v>0</v>
      </c>
      <c r="T589" s="10">
        <v>0</v>
      </c>
      <c r="U589" s="10">
        <v>0</v>
      </c>
      <c r="V589" s="10">
        <v>0</v>
      </c>
      <c r="W589" s="10">
        <v>0</v>
      </c>
      <c r="X589" s="10">
        <v>2</v>
      </c>
      <c r="Y589" s="10">
        <v>0</v>
      </c>
      <c r="Z589" s="10">
        <v>0</v>
      </c>
      <c r="AA589" s="10">
        <v>0</v>
      </c>
      <c r="AB589" s="10">
        <v>0</v>
      </c>
      <c r="AC589" s="11">
        <v>0</v>
      </c>
      <c r="AD589" s="11">
        <v>0</v>
      </c>
      <c r="AE589" s="11">
        <v>0</v>
      </c>
      <c r="AF589" s="11">
        <v>8</v>
      </c>
      <c r="AG589" s="11">
        <v>0</v>
      </c>
      <c r="AH589" s="27">
        <v>2E-3</v>
      </c>
      <c r="AI589" s="11">
        <v>0</v>
      </c>
      <c r="AJ589" s="11">
        <v>0</v>
      </c>
      <c r="AK589" s="11" t="s">
        <v>714</v>
      </c>
      <c r="AL589" s="10">
        <v>4</v>
      </c>
      <c r="AM589" s="11">
        <v>20</v>
      </c>
      <c r="AN589" s="10" t="s">
        <v>48</v>
      </c>
      <c r="AO589" s="21" t="s">
        <v>760</v>
      </c>
    </row>
    <row r="590" spans="1:41" ht="16.5">
      <c r="A590" s="10">
        <v>200414</v>
      </c>
      <c r="B590" s="21" t="s">
        <v>1350</v>
      </c>
      <c r="C590" s="21" t="s">
        <v>160</v>
      </c>
      <c r="D590" s="12" t="s">
        <v>104</v>
      </c>
      <c r="E590" s="2" t="s">
        <v>63</v>
      </c>
      <c r="F590" s="64">
        <v>200</v>
      </c>
      <c r="G590" s="10">
        <v>300</v>
      </c>
      <c r="H590" s="10">
        <v>50</v>
      </c>
      <c r="I590" s="12" t="s">
        <v>159</v>
      </c>
      <c r="J590" s="10">
        <v>1</v>
      </c>
      <c r="K590" s="10">
        <v>2</v>
      </c>
      <c r="L590" s="10">
        <v>0</v>
      </c>
      <c r="M590" s="10">
        <v>0</v>
      </c>
      <c r="N590" s="10">
        <v>0</v>
      </c>
      <c r="O590" s="10">
        <v>0</v>
      </c>
      <c r="P590" s="10">
        <v>40</v>
      </c>
      <c r="Q590" s="10">
        <v>0</v>
      </c>
      <c r="R590" s="10">
        <v>0</v>
      </c>
      <c r="S590" s="10">
        <v>0</v>
      </c>
      <c r="T590" s="10">
        <v>0</v>
      </c>
      <c r="U590" s="10">
        <v>0</v>
      </c>
      <c r="V590" s="10">
        <v>0</v>
      </c>
      <c r="W590" s="10">
        <v>0</v>
      </c>
      <c r="X590" s="10">
        <v>2</v>
      </c>
      <c r="Y590" s="10">
        <v>0</v>
      </c>
      <c r="Z590" s="10">
        <v>0</v>
      </c>
      <c r="AA590" s="10">
        <v>0</v>
      </c>
      <c r="AB590" s="10">
        <v>0</v>
      </c>
      <c r="AC590" s="11">
        <v>0</v>
      </c>
      <c r="AD590" s="11">
        <v>0</v>
      </c>
      <c r="AE590" s="11">
        <v>0</v>
      </c>
      <c r="AF590" s="11">
        <v>8</v>
      </c>
      <c r="AG590" s="11">
        <v>0</v>
      </c>
      <c r="AH590" s="27">
        <v>2E-3</v>
      </c>
      <c r="AI590" s="11">
        <v>0</v>
      </c>
      <c r="AJ590" s="11">
        <v>0</v>
      </c>
      <c r="AK590" s="11" t="s">
        <v>714</v>
      </c>
      <c r="AL590" s="10">
        <v>4</v>
      </c>
      <c r="AM590" s="11">
        <v>20</v>
      </c>
      <c r="AN590" s="10" t="s">
        <v>48</v>
      </c>
      <c r="AO590" s="21" t="s">
        <v>760</v>
      </c>
    </row>
    <row r="591" spans="1:41" ht="16.5">
      <c r="A591" s="10">
        <v>200415</v>
      </c>
      <c r="B591" s="21" t="s">
        <v>1351</v>
      </c>
      <c r="C591" s="21" t="s">
        <v>160</v>
      </c>
      <c r="D591" s="12" t="s">
        <v>104</v>
      </c>
      <c r="E591" s="2" t="s">
        <v>63</v>
      </c>
      <c r="F591" s="64">
        <v>200</v>
      </c>
      <c r="G591" s="10">
        <v>300</v>
      </c>
      <c r="H591" s="10">
        <v>50</v>
      </c>
      <c r="I591" s="12" t="s">
        <v>159</v>
      </c>
      <c r="J591" s="10">
        <v>1</v>
      </c>
      <c r="K591" s="10">
        <v>2</v>
      </c>
      <c r="L591" s="10">
        <v>0</v>
      </c>
      <c r="M591" s="10">
        <v>0</v>
      </c>
      <c r="N591" s="10">
        <v>0</v>
      </c>
      <c r="O591" s="10">
        <v>0</v>
      </c>
      <c r="P591" s="10">
        <v>40</v>
      </c>
      <c r="Q591" s="10">
        <v>0</v>
      </c>
      <c r="R591" s="10">
        <v>0</v>
      </c>
      <c r="S591" s="10">
        <v>0</v>
      </c>
      <c r="T591" s="10">
        <v>0</v>
      </c>
      <c r="U591" s="10">
        <v>0</v>
      </c>
      <c r="V591" s="10">
        <v>0</v>
      </c>
      <c r="W591" s="10">
        <v>0</v>
      </c>
      <c r="X591" s="10">
        <v>2</v>
      </c>
      <c r="Y591" s="10">
        <v>0</v>
      </c>
      <c r="Z591" s="10">
        <v>0</v>
      </c>
      <c r="AA591" s="10">
        <v>0</v>
      </c>
      <c r="AB591" s="10">
        <v>0</v>
      </c>
      <c r="AC591" s="11">
        <v>0</v>
      </c>
      <c r="AD591" s="11">
        <v>0</v>
      </c>
      <c r="AE591" s="11">
        <v>0</v>
      </c>
      <c r="AF591" s="11">
        <v>8</v>
      </c>
      <c r="AG591" s="11">
        <v>0</v>
      </c>
      <c r="AH591" s="27">
        <v>2E-3</v>
      </c>
      <c r="AI591" s="11">
        <v>0</v>
      </c>
      <c r="AJ591" s="11">
        <v>0</v>
      </c>
      <c r="AK591" s="11" t="s">
        <v>714</v>
      </c>
      <c r="AL591" s="10">
        <v>4</v>
      </c>
      <c r="AM591" s="11">
        <v>20</v>
      </c>
      <c r="AN591" s="10" t="s">
        <v>48</v>
      </c>
      <c r="AO591" s="21" t="s">
        <v>760</v>
      </c>
    </row>
    <row r="592" spans="1:41" ht="16.5">
      <c r="A592" s="10">
        <v>200416</v>
      </c>
      <c r="B592" s="21" t="s">
        <v>1352</v>
      </c>
      <c r="C592" s="21" t="s">
        <v>160</v>
      </c>
      <c r="D592" s="12" t="s">
        <v>104</v>
      </c>
      <c r="E592" s="2" t="s">
        <v>63</v>
      </c>
      <c r="F592" s="64">
        <v>200</v>
      </c>
      <c r="G592" s="10">
        <v>300</v>
      </c>
      <c r="H592" s="10">
        <v>50</v>
      </c>
      <c r="I592" s="12" t="s">
        <v>159</v>
      </c>
      <c r="J592" s="10">
        <v>1</v>
      </c>
      <c r="K592" s="10">
        <v>2</v>
      </c>
      <c r="L592" s="10">
        <v>0</v>
      </c>
      <c r="M592" s="10">
        <v>0</v>
      </c>
      <c r="N592" s="10">
        <v>0</v>
      </c>
      <c r="O592" s="10">
        <v>0</v>
      </c>
      <c r="P592" s="10">
        <v>40</v>
      </c>
      <c r="Q592" s="10">
        <v>0</v>
      </c>
      <c r="R592" s="10">
        <v>0</v>
      </c>
      <c r="S592" s="10">
        <v>0</v>
      </c>
      <c r="T592" s="10">
        <v>0</v>
      </c>
      <c r="U592" s="10">
        <v>0</v>
      </c>
      <c r="V592" s="10">
        <v>0</v>
      </c>
      <c r="W592" s="10">
        <v>0</v>
      </c>
      <c r="X592" s="10">
        <v>2</v>
      </c>
      <c r="Y592" s="10">
        <v>0</v>
      </c>
      <c r="Z592" s="10">
        <v>0</v>
      </c>
      <c r="AA592" s="10">
        <v>0</v>
      </c>
      <c r="AB592" s="10">
        <v>0</v>
      </c>
      <c r="AC592" s="11">
        <v>0</v>
      </c>
      <c r="AD592" s="11">
        <v>0</v>
      </c>
      <c r="AE592" s="11">
        <v>0</v>
      </c>
      <c r="AF592" s="11">
        <v>8</v>
      </c>
      <c r="AG592" s="11">
        <v>0</v>
      </c>
      <c r="AH592" s="27">
        <v>2E-3</v>
      </c>
      <c r="AI592" s="11">
        <v>0</v>
      </c>
      <c r="AJ592" s="11">
        <v>0</v>
      </c>
      <c r="AK592" s="11" t="s">
        <v>714</v>
      </c>
      <c r="AL592" s="10">
        <v>4</v>
      </c>
      <c r="AM592" s="11">
        <v>20</v>
      </c>
      <c r="AN592" s="10" t="s">
        <v>48</v>
      </c>
      <c r="AO592" s="21" t="s">
        <v>760</v>
      </c>
    </row>
    <row r="593" spans="1:41" ht="16.5">
      <c r="A593" s="10">
        <v>200417</v>
      </c>
      <c r="B593" s="21" t="s">
        <v>1353</v>
      </c>
      <c r="C593" s="21" t="s">
        <v>160</v>
      </c>
      <c r="D593" s="12" t="s">
        <v>104</v>
      </c>
      <c r="E593" s="2" t="s">
        <v>63</v>
      </c>
      <c r="F593" s="64">
        <v>200</v>
      </c>
      <c r="G593" s="10">
        <v>300</v>
      </c>
      <c r="H593" s="10">
        <v>50</v>
      </c>
      <c r="I593" s="12" t="s">
        <v>159</v>
      </c>
      <c r="J593" s="10">
        <v>1</v>
      </c>
      <c r="K593" s="10">
        <v>2</v>
      </c>
      <c r="L593" s="10">
        <v>0</v>
      </c>
      <c r="M593" s="10">
        <v>0</v>
      </c>
      <c r="N593" s="10">
        <v>0</v>
      </c>
      <c r="O593" s="10">
        <v>0</v>
      </c>
      <c r="P593" s="10">
        <v>40</v>
      </c>
      <c r="Q593" s="10">
        <v>0</v>
      </c>
      <c r="R593" s="10">
        <v>0</v>
      </c>
      <c r="S593" s="10">
        <v>0</v>
      </c>
      <c r="T593" s="10">
        <v>0</v>
      </c>
      <c r="U593" s="10">
        <v>0</v>
      </c>
      <c r="V593" s="10">
        <v>0</v>
      </c>
      <c r="W593" s="10">
        <v>0</v>
      </c>
      <c r="X593" s="10">
        <v>2</v>
      </c>
      <c r="Y593" s="10">
        <v>0</v>
      </c>
      <c r="Z593" s="10">
        <v>0</v>
      </c>
      <c r="AA593" s="10">
        <v>0</v>
      </c>
      <c r="AB593" s="10">
        <v>0</v>
      </c>
      <c r="AC593" s="11">
        <v>0</v>
      </c>
      <c r="AD593" s="11">
        <v>0</v>
      </c>
      <c r="AE593" s="11">
        <v>0</v>
      </c>
      <c r="AF593" s="11">
        <v>8</v>
      </c>
      <c r="AG593" s="11">
        <v>0</v>
      </c>
      <c r="AH593" s="27">
        <v>2E-3</v>
      </c>
      <c r="AI593" s="11">
        <v>0</v>
      </c>
      <c r="AJ593" s="11">
        <v>0</v>
      </c>
      <c r="AK593" s="11" t="s">
        <v>714</v>
      </c>
      <c r="AL593" s="10">
        <v>4</v>
      </c>
      <c r="AM593" s="11">
        <v>20</v>
      </c>
      <c r="AN593" s="10" t="s">
        <v>48</v>
      </c>
      <c r="AO593" s="21" t="s">
        <v>760</v>
      </c>
    </row>
    <row r="594" spans="1:41" ht="16.5">
      <c r="A594" s="10">
        <v>200418</v>
      </c>
      <c r="B594" s="21" t="s">
        <v>1354</v>
      </c>
      <c r="C594" s="21" t="s">
        <v>160</v>
      </c>
      <c r="D594" s="12" t="s">
        <v>104</v>
      </c>
      <c r="E594" s="2" t="s">
        <v>63</v>
      </c>
      <c r="F594" s="64">
        <v>200</v>
      </c>
      <c r="G594" s="10">
        <v>300</v>
      </c>
      <c r="H594" s="10">
        <v>50</v>
      </c>
      <c r="I594" s="12" t="s">
        <v>159</v>
      </c>
      <c r="J594" s="10">
        <v>1</v>
      </c>
      <c r="K594" s="10">
        <v>2</v>
      </c>
      <c r="L594" s="10">
        <v>0</v>
      </c>
      <c r="M594" s="10">
        <v>0</v>
      </c>
      <c r="N594" s="10">
        <v>0</v>
      </c>
      <c r="O594" s="10">
        <v>0</v>
      </c>
      <c r="P594" s="10">
        <v>40</v>
      </c>
      <c r="Q594" s="10">
        <v>0</v>
      </c>
      <c r="R594" s="10">
        <v>0</v>
      </c>
      <c r="S594" s="10">
        <v>0</v>
      </c>
      <c r="T594" s="10">
        <v>0</v>
      </c>
      <c r="U594" s="10">
        <v>0</v>
      </c>
      <c r="V594" s="10">
        <v>0</v>
      </c>
      <c r="W594" s="10">
        <v>0</v>
      </c>
      <c r="X594" s="10">
        <v>2</v>
      </c>
      <c r="Y594" s="10">
        <v>0</v>
      </c>
      <c r="Z594" s="10">
        <v>0</v>
      </c>
      <c r="AA594" s="10">
        <v>0</v>
      </c>
      <c r="AB594" s="10">
        <v>0</v>
      </c>
      <c r="AC594" s="11">
        <v>0</v>
      </c>
      <c r="AD594" s="11">
        <v>0</v>
      </c>
      <c r="AE594" s="11">
        <v>0</v>
      </c>
      <c r="AF594" s="11">
        <v>8</v>
      </c>
      <c r="AG594" s="11">
        <v>0</v>
      </c>
      <c r="AH594" s="27">
        <v>2E-3</v>
      </c>
      <c r="AI594" s="11">
        <v>0</v>
      </c>
      <c r="AJ594" s="11">
        <v>0</v>
      </c>
      <c r="AK594" s="11" t="s">
        <v>714</v>
      </c>
      <c r="AL594" s="10">
        <v>4</v>
      </c>
      <c r="AM594" s="11">
        <v>20</v>
      </c>
      <c r="AN594" s="10" t="s">
        <v>48</v>
      </c>
      <c r="AO594" s="21" t="s">
        <v>760</v>
      </c>
    </row>
    <row r="595" spans="1:41" ht="16.5">
      <c r="A595" s="10">
        <v>200419</v>
      </c>
      <c r="B595" s="21" t="s">
        <v>1355</v>
      </c>
      <c r="C595" s="21" t="s">
        <v>160</v>
      </c>
      <c r="D595" s="12" t="s">
        <v>104</v>
      </c>
      <c r="E595" s="2" t="s">
        <v>63</v>
      </c>
      <c r="F595" s="64">
        <v>200</v>
      </c>
      <c r="G595" s="10">
        <v>300</v>
      </c>
      <c r="H595" s="10">
        <v>50</v>
      </c>
      <c r="I595" s="12" t="s">
        <v>159</v>
      </c>
      <c r="J595" s="10">
        <v>1</v>
      </c>
      <c r="K595" s="10">
        <v>2</v>
      </c>
      <c r="L595" s="10">
        <v>0</v>
      </c>
      <c r="M595" s="10">
        <v>0</v>
      </c>
      <c r="N595" s="10">
        <v>0</v>
      </c>
      <c r="O595" s="10">
        <v>0</v>
      </c>
      <c r="P595" s="10">
        <v>40</v>
      </c>
      <c r="Q595" s="10">
        <v>0</v>
      </c>
      <c r="R595" s="10">
        <v>0</v>
      </c>
      <c r="S595" s="10">
        <v>0</v>
      </c>
      <c r="T595" s="10">
        <v>0</v>
      </c>
      <c r="U595" s="10">
        <v>0</v>
      </c>
      <c r="V595" s="10">
        <v>0</v>
      </c>
      <c r="W595" s="10">
        <v>0</v>
      </c>
      <c r="X595" s="10">
        <v>2</v>
      </c>
      <c r="Y595" s="10">
        <v>0</v>
      </c>
      <c r="Z595" s="10">
        <v>0</v>
      </c>
      <c r="AA595" s="10">
        <v>0</v>
      </c>
      <c r="AB595" s="10">
        <v>0</v>
      </c>
      <c r="AC595" s="11">
        <v>0</v>
      </c>
      <c r="AD595" s="11">
        <v>0</v>
      </c>
      <c r="AE595" s="11">
        <v>0</v>
      </c>
      <c r="AF595" s="11">
        <v>8</v>
      </c>
      <c r="AG595" s="11">
        <v>0</v>
      </c>
      <c r="AH595" s="27">
        <v>2E-3</v>
      </c>
      <c r="AI595" s="11">
        <v>0</v>
      </c>
      <c r="AJ595" s="11">
        <v>0</v>
      </c>
      <c r="AK595" s="11" t="s">
        <v>714</v>
      </c>
      <c r="AL595" s="10">
        <v>4</v>
      </c>
      <c r="AM595" s="11">
        <v>20</v>
      </c>
      <c r="AN595" s="10" t="s">
        <v>48</v>
      </c>
      <c r="AO595" s="21" t="s">
        <v>760</v>
      </c>
    </row>
    <row r="596" spans="1:41" ht="16.5">
      <c r="A596" s="10">
        <v>200420</v>
      </c>
      <c r="B596" s="21" t="s">
        <v>1356</v>
      </c>
      <c r="C596" s="21" t="s">
        <v>160</v>
      </c>
      <c r="D596" s="12" t="s">
        <v>104</v>
      </c>
      <c r="E596" s="2" t="s">
        <v>63</v>
      </c>
      <c r="F596" s="64">
        <v>200</v>
      </c>
      <c r="G596" s="10">
        <v>300</v>
      </c>
      <c r="H596" s="10">
        <v>50</v>
      </c>
      <c r="I596" s="12" t="s">
        <v>159</v>
      </c>
      <c r="J596" s="10">
        <v>1</v>
      </c>
      <c r="K596" s="10">
        <v>2</v>
      </c>
      <c r="L596" s="10">
        <v>0</v>
      </c>
      <c r="M596" s="10">
        <v>0</v>
      </c>
      <c r="N596" s="10">
        <v>0</v>
      </c>
      <c r="O596" s="10">
        <v>0</v>
      </c>
      <c r="P596" s="10">
        <v>40</v>
      </c>
      <c r="Q596" s="10">
        <v>0</v>
      </c>
      <c r="R596" s="10">
        <v>0</v>
      </c>
      <c r="S596" s="10">
        <v>0</v>
      </c>
      <c r="T596" s="10">
        <v>0</v>
      </c>
      <c r="U596" s="10">
        <v>0</v>
      </c>
      <c r="V596" s="10">
        <v>0</v>
      </c>
      <c r="W596" s="10">
        <v>0</v>
      </c>
      <c r="X596" s="10">
        <v>2</v>
      </c>
      <c r="Y596" s="10">
        <v>0</v>
      </c>
      <c r="Z596" s="10">
        <v>0</v>
      </c>
      <c r="AA596" s="10">
        <v>0</v>
      </c>
      <c r="AB596" s="10">
        <v>0</v>
      </c>
      <c r="AC596" s="11">
        <v>0</v>
      </c>
      <c r="AD596" s="11">
        <v>0</v>
      </c>
      <c r="AE596" s="11">
        <v>0</v>
      </c>
      <c r="AF596" s="11">
        <v>8</v>
      </c>
      <c r="AG596" s="11">
        <v>0</v>
      </c>
      <c r="AH596" s="27">
        <v>2E-3</v>
      </c>
      <c r="AI596" s="11">
        <v>0</v>
      </c>
      <c r="AJ596" s="11">
        <v>0</v>
      </c>
      <c r="AK596" s="11" t="s">
        <v>714</v>
      </c>
      <c r="AL596" s="10">
        <v>4</v>
      </c>
      <c r="AM596" s="11">
        <v>20</v>
      </c>
      <c r="AN596" s="10" t="s">
        <v>48</v>
      </c>
      <c r="AO596" s="21" t="s">
        <v>760</v>
      </c>
    </row>
    <row r="597" spans="1:41" ht="16.5">
      <c r="A597" s="10">
        <v>200421</v>
      </c>
      <c r="B597" s="21" t="s">
        <v>1357</v>
      </c>
      <c r="C597" s="21" t="s">
        <v>160</v>
      </c>
      <c r="D597" s="12" t="s">
        <v>104</v>
      </c>
      <c r="E597" s="2" t="s">
        <v>63</v>
      </c>
      <c r="F597" s="64">
        <v>200</v>
      </c>
      <c r="G597" s="10">
        <v>300</v>
      </c>
      <c r="H597" s="10">
        <v>50</v>
      </c>
      <c r="I597" s="12" t="s">
        <v>159</v>
      </c>
      <c r="J597" s="10">
        <v>1</v>
      </c>
      <c r="K597" s="10">
        <v>2</v>
      </c>
      <c r="L597" s="10">
        <v>0</v>
      </c>
      <c r="M597" s="10">
        <v>0</v>
      </c>
      <c r="N597" s="10">
        <v>0</v>
      </c>
      <c r="O597" s="10">
        <v>0</v>
      </c>
      <c r="P597" s="10">
        <v>40</v>
      </c>
      <c r="Q597" s="10">
        <v>0</v>
      </c>
      <c r="R597" s="10">
        <v>0</v>
      </c>
      <c r="S597" s="10">
        <v>0</v>
      </c>
      <c r="T597" s="10">
        <v>0</v>
      </c>
      <c r="U597" s="10">
        <v>0</v>
      </c>
      <c r="V597" s="10">
        <v>0</v>
      </c>
      <c r="W597" s="10">
        <v>0</v>
      </c>
      <c r="X597" s="10">
        <v>2</v>
      </c>
      <c r="Y597" s="10">
        <v>0</v>
      </c>
      <c r="Z597" s="10">
        <v>0</v>
      </c>
      <c r="AA597" s="10">
        <v>0</v>
      </c>
      <c r="AB597" s="10">
        <v>0</v>
      </c>
      <c r="AC597" s="11">
        <v>0</v>
      </c>
      <c r="AD597" s="11">
        <v>0</v>
      </c>
      <c r="AE597" s="11">
        <v>0</v>
      </c>
      <c r="AF597" s="11">
        <v>8</v>
      </c>
      <c r="AG597" s="11">
        <v>0</v>
      </c>
      <c r="AH597" s="27">
        <v>2E-3</v>
      </c>
      <c r="AI597" s="11">
        <v>0</v>
      </c>
      <c r="AJ597" s="11">
        <v>0</v>
      </c>
      <c r="AK597" s="11" t="s">
        <v>714</v>
      </c>
      <c r="AL597" s="10">
        <v>4</v>
      </c>
      <c r="AM597" s="11">
        <v>20</v>
      </c>
      <c r="AN597" s="10" t="s">
        <v>48</v>
      </c>
      <c r="AO597" s="21" t="s">
        <v>760</v>
      </c>
    </row>
    <row r="598" spans="1:41" ht="16.5">
      <c r="A598" s="10">
        <v>200422</v>
      </c>
      <c r="B598" s="21" t="s">
        <v>1358</v>
      </c>
      <c r="C598" s="21" t="s">
        <v>160</v>
      </c>
      <c r="D598" s="12" t="s">
        <v>104</v>
      </c>
      <c r="E598" s="2" t="s">
        <v>63</v>
      </c>
      <c r="F598" s="64">
        <v>200</v>
      </c>
      <c r="G598" s="10">
        <v>300</v>
      </c>
      <c r="H598" s="10">
        <v>50</v>
      </c>
      <c r="I598" s="12" t="s">
        <v>159</v>
      </c>
      <c r="J598" s="10">
        <v>1</v>
      </c>
      <c r="K598" s="10">
        <v>2</v>
      </c>
      <c r="L598" s="10">
        <v>0</v>
      </c>
      <c r="M598" s="10">
        <v>0</v>
      </c>
      <c r="N598" s="10">
        <v>0</v>
      </c>
      <c r="O598" s="10">
        <v>0</v>
      </c>
      <c r="P598" s="10">
        <v>40</v>
      </c>
      <c r="Q598" s="10">
        <v>0</v>
      </c>
      <c r="R598" s="10">
        <v>0</v>
      </c>
      <c r="S598" s="10">
        <v>0</v>
      </c>
      <c r="T598" s="10">
        <v>0</v>
      </c>
      <c r="U598" s="10">
        <v>0</v>
      </c>
      <c r="V598" s="10">
        <v>0</v>
      </c>
      <c r="W598" s="10">
        <v>0</v>
      </c>
      <c r="X598" s="10">
        <v>2</v>
      </c>
      <c r="Y598" s="10">
        <v>0</v>
      </c>
      <c r="Z598" s="10">
        <v>0</v>
      </c>
      <c r="AA598" s="10">
        <v>0</v>
      </c>
      <c r="AB598" s="10">
        <v>0</v>
      </c>
      <c r="AC598" s="11">
        <v>0</v>
      </c>
      <c r="AD598" s="11">
        <v>0</v>
      </c>
      <c r="AE598" s="11">
        <v>0</v>
      </c>
      <c r="AF598" s="11">
        <v>8</v>
      </c>
      <c r="AG598" s="11">
        <v>0</v>
      </c>
      <c r="AH598" s="27">
        <v>2E-3</v>
      </c>
      <c r="AI598" s="11">
        <v>0</v>
      </c>
      <c r="AJ598" s="11">
        <v>0</v>
      </c>
      <c r="AK598" s="11" t="s">
        <v>714</v>
      </c>
      <c r="AL598" s="10">
        <v>4</v>
      </c>
      <c r="AM598" s="11">
        <v>20</v>
      </c>
      <c r="AN598" s="10" t="s">
        <v>48</v>
      </c>
      <c r="AO598" s="21" t="s">
        <v>760</v>
      </c>
    </row>
    <row r="599" spans="1:41" ht="16.5">
      <c r="A599" s="10">
        <v>200423</v>
      </c>
      <c r="B599" s="21" t="s">
        <v>1359</v>
      </c>
      <c r="C599" s="21" t="s">
        <v>160</v>
      </c>
      <c r="D599" s="12" t="s">
        <v>104</v>
      </c>
      <c r="E599" s="2" t="s">
        <v>63</v>
      </c>
      <c r="F599" s="64">
        <v>200</v>
      </c>
      <c r="G599" s="10">
        <v>300</v>
      </c>
      <c r="H599" s="10">
        <v>50</v>
      </c>
      <c r="I599" s="12" t="s">
        <v>159</v>
      </c>
      <c r="J599" s="10">
        <v>1</v>
      </c>
      <c r="K599" s="10">
        <v>2</v>
      </c>
      <c r="L599" s="10">
        <v>0</v>
      </c>
      <c r="M599" s="10">
        <v>0</v>
      </c>
      <c r="N599" s="10">
        <v>0</v>
      </c>
      <c r="O599" s="10">
        <v>0</v>
      </c>
      <c r="P599" s="10">
        <v>40</v>
      </c>
      <c r="Q599" s="10">
        <v>0</v>
      </c>
      <c r="R599" s="10">
        <v>0</v>
      </c>
      <c r="S599" s="10">
        <v>0</v>
      </c>
      <c r="T599" s="10">
        <v>0</v>
      </c>
      <c r="U599" s="10">
        <v>0</v>
      </c>
      <c r="V599" s="10">
        <v>0</v>
      </c>
      <c r="W599" s="10">
        <v>0</v>
      </c>
      <c r="X599" s="10">
        <v>2</v>
      </c>
      <c r="Y599" s="10">
        <v>0</v>
      </c>
      <c r="Z599" s="10">
        <v>0</v>
      </c>
      <c r="AA599" s="10">
        <v>0</v>
      </c>
      <c r="AB599" s="10">
        <v>0</v>
      </c>
      <c r="AC599" s="11">
        <v>0</v>
      </c>
      <c r="AD599" s="11">
        <v>0</v>
      </c>
      <c r="AE599" s="11">
        <v>0</v>
      </c>
      <c r="AF599" s="11">
        <v>8</v>
      </c>
      <c r="AG599" s="11">
        <v>0</v>
      </c>
      <c r="AH599" s="27">
        <v>2E-3</v>
      </c>
      <c r="AI599" s="11">
        <v>0</v>
      </c>
      <c r="AJ599" s="11">
        <v>0</v>
      </c>
      <c r="AK599" s="11" t="s">
        <v>714</v>
      </c>
      <c r="AL599" s="10">
        <v>4</v>
      </c>
      <c r="AM599" s="11">
        <v>20</v>
      </c>
      <c r="AN599" s="10" t="s">
        <v>48</v>
      </c>
      <c r="AO599" s="21" t="s">
        <v>760</v>
      </c>
    </row>
    <row r="600" spans="1:41" ht="16.5">
      <c r="A600" s="10">
        <v>200424</v>
      </c>
      <c r="B600" s="21" t="s">
        <v>1360</v>
      </c>
      <c r="C600" s="21" t="s">
        <v>160</v>
      </c>
      <c r="D600" s="12" t="s">
        <v>104</v>
      </c>
      <c r="E600" s="2" t="s">
        <v>63</v>
      </c>
      <c r="F600" s="64">
        <v>200</v>
      </c>
      <c r="G600" s="10">
        <v>300</v>
      </c>
      <c r="H600" s="10">
        <v>50</v>
      </c>
      <c r="I600" s="12" t="s">
        <v>159</v>
      </c>
      <c r="J600" s="10">
        <v>1</v>
      </c>
      <c r="K600" s="10">
        <v>2</v>
      </c>
      <c r="L600" s="10">
        <v>0</v>
      </c>
      <c r="M600" s="10">
        <v>0</v>
      </c>
      <c r="N600" s="10">
        <v>0</v>
      </c>
      <c r="O600" s="10">
        <v>0</v>
      </c>
      <c r="P600" s="10">
        <v>40</v>
      </c>
      <c r="Q600" s="10">
        <v>0</v>
      </c>
      <c r="R600" s="10">
        <v>0</v>
      </c>
      <c r="S600" s="10">
        <v>0</v>
      </c>
      <c r="T600" s="10">
        <v>0</v>
      </c>
      <c r="U600" s="10">
        <v>0</v>
      </c>
      <c r="V600" s="10">
        <v>0</v>
      </c>
      <c r="W600" s="10">
        <v>0</v>
      </c>
      <c r="X600" s="10">
        <v>2</v>
      </c>
      <c r="Y600" s="10">
        <v>0</v>
      </c>
      <c r="Z600" s="10">
        <v>0</v>
      </c>
      <c r="AA600" s="10">
        <v>0</v>
      </c>
      <c r="AB600" s="10">
        <v>0</v>
      </c>
      <c r="AC600" s="11">
        <v>0</v>
      </c>
      <c r="AD600" s="11">
        <v>0</v>
      </c>
      <c r="AE600" s="11">
        <v>0</v>
      </c>
      <c r="AF600" s="11">
        <v>8</v>
      </c>
      <c r="AG600" s="11">
        <v>0</v>
      </c>
      <c r="AH600" s="27">
        <v>2E-3</v>
      </c>
      <c r="AI600" s="11">
        <v>0</v>
      </c>
      <c r="AJ600" s="11">
        <v>0</v>
      </c>
      <c r="AK600" s="11" t="s">
        <v>714</v>
      </c>
      <c r="AL600" s="10">
        <v>4</v>
      </c>
      <c r="AM600" s="11">
        <v>20</v>
      </c>
      <c r="AN600" s="10" t="s">
        <v>48</v>
      </c>
      <c r="AO600" s="21" t="s">
        <v>760</v>
      </c>
    </row>
    <row r="601" spans="1:41" s="26" customFormat="1" ht="16.5">
      <c r="A601" s="24">
        <v>2901</v>
      </c>
      <c r="B601" s="24" t="s">
        <v>136</v>
      </c>
      <c r="C601" s="24" t="s">
        <v>136</v>
      </c>
      <c r="D601" s="24" t="s">
        <v>130</v>
      </c>
      <c r="E601" s="25" t="s">
        <v>48</v>
      </c>
      <c r="F601" s="68">
        <v>0</v>
      </c>
      <c r="G601" s="24">
        <v>300</v>
      </c>
      <c r="H601" s="24">
        <v>50</v>
      </c>
      <c r="I601" s="24" t="s">
        <v>718</v>
      </c>
      <c r="J601" s="24">
        <v>4</v>
      </c>
      <c r="K601" s="24">
        <v>14</v>
      </c>
      <c r="L601" s="24">
        <v>40</v>
      </c>
      <c r="M601" s="24">
        <v>0</v>
      </c>
      <c r="N601" s="24">
        <v>0</v>
      </c>
      <c r="O601" s="24">
        <v>1000000</v>
      </c>
      <c r="P601" s="24">
        <v>0</v>
      </c>
      <c r="Q601" s="24">
        <v>0</v>
      </c>
      <c r="R601" s="24">
        <v>0</v>
      </c>
      <c r="S601" s="24">
        <v>0</v>
      </c>
      <c r="T601" s="24">
        <v>0</v>
      </c>
      <c r="U601" s="24">
        <v>0</v>
      </c>
      <c r="V601" s="24">
        <v>0</v>
      </c>
      <c r="W601" s="24">
        <v>5</v>
      </c>
      <c r="X601" s="24">
        <v>0</v>
      </c>
      <c r="Y601" s="24">
        <v>0</v>
      </c>
      <c r="Z601" s="24">
        <v>0</v>
      </c>
      <c r="AA601" s="24">
        <v>0</v>
      </c>
      <c r="AB601" s="24">
        <v>0</v>
      </c>
      <c r="AC601" s="24">
        <v>0</v>
      </c>
      <c r="AD601" s="24">
        <v>0</v>
      </c>
      <c r="AE601" s="24">
        <v>20</v>
      </c>
      <c r="AF601" s="24">
        <v>0</v>
      </c>
      <c r="AG601" s="24">
        <v>0</v>
      </c>
      <c r="AH601" s="24">
        <v>0</v>
      </c>
      <c r="AI601" s="24">
        <v>0</v>
      </c>
      <c r="AJ601" s="24">
        <v>1.8000000000000002E-2</v>
      </c>
      <c r="AK601" s="24" t="s">
        <v>713</v>
      </c>
      <c r="AL601" s="24">
        <v>2</v>
      </c>
      <c r="AM601" s="24">
        <v>0</v>
      </c>
      <c r="AN601" s="24" t="s">
        <v>48</v>
      </c>
      <c r="AO601" s="24" t="str">
        <f>IFERROR(VLOOKUP(A601*100+2,Sheet2!A:P,16,FALSE),"[]")</f>
        <v>[]</v>
      </c>
    </row>
    <row r="602" spans="1:41" s="26" customFormat="1" ht="16.5">
      <c r="A602" s="24">
        <v>2902</v>
      </c>
      <c r="B602" s="24" t="s">
        <v>137</v>
      </c>
      <c r="C602" s="24" t="s">
        <v>137</v>
      </c>
      <c r="D602" s="24" t="s">
        <v>132</v>
      </c>
      <c r="E602" s="25" t="s">
        <v>48</v>
      </c>
      <c r="F602" s="68">
        <v>0</v>
      </c>
      <c r="G602" s="24">
        <v>300</v>
      </c>
      <c r="H602" s="24">
        <v>50</v>
      </c>
      <c r="I602" s="24" t="s">
        <v>719</v>
      </c>
      <c r="J602" s="24">
        <v>4</v>
      </c>
      <c r="K602" s="24">
        <v>14</v>
      </c>
      <c r="L602" s="24">
        <v>40</v>
      </c>
      <c r="M602" s="24">
        <v>0</v>
      </c>
      <c r="N602" s="24">
        <v>2000000</v>
      </c>
      <c r="O602" s="24">
        <v>0</v>
      </c>
      <c r="P602" s="24">
        <v>0</v>
      </c>
      <c r="Q602" s="24">
        <v>0</v>
      </c>
      <c r="R602" s="24">
        <v>0</v>
      </c>
      <c r="S602" s="24">
        <v>0</v>
      </c>
      <c r="T602" s="24">
        <v>0</v>
      </c>
      <c r="U602" s="24">
        <v>0</v>
      </c>
      <c r="V602" s="24">
        <v>10</v>
      </c>
      <c r="W602" s="24">
        <v>0</v>
      </c>
      <c r="X602" s="24">
        <v>0</v>
      </c>
      <c r="Y602" s="24">
        <v>0</v>
      </c>
      <c r="Z602" s="24">
        <v>0</v>
      </c>
      <c r="AA602" s="24">
        <v>0</v>
      </c>
      <c r="AB602" s="24">
        <v>0</v>
      </c>
      <c r="AC602" s="24">
        <v>0</v>
      </c>
      <c r="AD602" s="24">
        <v>40</v>
      </c>
      <c r="AE602" s="24">
        <v>0</v>
      </c>
      <c r="AF602" s="24">
        <v>0</v>
      </c>
      <c r="AG602" s="24">
        <v>0</v>
      </c>
      <c r="AH602" s="24">
        <v>0</v>
      </c>
      <c r="AI602" s="24">
        <v>1.8000000000000002E-2</v>
      </c>
      <c r="AJ602" s="24">
        <v>0</v>
      </c>
      <c r="AK602" s="24" t="s">
        <v>713</v>
      </c>
      <c r="AL602" s="24">
        <v>1</v>
      </c>
      <c r="AM602" s="24">
        <v>0</v>
      </c>
      <c r="AN602" s="24" t="s">
        <v>48</v>
      </c>
      <c r="AO602" s="24" t="str">
        <f>IFERROR(VLOOKUP(A602*100+2,Sheet2!A:P,16,FALSE),"[]")</f>
        <v>[]</v>
      </c>
    </row>
    <row r="603" spans="1:41" s="26" customFormat="1" ht="16.5">
      <c r="A603" s="24">
        <v>2903</v>
      </c>
      <c r="B603" s="24" t="s">
        <v>138</v>
      </c>
      <c r="C603" s="24" t="s">
        <v>138</v>
      </c>
      <c r="D603" s="24" t="s">
        <v>131</v>
      </c>
      <c r="E603" s="25" t="s">
        <v>48</v>
      </c>
      <c r="F603" s="68">
        <v>0</v>
      </c>
      <c r="G603" s="24">
        <v>300</v>
      </c>
      <c r="H603" s="24">
        <v>50</v>
      </c>
      <c r="I603" s="24" t="s">
        <v>720</v>
      </c>
      <c r="J603" s="24">
        <v>4</v>
      </c>
      <c r="K603" s="24">
        <v>14</v>
      </c>
      <c r="L603" s="24">
        <v>40</v>
      </c>
      <c r="M603" s="24">
        <v>30000000</v>
      </c>
      <c r="N603" s="24">
        <v>0</v>
      </c>
      <c r="O603" s="24">
        <v>0</v>
      </c>
      <c r="P603" s="24">
        <v>0</v>
      </c>
      <c r="Q603" s="24">
        <v>0</v>
      </c>
      <c r="R603" s="24">
        <v>0</v>
      </c>
      <c r="S603" s="24">
        <v>0</v>
      </c>
      <c r="T603" s="24">
        <v>0</v>
      </c>
      <c r="U603" s="24">
        <v>150</v>
      </c>
      <c r="V603" s="24">
        <v>0</v>
      </c>
      <c r="W603" s="24">
        <v>0</v>
      </c>
      <c r="X603" s="24">
        <v>0</v>
      </c>
      <c r="Y603" s="24">
        <v>0</v>
      </c>
      <c r="Z603" s="24">
        <v>0</v>
      </c>
      <c r="AA603" s="24">
        <v>0</v>
      </c>
      <c r="AB603" s="24">
        <v>0</v>
      </c>
      <c r="AC603" s="24">
        <v>600</v>
      </c>
      <c r="AD603" s="24">
        <v>0</v>
      </c>
      <c r="AE603" s="24">
        <v>0</v>
      </c>
      <c r="AF603" s="24">
        <v>0</v>
      </c>
      <c r="AG603" s="24">
        <v>9.0000000000000011E-3</v>
      </c>
      <c r="AH603" s="24">
        <v>0</v>
      </c>
      <c r="AI603" s="24">
        <v>0</v>
      </c>
      <c r="AJ603" s="24">
        <v>0</v>
      </c>
      <c r="AK603" s="24" t="s">
        <v>713</v>
      </c>
      <c r="AL603" s="24">
        <v>3</v>
      </c>
      <c r="AM603" s="24">
        <v>0</v>
      </c>
      <c r="AN603" s="24" t="s">
        <v>48</v>
      </c>
      <c r="AO603" s="24" t="str">
        <f>IFERROR(VLOOKUP(A603*100+2,Sheet2!A:P,16,FALSE),"[]")</f>
        <v>[]</v>
      </c>
    </row>
    <row r="604" spans="1:41" s="26" customFormat="1" ht="18" customHeight="1">
      <c r="A604" s="24">
        <v>2904</v>
      </c>
      <c r="B604" s="24" t="s">
        <v>135</v>
      </c>
      <c r="C604" s="24" t="s">
        <v>135</v>
      </c>
      <c r="D604" s="24" t="s">
        <v>133</v>
      </c>
      <c r="E604" s="25" t="s">
        <v>48</v>
      </c>
      <c r="F604" s="68">
        <v>0</v>
      </c>
      <c r="G604" s="24">
        <v>300</v>
      </c>
      <c r="H604" s="24">
        <v>50</v>
      </c>
      <c r="I604" s="24" t="s">
        <v>159</v>
      </c>
      <c r="J604" s="24">
        <v>4</v>
      </c>
      <c r="K604" s="24">
        <v>14</v>
      </c>
      <c r="L604" s="24">
        <v>40</v>
      </c>
      <c r="M604" s="24">
        <v>0</v>
      </c>
      <c r="N604" s="24">
        <v>0</v>
      </c>
      <c r="O604" s="24">
        <v>0</v>
      </c>
      <c r="P604" s="24">
        <v>1000000</v>
      </c>
      <c r="Q604" s="24">
        <v>0</v>
      </c>
      <c r="R604" s="24">
        <v>0</v>
      </c>
      <c r="S604" s="24">
        <v>0</v>
      </c>
      <c r="T604" s="24">
        <v>0</v>
      </c>
      <c r="U604" s="24">
        <v>0</v>
      </c>
      <c r="V604" s="24">
        <v>0</v>
      </c>
      <c r="W604" s="24">
        <v>0</v>
      </c>
      <c r="X604" s="24">
        <v>5</v>
      </c>
      <c r="Y604" s="24">
        <v>0</v>
      </c>
      <c r="Z604" s="24">
        <v>0</v>
      </c>
      <c r="AA604" s="24">
        <v>0</v>
      </c>
      <c r="AB604" s="24">
        <v>0</v>
      </c>
      <c r="AC604" s="24">
        <v>0</v>
      </c>
      <c r="AD604" s="24">
        <v>0</v>
      </c>
      <c r="AE604" s="24">
        <v>0</v>
      </c>
      <c r="AF604" s="24">
        <v>20</v>
      </c>
      <c r="AG604" s="24">
        <v>0</v>
      </c>
      <c r="AH604" s="24">
        <v>9.0000000000000011E-3</v>
      </c>
      <c r="AI604" s="24">
        <v>0</v>
      </c>
      <c r="AJ604" s="24">
        <v>0</v>
      </c>
      <c r="AK604" s="24" t="s">
        <v>713</v>
      </c>
      <c r="AL604" s="24">
        <v>4</v>
      </c>
      <c r="AM604" s="24">
        <v>0</v>
      </c>
      <c r="AN604" s="24" t="s">
        <v>48</v>
      </c>
      <c r="AO604" s="24" t="str">
        <f>IFERROR(VLOOKUP(A604*100+2,Sheet2!A:P,16,FALSE),"[]")</f>
        <v>[]</v>
      </c>
    </row>
    <row r="605" spans="1:41" s="1" customFormat="1" ht="16.5">
      <c r="A605" s="77">
        <v>2045</v>
      </c>
      <c r="B605" s="77" t="s">
        <v>1361</v>
      </c>
      <c r="C605" s="77" t="s">
        <v>1362</v>
      </c>
      <c r="D605" s="77" t="s">
        <v>1363</v>
      </c>
      <c r="E605" s="78">
        <v>11017</v>
      </c>
      <c r="F605" s="80">
        <v>5000</v>
      </c>
      <c r="G605" s="77">
        <v>300</v>
      </c>
      <c r="H605" s="77">
        <v>50</v>
      </c>
      <c r="I605" s="77" t="s">
        <v>718</v>
      </c>
      <c r="J605" s="77">
        <v>3</v>
      </c>
      <c r="K605" s="77">
        <v>10</v>
      </c>
      <c r="L605" s="77">
        <v>30</v>
      </c>
      <c r="M605" s="77">
        <v>0</v>
      </c>
      <c r="N605" s="77">
        <v>0</v>
      </c>
      <c r="O605" s="77">
        <v>100</v>
      </c>
      <c r="P605" s="77">
        <v>0</v>
      </c>
      <c r="Q605" s="77">
        <v>0</v>
      </c>
      <c r="R605" s="77">
        <v>0</v>
      </c>
      <c r="S605" s="77">
        <v>0</v>
      </c>
      <c r="T605" s="77">
        <v>0</v>
      </c>
      <c r="U605" s="77">
        <v>0</v>
      </c>
      <c r="V605" s="77">
        <v>0</v>
      </c>
      <c r="W605" s="77">
        <v>5</v>
      </c>
      <c r="X605" s="77">
        <v>0</v>
      </c>
      <c r="Y605" s="77">
        <v>0</v>
      </c>
      <c r="Z605" s="77">
        <v>0</v>
      </c>
      <c r="AA605" s="77">
        <v>0</v>
      </c>
      <c r="AB605" s="77">
        <v>0</v>
      </c>
      <c r="AC605" s="79">
        <v>0</v>
      </c>
      <c r="AD605" s="79">
        <v>0</v>
      </c>
      <c r="AE605" s="79">
        <v>20</v>
      </c>
      <c r="AF605" s="79">
        <v>0</v>
      </c>
      <c r="AG605" s="79">
        <v>0</v>
      </c>
      <c r="AH605" s="79">
        <v>0</v>
      </c>
      <c r="AI605" s="79">
        <v>0</v>
      </c>
      <c r="AJ605" s="79">
        <v>0.01</v>
      </c>
      <c r="AK605" s="79">
        <v>20008</v>
      </c>
      <c r="AL605" s="77">
        <v>2</v>
      </c>
      <c r="AM605" s="79">
        <v>9000</v>
      </c>
      <c r="AN605" s="77" t="s">
        <v>714</v>
      </c>
      <c r="AO605" s="77" t="s">
        <v>1364</v>
      </c>
    </row>
    <row r="606" spans="1:41" s="1" customFormat="1" ht="16.5">
      <c r="A606" s="77">
        <v>2046</v>
      </c>
      <c r="B606" s="77" t="s">
        <v>1365</v>
      </c>
      <c r="C606" s="77" t="s">
        <v>1362</v>
      </c>
      <c r="D606" s="77" t="s">
        <v>1366</v>
      </c>
      <c r="E606" s="78">
        <v>11018</v>
      </c>
      <c r="F606" s="80">
        <v>5000</v>
      </c>
      <c r="G606" s="77">
        <v>300</v>
      </c>
      <c r="H606" s="77">
        <v>50</v>
      </c>
      <c r="I606" s="77" t="s">
        <v>719</v>
      </c>
      <c r="J606" s="77">
        <v>3</v>
      </c>
      <c r="K606" s="77">
        <v>10</v>
      </c>
      <c r="L606" s="77">
        <v>30</v>
      </c>
      <c r="M606" s="77">
        <v>0</v>
      </c>
      <c r="N606" s="77">
        <v>200</v>
      </c>
      <c r="O606" s="77">
        <v>0</v>
      </c>
      <c r="P606" s="77">
        <v>0</v>
      </c>
      <c r="Q606" s="77">
        <v>0</v>
      </c>
      <c r="R606" s="77">
        <v>0</v>
      </c>
      <c r="S606" s="77">
        <v>0</v>
      </c>
      <c r="T606" s="77">
        <v>0</v>
      </c>
      <c r="U606" s="77">
        <v>0</v>
      </c>
      <c r="V606" s="77">
        <v>10</v>
      </c>
      <c r="W606" s="77">
        <v>0</v>
      </c>
      <c r="X606" s="77">
        <v>0</v>
      </c>
      <c r="Y606" s="77">
        <v>0</v>
      </c>
      <c r="Z606" s="77">
        <v>0</v>
      </c>
      <c r="AA606" s="77">
        <v>0</v>
      </c>
      <c r="AB606" s="77">
        <v>0</v>
      </c>
      <c r="AC606" s="79">
        <v>0</v>
      </c>
      <c r="AD606" s="79">
        <v>40</v>
      </c>
      <c r="AE606" s="79">
        <v>0</v>
      </c>
      <c r="AF606" s="79">
        <v>0</v>
      </c>
      <c r="AG606" s="79">
        <v>0</v>
      </c>
      <c r="AH606" s="79">
        <v>0</v>
      </c>
      <c r="AI606" s="79">
        <v>0.01</v>
      </c>
      <c r="AJ606" s="79">
        <v>0</v>
      </c>
      <c r="AK606" s="79">
        <v>20008</v>
      </c>
      <c r="AL606" s="77">
        <v>1</v>
      </c>
      <c r="AM606" s="79">
        <v>9000</v>
      </c>
      <c r="AN606" s="77" t="s">
        <v>714</v>
      </c>
      <c r="AO606" s="77" t="s">
        <v>1367</v>
      </c>
    </row>
    <row r="607" spans="1:41" s="1" customFormat="1" ht="16.5">
      <c r="A607" s="77">
        <v>2047</v>
      </c>
      <c r="B607" s="77" t="s">
        <v>1368</v>
      </c>
      <c r="C607" s="77" t="s">
        <v>1362</v>
      </c>
      <c r="D607" s="77" t="s">
        <v>1369</v>
      </c>
      <c r="E607" s="78">
        <v>11019</v>
      </c>
      <c r="F607" s="80">
        <v>5000</v>
      </c>
      <c r="G607" s="77">
        <v>300</v>
      </c>
      <c r="H607" s="77">
        <v>50</v>
      </c>
      <c r="I607" s="77" t="s">
        <v>720</v>
      </c>
      <c r="J607" s="77">
        <v>3</v>
      </c>
      <c r="K607" s="77">
        <v>10</v>
      </c>
      <c r="L607" s="77">
        <v>30</v>
      </c>
      <c r="M607" s="77">
        <v>5000</v>
      </c>
      <c r="N607" s="77">
        <v>0</v>
      </c>
      <c r="O607" s="77">
        <v>0</v>
      </c>
      <c r="P607" s="77">
        <v>0</v>
      </c>
      <c r="Q607" s="77">
        <v>0</v>
      </c>
      <c r="R607" s="77">
        <v>0</v>
      </c>
      <c r="S607" s="77">
        <v>0</v>
      </c>
      <c r="T607" s="77">
        <v>0</v>
      </c>
      <c r="U607" s="77">
        <v>250</v>
      </c>
      <c r="V607" s="77">
        <v>0</v>
      </c>
      <c r="W607" s="77">
        <v>0</v>
      </c>
      <c r="X607" s="77">
        <v>0</v>
      </c>
      <c r="Y607" s="77">
        <v>0</v>
      </c>
      <c r="Z607" s="77">
        <v>0</v>
      </c>
      <c r="AA607" s="77">
        <v>0</v>
      </c>
      <c r="AB607" s="77">
        <v>0</v>
      </c>
      <c r="AC607" s="79">
        <v>1000</v>
      </c>
      <c r="AD607" s="79">
        <v>0</v>
      </c>
      <c r="AE607" s="79">
        <v>0</v>
      </c>
      <c r="AF607" s="79">
        <v>0</v>
      </c>
      <c r="AG607" s="79">
        <v>5.0000000000000001E-3</v>
      </c>
      <c r="AH607" s="79">
        <v>0</v>
      </c>
      <c r="AI607" s="79">
        <v>0</v>
      </c>
      <c r="AJ607" s="79">
        <v>0</v>
      </c>
      <c r="AK607" s="79">
        <v>20008</v>
      </c>
      <c r="AL607" s="77">
        <v>3</v>
      </c>
      <c r="AM607" s="79">
        <v>9000</v>
      </c>
      <c r="AN607" s="77" t="s">
        <v>714</v>
      </c>
      <c r="AO607" s="77" t="s">
        <v>1370</v>
      </c>
    </row>
    <row r="608" spans="1:41" s="1" customFormat="1" ht="16.5">
      <c r="A608" s="77">
        <v>2048</v>
      </c>
      <c r="B608" s="77" t="s">
        <v>1371</v>
      </c>
      <c r="C608" s="77" t="s">
        <v>1362</v>
      </c>
      <c r="D608" s="77" t="s">
        <v>1372</v>
      </c>
      <c r="E608" s="78">
        <v>11020</v>
      </c>
      <c r="F608" s="80">
        <v>5000</v>
      </c>
      <c r="G608" s="77">
        <v>300</v>
      </c>
      <c r="H608" s="77">
        <v>50</v>
      </c>
      <c r="I608" s="77" t="s">
        <v>159</v>
      </c>
      <c r="J608" s="77">
        <v>3</v>
      </c>
      <c r="K608" s="77">
        <v>10</v>
      </c>
      <c r="L608" s="77">
        <v>30</v>
      </c>
      <c r="M608" s="77">
        <v>0</v>
      </c>
      <c r="N608" s="77">
        <v>0</v>
      </c>
      <c r="O608" s="77">
        <v>0</v>
      </c>
      <c r="P608" s="77">
        <v>100</v>
      </c>
      <c r="Q608" s="77">
        <v>0</v>
      </c>
      <c r="R608" s="77">
        <v>0</v>
      </c>
      <c r="S608" s="77">
        <v>0</v>
      </c>
      <c r="T608" s="77">
        <v>0</v>
      </c>
      <c r="U608" s="77">
        <v>0</v>
      </c>
      <c r="V608" s="77">
        <v>0</v>
      </c>
      <c r="W608" s="77">
        <v>0</v>
      </c>
      <c r="X608" s="77">
        <v>5</v>
      </c>
      <c r="Y608" s="77">
        <v>0</v>
      </c>
      <c r="Z608" s="77">
        <v>0</v>
      </c>
      <c r="AA608" s="77">
        <v>0</v>
      </c>
      <c r="AB608" s="77">
        <v>0</v>
      </c>
      <c r="AC608" s="79">
        <v>0</v>
      </c>
      <c r="AD608" s="79">
        <v>0</v>
      </c>
      <c r="AE608" s="79">
        <v>0</v>
      </c>
      <c r="AF608" s="79">
        <v>20</v>
      </c>
      <c r="AG608" s="79">
        <v>0</v>
      </c>
      <c r="AH608" s="79">
        <v>5.0000000000000001E-3</v>
      </c>
      <c r="AI608" s="79">
        <v>0</v>
      </c>
      <c r="AJ608" s="79">
        <v>0</v>
      </c>
      <c r="AK608" s="79">
        <v>20008</v>
      </c>
      <c r="AL608" s="77">
        <v>4</v>
      </c>
      <c r="AM608" s="79">
        <v>9000</v>
      </c>
      <c r="AN608" s="77" t="s">
        <v>714</v>
      </c>
      <c r="AO608" s="77" t="s">
        <v>1373</v>
      </c>
    </row>
  </sheetData>
  <phoneticPr fontId="5" type="noConversion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N664"/>
  <sheetViews>
    <sheetView topLeftCell="A630" zoomScaleNormal="100" workbookViewId="0">
      <selection activeCell="N1" sqref="N1:N664"/>
    </sheetView>
  </sheetViews>
  <sheetFormatPr defaultRowHeight="13.5"/>
  <cols>
    <col min="1" max="1" width="13.125" customWidth="1"/>
    <col min="4" max="4" width="25.125" customWidth="1"/>
    <col min="12" max="12" width="24.125" customWidth="1"/>
  </cols>
  <sheetData>
    <row r="1" spans="1:14" ht="16.5">
      <c r="A1" s="41" t="s">
        <v>925</v>
      </c>
      <c r="B1" t="s">
        <v>1470</v>
      </c>
      <c r="C1" t="s">
        <v>1434</v>
      </c>
      <c r="D1" t="str">
        <f>B1&amp;C1</f>
        <v>a01蚩尤战甲</v>
      </c>
      <c r="E1" s="41">
        <v>181</v>
      </c>
      <c r="F1" s="41">
        <v>2100</v>
      </c>
      <c r="G1">
        <v>10</v>
      </c>
      <c r="J1" t="s">
        <v>1470</v>
      </c>
      <c r="K1">
        <v>10</v>
      </c>
      <c r="L1" s="41" t="s">
        <v>1508</v>
      </c>
      <c r="M1" s="127" t="s">
        <v>1641</v>
      </c>
      <c r="N1" t="str">
        <f>L1&amp;M1</f>
        <v>火云道衣·壹</v>
      </c>
    </row>
    <row r="2" spans="1:14" ht="16.5">
      <c r="A2" s="41" t="s">
        <v>776</v>
      </c>
      <c r="B2" t="s">
        <v>1471</v>
      </c>
      <c r="C2" t="s">
        <v>1434</v>
      </c>
      <c r="D2" t="str">
        <f t="shared" ref="D2:D65" si="0">B2&amp;C2</f>
        <v>a02蚩尤战甲</v>
      </c>
      <c r="E2" s="41">
        <v>182</v>
      </c>
      <c r="F2" s="41">
        <v>2101</v>
      </c>
      <c r="G2">
        <v>20</v>
      </c>
      <c r="J2" t="s">
        <v>1471</v>
      </c>
      <c r="K2">
        <v>20</v>
      </c>
      <c r="L2" s="41" t="s">
        <v>1509</v>
      </c>
      <c r="M2" s="127" t="s">
        <v>1642</v>
      </c>
      <c r="N2" s="127" t="str">
        <f t="shared" ref="N2:N65" si="1">L2&amp;M2</f>
        <v>四象仙甲·贰</v>
      </c>
    </row>
    <row r="3" spans="1:14" ht="16.5">
      <c r="A3" s="41" t="s">
        <v>777</v>
      </c>
      <c r="B3" t="s">
        <v>1472</v>
      </c>
      <c r="C3" t="s">
        <v>1434</v>
      </c>
      <c r="D3" t="str">
        <f t="shared" si="0"/>
        <v>a03蚩尤战甲</v>
      </c>
      <c r="E3" s="41">
        <v>183</v>
      </c>
      <c r="F3" s="41">
        <v>2102</v>
      </c>
      <c r="G3">
        <v>30</v>
      </c>
      <c r="J3" t="s">
        <v>1472</v>
      </c>
      <c r="K3">
        <v>30</v>
      </c>
      <c r="L3" s="41" t="s">
        <v>1510</v>
      </c>
      <c r="M3" s="127" t="s">
        <v>1643</v>
      </c>
      <c r="N3" s="127" t="str">
        <f t="shared" si="1"/>
        <v>刑天战甲·叁</v>
      </c>
    </row>
    <row r="4" spans="1:14" ht="16.5">
      <c r="A4" s="41" t="s">
        <v>778</v>
      </c>
      <c r="B4" t="s">
        <v>1473</v>
      </c>
      <c r="C4" t="s">
        <v>1434</v>
      </c>
      <c r="D4" t="str">
        <f t="shared" si="0"/>
        <v>a04蚩尤战甲</v>
      </c>
      <c r="E4" s="41">
        <v>184</v>
      </c>
      <c r="F4" s="41">
        <v>2103</v>
      </c>
      <c r="G4">
        <v>40</v>
      </c>
      <c r="J4" t="s">
        <v>1473</v>
      </c>
      <c r="K4">
        <v>40</v>
      </c>
      <c r="L4" s="41" t="s">
        <v>1511</v>
      </c>
      <c r="M4" s="127" t="s">
        <v>1644</v>
      </c>
      <c r="N4" s="127" t="str">
        <f t="shared" si="1"/>
        <v>盘古开天甲·肆</v>
      </c>
    </row>
    <row r="5" spans="1:14" ht="16.5">
      <c r="A5" s="41" t="s">
        <v>779</v>
      </c>
      <c r="B5" t="s">
        <v>1474</v>
      </c>
      <c r="C5" t="s">
        <v>1434</v>
      </c>
      <c r="D5" t="str">
        <f t="shared" si="0"/>
        <v>a05蚩尤战甲</v>
      </c>
      <c r="E5" s="41">
        <v>185</v>
      </c>
      <c r="F5" s="41">
        <v>2104</v>
      </c>
      <c r="G5">
        <v>50</v>
      </c>
      <c r="J5" t="s">
        <v>1474</v>
      </c>
      <c r="K5">
        <v>50</v>
      </c>
      <c r="L5" s="41" t="s">
        <v>1512</v>
      </c>
      <c r="M5" s="127" t="s">
        <v>1645</v>
      </c>
      <c r="N5" s="127" t="str">
        <f t="shared" si="1"/>
        <v>蛟龙覆海甲·伍</v>
      </c>
    </row>
    <row r="6" spans="1:14" ht="16.5">
      <c r="A6" s="41" t="s">
        <v>780</v>
      </c>
      <c r="B6" t="s">
        <v>1475</v>
      </c>
      <c r="C6" t="s">
        <v>1434</v>
      </c>
      <c r="D6" t="str">
        <f t="shared" si="0"/>
        <v>a06蚩尤战甲</v>
      </c>
      <c r="E6" s="41">
        <v>186</v>
      </c>
      <c r="F6" s="41">
        <v>2105</v>
      </c>
      <c r="G6">
        <v>60</v>
      </c>
      <c r="J6" t="s">
        <v>1475</v>
      </c>
      <c r="K6">
        <v>60</v>
      </c>
      <c r="L6" s="41" t="s">
        <v>1513</v>
      </c>
      <c r="M6" s="127" t="s">
        <v>1646</v>
      </c>
      <c r="N6" s="127" t="str">
        <f t="shared" si="1"/>
        <v>震天将神铠·陆</v>
      </c>
    </row>
    <row r="7" spans="1:14" ht="16.5">
      <c r="A7" s="41" t="s">
        <v>781</v>
      </c>
      <c r="B7" t="s">
        <v>1476</v>
      </c>
      <c r="C7" t="s">
        <v>1434</v>
      </c>
      <c r="D7" t="str">
        <f t="shared" si="0"/>
        <v>a07蚩尤战甲</v>
      </c>
      <c r="E7" s="41">
        <v>187</v>
      </c>
      <c r="F7" s="41">
        <v>2106</v>
      </c>
      <c r="G7">
        <v>70</v>
      </c>
      <c r="J7" t="s">
        <v>1476</v>
      </c>
      <c r="K7">
        <v>70</v>
      </c>
      <c r="L7" s="41" t="s">
        <v>1514</v>
      </c>
      <c r="M7" s="127" t="s">
        <v>1647</v>
      </c>
      <c r="N7" s="127" t="str">
        <f t="shared" si="1"/>
        <v>大自在修罗甲·柒</v>
      </c>
    </row>
    <row r="8" spans="1:14" ht="16.5">
      <c r="A8" s="41" t="s">
        <v>782</v>
      </c>
      <c r="B8" t="s">
        <v>1477</v>
      </c>
      <c r="C8" t="s">
        <v>1434</v>
      </c>
      <c r="D8" t="str">
        <f t="shared" si="0"/>
        <v>a08蚩尤战甲</v>
      </c>
      <c r="E8" s="41">
        <v>2081</v>
      </c>
      <c r="F8" s="81">
        <v>2081</v>
      </c>
      <c r="G8">
        <v>80</v>
      </c>
      <c r="J8" t="s">
        <v>1477</v>
      </c>
      <c r="K8">
        <v>80</v>
      </c>
      <c r="L8" s="81" t="s">
        <v>1515</v>
      </c>
      <c r="M8" s="127" t="s">
        <v>1648</v>
      </c>
      <c r="N8" s="127" t="str">
        <f t="shared" si="1"/>
        <v>蚩尤魔神甲·捌</v>
      </c>
    </row>
    <row r="9" spans="1:14" ht="16.5">
      <c r="A9" s="41" t="s">
        <v>783</v>
      </c>
      <c r="B9" t="s">
        <v>1478</v>
      </c>
      <c r="C9" t="s">
        <v>1434</v>
      </c>
      <c r="D9" t="str">
        <f t="shared" si="0"/>
        <v>a09蚩尤战甲</v>
      </c>
      <c r="E9" s="41">
        <v>20811</v>
      </c>
      <c r="F9" s="41">
        <v>2107</v>
      </c>
      <c r="G9">
        <v>90</v>
      </c>
      <c r="J9" t="s">
        <v>1478</v>
      </c>
      <c r="K9">
        <v>90</v>
      </c>
      <c r="L9" s="81" t="s">
        <v>1516</v>
      </c>
      <c r="M9" s="127" t="s">
        <v>1649</v>
      </c>
      <c r="N9" s="127" t="str">
        <f t="shared" si="1"/>
        <v>轩辕帝王铠·玖</v>
      </c>
    </row>
    <row r="10" spans="1:14" ht="16.5">
      <c r="A10" s="41" t="s">
        <v>784</v>
      </c>
      <c r="B10" t="s">
        <v>1479</v>
      </c>
      <c r="C10" t="s">
        <v>1434</v>
      </c>
      <c r="D10" t="str">
        <f t="shared" si="0"/>
        <v>a10蚩尤战甲</v>
      </c>
      <c r="E10" s="41">
        <v>20812</v>
      </c>
      <c r="F10" s="41">
        <v>2108</v>
      </c>
      <c r="G10">
        <v>100</v>
      </c>
      <c r="J10" t="s">
        <v>1479</v>
      </c>
      <c r="K10">
        <v>100</v>
      </c>
      <c r="L10" s="81" t="s">
        <v>1517</v>
      </c>
      <c r="M10" s="127" t="s">
        <v>1650</v>
      </c>
      <c r="N10" s="127" t="str">
        <f t="shared" si="1"/>
        <v>佛祖宝象袈裟·十</v>
      </c>
    </row>
    <row r="11" spans="1:14" ht="16.5">
      <c r="A11" s="41" t="s">
        <v>785</v>
      </c>
      <c r="B11" t="s">
        <v>1480</v>
      </c>
      <c r="C11" t="s">
        <v>1434</v>
      </c>
      <c r="D11" t="str">
        <f t="shared" si="0"/>
        <v>a11蚩尤战甲</v>
      </c>
      <c r="E11" s="41">
        <v>20813</v>
      </c>
      <c r="F11" s="41">
        <v>2109</v>
      </c>
      <c r="G11">
        <v>110</v>
      </c>
      <c r="J11" t="s">
        <v>1480</v>
      </c>
      <c r="K11">
        <v>110</v>
      </c>
      <c r="L11" s="41" t="s">
        <v>1518</v>
      </c>
      <c r="M11" s="127" t="s">
        <v>1651</v>
      </c>
      <c r="N11" s="127" t="str">
        <f t="shared" si="1"/>
        <v>太清圣极甲·凡</v>
      </c>
    </row>
    <row r="12" spans="1:14" ht="16.5">
      <c r="A12" s="41" t="s">
        <v>786</v>
      </c>
      <c r="B12" t="s">
        <v>1481</v>
      </c>
      <c r="C12" t="s">
        <v>1434</v>
      </c>
      <c r="D12" t="str">
        <f t="shared" si="0"/>
        <v>a12蚩尤战甲</v>
      </c>
      <c r="E12" s="41">
        <v>20814</v>
      </c>
      <c r="F12" s="41">
        <v>2110</v>
      </c>
      <c r="G12">
        <v>120</v>
      </c>
      <c r="J12" t="s">
        <v>1481</v>
      </c>
      <c r="K12">
        <v>120</v>
      </c>
      <c r="L12" s="41" t="s">
        <v>1519</v>
      </c>
      <c r="M12" s="127" t="s">
        <v>1652</v>
      </c>
      <c r="N12" s="127" t="str">
        <f t="shared" si="1"/>
        <v>光暗仙魔铠·皇</v>
      </c>
    </row>
    <row r="13" spans="1:14" ht="16.5">
      <c r="A13" s="41" t="s">
        <v>787</v>
      </c>
      <c r="B13" t="s">
        <v>1482</v>
      </c>
      <c r="C13" t="s">
        <v>1434</v>
      </c>
      <c r="D13" t="str">
        <f t="shared" si="0"/>
        <v>a13蚩尤战甲</v>
      </c>
      <c r="E13" s="41">
        <v>20815</v>
      </c>
      <c r="F13" s="41">
        <v>2111</v>
      </c>
      <c r="G13">
        <v>130</v>
      </c>
      <c r="J13" t="s">
        <v>1482</v>
      </c>
      <c r="K13">
        <v>130</v>
      </c>
      <c r="L13" s="41" t="s">
        <v>1520</v>
      </c>
      <c r="M13" s="127" t="s">
        <v>1653</v>
      </c>
      <c r="N13" s="127" t="str">
        <f t="shared" si="1"/>
        <v>日月星辰铠·玄</v>
      </c>
    </row>
    <row r="14" spans="1:14" ht="16.5">
      <c r="A14" s="41" t="s">
        <v>788</v>
      </c>
      <c r="B14" t="s">
        <v>1483</v>
      </c>
      <c r="C14" t="s">
        <v>1434</v>
      </c>
      <c r="D14" t="str">
        <f t="shared" si="0"/>
        <v>a14蚩尤战甲</v>
      </c>
      <c r="E14" s="41">
        <v>20816</v>
      </c>
      <c r="F14" s="41">
        <v>2112</v>
      </c>
      <c r="G14">
        <v>140</v>
      </c>
      <c r="J14" t="s">
        <v>1483</v>
      </c>
      <c r="K14">
        <v>140</v>
      </c>
      <c r="L14" s="41" t="s">
        <v>1521</v>
      </c>
      <c r="M14" s="127" t="s">
        <v>1654</v>
      </c>
      <c r="N14" s="127" t="str">
        <f t="shared" si="1"/>
        <v>大道无极铠·地</v>
      </c>
    </row>
    <row r="15" spans="1:14" ht="16.5">
      <c r="A15" s="41" t="s">
        <v>789</v>
      </c>
      <c r="B15" t="s">
        <v>1484</v>
      </c>
      <c r="C15" t="s">
        <v>1434</v>
      </c>
      <c r="D15" t="str">
        <f t="shared" si="0"/>
        <v>a15蚩尤战甲</v>
      </c>
      <c r="E15" s="41">
        <v>20817</v>
      </c>
      <c r="F15" s="41">
        <v>2113</v>
      </c>
      <c r="G15">
        <v>150</v>
      </c>
      <c r="J15" t="s">
        <v>1484</v>
      </c>
      <c r="K15">
        <v>150</v>
      </c>
      <c r="L15" s="41" t="s">
        <v>1522</v>
      </c>
      <c r="M15" s="127" t="s">
        <v>1655</v>
      </c>
      <c r="N15" s="127" t="str">
        <f t="shared" si="1"/>
        <v>万古不灭铠·天</v>
      </c>
    </row>
    <row r="16" spans="1:14" ht="16.5">
      <c r="A16" s="41" t="s">
        <v>761</v>
      </c>
      <c r="B16" t="s">
        <v>1470</v>
      </c>
      <c r="C16" t="s">
        <v>1435</v>
      </c>
      <c r="D16" t="str">
        <f t="shared" si="0"/>
        <v>a01蚩尤长剑</v>
      </c>
      <c r="E16" s="41">
        <v>281</v>
      </c>
      <c r="F16" s="41">
        <v>2114</v>
      </c>
      <c r="G16">
        <v>10</v>
      </c>
      <c r="L16" s="41" t="s">
        <v>1523</v>
      </c>
      <c r="M16" s="127" t="s">
        <v>1641</v>
      </c>
      <c r="N16" s="127" t="str">
        <f t="shared" si="1"/>
        <v>七星剑·壹</v>
      </c>
    </row>
    <row r="17" spans="1:14" ht="16.5">
      <c r="A17" s="41" t="s">
        <v>762</v>
      </c>
      <c r="B17" t="s">
        <v>1471</v>
      </c>
      <c r="C17" t="s">
        <v>1435</v>
      </c>
      <c r="D17" t="str">
        <f t="shared" si="0"/>
        <v>a02蚩尤长剑</v>
      </c>
      <c r="E17" s="41">
        <v>282</v>
      </c>
      <c r="F17" s="41">
        <v>2115</v>
      </c>
      <c r="G17">
        <v>20</v>
      </c>
      <c r="L17" s="41" t="s">
        <v>1524</v>
      </c>
      <c r="M17" s="127" t="s">
        <v>1642</v>
      </c>
      <c r="N17" s="127" t="str">
        <f t="shared" si="1"/>
        <v>倚天剑·贰</v>
      </c>
    </row>
    <row r="18" spans="1:14" ht="16.5">
      <c r="A18" s="41" t="s">
        <v>763</v>
      </c>
      <c r="B18" t="s">
        <v>1472</v>
      </c>
      <c r="C18" t="s">
        <v>1435</v>
      </c>
      <c r="D18" t="str">
        <f t="shared" si="0"/>
        <v>a03蚩尤长剑</v>
      </c>
      <c r="E18" s="41">
        <v>283</v>
      </c>
      <c r="F18" s="41">
        <v>2116</v>
      </c>
      <c r="G18">
        <v>30</v>
      </c>
      <c r="L18" s="41" t="s">
        <v>1525</v>
      </c>
      <c r="M18" s="127" t="s">
        <v>1643</v>
      </c>
      <c r="N18" s="127" t="str">
        <f t="shared" si="1"/>
        <v>屠龙刀·叁</v>
      </c>
    </row>
    <row r="19" spans="1:14" ht="16.5">
      <c r="A19" s="41" t="s">
        <v>764</v>
      </c>
      <c r="B19" t="s">
        <v>1473</v>
      </c>
      <c r="C19" t="s">
        <v>1435</v>
      </c>
      <c r="D19" t="str">
        <f t="shared" si="0"/>
        <v>a04蚩尤长剑</v>
      </c>
      <c r="E19" s="41">
        <v>284</v>
      </c>
      <c r="F19" s="41">
        <v>2117</v>
      </c>
      <c r="G19">
        <v>40</v>
      </c>
      <c r="L19" s="41" t="s">
        <v>1526</v>
      </c>
      <c r="M19" s="127" t="s">
        <v>1644</v>
      </c>
      <c r="N19" s="127" t="str">
        <f t="shared" si="1"/>
        <v>九齿钉耙·肆</v>
      </c>
    </row>
    <row r="20" spans="1:14" ht="16.5">
      <c r="A20" s="41" t="s">
        <v>765</v>
      </c>
      <c r="B20" t="s">
        <v>1474</v>
      </c>
      <c r="C20" t="s">
        <v>1435</v>
      </c>
      <c r="D20" t="str">
        <f t="shared" si="0"/>
        <v>a05蚩尤长剑</v>
      </c>
      <c r="E20" s="41">
        <v>285</v>
      </c>
      <c r="F20" s="41">
        <v>2118</v>
      </c>
      <c r="G20">
        <v>50</v>
      </c>
      <c r="L20" s="41" t="s">
        <v>1527</v>
      </c>
      <c r="M20" s="127" t="s">
        <v>1645</v>
      </c>
      <c r="N20" s="127" t="str">
        <f t="shared" si="1"/>
        <v>三尖两刃刀·伍</v>
      </c>
    </row>
    <row r="21" spans="1:14" ht="16.5">
      <c r="A21" s="41" t="s">
        <v>766</v>
      </c>
      <c r="B21" t="s">
        <v>1475</v>
      </c>
      <c r="C21" t="s">
        <v>1435</v>
      </c>
      <c r="D21" t="str">
        <f t="shared" si="0"/>
        <v>a06蚩尤长剑</v>
      </c>
      <c r="E21" s="41">
        <v>286</v>
      </c>
      <c r="F21" s="41">
        <v>2119</v>
      </c>
      <c r="G21">
        <v>60</v>
      </c>
      <c r="L21" s="41" t="s">
        <v>1528</v>
      </c>
      <c r="M21" s="127" t="s">
        <v>1646</v>
      </c>
      <c r="N21" s="127" t="str">
        <f t="shared" si="1"/>
        <v>中央戊己杏黄旗·陆</v>
      </c>
    </row>
    <row r="22" spans="1:14" ht="16.5">
      <c r="A22" s="41" t="s">
        <v>767</v>
      </c>
      <c r="B22" t="s">
        <v>1476</v>
      </c>
      <c r="C22" t="s">
        <v>1435</v>
      </c>
      <c r="D22" t="str">
        <f t="shared" si="0"/>
        <v>a07蚩尤长剑</v>
      </c>
      <c r="E22" s="41">
        <v>287</v>
      </c>
      <c r="F22" s="41">
        <v>2120</v>
      </c>
      <c r="G22">
        <v>70</v>
      </c>
      <c r="L22" s="41" t="s">
        <v>1529</v>
      </c>
      <c r="M22" s="127" t="s">
        <v>1647</v>
      </c>
      <c r="N22" s="127" t="str">
        <f t="shared" si="1"/>
        <v>冰漓剑·柒</v>
      </c>
    </row>
    <row r="23" spans="1:14" ht="16.5">
      <c r="A23" s="41" t="s">
        <v>768</v>
      </c>
      <c r="B23" t="s">
        <v>1477</v>
      </c>
      <c r="C23" t="s">
        <v>1435</v>
      </c>
      <c r="D23" t="str">
        <f t="shared" si="0"/>
        <v>a08蚩尤长剑</v>
      </c>
      <c r="E23" s="41">
        <v>2082</v>
      </c>
      <c r="F23" s="81">
        <v>2082</v>
      </c>
      <c r="G23">
        <v>80</v>
      </c>
      <c r="L23" s="81" t="s">
        <v>1530</v>
      </c>
      <c r="M23" s="127" t="s">
        <v>1648</v>
      </c>
      <c r="N23" s="127" t="str">
        <f t="shared" si="1"/>
        <v>蚩尤魔神剑·捌</v>
      </c>
    </row>
    <row r="24" spans="1:14" ht="16.5">
      <c r="A24" s="41" t="s">
        <v>769</v>
      </c>
      <c r="B24" t="s">
        <v>1478</v>
      </c>
      <c r="C24" t="s">
        <v>1435</v>
      </c>
      <c r="D24" t="str">
        <f t="shared" si="0"/>
        <v>a09蚩尤长剑</v>
      </c>
      <c r="E24" s="41">
        <v>20821</v>
      </c>
      <c r="F24" s="41">
        <v>2121</v>
      </c>
      <c r="G24">
        <v>90</v>
      </c>
      <c r="L24" s="81" t="s">
        <v>1531</v>
      </c>
      <c r="M24" s="127" t="s">
        <v>1649</v>
      </c>
      <c r="N24" s="127" t="str">
        <f t="shared" si="1"/>
        <v>射日神弓·玖</v>
      </c>
    </row>
    <row r="25" spans="1:14" ht="16.5">
      <c r="A25" s="41" t="s">
        <v>770</v>
      </c>
      <c r="B25" t="s">
        <v>1479</v>
      </c>
      <c r="C25" t="s">
        <v>1435</v>
      </c>
      <c r="D25" t="str">
        <f t="shared" si="0"/>
        <v>a10蚩尤长剑</v>
      </c>
      <c r="E25" s="41">
        <v>20822</v>
      </c>
      <c r="F25" s="41">
        <v>2122</v>
      </c>
      <c r="G25">
        <v>100</v>
      </c>
      <c r="L25" s="81" t="s">
        <v>1532</v>
      </c>
      <c r="M25" s="127" t="s">
        <v>1650</v>
      </c>
      <c r="N25" s="127" t="str">
        <f t="shared" si="1"/>
        <v>蜀山仙灵剑·十</v>
      </c>
    </row>
    <row r="26" spans="1:14" ht="16.5">
      <c r="A26" s="41" t="s">
        <v>771</v>
      </c>
      <c r="B26" t="s">
        <v>1480</v>
      </c>
      <c r="C26" t="s">
        <v>1435</v>
      </c>
      <c r="D26" t="str">
        <f t="shared" si="0"/>
        <v>a11蚩尤长剑</v>
      </c>
      <c r="E26" s="41">
        <v>20823</v>
      </c>
      <c r="F26" s="41">
        <v>2123</v>
      </c>
      <c r="G26">
        <v>110</v>
      </c>
      <c r="L26" s="41" t="s">
        <v>1533</v>
      </c>
      <c r="M26" s="127" t="s">
        <v>1651</v>
      </c>
      <c r="N26" s="127" t="str">
        <f t="shared" si="1"/>
        <v>轩辕神剑·凡</v>
      </c>
    </row>
    <row r="27" spans="1:14" ht="16.5">
      <c r="A27" s="41" t="s">
        <v>772</v>
      </c>
      <c r="B27" t="s">
        <v>1481</v>
      </c>
      <c r="C27" t="s">
        <v>1435</v>
      </c>
      <c r="D27" t="str">
        <f t="shared" si="0"/>
        <v>a12蚩尤长剑</v>
      </c>
      <c r="E27" s="41">
        <v>20824</v>
      </c>
      <c r="F27" s="41">
        <v>2124</v>
      </c>
      <c r="G27">
        <v>120</v>
      </c>
      <c r="L27" s="41" t="s">
        <v>1534</v>
      </c>
      <c r="M27" s="127" t="s">
        <v>1652</v>
      </c>
      <c r="N27" s="127" t="str">
        <f t="shared" si="1"/>
        <v>太阴日月神刀·皇</v>
      </c>
    </row>
    <row r="28" spans="1:14" ht="16.5">
      <c r="A28" s="41" t="s">
        <v>773</v>
      </c>
      <c r="B28" t="s">
        <v>1482</v>
      </c>
      <c r="C28" t="s">
        <v>1435</v>
      </c>
      <c r="D28" t="str">
        <f t="shared" si="0"/>
        <v>a13蚩尤长剑</v>
      </c>
      <c r="E28" s="41">
        <v>20825</v>
      </c>
      <c r="F28" s="41">
        <v>2125</v>
      </c>
      <c r="G28">
        <v>130</v>
      </c>
      <c r="L28" s="41" t="s">
        <v>1535</v>
      </c>
      <c r="M28" s="127" t="s">
        <v>1653</v>
      </c>
      <c r="N28" s="127" t="str">
        <f t="shared" si="1"/>
        <v>星空凤舞杖·玄</v>
      </c>
    </row>
    <row r="29" spans="1:14" ht="16.5">
      <c r="A29" s="41" t="s">
        <v>774</v>
      </c>
      <c r="B29" t="s">
        <v>1483</v>
      </c>
      <c r="C29" t="s">
        <v>1435</v>
      </c>
      <c r="D29" t="str">
        <f t="shared" si="0"/>
        <v>a14蚩尤长剑</v>
      </c>
      <c r="E29" s="41">
        <v>20826</v>
      </c>
      <c r="F29" s="41">
        <v>2126</v>
      </c>
      <c r="G29">
        <v>140</v>
      </c>
      <c r="L29" s="41" t="s">
        <v>1536</v>
      </c>
      <c r="M29" s="127" t="s">
        <v>1654</v>
      </c>
      <c r="N29" s="127" t="str">
        <f t="shared" si="1"/>
        <v>诛仙弓·地</v>
      </c>
    </row>
    <row r="30" spans="1:14" ht="16.5">
      <c r="A30" s="41" t="s">
        <v>775</v>
      </c>
      <c r="B30" t="s">
        <v>1484</v>
      </c>
      <c r="C30" t="s">
        <v>1435</v>
      </c>
      <c r="D30" t="str">
        <f t="shared" si="0"/>
        <v>a15蚩尤长剑</v>
      </c>
      <c r="E30" s="41">
        <v>20827</v>
      </c>
      <c r="F30" s="41">
        <v>2127</v>
      </c>
      <c r="G30">
        <v>150</v>
      </c>
      <c r="L30" s="41" t="s">
        <v>1537</v>
      </c>
      <c r="M30" s="127" t="s">
        <v>1655</v>
      </c>
      <c r="N30" s="127" t="str">
        <f t="shared" si="1"/>
        <v>彼约胜利剑·天</v>
      </c>
    </row>
    <row r="31" spans="1:14" ht="16.5">
      <c r="A31" s="41" t="s">
        <v>790</v>
      </c>
      <c r="B31" t="s">
        <v>1470</v>
      </c>
      <c r="C31" t="s">
        <v>1436</v>
      </c>
      <c r="D31" t="str">
        <f t="shared" si="0"/>
        <v>a01蚩尤头盔</v>
      </c>
      <c r="E31" s="41">
        <v>381</v>
      </c>
      <c r="F31" s="41">
        <v>2128</v>
      </c>
      <c r="G31">
        <v>10</v>
      </c>
      <c r="L31" s="41" t="s">
        <v>1538</v>
      </c>
      <c r="M31" s="127" t="s">
        <v>1641</v>
      </c>
      <c r="N31" s="127" t="str">
        <f t="shared" si="1"/>
        <v>道法头冠·壹</v>
      </c>
    </row>
    <row r="32" spans="1:14" ht="16.5">
      <c r="A32" s="41" t="s">
        <v>791</v>
      </c>
      <c r="B32" t="s">
        <v>1471</v>
      </c>
      <c r="C32" t="s">
        <v>1436</v>
      </c>
      <c r="D32" t="str">
        <f t="shared" si="0"/>
        <v>a02蚩尤头盔</v>
      </c>
      <c r="E32" s="41">
        <v>382</v>
      </c>
      <c r="F32" s="41">
        <v>2129</v>
      </c>
      <c r="G32">
        <v>20</v>
      </c>
      <c r="L32" s="41" t="s">
        <v>1539</v>
      </c>
      <c r="M32" s="127" t="s">
        <v>1642</v>
      </c>
      <c r="N32" s="127" t="str">
        <f t="shared" si="1"/>
        <v>仙晶战盔·贰</v>
      </c>
    </row>
    <row r="33" spans="1:14" ht="16.5">
      <c r="A33" s="41" t="s">
        <v>792</v>
      </c>
      <c r="B33" t="s">
        <v>1472</v>
      </c>
      <c r="C33" t="s">
        <v>1436</v>
      </c>
      <c r="D33" t="str">
        <f t="shared" si="0"/>
        <v>a03蚩尤头盔</v>
      </c>
      <c r="E33" s="41">
        <v>383</v>
      </c>
      <c r="F33" s="41">
        <v>2130</v>
      </c>
      <c r="G33">
        <v>30</v>
      </c>
      <c r="L33" s="41" t="s">
        <v>1540</v>
      </c>
      <c r="M33" s="127" t="s">
        <v>1643</v>
      </c>
      <c r="N33" s="127" t="str">
        <f t="shared" si="1"/>
        <v>凤翅紫金冠·叁</v>
      </c>
    </row>
    <row r="34" spans="1:14" ht="16.5">
      <c r="A34" s="41" t="s">
        <v>793</v>
      </c>
      <c r="B34" t="s">
        <v>1473</v>
      </c>
      <c r="C34" t="s">
        <v>1436</v>
      </c>
      <c r="D34" t="str">
        <f t="shared" si="0"/>
        <v>a04蚩尤头盔</v>
      </c>
      <c r="E34" s="41">
        <v>384</v>
      </c>
      <c r="F34" s="41">
        <v>2131</v>
      </c>
      <c r="G34">
        <v>40</v>
      </c>
      <c r="L34" s="41" t="s">
        <v>1541</v>
      </c>
      <c r="M34" s="127" t="s">
        <v>1644</v>
      </c>
      <c r="N34" s="127" t="str">
        <f t="shared" si="1"/>
        <v>刑天战盔·肆</v>
      </c>
    </row>
    <row r="35" spans="1:14" ht="16.5">
      <c r="A35" s="41" t="s">
        <v>794</v>
      </c>
      <c r="B35" t="s">
        <v>1474</v>
      </c>
      <c r="C35" t="s">
        <v>1436</v>
      </c>
      <c r="D35" t="str">
        <f t="shared" si="0"/>
        <v>a05蚩尤头盔</v>
      </c>
      <c r="E35" s="41">
        <v>385</v>
      </c>
      <c r="F35" s="41">
        <v>2132</v>
      </c>
      <c r="G35">
        <v>50</v>
      </c>
      <c r="L35" s="41" t="s">
        <v>1542</v>
      </c>
      <c r="M35" s="127" t="s">
        <v>1645</v>
      </c>
      <c r="N35" s="127" t="str">
        <f t="shared" si="1"/>
        <v>虚无幻神帽·伍</v>
      </c>
    </row>
    <row r="36" spans="1:14" ht="16.5">
      <c r="A36" s="41" t="s">
        <v>795</v>
      </c>
      <c r="B36" t="s">
        <v>1475</v>
      </c>
      <c r="C36" t="s">
        <v>1436</v>
      </c>
      <c r="D36" t="str">
        <f t="shared" si="0"/>
        <v>a06蚩尤头盔</v>
      </c>
      <c r="E36" s="41">
        <v>386</v>
      </c>
      <c r="F36" s="41">
        <v>2133</v>
      </c>
      <c r="G36">
        <v>60</v>
      </c>
      <c r="L36" s="41" t="s">
        <v>1543</v>
      </c>
      <c r="M36" s="127" t="s">
        <v>1646</v>
      </c>
      <c r="N36" s="127" t="str">
        <f t="shared" si="1"/>
        <v>清源妙道冠·陆</v>
      </c>
    </row>
    <row r="37" spans="1:14" ht="16.5">
      <c r="A37" s="41" t="s">
        <v>796</v>
      </c>
      <c r="B37" t="s">
        <v>1476</v>
      </c>
      <c r="C37" t="s">
        <v>1436</v>
      </c>
      <c r="D37" t="str">
        <f t="shared" si="0"/>
        <v>a07蚩尤头盔</v>
      </c>
      <c r="E37" s="41">
        <v>387</v>
      </c>
      <c r="F37" s="41">
        <v>2134</v>
      </c>
      <c r="G37">
        <v>70</v>
      </c>
      <c r="L37" s="41" t="s">
        <v>1544</v>
      </c>
      <c r="M37" s="127" t="s">
        <v>1647</v>
      </c>
      <c r="N37" s="127" t="str">
        <f t="shared" si="1"/>
        <v>光明普照冠·柒</v>
      </c>
    </row>
    <row r="38" spans="1:14" ht="16.5">
      <c r="A38" s="41" t="s">
        <v>797</v>
      </c>
      <c r="B38" t="s">
        <v>1477</v>
      </c>
      <c r="C38" t="s">
        <v>1436</v>
      </c>
      <c r="D38" t="str">
        <f t="shared" si="0"/>
        <v>a08蚩尤头盔</v>
      </c>
      <c r="E38" s="41">
        <v>2083</v>
      </c>
      <c r="F38" s="81">
        <v>2083</v>
      </c>
      <c r="G38">
        <v>80</v>
      </c>
      <c r="L38" s="81" t="s">
        <v>1545</v>
      </c>
      <c r="M38" s="127" t="s">
        <v>1648</v>
      </c>
      <c r="N38" s="127" t="str">
        <f t="shared" si="1"/>
        <v>蚩尤魔神冠·捌</v>
      </c>
    </row>
    <row r="39" spans="1:14" ht="16.5">
      <c r="A39" s="41" t="s">
        <v>798</v>
      </c>
      <c r="B39" t="s">
        <v>1478</v>
      </c>
      <c r="C39" t="s">
        <v>1436</v>
      </c>
      <c r="D39" t="str">
        <f t="shared" si="0"/>
        <v>a09蚩尤头盔</v>
      </c>
      <c r="E39" s="41">
        <v>20831</v>
      </c>
      <c r="F39" s="41">
        <v>2135</v>
      </c>
      <c r="G39">
        <v>90</v>
      </c>
      <c r="L39" s="81" t="s">
        <v>1546</v>
      </c>
      <c r="M39" s="127" t="s">
        <v>1649</v>
      </c>
      <c r="N39" s="127" t="str">
        <f t="shared" si="1"/>
        <v>上清圣法冠·玖</v>
      </c>
    </row>
    <row r="40" spans="1:14" ht="16.5">
      <c r="A40" s="41" t="s">
        <v>799</v>
      </c>
      <c r="B40" t="s">
        <v>1479</v>
      </c>
      <c r="C40" t="s">
        <v>1436</v>
      </c>
      <c r="D40" t="str">
        <f t="shared" si="0"/>
        <v>a10蚩尤头盔</v>
      </c>
      <c r="E40" s="41">
        <v>20832</v>
      </c>
      <c r="F40" s="41">
        <v>2136</v>
      </c>
      <c r="G40">
        <v>100</v>
      </c>
      <c r="L40" s="81" t="s">
        <v>1547</v>
      </c>
      <c r="M40" s="127" t="s">
        <v>1650</v>
      </c>
      <c r="N40" s="127" t="str">
        <f t="shared" si="1"/>
        <v>弑圣修罗面·十</v>
      </c>
    </row>
    <row r="41" spans="1:14" ht="16.5">
      <c r="A41" s="41" t="s">
        <v>800</v>
      </c>
      <c r="B41" t="s">
        <v>1480</v>
      </c>
      <c r="C41" t="s">
        <v>1436</v>
      </c>
      <c r="D41" t="str">
        <f t="shared" si="0"/>
        <v>a11蚩尤头盔</v>
      </c>
      <c r="E41" s="41">
        <v>20833</v>
      </c>
      <c r="F41" s="41">
        <v>2137</v>
      </c>
      <c r="G41">
        <v>110</v>
      </c>
      <c r="L41" s="81" t="s">
        <v>1548</v>
      </c>
      <c r="M41" s="127" t="s">
        <v>1651</v>
      </c>
      <c r="N41" s="127" t="str">
        <f t="shared" si="1"/>
        <v>天元星辰巾·凡</v>
      </c>
    </row>
    <row r="42" spans="1:14" ht="16.5">
      <c r="A42" s="41" t="s">
        <v>801</v>
      </c>
      <c r="B42" t="s">
        <v>1481</v>
      </c>
      <c r="C42" t="s">
        <v>1436</v>
      </c>
      <c r="D42" t="str">
        <f t="shared" si="0"/>
        <v>a12蚩尤头盔</v>
      </c>
      <c r="E42" s="41">
        <v>20834</v>
      </c>
      <c r="F42" s="41">
        <v>2138</v>
      </c>
      <c r="G42">
        <v>120</v>
      </c>
      <c r="L42" s="81" t="s">
        <v>1549</v>
      </c>
      <c r="M42" s="127" t="s">
        <v>1652</v>
      </c>
      <c r="N42" s="127" t="str">
        <f t="shared" si="1"/>
        <v>金乌妖皇冠·皇</v>
      </c>
    </row>
    <row r="43" spans="1:14" ht="16.5">
      <c r="A43" s="41" t="s">
        <v>802</v>
      </c>
      <c r="B43" t="s">
        <v>1482</v>
      </c>
      <c r="C43" t="s">
        <v>1436</v>
      </c>
      <c r="D43" t="str">
        <f t="shared" si="0"/>
        <v>a13蚩尤头盔</v>
      </c>
      <c r="E43" s="41">
        <v>20835</v>
      </c>
      <c r="F43" s="41">
        <v>2139</v>
      </c>
      <c r="G43">
        <v>130</v>
      </c>
      <c r="L43" s="81" t="s">
        <v>1550</v>
      </c>
      <c r="M43" s="127" t="s">
        <v>1653</v>
      </c>
      <c r="N43" s="127" t="str">
        <f t="shared" si="1"/>
        <v>降魔佛冠·玄</v>
      </c>
    </row>
    <row r="44" spans="1:14" ht="16.5">
      <c r="A44" s="41" t="s">
        <v>803</v>
      </c>
      <c r="B44" t="s">
        <v>1483</v>
      </c>
      <c r="C44" t="s">
        <v>1436</v>
      </c>
      <c r="D44" t="str">
        <f t="shared" si="0"/>
        <v>a14蚩尤头盔</v>
      </c>
      <c r="E44" s="41">
        <v>20836</v>
      </c>
      <c r="F44" s="41">
        <v>2140</v>
      </c>
      <c r="G44">
        <v>140</v>
      </c>
      <c r="L44" s="81" t="s">
        <v>1551</v>
      </c>
      <c r="M44" s="127" t="s">
        <v>1654</v>
      </c>
      <c r="N44" s="127" t="str">
        <f t="shared" si="1"/>
        <v>霊源仙法冠·地</v>
      </c>
    </row>
    <row r="45" spans="1:14" ht="16.5">
      <c r="A45" s="41" t="s">
        <v>804</v>
      </c>
      <c r="B45" t="s">
        <v>1484</v>
      </c>
      <c r="C45" t="s">
        <v>1436</v>
      </c>
      <c r="D45" t="str">
        <f t="shared" si="0"/>
        <v>a15蚩尤头盔</v>
      </c>
      <c r="E45" s="41">
        <v>20837</v>
      </c>
      <c r="F45" s="41">
        <v>2141</v>
      </c>
      <c r="G45">
        <v>150</v>
      </c>
      <c r="L45" s="81" t="s">
        <v>1552</v>
      </c>
      <c r="M45" s="127" t="s">
        <v>1655</v>
      </c>
      <c r="N45" s="127" t="str">
        <f t="shared" si="1"/>
        <v>皇极至尊盔·天</v>
      </c>
    </row>
    <row r="46" spans="1:14" ht="16.5">
      <c r="A46" s="41" t="s">
        <v>805</v>
      </c>
      <c r="B46" t="s">
        <v>1470</v>
      </c>
      <c r="C46" t="s">
        <v>1437</v>
      </c>
      <c r="D46" t="str">
        <f t="shared" si="0"/>
        <v>a01蚩尤战靴</v>
      </c>
      <c r="E46" s="41">
        <v>481</v>
      </c>
      <c r="F46" s="41">
        <v>2142</v>
      </c>
      <c r="G46">
        <v>10</v>
      </c>
      <c r="L46" s="41" t="s">
        <v>1553</v>
      </c>
      <c r="M46" s="127" t="s">
        <v>1641</v>
      </c>
      <c r="N46" s="127" t="str">
        <f t="shared" si="1"/>
        <v>道法鞋·壹</v>
      </c>
    </row>
    <row r="47" spans="1:14" ht="16.5">
      <c r="A47" s="41" t="s">
        <v>806</v>
      </c>
      <c r="B47" t="s">
        <v>1471</v>
      </c>
      <c r="C47" t="s">
        <v>1437</v>
      </c>
      <c r="D47" t="str">
        <f t="shared" si="0"/>
        <v>a02蚩尤战靴</v>
      </c>
      <c r="E47" s="41">
        <v>482</v>
      </c>
      <c r="F47" s="41">
        <v>2143</v>
      </c>
      <c r="G47">
        <v>20</v>
      </c>
      <c r="L47" s="41" t="s">
        <v>1554</v>
      </c>
      <c r="M47" s="127" t="s">
        <v>1642</v>
      </c>
      <c r="N47" s="127" t="str">
        <f t="shared" si="1"/>
        <v>火云道履·贰</v>
      </c>
    </row>
    <row r="48" spans="1:14" ht="16.5">
      <c r="A48" s="41" t="s">
        <v>807</v>
      </c>
      <c r="B48" t="s">
        <v>1472</v>
      </c>
      <c r="C48" t="s">
        <v>1437</v>
      </c>
      <c r="D48" t="str">
        <f t="shared" si="0"/>
        <v>a03蚩尤战靴</v>
      </c>
      <c r="E48" s="41">
        <v>483</v>
      </c>
      <c r="F48" s="41">
        <v>2144</v>
      </c>
      <c r="G48">
        <v>30</v>
      </c>
      <c r="L48" s="41" t="s">
        <v>1555</v>
      </c>
      <c r="M48" s="127" t="s">
        <v>1643</v>
      </c>
      <c r="N48" s="127" t="str">
        <f t="shared" si="1"/>
        <v>藕丝步云履·叁</v>
      </c>
    </row>
    <row r="49" spans="1:14" ht="16.5">
      <c r="A49" s="41" t="s">
        <v>808</v>
      </c>
      <c r="B49" t="s">
        <v>1473</v>
      </c>
      <c r="C49" t="s">
        <v>1437</v>
      </c>
      <c r="D49" t="str">
        <f t="shared" si="0"/>
        <v>a04蚩尤战靴</v>
      </c>
      <c r="E49" s="41">
        <v>484</v>
      </c>
      <c r="F49" s="41">
        <v>2145</v>
      </c>
      <c r="G49">
        <v>40</v>
      </c>
      <c r="L49" s="41" t="s">
        <v>1556</v>
      </c>
      <c r="M49" s="127" t="s">
        <v>1644</v>
      </c>
      <c r="N49" s="127" t="str">
        <f t="shared" si="1"/>
        <v>冰梦鞋·肆</v>
      </c>
    </row>
    <row r="50" spans="1:14" ht="16.5">
      <c r="A50" s="41" t="s">
        <v>809</v>
      </c>
      <c r="B50" t="s">
        <v>1474</v>
      </c>
      <c r="C50" t="s">
        <v>1437</v>
      </c>
      <c r="D50" t="str">
        <f t="shared" si="0"/>
        <v>a05蚩尤战靴</v>
      </c>
      <c r="E50" s="41">
        <v>485</v>
      </c>
      <c r="F50" s="41">
        <v>2146</v>
      </c>
      <c r="G50">
        <v>50</v>
      </c>
      <c r="L50" s="41" t="s">
        <v>1557</v>
      </c>
      <c r="M50" s="127" t="s">
        <v>1645</v>
      </c>
      <c r="N50" s="127" t="str">
        <f t="shared" si="1"/>
        <v>刑天战靴·伍</v>
      </c>
    </row>
    <row r="51" spans="1:14" ht="16.5">
      <c r="A51" s="41" t="s">
        <v>810</v>
      </c>
      <c r="B51" t="s">
        <v>1475</v>
      </c>
      <c r="C51" t="s">
        <v>1437</v>
      </c>
      <c r="D51" t="str">
        <f t="shared" si="0"/>
        <v>a06蚩尤战靴</v>
      </c>
      <c r="E51" s="41">
        <v>486</v>
      </c>
      <c r="F51" s="41">
        <v>2147</v>
      </c>
      <c r="G51">
        <v>60</v>
      </c>
      <c r="L51" s="41" t="s">
        <v>1558</v>
      </c>
      <c r="M51" s="127" t="s">
        <v>1646</v>
      </c>
      <c r="N51" s="127" t="str">
        <f t="shared" si="1"/>
        <v>镇地千重鞋·陆</v>
      </c>
    </row>
    <row r="52" spans="1:14" ht="16.5">
      <c r="A52" s="41" t="s">
        <v>811</v>
      </c>
      <c r="B52" t="s">
        <v>1476</v>
      </c>
      <c r="C52" t="s">
        <v>1437</v>
      </c>
      <c r="D52" t="str">
        <f t="shared" si="0"/>
        <v>a07蚩尤战靴</v>
      </c>
      <c r="E52" s="41">
        <v>487</v>
      </c>
      <c r="F52" s="41">
        <v>2148</v>
      </c>
      <c r="G52">
        <v>70</v>
      </c>
      <c r="L52" s="41" t="s">
        <v>1559</v>
      </c>
      <c r="M52" s="127" t="s">
        <v>1647</v>
      </c>
      <c r="N52" s="127" t="str">
        <f t="shared" si="1"/>
        <v>梦幻天履·柒</v>
      </c>
    </row>
    <row r="53" spans="1:14" ht="16.5">
      <c r="A53" s="41" t="s">
        <v>812</v>
      </c>
      <c r="B53" t="s">
        <v>1477</v>
      </c>
      <c r="C53" t="s">
        <v>1437</v>
      </c>
      <c r="D53" t="str">
        <f t="shared" si="0"/>
        <v>a08蚩尤战靴</v>
      </c>
      <c r="E53" s="41">
        <v>2084</v>
      </c>
      <c r="F53" s="81">
        <v>2084</v>
      </c>
      <c r="G53">
        <v>80</v>
      </c>
      <c r="L53" s="81" t="s">
        <v>1560</v>
      </c>
      <c r="M53" s="127" t="s">
        <v>1648</v>
      </c>
      <c r="N53" s="127" t="str">
        <f t="shared" si="1"/>
        <v>蚩尤魔神靴·捌</v>
      </c>
    </row>
    <row r="54" spans="1:14" ht="16.5">
      <c r="A54" s="41" t="s">
        <v>813</v>
      </c>
      <c r="B54" t="s">
        <v>1478</v>
      </c>
      <c r="C54" t="s">
        <v>1437</v>
      </c>
      <c r="D54" t="str">
        <f t="shared" si="0"/>
        <v>a09蚩尤战靴</v>
      </c>
      <c r="E54" s="41">
        <v>20841</v>
      </c>
      <c r="F54" s="41">
        <v>2149</v>
      </c>
      <c r="G54">
        <v>90</v>
      </c>
      <c r="L54" s="81" t="s">
        <v>1561</v>
      </c>
      <c r="M54" s="127" t="s">
        <v>1649</v>
      </c>
      <c r="N54" s="127" t="str">
        <f t="shared" si="1"/>
        <v>风火轮·玖</v>
      </c>
    </row>
    <row r="55" spans="1:14" ht="16.5">
      <c r="A55" s="41" t="s">
        <v>814</v>
      </c>
      <c r="B55" t="s">
        <v>1479</v>
      </c>
      <c r="C55" t="s">
        <v>1437</v>
      </c>
      <c r="D55" t="str">
        <f t="shared" si="0"/>
        <v>a10蚩尤战靴</v>
      </c>
      <c r="E55" s="41">
        <v>20842</v>
      </c>
      <c r="F55" s="41">
        <v>2150</v>
      </c>
      <c r="G55">
        <v>100</v>
      </c>
      <c r="L55" s="81" t="s">
        <v>1562</v>
      </c>
      <c r="M55" s="127" t="s">
        <v>1650</v>
      </c>
      <c r="N55" s="127" t="str">
        <f t="shared" si="1"/>
        <v>自在逍遥靴·十</v>
      </c>
    </row>
    <row r="56" spans="1:14" ht="16.5">
      <c r="A56" s="41" t="s">
        <v>815</v>
      </c>
      <c r="B56" t="s">
        <v>1480</v>
      </c>
      <c r="C56" t="s">
        <v>1437</v>
      </c>
      <c r="D56" t="str">
        <f t="shared" si="0"/>
        <v>a11蚩尤战靴</v>
      </c>
      <c r="E56" s="41">
        <v>20843</v>
      </c>
      <c r="F56" s="41">
        <v>2151</v>
      </c>
      <c r="G56">
        <v>110</v>
      </c>
      <c r="L56" s="81" t="s">
        <v>1563</v>
      </c>
      <c r="M56" s="127" t="s">
        <v>1651</v>
      </c>
      <c r="N56" s="127" t="str">
        <f t="shared" si="1"/>
        <v>燃灯佛法履·凡</v>
      </c>
    </row>
    <row r="57" spans="1:14" ht="16.5">
      <c r="A57" s="41" t="s">
        <v>816</v>
      </c>
      <c r="B57" t="s">
        <v>1481</v>
      </c>
      <c r="C57" t="s">
        <v>1437</v>
      </c>
      <c r="D57" t="str">
        <f t="shared" si="0"/>
        <v>a12蚩尤战靴</v>
      </c>
      <c r="E57" s="41">
        <v>20844</v>
      </c>
      <c r="F57" s="41">
        <v>2152</v>
      </c>
      <c r="G57">
        <v>120</v>
      </c>
      <c r="L57" s="81" t="s">
        <v>1564</v>
      </c>
      <c r="M57" s="127" t="s">
        <v>1652</v>
      </c>
      <c r="N57" s="127" t="str">
        <f t="shared" si="1"/>
        <v>巨灵神足·皇</v>
      </c>
    </row>
    <row r="58" spans="1:14" ht="16.5">
      <c r="A58" s="41" t="s">
        <v>817</v>
      </c>
      <c r="B58" t="s">
        <v>1482</v>
      </c>
      <c r="C58" t="s">
        <v>1437</v>
      </c>
      <c r="D58" t="str">
        <f t="shared" si="0"/>
        <v>a13蚩尤战靴</v>
      </c>
      <c r="E58" s="41">
        <v>20845</v>
      </c>
      <c r="F58" s="41">
        <v>2153</v>
      </c>
      <c r="G58">
        <v>130</v>
      </c>
      <c r="L58" s="81" t="s">
        <v>1565</v>
      </c>
      <c r="M58" s="127" t="s">
        <v>1653</v>
      </c>
      <c r="N58" s="127" t="str">
        <f t="shared" si="1"/>
        <v>玉清圣道履·玄</v>
      </c>
    </row>
    <row r="59" spans="1:14" ht="16.5">
      <c r="A59" s="41" t="s">
        <v>818</v>
      </c>
      <c r="B59" t="s">
        <v>1483</v>
      </c>
      <c r="C59" t="s">
        <v>1437</v>
      </c>
      <c r="D59" t="str">
        <f t="shared" si="0"/>
        <v>a14蚩尤战靴</v>
      </c>
      <c r="E59" s="41">
        <v>20846</v>
      </c>
      <c r="F59" s="41">
        <v>2154</v>
      </c>
      <c r="G59">
        <v>140</v>
      </c>
      <c r="L59" s="81" t="s">
        <v>1566</v>
      </c>
      <c r="M59" s="127" t="s">
        <v>1654</v>
      </c>
      <c r="N59" s="127" t="str">
        <f t="shared" si="1"/>
        <v>仙道传承法靴·地</v>
      </c>
    </row>
    <row r="60" spans="1:14" ht="16.5">
      <c r="A60" s="41" t="s">
        <v>819</v>
      </c>
      <c r="B60" t="s">
        <v>1484</v>
      </c>
      <c r="C60" t="s">
        <v>1437</v>
      </c>
      <c r="D60" t="str">
        <f t="shared" si="0"/>
        <v>a15蚩尤战靴</v>
      </c>
      <c r="E60" s="41">
        <v>20847</v>
      </c>
      <c r="F60" s="41">
        <v>2155</v>
      </c>
      <c r="G60">
        <v>150</v>
      </c>
      <c r="L60" s="81" t="s">
        <v>1567</v>
      </c>
      <c r="M60" s="127" t="s">
        <v>1655</v>
      </c>
      <c r="N60" s="127" t="str">
        <f t="shared" si="1"/>
        <v>伏羲造物靴·天</v>
      </c>
    </row>
    <row r="61" spans="1:14" ht="16.5">
      <c r="A61" s="37" t="s">
        <v>820</v>
      </c>
      <c r="B61" t="s">
        <v>1470</v>
      </c>
      <c r="C61" t="s">
        <v>1438</v>
      </c>
      <c r="D61" t="str">
        <f t="shared" si="0"/>
        <v>a01天罡战甲</v>
      </c>
      <c r="E61" s="37">
        <v>1691</v>
      </c>
      <c r="F61" s="41">
        <v>2156</v>
      </c>
      <c r="G61">
        <v>10</v>
      </c>
      <c r="L61" s="37" t="s">
        <v>1568</v>
      </c>
      <c r="M61" s="127" t="s">
        <v>1641</v>
      </c>
      <c r="N61" s="127" t="str">
        <f t="shared" si="1"/>
        <v>业火红莲铠甲·壹</v>
      </c>
    </row>
    <row r="62" spans="1:14" ht="16.5">
      <c r="A62" s="37" t="s">
        <v>821</v>
      </c>
      <c r="B62" t="s">
        <v>1471</v>
      </c>
      <c r="C62" t="s">
        <v>1438</v>
      </c>
      <c r="D62" t="str">
        <f t="shared" si="0"/>
        <v>a02天罡战甲</v>
      </c>
      <c r="E62" s="37">
        <v>1692</v>
      </c>
      <c r="F62" s="41">
        <v>2157</v>
      </c>
      <c r="G62">
        <v>20</v>
      </c>
      <c r="L62" s="37" t="s">
        <v>1568</v>
      </c>
      <c r="M62" s="127" t="s">
        <v>1642</v>
      </c>
      <c r="N62" s="127" t="str">
        <f t="shared" si="1"/>
        <v>业火红莲铠甲·贰</v>
      </c>
    </row>
    <row r="63" spans="1:14" ht="16.5">
      <c r="A63" s="37" t="s">
        <v>822</v>
      </c>
      <c r="B63" t="s">
        <v>1472</v>
      </c>
      <c r="C63" t="s">
        <v>1438</v>
      </c>
      <c r="D63" t="str">
        <f t="shared" si="0"/>
        <v>a03天罡战甲</v>
      </c>
      <c r="E63" s="37">
        <v>1693</v>
      </c>
      <c r="F63" s="41">
        <v>2158</v>
      </c>
      <c r="G63">
        <v>30</v>
      </c>
      <c r="L63" s="37" t="s">
        <v>1568</v>
      </c>
      <c r="M63" s="127" t="s">
        <v>1643</v>
      </c>
      <c r="N63" s="127" t="str">
        <f t="shared" si="1"/>
        <v>业火红莲铠甲·叁</v>
      </c>
    </row>
    <row r="64" spans="1:14" ht="16.5">
      <c r="A64" s="37" t="s">
        <v>823</v>
      </c>
      <c r="B64" t="s">
        <v>1473</v>
      </c>
      <c r="C64" t="s">
        <v>1438</v>
      </c>
      <c r="D64" t="str">
        <f t="shared" si="0"/>
        <v>a04天罡战甲</v>
      </c>
      <c r="E64" s="37">
        <v>1694</v>
      </c>
      <c r="F64" s="41">
        <v>2159</v>
      </c>
      <c r="G64">
        <v>40</v>
      </c>
      <c r="L64" s="37" t="s">
        <v>1569</v>
      </c>
      <c r="M64" s="127" t="s">
        <v>1644</v>
      </c>
      <c r="N64" s="127" t="str">
        <f t="shared" si="1"/>
        <v>天罡铠甲·肆</v>
      </c>
    </row>
    <row r="65" spans="1:14" ht="16.5">
      <c r="A65" s="37" t="s">
        <v>824</v>
      </c>
      <c r="B65" t="s">
        <v>1474</v>
      </c>
      <c r="C65" t="s">
        <v>1438</v>
      </c>
      <c r="D65" t="str">
        <f t="shared" si="0"/>
        <v>a05天罡战甲</v>
      </c>
      <c r="E65" s="37">
        <v>2069</v>
      </c>
      <c r="F65" s="88">
        <v>2069</v>
      </c>
      <c r="G65">
        <v>50</v>
      </c>
      <c r="L65" s="88" t="s">
        <v>1569</v>
      </c>
      <c r="M65" s="127" t="s">
        <v>1645</v>
      </c>
      <c r="N65" s="127" t="str">
        <f t="shared" si="1"/>
        <v>天罡铠甲·伍</v>
      </c>
    </row>
    <row r="66" spans="1:14" ht="16.5">
      <c r="A66" s="37" t="s">
        <v>825</v>
      </c>
      <c r="B66" t="s">
        <v>1475</v>
      </c>
      <c r="C66" t="s">
        <v>1438</v>
      </c>
      <c r="D66" t="str">
        <f t="shared" ref="D66:D129" si="2">B66&amp;C66</f>
        <v>a06天罡战甲</v>
      </c>
      <c r="E66" s="37">
        <v>20691</v>
      </c>
      <c r="F66" s="37">
        <v>2160</v>
      </c>
      <c r="G66">
        <v>60</v>
      </c>
      <c r="L66" s="37" t="s">
        <v>1569</v>
      </c>
      <c r="M66" s="127" t="s">
        <v>1646</v>
      </c>
      <c r="N66" s="127" t="str">
        <f t="shared" ref="N66:N129" si="3">L66&amp;M66</f>
        <v>天罡铠甲·陆</v>
      </c>
    </row>
    <row r="67" spans="1:14" ht="16.5">
      <c r="A67" s="37" t="s">
        <v>826</v>
      </c>
      <c r="B67" t="s">
        <v>1476</v>
      </c>
      <c r="C67" t="s">
        <v>1438</v>
      </c>
      <c r="D67" t="str">
        <f t="shared" si="2"/>
        <v>a07天罡战甲</v>
      </c>
      <c r="E67" s="37">
        <v>20692</v>
      </c>
      <c r="F67" s="37">
        <v>2161</v>
      </c>
      <c r="G67">
        <v>70</v>
      </c>
      <c r="L67" s="37" t="s">
        <v>1570</v>
      </c>
      <c r="M67" s="127" t="s">
        <v>1647</v>
      </c>
      <c r="N67" s="127" t="str">
        <f t="shared" si="3"/>
        <v>六道轮回铠甲·柒</v>
      </c>
    </row>
    <row r="68" spans="1:14" ht="16.5">
      <c r="A68" s="37" t="s">
        <v>827</v>
      </c>
      <c r="B68" t="s">
        <v>1477</v>
      </c>
      <c r="C68" t="s">
        <v>1438</v>
      </c>
      <c r="D68" t="str">
        <f t="shared" si="2"/>
        <v>a08天罡战甲</v>
      </c>
      <c r="E68" s="37">
        <v>20693</v>
      </c>
      <c r="F68" s="37">
        <v>2162</v>
      </c>
      <c r="G68">
        <v>80</v>
      </c>
      <c r="L68" s="37" t="s">
        <v>1570</v>
      </c>
      <c r="M68" s="127" t="s">
        <v>1648</v>
      </c>
      <c r="N68" s="127" t="str">
        <f t="shared" si="3"/>
        <v>六道轮回铠甲·捌</v>
      </c>
    </row>
    <row r="69" spans="1:14" ht="16.5">
      <c r="A69" s="37" t="s">
        <v>828</v>
      </c>
      <c r="B69" t="s">
        <v>1478</v>
      </c>
      <c r="C69" t="s">
        <v>1438</v>
      </c>
      <c r="D69" t="str">
        <f t="shared" si="2"/>
        <v>a09天罡战甲</v>
      </c>
      <c r="E69" s="37">
        <v>20694</v>
      </c>
      <c r="F69" s="37">
        <v>2163</v>
      </c>
      <c r="G69">
        <v>90</v>
      </c>
      <c r="L69" s="37" t="s">
        <v>1570</v>
      </c>
      <c r="M69" s="127" t="s">
        <v>1649</v>
      </c>
      <c r="N69" s="127" t="str">
        <f t="shared" si="3"/>
        <v>六道轮回铠甲·玖</v>
      </c>
    </row>
    <row r="70" spans="1:14" ht="16.5">
      <c r="A70" s="37" t="s">
        <v>829</v>
      </c>
      <c r="B70" t="s">
        <v>1479</v>
      </c>
      <c r="C70" t="s">
        <v>1438</v>
      </c>
      <c r="D70" t="str">
        <f t="shared" si="2"/>
        <v>a10天罡战甲</v>
      </c>
      <c r="E70" s="37">
        <v>20695</v>
      </c>
      <c r="F70" s="37">
        <v>2164</v>
      </c>
      <c r="G70">
        <v>100</v>
      </c>
      <c r="L70" s="37" t="s">
        <v>1571</v>
      </c>
      <c r="M70" s="127" t="s">
        <v>1650</v>
      </c>
      <c r="N70" s="127" t="str">
        <f t="shared" si="3"/>
        <v>光明普照铠甲·十</v>
      </c>
    </row>
    <row r="71" spans="1:14" ht="16.5">
      <c r="A71" s="37" t="s">
        <v>830</v>
      </c>
      <c r="B71" t="s">
        <v>1480</v>
      </c>
      <c r="C71" t="s">
        <v>1438</v>
      </c>
      <c r="D71" t="str">
        <f t="shared" si="2"/>
        <v>a11天罡战甲</v>
      </c>
      <c r="E71" s="37">
        <v>20696</v>
      </c>
      <c r="F71" s="37">
        <v>2165</v>
      </c>
      <c r="G71">
        <v>110</v>
      </c>
      <c r="L71" s="37" t="s">
        <v>1571</v>
      </c>
      <c r="M71" s="127" t="s">
        <v>1651</v>
      </c>
      <c r="N71" s="127" t="str">
        <f t="shared" si="3"/>
        <v>光明普照铠甲·凡</v>
      </c>
    </row>
    <row r="72" spans="1:14" ht="16.5">
      <c r="A72" s="37" t="s">
        <v>831</v>
      </c>
      <c r="B72" t="s">
        <v>1481</v>
      </c>
      <c r="C72" t="s">
        <v>1438</v>
      </c>
      <c r="D72" t="str">
        <f t="shared" si="2"/>
        <v>a12天罡战甲</v>
      </c>
      <c r="E72" s="37">
        <v>20697</v>
      </c>
      <c r="F72" s="37">
        <v>2166</v>
      </c>
      <c r="G72">
        <v>120</v>
      </c>
      <c r="L72" s="37" t="s">
        <v>1571</v>
      </c>
      <c r="M72" s="127" t="s">
        <v>1652</v>
      </c>
      <c r="N72" s="127" t="str">
        <f t="shared" si="3"/>
        <v>光明普照铠甲·皇</v>
      </c>
    </row>
    <row r="73" spans="1:14" ht="16.5">
      <c r="A73" s="37" t="s">
        <v>832</v>
      </c>
      <c r="B73" t="s">
        <v>1482</v>
      </c>
      <c r="C73" t="s">
        <v>1438</v>
      </c>
      <c r="D73" t="str">
        <f t="shared" si="2"/>
        <v>a13天罡战甲</v>
      </c>
      <c r="E73" s="37">
        <v>20698</v>
      </c>
      <c r="F73" s="37">
        <v>2167</v>
      </c>
      <c r="G73">
        <v>130</v>
      </c>
      <c r="L73" s="37" t="s">
        <v>1572</v>
      </c>
      <c r="M73" s="127" t="s">
        <v>1653</v>
      </c>
      <c r="N73" s="127" t="str">
        <f t="shared" si="3"/>
        <v>天地阴阳铠甲·玄</v>
      </c>
    </row>
    <row r="74" spans="1:14" ht="16.5">
      <c r="A74" s="37" t="s">
        <v>833</v>
      </c>
      <c r="B74" t="s">
        <v>1483</v>
      </c>
      <c r="C74" t="s">
        <v>1438</v>
      </c>
      <c r="D74" t="str">
        <f t="shared" si="2"/>
        <v>a14天罡战甲</v>
      </c>
      <c r="E74" s="37">
        <v>20699</v>
      </c>
      <c r="F74" s="37">
        <v>2168</v>
      </c>
      <c r="G74">
        <v>140</v>
      </c>
      <c r="L74" s="37" t="s">
        <v>1572</v>
      </c>
      <c r="M74" s="127" t="s">
        <v>1654</v>
      </c>
      <c r="N74" s="127" t="str">
        <f t="shared" si="3"/>
        <v>天地阴阳铠甲·地</v>
      </c>
    </row>
    <row r="75" spans="1:14" ht="16.5">
      <c r="A75" s="37" t="s">
        <v>834</v>
      </c>
      <c r="B75" t="s">
        <v>1484</v>
      </c>
      <c r="C75" t="s">
        <v>1438</v>
      </c>
      <c r="D75" t="str">
        <f t="shared" si="2"/>
        <v>a15天罡战甲</v>
      </c>
      <c r="E75" s="37">
        <v>20700</v>
      </c>
      <c r="F75" s="37">
        <v>2169</v>
      </c>
      <c r="G75">
        <v>150</v>
      </c>
      <c r="L75" s="37" t="s">
        <v>1572</v>
      </c>
      <c r="M75" s="127" t="s">
        <v>1655</v>
      </c>
      <c r="N75" s="127" t="str">
        <f t="shared" si="3"/>
        <v>天地阴阳铠甲·天</v>
      </c>
    </row>
    <row r="76" spans="1:14" ht="16.5">
      <c r="A76" s="37" t="s">
        <v>835</v>
      </c>
      <c r="B76" t="s">
        <v>1470</v>
      </c>
      <c r="C76" t="s">
        <v>1439</v>
      </c>
      <c r="D76" t="str">
        <f t="shared" si="2"/>
        <v>a01天罡长剑</v>
      </c>
      <c r="E76" s="37">
        <v>1701</v>
      </c>
      <c r="F76" s="37">
        <v>2170</v>
      </c>
      <c r="G76">
        <v>10</v>
      </c>
      <c r="L76" s="37" t="s">
        <v>1573</v>
      </c>
      <c r="M76" s="127" t="s">
        <v>1641</v>
      </c>
      <c r="N76" s="127" t="str">
        <f t="shared" si="3"/>
        <v>业火红莲剑·壹</v>
      </c>
    </row>
    <row r="77" spans="1:14" ht="16.5">
      <c r="A77" s="37" t="s">
        <v>836</v>
      </c>
      <c r="B77" t="s">
        <v>1471</v>
      </c>
      <c r="C77" t="s">
        <v>1439</v>
      </c>
      <c r="D77" t="str">
        <f t="shared" si="2"/>
        <v>a02天罡长剑</v>
      </c>
      <c r="E77" s="37">
        <v>1702</v>
      </c>
      <c r="F77" s="37">
        <v>2171</v>
      </c>
      <c r="G77">
        <v>20</v>
      </c>
      <c r="L77" s="37" t="s">
        <v>1573</v>
      </c>
      <c r="M77" s="127" t="s">
        <v>1642</v>
      </c>
      <c r="N77" s="127" t="str">
        <f t="shared" si="3"/>
        <v>业火红莲剑·贰</v>
      </c>
    </row>
    <row r="78" spans="1:14" ht="16.5">
      <c r="A78" s="37" t="s">
        <v>837</v>
      </c>
      <c r="B78" t="s">
        <v>1472</v>
      </c>
      <c r="C78" t="s">
        <v>1439</v>
      </c>
      <c r="D78" t="str">
        <f t="shared" si="2"/>
        <v>a03天罡长剑</v>
      </c>
      <c r="E78" s="37">
        <v>1703</v>
      </c>
      <c r="F78" s="37">
        <v>2172</v>
      </c>
      <c r="G78">
        <v>30</v>
      </c>
      <c r="L78" s="37" t="s">
        <v>1573</v>
      </c>
      <c r="M78" s="127" t="s">
        <v>1643</v>
      </c>
      <c r="N78" s="127" t="str">
        <f t="shared" si="3"/>
        <v>业火红莲剑·叁</v>
      </c>
    </row>
    <row r="79" spans="1:14" ht="16.5">
      <c r="A79" s="37" t="s">
        <v>838</v>
      </c>
      <c r="B79" t="s">
        <v>1473</v>
      </c>
      <c r="C79" t="s">
        <v>1439</v>
      </c>
      <c r="D79" t="str">
        <f t="shared" si="2"/>
        <v>a04天罡长剑</v>
      </c>
      <c r="E79" s="37">
        <v>1704</v>
      </c>
      <c r="F79" s="37">
        <v>2173</v>
      </c>
      <c r="G79">
        <v>40</v>
      </c>
      <c r="L79" s="37" t="s">
        <v>1574</v>
      </c>
      <c r="M79" s="127" t="s">
        <v>1644</v>
      </c>
      <c r="N79" s="127" t="str">
        <f t="shared" si="3"/>
        <v>天罡剑·肆</v>
      </c>
    </row>
    <row r="80" spans="1:14" ht="16.5">
      <c r="A80" s="37" t="s">
        <v>839</v>
      </c>
      <c r="B80" t="s">
        <v>1474</v>
      </c>
      <c r="C80" t="s">
        <v>1439</v>
      </c>
      <c r="D80" t="str">
        <f t="shared" si="2"/>
        <v>a05天罡长剑</v>
      </c>
      <c r="E80" s="37">
        <v>2070</v>
      </c>
      <c r="F80" s="88">
        <v>2070</v>
      </c>
      <c r="G80">
        <v>50</v>
      </c>
      <c r="L80" s="88" t="s">
        <v>1574</v>
      </c>
      <c r="M80" s="127" t="s">
        <v>1645</v>
      </c>
      <c r="N80" s="127" t="str">
        <f t="shared" si="3"/>
        <v>天罡剑·伍</v>
      </c>
    </row>
    <row r="81" spans="1:14" ht="16.5">
      <c r="A81" s="37" t="s">
        <v>840</v>
      </c>
      <c r="B81" t="s">
        <v>1475</v>
      </c>
      <c r="C81" t="s">
        <v>1439</v>
      </c>
      <c r="D81" t="str">
        <f t="shared" si="2"/>
        <v>a06天罡长剑</v>
      </c>
      <c r="E81" s="37">
        <v>20701</v>
      </c>
      <c r="F81" s="37">
        <v>2174</v>
      </c>
      <c r="G81">
        <v>60</v>
      </c>
      <c r="L81" s="37" t="s">
        <v>1574</v>
      </c>
      <c r="M81" s="127" t="s">
        <v>1646</v>
      </c>
      <c r="N81" s="127" t="str">
        <f t="shared" si="3"/>
        <v>天罡剑·陆</v>
      </c>
    </row>
    <row r="82" spans="1:14" ht="16.5">
      <c r="A82" s="37" t="s">
        <v>841</v>
      </c>
      <c r="B82" t="s">
        <v>1476</v>
      </c>
      <c r="C82" t="s">
        <v>1439</v>
      </c>
      <c r="D82" t="str">
        <f t="shared" si="2"/>
        <v>a07天罡长剑</v>
      </c>
      <c r="E82" s="37">
        <v>20702</v>
      </c>
      <c r="F82" s="37">
        <v>2175</v>
      </c>
      <c r="G82">
        <v>70</v>
      </c>
      <c r="L82" s="37" t="s">
        <v>1575</v>
      </c>
      <c r="M82" s="127" t="s">
        <v>1647</v>
      </c>
      <c r="N82" s="127" t="str">
        <f t="shared" si="3"/>
        <v>六道轮回剑·柒</v>
      </c>
    </row>
    <row r="83" spans="1:14" ht="16.5">
      <c r="A83" s="37" t="s">
        <v>842</v>
      </c>
      <c r="B83" t="s">
        <v>1477</v>
      </c>
      <c r="C83" t="s">
        <v>1439</v>
      </c>
      <c r="D83" t="str">
        <f t="shared" si="2"/>
        <v>a08天罡长剑</v>
      </c>
      <c r="E83" s="37">
        <v>20703</v>
      </c>
      <c r="F83" s="37">
        <v>2176</v>
      </c>
      <c r="G83">
        <v>80</v>
      </c>
      <c r="L83" s="37" t="s">
        <v>1575</v>
      </c>
      <c r="M83" s="127" t="s">
        <v>1648</v>
      </c>
      <c r="N83" s="127" t="str">
        <f t="shared" si="3"/>
        <v>六道轮回剑·捌</v>
      </c>
    </row>
    <row r="84" spans="1:14" ht="16.5">
      <c r="A84" s="37" t="s">
        <v>843</v>
      </c>
      <c r="B84" t="s">
        <v>1478</v>
      </c>
      <c r="C84" t="s">
        <v>1439</v>
      </c>
      <c r="D84" t="str">
        <f t="shared" si="2"/>
        <v>a09天罡长剑</v>
      </c>
      <c r="E84" s="37">
        <v>20704</v>
      </c>
      <c r="F84" s="37">
        <v>2177</v>
      </c>
      <c r="G84">
        <v>90</v>
      </c>
      <c r="L84" s="37" t="s">
        <v>1575</v>
      </c>
      <c r="M84" s="127" t="s">
        <v>1649</v>
      </c>
      <c r="N84" s="127" t="str">
        <f t="shared" si="3"/>
        <v>六道轮回剑·玖</v>
      </c>
    </row>
    <row r="85" spans="1:14" ht="16.5">
      <c r="A85" s="37" t="s">
        <v>844</v>
      </c>
      <c r="B85" t="s">
        <v>1479</v>
      </c>
      <c r="C85" t="s">
        <v>1439</v>
      </c>
      <c r="D85" t="str">
        <f t="shared" si="2"/>
        <v>a10天罡长剑</v>
      </c>
      <c r="E85" s="37">
        <v>20705</v>
      </c>
      <c r="F85" s="37">
        <v>2178</v>
      </c>
      <c r="G85">
        <v>100</v>
      </c>
      <c r="L85" s="37" t="s">
        <v>1576</v>
      </c>
      <c r="M85" s="127" t="s">
        <v>1650</v>
      </c>
      <c r="N85" s="127" t="str">
        <f t="shared" si="3"/>
        <v>光明普照剑·十</v>
      </c>
    </row>
    <row r="86" spans="1:14" ht="16.5">
      <c r="A86" s="37" t="s">
        <v>845</v>
      </c>
      <c r="B86" t="s">
        <v>1480</v>
      </c>
      <c r="C86" t="s">
        <v>1439</v>
      </c>
      <c r="D86" t="str">
        <f t="shared" si="2"/>
        <v>a11天罡长剑</v>
      </c>
      <c r="E86" s="37">
        <v>20706</v>
      </c>
      <c r="F86" s="37">
        <v>2179</v>
      </c>
      <c r="G86">
        <v>110</v>
      </c>
      <c r="L86" s="37" t="s">
        <v>1576</v>
      </c>
      <c r="M86" s="127" t="s">
        <v>1651</v>
      </c>
      <c r="N86" s="127" t="str">
        <f t="shared" si="3"/>
        <v>光明普照剑·凡</v>
      </c>
    </row>
    <row r="87" spans="1:14" ht="16.5">
      <c r="A87" s="37" t="s">
        <v>846</v>
      </c>
      <c r="B87" t="s">
        <v>1481</v>
      </c>
      <c r="C87" t="s">
        <v>1439</v>
      </c>
      <c r="D87" t="str">
        <f t="shared" si="2"/>
        <v>a12天罡长剑</v>
      </c>
      <c r="E87" s="37">
        <v>20707</v>
      </c>
      <c r="F87" s="37">
        <v>2180</v>
      </c>
      <c r="G87">
        <v>120</v>
      </c>
      <c r="L87" s="37" t="s">
        <v>1576</v>
      </c>
      <c r="M87" s="127" t="s">
        <v>1652</v>
      </c>
      <c r="N87" s="127" t="str">
        <f t="shared" si="3"/>
        <v>光明普照剑·皇</v>
      </c>
    </row>
    <row r="88" spans="1:14" ht="16.5">
      <c r="A88" s="37" t="s">
        <v>847</v>
      </c>
      <c r="B88" t="s">
        <v>1482</v>
      </c>
      <c r="C88" t="s">
        <v>1439</v>
      </c>
      <c r="D88" t="str">
        <f t="shared" si="2"/>
        <v>a13天罡长剑</v>
      </c>
      <c r="E88" s="37">
        <v>20708</v>
      </c>
      <c r="F88" s="37">
        <v>2181</v>
      </c>
      <c r="G88">
        <v>130</v>
      </c>
      <c r="L88" s="37" t="s">
        <v>1577</v>
      </c>
      <c r="M88" s="127" t="s">
        <v>1653</v>
      </c>
      <c r="N88" s="127" t="str">
        <f t="shared" si="3"/>
        <v>天地阴阳剑·玄</v>
      </c>
    </row>
    <row r="89" spans="1:14" ht="16.5">
      <c r="A89" s="37" t="s">
        <v>848</v>
      </c>
      <c r="B89" t="s">
        <v>1483</v>
      </c>
      <c r="C89" t="s">
        <v>1439</v>
      </c>
      <c r="D89" t="str">
        <f t="shared" si="2"/>
        <v>a14天罡长剑</v>
      </c>
      <c r="E89" s="37">
        <v>20709</v>
      </c>
      <c r="F89" s="37">
        <v>2182</v>
      </c>
      <c r="G89">
        <v>140</v>
      </c>
      <c r="L89" s="37" t="s">
        <v>1577</v>
      </c>
      <c r="M89" s="127" t="s">
        <v>1654</v>
      </c>
      <c r="N89" s="127" t="str">
        <f t="shared" si="3"/>
        <v>天地阴阳剑·地</v>
      </c>
    </row>
    <row r="90" spans="1:14" ht="16.5">
      <c r="A90" s="37" t="s">
        <v>849</v>
      </c>
      <c r="B90" t="s">
        <v>1484</v>
      </c>
      <c r="C90" t="s">
        <v>1439</v>
      </c>
      <c r="D90" t="str">
        <f t="shared" si="2"/>
        <v>a15天罡长剑</v>
      </c>
      <c r="E90" s="37">
        <v>20710</v>
      </c>
      <c r="F90" s="37">
        <v>2183</v>
      </c>
      <c r="G90">
        <v>150</v>
      </c>
      <c r="L90" s="37" t="s">
        <v>1577</v>
      </c>
      <c r="M90" s="127" t="s">
        <v>1655</v>
      </c>
      <c r="N90" s="127" t="str">
        <f t="shared" si="3"/>
        <v>天地阴阳剑·天</v>
      </c>
    </row>
    <row r="91" spans="1:14" ht="16.5">
      <c r="A91" s="37" t="s">
        <v>850</v>
      </c>
      <c r="B91" t="s">
        <v>1470</v>
      </c>
      <c r="C91" t="s">
        <v>1440</v>
      </c>
      <c r="D91" t="str">
        <f t="shared" si="2"/>
        <v>a01天罡头盔</v>
      </c>
      <c r="E91" s="37">
        <v>1711</v>
      </c>
      <c r="F91" s="37">
        <v>2184</v>
      </c>
      <c r="G91">
        <v>10</v>
      </c>
      <c r="L91" s="37" t="s">
        <v>1578</v>
      </c>
      <c r="M91" s="127" t="s">
        <v>1641</v>
      </c>
      <c r="N91" s="127" t="str">
        <f t="shared" si="3"/>
        <v>业火红莲冠·壹</v>
      </c>
    </row>
    <row r="92" spans="1:14" ht="16.5">
      <c r="A92" s="37" t="s">
        <v>851</v>
      </c>
      <c r="B92" t="s">
        <v>1471</v>
      </c>
      <c r="C92" t="s">
        <v>1440</v>
      </c>
      <c r="D92" t="str">
        <f t="shared" si="2"/>
        <v>a02天罡头盔</v>
      </c>
      <c r="E92" s="37">
        <v>1712</v>
      </c>
      <c r="F92" s="37">
        <v>2185</v>
      </c>
      <c r="G92">
        <v>20</v>
      </c>
      <c r="L92" s="37" t="s">
        <v>1578</v>
      </c>
      <c r="M92" s="127" t="s">
        <v>1642</v>
      </c>
      <c r="N92" s="127" t="str">
        <f t="shared" si="3"/>
        <v>业火红莲冠·贰</v>
      </c>
    </row>
    <row r="93" spans="1:14" ht="16.5">
      <c r="A93" s="37" t="s">
        <v>852</v>
      </c>
      <c r="B93" t="s">
        <v>1472</v>
      </c>
      <c r="C93" t="s">
        <v>1440</v>
      </c>
      <c r="D93" t="str">
        <f t="shared" si="2"/>
        <v>a03天罡头盔</v>
      </c>
      <c r="E93" s="37">
        <v>1713</v>
      </c>
      <c r="F93" s="37">
        <v>2186</v>
      </c>
      <c r="G93">
        <v>30</v>
      </c>
      <c r="L93" s="37" t="s">
        <v>1578</v>
      </c>
      <c r="M93" s="127" t="s">
        <v>1643</v>
      </c>
      <c r="N93" s="127" t="str">
        <f t="shared" si="3"/>
        <v>业火红莲冠·叁</v>
      </c>
    </row>
    <row r="94" spans="1:14" ht="16.5">
      <c r="A94" s="37" t="s">
        <v>853</v>
      </c>
      <c r="B94" t="s">
        <v>1473</v>
      </c>
      <c r="C94" t="s">
        <v>1440</v>
      </c>
      <c r="D94" t="str">
        <f t="shared" si="2"/>
        <v>a04天罡头盔</v>
      </c>
      <c r="E94" s="37">
        <v>1714</v>
      </c>
      <c r="F94" s="37">
        <v>2187</v>
      </c>
      <c r="G94">
        <v>40</v>
      </c>
      <c r="L94" s="37" t="s">
        <v>1579</v>
      </c>
      <c r="M94" s="127" t="s">
        <v>1644</v>
      </c>
      <c r="N94" s="127" t="str">
        <f t="shared" si="3"/>
        <v>天罡冠·肆</v>
      </c>
    </row>
    <row r="95" spans="1:14" ht="16.5">
      <c r="A95" s="37" t="s">
        <v>854</v>
      </c>
      <c r="B95" t="s">
        <v>1474</v>
      </c>
      <c r="C95" t="s">
        <v>1440</v>
      </c>
      <c r="D95" t="str">
        <f t="shared" si="2"/>
        <v>a05天罡头盔</v>
      </c>
      <c r="E95" s="37">
        <v>2071</v>
      </c>
      <c r="F95" s="88">
        <v>2071</v>
      </c>
      <c r="G95">
        <v>50</v>
      </c>
      <c r="L95" s="88" t="s">
        <v>1579</v>
      </c>
      <c r="M95" s="127" t="s">
        <v>1645</v>
      </c>
      <c r="N95" s="127" t="str">
        <f t="shared" si="3"/>
        <v>天罡冠·伍</v>
      </c>
    </row>
    <row r="96" spans="1:14" ht="16.5">
      <c r="A96" s="37" t="s">
        <v>855</v>
      </c>
      <c r="B96" t="s">
        <v>1475</v>
      </c>
      <c r="C96" t="s">
        <v>1440</v>
      </c>
      <c r="D96" t="str">
        <f t="shared" si="2"/>
        <v>a06天罡头盔</v>
      </c>
      <c r="E96" s="37">
        <v>20711</v>
      </c>
      <c r="F96" s="37">
        <v>2188</v>
      </c>
      <c r="G96">
        <v>60</v>
      </c>
      <c r="L96" s="37" t="s">
        <v>1579</v>
      </c>
      <c r="M96" s="127" t="s">
        <v>1646</v>
      </c>
      <c r="N96" s="127" t="str">
        <f t="shared" si="3"/>
        <v>天罡冠·陆</v>
      </c>
    </row>
    <row r="97" spans="1:14" ht="16.5">
      <c r="A97" s="37" t="s">
        <v>856</v>
      </c>
      <c r="B97" t="s">
        <v>1476</v>
      </c>
      <c r="C97" t="s">
        <v>1440</v>
      </c>
      <c r="D97" t="str">
        <f t="shared" si="2"/>
        <v>a07天罡头盔</v>
      </c>
      <c r="E97" s="37">
        <v>20712</v>
      </c>
      <c r="F97" s="37">
        <v>2189</v>
      </c>
      <c r="G97">
        <v>70</v>
      </c>
      <c r="L97" s="37" t="s">
        <v>1580</v>
      </c>
      <c r="M97" s="127" t="s">
        <v>1647</v>
      </c>
      <c r="N97" s="127" t="str">
        <f t="shared" si="3"/>
        <v>六道轮回冠·柒</v>
      </c>
    </row>
    <row r="98" spans="1:14" ht="16.5">
      <c r="A98" s="37" t="s">
        <v>857</v>
      </c>
      <c r="B98" t="s">
        <v>1477</v>
      </c>
      <c r="C98" t="s">
        <v>1440</v>
      </c>
      <c r="D98" t="str">
        <f t="shared" si="2"/>
        <v>a08天罡头盔</v>
      </c>
      <c r="E98" s="37">
        <v>20713</v>
      </c>
      <c r="F98" s="37">
        <v>2190</v>
      </c>
      <c r="G98">
        <v>80</v>
      </c>
      <c r="L98" s="37" t="s">
        <v>1580</v>
      </c>
      <c r="M98" s="127" t="s">
        <v>1648</v>
      </c>
      <c r="N98" s="127" t="str">
        <f t="shared" si="3"/>
        <v>六道轮回冠·捌</v>
      </c>
    </row>
    <row r="99" spans="1:14" ht="16.5">
      <c r="A99" s="37" t="s">
        <v>858</v>
      </c>
      <c r="B99" t="s">
        <v>1478</v>
      </c>
      <c r="C99" t="s">
        <v>1440</v>
      </c>
      <c r="D99" t="str">
        <f t="shared" si="2"/>
        <v>a09天罡头盔</v>
      </c>
      <c r="E99" s="37">
        <v>20714</v>
      </c>
      <c r="F99" s="37">
        <v>2191</v>
      </c>
      <c r="G99">
        <v>90</v>
      </c>
      <c r="L99" s="37" t="s">
        <v>1580</v>
      </c>
      <c r="M99" s="127" t="s">
        <v>1649</v>
      </c>
      <c r="N99" s="127" t="str">
        <f t="shared" si="3"/>
        <v>六道轮回冠·玖</v>
      </c>
    </row>
    <row r="100" spans="1:14" ht="16.5">
      <c r="A100" s="37" t="s">
        <v>859</v>
      </c>
      <c r="B100" t="s">
        <v>1479</v>
      </c>
      <c r="C100" t="s">
        <v>1440</v>
      </c>
      <c r="D100" t="str">
        <f t="shared" si="2"/>
        <v>a10天罡头盔</v>
      </c>
      <c r="E100" s="37">
        <v>20715</v>
      </c>
      <c r="F100" s="37">
        <v>2192</v>
      </c>
      <c r="G100">
        <v>100</v>
      </c>
      <c r="L100" s="37" t="s">
        <v>1544</v>
      </c>
      <c r="M100" s="127" t="s">
        <v>1650</v>
      </c>
      <c r="N100" s="127" t="str">
        <f t="shared" si="3"/>
        <v>光明普照冠·十</v>
      </c>
    </row>
    <row r="101" spans="1:14" ht="16.5">
      <c r="A101" s="37" t="s">
        <v>860</v>
      </c>
      <c r="B101" t="s">
        <v>1480</v>
      </c>
      <c r="C101" t="s">
        <v>1440</v>
      </c>
      <c r="D101" t="str">
        <f t="shared" si="2"/>
        <v>a11天罡头盔</v>
      </c>
      <c r="E101" s="37">
        <v>20716</v>
      </c>
      <c r="F101" s="37">
        <v>2193</v>
      </c>
      <c r="G101">
        <v>110</v>
      </c>
      <c r="L101" s="37" t="s">
        <v>1544</v>
      </c>
      <c r="M101" s="127" t="s">
        <v>1651</v>
      </c>
      <c r="N101" s="127" t="str">
        <f t="shared" si="3"/>
        <v>光明普照冠·凡</v>
      </c>
    </row>
    <row r="102" spans="1:14" ht="16.5">
      <c r="A102" s="37" t="s">
        <v>861</v>
      </c>
      <c r="B102" t="s">
        <v>1481</v>
      </c>
      <c r="C102" t="s">
        <v>1440</v>
      </c>
      <c r="D102" t="str">
        <f t="shared" si="2"/>
        <v>a12天罡头盔</v>
      </c>
      <c r="E102" s="37">
        <v>20717</v>
      </c>
      <c r="F102" s="37">
        <v>2194</v>
      </c>
      <c r="G102">
        <v>120</v>
      </c>
      <c r="L102" s="37" t="s">
        <v>1544</v>
      </c>
      <c r="M102" s="127" t="s">
        <v>1652</v>
      </c>
      <c r="N102" s="127" t="str">
        <f t="shared" si="3"/>
        <v>光明普照冠·皇</v>
      </c>
    </row>
    <row r="103" spans="1:14" ht="16.5">
      <c r="A103" s="37" t="s">
        <v>862</v>
      </c>
      <c r="B103" t="s">
        <v>1482</v>
      </c>
      <c r="C103" t="s">
        <v>1440</v>
      </c>
      <c r="D103" t="str">
        <f t="shared" si="2"/>
        <v>a13天罡头盔</v>
      </c>
      <c r="E103" s="37">
        <v>20718</v>
      </c>
      <c r="F103" s="37">
        <v>2195</v>
      </c>
      <c r="G103">
        <v>130</v>
      </c>
      <c r="L103" s="37" t="s">
        <v>1581</v>
      </c>
      <c r="M103" s="127" t="s">
        <v>1653</v>
      </c>
      <c r="N103" s="127" t="str">
        <f t="shared" si="3"/>
        <v>天地阴阳冠·玄</v>
      </c>
    </row>
    <row r="104" spans="1:14" ht="16.5">
      <c r="A104" s="37" t="s">
        <v>863</v>
      </c>
      <c r="B104" t="s">
        <v>1483</v>
      </c>
      <c r="C104" t="s">
        <v>1440</v>
      </c>
      <c r="D104" t="str">
        <f t="shared" si="2"/>
        <v>a14天罡头盔</v>
      </c>
      <c r="E104" s="37">
        <v>20719</v>
      </c>
      <c r="F104" s="37">
        <v>2196</v>
      </c>
      <c r="G104">
        <v>140</v>
      </c>
      <c r="L104" s="37" t="s">
        <v>1581</v>
      </c>
      <c r="M104" s="127" t="s">
        <v>1654</v>
      </c>
      <c r="N104" s="127" t="str">
        <f t="shared" si="3"/>
        <v>天地阴阳冠·地</v>
      </c>
    </row>
    <row r="105" spans="1:14" ht="16.5">
      <c r="A105" s="37" t="s">
        <v>864</v>
      </c>
      <c r="B105" t="s">
        <v>1484</v>
      </c>
      <c r="C105" t="s">
        <v>1440</v>
      </c>
      <c r="D105" t="str">
        <f t="shared" si="2"/>
        <v>a15天罡头盔</v>
      </c>
      <c r="E105" s="37">
        <v>20720</v>
      </c>
      <c r="F105" s="37">
        <v>2197</v>
      </c>
      <c r="G105">
        <v>150</v>
      </c>
      <c r="L105" s="37" t="s">
        <v>1581</v>
      </c>
      <c r="M105" s="127" t="s">
        <v>1655</v>
      </c>
      <c r="N105" s="127" t="str">
        <f t="shared" si="3"/>
        <v>天地阴阳冠·天</v>
      </c>
    </row>
    <row r="106" spans="1:14" ht="16.5">
      <c r="A106" s="37" t="s">
        <v>865</v>
      </c>
      <c r="B106" t="s">
        <v>1470</v>
      </c>
      <c r="C106" t="s">
        <v>1441</v>
      </c>
      <c r="D106" t="str">
        <f t="shared" si="2"/>
        <v>a01天罡战靴</v>
      </c>
      <c r="E106" s="37">
        <v>1721</v>
      </c>
      <c r="F106" s="37">
        <v>2198</v>
      </c>
      <c r="G106">
        <v>10</v>
      </c>
      <c r="L106" s="37" t="s">
        <v>1582</v>
      </c>
      <c r="M106" s="127" t="s">
        <v>1641</v>
      </c>
      <c r="N106" s="127" t="str">
        <f t="shared" si="3"/>
        <v>业火红莲履·壹</v>
      </c>
    </row>
    <row r="107" spans="1:14" ht="16.5">
      <c r="A107" s="37" t="s">
        <v>866</v>
      </c>
      <c r="B107" t="s">
        <v>1471</v>
      </c>
      <c r="C107" t="s">
        <v>1441</v>
      </c>
      <c r="D107" t="str">
        <f t="shared" si="2"/>
        <v>a02天罡战靴</v>
      </c>
      <c r="E107" s="37">
        <v>1722</v>
      </c>
      <c r="F107" s="37">
        <v>2199</v>
      </c>
      <c r="G107">
        <v>20</v>
      </c>
      <c r="L107" s="37" t="s">
        <v>1582</v>
      </c>
      <c r="M107" s="127" t="s">
        <v>1642</v>
      </c>
      <c r="N107" s="127" t="str">
        <f t="shared" si="3"/>
        <v>业火红莲履·贰</v>
      </c>
    </row>
    <row r="108" spans="1:14" ht="16.5">
      <c r="A108" s="37" t="s">
        <v>867</v>
      </c>
      <c r="B108" t="s">
        <v>1472</v>
      </c>
      <c r="C108" t="s">
        <v>1441</v>
      </c>
      <c r="D108" t="str">
        <f t="shared" si="2"/>
        <v>a03天罡战靴</v>
      </c>
      <c r="E108" s="37">
        <v>1723</v>
      </c>
      <c r="F108" s="37">
        <v>2200</v>
      </c>
      <c r="G108">
        <v>30</v>
      </c>
      <c r="L108" s="37" t="s">
        <v>1582</v>
      </c>
      <c r="M108" s="127" t="s">
        <v>1643</v>
      </c>
      <c r="N108" s="127" t="str">
        <f t="shared" si="3"/>
        <v>业火红莲履·叁</v>
      </c>
    </row>
    <row r="109" spans="1:14" ht="16.5">
      <c r="A109" s="37" t="s">
        <v>868</v>
      </c>
      <c r="B109" t="s">
        <v>1473</v>
      </c>
      <c r="C109" t="s">
        <v>1441</v>
      </c>
      <c r="D109" t="str">
        <f t="shared" si="2"/>
        <v>a04天罡战靴</v>
      </c>
      <c r="E109" s="37">
        <v>1724</v>
      </c>
      <c r="F109" s="37">
        <v>2201</v>
      </c>
      <c r="G109">
        <v>40</v>
      </c>
      <c r="L109" s="37" t="s">
        <v>1583</v>
      </c>
      <c r="M109" s="127" t="s">
        <v>1644</v>
      </c>
      <c r="N109" s="127" t="str">
        <f t="shared" si="3"/>
        <v>天罡履·肆</v>
      </c>
    </row>
    <row r="110" spans="1:14" ht="16.5">
      <c r="A110" s="37" t="s">
        <v>869</v>
      </c>
      <c r="B110" t="s">
        <v>1474</v>
      </c>
      <c r="C110" t="s">
        <v>1441</v>
      </c>
      <c r="D110" t="str">
        <f t="shared" si="2"/>
        <v>a05天罡战靴</v>
      </c>
      <c r="E110" s="37">
        <v>2072</v>
      </c>
      <c r="F110" s="88">
        <v>2072</v>
      </c>
      <c r="G110">
        <v>50</v>
      </c>
      <c r="L110" s="88" t="s">
        <v>1583</v>
      </c>
      <c r="M110" s="127" t="s">
        <v>1645</v>
      </c>
      <c r="N110" s="127" t="str">
        <f t="shared" si="3"/>
        <v>天罡履·伍</v>
      </c>
    </row>
    <row r="111" spans="1:14" ht="16.5">
      <c r="A111" s="37" t="s">
        <v>870</v>
      </c>
      <c r="B111" t="s">
        <v>1475</v>
      </c>
      <c r="C111" t="s">
        <v>1441</v>
      </c>
      <c r="D111" t="str">
        <f t="shared" si="2"/>
        <v>a06天罡战靴</v>
      </c>
      <c r="E111" s="37">
        <v>20721</v>
      </c>
      <c r="F111" s="37">
        <v>2202</v>
      </c>
      <c r="G111">
        <v>60</v>
      </c>
      <c r="L111" s="37" t="s">
        <v>1583</v>
      </c>
      <c r="M111" s="127" t="s">
        <v>1646</v>
      </c>
      <c r="N111" s="127" t="str">
        <f t="shared" si="3"/>
        <v>天罡履·陆</v>
      </c>
    </row>
    <row r="112" spans="1:14" ht="16.5">
      <c r="A112" s="37" t="s">
        <v>871</v>
      </c>
      <c r="B112" t="s">
        <v>1476</v>
      </c>
      <c r="C112" t="s">
        <v>1441</v>
      </c>
      <c r="D112" t="str">
        <f t="shared" si="2"/>
        <v>a07天罡战靴</v>
      </c>
      <c r="E112" s="37">
        <v>20722</v>
      </c>
      <c r="F112" s="37">
        <v>2203</v>
      </c>
      <c r="G112">
        <v>70</v>
      </c>
      <c r="L112" s="37" t="s">
        <v>1584</v>
      </c>
      <c r="M112" s="127" t="s">
        <v>1647</v>
      </c>
      <c r="N112" s="127" t="str">
        <f t="shared" si="3"/>
        <v>六道轮回履·柒</v>
      </c>
    </row>
    <row r="113" spans="1:14" ht="16.5">
      <c r="A113" s="37" t="s">
        <v>872</v>
      </c>
      <c r="B113" t="s">
        <v>1477</v>
      </c>
      <c r="C113" t="s">
        <v>1441</v>
      </c>
      <c r="D113" t="str">
        <f t="shared" si="2"/>
        <v>a08天罡战靴</v>
      </c>
      <c r="E113" s="37">
        <v>20723</v>
      </c>
      <c r="F113" s="37">
        <v>2204</v>
      </c>
      <c r="G113">
        <v>80</v>
      </c>
      <c r="L113" s="37" t="s">
        <v>1584</v>
      </c>
      <c r="M113" s="127" t="s">
        <v>1648</v>
      </c>
      <c r="N113" s="127" t="str">
        <f t="shared" si="3"/>
        <v>六道轮回履·捌</v>
      </c>
    </row>
    <row r="114" spans="1:14" ht="16.5">
      <c r="A114" s="37" t="s">
        <v>873</v>
      </c>
      <c r="B114" t="s">
        <v>1478</v>
      </c>
      <c r="C114" t="s">
        <v>1441</v>
      </c>
      <c r="D114" t="str">
        <f t="shared" si="2"/>
        <v>a09天罡战靴</v>
      </c>
      <c r="E114" s="37">
        <v>20724</v>
      </c>
      <c r="F114" s="37">
        <v>2205</v>
      </c>
      <c r="G114">
        <v>90</v>
      </c>
      <c r="L114" s="37" t="s">
        <v>1584</v>
      </c>
      <c r="M114" s="127" t="s">
        <v>1649</v>
      </c>
      <c r="N114" s="127" t="str">
        <f t="shared" si="3"/>
        <v>六道轮回履·玖</v>
      </c>
    </row>
    <row r="115" spans="1:14" ht="16.5">
      <c r="A115" s="37" t="s">
        <v>874</v>
      </c>
      <c r="B115" t="s">
        <v>1479</v>
      </c>
      <c r="C115" t="s">
        <v>1441</v>
      </c>
      <c r="D115" t="str">
        <f t="shared" si="2"/>
        <v>a10天罡战靴</v>
      </c>
      <c r="E115" s="37">
        <v>20725</v>
      </c>
      <c r="F115" s="37">
        <v>2206</v>
      </c>
      <c r="G115">
        <v>100</v>
      </c>
      <c r="L115" s="37" t="s">
        <v>1585</v>
      </c>
      <c r="M115" s="127" t="s">
        <v>1650</v>
      </c>
      <c r="N115" s="127" t="str">
        <f t="shared" si="3"/>
        <v>光明普照履·十</v>
      </c>
    </row>
    <row r="116" spans="1:14" ht="16.5">
      <c r="A116" s="37" t="s">
        <v>875</v>
      </c>
      <c r="B116" t="s">
        <v>1480</v>
      </c>
      <c r="C116" t="s">
        <v>1441</v>
      </c>
      <c r="D116" t="str">
        <f t="shared" si="2"/>
        <v>a11天罡战靴</v>
      </c>
      <c r="E116" s="37">
        <v>20726</v>
      </c>
      <c r="F116" s="37">
        <v>2207</v>
      </c>
      <c r="G116">
        <v>110</v>
      </c>
      <c r="L116" s="37" t="s">
        <v>1585</v>
      </c>
      <c r="M116" s="127" t="s">
        <v>1651</v>
      </c>
      <c r="N116" s="127" t="str">
        <f t="shared" si="3"/>
        <v>光明普照履·凡</v>
      </c>
    </row>
    <row r="117" spans="1:14" ht="16.5">
      <c r="A117" s="37" t="s">
        <v>876</v>
      </c>
      <c r="B117" t="s">
        <v>1481</v>
      </c>
      <c r="C117" t="s">
        <v>1441</v>
      </c>
      <c r="D117" t="str">
        <f t="shared" si="2"/>
        <v>a12天罡战靴</v>
      </c>
      <c r="E117" s="37">
        <v>20727</v>
      </c>
      <c r="F117" s="37">
        <v>2208</v>
      </c>
      <c r="G117">
        <v>120</v>
      </c>
      <c r="L117" s="37" t="s">
        <v>1585</v>
      </c>
      <c r="M117" s="127" t="s">
        <v>1652</v>
      </c>
      <c r="N117" s="127" t="str">
        <f t="shared" si="3"/>
        <v>光明普照履·皇</v>
      </c>
    </row>
    <row r="118" spans="1:14" ht="16.5">
      <c r="A118" s="37" t="s">
        <v>877</v>
      </c>
      <c r="B118" t="s">
        <v>1482</v>
      </c>
      <c r="C118" t="s">
        <v>1441</v>
      </c>
      <c r="D118" t="str">
        <f t="shared" si="2"/>
        <v>a13天罡战靴</v>
      </c>
      <c r="E118" s="37">
        <v>20728</v>
      </c>
      <c r="F118" s="37">
        <v>2209</v>
      </c>
      <c r="G118">
        <v>130</v>
      </c>
      <c r="L118" s="37" t="s">
        <v>1586</v>
      </c>
      <c r="M118" s="127" t="s">
        <v>1653</v>
      </c>
      <c r="N118" s="127" t="str">
        <f t="shared" si="3"/>
        <v>天地阴阳履·玄</v>
      </c>
    </row>
    <row r="119" spans="1:14" ht="16.5">
      <c r="A119" s="37" t="s">
        <v>878</v>
      </c>
      <c r="B119" t="s">
        <v>1483</v>
      </c>
      <c r="C119" t="s">
        <v>1441</v>
      </c>
      <c r="D119" t="str">
        <f t="shared" si="2"/>
        <v>a14天罡战靴</v>
      </c>
      <c r="E119" s="37">
        <v>20729</v>
      </c>
      <c r="F119" s="37">
        <v>2210</v>
      </c>
      <c r="G119">
        <v>140</v>
      </c>
      <c r="L119" s="37" t="s">
        <v>1586</v>
      </c>
      <c r="M119" s="127" t="s">
        <v>1654</v>
      </c>
      <c r="N119" s="127" t="str">
        <f t="shared" si="3"/>
        <v>天地阴阳履·地</v>
      </c>
    </row>
    <row r="120" spans="1:14" ht="16.5">
      <c r="A120" s="37" t="s">
        <v>879</v>
      </c>
      <c r="B120" t="s">
        <v>1484</v>
      </c>
      <c r="C120" t="s">
        <v>1441</v>
      </c>
      <c r="D120" t="str">
        <f t="shared" si="2"/>
        <v>a15天罡战靴</v>
      </c>
      <c r="E120" s="37">
        <v>20730</v>
      </c>
      <c r="F120" s="37">
        <v>2211</v>
      </c>
      <c r="G120">
        <v>150</v>
      </c>
      <c r="L120" s="37" t="s">
        <v>1586</v>
      </c>
      <c r="M120" s="127" t="s">
        <v>1655</v>
      </c>
      <c r="N120" s="127" t="str">
        <f t="shared" si="3"/>
        <v>天地阴阳履·天</v>
      </c>
    </row>
    <row r="121" spans="1:14" ht="16.5">
      <c r="A121" s="23" t="s">
        <v>880</v>
      </c>
      <c r="B121" t="s">
        <v>1470</v>
      </c>
      <c r="C121" t="s">
        <v>1442</v>
      </c>
      <c r="D121" t="str">
        <f t="shared" si="2"/>
        <v>a01降魔战甲</v>
      </c>
      <c r="E121" s="16">
        <v>1651</v>
      </c>
      <c r="F121" s="37">
        <v>2212</v>
      </c>
      <c r="G121">
        <v>10</v>
      </c>
      <c r="L121" s="23" t="s">
        <v>1587</v>
      </c>
      <c r="M121" s="127" t="s">
        <v>1641</v>
      </c>
      <c r="N121" s="127" t="str">
        <f t="shared" si="3"/>
        <v>司雨战甲·壹</v>
      </c>
    </row>
    <row r="122" spans="1:14" ht="16.5">
      <c r="A122" s="23" t="s">
        <v>881</v>
      </c>
      <c r="B122" t="s">
        <v>1471</v>
      </c>
      <c r="C122" t="s">
        <v>1442</v>
      </c>
      <c r="D122" t="str">
        <f t="shared" si="2"/>
        <v>a02降魔战甲</v>
      </c>
      <c r="E122" s="16">
        <v>1652</v>
      </c>
      <c r="F122" s="37">
        <v>2213</v>
      </c>
      <c r="G122">
        <v>20</v>
      </c>
      <c r="L122" s="23" t="s">
        <v>1587</v>
      </c>
      <c r="M122" s="127" t="s">
        <v>1642</v>
      </c>
      <c r="N122" s="127" t="str">
        <f t="shared" si="3"/>
        <v>司雨战甲·贰</v>
      </c>
    </row>
    <row r="123" spans="1:14" ht="16.5">
      <c r="A123" s="23" t="s">
        <v>882</v>
      </c>
      <c r="B123" t="s">
        <v>1472</v>
      </c>
      <c r="C123" t="s">
        <v>1442</v>
      </c>
      <c r="D123" t="str">
        <f t="shared" si="2"/>
        <v>a03降魔战甲</v>
      </c>
      <c r="E123" s="16">
        <v>1653</v>
      </c>
      <c r="F123" s="37">
        <v>2214</v>
      </c>
      <c r="G123">
        <v>30</v>
      </c>
      <c r="L123" s="23" t="s">
        <v>1587</v>
      </c>
      <c r="M123" s="127" t="s">
        <v>1643</v>
      </c>
      <c r="N123" s="127" t="str">
        <f t="shared" si="3"/>
        <v>司雨战甲·叁</v>
      </c>
    </row>
    <row r="124" spans="1:14" ht="16.5">
      <c r="A124" s="23" t="s">
        <v>883</v>
      </c>
      <c r="B124" t="s">
        <v>1473</v>
      </c>
      <c r="C124" t="s">
        <v>1442</v>
      </c>
      <c r="D124" t="str">
        <f t="shared" si="2"/>
        <v>a04降魔战甲</v>
      </c>
      <c r="E124" s="16">
        <v>1654</v>
      </c>
      <c r="F124" s="37">
        <v>2215</v>
      </c>
      <c r="G124">
        <v>40</v>
      </c>
      <c r="L124" s="23" t="s">
        <v>1442</v>
      </c>
      <c r="M124" s="127" t="s">
        <v>1644</v>
      </c>
      <c r="N124" s="127" t="str">
        <f t="shared" si="3"/>
        <v>降魔战甲·肆</v>
      </c>
    </row>
    <row r="125" spans="1:14" ht="16.5">
      <c r="A125" s="23" t="s">
        <v>884</v>
      </c>
      <c r="B125" t="s">
        <v>1474</v>
      </c>
      <c r="C125" t="s">
        <v>1442</v>
      </c>
      <c r="D125" t="str">
        <f t="shared" si="2"/>
        <v>a05降魔战甲</v>
      </c>
      <c r="E125" s="16">
        <v>2065</v>
      </c>
      <c r="F125" s="88">
        <v>2065</v>
      </c>
      <c r="G125">
        <v>50</v>
      </c>
      <c r="L125" s="88" t="s">
        <v>1442</v>
      </c>
      <c r="M125" s="127" t="s">
        <v>1645</v>
      </c>
      <c r="N125" s="127" t="str">
        <f t="shared" si="3"/>
        <v>降魔战甲·伍</v>
      </c>
    </row>
    <row r="126" spans="1:14" ht="16.5">
      <c r="A126" s="23" t="s">
        <v>885</v>
      </c>
      <c r="B126" t="s">
        <v>1475</v>
      </c>
      <c r="C126" t="s">
        <v>1442</v>
      </c>
      <c r="D126" t="str">
        <f t="shared" si="2"/>
        <v>a06降魔战甲</v>
      </c>
      <c r="E126" s="16">
        <v>20651</v>
      </c>
      <c r="F126" s="16">
        <v>2216</v>
      </c>
      <c r="G126">
        <v>60</v>
      </c>
      <c r="L126" s="23" t="s">
        <v>1442</v>
      </c>
      <c r="M126" s="127" t="s">
        <v>1646</v>
      </c>
      <c r="N126" s="127" t="str">
        <f t="shared" si="3"/>
        <v>降魔战甲·陆</v>
      </c>
    </row>
    <row r="127" spans="1:14" ht="16.5">
      <c r="A127" s="23" t="s">
        <v>886</v>
      </c>
      <c r="B127" t="s">
        <v>1476</v>
      </c>
      <c r="C127" t="s">
        <v>1442</v>
      </c>
      <c r="D127" t="str">
        <f t="shared" si="2"/>
        <v>a07降魔战甲</v>
      </c>
      <c r="E127" s="16">
        <v>20652</v>
      </c>
      <c r="F127" s="16">
        <v>2217</v>
      </c>
      <c r="G127">
        <v>70</v>
      </c>
      <c r="L127" s="23" t="s">
        <v>1588</v>
      </c>
      <c r="M127" s="127" t="s">
        <v>1647</v>
      </c>
      <c r="N127" s="127" t="str">
        <f t="shared" si="3"/>
        <v>河图洛书战甲·柒</v>
      </c>
    </row>
    <row r="128" spans="1:14" ht="16.5">
      <c r="A128" s="23" t="s">
        <v>887</v>
      </c>
      <c r="B128" t="s">
        <v>1477</v>
      </c>
      <c r="C128" t="s">
        <v>1442</v>
      </c>
      <c r="D128" t="str">
        <f t="shared" si="2"/>
        <v>a08降魔战甲</v>
      </c>
      <c r="E128" s="16">
        <v>20653</v>
      </c>
      <c r="F128" s="16">
        <v>2218</v>
      </c>
      <c r="G128">
        <v>80</v>
      </c>
      <c r="L128" s="23" t="s">
        <v>1588</v>
      </c>
      <c r="M128" s="127" t="s">
        <v>1648</v>
      </c>
      <c r="N128" s="127" t="str">
        <f t="shared" si="3"/>
        <v>河图洛书战甲·捌</v>
      </c>
    </row>
    <row r="129" spans="1:14" ht="16.5">
      <c r="A129" s="23" t="s">
        <v>888</v>
      </c>
      <c r="B129" t="s">
        <v>1478</v>
      </c>
      <c r="C129" t="s">
        <v>1442</v>
      </c>
      <c r="D129" t="str">
        <f t="shared" si="2"/>
        <v>a09降魔战甲</v>
      </c>
      <c r="E129" s="16">
        <v>20654</v>
      </c>
      <c r="F129" s="16">
        <v>2219</v>
      </c>
      <c r="G129">
        <v>90</v>
      </c>
      <c r="L129" s="23" t="s">
        <v>1588</v>
      </c>
      <c r="M129" s="127" t="s">
        <v>1649</v>
      </c>
      <c r="N129" s="127" t="str">
        <f t="shared" si="3"/>
        <v>河图洛书战甲·玖</v>
      </c>
    </row>
    <row r="130" spans="1:14" ht="16.5">
      <c r="A130" s="23" t="s">
        <v>889</v>
      </c>
      <c r="B130" t="s">
        <v>1479</v>
      </c>
      <c r="C130" t="s">
        <v>1442</v>
      </c>
      <c r="D130" t="str">
        <f t="shared" ref="D130:D193" si="4">B130&amp;C130</f>
        <v>a10降魔战甲</v>
      </c>
      <c r="E130" s="16">
        <v>20655</v>
      </c>
      <c r="F130" s="16">
        <v>2220</v>
      </c>
      <c r="G130">
        <v>100</v>
      </c>
      <c r="L130" s="23" t="s">
        <v>1589</v>
      </c>
      <c r="M130" s="127" t="s">
        <v>1650</v>
      </c>
      <c r="N130" s="127" t="str">
        <f t="shared" ref="N130:N193" si="5">L130&amp;M130</f>
        <v>佛光渡厄战甲·十</v>
      </c>
    </row>
    <row r="131" spans="1:14" ht="16.5">
      <c r="A131" s="23" t="s">
        <v>890</v>
      </c>
      <c r="B131" t="s">
        <v>1480</v>
      </c>
      <c r="C131" t="s">
        <v>1442</v>
      </c>
      <c r="D131" t="str">
        <f t="shared" si="4"/>
        <v>a11降魔战甲</v>
      </c>
      <c r="E131" s="16">
        <v>20656</v>
      </c>
      <c r="F131" s="16">
        <v>2221</v>
      </c>
      <c r="G131">
        <v>110</v>
      </c>
      <c r="L131" s="23" t="s">
        <v>1589</v>
      </c>
      <c r="M131" s="127" t="s">
        <v>1651</v>
      </c>
      <c r="N131" s="127" t="str">
        <f t="shared" si="5"/>
        <v>佛光渡厄战甲·凡</v>
      </c>
    </row>
    <row r="132" spans="1:14" ht="16.5">
      <c r="A132" s="23" t="s">
        <v>891</v>
      </c>
      <c r="B132" t="s">
        <v>1481</v>
      </c>
      <c r="C132" t="s">
        <v>1442</v>
      </c>
      <c r="D132" t="str">
        <f t="shared" si="4"/>
        <v>a12降魔战甲</v>
      </c>
      <c r="E132" s="16">
        <v>20657</v>
      </c>
      <c r="F132" s="16">
        <v>2222</v>
      </c>
      <c r="G132">
        <v>120</v>
      </c>
      <c r="L132" s="23" t="s">
        <v>1589</v>
      </c>
      <c r="M132" s="127" t="s">
        <v>1652</v>
      </c>
      <c r="N132" s="127" t="str">
        <f t="shared" si="5"/>
        <v>佛光渡厄战甲·皇</v>
      </c>
    </row>
    <row r="133" spans="1:14" ht="16.5">
      <c r="A133" s="23" t="s">
        <v>892</v>
      </c>
      <c r="B133" t="s">
        <v>1482</v>
      </c>
      <c r="C133" t="s">
        <v>1442</v>
      </c>
      <c r="D133" t="str">
        <f t="shared" si="4"/>
        <v>a13降魔战甲</v>
      </c>
      <c r="E133" s="16">
        <v>20658</v>
      </c>
      <c r="F133" s="16">
        <v>2223</v>
      </c>
      <c r="G133">
        <v>130</v>
      </c>
      <c r="L133" s="23" t="s">
        <v>1590</v>
      </c>
      <c r="M133" s="127" t="s">
        <v>1653</v>
      </c>
      <c r="N133" s="127" t="str">
        <f t="shared" si="5"/>
        <v>龙血玄黄战甲·玄</v>
      </c>
    </row>
    <row r="134" spans="1:14" ht="16.5">
      <c r="A134" s="23" t="s">
        <v>893</v>
      </c>
      <c r="B134" t="s">
        <v>1483</v>
      </c>
      <c r="C134" t="s">
        <v>1442</v>
      </c>
      <c r="D134" t="str">
        <f t="shared" si="4"/>
        <v>a14降魔战甲</v>
      </c>
      <c r="E134" s="16">
        <v>20659</v>
      </c>
      <c r="F134" s="16">
        <v>2224</v>
      </c>
      <c r="G134">
        <v>140</v>
      </c>
      <c r="L134" s="23" t="s">
        <v>1590</v>
      </c>
      <c r="M134" s="127" t="s">
        <v>1654</v>
      </c>
      <c r="N134" s="127" t="str">
        <f t="shared" si="5"/>
        <v>龙血玄黄战甲·地</v>
      </c>
    </row>
    <row r="135" spans="1:14" ht="16.5">
      <c r="A135" s="23" t="s">
        <v>894</v>
      </c>
      <c r="B135" t="s">
        <v>1484</v>
      </c>
      <c r="C135" t="s">
        <v>1442</v>
      </c>
      <c r="D135" t="str">
        <f t="shared" si="4"/>
        <v>a15降魔战甲</v>
      </c>
      <c r="E135" s="16">
        <v>20660</v>
      </c>
      <c r="F135" s="16">
        <v>2225</v>
      </c>
      <c r="G135">
        <v>150</v>
      </c>
      <c r="L135" s="23" t="s">
        <v>1590</v>
      </c>
      <c r="M135" s="127" t="s">
        <v>1655</v>
      </c>
      <c r="N135" s="127" t="str">
        <f t="shared" si="5"/>
        <v>龙血玄黄战甲·天</v>
      </c>
    </row>
    <row r="136" spans="1:14" ht="16.5">
      <c r="A136" s="23" t="s">
        <v>895</v>
      </c>
      <c r="B136" t="s">
        <v>1470</v>
      </c>
      <c r="C136" t="s">
        <v>1443</v>
      </c>
      <c r="D136" t="str">
        <f t="shared" si="4"/>
        <v>a01降魔长剑</v>
      </c>
      <c r="E136" s="16">
        <v>1661</v>
      </c>
      <c r="F136" s="16">
        <v>2226</v>
      </c>
      <c r="G136">
        <v>10</v>
      </c>
      <c r="L136" s="23" t="s">
        <v>1591</v>
      </c>
      <c r="M136" s="127" t="s">
        <v>1641</v>
      </c>
      <c r="N136" s="127" t="str">
        <f t="shared" si="5"/>
        <v>司雨剑·壹</v>
      </c>
    </row>
    <row r="137" spans="1:14" ht="16.5">
      <c r="A137" s="23" t="s">
        <v>896</v>
      </c>
      <c r="B137" t="s">
        <v>1471</v>
      </c>
      <c r="C137" t="s">
        <v>1443</v>
      </c>
      <c r="D137" t="str">
        <f t="shared" si="4"/>
        <v>a02降魔长剑</v>
      </c>
      <c r="E137" s="16">
        <v>1662</v>
      </c>
      <c r="F137" s="16">
        <v>2227</v>
      </c>
      <c r="G137">
        <v>20</v>
      </c>
      <c r="L137" s="23" t="s">
        <v>1591</v>
      </c>
      <c r="M137" s="127" t="s">
        <v>1642</v>
      </c>
      <c r="N137" s="127" t="str">
        <f t="shared" si="5"/>
        <v>司雨剑·贰</v>
      </c>
    </row>
    <row r="138" spans="1:14" ht="16.5">
      <c r="A138" s="23" t="s">
        <v>897</v>
      </c>
      <c r="B138" t="s">
        <v>1472</v>
      </c>
      <c r="C138" t="s">
        <v>1443</v>
      </c>
      <c r="D138" t="str">
        <f t="shared" si="4"/>
        <v>a03降魔长剑</v>
      </c>
      <c r="E138" s="16">
        <v>1663</v>
      </c>
      <c r="F138" s="16">
        <v>2228</v>
      </c>
      <c r="G138">
        <v>30</v>
      </c>
      <c r="L138" s="23" t="s">
        <v>1591</v>
      </c>
      <c r="M138" s="127" t="s">
        <v>1643</v>
      </c>
      <c r="N138" s="127" t="str">
        <f t="shared" si="5"/>
        <v>司雨剑·叁</v>
      </c>
    </row>
    <row r="139" spans="1:14" ht="16.5">
      <c r="A139" s="23" t="s">
        <v>898</v>
      </c>
      <c r="B139" t="s">
        <v>1473</v>
      </c>
      <c r="C139" t="s">
        <v>1443</v>
      </c>
      <c r="D139" t="str">
        <f t="shared" si="4"/>
        <v>a04降魔长剑</v>
      </c>
      <c r="E139" s="16">
        <v>1664</v>
      </c>
      <c r="F139" s="16">
        <v>2229</v>
      </c>
      <c r="G139">
        <v>40</v>
      </c>
      <c r="L139" s="23" t="s">
        <v>1592</v>
      </c>
      <c r="M139" s="127" t="s">
        <v>1644</v>
      </c>
      <c r="N139" s="127" t="str">
        <f t="shared" si="5"/>
        <v>降魔剑·肆</v>
      </c>
    </row>
    <row r="140" spans="1:14" ht="16.5">
      <c r="A140" s="23" t="s">
        <v>899</v>
      </c>
      <c r="B140" t="s">
        <v>1474</v>
      </c>
      <c r="C140" t="s">
        <v>1443</v>
      </c>
      <c r="D140" t="str">
        <f t="shared" si="4"/>
        <v>a05降魔长剑</v>
      </c>
      <c r="E140" s="16">
        <v>2066</v>
      </c>
      <c r="F140" s="88">
        <v>2066</v>
      </c>
      <c r="G140">
        <v>50</v>
      </c>
      <c r="L140" s="88" t="s">
        <v>1592</v>
      </c>
      <c r="M140" s="127" t="s">
        <v>1645</v>
      </c>
      <c r="N140" s="127" t="str">
        <f t="shared" si="5"/>
        <v>降魔剑·伍</v>
      </c>
    </row>
    <row r="141" spans="1:14" ht="16.5">
      <c r="A141" s="23" t="s">
        <v>900</v>
      </c>
      <c r="B141" t="s">
        <v>1475</v>
      </c>
      <c r="C141" t="s">
        <v>1443</v>
      </c>
      <c r="D141" t="str">
        <f t="shared" si="4"/>
        <v>a06降魔长剑</v>
      </c>
      <c r="E141" s="16">
        <v>20661</v>
      </c>
      <c r="F141" s="16">
        <v>2230</v>
      </c>
      <c r="G141">
        <v>60</v>
      </c>
      <c r="L141" s="23" t="s">
        <v>1592</v>
      </c>
      <c r="M141" s="127" t="s">
        <v>1646</v>
      </c>
      <c r="N141" s="127" t="str">
        <f t="shared" si="5"/>
        <v>降魔剑·陆</v>
      </c>
    </row>
    <row r="142" spans="1:14" ht="16.5">
      <c r="A142" s="23" t="s">
        <v>901</v>
      </c>
      <c r="B142" t="s">
        <v>1476</v>
      </c>
      <c r="C142" t="s">
        <v>1443</v>
      </c>
      <c r="D142" t="str">
        <f t="shared" si="4"/>
        <v>a07降魔长剑</v>
      </c>
      <c r="E142" s="16">
        <v>20662</v>
      </c>
      <c r="F142" s="16">
        <v>2231</v>
      </c>
      <c r="G142">
        <v>70</v>
      </c>
      <c r="L142" s="23" t="s">
        <v>1593</v>
      </c>
      <c r="M142" s="127" t="s">
        <v>1647</v>
      </c>
      <c r="N142" s="127" t="str">
        <f t="shared" si="5"/>
        <v>河图洛书剑·柒</v>
      </c>
    </row>
    <row r="143" spans="1:14" ht="16.5">
      <c r="A143" s="23" t="s">
        <v>902</v>
      </c>
      <c r="B143" t="s">
        <v>1477</v>
      </c>
      <c r="C143" t="s">
        <v>1443</v>
      </c>
      <c r="D143" t="str">
        <f t="shared" si="4"/>
        <v>a08降魔长剑</v>
      </c>
      <c r="E143" s="16">
        <v>20663</v>
      </c>
      <c r="F143" s="16">
        <v>2232</v>
      </c>
      <c r="G143">
        <v>80</v>
      </c>
      <c r="L143" s="23" t="s">
        <v>1593</v>
      </c>
      <c r="M143" s="127" t="s">
        <v>1648</v>
      </c>
      <c r="N143" s="127" t="str">
        <f t="shared" si="5"/>
        <v>河图洛书剑·捌</v>
      </c>
    </row>
    <row r="144" spans="1:14" ht="16.5">
      <c r="A144" s="23" t="s">
        <v>903</v>
      </c>
      <c r="B144" t="s">
        <v>1478</v>
      </c>
      <c r="C144" t="s">
        <v>1443</v>
      </c>
      <c r="D144" t="str">
        <f t="shared" si="4"/>
        <v>a09降魔长剑</v>
      </c>
      <c r="E144" s="16">
        <v>20664</v>
      </c>
      <c r="F144" s="16">
        <v>2233</v>
      </c>
      <c r="G144">
        <v>90</v>
      </c>
      <c r="L144" s="23" t="s">
        <v>1593</v>
      </c>
      <c r="M144" s="127" t="s">
        <v>1649</v>
      </c>
      <c r="N144" s="127" t="str">
        <f t="shared" si="5"/>
        <v>河图洛书剑·玖</v>
      </c>
    </row>
    <row r="145" spans="1:14" ht="16.5">
      <c r="A145" s="23" t="s">
        <v>904</v>
      </c>
      <c r="B145" t="s">
        <v>1479</v>
      </c>
      <c r="C145" t="s">
        <v>1443</v>
      </c>
      <c r="D145" t="str">
        <f t="shared" si="4"/>
        <v>a10降魔长剑</v>
      </c>
      <c r="E145" s="16">
        <v>20665</v>
      </c>
      <c r="F145" s="16">
        <v>2234</v>
      </c>
      <c r="G145">
        <v>100</v>
      </c>
      <c r="L145" s="23" t="s">
        <v>1594</v>
      </c>
      <c r="M145" s="127" t="s">
        <v>1650</v>
      </c>
      <c r="N145" s="127" t="str">
        <f t="shared" si="5"/>
        <v>佛光渡厄剑·十</v>
      </c>
    </row>
    <row r="146" spans="1:14" ht="16.5">
      <c r="A146" s="23" t="s">
        <v>905</v>
      </c>
      <c r="B146" t="s">
        <v>1480</v>
      </c>
      <c r="C146" t="s">
        <v>1443</v>
      </c>
      <c r="D146" t="str">
        <f t="shared" si="4"/>
        <v>a11降魔长剑</v>
      </c>
      <c r="E146" s="16">
        <v>20666</v>
      </c>
      <c r="F146" s="16">
        <v>2235</v>
      </c>
      <c r="G146">
        <v>110</v>
      </c>
      <c r="L146" s="23" t="s">
        <v>1594</v>
      </c>
      <c r="M146" s="127" t="s">
        <v>1651</v>
      </c>
      <c r="N146" s="127" t="str">
        <f t="shared" si="5"/>
        <v>佛光渡厄剑·凡</v>
      </c>
    </row>
    <row r="147" spans="1:14" ht="16.5">
      <c r="A147" s="23" t="s">
        <v>906</v>
      </c>
      <c r="B147" t="s">
        <v>1481</v>
      </c>
      <c r="C147" t="s">
        <v>1443</v>
      </c>
      <c r="D147" t="str">
        <f t="shared" si="4"/>
        <v>a12降魔长剑</v>
      </c>
      <c r="E147" s="16">
        <v>20667</v>
      </c>
      <c r="F147" s="16">
        <v>2236</v>
      </c>
      <c r="G147">
        <v>120</v>
      </c>
      <c r="L147" s="23" t="s">
        <v>1594</v>
      </c>
      <c r="M147" s="127" t="s">
        <v>1652</v>
      </c>
      <c r="N147" s="127" t="str">
        <f t="shared" si="5"/>
        <v>佛光渡厄剑·皇</v>
      </c>
    </row>
    <row r="148" spans="1:14" ht="16.5">
      <c r="A148" s="23" t="s">
        <v>907</v>
      </c>
      <c r="B148" t="s">
        <v>1482</v>
      </c>
      <c r="C148" t="s">
        <v>1443</v>
      </c>
      <c r="D148" t="str">
        <f t="shared" si="4"/>
        <v>a13降魔长剑</v>
      </c>
      <c r="E148" s="16">
        <v>20668</v>
      </c>
      <c r="F148" s="16">
        <v>2237</v>
      </c>
      <c r="G148">
        <v>130</v>
      </c>
      <c r="L148" s="23" t="s">
        <v>1595</v>
      </c>
      <c r="M148" s="127" t="s">
        <v>1653</v>
      </c>
      <c r="N148" s="127" t="str">
        <f t="shared" si="5"/>
        <v>龙血玄黄剑·玄</v>
      </c>
    </row>
    <row r="149" spans="1:14" ht="16.5">
      <c r="A149" s="23" t="s">
        <v>908</v>
      </c>
      <c r="B149" t="s">
        <v>1483</v>
      </c>
      <c r="C149" t="s">
        <v>1443</v>
      </c>
      <c r="D149" t="str">
        <f t="shared" si="4"/>
        <v>a14降魔长剑</v>
      </c>
      <c r="E149" s="16">
        <v>20669</v>
      </c>
      <c r="F149" s="16">
        <v>2238</v>
      </c>
      <c r="G149">
        <v>140</v>
      </c>
      <c r="L149" s="23" t="s">
        <v>1595</v>
      </c>
      <c r="M149" s="127" t="s">
        <v>1654</v>
      </c>
      <c r="N149" s="127" t="str">
        <f t="shared" si="5"/>
        <v>龙血玄黄剑·地</v>
      </c>
    </row>
    <row r="150" spans="1:14" ht="16.5">
      <c r="A150" s="23" t="s">
        <v>909</v>
      </c>
      <c r="B150" t="s">
        <v>1484</v>
      </c>
      <c r="C150" t="s">
        <v>1443</v>
      </c>
      <c r="D150" t="str">
        <f t="shared" si="4"/>
        <v>a15降魔长剑</v>
      </c>
      <c r="E150" s="16">
        <v>20670</v>
      </c>
      <c r="F150" s="16">
        <v>2239</v>
      </c>
      <c r="G150">
        <v>150</v>
      </c>
      <c r="L150" s="23" t="s">
        <v>1595</v>
      </c>
      <c r="M150" s="127" t="s">
        <v>1655</v>
      </c>
      <c r="N150" s="127" t="str">
        <f t="shared" si="5"/>
        <v>龙血玄黄剑·天</v>
      </c>
    </row>
    <row r="151" spans="1:14" ht="16.5">
      <c r="A151" s="23" t="s">
        <v>910</v>
      </c>
      <c r="B151" t="s">
        <v>1470</v>
      </c>
      <c r="C151" t="s">
        <v>1444</v>
      </c>
      <c r="D151" t="str">
        <f t="shared" si="4"/>
        <v>a01降魔头盔</v>
      </c>
      <c r="E151" s="16">
        <v>1671</v>
      </c>
      <c r="F151" s="16">
        <v>2240</v>
      </c>
      <c r="G151">
        <v>10</v>
      </c>
      <c r="L151" s="23" t="s">
        <v>1596</v>
      </c>
      <c r="M151" s="127" t="s">
        <v>1641</v>
      </c>
      <c r="N151" s="127" t="str">
        <f t="shared" si="5"/>
        <v>司雨冠·壹</v>
      </c>
    </row>
    <row r="152" spans="1:14" ht="16.5">
      <c r="A152" s="23" t="s">
        <v>911</v>
      </c>
      <c r="B152" t="s">
        <v>1471</v>
      </c>
      <c r="C152" t="s">
        <v>1444</v>
      </c>
      <c r="D152" t="str">
        <f t="shared" si="4"/>
        <v>a02降魔头盔</v>
      </c>
      <c r="E152" s="16">
        <v>1672</v>
      </c>
      <c r="F152" s="16">
        <v>2241</v>
      </c>
      <c r="G152">
        <v>20</v>
      </c>
      <c r="L152" s="23" t="s">
        <v>1596</v>
      </c>
      <c r="M152" s="127" t="s">
        <v>1642</v>
      </c>
      <c r="N152" s="127" t="str">
        <f t="shared" si="5"/>
        <v>司雨冠·贰</v>
      </c>
    </row>
    <row r="153" spans="1:14" ht="16.5">
      <c r="A153" s="23" t="s">
        <v>912</v>
      </c>
      <c r="B153" t="s">
        <v>1472</v>
      </c>
      <c r="C153" t="s">
        <v>1444</v>
      </c>
      <c r="D153" t="str">
        <f t="shared" si="4"/>
        <v>a03降魔头盔</v>
      </c>
      <c r="E153" s="16">
        <v>1673</v>
      </c>
      <c r="F153" s="16">
        <v>2242</v>
      </c>
      <c r="G153">
        <v>30</v>
      </c>
      <c r="L153" s="23" t="s">
        <v>1596</v>
      </c>
      <c r="M153" s="127" t="s">
        <v>1643</v>
      </c>
      <c r="N153" s="127" t="str">
        <f t="shared" si="5"/>
        <v>司雨冠·叁</v>
      </c>
    </row>
    <row r="154" spans="1:14" ht="16.5">
      <c r="A154" s="23" t="s">
        <v>913</v>
      </c>
      <c r="B154" t="s">
        <v>1473</v>
      </c>
      <c r="C154" t="s">
        <v>1444</v>
      </c>
      <c r="D154" t="str">
        <f t="shared" si="4"/>
        <v>a04降魔头盔</v>
      </c>
      <c r="E154" s="16">
        <v>1674</v>
      </c>
      <c r="F154" s="16">
        <v>2243</v>
      </c>
      <c r="G154">
        <v>40</v>
      </c>
      <c r="L154" s="23" t="s">
        <v>1597</v>
      </c>
      <c r="M154" s="127" t="s">
        <v>1644</v>
      </c>
      <c r="N154" s="127" t="str">
        <f t="shared" si="5"/>
        <v>降魔冠·肆</v>
      </c>
    </row>
    <row r="155" spans="1:14" ht="16.5">
      <c r="A155" s="23" t="s">
        <v>914</v>
      </c>
      <c r="B155" t="s">
        <v>1474</v>
      </c>
      <c r="C155" t="s">
        <v>1444</v>
      </c>
      <c r="D155" t="str">
        <f t="shared" si="4"/>
        <v>a05降魔头盔</v>
      </c>
      <c r="E155" s="16">
        <v>2067</v>
      </c>
      <c r="F155" s="88">
        <v>2067</v>
      </c>
      <c r="G155">
        <v>50</v>
      </c>
      <c r="L155" s="88" t="s">
        <v>1597</v>
      </c>
      <c r="M155" s="127" t="s">
        <v>1645</v>
      </c>
      <c r="N155" s="127" t="str">
        <f t="shared" si="5"/>
        <v>降魔冠·伍</v>
      </c>
    </row>
    <row r="156" spans="1:14" ht="16.5">
      <c r="A156" s="23" t="s">
        <v>915</v>
      </c>
      <c r="B156" t="s">
        <v>1475</v>
      </c>
      <c r="C156" t="s">
        <v>1444</v>
      </c>
      <c r="D156" t="str">
        <f t="shared" si="4"/>
        <v>a06降魔头盔</v>
      </c>
      <c r="E156" s="16">
        <v>20671</v>
      </c>
      <c r="F156" s="16">
        <v>2244</v>
      </c>
      <c r="G156">
        <v>60</v>
      </c>
      <c r="L156" s="23" t="s">
        <v>1597</v>
      </c>
      <c r="M156" s="127" t="s">
        <v>1646</v>
      </c>
      <c r="N156" s="127" t="str">
        <f t="shared" si="5"/>
        <v>降魔冠·陆</v>
      </c>
    </row>
    <row r="157" spans="1:14" ht="16.5">
      <c r="A157" s="23" t="s">
        <v>916</v>
      </c>
      <c r="B157" t="s">
        <v>1476</v>
      </c>
      <c r="C157" t="s">
        <v>1444</v>
      </c>
      <c r="D157" t="str">
        <f t="shared" si="4"/>
        <v>a07降魔头盔</v>
      </c>
      <c r="E157" s="16">
        <v>20672</v>
      </c>
      <c r="F157" s="16">
        <v>2245</v>
      </c>
      <c r="G157">
        <v>70</v>
      </c>
      <c r="L157" s="23" t="s">
        <v>1598</v>
      </c>
      <c r="M157" s="127" t="s">
        <v>1647</v>
      </c>
      <c r="N157" s="127" t="str">
        <f t="shared" si="5"/>
        <v>河图洛书冠·柒</v>
      </c>
    </row>
    <row r="158" spans="1:14" ht="16.5">
      <c r="A158" s="23" t="s">
        <v>917</v>
      </c>
      <c r="B158" t="s">
        <v>1477</v>
      </c>
      <c r="C158" t="s">
        <v>1444</v>
      </c>
      <c r="D158" t="str">
        <f t="shared" si="4"/>
        <v>a08降魔头盔</v>
      </c>
      <c r="E158" s="16">
        <v>20673</v>
      </c>
      <c r="F158" s="16">
        <v>2246</v>
      </c>
      <c r="G158">
        <v>80</v>
      </c>
      <c r="L158" s="23" t="s">
        <v>1598</v>
      </c>
      <c r="M158" s="127" t="s">
        <v>1648</v>
      </c>
      <c r="N158" s="127" t="str">
        <f t="shared" si="5"/>
        <v>河图洛书冠·捌</v>
      </c>
    </row>
    <row r="159" spans="1:14" ht="16.5">
      <c r="A159" s="23" t="s">
        <v>918</v>
      </c>
      <c r="B159" t="s">
        <v>1478</v>
      </c>
      <c r="C159" t="s">
        <v>1444</v>
      </c>
      <c r="D159" t="str">
        <f t="shared" si="4"/>
        <v>a09降魔头盔</v>
      </c>
      <c r="E159" s="16">
        <v>20674</v>
      </c>
      <c r="F159" s="16">
        <v>2247</v>
      </c>
      <c r="G159">
        <v>90</v>
      </c>
      <c r="L159" s="23" t="s">
        <v>1598</v>
      </c>
      <c r="M159" s="127" t="s">
        <v>1649</v>
      </c>
      <c r="N159" s="127" t="str">
        <f t="shared" si="5"/>
        <v>河图洛书冠·玖</v>
      </c>
    </row>
    <row r="160" spans="1:14" ht="16.5">
      <c r="A160" s="23" t="s">
        <v>919</v>
      </c>
      <c r="B160" t="s">
        <v>1479</v>
      </c>
      <c r="C160" t="s">
        <v>1444</v>
      </c>
      <c r="D160" t="str">
        <f t="shared" si="4"/>
        <v>a10降魔头盔</v>
      </c>
      <c r="E160" s="16">
        <v>20675</v>
      </c>
      <c r="F160" s="16">
        <v>2248</v>
      </c>
      <c r="G160">
        <v>100</v>
      </c>
      <c r="L160" s="23" t="s">
        <v>1599</v>
      </c>
      <c r="M160" s="127" t="s">
        <v>1650</v>
      </c>
      <c r="N160" s="127" t="str">
        <f t="shared" si="5"/>
        <v>佛光渡厄冠·十</v>
      </c>
    </row>
    <row r="161" spans="1:14" ht="16.5">
      <c r="A161" s="23" t="s">
        <v>920</v>
      </c>
      <c r="B161" t="s">
        <v>1480</v>
      </c>
      <c r="C161" t="s">
        <v>1444</v>
      </c>
      <c r="D161" t="str">
        <f t="shared" si="4"/>
        <v>a11降魔头盔</v>
      </c>
      <c r="E161" s="16">
        <v>20676</v>
      </c>
      <c r="F161" s="16">
        <v>2249</v>
      </c>
      <c r="G161">
        <v>110</v>
      </c>
      <c r="L161" s="23" t="s">
        <v>1599</v>
      </c>
      <c r="M161" s="127" t="s">
        <v>1651</v>
      </c>
      <c r="N161" s="127" t="str">
        <f t="shared" si="5"/>
        <v>佛光渡厄冠·凡</v>
      </c>
    </row>
    <row r="162" spans="1:14" ht="16.5">
      <c r="A162" s="23" t="s">
        <v>921</v>
      </c>
      <c r="B162" t="s">
        <v>1481</v>
      </c>
      <c r="C162" t="s">
        <v>1444</v>
      </c>
      <c r="D162" t="str">
        <f t="shared" si="4"/>
        <v>a12降魔头盔</v>
      </c>
      <c r="E162" s="16">
        <v>20677</v>
      </c>
      <c r="F162" s="16">
        <v>2250</v>
      </c>
      <c r="G162">
        <v>120</v>
      </c>
      <c r="L162" s="23" t="s">
        <v>1599</v>
      </c>
      <c r="M162" s="127" t="s">
        <v>1652</v>
      </c>
      <c r="N162" s="127" t="str">
        <f t="shared" si="5"/>
        <v>佛光渡厄冠·皇</v>
      </c>
    </row>
    <row r="163" spans="1:14" ht="16.5">
      <c r="A163" s="23" t="s">
        <v>922</v>
      </c>
      <c r="B163" t="s">
        <v>1482</v>
      </c>
      <c r="C163" t="s">
        <v>1444</v>
      </c>
      <c r="D163" t="str">
        <f t="shared" si="4"/>
        <v>a13降魔头盔</v>
      </c>
      <c r="E163" s="16">
        <v>20678</v>
      </c>
      <c r="F163" s="16">
        <v>2251</v>
      </c>
      <c r="G163">
        <v>130</v>
      </c>
      <c r="L163" s="23" t="s">
        <v>1600</v>
      </c>
      <c r="M163" s="127" t="s">
        <v>1653</v>
      </c>
      <c r="N163" s="127" t="str">
        <f t="shared" si="5"/>
        <v>龙血玄黄冠·玄</v>
      </c>
    </row>
    <row r="164" spans="1:14" ht="16.5">
      <c r="A164" s="23" t="s">
        <v>923</v>
      </c>
      <c r="B164" t="s">
        <v>1483</v>
      </c>
      <c r="C164" t="s">
        <v>1444</v>
      </c>
      <c r="D164" t="str">
        <f t="shared" si="4"/>
        <v>a14降魔头盔</v>
      </c>
      <c r="E164" s="16">
        <v>20679</v>
      </c>
      <c r="F164" s="16">
        <v>2252</v>
      </c>
      <c r="G164">
        <v>140</v>
      </c>
      <c r="L164" s="23" t="s">
        <v>1600</v>
      </c>
      <c r="M164" s="127" t="s">
        <v>1654</v>
      </c>
      <c r="N164" s="127" t="str">
        <f t="shared" si="5"/>
        <v>龙血玄黄冠·地</v>
      </c>
    </row>
    <row r="165" spans="1:14" ht="16.5">
      <c r="A165" s="23" t="s">
        <v>924</v>
      </c>
      <c r="B165" t="s">
        <v>1484</v>
      </c>
      <c r="C165" t="s">
        <v>1444</v>
      </c>
      <c r="D165" t="str">
        <f t="shared" si="4"/>
        <v>a15降魔头盔</v>
      </c>
      <c r="E165" s="16">
        <v>20680</v>
      </c>
      <c r="F165" s="16">
        <v>2253</v>
      </c>
      <c r="G165">
        <v>150</v>
      </c>
      <c r="L165" s="23" t="s">
        <v>1600</v>
      </c>
      <c r="M165" s="127" t="s">
        <v>1655</v>
      </c>
      <c r="N165" s="127" t="str">
        <f t="shared" si="5"/>
        <v>龙血玄黄冠·天</v>
      </c>
    </row>
    <row r="166" spans="1:14" ht="16.5">
      <c r="A166" s="23" t="s">
        <v>926</v>
      </c>
      <c r="B166" t="s">
        <v>1470</v>
      </c>
      <c r="C166" t="s">
        <v>1445</v>
      </c>
      <c r="D166" t="str">
        <f t="shared" si="4"/>
        <v>a01降魔战靴</v>
      </c>
      <c r="E166" s="16">
        <v>1681</v>
      </c>
      <c r="F166" s="16">
        <v>2254</v>
      </c>
      <c r="G166">
        <v>10</v>
      </c>
      <c r="L166" s="23" t="s">
        <v>1601</v>
      </c>
      <c r="M166" s="127" t="s">
        <v>1641</v>
      </c>
      <c r="N166" s="127" t="str">
        <f t="shared" si="5"/>
        <v>司雨靴·壹</v>
      </c>
    </row>
    <row r="167" spans="1:14" ht="16.5">
      <c r="A167" s="23" t="s">
        <v>927</v>
      </c>
      <c r="B167" t="s">
        <v>1471</v>
      </c>
      <c r="C167" t="s">
        <v>1445</v>
      </c>
      <c r="D167" t="str">
        <f t="shared" si="4"/>
        <v>a02降魔战靴</v>
      </c>
      <c r="E167" s="16">
        <v>1682</v>
      </c>
      <c r="F167" s="16">
        <v>2255</v>
      </c>
      <c r="G167">
        <v>20</v>
      </c>
      <c r="L167" s="23" t="s">
        <v>1601</v>
      </c>
      <c r="M167" s="127" t="s">
        <v>1642</v>
      </c>
      <c r="N167" s="127" t="str">
        <f t="shared" si="5"/>
        <v>司雨靴·贰</v>
      </c>
    </row>
    <row r="168" spans="1:14" ht="16.5">
      <c r="A168" s="23" t="s">
        <v>928</v>
      </c>
      <c r="B168" t="s">
        <v>1472</v>
      </c>
      <c r="C168" t="s">
        <v>1445</v>
      </c>
      <c r="D168" t="str">
        <f t="shared" si="4"/>
        <v>a03降魔战靴</v>
      </c>
      <c r="E168" s="16">
        <v>1683</v>
      </c>
      <c r="F168" s="16">
        <v>2256</v>
      </c>
      <c r="G168">
        <v>30</v>
      </c>
      <c r="L168" s="23" t="s">
        <v>1601</v>
      </c>
      <c r="M168" s="127" t="s">
        <v>1643</v>
      </c>
      <c r="N168" s="127" t="str">
        <f t="shared" si="5"/>
        <v>司雨靴·叁</v>
      </c>
    </row>
    <row r="169" spans="1:14" ht="16.5">
      <c r="A169" s="23" t="s">
        <v>929</v>
      </c>
      <c r="B169" t="s">
        <v>1473</v>
      </c>
      <c r="C169" t="s">
        <v>1445</v>
      </c>
      <c r="D169" t="str">
        <f t="shared" si="4"/>
        <v>a04降魔战靴</v>
      </c>
      <c r="E169" s="16">
        <v>1684</v>
      </c>
      <c r="F169" s="16">
        <v>2257</v>
      </c>
      <c r="G169">
        <v>40</v>
      </c>
      <c r="L169" s="23" t="s">
        <v>1602</v>
      </c>
      <c r="M169" s="127" t="s">
        <v>1644</v>
      </c>
      <c r="N169" s="127" t="str">
        <f t="shared" si="5"/>
        <v>降魔靴·肆</v>
      </c>
    </row>
    <row r="170" spans="1:14" ht="16.5">
      <c r="A170" s="23" t="s">
        <v>930</v>
      </c>
      <c r="B170" t="s">
        <v>1474</v>
      </c>
      <c r="C170" t="s">
        <v>1445</v>
      </c>
      <c r="D170" t="str">
        <f t="shared" si="4"/>
        <v>a05降魔战靴</v>
      </c>
      <c r="E170" s="16">
        <v>2068</v>
      </c>
      <c r="F170" s="88">
        <v>2068</v>
      </c>
      <c r="G170">
        <v>50</v>
      </c>
      <c r="L170" s="88" t="s">
        <v>1602</v>
      </c>
      <c r="M170" s="127" t="s">
        <v>1645</v>
      </c>
      <c r="N170" s="127" t="str">
        <f t="shared" si="5"/>
        <v>降魔靴·伍</v>
      </c>
    </row>
    <row r="171" spans="1:14" ht="16.5">
      <c r="A171" s="23" t="s">
        <v>931</v>
      </c>
      <c r="B171" t="s">
        <v>1475</v>
      </c>
      <c r="C171" t="s">
        <v>1445</v>
      </c>
      <c r="D171" t="str">
        <f t="shared" si="4"/>
        <v>a06降魔战靴</v>
      </c>
      <c r="E171" s="16">
        <v>20681</v>
      </c>
      <c r="F171" s="16">
        <v>2258</v>
      </c>
      <c r="G171">
        <v>60</v>
      </c>
      <c r="L171" s="23" t="s">
        <v>1602</v>
      </c>
      <c r="M171" s="127" t="s">
        <v>1646</v>
      </c>
      <c r="N171" s="127" t="str">
        <f t="shared" si="5"/>
        <v>降魔靴·陆</v>
      </c>
    </row>
    <row r="172" spans="1:14" ht="16.5">
      <c r="A172" s="23" t="s">
        <v>932</v>
      </c>
      <c r="B172" t="s">
        <v>1476</v>
      </c>
      <c r="C172" t="s">
        <v>1445</v>
      </c>
      <c r="D172" t="str">
        <f t="shared" si="4"/>
        <v>a07降魔战靴</v>
      </c>
      <c r="E172" s="16">
        <v>20682</v>
      </c>
      <c r="F172" s="16">
        <v>2259</v>
      </c>
      <c r="G172">
        <v>70</v>
      </c>
      <c r="L172" s="23" t="s">
        <v>1603</v>
      </c>
      <c r="M172" s="127" t="s">
        <v>1647</v>
      </c>
      <c r="N172" s="127" t="str">
        <f t="shared" si="5"/>
        <v>河图洛书靴·柒</v>
      </c>
    </row>
    <row r="173" spans="1:14" ht="16.5">
      <c r="A173" s="23" t="s">
        <v>933</v>
      </c>
      <c r="B173" t="s">
        <v>1477</v>
      </c>
      <c r="C173" t="s">
        <v>1445</v>
      </c>
      <c r="D173" t="str">
        <f t="shared" si="4"/>
        <v>a08降魔战靴</v>
      </c>
      <c r="E173" s="16">
        <v>20683</v>
      </c>
      <c r="F173" s="16">
        <v>2260</v>
      </c>
      <c r="G173">
        <v>80</v>
      </c>
      <c r="L173" s="23" t="s">
        <v>1603</v>
      </c>
      <c r="M173" s="127" t="s">
        <v>1648</v>
      </c>
      <c r="N173" s="127" t="str">
        <f t="shared" si="5"/>
        <v>河图洛书靴·捌</v>
      </c>
    </row>
    <row r="174" spans="1:14" ht="16.5">
      <c r="A174" s="23" t="s">
        <v>934</v>
      </c>
      <c r="B174" t="s">
        <v>1478</v>
      </c>
      <c r="C174" t="s">
        <v>1445</v>
      </c>
      <c r="D174" t="str">
        <f t="shared" si="4"/>
        <v>a09降魔战靴</v>
      </c>
      <c r="E174" s="16">
        <v>20684</v>
      </c>
      <c r="F174" s="16">
        <v>2261</v>
      </c>
      <c r="G174">
        <v>90</v>
      </c>
      <c r="L174" s="23" t="s">
        <v>1603</v>
      </c>
      <c r="M174" s="127" t="s">
        <v>1649</v>
      </c>
      <c r="N174" s="127" t="str">
        <f t="shared" si="5"/>
        <v>河图洛书靴·玖</v>
      </c>
    </row>
    <row r="175" spans="1:14" ht="16.5">
      <c r="A175" s="23" t="s">
        <v>935</v>
      </c>
      <c r="B175" t="s">
        <v>1479</v>
      </c>
      <c r="C175" t="s">
        <v>1445</v>
      </c>
      <c r="D175" t="str">
        <f t="shared" si="4"/>
        <v>a10降魔战靴</v>
      </c>
      <c r="E175" s="16">
        <v>20685</v>
      </c>
      <c r="F175" s="16">
        <v>2262</v>
      </c>
      <c r="G175">
        <v>100</v>
      </c>
      <c r="L175" s="23" t="s">
        <v>1604</v>
      </c>
      <c r="M175" s="127" t="s">
        <v>1650</v>
      </c>
      <c r="N175" s="127" t="str">
        <f t="shared" si="5"/>
        <v>佛光渡厄靴·十</v>
      </c>
    </row>
    <row r="176" spans="1:14" ht="16.5">
      <c r="A176" s="23" t="s">
        <v>936</v>
      </c>
      <c r="B176" t="s">
        <v>1480</v>
      </c>
      <c r="C176" t="s">
        <v>1445</v>
      </c>
      <c r="D176" t="str">
        <f t="shared" si="4"/>
        <v>a11降魔战靴</v>
      </c>
      <c r="E176" s="16">
        <v>20686</v>
      </c>
      <c r="F176" s="16">
        <v>2263</v>
      </c>
      <c r="G176">
        <v>110</v>
      </c>
      <c r="L176" s="23" t="s">
        <v>1604</v>
      </c>
      <c r="M176" s="127" t="s">
        <v>1651</v>
      </c>
      <c r="N176" s="127" t="str">
        <f t="shared" si="5"/>
        <v>佛光渡厄靴·凡</v>
      </c>
    </row>
    <row r="177" spans="1:14" ht="16.5">
      <c r="A177" s="23" t="s">
        <v>937</v>
      </c>
      <c r="B177" t="s">
        <v>1481</v>
      </c>
      <c r="C177" t="s">
        <v>1445</v>
      </c>
      <c r="D177" t="str">
        <f t="shared" si="4"/>
        <v>a12降魔战靴</v>
      </c>
      <c r="E177" s="16">
        <v>20687</v>
      </c>
      <c r="F177" s="16">
        <v>2264</v>
      </c>
      <c r="G177">
        <v>120</v>
      </c>
      <c r="L177" s="23" t="s">
        <v>1604</v>
      </c>
      <c r="M177" s="127" t="s">
        <v>1652</v>
      </c>
      <c r="N177" s="127" t="str">
        <f t="shared" si="5"/>
        <v>佛光渡厄靴·皇</v>
      </c>
    </row>
    <row r="178" spans="1:14" ht="16.5">
      <c r="A178" s="23" t="s">
        <v>938</v>
      </c>
      <c r="B178" t="s">
        <v>1482</v>
      </c>
      <c r="C178" t="s">
        <v>1445</v>
      </c>
      <c r="D178" t="str">
        <f t="shared" si="4"/>
        <v>a13降魔战靴</v>
      </c>
      <c r="E178" s="16">
        <v>20688</v>
      </c>
      <c r="F178" s="16">
        <v>2265</v>
      </c>
      <c r="G178">
        <v>130</v>
      </c>
      <c r="L178" s="23" t="s">
        <v>1605</v>
      </c>
      <c r="M178" s="127" t="s">
        <v>1653</v>
      </c>
      <c r="N178" s="127" t="str">
        <f t="shared" si="5"/>
        <v>龙血玄黄靴·玄</v>
      </c>
    </row>
    <row r="179" spans="1:14" ht="16.5">
      <c r="A179" s="23" t="s">
        <v>939</v>
      </c>
      <c r="B179" t="s">
        <v>1483</v>
      </c>
      <c r="C179" t="s">
        <v>1445</v>
      </c>
      <c r="D179" t="str">
        <f t="shared" si="4"/>
        <v>a14降魔战靴</v>
      </c>
      <c r="E179" s="16">
        <v>20689</v>
      </c>
      <c r="F179" s="16">
        <v>2266</v>
      </c>
      <c r="G179">
        <v>140</v>
      </c>
      <c r="L179" s="23" t="s">
        <v>1605</v>
      </c>
      <c r="M179" s="127" t="s">
        <v>1654</v>
      </c>
      <c r="N179" s="127" t="str">
        <f t="shared" si="5"/>
        <v>龙血玄黄靴·地</v>
      </c>
    </row>
    <row r="180" spans="1:14" ht="16.5">
      <c r="A180" s="23" t="s">
        <v>940</v>
      </c>
      <c r="B180" t="s">
        <v>1484</v>
      </c>
      <c r="C180" t="s">
        <v>1445</v>
      </c>
      <c r="D180" t="str">
        <f t="shared" si="4"/>
        <v>a15降魔战靴</v>
      </c>
      <c r="E180" s="16">
        <v>20690</v>
      </c>
      <c r="F180" s="16">
        <v>2267</v>
      </c>
      <c r="G180">
        <v>150</v>
      </c>
      <c r="L180" s="23" t="s">
        <v>1605</v>
      </c>
      <c r="M180" s="127" t="s">
        <v>1655</v>
      </c>
      <c r="N180" s="127" t="str">
        <f t="shared" si="5"/>
        <v>龙血玄黄靴·天</v>
      </c>
    </row>
    <row r="181" spans="1:14" ht="16.5">
      <c r="A181" s="46" t="s">
        <v>941</v>
      </c>
      <c r="B181" t="s">
        <v>1470</v>
      </c>
      <c r="C181" t="s">
        <v>1446</v>
      </c>
      <c r="D181" t="str">
        <f t="shared" si="4"/>
        <v>a01血魔战甲</v>
      </c>
      <c r="E181" s="45">
        <v>1611</v>
      </c>
      <c r="F181" s="16">
        <v>2268</v>
      </c>
      <c r="G181">
        <v>10</v>
      </c>
      <c r="L181" s="46" t="s">
        <v>1606</v>
      </c>
      <c r="M181" s="127" t="s">
        <v>1641</v>
      </c>
      <c r="N181" s="127" t="str">
        <f t="shared" si="5"/>
        <v>不屈战魂战甲·壹</v>
      </c>
    </row>
    <row r="182" spans="1:14" ht="16.5">
      <c r="A182" s="46" t="s">
        <v>942</v>
      </c>
      <c r="B182" t="s">
        <v>1471</v>
      </c>
      <c r="C182" t="s">
        <v>1446</v>
      </c>
      <c r="D182" t="str">
        <f t="shared" si="4"/>
        <v>a02血魔战甲</v>
      </c>
      <c r="E182" s="45">
        <v>1612</v>
      </c>
      <c r="F182" s="16">
        <v>2269</v>
      </c>
      <c r="G182">
        <v>20</v>
      </c>
      <c r="L182" s="46" t="s">
        <v>1606</v>
      </c>
      <c r="M182" s="127" t="s">
        <v>1642</v>
      </c>
      <c r="N182" s="127" t="str">
        <f t="shared" si="5"/>
        <v>不屈战魂战甲·贰</v>
      </c>
    </row>
    <row r="183" spans="1:14" ht="16.5">
      <c r="A183" s="46" t="s">
        <v>943</v>
      </c>
      <c r="B183" t="s">
        <v>1472</v>
      </c>
      <c r="C183" t="s">
        <v>1446</v>
      </c>
      <c r="D183" t="str">
        <f t="shared" si="4"/>
        <v>a03血魔战甲</v>
      </c>
      <c r="E183" s="45">
        <v>1613</v>
      </c>
      <c r="F183" s="16">
        <v>2270</v>
      </c>
      <c r="G183">
        <v>30</v>
      </c>
      <c r="L183" s="46" t="s">
        <v>1606</v>
      </c>
      <c r="M183" s="127" t="s">
        <v>1643</v>
      </c>
      <c r="N183" s="127" t="str">
        <f t="shared" si="5"/>
        <v>不屈战魂战甲·叁</v>
      </c>
    </row>
    <row r="184" spans="1:14" ht="16.5">
      <c r="A184" s="46" t="s">
        <v>944</v>
      </c>
      <c r="B184" t="s">
        <v>1473</v>
      </c>
      <c r="C184" t="s">
        <v>1446</v>
      </c>
      <c r="D184" t="str">
        <f t="shared" si="4"/>
        <v>a04血魔战甲</v>
      </c>
      <c r="E184" s="45">
        <v>2061</v>
      </c>
      <c r="F184" s="91">
        <v>2061</v>
      </c>
      <c r="G184">
        <v>40</v>
      </c>
      <c r="L184" s="91" t="s">
        <v>1446</v>
      </c>
      <c r="M184" s="127" t="s">
        <v>1644</v>
      </c>
      <c r="N184" s="127" t="str">
        <f t="shared" si="5"/>
        <v>血魔战甲·肆</v>
      </c>
    </row>
    <row r="185" spans="1:14" ht="16.5">
      <c r="A185" s="46" t="s">
        <v>945</v>
      </c>
      <c r="B185" t="s">
        <v>1474</v>
      </c>
      <c r="C185" t="s">
        <v>1446</v>
      </c>
      <c r="D185" t="str">
        <f t="shared" si="4"/>
        <v>a05血魔战甲</v>
      </c>
      <c r="E185" s="45">
        <v>20611</v>
      </c>
      <c r="F185" s="45">
        <v>2271</v>
      </c>
      <c r="G185">
        <v>50</v>
      </c>
      <c r="L185" s="46" t="s">
        <v>1446</v>
      </c>
      <c r="M185" s="127" t="s">
        <v>1645</v>
      </c>
      <c r="N185" s="127" t="str">
        <f t="shared" si="5"/>
        <v>血魔战甲·伍</v>
      </c>
    </row>
    <row r="186" spans="1:14" ht="16.5">
      <c r="A186" s="46" t="s">
        <v>946</v>
      </c>
      <c r="B186" t="s">
        <v>1475</v>
      </c>
      <c r="C186" t="s">
        <v>1446</v>
      </c>
      <c r="D186" t="str">
        <f t="shared" si="4"/>
        <v>a06血魔战甲</v>
      </c>
      <c r="E186" s="45">
        <v>20612</v>
      </c>
      <c r="F186" s="45">
        <v>2272</v>
      </c>
      <c r="G186">
        <v>60</v>
      </c>
      <c r="L186" s="46" t="s">
        <v>1446</v>
      </c>
      <c r="M186" s="127" t="s">
        <v>1646</v>
      </c>
      <c r="N186" s="127" t="str">
        <f t="shared" si="5"/>
        <v>血魔战甲·陆</v>
      </c>
    </row>
    <row r="187" spans="1:14" ht="16.5">
      <c r="A187" s="46" t="s">
        <v>947</v>
      </c>
      <c r="B187" t="s">
        <v>1476</v>
      </c>
      <c r="C187" t="s">
        <v>1446</v>
      </c>
      <c r="D187" t="str">
        <f t="shared" si="4"/>
        <v>a07血魔战甲</v>
      </c>
      <c r="E187" s="45">
        <v>20613</v>
      </c>
      <c r="F187" s="45">
        <v>2273</v>
      </c>
      <c r="G187">
        <v>70</v>
      </c>
      <c r="L187" s="46" t="s">
        <v>1607</v>
      </c>
      <c r="M187" s="127" t="s">
        <v>1647</v>
      </c>
      <c r="N187" s="127" t="str">
        <f t="shared" si="5"/>
        <v>灭天焚火战甲·柒</v>
      </c>
    </row>
    <row r="188" spans="1:14" ht="16.5">
      <c r="A188" s="46" t="s">
        <v>948</v>
      </c>
      <c r="B188" t="s">
        <v>1477</v>
      </c>
      <c r="C188" t="s">
        <v>1446</v>
      </c>
      <c r="D188" t="str">
        <f t="shared" si="4"/>
        <v>a08血魔战甲</v>
      </c>
      <c r="E188" s="45">
        <v>20614</v>
      </c>
      <c r="F188" s="45">
        <v>2274</v>
      </c>
      <c r="G188">
        <v>80</v>
      </c>
      <c r="L188" s="46" t="s">
        <v>1607</v>
      </c>
      <c r="M188" s="127" t="s">
        <v>1648</v>
      </c>
      <c r="N188" s="127" t="str">
        <f t="shared" si="5"/>
        <v>灭天焚火战甲·捌</v>
      </c>
    </row>
    <row r="189" spans="1:14" ht="16.5">
      <c r="A189" s="46" t="s">
        <v>949</v>
      </c>
      <c r="B189" t="s">
        <v>1478</v>
      </c>
      <c r="C189" t="s">
        <v>1446</v>
      </c>
      <c r="D189" t="str">
        <f t="shared" si="4"/>
        <v>a09血魔战甲</v>
      </c>
      <c r="E189" s="45">
        <v>20615</v>
      </c>
      <c r="F189" s="45">
        <v>2275</v>
      </c>
      <c r="G189">
        <v>90</v>
      </c>
      <c r="L189" s="46" t="s">
        <v>1607</v>
      </c>
      <c r="M189" s="127" t="s">
        <v>1649</v>
      </c>
      <c r="N189" s="127" t="str">
        <f t="shared" si="5"/>
        <v>灭天焚火战甲·玖</v>
      </c>
    </row>
    <row r="190" spans="1:14" ht="16.5">
      <c r="A190" s="46" t="s">
        <v>950</v>
      </c>
      <c r="B190" t="s">
        <v>1479</v>
      </c>
      <c r="C190" t="s">
        <v>1446</v>
      </c>
      <c r="D190" t="str">
        <f t="shared" si="4"/>
        <v>a10血魔战甲</v>
      </c>
      <c r="E190" s="45">
        <v>20616</v>
      </c>
      <c r="F190" s="45">
        <v>2276</v>
      </c>
      <c r="G190">
        <v>100</v>
      </c>
      <c r="L190" s="46" t="s">
        <v>1608</v>
      </c>
      <c r="M190" s="127" t="s">
        <v>1650</v>
      </c>
      <c r="N190" s="127" t="str">
        <f t="shared" si="5"/>
        <v>不灭血灵战甲·十</v>
      </c>
    </row>
    <row r="191" spans="1:14" ht="16.5">
      <c r="A191" s="46" t="s">
        <v>951</v>
      </c>
      <c r="B191" t="s">
        <v>1480</v>
      </c>
      <c r="C191" t="s">
        <v>1446</v>
      </c>
      <c r="D191" t="str">
        <f t="shared" si="4"/>
        <v>a11血魔战甲</v>
      </c>
      <c r="E191" s="45">
        <v>20617</v>
      </c>
      <c r="F191" s="45">
        <v>2277</v>
      </c>
      <c r="G191">
        <v>110</v>
      </c>
      <c r="L191" s="46" t="s">
        <v>1608</v>
      </c>
      <c r="M191" s="127" t="s">
        <v>1651</v>
      </c>
      <c r="N191" s="127" t="str">
        <f t="shared" si="5"/>
        <v>不灭血灵战甲·凡</v>
      </c>
    </row>
    <row r="192" spans="1:14" ht="16.5">
      <c r="A192" s="46" t="s">
        <v>952</v>
      </c>
      <c r="B192" t="s">
        <v>1481</v>
      </c>
      <c r="C192" t="s">
        <v>1446</v>
      </c>
      <c r="D192" t="str">
        <f t="shared" si="4"/>
        <v>a12血魔战甲</v>
      </c>
      <c r="E192" s="45">
        <v>20618</v>
      </c>
      <c r="F192" s="45">
        <v>2278</v>
      </c>
      <c r="G192">
        <v>120</v>
      </c>
      <c r="L192" s="46" t="s">
        <v>1608</v>
      </c>
      <c r="M192" s="127" t="s">
        <v>1652</v>
      </c>
      <c r="N192" s="127" t="str">
        <f t="shared" si="5"/>
        <v>不灭血灵战甲·皇</v>
      </c>
    </row>
    <row r="193" spans="1:14" ht="16.5">
      <c r="A193" s="46" t="s">
        <v>953</v>
      </c>
      <c r="B193" t="s">
        <v>1482</v>
      </c>
      <c r="C193" t="s">
        <v>1446</v>
      </c>
      <c r="D193" t="str">
        <f t="shared" si="4"/>
        <v>a13血魔战甲</v>
      </c>
      <c r="E193" s="45">
        <v>20619</v>
      </c>
      <c r="F193" s="45">
        <v>2279</v>
      </c>
      <c r="G193">
        <v>130</v>
      </c>
      <c r="L193" s="46" t="s">
        <v>1609</v>
      </c>
      <c r="M193" s="127" t="s">
        <v>1653</v>
      </c>
      <c r="N193" s="127" t="str">
        <f t="shared" si="5"/>
        <v>忘情战甲·玄</v>
      </c>
    </row>
    <row r="194" spans="1:14" ht="16.5">
      <c r="A194" s="46" t="s">
        <v>954</v>
      </c>
      <c r="B194" t="s">
        <v>1483</v>
      </c>
      <c r="C194" t="s">
        <v>1446</v>
      </c>
      <c r="D194" t="str">
        <f t="shared" ref="D194:D257" si="6">B194&amp;C194</f>
        <v>a14血魔战甲</v>
      </c>
      <c r="E194" s="45">
        <v>20620</v>
      </c>
      <c r="F194" s="45">
        <v>2280</v>
      </c>
      <c r="G194">
        <v>140</v>
      </c>
      <c r="L194" s="46" t="s">
        <v>1609</v>
      </c>
      <c r="M194" s="127" t="s">
        <v>1654</v>
      </c>
      <c r="N194" s="127" t="str">
        <f t="shared" ref="N194:N257" si="7">L194&amp;M194</f>
        <v>忘情战甲·地</v>
      </c>
    </row>
    <row r="195" spans="1:14" ht="16.5">
      <c r="A195" s="46" t="s">
        <v>955</v>
      </c>
      <c r="B195" t="s">
        <v>1484</v>
      </c>
      <c r="C195" t="s">
        <v>1446</v>
      </c>
      <c r="D195" t="str">
        <f t="shared" si="6"/>
        <v>a15血魔战甲</v>
      </c>
      <c r="E195" s="45">
        <v>206211</v>
      </c>
      <c r="F195" s="45">
        <v>2281</v>
      </c>
      <c r="G195">
        <v>150</v>
      </c>
      <c r="L195" s="46" t="s">
        <v>1609</v>
      </c>
      <c r="M195" s="127" t="s">
        <v>1655</v>
      </c>
      <c r="N195" s="127" t="str">
        <f t="shared" si="7"/>
        <v>忘情战甲·天</v>
      </c>
    </row>
    <row r="196" spans="1:14" ht="16.5">
      <c r="A196" s="46" t="s">
        <v>956</v>
      </c>
      <c r="B196" t="s">
        <v>1470</v>
      </c>
      <c r="C196" t="s">
        <v>1447</v>
      </c>
      <c r="D196" t="str">
        <f t="shared" si="6"/>
        <v>a01赤霄长剑</v>
      </c>
      <c r="E196" s="45">
        <v>621</v>
      </c>
      <c r="F196" s="45">
        <v>2282</v>
      </c>
      <c r="G196">
        <v>10</v>
      </c>
      <c r="L196" s="46" t="s">
        <v>1610</v>
      </c>
      <c r="M196" s="127" t="s">
        <v>1641</v>
      </c>
      <c r="N196" s="127" t="str">
        <f t="shared" si="7"/>
        <v>纹铁剑·壹</v>
      </c>
    </row>
    <row r="197" spans="1:14" ht="16.5">
      <c r="A197" s="46" t="s">
        <v>957</v>
      </c>
      <c r="B197" t="s">
        <v>1471</v>
      </c>
      <c r="C197" t="s">
        <v>1447</v>
      </c>
      <c r="D197" t="str">
        <f t="shared" si="6"/>
        <v>a02赤霄长剑</v>
      </c>
      <c r="E197" s="45">
        <v>622</v>
      </c>
      <c r="F197" s="45">
        <v>2283</v>
      </c>
      <c r="G197">
        <v>20</v>
      </c>
      <c r="L197" s="46" t="s">
        <v>1610</v>
      </c>
      <c r="M197" s="127" t="s">
        <v>1642</v>
      </c>
      <c r="N197" s="127" t="str">
        <f t="shared" si="7"/>
        <v>纹铁剑·贰</v>
      </c>
    </row>
    <row r="198" spans="1:14" ht="16.5">
      <c r="A198" s="46" t="s">
        <v>958</v>
      </c>
      <c r="B198" t="s">
        <v>1472</v>
      </c>
      <c r="C198" t="s">
        <v>1447</v>
      </c>
      <c r="D198" t="str">
        <f t="shared" si="6"/>
        <v>a03赤霄长剑</v>
      </c>
      <c r="E198" s="45">
        <v>623</v>
      </c>
      <c r="F198" s="45">
        <v>2284</v>
      </c>
      <c r="G198">
        <v>30</v>
      </c>
      <c r="L198" s="46" t="s">
        <v>1611</v>
      </c>
      <c r="M198" s="127" t="s">
        <v>1643</v>
      </c>
      <c r="N198" s="127" t="str">
        <f t="shared" si="7"/>
        <v>旗修剑·叁</v>
      </c>
    </row>
    <row r="199" spans="1:14" ht="16.5">
      <c r="A199" s="46" t="s">
        <v>959</v>
      </c>
      <c r="B199" t="s">
        <v>1473</v>
      </c>
      <c r="C199" t="s">
        <v>1447</v>
      </c>
      <c r="D199" t="str">
        <f t="shared" si="6"/>
        <v>a04赤霄长剑</v>
      </c>
      <c r="E199" s="45">
        <v>2062</v>
      </c>
      <c r="F199" s="91">
        <v>2062</v>
      </c>
      <c r="G199">
        <v>40</v>
      </c>
      <c r="L199" s="91" t="s">
        <v>1611</v>
      </c>
      <c r="M199" s="127" t="s">
        <v>1644</v>
      </c>
      <c r="N199" s="127" t="str">
        <f t="shared" si="7"/>
        <v>旗修剑·肆</v>
      </c>
    </row>
    <row r="200" spans="1:14" ht="16.5">
      <c r="A200" s="46" t="s">
        <v>960</v>
      </c>
      <c r="B200" t="s">
        <v>1474</v>
      </c>
      <c r="C200" t="s">
        <v>1447</v>
      </c>
      <c r="D200" t="str">
        <f t="shared" si="6"/>
        <v>a05赤霄长剑</v>
      </c>
      <c r="E200" s="45">
        <v>20621</v>
      </c>
      <c r="F200" s="45">
        <v>2285</v>
      </c>
      <c r="G200">
        <v>50</v>
      </c>
      <c r="L200" s="46" t="s">
        <v>1612</v>
      </c>
      <c r="M200" s="127" t="s">
        <v>1645</v>
      </c>
      <c r="N200" s="127" t="str">
        <f t="shared" si="7"/>
        <v>雷音剑·伍</v>
      </c>
    </row>
    <row r="201" spans="1:14" ht="16.5">
      <c r="A201" s="46" t="s">
        <v>961</v>
      </c>
      <c r="B201" t="s">
        <v>1475</v>
      </c>
      <c r="C201" t="s">
        <v>1447</v>
      </c>
      <c r="D201" t="str">
        <f t="shared" si="6"/>
        <v>a06赤霄长剑</v>
      </c>
      <c r="E201" s="45">
        <v>20622</v>
      </c>
      <c r="F201" s="45">
        <v>2286</v>
      </c>
      <c r="G201">
        <v>60</v>
      </c>
      <c r="L201" s="46" t="s">
        <v>1612</v>
      </c>
      <c r="M201" s="127" t="s">
        <v>1646</v>
      </c>
      <c r="N201" s="127" t="str">
        <f t="shared" si="7"/>
        <v>雷音剑·陆</v>
      </c>
    </row>
    <row r="202" spans="1:14" ht="16.5">
      <c r="A202" s="46" t="s">
        <v>962</v>
      </c>
      <c r="B202" t="s">
        <v>1476</v>
      </c>
      <c r="C202" t="s">
        <v>1447</v>
      </c>
      <c r="D202" t="str">
        <f t="shared" si="6"/>
        <v>a07赤霄长剑</v>
      </c>
      <c r="E202" s="45">
        <v>20623</v>
      </c>
      <c r="F202" s="45">
        <v>2287</v>
      </c>
      <c r="G202">
        <v>70</v>
      </c>
      <c r="L202" s="46" t="s">
        <v>1613</v>
      </c>
      <c r="M202" s="127" t="s">
        <v>1647</v>
      </c>
      <c r="N202" s="127" t="str">
        <f t="shared" si="7"/>
        <v>封魔剑·柒</v>
      </c>
    </row>
    <row r="203" spans="1:14" ht="16.5">
      <c r="A203" s="46" t="s">
        <v>963</v>
      </c>
      <c r="B203" t="s">
        <v>1477</v>
      </c>
      <c r="C203" t="s">
        <v>1447</v>
      </c>
      <c r="D203" t="str">
        <f t="shared" si="6"/>
        <v>a08赤霄长剑</v>
      </c>
      <c r="E203" s="45">
        <v>20624</v>
      </c>
      <c r="F203" s="45">
        <v>2288</v>
      </c>
      <c r="G203">
        <v>80</v>
      </c>
      <c r="L203" s="46" t="s">
        <v>1614</v>
      </c>
      <c r="M203" s="127" t="s">
        <v>1648</v>
      </c>
      <c r="N203" s="127" t="str">
        <f t="shared" si="7"/>
        <v>杀神剑·捌</v>
      </c>
    </row>
    <row r="204" spans="1:14" ht="16.5">
      <c r="A204" s="46" t="s">
        <v>964</v>
      </c>
      <c r="B204" t="s">
        <v>1478</v>
      </c>
      <c r="C204" t="s">
        <v>1447</v>
      </c>
      <c r="D204" t="str">
        <f t="shared" si="6"/>
        <v>a09赤霄长剑</v>
      </c>
      <c r="E204" s="45">
        <v>20625</v>
      </c>
      <c r="F204" s="45">
        <v>2289</v>
      </c>
      <c r="G204">
        <v>90</v>
      </c>
      <c r="L204" s="46" t="s">
        <v>1615</v>
      </c>
      <c r="M204" s="127" t="s">
        <v>1649</v>
      </c>
      <c r="N204" s="127" t="str">
        <f t="shared" si="7"/>
        <v>轩辕剑·玖</v>
      </c>
    </row>
    <row r="205" spans="1:14" ht="16.5">
      <c r="A205" s="46" t="s">
        <v>965</v>
      </c>
      <c r="B205" t="s">
        <v>1479</v>
      </c>
      <c r="C205" t="s">
        <v>1447</v>
      </c>
      <c r="D205" t="str">
        <f t="shared" si="6"/>
        <v>a10赤霄长剑</v>
      </c>
      <c r="E205" s="45">
        <v>20626</v>
      </c>
      <c r="F205" s="45">
        <v>2290</v>
      </c>
      <c r="G205">
        <v>100</v>
      </c>
      <c r="L205" s="46" t="s">
        <v>1616</v>
      </c>
      <c r="M205" s="127" t="s">
        <v>1650</v>
      </c>
      <c r="N205" s="127" t="str">
        <f t="shared" si="7"/>
        <v>腾空剑·十</v>
      </c>
    </row>
    <row r="206" spans="1:14" ht="16.5">
      <c r="A206" s="46" t="s">
        <v>966</v>
      </c>
      <c r="B206" t="s">
        <v>1480</v>
      </c>
      <c r="C206" t="s">
        <v>1447</v>
      </c>
      <c r="D206" t="str">
        <f t="shared" si="6"/>
        <v>a11赤霄长剑</v>
      </c>
      <c r="E206" s="45">
        <v>20627</v>
      </c>
      <c r="F206" s="45">
        <v>2291</v>
      </c>
      <c r="G206">
        <v>110</v>
      </c>
      <c r="L206" s="46" t="s">
        <v>1617</v>
      </c>
      <c r="M206" s="127" t="s">
        <v>1651</v>
      </c>
      <c r="N206" s="127" t="str">
        <f t="shared" si="7"/>
        <v>元屠剑·凡</v>
      </c>
    </row>
    <row r="207" spans="1:14" ht="16.5">
      <c r="A207" s="46" t="s">
        <v>967</v>
      </c>
      <c r="B207" t="s">
        <v>1481</v>
      </c>
      <c r="C207" t="s">
        <v>1447</v>
      </c>
      <c r="D207" t="str">
        <f t="shared" si="6"/>
        <v>a12赤霄长剑</v>
      </c>
      <c r="E207" s="45">
        <v>20628</v>
      </c>
      <c r="F207" s="45">
        <v>2292</v>
      </c>
      <c r="G207">
        <v>120</v>
      </c>
      <c r="L207" s="46" t="s">
        <v>1618</v>
      </c>
      <c r="M207" s="127" t="s">
        <v>1652</v>
      </c>
      <c r="N207" s="127" t="str">
        <f t="shared" si="7"/>
        <v>阿鼻剑·皇</v>
      </c>
    </row>
    <row r="208" spans="1:14" ht="16.5">
      <c r="A208" s="46" t="s">
        <v>968</v>
      </c>
      <c r="B208" t="s">
        <v>1482</v>
      </c>
      <c r="C208" t="s">
        <v>1447</v>
      </c>
      <c r="D208" t="str">
        <f t="shared" si="6"/>
        <v>a13赤霄长剑</v>
      </c>
      <c r="E208" s="45">
        <v>20629</v>
      </c>
      <c r="F208" s="45">
        <v>2293</v>
      </c>
      <c r="G208">
        <v>130</v>
      </c>
      <c r="L208" s="46" t="s">
        <v>1619</v>
      </c>
      <c r="M208" s="127" t="s">
        <v>1653</v>
      </c>
      <c r="N208" s="127" t="str">
        <f t="shared" si="7"/>
        <v>青萍剑·玄</v>
      </c>
    </row>
    <row r="209" spans="1:14" ht="16.5">
      <c r="A209" s="46" t="s">
        <v>969</v>
      </c>
      <c r="B209" t="s">
        <v>1483</v>
      </c>
      <c r="C209" t="s">
        <v>1447</v>
      </c>
      <c r="D209" t="str">
        <f t="shared" si="6"/>
        <v>a14赤霄长剑</v>
      </c>
      <c r="E209" s="45">
        <v>20630</v>
      </c>
      <c r="F209" s="45">
        <v>2294</v>
      </c>
      <c r="G209">
        <v>140</v>
      </c>
      <c r="L209" s="46" t="s">
        <v>1620</v>
      </c>
      <c r="M209" s="127" t="s">
        <v>1654</v>
      </c>
      <c r="N209" s="127" t="str">
        <f t="shared" si="7"/>
        <v>墨琴古剑·地</v>
      </c>
    </row>
    <row r="210" spans="1:14" ht="16.5">
      <c r="A210" s="46" t="s">
        <v>970</v>
      </c>
      <c r="B210" t="s">
        <v>1484</v>
      </c>
      <c r="C210" t="s">
        <v>1447</v>
      </c>
      <c r="D210" t="str">
        <f t="shared" si="6"/>
        <v>a15赤霄长剑</v>
      </c>
      <c r="E210" s="45">
        <v>20631</v>
      </c>
      <c r="F210" s="45">
        <v>2295</v>
      </c>
      <c r="G210">
        <v>150</v>
      </c>
      <c r="L210" s="46" t="s">
        <v>1621</v>
      </c>
      <c r="M210" s="127" t="s">
        <v>1655</v>
      </c>
      <c r="N210" s="127" t="str">
        <f t="shared" si="7"/>
        <v>大罗飞仙剑·天</v>
      </c>
    </row>
    <row r="211" spans="1:14" ht="16.5">
      <c r="A211" s="46" t="s">
        <v>971</v>
      </c>
      <c r="B211" t="s">
        <v>1470</v>
      </c>
      <c r="C211" t="s">
        <v>1448</v>
      </c>
      <c r="D211" t="str">
        <f t="shared" si="6"/>
        <v>a01麒麟头盔</v>
      </c>
      <c r="E211" s="45">
        <v>631</v>
      </c>
      <c r="F211" s="45">
        <v>2296</v>
      </c>
      <c r="G211">
        <v>10</v>
      </c>
      <c r="L211" s="46" t="s">
        <v>1538</v>
      </c>
      <c r="M211" s="127" t="s">
        <v>1641</v>
      </c>
      <c r="N211" s="127" t="str">
        <f t="shared" si="7"/>
        <v>道法头冠·壹</v>
      </c>
    </row>
    <row r="212" spans="1:14" ht="16.5">
      <c r="A212" s="46" t="s">
        <v>972</v>
      </c>
      <c r="B212" t="s">
        <v>1471</v>
      </c>
      <c r="C212" t="s">
        <v>1448</v>
      </c>
      <c r="D212" t="str">
        <f t="shared" si="6"/>
        <v>a02麒麟头盔</v>
      </c>
      <c r="E212" s="45">
        <v>632</v>
      </c>
      <c r="F212" s="45">
        <v>2297</v>
      </c>
      <c r="G212">
        <v>20</v>
      </c>
      <c r="L212" s="46" t="s">
        <v>1622</v>
      </c>
      <c r="M212" s="127" t="s">
        <v>1642</v>
      </c>
      <c r="N212" s="127" t="str">
        <f t="shared" si="7"/>
        <v>火云道冠·贰</v>
      </c>
    </row>
    <row r="213" spans="1:14" ht="16.5">
      <c r="A213" s="46" t="s">
        <v>973</v>
      </c>
      <c r="B213" t="s">
        <v>1472</v>
      </c>
      <c r="C213" t="s">
        <v>1448</v>
      </c>
      <c r="D213" t="str">
        <f t="shared" si="6"/>
        <v>a03麒麟头盔</v>
      </c>
      <c r="E213" s="45">
        <v>633</v>
      </c>
      <c r="F213" s="45">
        <v>2298</v>
      </c>
      <c r="G213">
        <v>30</v>
      </c>
      <c r="L213" s="46" t="s">
        <v>1539</v>
      </c>
      <c r="M213" s="127" t="s">
        <v>1643</v>
      </c>
      <c r="N213" s="127" t="str">
        <f t="shared" si="7"/>
        <v>仙晶战盔·叁</v>
      </c>
    </row>
    <row r="214" spans="1:14" ht="16.5">
      <c r="A214" s="46" t="s">
        <v>974</v>
      </c>
      <c r="B214" t="s">
        <v>1473</v>
      </c>
      <c r="C214" t="s">
        <v>1448</v>
      </c>
      <c r="D214" t="str">
        <f t="shared" si="6"/>
        <v>a04麒麟头盔</v>
      </c>
      <c r="E214" s="45">
        <v>2063</v>
      </c>
      <c r="F214" s="91">
        <v>2063</v>
      </c>
      <c r="G214">
        <v>40</v>
      </c>
      <c r="L214" s="91" t="s">
        <v>1448</v>
      </c>
      <c r="M214" s="127" t="s">
        <v>1644</v>
      </c>
      <c r="N214" s="127" t="str">
        <f t="shared" si="7"/>
        <v>麒麟头盔·肆</v>
      </c>
    </row>
    <row r="215" spans="1:14" ht="16.5">
      <c r="A215" s="46" t="s">
        <v>975</v>
      </c>
      <c r="B215" t="s">
        <v>1474</v>
      </c>
      <c r="C215" t="s">
        <v>1448</v>
      </c>
      <c r="D215" t="str">
        <f t="shared" si="6"/>
        <v>a05麒麟头盔</v>
      </c>
      <c r="E215" s="45">
        <v>20631</v>
      </c>
      <c r="F215" s="45">
        <v>2299</v>
      </c>
      <c r="G215">
        <v>50</v>
      </c>
      <c r="L215" s="46" t="s">
        <v>1540</v>
      </c>
      <c r="M215" s="127" t="s">
        <v>1645</v>
      </c>
      <c r="N215" s="127" t="str">
        <f t="shared" si="7"/>
        <v>凤翅紫金冠·伍</v>
      </c>
    </row>
    <row r="216" spans="1:14" ht="16.5">
      <c r="A216" s="46" t="s">
        <v>976</v>
      </c>
      <c r="B216" t="s">
        <v>1475</v>
      </c>
      <c r="C216" t="s">
        <v>1448</v>
      </c>
      <c r="D216" t="str">
        <f t="shared" si="6"/>
        <v>a06麒麟头盔</v>
      </c>
      <c r="E216" s="45">
        <v>20632</v>
      </c>
      <c r="F216" s="45">
        <v>2300</v>
      </c>
      <c r="G216">
        <v>60</v>
      </c>
      <c r="L216" s="46" t="s">
        <v>1623</v>
      </c>
      <c r="M216" s="127" t="s">
        <v>1646</v>
      </c>
      <c r="N216" s="127" t="str">
        <f t="shared" si="7"/>
        <v>法相冠·陆</v>
      </c>
    </row>
    <row r="217" spans="1:14" ht="16.5">
      <c r="A217" s="46" t="s">
        <v>977</v>
      </c>
      <c r="B217" t="s">
        <v>1476</v>
      </c>
      <c r="C217" t="s">
        <v>1448</v>
      </c>
      <c r="D217" t="str">
        <f t="shared" si="6"/>
        <v>a07麒麟头盔</v>
      </c>
      <c r="E217" s="45">
        <v>20633</v>
      </c>
      <c r="F217" s="45">
        <v>2301</v>
      </c>
      <c r="G217">
        <v>70</v>
      </c>
      <c r="L217" s="46" t="s">
        <v>1624</v>
      </c>
      <c r="M217" s="127" t="s">
        <v>1647</v>
      </c>
      <c r="N217" s="127" t="str">
        <f t="shared" si="7"/>
        <v>天师道冠·柒</v>
      </c>
    </row>
    <row r="218" spans="1:14" ht="16.5">
      <c r="A218" s="46" t="s">
        <v>978</v>
      </c>
      <c r="B218" t="s">
        <v>1477</v>
      </c>
      <c r="C218" t="s">
        <v>1448</v>
      </c>
      <c r="D218" t="str">
        <f t="shared" si="6"/>
        <v>a08麒麟头盔</v>
      </c>
      <c r="E218" s="45">
        <v>20634</v>
      </c>
      <c r="F218" s="45">
        <v>2302</v>
      </c>
      <c r="G218">
        <v>80</v>
      </c>
      <c r="L218" s="46" t="s">
        <v>1625</v>
      </c>
      <c r="M218" s="127" t="s">
        <v>1648</v>
      </c>
      <c r="N218" s="127" t="str">
        <f t="shared" si="7"/>
        <v>源光法冠·捌</v>
      </c>
    </row>
    <row r="219" spans="1:14" ht="16.5">
      <c r="A219" s="46" t="s">
        <v>979</v>
      </c>
      <c r="B219" t="s">
        <v>1478</v>
      </c>
      <c r="C219" t="s">
        <v>1448</v>
      </c>
      <c r="D219" t="str">
        <f t="shared" si="6"/>
        <v>a09麒麟头盔</v>
      </c>
      <c r="E219" s="45">
        <v>20635</v>
      </c>
      <c r="F219" s="45">
        <v>2303</v>
      </c>
      <c r="G219">
        <v>90</v>
      </c>
      <c r="L219" s="46" t="s">
        <v>1550</v>
      </c>
      <c r="M219" s="127" t="s">
        <v>1649</v>
      </c>
      <c r="N219" s="127" t="str">
        <f t="shared" si="7"/>
        <v>降魔佛冠·玖</v>
      </c>
    </row>
    <row r="220" spans="1:14" ht="16.5">
      <c r="A220" s="46" t="s">
        <v>980</v>
      </c>
      <c r="B220" t="s">
        <v>1479</v>
      </c>
      <c r="C220" t="s">
        <v>1448</v>
      </c>
      <c r="D220" t="str">
        <f t="shared" si="6"/>
        <v>a10麒麟头盔</v>
      </c>
      <c r="E220" s="45">
        <v>20636</v>
      </c>
      <c r="F220" s="45">
        <v>2304</v>
      </c>
      <c r="G220">
        <v>100</v>
      </c>
      <c r="L220" s="46" t="s">
        <v>1626</v>
      </c>
      <c r="M220" s="127" t="s">
        <v>1650</v>
      </c>
      <c r="N220" s="127" t="str">
        <f t="shared" si="7"/>
        <v>弑王鳞盔·十</v>
      </c>
    </row>
    <row r="221" spans="1:14" ht="16.5">
      <c r="A221" s="46" t="s">
        <v>981</v>
      </c>
      <c r="B221" t="s">
        <v>1480</v>
      </c>
      <c r="C221" t="s">
        <v>1448</v>
      </c>
      <c r="D221" t="str">
        <f t="shared" si="6"/>
        <v>a11麒麟头盔</v>
      </c>
      <c r="E221" s="45">
        <v>20637</v>
      </c>
      <c r="F221" s="45">
        <v>2305</v>
      </c>
      <c r="G221">
        <v>110</v>
      </c>
      <c r="L221" s="46" t="s">
        <v>1543</v>
      </c>
      <c r="M221" s="127" t="s">
        <v>1651</v>
      </c>
      <c r="N221" s="127" t="str">
        <f t="shared" si="7"/>
        <v>清源妙道冠·凡</v>
      </c>
    </row>
    <row r="222" spans="1:14" ht="16.5">
      <c r="A222" s="46" t="s">
        <v>982</v>
      </c>
      <c r="B222" t="s">
        <v>1481</v>
      </c>
      <c r="C222" t="s">
        <v>1448</v>
      </c>
      <c r="D222" t="str">
        <f t="shared" si="6"/>
        <v>a12麒麟头盔</v>
      </c>
      <c r="E222" s="45">
        <v>20638</v>
      </c>
      <c r="F222" s="45">
        <v>2306</v>
      </c>
      <c r="G222">
        <v>120</v>
      </c>
      <c r="L222" s="46" t="s">
        <v>1627</v>
      </c>
      <c r="M222" s="127" t="s">
        <v>1652</v>
      </c>
      <c r="N222" s="127" t="str">
        <f t="shared" si="7"/>
        <v>欲色迷魂冠·皇</v>
      </c>
    </row>
    <row r="223" spans="1:14" ht="16.5">
      <c r="A223" s="46" t="s">
        <v>983</v>
      </c>
      <c r="B223" t="s">
        <v>1482</v>
      </c>
      <c r="C223" t="s">
        <v>1448</v>
      </c>
      <c r="D223" t="str">
        <f t="shared" si="6"/>
        <v>a13麒麟头盔</v>
      </c>
      <c r="E223" s="45">
        <v>20639</v>
      </c>
      <c r="F223" s="45">
        <v>2307</v>
      </c>
      <c r="G223">
        <v>130</v>
      </c>
      <c r="L223" s="46" t="s">
        <v>1628</v>
      </c>
      <c r="M223" s="127" t="s">
        <v>1653</v>
      </c>
      <c r="N223" s="127" t="str">
        <f t="shared" si="7"/>
        <v>西王帝后冠·玄</v>
      </c>
    </row>
    <row r="224" spans="1:14" ht="16.5">
      <c r="A224" s="46" t="s">
        <v>984</v>
      </c>
      <c r="B224" t="s">
        <v>1483</v>
      </c>
      <c r="C224" t="s">
        <v>1448</v>
      </c>
      <c r="D224" t="str">
        <f t="shared" si="6"/>
        <v>a14麒麟头盔</v>
      </c>
      <c r="E224" s="45">
        <v>20640</v>
      </c>
      <c r="F224" s="45">
        <v>2308</v>
      </c>
      <c r="G224">
        <v>140</v>
      </c>
      <c r="L224" s="46" t="s">
        <v>1629</v>
      </c>
      <c r="M224" s="127" t="s">
        <v>1654</v>
      </c>
      <c r="N224" s="127" t="str">
        <f t="shared" si="7"/>
        <v>神农百草冠·地</v>
      </c>
    </row>
    <row r="225" spans="1:14" ht="16.5">
      <c r="A225" s="46" t="s">
        <v>985</v>
      </c>
      <c r="B225" t="s">
        <v>1484</v>
      </c>
      <c r="C225" t="s">
        <v>1448</v>
      </c>
      <c r="D225" t="str">
        <f t="shared" si="6"/>
        <v>a15麒麟头盔</v>
      </c>
      <c r="E225" s="45">
        <v>20641</v>
      </c>
      <c r="F225" s="45">
        <v>2309</v>
      </c>
      <c r="G225">
        <v>150</v>
      </c>
      <c r="L225" s="46" t="s">
        <v>1546</v>
      </c>
      <c r="M225" s="127" t="s">
        <v>1655</v>
      </c>
      <c r="N225" s="127" t="str">
        <f t="shared" si="7"/>
        <v>上清圣法冠·天</v>
      </c>
    </row>
    <row r="226" spans="1:14" ht="16.5">
      <c r="A226" s="46" t="s">
        <v>986</v>
      </c>
      <c r="B226" t="s">
        <v>1470</v>
      </c>
      <c r="C226" t="s">
        <v>1449</v>
      </c>
      <c r="D226" t="str">
        <f t="shared" si="6"/>
        <v>a01兽魂战靴</v>
      </c>
      <c r="E226" s="45">
        <v>641</v>
      </c>
      <c r="F226" s="45">
        <v>2310</v>
      </c>
      <c r="G226">
        <v>10</v>
      </c>
      <c r="L226" s="46" t="s">
        <v>1630</v>
      </c>
      <c r="M226" s="127" t="s">
        <v>1641</v>
      </c>
      <c r="N226" s="127" t="str">
        <f t="shared" si="7"/>
        <v>遁地法鞋·壹</v>
      </c>
    </row>
    <row r="227" spans="1:14" ht="16.5">
      <c r="A227" s="46" t="s">
        <v>987</v>
      </c>
      <c r="B227" t="s">
        <v>1471</v>
      </c>
      <c r="C227" t="s">
        <v>1449</v>
      </c>
      <c r="D227" t="str">
        <f t="shared" si="6"/>
        <v>a02兽魂战靴</v>
      </c>
      <c r="E227" s="45">
        <v>642</v>
      </c>
      <c r="F227" s="45">
        <v>2311</v>
      </c>
      <c r="G227">
        <v>20</v>
      </c>
      <c r="L227" s="46" t="s">
        <v>1631</v>
      </c>
      <c r="M227" s="127" t="s">
        <v>1642</v>
      </c>
      <c r="N227" s="127" t="str">
        <f t="shared" si="7"/>
        <v>兽幻魔妖鞋·贰</v>
      </c>
    </row>
    <row r="228" spans="1:14" ht="16.5">
      <c r="A228" s="46" t="s">
        <v>988</v>
      </c>
      <c r="B228" t="s">
        <v>1472</v>
      </c>
      <c r="C228" t="s">
        <v>1449</v>
      </c>
      <c r="D228" t="str">
        <f t="shared" si="6"/>
        <v>a03兽魂战靴</v>
      </c>
      <c r="E228" s="45">
        <v>643</v>
      </c>
      <c r="F228" s="45">
        <v>2312</v>
      </c>
      <c r="G228">
        <v>30</v>
      </c>
      <c r="L228" s="46" t="s">
        <v>1559</v>
      </c>
      <c r="M228" s="127" t="s">
        <v>1643</v>
      </c>
      <c r="N228" s="127" t="str">
        <f t="shared" si="7"/>
        <v>梦幻天履·叁</v>
      </c>
    </row>
    <row r="229" spans="1:14" ht="16.5">
      <c r="A229" s="46" t="s">
        <v>989</v>
      </c>
      <c r="B229" t="s">
        <v>1473</v>
      </c>
      <c r="C229" t="s">
        <v>1449</v>
      </c>
      <c r="D229" t="str">
        <f t="shared" si="6"/>
        <v>a04兽魂战靴</v>
      </c>
      <c r="E229" s="45">
        <v>2064</v>
      </c>
      <c r="F229" s="91">
        <v>2064</v>
      </c>
      <c r="G229">
        <v>40</v>
      </c>
      <c r="L229" s="91" t="s">
        <v>1449</v>
      </c>
      <c r="M229" s="127" t="s">
        <v>1644</v>
      </c>
      <c r="N229" s="127" t="str">
        <f t="shared" si="7"/>
        <v>兽魂战靴·肆</v>
      </c>
    </row>
    <row r="230" spans="1:14" ht="16.5">
      <c r="A230" s="46" t="s">
        <v>990</v>
      </c>
      <c r="B230" t="s">
        <v>1474</v>
      </c>
      <c r="C230" t="s">
        <v>1449</v>
      </c>
      <c r="D230" t="str">
        <f t="shared" si="6"/>
        <v>a05兽魂战靴</v>
      </c>
      <c r="E230" s="45">
        <v>20641</v>
      </c>
      <c r="F230" s="45">
        <v>2313</v>
      </c>
      <c r="G230">
        <v>50</v>
      </c>
      <c r="L230" s="46" t="s">
        <v>1632</v>
      </c>
      <c r="M230" s="127" t="s">
        <v>1645</v>
      </c>
      <c r="N230" s="127" t="str">
        <f t="shared" si="7"/>
        <v>星灵法履·伍</v>
      </c>
    </row>
    <row r="231" spans="1:14" ht="16.5">
      <c r="A231" s="46" t="s">
        <v>991</v>
      </c>
      <c r="B231" t="s">
        <v>1475</v>
      </c>
      <c r="C231" t="s">
        <v>1449</v>
      </c>
      <c r="D231" t="str">
        <f t="shared" si="6"/>
        <v>a06兽魂战靴</v>
      </c>
      <c r="E231" s="45">
        <v>20642</v>
      </c>
      <c r="F231" s="45">
        <v>2314</v>
      </c>
      <c r="G231">
        <v>60</v>
      </c>
      <c r="L231" s="46" t="s">
        <v>1633</v>
      </c>
      <c r="M231" s="127" t="s">
        <v>1646</v>
      </c>
      <c r="N231" s="127" t="str">
        <f t="shared" si="7"/>
        <v>魂翼羽靴·陆</v>
      </c>
    </row>
    <row r="232" spans="1:14" ht="16.5">
      <c r="A232" s="46" t="s">
        <v>992</v>
      </c>
      <c r="B232" t="s">
        <v>1476</v>
      </c>
      <c r="C232" t="s">
        <v>1449</v>
      </c>
      <c r="D232" t="str">
        <f t="shared" si="6"/>
        <v>a07兽魂战靴</v>
      </c>
      <c r="E232" s="45">
        <v>20643</v>
      </c>
      <c r="F232" s="45">
        <v>2315</v>
      </c>
      <c r="G232">
        <v>70</v>
      </c>
      <c r="L232" s="46" t="s">
        <v>1634</v>
      </c>
      <c r="M232" s="127" t="s">
        <v>1647</v>
      </c>
      <c r="N232" s="127" t="str">
        <f t="shared" si="7"/>
        <v>断涯皮鞋·柒</v>
      </c>
    </row>
    <row r="233" spans="1:14" ht="16.5">
      <c r="A233" s="46" t="s">
        <v>993</v>
      </c>
      <c r="B233" t="s">
        <v>1477</v>
      </c>
      <c r="C233" t="s">
        <v>1449</v>
      </c>
      <c r="D233" t="str">
        <f t="shared" si="6"/>
        <v>a08兽魂战靴</v>
      </c>
      <c r="E233" s="45">
        <v>20644</v>
      </c>
      <c r="F233" s="45">
        <v>2316</v>
      </c>
      <c r="G233">
        <v>80</v>
      </c>
      <c r="L233" s="46" t="s">
        <v>1449</v>
      </c>
      <c r="M233" s="127" t="s">
        <v>1648</v>
      </c>
      <c r="N233" s="127" t="str">
        <f t="shared" si="7"/>
        <v>兽魂战靴·捌</v>
      </c>
    </row>
    <row r="234" spans="1:14" ht="16.5">
      <c r="A234" s="46" t="s">
        <v>994</v>
      </c>
      <c r="B234" t="s">
        <v>1478</v>
      </c>
      <c r="C234" t="s">
        <v>1449</v>
      </c>
      <c r="D234" t="str">
        <f t="shared" si="6"/>
        <v>a09兽魂战靴</v>
      </c>
      <c r="E234" s="45">
        <v>20645</v>
      </c>
      <c r="F234" s="45">
        <v>2317</v>
      </c>
      <c r="G234">
        <v>90</v>
      </c>
      <c r="L234" s="46" t="s">
        <v>1635</v>
      </c>
      <c r="M234" s="127" t="s">
        <v>1649</v>
      </c>
      <c r="N234" s="127" t="str">
        <f t="shared" si="7"/>
        <v>降魔佛履·玖</v>
      </c>
    </row>
    <row r="235" spans="1:14" ht="16.5">
      <c r="A235" s="46" t="s">
        <v>995</v>
      </c>
      <c r="B235" t="s">
        <v>1479</v>
      </c>
      <c r="C235" t="s">
        <v>1449</v>
      </c>
      <c r="D235" t="str">
        <f t="shared" si="6"/>
        <v>a10兽魂战靴</v>
      </c>
      <c r="E235" s="45">
        <v>20646</v>
      </c>
      <c r="F235" s="45">
        <v>2318</v>
      </c>
      <c r="G235">
        <v>100</v>
      </c>
      <c r="L235" s="46" t="s">
        <v>1636</v>
      </c>
      <c r="M235" s="127" t="s">
        <v>1650</v>
      </c>
      <c r="N235" s="127" t="str">
        <f t="shared" si="7"/>
        <v>顺天靴·十</v>
      </c>
    </row>
    <row r="236" spans="1:14" ht="16.5">
      <c r="A236" s="46" t="s">
        <v>996</v>
      </c>
      <c r="B236" t="s">
        <v>1480</v>
      </c>
      <c r="C236" t="s">
        <v>1449</v>
      </c>
      <c r="D236" t="str">
        <f t="shared" si="6"/>
        <v>a11兽魂战靴</v>
      </c>
      <c r="E236" s="45">
        <v>20647</v>
      </c>
      <c r="F236" s="45">
        <v>2319</v>
      </c>
      <c r="G236">
        <v>110</v>
      </c>
      <c r="L236" s="46" t="s">
        <v>1558</v>
      </c>
      <c r="M236" s="127" t="s">
        <v>1651</v>
      </c>
      <c r="N236" s="127" t="str">
        <f t="shared" si="7"/>
        <v>镇地千重鞋·凡</v>
      </c>
    </row>
    <row r="237" spans="1:14" ht="16.5">
      <c r="A237" s="46" t="s">
        <v>997</v>
      </c>
      <c r="B237" t="s">
        <v>1481</v>
      </c>
      <c r="C237" t="s">
        <v>1449</v>
      </c>
      <c r="D237" t="str">
        <f t="shared" si="6"/>
        <v>a12兽魂战靴</v>
      </c>
      <c r="E237" s="45">
        <v>20648</v>
      </c>
      <c r="F237" s="45">
        <v>2320</v>
      </c>
      <c r="G237">
        <v>120</v>
      </c>
      <c r="L237" s="46" t="s">
        <v>1561</v>
      </c>
      <c r="M237" s="127" t="s">
        <v>1652</v>
      </c>
      <c r="N237" s="127" t="str">
        <f t="shared" si="7"/>
        <v>风火轮·皇</v>
      </c>
    </row>
    <row r="238" spans="1:14" ht="16.5">
      <c r="A238" s="46" t="s">
        <v>998</v>
      </c>
      <c r="B238" t="s">
        <v>1482</v>
      </c>
      <c r="C238" t="s">
        <v>1449</v>
      </c>
      <c r="D238" t="str">
        <f t="shared" si="6"/>
        <v>a13兽魂战靴</v>
      </c>
      <c r="E238" s="45">
        <v>20649</v>
      </c>
      <c r="F238" s="45">
        <v>2321</v>
      </c>
      <c r="G238">
        <v>130</v>
      </c>
      <c r="L238" s="46" t="s">
        <v>1562</v>
      </c>
      <c r="M238" s="127" t="s">
        <v>1653</v>
      </c>
      <c r="N238" s="127" t="str">
        <f t="shared" si="7"/>
        <v>自在逍遥靴·玄</v>
      </c>
    </row>
    <row r="239" spans="1:14" ht="16.5">
      <c r="A239" s="46" t="s">
        <v>999</v>
      </c>
      <c r="B239" t="s">
        <v>1483</v>
      </c>
      <c r="C239" t="s">
        <v>1449</v>
      </c>
      <c r="D239" t="str">
        <f t="shared" si="6"/>
        <v>a14兽魂战靴</v>
      </c>
      <c r="E239" s="45">
        <v>20650</v>
      </c>
      <c r="F239" s="45">
        <v>2322</v>
      </c>
      <c r="G239">
        <v>140</v>
      </c>
      <c r="L239" s="46" t="s">
        <v>1563</v>
      </c>
      <c r="M239" s="127" t="s">
        <v>1654</v>
      </c>
      <c r="N239" s="127" t="str">
        <f t="shared" si="7"/>
        <v>燃灯佛法履·地</v>
      </c>
    </row>
    <row r="240" spans="1:14" ht="16.5">
      <c r="A240" s="46" t="s">
        <v>1000</v>
      </c>
      <c r="B240" t="s">
        <v>1484</v>
      </c>
      <c r="C240" t="s">
        <v>1449</v>
      </c>
      <c r="D240" t="str">
        <f t="shared" si="6"/>
        <v>a15兽魂战靴</v>
      </c>
      <c r="E240" s="45">
        <v>20651</v>
      </c>
      <c r="F240" s="45">
        <v>2323</v>
      </c>
      <c r="G240">
        <v>150</v>
      </c>
      <c r="L240" s="46" t="s">
        <v>1566</v>
      </c>
      <c r="M240" s="127" t="s">
        <v>1655</v>
      </c>
      <c r="N240" s="127" t="str">
        <f t="shared" si="7"/>
        <v>仙道传承法靴·天</v>
      </c>
    </row>
    <row r="241" spans="1:14" ht="16.5">
      <c r="A241" s="80" t="s">
        <v>1001</v>
      </c>
      <c r="B241" t="s">
        <v>1470</v>
      </c>
      <c r="C241" t="s">
        <v>1450</v>
      </c>
      <c r="D241" t="str">
        <f t="shared" si="6"/>
        <v>a01磐石战甲</v>
      </c>
      <c r="E241" s="80">
        <v>491</v>
      </c>
      <c r="F241" s="45">
        <v>2324</v>
      </c>
      <c r="G241">
        <v>10</v>
      </c>
      <c r="L241" s="80" t="s">
        <v>1450</v>
      </c>
      <c r="M241" s="127" t="s">
        <v>1641</v>
      </c>
      <c r="N241" s="127" t="str">
        <f t="shared" si="7"/>
        <v>磐石战甲·壹</v>
      </c>
    </row>
    <row r="242" spans="1:14" ht="16.5">
      <c r="A242" s="80" t="s">
        <v>1002</v>
      </c>
      <c r="B242" t="s">
        <v>1471</v>
      </c>
      <c r="C242" t="s">
        <v>1450</v>
      </c>
      <c r="D242" t="str">
        <f t="shared" si="6"/>
        <v>a02磐石战甲</v>
      </c>
      <c r="E242" s="80">
        <v>492</v>
      </c>
      <c r="F242" s="45">
        <v>2325</v>
      </c>
      <c r="G242">
        <v>20</v>
      </c>
      <c r="L242" s="80" t="s">
        <v>1450</v>
      </c>
      <c r="M242" s="127" t="s">
        <v>1642</v>
      </c>
      <c r="N242" s="127" t="str">
        <f t="shared" si="7"/>
        <v>磐石战甲·贰</v>
      </c>
    </row>
    <row r="243" spans="1:14" ht="16.5">
      <c r="A243" s="80" t="s">
        <v>1003</v>
      </c>
      <c r="B243" t="s">
        <v>1472</v>
      </c>
      <c r="C243" t="s">
        <v>1450</v>
      </c>
      <c r="D243" t="str">
        <f t="shared" si="6"/>
        <v>a03磐石战甲</v>
      </c>
      <c r="E243" s="80">
        <v>2049</v>
      </c>
      <c r="F243" s="94">
        <v>2049</v>
      </c>
      <c r="G243">
        <v>30</v>
      </c>
      <c r="L243" s="94" t="s">
        <v>1450</v>
      </c>
      <c r="M243" s="127" t="s">
        <v>1643</v>
      </c>
      <c r="N243" s="127" t="str">
        <f t="shared" si="7"/>
        <v>磐石战甲·叁</v>
      </c>
    </row>
    <row r="244" spans="1:14" ht="16.5">
      <c r="A244" s="80" t="s">
        <v>1004</v>
      </c>
      <c r="B244" t="s">
        <v>1473</v>
      </c>
      <c r="C244" t="s">
        <v>1450</v>
      </c>
      <c r="D244" t="str">
        <f t="shared" si="6"/>
        <v>a04磐石战甲</v>
      </c>
      <c r="E244" s="80">
        <v>20491</v>
      </c>
      <c r="F244" s="80">
        <v>2326</v>
      </c>
      <c r="G244">
        <v>40</v>
      </c>
      <c r="L244" s="80" t="s">
        <v>1450</v>
      </c>
      <c r="M244" s="127" t="s">
        <v>1644</v>
      </c>
      <c r="N244" s="127" t="str">
        <f t="shared" si="7"/>
        <v>磐石战甲·肆</v>
      </c>
    </row>
    <row r="245" spans="1:14" ht="16.5">
      <c r="A245" s="80" t="s">
        <v>1005</v>
      </c>
      <c r="B245" t="s">
        <v>1474</v>
      </c>
      <c r="C245" t="s">
        <v>1450</v>
      </c>
      <c r="D245" t="str">
        <f t="shared" si="6"/>
        <v>a05磐石战甲</v>
      </c>
      <c r="E245" s="80">
        <v>20492</v>
      </c>
      <c r="F245" s="80">
        <v>2327</v>
      </c>
      <c r="G245">
        <v>50</v>
      </c>
      <c r="L245" s="80" t="s">
        <v>1450</v>
      </c>
      <c r="M245" s="127" t="s">
        <v>1645</v>
      </c>
      <c r="N245" s="127" t="str">
        <f t="shared" si="7"/>
        <v>磐石战甲·伍</v>
      </c>
    </row>
    <row r="246" spans="1:14" ht="16.5">
      <c r="A246" s="80" t="s">
        <v>1006</v>
      </c>
      <c r="B246" t="s">
        <v>1475</v>
      </c>
      <c r="C246" t="s">
        <v>1450</v>
      </c>
      <c r="D246" t="str">
        <f t="shared" si="6"/>
        <v>a06磐石战甲</v>
      </c>
      <c r="E246" s="80">
        <v>20493</v>
      </c>
      <c r="F246" s="80">
        <v>2328</v>
      </c>
      <c r="G246">
        <v>60</v>
      </c>
      <c r="L246" s="80" t="s">
        <v>1450</v>
      </c>
      <c r="M246" s="127" t="s">
        <v>1646</v>
      </c>
      <c r="N246" s="127" t="str">
        <f t="shared" si="7"/>
        <v>磐石战甲·陆</v>
      </c>
    </row>
    <row r="247" spans="1:14" ht="16.5">
      <c r="A247" s="80" t="s">
        <v>1007</v>
      </c>
      <c r="B247" t="s">
        <v>1476</v>
      </c>
      <c r="C247" t="s">
        <v>1450</v>
      </c>
      <c r="D247" t="str">
        <f t="shared" si="6"/>
        <v>a07磐石战甲</v>
      </c>
      <c r="E247" s="80">
        <v>20494</v>
      </c>
      <c r="F247" s="80">
        <v>2329</v>
      </c>
      <c r="G247">
        <v>70</v>
      </c>
      <c r="L247" s="80" t="s">
        <v>1450</v>
      </c>
      <c r="M247" s="127" t="s">
        <v>1647</v>
      </c>
      <c r="N247" s="127" t="str">
        <f t="shared" si="7"/>
        <v>磐石战甲·柒</v>
      </c>
    </row>
    <row r="248" spans="1:14" ht="16.5">
      <c r="A248" s="80" t="s">
        <v>1008</v>
      </c>
      <c r="B248" t="s">
        <v>1477</v>
      </c>
      <c r="C248" t="s">
        <v>1450</v>
      </c>
      <c r="D248" t="str">
        <f t="shared" si="6"/>
        <v>a08磐石战甲</v>
      </c>
      <c r="E248" s="80">
        <v>20495</v>
      </c>
      <c r="F248" s="80">
        <v>2330</v>
      </c>
      <c r="G248">
        <v>80</v>
      </c>
      <c r="L248" s="80" t="s">
        <v>1450</v>
      </c>
      <c r="M248" s="127" t="s">
        <v>1648</v>
      </c>
      <c r="N248" s="127" t="str">
        <f t="shared" si="7"/>
        <v>磐石战甲·捌</v>
      </c>
    </row>
    <row r="249" spans="1:14" ht="16.5">
      <c r="A249" s="80" t="s">
        <v>1009</v>
      </c>
      <c r="B249" t="s">
        <v>1478</v>
      </c>
      <c r="C249" t="s">
        <v>1450</v>
      </c>
      <c r="D249" t="str">
        <f t="shared" si="6"/>
        <v>a09磐石战甲</v>
      </c>
      <c r="E249" s="80">
        <v>20496</v>
      </c>
      <c r="F249" s="80">
        <v>2331</v>
      </c>
      <c r="G249">
        <v>90</v>
      </c>
      <c r="L249" s="80" t="s">
        <v>1450</v>
      </c>
      <c r="M249" s="127" t="s">
        <v>1649</v>
      </c>
      <c r="N249" s="127" t="str">
        <f t="shared" si="7"/>
        <v>磐石战甲·玖</v>
      </c>
    </row>
    <row r="250" spans="1:14" ht="16.5">
      <c r="A250" s="80" t="s">
        <v>1010</v>
      </c>
      <c r="B250" t="s">
        <v>1479</v>
      </c>
      <c r="C250" t="s">
        <v>1450</v>
      </c>
      <c r="D250" t="str">
        <f t="shared" si="6"/>
        <v>a10磐石战甲</v>
      </c>
      <c r="E250" s="80">
        <v>20497</v>
      </c>
      <c r="F250" s="80">
        <v>2332</v>
      </c>
      <c r="G250">
        <v>100</v>
      </c>
      <c r="L250" s="80" t="s">
        <v>1450</v>
      </c>
      <c r="M250" s="127" t="s">
        <v>1650</v>
      </c>
      <c r="N250" s="127" t="str">
        <f t="shared" si="7"/>
        <v>磐石战甲·十</v>
      </c>
    </row>
    <row r="251" spans="1:14" ht="16.5">
      <c r="A251" s="80" t="s">
        <v>1011</v>
      </c>
      <c r="B251" t="s">
        <v>1480</v>
      </c>
      <c r="C251" t="s">
        <v>1450</v>
      </c>
      <c r="D251" t="str">
        <f t="shared" si="6"/>
        <v>a11磐石战甲</v>
      </c>
      <c r="E251" s="80">
        <v>20498</v>
      </c>
      <c r="F251" s="80">
        <v>2333</v>
      </c>
      <c r="G251">
        <v>110</v>
      </c>
      <c r="L251" s="80" t="s">
        <v>1450</v>
      </c>
      <c r="M251" s="127" t="s">
        <v>1651</v>
      </c>
      <c r="N251" s="127" t="str">
        <f t="shared" si="7"/>
        <v>磐石战甲·凡</v>
      </c>
    </row>
    <row r="252" spans="1:14" ht="16.5">
      <c r="A252" s="80" t="s">
        <v>1012</v>
      </c>
      <c r="B252" t="s">
        <v>1481</v>
      </c>
      <c r="C252" t="s">
        <v>1450</v>
      </c>
      <c r="D252" t="str">
        <f t="shared" si="6"/>
        <v>a12磐石战甲</v>
      </c>
      <c r="E252" s="80">
        <v>20499</v>
      </c>
      <c r="F252" s="80">
        <v>2334</v>
      </c>
      <c r="G252">
        <v>120</v>
      </c>
      <c r="L252" s="80" t="s">
        <v>1450</v>
      </c>
      <c r="M252" s="127" t="s">
        <v>1652</v>
      </c>
      <c r="N252" s="127" t="str">
        <f t="shared" si="7"/>
        <v>磐石战甲·皇</v>
      </c>
    </row>
    <row r="253" spans="1:14" ht="16.5">
      <c r="A253" s="80" t="s">
        <v>1013</v>
      </c>
      <c r="B253" t="s">
        <v>1482</v>
      </c>
      <c r="C253" t="s">
        <v>1450</v>
      </c>
      <c r="D253" t="str">
        <f t="shared" si="6"/>
        <v>a13磐石战甲</v>
      </c>
      <c r="E253" s="80">
        <v>20500</v>
      </c>
      <c r="F253" s="80">
        <v>2335</v>
      </c>
      <c r="G253">
        <v>130</v>
      </c>
      <c r="L253" s="80" t="s">
        <v>1450</v>
      </c>
      <c r="M253" s="127" t="s">
        <v>1653</v>
      </c>
      <c r="N253" s="127" t="str">
        <f t="shared" si="7"/>
        <v>磐石战甲·玄</v>
      </c>
    </row>
    <row r="254" spans="1:14" ht="16.5">
      <c r="A254" s="80" t="s">
        <v>1014</v>
      </c>
      <c r="B254" t="s">
        <v>1483</v>
      </c>
      <c r="C254" t="s">
        <v>1450</v>
      </c>
      <c r="D254" t="str">
        <f t="shared" si="6"/>
        <v>a14磐石战甲</v>
      </c>
      <c r="E254" s="80">
        <v>205011</v>
      </c>
      <c r="F254" s="80">
        <v>2336</v>
      </c>
      <c r="G254">
        <v>140</v>
      </c>
      <c r="L254" s="80" t="s">
        <v>1450</v>
      </c>
      <c r="M254" s="127" t="s">
        <v>1654</v>
      </c>
      <c r="N254" s="127" t="str">
        <f t="shared" si="7"/>
        <v>磐石战甲·地</v>
      </c>
    </row>
    <row r="255" spans="1:14" ht="16.5">
      <c r="A255" s="80" t="s">
        <v>1015</v>
      </c>
      <c r="B255" t="s">
        <v>1484</v>
      </c>
      <c r="C255" t="s">
        <v>1450</v>
      </c>
      <c r="D255" t="str">
        <f t="shared" si="6"/>
        <v>a15磐石战甲</v>
      </c>
      <c r="E255" s="80">
        <v>205012</v>
      </c>
      <c r="F255" s="80">
        <v>2337</v>
      </c>
      <c r="G255">
        <v>150</v>
      </c>
      <c r="L255" s="80" t="s">
        <v>1450</v>
      </c>
      <c r="M255" s="127" t="s">
        <v>1655</v>
      </c>
      <c r="N255" s="127" t="str">
        <f t="shared" si="7"/>
        <v>磐石战甲·天</v>
      </c>
    </row>
    <row r="256" spans="1:14" ht="16.5">
      <c r="A256" s="80" t="s">
        <v>1016</v>
      </c>
      <c r="B256" t="s">
        <v>1470</v>
      </c>
      <c r="C256" t="s">
        <v>1451</v>
      </c>
      <c r="D256" t="str">
        <f t="shared" si="6"/>
        <v>a01磐石长剑</v>
      </c>
      <c r="E256" s="80">
        <v>501</v>
      </c>
      <c r="F256" s="80">
        <v>2338</v>
      </c>
      <c r="G256">
        <v>10</v>
      </c>
      <c r="L256" s="80" t="s">
        <v>1451</v>
      </c>
      <c r="M256" s="127" t="s">
        <v>1641</v>
      </c>
      <c r="N256" s="127" t="str">
        <f t="shared" si="7"/>
        <v>磐石长剑·壹</v>
      </c>
    </row>
    <row r="257" spans="1:14" ht="16.5">
      <c r="A257" s="80" t="s">
        <v>1017</v>
      </c>
      <c r="B257" t="s">
        <v>1471</v>
      </c>
      <c r="C257" t="s">
        <v>1451</v>
      </c>
      <c r="D257" t="str">
        <f t="shared" si="6"/>
        <v>a02磐石长剑</v>
      </c>
      <c r="E257" s="80">
        <v>502</v>
      </c>
      <c r="F257" s="80">
        <v>2339</v>
      </c>
      <c r="G257">
        <v>20</v>
      </c>
      <c r="L257" s="80" t="s">
        <v>1451</v>
      </c>
      <c r="M257" s="127" t="s">
        <v>1642</v>
      </c>
      <c r="N257" s="127" t="str">
        <f t="shared" si="7"/>
        <v>磐石长剑·贰</v>
      </c>
    </row>
    <row r="258" spans="1:14" ht="16.5">
      <c r="A258" s="80" t="s">
        <v>1018</v>
      </c>
      <c r="B258" t="s">
        <v>1472</v>
      </c>
      <c r="C258" t="s">
        <v>1451</v>
      </c>
      <c r="D258" t="str">
        <f t="shared" ref="D258:D321" si="8">B258&amp;C258</f>
        <v>a03磐石长剑</v>
      </c>
      <c r="E258" s="80">
        <v>2050</v>
      </c>
      <c r="F258" s="94">
        <v>2050</v>
      </c>
      <c r="G258">
        <v>30</v>
      </c>
      <c r="L258" s="94" t="s">
        <v>1451</v>
      </c>
      <c r="M258" s="127" t="s">
        <v>1643</v>
      </c>
      <c r="N258" s="127" t="str">
        <f t="shared" ref="N258:N321" si="9">L258&amp;M258</f>
        <v>磐石长剑·叁</v>
      </c>
    </row>
    <row r="259" spans="1:14" ht="16.5">
      <c r="A259" s="80" t="s">
        <v>1019</v>
      </c>
      <c r="B259" t="s">
        <v>1473</v>
      </c>
      <c r="C259" t="s">
        <v>1451</v>
      </c>
      <c r="D259" t="str">
        <f t="shared" si="8"/>
        <v>a04磐石长剑</v>
      </c>
      <c r="E259" s="80">
        <v>20501</v>
      </c>
      <c r="F259" s="80">
        <v>2340</v>
      </c>
      <c r="G259">
        <v>40</v>
      </c>
      <c r="L259" s="80" t="s">
        <v>1451</v>
      </c>
      <c r="M259" s="127" t="s">
        <v>1644</v>
      </c>
      <c r="N259" s="127" t="str">
        <f t="shared" si="9"/>
        <v>磐石长剑·肆</v>
      </c>
    </row>
    <row r="260" spans="1:14" ht="16.5">
      <c r="A260" s="80" t="s">
        <v>1020</v>
      </c>
      <c r="B260" t="s">
        <v>1474</v>
      </c>
      <c r="C260" t="s">
        <v>1451</v>
      </c>
      <c r="D260" t="str">
        <f t="shared" si="8"/>
        <v>a05磐石长剑</v>
      </c>
      <c r="E260" s="80">
        <v>20502</v>
      </c>
      <c r="F260" s="80">
        <v>2341</v>
      </c>
      <c r="G260">
        <v>50</v>
      </c>
      <c r="L260" s="80" t="s">
        <v>1451</v>
      </c>
      <c r="M260" s="127" t="s">
        <v>1645</v>
      </c>
      <c r="N260" s="127" t="str">
        <f t="shared" si="9"/>
        <v>磐石长剑·伍</v>
      </c>
    </row>
    <row r="261" spans="1:14" ht="16.5">
      <c r="A261" s="80" t="s">
        <v>1021</v>
      </c>
      <c r="B261" t="s">
        <v>1475</v>
      </c>
      <c r="C261" t="s">
        <v>1451</v>
      </c>
      <c r="D261" t="str">
        <f t="shared" si="8"/>
        <v>a06磐石长剑</v>
      </c>
      <c r="E261" s="80">
        <v>20503</v>
      </c>
      <c r="F261" s="80">
        <v>2342</v>
      </c>
      <c r="G261">
        <v>60</v>
      </c>
      <c r="L261" s="80" t="s">
        <v>1451</v>
      </c>
      <c r="M261" s="127" t="s">
        <v>1646</v>
      </c>
      <c r="N261" s="127" t="str">
        <f t="shared" si="9"/>
        <v>磐石长剑·陆</v>
      </c>
    </row>
    <row r="262" spans="1:14" ht="16.5">
      <c r="A262" s="80" t="s">
        <v>1022</v>
      </c>
      <c r="B262" t="s">
        <v>1476</v>
      </c>
      <c r="C262" t="s">
        <v>1451</v>
      </c>
      <c r="D262" t="str">
        <f t="shared" si="8"/>
        <v>a07磐石长剑</v>
      </c>
      <c r="E262" s="80">
        <v>20504</v>
      </c>
      <c r="F262" s="80">
        <v>2343</v>
      </c>
      <c r="G262">
        <v>70</v>
      </c>
      <c r="L262" s="80" t="s">
        <v>1451</v>
      </c>
      <c r="M262" s="127" t="s">
        <v>1647</v>
      </c>
      <c r="N262" s="127" t="str">
        <f t="shared" si="9"/>
        <v>磐石长剑·柒</v>
      </c>
    </row>
    <row r="263" spans="1:14" ht="16.5">
      <c r="A263" s="80" t="s">
        <v>1023</v>
      </c>
      <c r="B263" t="s">
        <v>1477</v>
      </c>
      <c r="C263" t="s">
        <v>1451</v>
      </c>
      <c r="D263" t="str">
        <f t="shared" si="8"/>
        <v>a08磐石长剑</v>
      </c>
      <c r="E263" s="80">
        <v>20505</v>
      </c>
      <c r="F263" s="80">
        <v>2344</v>
      </c>
      <c r="G263">
        <v>80</v>
      </c>
      <c r="L263" s="80" t="s">
        <v>1451</v>
      </c>
      <c r="M263" s="127" t="s">
        <v>1648</v>
      </c>
      <c r="N263" s="127" t="str">
        <f t="shared" si="9"/>
        <v>磐石长剑·捌</v>
      </c>
    </row>
    <row r="264" spans="1:14" ht="16.5">
      <c r="A264" s="80" t="s">
        <v>1024</v>
      </c>
      <c r="B264" t="s">
        <v>1478</v>
      </c>
      <c r="C264" t="s">
        <v>1451</v>
      </c>
      <c r="D264" t="str">
        <f t="shared" si="8"/>
        <v>a09磐石长剑</v>
      </c>
      <c r="E264" s="80">
        <v>20506</v>
      </c>
      <c r="F264" s="80">
        <v>2345</v>
      </c>
      <c r="G264">
        <v>90</v>
      </c>
      <c r="L264" s="80" t="s">
        <v>1451</v>
      </c>
      <c r="M264" s="127" t="s">
        <v>1649</v>
      </c>
      <c r="N264" s="127" t="str">
        <f t="shared" si="9"/>
        <v>磐石长剑·玖</v>
      </c>
    </row>
    <row r="265" spans="1:14" ht="16.5">
      <c r="A265" s="80" t="s">
        <v>1025</v>
      </c>
      <c r="B265" t="s">
        <v>1479</v>
      </c>
      <c r="C265" t="s">
        <v>1451</v>
      </c>
      <c r="D265" t="str">
        <f t="shared" si="8"/>
        <v>a10磐石长剑</v>
      </c>
      <c r="E265" s="80">
        <v>20507</v>
      </c>
      <c r="F265" s="80">
        <v>2346</v>
      </c>
      <c r="G265">
        <v>100</v>
      </c>
      <c r="L265" s="80" t="s">
        <v>1451</v>
      </c>
      <c r="M265" s="127" t="s">
        <v>1650</v>
      </c>
      <c r="N265" s="127" t="str">
        <f t="shared" si="9"/>
        <v>磐石长剑·十</v>
      </c>
    </row>
    <row r="266" spans="1:14" ht="16.5">
      <c r="A266" s="80" t="s">
        <v>1026</v>
      </c>
      <c r="B266" t="s">
        <v>1480</v>
      </c>
      <c r="C266" t="s">
        <v>1451</v>
      </c>
      <c r="D266" t="str">
        <f t="shared" si="8"/>
        <v>a11磐石长剑</v>
      </c>
      <c r="E266" s="80">
        <v>20508</v>
      </c>
      <c r="F266" s="80">
        <v>2347</v>
      </c>
      <c r="G266">
        <v>110</v>
      </c>
      <c r="L266" s="80" t="s">
        <v>1451</v>
      </c>
      <c r="M266" s="127" t="s">
        <v>1651</v>
      </c>
      <c r="N266" s="127" t="str">
        <f t="shared" si="9"/>
        <v>磐石长剑·凡</v>
      </c>
    </row>
    <row r="267" spans="1:14" ht="16.5">
      <c r="A267" s="80" t="s">
        <v>1027</v>
      </c>
      <c r="B267" t="s">
        <v>1481</v>
      </c>
      <c r="C267" t="s">
        <v>1451</v>
      </c>
      <c r="D267" t="str">
        <f t="shared" si="8"/>
        <v>a12磐石长剑</v>
      </c>
      <c r="E267" s="80">
        <v>20509</v>
      </c>
      <c r="F267" s="80">
        <v>2348</v>
      </c>
      <c r="G267">
        <v>120</v>
      </c>
      <c r="L267" s="80" t="s">
        <v>1451</v>
      </c>
      <c r="M267" s="127" t="s">
        <v>1652</v>
      </c>
      <c r="N267" s="127" t="str">
        <f t="shared" si="9"/>
        <v>磐石长剑·皇</v>
      </c>
    </row>
    <row r="268" spans="1:14" ht="16.5">
      <c r="A268" s="80" t="s">
        <v>1028</v>
      </c>
      <c r="B268" t="s">
        <v>1482</v>
      </c>
      <c r="C268" t="s">
        <v>1451</v>
      </c>
      <c r="D268" t="str">
        <f t="shared" si="8"/>
        <v>a13磐石长剑</v>
      </c>
      <c r="E268" s="80">
        <v>20510</v>
      </c>
      <c r="F268" s="80">
        <v>2349</v>
      </c>
      <c r="G268">
        <v>130</v>
      </c>
      <c r="L268" s="80" t="s">
        <v>1451</v>
      </c>
      <c r="M268" s="127" t="s">
        <v>1653</v>
      </c>
      <c r="N268" s="127" t="str">
        <f t="shared" si="9"/>
        <v>磐石长剑·玄</v>
      </c>
    </row>
    <row r="269" spans="1:14" ht="16.5">
      <c r="A269" s="80" t="s">
        <v>1029</v>
      </c>
      <c r="B269" t="s">
        <v>1483</v>
      </c>
      <c r="C269" t="s">
        <v>1451</v>
      </c>
      <c r="D269" t="str">
        <f t="shared" si="8"/>
        <v>a14磐石长剑</v>
      </c>
      <c r="E269" s="80">
        <v>205111</v>
      </c>
      <c r="F269" s="80">
        <v>2350</v>
      </c>
      <c r="G269">
        <v>140</v>
      </c>
      <c r="L269" s="80" t="s">
        <v>1451</v>
      </c>
      <c r="M269" s="127" t="s">
        <v>1654</v>
      </c>
      <c r="N269" s="127" t="str">
        <f t="shared" si="9"/>
        <v>磐石长剑·地</v>
      </c>
    </row>
    <row r="270" spans="1:14" ht="16.5">
      <c r="A270" s="80" t="s">
        <v>1030</v>
      </c>
      <c r="B270" t="s">
        <v>1484</v>
      </c>
      <c r="C270" t="s">
        <v>1451</v>
      </c>
      <c r="D270" t="str">
        <f t="shared" si="8"/>
        <v>a15磐石长剑</v>
      </c>
      <c r="E270" s="80">
        <v>205112</v>
      </c>
      <c r="F270" s="80">
        <v>2351</v>
      </c>
      <c r="G270">
        <v>150</v>
      </c>
      <c r="L270" s="80" t="s">
        <v>1451</v>
      </c>
      <c r="M270" s="127" t="s">
        <v>1655</v>
      </c>
      <c r="N270" s="127" t="str">
        <f t="shared" si="9"/>
        <v>磐石长剑·天</v>
      </c>
    </row>
    <row r="271" spans="1:14" ht="16.5">
      <c r="A271" s="80" t="s">
        <v>1031</v>
      </c>
      <c r="B271" t="s">
        <v>1470</v>
      </c>
      <c r="C271" t="s">
        <v>1452</v>
      </c>
      <c r="D271" t="str">
        <f t="shared" si="8"/>
        <v>a01磐石头盔</v>
      </c>
      <c r="E271" s="80">
        <v>511</v>
      </c>
      <c r="F271" s="80">
        <v>2352</v>
      </c>
      <c r="G271">
        <v>10</v>
      </c>
      <c r="L271" s="80" t="s">
        <v>1452</v>
      </c>
      <c r="M271" s="127" t="s">
        <v>1641</v>
      </c>
      <c r="N271" s="127" t="str">
        <f t="shared" si="9"/>
        <v>磐石头盔·壹</v>
      </c>
    </row>
    <row r="272" spans="1:14" ht="16.5">
      <c r="A272" s="80" t="s">
        <v>1032</v>
      </c>
      <c r="B272" t="s">
        <v>1471</v>
      </c>
      <c r="C272" t="s">
        <v>1452</v>
      </c>
      <c r="D272" t="str">
        <f t="shared" si="8"/>
        <v>a02磐石头盔</v>
      </c>
      <c r="E272" s="80">
        <v>512</v>
      </c>
      <c r="F272" s="80">
        <v>2353</v>
      </c>
      <c r="G272">
        <v>20</v>
      </c>
      <c r="L272" s="80" t="s">
        <v>1452</v>
      </c>
      <c r="M272" s="127" t="s">
        <v>1642</v>
      </c>
      <c r="N272" s="127" t="str">
        <f t="shared" si="9"/>
        <v>磐石头盔·贰</v>
      </c>
    </row>
    <row r="273" spans="1:14" ht="16.5">
      <c r="A273" s="80" t="s">
        <v>1033</v>
      </c>
      <c r="B273" t="s">
        <v>1472</v>
      </c>
      <c r="C273" t="s">
        <v>1452</v>
      </c>
      <c r="D273" t="str">
        <f t="shared" si="8"/>
        <v>a03磐石头盔</v>
      </c>
      <c r="E273" s="80">
        <v>2051</v>
      </c>
      <c r="F273" s="94">
        <v>2051</v>
      </c>
      <c r="G273">
        <v>30</v>
      </c>
      <c r="L273" s="94" t="s">
        <v>1452</v>
      </c>
      <c r="M273" s="127" t="s">
        <v>1643</v>
      </c>
      <c r="N273" s="127" t="str">
        <f t="shared" si="9"/>
        <v>磐石头盔·叁</v>
      </c>
    </row>
    <row r="274" spans="1:14" ht="16.5">
      <c r="A274" s="80" t="s">
        <v>1034</v>
      </c>
      <c r="B274" t="s">
        <v>1473</v>
      </c>
      <c r="C274" t="s">
        <v>1452</v>
      </c>
      <c r="D274" t="str">
        <f t="shared" si="8"/>
        <v>a04磐石头盔</v>
      </c>
      <c r="E274" s="80">
        <v>20511</v>
      </c>
      <c r="F274" s="80">
        <v>2354</v>
      </c>
      <c r="G274">
        <v>40</v>
      </c>
      <c r="L274" s="80" t="s">
        <v>1452</v>
      </c>
      <c r="M274" s="127" t="s">
        <v>1644</v>
      </c>
      <c r="N274" s="127" t="str">
        <f t="shared" si="9"/>
        <v>磐石头盔·肆</v>
      </c>
    </row>
    <row r="275" spans="1:14" ht="16.5">
      <c r="A275" s="80" t="s">
        <v>1035</v>
      </c>
      <c r="B275" t="s">
        <v>1474</v>
      </c>
      <c r="C275" t="s">
        <v>1452</v>
      </c>
      <c r="D275" t="str">
        <f t="shared" si="8"/>
        <v>a05磐石头盔</v>
      </c>
      <c r="E275" s="80">
        <v>20512</v>
      </c>
      <c r="F275" s="80">
        <v>2355</v>
      </c>
      <c r="G275">
        <v>50</v>
      </c>
      <c r="L275" s="80" t="s">
        <v>1452</v>
      </c>
      <c r="M275" s="127" t="s">
        <v>1645</v>
      </c>
      <c r="N275" s="127" t="str">
        <f t="shared" si="9"/>
        <v>磐石头盔·伍</v>
      </c>
    </row>
    <row r="276" spans="1:14" ht="16.5">
      <c r="A276" s="80" t="s">
        <v>1036</v>
      </c>
      <c r="B276" t="s">
        <v>1475</v>
      </c>
      <c r="C276" t="s">
        <v>1452</v>
      </c>
      <c r="D276" t="str">
        <f t="shared" si="8"/>
        <v>a06磐石头盔</v>
      </c>
      <c r="E276" s="80">
        <v>20513</v>
      </c>
      <c r="F276" s="80">
        <v>2356</v>
      </c>
      <c r="G276">
        <v>60</v>
      </c>
      <c r="L276" s="80" t="s">
        <v>1452</v>
      </c>
      <c r="M276" s="127" t="s">
        <v>1646</v>
      </c>
      <c r="N276" s="127" t="str">
        <f t="shared" si="9"/>
        <v>磐石头盔·陆</v>
      </c>
    </row>
    <row r="277" spans="1:14" ht="16.5">
      <c r="A277" s="80" t="s">
        <v>1037</v>
      </c>
      <c r="B277" t="s">
        <v>1476</v>
      </c>
      <c r="C277" t="s">
        <v>1452</v>
      </c>
      <c r="D277" t="str">
        <f t="shared" si="8"/>
        <v>a07磐石头盔</v>
      </c>
      <c r="E277" s="80">
        <v>20514</v>
      </c>
      <c r="F277" s="80">
        <v>2357</v>
      </c>
      <c r="G277">
        <v>70</v>
      </c>
      <c r="L277" s="80" t="s">
        <v>1452</v>
      </c>
      <c r="M277" s="127" t="s">
        <v>1647</v>
      </c>
      <c r="N277" s="127" t="str">
        <f t="shared" si="9"/>
        <v>磐石头盔·柒</v>
      </c>
    </row>
    <row r="278" spans="1:14" ht="16.5">
      <c r="A278" s="80" t="s">
        <v>1038</v>
      </c>
      <c r="B278" t="s">
        <v>1477</v>
      </c>
      <c r="C278" t="s">
        <v>1452</v>
      </c>
      <c r="D278" t="str">
        <f t="shared" si="8"/>
        <v>a08磐石头盔</v>
      </c>
      <c r="E278" s="80">
        <v>20515</v>
      </c>
      <c r="F278" s="80">
        <v>2358</v>
      </c>
      <c r="G278">
        <v>80</v>
      </c>
      <c r="L278" s="80" t="s">
        <v>1452</v>
      </c>
      <c r="M278" s="127" t="s">
        <v>1648</v>
      </c>
      <c r="N278" s="127" t="str">
        <f t="shared" si="9"/>
        <v>磐石头盔·捌</v>
      </c>
    </row>
    <row r="279" spans="1:14" ht="16.5">
      <c r="A279" s="80" t="s">
        <v>1039</v>
      </c>
      <c r="B279" t="s">
        <v>1478</v>
      </c>
      <c r="C279" t="s">
        <v>1452</v>
      </c>
      <c r="D279" t="str">
        <f t="shared" si="8"/>
        <v>a09磐石头盔</v>
      </c>
      <c r="E279" s="80">
        <v>20516</v>
      </c>
      <c r="F279" s="80">
        <v>2359</v>
      </c>
      <c r="G279">
        <v>90</v>
      </c>
      <c r="L279" s="80" t="s">
        <v>1452</v>
      </c>
      <c r="M279" s="127" t="s">
        <v>1649</v>
      </c>
      <c r="N279" s="127" t="str">
        <f t="shared" si="9"/>
        <v>磐石头盔·玖</v>
      </c>
    </row>
    <row r="280" spans="1:14" ht="16.5">
      <c r="A280" s="80" t="s">
        <v>1040</v>
      </c>
      <c r="B280" t="s">
        <v>1479</v>
      </c>
      <c r="C280" t="s">
        <v>1452</v>
      </c>
      <c r="D280" t="str">
        <f t="shared" si="8"/>
        <v>a10磐石头盔</v>
      </c>
      <c r="E280" s="80">
        <v>20517</v>
      </c>
      <c r="F280" s="80">
        <v>2360</v>
      </c>
      <c r="G280">
        <v>100</v>
      </c>
      <c r="L280" s="80" t="s">
        <v>1452</v>
      </c>
      <c r="M280" s="127" t="s">
        <v>1650</v>
      </c>
      <c r="N280" s="127" t="str">
        <f t="shared" si="9"/>
        <v>磐石头盔·十</v>
      </c>
    </row>
    <row r="281" spans="1:14" ht="16.5">
      <c r="A281" s="80" t="s">
        <v>1041</v>
      </c>
      <c r="B281" t="s">
        <v>1480</v>
      </c>
      <c r="C281" t="s">
        <v>1452</v>
      </c>
      <c r="D281" t="str">
        <f t="shared" si="8"/>
        <v>a11磐石头盔</v>
      </c>
      <c r="E281" s="80">
        <v>20518</v>
      </c>
      <c r="F281" s="80">
        <v>2361</v>
      </c>
      <c r="G281">
        <v>110</v>
      </c>
      <c r="L281" s="80" t="s">
        <v>1452</v>
      </c>
      <c r="M281" s="127" t="s">
        <v>1651</v>
      </c>
      <c r="N281" s="127" t="str">
        <f t="shared" si="9"/>
        <v>磐石头盔·凡</v>
      </c>
    </row>
    <row r="282" spans="1:14" ht="16.5">
      <c r="A282" s="80" t="s">
        <v>1042</v>
      </c>
      <c r="B282" t="s">
        <v>1481</v>
      </c>
      <c r="C282" t="s">
        <v>1452</v>
      </c>
      <c r="D282" t="str">
        <f t="shared" si="8"/>
        <v>a12磐石头盔</v>
      </c>
      <c r="E282" s="80">
        <v>20519</v>
      </c>
      <c r="F282" s="80">
        <v>2362</v>
      </c>
      <c r="G282">
        <v>120</v>
      </c>
      <c r="L282" s="80" t="s">
        <v>1452</v>
      </c>
      <c r="M282" s="127" t="s">
        <v>1652</v>
      </c>
      <c r="N282" s="127" t="str">
        <f t="shared" si="9"/>
        <v>磐石头盔·皇</v>
      </c>
    </row>
    <row r="283" spans="1:14" ht="16.5">
      <c r="A283" s="80" t="s">
        <v>1043</v>
      </c>
      <c r="B283" t="s">
        <v>1482</v>
      </c>
      <c r="C283" t="s">
        <v>1452</v>
      </c>
      <c r="D283" t="str">
        <f t="shared" si="8"/>
        <v>a13磐石头盔</v>
      </c>
      <c r="E283" s="80">
        <v>20520</v>
      </c>
      <c r="F283" s="80">
        <v>2363</v>
      </c>
      <c r="G283">
        <v>130</v>
      </c>
      <c r="L283" s="80" t="s">
        <v>1452</v>
      </c>
      <c r="M283" s="127" t="s">
        <v>1653</v>
      </c>
      <c r="N283" s="127" t="str">
        <f t="shared" si="9"/>
        <v>磐石头盔·玄</v>
      </c>
    </row>
    <row r="284" spans="1:14" ht="16.5">
      <c r="A284" s="80" t="s">
        <v>1044</v>
      </c>
      <c r="B284" t="s">
        <v>1483</v>
      </c>
      <c r="C284" t="s">
        <v>1452</v>
      </c>
      <c r="D284" t="str">
        <f t="shared" si="8"/>
        <v>a14磐石头盔</v>
      </c>
      <c r="E284" s="80">
        <v>205211</v>
      </c>
      <c r="F284" s="80">
        <v>2364</v>
      </c>
      <c r="G284">
        <v>140</v>
      </c>
      <c r="L284" s="80" t="s">
        <v>1452</v>
      </c>
      <c r="M284" s="127" t="s">
        <v>1654</v>
      </c>
      <c r="N284" s="127" t="str">
        <f t="shared" si="9"/>
        <v>磐石头盔·地</v>
      </c>
    </row>
    <row r="285" spans="1:14" ht="16.5">
      <c r="A285" s="80" t="s">
        <v>1045</v>
      </c>
      <c r="B285" t="s">
        <v>1484</v>
      </c>
      <c r="C285" t="s">
        <v>1452</v>
      </c>
      <c r="D285" t="str">
        <f t="shared" si="8"/>
        <v>a15磐石头盔</v>
      </c>
      <c r="E285" s="80">
        <v>205212</v>
      </c>
      <c r="F285" s="80">
        <v>2365</v>
      </c>
      <c r="G285">
        <v>150</v>
      </c>
      <c r="L285" s="80" t="s">
        <v>1452</v>
      </c>
      <c r="M285" s="127" t="s">
        <v>1655</v>
      </c>
      <c r="N285" s="127" t="str">
        <f t="shared" si="9"/>
        <v>磐石头盔·天</v>
      </c>
    </row>
    <row r="286" spans="1:14" ht="16.5">
      <c r="A286" s="80" t="s">
        <v>1046</v>
      </c>
      <c r="B286" t="s">
        <v>1470</v>
      </c>
      <c r="C286" t="s">
        <v>1453</v>
      </c>
      <c r="D286" t="str">
        <f t="shared" si="8"/>
        <v>a01磐石战靴</v>
      </c>
      <c r="E286" s="80">
        <v>521</v>
      </c>
      <c r="F286" s="80">
        <v>2366</v>
      </c>
      <c r="G286">
        <v>10</v>
      </c>
      <c r="L286" s="80" t="s">
        <v>1453</v>
      </c>
      <c r="M286" s="127" t="s">
        <v>1641</v>
      </c>
      <c r="N286" s="127" t="str">
        <f t="shared" si="9"/>
        <v>磐石战靴·壹</v>
      </c>
    </row>
    <row r="287" spans="1:14" ht="16.5">
      <c r="A287" s="80" t="s">
        <v>1047</v>
      </c>
      <c r="B287" t="s">
        <v>1471</v>
      </c>
      <c r="C287" t="s">
        <v>1453</v>
      </c>
      <c r="D287" t="str">
        <f t="shared" si="8"/>
        <v>a02磐石战靴</v>
      </c>
      <c r="E287" s="80">
        <v>522</v>
      </c>
      <c r="F287" s="80">
        <v>2367</v>
      </c>
      <c r="G287">
        <v>20</v>
      </c>
      <c r="L287" s="80" t="s">
        <v>1453</v>
      </c>
      <c r="M287" s="127" t="s">
        <v>1642</v>
      </c>
      <c r="N287" s="127" t="str">
        <f t="shared" si="9"/>
        <v>磐石战靴·贰</v>
      </c>
    </row>
    <row r="288" spans="1:14" ht="16.5">
      <c r="A288" s="80" t="s">
        <v>1048</v>
      </c>
      <c r="B288" t="s">
        <v>1472</v>
      </c>
      <c r="C288" t="s">
        <v>1453</v>
      </c>
      <c r="D288" t="str">
        <f t="shared" si="8"/>
        <v>a03磐石战靴</v>
      </c>
      <c r="E288" s="80">
        <v>2052</v>
      </c>
      <c r="F288" s="94">
        <v>2052</v>
      </c>
      <c r="G288">
        <v>30</v>
      </c>
      <c r="L288" s="94" t="s">
        <v>1453</v>
      </c>
      <c r="M288" s="127" t="s">
        <v>1643</v>
      </c>
      <c r="N288" s="127" t="str">
        <f t="shared" si="9"/>
        <v>磐石战靴·叁</v>
      </c>
    </row>
    <row r="289" spans="1:14" ht="16.5">
      <c r="A289" s="80" t="s">
        <v>1049</v>
      </c>
      <c r="B289" t="s">
        <v>1473</v>
      </c>
      <c r="C289" t="s">
        <v>1453</v>
      </c>
      <c r="D289" t="str">
        <f t="shared" si="8"/>
        <v>a04磐石战靴</v>
      </c>
      <c r="E289" s="80">
        <v>20521</v>
      </c>
      <c r="F289" s="80">
        <v>2368</v>
      </c>
      <c r="G289">
        <v>40</v>
      </c>
      <c r="L289" s="80" t="s">
        <v>1453</v>
      </c>
      <c r="M289" s="127" t="s">
        <v>1644</v>
      </c>
      <c r="N289" s="127" t="str">
        <f t="shared" si="9"/>
        <v>磐石战靴·肆</v>
      </c>
    </row>
    <row r="290" spans="1:14" ht="16.5">
      <c r="A290" s="80" t="s">
        <v>1050</v>
      </c>
      <c r="B290" t="s">
        <v>1474</v>
      </c>
      <c r="C290" t="s">
        <v>1453</v>
      </c>
      <c r="D290" t="str">
        <f t="shared" si="8"/>
        <v>a05磐石战靴</v>
      </c>
      <c r="E290" s="80">
        <v>20522</v>
      </c>
      <c r="F290" s="80">
        <v>2369</v>
      </c>
      <c r="G290">
        <v>50</v>
      </c>
      <c r="L290" s="80" t="s">
        <v>1453</v>
      </c>
      <c r="M290" s="127" t="s">
        <v>1645</v>
      </c>
      <c r="N290" s="127" t="str">
        <f t="shared" si="9"/>
        <v>磐石战靴·伍</v>
      </c>
    </row>
    <row r="291" spans="1:14" ht="16.5">
      <c r="A291" s="80" t="s">
        <v>1051</v>
      </c>
      <c r="B291" t="s">
        <v>1475</v>
      </c>
      <c r="C291" t="s">
        <v>1453</v>
      </c>
      <c r="D291" t="str">
        <f t="shared" si="8"/>
        <v>a06磐石战靴</v>
      </c>
      <c r="E291" s="80">
        <v>20523</v>
      </c>
      <c r="F291" s="80">
        <v>2370</v>
      </c>
      <c r="G291">
        <v>60</v>
      </c>
      <c r="L291" s="80" t="s">
        <v>1453</v>
      </c>
      <c r="M291" s="127" t="s">
        <v>1646</v>
      </c>
      <c r="N291" s="127" t="str">
        <f t="shared" si="9"/>
        <v>磐石战靴·陆</v>
      </c>
    </row>
    <row r="292" spans="1:14" ht="16.5">
      <c r="A292" s="80" t="s">
        <v>1052</v>
      </c>
      <c r="B292" t="s">
        <v>1476</v>
      </c>
      <c r="C292" t="s">
        <v>1453</v>
      </c>
      <c r="D292" t="str">
        <f t="shared" si="8"/>
        <v>a07磐石战靴</v>
      </c>
      <c r="E292" s="80">
        <v>20524</v>
      </c>
      <c r="F292" s="80">
        <v>2371</v>
      </c>
      <c r="G292">
        <v>70</v>
      </c>
      <c r="L292" s="80" t="s">
        <v>1453</v>
      </c>
      <c r="M292" s="127" t="s">
        <v>1647</v>
      </c>
      <c r="N292" s="127" t="str">
        <f t="shared" si="9"/>
        <v>磐石战靴·柒</v>
      </c>
    </row>
    <row r="293" spans="1:14" ht="16.5">
      <c r="A293" s="80" t="s">
        <v>1053</v>
      </c>
      <c r="B293" t="s">
        <v>1477</v>
      </c>
      <c r="C293" t="s">
        <v>1453</v>
      </c>
      <c r="D293" t="str">
        <f t="shared" si="8"/>
        <v>a08磐石战靴</v>
      </c>
      <c r="E293" s="80">
        <v>20525</v>
      </c>
      <c r="F293" s="80">
        <v>2372</v>
      </c>
      <c r="G293">
        <v>80</v>
      </c>
      <c r="L293" s="80" t="s">
        <v>1453</v>
      </c>
      <c r="M293" s="127" t="s">
        <v>1648</v>
      </c>
      <c r="N293" s="127" t="str">
        <f t="shared" si="9"/>
        <v>磐石战靴·捌</v>
      </c>
    </row>
    <row r="294" spans="1:14" ht="16.5">
      <c r="A294" s="80" t="s">
        <v>1054</v>
      </c>
      <c r="B294" t="s">
        <v>1478</v>
      </c>
      <c r="C294" t="s">
        <v>1453</v>
      </c>
      <c r="D294" t="str">
        <f t="shared" si="8"/>
        <v>a09磐石战靴</v>
      </c>
      <c r="E294" s="80">
        <v>20526</v>
      </c>
      <c r="F294" s="80">
        <v>2373</v>
      </c>
      <c r="G294">
        <v>90</v>
      </c>
      <c r="L294" s="80" t="s">
        <v>1453</v>
      </c>
      <c r="M294" s="127" t="s">
        <v>1649</v>
      </c>
      <c r="N294" s="127" t="str">
        <f t="shared" si="9"/>
        <v>磐石战靴·玖</v>
      </c>
    </row>
    <row r="295" spans="1:14" ht="16.5">
      <c r="A295" s="80" t="s">
        <v>1055</v>
      </c>
      <c r="B295" t="s">
        <v>1479</v>
      </c>
      <c r="C295" t="s">
        <v>1453</v>
      </c>
      <c r="D295" t="str">
        <f t="shared" si="8"/>
        <v>a10磐石战靴</v>
      </c>
      <c r="E295" s="80">
        <v>20527</v>
      </c>
      <c r="F295" s="80">
        <v>2374</v>
      </c>
      <c r="G295">
        <v>100</v>
      </c>
      <c r="L295" s="80" t="s">
        <v>1453</v>
      </c>
      <c r="M295" s="127" t="s">
        <v>1650</v>
      </c>
      <c r="N295" s="127" t="str">
        <f t="shared" si="9"/>
        <v>磐石战靴·十</v>
      </c>
    </row>
    <row r="296" spans="1:14" ht="16.5">
      <c r="A296" s="80" t="s">
        <v>1056</v>
      </c>
      <c r="B296" t="s">
        <v>1480</v>
      </c>
      <c r="C296" t="s">
        <v>1453</v>
      </c>
      <c r="D296" t="str">
        <f t="shared" si="8"/>
        <v>a11磐石战靴</v>
      </c>
      <c r="E296" s="80">
        <v>20528</v>
      </c>
      <c r="F296" s="80">
        <v>2375</v>
      </c>
      <c r="G296">
        <v>110</v>
      </c>
      <c r="L296" s="80" t="s">
        <v>1453</v>
      </c>
      <c r="M296" s="127" t="s">
        <v>1651</v>
      </c>
      <c r="N296" s="127" t="str">
        <f t="shared" si="9"/>
        <v>磐石战靴·凡</v>
      </c>
    </row>
    <row r="297" spans="1:14" ht="16.5">
      <c r="A297" s="80" t="s">
        <v>1057</v>
      </c>
      <c r="B297" t="s">
        <v>1481</v>
      </c>
      <c r="C297" t="s">
        <v>1453</v>
      </c>
      <c r="D297" t="str">
        <f t="shared" si="8"/>
        <v>a12磐石战靴</v>
      </c>
      <c r="E297" s="80">
        <v>20529</v>
      </c>
      <c r="F297" s="80">
        <v>2376</v>
      </c>
      <c r="G297">
        <v>120</v>
      </c>
      <c r="L297" s="80" t="s">
        <v>1453</v>
      </c>
      <c r="M297" s="127" t="s">
        <v>1652</v>
      </c>
      <c r="N297" s="127" t="str">
        <f t="shared" si="9"/>
        <v>磐石战靴·皇</v>
      </c>
    </row>
    <row r="298" spans="1:14" ht="16.5">
      <c r="A298" s="80" t="s">
        <v>1058</v>
      </c>
      <c r="B298" t="s">
        <v>1482</v>
      </c>
      <c r="C298" t="s">
        <v>1453</v>
      </c>
      <c r="D298" t="str">
        <f t="shared" si="8"/>
        <v>a13磐石战靴</v>
      </c>
      <c r="E298" s="80">
        <v>20530</v>
      </c>
      <c r="F298" s="80">
        <v>2377</v>
      </c>
      <c r="G298">
        <v>130</v>
      </c>
      <c r="L298" s="80" t="s">
        <v>1453</v>
      </c>
      <c r="M298" s="127" t="s">
        <v>1653</v>
      </c>
      <c r="N298" s="127" t="str">
        <f t="shared" si="9"/>
        <v>磐石战靴·玄</v>
      </c>
    </row>
    <row r="299" spans="1:14" ht="16.5">
      <c r="A299" s="80" t="s">
        <v>1059</v>
      </c>
      <c r="B299" t="s">
        <v>1483</v>
      </c>
      <c r="C299" t="s">
        <v>1453</v>
      </c>
      <c r="D299" t="str">
        <f t="shared" si="8"/>
        <v>a14磐石战靴</v>
      </c>
      <c r="E299" s="80">
        <v>205311</v>
      </c>
      <c r="F299" s="80">
        <v>2378</v>
      </c>
      <c r="G299">
        <v>140</v>
      </c>
      <c r="L299" s="80" t="s">
        <v>1453</v>
      </c>
      <c r="M299" s="127" t="s">
        <v>1654</v>
      </c>
      <c r="N299" s="127" t="str">
        <f t="shared" si="9"/>
        <v>磐石战靴·地</v>
      </c>
    </row>
    <row r="300" spans="1:14" ht="16.5">
      <c r="A300" s="80" t="s">
        <v>1060</v>
      </c>
      <c r="B300" t="s">
        <v>1484</v>
      </c>
      <c r="C300" t="s">
        <v>1453</v>
      </c>
      <c r="D300" t="str">
        <f t="shared" si="8"/>
        <v>a15磐石战靴</v>
      </c>
      <c r="E300" s="80">
        <v>205312</v>
      </c>
      <c r="F300" s="80">
        <v>2379</v>
      </c>
      <c r="G300">
        <v>150</v>
      </c>
      <c r="L300" s="80" t="s">
        <v>1453</v>
      </c>
      <c r="M300" s="127" t="s">
        <v>1655</v>
      </c>
      <c r="N300" s="127" t="str">
        <f t="shared" si="9"/>
        <v>磐石战靴·天</v>
      </c>
    </row>
    <row r="301" spans="1:14" ht="16.5">
      <c r="A301" s="53" t="s">
        <v>1061</v>
      </c>
      <c r="B301" t="s">
        <v>1470</v>
      </c>
      <c r="C301" t="s">
        <v>1454</v>
      </c>
      <c r="D301" t="str">
        <f t="shared" si="8"/>
        <v>a01连云战甲</v>
      </c>
      <c r="E301" s="52">
        <v>411</v>
      </c>
      <c r="F301" s="80">
        <v>2380</v>
      </c>
      <c r="G301">
        <v>10</v>
      </c>
      <c r="L301" s="53" t="s">
        <v>1454</v>
      </c>
      <c r="M301" s="127" t="s">
        <v>1641</v>
      </c>
      <c r="N301" s="127" t="str">
        <f t="shared" si="9"/>
        <v>连云战甲·壹</v>
      </c>
    </row>
    <row r="302" spans="1:14" ht="16.5">
      <c r="A302" s="53" t="s">
        <v>1062</v>
      </c>
      <c r="B302" t="s">
        <v>1471</v>
      </c>
      <c r="C302" t="s">
        <v>1454</v>
      </c>
      <c r="D302" t="str">
        <f t="shared" si="8"/>
        <v>a02连云战甲</v>
      </c>
      <c r="E302" s="52">
        <v>412</v>
      </c>
      <c r="F302" s="80">
        <v>2381</v>
      </c>
      <c r="G302">
        <v>20</v>
      </c>
      <c r="L302" s="53" t="s">
        <v>1454</v>
      </c>
      <c r="M302" s="127" t="s">
        <v>1642</v>
      </c>
      <c r="N302" s="127" t="str">
        <f t="shared" si="9"/>
        <v>连云战甲·贰</v>
      </c>
    </row>
    <row r="303" spans="1:14" ht="16.5">
      <c r="A303" s="53" t="s">
        <v>1063</v>
      </c>
      <c r="B303" t="s">
        <v>1472</v>
      </c>
      <c r="C303" t="s">
        <v>1454</v>
      </c>
      <c r="D303" t="str">
        <f t="shared" si="8"/>
        <v>a03连云战甲</v>
      </c>
      <c r="E303" s="52">
        <v>2041</v>
      </c>
      <c r="F303" s="97">
        <v>2041</v>
      </c>
      <c r="G303">
        <v>30</v>
      </c>
      <c r="L303" s="97" t="s">
        <v>1454</v>
      </c>
      <c r="M303" s="127" t="s">
        <v>1643</v>
      </c>
      <c r="N303" s="127" t="str">
        <f t="shared" si="9"/>
        <v>连云战甲·叁</v>
      </c>
    </row>
    <row r="304" spans="1:14" ht="16.5">
      <c r="A304" s="53" t="s">
        <v>1064</v>
      </c>
      <c r="B304" t="s">
        <v>1473</v>
      </c>
      <c r="C304" t="s">
        <v>1454</v>
      </c>
      <c r="D304" t="str">
        <f t="shared" si="8"/>
        <v>a04连云战甲</v>
      </c>
      <c r="E304" s="52">
        <v>20411</v>
      </c>
      <c r="F304" s="52">
        <v>2382</v>
      </c>
      <c r="G304">
        <v>40</v>
      </c>
      <c r="L304" s="53" t="s">
        <v>1454</v>
      </c>
      <c r="M304" s="127" t="s">
        <v>1644</v>
      </c>
      <c r="N304" s="127" t="str">
        <f t="shared" si="9"/>
        <v>连云战甲·肆</v>
      </c>
    </row>
    <row r="305" spans="1:14" ht="16.5">
      <c r="A305" s="53" t="s">
        <v>1065</v>
      </c>
      <c r="B305" t="s">
        <v>1474</v>
      </c>
      <c r="C305" t="s">
        <v>1454</v>
      </c>
      <c r="D305" t="str">
        <f t="shared" si="8"/>
        <v>a05连云战甲</v>
      </c>
      <c r="E305" s="52">
        <v>20412</v>
      </c>
      <c r="F305" s="52">
        <v>2383</v>
      </c>
      <c r="G305">
        <v>50</v>
      </c>
      <c r="L305" s="53" t="s">
        <v>1454</v>
      </c>
      <c r="M305" s="127" t="s">
        <v>1645</v>
      </c>
      <c r="N305" s="127" t="str">
        <f t="shared" si="9"/>
        <v>连云战甲·伍</v>
      </c>
    </row>
    <row r="306" spans="1:14" ht="16.5">
      <c r="A306" s="53" t="s">
        <v>1066</v>
      </c>
      <c r="B306" t="s">
        <v>1475</v>
      </c>
      <c r="C306" t="s">
        <v>1454</v>
      </c>
      <c r="D306" t="str">
        <f t="shared" si="8"/>
        <v>a06连云战甲</v>
      </c>
      <c r="E306" s="52">
        <v>20413</v>
      </c>
      <c r="F306" s="52">
        <v>2384</v>
      </c>
      <c r="G306">
        <v>60</v>
      </c>
      <c r="L306" s="53" t="s">
        <v>1454</v>
      </c>
      <c r="M306" s="127" t="s">
        <v>1646</v>
      </c>
      <c r="N306" s="127" t="str">
        <f t="shared" si="9"/>
        <v>连云战甲·陆</v>
      </c>
    </row>
    <row r="307" spans="1:14" ht="16.5">
      <c r="A307" s="53" t="s">
        <v>1067</v>
      </c>
      <c r="B307" t="s">
        <v>1476</v>
      </c>
      <c r="C307" t="s">
        <v>1454</v>
      </c>
      <c r="D307" t="str">
        <f t="shared" si="8"/>
        <v>a07连云战甲</v>
      </c>
      <c r="E307" s="52">
        <v>20414</v>
      </c>
      <c r="F307" s="52">
        <v>2385</v>
      </c>
      <c r="G307">
        <v>70</v>
      </c>
      <c r="L307" s="53" t="s">
        <v>1454</v>
      </c>
      <c r="M307" s="127" t="s">
        <v>1647</v>
      </c>
      <c r="N307" s="127" t="str">
        <f t="shared" si="9"/>
        <v>连云战甲·柒</v>
      </c>
    </row>
    <row r="308" spans="1:14" ht="16.5">
      <c r="A308" s="53" t="s">
        <v>1068</v>
      </c>
      <c r="B308" t="s">
        <v>1477</v>
      </c>
      <c r="C308" t="s">
        <v>1454</v>
      </c>
      <c r="D308" t="str">
        <f t="shared" si="8"/>
        <v>a08连云战甲</v>
      </c>
      <c r="E308" s="52">
        <v>20415</v>
      </c>
      <c r="F308" s="52">
        <v>2386</v>
      </c>
      <c r="G308">
        <v>80</v>
      </c>
      <c r="L308" s="53" t="s">
        <v>1454</v>
      </c>
      <c r="M308" s="127" t="s">
        <v>1648</v>
      </c>
      <c r="N308" s="127" t="str">
        <f t="shared" si="9"/>
        <v>连云战甲·捌</v>
      </c>
    </row>
    <row r="309" spans="1:14" ht="16.5">
      <c r="A309" s="53" t="s">
        <v>1069</v>
      </c>
      <c r="B309" t="s">
        <v>1478</v>
      </c>
      <c r="C309" t="s">
        <v>1454</v>
      </c>
      <c r="D309" t="str">
        <f t="shared" si="8"/>
        <v>a09连云战甲</v>
      </c>
      <c r="E309" s="52">
        <v>20416</v>
      </c>
      <c r="F309" s="52">
        <v>2387</v>
      </c>
      <c r="G309">
        <v>90</v>
      </c>
      <c r="L309" s="53" t="s">
        <v>1454</v>
      </c>
      <c r="M309" s="127" t="s">
        <v>1649</v>
      </c>
      <c r="N309" s="127" t="str">
        <f t="shared" si="9"/>
        <v>连云战甲·玖</v>
      </c>
    </row>
    <row r="310" spans="1:14" ht="16.5">
      <c r="A310" s="53" t="s">
        <v>1070</v>
      </c>
      <c r="B310" t="s">
        <v>1479</v>
      </c>
      <c r="C310" t="s">
        <v>1454</v>
      </c>
      <c r="D310" t="str">
        <f t="shared" si="8"/>
        <v>a10连云战甲</v>
      </c>
      <c r="E310" s="52">
        <v>20417</v>
      </c>
      <c r="F310" s="52">
        <v>2388</v>
      </c>
      <c r="G310">
        <v>100</v>
      </c>
      <c r="L310" s="53" t="s">
        <v>1454</v>
      </c>
      <c r="M310" s="127" t="s">
        <v>1650</v>
      </c>
      <c r="N310" s="127" t="str">
        <f t="shared" si="9"/>
        <v>连云战甲·十</v>
      </c>
    </row>
    <row r="311" spans="1:14" ht="16.5">
      <c r="A311" s="53" t="s">
        <v>1071</v>
      </c>
      <c r="B311" t="s">
        <v>1480</v>
      </c>
      <c r="C311" t="s">
        <v>1454</v>
      </c>
      <c r="D311" t="str">
        <f t="shared" si="8"/>
        <v>a11连云战甲</v>
      </c>
      <c r="E311" s="52">
        <v>20418</v>
      </c>
      <c r="F311" s="52">
        <v>2389</v>
      </c>
      <c r="G311">
        <v>110</v>
      </c>
      <c r="L311" s="53" t="s">
        <v>1454</v>
      </c>
      <c r="M311" s="127" t="s">
        <v>1651</v>
      </c>
      <c r="N311" s="127" t="str">
        <f t="shared" si="9"/>
        <v>连云战甲·凡</v>
      </c>
    </row>
    <row r="312" spans="1:14" ht="16.5">
      <c r="A312" s="53" t="s">
        <v>1072</v>
      </c>
      <c r="B312" t="s">
        <v>1481</v>
      </c>
      <c r="C312" t="s">
        <v>1454</v>
      </c>
      <c r="D312" t="str">
        <f t="shared" si="8"/>
        <v>a12连云战甲</v>
      </c>
      <c r="E312" s="52">
        <v>20419</v>
      </c>
      <c r="F312" s="52">
        <v>2390</v>
      </c>
      <c r="G312">
        <v>120</v>
      </c>
      <c r="L312" s="53" t="s">
        <v>1454</v>
      </c>
      <c r="M312" s="127" t="s">
        <v>1652</v>
      </c>
      <c r="N312" s="127" t="str">
        <f t="shared" si="9"/>
        <v>连云战甲·皇</v>
      </c>
    </row>
    <row r="313" spans="1:14" ht="16.5">
      <c r="A313" s="53" t="s">
        <v>1073</v>
      </c>
      <c r="B313" t="s">
        <v>1482</v>
      </c>
      <c r="C313" t="s">
        <v>1454</v>
      </c>
      <c r="D313" t="str">
        <f t="shared" si="8"/>
        <v>a13连云战甲</v>
      </c>
      <c r="E313" s="52">
        <v>20420</v>
      </c>
      <c r="F313" s="52">
        <v>2391</v>
      </c>
      <c r="G313">
        <v>130</v>
      </c>
      <c r="L313" s="53" t="s">
        <v>1454</v>
      </c>
      <c r="M313" s="127" t="s">
        <v>1653</v>
      </c>
      <c r="N313" s="127" t="str">
        <f t="shared" si="9"/>
        <v>连云战甲·玄</v>
      </c>
    </row>
    <row r="314" spans="1:14" ht="16.5">
      <c r="A314" s="53" t="s">
        <v>1074</v>
      </c>
      <c r="B314" t="s">
        <v>1483</v>
      </c>
      <c r="C314" t="s">
        <v>1454</v>
      </c>
      <c r="D314" t="str">
        <f t="shared" si="8"/>
        <v>a14连云战甲</v>
      </c>
      <c r="E314" s="52">
        <v>204211</v>
      </c>
      <c r="F314" s="52">
        <v>2392</v>
      </c>
      <c r="G314">
        <v>140</v>
      </c>
      <c r="L314" s="53" t="s">
        <v>1454</v>
      </c>
      <c r="M314" s="127" t="s">
        <v>1654</v>
      </c>
      <c r="N314" s="127" t="str">
        <f t="shared" si="9"/>
        <v>连云战甲·地</v>
      </c>
    </row>
    <row r="315" spans="1:14" ht="16.5">
      <c r="A315" s="53" t="s">
        <v>1075</v>
      </c>
      <c r="B315" t="s">
        <v>1484</v>
      </c>
      <c r="C315" t="s">
        <v>1454</v>
      </c>
      <c r="D315" t="str">
        <f t="shared" si="8"/>
        <v>a15连云战甲</v>
      </c>
      <c r="E315" s="52">
        <v>204212</v>
      </c>
      <c r="F315" s="52">
        <v>2393</v>
      </c>
      <c r="G315">
        <v>150</v>
      </c>
      <c r="L315" s="53" t="s">
        <v>1454</v>
      </c>
      <c r="M315" s="127" t="s">
        <v>1655</v>
      </c>
      <c r="N315" s="127" t="str">
        <f t="shared" si="9"/>
        <v>连云战甲·天</v>
      </c>
    </row>
    <row r="316" spans="1:14" ht="16.5">
      <c r="A316" s="53" t="s">
        <v>1076</v>
      </c>
      <c r="B316" t="s">
        <v>1470</v>
      </c>
      <c r="C316" t="s">
        <v>1455</v>
      </c>
      <c r="D316" t="str">
        <f t="shared" si="8"/>
        <v>a01紫阳长剑</v>
      </c>
      <c r="E316" s="52">
        <v>421</v>
      </c>
      <c r="F316" s="52">
        <v>2394</v>
      </c>
      <c r="G316">
        <v>10</v>
      </c>
      <c r="L316" s="53" t="s">
        <v>1455</v>
      </c>
      <c r="M316" s="127" t="s">
        <v>1641</v>
      </c>
      <c r="N316" s="127" t="str">
        <f t="shared" si="9"/>
        <v>紫阳长剑·壹</v>
      </c>
    </row>
    <row r="317" spans="1:14" ht="16.5">
      <c r="A317" s="53" t="s">
        <v>1077</v>
      </c>
      <c r="B317" t="s">
        <v>1471</v>
      </c>
      <c r="C317" t="s">
        <v>1455</v>
      </c>
      <c r="D317" t="str">
        <f t="shared" si="8"/>
        <v>a02紫阳长剑</v>
      </c>
      <c r="E317" s="52">
        <v>422</v>
      </c>
      <c r="F317" s="52">
        <v>2395</v>
      </c>
      <c r="G317">
        <v>20</v>
      </c>
      <c r="L317" s="53" t="s">
        <v>1455</v>
      </c>
      <c r="M317" s="127" t="s">
        <v>1642</v>
      </c>
      <c r="N317" s="127" t="str">
        <f t="shared" si="9"/>
        <v>紫阳长剑·贰</v>
      </c>
    </row>
    <row r="318" spans="1:14" ht="16.5">
      <c r="A318" s="53" t="s">
        <v>1078</v>
      </c>
      <c r="B318" t="s">
        <v>1472</v>
      </c>
      <c r="C318" t="s">
        <v>1455</v>
      </c>
      <c r="D318" t="str">
        <f t="shared" si="8"/>
        <v>a03紫阳长剑</v>
      </c>
      <c r="E318" s="52">
        <v>2042</v>
      </c>
      <c r="F318" s="97">
        <v>2042</v>
      </c>
      <c r="G318">
        <v>30</v>
      </c>
      <c r="L318" s="97" t="s">
        <v>1455</v>
      </c>
      <c r="M318" s="127" t="s">
        <v>1643</v>
      </c>
      <c r="N318" s="127" t="str">
        <f t="shared" si="9"/>
        <v>紫阳长剑·叁</v>
      </c>
    </row>
    <row r="319" spans="1:14" ht="16.5">
      <c r="A319" s="53" t="s">
        <v>1079</v>
      </c>
      <c r="B319" t="s">
        <v>1473</v>
      </c>
      <c r="C319" t="s">
        <v>1455</v>
      </c>
      <c r="D319" t="str">
        <f t="shared" si="8"/>
        <v>a04紫阳长剑</v>
      </c>
      <c r="E319" s="52">
        <v>20421</v>
      </c>
      <c r="F319" s="52">
        <v>2396</v>
      </c>
      <c r="G319">
        <v>40</v>
      </c>
      <c r="L319" s="53" t="s">
        <v>1455</v>
      </c>
      <c r="M319" s="127" t="s">
        <v>1644</v>
      </c>
      <c r="N319" s="127" t="str">
        <f t="shared" si="9"/>
        <v>紫阳长剑·肆</v>
      </c>
    </row>
    <row r="320" spans="1:14" ht="16.5">
      <c r="A320" s="53" t="s">
        <v>1080</v>
      </c>
      <c r="B320" t="s">
        <v>1474</v>
      </c>
      <c r="C320" t="s">
        <v>1455</v>
      </c>
      <c r="D320" t="str">
        <f t="shared" si="8"/>
        <v>a05紫阳长剑</v>
      </c>
      <c r="E320" s="52">
        <v>20422</v>
      </c>
      <c r="F320" s="52">
        <v>2397</v>
      </c>
      <c r="G320">
        <v>50</v>
      </c>
      <c r="L320" s="53" t="s">
        <v>1455</v>
      </c>
      <c r="M320" s="127" t="s">
        <v>1645</v>
      </c>
      <c r="N320" s="127" t="str">
        <f t="shared" si="9"/>
        <v>紫阳长剑·伍</v>
      </c>
    </row>
    <row r="321" spans="1:14" ht="16.5">
      <c r="A321" s="53" t="s">
        <v>1081</v>
      </c>
      <c r="B321" t="s">
        <v>1475</v>
      </c>
      <c r="C321" t="s">
        <v>1455</v>
      </c>
      <c r="D321" t="str">
        <f t="shared" si="8"/>
        <v>a06紫阳长剑</v>
      </c>
      <c r="E321" s="52">
        <v>20423</v>
      </c>
      <c r="F321" s="52">
        <v>2398</v>
      </c>
      <c r="G321">
        <v>60</v>
      </c>
      <c r="L321" s="53" t="s">
        <v>1455</v>
      </c>
      <c r="M321" s="127" t="s">
        <v>1646</v>
      </c>
      <c r="N321" s="127" t="str">
        <f t="shared" si="9"/>
        <v>紫阳长剑·陆</v>
      </c>
    </row>
    <row r="322" spans="1:14" ht="16.5">
      <c r="A322" s="53" t="s">
        <v>1082</v>
      </c>
      <c r="B322" t="s">
        <v>1476</v>
      </c>
      <c r="C322" t="s">
        <v>1455</v>
      </c>
      <c r="D322" t="str">
        <f t="shared" ref="D322:D385" si="10">B322&amp;C322</f>
        <v>a07紫阳长剑</v>
      </c>
      <c r="E322" s="52">
        <v>20424</v>
      </c>
      <c r="F322" s="52">
        <v>2399</v>
      </c>
      <c r="G322">
        <v>70</v>
      </c>
      <c r="L322" s="53" t="s">
        <v>1455</v>
      </c>
      <c r="M322" s="127" t="s">
        <v>1647</v>
      </c>
      <c r="N322" s="127" t="str">
        <f t="shared" ref="N322:N385" si="11">L322&amp;M322</f>
        <v>紫阳长剑·柒</v>
      </c>
    </row>
    <row r="323" spans="1:14" ht="16.5">
      <c r="A323" s="53" t="s">
        <v>1083</v>
      </c>
      <c r="B323" t="s">
        <v>1477</v>
      </c>
      <c r="C323" t="s">
        <v>1455</v>
      </c>
      <c r="D323" t="str">
        <f t="shared" si="10"/>
        <v>a08紫阳长剑</v>
      </c>
      <c r="E323" s="52">
        <v>20425</v>
      </c>
      <c r="F323" s="52">
        <v>2400</v>
      </c>
      <c r="G323">
        <v>80</v>
      </c>
      <c r="L323" s="53" t="s">
        <v>1455</v>
      </c>
      <c r="M323" s="127" t="s">
        <v>1648</v>
      </c>
      <c r="N323" s="127" t="str">
        <f t="shared" si="11"/>
        <v>紫阳长剑·捌</v>
      </c>
    </row>
    <row r="324" spans="1:14" ht="16.5">
      <c r="A324" s="53" t="s">
        <v>1084</v>
      </c>
      <c r="B324" t="s">
        <v>1478</v>
      </c>
      <c r="C324" t="s">
        <v>1455</v>
      </c>
      <c r="D324" t="str">
        <f t="shared" si="10"/>
        <v>a09紫阳长剑</v>
      </c>
      <c r="E324" s="52">
        <v>20426</v>
      </c>
      <c r="F324" s="52">
        <v>2401</v>
      </c>
      <c r="G324">
        <v>90</v>
      </c>
      <c r="L324" s="53" t="s">
        <v>1455</v>
      </c>
      <c r="M324" s="127" t="s">
        <v>1649</v>
      </c>
      <c r="N324" s="127" t="str">
        <f t="shared" si="11"/>
        <v>紫阳长剑·玖</v>
      </c>
    </row>
    <row r="325" spans="1:14" ht="16.5">
      <c r="A325" s="53" t="s">
        <v>1085</v>
      </c>
      <c r="B325" t="s">
        <v>1479</v>
      </c>
      <c r="C325" t="s">
        <v>1455</v>
      </c>
      <c r="D325" t="str">
        <f t="shared" si="10"/>
        <v>a10紫阳长剑</v>
      </c>
      <c r="E325" s="52">
        <v>20427</v>
      </c>
      <c r="F325" s="52">
        <v>2402</v>
      </c>
      <c r="G325">
        <v>100</v>
      </c>
      <c r="L325" s="53" t="s">
        <v>1455</v>
      </c>
      <c r="M325" s="127" t="s">
        <v>1650</v>
      </c>
      <c r="N325" s="127" t="str">
        <f t="shared" si="11"/>
        <v>紫阳长剑·十</v>
      </c>
    </row>
    <row r="326" spans="1:14" ht="16.5">
      <c r="A326" s="53" t="s">
        <v>1086</v>
      </c>
      <c r="B326" t="s">
        <v>1480</v>
      </c>
      <c r="C326" t="s">
        <v>1455</v>
      </c>
      <c r="D326" t="str">
        <f t="shared" si="10"/>
        <v>a11紫阳长剑</v>
      </c>
      <c r="E326" s="52">
        <v>20428</v>
      </c>
      <c r="F326" s="52">
        <v>2403</v>
      </c>
      <c r="G326">
        <v>110</v>
      </c>
      <c r="L326" s="53" t="s">
        <v>1455</v>
      </c>
      <c r="M326" s="127" t="s">
        <v>1651</v>
      </c>
      <c r="N326" s="127" t="str">
        <f t="shared" si="11"/>
        <v>紫阳长剑·凡</v>
      </c>
    </row>
    <row r="327" spans="1:14" ht="16.5">
      <c r="A327" s="53" t="s">
        <v>1087</v>
      </c>
      <c r="B327" t="s">
        <v>1481</v>
      </c>
      <c r="C327" t="s">
        <v>1455</v>
      </c>
      <c r="D327" t="str">
        <f t="shared" si="10"/>
        <v>a12紫阳长剑</v>
      </c>
      <c r="E327" s="52">
        <v>20429</v>
      </c>
      <c r="F327" s="52">
        <v>2404</v>
      </c>
      <c r="G327">
        <v>120</v>
      </c>
      <c r="L327" s="53" t="s">
        <v>1455</v>
      </c>
      <c r="M327" s="127" t="s">
        <v>1652</v>
      </c>
      <c r="N327" s="127" t="str">
        <f t="shared" si="11"/>
        <v>紫阳长剑·皇</v>
      </c>
    </row>
    <row r="328" spans="1:14" ht="16.5">
      <c r="A328" s="53" t="s">
        <v>1088</v>
      </c>
      <c r="B328" t="s">
        <v>1482</v>
      </c>
      <c r="C328" t="s">
        <v>1455</v>
      </c>
      <c r="D328" t="str">
        <f t="shared" si="10"/>
        <v>a13紫阳长剑</v>
      </c>
      <c r="E328" s="52">
        <v>20430</v>
      </c>
      <c r="F328" s="52">
        <v>2405</v>
      </c>
      <c r="G328">
        <v>130</v>
      </c>
      <c r="L328" s="53" t="s">
        <v>1455</v>
      </c>
      <c r="M328" s="127" t="s">
        <v>1653</v>
      </c>
      <c r="N328" s="127" t="str">
        <f t="shared" si="11"/>
        <v>紫阳长剑·玄</v>
      </c>
    </row>
    <row r="329" spans="1:14" ht="16.5">
      <c r="A329" s="53" t="s">
        <v>1089</v>
      </c>
      <c r="B329" t="s">
        <v>1483</v>
      </c>
      <c r="C329" t="s">
        <v>1455</v>
      </c>
      <c r="D329" t="str">
        <f t="shared" si="10"/>
        <v>a14紫阳长剑</v>
      </c>
      <c r="E329" s="52">
        <v>204311</v>
      </c>
      <c r="F329" s="52">
        <v>2406</v>
      </c>
      <c r="G329">
        <v>140</v>
      </c>
      <c r="L329" s="53" t="s">
        <v>1455</v>
      </c>
      <c r="M329" s="127" t="s">
        <v>1654</v>
      </c>
      <c r="N329" s="127" t="str">
        <f t="shared" si="11"/>
        <v>紫阳长剑·地</v>
      </c>
    </row>
    <row r="330" spans="1:14" ht="16.5">
      <c r="A330" s="53" t="s">
        <v>1090</v>
      </c>
      <c r="B330" t="s">
        <v>1484</v>
      </c>
      <c r="C330" t="s">
        <v>1455</v>
      </c>
      <c r="D330" t="str">
        <f t="shared" si="10"/>
        <v>a15紫阳长剑</v>
      </c>
      <c r="E330" s="52">
        <v>204312</v>
      </c>
      <c r="F330" s="52">
        <v>2407</v>
      </c>
      <c r="G330">
        <v>150</v>
      </c>
      <c r="L330" s="53" t="s">
        <v>1455</v>
      </c>
      <c r="M330" s="127" t="s">
        <v>1655</v>
      </c>
      <c r="N330" s="127" t="str">
        <f t="shared" si="11"/>
        <v>紫阳长剑·天</v>
      </c>
    </row>
    <row r="331" spans="1:14" ht="16.5">
      <c r="A331" s="53" t="s">
        <v>1091</v>
      </c>
      <c r="B331" t="s">
        <v>1470</v>
      </c>
      <c r="C331" t="s">
        <v>1456</v>
      </c>
      <c r="D331" t="str">
        <f t="shared" si="10"/>
        <v>a01耀日头盔</v>
      </c>
      <c r="E331" s="52">
        <v>431</v>
      </c>
      <c r="F331" s="52">
        <v>2408</v>
      </c>
      <c r="G331">
        <v>10</v>
      </c>
      <c r="L331" s="53" t="s">
        <v>1456</v>
      </c>
      <c r="M331" s="127" t="s">
        <v>1641</v>
      </c>
      <c r="N331" s="127" t="str">
        <f t="shared" si="11"/>
        <v>耀日头盔·壹</v>
      </c>
    </row>
    <row r="332" spans="1:14" ht="16.5">
      <c r="A332" s="53" t="s">
        <v>1092</v>
      </c>
      <c r="B332" t="s">
        <v>1471</v>
      </c>
      <c r="C332" t="s">
        <v>1456</v>
      </c>
      <c r="D332" t="str">
        <f t="shared" si="10"/>
        <v>a02耀日头盔</v>
      </c>
      <c r="E332" s="52">
        <v>432</v>
      </c>
      <c r="F332" s="52">
        <v>2409</v>
      </c>
      <c r="G332">
        <v>20</v>
      </c>
      <c r="L332" s="53" t="s">
        <v>1456</v>
      </c>
      <c r="M332" s="127" t="s">
        <v>1642</v>
      </c>
      <c r="N332" s="127" t="str">
        <f t="shared" si="11"/>
        <v>耀日头盔·贰</v>
      </c>
    </row>
    <row r="333" spans="1:14" ht="16.5">
      <c r="A333" s="53" t="s">
        <v>1093</v>
      </c>
      <c r="B333" t="s">
        <v>1472</v>
      </c>
      <c r="C333" t="s">
        <v>1456</v>
      </c>
      <c r="D333" t="str">
        <f t="shared" si="10"/>
        <v>a03耀日头盔</v>
      </c>
      <c r="E333" s="52">
        <v>2043</v>
      </c>
      <c r="F333" s="97">
        <v>2043</v>
      </c>
      <c r="G333">
        <v>30</v>
      </c>
      <c r="L333" s="97" t="s">
        <v>1456</v>
      </c>
      <c r="M333" s="127" t="s">
        <v>1643</v>
      </c>
      <c r="N333" s="127" t="str">
        <f t="shared" si="11"/>
        <v>耀日头盔·叁</v>
      </c>
    </row>
    <row r="334" spans="1:14" ht="16.5">
      <c r="A334" s="53" t="s">
        <v>1094</v>
      </c>
      <c r="B334" t="s">
        <v>1473</v>
      </c>
      <c r="C334" t="s">
        <v>1456</v>
      </c>
      <c r="D334" t="str">
        <f t="shared" si="10"/>
        <v>a04耀日头盔</v>
      </c>
      <c r="E334" s="52">
        <v>20431</v>
      </c>
      <c r="F334" s="52">
        <v>2410</v>
      </c>
      <c r="G334">
        <v>40</v>
      </c>
      <c r="L334" s="53" t="s">
        <v>1456</v>
      </c>
      <c r="M334" s="127" t="s">
        <v>1644</v>
      </c>
      <c r="N334" s="127" t="str">
        <f t="shared" si="11"/>
        <v>耀日头盔·肆</v>
      </c>
    </row>
    <row r="335" spans="1:14" ht="16.5">
      <c r="A335" s="53" t="s">
        <v>1095</v>
      </c>
      <c r="B335" t="s">
        <v>1474</v>
      </c>
      <c r="C335" t="s">
        <v>1456</v>
      </c>
      <c r="D335" t="str">
        <f t="shared" si="10"/>
        <v>a05耀日头盔</v>
      </c>
      <c r="E335" s="52">
        <v>20432</v>
      </c>
      <c r="F335" s="52">
        <v>2411</v>
      </c>
      <c r="G335">
        <v>50</v>
      </c>
      <c r="L335" s="53" t="s">
        <v>1456</v>
      </c>
      <c r="M335" s="127" t="s">
        <v>1645</v>
      </c>
      <c r="N335" s="127" t="str">
        <f t="shared" si="11"/>
        <v>耀日头盔·伍</v>
      </c>
    </row>
    <row r="336" spans="1:14" ht="16.5">
      <c r="A336" s="53" t="s">
        <v>1096</v>
      </c>
      <c r="B336" t="s">
        <v>1475</v>
      </c>
      <c r="C336" t="s">
        <v>1456</v>
      </c>
      <c r="D336" t="str">
        <f t="shared" si="10"/>
        <v>a06耀日头盔</v>
      </c>
      <c r="E336" s="52">
        <v>20433</v>
      </c>
      <c r="F336" s="52">
        <v>2412</v>
      </c>
      <c r="G336">
        <v>60</v>
      </c>
      <c r="L336" s="53" t="s">
        <v>1456</v>
      </c>
      <c r="M336" s="127" t="s">
        <v>1646</v>
      </c>
      <c r="N336" s="127" t="str">
        <f t="shared" si="11"/>
        <v>耀日头盔·陆</v>
      </c>
    </row>
    <row r="337" spans="1:14" ht="16.5">
      <c r="A337" s="53" t="s">
        <v>1097</v>
      </c>
      <c r="B337" t="s">
        <v>1476</v>
      </c>
      <c r="C337" t="s">
        <v>1456</v>
      </c>
      <c r="D337" t="str">
        <f t="shared" si="10"/>
        <v>a07耀日头盔</v>
      </c>
      <c r="E337" s="52">
        <v>20434</v>
      </c>
      <c r="F337" s="52">
        <v>2413</v>
      </c>
      <c r="G337">
        <v>70</v>
      </c>
      <c r="L337" s="53" t="s">
        <v>1456</v>
      </c>
      <c r="M337" s="127" t="s">
        <v>1647</v>
      </c>
      <c r="N337" s="127" t="str">
        <f t="shared" si="11"/>
        <v>耀日头盔·柒</v>
      </c>
    </row>
    <row r="338" spans="1:14" ht="16.5">
      <c r="A338" s="53" t="s">
        <v>1098</v>
      </c>
      <c r="B338" t="s">
        <v>1477</v>
      </c>
      <c r="C338" t="s">
        <v>1456</v>
      </c>
      <c r="D338" t="str">
        <f t="shared" si="10"/>
        <v>a08耀日头盔</v>
      </c>
      <c r="E338" s="52">
        <v>20435</v>
      </c>
      <c r="F338" s="52">
        <v>2414</v>
      </c>
      <c r="G338">
        <v>80</v>
      </c>
      <c r="L338" s="53" t="s">
        <v>1456</v>
      </c>
      <c r="M338" s="127" t="s">
        <v>1648</v>
      </c>
      <c r="N338" s="127" t="str">
        <f t="shared" si="11"/>
        <v>耀日头盔·捌</v>
      </c>
    </row>
    <row r="339" spans="1:14" ht="16.5">
      <c r="A339" s="53" t="s">
        <v>1099</v>
      </c>
      <c r="B339" t="s">
        <v>1478</v>
      </c>
      <c r="C339" t="s">
        <v>1456</v>
      </c>
      <c r="D339" t="str">
        <f t="shared" si="10"/>
        <v>a09耀日头盔</v>
      </c>
      <c r="E339" s="52">
        <v>20436</v>
      </c>
      <c r="F339" s="52">
        <v>2415</v>
      </c>
      <c r="G339">
        <v>90</v>
      </c>
      <c r="L339" s="53" t="s">
        <v>1456</v>
      </c>
      <c r="M339" s="127" t="s">
        <v>1649</v>
      </c>
      <c r="N339" s="127" t="str">
        <f t="shared" si="11"/>
        <v>耀日头盔·玖</v>
      </c>
    </row>
    <row r="340" spans="1:14" ht="16.5">
      <c r="A340" s="53" t="s">
        <v>1100</v>
      </c>
      <c r="B340" t="s">
        <v>1479</v>
      </c>
      <c r="C340" t="s">
        <v>1456</v>
      </c>
      <c r="D340" t="str">
        <f t="shared" si="10"/>
        <v>a10耀日头盔</v>
      </c>
      <c r="E340" s="52">
        <v>20437</v>
      </c>
      <c r="F340" s="52">
        <v>2416</v>
      </c>
      <c r="G340">
        <v>100</v>
      </c>
      <c r="L340" s="53" t="s">
        <v>1456</v>
      </c>
      <c r="M340" s="127" t="s">
        <v>1650</v>
      </c>
      <c r="N340" s="127" t="str">
        <f t="shared" si="11"/>
        <v>耀日头盔·十</v>
      </c>
    </row>
    <row r="341" spans="1:14" ht="16.5">
      <c r="A341" s="53" t="s">
        <v>1101</v>
      </c>
      <c r="B341" t="s">
        <v>1480</v>
      </c>
      <c r="C341" t="s">
        <v>1456</v>
      </c>
      <c r="D341" t="str">
        <f t="shared" si="10"/>
        <v>a11耀日头盔</v>
      </c>
      <c r="E341" s="52">
        <v>20438</v>
      </c>
      <c r="F341" s="52">
        <v>2417</v>
      </c>
      <c r="G341">
        <v>110</v>
      </c>
      <c r="L341" s="53" t="s">
        <v>1456</v>
      </c>
      <c r="M341" s="127" t="s">
        <v>1651</v>
      </c>
      <c r="N341" s="127" t="str">
        <f t="shared" si="11"/>
        <v>耀日头盔·凡</v>
      </c>
    </row>
    <row r="342" spans="1:14" ht="16.5">
      <c r="A342" s="53" t="s">
        <v>1102</v>
      </c>
      <c r="B342" t="s">
        <v>1481</v>
      </c>
      <c r="C342" t="s">
        <v>1456</v>
      </c>
      <c r="D342" t="str">
        <f t="shared" si="10"/>
        <v>a12耀日头盔</v>
      </c>
      <c r="E342" s="52">
        <v>20439</v>
      </c>
      <c r="F342" s="52">
        <v>2418</v>
      </c>
      <c r="G342">
        <v>120</v>
      </c>
      <c r="L342" s="53" t="s">
        <v>1456</v>
      </c>
      <c r="M342" s="127" t="s">
        <v>1652</v>
      </c>
      <c r="N342" s="127" t="str">
        <f t="shared" si="11"/>
        <v>耀日头盔·皇</v>
      </c>
    </row>
    <row r="343" spans="1:14" ht="16.5">
      <c r="A343" s="53" t="s">
        <v>1103</v>
      </c>
      <c r="B343" t="s">
        <v>1482</v>
      </c>
      <c r="C343" t="s">
        <v>1456</v>
      </c>
      <c r="D343" t="str">
        <f t="shared" si="10"/>
        <v>a13耀日头盔</v>
      </c>
      <c r="E343" s="52">
        <v>20440</v>
      </c>
      <c r="F343" s="52">
        <v>2419</v>
      </c>
      <c r="G343">
        <v>130</v>
      </c>
      <c r="L343" s="53" t="s">
        <v>1456</v>
      </c>
      <c r="M343" s="127" t="s">
        <v>1653</v>
      </c>
      <c r="N343" s="127" t="str">
        <f t="shared" si="11"/>
        <v>耀日头盔·玄</v>
      </c>
    </row>
    <row r="344" spans="1:14" ht="16.5">
      <c r="A344" s="53" t="s">
        <v>1104</v>
      </c>
      <c r="B344" t="s">
        <v>1483</v>
      </c>
      <c r="C344" t="s">
        <v>1456</v>
      </c>
      <c r="D344" t="str">
        <f t="shared" si="10"/>
        <v>a14耀日头盔</v>
      </c>
      <c r="E344" s="52">
        <v>204411</v>
      </c>
      <c r="F344" s="52">
        <v>2420</v>
      </c>
      <c r="G344">
        <v>140</v>
      </c>
      <c r="L344" s="53" t="s">
        <v>1456</v>
      </c>
      <c r="M344" s="127" t="s">
        <v>1654</v>
      </c>
      <c r="N344" s="127" t="str">
        <f t="shared" si="11"/>
        <v>耀日头盔·地</v>
      </c>
    </row>
    <row r="345" spans="1:14" ht="16.5">
      <c r="A345" s="53" t="s">
        <v>1105</v>
      </c>
      <c r="B345" t="s">
        <v>1484</v>
      </c>
      <c r="C345" t="s">
        <v>1456</v>
      </c>
      <c r="D345" t="str">
        <f t="shared" si="10"/>
        <v>a15耀日头盔</v>
      </c>
      <c r="E345" s="52">
        <v>204412</v>
      </c>
      <c r="F345" s="52">
        <v>2421</v>
      </c>
      <c r="G345">
        <v>150</v>
      </c>
      <c r="L345" s="53" t="s">
        <v>1456</v>
      </c>
      <c r="M345" s="127" t="s">
        <v>1655</v>
      </c>
      <c r="N345" s="127" t="str">
        <f t="shared" si="11"/>
        <v>耀日头盔·天</v>
      </c>
    </row>
    <row r="346" spans="1:14" ht="16.5">
      <c r="A346" s="53" t="s">
        <v>1106</v>
      </c>
      <c r="B346" t="s">
        <v>1470</v>
      </c>
      <c r="C346" t="s">
        <v>1457</v>
      </c>
      <c r="D346" t="str">
        <f t="shared" si="10"/>
        <v>a01雷霆战靴</v>
      </c>
      <c r="E346" s="52">
        <v>441</v>
      </c>
      <c r="F346" s="52">
        <v>2422</v>
      </c>
      <c r="G346">
        <v>10</v>
      </c>
      <c r="L346" s="53" t="s">
        <v>1457</v>
      </c>
      <c r="M346" s="127" t="s">
        <v>1641</v>
      </c>
      <c r="N346" s="127" t="str">
        <f t="shared" si="11"/>
        <v>雷霆战靴·壹</v>
      </c>
    </row>
    <row r="347" spans="1:14" ht="16.5">
      <c r="A347" s="53" t="s">
        <v>1107</v>
      </c>
      <c r="B347" t="s">
        <v>1471</v>
      </c>
      <c r="C347" t="s">
        <v>1457</v>
      </c>
      <c r="D347" t="str">
        <f t="shared" si="10"/>
        <v>a02雷霆战靴</v>
      </c>
      <c r="E347" s="52">
        <v>442</v>
      </c>
      <c r="F347" s="52">
        <v>2423</v>
      </c>
      <c r="G347">
        <v>20</v>
      </c>
      <c r="L347" s="53" t="s">
        <v>1457</v>
      </c>
      <c r="M347" s="127" t="s">
        <v>1642</v>
      </c>
      <c r="N347" s="127" t="str">
        <f t="shared" si="11"/>
        <v>雷霆战靴·贰</v>
      </c>
    </row>
    <row r="348" spans="1:14" ht="16.5">
      <c r="A348" s="53" t="s">
        <v>1108</v>
      </c>
      <c r="B348" t="s">
        <v>1472</v>
      </c>
      <c r="C348" t="s">
        <v>1457</v>
      </c>
      <c r="D348" t="str">
        <f t="shared" si="10"/>
        <v>a03雷霆战靴</v>
      </c>
      <c r="E348" s="52">
        <v>2044</v>
      </c>
      <c r="F348" s="97">
        <v>2044</v>
      </c>
      <c r="G348">
        <v>30</v>
      </c>
      <c r="L348" s="97" t="s">
        <v>1457</v>
      </c>
      <c r="M348" s="127" t="s">
        <v>1643</v>
      </c>
      <c r="N348" s="127" t="str">
        <f t="shared" si="11"/>
        <v>雷霆战靴·叁</v>
      </c>
    </row>
    <row r="349" spans="1:14" ht="16.5">
      <c r="A349" s="53" t="s">
        <v>1109</v>
      </c>
      <c r="B349" t="s">
        <v>1473</v>
      </c>
      <c r="C349" t="s">
        <v>1457</v>
      </c>
      <c r="D349" t="str">
        <f t="shared" si="10"/>
        <v>a04雷霆战靴</v>
      </c>
      <c r="E349" s="52">
        <v>20441</v>
      </c>
      <c r="F349" s="52">
        <v>2424</v>
      </c>
      <c r="G349">
        <v>40</v>
      </c>
      <c r="L349" s="53" t="s">
        <v>1457</v>
      </c>
      <c r="M349" s="127" t="s">
        <v>1644</v>
      </c>
      <c r="N349" s="127" t="str">
        <f t="shared" si="11"/>
        <v>雷霆战靴·肆</v>
      </c>
    </row>
    <row r="350" spans="1:14" ht="16.5">
      <c r="A350" s="53" t="s">
        <v>1110</v>
      </c>
      <c r="B350" t="s">
        <v>1474</v>
      </c>
      <c r="C350" t="s">
        <v>1457</v>
      </c>
      <c r="D350" t="str">
        <f t="shared" si="10"/>
        <v>a05雷霆战靴</v>
      </c>
      <c r="E350" s="52">
        <v>20442</v>
      </c>
      <c r="F350" s="52">
        <v>2425</v>
      </c>
      <c r="G350">
        <v>50</v>
      </c>
      <c r="L350" s="53" t="s">
        <v>1457</v>
      </c>
      <c r="M350" s="127" t="s">
        <v>1645</v>
      </c>
      <c r="N350" s="127" t="str">
        <f t="shared" si="11"/>
        <v>雷霆战靴·伍</v>
      </c>
    </row>
    <row r="351" spans="1:14" ht="16.5">
      <c r="A351" s="53" t="s">
        <v>1111</v>
      </c>
      <c r="B351" t="s">
        <v>1475</v>
      </c>
      <c r="C351" t="s">
        <v>1457</v>
      </c>
      <c r="D351" t="str">
        <f t="shared" si="10"/>
        <v>a06雷霆战靴</v>
      </c>
      <c r="E351" s="52">
        <v>20443</v>
      </c>
      <c r="F351" s="52">
        <v>2426</v>
      </c>
      <c r="G351">
        <v>60</v>
      </c>
      <c r="L351" s="53" t="s">
        <v>1457</v>
      </c>
      <c r="M351" s="127" t="s">
        <v>1646</v>
      </c>
      <c r="N351" s="127" t="str">
        <f t="shared" si="11"/>
        <v>雷霆战靴·陆</v>
      </c>
    </row>
    <row r="352" spans="1:14" ht="16.5">
      <c r="A352" s="53" t="s">
        <v>1112</v>
      </c>
      <c r="B352" t="s">
        <v>1476</v>
      </c>
      <c r="C352" t="s">
        <v>1457</v>
      </c>
      <c r="D352" t="str">
        <f t="shared" si="10"/>
        <v>a07雷霆战靴</v>
      </c>
      <c r="E352" s="52">
        <v>20444</v>
      </c>
      <c r="F352" s="52">
        <v>2427</v>
      </c>
      <c r="G352">
        <v>70</v>
      </c>
      <c r="L352" s="53" t="s">
        <v>1457</v>
      </c>
      <c r="M352" s="127" t="s">
        <v>1647</v>
      </c>
      <c r="N352" s="127" t="str">
        <f t="shared" si="11"/>
        <v>雷霆战靴·柒</v>
      </c>
    </row>
    <row r="353" spans="1:14" ht="16.5">
      <c r="A353" s="53" t="s">
        <v>1113</v>
      </c>
      <c r="B353" t="s">
        <v>1477</v>
      </c>
      <c r="C353" t="s">
        <v>1457</v>
      </c>
      <c r="D353" t="str">
        <f t="shared" si="10"/>
        <v>a08雷霆战靴</v>
      </c>
      <c r="E353" s="52">
        <v>20445</v>
      </c>
      <c r="F353" s="52">
        <v>2428</v>
      </c>
      <c r="G353">
        <v>80</v>
      </c>
      <c r="L353" s="53" t="s">
        <v>1457</v>
      </c>
      <c r="M353" s="127" t="s">
        <v>1648</v>
      </c>
      <c r="N353" s="127" t="str">
        <f t="shared" si="11"/>
        <v>雷霆战靴·捌</v>
      </c>
    </row>
    <row r="354" spans="1:14" ht="16.5">
      <c r="A354" s="53" t="s">
        <v>1114</v>
      </c>
      <c r="B354" t="s">
        <v>1478</v>
      </c>
      <c r="C354" t="s">
        <v>1457</v>
      </c>
      <c r="D354" t="str">
        <f t="shared" si="10"/>
        <v>a09雷霆战靴</v>
      </c>
      <c r="E354" s="52">
        <v>20446</v>
      </c>
      <c r="F354" s="52">
        <v>2429</v>
      </c>
      <c r="G354">
        <v>90</v>
      </c>
      <c r="L354" s="53" t="s">
        <v>1457</v>
      </c>
      <c r="M354" s="127" t="s">
        <v>1649</v>
      </c>
      <c r="N354" s="127" t="str">
        <f t="shared" si="11"/>
        <v>雷霆战靴·玖</v>
      </c>
    </row>
    <row r="355" spans="1:14" ht="16.5">
      <c r="A355" s="53" t="s">
        <v>1115</v>
      </c>
      <c r="B355" t="s">
        <v>1479</v>
      </c>
      <c r="C355" t="s">
        <v>1457</v>
      </c>
      <c r="D355" t="str">
        <f t="shared" si="10"/>
        <v>a10雷霆战靴</v>
      </c>
      <c r="E355" s="52">
        <v>20447</v>
      </c>
      <c r="F355" s="52">
        <v>2430</v>
      </c>
      <c r="G355">
        <v>100</v>
      </c>
      <c r="L355" s="53" t="s">
        <v>1457</v>
      </c>
      <c r="M355" s="127" t="s">
        <v>1650</v>
      </c>
      <c r="N355" s="127" t="str">
        <f t="shared" si="11"/>
        <v>雷霆战靴·十</v>
      </c>
    </row>
    <row r="356" spans="1:14" ht="16.5">
      <c r="A356" s="53" t="s">
        <v>1116</v>
      </c>
      <c r="B356" t="s">
        <v>1480</v>
      </c>
      <c r="C356" t="s">
        <v>1457</v>
      </c>
      <c r="D356" t="str">
        <f t="shared" si="10"/>
        <v>a11雷霆战靴</v>
      </c>
      <c r="E356" s="52">
        <v>20448</v>
      </c>
      <c r="F356" s="52">
        <v>2431</v>
      </c>
      <c r="G356">
        <v>110</v>
      </c>
      <c r="L356" s="53" t="s">
        <v>1457</v>
      </c>
      <c r="M356" s="127" t="s">
        <v>1651</v>
      </c>
      <c r="N356" s="127" t="str">
        <f t="shared" si="11"/>
        <v>雷霆战靴·凡</v>
      </c>
    </row>
    <row r="357" spans="1:14" ht="16.5">
      <c r="A357" s="53" t="s">
        <v>1117</v>
      </c>
      <c r="B357" t="s">
        <v>1481</v>
      </c>
      <c r="C357" t="s">
        <v>1457</v>
      </c>
      <c r="D357" t="str">
        <f t="shared" si="10"/>
        <v>a12雷霆战靴</v>
      </c>
      <c r="E357" s="52">
        <v>20449</v>
      </c>
      <c r="F357" s="52">
        <v>2432</v>
      </c>
      <c r="G357">
        <v>120</v>
      </c>
      <c r="L357" s="53" t="s">
        <v>1457</v>
      </c>
      <c r="M357" s="127" t="s">
        <v>1652</v>
      </c>
      <c r="N357" s="127" t="str">
        <f t="shared" si="11"/>
        <v>雷霆战靴·皇</v>
      </c>
    </row>
    <row r="358" spans="1:14" ht="16.5">
      <c r="A358" s="53" t="s">
        <v>1118</v>
      </c>
      <c r="B358" t="s">
        <v>1482</v>
      </c>
      <c r="C358" t="s">
        <v>1457</v>
      </c>
      <c r="D358" t="str">
        <f t="shared" si="10"/>
        <v>a13雷霆战靴</v>
      </c>
      <c r="E358" s="52">
        <v>20450</v>
      </c>
      <c r="F358" s="52">
        <v>2433</v>
      </c>
      <c r="G358">
        <v>130</v>
      </c>
      <c r="L358" s="53" t="s">
        <v>1457</v>
      </c>
      <c r="M358" s="127" t="s">
        <v>1653</v>
      </c>
      <c r="N358" s="127" t="str">
        <f t="shared" si="11"/>
        <v>雷霆战靴·玄</v>
      </c>
    </row>
    <row r="359" spans="1:14" ht="16.5">
      <c r="A359" s="53" t="s">
        <v>1119</v>
      </c>
      <c r="B359" t="s">
        <v>1483</v>
      </c>
      <c r="C359" t="s">
        <v>1457</v>
      </c>
      <c r="D359" t="str">
        <f t="shared" si="10"/>
        <v>a14雷霆战靴</v>
      </c>
      <c r="E359" s="52">
        <v>204511</v>
      </c>
      <c r="F359" s="52">
        <v>2434</v>
      </c>
      <c r="G359">
        <v>140</v>
      </c>
      <c r="L359" s="53" t="s">
        <v>1457</v>
      </c>
      <c r="M359" s="127" t="s">
        <v>1654</v>
      </c>
      <c r="N359" s="127" t="str">
        <f t="shared" si="11"/>
        <v>雷霆战靴·地</v>
      </c>
    </row>
    <row r="360" spans="1:14" ht="16.5">
      <c r="A360" s="53" t="s">
        <v>1120</v>
      </c>
      <c r="B360" t="s">
        <v>1484</v>
      </c>
      <c r="C360" t="s">
        <v>1457</v>
      </c>
      <c r="D360" t="str">
        <f t="shared" si="10"/>
        <v>a15雷霆战靴</v>
      </c>
      <c r="E360" s="52">
        <v>204512</v>
      </c>
      <c r="F360" s="52">
        <v>2435</v>
      </c>
      <c r="G360">
        <v>150</v>
      </c>
      <c r="L360" s="53" t="s">
        <v>1457</v>
      </c>
      <c r="M360" s="127" t="s">
        <v>1655</v>
      </c>
      <c r="N360" s="127" t="str">
        <f t="shared" si="11"/>
        <v>雷霆战靴·天</v>
      </c>
    </row>
    <row r="361" spans="1:14" ht="16.5">
      <c r="A361" s="22" t="s">
        <v>1121</v>
      </c>
      <c r="B361" t="s">
        <v>1470</v>
      </c>
      <c r="C361" t="s">
        <v>1458</v>
      </c>
      <c r="D361" t="str">
        <f t="shared" si="10"/>
        <v>a01护卫战甲</v>
      </c>
      <c r="E361" s="6">
        <v>29</v>
      </c>
      <c r="F361" s="52">
        <v>2436</v>
      </c>
      <c r="G361">
        <v>10</v>
      </c>
      <c r="L361" s="22" t="s">
        <v>1458</v>
      </c>
      <c r="M361" s="127" t="s">
        <v>1641</v>
      </c>
      <c r="N361" s="127" t="str">
        <f t="shared" si="11"/>
        <v>护卫战甲·壹</v>
      </c>
    </row>
    <row r="362" spans="1:14" ht="16.5">
      <c r="A362" s="22" t="s">
        <v>1122</v>
      </c>
      <c r="B362" t="s">
        <v>1471</v>
      </c>
      <c r="C362" t="s">
        <v>1458</v>
      </c>
      <c r="D362" t="str">
        <f t="shared" si="10"/>
        <v>a02护卫战甲</v>
      </c>
      <c r="E362" s="6">
        <v>2029</v>
      </c>
      <c r="F362" s="100">
        <v>2029</v>
      </c>
      <c r="G362">
        <v>20</v>
      </c>
      <c r="L362" s="100" t="s">
        <v>1458</v>
      </c>
      <c r="M362" s="127" t="s">
        <v>1642</v>
      </c>
      <c r="N362" s="127" t="str">
        <f t="shared" si="11"/>
        <v>护卫战甲·贰</v>
      </c>
    </row>
    <row r="363" spans="1:14" ht="16.5">
      <c r="A363" s="22" t="s">
        <v>1123</v>
      </c>
      <c r="B363" t="s">
        <v>1472</v>
      </c>
      <c r="C363" t="s">
        <v>1458</v>
      </c>
      <c r="D363" t="str">
        <f t="shared" si="10"/>
        <v>a03护卫战甲</v>
      </c>
      <c r="E363" s="6">
        <v>20291</v>
      </c>
      <c r="F363" s="6">
        <v>2437</v>
      </c>
      <c r="G363">
        <v>30</v>
      </c>
      <c r="L363" s="22" t="s">
        <v>1458</v>
      </c>
      <c r="M363" s="127" t="s">
        <v>1643</v>
      </c>
      <c r="N363" s="127" t="str">
        <f t="shared" si="11"/>
        <v>护卫战甲·叁</v>
      </c>
    </row>
    <row r="364" spans="1:14" ht="16.5">
      <c r="A364" s="22" t="s">
        <v>1124</v>
      </c>
      <c r="B364" t="s">
        <v>1473</v>
      </c>
      <c r="C364" t="s">
        <v>1458</v>
      </c>
      <c r="D364" t="str">
        <f t="shared" si="10"/>
        <v>a04护卫战甲</v>
      </c>
      <c r="E364" s="6">
        <v>20292</v>
      </c>
      <c r="F364" s="6">
        <v>2438</v>
      </c>
      <c r="G364">
        <v>40</v>
      </c>
      <c r="L364" s="22" t="s">
        <v>1458</v>
      </c>
      <c r="M364" s="127" t="s">
        <v>1644</v>
      </c>
      <c r="N364" s="127" t="str">
        <f t="shared" si="11"/>
        <v>护卫战甲·肆</v>
      </c>
    </row>
    <row r="365" spans="1:14" ht="16.5">
      <c r="A365" s="22" t="s">
        <v>1125</v>
      </c>
      <c r="B365" t="s">
        <v>1474</v>
      </c>
      <c r="C365" t="s">
        <v>1458</v>
      </c>
      <c r="D365" t="str">
        <f t="shared" si="10"/>
        <v>a05护卫战甲</v>
      </c>
      <c r="E365" s="6">
        <v>20293</v>
      </c>
      <c r="F365" s="6">
        <v>2439</v>
      </c>
      <c r="G365">
        <v>50</v>
      </c>
      <c r="L365" s="22" t="s">
        <v>1458</v>
      </c>
      <c r="M365" s="127" t="s">
        <v>1645</v>
      </c>
      <c r="N365" s="127" t="str">
        <f t="shared" si="11"/>
        <v>护卫战甲·伍</v>
      </c>
    </row>
    <row r="366" spans="1:14" ht="16.5">
      <c r="A366" s="22" t="s">
        <v>1126</v>
      </c>
      <c r="B366" t="s">
        <v>1475</v>
      </c>
      <c r="C366" t="s">
        <v>1458</v>
      </c>
      <c r="D366" t="str">
        <f t="shared" si="10"/>
        <v>a06护卫战甲</v>
      </c>
      <c r="E366" s="6">
        <v>20294</v>
      </c>
      <c r="F366" s="6">
        <v>2440</v>
      </c>
      <c r="G366">
        <v>60</v>
      </c>
      <c r="L366" s="22" t="s">
        <v>1458</v>
      </c>
      <c r="M366" s="127" t="s">
        <v>1646</v>
      </c>
      <c r="N366" s="127" t="str">
        <f t="shared" si="11"/>
        <v>护卫战甲·陆</v>
      </c>
    </row>
    <row r="367" spans="1:14" ht="16.5">
      <c r="A367" s="22" t="s">
        <v>1127</v>
      </c>
      <c r="B367" t="s">
        <v>1476</v>
      </c>
      <c r="C367" t="s">
        <v>1458</v>
      </c>
      <c r="D367" t="str">
        <f t="shared" si="10"/>
        <v>a07护卫战甲</v>
      </c>
      <c r="E367" s="6">
        <v>20295</v>
      </c>
      <c r="F367" s="6">
        <v>2441</v>
      </c>
      <c r="G367">
        <v>70</v>
      </c>
      <c r="L367" s="22" t="s">
        <v>1458</v>
      </c>
      <c r="M367" s="127" t="s">
        <v>1647</v>
      </c>
      <c r="N367" s="127" t="str">
        <f t="shared" si="11"/>
        <v>护卫战甲·柒</v>
      </c>
    </row>
    <row r="368" spans="1:14" ht="16.5">
      <c r="A368" s="22" t="s">
        <v>1128</v>
      </c>
      <c r="B368" t="s">
        <v>1477</v>
      </c>
      <c r="C368" t="s">
        <v>1458</v>
      </c>
      <c r="D368" t="str">
        <f t="shared" si="10"/>
        <v>a08护卫战甲</v>
      </c>
      <c r="E368" s="6">
        <v>20296</v>
      </c>
      <c r="F368" s="6">
        <v>2442</v>
      </c>
      <c r="G368">
        <v>80</v>
      </c>
      <c r="L368" s="22" t="s">
        <v>1458</v>
      </c>
      <c r="M368" s="127" t="s">
        <v>1648</v>
      </c>
      <c r="N368" s="127" t="str">
        <f t="shared" si="11"/>
        <v>护卫战甲·捌</v>
      </c>
    </row>
    <row r="369" spans="1:14" ht="16.5">
      <c r="A369" s="22" t="s">
        <v>1129</v>
      </c>
      <c r="B369" t="s">
        <v>1478</v>
      </c>
      <c r="C369" t="s">
        <v>1458</v>
      </c>
      <c r="D369" t="str">
        <f t="shared" si="10"/>
        <v>a09护卫战甲</v>
      </c>
      <c r="E369" s="6">
        <v>20297</v>
      </c>
      <c r="F369" s="6">
        <v>2443</v>
      </c>
      <c r="G369">
        <v>90</v>
      </c>
      <c r="L369" s="22" t="s">
        <v>1458</v>
      </c>
      <c r="M369" s="127" t="s">
        <v>1649</v>
      </c>
      <c r="N369" s="127" t="str">
        <f t="shared" si="11"/>
        <v>护卫战甲·玖</v>
      </c>
    </row>
    <row r="370" spans="1:14" ht="16.5">
      <c r="A370" s="22" t="s">
        <v>1130</v>
      </c>
      <c r="B370" t="s">
        <v>1479</v>
      </c>
      <c r="C370" t="s">
        <v>1458</v>
      </c>
      <c r="D370" t="str">
        <f t="shared" si="10"/>
        <v>a10护卫战甲</v>
      </c>
      <c r="E370" s="6">
        <v>20298</v>
      </c>
      <c r="F370" s="6">
        <v>2444</v>
      </c>
      <c r="G370">
        <v>100</v>
      </c>
      <c r="L370" s="22" t="s">
        <v>1458</v>
      </c>
      <c r="M370" s="127" t="s">
        <v>1650</v>
      </c>
      <c r="N370" s="127" t="str">
        <f t="shared" si="11"/>
        <v>护卫战甲·十</v>
      </c>
    </row>
    <row r="371" spans="1:14" ht="16.5">
      <c r="A371" s="22" t="s">
        <v>1131</v>
      </c>
      <c r="B371" t="s">
        <v>1480</v>
      </c>
      <c r="C371" t="s">
        <v>1458</v>
      </c>
      <c r="D371" t="str">
        <f t="shared" si="10"/>
        <v>a11护卫战甲</v>
      </c>
      <c r="E371" s="6">
        <v>20299</v>
      </c>
      <c r="F371" s="6">
        <v>2445</v>
      </c>
      <c r="G371">
        <v>110</v>
      </c>
      <c r="L371" s="22" t="s">
        <v>1458</v>
      </c>
      <c r="M371" s="127" t="s">
        <v>1651</v>
      </c>
      <c r="N371" s="127" t="str">
        <f t="shared" si="11"/>
        <v>护卫战甲·凡</v>
      </c>
    </row>
    <row r="372" spans="1:14" ht="16.5">
      <c r="A372" s="22" t="s">
        <v>1132</v>
      </c>
      <c r="B372" t="s">
        <v>1481</v>
      </c>
      <c r="C372" t="s">
        <v>1458</v>
      </c>
      <c r="D372" t="str">
        <f t="shared" si="10"/>
        <v>a12护卫战甲</v>
      </c>
      <c r="E372" s="6">
        <v>20300</v>
      </c>
      <c r="F372" s="6">
        <v>2446</v>
      </c>
      <c r="G372">
        <v>120</v>
      </c>
      <c r="L372" s="22" t="s">
        <v>1458</v>
      </c>
      <c r="M372" s="127" t="s">
        <v>1652</v>
      </c>
      <c r="N372" s="127" t="str">
        <f t="shared" si="11"/>
        <v>护卫战甲·皇</v>
      </c>
    </row>
    <row r="373" spans="1:14" ht="16.5">
      <c r="A373" s="22" t="s">
        <v>1133</v>
      </c>
      <c r="B373" t="s">
        <v>1482</v>
      </c>
      <c r="C373" t="s">
        <v>1458</v>
      </c>
      <c r="D373" t="str">
        <f t="shared" si="10"/>
        <v>a13护卫战甲</v>
      </c>
      <c r="E373" s="6">
        <v>203011</v>
      </c>
      <c r="F373" s="6">
        <v>2447</v>
      </c>
      <c r="G373">
        <v>130</v>
      </c>
      <c r="L373" s="22" t="s">
        <v>1458</v>
      </c>
      <c r="M373" s="127" t="s">
        <v>1653</v>
      </c>
      <c r="N373" s="127" t="str">
        <f t="shared" si="11"/>
        <v>护卫战甲·玄</v>
      </c>
    </row>
    <row r="374" spans="1:14" ht="16.5">
      <c r="A374" s="22" t="s">
        <v>1134</v>
      </c>
      <c r="B374" t="s">
        <v>1483</v>
      </c>
      <c r="C374" t="s">
        <v>1458</v>
      </c>
      <c r="D374" t="str">
        <f t="shared" si="10"/>
        <v>a14护卫战甲</v>
      </c>
      <c r="E374" s="6">
        <v>203012</v>
      </c>
      <c r="F374" s="6">
        <v>2448</v>
      </c>
      <c r="G374">
        <v>140</v>
      </c>
      <c r="L374" s="22" t="s">
        <v>1458</v>
      </c>
      <c r="M374" s="127" t="s">
        <v>1654</v>
      </c>
      <c r="N374" s="127" t="str">
        <f t="shared" si="11"/>
        <v>护卫战甲·地</v>
      </c>
    </row>
    <row r="375" spans="1:14" ht="16.5">
      <c r="A375" s="22" t="s">
        <v>1135</v>
      </c>
      <c r="B375" t="s">
        <v>1484</v>
      </c>
      <c r="C375" t="s">
        <v>1458</v>
      </c>
      <c r="D375" t="str">
        <f t="shared" si="10"/>
        <v>a15护卫战甲</v>
      </c>
      <c r="E375" s="6">
        <v>203013</v>
      </c>
      <c r="F375" s="6">
        <v>2449</v>
      </c>
      <c r="G375">
        <v>150</v>
      </c>
      <c r="L375" s="22" t="s">
        <v>1458</v>
      </c>
      <c r="M375" s="127" t="s">
        <v>1655</v>
      </c>
      <c r="N375" s="127" t="str">
        <f t="shared" si="11"/>
        <v>护卫战甲·天</v>
      </c>
    </row>
    <row r="376" spans="1:14" ht="16.5">
      <c r="A376" s="22" t="s">
        <v>1136</v>
      </c>
      <c r="B376" t="s">
        <v>1470</v>
      </c>
      <c r="C376" t="s">
        <v>1459</v>
      </c>
      <c r="D376" t="str">
        <f t="shared" si="10"/>
        <v>a01护卫长剑</v>
      </c>
      <c r="E376" s="6">
        <v>30</v>
      </c>
      <c r="F376" s="6">
        <v>2450</v>
      </c>
      <c r="G376">
        <v>10</v>
      </c>
      <c r="L376" s="22" t="s">
        <v>1459</v>
      </c>
      <c r="M376" s="127" t="s">
        <v>1641</v>
      </c>
      <c r="N376" s="127" t="str">
        <f t="shared" si="11"/>
        <v>护卫长剑·壹</v>
      </c>
    </row>
    <row r="377" spans="1:14" ht="16.5">
      <c r="A377" s="22" t="s">
        <v>1137</v>
      </c>
      <c r="B377" t="s">
        <v>1471</v>
      </c>
      <c r="C377" t="s">
        <v>1459</v>
      </c>
      <c r="D377" t="str">
        <f t="shared" si="10"/>
        <v>a02护卫长剑</v>
      </c>
      <c r="E377" s="6">
        <v>2030</v>
      </c>
      <c r="F377" s="100">
        <v>2030</v>
      </c>
      <c r="G377">
        <v>20</v>
      </c>
      <c r="L377" s="100" t="s">
        <v>1459</v>
      </c>
      <c r="M377" s="127" t="s">
        <v>1642</v>
      </c>
      <c r="N377" s="127" t="str">
        <f t="shared" si="11"/>
        <v>护卫长剑·贰</v>
      </c>
    </row>
    <row r="378" spans="1:14" ht="16.5">
      <c r="A378" s="22" t="s">
        <v>1138</v>
      </c>
      <c r="B378" t="s">
        <v>1472</v>
      </c>
      <c r="C378" t="s">
        <v>1459</v>
      </c>
      <c r="D378" t="str">
        <f t="shared" si="10"/>
        <v>a03护卫长剑</v>
      </c>
      <c r="E378" s="6">
        <v>20301</v>
      </c>
      <c r="F378" s="6">
        <v>2451</v>
      </c>
      <c r="G378">
        <v>30</v>
      </c>
      <c r="L378" s="22" t="s">
        <v>1459</v>
      </c>
      <c r="M378" s="127" t="s">
        <v>1643</v>
      </c>
      <c r="N378" s="127" t="str">
        <f t="shared" si="11"/>
        <v>护卫长剑·叁</v>
      </c>
    </row>
    <row r="379" spans="1:14" ht="16.5">
      <c r="A379" s="22" t="s">
        <v>1139</v>
      </c>
      <c r="B379" t="s">
        <v>1473</v>
      </c>
      <c r="C379" t="s">
        <v>1459</v>
      </c>
      <c r="D379" t="str">
        <f t="shared" si="10"/>
        <v>a04护卫长剑</v>
      </c>
      <c r="E379" s="6">
        <v>20302</v>
      </c>
      <c r="F379" s="6">
        <v>2452</v>
      </c>
      <c r="G379">
        <v>40</v>
      </c>
      <c r="L379" s="22" t="s">
        <v>1459</v>
      </c>
      <c r="M379" s="127" t="s">
        <v>1644</v>
      </c>
      <c r="N379" s="127" t="str">
        <f t="shared" si="11"/>
        <v>护卫长剑·肆</v>
      </c>
    </row>
    <row r="380" spans="1:14" ht="16.5">
      <c r="A380" s="22" t="s">
        <v>1140</v>
      </c>
      <c r="B380" t="s">
        <v>1474</v>
      </c>
      <c r="C380" t="s">
        <v>1459</v>
      </c>
      <c r="D380" t="str">
        <f t="shared" si="10"/>
        <v>a05护卫长剑</v>
      </c>
      <c r="E380" s="6">
        <v>20303</v>
      </c>
      <c r="F380" s="6">
        <v>2453</v>
      </c>
      <c r="G380">
        <v>50</v>
      </c>
      <c r="L380" s="22" t="s">
        <v>1459</v>
      </c>
      <c r="M380" s="127" t="s">
        <v>1645</v>
      </c>
      <c r="N380" s="127" t="str">
        <f t="shared" si="11"/>
        <v>护卫长剑·伍</v>
      </c>
    </row>
    <row r="381" spans="1:14" ht="16.5">
      <c r="A381" s="22" t="s">
        <v>1141</v>
      </c>
      <c r="B381" t="s">
        <v>1475</v>
      </c>
      <c r="C381" t="s">
        <v>1459</v>
      </c>
      <c r="D381" t="str">
        <f t="shared" si="10"/>
        <v>a06护卫长剑</v>
      </c>
      <c r="E381" s="6">
        <v>20304</v>
      </c>
      <c r="F381" s="6">
        <v>2454</v>
      </c>
      <c r="G381">
        <v>60</v>
      </c>
      <c r="L381" s="22" t="s">
        <v>1459</v>
      </c>
      <c r="M381" s="127" t="s">
        <v>1646</v>
      </c>
      <c r="N381" s="127" t="str">
        <f t="shared" si="11"/>
        <v>护卫长剑·陆</v>
      </c>
    </row>
    <row r="382" spans="1:14" ht="16.5">
      <c r="A382" s="22" t="s">
        <v>1142</v>
      </c>
      <c r="B382" t="s">
        <v>1476</v>
      </c>
      <c r="C382" t="s">
        <v>1459</v>
      </c>
      <c r="D382" t="str">
        <f t="shared" si="10"/>
        <v>a07护卫长剑</v>
      </c>
      <c r="E382" s="6">
        <v>20305</v>
      </c>
      <c r="F382" s="6">
        <v>2455</v>
      </c>
      <c r="G382">
        <v>70</v>
      </c>
      <c r="L382" s="22" t="s">
        <v>1459</v>
      </c>
      <c r="M382" s="127" t="s">
        <v>1647</v>
      </c>
      <c r="N382" s="127" t="str">
        <f t="shared" si="11"/>
        <v>护卫长剑·柒</v>
      </c>
    </row>
    <row r="383" spans="1:14" ht="16.5">
      <c r="A383" s="22" t="s">
        <v>1143</v>
      </c>
      <c r="B383" t="s">
        <v>1477</v>
      </c>
      <c r="C383" t="s">
        <v>1459</v>
      </c>
      <c r="D383" t="str">
        <f t="shared" si="10"/>
        <v>a08护卫长剑</v>
      </c>
      <c r="E383" s="6">
        <v>20306</v>
      </c>
      <c r="F383" s="6">
        <v>2456</v>
      </c>
      <c r="G383">
        <v>80</v>
      </c>
      <c r="L383" s="22" t="s">
        <v>1459</v>
      </c>
      <c r="M383" s="127" t="s">
        <v>1648</v>
      </c>
      <c r="N383" s="127" t="str">
        <f t="shared" si="11"/>
        <v>护卫长剑·捌</v>
      </c>
    </row>
    <row r="384" spans="1:14" ht="16.5">
      <c r="A384" s="22" t="s">
        <v>1144</v>
      </c>
      <c r="B384" t="s">
        <v>1478</v>
      </c>
      <c r="C384" t="s">
        <v>1459</v>
      </c>
      <c r="D384" t="str">
        <f t="shared" si="10"/>
        <v>a09护卫长剑</v>
      </c>
      <c r="E384" s="6">
        <v>20307</v>
      </c>
      <c r="F384" s="6">
        <v>2457</v>
      </c>
      <c r="G384">
        <v>90</v>
      </c>
      <c r="L384" s="22" t="s">
        <v>1459</v>
      </c>
      <c r="M384" s="127" t="s">
        <v>1649</v>
      </c>
      <c r="N384" s="127" t="str">
        <f t="shared" si="11"/>
        <v>护卫长剑·玖</v>
      </c>
    </row>
    <row r="385" spans="1:14" ht="16.5">
      <c r="A385" s="22" t="s">
        <v>1145</v>
      </c>
      <c r="B385" t="s">
        <v>1479</v>
      </c>
      <c r="C385" t="s">
        <v>1459</v>
      </c>
      <c r="D385" t="str">
        <f t="shared" si="10"/>
        <v>a10护卫长剑</v>
      </c>
      <c r="E385" s="6">
        <v>20308</v>
      </c>
      <c r="F385" s="6">
        <v>2458</v>
      </c>
      <c r="G385">
        <v>100</v>
      </c>
      <c r="L385" s="22" t="s">
        <v>1459</v>
      </c>
      <c r="M385" s="127" t="s">
        <v>1650</v>
      </c>
      <c r="N385" s="127" t="str">
        <f t="shared" si="11"/>
        <v>护卫长剑·十</v>
      </c>
    </row>
    <row r="386" spans="1:14" ht="16.5">
      <c r="A386" s="22" t="s">
        <v>1146</v>
      </c>
      <c r="B386" t="s">
        <v>1480</v>
      </c>
      <c r="C386" t="s">
        <v>1459</v>
      </c>
      <c r="D386" t="str">
        <f t="shared" ref="D386:D449" si="12">B386&amp;C386</f>
        <v>a11护卫长剑</v>
      </c>
      <c r="E386" s="6">
        <v>20309</v>
      </c>
      <c r="F386" s="6">
        <v>2459</v>
      </c>
      <c r="G386">
        <v>110</v>
      </c>
      <c r="L386" s="22" t="s">
        <v>1459</v>
      </c>
      <c r="M386" s="127" t="s">
        <v>1651</v>
      </c>
      <c r="N386" s="127" t="str">
        <f t="shared" ref="N386:N449" si="13">L386&amp;M386</f>
        <v>护卫长剑·凡</v>
      </c>
    </row>
    <row r="387" spans="1:14" ht="16.5">
      <c r="A387" s="22" t="s">
        <v>1147</v>
      </c>
      <c r="B387" t="s">
        <v>1481</v>
      </c>
      <c r="C387" t="s">
        <v>1459</v>
      </c>
      <c r="D387" t="str">
        <f t="shared" si="12"/>
        <v>a12护卫长剑</v>
      </c>
      <c r="E387" s="6">
        <v>20310</v>
      </c>
      <c r="F387" s="6">
        <v>2460</v>
      </c>
      <c r="G387">
        <v>120</v>
      </c>
      <c r="L387" s="22" t="s">
        <v>1459</v>
      </c>
      <c r="M387" s="127" t="s">
        <v>1652</v>
      </c>
      <c r="N387" s="127" t="str">
        <f t="shared" si="13"/>
        <v>护卫长剑·皇</v>
      </c>
    </row>
    <row r="388" spans="1:14" ht="16.5">
      <c r="A388" s="22" t="s">
        <v>1148</v>
      </c>
      <c r="B388" t="s">
        <v>1482</v>
      </c>
      <c r="C388" t="s">
        <v>1459</v>
      </c>
      <c r="D388" t="str">
        <f t="shared" si="12"/>
        <v>a13护卫长剑</v>
      </c>
      <c r="E388" s="6">
        <v>203111</v>
      </c>
      <c r="F388" s="6">
        <v>2461</v>
      </c>
      <c r="G388">
        <v>130</v>
      </c>
      <c r="L388" s="22" t="s">
        <v>1459</v>
      </c>
      <c r="M388" s="127" t="s">
        <v>1653</v>
      </c>
      <c r="N388" s="127" t="str">
        <f t="shared" si="13"/>
        <v>护卫长剑·玄</v>
      </c>
    </row>
    <row r="389" spans="1:14" ht="16.5">
      <c r="A389" s="22" t="s">
        <v>1149</v>
      </c>
      <c r="B389" t="s">
        <v>1483</v>
      </c>
      <c r="C389" t="s">
        <v>1459</v>
      </c>
      <c r="D389" t="str">
        <f t="shared" si="12"/>
        <v>a14护卫长剑</v>
      </c>
      <c r="E389" s="6">
        <v>203112</v>
      </c>
      <c r="F389" s="6">
        <v>2462</v>
      </c>
      <c r="G389">
        <v>140</v>
      </c>
      <c r="L389" s="22" t="s">
        <v>1459</v>
      </c>
      <c r="M389" s="127" t="s">
        <v>1654</v>
      </c>
      <c r="N389" s="127" t="str">
        <f t="shared" si="13"/>
        <v>护卫长剑·地</v>
      </c>
    </row>
    <row r="390" spans="1:14" ht="16.5">
      <c r="A390" s="22" t="s">
        <v>1150</v>
      </c>
      <c r="B390" t="s">
        <v>1484</v>
      </c>
      <c r="C390" t="s">
        <v>1459</v>
      </c>
      <c r="D390" t="str">
        <f t="shared" si="12"/>
        <v>a15护卫长剑</v>
      </c>
      <c r="E390" s="6">
        <v>203113</v>
      </c>
      <c r="F390" s="6">
        <v>2463</v>
      </c>
      <c r="G390">
        <v>150</v>
      </c>
      <c r="L390" s="22" t="s">
        <v>1459</v>
      </c>
      <c r="M390" s="127" t="s">
        <v>1655</v>
      </c>
      <c r="N390" s="127" t="str">
        <f t="shared" si="13"/>
        <v>护卫长剑·天</v>
      </c>
    </row>
    <row r="391" spans="1:14" ht="16.5">
      <c r="A391" s="22" t="s">
        <v>1151</v>
      </c>
      <c r="B391" t="s">
        <v>1470</v>
      </c>
      <c r="C391" t="s">
        <v>1460</v>
      </c>
      <c r="D391" t="str">
        <f t="shared" si="12"/>
        <v>a01护卫头盔</v>
      </c>
      <c r="E391" s="6">
        <v>31</v>
      </c>
      <c r="F391" s="6">
        <v>2464</v>
      </c>
      <c r="G391">
        <v>10</v>
      </c>
      <c r="L391" s="22" t="s">
        <v>1460</v>
      </c>
      <c r="M391" s="127" t="s">
        <v>1641</v>
      </c>
      <c r="N391" s="127" t="str">
        <f t="shared" si="13"/>
        <v>护卫头盔·壹</v>
      </c>
    </row>
    <row r="392" spans="1:14" ht="16.5">
      <c r="A392" s="22" t="s">
        <v>1152</v>
      </c>
      <c r="B392" t="s">
        <v>1471</v>
      </c>
      <c r="C392" t="s">
        <v>1460</v>
      </c>
      <c r="D392" t="str">
        <f t="shared" si="12"/>
        <v>a02护卫头盔</v>
      </c>
      <c r="E392" s="6">
        <v>2031</v>
      </c>
      <c r="F392" s="100">
        <v>2031</v>
      </c>
      <c r="G392">
        <v>20</v>
      </c>
      <c r="L392" s="100" t="s">
        <v>1460</v>
      </c>
      <c r="M392" s="127" t="s">
        <v>1642</v>
      </c>
      <c r="N392" s="127" t="str">
        <f t="shared" si="13"/>
        <v>护卫头盔·贰</v>
      </c>
    </row>
    <row r="393" spans="1:14" ht="16.5">
      <c r="A393" s="22" t="s">
        <v>1153</v>
      </c>
      <c r="B393" t="s">
        <v>1472</v>
      </c>
      <c r="C393" t="s">
        <v>1460</v>
      </c>
      <c r="D393" t="str">
        <f t="shared" si="12"/>
        <v>a03护卫头盔</v>
      </c>
      <c r="E393" s="6">
        <v>20311</v>
      </c>
      <c r="F393" s="6">
        <v>2465</v>
      </c>
      <c r="G393">
        <v>30</v>
      </c>
      <c r="L393" s="22" t="s">
        <v>1460</v>
      </c>
      <c r="M393" s="127" t="s">
        <v>1643</v>
      </c>
      <c r="N393" s="127" t="str">
        <f t="shared" si="13"/>
        <v>护卫头盔·叁</v>
      </c>
    </row>
    <row r="394" spans="1:14" ht="16.5">
      <c r="A394" s="22" t="s">
        <v>1154</v>
      </c>
      <c r="B394" t="s">
        <v>1473</v>
      </c>
      <c r="C394" t="s">
        <v>1460</v>
      </c>
      <c r="D394" t="str">
        <f t="shared" si="12"/>
        <v>a04护卫头盔</v>
      </c>
      <c r="E394" s="6">
        <v>20312</v>
      </c>
      <c r="F394" s="6">
        <v>2466</v>
      </c>
      <c r="G394">
        <v>40</v>
      </c>
      <c r="L394" s="22" t="s">
        <v>1460</v>
      </c>
      <c r="M394" s="127" t="s">
        <v>1644</v>
      </c>
      <c r="N394" s="127" t="str">
        <f t="shared" si="13"/>
        <v>护卫头盔·肆</v>
      </c>
    </row>
    <row r="395" spans="1:14" ht="16.5">
      <c r="A395" s="22" t="s">
        <v>1155</v>
      </c>
      <c r="B395" t="s">
        <v>1474</v>
      </c>
      <c r="C395" t="s">
        <v>1460</v>
      </c>
      <c r="D395" t="str">
        <f t="shared" si="12"/>
        <v>a05护卫头盔</v>
      </c>
      <c r="E395" s="6">
        <v>20313</v>
      </c>
      <c r="F395" s="6">
        <v>2467</v>
      </c>
      <c r="G395">
        <v>50</v>
      </c>
      <c r="L395" s="22" t="s">
        <v>1460</v>
      </c>
      <c r="M395" s="127" t="s">
        <v>1645</v>
      </c>
      <c r="N395" s="127" t="str">
        <f t="shared" si="13"/>
        <v>护卫头盔·伍</v>
      </c>
    </row>
    <row r="396" spans="1:14" ht="16.5">
      <c r="A396" s="22" t="s">
        <v>1156</v>
      </c>
      <c r="B396" t="s">
        <v>1475</v>
      </c>
      <c r="C396" t="s">
        <v>1460</v>
      </c>
      <c r="D396" t="str">
        <f t="shared" si="12"/>
        <v>a06护卫头盔</v>
      </c>
      <c r="E396" s="6">
        <v>20314</v>
      </c>
      <c r="F396" s="6">
        <v>2468</v>
      </c>
      <c r="G396">
        <v>60</v>
      </c>
      <c r="L396" s="22" t="s">
        <v>1460</v>
      </c>
      <c r="M396" s="127" t="s">
        <v>1646</v>
      </c>
      <c r="N396" s="127" t="str">
        <f t="shared" si="13"/>
        <v>护卫头盔·陆</v>
      </c>
    </row>
    <row r="397" spans="1:14" ht="16.5">
      <c r="A397" s="22" t="s">
        <v>1157</v>
      </c>
      <c r="B397" t="s">
        <v>1476</v>
      </c>
      <c r="C397" t="s">
        <v>1460</v>
      </c>
      <c r="D397" t="str">
        <f t="shared" si="12"/>
        <v>a07护卫头盔</v>
      </c>
      <c r="E397" s="6">
        <v>20315</v>
      </c>
      <c r="F397" s="6">
        <v>2469</v>
      </c>
      <c r="G397">
        <v>70</v>
      </c>
      <c r="L397" s="22" t="s">
        <v>1460</v>
      </c>
      <c r="M397" s="127" t="s">
        <v>1647</v>
      </c>
      <c r="N397" s="127" t="str">
        <f t="shared" si="13"/>
        <v>护卫头盔·柒</v>
      </c>
    </row>
    <row r="398" spans="1:14" ht="16.5">
      <c r="A398" s="22" t="s">
        <v>1158</v>
      </c>
      <c r="B398" t="s">
        <v>1477</v>
      </c>
      <c r="C398" t="s">
        <v>1460</v>
      </c>
      <c r="D398" t="str">
        <f t="shared" si="12"/>
        <v>a08护卫头盔</v>
      </c>
      <c r="E398" s="6">
        <v>20316</v>
      </c>
      <c r="F398" s="6">
        <v>2470</v>
      </c>
      <c r="G398">
        <v>80</v>
      </c>
      <c r="L398" s="22" t="s">
        <v>1460</v>
      </c>
      <c r="M398" s="127" t="s">
        <v>1648</v>
      </c>
      <c r="N398" s="127" t="str">
        <f t="shared" si="13"/>
        <v>护卫头盔·捌</v>
      </c>
    </row>
    <row r="399" spans="1:14" ht="16.5">
      <c r="A399" s="22" t="s">
        <v>1159</v>
      </c>
      <c r="B399" t="s">
        <v>1478</v>
      </c>
      <c r="C399" t="s">
        <v>1460</v>
      </c>
      <c r="D399" t="str">
        <f t="shared" si="12"/>
        <v>a09护卫头盔</v>
      </c>
      <c r="E399" s="6">
        <v>20317</v>
      </c>
      <c r="F399" s="6">
        <v>2471</v>
      </c>
      <c r="G399">
        <v>90</v>
      </c>
      <c r="L399" s="22" t="s">
        <v>1460</v>
      </c>
      <c r="M399" s="127" t="s">
        <v>1649</v>
      </c>
      <c r="N399" s="127" t="str">
        <f t="shared" si="13"/>
        <v>护卫头盔·玖</v>
      </c>
    </row>
    <row r="400" spans="1:14" ht="16.5">
      <c r="A400" s="22" t="s">
        <v>1160</v>
      </c>
      <c r="B400" t="s">
        <v>1479</v>
      </c>
      <c r="C400" t="s">
        <v>1460</v>
      </c>
      <c r="D400" t="str">
        <f t="shared" si="12"/>
        <v>a10护卫头盔</v>
      </c>
      <c r="E400" s="6">
        <v>20318</v>
      </c>
      <c r="F400" s="6">
        <v>2472</v>
      </c>
      <c r="G400">
        <v>100</v>
      </c>
      <c r="L400" s="22" t="s">
        <v>1460</v>
      </c>
      <c r="M400" s="127" t="s">
        <v>1650</v>
      </c>
      <c r="N400" s="127" t="str">
        <f t="shared" si="13"/>
        <v>护卫头盔·十</v>
      </c>
    </row>
    <row r="401" spans="1:14" ht="16.5">
      <c r="A401" s="22" t="s">
        <v>1161</v>
      </c>
      <c r="B401" t="s">
        <v>1480</v>
      </c>
      <c r="C401" t="s">
        <v>1460</v>
      </c>
      <c r="D401" t="str">
        <f t="shared" si="12"/>
        <v>a11护卫头盔</v>
      </c>
      <c r="E401" s="6">
        <v>20319</v>
      </c>
      <c r="F401" s="6">
        <v>2473</v>
      </c>
      <c r="G401">
        <v>110</v>
      </c>
      <c r="L401" s="22" t="s">
        <v>1460</v>
      </c>
      <c r="M401" s="127" t="s">
        <v>1651</v>
      </c>
      <c r="N401" s="127" t="str">
        <f t="shared" si="13"/>
        <v>护卫头盔·凡</v>
      </c>
    </row>
    <row r="402" spans="1:14" ht="16.5">
      <c r="A402" s="22" t="s">
        <v>1162</v>
      </c>
      <c r="B402" t="s">
        <v>1481</v>
      </c>
      <c r="C402" t="s">
        <v>1460</v>
      </c>
      <c r="D402" t="str">
        <f t="shared" si="12"/>
        <v>a12护卫头盔</v>
      </c>
      <c r="E402" s="6">
        <v>20320</v>
      </c>
      <c r="F402" s="6">
        <v>2474</v>
      </c>
      <c r="G402">
        <v>120</v>
      </c>
      <c r="L402" s="22" t="s">
        <v>1460</v>
      </c>
      <c r="M402" s="127" t="s">
        <v>1652</v>
      </c>
      <c r="N402" s="127" t="str">
        <f t="shared" si="13"/>
        <v>护卫头盔·皇</v>
      </c>
    </row>
    <row r="403" spans="1:14" ht="16.5">
      <c r="A403" s="22" t="s">
        <v>1163</v>
      </c>
      <c r="B403" t="s">
        <v>1482</v>
      </c>
      <c r="C403" t="s">
        <v>1460</v>
      </c>
      <c r="D403" t="str">
        <f t="shared" si="12"/>
        <v>a13护卫头盔</v>
      </c>
      <c r="E403" s="6">
        <v>203211</v>
      </c>
      <c r="F403" s="6">
        <v>2475</v>
      </c>
      <c r="G403">
        <v>130</v>
      </c>
      <c r="L403" s="22" t="s">
        <v>1460</v>
      </c>
      <c r="M403" s="127" t="s">
        <v>1653</v>
      </c>
      <c r="N403" s="127" t="str">
        <f t="shared" si="13"/>
        <v>护卫头盔·玄</v>
      </c>
    </row>
    <row r="404" spans="1:14" ht="16.5">
      <c r="A404" s="22" t="s">
        <v>1164</v>
      </c>
      <c r="B404" t="s">
        <v>1483</v>
      </c>
      <c r="C404" t="s">
        <v>1460</v>
      </c>
      <c r="D404" t="str">
        <f t="shared" si="12"/>
        <v>a14护卫头盔</v>
      </c>
      <c r="E404" s="6">
        <v>203212</v>
      </c>
      <c r="F404" s="6">
        <v>2476</v>
      </c>
      <c r="G404">
        <v>140</v>
      </c>
      <c r="L404" s="22" t="s">
        <v>1460</v>
      </c>
      <c r="M404" s="127" t="s">
        <v>1654</v>
      </c>
      <c r="N404" s="127" t="str">
        <f t="shared" si="13"/>
        <v>护卫头盔·地</v>
      </c>
    </row>
    <row r="405" spans="1:14" ht="16.5">
      <c r="A405" s="22" t="s">
        <v>1165</v>
      </c>
      <c r="B405" t="s">
        <v>1484</v>
      </c>
      <c r="C405" t="s">
        <v>1460</v>
      </c>
      <c r="D405" t="str">
        <f t="shared" si="12"/>
        <v>a15护卫头盔</v>
      </c>
      <c r="E405" s="6">
        <v>203213</v>
      </c>
      <c r="F405" s="6">
        <v>2477</v>
      </c>
      <c r="G405">
        <v>150</v>
      </c>
      <c r="L405" s="22" t="s">
        <v>1460</v>
      </c>
      <c r="M405" s="127" t="s">
        <v>1655</v>
      </c>
      <c r="N405" s="127" t="str">
        <f t="shared" si="13"/>
        <v>护卫头盔·天</v>
      </c>
    </row>
    <row r="406" spans="1:14" ht="16.5">
      <c r="A406" s="22" t="s">
        <v>1166</v>
      </c>
      <c r="B406" t="s">
        <v>1470</v>
      </c>
      <c r="C406" t="s">
        <v>1461</v>
      </c>
      <c r="D406" t="str">
        <f t="shared" si="12"/>
        <v>a01护卫战靴</v>
      </c>
      <c r="E406" s="6">
        <v>32</v>
      </c>
      <c r="F406" s="6">
        <v>2478</v>
      </c>
      <c r="G406">
        <v>10</v>
      </c>
      <c r="L406" s="22" t="s">
        <v>1461</v>
      </c>
      <c r="M406" s="127" t="s">
        <v>1641</v>
      </c>
      <c r="N406" s="127" t="str">
        <f t="shared" si="13"/>
        <v>护卫战靴·壹</v>
      </c>
    </row>
    <row r="407" spans="1:14" ht="16.5">
      <c r="A407" s="22" t="s">
        <v>1167</v>
      </c>
      <c r="B407" t="s">
        <v>1471</v>
      </c>
      <c r="C407" t="s">
        <v>1461</v>
      </c>
      <c r="D407" t="str">
        <f t="shared" si="12"/>
        <v>a02护卫战靴</v>
      </c>
      <c r="E407" s="6">
        <v>2032</v>
      </c>
      <c r="F407" s="100">
        <v>2032</v>
      </c>
      <c r="G407">
        <v>20</v>
      </c>
      <c r="L407" s="100" t="s">
        <v>1461</v>
      </c>
      <c r="M407" s="127" t="s">
        <v>1642</v>
      </c>
      <c r="N407" s="127" t="str">
        <f t="shared" si="13"/>
        <v>护卫战靴·贰</v>
      </c>
    </row>
    <row r="408" spans="1:14" ht="16.5">
      <c r="A408" s="22" t="s">
        <v>1168</v>
      </c>
      <c r="B408" t="s">
        <v>1472</v>
      </c>
      <c r="C408" t="s">
        <v>1461</v>
      </c>
      <c r="D408" t="str">
        <f t="shared" si="12"/>
        <v>a03护卫战靴</v>
      </c>
      <c r="E408" s="6">
        <v>20321</v>
      </c>
      <c r="F408" s="6">
        <v>2479</v>
      </c>
      <c r="G408">
        <v>30</v>
      </c>
      <c r="L408" s="22" t="s">
        <v>1461</v>
      </c>
      <c r="M408" s="127" t="s">
        <v>1643</v>
      </c>
      <c r="N408" s="127" t="str">
        <f t="shared" si="13"/>
        <v>护卫战靴·叁</v>
      </c>
    </row>
    <row r="409" spans="1:14" ht="16.5">
      <c r="A409" s="22" t="s">
        <v>1169</v>
      </c>
      <c r="B409" t="s">
        <v>1473</v>
      </c>
      <c r="C409" t="s">
        <v>1461</v>
      </c>
      <c r="D409" t="str">
        <f t="shared" si="12"/>
        <v>a04护卫战靴</v>
      </c>
      <c r="E409" s="6">
        <v>20322</v>
      </c>
      <c r="F409" s="6">
        <v>2480</v>
      </c>
      <c r="G409">
        <v>40</v>
      </c>
      <c r="L409" s="22" t="s">
        <v>1461</v>
      </c>
      <c r="M409" s="127" t="s">
        <v>1644</v>
      </c>
      <c r="N409" s="127" t="str">
        <f t="shared" si="13"/>
        <v>护卫战靴·肆</v>
      </c>
    </row>
    <row r="410" spans="1:14" ht="16.5">
      <c r="A410" s="22" t="s">
        <v>1170</v>
      </c>
      <c r="B410" t="s">
        <v>1474</v>
      </c>
      <c r="C410" t="s">
        <v>1461</v>
      </c>
      <c r="D410" t="str">
        <f t="shared" si="12"/>
        <v>a05护卫战靴</v>
      </c>
      <c r="E410" s="6">
        <v>20323</v>
      </c>
      <c r="F410" s="6">
        <v>2481</v>
      </c>
      <c r="G410">
        <v>50</v>
      </c>
      <c r="L410" s="22" t="s">
        <v>1461</v>
      </c>
      <c r="M410" s="127" t="s">
        <v>1645</v>
      </c>
      <c r="N410" s="127" t="str">
        <f t="shared" si="13"/>
        <v>护卫战靴·伍</v>
      </c>
    </row>
    <row r="411" spans="1:14" ht="16.5">
      <c r="A411" s="22" t="s">
        <v>1171</v>
      </c>
      <c r="B411" t="s">
        <v>1475</v>
      </c>
      <c r="C411" t="s">
        <v>1461</v>
      </c>
      <c r="D411" t="str">
        <f t="shared" si="12"/>
        <v>a06护卫战靴</v>
      </c>
      <c r="E411" s="6">
        <v>20324</v>
      </c>
      <c r="F411" s="6">
        <v>2482</v>
      </c>
      <c r="G411">
        <v>60</v>
      </c>
      <c r="L411" s="22" t="s">
        <v>1461</v>
      </c>
      <c r="M411" s="127" t="s">
        <v>1646</v>
      </c>
      <c r="N411" s="127" t="str">
        <f t="shared" si="13"/>
        <v>护卫战靴·陆</v>
      </c>
    </row>
    <row r="412" spans="1:14" ht="16.5">
      <c r="A412" s="22" t="s">
        <v>1172</v>
      </c>
      <c r="B412" t="s">
        <v>1476</v>
      </c>
      <c r="C412" t="s">
        <v>1461</v>
      </c>
      <c r="D412" t="str">
        <f t="shared" si="12"/>
        <v>a07护卫战靴</v>
      </c>
      <c r="E412" s="6">
        <v>20325</v>
      </c>
      <c r="F412" s="6">
        <v>2483</v>
      </c>
      <c r="G412">
        <v>70</v>
      </c>
      <c r="L412" s="22" t="s">
        <v>1461</v>
      </c>
      <c r="M412" s="127" t="s">
        <v>1647</v>
      </c>
      <c r="N412" s="127" t="str">
        <f t="shared" si="13"/>
        <v>护卫战靴·柒</v>
      </c>
    </row>
    <row r="413" spans="1:14" ht="16.5">
      <c r="A413" s="22" t="s">
        <v>1173</v>
      </c>
      <c r="B413" t="s">
        <v>1477</v>
      </c>
      <c r="C413" t="s">
        <v>1461</v>
      </c>
      <c r="D413" t="str">
        <f t="shared" si="12"/>
        <v>a08护卫战靴</v>
      </c>
      <c r="E413" s="6">
        <v>20326</v>
      </c>
      <c r="F413" s="6">
        <v>2484</v>
      </c>
      <c r="G413">
        <v>80</v>
      </c>
      <c r="L413" s="22" t="s">
        <v>1461</v>
      </c>
      <c r="M413" s="127" t="s">
        <v>1648</v>
      </c>
      <c r="N413" s="127" t="str">
        <f t="shared" si="13"/>
        <v>护卫战靴·捌</v>
      </c>
    </row>
    <row r="414" spans="1:14" ht="16.5">
      <c r="A414" s="22" t="s">
        <v>1174</v>
      </c>
      <c r="B414" t="s">
        <v>1478</v>
      </c>
      <c r="C414" t="s">
        <v>1461</v>
      </c>
      <c r="D414" t="str">
        <f t="shared" si="12"/>
        <v>a09护卫战靴</v>
      </c>
      <c r="E414" s="6">
        <v>20327</v>
      </c>
      <c r="F414" s="6">
        <v>2485</v>
      </c>
      <c r="G414">
        <v>90</v>
      </c>
      <c r="L414" s="22" t="s">
        <v>1461</v>
      </c>
      <c r="M414" s="127" t="s">
        <v>1649</v>
      </c>
      <c r="N414" s="127" t="str">
        <f t="shared" si="13"/>
        <v>护卫战靴·玖</v>
      </c>
    </row>
    <row r="415" spans="1:14" ht="16.5">
      <c r="A415" s="22" t="s">
        <v>1175</v>
      </c>
      <c r="B415" t="s">
        <v>1479</v>
      </c>
      <c r="C415" t="s">
        <v>1461</v>
      </c>
      <c r="D415" t="str">
        <f t="shared" si="12"/>
        <v>a10护卫战靴</v>
      </c>
      <c r="E415" s="6">
        <v>20328</v>
      </c>
      <c r="F415" s="6">
        <v>2486</v>
      </c>
      <c r="G415">
        <v>100</v>
      </c>
      <c r="L415" s="22" t="s">
        <v>1461</v>
      </c>
      <c r="M415" s="127" t="s">
        <v>1650</v>
      </c>
      <c r="N415" s="127" t="str">
        <f t="shared" si="13"/>
        <v>护卫战靴·十</v>
      </c>
    </row>
    <row r="416" spans="1:14" ht="16.5">
      <c r="A416" s="22" t="s">
        <v>1176</v>
      </c>
      <c r="B416" t="s">
        <v>1480</v>
      </c>
      <c r="C416" t="s">
        <v>1461</v>
      </c>
      <c r="D416" t="str">
        <f t="shared" si="12"/>
        <v>a11护卫战靴</v>
      </c>
      <c r="E416" s="6">
        <v>20329</v>
      </c>
      <c r="F416" s="6">
        <v>2487</v>
      </c>
      <c r="G416">
        <v>110</v>
      </c>
      <c r="L416" s="22" t="s">
        <v>1461</v>
      </c>
      <c r="M416" s="127" t="s">
        <v>1651</v>
      </c>
      <c r="N416" s="127" t="str">
        <f t="shared" si="13"/>
        <v>护卫战靴·凡</v>
      </c>
    </row>
    <row r="417" spans="1:14" ht="16.5">
      <c r="A417" s="22" t="s">
        <v>1177</v>
      </c>
      <c r="B417" t="s">
        <v>1481</v>
      </c>
      <c r="C417" t="s">
        <v>1461</v>
      </c>
      <c r="D417" t="str">
        <f t="shared" si="12"/>
        <v>a12护卫战靴</v>
      </c>
      <c r="E417" s="6">
        <v>20330</v>
      </c>
      <c r="F417" s="6">
        <v>2488</v>
      </c>
      <c r="G417">
        <v>120</v>
      </c>
      <c r="L417" s="22" t="s">
        <v>1461</v>
      </c>
      <c r="M417" s="127" t="s">
        <v>1652</v>
      </c>
      <c r="N417" s="127" t="str">
        <f t="shared" si="13"/>
        <v>护卫战靴·皇</v>
      </c>
    </row>
    <row r="418" spans="1:14" ht="16.5">
      <c r="A418" s="22" t="s">
        <v>1178</v>
      </c>
      <c r="B418" t="s">
        <v>1482</v>
      </c>
      <c r="C418" t="s">
        <v>1461</v>
      </c>
      <c r="D418" t="str">
        <f t="shared" si="12"/>
        <v>a13护卫战靴</v>
      </c>
      <c r="E418" s="6">
        <v>203311</v>
      </c>
      <c r="F418" s="6">
        <v>2489</v>
      </c>
      <c r="G418">
        <v>130</v>
      </c>
      <c r="L418" s="22" t="s">
        <v>1461</v>
      </c>
      <c r="M418" s="127" t="s">
        <v>1653</v>
      </c>
      <c r="N418" s="127" t="str">
        <f t="shared" si="13"/>
        <v>护卫战靴·玄</v>
      </c>
    </row>
    <row r="419" spans="1:14" ht="16.5">
      <c r="A419" s="22" t="s">
        <v>1179</v>
      </c>
      <c r="B419" t="s">
        <v>1483</v>
      </c>
      <c r="C419" t="s">
        <v>1461</v>
      </c>
      <c r="D419" t="str">
        <f t="shared" si="12"/>
        <v>a14护卫战靴</v>
      </c>
      <c r="E419" s="6">
        <v>203312</v>
      </c>
      <c r="F419" s="6">
        <v>2490</v>
      </c>
      <c r="G419">
        <v>140</v>
      </c>
      <c r="L419" s="22" t="s">
        <v>1461</v>
      </c>
      <c r="M419" s="127" t="s">
        <v>1654</v>
      </c>
      <c r="N419" s="127" t="str">
        <f t="shared" si="13"/>
        <v>护卫战靴·地</v>
      </c>
    </row>
    <row r="420" spans="1:14" ht="16.5">
      <c r="A420" s="22" t="s">
        <v>1180</v>
      </c>
      <c r="B420" t="s">
        <v>1484</v>
      </c>
      <c r="C420" t="s">
        <v>1461</v>
      </c>
      <c r="D420" t="str">
        <f t="shared" si="12"/>
        <v>a15护卫战靴</v>
      </c>
      <c r="E420" s="6">
        <v>203313</v>
      </c>
      <c r="F420" s="6">
        <v>2491</v>
      </c>
      <c r="G420">
        <v>150</v>
      </c>
      <c r="L420" s="22" t="s">
        <v>1461</v>
      </c>
      <c r="M420" s="127" t="s">
        <v>1655</v>
      </c>
      <c r="N420" s="127" t="str">
        <f t="shared" si="13"/>
        <v>护卫战靴·天</v>
      </c>
    </row>
    <row r="421" spans="1:14" ht="16.5">
      <c r="A421" s="22" t="s">
        <v>1181</v>
      </c>
      <c r="B421" t="s">
        <v>1470</v>
      </c>
      <c r="C421" t="s">
        <v>1462</v>
      </c>
      <c r="D421" t="str">
        <f t="shared" si="12"/>
        <v>a01破魔战甲</v>
      </c>
      <c r="E421" s="6">
        <v>25</v>
      </c>
      <c r="F421" s="6">
        <v>2492</v>
      </c>
      <c r="G421">
        <v>10</v>
      </c>
      <c r="L421" s="22" t="s">
        <v>1462</v>
      </c>
      <c r="M421" s="127" t="s">
        <v>1641</v>
      </c>
      <c r="N421" s="127" t="str">
        <f t="shared" si="13"/>
        <v>破魔战甲·壹</v>
      </c>
    </row>
    <row r="422" spans="1:14" ht="16.5">
      <c r="A422" s="22" t="s">
        <v>1182</v>
      </c>
      <c r="B422" t="s">
        <v>1471</v>
      </c>
      <c r="C422" t="s">
        <v>1462</v>
      </c>
      <c r="D422" t="str">
        <f t="shared" si="12"/>
        <v>a02破魔战甲</v>
      </c>
      <c r="E422" s="6">
        <v>2025</v>
      </c>
      <c r="F422" s="100">
        <v>2025</v>
      </c>
      <c r="G422">
        <v>20</v>
      </c>
      <c r="L422" s="100" t="s">
        <v>1462</v>
      </c>
      <c r="M422" s="127" t="s">
        <v>1642</v>
      </c>
      <c r="N422" s="127" t="str">
        <f t="shared" si="13"/>
        <v>破魔战甲·贰</v>
      </c>
    </row>
    <row r="423" spans="1:14" ht="16.5">
      <c r="A423" s="22" t="s">
        <v>1183</v>
      </c>
      <c r="B423" t="s">
        <v>1472</v>
      </c>
      <c r="C423" t="s">
        <v>1462</v>
      </c>
      <c r="D423" t="str">
        <f t="shared" si="12"/>
        <v>a03破魔战甲</v>
      </c>
      <c r="E423" s="6">
        <v>20251</v>
      </c>
      <c r="F423" s="6">
        <v>2493</v>
      </c>
      <c r="G423">
        <v>30</v>
      </c>
      <c r="L423" s="22" t="s">
        <v>1462</v>
      </c>
      <c r="M423" s="127" t="s">
        <v>1643</v>
      </c>
      <c r="N423" s="127" t="str">
        <f t="shared" si="13"/>
        <v>破魔战甲·叁</v>
      </c>
    </row>
    <row r="424" spans="1:14" ht="16.5">
      <c r="A424" s="22" t="s">
        <v>1184</v>
      </c>
      <c r="B424" t="s">
        <v>1473</v>
      </c>
      <c r="C424" t="s">
        <v>1462</v>
      </c>
      <c r="D424" t="str">
        <f t="shared" si="12"/>
        <v>a04破魔战甲</v>
      </c>
      <c r="E424" s="6">
        <v>20252</v>
      </c>
      <c r="F424" s="6">
        <v>2494</v>
      </c>
      <c r="G424">
        <v>40</v>
      </c>
      <c r="L424" s="22" t="s">
        <v>1462</v>
      </c>
      <c r="M424" s="127" t="s">
        <v>1644</v>
      </c>
      <c r="N424" s="127" t="str">
        <f t="shared" si="13"/>
        <v>破魔战甲·肆</v>
      </c>
    </row>
    <row r="425" spans="1:14" ht="16.5">
      <c r="A425" s="22" t="s">
        <v>1185</v>
      </c>
      <c r="B425" t="s">
        <v>1474</v>
      </c>
      <c r="C425" t="s">
        <v>1462</v>
      </c>
      <c r="D425" t="str">
        <f t="shared" si="12"/>
        <v>a05破魔战甲</v>
      </c>
      <c r="E425" s="6">
        <v>20253</v>
      </c>
      <c r="F425" s="6">
        <v>2495</v>
      </c>
      <c r="G425">
        <v>50</v>
      </c>
      <c r="L425" s="22" t="s">
        <v>1462</v>
      </c>
      <c r="M425" s="127" t="s">
        <v>1645</v>
      </c>
      <c r="N425" s="127" t="str">
        <f t="shared" si="13"/>
        <v>破魔战甲·伍</v>
      </c>
    </row>
    <row r="426" spans="1:14" ht="16.5">
      <c r="A426" s="22" t="s">
        <v>1186</v>
      </c>
      <c r="B426" t="s">
        <v>1475</v>
      </c>
      <c r="C426" t="s">
        <v>1462</v>
      </c>
      <c r="D426" t="str">
        <f t="shared" si="12"/>
        <v>a06破魔战甲</v>
      </c>
      <c r="E426" s="6">
        <v>20254</v>
      </c>
      <c r="F426" s="6">
        <v>2496</v>
      </c>
      <c r="G426">
        <v>60</v>
      </c>
      <c r="L426" s="22" t="s">
        <v>1462</v>
      </c>
      <c r="M426" s="127" t="s">
        <v>1646</v>
      </c>
      <c r="N426" s="127" t="str">
        <f t="shared" si="13"/>
        <v>破魔战甲·陆</v>
      </c>
    </row>
    <row r="427" spans="1:14" ht="16.5">
      <c r="A427" s="22" t="s">
        <v>1187</v>
      </c>
      <c r="B427" t="s">
        <v>1476</v>
      </c>
      <c r="C427" t="s">
        <v>1462</v>
      </c>
      <c r="D427" t="str">
        <f t="shared" si="12"/>
        <v>a07破魔战甲</v>
      </c>
      <c r="E427" s="6">
        <v>20255</v>
      </c>
      <c r="F427" s="6">
        <v>2497</v>
      </c>
      <c r="G427">
        <v>70</v>
      </c>
      <c r="L427" s="22" t="s">
        <v>1462</v>
      </c>
      <c r="M427" s="127" t="s">
        <v>1647</v>
      </c>
      <c r="N427" s="127" t="str">
        <f t="shared" si="13"/>
        <v>破魔战甲·柒</v>
      </c>
    </row>
    <row r="428" spans="1:14" ht="16.5">
      <c r="A428" s="22" t="s">
        <v>1188</v>
      </c>
      <c r="B428" t="s">
        <v>1477</v>
      </c>
      <c r="C428" t="s">
        <v>1462</v>
      </c>
      <c r="D428" t="str">
        <f t="shared" si="12"/>
        <v>a08破魔战甲</v>
      </c>
      <c r="E428" s="6">
        <v>20256</v>
      </c>
      <c r="F428" s="6">
        <v>2498</v>
      </c>
      <c r="G428">
        <v>80</v>
      </c>
      <c r="L428" s="22" t="s">
        <v>1462</v>
      </c>
      <c r="M428" s="127" t="s">
        <v>1648</v>
      </c>
      <c r="N428" s="127" t="str">
        <f t="shared" si="13"/>
        <v>破魔战甲·捌</v>
      </c>
    </row>
    <row r="429" spans="1:14" ht="16.5">
      <c r="A429" s="22" t="s">
        <v>1189</v>
      </c>
      <c r="B429" t="s">
        <v>1478</v>
      </c>
      <c r="C429" t="s">
        <v>1462</v>
      </c>
      <c r="D429" t="str">
        <f t="shared" si="12"/>
        <v>a09破魔战甲</v>
      </c>
      <c r="E429" s="6">
        <v>20257</v>
      </c>
      <c r="F429" s="6">
        <v>2499</v>
      </c>
      <c r="G429">
        <v>90</v>
      </c>
      <c r="L429" s="22" t="s">
        <v>1462</v>
      </c>
      <c r="M429" s="127" t="s">
        <v>1649</v>
      </c>
      <c r="N429" s="127" t="str">
        <f t="shared" si="13"/>
        <v>破魔战甲·玖</v>
      </c>
    </row>
    <row r="430" spans="1:14" ht="16.5">
      <c r="A430" s="22" t="s">
        <v>1190</v>
      </c>
      <c r="B430" t="s">
        <v>1479</v>
      </c>
      <c r="C430" t="s">
        <v>1462</v>
      </c>
      <c r="D430" t="str">
        <f t="shared" si="12"/>
        <v>a10破魔战甲</v>
      </c>
      <c r="E430" s="6">
        <v>20258</v>
      </c>
      <c r="F430" s="6">
        <v>2500</v>
      </c>
      <c r="G430">
        <v>100</v>
      </c>
      <c r="L430" s="22" t="s">
        <v>1462</v>
      </c>
      <c r="M430" s="127" t="s">
        <v>1650</v>
      </c>
      <c r="N430" s="127" t="str">
        <f t="shared" si="13"/>
        <v>破魔战甲·十</v>
      </c>
    </row>
    <row r="431" spans="1:14" ht="16.5">
      <c r="A431" s="22" t="s">
        <v>1191</v>
      </c>
      <c r="B431" t="s">
        <v>1480</v>
      </c>
      <c r="C431" t="s">
        <v>1462</v>
      </c>
      <c r="D431" t="str">
        <f t="shared" si="12"/>
        <v>a11破魔战甲</v>
      </c>
      <c r="E431" s="6">
        <v>20259</v>
      </c>
      <c r="F431" s="6">
        <v>2501</v>
      </c>
      <c r="G431">
        <v>110</v>
      </c>
      <c r="L431" s="22" t="s">
        <v>1462</v>
      </c>
      <c r="M431" s="127" t="s">
        <v>1651</v>
      </c>
      <c r="N431" s="127" t="str">
        <f t="shared" si="13"/>
        <v>破魔战甲·凡</v>
      </c>
    </row>
    <row r="432" spans="1:14" ht="16.5">
      <c r="A432" s="22" t="s">
        <v>1192</v>
      </c>
      <c r="B432" t="s">
        <v>1481</v>
      </c>
      <c r="C432" t="s">
        <v>1462</v>
      </c>
      <c r="D432" t="str">
        <f t="shared" si="12"/>
        <v>a12破魔战甲</v>
      </c>
      <c r="E432" s="6">
        <v>20260</v>
      </c>
      <c r="F432" s="6">
        <v>2502</v>
      </c>
      <c r="G432">
        <v>120</v>
      </c>
      <c r="L432" s="22" t="s">
        <v>1462</v>
      </c>
      <c r="M432" s="127" t="s">
        <v>1652</v>
      </c>
      <c r="N432" s="127" t="str">
        <f t="shared" si="13"/>
        <v>破魔战甲·皇</v>
      </c>
    </row>
    <row r="433" spans="1:14" ht="16.5">
      <c r="A433" s="22" t="s">
        <v>1193</v>
      </c>
      <c r="B433" t="s">
        <v>1482</v>
      </c>
      <c r="C433" t="s">
        <v>1462</v>
      </c>
      <c r="D433" t="str">
        <f t="shared" si="12"/>
        <v>a13破魔战甲</v>
      </c>
      <c r="E433" s="6">
        <v>202611</v>
      </c>
      <c r="F433" s="6">
        <v>2503</v>
      </c>
      <c r="G433">
        <v>130</v>
      </c>
      <c r="L433" s="22" t="s">
        <v>1462</v>
      </c>
      <c r="M433" s="127" t="s">
        <v>1653</v>
      </c>
      <c r="N433" s="127" t="str">
        <f t="shared" si="13"/>
        <v>破魔战甲·玄</v>
      </c>
    </row>
    <row r="434" spans="1:14" ht="16.5">
      <c r="A434" s="22" t="s">
        <v>1194</v>
      </c>
      <c r="B434" t="s">
        <v>1483</v>
      </c>
      <c r="C434" t="s">
        <v>1462</v>
      </c>
      <c r="D434" t="str">
        <f t="shared" si="12"/>
        <v>a14破魔战甲</v>
      </c>
      <c r="E434" s="6">
        <v>202612</v>
      </c>
      <c r="F434" s="6">
        <v>2504</v>
      </c>
      <c r="G434">
        <v>140</v>
      </c>
      <c r="L434" s="22" t="s">
        <v>1462</v>
      </c>
      <c r="M434" s="127" t="s">
        <v>1654</v>
      </c>
      <c r="N434" s="127" t="str">
        <f t="shared" si="13"/>
        <v>破魔战甲·地</v>
      </c>
    </row>
    <row r="435" spans="1:14" ht="16.5">
      <c r="A435" s="22" t="s">
        <v>1195</v>
      </c>
      <c r="B435" t="s">
        <v>1484</v>
      </c>
      <c r="C435" t="s">
        <v>1462</v>
      </c>
      <c r="D435" t="str">
        <f t="shared" si="12"/>
        <v>a15破魔战甲</v>
      </c>
      <c r="E435" s="6">
        <v>202613</v>
      </c>
      <c r="F435" s="6">
        <v>2505</v>
      </c>
      <c r="G435">
        <v>150</v>
      </c>
      <c r="L435" s="22" t="s">
        <v>1462</v>
      </c>
      <c r="M435" s="127" t="s">
        <v>1655</v>
      </c>
      <c r="N435" s="127" t="str">
        <f t="shared" si="13"/>
        <v>破魔战甲·天</v>
      </c>
    </row>
    <row r="436" spans="1:14" ht="16.5">
      <c r="A436" s="22" t="s">
        <v>1196</v>
      </c>
      <c r="B436" t="s">
        <v>1470</v>
      </c>
      <c r="C436" t="s">
        <v>1463</v>
      </c>
      <c r="D436" t="str">
        <f t="shared" si="12"/>
        <v>a01破魔长剑</v>
      </c>
      <c r="E436" s="6">
        <v>26</v>
      </c>
      <c r="F436" s="6">
        <v>2506</v>
      </c>
      <c r="G436">
        <v>10</v>
      </c>
      <c r="L436" s="22" t="s">
        <v>1463</v>
      </c>
      <c r="M436" s="127" t="s">
        <v>1641</v>
      </c>
      <c r="N436" s="127" t="str">
        <f t="shared" si="13"/>
        <v>破魔长剑·壹</v>
      </c>
    </row>
    <row r="437" spans="1:14" ht="16.5">
      <c r="A437" s="22" t="s">
        <v>1197</v>
      </c>
      <c r="B437" t="s">
        <v>1471</v>
      </c>
      <c r="C437" t="s">
        <v>1463</v>
      </c>
      <c r="D437" t="str">
        <f t="shared" si="12"/>
        <v>a02破魔长剑</v>
      </c>
      <c r="E437" s="6">
        <v>2026</v>
      </c>
      <c r="F437" s="100">
        <v>2026</v>
      </c>
      <c r="G437">
        <v>20</v>
      </c>
      <c r="L437" s="100" t="s">
        <v>1463</v>
      </c>
      <c r="M437" s="127" t="s">
        <v>1642</v>
      </c>
      <c r="N437" s="127" t="str">
        <f t="shared" si="13"/>
        <v>破魔长剑·贰</v>
      </c>
    </row>
    <row r="438" spans="1:14" ht="16.5">
      <c r="A438" s="22" t="s">
        <v>1198</v>
      </c>
      <c r="B438" t="s">
        <v>1472</v>
      </c>
      <c r="C438" t="s">
        <v>1463</v>
      </c>
      <c r="D438" t="str">
        <f t="shared" si="12"/>
        <v>a03破魔长剑</v>
      </c>
      <c r="E438" s="6">
        <v>20261</v>
      </c>
      <c r="F438" s="6">
        <v>2507</v>
      </c>
      <c r="G438">
        <v>30</v>
      </c>
      <c r="L438" s="22" t="s">
        <v>1463</v>
      </c>
      <c r="M438" s="127" t="s">
        <v>1643</v>
      </c>
      <c r="N438" s="127" t="str">
        <f t="shared" si="13"/>
        <v>破魔长剑·叁</v>
      </c>
    </row>
    <row r="439" spans="1:14" ht="16.5">
      <c r="A439" s="22" t="s">
        <v>1199</v>
      </c>
      <c r="B439" t="s">
        <v>1473</v>
      </c>
      <c r="C439" t="s">
        <v>1463</v>
      </c>
      <c r="D439" t="str">
        <f t="shared" si="12"/>
        <v>a04破魔长剑</v>
      </c>
      <c r="E439" s="6">
        <v>20262</v>
      </c>
      <c r="F439" s="6">
        <v>2508</v>
      </c>
      <c r="G439">
        <v>40</v>
      </c>
      <c r="L439" s="22" t="s">
        <v>1463</v>
      </c>
      <c r="M439" s="127" t="s">
        <v>1644</v>
      </c>
      <c r="N439" s="127" t="str">
        <f t="shared" si="13"/>
        <v>破魔长剑·肆</v>
      </c>
    </row>
    <row r="440" spans="1:14" ht="16.5">
      <c r="A440" s="22" t="s">
        <v>1200</v>
      </c>
      <c r="B440" t="s">
        <v>1474</v>
      </c>
      <c r="C440" t="s">
        <v>1463</v>
      </c>
      <c r="D440" t="str">
        <f t="shared" si="12"/>
        <v>a05破魔长剑</v>
      </c>
      <c r="E440" s="6">
        <v>20263</v>
      </c>
      <c r="F440" s="6">
        <v>2509</v>
      </c>
      <c r="G440">
        <v>50</v>
      </c>
      <c r="L440" s="22" t="s">
        <v>1463</v>
      </c>
      <c r="M440" s="127" t="s">
        <v>1645</v>
      </c>
      <c r="N440" s="127" t="str">
        <f t="shared" si="13"/>
        <v>破魔长剑·伍</v>
      </c>
    </row>
    <row r="441" spans="1:14" ht="16.5">
      <c r="A441" s="22" t="s">
        <v>1201</v>
      </c>
      <c r="B441" t="s">
        <v>1475</v>
      </c>
      <c r="C441" t="s">
        <v>1463</v>
      </c>
      <c r="D441" t="str">
        <f t="shared" si="12"/>
        <v>a06破魔长剑</v>
      </c>
      <c r="E441" s="6">
        <v>20264</v>
      </c>
      <c r="F441" s="6">
        <v>2510</v>
      </c>
      <c r="G441">
        <v>60</v>
      </c>
      <c r="L441" s="22" t="s">
        <v>1463</v>
      </c>
      <c r="M441" s="127" t="s">
        <v>1646</v>
      </c>
      <c r="N441" s="127" t="str">
        <f t="shared" si="13"/>
        <v>破魔长剑·陆</v>
      </c>
    </row>
    <row r="442" spans="1:14" ht="16.5">
      <c r="A442" s="22" t="s">
        <v>1202</v>
      </c>
      <c r="B442" t="s">
        <v>1476</v>
      </c>
      <c r="C442" t="s">
        <v>1463</v>
      </c>
      <c r="D442" t="str">
        <f t="shared" si="12"/>
        <v>a07破魔长剑</v>
      </c>
      <c r="E442" s="6">
        <v>20265</v>
      </c>
      <c r="F442" s="6">
        <v>2511</v>
      </c>
      <c r="G442">
        <v>70</v>
      </c>
      <c r="L442" s="22" t="s">
        <v>1463</v>
      </c>
      <c r="M442" s="127" t="s">
        <v>1647</v>
      </c>
      <c r="N442" s="127" t="str">
        <f t="shared" si="13"/>
        <v>破魔长剑·柒</v>
      </c>
    </row>
    <row r="443" spans="1:14" ht="16.5">
      <c r="A443" s="22" t="s">
        <v>1203</v>
      </c>
      <c r="B443" t="s">
        <v>1477</v>
      </c>
      <c r="C443" t="s">
        <v>1463</v>
      </c>
      <c r="D443" t="str">
        <f t="shared" si="12"/>
        <v>a08破魔长剑</v>
      </c>
      <c r="E443" s="6">
        <v>20266</v>
      </c>
      <c r="F443" s="6">
        <v>2512</v>
      </c>
      <c r="G443">
        <v>80</v>
      </c>
      <c r="L443" s="22" t="s">
        <v>1463</v>
      </c>
      <c r="M443" s="127" t="s">
        <v>1648</v>
      </c>
      <c r="N443" s="127" t="str">
        <f t="shared" si="13"/>
        <v>破魔长剑·捌</v>
      </c>
    </row>
    <row r="444" spans="1:14" ht="16.5">
      <c r="A444" s="22" t="s">
        <v>1204</v>
      </c>
      <c r="B444" t="s">
        <v>1478</v>
      </c>
      <c r="C444" t="s">
        <v>1463</v>
      </c>
      <c r="D444" t="str">
        <f t="shared" si="12"/>
        <v>a09破魔长剑</v>
      </c>
      <c r="E444" s="6">
        <v>20267</v>
      </c>
      <c r="F444" s="6">
        <v>2513</v>
      </c>
      <c r="G444">
        <v>90</v>
      </c>
      <c r="L444" s="22" t="s">
        <v>1463</v>
      </c>
      <c r="M444" s="127" t="s">
        <v>1649</v>
      </c>
      <c r="N444" s="127" t="str">
        <f t="shared" si="13"/>
        <v>破魔长剑·玖</v>
      </c>
    </row>
    <row r="445" spans="1:14" ht="16.5">
      <c r="A445" s="22" t="s">
        <v>1205</v>
      </c>
      <c r="B445" t="s">
        <v>1479</v>
      </c>
      <c r="C445" t="s">
        <v>1463</v>
      </c>
      <c r="D445" t="str">
        <f t="shared" si="12"/>
        <v>a10破魔长剑</v>
      </c>
      <c r="E445" s="6">
        <v>20268</v>
      </c>
      <c r="F445" s="6">
        <v>2514</v>
      </c>
      <c r="G445">
        <v>100</v>
      </c>
      <c r="L445" s="22" t="s">
        <v>1463</v>
      </c>
      <c r="M445" s="127" t="s">
        <v>1650</v>
      </c>
      <c r="N445" s="127" t="str">
        <f t="shared" si="13"/>
        <v>破魔长剑·十</v>
      </c>
    </row>
    <row r="446" spans="1:14" ht="16.5">
      <c r="A446" s="22" t="s">
        <v>1206</v>
      </c>
      <c r="B446" t="s">
        <v>1480</v>
      </c>
      <c r="C446" t="s">
        <v>1463</v>
      </c>
      <c r="D446" t="str">
        <f t="shared" si="12"/>
        <v>a11破魔长剑</v>
      </c>
      <c r="E446" s="6">
        <v>20269</v>
      </c>
      <c r="F446" s="6">
        <v>2515</v>
      </c>
      <c r="G446">
        <v>110</v>
      </c>
      <c r="L446" s="22" t="s">
        <v>1463</v>
      </c>
      <c r="M446" s="127" t="s">
        <v>1651</v>
      </c>
      <c r="N446" s="127" t="str">
        <f t="shared" si="13"/>
        <v>破魔长剑·凡</v>
      </c>
    </row>
    <row r="447" spans="1:14" ht="16.5">
      <c r="A447" s="22" t="s">
        <v>1207</v>
      </c>
      <c r="B447" t="s">
        <v>1481</v>
      </c>
      <c r="C447" t="s">
        <v>1463</v>
      </c>
      <c r="D447" t="str">
        <f t="shared" si="12"/>
        <v>a12破魔长剑</v>
      </c>
      <c r="E447" s="6">
        <v>20270</v>
      </c>
      <c r="F447" s="6">
        <v>2516</v>
      </c>
      <c r="G447">
        <v>120</v>
      </c>
      <c r="L447" s="22" t="s">
        <v>1463</v>
      </c>
      <c r="M447" s="127" t="s">
        <v>1652</v>
      </c>
      <c r="N447" s="127" t="str">
        <f t="shared" si="13"/>
        <v>破魔长剑·皇</v>
      </c>
    </row>
    <row r="448" spans="1:14" ht="16.5">
      <c r="A448" s="22" t="s">
        <v>1208</v>
      </c>
      <c r="B448" t="s">
        <v>1482</v>
      </c>
      <c r="C448" t="s">
        <v>1463</v>
      </c>
      <c r="D448" t="str">
        <f t="shared" si="12"/>
        <v>a13破魔长剑</v>
      </c>
      <c r="E448" s="6">
        <v>202711</v>
      </c>
      <c r="F448" s="6">
        <v>2517</v>
      </c>
      <c r="G448">
        <v>130</v>
      </c>
      <c r="L448" s="22" t="s">
        <v>1463</v>
      </c>
      <c r="M448" s="127" t="s">
        <v>1653</v>
      </c>
      <c r="N448" s="127" t="str">
        <f t="shared" si="13"/>
        <v>破魔长剑·玄</v>
      </c>
    </row>
    <row r="449" spans="1:14" ht="16.5">
      <c r="A449" s="22" t="s">
        <v>1209</v>
      </c>
      <c r="B449" t="s">
        <v>1483</v>
      </c>
      <c r="C449" t="s">
        <v>1463</v>
      </c>
      <c r="D449" t="str">
        <f t="shared" si="12"/>
        <v>a14破魔长剑</v>
      </c>
      <c r="E449" s="6">
        <v>202712</v>
      </c>
      <c r="F449" s="6">
        <v>2518</v>
      </c>
      <c r="G449">
        <v>140</v>
      </c>
      <c r="L449" s="22" t="s">
        <v>1463</v>
      </c>
      <c r="M449" s="127" t="s">
        <v>1654</v>
      </c>
      <c r="N449" s="127" t="str">
        <f t="shared" si="13"/>
        <v>破魔长剑·地</v>
      </c>
    </row>
    <row r="450" spans="1:14" ht="16.5">
      <c r="A450" s="22" t="s">
        <v>1210</v>
      </c>
      <c r="B450" t="s">
        <v>1484</v>
      </c>
      <c r="C450" t="s">
        <v>1463</v>
      </c>
      <c r="D450" t="str">
        <f t="shared" ref="D450:D513" si="14">B450&amp;C450</f>
        <v>a15破魔长剑</v>
      </c>
      <c r="E450" s="6">
        <v>202713</v>
      </c>
      <c r="F450" s="6">
        <v>2519</v>
      </c>
      <c r="G450">
        <v>150</v>
      </c>
      <c r="L450" s="22" t="s">
        <v>1463</v>
      </c>
      <c r="M450" s="127" t="s">
        <v>1655</v>
      </c>
      <c r="N450" s="127" t="str">
        <f t="shared" ref="N450:N513" si="15">L450&amp;M450</f>
        <v>破魔长剑·天</v>
      </c>
    </row>
    <row r="451" spans="1:14" ht="16.5">
      <c r="A451" s="22" t="s">
        <v>1211</v>
      </c>
      <c r="B451" t="s">
        <v>1470</v>
      </c>
      <c r="C451" t="s">
        <v>1464</v>
      </c>
      <c r="D451" t="str">
        <f t="shared" si="14"/>
        <v>a01破魔头盔</v>
      </c>
      <c r="E451" s="6">
        <v>27</v>
      </c>
      <c r="F451" s="6">
        <v>2520</v>
      </c>
      <c r="G451">
        <v>10</v>
      </c>
      <c r="L451" s="22" t="s">
        <v>1464</v>
      </c>
      <c r="M451" s="127" t="s">
        <v>1641</v>
      </c>
      <c r="N451" s="127" t="str">
        <f t="shared" si="15"/>
        <v>破魔头盔·壹</v>
      </c>
    </row>
    <row r="452" spans="1:14" ht="16.5">
      <c r="A452" s="22" t="s">
        <v>1212</v>
      </c>
      <c r="B452" t="s">
        <v>1471</v>
      </c>
      <c r="C452" t="s">
        <v>1464</v>
      </c>
      <c r="D452" t="str">
        <f t="shared" si="14"/>
        <v>a02破魔头盔</v>
      </c>
      <c r="E452" s="6">
        <v>2027</v>
      </c>
      <c r="F452" s="100">
        <v>2027</v>
      </c>
      <c r="G452">
        <v>20</v>
      </c>
      <c r="L452" s="100" t="s">
        <v>1464</v>
      </c>
      <c r="M452" s="127" t="s">
        <v>1642</v>
      </c>
      <c r="N452" s="127" t="str">
        <f t="shared" si="15"/>
        <v>破魔头盔·贰</v>
      </c>
    </row>
    <row r="453" spans="1:14" ht="16.5">
      <c r="A453" s="22" t="s">
        <v>1213</v>
      </c>
      <c r="B453" t="s">
        <v>1472</v>
      </c>
      <c r="C453" t="s">
        <v>1464</v>
      </c>
      <c r="D453" t="str">
        <f t="shared" si="14"/>
        <v>a03破魔头盔</v>
      </c>
      <c r="E453" s="6">
        <v>20271</v>
      </c>
      <c r="F453" s="6">
        <v>2521</v>
      </c>
      <c r="G453">
        <v>30</v>
      </c>
      <c r="L453" s="22" t="s">
        <v>1464</v>
      </c>
      <c r="M453" s="127" t="s">
        <v>1643</v>
      </c>
      <c r="N453" s="127" t="str">
        <f t="shared" si="15"/>
        <v>破魔头盔·叁</v>
      </c>
    </row>
    <row r="454" spans="1:14" ht="16.5">
      <c r="A454" s="22" t="s">
        <v>1214</v>
      </c>
      <c r="B454" t="s">
        <v>1473</v>
      </c>
      <c r="C454" t="s">
        <v>1464</v>
      </c>
      <c r="D454" t="str">
        <f t="shared" si="14"/>
        <v>a04破魔头盔</v>
      </c>
      <c r="E454" s="6">
        <v>20272</v>
      </c>
      <c r="F454" s="6">
        <v>2522</v>
      </c>
      <c r="G454">
        <v>40</v>
      </c>
      <c r="L454" s="22" t="s">
        <v>1464</v>
      </c>
      <c r="M454" s="127" t="s">
        <v>1644</v>
      </c>
      <c r="N454" s="127" t="str">
        <f t="shared" si="15"/>
        <v>破魔头盔·肆</v>
      </c>
    </row>
    <row r="455" spans="1:14" ht="16.5">
      <c r="A455" s="22" t="s">
        <v>1215</v>
      </c>
      <c r="B455" t="s">
        <v>1474</v>
      </c>
      <c r="C455" t="s">
        <v>1464</v>
      </c>
      <c r="D455" t="str">
        <f t="shared" si="14"/>
        <v>a05破魔头盔</v>
      </c>
      <c r="E455" s="6">
        <v>20273</v>
      </c>
      <c r="F455" s="6">
        <v>2523</v>
      </c>
      <c r="G455">
        <v>50</v>
      </c>
      <c r="L455" s="22" t="s">
        <v>1464</v>
      </c>
      <c r="M455" s="127" t="s">
        <v>1645</v>
      </c>
      <c r="N455" s="127" t="str">
        <f t="shared" si="15"/>
        <v>破魔头盔·伍</v>
      </c>
    </row>
    <row r="456" spans="1:14" ht="16.5">
      <c r="A456" s="22" t="s">
        <v>1216</v>
      </c>
      <c r="B456" t="s">
        <v>1475</v>
      </c>
      <c r="C456" t="s">
        <v>1464</v>
      </c>
      <c r="D456" t="str">
        <f t="shared" si="14"/>
        <v>a06破魔头盔</v>
      </c>
      <c r="E456" s="6">
        <v>20274</v>
      </c>
      <c r="F456" s="6">
        <v>2524</v>
      </c>
      <c r="G456">
        <v>60</v>
      </c>
      <c r="L456" s="22" t="s">
        <v>1464</v>
      </c>
      <c r="M456" s="127" t="s">
        <v>1646</v>
      </c>
      <c r="N456" s="127" t="str">
        <f t="shared" si="15"/>
        <v>破魔头盔·陆</v>
      </c>
    </row>
    <row r="457" spans="1:14" ht="16.5">
      <c r="A457" s="22" t="s">
        <v>1217</v>
      </c>
      <c r="B457" t="s">
        <v>1476</v>
      </c>
      <c r="C457" t="s">
        <v>1464</v>
      </c>
      <c r="D457" t="str">
        <f t="shared" si="14"/>
        <v>a07破魔头盔</v>
      </c>
      <c r="E457" s="6">
        <v>20275</v>
      </c>
      <c r="F457" s="6">
        <v>2525</v>
      </c>
      <c r="G457">
        <v>70</v>
      </c>
      <c r="L457" s="22" t="s">
        <v>1464</v>
      </c>
      <c r="M457" s="127" t="s">
        <v>1647</v>
      </c>
      <c r="N457" s="127" t="str">
        <f t="shared" si="15"/>
        <v>破魔头盔·柒</v>
      </c>
    </row>
    <row r="458" spans="1:14" ht="16.5">
      <c r="A458" s="22" t="s">
        <v>1218</v>
      </c>
      <c r="B458" t="s">
        <v>1477</v>
      </c>
      <c r="C458" t="s">
        <v>1464</v>
      </c>
      <c r="D458" t="str">
        <f t="shared" si="14"/>
        <v>a08破魔头盔</v>
      </c>
      <c r="E458" s="6">
        <v>20276</v>
      </c>
      <c r="F458" s="6">
        <v>2526</v>
      </c>
      <c r="G458">
        <v>80</v>
      </c>
      <c r="L458" s="22" t="s">
        <v>1464</v>
      </c>
      <c r="M458" s="127" t="s">
        <v>1648</v>
      </c>
      <c r="N458" s="127" t="str">
        <f t="shared" si="15"/>
        <v>破魔头盔·捌</v>
      </c>
    </row>
    <row r="459" spans="1:14" ht="16.5">
      <c r="A459" s="22" t="s">
        <v>1219</v>
      </c>
      <c r="B459" t="s">
        <v>1478</v>
      </c>
      <c r="C459" t="s">
        <v>1464</v>
      </c>
      <c r="D459" t="str">
        <f t="shared" si="14"/>
        <v>a09破魔头盔</v>
      </c>
      <c r="E459" s="6">
        <v>20277</v>
      </c>
      <c r="F459" s="6">
        <v>2527</v>
      </c>
      <c r="G459">
        <v>90</v>
      </c>
      <c r="L459" s="22" t="s">
        <v>1464</v>
      </c>
      <c r="M459" s="127" t="s">
        <v>1649</v>
      </c>
      <c r="N459" s="127" t="str">
        <f t="shared" si="15"/>
        <v>破魔头盔·玖</v>
      </c>
    </row>
    <row r="460" spans="1:14" ht="16.5">
      <c r="A460" s="22" t="s">
        <v>1220</v>
      </c>
      <c r="B460" t="s">
        <v>1479</v>
      </c>
      <c r="C460" t="s">
        <v>1464</v>
      </c>
      <c r="D460" t="str">
        <f t="shared" si="14"/>
        <v>a10破魔头盔</v>
      </c>
      <c r="E460" s="6">
        <v>20278</v>
      </c>
      <c r="F460" s="6">
        <v>2528</v>
      </c>
      <c r="G460">
        <v>100</v>
      </c>
      <c r="L460" s="22" t="s">
        <v>1464</v>
      </c>
      <c r="M460" s="127" t="s">
        <v>1650</v>
      </c>
      <c r="N460" s="127" t="str">
        <f t="shared" si="15"/>
        <v>破魔头盔·十</v>
      </c>
    </row>
    <row r="461" spans="1:14" ht="16.5">
      <c r="A461" s="22" t="s">
        <v>1221</v>
      </c>
      <c r="B461" t="s">
        <v>1480</v>
      </c>
      <c r="C461" t="s">
        <v>1464</v>
      </c>
      <c r="D461" t="str">
        <f t="shared" si="14"/>
        <v>a11破魔头盔</v>
      </c>
      <c r="E461" s="6">
        <v>20279</v>
      </c>
      <c r="F461" s="6">
        <v>2529</v>
      </c>
      <c r="G461">
        <v>110</v>
      </c>
      <c r="L461" s="22" t="s">
        <v>1464</v>
      </c>
      <c r="M461" s="127" t="s">
        <v>1651</v>
      </c>
      <c r="N461" s="127" t="str">
        <f t="shared" si="15"/>
        <v>破魔头盔·凡</v>
      </c>
    </row>
    <row r="462" spans="1:14" ht="16.5">
      <c r="A462" s="22" t="s">
        <v>1222</v>
      </c>
      <c r="B462" t="s">
        <v>1481</v>
      </c>
      <c r="C462" t="s">
        <v>1464</v>
      </c>
      <c r="D462" t="str">
        <f t="shared" si="14"/>
        <v>a12破魔头盔</v>
      </c>
      <c r="E462" s="6">
        <v>20280</v>
      </c>
      <c r="F462" s="6">
        <v>2530</v>
      </c>
      <c r="G462">
        <v>120</v>
      </c>
      <c r="L462" s="22" t="s">
        <v>1464</v>
      </c>
      <c r="M462" s="127" t="s">
        <v>1652</v>
      </c>
      <c r="N462" s="127" t="str">
        <f t="shared" si="15"/>
        <v>破魔头盔·皇</v>
      </c>
    </row>
    <row r="463" spans="1:14" ht="16.5">
      <c r="A463" s="22" t="s">
        <v>1223</v>
      </c>
      <c r="B463" t="s">
        <v>1482</v>
      </c>
      <c r="C463" t="s">
        <v>1464</v>
      </c>
      <c r="D463" t="str">
        <f t="shared" si="14"/>
        <v>a13破魔头盔</v>
      </c>
      <c r="E463" s="6">
        <v>202811</v>
      </c>
      <c r="F463" s="6">
        <v>2531</v>
      </c>
      <c r="G463">
        <v>130</v>
      </c>
      <c r="L463" s="22" t="s">
        <v>1464</v>
      </c>
      <c r="M463" s="127" t="s">
        <v>1653</v>
      </c>
      <c r="N463" s="127" t="str">
        <f t="shared" si="15"/>
        <v>破魔头盔·玄</v>
      </c>
    </row>
    <row r="464" spans="1:14" ht="16.5">
      <c r="A464" s="22" t="s">
        <v>1224</v>
      </c>
      <c r="B464" t="s">
        <v>1483</v>
      </c>
      <c r="C464" t="s">
        <v>1464</v>
      </c>
      <c r="D464" t="str">
        <f t="shared" si="14"/>
        <v>a14破魔头盔</v>
      </c>
      <c r="E464" s="6">
        <v>202812</v>
      </c>
      <c r="F464" s="6">
        <v>2532</v>
      </c>
      <c r="G464">
        <v>140</v>
      </c>
      <c r="L464" s="22" t="s">
        <v>1464</v>
      </c>
      <c r="M464" s="127" t="s">
        <v>1654</v>
      </c>
      <c r="N464" s="127" t="str">
        <f t="shared" si="15"/>
        <v>破魔头盔·地</v>
      </c>
    </row>
    <row r="465" spans="1:14" ht="16.5">
      <c r="A465" s="22" t="s">
        <v>1225</v>
      </c>
      <c r="B465" t="s">
        <v>1484</v>
      </c>
      <c r="C465" t="s">
        <v>1464</v>
      </c>
      <c r="D465" t="str">
        <f t="shared" si="14"/>
        <v>a15破魔头盔</v>
      </c>
      <c r="E465" s="6">
        <v>202813</v>
      </c>
      <c r="F465" s="6">
        <v>2533</v>
      </c>
      <c r="G465">
        <v>150</v>
      </c>
      <c r="L465" s="22" t="s">
        <v>1464</v>
      </c>
      <c r="M465" s="127" t="s">
        <v>1655</v>
      </c>
      <c r="N465" s="127" t="str">
        <f t="shared" si="15"/>
        <v>破魔头盔·天</v>
      </c>
    </row>
    <row r="466" spans="1:14" ht="16.5">
      <c r="A466" s="22" t="s">
        <v>1226</v>
      </c>
      <c r="B466" t="s">
        <v>1470</v>
      </c>
      <c r="C466" t="s">
        <v>1465</v>
      </c>
      <c r="D466" t="str">
        <f t="shared" si="14"/>
        <v>a01破魔战靴</v>
      </c>
      <c r="E466" s="6">
        <v>28</v>
      </c>
      <c r="F466" s="6">
        <v>2534</v>
      </c>
      <c r="G466">
        <v>10</v>
      </c>
      <c r="L466" s="22" t="s">
        <v>1465</v>
      </c>
      <c r="M466" s="127" t="s">
        <v>1641</v>
      </c>
      <c r="N466" s="127" t="str">
        <f t="shared" si="15"/>
        <v>破魔战靴·壹</v>
      </c>
    </row>
    <row r="467" spans="1:14" ht="16.5">
      <c r="A467" s="22" t="s">
        <v>1227</v>
      </c>
      <c r="B467" t="s">
        <v>1471</v>
      </c>
      <c r="C467" t="s">
        <v>1465</v>
      </c>
      <c r="D467" t="str">
        <f t="shared" si="14"/>
        <v>a02破魔战靴</v>
      </c>
      <c r="E467" s="6">
        <v>2028</v>
      </c>
      <c r="F467" s="100">
        <v>2028</v>
      </c>
      <c r="G467">
        <v>20</v>
      </c>
      <c r="L467" s="100" t="s">
        <v>1465</v>
      </c>
      <c r="M467" s="127" t="s">
        <v>1642</v>
      </c>
      <c r="N467" s="127" t="str">
        <f t="shared" si="15"/>
        <v>破魔战靴·贰</v>
      </c>
    </row>
    <row r="468" spans="1:14" ht="16.5">
      <c r="A468" s="22" t="s">
        <v>1228</v>
      </c>
      <c r="B468" t="s">
        <v>1472</v>
      </c>
      <c r="C468" t="s">
        <v>1465</v>
      </c>
      <c r="D468" t="str">
        <f t="shared" si="14"/>
        <v>a03破魔战靴</v>
      </c>
      <c r="E468" s="6">
        <v>20281</v>
      </c>
      <c r="F468" s="6">
        <v>2535</v>
      </c>
      <c r="G468">
        <v>30</v>
      </c>
      <c r="L468" s="22" t="s">
        <v>1465</v>
      </c>
      <c r="M468" s="127" t="s">
        <v>1643</v>
      </c>
      <c r="N468" s="127" t="str">
        <f t="shared" si="15"/>
        <v>破魔战靴·叁</v>
      </c>
    </row>
    <row r="469" spans="1:14" ht="16.5">
      <c r="A469" s="22" t="s">
        <v>1229</v>
      </c>
      <c r="B469" t="s">
        <v>1473</v>
      </c>
      <c r="C469" t="s">
        <v>1465</v>
      </c>
      <c r="D469" t="str">
        <f t="shared" si="14"/>
        <v>a04破魔战靴</v>
      </c>
      <c r="E469" s="6">
        <v>20282</v>
      </c>
      <c r="F469" s="6">
        <v>2536</v>
      </c>
      <c r="G469">
        <v>40</v>
      </c>
      <c r="L469" s="22" t="s">
        <v>1465</v>
      </c>
      <c r="M469" s="127" t="s">
        <v>1644</v>
      </c>
      <c r="N469" s="127" t="str">
        <f t="shared" si="15"/>
        <v>破魔战靴·肆</v>
      </c>
    </row>
    <row r="470" spans="1:14" ht="16.5">
      <c r="A470" s="22" t="s">
        <v>1230</v>
      </c>
      <c r="B470" t="s">
        <v>1474</v>
      </c>
      <c r="C470" t="s">
        <v>1465</v>
      </c>
      <c r="D470" t="str">
        <f t="shared" si="14"/>
        <v>a05破魔战靴</v>
      </c>
      <c r="E470" s="6">
        <v>20283</v>
      </c>
      <c r="F470" s="6">
        <v>2537</v>
      </c>
      <c r="G470">
        <v>50</v>
      </c>
      <c r="L470" s="22" t="s">
        <v>1465</v>
      </c>
      <c r="M470" s="127" t="s">
        <v>1645</v>
      </c>
      <c r="N470" s="127" t="str">
        <f t="shared" si="15"/>
        <v>破魔战靴·伍</v>
      </c>
    </row>
    <row r="471" spans="1:14" ht="16.5">
      <c r="A471" s="22" t="s">
        <v>1231</v>
      </c>
      <c r="B471" t="s">
        <v>1475</v>
      </c>
      <c r="C471" t="s">
        <v>1465</v>
      </c>
      <c r="D471" t="str">
        <f t="shared" si="14"/>
        <v>a06破魔战靴</v>
      </c>
      <c r="E471" s="6">
        <v>20284</v>
      </c>
      <c r="F471" s="6">
        <v>2538</v>
      </c>
      <c r="G471">
        <v>60</v>
      </c>
      <c r="L471" s="22" t="s">
        <v>1465</v>
      </c>
      <c r="M471" s="127" t="s">
        <v>1646</v>
      </c>
      <c r="N471" s="127" t="str">
        <f t="shared" si="15"/>
        <v>破魔战靴·陆</v>
      </c>
    </row>
    <row r="472" spans="1:14" ht="16.5">
      <c r="A472" s="22" t="s">
        <v>1232</v>
      </c>
      <c r="B472" t="s">
        <v>1476</v>
      </c>
      <c r="C472" t="s">
        <v>1465</v>
      </c>
      <c r="D472" t="str">
        <f t="shared" si="14"/>
        <v>a07破魔战靴</v>
      </c>
      <c r="E472" s="6">
        <v>20285</v>
      </c>
      <c r="F472" s="6">
        <v>2539</v>
      </c>
      <c r="G472">
        <v>70</v>
      </c>
      <c r="L472" s="22" t="s">
        <v>1465</v>
      </c>
      <c r="M472" s="127" t="s">
        <v>1647</v>
      </c>
      <c r="N472" s="127" t="str">
        <f t="shared" si="15"/>
        <v>破魔战靴·柒</v>
      </c>
    </row>
    <row r="473" spans="1:14" ht="16.5">
      <c r="A473" s="22" t="s">
        <v>1233</v>
      </c>
      <c r="B473" t="s">
        <v>1477</v>
      </c>
      <c r="C473" t="s">
        <v>1465</v>
      </c>
      <c r="D473" t="str">
        <f t="shared" si="14"/>
        <v>a08破魔战靴</v>
      </c>
      <c r="E473" s="6">
        <v>20286</v>
      </c>
      <c r="F473" s="6">
        <v>2540</v>
      </c>
      <c r="G473">
        <v>80</v>
      </c>
      <c r="L473" s="22" t="s">
        <v>1465</v>
      </c>
      <c r="M473" s="127" t="s">
        <v>1648</v>
      </c>
      <c r="N473" s="127" t="str">
        <f t="shared" si="15"/>
        <v>破魔战靴·捌</v>
      </c>
    </row>
    <row r="474" spans="1:14" ht="16.5">
      <c r="A474" s="22" t="s">
        <v>1234</v>
      </c>
      <c r="B474" t="s">
        <v>1478</v>
      </c>
      <c r="C474" t="s">
        <v>1465</v>
      </c>
      <c r="D474" t="str">
        <f t="shared" si="14"/>
        <v>a09破魔战靴</v>
      </c>
      <c r="E474" s="6">
        <v>20287</v>
      </c>
      <c r="F474" s="6">
        <v>2541</v>
      </c>
      <c r="G474">
        <v>90</v>
      </c>
      <c r="L474" s="22" t="s">
        <v>1465</v>
      </c>
      <c r="M474" s="127" t="s">
        <v>1649</v>
      </c>
      <c r="N474" s="127" t="str">
        <f t="shared" si="15"/>
        <v>破魔战靴·玖</v>
      </c>
    </row>
    <row r="475" spans="1:14" ht="16.5">
      <c r="A475" s="22" t="s">
        <v>1235</v>
      </c>
      <c r="B475" t="s">
        <v>1479</v>
      </c>
      <c r="C475" t="s">
        <v>1465</v>
      </c>
      <c r="D475" t="str">
        <f t="shared" si="14"/>
        <v>a10破魔战靴</v>
      </c>
      <c r="E475" s="6">
        <v>20288</v>
      </c>
      <c r="F475" s="6">
        <v>2542</v>
      </c>
      <c r="G475">
        <v>100</v>
      </c>
      <c r="L475" s="22" t="s">
        <v>1465</v>
      </c>
      <c r="M475" s="127" t="s">
        <v>1650</v>
      </c>
      <c r="N475" s="127" t="str">
        <f t="shared" si="15"/>
        <v>破魔战靴·十</v>
      </c>
    </row>
    <row r="476" spans="1:14" ht="16.5">
      <c r="A476" s="22" t="s">
        <v>1236</v>
      </c>
      <c r="B476" t="s">
        <v>1480</v>
      </c>
      <c r="C476" t="s">
        <v>1465</v>
      </c>
      <c r="D476" t="str">
        <f t="shared" si="14"/>
        <v>a11破魔战靴</v>
      </c>
      <c r="E476" s="6">
        <v>20289</v>
      </c>
      <c r="F476" s="6">
        <v>2543</v>
      </c>
      <c r="G476">
        <v>110</v>
      </c>
      <c r="L476" s="22" t="s">
        <v>1465</v>
      </c>
      <c r="M476" s="127" t="s">
        <v>1651</v>
      </c>
      <c r="N476" s="127" t="str">
        <f t="shared" si="15"/>
        <v>破魔战靴·凡</v>
      </c>
    </row>
    <row r="477" spans="1:14" ht="16.5">
      <c r="A477" s="22" t="s">
        <v>1237</v>
      </c>
      <c r="B477" t="s">
        <v>1481</v>
      </c>
      <c r="C477" t="s">
        <v>1465</v>
      </c>
      <c r="D477" t="str">
        <f t="shared" si="14"/>
        <v>a12破魔战靴</v>
      </c>
      <c r="E477" s="6">
        <v>20290</v>
      </c>
      <c r="F477" s="6">
        <v>2544</v>
      </c>
      <c r="G477">
        <v>120</v>
      </c>
      <c r="L477" s="22" t="s">
        <v>1465</v>
      </c>
      <c r="M477" s="127" t="s">
        <v>1652</v>
      </c>
      <c r="N477" s="127" t="str">
        <f t="shared" si="15"/>
        <v>破魔战靴·皇</v>
      </c>
    </row>
    <row r="478" spans="1:14" ht="16.5">
      <c r="A478" s="22" t="s">
        <v>1238</v>
      </c>
      <c r="B478" t="s">
        <v>1482</v>
      </c>
      <c r="C478" t="s">
        <v>1465</v>
      </c>
      <c r="D478" t="str">
        <f t="shared" si="14"/>
        <v>a13破魔战靴</v>
      </c>
      <c r="E478" s="6">
        <v>202911</v>
      </c>
      <c r="F478" s="6">
        <v>2545</v>
      </c>
      <c r="G478">
        <v>130</v>
      </c>
      <c r="L478" s="22" t="s">
        <v>1465</v>
      </c>
      <c r="M478" s="127" t="s">
        <v>1653</v>
      </c>
      <c r="N478" s="127" t="str">
        <f t="shared" si="15"/>
        <v>破魔战靴·玄</v>
      </c>
    </row>
    <row r="479" spans="1:14" ht="16.5">
      <c r="A479" s="22" t="s">
        <v>1239</v>
      </c>
      <c r="B479" t="s">
        <v>1483</v>
      </c>
      <c r="C479" t="s">
        <v>1465</v>
      </c>
      <c r="D479" t="str">
        <f t="shared" si="14"/>
        <v>a14破魔战靴</v>
      </c>
      <c r="E479" s="6">
        <v>202912</v>
      </c>
      <c r="F479" s="6">
        <v>2546</v>
      </c>
      <c r="G479">
        <v>140</v>
      </c>
      <c r="L479" s="22" t="s">
        <v>1465</v>
      </c>
      <c r="M479" s="127" t="s">
        <v>1654</v>
      </c>
      <c r="N479" s="127" t="str">
        <f t="shared" si="15"/>
        <v>破魔战靴·地</v>
      </c>
    </row>
    <row r="480" spans="1:14" ht="16.5">
      <c r="A480" s="22" t="s">
        <v>1240</v>
      </c>
      <c r="B480" t="s">
        <v>1484</v>
      </c>
      <c r="C480" t="s">
        <v>1465</v>
      </c>
      <c r="D480" t="str">
        <f t="shared" si="14"/>
        <v>a15破魔战靴</v>
      </c>
      <c r="E480" s="6">
        <v>202913</v>
      </c>
      <c r="F480" s="6">
        <v>2547</v>
      </c>
      <c r="G480">
        <v>150</v>
      </c>
      <c r="L480" s="22" t="s">
        <v>1465</v>
      </c>
      <c r="M480" s="127" t="s">
        <v>1655</v>
      </c>
      <c r="N480" s="127" t="str">
        <f t="shared" si="15"/>
        <v>破魔战靴·天</v>
      </c>
    </row>
    <row r="481" spans="1:14" ht="16.5">
      <c r="A481" s="71" t="s">
        <v>1241</v>
      </c>
      <c r="B481" t="s">
        <v>1470</v>
      </c>
      <c r="C481" t="s">
        <v>249</v>
      </c>
      <c r="D481" t="str">
        <f t="shared" si="14"/>
        <v>a01赤血战甲</v>
      </c>
      <c r="E481" s="70">
        <v>21</v>
      </c>
      <c r="F481" s="6">
        <v>2548</v>
      </c>
      <c r="G481">
        <v>10</v>
      </c>
      <c r="L481" s="71" t="s">
        <v>249</v>
      </c>
      <c r="M481" s="127" t="s">
        <v>1641</v>
      </c>
      <c r="N481" s="127" t="str">
        <f t="shared" si="15"/>
        <v>赤血战甲·壹</v>
      </c>
    </row>
    <row r="482" spans="1:14" ht="16.5">
      <c r="A482" s="71" t="s">
        <v>1242</v>
      </c>
      <c r="B482" t="s">
        <v>1471</v>
      </c>
      <c r="C482" t="s">
        <v>249</v>
      </c>
      <c r="D482" t="str">
        <f t="shared" si="14"/>
        <v>a02赤血战甲</v>
      </c>
      <c r="E482" s="70">
        <v>2021</v>
      </c>
      <c r="F482" s="103">
        <v>2021</v>
      </c>
      <c r="G482">
        <v>20</v>
      </c>
      <c r="L482" s="103" t="s">
        <v>249</v>
      </c>
      <c r="M482" s="127" t="s">
        <v>1642</v>
      </c>
      <c r="N482" s="127" t="str">
        <f t="shared" si="15"/>
        <v>赤血战甲·贰</v>
      </c>
    </row>
    <row r="483" spans="1:14" ht="16.5">
      <c r="A483" s="71" t="s">
        <v>1243</v>
      </c>
      <c r="B483" t="s">
        <v>1472</v>
      </c>
      <c r="C483" t="s">
        <v>249</v>
      </c>
      <c r="D483" t="str">
        <f t="shared" si="14"/>
        <v>a03赤血战甲</v>
      </c>
      <c r="E483" s="70">
        <v>20211</v>
      </c>
      <c r="F483" s="70">
        <v>2549</v>
      </c>
      <c r="G483">
        <v>30</v>
      </c>
      <c r="L483" s="71" t="s">
        <v>249</v>
      </c>
      <c r="M483" s="127" t="s">
        <v>1643</v>
      </c>
      <c r="N483" s="127" t="str">
        <f t="shared" si="15"/>
        <v>赤血战甲·叁</v>
      </c>
    </row>
    <row r="484" spans="1:14" ht="16.5">
      <c r="A484" s="71" t="s">
        <v>1244</v>
      </c>
      <c r="B484" t="s">
        <v>1473</v>
      </c>
      <c r="C484" t="s">
        <v>249</v>
      </c>
      <c r="D484" t="str">
        <f t="shared" si="14"/>
        <v>a04赤血战甲</v>
      </c>
      <c r="E484" s="70">
        <v>20212</v>
      </c>
      <c r="F484" s="70">
        <v>2550</v>
      </c>
      <c r="G484">
        <v>40</v>
      </c>
      <c r="L484" s="71" t="s">
        <v>249</v>
      </c>
      <c r="M484" s="127" t="s">
        <v>1644</v>
      </c>
      <c r="N484" s="127" t="str">
        <f t="shared" si="15"/>
        <v>赤血战甲·肆</v>
      </c>
    </row>
    <row r="485" spans="1:14" ht="16.5">
      <c r="A485" s="71" t="s">
        <v>1245</v>
      </c>
      <c r="B485" t="s">
        <v>1474</v>
      </c>
      <c r="C485" t="s">
        <v>249</v>
      </c>
      <c r="D485" t="str">
        <f t="shared" si="14"/>
        <v>a05赤血战甲</v>
      </c>
      <c r="E485" s="70">
        <v>20213</v>
      </c>
      <c r="F485" s="70">
        <v>2551</v>
      </c>
      <c r="G485">
        <v>50</v>
      </c>
      <c r="L485" s="71" t="s">
        <v>249</v>
      </c>
      <c r="M485" s="127" t="s">
        <v>1645</v>
      </c>
      <c r="N485" s="127" t="str">
        <f t="shared" si="15"/>
        <v>赤血战甲·伍</v>
      </c>
    </row>
    <row r="486" spans="1:14" ht="16.5">
      <c r="A486" s="71" t="s">
        <v>1246</v>
      </c>
      <c r="B486" t="s">
        <v>1475</v>
      </c>
      <c r="C486" t="s">
        <v>249</v>
      </c>
      <c r="D486" t="str">
        <f t="shared" si="14"/>
        <v>a06赤血战甲</v>
      </c>
      <c r="E486" s="70">
        <v>20214</v>
      </c>
      <c r="F486" s="70">
        <v>2552</v>
      </c>
      <c r="G486">
        <v>60</v>
      </c>
      <c r="L486" s="71" t="s">
        <v>249</v>
      </c>
      <c r="M486" s="127" t="s">
        <v>1646</v>
      </c>
      <c r="N486" s="127" t="str">
        <f t="shared" si="15"/>
        <v>赤血战甲·陆</v>
      </c>
    </row>
    <row r="487" spans="1:14" ht="16.5">
      <c r="A487" s="71" t="s">
        <v>1247</v>
      </c>
      <c r="B487" t="s">
        <v>1476</v>
      </c>
      <c r="C487" t="s">
        <v>249</v>
      </c>
      <c r="D487" t="str">
        <f t="shared" si="14"/>
        <v>a07赤血战甲</v>
      </c>
      <c r="E487" s="70">
        <v>20215</v>
      </c>
      <c r="F487" s="70">
        <v>2553</v>
      </c>
      <c r="G487">
        <v>70</v>
      </c>
      <c r="L487" s="71" t="s">
        <v>249</v>
      </c>
      <c r="M487" s="127" t="s">
        <v>1647</v>
      </c>
      <c r="N487" s="127" t="str">
        <f t="shared" si="15"/>
        <v>赤血战甲·柒</v>
      </c>
    </row>
    <row r="488" spans="1:14" ht="16.5">
      <c r="A488" s="71" t="s">
        <v>1248</v>
      </c>
      <c r="B488" t="s">
        <v>1477</v>
      </c>
      <c r="C488" t="s">
        <v>249</v>
      </c>
      <c r="D488" t="str">
        <f t="shared" si="14"/>
        <v>a08赤血战甲</v>
      </c>
      <c r="E488" s="70">
        <v>20216</v>
      </c>
      <c r="F488" s="70">
        <v>2554</v>
      </c>
      <c r="G488">
        <v>80</v>
      </c>
      <c r="L488" s="71" t="s">
        <v>249</v>
      </c>
      <c r="M488" s="127" t="s">
        <v>1648</v>
      </c>
      <c r="N488" s="127" t="str">
        <f t="shared" si="15"/>
        <v>赤血战甲·捌</v>
      </c>
    </row>
    <row r="489" spans="1:14" ht="16.5">
      <c r="A489" s="71" t="s">
        <v>1249</v>
      </c>
      <c r="B489" t="s">
        <v>1478</v>
      </c>
      <c r="C489" t="s">
        <v>249</v>
      </c>
      <c r="D489" t="str">
        <f t="shared" si="14"/>
        <v>a09赤血战甲</v>
      </c>
      <c r="E489" s="70">
        <v>20217</v>
      </c>
      <c r="F489" s="70">
        <v>2555</v>
      </c>
      <c r="G489">
        <v>90</v>
      </c>
      <c r="L489" s="71" t="s">
        <v>249</v>
      </c>
      <c r="M489" s="127" t="s">
        <v>1649</v>
      </c>
      <c r="N489" s="127" t="str">
        <f t="shared" si="15"/>
        <v>赤血战甲·玖</v>
      </c>
    </row>
    <row r="490" spans="1:14" ht="16.5">
      <c r="A490" s="71" t="s">
        <v>1250</v>
      </c>
      <c r="B490" t="s">
        <v>1479</v>
      </c>
      <c r="C490" t="s">
        <v>249</v>
      </c>
      <c r="D490" t="str">
        <f t="shared" si="14"/>
        <v>a10赤血战甲</v>
      </c>
      <c r="E490" s="70">
        <v>20218</v>
      </c>
      <c r="F490" s="70">
        <v>2556</v>
      </c>
      <c r="G490">
        <v>100</v>
      </c>
      <c r="L490" s="71" t="s">
        <v>249</v>
      </c>
      <c r="M490" s="127" t="s">
        <v>1650</v>
      </c>
      <c r="N490" s="127" t="str">
        <f t="shared" si="15"/>
        <v>赤血战甲·十</v>
      </c>
    </row>
    <row r="491" spans="1:14" ht="16.5">
      <c r="A491" s="71" t="s">
        <v>1251</v>
      </c>
      <c r="B491" t="s">
        <v>1480</v>
      </c>
      <c r="C491" t="s">
        <v>249</v>
      </c>
      <c r="D491" t="str">
        <f t="shared" si="14"/>
        <v>a11赤血战甲</v>
      </c>
      <c r="E491" s="70">
        <v>20219</v>
      </c>
      <c r="F491" s="70">
        <v>2557</v>
      </c>
      <c r="G491">
        <v>110</v>
      </c>
      <c r="L491" s="71" t="s">
        <v>249</v>
      </c>
      <c r="M491" s="127" t="s">
        <v>1651</v>
      </c>
      <c r="N491" s="127" t="str">
        <f t="shared" si="15"/>
        <v>赤血战甲·凡</v>
      </c>
    </row>
    <row r="492" spans="1:14" ht="16.5">
      <c r="A492" s="71" t="s">
        <v>1252</v>
      </c>
      <c r="B492" t="s">
        <v>1481</v>
      </c>
      <c r="C492" t="s">
        <v>249</v>
      </c>
      <c r="D492" t="str">
        <f t="shared" si="14"/>
        <v>a12赤血战甲</v>
      </c>
      <c r="E492" s="70">
        <v>20220</v>
      </c>
      <c r="F492" s="70">
        <v>2558</v>
      </c>
      <c r="G492">
        <v>120</v>
      </c>
      <c r="L492" s="71" t="s">
        <v>249</v>
      </c>
      <c r="M492" s="127" t="s">
        <v>1652</v>
      </c>
      <c r="N492" s="127" t="str">
        <f t="shared" si="15"/>
        <v>赤血战甲·皇</v>
      </c>
    </row>
    <row r="493" spans="1:14" ht="16.5">
      <c r="A493" s="71" t="s">
        <v>1253</v>
      </c>
      <c r="B493" t="s">
        <v>1482</v>
      </c>
      <c r="C493" t="s">
        <v>249</v>
      </c>
      <c r="D493" t="str">
        <f t="shared" si="14"/>
        <v>a13赤血战甲</v>
      </c>
      <c r="E493" s="70">
        <v>202211</v>
      </c>
      <c r="F493" s="70">
        <v>2559</v>
      </c>
      <c r="G493">
        <v>130</v>
      </c>
      <c r="L493" s="71" t="s">
        <v>249</v>
      </c>
      <c r="M493" s="127" t="s">
        <v>1653</v>
      </c>
      <c r="N493" s="127" t="str">
        <f t="shared" si="15"/>
        <v>赤血战甲·玄</v>
      </c>
    </row>
    <row r="494" spans="1:14" ht="16.5">
      <c r="A494" s="71" t="s">
        <v>1254</v>
      </c>
      <c r="B494" t="s">
        <v>1483</v>
      </c>
      <c r="C494" t="s">
        <v>249</v>
      </c>
      <c r="D494" t="str">
        <f t="shared" si="14"/>
        <v>a14赤血战甲</v>
      </c>
      <c r="E494" s="70">
        <v>202212</v>
      </c>
      <c r="F494" s="70">
        <v>2560</v>
      </c>
      <c r="G494">
        <v>140</v>
      </c>
      <c r="L494" s="71" t="s">
        <v>249</v>
      </c>
      <c r="M494" s="127" t="s">
        <v>1654</v>
      </c>
      <c r="N494" s="127" t="str">
        <f t="shared" si="15"/>
        <v>赤血战甲·地</v>
      </c>
    </row>
    <row r="495" spans="1:14" ht="16.5">
      <c r="A495" s="71" t="s">
        <v>1255</v>
      </c>
      <c r="B495" t="s">
        <v>1484</v>
      </c>
      <c r="C495" t="s">
        <v>249</v>
      </c>
      <c r="D495" t="str">
        <f t="shared" si="14"/>
        <v>a15赤血战甲</v>
      </c>
      <c r="E495" s="70">
        <v>202213</v>
      </c>
      <c r="F495" s="70">
        <v>2561</v>
      </c>
      <c r="G495">
        <v>150</v>
      </c>
      <c r="L495" s="71" t="s">
        <v>249</v>
      </c>
      <c r="M495" s="127" t="s">
        <v>1655</v>
      </c>
      <c r="N495" s="127" t="str">
        <f t="shared" si="15"/>
        <v>赤血战甲·天</v>
      </c>
    </row>
    <row r="496" spans="1:14" ht="16.5">
      <c r="A496" s="71" t="s">
        <v>1256</v>
      </c>
      <c r="B496" t="s">
        <v>1470</v>
      </c>
      <c r="C496" t="s">
        <v>95</v>
      </c>
      <c r="D496" t="str">
        <f t="shared" si="14"/>
        <v>a01青锋长剑</v>
      </c>
      <c r="E496" s="70">
        <v>22</v>
      </c>
      <c r="F496" s="70">
        <v>2562</v>
      </c>
      <c r="G496">
        <v>10</v>
      </c>
      <c r="L496" s="71" t="s">
        <v>95</v>
      </c>
      <c r="M496" s="127" t="s">
        <v>1641</v>
      </c>
      <c r="N496" s="127" t="str">
        <f t="shared" si="15"/>
        <v>青锋长剑·壹</v>
      </c>
    </row>
    <row r="497" spans="1:14" ht="16.5">
      <c r="A497" s="71" t="s">
        <v>1257</v>
      </c>
      <c r="B497" t="s">
        <v>1471</v>
      </c>
      <c r="C497" t="s">
        <v>95</v>
      </c>
      <c r="D497" t="str">
        <f t="shared" si="14"/>
        <v>a02青锋长剑</v>
      </c>
      <c r="E497" s="70">
        <v>2022</v>
      </c>
      <c r="F497" s="103">
        <v>2022</v>
      </c>
      <c r="G497">
        <v>20</v>
      </c>
      <c r="L497" s="103" t="s">
        <v>95</v>
      </c>
      <c r="M497" s="127" t="s">
        <v>1642</v>
      </c>
      <c r="N497" s="127" t="str">
        <f t="shared" si="15"/>
        <v>青锋长剑·贰</v>
      </c>
    </row>
    <row r="498" spans="1:14" ht="16.5">
      <c r="A498" s="71" t="s">
        <v>1258</v>
      </c>
      <c r="B498" t="s">
        <v>1472</v>
      </c>
      <c r="C498" t="s">
        <v>95</v>
      </c>
      <c r="D498" t="str">
        <f t="shared" si="14"/>
        <v>a03青锋长剑</v>
      </c>
      <c r="E498" s="70">
        <v>20221</v>
      </c>
      <c r="F498" s="70">
        <v>2563</v>
      </c>
      <c r="G498">
        <v>30</v>
      </c>
      <c r="L498" s="71" t="s">
        <v>95</v>
      </c>
      <c r="M498" s="127" t="s">
        <v>1643</v>
      </c>
      <c r="N498" s="127" t="str">
        <f t="shared" si="15"/>
        <v>青锋长剑·叁</v>
      </c>
    </row>
    <row r="499" spans="1:14" ht="16.5">
      <c r="A499" s="71" t="s">
        <v>1259</v>
      </c>
      <c r="B499" t="s">
        <v>1473</v>
      </c>
      <c r="C499" t="s">
        <v>95</v>
      </c>
      <c r="D499" t="str">
        <f t="shared" si="14"/>
        <v>a04青锋长剑</v>
      </c>
      <c r="E499" s="70">
        <v>20222</v>
      </c>
      <c r="F499" s="70">
        <v>2564</v>
      </c>
      <c r="G499">
        <v>40</v>
      </c>
      <c r="L499" s="71" t="s">
        <v>95</v>
      </c>
      <c r="M499" s="127" t="s">
        <v>1644</v>
      </c>
      <c r="N499" s="127" t="str">
        <f t="shared" si="15"/>
        <v>青锋长剑·肆</v>
      </c>
    </row>
    <row r="500" spans="1:14" ht="16.5">
      <c r="A500" s="71" t="s">
        <v>1260</v>
      </c>
      <c r="B500" t="s">
        <v>1474</v>
      </c>
      <c r="C500" t="s">
        <v>95</v>
      </c>
      <c r="D500" t="str">
        <f t="shared" si="14"/>
        <v>a05青锋长剑</v>
      </c>
      <c r="E500" s="70">
        <v>20223</v>
      </c>
      <c r="F500" s="70">
        <v>2565</v>
      </c>
      <c r="G500">
        <v>50</v>
      </c>
      <c r="L500" s="71" t="s">
        <v>95</v>
      </c>
      <c r="M500" s="127" t="s">
        <v>1645</v>
      </c>
      <c r="N500" s="127" t="str">
        <f t="shared" si="15"/>
        <v>青锋长剑·伍</v>
      </c>
    </row>
    <row r="501" spans="1:14" ht="16.5">
      <c r="A501" s="71" t="s">
        <v>1261</v>
      </c>
      <c r="B501" t="s">
        <v>1475</v>
      </c>
      <c r="C501" t="s">
        <v>95</v>
      </c>
      <c r="D501" t="str">
        <f t="shared" si="14"/>
        <v>a06青锋长剑</v>
      </c>
      <c r="E501" s="70">
        <v>20224</v>
      </c>
      <c r="F501" s="70">
        <v>2566</v>
      </c>
      <c r="G501">
        <v>60</v>
      </c>
      <c r="L501" s="71" t="s">
        <v>95</v>
      </c>
      <c r="M501" s="127" t="s">
        <v>1646</v>
      </c>
      <c r="N501" s="127" t="str">
        <f t="shared" si="15"/>
        <v>青锋长剑·陆</v>
      </c>
    </row>
    <row r="502" spans="1:14" ht="16.5">
      <c r="A502" s="71" t="s">
        <v>1262</v>
      </c>
      <c r="B502" t="s">
        <v>1476</v>
      </c>
      <c r="C502" t="s">
        <v>95</v>
      </c>
      <c r="D502" t="str">
        <f t="shared" si="14"/>
        <v>a07青锋长剑</v>
      </c>
      <c r="E502" s="70">
        <v>20225</v>
      </c>
      <c r="F502" s="70">
        <v>2567</v>
      </c>
      <c r="G502">
        <v>70</v>
      </c>
      <c r="L502" s="71" t="s">
        <v>95</v>
      </c>
      <c r="M502" s="127" t="s">
        <v>1647</v>
      </c>
      <c r="N502" s="127" t="str">
        <f t="shared" si="15"/>
        <v>青锋长剑·柒</v>
      </c>
    </row>
    <row r="503" spans="1:14" ht="16.5">
      <c r="A503" s="71" t="s">
        <v>1263</v>
      </c>
      <c r="B503" t="s">
        <v>1477</v>
      </c>
      <c r="C503" t="s">
        <v>95</v>
      </c>
      <c r="D503" t="str">
        <f t="shared" si="14"/>
        <v>a08青锋长剑</v>
      </c>
      <c r="E503" s="70">
        <v>20226</v>
      </c>
      <c r="F503" s="70">
        <v>2568</v>
      </c>
      <c r="G503">
        <v>80</v>
      </c>
      <c r="L503" s="71" t="s">
        <v>95</v>
      </c>
      <c r="M503" s="127" t="s">
        <v>1648</v>
      </c>
      <c r="N503" s="127" t="str">
        <f t="shared" si="15"/>
        <v>青锋长剑·捌</v>
      </c>
    </row>
    <row r="504" spans="1:14" ht="16.5">
      <c r="A504" s="71" t="s">
        <v>1264</v>
      </c>
      <c r="B504" t="s">
        <v>1478</v>
      </c>
      <c r="C504" t="s">
        <v>95</v>
      </c>
      <c r="D504" t="str">
        <f t="shared" si="14"/>
        <v>a09青锋长剑</v>
      </c>
      <c r="E504" s="70">
        <v>20227</v>
      </c>
      <c r="F504" s="70">
        <v>2569</v>
      </c>
      <c r="G504">
        <v>90</v>
      </c>
      <c r="L504" s="71" t="s">
        <v>95</v>
      </c>
      <c r="M504" s="127" t="s">
        <v>1649</v>
      </c>
      <c r="N504" s="127" t="str">
        <f t="shared" si="15"/>
        <v>青锋长剑·玖</v>
      </c>
    </row>
    <row r="505" spans="1:14" ht="16.5">
      <c r="A505" s="71" t="s">
        <v>1265</v>
      </c>
      <c r="B505" t="s">
        <v>1479</v>
      </c>
      <c r="C505" t="s">
        <v>95</v>
      </c>
      <c r="D505" t="str">
        <f t="shared" si="14"/>
        <v>a10青锋长剑</v>
      </c>
      <c r="E505" s="70">
        <v>20228</v>
      </c>
      <c r="F505" s="70">
        <v>2570</v>
      </c>
      <c r="G505">
        <v>100</v>
      </c>
      <c r="L505" s="71" t="s">
        <v>95</v>
      </c>
      <c r="M505" s="127" t="s">
        <v>1650</v>
      </c>
      <c r="N505" s="127" t="str">
        <f t="shared" si="15"/>
        <v>青锋长剑·十</v>
      </c>
    </row>
    <row r="506" spans="1:14" ht="16.5">
      <c r="A506" s="71" t="s">
        <v>1266</v>
      </c>
      <c r="B506" t="s">
        <v>1480</v>
      </c>
      <c r="C506" t="s">
        <v>95</v>
      </c>
      <c r="D506" t="str">
        <f t="shared" si="14"/>
        <v>a11青锋长剑</v>
      </c>
      <c r="E506" s="70">
        <v>20229</v>
      </c>
      <c r="F506" s="70">
        <v>2571</v>
      </c>
      <c r="G506">
        <v>110</v>
      </c>
      <c r="L506" s="71" t="s">
        <v>95</v>
      </c>
      <c r="M506" s="127" t="s">
        <v>1651</v>
      </c>
      <c r="N506" s="127" t="str">
        <f t="shared" si="15"/>
        <v>青锋长剑·凡</v>
      </c>
    </row>
    <row r="507" spans="1:14" ht="16.5">
      <c r="A507" s="71" t="s">
        <v>1267</v>
      </c>
      <c r="B507" t="s">
        <v>1481</v>
      </c>
      <c r="C507" t="s">
        <v>95</v>
      </c>
      <c r="D507" t="str">
        <f t="shared" si="14"/>
        <v>a12青锋长剑</v>
      </c>
      <c r="E507" s="70">
        <v>20230</v>
      </c>
      <c r="F507" s="70">
        <v>2572</v>
      </c>
      <c r="G507">
        <v>120</v>
      </c>
      <c r="L507" s="71" t="s">
        <v>95</v>
      </c>
      <c r="M507" s="127" t="s">
        <v>1652</v>
      </c>
      <c r="N507" s="127" t="str">
        <f t="shared" si="15"/>
        <v>青锋长剑·皇</v>
      </c>
    </row>
    <row r="508" spans="1:14" ht="16.5">
      <c r="A508" s="71" t="s">
        <v>1268</v>
      </c>
      <c r="B508" t="s">
        <v>1482</v>
      </c>
      <c r="C508" t="s">
        <v>95</v>
      </c>
      <c r="D508" t="str">
        <f t="shared" si="14"/>
        <v>a13青锋长剑</v>
      </c>
      <c r="E508" s="70">
        <v>202311</v>
      </c>
      <c r="F508" s="70">
        <v>2573</v>
      </c>
      <c r="G508">
        <v>130</v>
      </c>
      <c r="L508" s="71" t="s">
        <v>95</v>
      </c>
      <c r="M508" s="127" t="s">
        <v>1653</v>
      </c>
      <c r="N508" s="127" t="str">
        <f t="shared" si="15"/>
        <v>青锋长剑·玄</v>
      </c>
    </row>
    <row r="509" spans="1:14" ht="16.5">
      <c r="A509" s="71" t="s">
        <v>1269</v>
      </c>
      <c r="B509" t="s">
        <v>1483</v>
      </c>
      <c r="C509" t="s">
        <v>95</v>
      </c>
      <c r="D509" t="str">
        <f t="shared" si="14"/>
        <v>a14青锋长剑</v>
      </c>
      <c r="E509" s="70">
        <v>202312</v>
      </c>
      <c r="F509" s="70">
        <v>2574</v>
      </c>
      <c r="G509">
        <v>140</v>
      </c>
      <c r="L509" s="71" t="s">
        <v>95</v>
      </c>
      <c r="M509" s="127" t="s">
        <v>1654</v>
      </c>
      <c r="N509" s="127" t="str">
        <f t="shared" si="15"/>
        <v>青锋长剑·地</v>
      </c>
    </row>
    <row r="510" spans="1:14" ht="16.5">
      <c r="A510" s="71" t="s">
        <v>1270</v>
      </c>
      <c r="B510" t="s">
        <v>1484</v>
      </c>
      <c r="C510" t="s">
        <v>95</v>
      </c>
      <c r="D510" t="str">
        <f t="shared" si="14"/>
        <v>a15青锋长剑</v>
      </c>
      <c r="E510" s="70">
        <v>202313</v>
      </c>
      <c r="F510" s="70">
        <v>2575</v>
      </c>
      <c r="G510">
        <v>150</v>
      </c>
      <c r="L510" s="71" t="s">
        <v>95</v>
      </c>
      <c r="M510" s="127" t="s">
        <v>1655</v>
      </c>
      <c r="N510" s="127" t="str">
        <f t="shared" si="15"/>
        <v>青锋长剑·天</v>
      </c>
    </row>
    <row r="511" spans="1:14" ht="16.5">
      <c r="A511" s="71" t="s">
        <v>1271</v>
      </c>
      <c r="B511" t="s">
        <v>1470</v>
      </c>
      <c r="C511" t="s">
        <v>80</v>
      </c>
      <c r="D511" t="str">
        <f t="shared" si="14"/>
        <v>a01雁虞头盔</v>
      </c>
      <c r="E511" s="70">
        <v>23</v>
      </c>
      <c r="F511" s="70">
        <v>2576</v>
      </c>
      <c r="G511">
        <v>10</v>
      </c>
      <c r="L511" s="71" t="s">
        <v>80</v>
      </c>
      <c r="M511" s="127" t="s">
        <v>1641</v>
      </c>
      <c r="N511" s="127" t="str">
        <f t="shared" si="15"/>
        <v>雁虞头盔·壹</v>
      </c>
    </row>
    <row r="512" spans="1:14" ht="16.5">
      <c r="A512" s="71" t="s">
        <v>1272</v>
      </c>
      <c r="B512" t="s">
        <v>1471</v>
      </c>
      <c r="C512" t="s">
        <v>80</v>
      </c>
      <c r="D512" t="str">
        <f t="shared" si="14"/>
        <v>a02雁虞头盔</v>
      </c>
      <c r="E512" s="70">
        <v>2023</v>
      </c>
      <c r="F512" s="103">
        <v>2023</v>
      </c>
      <c r="G512">
        <v>20</v>
      </c>
      <c r="L512" s="103" t="s">
        <v>80</v>
      </c>
      <c r="M512" s="127" t="s">
        <v>1642</v>
      </c>
      <c r="N512" s="127" t="str">
        <f t="shared" si="15"/>
        <v>雁虞头盔·贰</v>
      </c>
    </row>
    <row r="513" spans="1:14" ht="16.5">
      <c r="A513" s="71" t="s">
        <v>1273</v>
      </c>
      <c r="B513" t="s">
        <v>1472</v>
      </c>
      <c r="C513" t="s">
        <v>80</v>
      </c>
      <c r="D513" t="str">
        <f t="shared" si="14"/>
        <v>a03雁虞头盔</v>
      </c>
      <c r="E513" s="70">
        <v>20231</v>
      </c>
      <c r="F513" s="70">
        <v>2577</v>
      </c>
      <c r="G513">
        <v>30</v>
      </c>
      <c r="L513" s="71" t="s">
        <v>80</v>
      </c>
      <c r="M513" s="127" t="s">
        <v>1643</v>
      </c>
      <c r="N513" s="127" t="str">
        <f t="shared" si="15"/>
        <v>雁虞头盔·叁</v>
      </c>
    </row>
    <row r="514" spans="1:14" ht="16.5">
      <c r="A514" s="71" t="s">
        <v>1274</v>
      </c>
      <c r="B514" t="s">
        <v>1473</v>
      </c>
      <c r="C514" t="s">
        <v>80</v>
      </c>
      <c r="D514" t="str">
        <f t="shared" ref="D514:D577" si="16">B514&amp;C514</f>
        <v>a04雁虞头盔</v>
      </c>
      <c r="E514" s="70">
        <v>20232</v>
      </c>
      <c r="F514" s="70">
        <v>2578</v>
      </c>
      <c r="G514">
        <v>40</v>
      </c>
      <c r="L514" s="71" t="s">
        <v>80</v>
      </c>
      <c r="M514" s="127" t="s">
        <v>1644</v>
      </c>
      <c r="N514" s="127" t="str">
        <f t="shared" ref="N514:N577" si="17">L514&amp;M514</f>
        <v>雁虞头盔·肆</v>
      </c>
    </row>
    <row r="515" spans="1:14" ht="16.5">
      <c r="A515" s="71" t="s">
        <v>1275</v>
      </c>
      <c r="B515" t="s">
        <v>1474</v>
      </c>
      <c r="C515" t="s">
        <v>80</v>
      </c>
      <c r="D515" t="str">
        <f t="shared" si="16"/>
        <v>a05雁虞头盔</v>
      </c>
      <c r="E515" s="70">
        <v>20233</v>
      </c>
      <c r="F515" s="70">
        <v>2579</v>
      </c>
      <c r="G515">
        <v>50</v>
      </c>
      <c r="L515" s="71" t="s">
        <v>80</v>
      </c>
      <c r="M515" s="127" t="s">
        <v>1645</v>
      </c>
      <c r="N515" s="127" t="str">
        <f t="shared" si="17"/>
        <v>雁虞头盔·伍</v>
      </c>
    </row>
    <row r="516" spans="1:14" ht="16.5">
      <c r="A516" s="71" t="s">
        <v>1276</v>
      </c>
      <c r="B516" t="s">
        <v>1475</v>
      </c>
      <c r="C516" t="s">
        <v>80</v>
      </c>
      <c r="D516" t="str">
        <f t="shared" si="16"/>
        <v>a06雁虞头盔</v>
      </c>
      <c r="E516" s="70">
        <v>20234</v>
      </c>
      <c r="F516" s="70">
        <v>2580</v>
      </c>
      <c r="G516">
        <v>60</v>
      </c>
      <c r="L516" s="71" t="s">
        <v>80</v>
      </c>
      <c r="M516" s="127" t="s">
        <v>1646</v>
      </c>
      <c r="N516" s="127" t="str">
        <f t="shared" si="17"/>
        <v>雁虞头盔·陆</v>
      </c>
    </row>
    <row r="517" spans="1:14" ht="16.5">
      <c r="A517" s="71" t="s">
        <v>1277</v>
      </c>
      <c r="B517" t="s">
        <v>1476</v>
      </c>
      <c r="C517" t="s">
        <v>80</v>
      </c>
      <c r="D517" t="str">
        <f t="shared" si="16"/>
        <v>a07雁虞头盔</v>
      </c>
      <c r="E517" s="70">
        <v>20235</v>
      </c>
      <c r="F517" s="70">
        <v>2581</v>
      </c>
      <c r="G517">
        <v>70</v>
      </c>
      <c r="L517" s="71" t="s">
        <v>80</v>
      </c>
      <c r="M517" s="127" t="s">
        <v>1647</v>
      </c>
      <c r="N517" s="127" t="str">
        <f t="shared" si="17"/>
        <v>雁虞头盔·柒</v>
      </c>
    </row>
    <row r="518" spans="1:14" ht="16.5">
      <c r="A518" s="71" t="s">
        <v>1278</v>
      </c>
      <c r="B518" t="s">
        <v>1477</v>
      </c>
      <c r="C518" t="s">
        <v>80</v>
      </c>
      <c r="D518" t="str">
        <f t="shared" si="16"/>
        <v>a08雁虞头盔</v>
      </c>
      <c r="E518" s="70">
        <v>20236</v>
      </c>
      <c r="F518" s="70">
        <v>2582</v>
      </c>
      <c r="G518">
        <v>80</v>
      </c>
      <c r="L518" s="71" t="s">
        <v>80</v>
      </c>
      <c r="M518" s="127" t="s">
        <v>1648</v>
      </c>
      <c r="N518" s="127" t="str">
        <f t="shared" si="17"/>
        <v>雁虞头盔·捌</v>
      </c>
    </row>
    <row r="519" spans="1:14" ht="16.5">
      <c r="A519" s="71" t="s">
        <v>1279</v>
      </c>
      <c r="B519" t="s">
        <v>1478</v>
      </c>
      <c r="C519" t="s">
        <v>80</v>
      </c>
      <c r="D519" t="str">
        <f t="shared" si="16"/>
        <v>a09雁虞头盔</v>
      </c>
      <c r="E519" s="70">
        <v>20237</v>
      </c>
      <c r="F519" s="70">
        <v>2583</v>
      </c>
      <c r="G519">
        <v>90</v>
      </c>
      <c r="L519" s="71" t="s">
        <v>80</v>
      </c>
      <c r="M519" s="127" t="s">
        <v>1649</v>
      </c>
      <c r="N519" s="127" t="str">
        <f t="shared" si="17"/>
        <v>雁虞头盔·玖</v>
      </c>
    </row>
    <row r="520" spans="1:14" ht="16.5">
      <c r="A520" s="71" t="s">
        <v>1280</v>
      </c>
      <c r="B520" t="s">
        <v>1479</v>
      </c>
      <c r="C520" t="s">
        <v>80</v>
      </c>
      <c r="D520" t="str">
        <f t="shared" si="16"/>
        <v>a10雁虞头盔</v>
      </c>
      <c r="E520" s="70">
        <v>20238</v>
      </c>
      <c r="F520" s="70">
        <v>2584</v>
      </c>
      <c r="G520">
        <v>100</v>
      </c>
      <c r="L520" s="71" t="s">
        <v>80</v>
      </c>
      <c r="M520" s="127" t="s">
        <v>1650</v>
      </c>
      <c r="N520" s="127" t="str">
        <f t="shared" si="17"/>
        <v>雁虞头盔·十</v>
      </c>
    </row>
    <row r="521" spans="1:14" ht="16.5">
      <c r="A521" s="71" t="s">
        <v>1281</v>
      </c>
      <c r="B521" t="s">
        <v>1480</v>
      </c>
      <c r="C521" t="s">
        <v>80</v>
      </c>
      <c r="D521" t="str">
        <f t="shared" si="16"/>
        <v>a11雁虞头盔</v>
      </c>
      <c r="E521" s="70">
        <v>20239</v>
      </c>
      <c r="F521" s="70">
        <v>2585</v>
      </c>
      <c r="G521">
        <v>110</v>
      </c>
      <c r="L521" s="71" t="s">
        <v>80</v>
      </c>
      <c r="M521" s="127" t="s">
        <v>1651</v>
      </c>
      <c r="N521" s="127" t="str">
        <f t="shared" si="17"/>
        <v>雁虞头盔·凡</v>
      </c>
    </row>
    <row r="522" spans="1:14" ht="16.5">
      <c r="A522" s="71" t="s">
        <v>1282</v>
      </c>
      <c r="B522" t="s">
        <v>1481</v>
      </c>
      <c r="C522" t="s">
        <v>80</v>
      </c>
      <c r="D522" t="str">
        <f t="shared" si="16"/>
        <v>a12雁虞头盔</v>
      </c>
      <c r="E522" s="70">
        <v>20240</v>
      </c>
      <c r="F522" s="70">
        <v>2586</v>
      </c>
      <c r="G522">
        <v>120</v>
      </c>
      <c r="L522" s="71" t="s">
        <v>80</v>
      </c>
      <c r="M522" s="127" t="s">
        <v>1652</v>
      </c>
      <c r="N522" s="127" t="str">
        <f t="shared" si="17"/>
        <v>雁虞头盔·皇</v>
      </c>
    </row>
    <row r="523" spans="1:14" ht="16.5">
      <c r="A523" s="71" t="s">
        <v>1283</v>
      </c>
      <c r="B523" t="s">
        <v>1482</v>
      </c>
      <c r="C523" t="s">
        <v>80</v>
      </c>
      <c r="D523" t="str">
        <f t="shared" si="16"/>
        <v>a13雁虞头盔</v>
      </c>
      <c r="E523" s="70">
        <v>202411</v>
      </c>
      <c r="F523" s="70">
        <v>2587</v>
      </c>
      <c r="G523">
        <v>130</v>
      </c>
      <c r="L523" s="71" t="s">
        <v>80</v>
      </c>
      <c r="M523" s="127" t="s">
        <v>1653</v>
      </c>
      <c r="N523" s="127" t="str">
        <f t="shared" si="17"/>
        <v>雁虞头盔·玄</v>
      </c>
    </row>
    <row r="524" spans="1:14" ht="16.5">
      <c r="A524" s="71" t="s">
        <v>1284</v>
      </c>
      <c r="B524" t="s">
        <v>1483</v>
      </c>
      <c r="C524" t="s">
        <v>80</v>
      </c>
      <c r="D524" t="str">
        <f t="shared" si="16"/>
        <v>a14雁虞头盔</v>
      </c>
      <c r="E524" s="70">
        <v>202412</v>
      </c>
      <c r="F524" s="70">
        <v>2588</v>
      </c>
      <c r="G524">
        <v>140</v>
      </c>
      <c r="L524" s="71" t="s">
        <v>80</v>
      </c>
      <c r="M524" s="127" t="s">
        <v>1654</v>
      </c>
      <c r="N524" s="127" t="str">
        <f t="shared" si="17"/>
        <v>雁虞头盔·地</v>
      </c>
    </row>
    <row r="525" spans="1:14" ht="16.5">
      <c r="A525" s="71" t="s">
        <v>1285</v>
      </c>
      <c r="B525" t="s">
        <v>1484</v>
      </c>
      <c r="C525" t="s">
        <v>80</v>
      </c>
      <c r="D525" t="str">
        <f t="shared" si="16"/>
        <v>a15雁虞头盔</v>
      </c>
      <c r="E525" s="70">
        <v>202413</v>
      </c>
      <c r="F525" s="70">
        <v>2589</v>
      </c>
      <c r="G525">
        <v>150</v>
      </c>
      <c r="L525" s="71" t="s">
        <v>80</v>
      </c>
      <c r="M525" s="127" t="s">
        <v>1655</v>
      </c>
      <c r="N525" s="127" t="str">
        <f t="shared" si="17"/>
        <v>雁虞头盔·天</v>
      </c>
    </row>
    <row r="526" spans="1:14" ht="16.5">
      <c r="A526" s="71" t="s">
        <v>1286</v>
      </c>
      <c r="B526" t="s">
        <v>1470</v>
      </c>
      <c r="C526" t="s">
        <v>1466</v>
      </c>
      <c r="D526" t="str">
        <f t="shared" si="16"/>
        <v>a01无影战靴</v>
      </c>
      <c r="E526" s="70">
        <v>24</v>
      </c>
      <c r="F526" s="70">
        <v>2590</v>
      </c>
      <c r="G526">
        <v>10</v>
      </c>
      <c r="L526" s="71" t="s">
        <v>1466</v>
      </c>
      <c r="M526" s="127" t="s">
        <v>1641</v>
      </c>
      <c r="N526" s="127" t="str">
        <f t="shared" si="17"/>
        <v>无影战靴·壹</v>
      </c>
    </row>
    <row r="527" spans="1:14" ht="16.5">
      <c r="A527" s="71" t="s">
        <v>1287</v>
      </c>
      <c r="B527" t="s">
        <v>1471</v>
      </c>
      <c r="C527" t="s">
        <v>1466</v>
      </c>
      <c r="D527" t="str">
        <f t="shared" si="16"/>
        <v>a02无影战靴</v>
      </c>
      <c r="E527" s="70">
        <v>2024</v>
      </c>
      <c r="F527" s="103">
        <v>2024</v>
      </c>
      <c r="G527">
        <v>20</v>
      </c>
      <c r="L527" s="103" t="s">
        <v>1466</v>
      </c>
      <c r="M527" s="127" t="s">
        <v>1642</v>
      </c>
      <c r="N527" s="127" t="str">
        <f t="shared" si="17"/>
        <v>无影战靴·贰</v>
      </c>
    </row>
    <row r="528" spans="1:14" ht="16.5">
      <c r="A528" s="71" t="s">
        <v>1288</v>
      </c>
      <c r="B528" t="s">
        <v>1472</v>
      </c>
      <c r="C528" t="s">
        <v>1466</v>
      </c>
      <c r="D528" t="str">
        <f t="shared" si="16"/>
        <v>a03无影战靴</v>
      </c>
      <c r="E528" s="70">
        <v>20241</v>
      </c>
      <c r="F528" s="70">
        <v>2591</v>
      </c>
      <c r="G528">
        <v>30</v>
      </c>
      <c r="L528" s="71" t="s">
        <v>1466</v>
      </c>
      <c r="M528" s="127" t="s">
        <v>1643</v>
      </c>
      <c r="N528" s="127" t="str">
        <f t="shared" si="17"/>
        <v>无影战靴·叁</v>
      </c>
    </row>
    <row r="529" spans="1:14" ht="16.5">
      <c r="A529" s="71" t="s">
        <v>1289</v>
      </c>
      <c r="B529" t="s">
        <v>1473</v>
      </c>
      <c r="C529" t="s">
        <v>1466</v>
      </c>
      <c r="D529" t="str">
        <f t="shared" si="16"/>
        <v>a04无影战靴</v>
      </c>
      <c r="E529" s="70">
        <v>20242</v>
      </c>
      <c r="F529" s="70">
        <v>2592</v>
      </c>
      <c r="G529">
        <v>40</v>
      </c>
      <c r="L529" s="71" t="s">
        <v>1466</v>
      </c>
      <c r="M529" s="127" t="s">
        <v>1644</v>
      </c>
      <c r="N529" s="127" t="str">
        <f t="shared" si="17"/>
        <v>无影战靴·肆</v>
      </c>
    </row>
    <row r="530" spans="1:14" ht="16.5">
      <c r="A530" s="71" t="s">
        <v>1290</v>
      </c>
      <c r="B530" t="s">
        <v>1474</v>
      </c>
      <c r="C530" t="s">
        <v>1466</v>
      </c>
      <c r="D530" t="str">
        <f t="shared" si="16"/>
        <v>a05无影战靴</v>
      </c>
      <c r="E530" s="70">
        <v>20243</v>
      </c>
      <c r="F530" s="70">
        <v>2593</v>
      </c>
      <c r="G530">
        <v>50</v>
      </c>
      <c r="L530" s="71" t="s">
        <v>1466</v>
      </c>
      <c r="M530" s="127" t="s">
        <v>1645</v>
      </c>
      <c r="N530" s="127" t="str">
        <f t="shared" si="17"/>
        <v>无影战靴·伍</v>
      </c>
    </row>
    <row r="531" spans="1:14" ht="16.5">
      <c r="A531" s="71" t="s">
        <v>1291</v>
      </c>
      <c r="B531" t="s">
        <v>1475</v>
      </c>
      <c r="C531" t="s">
        <v>1466</v>
      </c>
      <c r="D531" t="str">
        <f t="shared" si="16"/>
        <v>a06无影战靴</v>
      </c>
      <c r="E531" s="70">
        <v>20244</v>
      </c>
      <c r="F531" s="70">
        <v>2594</v>
      </c>
      <c r="G531">
        <v>60</v>
      </c>
      <c r="L531" s="71" t="s">
        <v>1466</v>
      </c>
      <c r="M531" s="127" t="s">
        <v>1646</v>
      </c>
      <c r="N531" s="127" t="str">
        <f t="shared" si="17"/>
        <v>无影战靴·陆</v>
      </c>
    </row>
    <row r="532" spans="1:14" ht="16.5">
      <c r="A532" s="71" t="s">
        <v>1292</v>
      </c>
      <c r="B532" t="s">
        <v>1476</v>
      </c>
      <c r="C532" t="s">
        <v>1466</v>
      </c>
      <c r="D532" t="str">
        <f t="shared" si="16"/>
        <v>a07无影战靴</v>
      </c>
      <c r="E532" s="70">
        <v>20245</v>
      </c>
      <c r="F532" s="70">
        <v>2595</v>
      </c>
      <c r="G532">
        <v>70</v>
      </c>
      <c r="L532" s="71" t="s">
        <v>1466</v>
      </c>
      <c r="M532" s="127" t="s">
        <v>1647</v>
      </c>
      <c r="N532" s="127" t="str">
        <f t="shared" si="17"/>
        <v>无影战靴·柒</v>
      </c>
    </row>
    <row r="533" spans="1:14" ht="16.5">
      <c r="A533" s="71" t="s">
        <v>1293</v>
      </c>
      <c r="B533" t="s">
        <v>1477</v>
      </c>
      <c r="C533" t="s">
        <v>1466</v>
      </c>
      <c r="D533" t="str">
        <f t="shared" si="16"/>
        <v>a08无影战靴</v>
      </c>
      <c r="E533" s="70">
        <v>20246</v>
      </c>
      <c r="F533" s="70">
        <v>2596</v>
      </c>
      <c r="G533">
        <v>80</v>
      </c>
      <c r="L533" s="71" t="s">
        <v>1466</v>
      </c>
      <c r="M533" s="127" t="s">
        <v>1648</v>
      </c>
      <c r="N533" s="127" t="str">
        <f t="shared" si="17"/>
        <v>无影战靴·捌</v>
      </c>
    </row>
    <row r="534" spans="1:14" ht="16.5">
      <c r="A534" s="71" t="s">
        <v>1294</v>
      </c>
      <c r="B534" t="s">
        <v>1478</v>
      </c>
      <c r="C534" t="s">
        <v>1466</v>
      </c>
      <c r="D534" t="str">
        <f t="shared" si="16"/>
        <v>a09无影战靴</v>
      </c>
      <c r="E534" s="70">
        <v>20247</v>
      </c>
      <c r="F534" s="70">
        <v>2597</v>
      </c>
      <c r="G534">
        <v>90</v>
      </c>
      <c r="L534" s="71" t="s">
        <v>1466</v>
      </c>
      <c r="M534" s="127" t="s">
        <v>1649</v>
      </c>
      <c r="N534" s="127" t="str">
        <f t="shared" si="17"/>
        <v>无影战靴·玖</v>
      </c>
    </row>
    <row r="535" spans="1:14" ht="16.5">
      <c r="A535" s="71" t="s">
        <v>1295</v>
      </c>
      <c r="B535" t="s">
        <v>1479</v>
      </c>
      <c r="C535" t="s">
        <v>1466</v>
      </c>
      <c r="D535" t="str">
        <f t="shared" si="16"/>
        <v>a10无影战靴</v>
      </c>
      <c r="E535" s="70">
        <v>20248</v>
      </c>
      <c r="F535" s="70">
        <v>2598</v>
      </c>
      <c r="G535">
        <v>100</v>
      </c>
      <c r="L535" s="71" t="s">
        <v>1466</v>
      </c>
      <c r="M535" s="127" t="s">
        <v>1650</v>
      </c>
      <c r="N535" s="127" t="str">
        <f t="shared" si="17"/>
        <v>无影战靴·十</v>
      </c>
    </row>
    <row r="536" spans="1:14" ht="16.5">
      <c r="A536" s="71" t="s">
        <v>1296</v>
      </c>
      <c r="B536" t="s">
        <v>1480</v>
      </c>
      <c r="C536" t="s">
        <v>1466</v>
      </c>
      <c r="D536" t="str">
        <f t="shared" si="16"/>
        <v>a11无影战靴</v>
      </c>
      <c r="E536" s="70">
        <v>20249</v>
      </c>
      <c r="F536" s="70">
        <v>2599</v>
      </c>
      <c r="G536">
        <v>110</v>
      </c>
      <c r="L536" s="71" t="s">
        <v>1466</v>
      </c>
      <c r="M536" s="127" t="s">
        <v>1651</v>
      </c>
      <c r="N536" s="127" t="str">
        <f t="shared" si="17"/>
        <v>无影战靴·凡</v>
      </c>
    </row>
    <row r="537" spans="1:14" ht="16.5">
      <c r="A537" s="71" t="s">
        <v>1297</v>
      </c>
      <c r="B537" t="s">
        <v>1481</v>
      </c>
      <c r="C537" t="s">
        <v>1466</v>
      </c>
      <c r="D537" t="str">
        <f t="shared" si="16"/>
        <v>a12无影战靴</v>
      </c>
      <c r="E537" s="70">
        <v>20250</v>
      </c>
      <c r="F537" s="70">
        <v>2600</v>
      </c>
      <c r="G537">
        <v>120</v>
      </c>
      <c r="L537" s="71" t="s">
        <v>1466</v>
      </c>
      <c r="M537" s="127" t="s">
        <v>1652</v>
      </c>
      <c r="N537" s="127" t="str">
        <f t="shared" si="17"/>
        <v>无影战靴·皇</v>
      </c>
    </row>
    <row r="538" spans="1:14" ht="16.5">
      <c r="A538" s="71" t="s">
        <v>1298</v>
      </c>
      <c r="B538" t="s">
        <v>1482</v>
      </c>
      <c r="C538" t="s">
        <v>1466</v>
      </c>
      <c r="D538" t="str">
        <f t="shared" si="16"/>
        <v>a13无影战靴</v>
      </c>
      <c r="E538" s="70">
        <v>202511</v>
      </c>
      <c r="F538" s="70">
        <v>2601</v>
      </c>
      <c r="G538">
        <v>130</v>
      </c>
      <c r="L538" s="71" t="s">
        <v>1466</v>
      </c>
      <c r="M538" s="127" t="s">
        <v>1653</v>
      </c>
      <c r="N538" s="127" t="str">
        <f t="shared" si="17"/>
        <v>无影战靴·玄</v>
      </c>
    </row>
    <row r="539" spans="1:14" ht="16.5">
      <c r="A539" s="71" t="s">
        <v>1299</v>
      </c>
      <c r="B539" t="s">
        <v>1483</v>
      </c>
      <c r="C539" t="s">
        <v>1466</v>
      </c>
      <c r="D539" t="str">
        <f t="shared" si="16"/>
        <v>a14无影战靴</v>
      </c>
      <c r="E539" s="70">
        <v>202512</v>
      </c>
      <c r="F539" s="70">
        <v>2602</v>
      </c>
      <c r="G539">
        <v>140</v>
      </c>
      <c r="L539" s="71" t="s">
        <v>1466</v>
      </c>
      <c r="M539" s="127" t="s">
        <v>1654</v>
      </c>
      <c r="N539" s="127" t="str">
        <f t="shared" si="17"/>
        <v>无影战靴·地</v>
      </c>
    </row>
    <row r="540" spans="1:14" ht="16.5">
      <c r="A540" s="71" t="s">
        <v>1300</v>
      </c>
      <c r="B540" t="s">
        <v>1484</v>
      </c>
      <c r="C540" t="s">
        <v>1466</v>
      </c>
      <c r="D540" t="str">
        <f t="shared" si="16"/>
        <v>a15无影战靴</v>
      </c>
      <c r="E540" s="70">
        <v>202513</v>
      </c>
      <c r="F540" s="70">
        <v>2603</v>
      </c>
      <c r="G540">
        <v>150</v>
      </c>
      <c r="L540" s="71" t="s">
        <v>1466</v>
      </c>
      <c r="M540" s="127" t="s">
        <v>1655</v>
      </c>
      <c r="N540" s="127" t="str">
        <f t="shared" si="17"/>
        <v>无影战靴·天</v>
      </c>
    </row>
    <row r="541" spans="1:14" ht="16.5">
      <c r="A541" s="21" t="s">
        <v>1301</v>
      </c>
      <c r="B541" t="s">
        <v>1470</v>
      </c>
      <c r="C541" t="s">
        <v>60</v>
      </c>
      <c r="D541" t="str">
        <f t="shared" si="16"/>
        <v>a01行者战甲</v>
      </c>
      <c r="E541" s="10">
        <v>2001</v>
      </c>
      <c r="F541" s="105">
        <v>2001</v>
      </c>
      <c r="G541">
        <v>10</v>
      </c>
      <c r="L541" s="105" t="s">
        <v>1637</v>
      </c>
      <c r="M541" s="127" t="s">
        <v>1641</v>
      </c>
      <c r="N541" s="127" t="str">
        <f t="shared" si="17"/>
        <v>宽恕战铠·壹</v>
      </c>
    </row>
    <row r="542" spans="1:14" ht="16.5">
      <c r="A542" s="21" t="s">
        <v>1302</v>
      </c>
      <c r="B542" t="s">
        <v>1471</v>
      </c>
      <c r="C542" t="s">
        <v>60</v>
      </c>
      <c r="D542" t="str">
        <f t="shared" si="16"/>
        <v>a02行者战甲</v>
      </c>
      <c r="E542" s="10">
        <v>200111</v>
      </c>
      <c r="F542" s="10">
        <v>2604</v>
      </c>
      <c r="G542">
        <v>20</v>
      </c>
      <c r="L542" s="105" t="s">
        <v>1637</v>
      </c>
      <c r="M542" s="127" t="s">
        <v>1642</v>
      </c>
      <c r="N542" s="127" t="str">
        <f t="shared" si="17"/>
        <v>宽恕战铠·贰</v>
      </c>
    </row>
    <row r="543" spans="1:14" ht="16.5">
      <c r="A543" s="21" t="s">
        <v>1303</v>
      </c>
      <c r="B543" t="s">
        <v>1472</v>
      </c>
      <c r="C543" t="s">
        <v>60</v>
      </c>
      <c r="D543" t="str">
        <f t="shared" si="16"/>
        <v>a03行者战甲</v>
      </c>
      <c r="E543" s="10">
        <v>200112</v>
      </c>
      <c r="F543" s="10">
        <v>2605</v>
      </c>
      <c r="G543">
        <v>30</v>
      </c>
      <c r="L543" s="105" t="s">
        <v>1637</v>
      </c>
      <c r="M543" s="127" t="s">
        <v>1643</v>
      </c>
      <c r="N543" s="127" t="str">
        <f t="shared" si="17"/>
        <v>宽恕战铠·叁</v>
      </c>
    </row>
    <row r="544" spans="1:14" ht="16.5">
      <c r="A544" s="21" t="s">
        <v>1304</v>
      </c>
      <c r="B544" t="s">
        <v>1473</v>
      </c>
      <c r="C544" t="s">
        <v>60</v>
      </c>
      <c r="D544" t="str">
        <f t="shared" si="16"/>
        <v>a04行者战甲</v>
      </c>
      <c r="E544" s="10">
        <v>200113</v>
      </c>
      <c r="F544" s="10">
        <v>2606</v>
      </c>
      <c r="G544">
        <v>40</v>
      </c>
      <c r="L544" s="105" t="s">
        <v>1637</v>
      </c>
      <c r="M544" s="127" t="s">
        <v>1644</v>
      </c>
      <c r="N544" s="127" t="str">
        <f t="shared" si="17"/>
        <v>宽恕战铠·肆</v>
      </c>
    </row>
    <row r="545" spans="1:14" ht="16.5">
      <c r="A545" s="21" t="s">
        <v>1305</v>
      </c>
      <c r="B545" t="s">
        <v>1474</v>
      </c>
      <c r="C545" t="s">
        <v>60</v>
      </c>
      <c r="D545" t="str">
        <f t="shared" si="16"/>
        <v>a05行者战甲</v>
      </c>
      <c r="E545" s="10">
        <v>200114</v>
      </c>
      <c r="F545" s="10">
        <v>2607</v>
      </c>
      <c r="G545">
        <v>50</v>
      </c>
      <c r="L545" s="105" t="s">
        <v>1637</v>
      </c>
      <c r="M545" s="127" t="s">
        <v>1645</v>
      </c>
      <c r="N545" s="127" t="str">
        <f t="shared" si="17"/>
        <v>宽恕战铠·伍</v>
      </c>
    </row>
    <row r="546" spans="1:14" ht="16.5">
      <c r="A546" s="21" t="s">
        <v>1306</v>
      </c>
      <c r="B546" t="s">
        <v>1475</v>
      </c>
      <c r="C546" t="s">
        <v>60</v>
      </c>
      <c r="D546" t="str">
        <f t="shared" si="16"/>
        <v>a06行者战甲</v>
      </c>
      <c r="E546" s="10">
        <v>200115</v>
      </c>
      <c r="F546" s="10">
        <v>2608</v>
      </c>
      <c r="G546">
        <v>60</v>
      </c>
      <c r="L546" s="105" t="s">
        <v>1637</v>
      </c>
      <c r="M546" s="127" t="s">
        <v>1646</v>
      </c>
      <c r="N546" s="127" t="str">
        <f t="shared" si="17"/>
        <v>宽恕战铠·陆</v>
      </c>
    </row>
    <row r="547" spans="1:14" ht="16.5">
      <c r="A547" s="21" t="s">
        <v>1307</v>
      </c>
      <c r="B547" t="s">
        <v>1476</v>
      </c>
      <c r="C547" t="s">
        <v>60</v>
      </c>
      <c r="D547" t="str">
        <f t="shared" si="16"/>
        <v>a07行者战甲</v>
      </c>
      <c r="E547" s="10">
        <v>200116</v>
      </c>
      <c r="F547" s="10">
        <v>2609</v>
      </c>
      <c r="G547">
        <v>70</v>
      </c>
      <c r="L547" s="105" t="s">
        <v>1637</v>
      </c>
      <c r="M547" s="127" t="s">
        <v>1647</v>
      </c>
      <c r="N547" s="127" t="str">
        <f t="shared" si="17"/>
        <v>宽恕战铠·柒</v>
      </c>
    </row>
    <row r="548" spans="1:14" ht="16.5">
      <c r="A548" s="21" t="s">
        <v>1308</v>
      </c>
      <c r="B548" t="s">
        <v>1477</v>
      </c>
      <c r="C548" t="s">
        <v>60</v>
      </c>
      <c r="D548" t="str">
        <f t="shared" si="16"/>
        <v>a08行者战甲</v>
      </c>
      <c r="E548" s="10">
        <v>200117</v>
      </c>
      <c r="F548" s="10">
        <v>2610</v>
      </c>
      <c r="G548">
        <v>80</v>
      </c>
      <c r="L548" s="105" t="s">
        <v>1637</v>
      </c>
      <c r="M548" s="127" t="s">
        <v>1648</v>
      </c>
      <c r="N548" s="127" t="str">
        <f t="shared" si="17"/>
        <v>宽恕战铠·捌</v>
      </c>
    </row>
    <row r="549" spans="1:14" ht="16.5">
      <c r="A549" s="21" t="s">
        <v>1309</v>
      </c>
      <c r="B549" t="s">
        <v>1478</v>
      </c>
      <c r="C549" t="s">
        <v>60</v>
      </c>
      <c r="D549" t="str">
        <f t="shared" si="16"/>
        <v>a09行者战甲</v>
      </c>
      <c r="E549" s="10">
        <v>200118</v>
      </c>
      <c r="F549" s="10">
        <v>2611</v>
      </c>
      <c r="G549">
        <v>90</v>
      </c>
      <c r="L549" s="105" t="s">
        <v>1637</v>
      </c>
      <c r="M549" s="127" t="s">
        <v>1649</v>
      </c>
      <c r="N549" s="127" t="str">
        <f t="shared" si="17"/>
        <v>宽恕战铠·玖</v>
      </c>
    </row>
    <row r="550" spans="1:14" ht="16.5">
      <c r="A550" s="21" t="s">
        <v>1310</v>
      </c>
      <c r="B550" t="s">
        <v>1479</v>
      </c>
      <c r="C550" t="s">
        <v>60</v>
      </c>
      <c r="D550" t="str">
        <f t="shared" si="16"/>
        <v>a10行者战甲</v>
      </c>
      <c r="E550" s="10">
        <v>200119</v>
      </c>
      <c r="F550" s="10">
        <v>2612</v>
      </c>
      <c r="G550">
        <v>100</v>
      </c>
      <c r="L550" s="105" t="s">
        <v>1637</v>
      </c>
      <c r="M550" s="127" t="s">
        <v>1650</v>
      </c>
      <c r="N550" s="127" t="str">
        <f t="shared" si="17"/>
        <v>宽恕战铠·十</v>
      </c>
    </row>
    <row r="551" spans="1:14" ht="16.5">
      <c r="A551" s="21" t="s">
        <v>1311</v>
      </c>
      <c r="B551" t="s">
        <v>1480</v>
      </c>
      <c r="C551" t="s">
        <v>60</v>
      </c>
      <c r="D551" t="str">
        <f t="shared" si="16"/>
        <v>a11行者战甲</v>
      </c>
      <c r="E551" s="10">
        <v>200120</v>
      </c>
      <c r="F551" s="10">
        <v>2613</v>
      </c>
      <c r="G551">
        <v>110</v>
      </c>
      <c r="L551" s="105" t="s">
        <v>1637</v>
      </c>
      <c r="M551" s="127" t="s">
        <v>1651</v>
      </c>
      <c r="N551" s="127" t="str">
        <f t="shared" si="17"/>
        <v>宽恕战铠·凡</v>
      </c>
    </row>
    <row r="552" spans="1:14" ht="16.5">
      <c r="A552" s="21" t="s">
        <v>1312</v>
      </c>
      <c r="B552" t="s">
        <v>1481</v>
      </c>
      <c r="C552" t="s">
        <v>60</v>
      </c>
      <c r="D552" t="str">
        <f t="shared" si="16"/>
        <v>a12行者战甲</v>
      </c>
      <c r="E552" s="10">
        <v>200121</v>
      </c>
      <c r="F552" s="10">
        <v>2614</v>
      </c>
      <c r="G552">
        <v>120</v>
      </c>
      <c r="L552" s="105" t="s">
        <v>1637</v>
      </c>
      <c r="M552" s="127" t="s">
        <v>1652</v>
      </c>
      <c r="N552" s="127" t="str">
        <f t="shared" si="17"/>
        <v>宽恕战铠·皇</v>
      </c>
    </row>
    <row r="553" spans="1:14" ht="16.5">
      <c r="A553" s="21" t="s">
        <v>1313</v>
      </c>
      <c r="B553" t="s">
        <v>1482</v>
      </c>
      <c r="C553" t="s">
        <v>60</v>
      </c>
      <c r="D553" t="str">
        <f t="shared" si="16"/>
        <v>a13行者战甲</v>
      </c>
      <c r="E553" s="10">
        <v>200122</v>
      </c>
      <c r="F553" s="10">
        <v>2615</v>
      </c>
      <c r="G553">
        <v>130</v>
      </c>
      <c r="L553" s="105" t="s">
        <v>1637</v>
      </c>
      <c r="M553" s="127" t="s">
        <v>1653</v>
      </c>
      <c r="N553" s="127" t="str">
        <f t="shared" si="17"/>
        <v>宽恕战铠·玄</v>
      </c>
    </row>
    <row r="554" spans="1:14" ht="16.5">
      <c r="A554" s="21" t="s">
        <v>1314</v>
      </c>
      <c r="B554" t="s">
        <v>1483</v>
      </c>
      <c r="C554" t="s">
        <v>60</v>
      </c>
      <c r="D554" t="str">
        <f t="shared" si="16"/>
        <v>a14行者战甲</v>
      </c>
      <c r="E554" s="10">
        <v>200123</v>
      </c>
      <c r="F554" s="10">
        <v>2616</v>
      </c>
      <c r="G554">
        <v>140</v>
      </c>
      <c r="L554" s="105" t="s">
        <v>1637</v>
      </c>
      <c r="M554" s="127" t="s">
        <v>1654</v>
      </c>
      <c r="N554" s="127" t="str">
        <f t="shared" si="17"/>
        <v>宽恕战铠·地</v>
      </c>
    </row>
    <row r="555" spans="1:14" ht="16.5">
      <c r="A555" s="21" t="s">
        <v>1315</v>
      </c>
      <c r="B555" t="s">
        <v>1484</v>
      </c>
      <c r="C555" t="s">
        <v>60</v>
      </c>
      <c r="D555" t="str">
        <f t="shared" si="16"/>
        <v>a15行者战甲</v>
      </c>
      <c r="E555" s="10">
        <v>200124</v>
      </c>
      <c r="F555" s="10">
        <v>2617</v>
      </c>
      <c r="G555">
        <v>150</v>
      </c>
      <c r="L555" s="105" t="s">
        <v>1637</v>
      </c>
      <c r="M555" s="127" t="s">
        <v>1655</v>
      </c>
      <c r="N555" s="127" t="str">
        <f t="shared" si="17"/>
        <v>宽恕战铠·天</v>
      </c>
    </row>
    <row r="556" spans="1:14" ht="16.5">
      <c r="A556" s="21" t="s">
        <v>1316</v>
      </c>
      <c r="B556" t="s">
        <v>1470</v>
      </c>
      <c r="C556" t="s">
        <v>1467</v>
      </c>
      <c r="D556" t="str">
        <f t="shared" si="16"/>
        <v>a01精铁长剑</v>
      </c>
      <c r="E556" s="10">
        <v>2002</v>
      </c>
      <c r="F556" s="105">
        <v>2002</v>
      </c>
      <c r="G556">
        <v>10</v>
      </c>
      <c r="L556" s="105" t="s">
        <v>1638</v>
      </c>
      <c r="M556" s="127" t="s">
        <v>1641</v>
      </c>
      <c r="N556" s="127" t="str">
        <f t="shared" si="17"/>
        <v>宽恕道剑·壹</v>
      </c>
    </row>
    <row r="557" spans="1:14" ht="16.5">
      <c r="A557" s="21" t="s">
        <v>1317</v>
      </c>
      <c r="B557" t="s">
        <v>1471</v>
      </c>
      <c r="C557" t="s">
        <v>1467</v>
      </c>
      <c r="D557" t="str">
        <f t="shared" si="16"/>
        <v>a02精铁长剑</v>
      </c>
      <c r="E557" s="10">
        <v>200211</v>
      </c>
      <c r="F557" s="10">
        <v>2618</v>
      </c>
      <c r="G557">
        <v>20</v>
      </c>
      <c r="L557" s="105" t="s">
        <v>1638</v>
      </c>
      <c r="M557" s="127" t="s">
        <v>1642</v>
      </c>
      <c r="N557" s="127" t="str">
        <f t="shared" si="17"/>
        <v>宽恕道剑·贰</v>
      </c>
    </row>
    <row r="558" spans="1:14" ht="16.5">
      <c r="A558" s="21" t="s">
        <v>1318</v>
      </c>
      <c r="B558" t="s">
        <v>1472</v>
      </c>
      <c r="C558" t="s">
        <v>1467</v>
      </c>
      <c r="D558" t="str">
        <f t="shared" si="16"/>
        <v>a03精铁长剑</v>
      </c>
      <c r="E558" s="10">
        <v>200212</v>
      </c>
      <c r="F558" s="10">
        <v>2619</v>
      </c>
      <c r="G558">
        <v>30</v>
      </c>
      <c r="L558" s="105" t="s">
        <v>1638</v>
      </c>
      <c r="M558" s="127" t="s">
        <v>1643</v>
      </c>
      <c r="N558" s="127" t="str">
        <f t="shared" si="17"/>
        <v>宽恕道剑·叁</v>
      </c>
    </row>
    <row r="559" spans="1:14" ht="16.5">
      <c r="A559" s="21" t="s">
        <v>1319</v>
      </c>
      <c r="B559" t="s">
        <v>1473</v>
      </c>
      <c r="C559" t="s">
        <v>1467</v>
      </c>
      <c r="D559" t="str">
        <f t="shared" si="16"/>
        <v>a04精铁长剑</v>
      </c>
      <c r="E559" s="10">
        <v>200213</v>
      </c>
      <c r="F559" s="10">
        <v>2620</v>
      </c>
      <c r="G559">
        <v>40</v>
      </c>
      <c r="L559" s="105" t="s">
        <v>1638</v>
      </c>
      <c r="M559" s="127" t="s">
        <v>1644</v>
      </c>
      <c r="N559" s="127" t="str">
        <f t="shared" si="17"/>
        <v>宽恕道剑·肆</v>
      </c>
    </row>
    <row r="560" spans="1:14" ht="16.5">
      <c r="A560" s="21" t="s">
        <v>1320</v>
      </c>
      <c r="B560" t="s">
        <v>1474</v>
      </c>
      <c r="C560" t="s">
        <v>1467</v>
      </c>
      <c r="D560" t="str">
        <f t="shared" si="16"/>
        <v>a05精铁长剑</v>
      </c>
      <c r="E560" s="10">
        <v>200214</v>
      </c>
      <c r="F560" s="10">
        <v>2621</v>
      </c>
      <c r="G560">
        <v>50</v>
      </c>
      <c r="L560" s="105" t="s">
        <v>1638</v>
      </c>
      <c r="M560" s="127" t="s">
        <v>1645</v>
      </c>
      <c r="N560" s="127" t="str">
        <f t="shared" si="17"/>
        <v>宽恕道剑·伍</v>
      </c>
    </row>
    <row r="561" spans="1:14" ht="16.5">
      <c r="A561" s="21" t="s">
        <v>1321</v>
      </c>
      <c r="B561" t="s">
        <v>1475</v>
      </c>
      <c r="C561" t="s">
        <v>1467</v>
      </c>
      <c r="D561" t="str">
        <f t="shared" si="16"/>
        <v>a06精铁长剑</v>
      </c>
      <c r="E561" s="10">
        <v>200215</v>
      </c>
      <c r="F561" s="10">
        <v>2622</v>
      </c>
      <c r="G561">
        <v>60</v>
      </c>
      <c r="L561" s="105" t="s">
        <v>1638</v>
      </c>
      <c r="M561" s="127" t="s">
        <v>1646</v>
      </c>
      <c r="N561" s="127" t="str">
        <f t="shared" si="17"/>
        <v>宽恕道剑·陆</v>
      </c>
    </row>
    <row r="562" spans="1:14" ht="16.5">
      <c r="A562" s="21" t="s">
        <v>1322</v>
      </c>
      <c r="B562" t="s">
        <v>1476</v>
      </c>
      <c r="C562" t="s">
        <v>1467</v>
      </c>
      <c r="D562" t="str">
        <f t="shared" si="16"/>
        <v>a07精铁长剑</v>
      </c>
      <c r="E562" s="10">
        <v>200216</v>
      </c>
      <c r="F562" s="10">
        <v>2623</v>
      </c>
      <c r="G562">
        <v>70</v>
      </c>
      <c r="L562" s="105" t="s">
        <v>1638</v>
      </c>
      <c r="M562" s="127" t="s">
        <v>1647</v>
      </c>
      <c r="N562" s="127" t="str">
        <f t="shared" si="17"/>
        <v>宽恕道剑·柒</v>
      </c>
    </row>
    <row r="563" spans="1:14" ht="16.5">
      <c r="A563" s="21" t="s">
        <v>1323</v>
      </c>
      <c r="B563" t="s">
        <v>1477</v>
      </c>
      <c r="C563" t="s">
        <v>1467</v>
      </c>
      <c r="D563" t="str">
        <f t="shared" si="16"/>
        <v>a08精铁长剑</v>
      </c>
      <c r="E563" s="10">
        <v>200217</v>
      </c>
      <c r="F563" s="10">
        <v>2624</v>
      </c>
      <c r="G563">
        <v>80</v>
      </c>
      <c r="L563" s="105" t="s">
        <v>1638</v>
      </c>
      <c r="M563" s="127" t="s">
        <v>1648</v>
      </c>
      <c r="N563" s="127" t="str">
        <f t="shared" si="17"/>
        <v>宽恕道剑·捌</v>
      </c>
    </row>
    <row r="564" spans="1:14" ht="16.5">
      <c r="A564" s="21" t="s">
        <v>1324</v>
      </c>
      <c r="B564" t="s">
        <v>1478</v>
      </c>
      <c r="C564" t="s">
        <v>1467</v>
      </c>
      <c r="D564" t="str">
        <f t="shared" si="16"/>
        <v>a09精铁长剑</v>
      </c>
      <c r="E564" s="10">
        <v>200218</v>
      </c>
      <c r="F564" s="10">
        <v>2625</v>
      </c>
      <c r="G564">
        <v>90</v>
      </c>
      <c r="L564" s="105" t="s">
        <v>1638</v>
      </c>
      <c r="M564" s="127" t="s">
        <v>1649</v>
      </c>
      <c r="N564" s="127" t="str">
        <f t="shared" si="17"/>
        <v>宽恕道剑·玖</v>
      </c>
    </row>
    <row r="565" spans="1:14" ht="16.5">
      <c r="A565" s="21" t="s">
        <v>1325</v>
      </c>
      <c r="B565" t="s">
        <v>1479</v>
      </c>
      <c r="C565" t="s">
        <v>1467</v>
      </c>
      <c r="D565" t="str">
        <f t="shared" si="16"/>
        <v>a10精铁长剑</v>
      </c>
      <c r="E565" s="10">
        <v>200219</v>
      </c>
      <c r="F565" s="10">
        <v>2626</v>
      </c>
      <c r="G565">
        <v>100</v>
      </c>
      <c r="L565" s="105" t="s">
        <v>1638</v>
      </c>
      <c r="M565" s="127" t="s">
        <v>1650</v>
      </c>
      <c r="N565" s="127" t="str">
        <f t="shared" si="17"/>
        <v>宽恕道剑·十</v>
      </c>
    </row>
    <row r="566" spans="1:14" ht="16.5">
      <c r="A566" s="21" t="s">
        <v>1326</v>
      </c>
      <c r="B566" t="s">
        <v>1480</v>
      </c>
      <c r="C566" t="s">
        <v>1467</v>
      </c>
      <c r="D566" t="str">
        <f t="shared" si="16"/>
        <v>a11精铁长剑</v>
      </c>
      <c r="E566" s="10">
        <v>200220</v>
      </c>
      <c r="F566" s="10">
        <v>2627</v>
      </c>
      <c r="G566">
        <v>110</v>
      </c>
      <c r="L566" s="105" t="s">
        <v>1638</v>
      </c>
      <c r="M566" s="127" t="s">
        <v>1651</v>
      </c>
      <c r="N566" s="127" t="str">
        <f t="shared" si="17"/>
        <v>宽恕道剑·凡</v>
      </c>
    </row>
    <row r="567" spans="1:14" ht="16.5">
      <c r="A567" s="21" t="s">
        <v>1327</v>
      </c>
      <c r="B567" t="s">
        <v>1481</v>
      </c>
      <c r="C567" t="s">
        <v>1467</v>
      </c>
      <c r="D567" t="str">
        <f t="shared" si="16"/>
        <v>a12精铁长剑</v>
      </c>
      <c r="E567" s="10">
        <v>200221</v>
      </c>
      <c r="F567" s="10">
        <v>2628</v>
      </c>
      <c r="G567">
        <v>120</v>
      </c>
      <c r="L567" s="105" t="s">
        <v>1638</v>
      </c>
      <c r="M567" s="127" t="s">
        <v>1652</v>
      </c>
      <c r="N567" s="127" t="str">
        <f t="shared" si="17"/>
        <v>宽恕道剑·皇</v>
      </c>
    </row>
    <row r="568" spans="1:14" ht="16.5">
      <c r="A568" s="21" t="s">
        <v>1328</v>
      </c>
      <c r="B568" t="s">
        <v>1482</v>
      </c>
      <c r="C568" t="s">
        <v>1467</v>
      </c>
      <c r="D568" t="str">
        <f t="shared" si="16"/>
        <v>a13精铁长剑</v>
      </c>
      <c r="E568" s="10">
        <v>200222</v>
      </c>
      <c r="F568" s="10">
        <v>2629</v>
      </c>
      <c r="G568">
        <v>130</v>
      </c>
      <c r="L568" s="105" t="s">
        <v>1638</v>
      </c>
      <c r="M568" s="127" t="s">
        <v>1653</v>
      </c>
      <c r="N568" s="127" t="str">
        <f t="shared" si="17"/>
        <v>宽恕道剑·玄</v>
      </c>
    </row>
    <row r="569" spans="1:14" ht="16.5">
      <c r="A569" s="21" t="s">
        <v>1329</v>
      </c>
      <c r="B569" t="s">
        <v>1483</v>
      </c>
      <c r="C569" t="s">
        <v>1467</v>
      </c>
      <c r="D569" t="str">
        <f t="shared" si="16"/>
        <v>a14精铁长剑</v>
      </c>
      <c r="E569" s="10">
        <v>200223</v>
      </c>
      <c r="F569" s="10">
        <v>2630</v>
      </c>
      <c r="G569">
        <v>140</v>
      </c>
      <c r="L569" s="105" t="s">
        <v>1638</v>
      </c>
      <c r="M569" s="127" t="s">
        <v>1654</v>
      </c>
      <c r="N569" s="127" t="str">
        <f t="shared" si="17"/>
        <v>宽恕道剑·地</v>
      </c>
    </row>
    <row r="570" spans="1:14" ht="16.5">
      <c r="A570" s="21" t="s">
        <v>1330</v>
      </c>
      <c r="B570" t="s">
        <v>1484</v>
      </c>
      <c r="C570" t="s">
        <v>1467</v>
      </c>
      <c r="D570" t="str">
        <f t="shared" si="16"/>
        <v>a15精铁长剑</v>
      </c>
      <c r="E570" s="10">
        <v>200224</v>
      </c>
      <c r="F570" s="10">
        <v>2631</v>
      </c>
      <c r="G570">
        <v>150</v>
      </c>
      <c r="L570" s="105" t="s">
        <v>1638</v>
      </c>
      <c r="M570" s="127" t="s">
        <v>1655</v>
      </c>
      <c r="N570" s="127" t="str">
        <f t="shared" si="17"/>
        <v>宽恕道剑·天</v>
      </c>
    </row>
    <row r="571" spans="1:14" ht="16.5">
      <c r="A571" s="21" t="s">
        <v>1331</v>
      </c>
      <c r="B571" t="s">
        <v>1470</v>
      </c>
      <c r="C571" t="s">
        <v>1468</v>
      </c>
      <c r="D571" t="str">
        <f t="shared" si="16"/>
        <v>a01虹影头盔</v>
      </c>
      <c r="E571" s="10">
        <v>2003</v>
      </c>
      <c r="F571" s="105">
        <v>2003</v>
      </c>
      <c r="G571">
        <v>10</v>
      </c>
      <c r="L571" s="105" t="s">
        <v>1639</v>
      </c>
      <c r="M571" s="127" t="s">
        <v>1641</v>
      </c>
      <c r="N571" s="127" t="str">
        <f t="shared" si="17"/>
        <v>宽恕头盔·壹</v>
      </c>
    </row>
    <row r="572" spans="1:14" ht="16.5">
      <c r="A572" s="21" t="s">
        <v>1332</v>
      </c>
      <c r="B572" t="s">
        <v>1471</v>
      </c>
      <c r="C572" t="s">
        <v>1468</v>
      </c>
      <c r="D572" t="str">
        <f t="shared" si="16"/>
        <v>a02虹影头盔</v>
      </c>
      <c r="E572" s="10">
        <v>200311</v>
      </c>
      <c r="F572" s="10">
        <v>2632</v>
      </c>
      <c r="G572">
        <v>20</v>
      </c>
      <c r="L572" s="105" t="s">
        <v>1639</v>
      </c>
      <c r="M572" s="127" t="s">
        <v>1642</v>
      </c>
      <c r="N572" s="127" t="str">
        <f t="shared" si="17"/>
        <v>宽恕头盔·贰</v>
      </c>
    </row>
    <row r="573" spans="1:14" ht="16.5">
      <c r="A573" s="21" t="s">
        <v>1333</v>
      </c>
      <c r="B573" t="s">
        <v>1472</v>
      </c>
      <c r="C573" t="s">
        <v>1468</v>
      </c>
      <c r="D573" t="str">
        <f t="shared" si="16"/>
        <v>a03虹影头盔</v>
      </c>
      <c r="E573" s="10">
        <v>200312</v>
      </c>
      <c r="F573" s="10">
        <v>2633</v>
      </c>
      <c r="G573">
        <v>30</v>
      </c>
      <c r="L573" s="105" t="s">
        <v>1639</v>
      </c>
      <c r="M573" s="127" t="s">
        <v>1643</v>
      </c>
      <c r="N573" s="127" t="str">
        <f t="shared" si="17"/>
        <v>宽恕头盔·叁</v>
      </c>
    </row>
    <row r="574" spans="1:14" ht="16.5">
      <c r="A574" s="21" t="s">
        <v>1334</v>
      </c>
      <c r="B574" t="s">
        <v>1473</v>
      </c>
      <c r="C574" t="s">
        <v>1468</v>
      </c>
      <c r="D574" t="str">
        <f t="shared" si="16"/>
        <v>a04虹影头盔</v>
      </c>
      <c r="E574" s="10">
        <v>200313</v>
      </c>
      <c r="F574" s="10">
        <v>2634</v>
      </c>
      <c r="G574">
        <v>40</v>
      </c>
      <c r="L574" s="105" t="s">
        <v>1639</v>
      </c>
      <c r="M574" s="127" t="s">
        <v>1644</v>
      </c>
      <c r="N574" s="127" t="str">
        <f t="shared" si="17"/>
        <v>宽恕头盔·肆</v>
      </c>
    </row>
    <row r="575" spans="1:14" ht="16.5">
      <c r="A575" s="21" t="s">
        <v>1335</v>
      </c>
      <c r="B575" t="s">
        <v>1474</v>
      </c>
      <c r="C575" t="s">
        <v>1468</v>
      </c>
      <c r="D575" t="str">
        <f t="shared" si="16"/>
        <v>a05虹影头盔</v>
      </c>
      <c r="E575" s="10">
        <v>200314</v>
      </c>
      <c r="F575" s="10">
        <v>2635</v>
      </c>
      <c r="G575">
        <v>50</v>
      </c>
      <c r="L575" s="105" t="s">
        <v>1639</v>
      </c>
      <c r="M575" s="127" t="s">
        <v>1645</v>
      </c>
      <c r="N575" s="127" t="str">
        <f t="shared" si="17"/>
        <v>宽恕头盔·伍</v>
      </c>
    </row>
    <row r="576" spans="1:14" ht="16.5">
      <c r="A576" s="21" t="s">
        <v>1336</v>
      </c>
      <c r="B576" t="s">
        <v>1475</v>
      </c>
      <c r="C576" t="s">
        <v>1468</v>
      </c>
      <c r="D576" t="str">
        <f t="shared" si="16"/>
        <v>a06虹影头盔</v>
      </c>
      <c r="E576" s="10">
        <v>200315</v>
      </c>
      <c r="F576" s="10">
        <v>2636</v>
      </c>
      <c r="G576">
        <v>60</v>
      </c>
      <c r="L576" s="105" t="s">
        <v>1639</v>
      </c>
      <c r="M576" s="127" t="s">
        <v>1646</v>
      </c>
      <c r="N576" s="127" t="str">
        <f t="shared" si="17"/>
        <v>宽恕头盔·陆</v>
      </c>
    </row>
    <row r="577" spans="1:14" ht="16.5">
      <c r="A577" s="21" t="s">
        <v>1337</v>
      </c>
      <c r="B577" t="s">
        <v>1476</v>
      </c>
      <c r="C577" t="s">
        <v>1468</v>
      </c>
      <c r="D577" t="str">
        <f t="shared" si="16"/>
        <v>a07虹影头盔</v>
      </c>
      <c r="E577" s="10">
        <v>200316</v>
      </c>
      <c r="F577" s="10">
        <v>2637</v>
      </c>
      <c r="G577">
        <v>70</v>
      </c>
      <c r="L577" s="105" t="s">
        <v>1639</v>
      </c>
      <c r="M577" s="127" t="s">
        <v>1647</v>
      </c>
      <c r="N577" s="127" t="str">
        <f t="shared" si="17"/>
        <v>宽恕头盔·柒</v>
      </c>
    </row>
    <row r="578" spans="1:14" ht="16.5">
      <c r="A578" s="21" t="s">
        <v>1338</v>
      </c>
      <c r="B578" t="s">
        <v>1477</v>
      </c>
      <c r="C578" t="s">
        <v>1468</v>
      </c>
      <c r="D578" t="str">
        <f t="shared" ref="D578:D641" si="18">B578&amp;C578</f>
        <v>a08虹影头盔</v>
      </c>
      <c r="E578" s="10">
        <v>200317</v>
      </c>
      <c r="F578" s="10">
        <v>2638</v>
      </c>
      <c r="G578">
        <v>80</v>
      </c>
      <c r="L578" s="105" t="s">
        <v>1639</v>
      </c>
      <c r="M578" s="127" t="s">
        <v>1648</v>
      </c>
      <c r="N578" s="127" t="str">
        <f t="shared" ref="N578:N641" si="19">L578&amp;M578</f>
        <v>宽恕头盔·捌</v>
      </c>
    </row>
    <row r="579" spans="1:14" ht="16.5">
      <c r="A579" s="21" t="s">
        <v>1339</v>
      </c>
      <c r="B579" t="s">
        <v>1478</v>
      </c>
      <c r="C579" t="s">
        <v>1468</v>
      </c>
      <c r="D579" t="str">
        <f t="shared" si="18"/>
        <v>a09虹影头盔</v>
      </c>
      <c r="E579" s="10">
        <v>200318</v>
      </c>
      <c r="F579" s="10">
        <v>2639</v>
      </c>
      <c r="G579">
        <v>90</v>
      </c>
      <c r="L579" s="105" t="s">
        <v>1639</v>
      </c>
      <c r="M579" s="127" t="s">
        <v>1649</v>
      </c>
      <c r="N579" s="127" t="str">
        <f t="shared" si="19"/>
        <v>宽恕头盔·玖</v>
      </c>
    </row>
    <row r="580" spans="1:14" ht="16.5">
      <c r="A580" s="21" t="s">
        <v>1340</v>
      </c>
      <c r="B580" t="s">
        <v>1479</v>
      </c>
      <c r="C580" t="s">
        <v>1468</v>
      </c>
      <c r="D580" t="str">
        <f t="shared" si="18"/>
        <v>a10虹影头盔</v>
      </c>
      <c r="E580" s="10">
        <v>200319</v>
      </c>
      <c r="F580" s="10">
        <v>2640</v>
      </c>
      <c r="G580">
        <v>100</v>
      </c>
      <c r="L580" s="105" t="s">
        <v>1639</v>
      </c>
      <c r="M580" s="127" t="s">
        <v>1650</v>
      </c>
      <c r="N580" s="127" t="str">
        <f t="shared" si="19"/>
        <v>宽恕头盔·十</v>
      </c>
    </row>
    <row r="581" spans="1:14" ht="16.5">
      <c r="A581" s="21" t="s">
        <v>1341</v>
      </c>
      <c r="B581" t="s">
        <v>1480</v>
      </c>
      <c r="C581" t="s">
        <v>1468</v>
      </c>
      <c r="D581" t="str">
        <f t="shared" si="18"/>
        <v>a11虹影头盔</v>
      </c>
      <c r="E581" s="10">
        <v>200320</v>
      </c>
      <c r="F581" s="10">
        <v>2641</v>
      </c>
      <c r="G581">
        <v>110</v>
      </c>
      <c r="L581" s="105" t="s">
        <v>1639</v>
      </c>
      <c r="M581" s="127" t="s">
        <v>1651</v>
      </c>
      <c r="N581" s="127" t="str">
        <f t="shared" si="19"/>
        <v>宽恕头盔·凡</v>
      </c>
    </row>
    <row r="582" spans="1:14" ht="16.5">
      <c r="A582" s="21" t="s">
        <v>1342</v>
      </c>
      <c r="B582" t="s">
        <v>1481</v>
      </c>
      <c r="C582" t="s">
        <v>1468</v>
      </c>
      <c r="D582" t="str">
        <f t="shared" si="18"/>
        <v>a12虹影头盔</v>
      </c>
      <c r="E582" s="10">
        <v>200321</v>
      </c>
      <c r="F582" s="10">
        <v>2642</v>
      </c>
      <c r="G582">
        <v>120</v>
      </c>
      <c r="L582" s="105" t="s">
        <v>1639</v>
      </c>
      <c r="M582" s="127" t="s">
        <v>1652</v>
      </c>
      <c r="N582" s="127" t="str">
        <f t="shared" si="19"/>
        <v>宽恕头盔·皇</v>
      </c>
    </row>
    <row r="583" spans="1:14" ht="16.5">
      <c r="A583" s="21" t="s">
        <v>1343</v>
      </c>
      <c r="B583" t="s">
        <v>1482</v>
      </c>
      <c r="C583" t="s">
        <v>1468</v>
      </c>
      <c r="D583" t="str">
        <f t="shared" si="18"/>
        <v>a13虹影头盔</v>
      </c>
      <c r="E583" s="10">
        <v>200322</v>
      </c>
      <c r="F583" s="10">
        <v>2643</v>
      </c>
      <c r="G583">
        <v>130</v>
      </c>
      <c r="L583" s="105" t="s">
        <v>1639</v>
      </c>
      <c r="M583" s="127" t="s">
        <v>1653</v>
      </c>
      <c r="N583" s="127" t="str">
        <f t="shared" si="19"/>
        <v>宽恕头盔·玄</v>
      </c>
    </row>
    <row r="584" spans="1:14" ht="16.5">
      <c r="A584" s="21" t="s">
        <v>1344</v>
      </c>
      <c r="B584" t="s">
        <v>1483</v>
      </c>
      <c r="C584" t="s">
        <v>1468</v>
      </c>
      <c r="D584" t="str">
        <f t="shared" si="18"/>
        <v>a14虹影头盔</v>
      </c>
      <c r="E584" s="10">
        <v>200323</v>
      </c>
      <c r="F584" s="10">
        <v>2644</v>
      </c>
      <c r="G584">
        <v>140</v>
      </c>
      <c r="L584" s="105" t="s">
        <v>1639</v>
      </c>
      <c r="M584" s="127" t="s">
        <v>1654</v>
      </c>
      <c r="N584" s="127" t="str">
        <f t="shared" si="19"/>
        <v>宽恕头盔·地</v>
      </c>
    </row>
    <row r="585" spans="1:14" ht="16.5">
      <c r="A585" s="21" t="s">
        <v>1345</v>
      </c>
      <c r="B585" t="s">
        <v>1484</v>
      </c>
      <c r="C585" t="s">
        <v>1468</v>
      </c>
      <c r="D585" t="str">
        <f t="shared" si="18"/>
        <v>a15虹影头盔</v>
      </c>
      <c r="E585" s="10">
        <v>200324</v>
      </c>
      <c r="F585" s="10">
        <v>2645</v>
      </c>
      <c r="G585">
        <v>150</v>
      </c>
      <c r="L585" s="105" t="s">
        <v>1639</v>
      </c>
      <c r="M585" s="127" t="s">
        <v>1655</v>
      </c>
      <c r="N585" s="127" t="str">
        <f t="shared" si="19"/>
        <v>宽恕头盔·天</v>
      </c>
    </row>
    <row r="586" spans="1:14" ht="16.5">
      <c r="A586" s="21" t="s">
        <v>1346</v>
      </c>
      <c r="B586" t="s">
        <v>1470</v>
      </c>
      <c r="C586" t="s">
        <v>1469</v>
      </c>
      <c r="D586" t="str">
        <f t="shared" si="18"/>
        <v>a01千里战靴</v>
      </c>
      <c r="E586" s="10">
        <v>2004</v>
      </c>
      <c r="F586" s="105">
        <v>2004</v>
      </c>
      <c r="G586">
        <v>10</v>
      </c>
      <c r="L586" s="105" t="s">
        <v>1640</v>
      </c>
      <c r="M586" s="127" t="s">
        <v>1641</v>
      </c>
      <c r="N586" s="127" t="str">
        <f t="shared" si="19"/>
        <v>宽恕战履·壹</v>
      </c>
    </row>
    <row r="587" spans="1:14" ht="16.5">
      <c r="A587" s="21" t="s">
        <v>1347</v>
      </c>
      <c r="B587" t="s">
        <v>1471</v>
      </c>
      <c r="C587" t="s">
        <v>1469</v>
      </c>
      <c r="D587" t="str">
        <f t="shared" si="18"/>
        <v>a02千里战靴</v>
      </c>
      <c r="E587" s="10">
        <v>200411</v>
      </c>
      <c r="F587" s="10">
        <v>2646</v>
      </c>
      <c r="G587">
        <v>20</v>
      </c>
      <c r="L587" s="105" t="s">
        <v>1640</v>
      </c>
      <c r="M587" s="127" t="s">
        <v>1642</v>
      </c>
      <c r="N587" s="127" t="str">
        <f t="shared" si="19"/>
        <v>宽恕战履·贰</v>
      </c>
    </row>
    <row r="588" spans="1:14" ht="16.5">
      <c r="A588" s="21" t="s">
        <v>1348</v>
      </c>
      <c r="B588" t="s">
        <v>1472</v>
      </c>
      <c r="C588" t="s">
        <v>1469</v>
      </c>
      <c r="D588" t="str">
        <f t="shared" si="18"/>
        <v>a03千里战靴</v>
      </c>
      <c r="E588" s="10">
        <v>200412</v>
      </c>
      <c r="F588" s="10">
        <v>2647</v>
      </c>
      <c r="G588">
        <v>30</v>
      </c>
      <c r="L588" s="105" t="s">
        <v>1640</v>
      </c>
      <c r="M588" s="127" t="s">
        <v>1643</v>
      </c>
      <c r="N588" s="127" t="str">
        <f t="shared" si="19"/>
        <v>宽恕战履·叁</v>
      </c>
    </row>
    <row r="589" spans="1:14" ht="16.5">
      <c r="A589" s="21" t="s">
        <v>1349</v>
      </c>
      <c r="B589" t="s">
        <v>1473</v>
      </c>
      <c r="C589" t="s">
        <v>1469</v>
      </c>
      <c r="D589" t="str">
        <f t="shared" si="18"/>
        <v>a04千里战靴</v>
      </c>
      <c r="E589" s="10">
        <v>200413</v>
      </c>
      <c r="F589" s="10">
        <v>2648</v>
      </c>
      <c r="G589">
        <v>40</v>
      </c>
      <c r="L589" s="105" t="s">
        <v>1640</v>
      </c>
      <c r="M589" s="127" t="s">
        <v>1644</v>
      </c>
      <c r="N589" s="127" t="str">
        <f t="shared" si="19"/>
        <v>宽恕战履·肆</v>
      </c>
    </row>
    <row r="590" spans="1:14" ht="16.5">
      <c r="A590" s="21" t="s">
        <v>1350</v>
      </c>
      <c r="B590" t="s">
        <v>1474</v>
      </c>
      <c r="C590" t="s">
        <v>1469</v>
      </c>
      <c r="D590" t="str">
        <f t="shared" si="18"/>
        <v>a05千里战靴</v>
      </c>
      <c r="E590" s="10">
        <v>200414</v>
      </c>
      <c r="F590" s="10">
        <v>2649</v>
      </c>
      <c r="G590">
        <v>50</v>
      </c>
      <c r="L590" s="105" t="s">
        <v>1640</v>
      </c>
      <c r="M590" s="127" t="s">
        <v>1645</v>
      </c>
      <c r="N590" s="127" t="str">
        <f t="shared" si="19"/>
        <v>宽恕战履·伍</v>
      </c>
    </row>
    <row r="591" spans="1:14" ht="16.5">
      <c r="A591" s="21" t="s">
        <v>1351</v>
      </c>
      <c r="B591" t="s">
        <v>1475</v>
      </c>
      <c r="C591" t="s">
        <v>1469</v>
      </c>
      <c r="D591" t="str">
        <f t="shared" si="18"/>
        <v>a06千里战靴</v>
      </c>
      <c r="E591" s="10">
        <v>200415</v>
      </c>
      <c r="F591" s="10">
        <v>2650</v>
      </c>
      <c r="G591">
        <v>60</v>
      </c>
      <c r="L591" s="105" t="s">
        <v>1640</v>
      </c>
      <c r="M591" s="127" t="s">
        <v>1646</v>
      </c>
      <c r="N591" s="127" t="str">
        <f t="shared" si="19"/>
        <v>宽恕战履·陆</v>
      </c>
    </row>
    <row r="592" spans="1:14" ht="16.5">
      <c r="A592" s="21" t="s">
        <v>1352</v>
      </c>
      <c r="B592" t="s">
        <v>1476</v>
      </c>
      <c r="C592" t="s">
        <v>1469</v>
      </c>
      <c r="D592" t="str">
        <f t="shared" si="18"/>
        <v>a07千里战靴</v>
      </c>
      <c r="E592" s="10">
        <v>200416</v>
      </c>
      <c r="F592" s="10">
        <v>2651</v>
      </c>
      <c r="G592">
        <v>70</v>
      </c>
      <c r="L592" s="105" t="s">
        <v>1640</v>
      </c>
      <c r="M592" s="127" t="s">
        <v>1647</v>
      </c>
      <c r="N592" s="127" t="str">
        <f t="shared" si="19"/>
        <v>宽恕战履·柒</v>
      </c>
    </row>
    <row r="593" spans="1:14" ht="16.5">
      <c r="A593" s="21" t="s">
        <v>1353</v>
      </c>
      <c r="B593" t="s">
        <v>1477</v>
      </c>
      <c r="C593" t="s">
        <v>1469</v>
      </c>
      <c r="D593" t="str">
        <f t="shared" si="18"/>
        <v>a08千里战靴</v>
      </c>
      <c r="E593" s="10">
        <v>200417</v>
      </c>
      <c r="F593" s="10">
        <v>2652</v>
      </c>
      <c r="G593">
        <v>80</v>
      </c>
      <c r="L593" s="105" t="s">
        <v>1640</v>
      </c>
      <c r="M593" s="127" t="s">
        <v>1648</v>
      </c>
      <c r="N593" s="127" t="str">
        <f t="shared" si="19"/>
        <v>宽恕战履·捌</v>
      </c>
    </row>
    <row r="594" spans="1:14" ht="16.5">
      <c r="A594" s="21" t="s">
        <v>1354</v>
      </c>
      <c r="B594" t="s">
        <v>1478</v>
      </c>
      <c r="C594" t="s">
        <v>1469</v>
      </c>
      <c r="D594" t="str">
        <f t="shared" si="18"/>
        <v>a09千里战靴</v>
      </c>
      <c r="E594" s="10">
        <v>200418</v>
      </c>
      <c r="F594" s="10">
        <v>2653</v>
      </c>
      <c r="G594">
        <v>90</v>
      </c>
      <c r="L594" s="105" t="s">
        <v>1640</v>
      </c>
      <c r="M594" s="127" t="s">
        <v>1649</v>
      </c>
      <c r="N594" s="127" t="str">
        <f t="shared" si="19"/>
        <v>宽恕战履·玖</v>
      </c>
    </row>
    <row r="595" spans="1:14" ht="16.5">
      <c r="A595" s="21" t="s">
        <v>1355</v>
      </c>
      <c r="B595" t="s">
        <v>1479</v>
      </c>
      <c r="C595" t="s">
        <v>1469</v>
      </c>
      <c r="D595" t="str">
        <f t="shared" si="18"/>
        <v>a10千里战靴</v>
      </c>
      <c r="E595" s="10">
        <v>200419</v>
      </c>
      <c r="F595" s="10">
        <v>2654</v>
      </c>
      <c r="G595">
        <v>100</v>
      </c>
      <c r="L595" s="105" t="s">
        <v>1640</v>
      </c>
      <c r="M595" s="127" t="s">
        <v>1650</v>
      </c>
      <c r="N595" s="127" t="str">
        <f t="shared" si="19"/>
        <v>宽恕战履·十</v>
      </c>
    </row>
    <row r="596" spans="1:14" ht="16.5">
      <c r="A596" s="21" t="s">
        <v>1356</v>
      </c>
      <c r="B596" t="s">
        <v>1480</v>
      </c>
      <c r="C596" t="s">
        <v>1469</v>
      </c>
      <c r="D596" t="str">
        <f t="shared" si="18"/>
        <v>a11千里战靴</v>
      </c>
      <c r="E596" s="10">
        <v>200420</v>
      </c>
      <c r="F596" s="10">
        <v>2655</v>
      </c>
      <c r="G596">
        <v>110</v>
      </c>
      <c r="L596" s="105" t="s">
        <v>1640</v>
      </c>
      <c r="M596" s="127" t="s">
        <v>1651</v>
      </c>
      <c r="N596" s="127" t="str">
        <f t="shared" si="19"/>
        <v>宽恕战履·凡</v>
      </c>
    </row>
    <row r="597" spans="1:14" ht="16.5">
      <c r="A597" s="21" t="s">
        <v>1357</v>
      </c>
      <c r="B597" t="s">
        <v>1481</v>
      </c>
      <c r="C597" t="s">
        <v>1469</v>
      </c>
      <c r="D597" t="str">
        <f t="shared" si="18"/>
        <v>a12千里战靴</v>
      </c>
      <c r="E597" s="10">
        <v>200421</v>
      </c>
      <c r="F597" s="10">
        <v>2656</v>
      </c>
      <c r="G597">
        <v>120</v>
      </c>
      <c r="L597" s="105" t="s">
        <v>1640</v>
      </c>
      <c r="M597" s="127" t="s">
        <v>1652</v>
      </c>
      <c r="N597" s="127" t="str">
        <f t="shared" si="19"/>
        <v>宽恕战履·皇</v>
      </c>
    </row>
    <row r="598" spans="1:14" ht="16.5">
      <c r="A598" s="21" t="s">
        <v>1358</v>
      </c>
      <c r="B598" t="s">
        <v>1482</v>
      </c>
      <c r="C598" t="s">
        <v>1469</v>
      </c>
      <c r="D598" t="str">
        <f t="shared" si="18"/>
        <v>a13千里战靴</v>
      </c>
      <c r="E598" s="10">
        <v>200422</v>
      </c>
      <c r="F598" s="10">
        <v>2657</v>
      </c>
      <c r="G598">
        <v>130</v>
      </c>
      <c r="L598" s="105" t="s">
        <v>1640</v>
      </c>
      <c r="M598" s="127" t="s">
        <v>1653</v>
      </c>
      <c r="N598" s="127" t="str">
        <f t="shared" si="19"/>
        <v>宽恕战履·玄</v>
      </c>
    </row>
    <row r="599" spans="1:14" ht="16.5">
      <c r="A599" s="21" t="s">
        <v>1359</v>
      </c>
      <c r="B599" t="s">
        <v>1483</v>
      </c>
      <c r="C599" t="s">
        <v>1469</v>
      </c>
      <c r="D599" t="str">
        <f t="shared" si="18"/>
        <v>a14千里战靴</v>
      </c>
      <c r="E599" s="10">
        <v>200423</v>
      </c>
      <c r="F599" s="10">
        <v>2658</v>
      </c>
      <c r="G599">
        <v>140</v>
      </c>
      <c r="L599" s="105" t="s">
        <v>1640</v>
      </c>
      <c r="M599" s="127" t="s">
        <v>1654</v>
      </c>
      <c r="N599" s="127" t="str">
        <f t="shared" si="19"/>
        <v>宽恕战履·地</v>
      </c>
    </row>
    <row r="600" spans="1:14" ht="16.5">
      <c r="A600" s="21" t="s">
        <v>1360</v>
      </c>
      <c r="B600" t="s">
        <v>1484</v>
      </c>
      <c r="C600" t="s">
        <v>1469</v>
      </c>
      <c r="D600" t="str">
        <f t="shared" si="18"/>
        <v>a15千里战靴</v>
      </c>
      <c r="E600" s="10">
        <v>200424</v>
      </c>
      <c r="F600" s="10">
        <v>2659</v>
      </c>
      <c r="G600">
        <v>150</v>
      </c>
      <c r="L600" s="105" t="s">
        <v>1640</v>
      </c>
      <c r="M600" s="127" t="s">
        <v>1655</v>
      </c>
      <c r="N600" s="127" t="str">
        <f t="shared" si="19"/>
        <v>宽恕战履·天</v>
      </c>
    </row>
    <row r="601" spans="1:14" ht="16.5">
      <c r="A601" s="77" t="s">
        <v>1374</v>
      </c>
      <c r="B601" t="s">
        <v>1470</v>
      </c>
      <c r="C601" t="s">
        <v>1361</v>
      </c>
      <c r="D601" t="str">
        <f t="shared" si="18"/>
        <v>a01封魔战甲</v>
      </c>
      <c r="E601" s="77">
        <v>451</v>
      </c>
      <c r="F601" s="77">
        <v>2660</v>
      </c>
      <c r="G601">
        <v>10</v>
      </c>
      <c r="L601" s="24" t="s">
        <v>136</v>
      </c>
      <c r="N601" s="127" t="str">
        <f t="shared" si="19"/>
        <v>GM战甲</v>
      </c>
    </row>
    <row r="602" spans="1:14" ht="16.5">
      <c r="A602" s="77" t="s">
        <v>1375</v>
      </c>
      <c r="B602" t="s">
        <v>1471</v>
      </c>
      <c r="C602" t="s">
        <v>1361</v>
      </c>
      <c r="D602" t="str">
        <f t="shared" si="18"/>
        <v>a02封魔战甲</v>
      </c>
      <c r="E602" s="77">
        <v>452</v>
      </c>
      <c r="F602" s="77">
        <v>2661</v>
      </c>
      <c r="G602">
        <v>20</v>
      </c>
      <c r="L602" s="24" t="s">
        <v>137</v>
      </c>
      <c r="N602" s="127" t="str">
        <f t="shared" si="19"/>
        <v>GM长剑</v>
      </c>
    </row>
    <row r="603" spans="1:14" ht="16.5">
      <c r="A603" s="77" t="s">
        <v>1376</v>
      </c>
      <c r="B603" t="s">
        <v>1472</v>
      </c>
      <c r="C603" t="s">
        <v>1361</v>
      </c>
      <c r="D603" t="str">
        <f t="shared" si="18"/>
        <v>a03封魔战甲</v>
      </c>
      <c r="E603" s="77">
        <v>2045</v>
      </c>
      <c r="F603" s="108">
        <v>2045</v>
      </c>
      <c r="G603">
        <v>30</v>
      </c>
      <c r="L603" s="24" t="s">
        <v>138</v>
      </c>
      <c r="N603" s="127" t="str">
        <f t="shared" si="19"/>
        <v>GM头盔</v>
      </c>
    </row>
    <row r="604" spans="1:14" ht="16.5">
      <c r="A604" s="77" t="s">
        <v>1377</v>
      </c>
      <c r="B604" t="s">
        <v>1473</v>
      </c>
      <c r="C604" t="s">
        <v>1361</v>
      </c>
      <c r="D604" t="str">
        <f t="shared" si="18"/>
        <v>a04封魔战甲</v>
      </c>
      <c r="E604" s="77">
        <v>20451</v>
      </c>
      <c r="F604" s="77">
        <v>2662</v>
      </c>
      <c r="G604">
        <v>40</v>
      </c>
      <c r="L604" s="24" t="s">
        <v>135</v>
      </c>
      <c r="N604" s="127" t="str">
        <f t="shared" si="19"/>
        <v>GM战靴</v>
      </c>
    </row>
    <row r="605" spans="1:14" ht="16.5">
      <c r="A605" s="77" t="s">
        <v>1378</v>
      </c>
      <c r="B605" t="s">
        <v>1474</v>
      </c>
      <c r="C605" t="s">
        <v>1361</v>
      </c>
      <c r="D605" t="str">
        <f t="shared" si="18"/>
        <v>a05封魔战甲</v>
      </c>
      <c r="E605" s="77">
        <v>20452</v>
      </c>
      <c r="F605" s="77">
        <v>2663</v>
      </c>
      <c r="G605">
        <v>50</v>
      </c>
      <c r="L605" s="77" t="s">
        <v>1361</v>
      </c>
      <c r="M605" s="127" t="s">
        <v>1641</v>
      </c>
      <c r="N605" s="127" t="str">
        <f t="shared" si="19"/>
        <v>封魔战甲·壹</v>
      </c>
    </row>
    <row r="606" spans="1:14" ht="16.5">
      <c r="A606" s="77" t="s">
        <v>1379</v>
      </c>
      <c r="B606" t="s">
        <v>1475</v>
      </c>
      <c r="C606" t="s">
        <v>1361</v>
      </c>
      <c r="D606" t="str">
        <f t="shared" si="18"/>
        <v>a06封魔战甲</v>
      </c>
      <c r="E606" s="77">
        <v>20453</v>
      </c>
      <c r="F606" s="77">
        <v>2664</v>
      </c>
      <c r="G606">
        <v>60</v>
      </c>
      <c r="L606" s="77" t="s">
        <v>1361</v>
      </c>
      <c r="M606" s="127" t="s">
        <v>1642</v>
      </c>
      <c r="N606" s="127" t="str">
        <f t="shared" si="19"/>
        <v>封魔战甲·贰</v>
      </c>
    </row>
    <row r="607" spans="1:14" ht="16.5">
      <c r="A607" s="77" t="s">
        <v>1380</v>
      </c>
      <c r="B607" t="s">
        <v>1476</v>
      </c>
      <c r="C607" t="s">
        <v>1361</v>
      </c>
      <c r="D607" t="str">
        <f t="shared" si="18"/>
        <v>a07封魔战甲</v>
      </c>
      <c r="E607" s="77">
        <v>20454</v>
      </c>
      <c r="F607" s="77">
        <v>2665</v>
      </c>
      <c r="G607">
        <v>70</v>
      </c>
      <c r="L607" s="108" t="s">
        <v>1361</v>
      </c>
      <c r="M607" s="127" t="s">
        <v>1643</v>
      </c>
      <c r="N607" s="127" t="str">
        <f t="shared" si="19"/>
        <v>封魔战甲·叁</v>
      </c>
    </row>
    <row r="608" spans="1:14" ht="16.5">
      <c r="A608" s="77" t="s">
        <v>1381</v>
      </c>
      <c r="B608" t="s">
        <v>1477</v>
      </c>
      <c r="C608" t="s">
        <v>1361</v>
      </c>
      <c r="D608" t="str">
        <f t="shared" si="18"/>
        <v>a08封魔战甲</v>
      </c>
      <c r="E608" s="77">
        <v>20455</v>
      </c>
      <c r="F608" s="77">
        <v>2666</v>
      </c>
      <c r="G608">
        <v>80</v>
      </c>
      <c r="L608" s="77" t="s">
        <v>1361</v>
      </c>
      <c r="M608" s="127" t="s">
        <v>1644</v>
      </c>
      <c r="N608" s="127" t="str">
        <f t="shared" si="19"/>
        <v>封魔战甲·肆</v>
      </c>
    </row>
    <row r="609" spans="1:14" ht="16.5">
      <c r="A609" s="77" t="s">
        <v>1382</v>
      </c>
      <c r="B609" t="s">
        <v>1478</v>
      </c>
      <c r="C609" t="s">
        <v>1361</v>
      </c>
      <c r="D609" t="str">
        <f t="shared" si="18"/>
        <v>a09封魔战甲</v>
      </c>
      <c r="E609" s="77">
        <v>20456</v>
      </c>
      <c r="F609" s="77">
        <v>2667</v>
      </c>
      <c r="G609">
        <v>90</v>
      </c>
      <c r="L609" s="77" t="s">
        <v>1361</v>
      </c>
      <c r="M609" s="127" t="s">
        <v>1645</v>
      </c>
      <c r="N609" s="127" t="str">
        <f t="shared" si="19"/>
        <v>封魔战甲·伍</v>
      </c>
    </row>
    <row r="610" spans="1:14" ht="16.5">
      <c r="A610" s="77" t="s">
        <v>1383</v>
      </c>
      <c r="B610" t="s">
        <v>1479</v>
      </c>
      <c r="C610" t="s">
        <v>1361</v>
      </c>
      <c r="D610" t="str">
        <f t="shared" si="18"/>
        <v>a10封魔战甲</v>
      </c>
      <c r="E610" s="77">
        <v>20457</v>
      </c>
      <c r="F610" s="77">
        <v>2668</v>
      </c>
      <c r="G610">
        <v>100</v>
      </c>
      <c r="L610" s="77" t="s">
        <v>1361</v>
      </c>
      <c r="M610" s="127" t="s">
        <v>1646</v>
      </c>
      <c r="N610" s="127" t="str">
        <f t="shared" si="19"/>
        <v>封魔战甲·陆</v>
      </c>
    </row>
    <row r="611" spans="1:14" ht="16.5">
      <c r="A611" s="77" t="s">
        <v>1384</v>
      </c>
      <c r="B611" t="s">
        <v>1480</v>
      </c>
      <c r="C611" t="s">
        <v>1361</v>
      </c>
      <c r="D611" t="str">
        <f t="shared" si="18"/>
        <v>a11封魔战甲</v>
      </c>
      <c r="E611" s="77">
        <v>20458</v>
      </c>
      <c r="F611" s="77">
        <v>2669</v>
      </c>
      <c r="G611">
        <v>110</v>
      </c>
      <c r="L611" s="77" t="s">
        <v>1361</v>
      </c>
      <c r="M611" s="127" t="s">
        <v>1647</v>
      </c>
      <c r="N611" s="127" t="str">
        <f t="shared" si="19"/>
        <v>封魔战甲·柒</v>
      </c>
    </row>
    <row r="612" spans="1:14" ht="16.5">
      <c r="A612" s="77" t="s">
        <v>1385</v>
      </c>
      <c r="B612" t="s">
        <v>1481</v>
      </c>
      <c r="C612" t="s">
        <v>1361</v>
      </c>
      <c r="D612" t="str">
        <f t="shared" si="18"/>
        <v>a12封魔战甲</v>
      </c>
      <c r="E612" s="77">
        <v>20459</v>
      </c>
      <c r="F612" s="77">
        <v>2670</v>
      </c>
      <c r="G612">
        <v>120</v>
      </c>
      <c r="L612" s="77" t="s">
        <v>1361</v>
      </c>
      <c r="M612" s="127" t="s">
        <v>1648</v>
      </c>
      <c r="N612" s="127" t="str">
        <f t="shared" si="19"/>
        <v>封魔战甲·捌</v>
      </c>
    </row>
    <row r="613" spans="1:14" ht="16.5">
      <c r="A613" s="77" t="s">
        <v>1386</v>
      </c>
      <c r="B613" t="s">
        <v>1482</v>
      </c>
      <c r="C613" t="s">
        <v>1361</v>
      </c>
      <c r="D613" t="str">
        <f t="shared" si="18"/>
        <v>a13封魔战甲</v>
      </c>
      <c r="E613" s="77">
        <v>204601</v>
      </c>
      <c r="F613" s="77">
        <v>2671</v>
      </c>
      <c r="G613">
        <v>130</v>
      </c>
      <c r="L613" s="77" t="s">
        <v>1361</v>
      </c>
      <c r="M613" s="127" t="s">
        <v>1649</v>
      </c>
      <c r="N613" s="127" t="str">
        <f t="shared" si="19"/>
        <v>封魔战甲·玖</v>
      </c>
    </row>
    <row r="614" spans="1:14" ht="16.5">
      <c r="A614" s="77" t="s">
        <v>1387</v>
      </c>
      <c r="B614" t="s">
        <v>1483</v>
      </c>
      <c r="C614" t="s">
        <v>1361</v>
      </c>
      <c r="D614" t="str">
        <f t="shared" si="18"/>
        <v>a14封魔战甲</v>
      </c>
      <c r="E614" s="77">
        <v>204602</v>
      </c>
      <c r="F614" s="77">
        <v>2672</v>
      </c>
      <c r="G614">
        <v>140</v>
      </c>
      <c r="L614" s="77" t="s">
        <v>1361</v>
      </c>
      <c r="M614" s="127" t="s">
        <v>1650</v>
      </c>
      <c r="N614" s="127" t="str">
        <f t="shared" si="19"/>
        <v>封魔战甲·十</v>
      </c>
    </row>
    <row r="615" spans="1:14" ht="16.5">
      <c r="A615" s="77" t="s">
        <v>1388</v>
      </c>
      <c r="B615" t="s">
        <v>1484</v>
      </c>
      <c r="C615" t="s">
        <v>1361</v>
      </c>
      <c r="D615" t="str">
        <f t="shared" si="18"/>
        <v>a15封魔战甲</v>
      </c>
      <c r="E615" s="77">
        <v>204603</v>
      </c>
      <c r="F615" s="77">
        <v>2673</v>
      </c>
      <c r="G615">
        <v>150</v>
      </c>
      <c r="L615" s="77" t="s">
        <v>1361</v>
      </c>
      <c r="M615" s="127" t="s">
        <v>1651</v>
      </c>
      <c r="N615" s="127" t="str">
        <f t="shared" si="19"/>
        <v>封魔战甲·凡</v>
      </c>
    </row>
    <row r="616" spans="1:14" ht="16.5">
      <c r="A616" s="77" t="s">
        <v>1389</v>
      </c>
      <c r="B616" t="s">
        <v>1470</v>
      </c>
      <c r="C616" t="s">
        <v>1365</v>
      </c>
      <c r="D616" t="str">
        <f t="shared" si="18"/>
        <v>a01封魔长剑</v>
      </c>
      <c r="E616" s="77">
        <v>461</v>
      </c>
      <c r="F616" s="77">
        <v>2674</v>
      </c>
      <c r="G616">
        <v>10</v>
      </c>
      <c r="L616" s="77" t="s">
        <v>1361</v>
      </c>
      <c r="M616" s="127" t="s">
        <v>1652</v>
      </c>
      <c r="N616" s="127" t="str">
        <f t="shared" si="19"/>
        <v>封魔战甲·皇</v>
      </c>
    </row>
    <row r="617" spans="1:14" ht="16.5">
      <c r="A617" s="77" t="s">
        <v>1390</v>
      </c>
      <c r="B617" t="s">
        <v>1471</v>
      </c>
      <c r="C617" t="s">
        <v>1365</v>
      </c>
      <c r="D617" t="str">
        <f t="shared" si="18"/>
        <v>a02封魔长剑</v>
      </c>
      <c r="E617" s="77">
        <v>462</v>
      </c>
      <c r="F617" s="77">
        <v>2675</v>
      </c>
      <c r="G617">
        <v>20</v>
      </c>
      <c r="L617" s="77" t="s">
        <v>1361</v>
      </c>
      <c r="M617" s="127" t="s">
        <v>1653</v>
      </c>
      <c r="N617" s="127" t="str">
        <f t="shared" si="19"/>
        <v>封魔战甲·玄</v>
      </c>
    </row>
    <row r="618" spans="1:14" ht="16.5">
      <c r="A618" s="77" t="s">
        <v>1391</v>
      </c>
      <c r="B618" t="s">
        <v>1472</v>
      </c>
      <c r="C618" t="s">
        <v>1365</v>
      </c>
      <c r="D618" t="str">
        <f t="shared" si="18"/>
        <v>a03封魔长剑</v>
      </c>
      <c r="E618" s="77">
        <v>2046</v>
      </c>
      <c r="F618" s="108">
        <v>2046</v>
      </c>
      <c r="G618">
        <v>30</v>
      </c>
      <c r="L618" s="77" t="s">
        <v>1361</v>
      </c>
      <c r="M618" s="127" t="s">
        <v>1654</v>
      </c>
      <c r="N618" s="127" t="str">
        <f t="shared" si="19"/>
        <v>封魔战甲·地</v>
      </c>
    </row>
    <row r="619" spans="1:14" ht="16.5">
      <c r="A619" s="77" t="s">
        <v>1392</v>
      </c>
      <c r="B619" t="s">
        <v>1473</v>
      </c>
      <c r="C619" t="s">
        <v>1365</v>
      </c>
      <c r="D619" t="str">
        <f t="shared" si="18"/>
        <v>a04封魔长剑</v>
      </c>
      <c r="E619" s="77">
        <v>20461</v>
      </c>
      <c r="F619" s="77">
        <v>2676</v>
      </c>
      <c r="G619">
        <v>40</v>
      </c>
      <c r="L619" s="77" t="s">
        <v>1361</v>
      </c>
      <c r="M619" s="127" t="s">
        <v>1655</v>
      </c>
      <c r="N619" s="127" t="str">
        <f t="shared" si="19"/>
        <v>封魔战甲·天</v>
      </c>
    </row>
    <row r="620" spans="1:14" ht="16.5">
      <c r="A620" s="77" t="s">
        <v>1393</v>
      </c>
      <c r="B620" t="s">
        <v>1474</v>
      </c>
      <c r="C620" t="s">
        <v>1365</v>
      </c>
      <c r="D620" t="str">
        <f t="shared" si="18"/>
        <v>a05封魔长剑</v>
      </c>
      <c r="E620" s="77">
        <v>20462</v>
      </c>
      <c r="F620" s="77">
        <v>2677</v>
      </c>
      <c r="G620">
        <v>50</v>
      </c>
      <c r="L620" s="77" t="s">
        <v>1365</v>
      </c>
      <c r="M620" s="127" t="s">
        <v>1641</v>
      </c>
      <c r="N620" s="127" t="str">
        <f t="shared" si="19"/>
        <v>封魔长剑·壹</v>
      </c>
    </row>
    <row r="621" spans="1:14" ht="16.5">
      <c r="A621" s="77" t="s">
        <v>1394</v>
      </c>
      <c r="B621" t="s">
        <v>1475</v>
      </c>
      <c r="C621" t="s">
        <v>1365</v>
      </c>
      <c r="D621" t="str">
        <f t="shared" si="18"/>
        <v>a06封魔长剑</v>
      </c>
      <c r="E621" s="77">
        <v>20463</v>
      </c>
      <c r="F621" s="77">
        <v>2678</v>
      </c>
      <c r="G621">
        <v>60</v>
      </c>
      <c r="L621" s="77" t="s">
        <v>1365</v>
      </c>
      <c r="M621" s="127" t="s">
        <v>1642</v>
      </c>
      <c r="N621" s="127" t="str">
        <f t="shared" si="19"/>
        <v>封魔长剑·贰</v>
      </c>
    </row>
    <row r="622" spans="1:14" ht="16.5">
      <c r="A622" s="77" t="s">
        <v>1395</v>
      </c>
      <c r="B622" t="s">
        <v>1476</v>
      </c>
      <c r="C622" t="s">
        <v>1365</v>
      </c>
      <c r="D622" t="str">
        <f t="shared" si="18"/>
        <v>a07封魔长剑</v>
      </c>
      <c r="E622" s="77">
        <v>20464</v>
      </c>
      <c r="F622" s="77">
        <v>2679</v>
      </c>
      <c r="G622">
        <v>70</v>
      </c>
      <c r="L622" s="108" t="s">
        <v>1365</v>
      </c>
      <c r="M622" s="127" t="s">
        <v>1643</v>
      </c>
      <c r="N622" s="127" t="str">
        <f t="shared" si="19"/>
        <v>封魔长剑·叁</v>
      </c>
    </row>
    <row r="623" spans="1:14" ht="16.5">
      <c r="A623" s="77" t="s">
        <v>1396</v>
      </c>
      <c r="B623" t="s">
        <v>1477</v>
      </c>
      <c r="C623" t="s">
        <v>1365</v>
      </c>
      <c r="D623" t="str">
        <f t="shared" si="18"/>
        <v>a08封魔长剑</v>
      </c>
      <c r="E623" s="77">
        <v>20465</v>
      </c>
      <c r="F623" s="77">
        <v>2680</v>
      </c>
      <c r="G623">
        <v>80</v>
      </c>
      <c r="L623" s="77" t="s">
        <v>1365</v>
      </c>
      <c r="M623" s="127" t="s">
        <v>1644</v>
      </c>
      <c r="N623" s="127" t="str">
        <f t="shared" si="19"/>
        <v>封魔长剑·肆</v>
      </c>
    </row>
    <row r="624" spans="1:14" ht="16.5">
      <c r="A624" s="77" t="s">
        <v>1397</v>
      </c>
      <c r="B624" t="s">
        <v>1478</v>
      </c>
      <c r="C624" t="s">
        <v>1365</v>
      </c>
      <c r="D624" t="str">
        <f t="shared" si="18"/>
        <v>a09封魔长剑</v>
      </c>
      <c r="E624" s="77">
        <v>20466</v>
      </c>
      <c r="F624" s="77">
        <v>2681</v>
      </c>
      <c r="G624">
        <v>90</v>
      </c>
      <c r="L624" s="77" t="s">
        <v>1365</v>
      </c>
      <c r="M624" s="127" t="s">
        <v>1645</v>
      </c>
      <c r="N624" s="127" t="str">
        <f t="shared" si="19"/>
        <v>封魔长剑·伍</v>
      </c>
    </row>
    <row r="625" spans="1:14" ht="16.5">
      <c r="A625" s="77" t="s">
        <v>1398</v>
      </c>
      <c r="B625" t="s">
        <v>1479</v>
      </c>
      <c r="C625" t="s">
        <v>1365</v>
      </c>
      <c r="D625" t="str">
        <f t="shared" si="18"/>
        <v>a10封魔长剑</v>
      </c>
      <c r="E625" s="77">
        <v>20467</v>
      </c>
      <c r="F625" s="77">
        <v>2682</v>
      </c>
      <c r="G625">
        <v>100</v>
      </c>
      <c r="L625" s="77" t="s">
        <v>1365</v>
      </c>
      <c r="M625" s="127" t="s">
        <v>1646</v>
      </c>
      <c r="N625" s="127" t="str">
        <f t="shared" si="19"/>
        <v>封魔长剑·陆</v>
      </c>
    </row>
    <row r="626" spans="1:14" ht="16.5">
      <c r="A626" s="77" t="s">
        <v>1399</v>
      </c>
      <c r="B626" t="s">
        <v>1480</v>
      </c>
      <c r="C626" t="s">
        <v>1365</v>
      </c>
      <c r="D626" t="str">
        <f t="shared" si="18"/>
        <v>a11封魔长剑</v>
      </c>
      <c r="E626" s="77">
        <v>20468</v>
      </c>
      <c r="F626" s="77">
        <v>2683</v>
      </c>
      <c r="G626">
        <v>110</v>
      </c>
      <c r="L626" s="77" t="s">
        <v>1365</v>
      </c>
      <c r="M626" s="127" t="s">
        <v>1647</v>
      </c>
      <c r="N626" s="127" t="str">
        <f t="shared" si="19"/>
        <v>封魔长剑·柒</v>
      </c>
    </row>
    <row r="627" spans="1:14" ht="16.5">
      <c r="A627" s="77" t="s">
        <v>1400</v>
      </c>
      <c r="B627" t="s">
        <v>1481</v>
      </c>
      <c r="C627" t="s">
        <v>1365</v>
      </c>
      <c r="D627" t="str">
        <f t="shared" si="18"/>
        <v>a12封魔长剑</v>
      </c>
      <c r="E627" s="77">
        <v>20469</v>
      </c>
      <c r="F627" s="77">
        <v>2684</v>
      </c>
      <c r="G627">
        <v>120</v>
      </c>
      <c r="L627" s="77" t="s">
        <v>1365</v>
      </c>
      <c r="M627" s="127" t="s">
        <v>1648</v>
      </c>
      <c r="N627" s="127" t="str">
        <f t="shared" si="19"/>
        <v>封魔长剑·捌</v>
      </c>
    </row>
    <row r="628" spans="1:14" ht="16.5">
      <c r="A628" s="77" t="s">
        <v>1401</v>
      </c>
      <c r="B628" t="s">
        <v>1482</v>
      </c>
      <c r="C628" t="s">
        <v>1365</v>
      </c>
      <c r="D628" t="str">
        <f t="shared" si="18"/>
        <v>a13封魔长剑</v>
      </c>
      <c r="E628" s="77">
        <v>204701</v>
      </c>
      <c r="F628" s="77">
        <v>2685</v>
      </c>
      <c r="G628">
        <v>130</v>
      </c>
      <c r="L628" s="77" t="s">
        <v>1365</v>
      </c>
      <c r="M628" s="127" t="s">
        <v>1649</v>
      </c>
      <c r="N628" s="127" t="str">
        <f t="shared" si="19"/>
        <v>封魔长剑·玖</v>
      </c>
    </row>
    <row r="629" spans="1:14" ht="16.5">
      <c r="A629" s="77" t="s">
        <v>1402</v>
      </c>
      <c r="B629" t="s">
        <v>1483</v>
      </c>
      <c r="C629" t="s">
        <v>1365</v>
      </c>
      <c r="D629" t="str">
        <f t="shared" si="18"/>
        <v>a14封魔长剑</v>
      </c>
      <c r="E629" s="77">
        <v>204702</v>
      </c>
      <c r="F629" s="77">
        <v>2686</v>
      </c>
      <c r="G629">
        <v>140</v>
      </c>
      <c r="L629" s="77" t="s">
        <v>1365</v>
      </c>
      <c r="M629" s="127" t="s">
        <v>1650</v>
      </c>
      <c r="N629" s="127" t="str">
        <f t="shared" si="19"/>
        <v>封魔长剑·十</v>
      </c>
    </row>
    <row r="630" spans="1:14" ht="16.5">
      <c r="A630" s="77" t="s">
        <v>1403</v>
      </c>
      <c r="B630" t="s">
        <v>1484</v>
      </c>
      <c r="C630" t="s">
        <v>1365</v>
      </c>
      <c r="D630" t="str">
        <f t="shared" si="18"/>
        <v>a15封魔长剑</v>
      </c>
      <c r="E630" s="77">
        <v>204703</v>
      </c>
      <c r="F630" s="77">
        <v>2687</v>
      </c>
      <c r="G630">
        <v>150</v>
      </c>
      <c r="L630" s="77" t="s">
        <v>1365</v>
      </c>
      <c r="M630" s="127" t="s">
        <v>1651</v>
      </c>
      <c r="N630" s="127" t="str">
        <f t="shared" si="19"/>
        <v>封魔长剑·凡</v>
      </c>
    </row>
    <row r="631" spans="1:14" ht="16.5">
      <c r="A631" s="77" t="s">
        <v>1404</v>
      </c>
      <c r="B631" t="s">
        <v>1470</v>
      </c>
      <c r="C631" t="s">
        <v>1368</v>
      </c>
      <c r="D631" t="str">
        <f t="shared" si="18"/>
        <v>a01封魔头盔</v>
      </c>
      <c r="E631" s="77">
        <v>471</v>
      </c>
      <c r="F631" s="77">
        <v>2688</v>
      </c>
      <c r="G631">
        <v>10</v>
      </c>
      <c r="L631" s="77" t="s">
        <v>1365</v>
      </c>
      <c r="M631" s="127" t="s">
        <v>1652</v>
      </c>
      <c r="N631" s="127" t="str">
        <f t="shared" si="19"/>
        <v>封魔长剑·皇</v>
      </c>
    </row>
    <row r="632" spans="1:14" ht="16.5">
      <c r="A632" s="77" t="s">
        <v>1405</v>
      </c>
      <c r="B632" t="s">
        <v>1471</v>
      </c>
      <c r="C632" t="s">
        <v>1368</v>
      </c>
      <c r="D632" t="str">
        <f t="shared" si="18"/>
        <v>a02封魔头盔</v>
      </c>
      <c r="E632" s="77">
        <v>472</v>
      </c>
      <c r="F632" s="77">
        <v>2689</v>
      </c>
      <c r="G632">
        <v>20</v>
      </c>
      <c r="L632" s="77" t="s">
        <v>1365</v>
      </c>
      <c r="M632" s="127" t="s">
        <v>1653</v>
      </c>
      <c r="N632" s="127" t="str">
        <f t="shared" si="19"/>
        <v>封魔长剑·玄</v>
      </c>
    </row>
    <row r="633" spans="1:14" ht="16.5">
      <c r="A633" s="77" t="s">
        <v>1406</v>
      </c>
      <c r="B633" t="s">
        <v>1472</v>
      </c>
      <c r="C633" t="s">
        <v>1368</v>
      </c>
      <c r="D633" t="str">
        <f t="shared" si="18"/>
        <v>a03封魔头盔</v>
      </c>
      <c r="E633" s="77">
        <v>2047</v>
      </c>
      <c r="F633" s="108">
        <v>2047</v>
      </c>
      <c r="G633">
        <v>30</v>
      </c>
      <c r="L633" s="77" t="s">
        <v>1365</v>
      </c>
      <c r="M633" s="127" t="s">
        <v>1654</v>
      </c>
      <c r="N633" s="127" t="str">
        <f t="shared" si="19"/>
        <v>封魔长剑·地</v>
      </c>
    </row>
    <row r="634" spans="1:14" ht="16.5">
      <c r="A634" s="77" t="s">
        <v>1407</v>
      </c>
      <c r="B634" t="s">
        <v>1473</v>
      </c>
      <c r="C634" t="s">
        <v>1368</v>
      </c>
      <c r="D634" t="str">
        <f t="shared" si="18"/>
        <v>a04封魔头盔</v>
      </c>
      <c r="E634" s="77">
        <v>20471</v>
      </c>
      <c r="F634" s="77">
        <v>2690</v>
      </c>
      <c r="G634">
        <v>40</v>
      </c>
      <c r="L634" s="77" t="s">
        <v>1365</v>
      </c>
      <c r="M634" s="127" t="s">
        <v>1655</v>
      </c>
      <c r="N634" s="127" t="str">
        <f t="shared" si="19"/>
        <v>封魔长剑·天</v>
      </c>
    </row>
    <row r="635" spans="1:14" ht="16.5">
      <c r="A635" s="77" t="s">
        <v>1408</v>
      </c>
      <c r="B635" t="s">
        <v>1474</v>
      </c>
      <c r="C635" t="s">
        <v>1368</v>
      </c>
      <c r="D635" t="str">
        <f t="shared" si="18"/>
        <v>a05封魔头盔</v>
      </c>
      <c r="E635" s="77">
        <v>20472</v>
      </c>
      <c r="F635" s="77">
        <v>2691</v>
      </c>
      <c r="G635">
        <v>50</v>
      </c>
      <c r="L635" s="77" t="s">
        <v>1368</v>
      </c>
      <c r="M635" s="127" t="s">
        <v>1641</v>
      </c>
      <c r="N635" s="127" t="str">
        <f t="shared" si="19"/>
        <v>封魔头盔·壹</v>
      </c>
    </row>
    <row r="636" spans="1:14" ht="16.5">
      <c r="A636" s="77" t="s">
        <v>1409</v>
      </c>
      <c r="B636" t="s">
        <v>1475</v>
      </c>
      <c r="C636" t="s">
        <v>1368</v>
      </c>
      <c r="D636" t="str">
        <f t="shared" si="18"/>
        <v>a06封魔头盔</v>
      </c>
      <c r="E636" s="77">
        <v>20473</v>
      </c>
      <c r="F636" s="77">
        <v>2692</v>
      </c>
      <c r="G636">
        <v>60</v>
      </c>
      <c r="L636" s="77" t="s">
        <v>1368</v>
      </c>
      <c r="M636" s="127" t="s">
        <v>1642</v>
      </c>
      <c r="N636" s="127" t="str">
        <f t="shared" si="19"/>
        <v>封魔头盔·贰</v>
      </c>
    </row>
    <row r="637" spans="1:14" ht="16.5">
      <c r="A637" s="77" t="s">
        <v>1410</v>
      </c>
      <c r="B637" t="s">
        <v>1476</v>
      </c>
      <c r="C637" t="s">
        <v>1368</v>
      </c>
      <c r="D637" t="str">
        <f t="shared" si="18"/>
        <v>a07封魔头盔</v>
      </c>
      <c r="E637" s="77">
        <v>20474</v>
      </c>
      <c r="F637" s="77">
        <v>2693</v>
      </c>
      <c r="G637">
        <v>70</v>
      </c>
      <c r="L637" s="108" t="s">
        <v>1368</v>
      </c>
      <c r="M637" s="127" t="s">
        <v>1643</v>
      </c>
      <c r="N637" s="127" t="str">
        <f t="shared" si="19"/>
        <v>封魔头盔·叁</v>
      </c>
    </row>
    <row r="638" spans="1:14" ht="16.5">
      <c r="A638" s="77" t="s">
        <v>1411</v>
      </c>
      <c r="B638" t="s">
        <v>1477</v>
      </c>
      <c r="C638" t="s">
        <v>1368</v>
      </c>
      <c r="D638" t="str">
        <f t="shared" si="18"/>
        <v>a08封魔头盔</v>
      </c>
      <c r="E638" s="77">
        <v>20475</v>
      </c>
      <c r="F638" s="77">
        <v>2694</v>
      </c>
      <c r="G638">
        <v>80</v>
      </c>
      <c r="L638" s="77" t="s">
        <v>1368</v>
      </c>
      <c r="M638" s="127" t="s">
        <v>1644</v>
      </c>
      <c r="N638" s="127" t="str">
        <f t="shared" si="19"/>
        <v>封魔头盔·肆</v>
      </c>
    </row>
    <row r="639" spans="1:14" ht="16.5">
      <c r="A639" s="77" t="s">
        <v>1412</v>
      </c>
      <c r="B639" t="s">
        <v>1478</v>
      </c>
      <c r="C639" t="s">
        <v>1368</v>
      </c>
      <c r="D639" t="str">
        <f t="shared" si="18"/>
        <v>a09封魔头盔</v>
      </c>
      <c r="E639" s="77">
        <v>20476</v>
      </c>
      <c r="F639" s="77">
        <v>2695</v>
      </c>
      <c r="G639">
        <v>90</v>
      </c>
      <c r="L639" s="77" t="s">
        <v>1368</v>
      </c>
      <c r="M639" s="127" t="s">
        <v>1645</v>
      </c>
      <c r="N639" s="127" t="str">
        <f t="shared" si="19"/>
        <v>封魔头盔·伍</v>
      </c>
    </row>
    <row r="640" spans="1:14" ht="16.5">
      <c r="A640" s="77" t="s">
        <v>1413</v>
      </c>
      <c r="B640" t="s">
        <v>1479</v>
      </c>
      <c r="C640" t="s">
        <v>1368</v>
      </c>
      <c r="D640" t="str">
        <f t="shared" si="18"/>
        <v>a10封魔头盔</v>
      </c>
      <c r="E640" s="77">
        <v>20477</v>
      </c>
      <c r="F640" s="77">
        <v>2696</v>
      </c>
      <c r="G640">
        <v>100</v>
      </c>
      <c r="L640" s="77" t="s">
        <v>1368</v>
      </c>
      <c r="M640" s="127" t="s">
        <v>1646</v>
      </c>
      <c r="N640" s="127" t="str">
        <f t="shared" si="19"/>
        <v>封魔头盔·陆</v>
      </c>
    </row>
    <row r="641" spans="1:14" ht="16.5">
      <c r="A641" s="77" t="s">
        <v>1414</v>
      </c>
      <c r="B641" t="s">
        <v>1480</v>
      </c>
      <c r="C641" t="s">
        <v>1368</v>
      </c>
      <c r="D641" t="str">
        <f t="shared" si="18"/>
        <v>a11封魔头盔</v>
      </c>
      <c r="E641" s="77">
        <v>20478</v>
      </c>
      <c r="F641" s="77">
        <v>2697</v>
      </c>
      <c r="G641">
        <v>110</v>
      </c>
      <c r="L641" s="77" t="s">
        <v>1368</v>
      </c>
      <c r="M641" s="127" t="s">
        <v>1647</v>
      </c>
      <c r="N641" s="127" t="str">
        <f t="shared" si="19"/>
        <v>封魔头盔·柒</v>
      </c>
    </row>
    <row r="642" spans="1:14" ht="16.5">
      <c r="A642" s="77" t="s">
        <v>1415</v>
      </c>
      <c r="B642" t="s">
        <v>1481</v>
      </c>
      <c r="C642" t="s">
        <v>1368</v>
      </c>
      <c r="D642" t="str">
        <f t="shared" ref="D642:D660" si="20">B642&amp;C642</f>
        <v>a12封魔头盔</v>
      </c>
      <c r="E642" s="77">
        <v>20479</v>
      </c>
      <c r="F642" s="77">
        <v>2698</v>
      </c>
      <c r="G642">
        <v>120</v>
      </c>
      <c r="L642" s="77" t="s">
        <v>1368</v>
      </c>
      <c r="M642" s="127" t="s">
        <v>1648</v>
      </c>
      <c r="N642" s="127" t="str">
        <f t="shared" ref="N642:N664" si="21">L642&amp;M642</f>
        <v>封魔头盔·捌</v>
      </c>
    </row>
    <row r="643" spans="1:14" ht="16.5">
      <c r="A643" s="77" t="s">
        <v>1416</v>
      </c>
      <c r="B643" t="s">
        <v>1482</v>
      </c>
      <c r="C643" t="s">
        <v>1368</v>
      </c>
      <c r="D643" t="str">
        <f t="shared" si="20"/>
        <v>a13封魔头盔</v>
      </c>
      <c r="E643" s="77">
        <v>204801</v>
      </c>
      <c r="F643" s="77">
        <v>2699</v>
      </c>
      <c r="G643">
        <v>130</v>
      </c>
      <c r="L643" s="77" t="s">
        <v>1368</v>
      </c>
      <c r="M643" s="127" t="s">
        <v>1649</v>
      </c>
      <c r="N643" s="127" t="str">
        <f t="shared" si="21"/>
        <v>封魔头盔·玖</v>
      </c>
    </row>
    <row r="644" spans="1:14" ht="16.5">
      <c r="A644" s="77" t="s">
        <v>1417</v>
      </c>
      <c r="B644" t="s">
        <v>1483</v>
      </c>
      <c r="C644" t="s">
        <v>1368</v>
      </c>
      <c r="D644" t="str">
        <f t="shared" si="20"/>
        <v>a14封魔头盔</v>
      </c>
      <c r="E644" s="77">
        <v>204802</v>
      </c>
      <c r="F644" s="77">
        <v>2700</v>
      </c>
      <c r="G644">
        <v>140</v>
      </c>
      <c r="L644" s="77" t="s">
        <v>1368</v>
      </c>
      <c r="M644" s="127" t="s">
        <v>1650</v>
      </c>
      <c r="N644" s="127" t="str">
        <f t="shared" si="21"/>
        <v>封魔头盔·十</v>
      </c>
    </row>
    <row r="645" spans="1:14" ht="16.5">
      <c r="A645" s="77" t="s">
        <v>1418</v>
      </c>
      <c r="B645" t="s">
        <v>1484</v>
      </c>
      <c r="C645" t="s">
        <v>1368</v>
      </c>
      <c r="D645" t="str">
        <f t="shared" si="20"/>
        <v>a15封魔头盔</v>
      </c>
      <c r="E645" s="77">
        <v>204803</v>
      </c>
      <c r="F645" s="77">
        <v>2701</v>
      </c>
      <c r="G645">
        <v>150</v>
      </c>
      <c r="L645" s="77" t="s">
        <v>1368</v>
      </c>
      <c r="M645" s="127" t="s">
        <v>1651</v>
      </c>
      <c r="N645" s="127" t="str">
        <f t="shared" si="21"/>
        <v>封魔头盔·凡</v>
      </c>
    </row>
    <row r="646" spans="1:14" ht="16.5">
      <c r="A646" s="77" t="s">
        <v>1419</v>
      </c>
      <c r="B646" t="s">
        <v>1470</v>
      </c>
      <c r="C646" t="s">
        <v>1371</v>
      </c>
      <c r="D646" t="str">
        <f t="shared" si="20"/>
        <v>a01封魔战靴</v>
      </c>
      <c r="E646" s="77">
        <v>1041</v>
      </c>
      <c r="F646" s="77">
        <v>2702</v>
      </c>
      <c r="G646">
        <v>10</v>
      </c>
      <c r="L646" s="77" t="s">
        <v>1368</v>
      </c>
      <c r="M646" s="127" t="s">
        <v>1652</v>
      </c>
      <c r="N646" s="127" t="str">
        <f t="shared" si="21"/>
        <v>封魔头盔·皇</v>
      </c>
    </row>
    <row r="647" spans="1:14" ht="16.5">
      <c r="A647" s="77" t="s">
        <v>1420</v>
      </c>
      <c r="B647" t="s">
        <v>1471</v>
      </c>
      <c r="C647" t="s">
        <v>1371</v>
      </c>
      <c r="D647" t="str">
        <f t="shared" si="20"/>
        <v>a02封魔战靴</v>
      </c>
      <c r="E647" s="77">
        <v>1042</v>
      </c>
      <c r="F647" s="77">
        <v>2703</v>
      </c>
      <c r="G647">
        <v>20</v>
      </c>
      <c r="L647" s="77" t="s">
        <v>1368</v>
      </c>
      <c r="M647" s="127" t="s">
        <v>1653</v>
      </c>
      <c r="N647" s="127" t="str">
        <f t="shared" si="21"/>
        <v>封魔头盔·玄</v>
      </c>
    </row>
    <row r="648" spans="1:14" ht="16.5">
      <c r="A648" s="77" t="s">
        <v>1421</v>
      </c>
      <c r="B648" t="s">
        <v>1472</v>
      </c>
      <c r="C648" t="s">
        <v>1371</v>
      </c>
      <c r="D648" t="str">
        <f t="shared" si="20"/>
        <v>a03封魔战靴</v>
      </c>
      <c r="E648" s="77">
        <v>2048</v>
      </c>
      <c r="F648" s="108">
        <v>2048</v>
      </c>
      <c r="G648">
        <v>30</v>
      </c>
      <c r="L648" s="77" t="s">
        <v>1368</v>
      </c>
      <c r="M648" s="127" t="s">
        <v>1654</v>
      </c>
      <c r="N648" s="127" t="str">
        <f t="shared" si="21"/>
        <v>封魔头盔·地</v>
      </c>
    </row>
    <row r="649" spans="1:14" ht="16.5">
      <c r="A649" s="77" t="s">
        <v>1422</v>
      </c>
      <c r="B649" t="s">
        <v>1473</v>
      </c>
      <c r="C649" t="s">
        <v>1371</v>
      </c>
      <c r="D649" t="str">
        <f t="shared" si="20"/>
        <v>a04封魔战靴</v>
      </c>
      <c r="E649" s="77">
        <v>20481</v>
      </c>
      <c r="F649" s="77">
        <v>2704</v>
      </c>
      <c r="G649">
        <v>40</v>
      </c>
      <c r="L649" s="77" t="s">
        <v>1368</v>
      </c>
      <c r="M649" s="127" t="s">
        <v>1655</v>
      </c>
      <c r="N649" s="127" t="str">
        <f t="shared" si="21"/>
        <v>封魔头盔·天</v>
      </c>
    </row>
    <row r="650" spans="1:14" ht="16.5">
      <c r="A650" s="77" t="s">
        <v>1423</v>
      </c>
      <c r="B650" t="s">
        <v>1474</v>
      </c>
      <c r="C650" t="s">
        <v>1371</v>
      </c>
      <c r="D650" t="str">
        <f t="shared" si="20"/>
        <v>a05封魔战靴</v>
      </c>
      <c r="E650" s="77">
        <v>20482</v>
      </c>
      <c r="F650" s="77">
        <v>2705</v>
      </c>
      <c r="G650">
        <v>50</v>
      </c>
      <c r="L650" s="77" t="s">
        <v>1371</v>
      </c>
      <c r="M650" s="127" t="s">
        <v>1641</v>
      </c>
      <c r="N650" s="127" t="str">
        <f t="shared" si="21"/>
        <v>封魔战靴·壹</v>
      </c>
    </row>
    <row r="651" spans="1:14" ht="16.5">
      <c r="A651" s="77" t="s">
        <v>1424</v>
      </c>
      <c r="B651" t="s">
        <v>1475</v>
      </c>
      <c r="C651" t="s">
        <v>1371</v>
      </c>
      <c r="D651" t="str">
        <f t="shared" si="20"/>
        <v>a06封魔战靴</v>
      </c>
      <c r="E651" s="77">
        <v>20483</v>
      </c>
      <c r="F651" s="77">
        <v>2706</v>
      </c>
      <c r="G651">
        <v>60</v>
      </c>
      <c r="L651" s="77" t="s">
        <v>1371</v>
      </c>
      <c r="M651" s="127" t="s">
        <v>1642</v>
      </c>
      <c r="N651" s="127" t="str">
        <f t="shared" si="21"/>
        <v>封魔战靴·贰</v>
      </c>
    </row>
    <row r="652" spans="1:14" ht="16.5">
      <c r="A652" s="77" t="s">
        <v>1425</v>
      </c>
      <c r="B652" t="s">
        <v>1476</v>
      </c>
      <c r="C652" t="s">
        <v>1371</v>
      </c>
      <c r="D652" t="str">
        <f t="shared" si="20"/>
        <v>a07封魔战靴</v>
      </c>
      <c r="E652" s="77">
        <v>20484</v>
      </c>
      <c r="F652" s="77">
        <v>2707</v>
      </c>
      <c r="G652">
        <v>70</v>
      </c>
      <c r="L652" s="108" t="s">
        <v>1371</v>
      </c>
      <c r="M652" s="127" t="s">
        <v>1643</v>
      </c>
      <c r="N652" s="127" t="str">
        <f t="shared" si="21"/>
        <v>封魔战靴·叁</v>
      </c>
    </row>
    <row r="653" spans="1:14" ht="16.5">
      <c r="A653" s="77" t="s">
        <v>1426</v>
      </c>
      <c r="B653" t="s">
        <v>1477</v>
      </c>
      <c r="C653" t="s">
        <v>1371</v>
      </c>
      <c r="D653" t="str">
        <f t="shared" si="20"/>
        <v>a08封魔战靴</v>
      </c>
      <c r="E653" s="77">
        <v>20485</v>
      </c>
      <c r="F653" s="77">
        <v>2708</v>
      </c>
      <c r="G653">
        <v>80</v>
      </c>
      <c r="L653" s="77" t="s">
        <v>1371</v>
      </c>
      <c r="M653" s="127" t="s">
        <v>1644</v>
      </c>
      <c r="N653" s="127" t="str">
        <f t="shared" si="21"/>
        <v>封魔战靴·肆</v>
      </c>
    </row>
    <row r="654" spans="1:14" ht="16.5">
      <c r="A654" s="77" t="s">
        <v>1427</v>
      </c>
      <c r="B654" t="s">
        <v>1478</v>
      </c>
      <c r="C654" t="s">
        <v>1371</v>
      </c>
      <c r="D654" t="str">
        <f t="shared" si="20"/>
        <v>a09封魔战靴</v>
      </c>
      <c r="E654" s="77">
        <v>20486</v>
      </c>
      <c r="F654" s="77">
        <v>2709</v>
      </c>
      <c r="G654">
        <v>90</v>
      </c>
      <c r="L654" s="77" t="s">
        <v>1371</v>
      </c>
      <c r="M654" s="127" t="s">
        <v>1645</v>
      </c>
      <c r="N654" s="127" t="str">
        <f t="shared" si="21"/>
        <v>封魔战靴·伍</v>
      </c>
    </row>
    <row r="655" spans="1:14" ht="16.5">
      <c r="A655" s="77" t="s">
        <v>1428</v>
      </c>
      <c r="B655" t="s">
        <v>1479</v>
      </c>
      <c r="C655" t="s">
        <v>1371</v>
      </c>
      <c r="D655" t="str">
        <f t="shared" si="20"/>
        <v>a10封魔战靴</v>
      </c>
      <c r="E655" s="77">
        <v>20487</v>
      </c>
      <c r="F655" s="77">
        <v>2710</v>
      </c>
      <c r="G655">
        <v>100</v>
      </c>
      <c r="L655" s="77" t="s">
        <v>1371</v>
      </c>
      <c r="M655" s="127" t="s">
        <v>1646</v>
      </c>
      <c r="N655" s="127" t="str">
        <f t="shared" si="21"/>
        <v>封魔战靴·陆</v>
      </c>
    </row>
    <row r="656" spans="1:14" ht="16.5">
      <c r="A656" s="77" t="s">
        <v>1429</v>
      </c>
      <c r="B656" t="s">
        <v>1480</v>
      </c>
      <c r="C656" t="s">
        <v>1371</v>
      </c>
      <c r="D656" t="str">
        <f t="shared" si="20"/>
        <v>a11封魔战靴</v>
      </c>
      <c r="E656" s="77">
        <v>20488</v>
      </c>
      <c r="F656" s="77">
        <v>2711</v>
      </c>
      <c r="G656">
        <v>110</v>
      </c>
      <c r="L656" s="77" t="s">
        <v>1371</v>
      </c>
      <c r="M656" s="127" t="s">
        <v>1647</v>
      </c>
      <c r="N656" s="127" t="str">
        <f t="shared" si="21"/>
        <v>封魔战靴·柒</v>
      </c>
    </row>
    <row r="657" spans="1:14" ht="16.5">
      <c r="A657" s="77" t="s">
        <v>1430</v>
      </c>
      <c r="B657" t="s">
        <v>1481</v>
      </c>
      <c r="C657" t="s">
        <v>1371</v>
      </c>
      <c r="D657" t="str">
        <f t="shared" si="20"/>
        <v>a12封魔战靴</v>
      </c>
      <c r="E657" s="77">
        <v>20489</v>
      </c>
      <c r="F657" s="77">
        <v>2712</v>
      </c>
      <c r="G657">
        <v>120</v>
      </c>
      <c r="L657" s="77" t="s">
        <v>1371</v>
      </c>
      <c r="M657" s="127" t="s">
        <v>1648</v>
      </c>
      <c r="N657" s="127" t="str">
        <f t="shared" si="21"/>
        <v>封魔战靴·捌</v>
      </c>
    </row>
    <row r="658" spans="1:14" ht="16.5">
      <c r="A658" s="77" t="s">
        <v>1431</v>
      </c>
      <c r="B658" t="s">
        <v>1482</v>
      </c>
      <c r="C658" t="s">
        <v>1371</v>
      </c>
      <c r="D658" t="str">
        <f t="shared" si="20"/>
        <v>a13封魔战靴</v>
      </c>
      <c r="E658" s="77">
        <v>204901</v>
      </c>
      <c r="F658" s="77">
        <v>2713</v>
      </c>
      <c r="G658">
        <v>130</v>
      </c>
      <c r="L658" s="77" t="s">
        <v>1371</v>
      </c>
      <c r="M658" s="127" t="s">
        <v>1649</v>
      </c>
      <c r="N658" s="127" t="str">
        <f t="shared" si="21"/>
        <v>封魔战靴·玖</v>
      </c>
    </row>
    <row r="659" spans="1:14" ht="16.5">
      <c r="A659" s="77" t="s">
        <v>1432</v>
      </c>
      <c r="B659" t="s">
        <v>1483</v>
      </c>
      <c r="C659" t="s">
        <v>1371</v>
      </c>
      <c r="D659" t="str">
        <f t="shared" si="20"/>
        <v>a14封魔战靴</v>
      </c>
      <c r="E659" s="77">
        <v>204902</v>
      </c>
      <c r="F659" s="77">
        <v>2714</v>
      </c>
      <c r="G659">
        <v>140</v>
      </c>
      <c r="L659" s="77" t="s">
        <v>1371</v>
      </c>
      <c r="M659" s="127" t="s">
        <v>1650</v>
      </c>
      <c r="N659" s="127" t="str">
        <f t="shared" si="21"/>
        <v>封魔战靴·十</v>
      </c>
    </row>
    <row r="660" spans="1:14" ht="16.5">
      <c r="A660" s="77" t="s">
        <v>1433</v>
      </c>
      <c r="B660" t="s">
        <v>1484</v>
      </c>
      <c r="C660" t="s">
        <v>1371</v>
      </c>
      <c r="D660" t="str">
        <f t="shared" si="20"/>
        <v>a15封魔战靴</v>
      </c>
      <c r="E660" s="77">
        <v>204903</v>
      </c>
      <c r="F660" s="77">
        <v>2715</v>
      </c>
      <c r="G660">
        <v>150</v>
      </c>
      <c r="L660" s="77" t="s">
        <v>1371</v>
      </c>
      <c r="M660" s="127" t="s">
        <v>1651</v>
      </c>
      <c r="N660" s="127" t="str">
        <f t="shared" si="21"/>
        <v>封魔战靴·凡</v>
      </c>
    </row>
    <row r="661" spans="1:14" ht="16.5">
      <c r="L661" s="77" t="s">
        <v>1371</v>
      </c>
      <c r="M661" s="127" t="s">
        <v>1652</v>
      </c>
      <c r="N661" s="127" t="str">
        <f t="shared" si="21"/>
        <v>封魔战靴·皇</v>
      </c>
    </row>
    <row r="662" spans="1:14" ht="16.5">
      <c r="L662" s="77" t="s">
        <v>1371</v>
      </c>
      <c r="M662" s="127" t="s">
        <v>1653</v>
      </c>
      <c r="N662" s="127" t="str">
        <f t="shared" si="21"/>
        <v>封魔战靴·玄</v>
      </c>
    </row>
    <row r="663" spans="1:14" ht="16.5">
      <c r="L663" s="77" t="s">
        <v>1371</v>
      </c>
      <c r="M663" s="127" t="s">
        <v>1654</v>
      </c>
      <c r="N663" s="127" t="str">
        <f t="shared" si="21"/>
        <v>封魔战靴·地</v>
      </c>
    </row>
    <row r="664" spans="1:14" ht="16.5">
      <c r="L664" s="77" t="s">
        <v>1371</v>
      </c>
      <c r="M664" s="127" t="s">
        <v>1655</v>
      </c>
      <c r="N664" s="127" t="str">
        <f t="shared" si="21"/>
        <v>封魔战靴·天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W480"/>
  <sheetViews>
    <sheetView zoomScale="85" zoomScaleNormal="85" workbookViewId="0">
      <selection activeCell="J28" sqref="J28"/>
    </sheetView>
  </sheetViews>
  <sheetFormatPr defaultRowHeight="13.5"/>
  <cols>
    <col min="1" max="2" width="9" customWidth="1"/>
  </cols>
  <sheetData>
    <row r="1" spans="1:23" ht="16.5">
      <c r="A1" s="37" t="s">
        <v>1498</v>
      </c>
      <c r="B1">
        <v>1</v>
      </c>
      <c r="C1">
        <v>2</v>
      </c>
      <c r="D1">
        <v>3</v>
      </c>
      <c r="E1" s="77">
        <v>4</v>
      </c>
      <c r="F1">
        <v>5</v>
      </c>
      <c r="G1">
        <v>6</v>
      </c>
      <c r="I1" s="37" t="s">
        <v>1499</v>
      </c>
      <c r="J1">
        <v>1</v>
      </c>
      <c r="K1">
        <v>2</v>
      </c>
      <c r="L1">
        <v>3</v>
      </c>
      <c r="M1" s="77">
        <v>4</v>
      </c>
      <c r="N1">
        <v>5</v>
      </c>
      <c r="O1">
        <v>6</v>
      </c>
      <c r="Q1" s="37" t="s">
        <v>1500</v>
      </c>
      <c r="R1">
        <v>1</v>
      </c>
      <c r="S1">
        <v>2</v>
      </c>
      <c r="T1">
        <v>3</v>
      </c>
      <c r="U1" s="77">
        <v>4</v>
      </c>
      <c r="V1">
        <v>5</v>
      </c>
      <c r="W1">
        <v>6</v>
      </c>
    </row>
    <row r="2" spans="1:23" ht="16.5">
      <c r="A2" s="37">
        <v>10</v>
      </c>
      <c r="B2">
        <v>80</v>
      </c>
      <c r="C2">
        <v>160</v>
      </c>
      <c r="D2">
        <v>320</v>
      </c>
      <c r="E2" s="77">
        <v>640</v>
      </c>
      <c r="F2">
        <v>1280</v>
      </c>
      <c r="G2">
        <v>2560</v>
      </c>
      <c r="I2" s="37">
        <v>10</v>
      </c>
      <c r="J2">
        <v>40</v>
      </c>
      <c r="K2">
        <v>80</v>
      </c>
      <c r="L2">
        <v>160</v>
      </c>
      <c r="M2" s="77">
        <v>320</v>
      </c>
      <c r="N2">
        <v>640</v>
      </c>
      <c r="O2">
        <v>1280</v>
      </c>
      <c r="Q2" s="37">
        <v>10</v>
      </c>
      <c r="R2">
        <v>200</v>
      </c>
      <c r="S2">
        <v>400</v>
      </c>
      <c r="T2">
        <v>800</v>
      </c>
      <c r="U2" s="77">
        <v>1600</v>
      </c>
      <c r="V2">
        <v>3200</v>
      </c>
      <c r="W2">
        <v>6400</v>
      </c>
    </row>
    <row r="3" spans="1:23" ht="16.5">
      <c r="A3" s="37">
        <v>20</v>
      </c>
      <c r="B3">
        <v>160</v>
      </c>
      <c r="C3">
        <v>320</v>
      </c>
      <c r="D3">
        <v>640</v>
      </c>
      <c r="E3" s="108">
        <v>1280</v>
      </c>
      <c r="F3">
        <v>2560</v>
      </c>
      <c r="G3">
        <v>5120</v>
      </c>
      <c r="I3" s="37">
        <v>20</v>
      </c>
      <c r="J3">
        <v>80</v>
      </c>
      <c r="K3">
        <v>160</v>
      </c>
      <c r="L3">
        <v>320</v>
      </c>
      <c r="M3" s="77">
        <v>640</v>
      </c>
      <c r="N3">
        <v>1280</v>
      </c>
      <c r="O3">
        <v>2560</v>
      </c>
      <c r="Q3" s="37">
        <v>20</v>
      </c>
      <c r="R3">
        <v>400</v>
      </c>
      <c r="S3">
        <v>800</v>
      </c>
      <c r="T3">
        <v>1600</v>
      </c>
      <c r="U3" s="77">
        <v>3200</v>
      </c>
      <c r="V3">
        <v>6400</v>
      </c>
      <c r="W3">
        <v>12800</v>
      </c>
    </row>
    <row r="4" spans="1:23" ht="16.5">
      <c r="A4" s="37">
        <v>30</v>
      </c>
      <c r="B4">
        <v>240</v>
      </c>
      <c r="C4">
        <v>480</v>
      </c>
      <c r="D4">
        <v>960</v>
      </c>
      <c r="E4" s="77">
        <v>1920</v>
      </c>
      <c r="F4">
        <v>3840</v>
      </c>
      <c r="G4">
        <v>7680</v>
      </c>
      <c r="I4" s="37">
        <v>30</v>
      </c>
      <c r="J4">
        <v>120</v>
      </c>
      <c r="K4">
        <v>240</v>
      </c>
      <c r="L4">
        <v>480</v>
      </c>
      <c r="M4" s="77">
        <v>960</v>
      </c>
      <c r="N4">
        <v>1920</v>
      </c>
      <c r="O4">
        <v>3840</v>
      </c>
      <c r="Q4" s="37">
        <v>30</v>
      </c>
      <c r="R4">
        <v>600</v>
      </c>
      <c r="S4">
        <v>1200</v>
      </c>
      <c r="T4">
        <v>2400</v>
      </c>
      <c r="U4" s="77">
        <v>4800</v>
      </c>
      <c r="V4">
        <v>9600</v>
      </c>
      <c r="W4">
        <v>19200</v>
      </c>
    </row>
    <row r="5" spans="1:23" ht="16.5">
      <c r="A5" s="37">
        <v>40</v>
      </c>
      <c r="B5">
        <v>320</v>
      </c>
      <c r="C5">
        <v>640</v>
      </c>
      <c r="D5">
        <v>1280</v>
      </c>
      <c r="E5" s="108">
        <v>2560</v>
      </c>
      <c r="F5">
        <v>5120</v>
      </c>
      <c r="G5">
        <v>10240</v>
      </c>
      <c r="I5" s="37">
        <v>40</v>
      </c>
      <c r="J5">
        <v>160</v>
      </c>
      <c r="K5">
        <v>320</v>
      </c>
      <c r="L5">
        <v>640</v>
      </c>
      <c r="M5" s="77">
        <v>1280</v>
      </c>
      <c r="N5">
        <v>2560</v>
      </c>
      <c r="O5">
        <v>5120</v>
      </c>
      <c r="Q5" s="37">
        <v>40</v>
      </c>
      <c r="R5">
        <v>800</v>
      </c>
      <c r="S5">
        <v>1600</v>
      </c>
      <c r="T5">
        <v>3200</v>
      </c>
      <c r="U5" s="77">
        <v>6400</v>
      </c>
      <c r="V5">
        <v>12800</v>
      </c>
      <c r="W5">
        <v>25600</v>
      </c>
    </row>
    <row r="6" spans="1:23" ht="16.5">
      <c r="A6" s="37">
        <v>50</v>
      </c>
      <c r="B6">
        <v>400</v>
      </c>
      <c r="C6">
        <v>800</v>
      </c>
      <c r="D6">
        <v>1600</v>
      </c>
      <c r="E6" s="77">
        <v>3200</v>
      </c>
      <c r="F6">
        <v>6400</v>
      </c>
      <c r="G6">
        <v>12800</v>
      </c>
      <c r="I6" s="37">
        <v>50</v>
      </c>
      <c r="J6">
        <v>200</v>
      </c>
      <c r="K6">
        <v>400</v>
      </c>
      <c r="L6">
        <v>800</v>
      </c>
      <c r="M6" s="77">
        <v>1600</v>
      </c>
      <c r="N6">
        <v>3200</v>
      </c>
      <c r="O6">
        <v>6400</v>
      </c>
      <c r="Q6" s="37">
        <v>50</v>
      </c>
      <c r="R6">
        <v>1000</v>
      </c>
      <c r="S6">
        <v>2000</v>
      </c>
      <c r="T6">
        <v>4000</v>
      </c>
      <c r="U6" s="77">
        <v>8000</v>
      </c>
      <c r="V6">
        <v>16000</v>
      </c>
      <c r="W6">
        <v>32000</v>
      </c>
    </row>
    <row r="7" spans="1:23" ht="16.5">
      <c r="A7" s="37">
        <v>60</v>
      </c>
      <c r="B7">
        <v>480</v>
      </c>
      <c r="C7">
        <v>960</v>
      </c>
      <c r="D7">
        <v>1920</v>
      </c>
      <c r="E7" s="108">
        <v>3840</v>
      </c>
      <c r="F7">
        <v>7680</v>
      </c>
      <c r="G7">
        <v>15360</v>
      </c>
      <c r="I7" s="37">
        <v>60</v>
      </c>
      <c r="J7">
        <v>240</v>
      </c>
      <c r="K7">
        <v>480</v>
      </c>
      <c r="L7">
        <v>960</v>
      </c>
      <c r="M7" s="77">
        <v>1920</v>
      </c>
      <c r="N7">
        <v>3840</v>
      </c>
      <c r="O7">
        <v>7680</v>
      </c>
      <c r="Q7" s="37">
        <v>60</v>
      </c>
      <c r="R7">
        <v>1200</v>
      </c>
      <c r="S7">
        <v>2400</v>
      </c>
      <c r="T7">
        <v>4800</v>
      </c>
      <c r="U7" s="77">
        <v>9600</v>
      </c>
      <c r="V7">
        <v>19200</v>
      </c>
      <c r="W7">
        <v>38400</v>
      </c>
    </row>
    <row r="8" spans="1:23" ht="16.5">
      <c r="A8" s="37">
        <v>70</v>
      </c>
      <c r="B8">
        <v>560</v>
      </c>
      <c r="C8">
        <v>1120</v>
      </c>
      <c r="D8">
        <v>2240</v>
      </c>
      <c r="E8" s="77">
        <v>4480</v>
      </c>
      <c r="F8">
        <v>8960</v>
      </c>
      <c r="G8">
        <v>17920</v>
      </c>
      <c r="I8" s="37">
        <v>70</v>
      </c>
      <c r="J8">
        <v>280</v>
      </c>
      <c r="K8">
        <v>560</v>
      </c>
      <c r="L8">
        <v>1120</v>
      </c>
      <c r="M8" s="77">
        <v>2240</v>
      </c>
      <c r="N8">
        <v>4480</v>
      </c>
      <c r="O8">
        <v>8960</v>
      </c>
      <c r="Q8" s="37">
        <v>70</v>
      </c>
      <c r="R8">
        <v>1400</v>
      </c>
      <c r="S8">
        <v>2800</v>
      </c>
      <c r="T8">
        <v>5600</v>
      </c>
      <c r="U8" s="77">
        <v>11200</v>
      </c>
      <c r="V8">
        <v>22400</v>
      </c>
      <c r="W8">
        <v>44800</v>
      </c>
    </row>
    <row r="9" spans="1:23" ht="16.5">
      <c r="A9" s="37">
        <v>80</v>
      </c>
      <c r="B9">
        <v>640</v>
      </c>
      <c r="C9">
        <v>1280</v>
      </c>
      <c r="D9">
        <v>2560</v>
      </c>
      <c r="E9" s="108">
        <v>5120</v>
      </c>
      <c r="F9">
        <v>10240</v>
      </c>
      <c r="G9">
        <v>20480</v>
      </c>
      <c r="I9" s="37">
        <v>80</v>
      </c>
      <c r="J9">
        <v>320</v>
      </c>
      <c r="K9">
        <v>640</v>
      </c>
      <c r="L9">
        <v>1280</v>
      </c>
      <c r="M9" s="77">
        <v>2560</v>
      </c>
      <c r="N9">
        <v>5120</v>
      </c>
      <c r="O9">
        <v>10240</v>
      </c>
      <c r="Q9" s="37">
        <v>80</v>
      </c>
      <c r="R9">
        <v>1600</v>
      </c>
      <c r="S9">
        <v>3200</v>
      </c>
      <c r="T9">
        <v>6400</v>
      </c>
      <c r="U9" s="77">
        <v>12800</v>
      </c>
      <c r="V9">
        <v>25600</v>
      </c>
      <c r="W9">
        <v>51200</v>
      </c>
    </row>
    <row r="10" spans="1:23" ht="16.5">
      <c r="A10" s="37">
        <v>90</v>
      </c>
      <c r="B10">
        <v>720</v>
      </c>
      <c r="C10">
        <v>1440</v>
      </c>
      <c r="D10">
        <v>2880</v>
      </c>
      <c r="E10" s="77">
        <v>5760</v>
      </c>
      <c r="F10">
        <v>11520</v>
      </c>
      <c r="G10">
        <v>23040</v>
      </c>
      <c r="I10" s="37">
        <v>90</v>
      </c>
      <c r="J10">
        <v>360</v>
      </c>
      <c r="K10">
        <v>720</v>
      </c>
      <c r="L10">
        <v>1440</v>
      </c>
      <c r="M10" s="77">
        <v>2880</v>
      </c>
      <c r="N10">
        <v>5760</v>
      </c>
      <c r="O10">
        <v>11520</v>
      </c>
      <c r="Q10" s="37">
        <v>90</v>
      </c>
      <c r="R10">
        <v>1800</v>
      </c>
      <c r="S10">
        <v>3600</v>
      </c>
      <c r="T10">
        <v>7200</v>
      </c>
      <c r="U10" s="77">
        <v>14400</v>
      </c>
      <c r="V10">
        <v>28800</v>
      </c>
      <c r="W10">
        <v>57600</v>
      </c>
    </row>
    <row r="11" spans="1:23" ht="16.5">
      <c r="A11" s="37">
        <v>100</v>
      </c>
      <c r="B11">
        <v>800</v>
      </c>
      <c r="C11">
        <v>1600</v>
      </c>
      <c r="D11">
        <v>3200</v>
      </c>
      <c r="E11" s="108">
        <v>6400</v>
      </c>
      <c r="F11">
        <v>12800</v>
      </c>
      <c r="G11">
        <v>25600</v>
      </c>
      <c r="I11" s="37">
        <v>100</v>
      </c>
      <c r="J11">
        <v>400</v>
      </c>
      <c r="K11">
        <v>800</v>
      </c>
      <c r="L11">
        <v>1600</v>
      </c>
      <c r="M11" s="77">
        <v>3200</v>
      </c>
      <c r="N11">
        <v>6400</v>
      </c>
      <c r="O11">
        <v>12800</v>
      </c>
      <c r="Q11" s="37">
        <v>100</v>
      </c>
      <c r="R11">
        <v>2000</v>
      </c>
      <c r="S11">
        <v>4000</v>
      </c>
      <c r="T11">
        <v>8000</v>
      </c>
      <c r="U11" s="77">
        <v>16000</v>
      </c>
      <c r="V11">
        <v>32000</v>
      </c>
      <c r="W11">
        <v>64000</v>
      </c>
    </row>
    <row r="12" spans="1:23" ht="16.5">
      <c r="A12" s="37">
        <v>110</v>
      </c>
      <c r="B12">
        <v>880</v>
      </c>
      <c r="C12">
        <v>1760</v>
      </c>
      <c r="D12">
        <v>3520</v>
      </c>
      <c r="E12" s="77">
        <v>7040</v>
      </c>
      <c r="F12">
        <v>14080</v>
      </c>
      <c r="G12">
        <v>28160</v>
      </c>
      <c r="I12" s="37">
        <v>110</v>
      </c>
      <c r="J12">
        <v>440</v>
      </c>
      <c r="K12">
        <v>880</v>
      </c>
      <c r="L12">
        <v>1760</v>
      </c>
      <c r="M12" s="77">
        <v>3520</v>
      </c>
      <c r="N12">
        <v>7040</v>
      </c>
      <c r="O12">
        <v>14080</v>
      </c>
      <c r="Q12" s="37">
        <v>110</v>
      </c>
      <c r="R12">
        <v>2200</v>
      </c>
      <c r="S12">
        <v>4400</v>
      </c>
      <c r="T12">
        <v>8800</v>
      </c>
      <c r="U12" s="77">
        <v>17600</v>
      </c>
      <c r="V12">
        <v>35200</v>
      </c>
      <c r="W12">
        <v>70400</v>
      </c>
    </row>
    <row r="13" spans="1:23" ht="16.5">
      <c r="A13" s="37">
        <v>120</v>
      </c>
      <c r="B13">
        <v>960</v>
      </c>
      <c r="C13">
        <v>1920</v>
      </c>
      <c r="D13">
        <v>3840</v>
      </c>
      <c r="E13" s="108">
        <v>7680</v>
      </c>
      <c r="F13">
        <v>15360</v>
      </c>
      <c r="G13">
        <v>30720</v>
      </c>
      <c r="I13" s="37">
        <v>120</v>
      </c>
      <c r="J13">
        <v>480</v>
      </c>
      <c r="K13">
        <v>960</v>
      </c>
      <c r="L13">
        <v>1920</v>
      </c>
      <c r="M13" s="77">
        <v>3840</v>
      </c>
      <c r="N13">
        <v>7680</v>
      </c>
      <c r="O13">
        <v>15360</v>
      </c>
      <c r="Q13" s="37">
        <v>120</v>
      </c>
      <c r="R13">
        <v>2400</v>
      </c>
      <c r="S13">
        <v>4800</v>
      </c>
      <c r="T13">
        <v>9600</v>
      </c>
      <c r="U13" s="77">
        <v>19200</v>
      </c>
      <c r="V13">
        <v>38400</v>
      </c>
      <c r="W13">
        <v>76800</v>
      </c>
    </row>
    <row r="14" spans="1:23" ht="16.5">
      <c r="A14" s="37">
        <v>130</v>
      </c>
      <c r="B14">
        <v>1040</v>
      </c>
      <c r="C14">
        <v>2080</v>
      </c>
      <c r="D14">
        <v>4160</v>
      </c>
      <c r="E14" s="77">
        <v>8320</v>
      </c>
      <c r="F14">
        <v>16640</v>
      </c>
      <c r="G14">
        <v>33280</v>
      </c>
      <c r="I14" s="37">
        <v>130</v>
      </c>
      <c r="J14">
        <v>520</v>
      </c>
      <c r="K14">
        <v>1040</v>
      </c>
      <c r="L14">
        <v>2080</v>
      </c>
      <c r="M14" s="77">
        <v>4160</v>
      </c>
      <c r="N14">
        <v>8320</v>
      </c>
      <c r="O14">
        <v>16640</v>
      </c>
      <c r="Q14" s="37">
        <v>130</v>
      </c>
      <c r="R14">
        <v>2600</v>
      </c>
      <c r="S14">
        <v>5200</v>
      </c>
      <c r="T14">
        <v>10400</v>
      </c>
      <c r="U14" s="77">
        <v>20800</v>
      </c>
      <c r="V14">
        <v>41600</v>
      </c>
      <c r="W14">
        <v>83200</v>
      </c>
    </row>
    <row r="15" spans="1:23" ht="16.5">
      <c r="A15" s="37">
        <v>140</v>
      </c>
      <c r="B15">
        <v>1120</v>
      </c>
      <c r="C15">
        <v>2240</v>
      </c>
      <c r="D15">
        <v>4480</v>
      </c>
      <c r="E15" s="108">
        <v>8960</v>
      </c>
      <c r="F15">
        <v>17920</v>
      </c>
      <c r="G15">
        <v>35840</v>
      </c>
      <c r="I15" s="37">
        <v>140</v>
      </c>
      <c r="J15">
        <v>560</v>
      </c>
      <c r="K15">
        <v>1120</v>
      </c>
      <c r="L15">
        <v>2240</v>
      </c>
      <c r="M15" s="77">
        <v>4480</v>
      </c>
      <c r="N15">
        <v>8960</v>
      </c>
      <c r="O15">
        <v>17920</v>
      </c>
      <c r="Q15" s="37">
        <v>140</v>
      </c>
      <c r="R15">
        <v>2800</v>
      </c>
      <c r="S15">
        <v>5600</v>
      </c>
      <c r="T15">
        <v>11200</v>
      </c>
      <c r="U15" s="77">
        <v>22400</v>
      </c>
      <c r="V15">
        <v>44800</v>
      </c>
      <c r="W15">
        <v>89600</v>
      </c>
    </row>
    <row r="16" spans="1:23" ht="16.5">
      <c r="A16" s="37">
        <v>150</v>
      </c>
      <c r="B16">
        <v>1200</v>
      </c>
      <c r="C16">
        <v>2400</v>
      </c>
      <c r="D16">
        <v>4800</v>
      </c>
      <c r="E16" s="77">
        <v>9600</v>
      </c>
      <c r="F16">
        <v>19200</v>
      </c>
      <c r="G16">
        <v>38400</v>
      </c>
      <c r="I16" s="37">
        <v>150</v>
      </c>
      <c r="J16">
        <v>600</v>
      </c>
      <c r="K16">
        <v>1200</v>
      </c>
      <c r="L16">
        <v>2400</v>
      </c>
      <c r="M16" s="77">
        <v>4800</v>
      </c>
      <c r="N16">
        <v>9600</v>
      </c>
      <c r="O16">
        <v>19200</v>
      </c>
      <c r="Q16" s="37">
        <v>150</v>
      </c>
      <c r="R16">
        <v>3000</v>
      </c>
      <c r="S16">
        <v>6000</v>
      </c>
      <c r="T16">
        <v>12000</v>
      </c>
      <c r="U16" s="77">
        <v>24000</v>
      </c>
      <c r="V16">
        <v>48000</v>
      </c>
      <c r="W16">
        <v>96000</v>
      </c>
    </row>
    <row r="17" spans="1:7" ht="16.5">
      <c r="A17" s="37"/>
      <c r="E17" s="77"/>
    </row>
    <row r="18" spans="1:7" ht="16.5">
      <c r="A18" s="37" t="s">
        <v>1501</v>
      </c>
      <c r="B18">
        <v>1</v>
      </c>
      <c r="C18">
        <v>2</v>
      </c>
      <c r="D18">
        <v>3</v>
      </c>
      <c r="E18" s="77">
        <v>4</v>
      </c>
      <c r="F18">
        <v>5</v>
      </c>
      <c r="G18">
        <v>6</v>
      </c>
    </row>
    <row r="19" spans="1:7" ht="16.5">
      <c r="A19" s="37">
        <v>10</v>
      </c>
      <c r="B19">
        <v>100</v>
      </c>
      <c r="C19">
        <v>200</v>
      </c>
      <c r="D19">
        <v>300</v>
      </c>
      <c r="E19" s="77">
        <v>400</v>
      </c>
      <c r="F19">
        <v>500</v>
      </c>
      <c r="G19">
        <v>1000</v>
      </c>
    </row>
    <row r="20" spans="1:7" ht="16.5">
      <c r="A20" s="37">
        <v>20</v>
      </c>
      <c r="B20">
        <v>200</v>
      </c>
      <c r="C20">
        <v>400</v>
      </c>
      <c r="D20">
        <v>600</v>
      </c>
      <c r="E20" s="108">
        <v>800</v>
      </c>
      <c r="F20">
        <v>1000</v>
      </c>
      <c r="G20">
        <v>2000</v>
      </c>
    </row>
    <row r="21" spans="1:7" ht="16.5">
      <c r="A21" s="37">
        <v>30</v>
      </c>
      <c r="B21">
        <v>300</v>
      </c>
      <c r="C21">
        <v>600</v>
      </c>
      <c r="D21">
        <v>900</v>
      </c>
      <c r="E21" s="77">
        <v>1200</v>
      </c>
      <c r="F21">
        <v>1500</v>
      </c>
      <c r="G21">
        <v>3000</v>
      </c>
    </row>
    <row r="22" spans="1:7" ht="16.5">
      <c r="A22" s="37">
        <v>40</v>
      </c>
      <c r="B22">
        <v>400</v>
      </c>
      <c r="C22">
        <v>800</v>
      </c>
      <c r="D22">
        <v>1200</v>
      </c>
      <c r="E22" s="108">
        <v>1600</v>
      </c>
      <c r="F22">
        <v>2000</v>
      </c>
      <c r="G22">
        <v>4000</v>
      </c>
    </row>
    <row r="23" spans="1:7" ht="16.5">
      <c r="A23" s="37">
        <v>50</v>
      </c>
      <c r="B23">
        <v>500</v>
      </c>
      <c r="C23">
        <v>1000</v>
      </c>
      <c r="D23">
        <v>1500</v>
      </c>
      <c r="E23" s="77">
        <v>2000</v>
      </c>
      <c r="F23">
        <v>2500</v>
      </c>
      <c r="G23">
        <v>5000</v>
      </c>
    </row>
    <row r="24" spans="1:7" ht="16.5">
      <c r="A24" s="37">
        <v>60</v>
      </c>
      <c r="B24">
        <v>600</v>
      </c>
      <c r="C24">
        <v>1200</v>
      </c>
      <c r="D24">
        <v>1800</v>
      </c>
      <c r="E24" s="108">
        <v>2400</v>
      </c>
      <c r="F24">
        <v>3000</v>
      </c>
      <c r="G24">
        <v>6000</v>
      </c>
    </row>
    <row r="25" spans="1:7" ht="16.5">
      <c r="A25" s="37">
        <v>70</v>
      </c>
      <c r="B25">
        <v>700</v>
      </c>
      <c r="C25">
        <v>1400</v>
      </c>
      <c r="D25">
        <v>2100</v>
      </c>
      <c r="E25" s="77">
        <v>2800</v>
      </c>
      <c r="F25">
        <v>3500</v>
      </c>
      <c r="G25">
        <v>7000</v>
      </c>
    </row>
    <row r="26" spans="1:7" ht="16.5">
      <c r="A26" s="37">
        <v>80</v>
      </c>
      <c r="B26">
        <v>800</v>
      </c>
      <c r="C26">
        <v>1600</v>
      </c>
      <c r="D26">
        <v>2400</v>
      </c>
      <c r="E26" s="108">
        <v>3200</v>
      </c>
      <c r="F26">
        <v>4000</v>
      </c>
      <c r="G26">
        <v>8000</v>
      </c>
    </row>
    <row r="27" spans="1:7" ht="16.5">
      <c r="A27" s="37">
        <v>90</v>
      </c>
      <c r="B27">
        <v>900</v>
      </c>
      <c r="C27">
        <v>1800</v>
      </c>
      <c r="D27">
        <v>2700</v>
      </c>
      <c r="E27" s="77">
        <v>3600</v>
      </c>
      <c r="F27">
        <v>4500</v>
      </c>
      <c r="G27">
        <v>9000</v>
      </c>
    </row>
    <row r="28" spans="1:7" ht="16.5">
      <c r="A28" s="37">
        <v>100</v>
      </c>
      <c r="B28">
        <v>1000</v>
      </c>
      <c r="C28">
        <v>2000</v>
      </c>
      <c r="D28">
        <v>3000</v>
      </c>
      <c r="E28" s="108">
        <v>4000</v>
      </c>
      <c r="F28">
        <v>5000</v>
      </c>
      <c r="G28">
        <v>10000</v>
      </c>
    </row>
    <row r="29" spans="1:7" ht="16.5">
      <c r="A29" s="37">
        <v>110</v>
      </c>
      <c r="B29">
        <v>1100</v>
      </c>
      <c r="C29">
        <v>2200</v>
      </c>
      <c r="D29">
        <v>3300</v>
      </c>
      <c r="E29" s="77">
        <v>4400</v>
      </c>
      <c r="F29">
        <v>5500</v>
      </c>
      <c r="G29">
        <v>11000</v>
      </c>
    </row>
    <row r="30" spans="1:7" ht="16.5">
      <c r="A30" s="37">
        <v>120</v>
      </c>
      <c r="B30">
        <v>1200</v>
      </c>
      <c r="C30">
        <v>2400</v>
      </c>
      <c r="D30">
        <v>3600</v>
      </c>
      <c r="E30" s="108">
        <v>4800</v>
      </c>
      <c r="F30">
        <v>6000</v>
      </c>
      <c r="G30">
        <v>12000</v>
      </c>
    </row>
    <row r="31" spans="1:7" ht="16.5">
      <c r="A31" s="37">
        <v>130</v>
      </c>
      <c r="B31">
        <v>1300</v>
      </c>
      <c r="C31">
        <v>2600</v>
      </c>
      <c r="D31">
        <v>3900</v>
      </c>
      <c r="E31" s="77">
        <v>5200</v>
      </c>
      <c r="F31">
        <v>6500</v>
      </c>
      <c r="G31">
        <v>13000</v>
      </c>
    </row>
    <row r="32" spans="1:7" ht="16.5">
      <c r="A32" s="37">
        <v>140</v>
      </c>
      <c r="B32">
        <v>1400</v>
      </c>
      <c r="C32">
        <v>2800</v>
      </c>
      <c r="D32">
        <v>4200</v>
      </c>
      <c r="E32" s="108">
        <v>5600</v>
      </c>
      <c r="F32">
        <v>7000</v>
      </c>
      <c r="G32">
        <v>14000</v>
      </c>
    </row>
    <row r="33" spans="1:7" ht="16.5">
      <c r="A33" s="37">
        <v>150</v>
      </c>
      <c r="B33">
        <v>1500</v>
      </c>
      <c r="C33">
        <v>3000</v>
      </c>
      <c r="D33">
        <v>4500</v>
      </c>
      <c r="E33" s="77">
        <v>6000</v>
      </c>
      <c r="F33">
        <v>7500</v>
      </c>
      <c r="G33">
        <v>15000</v>
      </c>
    </row>
    <row r="34" spans="1:7" ht="16.5">
      <c r="A34" s="37"/>
      <c r="E34" s="77"/>
    </row>
    <row r="35" spans="1:7" ht="16.5">
      <c r="A35" s="88"/>
      <c r="E35" s="77"/>
    </row>
    <row r="36" spans="1:7" ht="16.5">
      <c r="A36" s="37"/>
      <c r="E36" s="77"/>
    </row>
    <row r="37" spans="1:7" ht="16.5">
      <c r="A37" s="37"/>
      <c r="E37" s="77"/>
    </row>
    <row r="38" spans="1:7" ht="16.5">
      <c r="A38" s="37"/>
      <c r="E38" s="77"/>
    </row>
    <row r="39" spans="1:7" ht="16.5">
      <c r="A39" s="37"/>
      <c r="E39" s="77"/>
    </row>
    <row r="40" spans="1:7" ht="16.5">
      <c r="A40" s="37"/>
      <c r="E40" s="77"/>
    </row>
    <row r="41" spans="1:7" ht="16.5">
      <c r="A41" s="37"/>
      <c r="E41" s="77"/>
    </row>
    <row r="42" spans="1:7" ht="16.5">
      <c r="A42" s="37"/>
      <c r="E42" s="77"/>
    </row>
    <row r="43" spans="1:7" ht="16.5">
      <c r="A43" s="37"/>
      <c r="E43" s="77"/>
    </row>
    <row r="44" spans="1:7" ht="16.5">
      <c r="A44" s="37"/>
      <c r="E44" s="77"/>
    </row>
    <row r="45" spans="1:7" ht="16.5">
      <c r="A45" s="37"/>
      <c r="E45" s="77"/>
    </row>
    <row r="46" spans="1:7" ht="16.5">
      <c r="A46" s="37"/>
      <c r="E46" s="77"/>
    </row>
    <row r="47" spans="1:7" ht="16.5">
      <c r="A47" s="37"/>
      <c r="E47" s="77"/>
    </row>
    <row r="48" spans="1:7" ht="16.5">
      <c r="A48" s="37"/>
      <c r="E48" s="108"/>
    </row>
    <row r="49" spans="1:5" ht="16.5">
      <c r="A49" s="37"/>
      <c r="E49" s="77"/>
    </row>
    <row r="50" spans="1:5" ht="16.5">
      <c r="A50" s="88"/>
      <c r="E50" s="77"/>
    </row>
    <row r="51" spans="1:5" ht="16.5">
      <c r="A51" s="37"/>
      <c r="E51" s="77"/>
    </row>
    <row r="52" spans="1:5" ht="16.5">
      <c r="A52" s="37"/>
      <c r="E52" s="77"/>
    </row>
    <row r="53" spans="1:5" ht="16.5">
      <c r="A53" s="37"/>
      <c r="E53" s="77"/>
    </row>
    <row r="54" spans="1:5" ht="16.5">
      <c r="A54" s="37"/>
      <c r="E54" s="77"/>
    </row>
    <row r="55" spans="1:5" ht="16.5">
      <c r="A55" s="37"/>
      <c r="E55" s="77"/>
    </row>
    <row r="56" spans="1:5" ht="16.5">
      <c r="A56" s="37"/>
      <c r="E56" s="77"/>
    </row>
    <row r="57" spans="1:5" ht="16.5">
      <c r="A57" s="37"/>
      <c r="E57" s="77"/>
    </row>
    <row r="58" spans="1:5" ht="16.5">
      <c r="A58" s="37"/>
      <c r="E58" s="77"/>
    </row>
    <row r="59" spans="1:5" ht="16.5">
      <c r="A59" s="37"/>
      <c r="E59" s="77"/>
    </row>
    <row r="60" spans="1:5" ht="16.5">
      <c r="A60" s="37"/>
      <c r="E60" s="77"/>
    </row>
    <row r="61" spans="1:5" ht="16.5">
      <c r="A61" s="23"/>
    </row>
    <row r="62" spans="1:5" ht="16.5">
      <c r="A62" s="23"/>
    </row>
    <row r="63" spans="1:5" ht="16.5">
      <c r="A63" s="23"/>
    </row>
    <row r="64" spans="1:5" ht="16.5">
      <c r="A64" s="23"/>
    </row>
    <row r="65" spans="1:1" ht="16.5">
      <c r="A65" s="88"/>
    </row>
    <row r="66" spans="1:1" ht="16.5">
      <c r="A66" s="23"/>
    </row>
    <row r="67" spans="1:1" ht="16.5">
      <c r="A67" s="23"/>
    </row>
    <row r="68" spans="1:1" ht="16.5">
      <c r="A68" s="23"/>
    </row>
    <row r="69" spans="1:1" ht="16.5">
      <c r="A69" s="23"/>
    </row>
    <row r="70" spans="1:1" ht="16.5">
      <c r="A70" s="23"/>
    </row>
    <row r="71" spans="1:1" ht="16.5">
      <c r="A71" s="23"/>
    </row>
    <row r="72" spans="1:1" ht="16.5">
      <c r="A72" s="23"/>
    </row>
    <row r="73" spans="1:1" ht="16.5">
      <c r="A73" s="23"/>
    </row>
    <row r="74" spans="1:1" ht="16.5">
      <c r="A74" s="23"/>
    </row>
    <row r="75" spans="1:1" ht="16.5">
      <c r="A75" s="23"/>
    </row>
    <row r="76" spans="1:1" ht="16.5">
      <c r="A76" s="23"/>
    </row>
    <row r="77" spans="1:1" ht="16.5">
      <c r="A77" s="23"/>
    </row>
    <row r="78" spans="1:1" ht="16.5">
      <c r="A78" s="23"/>
    </row>
    <row r="79" spans="1:1" ht="16.5">
      <c r="A79" s="23"/>
    </row>
    <row r="80" spans="1:1" ht="16.5">
      <c r="A80" s="88"/>
    </row>
    <row r="81" spans="1:1" ht="16.5">
      <c r="A81" s="23"/>
    </row>
    <row r="82" spans="1:1" ht="16.5">
      <c r="A82" s="23"/>
    </row>
    <row r="83" spans="1:1" ht="16.5">
      <c r="A83" s="23"/>
    </row>
    <row r="84" spans="1:1" ht="16.5">
      <c r="A84" s="23"/>
    </row>
    <row r="85" spans="1:1" ht="16.5">
      <c r="A85" s="23"/>
    </row>
    <row r="86" spans="1:1" ht="16.5">
      <c r="A86" s="23"/>
    </row>
    <row r="87" spans="1:1" ht="16.5">
      <c r="A87" s="23"/>
    </row>
    <row r="88" spans="1:1" ht="16.5">
      <c r="A88" s="23"/>
    </row>
    <row r="89" spans="1:1" ht="16.5">
      <c r="A89" s="23"/>
    </row>
    <row r="90" spans="1:1" ht="16.5">
      <c r="A90" s="23"/>
    </row>
    <row r="91" spans="1:1" ht="16.5">
      <c r="A91" s="23"/>
    </row>
    <row r="92" spans="1:1" ht="16.5">
      <c r="A92" s="23"/>
    </row>
    <row r="93" spans="1:1" ht="16.5">
      <c r="A93" s="23"/>
    </row>
    <row r="94" spans="1:1" ht="16.5">
      <c r="A94" s="23"/>
    </row>
    <row r="95" spans="1:1" ht="16.5">
      <c r="A95" s="88"/>
    </row>
    <row r="96" spans="1:1" ht="16.5">
      <c r="A96" s="23"/>
    </row>
    <row r="97" spans="1:1" ht="16.5">
      <c r="A97" s="23"/>
    </row>
    <row r="98" spans="1:1" ht="16.5">
      <c r="A98" s="23"/>
    </row>
    <row r="99" spans="1:1" ht="16.5">
      <c r="A99" s="23"/>
    </row>
    <row r="100" spans="1:1" ht="16.5">
      <c r="A100" s="23"/>
    </row>
    <row r="101" spans="1:1" ht="16.5">
      <c r="A101" s="23"/>
    </row>
    <row r="102" spans="1:1" ht="16.5">
      <c r="A102" s="23"/>
    </row>
    <row r="103" spans="1:1" ht="16.5">
      <c r="A103" s="23"/>
    </row>
    <row r="104" spans="1:1" ht="16.5">
      <c r="A104" s="23"/>
    </row>
    <row r="105" spans="1:1" ht="16.5">
      <c r="A105" s="23"/>
    </row>
    <row r="106" spans="1:1" ht="16.5">
      <c r="A106" s="23"/>
    </row>
    <row r="107" spans="1:1" ht="16.5">
      <c r="A107" s="23"/>
    </row>
    <row r="108" spans="1:1" ht="16.5">
      <c r="A108" s="23"/>
    </row>
    <row r="109" spans="1:1" ht="16.5">
      <c r="A109" s="23"/>
    </row>
    <row r="110" spans="1:1" ht="16.5">
      <c r="A110" s="88"/>
    </row>
    <row r="111" spans="1:1" ht="16.5">
      <c r="A111" s="23"/>
    </row>
    <row r="112" spans="1:1" ht="16.5">
      <c r="A112" s="23"/>
    </row>
    <row r="113" spans="1:1" ht="16.5">
      <c r="A113" s="23"/>
    </row>
    <row r="114" spans="1:1" ht="16.5">
      <c r="A114" s="23"/>
    </row>
    <row r="115" spans="1:1" ht="16.5">
      <c r="A115" s="23"/>
    </row>
    <row r="116" spans="1:1" ht="16.5">
      <c r="A116" s="23"/>
    </row>
    <row r="117" spans="1:1" ht="16.5">
      <c r="A117" s="23"/>
    </row>
    <row r="118" spans="1:1" ht="16.5">
      <c r="A118" s="23"/>
    </row>
    <row r="119" spans="1:1" ht="16.5">
      <c r="A119" s="23"/>
    </row>
    <row r="120" spans="1:1" ht="16.5">
      <c r="A120" s="23"/>
    </row>
    <row r="121" spans="1:1" ht="16.5">
      <c r="A121" s="46"/>
    </row>
    <row r="122" spans="1:1" ht="16.5">
      <c r="A122" s="46"/>
    </row>
    <row r="123" spans="1:1" ht="16.5">
      <c r="A123" s="46"/>
    </row>
    <row r="124" spans="1:1" ht="16.5">
      <c r="A124" s="91"/>
    </row>
    <row r="125" spans="1:1" ht="16.5">
      <c r="A125" s="46"/>
    </row>
    <row r="126" spans="1:1" ht="16.5">
      <c r="A126" s="46"/>
    </row>
    <row r="127" spans="1:1" ht="16.5">
      <c r="A127" s="46"/>
    </row>
    <row r="128" spans="1:1" ht="16.5">
      <c r="A128" s="46"/>
    </row>
    <row r="129" spans="1:1" ht="16.5">
      <c r="A129" s="46"/>
    </row>
    <row r="130" spans="1:1" ht="16.5">
      <c r="A130" s="46"/>
    </row>
    <row r="131" spans="1:1" ht="16.5">
      <c r="A131" s="46"/>
    </row>
    <row r="132" spans="1:1" ht="16.5">
      <c r="A132" s="46"/>
    </row>
    <row r="133" spans="1:1" ht="16.5">
      <c r="A133" s="46"/>
    </row>
    <row r="134" spans="1:1" ht="16.5">
      <c r="A134" s="46"/>
    </row>
    <row r="135" spans="1:1" ht="16.5">
      <c r="A135" s="46"/>
    </row>
    <row r="136" spans="1:1" ht="16.5">
      <c r="A136" s="46"/>
    </row>
    <row r="137" spans="1:1" ht="16.5">
      <c r="A137" s="46"/>
    </row>
    <row r="138" spans="1:1" ht="16.5">
      <c r="A138" s="46"/>
    </row>
    <row r="139" spans="1:1" ht="16.5">
      <c r="A139" s="91"/>
    </row>
    <row r="140" spans="1:1" ht="16.5">
      <c r="A140" s="46"/>
    </row>
    <row r="141" spans="1:1" ht="16.5">
      <c r="A141" s="46"/>
    </row>
    <row r="142" spans="1:1" ht="16.5">
      <c r="A142" s="46"/>
    </row>
    <row r="143" spans="1:1" ht="16.5">
      <c r="A143" s="46"/>
    </row>
    <row r="144" spans="1:1" ht="16.5">
      <c r="A144" s="46"/>
    </row>
    <row r="145" spans="1:1" ht="16.5">
      <c r="A145" s="46"/>
    </row>
    <row r="146" spans="1:1" ht="16.5">
      <c r="A146" s="46"/>
    </row>
    <row r="147" spans="1:1" ht="16.5">
      <c r="A147" s="46"/>
    </row>
    <row r="148" spans="1:1" ht="16.5">
      <c r="A148" s="46"/>
    </row>
    <row r="149" spans="1:1" ht="16.5">
      <c r="A149" s="46"/>
    </row>
    <row r="150" spans="1:1" ht="16.5">
      <c r="A150" s="46"/>
    </row>
    <row r="151" spans="1:1" ht="16.5">
      <c r="A151" s="46"/>
    </row>
    <row r="152" spans="1:1" ht="16.5">
      <c r="A152" s="46"/>
    </row>
    <row r="153" spans="1:1" ht="16.5">
      <c r="A153" s="46"/>
    </row>
    <row r="154" spans="1:1" ht="16.5">
      <c r="A154" s="91"/>
    </row>
    <row r="155" spans="1:1" ht="16.5">
      <c r="A155" s="46"/>
    </row>
    <row r="156" spans="1:1" ht="16.5">
      <c r="A156" s="46"/>
    </row>
    <row r="157" spans="1:1" ht="16.5">
      <c r="A157" s="46"/>
    </row>
    <row r="158" spans="1:1" ht="16.5">
      <c r="A158" s="46"/>
    </row>
    <row r="159" spans="1:1" ht="16.5">
      <c r="A159" s="46"/>
    </row>
    <row r="160" spans="1:1" ht="16.5">
      <c r="A160" s="46"/>
    </row>
    <row r="161" spans="1:1" ht="16.5">
      <c r="A161" s="46"/>
    </row>
    <row r="162" spans="1:1" ht="16.5">
      <c r="A162" s="46"/>
    </row>
    <row r="163" spans="1:1" ht="16.5">
      <c r="A163" s="46"/>
    </row>
    <row r="164" spans="1:1" ht="16.5">
      <c r="A164" s="46"/>
    </row>
    <row r="165" spans="1:1" ht="16.5">
      <c r="A165" s="46"/>
    </row>
    <row r="166" spans="1:1" ht="16.5">
      <c r="A166" s="46"/>
    </row>
    <row r="167" spans="1:1" ht="16.5">
      <c r="A167" s="46"/>
    </row>
    <row r="168" spans="1:1" ht="16.5">
      <c r="A168" s="46"/>
    </row>
    <row r="169" spans="1:1" ht="16.5">
      <c r="A169" s="91"/>
    </row>
    <row r="170" spans="1:1" ht="16.5">
      <c r="A170" s="46"/>
    </row>
    <row r="171" spans="1:1" ht="16.5">
      <c r="A171" s="46"/>
    </row>
    <row r="172" spans="1:1" ht="16.5">
      <c r="A172" s="46"/>
    </row>
    <row r="173" spans="1:1" ht="16.5">
      <c r="A173" s="46"/>
    </row>
    <row r="174" spans="1:1" ht="16.5">
      <c r="A174" s="46"/>
    </row>
    <row r="175" spans="1:1" ht="16.5">
      <c r="A175" s="46"/>
    </row>
    <row r="176" spans="1:1" ht="16.5">
      <c r="A176" s="46"/>
    </row>
    <row r="177" spans="1:1" ht="16.5">
      <c r="A177" s="46"/>
    </row>
    <row r="178" spans="1:1" ht="16.5">
      <c r="A178" s="46"/>
    </row>
    <row r="179" spans="1:1" ht="16.5">
      <c r="A179" s="46"/>
    </row>
    <row r="180" spans="1:1" ht="16.5">
      <c r="A180" s="46"/>
    </row>
    <row r="181" spans="1:1" ht="16.5">
      <c r="A181" s="80"/>
    </row>
    <row r="182" spans="1:1" ht="16.5">
      <c r="A182" s="80"/>
    </row>
    <row r="183" spans="1:1" ht="16.5">
      <c r="A183" s="94"/>
    </row>
    <row r="184" spans="1:1" ht="16.5">
      <c r="A184" s="80"/>
    </row>
    <row r="185" spans="1:1" ht="16.5">
      <c r="A185" s="80"/>
    </row>
    <row r="186" spans="1:1" ht="16.5">
      <c r="A186" s="80"/>
    </row>
    <row r="187" spans="1:1" ht="16.5">
      <c r="A187" s="80"/>
    </row>
    <row r="188" spans="1:1" ht="16.5">
      <c r="A188" s="80"/>
    </row>
    <row r="189" spans="1:1" ht="16.5">
      <c r="A189" s="80"/>
    </row>
    <row r="190" spans="1:1" ht="16.5">
      <c r="A190" s="80"/>
    </row>
    <row r="191" spans="1:1" ht="16.5">
      <c r="A191" s="80"/>
    </row>
    <row r="192" spans="1:1" ht="16.5">
      <c r="A192" s="80"/>
    </row>
    <row r="193" spans="1:1" ht="16.5">
      <c r="A193" s="80"/>
    </row>
    <row r="194" spans="1:1" ht="16.5">
      <c r="A194" s="80"/>
    </row>
    <row r="195" spans="1:1" ht="16.5">
      <c r="A195" s="80"/>
    </row>
    <row r="196" spans="1:1" ht="16.5">
      <c r="A196" s="80"/>
    </row>
    <row r="197" spans="1:1" ht="16.5">
      <c r="A197" s="80"/>
    </row>
    <row r="198" spans="1:1" ht="16.5">
      <c r="A198" s="94"/>
    </row>
    <row r="199" spans="1:1" ht="16.5">
      <c r="A199" s="80"/>
    </row>
    <row r="200" spans="1:1" ht="16.5">
      <c r="A200" s="80"/>
    </row>
    <row r="201" spans="1:1" ht="16.5">
      <c r="A201" s="80"/>
    </row>
    <row r="202" spans="1:1" ht="16.5">
      <c r="A202" s="80"/>
    </row>
    <row r="203" spans="1:1" ht="16.5">
      <c r="A203" s="80"/>
    </row>
    <row r="204" spans="1:1" ht="16.5">
      <c r="A204" s="80"/>
    </row>
    <row r="205" spans="1:1" ht="16.5">
      <c r="A205" s="80"/>
    </row>
    <row r="206" spans="1:1" ht="16.5">
      <c r="A206" s="80"/>
    </row>
    <row r="207" spans="1:1" ht="16.5">
      <c r="A207" s="80"/>
    </row>
    <row r="208" spans="1:1" ht="16.5">
      <c r="A208" s="80"/>
    </row>
    <row r="209" spans="1:1" ht="16.5">
      <c r="A209" s="80"/>
    </row>
    <row r="210" spans="1:1" ht="16.5">
      <c r="A210" s="80"/>
    </row>
    <row r="211" spans="1:1" ht="16.5">
      <c r="A211" s="80"/>
    </row>
    <row r="212" spans="1:1" ht="16.5">
      <c r="A212" s="80"/>
    </row>
    <row r="213" spans="1:1" ht="16.5">
      <c r="A213" s="94"/>
    </row>
    <row r="214" spans="1:1" ht="16.5">
      <c r="A214" s="80"/>
    </row>
    <row r="215" spans="1:1" ht="16.5">
      <c r="A215" s="80"/>
    </row>
    <row r="216" spans="1:1" ht="16.5">
      <c r="A216" s="80"/>
    </row>
    <row r="217" spans="1:1" ht="16.5">
      <c r="A217" s="80"/>
    </row>
    <row r="218" spans="1:1" ht="16.5">
      <c r="A218" s="80"/>
    </row>
    <row r="219" spans="1:1" ht="16.5">
      <c r="A219" s="80"/>
    </row>
    <row r="220" spans="1:1" ht="16.5">
      <c r="A220" s="80"/>
    </row>
    <row r="221" spans="1:1" ht="16.5">
      <c r="A221" s="80"/>
    </row>
    <row r="222" spans="1:1" ht="16.5">
      <c r="A222" s="80"/>
    </row>
    <row r="223" spans="1:1" ht="16.5">
      <c r="A223" s="80"/>
    </row>
    <row r="224" spans="1:1" ht="16.5">
      <c r="A224" s="80"/>
    </row>
    <row r="225" spans="1:1" ht="16.5">
      <c r="A225" s="80"/>
    </row>
    <row r="226" spans="1:1" ht="16.5">
      <c r="A226" s="80"/>
    </row>
    <row r="227" spans="1:1" ht="16.5">
      <c r="A227" s="80"/>
    </row>
    <row r="228" spans="1:1" ht="16.5">
      <c r="A228" s="94"/>
    </row>
    <row r="229" spans="1:1" ht="16.5">
      <c r="A229" s="80"/>
    </row>
    <row r="230" spans="1:1" ht="16.5">
      <c r="A230" s="80"/>
    </row>
    <row r="231" spans="1:1" ht="16.5">
      <c r="A231" s="80"/>
    </row>
    <row r="232" spans="1:1" ht="16.5">
      <c r="A232" s="80"/>
    </row>
    <row r="233" spans="1:1" ht="16.5">
      <c r="A233" s="80"/>
    </row>
    <row r="234" spans="1:1" ht="16.5">
      <c r="A234" s="80"/>
    </row>
    <row r="235" spans="1:1" ht="16.5">
      <c r="A235" s="80"/>
    </row>
    <row r="236" spans="1:1" ht="16.5">
      <c r="A236" s="80"/>
    </row>
    <row r="237" spans="1:1" ht="16.5">
      <c r="A237" s="80"/>
    </row>
    <row r="238" spans="1:1" ht="16.5">
      <c r="A238" s="80"/>
    </row>
    <row r="239" spans="1:1" ht="16.5">
      <c r="A239" s="80"/>
    </row>
    <row r="240" spans="1:1" ht="16.5">
      <c r="A240" s="80"/>
    </row>
    <row r="241" spans="1:1" ht="16.5">
      <c r="A241" s="53"/>
    </row>
    <row r="242" spans="1:1" ht="16.5">
      <c r="A242" s="53"/>
    </row>
    <row r="243" spans="1:1" ht="16.5">
      <c r="A243" s="97"/>
    </row>
    <row r="244" spans="1:1" ht="16.5">
      <c r="A244" s="53"/>
    </row>
    <row r="245" spans="1:1" ht="16.5">
      <c r="A245" s="53"/>
    </row>
    <row r="246" spans="1:1" ht="16.5">
      <c r="A246" s="53"/>
    </row>
    <row r="247" spans="1:1" ht="16.5">
      <c r="A247" s="53"/>
    </row>
    <row r="248" spans="1:1" ht="16.5">
      <c r="A248" s="53"/>
    </row>
    <row r="249" spans="1:1" ht="16.5">
      <c r="A249" s="53"/>
    </row>
    <row r="250" spans="1:1" ht="16.5">
      <c r="A250" s="53"/>
    </row>
    <row r="251" spans="1:1" ht="16.5">
      <c r="A251" s="53"/>
    </row>
    <row r="252" spans="1:1" ht="16.5">
      <c r="A252" s="53"/>
    </row>
    <row r="253" spans="1:1" ht="16.5">
      <c r="A253" s="53"/>
    </row>
    <row r="254" spans="1:1" ht="16.5">
      <c r="A254" s="53"/>
    </row>
    <row r="255" spans="1:1" ht="16.5">
      <c r="A255" s="53"/>
    </row>
    <row r="256" spans="1:1" ht="16.5">
      <c r="A256" s="53"/>
    </row>
    <row r="257" spans="1:1" ht="16.5">
      <c r="A257" s="53"/>
    </row>
    <row r="258" spans="1:1" ht="16.5">
      <c r="A258" s="97"/>
    </row>
    <row r="259" spans="1:1" ht="16.5">
      <c r="A259" s="53"/>
    </row>
    <row r="260" spans="1:1" ht="16.5">
      <c r="A260" s="53"/>
    </row>
    <row r="261" spans="1:1" ht="16.5">
      <c r="A261" s="53"/>
    </row>
    <row r="262" spans="1:1" ht="16.5">
      <c r="A262" s="53"/>
    </row>
    <row r="263" spans="1:1" ht="16.5">
      <c r="A263" s="53"/>
    </row>
    <row r="264" spans="1:1" ht="16.5">
      <c r="A264" s="53"/>
    </row>
    <row r="265" spans="1:1" ht="16.5">
      <c r="A265" s="53"/>
    </row>
    <row r="266" spans="1:1" ht="16.5">
      <c r="A266" s="53"/>
    </row>
    <row r="267" spans="1:1" ht="16.5">
      <c r="A267" s="53"/>
    </row>
    <row r="268" spans="1:1" ht="16.5">
      <c r="A268" s="53"/>
    </row>
    <row r="269" spans="1:1" ht="16.5">
      <c r="A269" s="53"/>
    </row>
    <row r="270" spans="1:1" ht="16.5">
      <c r="A270" s="53"/>
    </row>
    <row r="271" spans="1:1" ht="16.5">
      <c r="A271" s="53"/>
    </row>
    <row r="272" spans="1:1" ht="16.5">
      <c r="A272" s="53"/>
    </row>
    <row r="273" spans="1:1" ht="16.5">
      <c r="A273" s="97"/>
    </row>
    <row r="274" spans="1:1" ht="16.5">
      <c r="A274" s="53"/>
    </row>
    <row r="275" spans="1:1" ht="16.5">
      <c r="A275" s="53"/>
    </row>
    <row r="276" spans="1:1" ht="16.5">
      <c r="A276" s="53"/>
    </row>
    <row r="277" spans="1:1" ht="16.5">
      <c r="A277" s="53"/>
    </row>
    <row r="278" spans="1:1" ht="16.5">
      <c r="A278" s="53"/>
    </row>
    <row r="279" spans="1:1" ht="16.5">
      <c r="A279" s="53"/>
    </row>
    <row r="280" spans="1:1" ht="16.5">
      <c r="A280" s="53"/>
    </row>
    <row r="281" spans="1:1" ht="16.5">
      <c r="A281" s="53"/>
    </row>
    <row r="282" spans="1:1" ht="16.5">
      <c r="A282" s="53"/>
    </row>
    <row r="283" spans="1:1" ht="16.5">
      <c r="A283" s="53"/>
    </row>
    <row r="284" spans="1:1" ht="16.5">
      <c r="A284" s="53"/>
    </row>
    <row r="285" spans="1:1" ht="16.5">
      <c r="A285" s="53"/>
    </row>
    <row r="286" spans="1:1" ht="16.5">
      <c r="A286" s="53"/>
    </row>
    <row r="287" spans="1:1" ht="16.5">
      <c r="A287" s="53"/>
    </row>
    <row r="288" spans="1:1" ht="16.5">
      <c r="A288" s="97"/>
    </row>
    <row r="289" spans="1:1" ht="16.5">
      <c r="A289" s="53"/>
    </row>
    <row r="290" spans="1:1" ht="16.5">
      <c r="A290" s="53"/>
    </row>
    <row r="291" spans="1:1" ht="16.5">
      <c r="A291" s="53"/>
    </row>
    <row r="292" spans="1:1" ht="16.5">
      <c r="A292" s="53"/>
    </row>
    <row r="293" spans="1:1" ht="16.5">
      <c r="A293" s="53"/>
    </row>
    <row r="294" spans="1:1" ht="16.5">
      <c r="A294" s="53"/>
    </row>
    <row r="295" spans="1:1" ht="16.5">
      <c r="A295" s="53"/>
    </row>
    <row r="296" spans="1:1" ht="16.5">
      <c r="A296" s="53"/>
    </row>
    <row r="297" spans="1:1" ht="16.5">
      <c r="A297" s="53"/>
    </row>
    <row r="298" spans="1:1" ht="16.5">
      <c r="A298" s="53"/>
    </row>
    <row r="299" spans="1:1" ht="16.5">
      <c r="A299" s="53"/>
    </row>
    <row r="300" spans="1:1" ht="16.5">
      <c r="A300" s="53"/>
    </row>
    <row r="301" spans="1:1" ht="16.5">
      <c r="A301" s="22"/>
    </row>
    <row r="302" spans="1:1" ht="16.5">
      <c r="A302" s="100"/>
    </row>
    <row r="303" spans="1:1" ht="16.5">
      <c r="A303" s="22"/>
    </row>
    <row r="304" spans="1:1" ht="16.5">
      <c r="A304" s="22"/>
    </row>
    <row r="305" spans="1:1" ht="16.5">
      <c r="A305" s="22"/>
    </row>
    <row r="306" spans="1:1" ht="16.5">
      <c r="A306" s="22"/>
    </row>
    <row r="307" spans="1:1" ht="16.5">
      <c r="A307" s="22"/>
    </row>
    <row r="308" spans="1:1" ht="16.5">
      <c r="A308" s="22"/>
    </row>
    <row r="309" spans="1:1" ht="16.5">
      <c r="A309" s="22"/>
    </row>
    <row r="310" spans="1:1" ht="16.5">
      <c r="A310" s="22"/>
    </row>
    <row r="311" spans="1:1" ht="16.5">
      <c r="A311" s="22"/>
    </row>
    <row r="312" spans="1:1" ht="16.5">
      <c r="A312" s="22"/>
    </row>
    <row r="313" spans="1:1" ht="16.5">
      <c r="A313" s="22"/>
    </row>
    <row r="314" spans="1:1" ht="16.5">
      <c r="A314" s="22"/>
    </row>
    <row r="315" spans="1:1" ht="16.5">
      <c r="A315" s="22"/>
    </row>
    <row r="316" spans="1:1" ht="16.5">
      <c r="A316" s="22"/>
    </row>
    <row r="317" spans="1:1" ht="16.5">
      <c r="A317" s="100"/>
    </row>
    <row r="318" spans="1:1" ht="16.5">
      <c r="A318" s="22"/>
    </row>
    <row r="319" spans="1:1" ht="16.5">
      <c r="A319" s="22"/>
    </row>
    <row r="320" spans="1:1" ht="16.5">
      <c r="A320" s="22"/>
    </row>
    <row r="321" spans="1:1" ht="16.5">
      <c r="A321" s="22"/>
    </row>
    <row r="322" spans="1:1" ht="16.5">
      <c r="A322" s="22"/>
    </row>
    <row r="323" spans="1:1" ht="16.5">
      <c r="A323" s="22"/>
    </row>
    <row r="324" spans="1:1" ht="16.5">
      <c r="A324" s="22"/>
    </row>
    <row r="325" spans="1:1" ht="16.5">
      <c r="A325" s="22"/>
    </row>
    <row r="326" spans="1:1" ht="16.5">
      <c r="A326" s="22"/>
    </row>
    <row r="327" spans="1:1" ht="16.5">
      <c r="A327" s="22"/>
    </row>
    <row r="328" spans="1:1" ht="16.5">
      <c r="A328" s="22"/>
    </row>
    <row r="329" spans="1:1" ht="16.5">
      <c r="A329" s="22"/>
    </row>
    <row r="330" spans="1:1" ht="16.5">
      <c r="A330" s="22"/>
    </row>
    <row r="331" spans="1:1" ht="16.5">
      <c r="A331" s="22"/>
    </row>
    <row r="332" spans="1:1" ht="16.5">
      <c r="A332" s="100"/>
    </row>
    <row r="333" spans="1:1" ht="16.5">
      <c r="A333" s="22"/>
    </row>
    <row r="334" spans="1:1" ht="16.5">
      <c r="A334" s="22"/>
    </row>
    <row r="335" spans="1:1" ht="16.5">
      <c r="A335" s="22"/>
    </row>
    <row r="336" spans="1:1" ht="16.5">
      <c r="A336" s="22"/>
    </row>
    <row r="337" spans="1:1" ht="16.5">
      <c r="A337" s="22"/>
    </row>
    <row r="338" spans="1:1" ht="16.5">
      <c r="A338" s="22"/>
    </row>
    <row r="339" spans="1:1" ht="16.5">
      <c r="A339" s="22"/>
    </row>
    <row r="340" spans="1:1" ht="16.5">
      <c r="A340" s="22"/>
    </row>
    <row r="341" spans="1:1" ht="16.5">
      <c r="A341" s="22"/>
    </row>
    <row r="342" spans="1:1" ht="16.5">
      <c r="A342" s="22"/>
    </row>
    <row r="343" spans="1:1" ht="16.5">
      <c r="A343" s="22"/>
    </row>
    <row r="344" spans="1:1" ht="16.5">
      <c r="A344" s="22"/>
    </row>
    <row r="345" spans="1:1" ht="16.5">
      <c r="A345" s="22"/>
    </row>
    <row r="346" spans="1:1" ht="16.5">
      <c r="A346" s="22"/>
    </row>
    <row r="347" spans="1:1" ht="16.5">
      <c r="A347" s="100"/>
    </row>
    <row r="348" spans="1:1" ht="16.5">
      <c r="A348" s="22"/>
    </row>
    <row r="349" spans="1:1" ht="16.5">
      <c r="A349" s="22"/>
    </row>
    <row r="350" spans="1:1" ht="16.5">
      <c r="A350" s="22"/>
    </row>
    <row r="351" spans="1:1" ht="16.5">
      <c r="A351" s="22"/>
    </row>
    <row r="352" spans="1:1" ht="16.5">
      <c r="A352" s="22"/>
    </row>
    <row r="353" spans="1:1" ht="16.5">
      <c r="A353" s="22"/>
    </row>
    <row r="354" spans="1:1" ht="16.5">
      <c r="A354" s="22"/>
    </row>
    <row r="355" spans="1:1" ht="16.5">
      <c r="A355" s="22"/>
    </row>
    <row r="356" spans="1:1" ht="16.5">
      <c r="A356" s="22"/>
    </row>
    <row r="357" spans="1:1" ht="16.5">
      <c r="A357" s="22"/>
    </row>
    <row r="358" spans="1:1" ht="16.5">
      <c r="A358" s="22"/>
    </row>
    <row r="359" spans="1:1" ht="16.5">
      <c r="A359" s="22"/>
    </row>
    <row r="360" spans="1:1" ht="16.5">
      <c r="A360" s="22"/>
    </row>
    <row r="361" spans="1:1" ht="16.5">
      <c r="A361" s="22"/>
    </row>
    <row r="362" spans="1:1" ht="16.5">
      <c r="A362" s="100"/>
    </row>
    <row r="363" spans="1:1" ht="16.5">
      <c r="A363" s="22"/>
    </row>
    <row r="364" spans="1:1" ht="16.5">
      <c r="A364" s="22"/>
    </row>
    <row r="365" spans="1:1" ht="16.5">
      <c r="A365" s="22"/>
    </row>
    <row r="366" spans="1:1" ht="16.5">
      <c r="A366" s="22"/>
    </row>
    <row r="367" spans="1:1" ht="16.5">
      <c r="A367" s="22"/>
    </row>
    <row r="368" spans="1:1" ht="16.5">
      <c r="A368" s="22"/>
    </row>
    <row r="369" spans="1:1" ht="16.5">
      <c r="A369" s="22"/>
    </row>
    <row r="370" spans="1:1" ht="16.5">
      <c r="A370" s="22"/>
    </row>
    <row r="371" spans="1:1" ht="16.5">
      <c r="A371" s="22"/>
    </row>
    <row r="372" spans="1:1" ht="16.5">
      <c r="A372" s="22"/>
    </row>
    <row r="373" spans="1:1" ht="16.5">
      <c r="A373" s="22"/>
    </row>
    <row r="374" spans="1:1" ht="16.5">
      <c r="A374" s="22"/>
    </row>
    <row r="375" spans="1:1" ht="16.5">
      <c r="A375" s="22"/>
    </row>
    <row r="376" spans="1:1" ht="16.5">
      <c r="A376" s="22"/>
    </row>
    <row r="377" spans="1:1" ht="16.5">
      <c r="A377" s="100"/>
    </row>
    <row r="378" spans="1:1" ht="16.5">
      <c r="A378" s="22"/>
    </row>
    <row r="379" spans="1:1" ht="16.5">
      <c r="A379" s="22"/>
    </row>
    <row r="380" spans="1:1" ht="16.5">
      <c r="A380" s="22"/>
    </row>
    <row r="381" spans="1:1" ht="16.5">
      <c r="A381" s="22"/>
    </row>
    <row r="382" spans="1:1" ht="16.5">
      <c r="A382" s="22"/>
    </row>
    <row r="383" spans="1:1" ht="16.5">
      <c r="A383" s="22"/>
    </row>
    <row r="384" spans="1:1" ht="16.5">
      <c r="A384" s="22"/>
    </row>
    <row r="385" spans="1:1" ht="16.5">
      <c r="A385" s="22"/>
    </row>
    <row r="386" spans="1:1" ht="16.5">
      <c r="A386" s="22"/>
    </row>
    <row r="387" spans="1:1" ht="16.5">
      <c r="A387" s="22"/>
    </row>
    <row r="388" spans="1:1" ht="16.5">
      <c r="A388" s="22"/>
    </row>
    <row r="389" spans="1:1" ht="16.5">
      <c r="A389" s="22"/>
    </row>
    <row r="390" spans="1:1" ht="16.5">
      <c r="A390" s="22"/>
    </row>
    <row r="391" spans="1:1" ht="16.5">
      <c r="A391" s="22"/>
    </row>
    <row r="392" spans="1:1" ht="16.5">
      <c r="A392" s="100"/>
    </row>
    <row r="393" spans="1:1" ht="16.5">
      <c r="A393" s="22"/>
    </row>
    <row r="394" spans="1:1" ht="16.5">
      <c r="A394" s="22"/>
    </row>
    <row r="395" spans="1:1" ht="16.5">
      <c r="A395" s="22"/>
    </row>
    <row r="396" spans="1:1" ht="16.5">
      <c r="A396" s="22"/>
    </row>
    <row r="397" spans="1:1" ht="16.5">
      <c r="A397" s="22"/>
    </row>
    <row r="398" spans="1:1" ht="16.5">
      <c r="A398" s="22"/>
    </row>
    <row r="399" spans="1:1" ht="16.5">
      <c r="A399" s="22"/>
    </row>
    <row r="400" spans="1:1" ht="16.5">
      <c r="A400" s="22"/>
    </row>
    <row r="401" spans="1:1" ht="16.5">
      <c r="A401" s="22"/>
    </row>
    <row r="402" spans="1:1" ht="16.5">
      <c r="A402" s="22"/>
    </row>
    <row r="403" spans="1:1" ht="16.5">
      <c r="A403" s="22"/>
    </row>
    <row r="404" spans="1:1" ht="16.5">
      <c r="A404" s="22"/>
    </row>
    <row r="405" spans="1:1" ht="16.5">
      <c r="A405" s="22"/>
    </row>
    <row r="406" spans="1:1" ht="16.5">
      <c r="A406" s="22"/>
    </row>
    <row r="407" spans="1:1" ht="16.5">
      <c r="A407" s="100"/>
    </row>
    <row r="408" spans="1:1" ht="16.5">
      <c r="A408" s="22"/>
    </row>
    <row r="409" spans="1:1" ht="16.5">
      <c r="A409" s="22"/>
    </row>
    <row r="410" spans="1:1" ht="16.5">
      <c r="A410" s="22"/>
    </row>
    <row r="411" spans="1:1" ht="16.5">
      <c r="A411" s="22"/>
    </row>
    <row r="412" spans="1:1" ht="16.5">
      <c r="A412" s="22"/>
    </row>
    <row r="413" spans="1:1" ht="16.5">
      <c r="A413" s="22"/>
    </row>
    <row r="414" spans="1:1" ht="16.5">
      <c r="A414" s="22"/>
    </row>
    <row r="415" spans="1:1" ht="16.5">
      <c r="A415" s="22"/>
    </row>
    <row r="416" spans="1:1" ht="16.5">
      <c r="A416" s="22"/>
    </row>
    <row r="417" spans="1:1" ht="16.5">
      <c r="A417" s="22"/>
    </row>
    <row r="418" spans="1:1" ht="16.5">
      <c r="A418" s="22"/>
    </row>
    <row r="419" spans="1:1" ht="16.5">
      <c r="A419" s="22"/>
    </row>
    <row r="420" spans="1:1" ht="16.5">
      <c r="A420" s="22"/>
    </row>
    <row r="421" spans="1:1" ht="16.5">
      <c r="A421" s="71"/>
    </row>
    <row r="422" spans="1:1" ht="16.5">
      <c r="A422" s="103"/>
    </row>
    <row r="423" spans="1:1" ht="16.5">
      <c r="A423" s="71"/>
    </row>
    <row r="424" spans="1:1" ht="16.5">
      <c r="A424" s="71"/>
    </row>
    <row r="425" spans="1:1" ht="16.5">
      <c r="A425" s="71"/>
    </row>
    <row r="426" spans="1:1" ht="16.5">
      <c r="A426" s="71"/>
    </row>
    <row r="427" spans="1:1" ht="16.5">
      <c r="A427" s="71"/>
    </row>
    <row r="428" spans="1:1" ht="16.5">
      <c r="A428" s="71"/>
    </row>
    <row r="429" spans="1:1" ht="16.5">
      <c r="A429" s="71"/>
    </row>
    <row r="430" spans="1:1" ht="16.5">
      <c r="A430" s="71"/>
    </row>
    <row r="431" spans="1:1" ht="16.5">
      <c r="A431" s="71"/>
    </row>
    <row r="432" spans="1:1" ht="16.5">
      <c r="A432" s="71"/>
    </row>
    <row r="433" spans="1:1" ht="16.5">
      <c r="A433" s="71"/>
    </row>
    <row r="434" spans="1:1" ht="16.5">
      <c r="A434" s="71"/>
    </row>
    <row r="435" spans="1:1" ht="16.5">
      <c r="A435" s="71"/>
    </row>
    <row r="436" spans="1:1" ht="16.5">
      <c r="A436" s="71"/>
    </row>
    <row r="437" spans="1:1" ht="16.5">
      <c r="A437" s="103"/>
    </row>
    <row r="438" spans="1:1" ht="16.5">
      <c r="A438" s="71"/>
    </row>
    <row r="439" spans="1:1" ht="16.5">
      <c r="A439" s="71"/>
    </row>
    <row r="440" spans="1:1" ht="16.5">
      <c r="A440" s="71"/>
    </row>
    <row r="441" spans="1:1" ht="16.5">
      <c r="A441" s="71"/>
    </row>
    <row r="442" spans="1:1" ht="16.5">
      <c r="A442" s="71"/>
    </row>
    <row r="443" spans="1:1" ht="16.5">
      <c r="A443" s="71"/>
    </row>
    <row r="444" spans="1:1" ht="16.5">
      <c r="A444" s="71"/>
    </row>
    <row r="445" spans="1:1" ht="16.5">
      <c r="A445" s="71"/>
    </row>
    <row r="446" spans="1:1" ht="16.5">
      <c r="A446" s="71"/>
    </row>
    <row r="447" spans="1:1" ht="16.5">
      <c r="A447" s="71"/>
    </row>
    <row r="448" spans="1:1" ht="16.5">
      <c r="A448" s="71"/>
    </row>
    <row r="449" spans="1:1" ht="16.5">
      <c r="A449" s="71"/>
    </row>
    <row r="450" spans="1:1" ht="16.5">
      <c r="A450" s="71"/>
    </row>
    <row r="451" spans="1:1" ht="16.5">
      <c r="A451" s="71"/>
    </row>
    <row r="452" spans="1:1" ht="16.5">
      <c r="A452" s="103"/>
    </row>
    <row r="453" spans="1:1" ht="16.5">
      <c r="A453" s="71"/>
    </row>
    <row r="454" spans="1:1" ht="16.5">
      <c r="A454" s="71"/>
    </row>
    <row r="455" spans="1:1" ht="16.5">
      <c r="A455" s="71"/>
    </row>
    <row r="456" spans="1:1" ht="16.5">
      <c r="A456" s="71"/>
    </row>
    <row r="457" spans="1:1" ht="16.5">
      <c r="A457" s="71"/>
    </row>
    <row r="458" spans="1:1" ht="16.5">
      <c r="A458" s="71"/>
    </row>
    <row r="459" spans="1:1" ht="16.5">
      <c r="A459" s="71"/>
    </row>
    <row r="460" spans="1:1" ht="16.5">
      <c r="A460" s="71"/>
    </row>
    <row r="461" spans="1:1" ht="16.5">
      <c r="A461" s="71"/>
    </row>
    <row r="462" spans="1:1" ht="16.5">
      <c r="A462" s="71"/>
    </row>
    <row r="463" spans="1:1" ht="16.5">
      <c r="A463" s="71"/>
    </row>
    <row r="464" spans="1:1" ht="16.5">
      <c r="A464" s="71"/>
    </row>
    <row r="465" spans="1:1" ht="16.5">
      <c r="A465" s="71"/>
    </row>
    <row r="466" spans="1:1" ht="16.5">
      <c r="A466" s="71"/>
    </row>
    <row r="467" spans="1:1" ht="16.5">
      <c r="A467" s="103"/>
    </row>
    <row r="468" spans="1:1" ht="16.5">
      <c r="A468" s="71"/>
    </row>
    <row r="469" spans="1:1" ht="16.5">
      <c r="A469" s="71"/>
    </row>
    <row r="470" spans="1:1" ht="16.5">
      <c r="A470" s="71"/>
    </row>
    <row r="471" spans="1:1" ht="16.5">
      <c r="A471" s="71"/>
    </row>
    <row r="472" spans="1:1" ht="16.5">
      <c r="A472" s="71"/>
    </row>
    <row r="473" spans="1:1" ht="16.5">
      <c r="A473" s="71"/>
    </row>
    <row r="474" spans="1:1" ht="16.5">
      <c r="A474" s="71"/>
    </row>
    <row r="475" spans="1:1" ht="16.5">
      <c r="A475" s="71"/>
    </row>
    <row r="476" spans="1:1" ht="16.5">
      <c r="A476" s="71"/>
    </row>
    <row r="477" spans="1:1" ht="16.5">
      <c r="A477" s="71"/>
    </row>
    <row r="478" spans="1:1" ht="16.5">
      <c r="A478" s="71"/>
    </row>
    <row r="479" spans="1:1" ht="16.5">
      <c r="A479" s="71"/>
    </row>
    <row r="480" spans="1:1" ht="16.5">
      <c r="A480" s="71"/>
    </row>
  </sheetData>
  <phoneticPr fontId="5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H84"/>
  <sheetViews>
    <sheetView topLeftCell="A58" workbookViewId="0">
      <selection activeCell="I67" sqref="I67"/>
    </sheetView>
  </sheetViews>
  <sheetFormatPr defaultRowHeight="13.5"/>
  <sheetData>
    <row r="1" spans="1:8" ht="16.5">
      <c r="A1" s="41">
        <v>2100</v>
      </c>
      <c r="B1" s="41" t="s">
        <v>253</v>
      </c>
      <c r="C1" s="41">
        <v>2114</v>
      </c>
      <c r="D1" s="41" t="s">
        <v>1502</v>
      </c>
      <c r="E1" s="41">
        <v>2128</v>
      </c>
      <c r="F1" s="41" t="s">
        <v>253</v>
      </c>
      <c r="G1" s="41">
        <v>2142</v>
      </c>
      <c r="H1" t="str">
        <f>A1&amp;B1&amp;C1&amp;D1&amp;E1&amp;F1&amp;G1</f>
        <v>2100,2114,2128,2142</v>
      </c>
    </row>
    <row r="2" spans="1:8" ht="16.5">
      <c r="A2" s="41">
        <v>2101</v>
      </c>
      <c r="B2" s="41" t="s">
        <v>253</v>
      </c>
      <c r="C2" s="41">
        <v>2115</v>
      </c>
      <c r="D2" s="41" t="s">
        <v>1502</v>
      </c>
      <c r="E2" s="41">
        <v>2129</v>
      </c>
      <c r="F2" s="41" t="s">
        <v>253</v>
      </c>
      <c r="G2" s="41">
        <v>2143</v>
      </c>
      <c r="H2" t="str">
        <f t="shared" ref="H2:H65" si="0">A2&amp;B2&amp;C2&amp;D2&amp;E2&amp;F2&amp;G2</f>
        <v>2101,2115,2129,2143</v>
      </c>
    </row>
    <row r="3" spans="1:8" ht="16.5">
      <c r="A3" s="41">
        <v>2102</v>
      </c>
      <c r="B3" s="41" t="s">
        <v>253</v>
      </c>
      <c r="C3" s="41">
        <v>2116</v>
      </c>
      <c r="D3" s="41" t="s">
        <v>1502</v>
      </c>
      <c r="E3" s="41">
        <v>2130</v>
      </c>
      <c r="F3" s="41" t="s">
        <v>253</v>
      </c>
      <c r="G3" s="41">
        <v>2144</v>
      </c>
      <c r="H3" t="str">
        <f t="shared" si="0"/>
        <v>2102,2116,2130,2144</v>
      </c>
    </row>
    <row r="4" spans="1:8" ht="16.5">
      <c r="A4" s="41">
        <v>2103</v>
      </c>
      <c r="B4" s="41" t="s">
        <v>253</v>
      </c>
      <c r="C4" s="41">
        <v>2117</v>
      </c>
      <c r="D4" s="41" t="s">
        <v>1502</v>
      </c>
      <c r="E4" s="41">
        <v>2131</v>
      </c>
      <c r="F4" s="41" t="s">
        <v>253</v>
      </c>
      <c r="G4" s="41">
        <v>2145</v>
      </c>
      <c r="H4" t="str">
        <f t="shared" si="0"/>
        <v>2103,2117,2131,2145</v>
      </c>
    </row>
    <row r="5" spans="1:8" ht="16.5">
      <c r="A5" s="41">
        <v>2104</v>
      </c>
      <c r="B5" s="41" t="s">
        <v>253</v>
      </c>
      <c r="C5" s="41">
        <v>2118</v>
      </c>
      <c r="D5" s="41" t="s">
        <v>1502</v>
      </c>
      <c r="E5" s="41">
        <v>2132</v>
      </c>
      <c r="F5" s="41" t="s">
        <v>253</v>
      </c>
      <c r="G5" s="41">
        <v>2146</v>
      </c>
      <c r="H5" t="str">
        <f t="shared" si="0"/>
        <v>2104,2118,2132,2146</v>
      </c>
    </row>
    <row r="6" spans="1:8" ht="16.5">
      <c r="A6" s="41">
        <v>2105</v>
      </c>
      <c r="B6" s="41" t="s">
        <v>253</v>
      </c>
      <c r="C6" s="41">
        <v>2119</v>
      </c>
      <c r="D6" s="41" t="s">
        <v>1502</v>
      </c>
      <c r="E6" s="41">
        <v>2133</v>
      </c>
      <c r="F6" s="41" t="s">
        <v>253</v>
      </c>
      <c r="G6" s="41">
        <v>2147</v>
      </c>
      <c r="H6" t="str">
        <f t="shared" si="0"/>
        <v>2105,2119,2133,2147</v>
      </c>
    </row>
    <row r="7" spans="1:8" ht="16.5">
      <c r="A7" s="41">
        <v>2106</v>
      </c>
      <c r="B7" s="41" t="s">
        <v>253</v>
      </c>
      <c r="C7" s="41">
        <v>2120</v>
      </c>
      <c r="D7" s="41" t="s">
        <v>1502</v>
      </c>
      <c r="E7" s="41">
        <v>2134</v>
      </c>
      <c r="F7" s="41" t="s">
        <v>253</v>
      </c>
      <c r="G7" s="41">
        <v>2148</v>
      </c>
      <c r="H7" t="str">
        <f t="shared" si="0"/>
        <v>2106,2120,2134,2148</v>
      </c>
    </row>
    <row r="8" spans="1:8" ht="16.5">
      <c r="A8" s="81">
        <v>2081</v>
      </c>
      <c r="B8" s="41" t="s">
        <v>253</v>
      </c>
      <c r="C8" s="81">
        <v>2082</v>
      </c>
      <c r="D8" s="41" t="s">
        <v>1502</v>
      </c>
      <c r="E8" s="81">
        <v>2083</v>
      </c>
      <c r="F8" s="41" t="s">
        <v>253</v>
      </c>
      <c r="G8" s="81">
        <v>2084</v>
      </c>
      <c r="H8" t="str">
        <f t="shared" si="0"/>
        <v>2081,2082,2083,2084</v>
      </c>
    </row>
    <row r="9" spans="1:8" ht="16.5">
      <c r="A9" s="41">
        <v>2107</v>
      </c>
      <c r="B9" s="41" t="s">
        <v>253</v>
      </c>
      <c r="C9" s="41">
        <v>2121</v>
      </c>
      <c r="D9" s="41" t="s">
        <v>1502</v>
      </c>
      <c r="E9" s="41">
        <v>2135</v>
      </c>
      <c r="F9" s="41" t="s">
        <v>253</v>
      </c>
      <c r="G9" s="41">
        <v>2149</v>
      </c>
      <c r="H9" t="str">
        <f t="shared" si="0"/>
        <v>2107,2121,2135,2149</v>
      </c>
    </row>
    <row r="10" spans="1:8" ht="16.5">
      <c r="A10" s="41">
        <v>2108</v>
      </c>
      <c r="B10" s="41" t="s">
        <v>253</v>
      </c>
      <c r="C10" s="41">
        <v>2122</v>
      </c>
      <c r="D10" s="41" t="s">
        <v>1502</v>
      </c>
      <c r="E10" s="41">
        <v>2136</v>
      </c>
      <c r="F10" s="41" t="s">
        <v>253</v>
      </c>
      <c r="G10" s="41">
        <v>2150</v>
      </c>
      <c r="H10" t="str">
        <f t="shared" si="0"/>
        <v>2108,2122,2136,2150</v>
      </c>
    </row>
    <row r="11" spans="1:8" ht="16.5">
      <c r="A11" s="41">
        <v>2109</v>
      </c>
      <c r="B11" s="41" t="s">
        <v>253</v>
      </c>
      <c r="C11" s="41">
        <v>2123</v>
      </c>
      <c r="D11" s="41" t="s">
        <v>1502</v>
      </c>
      <c r="E11" s="41">
        <v>2137</v>
      </c>
      <c r="F11" s="41" t="s">
        <v>253</v>
      </c>
      <c r="G11" s="41">
        <v>2151</v>
      </c>
      <c r="H11" t="str">
        <f t="shared" si="0"/>
        <v>2109,2123,2137,2151</v>
      </c>
    </row>
    <row r="12" spans="1:8" ht="16.5">
      <c r="A12" s="41">
        <v>2110</v>
      </c>
      <c r="B12" s="41" t="s">
        <v>253</v>
      </c>
      <c r="C12" s="41">
        <v>2124</v>
      </c>
      <c r="D12" s="41" t="s">
        <v>1502</v>
      </c>
      <c r="E12" s="41">
        <v>2138</v>
      </c>
      <c r="F12" s="41" t="s">
        <v>253</v>
      </c>
      <c r="G12" s="41">
        <v>2152</v>
      </c>
      <c r="H12" t="str">
        <f t="shared" si="0"/>
        <v>2110,2124,2138,2152</v>
      </c>
    </row>
    <row r="13" spans="1:8" ht="16.5">
      <c r="A13" s="41">
        <v>2111</v>
      </c>
      <c r="B13" s="41" t="s">
        <v>253</v>
      </c>
      <c r="C13" s="41">
        <v>2125</v>
      </c>
      <c r="D13" s="41" t="s">
        <v>1502</v>
      </c>
      <c r="E13" s="41">
        <v>2139</v>
      </c>
      <c r="F13" s="41" t="s">
        <v>253</v>
      </c>
      <c r="G13" s="41">
        <v>2153</v>
      </c>
      <c r="H13" t="str">
        <f t="shared" si="0"/>
        <v>2111,2125,2139,2153</v>
      </c>
    </row>
    <row r="14" spans="1:8" ht="16.5">
      <c r="A14" s="41">
        <v>2112</v>
      </c>
      <c r="B14" s="41" t="s">
        <v>253</v>
      </c>
      <c r="C14" s="41">
        <v>2126</v>
      </c>
      <c r="D14" s="41" t="s">
        <v>1502</v>
      </c>
      <c r="E14" s="41">
        <v>2140</v>
      </c>
      <c r="F14" s="41" t="s">
        <v>253</v>
      </c>
      <c r="G14" s="41">
        <v>2154</v>
      </c>
      <c r="H14" t="str">
        <f t="shared" si="0"/>
        <v>2112,2126,2140,2154</v>
      </c>
    </row>
    <row r="15" spans="1:8" ht="16.5">
      <c r="A15" s="41">
        <v>2113</v>
      </c>
      <c r="B15" s="41" t="s">
        <v>253</v>
      </c>
      <c r="C15" s="41">
        <v>2127</v>
      </c>
      <c r="D15" s="41" t="s">
        <v>1502</v>
      </c>
      <c r="E15" s="41">
        <v>2141</v>
      </c>
      <c r="F15" s="41" t="s">
        <v>253</v>
      </c>
      <c r="G15" s="41">
        <v>2155</v>
      </c>
      <c r="H15" t="str">
        <f t="shared" si="0"/>
        <v>2113,2127,2141,2155</v>
      </c>
    </row>
    <row r="16" spans="1:8" ht="16.5">
      <c r="B16" s="41" t="s">
        <v>253</v>
      </c>
      <c r="D16" s="41" t="s">
        <v>253</v>
      </c>
      <c r="F16" s="41" t="s">
        <v>253</v>
      </c>
      <c r="H16" t="str">
        <f t="shared" si="0"/>
        <v>,,,</v>
      </c>
    </row>
    <row r="17" spans="1:8" ht="16.5">
      <c r="B17" s="41" t="s">
        <v>253</v>
      </c>
      <c r="D17" s="41" t="s">
        <v>253</v>
      </c>
      <c r="F17" s="41" t="s">
        <v>253</v>
      </c>
      <c r="H17" t="str">
        <f t="shared" si="0"/>
        <v>,,,</v>
      </c>
    </row>
    <row r="18" spans="1:8" ht="16.5">
      <c r="A18" s="117" t="s">
        <v>1503</v>
      </c>
      <c r="B18" s="41" t="s">
        <v>253</v>
      </c>
      <c r="D18" s="41" t="s">
        <v>253</v>
      </c>
      <c r="F18" s="41" t="s">
        <v>253</v>
      </c>
      <c r="H18" t="str">
        <f t="shared" si="0"/>
        <v>天罡,,,</v>
      </c>
    </row>
    <row r="19" spans="1:8" ht="16.5">
      <c r="A19" s="41">
        <v>2156</v>
      </c>
      <c r="B19" s="41" t="s">
        <v>253</v>
      </c>
      <c r="C19" s="37">
        <v>2170</v>
      </c>
      <c r="D19" s="41" t="s">
        <v>253</v>
      </c>
      <c r="E19" s="37">
        <v>2184</v>
      </c>
      <c r="F19" s="41" t="s">
        <v>253</v>
      </c>
      <c r="G19" s="37">
        <v>2198</v>
      </c>
      <c r="H19" t="str">
        <f t="shared" si="0"/>
        <v>2156,2170,2184,2198</v>
      </c>
    </row>
    <row r="20" spans="1:8" ht="16.5">
      <c r="A20" s="41">
        <v>2157</v>
      </c>
      <c r="B20" s="41" t="s">
        <v>253</v>
      </c>
      <c r="C20" s="37">
        <v>2171</v>
      </c>
      <c r="D20" s="41" t="s">
        <v>253</v>
      </c>
      <c r="E20" s="37">
        <v>2185</v>
      </c>
      <c r="F20" s="41" t="s">
        <v>253</v>
      </c>
      <c r="G20" s="37">
        <v>2199</v>
      </c>
      <c r="H20" t="str">
        <f t="shared" si="0"/>
        <v>2157,2171,2185,2199</v>
      </c>
    </row>
    <row r="21" spans="1:8" ht="16.5">
      <c r="A21" s="41">
        <v>2158</v>
      </c>
      <c r="B21" s="41" t="s">
        <v>253</v>
      </c>
      <c r="C21" s="37">
        <v>2172</v>
      </c>
      <c r="D21" s="41" t="s">
        <v>253</v>
      </c>
      <c r="E21" s="37">
        <v>2186</v>
      </c>
      <c r="F21" s="41" t="s">
        <v>253</v>
      </c>
      <c r="G21" s="37">
        <v>2200</v>
      </c>
      <c r="H21" t="str">
        <f t="shared" si="0"/>
        <v>2158,2172,2186,2200</v>
      </c>
    </row>
    <row r="22" spans="1:8" ht="16.5">
      <c r="A22" s="41">
        <v>2159</v>
      </c>
      <c r="B22" s="41" t="s">
        <v>253</v>
      </c>
      <c r="C22" s="37">
        <v>2173</v>
      </c>
      <c r="D22" s="41" t="s">
        <v>253</v>
      </c>
      <c r="E22" s="37">
        <v>2187</v>
      </c>
      <c r="F22" s="41" t="s">
        <v>253</v>
      </c>
      <c r="G22" s="37">
        <v>2201</v>
      </c>
      <c r="H22" t="str">
        <f t="shared" si="0"/>
        <v>2159,2173,2187,2201</v>
      </c>
    </row>
    <row r="23" spans="1:8" ht="16.5">
      <c r="A23" s="88">
        <v>2069</v>
      </c>
      <c r="B23" s="41" t="s">
        <v>253</v>
      </c>
      <c r="C23" s="88">
        <v>2070</v>
      </c>
      <c r="D23" s="41" t="s">
        <v>253</v>
      </c>
      <c r="E23" s="88">
        <v>2071</v>
      </c>
      <c r="F23" s="41" t="s">
        <v>253</v>
      </c>
      <c r="G23" s="88">
        <v>2072</v>
      </c>
      <c r="H23" t="str">
        <f t="shared" si="0"/>
        <v>2069,2070,2071,2072</v>
      </c>
    </row>
    <row r="24" spans="1:8" ht="16.5">
      <c r="A24" s="37">
        <v>2160</v>
      </c>
      <c r="B24" s="41" t="s">
        <v>253</v>
      </c>
      <c r="C24" s="37">
        <v>2174</v>
      </c>
      <c r="D24" s="41" t="s">
        <v>253</v>
      </c>
      <c r="E24" s="37">
        <v>2188</v>
      </c>
      <c r="F24" s="41" t="s">
        <v>253</v>
      </c>
      <c r="G24" s="37">
        <v>2202</v>
      </c>
      <c r="H24" t="str">
        <f t="shared" si="0"/>
        <v>2160,2174,2188,2202</v>
      </c>
    </row>
    <row r="25" spans="1:8" ht="16.5">
      <c r="A25" s="37">
        <v>2161</v>
      </c>
      <c r="B25" s="41" t="s">
        <v>253</v>
      </c>
      <c r="C25" s="37">
        <v>2175</v>
      </c>
      <c r="D25" s="41" t="s">
        <v>253</v>
      </c>
      <c r="E25" s="37">
        <v>2189</v>
      </c>
      <c r="F25" s="41" t="s">
        <v>253</v>
      </c>
      <c r="G25" s="37">
        <v>2203</v>
      </c>
      <c r="H25" t="str">
        <f t="shared" si="0"/>
        <v>2161,2175,2189,2203</v>
      </c>
    </row>
    <row r="26" spans="1:8" ht="16.5">
      <c r="A26" s="37">
        <v>2162</v>
      </c>
      <c r="B26" s="41" t="s">
        <v>253</v>
      </c>
      <c r="C26" s="37">
        <v>2176</v>
      </c>
      <c r="D26" s="41" t="s">
        <v>253</v>
      </c>
      <c r="E26" s="37">
        <v>2190</v>
      </c>
      <c r="F26" s="41" t="s">
        <v>253</v>
      </c>
      <c r="G26" s="37">
        <v>2204</v>
      </c>
      <c r="H26" t="str">
        <f t="shared" si="0"/>
        <v>2162,2176,2190,2204</v>
      </c>
    </row>
    <row r="27" spans="1:8" ht="16.5">
      <c r="A27" s="37">
        <v>2163</v>
      </c>
      <c r="B27" s="41" t="s">
        <v>253</v>
      </c>
      <c r="C27" s="37">
        <v>2177</v>
      </c>
      <c r="D27" s="41" t="s">
        <v>253</v>
      </c>
      <c r="E27" s="37">
        <v>2191</v>
      </c>
      <c r="F27" s="41" t="s">
        <v>253</v>
      </c>
      <c r="G27" s="37">
        <v>2205</v>
      </c>
      <c r="H27" t="str">
        <f t="shared" si="0"/>
        <v>2163,2177,2191,2205</v>
      </c>
    </row>
    <row r="28" spans="1:8" ht="16.5">
      <c r="A28" s="37">
        <v>2164</v>
      </c>
      <c r="B28" s="41" t="s">
        <v>253</v>
      </c>
      <c r="C28" s="37">
        <v>2178</v>
      </c>
      <c r="D28" s="41" t="s">
        <v>253</v>
      </c>
      <c r="E28" s="37">
        <v>2192</v>
      </c>
      <c r="F28" s="41" t="s">
        <v>253</v>
      </c>
      <c r="G28" s="37">
        <v>2206</v>
      </c>
      <c r="H28" t="str">
        <f t="shared" si="0"/>
        <v>2164,2178,2192,2206</v>
      </c>
    </row>
    <row r="29" spans="1:8" ht="16.5">
      <c r="A29" s="37">
        <v>2165</v>
      </c>
      <c r="B29" s="41" t="s">
        <v>253</v>
      </c>
      <c r="C29" s="37">
        <v>2179</v>
      </c>
      <c r="D29" s="41" t="s">
        <v>253</v>
      </c>
      <c r="E29" s="37">
        <v>2193</v>
      </c>
      <c r="F29" s="41" t="s">
        <v>253</v>
      </c>
      <c r="G29" s="37">
        <v>2207</v>
      </c>
      <c r="H29" t="str">
        <f t="shared" si="0"/>
        <v>2165,2179,2193,2207</v>
      </c>
    </row>
    <row r="30" spans="1:8" ht="16.5">
      <c r="A30" s="37">
        <v>2166</v>
      </c>
      <c r="B30" s="41" t="s">
        <v>253</v>
      </c>
      <c r="C30" s="37">
        <v>2180</v>
      </c>
      <c r="D30" s="41" t="s">
        <v>253</v>
      </c>
      <c r="E30" s="37">
        <v>2194</v>
      </c>
      <c r="F30" s="41" t="s">
        <v>253</v>
      </c>
      <c r="G30" s="37">
        <v>2208</v>
      </c>
      <c r="H30" t="str">
        <f t="shared" si="0"/>
        <v>2166,2180,2194,2208</v>
      </c>
    </row>
    <row r="31" spans="1:8" ht="16.5">
      <c r="A31" s="37">
        <v>2167</v>
      </c>
      <c r="B31" s="41" t="s">
        <v>253</v>
      </c>
      <c r="C31" s="37">
        <v>2181</v>
      </c>
      <c r="D31" s="41" t="s">
        <v>253</v>
      </c>
      <c r="E31" s="37">
        <v>2195</v>
      </c>
      <c r="F31" s="41" t="s">
        <v>253</v>
      </c>
      <c r="G31" s="37">
        <v>2209</v>
      </c>
      <c r="H31" t="str">
        <f t="shared" si="0"/>
        <v>2167,2181,2195,2209</v>
      </c>
    </row>
    <row r="32" spans="1:8" ht="16.5">
      <c r="A32" s="37">
        <v>2168</v>
      </c>
      <c r="B32" s="41" t="s">
        <v>253</v>
      </c>
      <c r="C32" s="37">
        <v>2182</v>
      </c>
      <c r="D32" s="41" t="s">
        <v>253</v>
      </c>
      <c r="E32" s="37">
        <v>2196</v>
      </c>
      <c r="F32" s="41" t="s">
        <v>253</v>
      </c>
      <c r="G32" s="37">
        <v>2210</v>
      </c>
      <c r="H32" t="str">
        <f t="shared" si="0"/>
        <v>2168,2182,2196,2210</v>
      </c>
    </row>
    <row r="33" spans="1:8" ht="16.5">
      <c r="A33" s="37">
        <v>2169</v>
      </c>
      <c r="B33" s="41" t="s">
        <v>253</v>
      </c>
      <c r="C33" s="37">
        <v>2183</v>
      </c>
      <c r="D33" s="41" t="s">
        <v>253</v>
      </c>
      <c r="E33" s="37">
        <v>2197</v>
      </c>
      <c r="F33" s="41" t="s">
        <v>253</v>
      </c>
      <c r="G33" s="37">
        <v>2211</v>
      </c>
      <c r="H33" t="str">
        <f t="shared" si="0"/>
        <v>2169,2183,2197,2211</v>
      </c>
    </row>
    <row r="34" spans="1:8" ht="16.5">
      <c r="B34" s="41" t="s">
        <v>253</v>
      </c>
      <c r="D34" s="41" t="s">
        <v>253</v>
      </c>
      <c r="F34" s="41" t="s">
        <v>253</v>
      </c>
      <c r="H34" s="117" t="str">
        <f t="shared" si="0"/>
        <v>,,,</v>
      </c>
    </row>
    <row r="35" spans="1:8" ht="16.5">
      <c r="A35" s="117" t="s">
        <v>1504</v>
      </c>
      <c r="B35" s="41" t="s">
        <v>253</v>
      </c>
      <c r="D35" s="41" t="s">
        <v>253</v>
      </c>
      <c r="F35" s="41" t="s">
        <v>253</v>
      </c>
      <c r="H35" s="117" t="str">
        <f t="shared" si="0"/>
        <v>降魔,,,</v>
      </c>
    </row>
    <row r="36" spans="1:8" ht="16.5">
      <c r="A36" s="37">
        <v>2212</v>
      </c>
      <c r="B36" s="41" t="s">
        <v>253</v>
      </c>
      <c r="C36" s="16">
        <v>2226</v>
      </c>
      <c r="D36" s="41" t="s">
        <v>253</v>
      </c>
      <c r="E36" s="16">
        <v>2240</v>
      </c>
      <c r="F36" s="41" t="s">
        <v>253</v>
      </c>
      <c r="G36" s="16">
        <v>2254</v>
      </c>
      <c r="H36" s="117" t="str">
        <f t="shared" si="0"/>
        <v>2212,2226,2240,2254</v>
      </c>
    </row>
    <row r="37" spans="1:8" ht="16.5">
      <c r="A37" s="37">
        <v>2213</v>
      </c>
      <c r="B37" s="41" t="s">
        <v>253</v>
      </c>
      <c r="C37" s="16">
        <v>2227</v>
      </c>
      <c r="D37" s="41" t="s">
        <v>253</v>
      </c>
      <c r="E37" s="16">
        <v>2241</v>
      </c>
      <c r="F37" s="41" t="s">
        <v>253</v>
      </c>
      <c r="G37" s="16">
        <v>2255</v>
      </c>
      <c r="H37" s="117" t="str">
        <f t="shared" si="0"/>
        <v>2213,2227,2241,2255</v>
      </c>
    </row>
    <row r="38" spans="1:8" ht="16.5">
      <c r="A38" s="37">
        <v>2214</v>
      </c>
      <c r="B38" s="41" t="s">
        <v>253</v>
      </c>
      <c r="C38" s="16">
        <v>2228</v>
      </c>
      <c r="D38" s="41" t="s">
        <v>253</v>
      </c>
      <c r="E38" s="16">
        <v>2242</v>
      </c>
      <c r="F38" s="41" t="s">
        <v>253</v>
      </c>
      <c r="G38" s="16">
        <v>2256</v>
      </c>
      <c r="H38" s="117" t="str">
        <f t="shared" si="0"/>
        <v>2214,2228,2242,2256</v>
      </c>
    </row>
    <row r="39" spans="1:8" ht="16.5">
      <c r="A39" s="37">
        <v>2215</v>
      </c>
      <c r="B39" s="41" t="s">
        <v>253</v>
      </c>
      <c r="C39" s="16">
        <v>2229</v>
      </c>
      <c r="D39" s="41" t="s">
        <v>253</v>
      </c>
      <c r="E39" s="16">
        <v>2243</v>
      </c>
      <c r="F39" s="41" t="s">
        <v>253</v>
      </c>
      <c r="G39" s="16">
        <v>2257</v>
      </c>
      <c r="H39" s="117" t="str">
        <f t="shared" si="0"/>
        <v>2215,2229,2243,2257</v>
      </c>
    </row>
    <row r="40" spans="1:8" ht="16.5">
      <c r="A40" s="88">
        <v>2065</v>
      </c>
      <c r="B40" s="41" t="s">
        <v>253</v>
      </c>
      <c r="C40" s="88">
        <v>2066</v>
      </c>
      <c r="D40" s="41" t="s">
        <v>253</v>
      </c>
      <c r="E40" s="88">
        <v>2067</v>
      </c>
      <c r="F40" s="41" t="s">
        <v>253</v>
      </c>
      <c r="G40" s="88">
        <v>2068</v>
      </c>
      <c r="H40" s="117" t="str">
        <f t="shared" si="0"/>
        <v>2065,2066,2067,2068</v>
      </c>
    </row>
    <row r="41" spans="1:8" ht="16.5">
      <c r="A41" s="16">
        <v>2216</v>
      </c>
      <c r="B41" s="41" t="s">
        <v>253</v>
      </c>
      <c r="C41" s="16">
        <v>2230</v>
      </c>
      <c r="D41" s="41" t="s">
        <v>253</v>
      </c>
      <c r="E41" s="16">
        <v>2244</v>
      </c>
      <c r="F41" s="41" t="s">
        <v>253</v>
      </c>
      <c r="G41" s="16">
        <v>2258</v>
      </c>
      <c r="H41" s="117" t="str">
        <f t="shared" si="0"/>
        <v>2216,2230,2244,2258</v>
      </c>
    </row>
    <row r="42" spans="1:8" ht="16.5">
      <c r="A42" s="16">
        <v>2217</v>
      </c>
      <c r="B42" s="41" t="s">
        <v>253</v>
      </c>
      <c r="C42" s="16">
        <v>2231</v>
      </c>
      <c r="D42" s="41" t="s">
        <v>253</v>
      </c>
      <c r="E42" s="16">
        <v>2245</v>
      </c>
      <c r="F42" s="41" t="s">
        <v>253</v>
      </c>
      <c r="G42" s="16">
        <v>2259</v>
      </c>
      <c r="H42" s="117" t="str">
        <f t="shared" si="0"/>
        <v>2217,2231,2245,2259</v>
      </c>
    </row>
    <row r="43" spans="1:8" ht="16.5">
      <c r="A43" s="16">
        <v>2218</v>
      </c>
      <c r="B43" s="41" t="s">
        <v>253</v>
      </c>
      <c r="C43" s="16">
        <v>2232</v>
      </c>
      <c r="D43" s="41" t="s">
        <v>253</v>
      </c>
      <c r="E43" s="16">
        <v>2246</v>
      </c>
      <c r="F43" s="41" t="s">
        <v>253</v>
      </c>
      <c r="G43" s="16">
        <v>2260</v>
      </c>
      <c r="H43" s="117" t="str">
        <f t="shared" si="0"/>
        <v>2218,2232,2246,2260</v>
      </c>
    </row>
    <row r="44" spans="1:8" ht="16.5">
      <c r="A44" s="16">
        <v>2219</v>
      </c>
      <c r="B44" s="41" t="s">
        <v>253</v>
      </c>
      <c r="C44" s="16">
        <v>2233</v>
      </c>
      <c r="D44" s="41" t="s">
        <v>253</v>
      </c>
      <c r="E44" s="16">
        <v>2247</v>
      </c>
      <c r="F44" s="41" t="s">
        <v>253</v>
      </c>
      <c r="G44" s="16">
        <v>2261</v>
      </c>
      <c r="H44" s="117" t="str">
        <f t="shared" si="0"/>
        <v>2219,2233,2247,2261</v>
      </c>
    </row>
    <row r="45" spans="1:8" ht="16.5">
      <c r="A45" s="16">
        <v>2220</v>
      </c>
      <c r="B45" s="41" t="s">
        <v>253</v>
      </c>
      <c r="C45" s="16">
        <v>2234</v>
      </c>
      <c r="D45" s="41" t="s">
        <v>253</v>
      </c>
      <c r="E45" s="16">
        <v>2248</v>
      </c>
      <c r="F45" s="41" t="s">
        <v>253</v>
      </c>
      <c r="G45" s="16">
        <v>2262</v>
      </c>
      <c r="H45" s="117" t="str">
        <f t="shared" si="0"/>
        <v>2220,2234,2248,2262</v>
      </c>
    </row>
    <row r="46" spans="1:8" ht="16.5">
      <c r="A46" s="16">
        <v>2221</v>
      </c>
      <c r="B46" s="41" t="s">
        <v>253</v>
      </c>
      <c r="C46" s="16">
        <v>2235</v>
      </c>
      <c r="D46" s="41" t="s">
        <v>253</v>
      </c>
      <c r="E46" s="16">
        <v>2249</v>
      </c>
      <c r="F46" s="41" t="s">
        <v>253</v>
      </c>
      <c r="G46" s="16">
        <v>2263</v>
      </c>
      <c r="H46" s="117" t="str">
        <f t="shared" si="0"/>
        <v>2221,2235,2249,2263</v>
      </c>
    </row>
    <row r="47" spans="1:8" ht="16.5">
      <c r="A47" s="16">
        <v>2222</v>
      </c>
      <c r="B47" s="41" t="s">
        <v>253</v>
      </c>
      <c r="C47" s="16">
        <v>2236</v>
      </c>
      <c r="D47" s="41" t="s">
        <v>253</v>
      </c>
      <c r="E47" s="16">
        <v>2250</v>
      </c>
      <c r="F47" s="41" t="s">
        <v>253</v>
      </c>
      <c r="G47" s="16">
        <v>2264</v>
      </c>
      <c r="H47" s="117" t="str">
        <f t="shared" si="0"/>
        <v>2222,2236,2250,2264</v>
      </c>
    </row>
    <row r="48" spans="1:8" ht="16.5">
      <c r="A48" s="16">
        <v>2223</v>
      </c>
      <c r="B48" s="41" t="s">
        <v>253</v>
      </c>
      <c r="C48" s="16">
        <v>2237</v>
      </c>
      <c r="D48" s="41" t="s">
        <v>253</v>
      </c>
      <c r="E48" s="16">
        <v>2251</v>
      </c>
      <c r="F48" s="41" t="s">
        <v>253</v>
      </c>
      <c r="G48" s="16">
        <v>2265</v>
      </c>
      <c r="H48" s="117" t="str">
        <f t="shared" si="0"/>
        <v>2223,2237,2251,2265</v>
      </c>
    </row>
    <row r="49" spans="1:8" ht="16.5">
      <c r="A49" s="16">
        <v>2224</v>
      </c>
      <c r="B49" s="41" t="s">
        <v>253</v>
      </c>
      <c r="C49" s="16">
        <v>2238</v>
      </c>
      <c r="D49" s="41" t="s">
        <v>253</v>
      </c>
      <c r="E49" s="16">
        <v>2252</v>
      </c>
      <c r="F49" s="41" t="s">
        <v>253</v>
      </c>
      <c r="G49" s="16">
        <v>2266</v>
      </c>
      <c r="H49" s="117" t="str">
        <f t="shared" si="0"/>
        <v>2224,2238,2252,2266</v>
      </c>
    </row>
    <row r="50" spans="1:8" ht="16.5">
      <c r="A50" s="16">
        <v>2225</v>
      </c>
      <c r="B50" s="41" t="s">
        <v>253</v>
      </c>
      <c r="C50" s="16">
        <v>2239</v>
      </c>
      <c r="D50" s="41" t="s">
        <v>253</v>
      </c>
      <c r="E50" s="16">
        <v>2253</v>
      </c>
      <c r="F50" s="41" t="s">
        <v>253</v>
      </c>
      <c r="G50" s="16">
        <v>2267</v>
      </c>
      <c r="H50" s="122" t="str">
        <f t="shared" si="0"/>
        <v>2225,2239,2253,2267</v>
      </c>
    </row>
    <row r="51" spans="1:8" ht="16.5">
      <c r="B51" s="41" t="s">
        <v>253</v>
      </c>
      <c r="D51" s="41" t="s">
        <v>253</v>
      </c>
      <c r="F51" s="41" t="s">
        <v>253</v>
      </c>
      <c r="H51" s="122" t="str">
        <f t="shared" si="0"/>
        <v>,,,</v>
      </c>
    </row>
    <row r="52" spans="1:8" ht="16.5">
      <c r="A52" s="117" t="s">
        <v>1505</v>
      </c>
      <c r="B52" s="41" t="s">
        <v>253</v>
      </c>
      <c r="D52" s="41" t="s">
        <v>253</v>
      </c>
      <c r="F52" s="41" t="s">
        <v>253</v>
      </c>
      <c r="H52" s="122" t="str">
        <f t="shared" si="0"/>
        <v>磐石,,,</v>
      </c>
    </row>
    <row r="53" spans="1:8" ht="16.5">
      <c r="A53" s="45">
        <v>2324</v>
      </c>
      <c r="B53" s="41" t="s">
        <v>253</v>
      </c>
      <c r="C53" s="80">
        <v>2338</v>
      </c>
      <c r="D53" s="41" t="s">
        <v>253</v>
      </c>
      <c r="E53" s="80">
        <v>2352</v>
      </c>
      <c r="F53" s="41" t="s">
        <v>253</v>
      </c>
      <c r="G53" s="80">
        <v>2366</v>
      </c>
      <c r="H53" s="122" t="str">
        <f t="shared" si="0"/>
        <v>2324,2338,2352,2366</v>
      </c>
    </row>
    <row r="54" spans="1:8" ht="16.5">
      <c r="A54" s="45">
        <v>2325</v>
      </c>
      <c r="B54" s="41" t="s">
        <v>253</v>
      </c>
      <c r="C54" s="80">
        <v>2339</v>
      </c>
      <c r="D54" s="41" t="s">
        <v>253</v>
      </c>
      <c r="E54" s="80">
        <v>2353</v>
      </c>
      <c r="F54" s="41" t="s">
        <v>253</v>
      </c>
      <c r="G54" s="80">
        <v>2367</v>
      </c>
      <c r="H54" s="122" t="str">
        <f t="shared" si="0"/>
        <v>2325,2339,2353,2367</v>
      </c>
    </row>
    <row r="55" spans="1:8" ht="16.5">
      <c r="A55" s="94">
        <v>2049</v>
      </c>
      <c r="B55" s="41" t="s">
        <v>253</v>
      </c>
      <c r="C55" s="94">
        <v>2050</v>
      </c>
      <c r="D55" s="41" t="s">
        <v>253</v>
      </c>
      <c r="E55" s="94">
        <v>2051</v>
      </c>
      <c r="F55" s="41" t="s">
        <v>253</v>
      </c>
      <c r="G55" s="94">
        <v>2052</v>
      </c>
      <c r="H55" s="122" t="str">
        <f t="shared" si="0"/>
        <v>2049,2050,2051,2052</v>
      </c>
    </row>
    <row r="56" spans="1:8" ht="16.5">
      <c r="A56" s="80">
        <v>2326</v>
      </c>
      <c r="B56" s="41" t="s">
        <v>253</v>
      </c>
      <c r="C56" s="80">
        <v>2340</v>
      </c>
      <c r="D56" s="41" t="s">
        <v>253</v>
      </c>
      <c r="E56" s="80">
        <v>2354</v>
      </c>
      <c r="F56" s="41" t="s">
        <v>253</v>
      </c>
      <c r="G56" s="80">
        <v>2368</v>
      </c>
      <c r="H56" s="122" t="str">
        <f t="shared" si="0"/>
        <v>2326,2340,2354,2368</v>
      </c>
    </row>
    <row r="57" spans="1:8" ht="16.5">
      <c r="A57" s="80">
        <v>2327</v>
      </c>
      <c r="B57" s="41" t="s">
        <v>253</v>
      </c>
      <c r="C57" s="80">
        <v>2341</v>
      </c>
      <c r="D57" s="41" t="s">
        <v>253</v>
      </c>
      <c r="E57" s="80">
        <v>2355</v>
      </c>
      <c r="F57" s="41" t="s">
        <v>253</v>
      </c>
      <c r="G57" s="80">
        <v>2369</v>
      </c>
      <c r="H57" s="122" t="str">
        <f t="shared" si="0"/>
        <v>2327,2341,2355,2369</v>
      </c>
    </row>
    <row r="58" spans="1:8" ht="16.5">
      <c r="A58" s="80">
        <v>2328</v>
      </c>
      <c r="B58" s="41" t="s">
        <v>253</v>
      </c>
      <c r="C58" s="80">
        <v>2342</v>
      </c>
      <c r="D58" s="41" t="s">
        <v>253</v>
      </c>
      <c r="E58" s="80">
        <v>2356</v>
      </c>
      <c r="F58" s="41" t="s">
        <v>253</v>
      </c>
      <c r="G58" s="80">
        <v>2370</v>
      </c>
      <c r="H58" s="122" t="str">
        <f t="shared" si="0"/>
        <v>2328,2342,2356,2370</v>
      </c>
    </row>
    <row r="59" spans="1:8" ht="16.5">
      <c r="A59" s="80">
        <v>2329</v>
      </c>
      <c r="B59" s="41" t="s">
        <v>253</v>
      </c>
      <c r="C59" s="80">
        <v>2343</v>
      </c>
      <c r="D59" s="41" t="s">
        <v>253</v>
      </c>
      <c r="E59" s="80">
        <v>2357</v>
      </c>
      <c r="F59" s="41" t="s">
        <v>253</v>
      </c>
      <c r="G59" s="80">
        <v>2371</v>
      </c>
      <c r="H59" s="122" t="str">
        <f t="shared" si="0"/>
        <v>2329,2343,2357,2371</v>
      </c>
    </row>
    <row r="60" spans="1:8" ht="16.5">
      <c r="A60" s="80">
        <v>2330</v>
      </c>
      <c r="B60" s="41" t="s">
        <v>253</v>
      </c>
      <c r="C60" s="80">
        <v>2344</v>
      </c>
      <c r="D60" s="41" t="s">
        <v>253</v>
      </c>
      <c r="E60" s="80">
        <v>2358</v>
      </c>
      <c r="F60" s="41" t="s">
        <v>253</v>
      </c>
      <c r="G60" s="80">
        <v>2372</v>
      </c>
      <c r="H60" s="122" t="str">
        <f t="shared" si="0"/>
        <v>2330,2344,2358,2372</v>
      </c>
    </row>
    <row r="61" spans="1:8" ht="16.5">
      <c r="A61" s="80">
        <v>2331</v>
      </c>
      <c r="B61" s="41" t="s">
        <v>253</v>
      </c>
      <c r="C61" s="80">
        <v>2345</v>
      </c>
      <c r="D61" s="41" t="s">
        <v>253</v>
      </c>
      <c r="E61" s="80">
        <v>2359</v>
      </c>
      <c r="F61" s="41" t="s">
        <v>253</v>
      </c>
      <c r="G61" s="80">
        <v>2373</v>
      </c>
      <c r="H61" s="122" t="str">
        <f t="shared" si="0"/>
        <v>2331,2345,2359,2373</v>
      </c>
    </row>
    <row r="62" spans="1:8" ht="16.5">
      <c r="A62" s="80">
        <v>2332</v>
      </c>
      <c r="B62" s="41" t="s">
        <v>253</v>
      </c>
      <c r="C62" s="80">
        <v>2346</v>
      </c>
      <c r="D62" s="41" t="s">
        <v>253</v>
      </c>
      <c r="E62" s="80">
        <v>2360</v>
      </c>
      <c r="F62" s="41" t="s">
        <v>253</v>
      </c>
      <c r="G62" s="80">
        <v>2374</v>
      </c>
      <c r="H62" s="122" t="str">
        <f t="shared" si="0"/>
        <v>2332,2346,2360,2374</v>
      </c>
    </row>
    <row r="63" spans="1:8" ht="16.5">
      <c r="A63" s="80">
        <v>2333</v>
      </c>
      <c r="B63" s="41" t="s">
        <v>253</v>
      </c>
      <c r="C63" s="80">
        <v>2347</v>
      </c>
      <c r="D63" s="41" t="s">
        <v>253</v>
      </c>
      <c r="E63" s="80">
        <v>2361</v>
      </c>
      <c r="F63" s="41" t="s">
        <v>253</v>
      </c>
      <c r="G63" s="80">
        <v>2375</v>
      </c>
      <c r="H63" s="122" t="str">
        <f t="shared" si="0"/>
        <v>2333,2347,2361,2375</v>
      </c>
    </row>
    <row r="64" spans="1:8" ht="16.5">
      <c r="A64" s="80">
        <v>2334</v>
      </c>
      <c r="B64" s="41" t="s">
        <v>253</v>
      </c>
      <c r="C64" s="80">
        <v>2348</v>
      </c>
      <c r="D64" s="41" t="s">
        <v>253</v>
      </c>
      <c r="E64" s="80">
        <v>2362</v>
      </c>
      <c r="F64" s="41" t="s">
        <v>253</v>
      </c>
      <c r="G64" s="80">
        <v>2376</v>
      </c>
      <c r="H64" s="122" t="str">
        <f t="shared" si="0"/>
        <v>2334,2348,2362,2376</v>
      </c>
    </row>
    <row r="65" spans="1:8" ht="16.5">
      <c r="A65" s="80">
        <v>2335</v>
      </c>
      <c r="B65" s="41" t="s">
        <v>253</v>
      </c>
      <c r="C65" s="80">
        <v>2349</v>
      </c>
      <c r="D65" s="41" t="s">
        <v>253</v>
      </c>
      <c r="E65" s="80">
        <v>2363</v>
      </c>
      <c r="F65" s="41" t="s">
        <v>253</v>
      </c>
      <c r="G65" s="80">
        <v>2377</v>
      </c>
      <c r="H65" s="122" t="str">
        <f t="shared" si="0"/>
        <v>2335,2349,2363,2377</v>
      </c>
    </row>
    <row r="66" spans="1:8" ht="16.5">
      <c r="A66" s="80">
        <v>2336</v>
      </c>
      <c r="B66" s="41" t="s">
        <v>253</v>
      </c>
      <c r="C66" s="80">
        <v>2350</v>
      </c>
      <c r="D66" s="41" t="s">
        <v>253</v>
      </c>
      <c r="E66" s="80">
        <v>2364</v>
      </c>
      <c r="F66" s="41" t="s">
        <v>253</v>
      </c>
      <c r="G66" s="80">
        <v>2378</v>
      </c>
      <c r="H66" s="122" t="str">
        <f t="shared" ref="H66:H84" si="1">A66&amp;B66&amp;C66&amp;D66&amp;E66&amp;F66&amp;G66</f>
        <v>2336,2350,2364,2378</v>
      </c>
    </row>
    <row r="67" spans="1:8" ht="16.5">
      <c r="A67" s="80">
        <v>2337</v>
      </c>
      <c r="B67" s="41" t="s">
        <v>253</v>
      </c>
      <c r="C67" s="80">
        <v>2351</v>
      </c>
      <c r="D67" s="41" t="s">
        <v>253</v>
      </c>
      <c r="E67" s="80">
        <v>2365</v>
      </c>
      <c r="F67" s="41" t="s">
        <v>253</v>
      </c>
      <c r="G67" s="80">
        <v>2379</v>
      </c>
      <c r="H67" s="122" t="str">
        <f t="shared" si="1"/>
        <v>2337,2351,2365,2379</v>
      </c>
    </row>
    <row r="68" spans="1:8" ht="16.5">
      <c r="B68" s="41" t="s">
        <v>253</v>
      </c>
      <c r="D68" s="41" t="s">
        <v>253</v>
      </c>
      <c r="F68" s="41" t="s">
        <v>253</v>
      </c>
      <c r="H68" s="127" t="str">
        <f t="shared" si="1"/>
        <v>,,,</v>
      </c>
    </row>
    <row r="69" spans="1:8" ht="16.5">
      <c r="B69" s="41" t="s">
        <v>253</v>
      </c>
      <c r="D69" s="41" t="s">
        <v>253</v>
      </c>
      <c r="F69" s="41" t="s">
        <v>253</v>
      </c>
      <c r="H69" s="127" t="str">
        <f t="shared" si="1"/>
        <v>,,,</v>
      </c>
    </row>
    <row r="70" spans="1:8" ht="16.5">
      <c r="A70" s="77">
        <v>2660</v>
      </c>
      <c r="B70" s="41" t="s">
        <v>253</v>
      </c>
      <c r="C70" s="77">
        <v>2674</v>
      </c>
      <c r="D70" s="41" t="s">
        <v>253</v>
      </c>
      <c r="E70" s="77">
        <v>2688</v>
      </c>
      <c r="F70" s="41" t="s">
        <v>253</v>
      </c>
      <c r="G70" s="77">
        <v>2702</v>
      </c>
      <c r="H70" s="127" t="str">
        <f t="shared" si="1"/>
        <v>2660,2674,2688,2702</v>
      </c>
    </row>
    <row r="71" spans="1:8" ht="16.5">
      <c r="A71" s="77">
        <v>2661</v>
      </c>
      <c r="B71" s="41" t="s">
        <v>253</v>
      </c>
      <c r="C71" s="77">
        <v>2675</v>
      </c>
      <c r="D71" s="41" t="s">
        <v>253</v>
      </c>
      <c r="E71" s="77">
        <v>2689</v>
      </c>
      <c r="F71" s="41" t="s">
        <v>253</v>
      </c>
      <c r="G71" s="77">
        <v>2703</v>
      </c>
      <c r="H71" s="127" t="str">
        <f t="shared" si="1"/>
        <v>2661,2675,2689,2703</v>
      </c>
    </row>
    <row r="72" spans="1:8" ht="16.5">
      <c r="A72" s="108">
        <v>2045</v>
      </c>
      <c r="B72" s="41" t="s">
        <v>253</v>
      </c>
      <c r="C72" s="108">
        <v>2046</v>
      </c>
      <c r="D72" s="41" t="s">
        <v>253</v>
      </c>
      <c r="E72" s="108">
        <v>2047</v>
      </c>
      <c r="F72" s="41" t="s">
        <v>253</v>
      </c>
      <c r="G72" s="108">
        <v>2048</v>
      </c>
      <c r="H72" s="127" t="str">
        <f t="shared" si="1"/>
        <v>2045,2046,2047,2048</v>
      </c>
    </row>
    <row r="73" spans="1:8" ht="16.5">
      <c r="A73" s="77">
        <v>2662</v>
      </c>
      <c r="B73" s="41" t="s">
        <v>253</v>
      </c>
      <c r="C73" s="77">
        <v>2676</v>
      </c>
      <c r="D73" s="41" t="s">
        <v>253</v>
      </c>
      <c r="E73" s="77">
        <v>2690</v>
      </c>
      <c r="F73" s="41" t="s">
        <v>253</v>
      </c>
      <c r="G73" s="77">
        <v>2704</v>
      </c>
      <c r="H73" s="127" t="str">
        <f t="shared" si="1"/>
        <v>2662,2676,2690,2704</v>
      </c>
    </row>
    <row r="74" spans="1:8" ht="16.5">
      <c r="A74" s="77">
        <v>2663</v>
      </c>
      <c r="B74" s="41" t="s">
        <v>253</v>
      </c>
      <c r="C74" s="77">
        <v>2677</v>
      </c>
      <c r="D74" s="41" t="s">
        <v>253</v>
      </c>
      <c r="E74" s="77">
        <v>2691</v>
      </c>
      <c r="F74" s="41" t="s">
        <v>253</v>
      </c>
      <c r="G74" s="77">
        <v>2705</v>
      </c>
      <c r="H74" s="127" t="str">
        <f t="shared" si="1"/>
        <v>2663,2677,2691,2705</v>
      </c>
    </row>
    <row r="75" spans="1:8" ht="16.5">
      <c r="A75" s="77">
        <v>2664</v>
      </c>
      <c r="B75" s="41" t="s">
        <v>253</v>
      </c>
      <c r="C75" s="77">
        <v>2678</v>
      </c>
      <c r="D75" s="41" t="s">
        <v>253</v>
      </c>
      <c r="E75" s="77">
        <v>2692</v>
      </c>
      <c r="F75" s="41" t="s">
        <v>253</v>
      </c>
      <c r="G75" s="77">
        <v>2706</v>
      </c>
      <c r="H75" s="127" t="str">
        <f t="shared" si="1"/>
        <v>2664,2678,2692,2706</v>
      </c>
    </row>
    <row r="76" spans="1:8" ht="16.5">
      <c r="A76" s="77">
        <v>2665</v>
      </c>
      <c r="B76" s="41" t="s">
        <v>253</v>
      </c>
      <c r="C76" s="77">
        <v>2679</v>
      </c>
      <c r="D76" s="41" t="s">
        <v>253</v>
      </c>
      <c r="E76" s="77">
        <v>2693</v>
      </c>
      <c r="F76" s="41" t="s">
        <v>253</v>
      </c>
      <c r="G76" s="77">
        <v>2707</v>
      </c>
      <c r="H76" s="127" t="str">
        <f t="shared" si="1"/>
        <v>2665,2679,2693,2707</v>
      </c>
    </row>
    <row r="77" spans="1:8" ht="16.5">
      <c r="A77" s="77">
        <v>2666</v>
      </c>
      <c r="B77" s="41" t="s">
        <v>253</v>
      </c>
      <c r="C77" s="77">
        <v>2680</v>
      </c>
      <c r="D77" s="41" t="s">
        <v>253</v>
      </c>
      <c r="E77" s="77">
        <v>2694</v>
      </c>
      <c r="F77" s="41" t="s">
        <v>253</v>
      </c>
      <c r="G77" s="77">
        <v>2708</v>
      </c>
      <c r="H77" s="127" t="str">
        <f t="shared" si="1"/>
        <v>2666,2680,2694,2708</v>
      </c>
    </row>
    <row r="78" spans="1:8" ht="16.5">
      <c r="A78" s="77">
        <v>2667</v>
      </c>
      <c r="B78" s="41" t="s">
        <v>253</v>
      </c>
      <c r="C78" s="77">
        <v>2681</v>
      </c>
      <c r="D78" s="41" t="s">
        <v>253</v>
      </c>
      <c r="E78" s="77">
        <v>2695</v>
      </c>
      <c r="F78" s="41" t="s">
        <v>253</v>
      </c>
      <c r="G78" s="77">
        <v>2709</v>
      </c>
      <c r="H78" s="127" t="str">
        <f t="shared" si="1"/>
        <v>2667,2681,2695,2709</v>
      </c>
    </row>
    <row r="79" spans="1:8" ht="16.5">
      <c r="A79" s="77">
        <v>2668</v>
      </c>
      <c r="B79" s="41" t="s">
        <v>253</v>
      </c>
      <c r="C79" s="77">
        <v>2682</v>
      </c>
      <c r="D79" s="41" t="s">
        <v>253</v>
      </c>
      <c r="E79" s="77">
        <v>2696</v>
      </c>
      <c r="F79" s="41" t="s">
        <v>253</v>
      </c>
      <c r="G79" s="77">
        <v>2710</v>
      </c>
      <c r="H79" s="127" t="str">
        <f t="shared" si="1"/>
        <v>2668,2682,2696,2710</v>
      </c>
    </row>
    <row r="80" spans="1:8" ht="16.5">
      <c r="A80" s="77">
        <v>2669</v>
      </c>
      <c r="B80" s="41" t="s">
        <v>253</v>
      </c>
      <c r="C80" s="77">
        <v>2683</v>
      </c>
      <c r="D80" s="41" t="s">
        <v>253</v>
      </c>
      <c r="E80" s="77">
        <v>2697</v>
      </c>
      <c r="F80" s="41" t="s">
        <v>253</v>
      </c>
      <c r="G80" s="77">
        <v>2711</v>
      </c>
      <c r="H80" s="127" t="str">
        <f t="shared" si="1"/>
        <v>2669,2683,2697,2711</v>
      </c>
    </row>
    <row r="81" spans="1:8" ht="16.5">
      <c r="A81" s="77">
        <v>2670</v>
      </c>
      <c r="B81" s="41" t="s">
        <v>253</v>
      </c>
      <c r="C81" s="77">
        <v>2684</v>
      </c>
      <c r="D81" s="41" t="s">
        <v>253</v>
      </c>
      <c r="E81" s="77">
        <v>2698</v>
      </c>
      <c r="F81" s="41" t="s">
        <v>253</v>
      </c>
      <c r="G81" s="77">
        <v>2712</v>
      </c>
      <c r="H81" s="127" t="str">
        <f t="shared" si="1"/>
        <v>2670,2684,2698,2712</v>
      </c>
    </row>
    <row r="82" spans="1:8" ht="16.5">
      <c r="A82" s="77">
        <v>2671</v>
      </c>
      <c r="B82" s="41" t="s">
        <v>253</v>
      </c>
      <c r="C82" s="77">
        <v>2685</v>
      </c>
      <c r="D82" s="41" t="s">
        <v>253</v>
      </c>
      <c r="E82" s="77">
        <v>2699</v>
      </c>
      <c r="F82" s="41" t="s">
        <v>253</v>
      </c>
      <c r="G82" s="77">
        <v>2713</v>
      </c>
      <c r="H82" s="127" t="str">
        <f t="shared" si="1"/>
        <v>2671,2685,2699,2713</v>
      </c>
    </row>
    <row r="83" spans="1:8" ht="16.5">
      <c r="A83" s="77">
        <v>2672</v>
      </c>
      <c r="B83" s="41" t="s">
        <v>253</v>
      </c>
      <c r="C83" s="77">
        <v>2686</v>
      </c>
      <c r="D83" s="41" t="s">
        <v>253</v>
      </c>
      <c r="E83" s="77">
        <v>2700</v>
      </c>
      <c r="F83" s="41" t="s">
        <v>253</v>
      </c>
      <c r="G83" s="77">
        <v>2714</v>
      </c>
      <c r="H83" s="127" t="str">
        <f t="shared" si="1"/>
        <v>2672,2686,2700,2714</v>
      </c>
    </row>
    <row r="84" spans="1:8" ht="16.5">
      <c r="A84" s="77">
        <v>2673</v>
      </c>
      <c r="B84" s="41" t="s">
        <v>253</v>
      </c>
      <c r="C84" s="77">
        <v>2687</v>
      </c>
      <c r="D84" s="41" t="s">
        <v>253</v>
      </c>
      <c r="E84" s="77">
        <v>2701</v>
      </c>
      <c r="F84" s="41" t="s">
        <v>253</v>
      </c>
      <c r="G84" s="77">
        <v>2715</v>
      </c>
      <c r="H84" s="127" t="str">
        <f t="shared" si="1"/>
        <v>2673,2687,2701,2715</v>
      </c>
    </row>
  </sheetData>
  <dataConsolidate/>
  <phoneticPr fontId="5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2018-03-05T18:11:36Z</dcterms:modified>
</cp:coreProperties>
</file>