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60" windowWidth="21840" windowHeight="12990"/>
  </bookViews>
  <sheets>
    <sheet name="Sheet1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T84" i="2" l="1"/>
  <c r="S84" i="2"/>
  <c r="R84" i="2"/>
  <c r="Q84" i="2"/>
  <c r="T83" i="2"/>
  <c r="S83" i="2"/>
  <c r="R83" i="2"/>
  <c r="Q83" i="2"/>
  <c r="T82" i="2" l="1"/>
  <c r="S82" i="2"/>
  <c r="R82" i="2"/>
  <c r="Q82" i="2"/>
  <c r="T81" i="2" l="1"/>
  <c r="S81" i="2"/>
  <c r="R81" i="2"/>
  <c r="Q81" i="2"/>
  <c r="T80" i="2"/>
  <c r="S80" i="2"/>
  <c r="R80" i="2"/>
  <c r="Q80" i="2"/>
  <c r="T79" i="2" l="1"/>
  <c r="S79" i="2"/>
  <c r="R79" i="2"/>
  <c r="Q79" i="2"/>
  <c r="R78" i="2"/>
  <c r="T78" i="2"/>
  <c r="S78" i="2"/>
  <c r="Q78" i="2"/>
  <c r="T77" i="2"/>
  <c r="S77" i="2"/>
  <c r="R77" i="2"/>
  <c r="Q77" i="2"/>
  <c r="T76" i="2"/>
  <c r="S76" i="2"/>
  <c r="R76" i="2"/>
  <c r="Q76" i="2"/>
  <c r="T75" i="2"/>
  <c r="R75" i="2"/>
  <c r="S75" i="2"/>
  <c r="Q75" i="2"/>
  <c r="Q74" i="2"/>
  <c r="T74" i="2"/>
  <c r="S74" i="2"/>
  <c r="T73" i="2"/>
  <c r="S73" i="2"/>
  <c r="R73" i="2"/>
  <c r="Q73" i="2"/>
  <c r="T72" i="2"/>
  <c r="S72" i="2"/>
  <c r="R72" i="2"/>
  <c r="Q72" i="2"/>
  <c r="T71" i="2"/>
  <c r="S71" i="2"/>
  <c r="R71" i="2"/>
  <c r="Q71" i="2"/>
  <c r="R74" i="2" l="1"/>
  <c r="T70" i="2"/>
  <c r="S70" i="2"/>
  <c r="R70" i="2"/>
  <c r="Q70" i="2"/>
  <c r="Q69" i="2"/>
  <c r="R69" i="2"/>
  <c r="S69" i="2"/>
  <c r="T69" i="2"/>
  <c r="T68" i="2"/>
  <c r="S68" i="2"/>
  <c r="R68" i="2"/>
  <c r="Q68" i="2"/>
  <c r="T67" i="2"/>
  <c r="S67" i="2"/>
  <c r="R67" i="2"/>
  <c r="Q67" i="2"/>
  <c r="T60" i="2"/>
  <c r="S60" i="2"/>
  <c r="R60" i="2"/>
  <c r="Q60" i="2"/>
  <c r="T59" i="2"/>
  <c r="S59" i="2"/>
  <c r="R59" i="2"/>
  <c r="Q59" i="2"/>
  <c r="T58" i="2"/>
  <c r="S58" i="2"/>
  <c r="R58" i="2"/>
  <c r="Q58" i="2"/>
  <c r="T57" i="2"/>
  <c r="S57" i="2"/>
  <c r="R57" i="2"/>
  <c r="Q57" i="2"/>
  <c r="T66" i="2"/>
  <c r="S66" i="2"/>
  <c r="R66" i="2"/>
  <c r="Q66" i="2"/>
  <c r="T65" i="2"/>
  <c r="S65" i="2"/>
  <c r="R65" i="2"/>
  <c r="Q65" i="2"/>
  <c r="T63" i="2"/>
  <c r="S63" i="2"/>
  <c r="R63" i="2"/>
  <c r="Q63" i="2"/>
  <c r="T62" i="2"/>
  <c r="S62" i="2"/>
  <c r="R62" i="2"/>
  <c r="Q62" i="2"/>
  <c r="T41" i="2"/>
  <c r="S41" i="2"/>
  <c r="R41" i="2"/>
  <c r="Q41" i="2"/>
  <c r="T40" i="2"/>
  <c r="S40" i="2"/>
  <c r="R40" i="2"/>
  <c r="Q40" i="2"/>
  <c r="T39" i="2"/>
  <c r="S39" i="2"/>
  <c r="R39" i="2"/>
  <c r="Q39" i="2"/>
  <c r="T38" i="2"/>
  <c r="S38" i="2"/>
  <c r="R38" i="2"/>
  <c r="Q38" i="2"/>
  <c r="T37" i="2"/>
  <c r="S37" i="2"/>
  <c r="R37" i="2"/>
  <c r="Q37" i="2"/>
  <c r="T36" i="2"/>
  <c r="S36" i="2"/>
  <c r="R36" i="2"/>
  <c r="Q36" i="2"/>
  <c r="T35" i="2"/>
  <c r="S35" i="2"/>
  <c r="R35" i="2"/>
  <c r="Q35" i="2"/>
  <c r="T34" i="2"/>
  <c r="S34" i="2"/>
  <c r="R34" i="2"/>
  <c r="Q34" i="2"/>
  <c r="T33" i="2"/>
  <c r="S33" i="2"/>
  <c r="R33" i="2"/>
  <c r="Q33" i="2"/>
  <c r="T32" i="2"/>
  <c r="S32" i="2"/>
  <c r="R32" i="2"/>
  <c r="Q32" i="2"/>
  <c r="T31" i="2"/>
  <c r="S31" i="2"/>
  <c r="R31" i="2"/>
  <c r="Q31" i="2"/>
  <c r="T30" i="2"/>
  <c r="S30" i="2"/>
  <c r="R30" i="2"/>
  <c r="Q30" i="2"/>
  <c r="T29" i="2"/>
  <c r="S29" i="2"/>
  <c r="R29" i="2"/>
  <c r="Q29" i="2"/>
  <c r="T28" i="2"/>
  <c r="S28" i="2"/>
  <c r="R28" i="2"/>
  <c r="Q28" i="2"/>
  <c r="T6" i="2"/>
  <c r="S6" i="2"/>
  <c r="R6" i="2"/>
  <c r="Q6" i="2"/>
  <c r="T64" i="2"/>
  <c r="S64" i="2"/>
  <c r="R64" i="2"/>
  <c r="Q64" i="2"/>
  <c r="Q5" i="2"/>
  <c r="R5" i="2"/>
  <c r="S5" i="2"/>
  <c r="T5" i="2"/>
  <c r="T61" i="2"/>
  <c r="S61" i="2"/>
  <c r="R61" i="2"/>
  <c r="Q61" i="2"/>
  <c r="T56" i="2"/>
  <c r="S56" i="2"/>
  <c r="R56" i="2"/>
  <c r="Q56" i="2"/>
  <c r="T55" i="2"/>
  <c r="S55" i="2"/>
  <c r="R55" i="2"/>
  <c r="Q55" i="2"/>
  <c r="T54" i="2"/>
  <c r="S54" i="2"/>
  <c r="R54" i="2"/>
  <c r="Q54" i="2"/>
  <c r="T53" i="2"/>
  <c r="S53" i="2"/>
  <c r="R53" i="2"/>
  <c r="Q53" i="2"/>
  <c r="T52" i="2"/>
  <c r="S52" i="2"/>
  <c r="R52" i="2"/>
  <c r="Q52" i="2"/>
  <c r="T51" i="2"/>
  <c r="S51" i="2"/>
  <c r="R51" i="2"/>
  <c r="Q51" i="2"/>
  <c r="T50" i="2"/>
  <c r="S50" i="2"/>
  <c r="R50" i="2"/>
  <c r="Q50" i="2"/>
  <c r="T49" i="2"/>
  <c r="S49" i="2"/>
  <c r="R49" i="2"/>
  <c r="Q49" i="2"/>
  <c r="T48" i="2"/>
  <c r="S48" i="2"/>
  <c r="R48" i="2"/>
  <c r="Q48" i="2"/>
  <c r="T47" i="2"/>
  <c r="S47" i="2"/>
  <c r="R47" i="2"/>
  <c r="Q47" i="2"/>
  <c r="T46" i="2"/>
  <c r="S46" i="2"/>
  <c r="R46" i="2"/>
  <c r="Q46" i="2"/>
  <c r="T45" i="2"/>
  <c r="S45" i="2"/>
  <c r="R45" i="2"/>
  <c r="Q45" i="2"/>
  <c r="T44" i="2"/>
  <c r="S44" i="2"/>
  <c r="R44" i="2"/>
  <c r="Q44" i="2"/>
  <c r="T43" i="2"/>
  <c r="S43" i="2"/>
  <c r="R43" i="2"/>
  <c r="Q43" i="2"/>
  <c r="T42" i="2"/>
  <c r="S42" i="2"/>
  <c r="R42" i="2"/>
  <c r="Q42" i="2"/>
  <c r="R22" i="2"/>
  <c r="T22" i="2"/>
  <c r="R24" i="2"/>
  <c r="T24" i="2"/>
  <c r="T26" i="2"/>
  <c r="S27" i="2"/>
  <c r="R27" i="2"/>
  <c r="Q27" i="2"/>
  <c r="T27" i="2"/>
  <c r="S26" i="2"/>
  <c r="R26" i="2"/>
  <c r="Q26" i="2"/>
  <c r="S25" i="2"/>
  <c r="R25" i="2"/>
  <c r="Q25" i="2"/>
  <c r="T25" i="2"/>
  <c r="S24" i="2"/>
  <c r="Q24" i="2"/>
  <c r="S23" i="2"/>
  <c r="R23" i="2"/>
  <c r="Q23" i="2"/>
  <c r="T23" i="2"/>
  <c r="S22" i="2"/>
  <c r="Q22" i="2"/>
  <c r="S21" i="2"/>
  <c r="R21" i="2"/>
  <c r="Q21" i="2"/>
  <c r="T21" i="2"/>
  <c r="Q8" i="2"/>
  <c r="R8" i="2"/>
  <c r="S8" i="2"/>
  <c r="T8" i="2"/>
  <c r="Q9" i="2"/>
  <c r="R9" i="2"/>
  <c r="S9" i="2"/>
  <c r="T9" i="2"/>
  <c r="Q10" i="2"/>
  <c r="R10" i="2"/>
  <c r="S10" i="2"/>
  <c r="T10" i="2"/>
  <c r="Q11" i="2"/>
  <c r="R11" i="2"/>
  <c r="S11" i="2"/>
  <c r="T11" i="2"/>
  <c r="Q12" i="2"/>
  <c r="R12" i="2"/>
  <c r="S12" i="2"/>
  <c r="T12" i="2"/>
  <c r="Q13" i="2"/>
  <c r="R13" i="2"/>
  <c r="S13" i="2"/>
  <c r="T13" i="2"/>
  <c r="Q14" i="2"/>
  <c r="R14" i="2"/>
  <c r="S14" i="2"/>
  <c r="T14" i="2"/>
  <c r="Q15" i="2"/>
  <c r="R15" i="2"/>
  <c r="S15" i="2"/>
  <c r="T15" i="2"/>
  <c r="Q16" i="2"/>
  <c r="R16" i="2"/>
  <c r="S16" i="2"/>
  <c r="T16" i="2"/>
  <c r="Q17" i="2"/>
  <c r="R17" i="2"/>
  <c r="S17" i="2"/>
  <c r="T17" i="2"/>
  <c r="Q18" i="2"/>
  <c r="R18" i="2"/>
  <c r="S18" i="2"/>
  <c r="T18" i="2"/>
  <c r="Q19" i="2"/>
  <c r="R19" i="2"/>
  <c r="S19" i="2"/>
  <c r="T19" i="2"/>
  <c r="Q20" i="2"/>
  <c r="R20" i="2"/>
  <c r="S20" i="2"/>
  <c r="T20" i="2"/>
  <c r="T7" i="2"/>
  <c r="S7" i="2"/>
  <c r="R7" i="2"/>
  <c r="Q7" i="2"/>
  <c r="S4" i="2"/>
  <c r="Q4" i="2"/>
  <c r="T4" i="2"/>
  <c r="R4" i="2"/>
</calcChain>
</file>

<file path=xl/sharedStrings.xml><?xml version="1.0" encoding="utf-8"?>
<sst xmlns="http://schemas.openxmlformats.org/spreadsheetml/2006/main" count="535" uniqueCount="200">
  <si>
    <t>标题</t>
  </si>
  <si>
    <t>活动背景图
背景图id</t>
  </si>
  <si>
    <t>排序
仅排序在同一个活动界
面中的活动
数值越小，越靠前排列</t>
  </si>
  <si>
    <t>id</t>
  </si>
  <si>
    <t>title</t>
  </si>
  <si>
    <t>toppic</t>
  </si>
  <si>
    <t>order</t>
  </si>
  <si>
    <t>s</t>
  </si>
  <si>
    <t>i</t>
  </si>
  <si>
    <t>文字图片
文字图id</t>
    <phoneticPr fontId="4" type="noConversion"/>
  </si>
  <si>
    <t>textpic</t>
    <phoneticPr fontId="4" type="noConversion"/>
  </si>
  <si>
    <t>param</t>
    <phoneticPr fontId="4" type="noConversion"/>
  </si>
  <si>
    <t>a</t>
    <phoneticPr fontId="4" type="noConversion"/>
  </si>
  <si>
    <r>
      <t xml:space="preserve">活动开始展示时间
填写时间戳
</t>
    </r>
    <r>
      <rPr>
        <sz val="11"/>
        <color rgb="FFFF0000"/>
        <rFont val="微软雅黑"/>
        <family val="2"/>
        <charset val="134"/>
      </rPr>
      <t>开始展示活动的时间</t>
    </r>
    <phoneticPr fontId="4" type="noConversion"/>
  </si>
  <si>
    <r>
      <t xml:space="preserve">活动结束展示时间
</t>
    </r>
    <r>
      <rPr>
        <sz val="11"/>
        <color rgb="FFFF0000"/>
        <rFont val="微软雅黑"/>
        <family val="2"/>
        <charset val="134"/>
      </rPr>
      <t>同样是活动结束领奖的时间</t>
    </r>
    <r>
      <rPr>
        <sz val="11"/>
        <color theme="1"/>
        <rFont val="微软雅黑"/>
        <family val="2"/>
        <charset val="134"/>
      </rPr>
      <t xml:space="preserve">
填写时间戳
</t>
    </r>
    <r>
      <rPr>
        <sz val="11"/>
        <color rgb="FFFF0000"/>
        <rFont val="微软雅黑"/>
        <family val="2"/>
        <charset val="134"/>
      </rPr>
      <t>活动隐藏的时间</t>
    </r>
    <phoneticPr fontId="4" type="noConversion"/>
  </si>
  <si>
    <r>
      <t xml:space="preserve">活动正式开启时间
</t>
    </r>
    <r>
      <rPr>
        <sz val="11"/>
        <color rgb="FFFF0000"/>
        <rFont val="微软雅黑"/>
        <family val="2"/>
        <charset val="134"/>
      </rPr>
      <t>同样是活动可开始领奖的时间</t>
    </r>
    <r>
      <rPr>
        <sz val="11"/>
        <color theme="1"/>
        <rFont val="微软雅黑"/>
        <family val="2"/>
        <charset val="134"/>
      </rPr>
      <t xml:space="preserve">
填写时间戳
</t>
    </r>
    <r>
      <rPr>
        <sz val="11"/>
        <color rgb="FFFF0000"/>
        <rFont val="微软雅黑"/>
        <family val="2"/>
        <charset val="134"/>
      </rPr>
      <t>可以开始参与活动的时间</t>
    </r>
    <phoneticPr fontId="4" type="noConversion"/>
  </si>
  <si>
    <r>
      <t xml:space="preserve">活动正式结束时间
填写时间戳
</t>
    </r>
    <r>
      <rPr>
        <sz val="11"/>
        <color rgb="FFFF0000"/>
        <rFont val="微软雅黑"/>
        <family val="2"/>
        <charset val="134"/>
      </rPr>
      <t>活动结束的时间</t>
    </r>
    <phoneticPr fontId="4" type="noConversion"/>
  </si>
  <si>
    <t>showtime</t>
    <phoneticPr fontId="4" type="noConversion"/>
  </si>
  <si>
    <t>hidetime</t>
    <phoneticPr fontId="4" type="noConversion"/>
  </si>
  <si>
    <t>starttime</t>
    <phoneticPr fontId="4" type="noConversion"/>
  </si>
  <si>
    <t>endtime</t>
    <phoneticPr fontId="4" type="noConversion"/>
  </si>
  <si>
    <t>s</t>
    <phoneticPr fontId="4" type="noConversion"/>
  </si>
  <si>
    <t>s</t>
    <phoneticPr fontId="4" type="noConversion"/>
  </si>
  <si>
    <t>s</t>
    <phoneticPr fontId="4" type="noConversion"/>
  </si>
  <si>
    <t>1001,1002,1003,1004,1005,1006,1007,1008</t>
  </si>
  <si>
    <t>type</t>
    <phoneticPr fontId="4" type="noConversion"/>
  </si>
  <si>
    <t>i</t>
    <phoneticPr fontId="4" type="noConversion"/>
  </si>
  <si>
    <t>活动图标
icon_id</t>
  </si>
  <si>
    <t>icon</t>
  </si>
  <si>
    <t>huodong_54</t>
    <phoneticPr fontId="4" type="noConversion"/>
  </si>
  <si>
    <t>huodong_56</t>
    <phoneticPr fontId="4" type="noConversion"/>
  </si>
  <si>
    <t>huodong_57</t>
    <phoneticPr fontId="4" type="noConversion"/>
  </si>
  <si>
    <t>huodong_55</t>
    <phoneticPr fontId="4" type="noConversion"/>
  </si>
  <si>
    <t>huodong_51</t>
    <phoneticPr fontId="4" type="noConversion"/>
  </si>
  <si>
    <t>时间类型
1-时间戳
2-距离开服x天开始
3-星期几</t>
    <phoneticPr fontId="4" type="noConversion"/>
  </si>
  <si>
    <t>time_type</t>
    <phoneticPr fontId="4" type="noConversion"/>
  </si>
  <si>
    <t>start_day</t>
  </si>
  <si>
    <t>id
ID不可复用，用于区分新旧活动和有内容修改</t>
    <phoneticPr fontId="4" type="noConversion"/>
  </si>
  <si>
    <t>活动目标id
type&lt;&gt;46时，取activity_times_task的id
type=47时，取store_goods_times的id</t>
    <phoneticPr fontId="4" type="noConversion"/>
  </si>
  <si>
    <t>huodong_meitou2</t>
    <phoneticPr fontId="4" type="noConversion"/>
  </si>
  <si>
    <t>开服第几天可以正常参与
填天数（包含关系）
举例：8-开服第8天可以看到和参与</t>
    <phoneticPr fontId="4" type="noConversion"/>
  </si>
  <si>
    <t>2021,2022,2023</t>
  </si>
  <si>
    <t>2031,2032,2033</t>
  </si>
  <si>
    <t>2041,2042,2043</t>
  </si>
  <si>
    <t>2051,2052,2053</t>
  </si>
  <si>
    <t>2061,2062,2063</t>
  </si>
  <si>
    <t>2071,2072,2073</t>
  </si>
  <si>
    <t>2121,2122,2123</t>
  </si>
  <si>
    <t>2131,2132,2133</t>
  </si>
  <si>
    <t>2141,2142,2143</t>
  </si>
  <si>
    <t>2151,2152,2153</t>
  </si>
  <si>
    <t>2161,2162,2163</t>
  </si>
  <si>
    <t>2171,2172,2173</t>
  </si>
  <si>
    <t>2011,2012,2013</t>
    <phoneticPr fontId="4" type="noConversion"/>
  </si>
  <si>
    <t>2111,2112,2113</t>
    <phoneticPr fontId="4" type="noConversion"/>
  </si>
  <si>
    <t>1000001,1000002,1000003,1000004,1000005</t>
    <phoneticPr fontId="4" type="noConversion"/>
  </si>
  <si>
    <t>[b]豪华签到</t>
  </si>
  <si>
    <t>[b]琥珀商铺</t>
  </si>
  <si>
    <r>
      <t xml:space="preserve">活动正式开启时间
</t>
    </r>
    <r>
      <rPr>
        <sz val="11"/>
        <color rgb="FFFF0000"/>
        <rFont val="微软雅黑"/>
        <family val="2"/>
        <charset val="134"/>
      </rPr>
      <t xml:space="preserve">同样是活动可开始领奖的时间
</t>
    </r>
    <r>
      <rPr>
        <sz val="11"/>
        <color theme="1"/>
        <rFont val="微软雅黑"/>
        <family val="2"/>
        <charset val="134"/>
      </rPr>
      <t xml:space="preserve">
时间参数（根据字段time_type决定）
1-时间戳
2-距离开服x天开始
3-星期几（0点）（8-下周一）
</t>
    </r>
    <r>
      <rPr>
        <sz val="11"/>
        <color rgb="FFFF0000"/>
        <rFont val="微软雅黑"/>
        <family val="2"/>
        <charset val="134"/>
      </rPr>
      <t>可以开始参与活动的时间</t>
    </r>
    <phoneticPr fontId="4" type="noConversion"/>
  </si>
  <si>
    <r>
      <t xml:space="preserve">活动正式结束时间
时间参数（根据字段time_type决定）
1-时间戳
2-距离开服x天开始
3-星期几（0点）（8-下周一）
</t>
    </r>
    <r>
      <rPr>
        <sz val="11"/>
        <color rgb="FFFF0000"/>
        <rFont val="微软雅黑"/>
        <family val="2"/>
        <charset val="134"/>
      </rPr>
      <t>活动结束的时间</t>
    </r>
    <phoneticPr fontId="4" type="noConversion"/>
  </si>
  <si>
    <r>
      <t xml:space="preserve">活动开始展示时间
时间参数（根据字段time_type决定）
1-时间戳
2-距离开服x天开始
3-星期几（0点）（8-下周一）
</t>
    </r>
    <r>
      <rPr>
        <sz val="11"/>
        <color rgb="FFFF0000"/>
        <rFont val="微软雅黑"/>
        <family val="2"/>
        <charset val="134"/>
      </rPr>
      <t>开始展示活动的时间</t>
    </r>
    <phoneticPr fontId="4" type="noConversion"/>
  </si>
  <si>
    <t>4011,4012</t>
  </si>
  <si>
    <t>4021,4022</t>
  </si>
  <si>
    <t>4031,4032</t>
  </si>
  <si>
    <t>4041,4042</t>
  </si>
  <si>
    <t>4051,4052</t>
  </si>
  <si>
    <t>4061,4062</t>
  </si>
  <si>
    <t>4071,4072</t>
  </si>
  <si>
    <t>[b]特惠礼包</t>
    <phoneticPr fontId="4" type="noConversion"/>
  </si>
  <si>
    <t>5011,5012,5013,5014,5015</t>
  </si>
  <si>
    <t>5021,5022,5023,5024,5025</t>
  </si>
  <si>
    <t>5031,5032,5033,5034,5035</t>
  </si>
  <si>
    <t>5041,5042,5043,5044,5045</t>
  </si>
  <si>
    <t>5051,5052,5053,5054,5055</t>
  </si>
  <si>
    <t>5071,5072,5073,5074,5075</t>
  </si>
  <si>
    <t>[b]单日累充</t>
    <phoneticPr fontId="4" type="noConversion"/>
  </si>
  <si>
    <t>备注</t>
    <phoneticPr fontId="4" type="noConversion"/>
  </si>
  <si>
    <t>beizhu</t>
    <phoneticPr fontId="4" type="noConversion"/>
  </si>
  <si>
    <t>s</t>
    <phoneticPr fontId="4" type="noConversion"/>
  </si>
  <si>
    <t>新服常驻</t>
  </si>
  <si>
    <t>新服常驻</t>
    <phoneticPr fontId="4" type="noConversion"/>
  </si>
  <si>
    <t>8天后每周循环</t>
    <phoneticPr fontId="4" type="noConversion"/>
  </si>
  <si>
    <t>5061,5062,5063,5064,5065</t>
    <phoneticPr fontId="4" type="noConversion"/>
  </si>
  <si>
    <t>1100001,1100002,1100003,1100004,1100005,1100006,1100007,1100008,1100009,1100010,1100011,1100012,1100013,1100014,1100015,1100016,1100017,1100018,1100019,1100020,1100021,1100022,1100023,1100024,1100025,1100026,1100027,1100028,1100029,1100030,1100031,1100032</t>
  </si>
  <si>
    <t>[b]限时商铺</t>
    <phoneticPr fontId="4" type="noConversion"/>
  </si>
  <si>
    <t>1200001,1200002,1200003,1200004,1200005,1200006</t>
  </si>
  <si>
    <t>[b]每周限购</t>
    <phoneticPr fontId="4" type="noConversion"/>
  </si>
  <si>
    <t>1021,1022,1023,1024,1025,1026,1027</t>
    <phoneticPr fontId="4" type="noConversion"/>
  </si>
  <si>
    <t>新服常驻</t>
    <phoneticPr fontId="4" type="noConversion"/>
  </si>
  <si>
    <t>public_02</t>
    <phoneticPr fontId="4" type="noConversion"/>
  </si>
  <si>
    <t>huodong_meitou</t>
    <phoneticPr fontId="4" type="noConversion"/>
  </si>
  <si>
    <t>huodong_55</t>
    <phoneticPr fontId="4" type="noConversion"/>
  </si>
  <si>
    <t>huodong_meitou</t>
    <phoneticPr fontId="4" type="noConversion"/>
  </si>
  <si>
    <t>100001,100002,100003,100004,100005</t>
  </si>
  <si>
    <t>运营限时活动</t>
    <phoneticPr fontId="4" type="noConversion"/>
  </si>
  <si>
    <t>[b]新年壕礼</t>
    <phoneticPr fontId="4" type="noConversion"/>
  </si>
  <si>
    <t>1028,1029,1030,1031,1032,1033,1034</t>
  </si>
  <si>
    <t>1000011,1000012,1000013,1000014,1000015,1000016</t>
  </si>
  <si>
    <t>1000021,1000022,1000023,1000024,1000025,1000026</t>
  </si>
  <si>
    <t>1000031,1000032,1000033,1000034,1000035,1000036,1000037</t>
  </si>
  <si>
    <t>1000041,1000042,1000043,1000044,1000045,1000046</t>
  </si>
  <si>
    <t>1000051,1000052,1000053,1000054,1000055,1000056</t>
  </si>
  <si>
    <t>1000061,1000062,1000063,1000064,1000065,1000066</t>
  </si>
  <si>
    <t>1000101,1000102,1000103,1000104,1000105,1000106</t>
  </si>
  <si>
    <t>1000201,1000202,1000203,1000204,1000205,1000206</t>
  </si>
  <si>
    <t>1000301,1000302,1000303,1000304,1000305,1000306</t>
  </si>
  <si>
    <t>1000401,1000402,1000403,1000404,1000405,1000406</t>
  </si>
  <si>
    <t>1000501,1000502,1000503,1000504,1000505,1000506</t>
  </si>
  <si>
    <t>1000601,1000602,1000603,1000604,1000605,1000606</t>
  </si>
  <si>
    <t>1000701,1000702,1000703,1000704,1000705,1000706</t>
  </si>
  <si>
    <t>1001001,1001002,1001003,1001004,1001005,1001006,1001007,1001008</t>
  </si>
  <si>
    <t>1001101,1001102,1001103,1001104,1001105,1001106,1001107,1001108</t>
  </si>
  <si>
    <t>1001201,1001202,1001203,1001204,1001205,1001206,1001207,1001208</t>
  </si>
  <si>
    <t>1001301,1001302,1001303,1001304,1001305,1001306,1001307,1001308</t>
  </si>
  <si>
    <t>1001401,1001402,1001403,1001404,1001405,1001406,1001407,1001408</t>
  </si>
  <si>
    <t>1001501,1001502,1001503,1001504,1001505,1001506,1001507,1001508</t>
  </si>
  <si>
    <t>1001601,1001602,1001603,1001604,1001605,1001606,1001607,1001608</t>
  </si>
  <si>
    <t>[b]累充送礼</t>
    <phoneticPr fontId="4" type="noConversion"/>
  </si>
  <si>
    <t>10001,10002,10003,10004,10005,10006,10007,10008,10009,10010</t>
    <phoneticPr fontId="4" type="noConversion"/>
  </si>
  <si>
    <t>10011,10012,10013,10014,10015,10016,10017,10018,10019,10020</t>
    <phoneticPr fontId="4" type="noConversion"/>
  </si>
  <si>
    <t>8天后每周循环</t>
  </si>
  <si>
    <t>8天后每周循环</t>
    <phoneticPr fontId="4" type="noConversion"/>
  </si>
  <si>
    <t>15天后每周循环</t>
    <phoneticPr fontId="4" type="noConversion"/>
  </si>
  <si>
    <t>新服常驻-第二周</t>
    <phoneticPr fontId="4" type="noConversion"/>
  </si>
  <si>
    <t>[b]登陆福利</t>
    <phoneticPr fontId="4" type="noConversion"/>
  </si>
  <si>
    <t>新服常驻-第二周</t>
  </si>
  <si>
    <t>新服常驻-第二周</t>
    <phoneticPr fontId="4" type="noConversion"/>
  </si>
  <si>
    <t>15天后每周循环</t>
  </si>
  <si>
    <t>15天后每周循环</t>
    <phoneticPr fontId="4" type="noConversion"/>
  </si>
  <si>
    <t>100011,100012,100013,100014,100015,100016,100017</t>
    <phoneticPr fontId="4" type="noConversion"/>
  </si>
  <si>
    <t>100021,100022,100023,100024,100025,100026,100027</t>
    <phoneticPr fontId="4" type="noConversion"/>
  </si>
  <si>
    <r>
      <t>活动任务参数</t>
    </r>
    <r>
      <rPr>
        <b/>
        <sz val="11"/>
        <color rgb="FFFF0000"/>
        <rFont val="微软雅黑"/>
        <family val="2"/>
        <charset val="134"/>
      </rPr>
      <t>48-幸运轮盘专用（程序写死，不要配置）</t>
    </r>
    <r>
      <rPr>
        <sz val="11"/>
        <color theme="1"/>
        <rFont val="微软雅黑"/>
        <family val="2"/>
        <charset val="134"/>
      </rPr>
      <t xml:space="preserve">
1-主线关卡|活动期间累计挑战次数
2-精英关卡|活动期间累计挑战次数
3-幻境关卡|活动期间累计挑战次数
4-竞技场挑战|活动期间累计挑战次数
5-距离开服天数领奖（5|距离开服天数）
6-完成法宝强化|累计强化消耗道具数量
7-完成法宝合成|累计合成次数
8-完成装备强化|累计强化次数
9-完成装备精炼|累计精炼次数
10-普通抽奖|活动期间累计抽奖次数
11-钻石抽奖|活动期间累计抽奖次数
12-单笔充值（12|单笔充值数目）
13-购买道具|商品ID|活动期间累计购买次数
14-主角等级|目标等级
15-主线关卡总星数|目标星数
16-精英关卡总星数|目标星数
17-幻境关卡总星数|目标星数
18-战斗力|目标战斗力数值
19-vip等级|目标等级
20-法宝抢夺|活动期间累计抢夺次数
21-升级技能|活动期间累计升级次数
22-累积登陆|活动期间累计登陆天数
23-灵台斗法最高排名|目标名次
24-上阵伙伴最低等级达到|目标等级
25-活动期间累计充值|目标充值数量
26-大雁塔挑战次数|活动期间累计挑战次数
27-大雁塔最高层数|目标层数
28-噩梦入侵活动期间累计伤害(28|活动期间累计伤害值)
29-噩梦入侵活动期间累计击杀怪物数量(29|活动期间累计击杀怪物数量)
30-装备的最高强化等级达到（30|装备的最高强化等级）
31-装备的最高精炼等级达到（31|装备的最高精炼等级）
32-法宝的最高强化等级达到（32|法宝的最高强化等级）
33-法宝的最高精炼等级达到（33|法宝的最高精炼等级）
34-通关的副本id|battle_scene中的副本id（只能配置主线，精英，幻境）
35-夜探无底洞挑战次数|累计挑战次数（35|累计挑战次数）
36-斩妖夺宝挑战次数|累计挑战次数（36|累计挑战次数）
37-累计培养武将次数（37|累计培养武将次数）
38-伙伴培养的最高等级达到（38|伙伴培养的最高等级）
39-神兵的最高强化等级达到（39|神兵强化等级）
40-神兵的最高精炼等级达到（40|神兵精炼等级）
41-伙伴商铺累计刷新次数（41|伙伴商铺累计刷新次数）
42-斩妖夺宝累计击杀怪物数-胜利的次数（42|累计击杀怪物数）
43-神兵的最高强化等级达到（43|神兵的最高强化等级）
44-神兵的最高精炼等级达到（44|神兵的最高精炼等级）
45-通关夜探无底洞层数|通关夜探无底洞层数
</t>
    </r>
    <r>
      <rPr>
        <sz val="11"/>
        <color theme="0" tint="-0.499984740745262"/>
        <rFont val="微软雅黑"/>
        <family val="2"/>
        <charset val="134"/>
      </rPr>
      <t>46-商品售卖型（后列填商品，已废弃）</t>
    </r>
    <r>
      <rPr>
        <sz val="11"/>
        <color theme="1"/>
        <rFont val="微软雅黑"/>
        <family val="2"/>
        <charset val="134"/>
      </rPr>
      <t xml:space="preserve">
47-商品售卖型（后列填商品）
48-幸运轮盘专用（程序写死，不要配置）</t>
    </r>
    <phoneticPr fontId="4" type="noConversion"/>
  </si>
  <si>
    <t>8天后每周循环</t>
    <phoneticPr fontId="4" type="noConversion"/>
  </si>
  <si>
    <t>8天后每周循环1-2</t>
    <phoneticPr fontId="4" type="noConversion"/>
  </si>
  <si>
    <t>8天后每周循环3-4</t>
    <phoneticPr fontId="4" type="noConversion"/>
  </si>
  <si>
    <t>8天后每周循环5-6</t>
    <phoneticPr fontId="4" type="noConversion"/>
  </si>
  <si>
    <t>8天后每周循环7</t>
    <phoneticPr fontId="4" type="noConversion"/>
  </si>
  <si>
    <t>1100101,1100102,1100103,1100104,1100105,1100106,1100107,1100108,1100109,1100110,1100111,1100112,1100113,1100114,1100115</t>
  </si>
  <si>
    <t>1100201,1100202,1100203,1100204,1100205,1100206,1100207,1100208</t>
  </si>
  <si>
    <t>1100301,1100302,1100303,1100304,1100305,1100306,1100307,1100308,1100309</t>
  </si>
  <si>
    <t>1100401,1100402,1100403,1100404,1100405,1100406,1100407,1100408,1100409,1100410,1100411,1100412</t>
  </si>
  <si>
    <t>[b]开服送悟空</t>
    <phoneticPr fontId="4" type="noConversion"/>
  </si>
  <si>
    <t>[b]开服送紫霞</t>
    <phoneticPr fontId="4" type="noConversion"/>
  </si>
  <si>
    <t>[b]开服送神兵</t>
    <phoneticPr fontId="4" type="noConversion"/>
  </si>
  <si>
    <t>[b]更新送礼</t>
    <phoneticPr fontId="4" type="noConversion"/>
  </si>
  <si>
    <t>100006,100007,100008</t>
    <phoneticPr fontId="4" type="noConversion"/>
  </si>
  <si>
    <t>[b]每周福利</t>
    <phoneticPr fontId="4" type="noConversion"/>
  </si>
  <si>
    <t>[b]腊八送礼</t>
    <phoneticPr fontId="4" type="noConversion"/>
  </si>
  <si>
    <t>腊八送礼</t>
  </si>
  <si>
    <t>100031,100032,100033</t>
  </si>
  <si>
    <t>[b]腊八返利</t>
    <phoneticPr fontId="4" type="noConversion"/>
  </si>
  <si>
    <t>腊八返利</t>
  </si>
  <si>
    <t>100041,100042,100043,100044,100045</t>
  </si>
  <si>
    <t>[b]腊八兑换</t>
    <phoneticPr fontId="4" type="noConversion"/>
  </si>
  <si>
    <t>腊八兑换</t>
  </si>
  <si>
    <t>huodong_meitou2</t>
  </si>
  <si>
    <t>1210001,1210002,1210003,1210004,1210005,1210006,1210007,1210008,1210009,1210010,1210011,1210012,1210013,1210014,1210015,1210016,1210017,1210018,1210019,1210020,1210021,1210022</t>
  </si>
  <si>
    <t>huodong_51</t>
  </si>
  <si>
    <t>public_02</t>
  </si>
  <si>
    <t>[b]情人节送礼</t>
    <phoneticPr fontId="4" type="noConversion"/>
  </si>
  <si>
    <t>100051,100052,100053</t>
    <phoneticPr fontId="4" type="noConversion"/>
  </si>
  <si>
    <t>[b]节日兑换</t>
    <phoneticPr fontId="4" type="noConversion"/>
  </si>
  <si>
    <t>情人节送礼</t>
    <phoneticPr fontId="4" type="noConversion"/>
  </si>
  <si>
    <t>1210101,1210102,1210103,1210104,1210105,1210106,1210107,1210108,1210109,1210110,1210111,1210112,1210113,1210114,1210115,1210116,1210117,1210118,1210119,1210120,1210121,1210122</t>
  </si>
  <si>
    <t>节日兑换</t>
  </si>
  <si>
    <t>新春返利（二）</t>
    <phoneticPr fontId="4" type="noConversion"/>
  </si>
  <si>
    <t>新春返利（三）</t>
    <phoneticPr fontId="4" type="noConversion"/>
  </si>
  <si>
    <t>100061,100062,100063,100064,100065</t>
  </si>
  <si>
    <t>100071,100072,100073,100074,100075</t>
  </si>
  <si>
    <t>100081,100082,100083,100084,100085</t>
  </si>
  <si>
    <t>豪华兑换</t>
  </si>
  <si>
    <t>[b]豪华兑换</t>
    <phoneticPr fontId="4" type="noConversion"/>
  </si>
  <si>
    <t>新春返利（一）</t>
    <phoneticPr fontId="4" type="noConversion"/>
  </si>
  <si>
    <t>[b]新春返利(一)</t>
    <phoneticPr fontId="4" type="noConversion"/>
  </si>
  <si>
    <t>[b]新春返利(二)</t>
    <phoneticPr fontId="4" type="noConversion"/>
  </si>
  <si>
    <t>[b]新春返利(三)</t>
    <phoneticPr fontId="4" type="noConversion"/>
  </si>
  <si>
    <t>1210201,1210202,1210203,1210204,1210205,1210206,1210207,1210208,1210209,1210210,1210211,1210212,1210213,1210214,1210215</t>
  </si>
  <si>
    <t>[b]新春送礼</t>
    <phoneticPr fontId="4" type="noConversion"/>
  </si>
  <si>
    <t>新春送礼</t>
  </si>
  <si>
    <t>100091,100092,100093,100094,100095,100096,100097,100098,100099</t>
  </si>
  <si>
    <t>更新送礼</t>
  </si>
  <si>
    <t>100101,100102,100103</t>
  </si>
  <si>
    <t>huodong_60</t>
  </si>
  <si>
    <t>huodong_60</t>
    <phoneticPr fontId="4" type="noConversion"/>
  </si>
  <si>
    <t>huodong_61</t>
    <phoneticPr fontId="4" type="noConversion"/>
  </si>
  <si>
    <t>huodong_54</t>
    <phoneticPr fontId="4" type="noConversion"/>
  </si>
  <si>
    <t>huodong_61</t>
  </si>
  <si>
    <t>[b]元宵节送礼</t>
    <phoneticPr fontId="4" type="noConversion"/>
  </si>
  <si>
    <t>元宵节送礼</t>
    <phoneticPr fontId="4" type="noConversion"/>
  </si>
  <si>
    <t>100111,100112,100113</t>
  </si>
  <si>
    <t>1210301,1210302,1210303,1210304,1210305,1210306,1210307,1210308,1210309,1210310,1210311,1210312,1210313,1210314,1210315,1210316,1210317,1210318,1210319,1210320,1210321,1210322</t>
  </si>
  <si>
    <t>1210401,1210402,1210403,1210404,1210405</t>
  </si>
  <si>
    <t>[b]元宵节返利</t>
    <phoneticPr fontId="4" type="noConversion"/>
  </si>
  <si>
    <t>元宵节返利</t>
    <phoneticPr fontId="4" type="noConversion"/>
  </si>
  <si>
    <r>
      <t xml:space="preserve">活动结束展示时间
</t>
    </r>
    <r>
      <rPr>
        <sz val="11"/>
        <color rgb="FFFF0000"/>
        <rFont val="微软雅黑"/>
        <family val="2"/>
        <charset val="134"/>
      </rPr>
      <t>同样是活动结束领奖的时间</t>
    </r>
    <r>
      <rPr>
        <sz val="11"/>
        <color theme="1"/>
        <rFont val="微软雅黑"/>
        <family val="2"/>
        <charset val="134"/>
      </rPr>
      <t xml:space="preserve">
时间参数（根据字段time_type决定）
1-时间戳
2-距离开服x天开始
3-星期几（0点）（8-下周一）
</t>
    </r>
    <r>
      <rPr>
        <sz val="11"/>
        <color rgb="FFFF0000"/>
        <rFont val="微软雅黑"/>
        <family val="2"/>
        <charset val="134"/>
      </rPr>
      <t>活动隐藏的时间</t>
    </r>
    <phoneticPr fontId="4" type="noConversion"/>
  </si>
  <si>
    <t>[b]王の宝库</t>
    <phoneticPr fontId="4" type="noConversion"/>
  </si>
  <si>
    <t>1210407,1210408,1210409,1210410,1210411,1210412,1210413,1210414,1210415,1210416,1210417,1210418,1210419,1210420,1210421</t>
  </si>
  <si>
    <t>女神节送礼</t>
    <phoneticPr fontId="4" type="noConversion"/>
  </si>
  <si>
    <t>[b]女神节送礼</t>
    <phoneticPr fontId="4" type="noConversion"/>
  </si>
  <si>
    <t>100131,100132,100133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</si>
</sst>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indexed="8"/>
      <name val="宋体"/>
      <charset val="134"/>
    </font>
    <font>
      <sz val="10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0" fillId="0" borderId="0">
      <alignment vertical="center"/>
    </xf>
    <xf numFmtId="0" fontId="12" fillId="0" borderId="0"/>
    <xf numFmtId="0" fontId="13" fillId="0" borderId="0">
      <alignment vertical="center"/>
    </xf>
  </cellStyleXfs>
  <cellXfs count="5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vertical="center" wrapText="1"/>
    </xf>
    <xf numFmtId="0" fontId="1" fillId="4" borderId="1" xfId="0" applyFont="1" applyFill="1" applyBorder="1">
      <alignment vertical="center"/>
    </xf>
    <xf numFmtId="49" fontId="1" fillId="4" borderId="1" xfId="0" applyNumberFormat="1" applyFont="1" applyFill="1" applyBorder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1" fillId="4" borderId="1" xfId="0" applyNumberFormat="1" applyFont="1" applyFill="1" applyBorder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1" fillId="0" borderId="1" xfId="0" applyNumberFormat="1" applyFont="1" applyFill="1" applyBorder="1">
      <alignment vertical="center"/>
    </xf>
    <xf numFmtId="0" fontId="1" fillId="0" borderId="0" xfId="0" applyFont="1" applyFill="1">
      <alignment vertical="center"/>
    </xf>
    <xf numFmtId="0" fontId="1" fillId="2" borderId="1" xfId="0" applyFont="1" applyFill="1" applyBorder="1" applyAlignment="1">
      <alignment vertical="top" wrapText="1"/>
    </xf>
    <xf numFmtId="0" fontId="1" fillId="2" borderId="1" xfId="0" applyNumberFormat="1" applyFont="1" applyFill="1" applyBorder="1" applyAlignment="1">
      <alignment vertical="top" wrapText="1"/>
    </xf>
    <xf numFmtId="0" fontId="1" fillId="2" borderId="1" xfId="0" applyFont="1" applyFill="1" applyBorder="1" applyAlignment="1">
      <alignment vertical="top"/>
    </xf>
    <xf numFmtId="0" fontId="3" fillId="2" borderId="1" xfId="0" applyFont="1" applyFill="1" applyBorder="1" applyAlignment="1">
      <alignment vertical="top" wrapText="1"/>
    </xf>
    <xf numFmtId="0" fontId="1" fillId="5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 wrapText="1"/>
    </xf>
    <xf numFmtId="0" fontId="1" fillId="2" borderId="0" xfId="0" applyFont="1" applyFill="1" applyAlignment="1">
      <alignment vertical="top"/>
    </xf>
    <xf numFmtId="0" fontId="1" fillId="6" borderId="1" xfId="0" applyNumberFormat="1" applyFont="1" applyFill="1" applyBorder="1" applyAlignment="1">
      <alignment vertical="center" wrapText="1"/>
    </xf>
    <xf numFmtId="0" fontId="1" fillId="6" borderId="1" xfId="0" applyFont="1" applyFill="1" applyBorder="1">
      <alignment vertical="center"/>
    </xf>
    <xf numFmtId="49" fontId="1" fillId="6" borderId="1" xfId="0" applyNumberFormat="1" applyFont="1" applyFill="1" applyBorder="1">
      <alignment vertical="center"/>
    </xf>
    <xf numFmtId="0" fontId="1" fillId="6" borderId="0" xfId="0" applyFont="1" applyFill="1">
      <alignment vertical="center"/>
    </xf>
    <xf numFmtId="0" fontId="1" fillId="6" borderId="1" xfId="0" applyNumberFormat="1" applyFont="1" applyFill="1" applyBorder="1">
      <alignment vertical="center"/>
    </xf>
    <xf numFmtId="0" fontId="1" fillId="4" borderId="1" xfId="0" applyNumberFormat="1" applyFont="1" applyFill="1" applyBorder="1">
      <alignment vertical="center"/>
    </xf>
    <xf numFmtId="0" fontId="1" fillId="0" borderId="0" xfId="0" applyNumberFormat="1" applyFont="1">
      <alignment vertical="center"/>
    </xf>
    <xf numFmtId="0" fontId="7" fillId="3" borderId="1" xfId="0" applyNumberFormat="1" applyFont="1" applyFill="1" applyBorder="1" applyAlignment="1">
      <alignment vertical="center" wrapText="1"/>
    </xf>
    <xf numFmtId="0" fontId="6" fillId="4" borderId="1" xfId="0" applyNumberFormat="1" applyFont="1" applyFill="1" applyBorder="1">
      <alignment vertical="center"/>
    </xf>
    <xf numFmtId="0" fontId="6" fillId="2" borderId="1" xfId="0" applyNumberFormat="1" applyFont="1" applyFill="1" applyBorder="1" applyAlignment="1">
      <alignment vertical="top" wrapText="1"/>
    </xf>
    <xf numFmtId="0" fontId="6" fillId="6" borderId="1" xfId="0" applyNumberFormat="1" applyFont="1" applyFill="1" applyBorder="1">
      <alignment vertical="center"/>
    </xf>
    <xf numFmtId="0" fontId="6" fillId="0" borderId="0" xfId="0" applyNumberFormat="1" applyFont="1">
      <alignment vertical="center"/>
    </xf>
    <xf numFmtId="0" fontId="1" fillId="5" borderId="1" xfId="0" applyNumberFormat="1" applyFont="1" applyFill="1" applyBorder="1" applyAlignment="1">
      <alignment vertical="center" wrapText="1"/>
    </xf>
    <xf numFmtId="0" fontId="1" fillId="5" borderId="1" xfId="0" applyFont="1" applyFill="1" applyBorder="1">
      <alignment vertical="center"/>
    </xf>
    <xf numFmtId="49" fontId="1" fillId="5" borderId="1" xfId="0" applyNumberFormat="1" applyFont="1" applyFill="1" applyBorder="1">
      <alignment vertical="center"/>
    </xf>
    <xf numFmtId="0" fontId="6" fillId="5" borderId="1" xfId="0" applyNumberFormat="1" applyFont="1" applyFill="1" applyBorder="1">
      <alignment vertical="center"/>
    </xf>
    <xf numFmtId="0" fontId="1" fillId="5" borderId="1" xfId="0" applyNumberFormat="1" applyFont="1" applyFill="1" applyBorder="1">
      <alignment vertical="center"/>
    </xf>
    <xf numFmtId="0" fontId="1" fillId="5" borderId="0" xfId="0" applyFont="1" applyFill="1">
      <alignment vertical="center"/>
    </xf>
    <xf numFmtId="49" fontId="1" fillId="2" borderId="1" xfId="0" applyNumberFormat="1" applyFont="1" applyFill="1" applyBorder="1" applyAlignment="1">
      <alignment vertical="top" wrapText="1"/>
    </xf>
    <xf numFmtId="49" fontId="2" fillId="3" borderId="1" xfId="0" applyNumberFormat="1" applyFont="1" applyFill="1" applyBorder="1" applyAlignment="1">
      <alignment vertical="center" wrapText="1"/>
    </xf>
    <xf numFmtId="49" fontId="1" fillId="0" borderId="0" xfId="0" applyNumberFormat="1" applyFont="1">
      <alignment vertical="center"/>
    </xf>
    <xf numFmtId="0" fontId="1" fillId="7" borderId="1" xfId="0" applyNumberFormat="1" applyFont="1" applyFill="1" applyBorder="1" applyAlignment="1">
      <alignment vertical="center" wrapText="1"/>
    </xf>
    <xf numFmtId="0" fontId="1" fillId="7" borderId="1" xfId="0" applyFont="1" applyFill="1" applyBorder="1">
      <alignment vertical="center"/>
    </xf>
    <xf numFmtId="49" fontId="1" fillId="7" borderId="1" xfId="0" applyNumberFormat="1" applyFont="1" applyFill="1" applyBorder="1">
      <alignment vertical="center"/>
    </xf>
    <xf numFmtId="0" fontId="6" fillId="7" borderId="1" xfId="0" applyNumberFormat="1" applyFont="1" applyFill="1" applyBorder="1">
      <alignment vertical="center"/>
    </xf>
    <xf numFmtId="0" fontId="1" fillId="7" borderId="1" xfId="0" applyNumberFormat="1" applyFont="1" applyFill="1" applyBorder="1">
      <alignment vertical="center"/>
    </xf>
    <xf numFmtId="0" fontId="1" fillId="7" borderId="0" xfId="0" applyFont="1" applyFill="1">
      <alignment vertical="center"/>
    </xf>
    <xf numFmtId="0" fontId="1" fillId="8" borderId="1" xfId="0" applyNumberFormat="1" applyFont="1" applyFill="1" applyBorder="1" applyAlignment="1">
      <alignment vertical="center" wrapText="1"/>
    </xf>
    <xf numFmtId="0" fontId="1" fillId="8" borderId="1" xfId="0" applyFont="1" applyFill="1" applyBorder="1">
      <alignment vertical="center"/>
    </xf>
    <xf numFmtId="49" fontId="1" fillId="8" borderId="1" xfId="0" applyNumberFormat="1" applyFont="1" applyFill="1" applyBorder="1">
      <alignment vertical="center"/>
    </xf>
    <xf numFmtId="0" fontId="6" fillId="8" borderId="1" xfId="0" applyNumberFormat="1" applyFont="1" applyFill="1" applyBorder="1">
      <alignment vertical="center"/>
    </xf>
    <xf numFmtId="0" fontId="1" fillId="8" borderId="1" xfId="0" applyNumberFormat="1" applyFont="1" applyFill="1" applyBorder="1">
      <alignment vertical="center"/>
    </xf>
    <xf numFmtId="0" fontId="1" fillId="8" borderId="0" xfId="0" applyFont="1" applyFill="1">
      <alignment vertical="center"/>
    </xf>
    <xf numFmtId="0" fontId="11" fillId="4" borderId="1" xfId="1" applyFont="1" applyFill="1" applyBorder="1" applyAlignment="1">
      <alignment horizontal="left" vertical="center"/>
    </xf>
    <xf numFmtId="0" fontId="11" fillId="4" borderId="1" xfId="1" applyFont="1" applyFill="1" applyBorder="1" applyAlignment="1">
      <alignment horizontal="left" vertical="center"/>
    </xf>
  </cellXfs>
  <cellStyles count="4">
    <cellStyle name="常规" xfId="0" builtinId="0"/>
    <cellStyle name="常规 2" xfId="2"/>
    <cellStyle name="常规 3" xfId="1"/>
    <cellStyle name="常规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4"/>
  <sheetViews>
    <sheetView tabSelected="1" zoomScale="85" zoomScaleNormal="85" workbookViewId="0">
      <pane xSplit="2" ySplit="3" topLeftCell="C67" activePane="bottomRight" state="frozen"/>
      <selection pane="topRight" activeCell="C1" sqref="C1"/>
      <selection pane="bottomLeft" activeCell="A4" sqref="A4"/>
      <selection pane="bottomRight" activeCell="B85" sqref="B85"/>
    </sheetView>
  </sheetViews>
  <sheetFormatPr defaultColWidth="9" defaultRowHeight="16.5" x14ac:dyDescent="0.15"/>
  <cols>
    <col min="1" max="1" width="13.125" style="10" customWidth="1"/>
    <col min="2" max="2" width="16.125" style="2" bestFit="1" customWidth="1"/>
    <col min="3" max="3" width="16.125" style="2" customWidth="1"/>
    <col min="4" max="5" width="21.25" style="3" bestFit="1" customWidth="1"/>
    <col min="6" max="6" width="18" style="3" bestFit="1" customWidth="1"/>
    <col min="7" max="7" width="21.625" style="2" customWidth="1"/>
    <col min="8" max="8" width="53.25" style="2" customWidth="1"/>
    <col min="9" max="9" width="180.75" style="41" bestFit="1" customWidth="1"/>
    <col min="10" max="10" width="18.625" style="32" customWidth="1"/>
    <col min="11" max="11" width="18.625" style="27" bestFit="1" customWidth="1"/>
    <col min="12" max="12" width="19.5" style="2" bestFit="1" customWidth="1"/>
    <col min="13" max="13" width="25.75" style="2" bestFit="1" customWidth="1"/>
    <col min="14" max="14" width="27.875" style="2" bestFit="1" customWidth="1"/>
    <col min="15" max="15" width="17.5" style="2" bestFit="1" customWidth="1"/>
    <col min="16" max="16" width="8" style="13" customWidth="1"/>
    <col min="17" max="17" width="21.625" style="2" bestFit="1" customWidth="1"/>
    <col min="18" max="18" width="25.75" style="2" bestFit="1" customWidth="1"/>
    <col min="19" max="19" width="27.875" style="2" bestFit="1" customWidth="1"/>
    <col min="20" max="20" width="21.625" style="2" bestFit="1" customWidth="1"/>
    <col min="21" max="16384" width="9" style="2"/>
  </cols>
  <sheetData>
    <row r="1" spans="1:20" s="20" customFormat="1" ht="123.75" customHeight="1" x14ac:dyDescent="0.15">
      <c r="A1" s="15" t="s">
        <v>37</v>
      </c>
      <c r="B1" s="16" t="s">
        <v>0</v>
      </c>
      <c r="C1" s="16" t="s">
        <v>76</v>
      </c>
      <c r="D1" s="17" t="s">
        <v>27</v>
      </c>
      <c r="E1" s="17" t="s">
        <v>1</v>
      </c>
      <c r="F1" s="17" t="s">
        <v>9</v>
      </c>
      <c r="G1" s="14" t="s">
        <v>2</v>
      </c>
      <c r="H1" s="14" t="s">
        <v>131</v>
      </c>
      <c r="I1" s="39" t="s">
        <v>38</v>
      </c>
      <c r="J1" s="30" t="s">
        <v>40</v>
      </c>
      <c r="K1" s="15" t="s">
        <v>34</v>
      </c>
      <c r="L1" s="18" t="s">
        <v>60</v>
      </c>
      <c r="M1" s="18" t="s">
        <v>194</v>
      </c>
      <c r="N1" s="14" t="s">
        <v>58</v>
      </c>
      <c r="O1" s="14" t="s">
        <v>59</v>
      </c>
      <c r="P1" s="19"/>
      <c r="Q1" s="18" t="s">
        <v>13</v>
      </c>
      <c r="R1" s="18" t="s">
        <v>14</v>
      </c>
      <c r="S1" s="14" t="s">
        <v>15</v>
      </c>
      <c r="T1" s="14" t="s">
        <v>16</v>
      </c>
    </row>
    <row r="2" spans="1:20" s="1" customFormat="1" x14ac:dyDescent="0.15">
      <c r="A2" s="8" t="s">
        <v>3</v>
      </c>
      <c r="B2" s="4" t="s">
        <v>4</v>
      </c>
      <c r="C2" s="4" t="s">
        <v>77</v>
      </c>
      <c r="D2" s="5" t="s">
        <v>28</v>
      </c>
      <c r="E2" s="5" t="s">
        <v>5</v>
      </c>
      <c r="F2" s="5" t="s">
        <v>10</v>
      </c>
      <c r="G2" s="5" t="s">
        <v>6</v>
      </c>
      <c r="H2" s="5" t="s">
        <v>25</v>
      </c>
      <c r="I2" s="40" t="s">
        <v>11</v>
      </c>
      <c r="J2" s="28" t="s">
        <v>36</v>
      </c>
      <c r="K2" s="8" t="s">
        <v>35</v>
      </c>
      <c r="L2" s="5" t="s">
        <v>17</v>
      </c>
      <c r="M2" s="5" t="s">
        <v>18</v>
      </c>
      <c r="N2" s="5" t="s">
        <v>19</v>
      </c>
      <c r="O2" s="5" t="s">
        <v>20</v>
      </c>
      <c r="P2" s="11"/>
      <c r="Q2" s="5"/>
      <c r="R2" s="5"/>
      <c r="S2" s="5"/>
      <c r="T2" s="5"/>
    </row>
    <row r="3" spans="1:20" s="1" customFormat="1" x14ac:dyDescent="0.15">
      <c r="A3" s="8" t="s">
        <v>7</v>
      </c>
      <c r="B3" s="4" t="s">
        <v>7</v>
      </c>
      <c r="C3" s="4" t="s">
        <v>78</v>
      </c>
      <c r="D3" s="5" t="s">
        <v>7</v>
      </c>
      <c r="E3" s="5" t="s">
        <v>7</v>
      </c>
      <c r="F3" s="5" t="s">
        <v>7</v>
      </c>
      <c r="G3" s="5" t="s">
        <v>8</v>
      </c>
      <c r="H3" s="5" t="s">
        <v>26</v>
      </c>
      <c r="I3" s="40" t="s">
        <v>12</v>
      </c>
      <c r="J3" s="28" t="s">
        <v>8</v>
      </c>
      <c r="K3" s="8" t="s">
        <v>26</v>
      </c>
      <c r="L3" s="5" t="s">
        <v>21</v>
      </c>
      <c r="M3" s="5" t="s">
        <v>21</v>
      </c>
      <c r="N3" s="5" t="s">
        <v>22</v>
      </c>
      <c r="O3" s="5" t="s">
        <v>23</v>
      </c>
      <c r="P3" s="11"/>
      <c r="Q3" s="5"/>
      <c r="R3" s="5"/>
      <c r="S3" s="5"/>
      <c r="T3" s="5"/>
    </row>
    <row r="4" spans="1:20" x14ac:dyDescent="0.15">
      <c r="A4" s="9">
        <v>101</v>
      </c>
      <c r="B4" s="6" t="s">
        <v>143</v>
      </c>
      <c r="C4" s="6" t="s">
        <v>80</v>
      </c>
      <c r="D4" s="6" t="s">
        <v>158</v>
      </c>
      <c r="E4" s="6" t="s">
        <v>92</v>
      </c>
      <c r="F4" s="6" t="s">
        <v>32</v>
      </c>
      <c r="G4" s="6">
        <v>2</v>
      </c>
      <c r="H4" s="6">
        <v>22</v>
      </c>
      <c r="I4" s="7" t="s">
        <v>24</v>
      </c>
      <c r="J4" s="29">
        <v>1</v>
      </c>
      <c r="K4" s="26">
        <v>2</v>
      </c>
      <c r="L4" s="26">
        <v>1</v>
      </c>
      <c r="M4" s="26">
        <v>11</v>
      </c>
      <c r="N4" s="26">
        <v>1</v>
      </c>
      <c r="O4" s="26">
        <v>11</v>
      </c>
      <c r="P4" s="12"/>
      <c r="Q4" s="26" t="str">
        <f t="shared" ref="Q4:T7" si="0">IF($K4=1,TEXT((L4+8*3600)/86400+70*365+19,"yyyy-mm-dd hh:mm:ss"),"")</f>
        <v/>
      </c>
      <c r="R4" s="26" t="str">
        <f t="shared" si="0"/>
        <v/>
      </c>
      <c r="S4" s="26" t="str">
        <f t="shared" si="0"/>
        <v/>
      </c>
      <c r="T4" s="26" t="str">
        <f t="shared" si="0"/>
        <v/>
      </c>
    </row>
    <row r="5" spans="1:20" x14ac:dyDescent="0.15">
      <c r="A5" s="9">
        <v>102</v>
      </c>
      <c r="B5" s="6" t="s">
        <v>141</v>
      </c>
      <c r="C5" s="6" t="s">
        <v>88</v>
      </c>
      <c r="D5" s="6" t="s">
        <v>89</v>
      </c>
      <c r="E5" s="6" t="s">
        <v>90</v>
      </c>
      <c r="F5" s="6" t="s">
        <v>91</v>
      </c>
      <c r="G5" s="6">
        <v>1</v>
      </c>
      <c r="H5" s="6">
        <v>22</v>
      </c>
      <c r="I5" s="7" t="s">
        <v>87</v>
      </c>
      <c r="J5" s="29">
        <v>1</v>
      </c>
      <c r="K5" s="26">
        <v>2</v>
      </c>
      <c r="L5" s="26">
        <v>1</v>
      </c>
      <c r="M5" s="26">
        <v>11</v>
      </c>
      <c r="N5" s="26">
        <v>1</v>
      </c>
      <c r="O5" s="26">
        <v>11</v>
      </c>
      <c r="P5" s="12"/>
      <c r="Q5" s="26" t="str">
        <f t="shared" ref="Q5:T6" si="1">IF($K5=1,TEXT((L5+8*3600)/86400+70*365+19,"yyyy-mm-dd hh:mm:ss"),"")</f>
        <v/>
      </c>
      <c r="R5" s="26" t="str">
        <f t="shared" si="1"/>
        <v/>
      </c>
      <c r="S5" s="26" t="str">
        <f t="shared" si="1"/>
        <v/>
      </c>
      <c r="T5" s="26" t="str">
        <f t="shared" si="1"/>
        <v/>
      </c>
    </row>
    <row r="6" spans="1:20" x14ac:dyDescent="0.15">
      <c r="A6" s="9">
        <v>103</v>
      </c>
      <c r="B6" s="6" t="s">
        <v>142</v>
      </c>
      <c r="C6" s="6" t="s">
        <v>88</v>
      </c>
      <c r="D6" s="6" t="s">
        <v>158</v>
      </c>
      <c r="E6" s="6" t="s">
        <v>90</v>
      </c>
      <c r="F6" s="6" t="s">
        <v>91</v>
      </c>
      <c r="G6" s="6">
        <v>1</v>
      </c>
      <c r="H6" s="6">
        <v>22</v>
      </c>
      <c r="I6" s="7" t="s">
        <v>96</v>
      </c>
      <c r="J6" s="29">
        <v>8</v>
      </c>
      <c r="K6" s="26">
        <v>2</v>
      </c>
      <c r="L6" s="26">
        <v>8</v>
      </c>
      <c r="M6" s="26">
        <v>18</v>
      </c>
      <c r="N6" s="26">
        <v>8</v>
      </c>
      <c r="O6" s="26">
        <v>18</v>
      </c>
      <c r="P6" s="12"/>
      <c r="Q6" s="26" t="str">
        <f t="shared" si="1"/>
        <v/>
      </c>
      <c r="R6" s="26" t="str">
        <f t="shared" si="1"/>
        <v/>
      </c>
      <c r="S6" s="26" t="str">
        <f t="shared" si="1"/>
        <v/>
      </c>
      <c r="T6" s="26" t="str">
        <f t="shared" si="1"/>
        <v/>
      </c>
    </row>
    <row r="7" spans="1:20" s="24" customFormat="1" x14ac:dyDescent="0.15">
      <c r="A7" s="21">
        <v>201</v>
      </c>
      <c r="B7" s="22" t="s">
        <v>56</v>
      </c>
      <c r="C7" s="22" t="s">
        <v>80</v>
      </c>
      <c r="D7" s="22" t="s">
        <v>158</v>
      </c>
      <c r="E7" s="22" t="s">
        <v>157</v>
      </c>
      <c r="F7" s="22" t="s">
        <v>29</v>
      </c>
      <c r="G7" s="22">
        <v>3</v>
      </c>
      <c r="H7" s="22">
        <v>12</v>
      </c>
      <c r="I7" s="23" t="s">
        <v>53</v>
      </c>
      <c r="J7" s="31">
        <v>1</v>
      </c>
      <c r="K7" s="25">
        <v>2</v>
      </c>
      <c r="L7" s="25">
        <v>1</v>
      </c>
      <c r="M7" s="25">
        <v>2</v>
      </c>
      <c r="N7" s="25">
        <v>1</v>
      </c>
      <c r="O7" s="25">
        <v>2</v>
      </c>
      <c r="P7" s="12"/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</row>
    <row r="8" spans="1:20" s="24" customFormat="1" x14ac:dyDescent="0.15">
      <c r="A8" s="21">
        <v>202</v>
      </c>
      <c r="B8" s="22" t="s">
        <v>56</v>
      </c>
      <c r="C8" s="22" t="s">
        <v>80</v>
      </c>
      <c r="D8" s="22" t="s">
        <v>158</v>
      </c>
      <c r="E8" s="22" t="s">
        <v>157</v>
      </c>
      <c r="F8" s="22" t="s">
        <v>29</v>
      </c>
      <c r="G8" s="22">
        <v>3</v>
      </c>
      <c r="H8" s="22">
        <v>12</v>
      </c>
      <c r="I8" s="23" t="s">
        <v>41</v>
      </c>
      <c r="J8" s="31">
        <v>1</v>
      </c>
      <c r="K8" s="25">
        <v>2</v>
      </c>
      <c r="L8" s="25">
        <v>2</v>
      </c>
      <c r="M8" s="25">
        <v>3</v>
      </c>
      <c r="N8" s="25">
        <v>2</v>
      </c>
      <c r="O8" s="25">
        <v>3</v>
      </c>
      <c r="P8" s="12"/>
      <c r="Q8" s="23" t="str">
        <f t="shared" ref="Q8:Q21" si="2">IF($K8=1,TEXT((L8+8*3600)/86400+70*365+19,"yyyy-mm-dd hh:mm:ss"),"")</f>
        <v/>
      </c>
      <c r="R8" s="23" t="str">
        <f t="shared" ref="R8:R21" si="3">IF($K8=1,TEXT((M8+8*3600)/86400+70*365+19,"yyyy-mm-dd hh:mm:ss"),"")</f>
        <v/>
      </c>
      <c r="S8" s="23" t="str">
        <f t="shared" ref="S8:S21" si="4">IF($K8=1,TEXT((N8+8*3600)/86400+70*365+19,"yyyy-mm-dd hh:mm:ss"),"")</f>
        <v/>
      </c>
      <c r="T8" s="23" t="str">
        <f t="shared" ref="T8:T21" si="5">IF($K8=1,TEXT((O8+8*3600)/86400+70*365+19,"yyyy-mm-dd hh:mm:ss"),"")</f>
        <v/>
      </c>
    </row>
    <row r="9" spans="1:20" s="24" customFormat="1" x14ac:dyDescent="0.15">
      <c r="A9" s="21">
        <v>203</v>
      </c>
      <c r="B9" s="22" t="s">
        <v>56</v>
      </c>
      <c r="C9" s="22" t="s">
        <v>80</v>
      </c>
      <c r="D9" s="22" t="s">
        <v>158</v>
      </c>
      <c r="E9" s="22" t="s">
        <v>157</v>
      </c>
      <c r="F9" s="22" t="s">
        <v>29</v>
      </c>
      <c r="G9" s="22">
        <v>3</v>
      </c>
      <c r="H9" s="22">
        <v>12</v>
      </c>
      <c r="I9" s="23" t="s">
        <v>42</v>
      </c>
      <c r="J9" s="31">
        <v>1</v>
      </c>
      <c r="K9" s="25">
        <v>2</v>
      </c>
      <c r="L9" s="25">
        <v>3</v>
      </c>
      <c r="M9" s="25">
        <v>4</v>
      </c>
      <c r="N9" s="25">
        <v>3</v>
      </c>
      <c r="O9" s="25">
        <v>4</v>
      </c>
      <c r="P9" s="12"/>
      <c r="Q9" s="23" t="str">
        <f t="shared" si="2"/>
        <v/>
      </c>
      <c r="R9" s="23" t="str">
        <f t="shared" si="3"/>
        <v/>
      </c>
      <c r="S9" s="23" t="str">
        <f t="shared" si="4"/>
        <v/>
      </c>
      <c r="T9" s="23" t="str">
        <f t="shared" si="5"/>
        <v/>
      </c>
    </row>
    <row r="10" spans="1:20" s="24" customFormat="1" x14ac:dyDescent="0.15">
      <c r="A10" s="21">
        <v>204</v>
      </c>
      <c r="B10" s="22" t="s">
        <v>56</v>
      </c>
      <c r="C10" s="22" t="s">
        <v>80</v>
      </c>
      <c r="D10" s="22" t="s">
        <v>158</v>
      </c>
      <c r="E10" s="22" t="s">
        <v>157</v>
      </c>
      <c r="F10" s="22" t="s">
        <v>29</v>
      </c>
      <c r="G10" s="22">
        <v>3</v>
      </c>
      <c r="H10" s="22">
        <v>12</v>
      </c>
      <c r="I10" s="23" t="s">
        <v>43</v>
      </c>
      <c r="J10" s="31">
        <v>1</v>
      </c>
      <c r="K10" s="25">
        <v>2</v>
      </c>
      <c r="L10" s="25">
        <v>4</v>
      </c>
      <c r="M10" s="25">
        <v>5</v>
      </c>
      <c r="N10" s="25">
        <v>4</v>
      </c>
      <c r="O10" s="25">
        <v>5</v>
      </c>
      <c r="P10" s="12"/>
      <c r="Q10" s="23" t="str">
        <f t="shared" si="2"/>
        <v/>
      </c>
      <c r="R10" s="23" t="str">
        <f t="shared" si="3"/>
        <v/>
      </c>
      <c r="S10" s="23" t="str">
        <f t="shared" si="4"/>
        <v/>
      </c>
      <c r="T10" s="23" t="str">
        <f t="shared" si="5"/>
        <v/>
      </c>
    </row>
    <row r="11" spans="1:20" s="24" customFormat="1" x14ac:dyDescent="0.15">
      <c r="A11" s="21">
        <v>205</v>
      </c>
      <c r="B11" s="22" t="s">
        <v>56</v>
      </c>
      <c r="C11" s="22" t="s">
        <v>80</v>
      </c>
      <c r="D11" s="22" t="s">
        <v>158</v>
      </c>
      <c r="E11" s="22" t="s">
        <v>157</v>
      </c>
      <c r="F11" s="22" t="s">
        <v>29</v>
      </c>
      <c r="G11" s="22">
        <v>3</v>
      </c>
      <c r="H11" s="22">
        <v>12</v>
      </c>
      <c r="I11" s="23" t="s">
        <v>44</v>
      </c>
      <c r="J11" s="31">
        <v>1</v>
      </c>
      <c r="K11" s="25">
        <v>2</v>
      </c>
      <c r="L11" s="25">
        <v>5</v>
      </c>
      <c r="M11" s="25">
        <v>6</v>
      </c>
      <c r="N11" s="25">
        <v>5</v>
      </c>
      <c r="O11" s="25">
        <v>6</v>
      </c>
      <c r="P11" s="12"/>
      <c r="Q11" s="23" t="str">
        <f t="shared" si="2"/>
        <v/>
      </c>
      <c r="R11" s="23" t="str">
        <f t="shared" si="3"/>
        <v/>
      </c>
      <c r="S11" s="23" t="str">
        <f t="shared" si="4"/>
        <v/>
      </c>
      <c r="T11" s="23" t="str">
        <f t="shared" si="5"/>
        <v/>
      </c>
    </row>
    <row r="12" spans="1:20" s="24" customFormat="1" x14ac:dyDescent="0.15">
      <c r="A12" s="21">
        <v>206</v>
      </c>
      <c r="B12" s="22" t="s">
        <v>56</v>
      </c>
      <c r="C12" s="22" t="s">
        <v>80</v>
      </c>
      <c r="D12" s="22" t="s">
        <v>158</v>
      </c>
      <c r="E12" s="22" t="s">
        <v>157</v>
      </c>
      <c r="F12" s="22" t="s">
        <v>29</v>
      </c>
      <c r="G12" s="22">
        <v>3</v>
      </c>
      <c r="H12" s="22">
        <v>12</v>
      </c>
      <c r="I12" s="23" t="s">
        <v>45</v>
      </c>
      <c r="J12" s="31">
        <v>1</v>
      </c>
      <c r="K12" s="25">
        <v>2</v>
      </c>
      <c r="L12" s="25">
        <v>6</v>
      </c>
      <c r="M12" s="25">
        <v>7</v>
      </c>
      <c r="N12" s="25">
        <v>6</v>
      </c>
      <c r="O12" s="25">
        <v>7</v>
      </c>
      <c r="P12" s="12"/>
      <c r="Q12" s="23" t="str">
        <f t="shared" si="2"/>
        <v/>
      </c>
      <c r="R12" s="23" t="str">
        <f t="shared" si="3"/>
        <v/>
      </c>
      <c r="S12" s="23" t="str">
        <f t="shared" si="4"/>
        <v/>
      </c>
      <c r="T12" s="23" t="str">
        <f t="shared" si="5"/>
        <v/>
      </c>
    </row>
    <row r="13" spans="1:20" s="24" customFormat="1" x14ac:dyDescent="0.15">
      <c r="A13" s="21">
        <v>207</v>
      </c>
      <c r="B13" s="22" t="s">
        <v>56</v>
      </c>
      <c r="C13" s="22" t="s">
        <v>80</v>
      </c>
      <c r="D13" s="22" t="s">
        <v>158</v>
      </c>
      <c r="E13" s="22" t="s">
        <v>157</v>
      </c>
      <c r="F13" s="22" t="s">
        <v>29</v>
      </c>
      <c r="G13" s="22">
        <v>3</v>
      </c>
      <c r="H13" s="22">
        <v>12</v>
      </c>
      <c r="I13" s="23" t="s">
        <v>46</v>
      </c>
      <c r="J13" s="31">
        <v>1</v>
      </c>
      <c r="K13" s="25">
        <v>2</v>
      </c>
      <c r="L13" s="25">
        <v>7</v>
      </c>
      <c r="M13" s="25">
        <v>8</v>
      </c>
      <c r="N13" s="25">
        <v>7</v>
      </c>
      <c r="O13" s="25">
        <v>8</v>
      </c>
      <c r="P13" s="12"/>
      <c r="Q13" s="23" t="str">
        <f t="shared" si="2"/>
        <v/>
      </c>
      <c r="R13" s="23" t="str">
        <f t="shared" si="3"/>
        <v/>
      </c>
      <c r="S13" s="23" t="str">
        <f t="shared" si="4"/>
        <v/>
      </c>
      <c r="T13" s="23" t="str">
        <f t="shared" si="5"/>
        <v/>
      </c>
    </row>
    <row r="14" spans="1:20" s="24" customFormat="1" x14ac:dyDescent="0.15">
      <c r="A14" s="33">
        <v>211</v>
      </c>
      <c r="B14" s="34" t="s">
        <v>56</v>
      </c>
      <c r="C14" s="34" t="s">
        <v>121</v>
      </c>
      <c r="D14" s="34" t="s">
        <v>158</v>
      </c>
      <c r="E14" s="34" t="s">
        <v>157</v>
      </c>
      <c r="F14" s="34" t="s">
        <v>29</v>
      </c>
      <c r="G14" s="34">
        <v>3</v>
      </c>
      <c r="H14" s="34">
        <v>12</v>
      </c>
      <c r="I14" s="35" t="s">
        <v>54</v>
      </c>
      <c r="J14" s="36">
        <v>8</v>
      </c>
      <c r="K14" s="37">
        <v>3</v>
      </c>
      <c r="L14" s="37">
        <v>1</v>
      </c>
      <c r="M14" s="37">
        <v>2</v>
      </c>
      <c r="N14" s="37">
        <v>1</v>
      </c>
      <c r="O14" s="37">
        <v>2</v>
      </c>
      <c r="P14" s="12"/>
      <c r="Q14" s="35" t="str">
        <f t="shared" si="2"/>
        <v/>
      </c>
      <c r="R14" s="35" t="str">
        <f t="shared" si="3"/>
        <v/>
      </c>
      <c r="S14" s="35" t="str">
        <f t="shared" si="4"/>
        <v/>
      </c>
      <c r="T14" s="35" t="str">
        <f t="shared" si="5"/>
        <v/>
      </c>
    </row>
    <row r="15" spans="1:20" s="24" customFormat="1" x14ac:dyDescent="0.15">
      <c r="A15" s="33">
        <v>212</v>
      </c>
      <c r="B15" s="34" t="s">
        <v>56</v>
      </c>
      <c r="C15" s="34" t="s">
        <v>81</v>
      </c>
      <c r="D15" s="34" t="s">
        <v>158</v>
      </c>
      <c r="E15" s="34" t="s">
        <v>157</v>
      </c>
      <c r="F15" s="34" t="s">
        <v>29</v>
      </c>
      <c r="G15" s="34">
        <v>3</v>
      </c>
      <c r="H15" s="34">
        <v>12</v>
      </c>
      <c r="I15" s="35" t="s">
        <v>47</v>
      </c>
      <c r="J15" s="36">
        <v>8</v>
      </c>
      <c r="K15" s="37">
        <v>3</v>
      </c>
      <c r="L15" s="37">
        <v>2</v>
      </c>
      <c r="M15" s="37">
        <v>3</v>
      </c>
      <c r="N15" s="37">
        <v>2</v>
      </c>
      <c r="O15" s="37">
        <v>3</v>
      </c>
      <c r="P15" s="12"/>
      <c r="Q15" s="35" t="str">
        <f t="shared" si="2"/>
        <v/>
      </c>
      <c r="R15" s="35" t="str">
        <f t="shared" si="3"/>
        <v/>
      </c>
      <c r="S15" s="35" t="str">
        <f t="shared" si="4"/>
        <v/>
      </c>
      <c r="T15" s="35" t="str">
        <f t="shared" si="5"/>
        <v/>
      </c>
    </row>
    <row r="16" spans="1:20" s="24" customFormat="1" x14ac:dyDescent="0.15">
      <c r="A16" s="33">
        <v>213</v>
      </c>
      <c r="B16" s="34" t="s">
        <v>56</v>
      </c>
      <c r="C16" s="34" t="s">
        <v>81</v>
      </c>
      <c r="D16" s="34" t="s">
        <v>158</v>
      </c>
      <c r="E16" s="34" t="s">
        <v>157</v>
      </c>
      <c r="F16" s="34" t="s">
        <v>29</v>
      </c>
      <c r="G16" s="34">
        <v>3</v>
      </c>
      <c r="H16" s="34">
        <v>12</v>
      </c>
      <c r="I16" s="35" t="s">
        <v>48</v>
      </c>
      <c r="J16" s="36">
        <v>8</v>
      </c>
      <c r="K16" s="37">
        <v>3</v>
      </c>
      <c r="L16" s="37">
        <v>3</v>
      </c>
      <c r="M16" s="37">
        <v>4</v>
      </c>
      <c r="N16" s="37">
        <v>3</v>
      </c>
      <c r="O16" s="37">
        <v>4</v>
      </c>
      <c r="P16" s="12"/>
      <c r="Q16" s="35" t="str">
        <f t="shared" si="2"/>
        <v/>
      </c>
      <c r="R16" s="35" t="str">
        <f t="shared" si="3"/>
        <v/>
      </c>
      <c r="S16" s="35" t="str">
        <f t="shared" si="4"/>
        <v/>
      </c>
      <c r="T16" s="35" t="str">
        <f t="shared" si="5"/>
        <v/>
      </c>
    </row>
    <row r="17" spans="1:20" s="24" customFormat="1" x14ac:dyDescent="0.15">
      <c r="A17" s="33">
        <v>214</v>
      </c>
      <c r="B17" s="34" t="s">
        <v>56</v>
      </c>
      <c r="C17" s="34" t="s">
        <v>81</v>
      </c>
      <c r="D17" s="34" t="s">
        <v>158</v>
      </c>
      <c r="E17" s="34" t="s">
        <v>157</v>
      </c>
      <c r="F17" s="34" t="s">
        <v>29</v>
      </c>
      <c r="G17" s="34">
        <v>3</v>
      </c>
      <c r="H17" s="34">
        <v>12</v>
      </c>
      <c r="I17" s="35" t="s">
        <v>49</v>
      </c>
      <c r="J17" s="36">
        <v>8</v>
      </c>
      <c r="K17" s="37">
        <v>3</v>
      </c>
      <c r="L17" s="37">
        <v>4</v>
      </c>
      <c r="M17" s="37">
        <v>5</v>
      </c>
      <c r="N17" s="37">
        <v>4</v>
      </c>
      <c r="O17" s="37">
        <v>5</v>
      </c>
      <c r="P17" s="12"/>
      <c r="Q17" s="35" t="str">
        <f t="shared" si="2"/>
        <v/>
      </c>
      <c r="R17" s="35" t="str">
        <f t="shared" si="3"/>
        <v/>
      </c>
      <c r="S17" s="35" t="str">
        <f t="shared" si="4"/>
        <v/>
      </c>
      <c r="T17" s="35" t="str">
        <f t="shared" si="5"/>
        <v/>
      </c>
    </row>
    <row r="18" spans="1:20" s="24" customFormat="1" x14ac:dyDescent="0.15">
      <c r="A18" s="33">
        <v>215</v>
      </c>
      <c r="B18" s="34" t="s">
        <v>56</v>
      </c>
      <c r="C18" s="34" t="s">
        <v>81</v>
      </c>
      <c r="D18" s="34" t="s">
        <v>158</v>
      </c>
      <c r="E18" s="34" t="s">
        <v>157</v>
      </c>
      <c r="F18" s="34" t="s">
        <v>29</v>
      </c>
      <c r="G18" s="34">
        <v>3</v>
      </c>
      <c r="H18" s="34">
        <v>12</v>
      </c>
      <c r="I18" s="35" t="s">
        <v>50</v>
      </c>
      <c r="J18" s="36">
        <v>8</v>
      </c>
      <c r="K18" s="37">
        <v>3</v>
      </c>
      <c r="L18" s="37">
        <v>5</v>
      </c>
      <c r="M18" s="37">
        <v>6</v>
      </c>
      <c r="N18" s="37">
        <v>5</v>
      </c>
      <c r="O18" s="37">
        <v>6</v>
      </c>
      <c r="P18" s="12"/>
      <c r="Q18" s="35" t="str">
        <f t="shared" si="2"/>
        <v/>
      </c>
      <c r="R18" s="35" t="str">
        <f t="shared" si="3"/>
        <v/>
      </c>
      <c r="S18" s="35" t="str">
        <f t="shared" si="4"/>
        <v/>
      </c>
      <c r="T18" s="35" t="str">
        <f t="shared" si="5"/>
        <v/>
      </c>
    </row>
    <row r="19" spans="1:20" s="24" customFormat="1" x14ac:dyDescent="0.15">
      <c r="A19" s="33">
        <v>216</v>
      </c>
      <c r="B19" s="34" t="s">
        <v>56</v>
      </c>
      <c r="C19" s="34" t="s">
        <v>81</v>
      </c>
      <c r="D19" s="34" t="s">
        <v>158</v>
      </c>
      <c r="E19" s="34" t="s">
        <v>157</v>
      </c>
      <c r="F19" s="34" t="s">
        <v>29</v>
      </c>
      <c r="G19" s="34">
        <v>3</v>
      </c>
      <c r="H19" s="34">
        <v>12</v>
      </c>
      <c r="I19" s="35" t="s">
        <v>51</v>
      </c>
      <c r="J19" s="36">
        <v>8</v>
      </c>
      <c r="K19" s="37">
        <v>3</v>
      </c>
      <c r="L19" s="37">
        <v>6</v>
      </c>
      <c r="M19" s="37">
        <v>7</v>
      </c>
      <c r="N19" s="37">
        <v>6</v>
      </c>
      <c r="O19" s="37">
        <v>7</v>
      </c>
      <c r="P19" s="12"/>
      <c r="Q19" s="35" t="str">
        <f t="shared" si="2"/>
        <v/>
      </c>
      <c r="R19" s="35" t="str">
        <f t="shared" si="3"/>
        <v/>
      </c>
      <c r="S19" s="35" t="str">
        <f t="shared" si="4"/>
        <v/>
      </c>
      <c r="T19" s="35" t="str">
        <f t="shared" si="5"/>
        <v/>
      </c>
    </row>
    <row r="20" spans="1:20" s="24" customFormat="1" x14ac:dyDescent="0.15">
      <c r="A20" s="33">
        <v>217</v>
      </c>
      <c r="B20" s="34" t="s">
        <v>56</v>
      </c>
      <c r="C20" s="34" t="s">
        <v>81</v>
      </c>
      <c r="D20" s="34" t="s">
        <v>158</v>
      </c>
      <c r="E20" s="34" t="s">
        <v>157</v>
      </c>
      <c r="F20" s="34" t="s">
        <v>29</v>
      </c>
      <c r="G20" s="34">
        <v>3</v>
      </c>
      <c r="H20" s="34">
        <v>12</v>
      </c>
      <c r="I20" s="35" t="s">
        <v>52</v>
      </c>
      <c r="J20" s="36">
        <v>8</v>
      </c>
      <c r="K20" s="37">
        <v>3</v>
      </c>
      <c r="L20" s="37">
        <v>7</v>
      </c>
      <c r="M20" s="37">
        <v>8</v>
      </c>
      <c r="N20" s="37">
        <v>7</v>
      </c>
      <c r="O20" s="37">
        <v>8</v>
      </c>
      <c r="P20" s="12"/>
      <c r="Q20" s="35" t="str">
        <f t="shared" si="2"/>
        <v/>
      </c>
      <c r="R20" s="35" t="str">
        <f t="shared" si="3"/>
        <v/>
      </c>
      <c r="S20" s="35" t="str">
        <f t="shared" si="4"/>
        <v/>
      </c>
      <c r="T20" s="35" t="str">
        <f t="shared" si="5"/>
        <v/>
      </c>
    </row>
    <row r="21" spans="1:20" s="24" customFormat="1" x14ac:dyDescent="0.15">
      <c r="A21" s="21">
        <v>301</v>
      </c>
      <c r="B21" s="22" t="s">
        <v>57</v>
      </c>
      <c r="C21" s="22" t="s">
        <v>80</v>
      </c>
      <c r="D21" s="22" t="s">
        <v>158</v>
      </c>
      <c r="E21" s="22" t="s">
        <v>39</v>
      </c>
      <c r="F21" s="22" t="s">
        <v>31</v>
      </c>
      <c r="G21" s="22">
        <v>4</v>
      </c>
      <c r="H21" s="22">
        <v>47</v>
      </c>
      <c r="I21" s="23" t="s">
        <v>55</v>
      </c>
      <c r="J21" s="31">
        <v>1</v>
      </c>
      <c r="K21" s="25">
        <v>2</v>
      </c>
      <c r="L21" s="25">
        <v>1</v>
      </c>
      <c r="M21" s="25">
        <v>2</v>
      </c>
      <c r="N21" s="25">
        <v>1</v>
      </c>
      <c r="O21" s="25">
        <v>2</v>
      </c>
      <c r="P21" s="12"/>
      <c r="Q21" s="23" t="str">
        <f t="shared" si="2"/>
        <v/>
      </c>
      <c r="R21" s="23" t="str">
        <f t="shared" si="3"/>
        <v/>
      </c>
      <c r="S21" s="23" t="str">
        <f t="shared" si="4"/>
        <v/>
      </c>
      <c r="T21" s="23" t="str">
        <f t="shared" si="5"/>
        <v/>
      </c>
    </row>
    <row r="22" spans="1:20" s="24" customFormat="1" x14ac:dyDescent="0.15">
      <c r="A22" s="21">
        <v>302</v>
      </c>
      <c r="B22" s="22" t="s">
        <v>57</v>
      </c>
      <c r="C22" s="22" t="s">
        <v>80</v>
      </c>
      <c r="D22" s="22" t="s">
        <v>158</v>
      </c>
      <c r="E22" s="22" t="s">
        <v>39</v>
      </c>
      <c r="F22" s="22" t="s">
        <v>31</v>
      </c>
      <c r="G22" s="22">
        <v>4</v>
      </c>
      <c r="H22" s="22">
        <v>47</v>
      </c>
      <c r="I22" s="23" t="s">
        <v>97</v>
      </c>
      <c r="J22" s="31">
        <v>1</v>
      </c>
      <c r="K22" s="25">
        <v>2</v>
      </c>
      <c r="L22" s="25">
        <v>2</v>
      </c>
      <c r="M22" s="25">
        <v>3</v>
      </c>
      <c r="N22" s="25">
        <v>2</v>
      </c>
      <c r="O22" s="25">
        <v>3</v>
      </c>
      <c r="P22" s="12"/>
      <c r="Q22" s="23" t="str">
        <f t="shared" ref="Q22:Q25" si="6">IF($K22=1,TEXT((L22+8*3600)/86400+70*365+19,"yyyy-mm-dd hh:mm:ss"),"")</f>
        <v/>
      </c>
      <c r="R22" s="23" t="str">
        <f t="shared" ref="R22:R25" si="7">IF($K22=1,TEXT((M22+8*3600)/86400+70*365+19,"yyyy-mm-dd hh:mm:ss"),"")</f>
        <v/>
      </c>
      <c r="S22" s="23" t="str">
        <f t="shared" ref="S22:S25" si="8">IF($K22=1,TEXT((N22+8*3600)/86400+70*365+19,"yyyy-mm-dd hh:mm:ss"),"")</f>
        <v/>
      </c>
      <c r="T22" s="23" t="str">
        <f t="shared" ref="T22:T25" si="9">IF($K22=1,TEXT((O22+8*3600)/86400+70*365+19,"yyyy-mm-dd hh:mm:ss"),"")</f>
        <v/>
      </c>
    </row>
    <row r="23" spans="1:20" s="24" customFormat="1" x14ac:dyDescent="0.15">
      <c r="A23" s="21">
        <v>303</v>
      </c>
      <c r="B23" s="22" t="s">
        <v>57</v>
      </c>
      <c r="C23" s="22" t="s">
        <v>80</v>
      </c>
      <c r="D23" s="22" t="s">
        <v>158</v>
      </c>
      <c r="E23" s="22" t="s">
        <v>39</v>
      </c>
      <c r="F23" s="22" t="s">
        <v>31</v>
      </c>
      <c r="G23" s="22">
        <v>4</v>
      </c>
      <c r="H23" s="22">
        <v>47</v>
      </c>
      <c r="I23" s="23" t="s">
        <v>98</v>
      </c>
      <c r="J23" s="31">
        <v>1</v>
      </c>
      <c r="K23" s="25">
        <v>2</v>
      </c>
      <c r="L23" s="25">
        <v>3</v>
      </c>
      <c r="M23" s="25">
        <v>4</v>
      </c>
      <c r="N23" s="25">
        <v>3</v>
      </c>
      <c r="O23" s="25">
        <v>4</v>
      </c>
      <c r="P23" s="12"/>
      <c r="Q23" s="23" t="str">
        <f t="shared" si="6"/>
        <v/>
      </c>
      <c r="R23" s="23" t="str">
        <f t="shared" si="7"/>
        <v/>
      </c>
      <c r="S23" s="23" t="str">
        <f t="shared" si="8"/>
        <v/>
      </c>
      <c r="T23" s="23" t="str">
        <f t="shared" si="9"/>
        <v/>
      </c>
    </row>
    <row r="24" spans="1:20" s="24" customFormat="1" x14ac:dyDescent="0.15">
      <c r="A24" s="21">
        <v>304</v>
      </c>
      <c r="B24" s="22" t="s">
        <v>57</v>
      </c>
      <c r="C24" s="22" t="s">
        <v>80</v>
      </c>
      <c r="D24" s="22" t="s">
        <v>158</v>
      </c>
      <c r="E24" s="22" t="s">
        <v>39</v>
      </c>
      <c r="F24" s="22" t="s">
        <v>31</v>
      </c>
      <c r="G24" s="22">
        <v>4</v>
      </c>
      <c r="H24" s="22">
        <v>47</v>
      </c>
      <c r="I24" s="23" t="s">
        <v>99</v>
      </c>
      <c r="J24" s="31">
        <v>1</v>
      </c>
      <c r="K24" s="25">
        <v>2</v>
      </c>
      <c r="L24" s="25">
        <v>4</v>
      </c>
      <c r="M24" s="25">
        <v>5</v>
      </c>
      <c r="N24" s="25">
        <v>4</v>
      </c>
      <c r="O24" s="25">
        <v>5</v>
      </c>
      <c r="P24" s="12"/>
      <c r="Q24" s="23" t="str">
        <f t="shared" si="6"/>
        <v/>
      </c>
      <c r="R24" s="23" t="str">
        <f t="shared" si="7"/>
        <v/>
      </c>
      <c r="S24" s="23" t="str">
        <f t="shared" si="8"/>
        <v/>
      </c>
      <c r="T24" s="23" t="str">
        <f t="shared" si="9"/>
        <v/>
      </c>
    </row>
    <row r="25" spans="1:20" s="24" customFormat="1" x14ac:dyDescent="0.15">
      <c r="A25" s="21">
        <v>305</v>
      </c>
      <c r="B25" s="22" t="s">
        <v>57</v>
      </c>
      <c r="C25" s="22" t="s">
        <v>80</v>
      </c>
      <c r="D25" s="22" t="s">
        <v>158</v>
      </c>
      <c r="E25" s="22" t="s">
        <v>39</v>
      </c>
      <c r="F25" s="22" t="s">
        <v>31</v>
      </c>
      <c r="G25" s="22">
        <v>4</v>
      </c>
      <c r="H25" s="22">
        <v>47</v>
      </c>
      <c r="I25" s="23" t="s">
        <v>100</v>
      </c>
      <c r="J25" s="31">
        <v>1</v>
      </c>
      <c r="K25" s="25">
        <v>2</v>
      </c>
      <c r="L25" s="25">
        <v>5</v>
      </c>
      <c r="M25" s="25">
        <v>6</v>
      </c>
      <c r="N25" s="25">
        <v>5</v>
      </c>
      <c r="O25" s="25">
        <v>6</v>
      </c>
      <c r="P25" s="12"/>
      <c r="Q25" s="23" t="str">
        <f t="shared" si="6"/>
        <v/>
      </c>
      <c r="R25" s="23" t="str">
        <f t="shared" si="7"/>
        <v/>
      </c>
      <c r="S25" s="23" t="str">
        <f t="shared" si="8"/>
        <v/>
      </c>
      <c r="T25" s="23" t="str">
        <f t="shared" si="9"/>
        <v/>
      </c>
    </row>
    <row r="26" spans="1:20" s="24" customFormat="1" x14ac:dyDescent="0.15">
      <c r="A26" s="21">
        <v>306</v>
      </c>
      <c r="B26" s="22" t="s">
        <v>57</v>
      </c>
      <c r="C26" s="22" t="s">
        <v>80</v>
      </c>
      <c r="D26" s="22" t="s">
        <v>158</v>
      </c>
      <c r="E26" s="22" t="s">
        <v>39</v>
      </c>
      <c r="F26" s="22" t="s">
        <v>31</v>
      </c>
      <c r="G26" s="22">
        <v>4</v>
      </c>
      <c r="H26" s="22">
        <v>47</v>
      </c>
      <c r="I26" s="23" t="s">
        <v>101</v>
      </c>
      <c r="J26" s="31">
        <v>1</v>
      </c>
      <c r="K26" s="25">
        <v>2</v>
      </c>
      <c r="L26" s="25">
        <v>6</v>
      </c>
      <c r="M26" s="25">
        <v>7</v>
      </c>
      <c r="N26" s="25">
        <v>6</v>
      </c>
      <c r="O26" s="25">
        <v>7</v>
      </c>
      <c r="P26" s="12"/>
      <c r="Q26" s="23" t="str">
        <f t="shared" ref="Q26" si="10">IF($K26=1,TEXT((L26+8*3600)/86400+70*365+19,"yyyy-mm-dd hh:mm:ss"),"")</f>
        <v/>
      </c>
      <c r="R26" s="23" t="str">
        <f t="shared" ref="R26" si="11">IF($K26=1,TEXT((M26+8*3600)/86400+70*365+19,"yyyy-mm-dd hh:mm:ss"),"")</f>
        <v/>
      </c>
      <c r="S26" s="23" t="str">
        <f t="shared" ref="S26" si="12">IF($K26=1,TEXT((N26+8*3600)/86400+70*365+19,"yyyy-mm-dd hh:mm:ss"),"")</f>
        <v/>
      </c>
      <c r="T26" s="23" t="str">
        <f t="shared" ref="T26" si="13">IF($K26=1,TEXT((O26+8*3600)/86400+70*365+19,"yyyy-mm-dd hh:mm:ss"),"")</f>
        <v/>
      </c>
    </row>
    <row r="27" spans="1:20" s="24" customFormat="1" x14ac:dyDescent="0.15">
      <c r="A27" s="21">
        <v>307</v>
      </c>
      <c r="B27" s="22" t="s">
        <v>57</v>
      </c>
      <c r="C27" s="22" t="s">
        <v>80</v>
      </c>
      <c r="D27" s="22" t="s">
        <v>158</v>
      </c>
      <c r="E27" s="22" t="s">
        <v>39</v>
      </c>
      <c r="F27" s="22" t="s">
        <v>31</v>
      </c>
      <c r="G27" s="22">
        <v>4</v>
      </c>
      <c r="H27" s="22">
        <v>47</v>
      </c>
      <c r="I27" s="23" t="s">
        <v>102</v>
      </c>
      <c r="J27" s="31">
        <v>1</v>
      </c>
      <c r="K27" s="25">
        <v>2</v>
      </c>
      <c r="L27" s="25">
        <v>7</v>
      </c>
      <c r="M27" s="25">
        <v>8</v>
      </c>
      <c r="N27" s="25">
        <v>7</v>
      </c>
      <c r="O27" s="25">
        <v>8</v>
      </c>
      <c r="P27" s="12"/>
      <c r="Q27" s="23" t="str">
        <f t="shared" ref="Q27:Q42" si="14">IF($K27=1,TEXT((L27+8*3600)/86400+70*365+19,"yyyy-mm-dd hh:mm:ss"),"")</f>
        <v/>
      </c>
      <c r="R27" s="23" t="str">
        <f t="shared" ref="R27:R42" si="15">IF($K27=1,TEXT((M27+8*3600)/86400+70*365+19,"yyyy-mm-dd hh:mm:ss"),"")</f>
        <v/>
      </c>
      <c r="S27" s="23" t="str">
        <f t="shared" ref="S27:S42" si="16">IF($K27=1,TEXT((N27+8*3600)/86400+70*365+19,"yyyy-mm-dd hh:mm:ss"),"")</f>
        <v/>
      </c>
      <c r="T27" s="23" t="str">
        <f t="shared" ref="T27:T42" si="17">IF($K27=1,TEXT((O27+8*3600)/86400+70*365+19,"yyyy-mm-dd hh:mm:ss"),"")</f>
        <v/>
      </c>
    </row>
    <row r="28" spans="1:20" s="47" customFormat="1" x14ac:dyDescent="0.15">
      <c r="A28" s="42">
        <v>311</v>
      </c>
      <c r="B28" s="43" t="s">
        <v>57</v>
      </c>
      <c r="C28" s="43" t="s">
        <v>123</v>
      </c>
      <c r="D28" s="43" t="s">
        <v>158</v>
      </c>
      <c r="E28" s="43" t="s">
        <v>39</v>
      </c>
      <c r="F28" s="43" t="s">
        <v>31</v>
      </c>
      <c r="G28" s="43">
        <v>4</v>
      </c>
      <c r="H28" s="43">
        <v>47</v>
      </c>
      <c r="I28" s="44" t="s">
        <v>103</v>
      </c>
      <c r="J28" s="45">
        <v>8</v>
      </c>
      <c r="K28" s="46">
        <v>2</v>
      </c>
      <c r="L28" s="46">
        <v>8</v>
      </c>
      <c r="M28" s="46">
        <v>9</v>
      </c>
      <c r="N28" s="46">
        <v>8</v>
      </c>
      <c r="O28" s="46">
        <v>9</v>
      </c>
      <c r="P28" s="12"/>
      <c r="Q28" s="44" t="str">
        <f t="shared" si="14"/>
        <v/>
      </c>
      <c r="R28" s="44" t="str">
        <f t="shared" si="15"/>
        <v/>
      </c>
      <c r="S28" s="44" t="str">
        <f t="shared" si="16"/>
        <v/>
      </c>
      <c r="T28" s="44" t="str">
        <f t="shared" si="17"/>
        <v/>
      </c>
    </row>
    <row r="29" spans="1:20" s="47" customFormat="1" x14ac:dyDescent="0.15">
      <c r="A29" s="42">
        <v>312</v>
      </c>
      <c r="B29" s="43" t="s">
        <v>57</v>
      </c>
      <c r="C29" s="43" t="s">
        <v>123</v>
      </c>
      <c r="D29" s="43" t="s">
        <v>158</v>
      </c>
      <c r="E29" s="43" t="s">
        <v>39</v>
      </c>
      <c r="F29" s="43" t="s">
        <v>31</v>
      </c>
      <c r="G29" s="43">
        <v>4</v>
      </c>
      <c r="H29" s="43">
        <v>47</v>
      </c>
      <c r="I29" s="44" t="s">
        <v>104</v>
      </c>
      <c r="J29" s="45">
        <v>8</v>
      </c>
      <c r="K29" s="46">
        <v>2</v>
      </c>
      <c r="L29" s="46">
        <v>9</v>
      </c>
      <c r="M29" s="46">
        <v>10</v>
      </c>
      <c r="N29" s="46">
        <v>9</v>
      </c>
      <c r="O29" s="46">
        <v>10</v>
      </c>
      <c r="P29" s="12"/>
      <c r="Q29" s="44" t="str">
        <f t="shared" si="14"/>
        <v/>
      </c>
      <c r="R29" s="44" t="str">
        <f t="shared" si="15"/>
        <v/>
      </c>
      <c r="S29" s="44" t="str">
        <f t="shared" si="16"/>
        <v/>
      </c>
      <c r="T29" s="44" t="str">
        <f t="shared" si="17"/>
        <v/>
      </c>
    </row>
    <row r="30" spans="1:20" s="47" customFormat="1" x14ac:dyDescent="0.15">
      <c r="A30" s="42">
        <v>313</v>
      </c>
      <c r="B30" s="43" t="s">
        <v>57</v>
      </c>
      <c r="C30" s="43" t="s">
        <v>123</v>
      </c>
      <c r="D30" s="43" t="s">
        <v>158</v>
      </c>
      <c r="E30" s="43" t="s">
        <v>39</v>
      </c>
      <c r="F30" s="43" t="s">
        <v>31</v>
      </c>
      <c r="G30" s="43">
        <v>4</v>
      </c>
      <c r="H30" s="43">
        <v>47</v>
      </c>
      <c r="I30" s="44" t="s">
        <v>105</v>
      </c>
      <c r="J30" s="45">
        <v>8</v>
      </c>
      <c r="K30" s="46">
        <v>2</v>
      </c>
      <c r="L30" s="46">
        <v>10</v>
      </c>
      <c r="M30" s="46">
        <v>11</v>
      </c>
      <c r="N30" s="46">
        <v>10</v>
      </c>
      <c r="O30" s="46">
        <v>11</v>
      </c>
      <c r="P30" s="12"/>
      <c r="Q30" s="44" t="str">
        <f t="shared" si="14"/>
        <v/>
      </c>
      <c r="R30" s="44" t="str">
        <f t="shared" si="15"/>
        <v/>
      </c>
      <c r="S30" s="44" t="str">
        <f t="shared" si="16"/>
        <v/>
      </c>
      <c r="T30" s="44" t="str">
        <f t="shared" si="17"/>
        <v/>
      </c>
    </row>
    <row r="31" spans="1:20" s="47" customFormat="1" x14ac:dyDescent="0.15">
      <c r="A31" s="42">
        <v>314</v>
      </c>
      <c r="B31" s="43" t="s">
        <v>57</v>
      </c>
      <c r="C31" s="43" t="s">
        <v>123</v>
      </c>
      <c r="D31" s="43" t="s">
        <v>158</v>
      </c>
      <c r="E31" s="43" t="s">
        <v>39</v>
      </c>
      <c r="F31" s="43" t="s">
        <v>31</v>
      </c>
      <c r="G31" s="43">
        <v>4</v>
      </c>
      <c r="H31" s="43">
        <v>47</v>
      </c>
      <c r="I31" s="44" t="s">
        <v>106</v>
      </c>
      <c r="J31" s="45">
        <v>8</v>
      </c>
      <c r="K31" s="46">
        <v>2</v>
      </c>
      <c r="L31" s="46">
        <v>11</v>
      </c>
      <c r="M31" s="46">
        <v>12</v>
      </c>
      <c r="N31" s="46">
        <v>11</v>
      </c>
      <c r="O31" s="46">
        <v>12</v>
      </c>
      <c r="P31" s="12"/>
      <c r="Q31" s="44" t="str">
        <f t="shared" si="14"/>
        <v/>
      </c>
      <c r="R31" s="44" t="str">
        <f t="shared" si="15"/>
        <v/>
      </c>
      <c r="S31" s="44" t="str">
        <f t="shared" si="16"/>
        <v/>
      </c>
      <c r="T31" s="44" t="str">
        <f t="shared" si="17"/>
        <v/>
      </c>
    </row>
    <row r="32" spans="1:20" s="47" customFormat="1" x14ac:dyDescent="0.15">
      <c r="A32" s="42">
        <v>315</v>
      </c>
      <c r="B32" s="43" t="s">
        <v>57</v>
      </c>
      <c r="C32" s="43" t="s">
        <v>123</v>
      </c>
      <c r="D32" s="43" t="s">
        <v>158</v>
      </c>
      <c r="E32" s="43" t="s">
        <v>39</v>
      </c>
      <c r="F32" s="43" t="s">
        <v>31</v>
      </c>
      <c r="G32" s="43">
        <v>4</v>
      </c>
      <c r="H32" s="43">
        <v>47</v>
      </c>
      <c r="I32" s="44" t="s">
        <v>107</v>
      </c>
      <c r="J32" s="45">
        <v>8</v>
      </c>
      <c r="K32" s="46">
        <v>2</v>
      </c>
      <c r="L32" s="46">
        <v>12</v>
      </c>
      <c r="M32" s="46">
        <v>13</v>
      </c>
      <c r="N32" s="46">
        <v>12</v>
      </c>
      <c r="O32" s="46">
        <v>13</v>
      </c>
      <c r="P32" s="12"/>
      <c r="Q32" s="44" t="str">
        <f t="shared" si="14"/>
        <v/>
      </c>
      <c r="R32" s="44" t="str">
        <f t="shared" si="15"/>
        <v/>
      </c>
      <c r="S32" s="44" t="str">
        <f t="shared" si="16"/>
        <v/>
      </c>
      <c r="T32" s="44" t="str">
        <f t="shared" si="17"/>
        <v/>
      </c>
    </row>
    <row r="33" spans="1:20" s="47" customFormat="1" x14ac:dyDescent="0.15">
      <c r="A33" s="42">
        <v>316</v>
      </c>
      <c r="B33" s="43" t="s">
        <v>57</v>
      </c>
      <c r="C33" s="43" t="s">
        <v>123</v>
      </c>
      <c r="D33" s="43" t="s">
        <v>158</v>
      </c>
      <c r="E33" s="43" t="s">
        <v>39</v>
      </c>
      <c r="F33" s="43" t="s">
        <v>31</v>
      </c>
      <c r="G33" s="43">
        <v>4</v>
      </c>
      <c r="H33" s="43">
        <v>47</v>
      </c>
      <c r="I33" s="44" t="s">
        <v>108</v>
      </c>
      <c r="J33" s="45">
        <v>8</v>
      </c>
      <c r="K33" s="46">
        <v>2</v>
      </c>
      <c r="L33" s="46">
        <v>13</v>
      </c>
      <c r="M33" s="46">
        <v>14</v>
      </c>
      <c r="N33" s="46">
        <v>13</v>
      </c>
      <c r="O33" s="46">
        <v>14</v>
      </c>
      <c r="P33" s="12"/>
      <c r="Q33" s="44" t="str">
        <f t="shared" si="14"/>
        <v/>
      </c>
      <c r="R33" s="44" t="str">
        <f t="shared" si="15"/>
        <v/>
      </c>
      <c r="S33" s="44" t="str">
        <f t="shared" si="16"/>
        <v/>
      </c>
      <c r="T33" s="44" t="str">
        <f t="shared" si="17"/>
        <v/>
      </c>
    </row>
    <row r="34" spans="1:20" s="47" customFormat="1" x14ac:dyDescent="0.15">
      <c r="A34" s="42">
        <v>317</v>
      </c>
      <c r="B34" s="43" t="s">
        <v>57</v>
      </c>
      <c r="C34" s="43" t="s">
        <v>126</v>
      </c>
      <c r="D34" s="43" t="s">
        <v>158</v>
      </c>
      <c r="E34" s="43" t="s">
        <v>39</v>
      </c>
      <c r="F34" s="43" t="s">
        <v>31</v>
      </c>
      <c r="G34" s="43">
        <v>4</v>
      </c>
      <c r="H34" s="43">
        <v>47</v>
      </c>
      <c r="I34" s="44" t="s">
        <v>109</v>
      </c>
      <c r="J34" s="45">
        <v>8</v>
      </c>
      <c r="K34" s="46">
        <v>2</v>
      </c>
      <c r="L34" s="46">
        <v>14</v>
      </c>
      <c r="M34" s="46">
        <v>15</v>
      </c>
      <c r="N34" s="46">
        <v>14</v>
      </c>
      <c r="O34" s="46">
        <v>15</v>
      </c>
      <c r="P34" s="12"/>
      <c r="Q34" s="44" t="str">
        <f t="shared" ref="Q34:Q41" si="18">IF($K34=1,TEXT((L34+8*3600)/86400+70*365+19,"yyyy-mm-dd hh:mm:ss"),"")</f>
        <v/>
      </c>
      <c r="R34" s="44" t="str">
        <f t="shared" ref="R34:R41" si="19">IF($K34=1,TEXT((M34+8*3600)/86400+70*365+19,"yyyy-mm-dd hh:mm:ss"),"")</f>
        <v/>
      </c>
      <c r="S34" s="44" t="str">
        <f t="shared" ref="S34:S41" si="20">IF($K34=1,TEXT((N34+8*3600)/86400+70*365+19,"yyyy-mm-dd hh:mm:ss"),"")</f>
        <v/>
      </c>
      <c r="T34" s="44" t="str">
        <f t="shared" ref="T34:T41" si="21">IF($K34=1,TEXT((O34+8*3600)/86400+70*365+19,"yyyy-mm-dd hh:mm:ss"),"")</f>
        <v/>
      </c>
    </row>
    <row r="35" spans="1:20" s="24" customFormat="1" x14ac:dyDescent="0.15">
      <c r="A35" s="21">
        <v>321</v>
      </c>
      <c r="B35" s="22" t="s">
        <v>57</v>
      </c>
      <c r="C35" s="22" t="s">
        <v>122</v>
      </c>
      <c r="D35" s="22" t="s">
        <v>158</v>
      </c>
      <c r="E35" s="22" t="s">
        <v>39</v>
      </c>
      <c r="F35" s="22" t="s">
        <v>31</v>
      </c>
      <c r="G35" s="22">
        <v>4</v>
      </c>
      <c r="H35" s="22">
        <v>47</v>
      </c>
      <c r="I35" s="23" t="s">
        <v>110</v>
      </c>
      <c r="J35" s="31">
        <v>15</v>
      </c>
      <c r="K35" s="25">
        <v>3</v>
      </c>
      <c r="L35" s="25">
        <v>1</v>
      </c>
      <c r="M35" s="25">
        <v>2</v>
      </c>
      <c r="N35" s="25">
        <v>1</v>
      </c>
      <c r="O35" s="25">
        <v>2</v>
      </c>
      <c r="P35" s="12"/>
      <c r="Q35" s="23" t="str">
        <f t="shared" si="18"/>
        <v/>
      </c>
      <c r="R35" s="23" t="str">
        <f t="shared" si="19"/>
        <v/>
      </c>
      <c r="S35" s="23" t="str">
        <f t="shared" si="20"/>
        <v/>
      </c>
      <c r="T35" s="23" t="str">
        <f t="shared" si="21"/>
        <v/>
      </c>
    </row>
    <row r="36" spans="1:20" s="24" customFormat="1" x14ac:dyDescent="0.15">
      <c r="A36" s="21">
        <v>322</v>
      </c>
      <c r="B36" s="22" t="s">
        <v>57</v>
      </c>
      <c r="C36" s="22" t="s">
        <v>122</v>
      </c>
      <c r="D36" s="22" t="s">
        <v>158</v>
      </c>
      <c r="E36" s="22" t="s">
        <v>39</v>
      </c>
      <c r="F36" s="22" t="s">
        <v>31</v>
      </c>
      <c r="G36" s="22">
        <v>4</v>
      </c>
      <c r="H36" s="22">
        <v>47</v>
      </c>
      <c r="I36" s="23" t="s">
        <v>111</v>
      </c>
      <c r="J36" s="31">
        <v>15</v>
      </c>
      <c r="K36" s="25">
        <v>3</v>
      </c>
      <c r="L36" s="25">
        <v>2</v>
      </c>
      <c r="M36" s="25">
        <v>3</v>
      </c>
      <c r="N36" s="25">
        <v>2</v>
      </c>
      <c r="O36" s="25">
        <v>3</v>
      </c>
      <c r="P36" s="12"/>
      <c r="Q36" s="23" t="str">
        <f t="shared" si="18"/>
        <v/>
      </c>
      <c r="R36" s="23" t="str">
        <f t="shared" si="19"/>
        <v/>
      </c>
      <c r="S36" s="23" t="str">
        <f t="shared" si="20"/>
        <v/>
      </c>
      <c r="T36" s="23" t="str">
        <f t="shared" si="21"/>
        <v/>
      </c>
    </row>
    <row r="37" spans="1:20" s="24" customFormat="1" x14ac:dyDescent="0.15">
      <c r="A37" s="21">
        <v>323</v>
      </c>
      <c r="B37" s="22" t="s">
        <v>57</v>
      </c>
      <c r="C37" s="22" t="s">
        <v>122</v>
      </c>
      <c r="D37" s="22" t="s">
        <v>158</v>
      </c>
      <c r="E37" s="22" t="s">
        <v>39</v>
      </c>
      <c r="F37" s="22" t="s">
        <v>31</v>
      </c>
      <c r="G37" s="22">
        <v>4</v>
      </c>
      <c r="H37" s="22">
        <v>47</v>
      </c>
      <c r="I37" s="23" t="s">
        <v>112</v>
      </c>
      <c r="J37" s="31">
        <v>15</v>
      </c>
      <c r="K37" s="25">
        <v>3</v>
      </c>
      <c r="L37" s="25">
        <v>3</v>
      </c>
      <c r="M37" s="25">
        <v>4</v>
      </c>
      <c r="N37" s="25">
        <v>3</v>
      </c>
      <c r="O37" s="25">
        <v>4</v>
      </c>
      <c r="P37" s="12"/>
      <c r="Q37" s="23" t="str">
        <f t="shared" si="18"/>
        <v/>
      </c>
      <c r="R37" s="23" t="str">
        <f t="shared" si="19"/>
        <v/>
      </c>
      <c r="S37" s="23" t="str">
        <f t="shared" si="20"/>
        <v/>
      </c>
      <c r="T37" s="23" t="str">
        <f t="shared" si="21"/>
        <v/>
      </c>
    </row>
    <row r="38" spans="1:20" s="24" customFormat="1" x14ac:dyDescent="0.15">
      <c r="A38" s="21">
        <v>324</v>
      </c>
      <c r="B38" s="22" t="s">
        <v>57</v>
      </c>
      <c r="C38" s="22" t="s">
        <v>122</v>
      </c>
      <c r="D38" s="22" t="s">
        <v>158</v>
      </c>
      <c r="E38" s="22" t="s">
        <v>39</v>
      </c>
      <c r="F38" s="22" t="s">
        <v>31</v>
      </c>
      <c r="G38" s="22">
        <v>4</v>
      </c>
      <c r="H38" s="22">
        <v>47</v>
      </c>
      <c r="I38" s="23" t="s">
        <v>113</v>
      </c>
      <c r="J38" s="31">
        <v>15</v>
      </c>
      <c r="K38" s="25">
        <v>3</v>
      </c>
      <c r="L38" s="25">
        <v>4</v>
      </c>
      <c r="M38" s="25">
        <v>5</v>
      </c>
      <c r="N38" s="25">
        <v>4</v>
      </c>
      <c r="O38" s="25">
        <v>5</v>
      </c>
      <c r="P38" s="12"/>
      <c r="Q38" s="23" t="str">
        <f t="shared" si="18"/>
        <v/>
      </c>
      <c r="R38" s="23" t="str">
        <f t="shared" si="19"/>
        <v/>
      </c>
      <c r="S38" s="23" t="str">
        <f t="shared" si="20"/>
        <v/>
      </c>
      <c r="T38" s="23" t="str">
        <f t="shared" si="21"/>
        <v/>
      </c>
    </row>
    <row r="39" spans="1:20" s="24" customFormat="1" x14ac:dyDescent="0.15">
      <c r="A39" s="21">
        <v>325</v>
      </c>
      <c r="B39" s="22" t="s">
        <v>57</v>
      </c>
      <c r="C39" s="22" t="s">
        <v>122</v>
      </c>
      <c r="D39" s="22" t="s">
        <v>158</v>
      </c>
      <c r="E39" s="22" t="s">
        <v>39</v>
      </c>
      <c r="F39" s="22" t="s">
        <v>31</v>
      </c>
      <c r="G39" s="22">
        <v>4</v>
      </c>
      <c r="H39" s="22">
        <v>47</v>
      </c>
      <c r="I39" s="23" t="s">
        <v>114</v>
      </c>
      <c r="J39" s="31">
        <v>15</v>
      </c>
      <c r="K39" s="25">
        <v>3</v>
      </c>
      <c r="L39" s="25">
        <v>5</v>
      </c>
      <c r="M39" s="25">
        <v>6</v>
      </c>
      <c r="N39" s="25">
        <v>5</v>
      </c>
      <c r="O39" s="25">
        <v>6</v>
      </c>
      <c r="P39" s="12"/>
      <c r="Q39" s="23" t="str">
        <f t="shared" si="18"/>
        <v/>
      </c>
      <c r="R39" s="23" t="str">
        <f t="shared" si="19"/>
        <v/>
      </c>
      <c r="S39" s="23" t="str">
        <f t="shared" si="20"/>
        <v/>
      </c>
      <c r="T39" s="23" t="str">
        <f t="shared" si="21"/>
        <v/>
      </c>
    </row>
    <row r="40" spans="1:20" s="24" customFormat="1" x14ac:dyDescent="0.15">
      <c r="A40" s="21">
        <v>326</v>
      </c>
      <c r="B40" s="22" t="s">
        <v>57</v>
      </c>
      <c r="C40" s="22" t="s">
        <v>122</v>
      </c>
      <c r="D40" s="22" t="s">
        <v>158</v>
      </c>
      <c r="E40" s="22" t="s">
        <v>39</v>
      </c>
      <c r="F40" s="22" t="s">
        <v>31</v>
      </c>
      <c r="G40" s="22">
        <v>4</v>
      </c>
      <c r="H40" s="22">
        <v>47</v>
      </c>
      <c r="I40" s="23" t="s">
        <v>115</v>
      </c>
      <c r="J40" s="31">
        <v>15</v>
      </c>
      <c r="K40" s="25">
        <v>3</v>
      </c>
      <c r="L40" s="25">
        <v>6</v>
      </c>
      <c r="M40" s="25">
        <v>7</v>
      </c>
      <c r="N40" s="25">
        <v>6</v>
      </c>
      <c r="O40" s="25">
        <v>7</v>
      </c>
      <c r="P40" s="12"/>
      <c r="Q40" s="23" t="str">
        <f t="shared" si="18"/>
        <v/>
      </c>
      <c r="R40" s="23" t="str">
        <f t="shared" si="19"/>
        <v/>
      </c>
      <c r="S40" s="23" t="str">
        <f t="shared" si="20"/>
        <v/>
      </c>
      <c r="T40" s="23" t="str">
        <f t="shared" si="21"/>
        <v/>
      </c>
    </row>
    <row r="41" spans="1:20" s="24" customFormat="1" x14ac:dyDescent="0.15">
      <c r="A41" s="21">
        <v>327</v>
      </c>
      <c r="B41" s="22" t="s">
        <v>57</v>
      </c>
      <c r="C41" s="22" t="s">
        <v>128</v>
      </c>
      <c r="D41" s="22" t="s">
        <v>158</v>
      </c>
      <c r="E41" s="22" t="s">
        <v>39</v>
      </c>
      <c r="F41" s="22" t="s">
        <v>31</v>
      </c>
      <c r="G41" s="22">
        <v>4</v>
      </c>
      <c r="H41" s="22">
        <v>47</v>
      </c>
      <c r="I41" s="23" t="s">
        <v>116</v>
      </c>
      <c r="J41" s="31">
        <v>15</v>
      </c>
      <c r="K41" s="25">
        <v>3</v>
      </c>
      <c r="L41" s="25">
        <v>7</v>
      </c>
      <c r="M41" s="25">
        <v>8</v>
      </c>
      <c r="N41" s="25">
        <v>7</v>
      </c>
      <c r="O41" s="25">
        <v>8</v>
      </c>
      <c r="P41" s="12"/>
      <c r="Q41" s="23" t="str">
        <f t="shared" si="18"/>
        <v/>
      </c>
      <c r="R41" s="23" t="str">
        <f t="shared" si="19"/>
        <v/>
      </c>
      <c r="S41" s="23" t="str">
        <f t="shared" si="20"/>
        <v/>
      </c>
      <c r="T41" s="23" t="str">
        <f t="shared" si="21"/>
        <v/>
      </c>
    </row>
    <row r="42" spans="1:20" x14ac:dyDescent="0.15">
      <c r="A42" s="9">
        <v>401</v>
      </c>
      <c r="B42" s="6" t="s">
        <v>68</v>
      </c>
      <c r="C42" s="6" t="s">
        <v>80</v>
      </c>
      <c r="D42" s="6" t="s">
        <v>158</v>
      </c>
      <c r="E42" s="6" t="s">
        <v>33</v>
      </c>
      <c r="F42" s="6" t="s">
        <v>30</v>
      </c>
      <c r="G42" s="6">
        <v>5</v>
      </c>
      <c r="H42" s="6">
        <v>25</v>
      </c>
      <c r="I42" s="7" t="s">
        <v>61</v>
      </c>
      <c r="J42" s="29">
        <v>1</v>
      </c>
      <c r="K42" s="26">
        <v>2</v>
      </c>
      <c r="L42" s="26">
        <v>1</v>
      </c>
      <c r="M42" s="26">
        <v>2</v>
      </c>
      <c r="N42" s="26">
        <v>1</v>
      </c>
      <c r="O42" s="26">
        <v>2</v>
      </c>
      <c r="P42" s="12"/>
      <c r="Q42" s="7" t="str">
        <f t="shared" si="14"/>
        <v/>
      </c>
      <c r="R42" s="7" t="str">
        <f t="shared" si="15"/>
        <v/>
      </c>
      <c r="S42" s="7" t="str">
        <f t="shared" si="16"/>
        <v/>
      </c>
      <c r="T42" s="7" t="str">
        <f t="shared" si="17"/>
        <v/>
      </c>
    </row>
    <row r="43" spans="1:20" x14ac:dyDescent="0.15">
      <c r="A43" s="9">
        <v>402</v>
      </c>
      <c r="B43" s="6" t="s">
        <v>68</v>
      </c>
      <c r="C43" s="6" t="s">
        <v>80</v>
      </c>
      <c r="D43" s="6" t="s">
        <v>158</v>
      </c>
      <c r="E43" s="6" t="s">
        <v>33</v>
      </c>
      <c r="F43" s="6" t="s">
        <v>30</v>
      </c>
      <c r="G43" s="6">
        <v>5</v>
      </c>
      <c r="H43" s="6">
        <v>25</v>
      </c>
      <c r="I43" s="7" t="s">
        <v>62</v>
      </c>
      <c r="J43" s="29">
        <v>1</v>
      </c>
      <c r="K43" s="26">
        <v>2</v>
      </c>
      <c r="L43" s="26">
        <v>2</v>
      </c>
      <c r="M43" s="26">
        <v>3</v>
      </c>
      <c r="N43" s="26">
        <v>2</v>
      </c>
      <c r="O43" s="26">
        <v>3</v>
      </c>
      <c r="P43" s="12"/>
      <c r="Q43" s="7" t="str">
        <f t="shared" ref="Q43:Q47" si="22">IF($K43=1,TEXT((L43+8*3600)/86400+70*365+19,"yyyy-mm-dd hh:mm:ss"),"")</f>
        <v/>
      </c>
      <c r="R43" s="7" t="str">
        <f t="shared" ref="R43:R47" si="23">IF($K43=1,TEXT((M43+8*3600)/86400+70*365+19,"yyyy-mm-dd hh:mm:ss"),"")</f>
        <v/>
      </c>
      <c r="S43" s="7" t="str">
        <f t="shared" ref="S43:S47" si="24">IF($K43=1,TEXT((N43+8*3600)/86400+70*365+19,"yyyy-mm-dd hh:mm:ss"),"")</f>
        <v/>
      </c>
      <c r="T43" s="7" t="str">
        <f t="shared" ref="T43:T47" si="25">IF($K43=1,TEXT((O43+8*3600)/86400+70*365+19,"yyyy-mm-dd hh:mm:ss"),"")</f>
        <v/>
      </c>
    </row>
    <row r="44" spans="1:20" x14ac:dyDescent="0.15">
      <c r="A44" s="9">
        <v>403</v>
      </c>
      <c r="B44" s="6" t="s">
        <v>68</v>
      </c>
      <c r="C44" s="6" t="s">
        <v>80</v>
      </c>
      <c r="D44" s="6" t="s">
        <v>158</v>
      </c>
      <c r="E44" s="6" t="s">
        <v>33</v>
      </c>
      <c r="F44" s="6" t="s">
        <v>30</v>
      </c>
      <c r="G44" s="6">
        <v>5</v>
      </c>
      <c r="H44" s="6">
        <v>25</v>
      </c>
      <c r="I44" s="7" t="s">
        <v>63</v>
      </c>
      <c r="J44" s="29">
        <v>1</v>
      </c>
      <c r="K44" s="26">
        <v>2</v>
      </c>
      <c r="L44" s="26">
        <v>3</v>
      </c>
      <c r="M44" s="26">
        <v>4</v>
      </c>
      <c r="N44" s="26">
        <v>3</v>
      </c>
      <c r="O44" s="26">
        <v>4</v>
      </c>
      <c r="P44" s="12"/>
      <c r="Q44" s="7" t="str">
        <f t="shared" si="22"/>
        <v/>
      </c>
      <c r="R44" s="7" t="str">
        <f t="shared" si="23"/>
        <v/>
      </c>
      <c r="S44" s="7" t="str">
        <f t="shared" si="24"/>
        <v/>
      </c>
      <c r="T44" s="7" t="str">
        <f t="shared" si="25"/>
        <v/>
      </c>
    </row>
    <row r="45" spans="1:20" x14ac:dyDescent="0.15">
      <c r="A45" s="9">
        <v>404</v>
      </c>
      <c r="B45" s="6" t="s">
        <v>68</v>
      </c>
      <c r="C45" s="6" t="s">
        <v>80</v>
      </c>
      <c r="D45" s="6" t="s">
        <v>158</v>
      </c>
      <c r="E45" s="6" t="s">
        <v>33</v>
      </c>
      <c r="F45" s="6" t="s">
        <v>30</v>
      </c>
      <c r="G45" s="6">
        <v>5</v>
      </c>
      <c r="H45" s="6">
        <v>25</v>
      </c>
      <c r="I45" s="7" t="s">
        <v>64</v>
      </c>
      <c r="J45" s="29">
        <v>1</v>
      </c>
      <c r="K45" s="26">
        <v>2</v>
      </c>
      <c r="L45" s="26">
        <v>4</v>
      </c>
      <c r="M45" s="26">
        <v>5</v>
      </c>
      <c r="N45" s="26">
        <v>4</v>
      </c>
      <c r="O45" s="26">
        <v>5</v>
      </c>
      <c r="P45" s="12"/>
      <c r="Q45" s="7" t="str">
        <f t="shared" si="22"/>
        <v/>
      </c>
      <c r="R45" s="7" t="str">
        <f t="shared" si="23"/>
        <v/>
      </c>
      <c r="S45" s="7" t="str">
        <f t="shared" si="24"/>
        <v/>
      </c>
      <c r="T45" s="7" t="str">
        <f t="shared" si="25"/>
        <v/>
      </c>
    </row>
    <row r="46" spans="1:20" x14ac:dyDescent="0.15">
      <c r="A46" s="9">
        <v>405</v>
      </c>
      <c r="B46" s="6" t="s">
        <v>68</v>
      </c>
      <c r="C46" s="6" t="s">
        <v>80</v>
      </c>
      <c r="D46" s="6" t="s">
        <v>158</v>
      </c>
      <c r="E46" s="6" t="s">
        <v>33</v>
      </c>
      <c r="F46" s="6" t="s">
        <v>30</v>
      </c>
      <c r="G46" s="6">
        <v>5</v>
      </c>
      <c r="H46" s="6">
        <v>25</v>
      </c>
      <c r="I46" s="7" t="s">
        <v>65</v>
      </c>
      <c r="J46" s="29">
        <v>1</v>
      </c>
      <c r="K46" s="26">
        <v>2</v>
      </c>
      <c r="L46" s="26">
        <v>5</v>
      </c>
      <c r="M46" s="26">
        <v>6</v>
      </c>
      <c r="N46" s="26">
        <v>5</v>
      </c>
      <c r="O46" s="26">
        <v>6</v>
      </c>
      <c r="P46" s="12"/>
      <c r="Q46" s="7" t="str">
        <f t="shared" si="22"/>
        <v/>
      </c>
      <c r="R46" s="7" t="str">
        <f t="shared" si="23"/>
        <v/>
      </c>
      <c r="S46" s="7" t="str">
        <f t="shared" si="24"/>
        <v/>
      </c>
      <c r="T46" s="7" t="str">
        <f t="shared" si="25"/>
        <v/>
      </c>
    </row>
    <row r="47" spans="1:20" x14ac:dyDescent="0.15">
      <c r="A47" s="9">
        <v>406</v>
      </c>
      <c r="B47" s="6" t="s">
        <v>68</v>
      </c>
      <c r="C47" s="6" t="s">
        <v>80</v>
      </c>
      <c r="D47" s="6" t="s">
        <v>158</v>
      </c>
      <c r="E47" s="6" t="s">
        <v>33</v>
      </c>
      <c r="F47" s="6" t="s">
        <v>30</v>
      </c>
      <c r="G47" s="6">
        <v>5</v>
      </c>
      <c r="H47" s="6">
        <v>25</v>
      </c>
      <c r="I47" s="7" t="s">
        <v>66</v>
      </c>
      <c r="J47" s="29">
        <v>1</v>
      </c>
      <c r="K47" s="26">
        <v>2</v>
      </c>
      <c r="L47" s="26">
        <v>6</v>
      </c>
      <c r="M47" s="26">
        <v>7</v>
      </c>
      <c r="N47" s="26">
        <v>6</v>
      </c>
      <c r="O47" s="26">
        <v>7</v>
      </c>
      <c r="P47" s="12"/>
      <c r="Q47" s="7" t="str">
        <f t="shared" si="22"/>
        <v/>
      </c>
      <c r="R47" s="7" t="str">
        <f t="shared" si="23"/>
        <v/>
      </c>
      <c r="S47" s="7" t="str">
        <f t="shared" si="24"/>
        <v/>
      </c>
      <c r="T47" s="7" t="str">
        <f t="shared" si="25"/>
        <v/>
      </c>
    </row>
    <row r="48" spans="1:20" x14ac:dyDescent="0.15">
      <c r="A48" s="9">
        <v>407</v>
      </c>
      <c r="B48" s="6" t="s">
        <v>68</v>
      </c>
      <c r="C48" s="6" t="s">
        <v>80</v>
      </c>
      <c r="D48" s="6" t="s">
        <v>158</v>
      </c>
      <c r="E48" s="6" t="s">
        <v>33</v>
      </c>
      <c r="F48" s="6" t="s">
        <v>30</v>
      </c>
      <c r="G48" s="6">
        <v>5</v>
      </c>
      <c r="H48" s="6">
        <v>25</v>
      </c>
      <c r="I48" s="7" t="s">
        <v>67</v>
      </c>
      <c r="J48" s="29">
        <v>1</v>
      </c>
      <c r="K48" s="26">
        <v>2</v>
      </c>
      <c r="L48" s="26">
        <v>7</v>
      </c>
      <c r="M48" s="26">
        <v>8</v>
      </c>
      <c r="N48" s="26">
        <v>7</v>
      </c>
      <c r="O48" s="26">
        <v>8</v>
      </c>
      <c r="P48" s="12"/>
      <c r="Q48" s="7" t="str">
        <f t="shared" ref="Q48:Q54" si="26">IF($K48=1,TEXT((L48+8*3600)/86400+70*365+19,"yyyy-mm-dd hh:mm:ss"),"")</f>
        <v/>
      </c>
      <c r="R48" s="7" t="str">
        <f t="shared" ref="R48:R54" si="27">IF($K48=1,TEXT((M48+8*3600)/86400+70*365+19,"yyyy-mm-dd hh:mm:ss"),"")</f>
        <v/>
      </c>
      <c r="S48" s="7" t="str">
        <f t="shared" ref="S48:S54" si="28">IF($K48=1,TEXT((N48+8*3600)/86400+70*365+19,"yyyy-mm-dd hh:mm:ss"),"")</f>
        <v/>
      </c>
      <c r="T48" s="7" t="str">
        <f t="shared" ref="T48:T54" si="29">IF($K48=1,TEXT((O48+8*3600)/86400+70*365+19,"yyyy-mm-dd hh:mm:ss"),"")</f>
        <v/>
      </c>
    </row>
    <row r="49" spans="1:20" s="38" customFormat="1" x14ac:dyDescent="0.15">
      <c r="A49" s="33">
        <v>501</v>
      </c>
      <c r="B49" s="34" t="s">
        <v>75</v>
      </c>
      <c r="C49" s="34" t="s">
        <v>79</v>
      </c>
      <c r="D49" s="34" t="s">
        <v>158</v>
      </c>
      <c r="E49" s="34" t="s">
        <v>33</v>
      </c>
      <c r="F49" s="34" t="s">
        <v>30</v>
      </c>
      <c r="G49" s="34">
        <v>6</v>
      </c>
      <c r="H49" s="34">
        <v>25</v>
      </c>
      <c r="I49" s="35" t="s">
        <v>69</v>
      </c>
      <c r="J49" s="36">
        <v>1</v>
      </c>
      <c r="K49" s="37">
        <v>2</v>
      </c>
      <c r="L49" s="37">
        <v>1</v>
      </c>
      <c r="M49" s="37">
        <v>2</v>
      </c>
      <c r="N49" s="37">
        <v>1</v>
      </c>
      <c r="O49" s="37">
        <v>2</v>
      </c>
      <c r="P49" s="12"/>
      <c r="Q49" s="35" t="str">
        <f t="shared" si="26"/>
        <v/>
      </c>
      <c r="R49" s="35" t="str">
        <f t="shared" si="27"/>
        <v/>
      </c>
      <c r="S49" s="35" t="str">
        <f t="shared" si="28"/>
        <v/>
      </c>
      <c r="T49" s="35" t="str">
        <f t="shared" si="29"/>
        <v/>
      </c>
    </row>
    <row r="50" spans="1:20" s="38" customFormat="1" x14ac:dyDescent="0.15">
      <c r="A50" s="33">
        <v>502</v>
      </c>
      <c r="B50" s="34" t="s">
        <v>75</v>
      </c>
      <c r="C50" s="34" t="s">
        <v>79</v>
      </c>
      <c r="D50" s="34" t="s">
        <v>158</v>
      </c>
      <c r="E50" s="34" t="s">
        <v>33</v>
      </c>
      <c r="F50" s="34" t="s">
        <v>30</v>
      </c>
      <c r="G50" s="34">
        <v>6</v>
      </c>
      <c r="H50" s="34">
        <v>25</v>
      </c>
      <c r="I50" s="35" t="s">
        <v>70</v>
      </c>
      <c r="J50" s="36">
        <v>1</v>
      </c>
      <c r="K50" s="37">
        <v>2</v>
      </c>
      <c r="L50" s="37">
        <v>2</v>
      </c>
      <c r="M50" s="37">
        <v>3</v>
      </c>
      <c r="N50" s="37">
        <v>2</v>
      </c>
      <c r="O50" s="37">
        <v>3</v>
      </c>
      <c r="P50" s="12"/>
      <c r="Q50" s="35" t="str">
        <f t="shared" si="26"/>
        <v/>
      </c>
      <c r="R50" s="35" t="str">
        <f t="shared" si="27"/>
        <v/>
      </c>
      <c r="S50" s="35" t="str">
        <f t="shared" si="28"/>
        <v/>
      </c>
      <c r="T50" s="35" t="str">
        <f t="shared" si="29"/>
        <v/>
      </c>
    </row>
    <row r="51" spans="1:20" s="38" customFormat="1" x14ac:dyDescent="0.15">
      <c r="A51" s="33">
        <v>503</v>
      </c>
      <c r="B51" s="34" t="s">
        <v>75</v>
      </c>
      <c r="C51" s="34" t="s">
        <v>79</v>
      </c>
      <c r="D51" s="34" t="s">
        <v>158</v>
      </c>
      <c r="E51" s="34" t="s">
        <v>33</v>
      </c>
      <c r="F51" s="34" t="s">
        <v>30</v>
      </c>
      <c r="G51" s="34">
        <v>6</v>
      </c>
      <c r="H51" s="34">
        <v>25</v>
      </c>
      <c r="I51" s="35" t="s">
        <v>71</v>
      </c>
      <c r="J51" s="36">
        <v>1</v>
      </c>
      <c r="K51" s="37">
        <v>2</v>
      </c>
      <c r="L51" s="37">
        <v>3</v>
      </c>
      <c r="M51" s="37">
        <v>4</v>
      </c>
      <c r="N51" s="37">
        <v>3</v>
      </c>
      <c r="O51" s="37">
        <v>4</v>
      </c>
      <c r="P51" s="12"/>
      <c r="Q51" s="35" t="str">
        <f t="shared" si="26"/>
        <v/>
      </c>
      <c r="R51" s="35" t="str">
        <f t="shared" si="27"/>
        <v/>
      </c>
      <c r="S51" s="35" t="str">
        <f t="shared" si="28"/>
        <v/>
      </c>
      <c r="T51" s="35" t="str">
        <f t="shared" si="29"/>
        <v/>
      </c>
    </row>
    <row r="52" spans="1:20" s="38" customFormat="1" x14ac:dyDescent="0.15">
      <c r="A52" s="33">
        <v>504</v>
      </c>
      <c r="B52" s="34" t="s">
        <v>75</v>
      </c>
      <c r="C52" s="34" t="s">
        <v>79</v>
      </c>
      <c r="D52" s="34" t="s">
        <v>158</v>
      </c>
      <c r="E52" s="34" t="s">
        <v>33</v>
      </c>
      <c r="F52" s="34" t="s">
        <v>30</v>
      </c>
      <c r="G52" s="34">
        <v>6</v>
      </c>
      <c r="H52" s="34">
        <v>25</v>
      </c>
      <c r="I52" s="35" t="s">
        <v>72</v>
      </c>
      <c r="J52" s="36">
        <v>1</v>
      </c>
      <c r="K52" s="37">
        <v>2</v>
      </c>
      <c r="L52" s="37">
        <v>4</v>
      </c>
      <c r="M52" s="37">
        <v>5</v>
      </c>
      <c r="N52" s="37">
        <v>4</v>
      </c>
      <c r="O52" s="37">
        <v>5</v>
      </c>
      <c r="P52" s="12"/>
      <c r="Q52" s="35" t="str">
        <f t="shared" si="26"/>
        <v/>
      </c>
      <c r="R52" s="35" t="str">
        <f t="shared" si="27"/>
        <v/>
      </c>
      <c r="S52" s="35" t="str">
        <f t="shared" si="28"/>
        <v/>
      </c>
      <c r="T52" s="35" t="str">
        <f t="shared" si="29"/>
        <v/>
      </c>
    </row>
    <row r="53" spans="1:20" s="38" customFormat="1" x14ac:dyDescent="0.15">
      <c r="A53" s="33">
        <v>505</v>
      </c>
      <c r="B53" s="34" t="s">
        <v>75</v>
      </c>
      <c r="C53" s="34" t="s">
        <v>79</v>
      </c>
      <c r="D53" s="34" t="s">
        <v>158</v>
      </c>
      <c r="E53" s="34" t="s">
        <v>33</v>
      </c>
      <c r="F53" s="34" t="s">
        <v>30</v>
      </c>
      <c r="G53" s="34">
        <v>6</v>
      </c>
      <c r="H53" s="34">
        <v>25</v>
      </c>
      <c r="I53" s="35" t="s">
        <v>73</v>
      </c>
      <c r="J53" s="36">
        <v>1</v>
      </c>
      <c r="K53" s="37">
        <v>2</v>
      </c>
      <c r="L53" s="37">
        <v>5</v>
      </c>
      <c r="M53" s="37">
        <v>6</v>
      </c>
      <c r="N53" s="37">
        <v>5</v>
      </c>
      <c r="O53" s="37">
        <v>6</v>
      </c>
      <c r="P53" s="12"/>
      <c r="Q53" s="35" t="str">
        <f t="shared" si="26"/>
        <v/>
      </c>
      <c r="R53" s="35" t="str">
        <f t="shared" si="27"/>
        <v/>
      </c>
      <c r="S53" s="35" t="str">
        <f t="shared" si="28"/>
        <v/>
      </c>
      <c r="T53" s="35" t="str">
        <f t="shared" si="29"/>
        <v/>
      </c>
    </row>
    <row r="54" spans="1:20" s="38" customFormat="1" x14ac:dyDescent="0.15">
      <c r="A54" s="33">
        <v>506</v>
      </c>
      <c r="B54" s="34" t="s">
        <v>75</v>
      </c>
      <c r="C54" s="34" t="s">
        <v>79</v>
      </c>
      <c r="D54" s="34" t="s">
        <v>158</v>
      </c>
      <c r="E54" s="34" t="s">
        <v>33</v>
      </c>
      <c r="F54" s="34" t="s">
        <v>30</v>
      </c>
      <c r="G54" s="34">
        <v>6</v>
      </c>
      <c r="H54" s="34">
        <v>25</v>
      </c>
      <c r="I54" s="35" t="s">
        <v>82</v>
      </c>
      <c r="J54" s="36">
        <v>1</v>
      </c>
      <c r="K54" s="37">
        <v>2</v>
      </c>
      <c r="L54" s="37">
        <v>6</v>
      </c>
      <c r="M54" s="37">
        <v>7</v>
      </c>
      <c r="N54" s="37">
        <v>6</v>
      </c>
      <c r="O54" s="37">
        <v>7</v>
      </c>
      <c r="P54" s="12"/>
      <c r="Q54" s="35" t="str">
        <f t="shared" si="26"/>
        <v/>
      </c>
      <c r="R54" s="35" t="str">
        <f t="shared" si="27"/>
        <v/>
      </c>
      <c r="S54" s="35" t="str">
        <f t="shared" si="28"/>
        <v/>
      </c>
      <c r="T54" s="35" t="str">
        <f t="shared" si="29"/>
        <v/>
      </c>
    </row>
    <row r="55" spans="1:20" s="38" customFormat="1" x14ac:dyDescent="0.15">
      <c r="A55" s="33">
        <v>507</v>
      </c>
      <c r="B55" s="34" t="s">
        <v>75</v>
      </c>
      <c r="C55" s="34" t="s">
        <v>79</v>
      </c>
      <c r="D55" s="34" t="s">
        <v>158</v>
      </c>
      <c r="E55" s="34" t="s">
        <v>33</v>
      </c>
      <c r="F55" s="34" t="s">
        <v>30</v>
      </c>
      <c r="G55" s="34">
        <v>6</v>
      </c>
      <c r="H55" s="34">
        <v>25</v>
      </c>
      <c r="I55" s="35" t="s">
        <v>74</v>
      </c>
      <c r="J55" s="36">
        <v>1</v>
      </c>
      <c r="K55" s="37">
        <v>2</v>
      </c>
      <c r="L55" s="37">
        <v>7</v>
      </c>
      <c r="M55" s="37">
        <v>8</v>
      </c>
      <c r="N55" s="37">
        <v>7</v>
      </c>
      <c r="O55" s="37">
        <v>8</v>
      </c>
      <c r="P55" s="12"/>
      <c r="Q55" s="35" t="str">
        <f t="shared" ref="Q55:Q56" si="30">IF($K55=1,TEXT((L55+8*3600)/86400+70*365+19,"yyyy-mm-dd hh:mm:ss"),"")</f>
        <v/>
      </c>
      <c r="R55" s="35" t="str">
        <f t="shared" ref="R55:R56" si="31">IF($K55=1,TEXT((M55+8*3600)/86400+70*365+19,"yyyy-mm-dd hh:mm:ss"),"")</f>
        <v/>
      </c>
      <c r="S55" s="35" t="str">
        <f t="shared" ref="S55:S56" si="32">IF($K55=1,TEXT((N55+8*3600)/86400+70*365+19,"yyyy-mm-dd hh:mm:ss"),"")</f>
        <v/>
      </c>
      <c r="T55" s="35" t="str">
        <f t="shared" ref="T55:T56" si="33">IF($K55=1,TEXT((O55+8*3600)/86400+70*365+19,"yyyy-mm-dd hh:mm:ss"),"")</f>
        <v/>
      </c>
    </row>
    <row r="56" spans="1:20" s="24" customFormat="1" x14ac:dyDescent="0.15">
      <c r="A56" s="21">
        <v>601</v>
      </c>
      <c r="B56" s="22" t="s">
        <v>84</v>
      </c>
      <c r="C56" s="22" t="s">
        <v>80</v>
      </c>
      <c r="D56" s="22" t="s">
        <v>158</v>
      </c>
      <c r="E56" s="22" t="s">
        <v>39</v>
      </c>
      <c r="F56" s="22" t="s">
        <v>182</v>
      </c>
      <c r="G56" s="22">
        <v>7</v>
      </c>
      <c r="H56" s="22">
        <v>47</v>
      </c>
      <c r="I56" s="23" t="s">
        <v>83</v>
      </c>
      <c r="J56" s="31">
        <v>1</v>
      </c>
      <c r="K56" s="25">
        <v>2</v>
      </c>
      <c r="L56" s="25">
        <v>1</v>
      </c>
      <c r="M56" s="25">
        <v>8</v>
      </c>
      <c r="N56" s="25">
        <v>1</v>
      </c>
      <c r="O56" s="25">
        <v>8</v>
      </c>
      <c r="P56" s="12"/>
      <c r="Q56" s="23" t="str">
        <f t="shared" si="30"/>
        <v/>
      </c>
      <c r="R56" s="23" t="str">
        <f t="shared" si="31"/>
        <v/>
      </c>
      <c r="S56" s="23" t="str">
        <f t="shared" si="32"/>
        <v/>
      </c>
      <c r="T56" s="23" t="str">
        <f t="shared" si="33"/>
        <v/>
      </c>
    </row>
    <row r="57" spans="1:20" s="53" customFormat="1" x14ac:dyDescent="0.15">
      <c r="A57" s="48">
        <v>602</v>
      </c>
      <c r="B57" s="49" t="s">
        <v>84</v>
      </c>
      <c r="C57" s="49" t="s">
        <v>133</v>
      </c>
      <c r="D57" s="49" t="s">
        <v>158</v>
      </c>
      <c r="E57" s="49" t="s">
        <v>39</v>
      </c>
      <c r="F57" s="49" t="s">
        <v>182</v>
      </c>
      <c r="G57" s="49">
        <v>7</v>
      </c>
      <c r="H57" s="49">
        <v>47</v>
      </c>
      <c r="I57" s="50" t="s">
        <v>137</v>
      </c>
      <c r="J57" s="51">
        <v>8</v>
      </c>
      <c r="K57" s="52">
        <v>3</v>
      </c>
      <c r="L57" s="52">
        <v>1</v>
      </c>
      <c r="M57" s="52">
        <v>3</v>
      </c>
      <c r="N57" s="52">
        <v>1</v>
      </c>
      <c r="O57" s="52">
        <v>3</v>
      </c>
      <c r="P57" s="12"/>
      <c r="Q57" s="50" t="str">
        <f t="shared" ref="Q57:T60" si="34">IF($K57=1,TEXT((L57+8*3600)/86400+70*365+19,"yyyy-mm-dd hh:mm:ss"),"")</f>
        <v/>
      </c>
      <c r="R57" s="50" t="str">
        <f t="shared" si="34"/>
        <v/>
      </c>
      <c r="S57" s="50" t="str">
        <f t="shared" si="34"/>
        <v/>
      </c>
      <c r="T57" s="50" t="str">
        <f t="shared" si="34"/>
        <v/>
      </c>
    </row>
    <row r="58" spans="1:20" s="53" customFormat="1" x14ac:dyDescent="0.15">
      <c r="A58" s="48">
        <v>603</v>
      </c>
      <c r="B58" s="49" t="s">
        <v>84</v>
      </c>
      <c r="C58" s="49" t="s">
        <v>134</v>
      </c>
      <c r="D58" s="49" t="s">
        <v>158</v>
      </c>
      <c r="E58" s="49" t="s">
        <v>39</v>
      </c>
      <c r="F58" s="49" t="s">
        <v>182</v>
      </c>
      <c r="G58" s="49">
        <v>7</v>
      </c>
      <c r="H58" s="49">
        <v>47</v>
      </c>
      <c r="I58" s="50" t="s">
        <v>138</v>
      </c>
      <c r="J58" s="51">
        <v>8</v>
      </c>
      <c r="K58" s="52">
        <v>3</v>
      </c>
      <c r="L58" s="52">
        <v>3</v>
      </c>
      <c r="M58" s="52">
        <v>5</v>
      </c>
      <c r="N58" s="52">
        <v>3</v>
      </c>
      <c r="O58" s="52">
        <v>5</v>
      </c>
      <c r="P58" s="12"/>
      <c r="Q58" s="50" t="str">
        <f t="shared" si="34"/>
        <v/>
      </c>
      <c r="R58" s="50" t="str">
        <f t="shared" si="34"/>
        <v/>
      </c>
      <c r="S58" s="50" t="str">
        <f t="shared" si="34"/>
        <v/>
      </c>
      <c r="T58" s="50" t="str">
        <f t="shared" si="34"/>
        <v/>
      </c>
    </row>
    <row r="59" spans="1:20" s="53" customFormat="1" x14ac:dyDescent="0.15">
      <c r="A59" s="48">
        <v>604</v>
      </c>
      <c r="B59" s="49" t="s">
        <v>84</v>
      </c>
      <c r="C59" s="49" t="s">
        <v>135</v>
      </c>
      <c r="D59" s="49" t="s">
        <v>158</v>
      </c>
      <c r="E59" s="49" t="s">
        <v>39</v>
      </c>
      <c r="F59" s="49" t="s">
        <v>182</v>
      </c>
      <c r="G59" s="49">
        <v>7</v>
      </c>
      <c r="H59" s="49">
        <v>47</v>
      </c>
      <c r="I59" s="50" t="s">
        <v>139</v>
      </c>
      <c r="J59" s="51">
        <v>8</v>
      </c>
      <c r="K59" s="52">
        <v>3</v>
      </c>
      <c r="L59" s="52">
        <v>5</v>
      </c>
      <c r="M59" s="52">
        <v>7</v>
      </c>
      <c r="N59" s="52">
        <v>5</v>
      </c>
      <c r="O59" s="52">
        <v>7</v>
      </c>
      <c r="P59" s="12"/>
      <c r="Q59" s="50" t="str">
        <f t="shared" si="34"/>
        <v/>
      </c>
      <c r="R59" s="50" t="str">
        <f t="shared" si="34"/>
        <v/>
      </c>
      <c r="S59" s="50" t="str">
        <f t="shared" si="34"/>
        <v/>
      </c>
      <c r="T59" s="50" t="str">
        <f t="shared" si="34"/>
        <v/>
      </c>
    </row>
    <row r="60" spans="1:20" s="53" customFormat="1" x14ac:dyDescent="0.15">
      <c r="A60" s="48">
        <v>605</v>
      </c>
      <c r="B60" s="49" t="s">
        <v>84</v>
      </c>
      <c r="C60" s="49" t="s">
        <v>136</v>
      </c>
      <c r="D60" s="49" t="s">
        <v>158</v>
      </c>
      <c r="E60" s="49" t="s">
        <v>39</v>
      </c>
      <c r="F60" s="49" t="s">
        <v>182</v>
      </c>
      <c r="G60" s="49">
        <v>7</v>
      </c>
      <c r="H60" s="49">
        <v>47</v>
      </c>
      <c r="I60" s="50" t="s">
        <v>140</v>
      </c>
      <c r="J60" s="51">
        <v>8</v>
      </c>
      <c r="K60" s="52">
        <v>3</v>
      </c>
      <c r="L60" s="52">
        <v>7</v>
      </c>
      <c r="M60" s="52">
        <v>8</v>
      </c>
      <c r="N60" s="52">
        <v>7</v>
      </c>
      <c r="O60" s="52">
        <v>8</v>
      </c>
      <c r="P60" s="12"/>
      <c r="Q60" s="50" t="str">
        <f t="shared" si="34"/>
        <v/>
      </c>
      <c r="R60" s="50" t="str">
        <f t="shared" si="34"/>
        <v/>
      </c>
      <c r="S60" s="50" t="str">
        <f t="shared" si="34"/>
        <v/>
      </c>
      <c r="T60" s="50" t="str">
        <f t="shared" si="34"/>
        <v/>
      </c>
    </row>
    <row r="61" spans="1:20" s="24" customFormat="1" x14ac:dyDescent="0.15">
      <c r="A61" s="21">
        <v>701</v>
      </c>
      <c r="B61" s="22" t="s">
        <v>86</v>
      </c>
      <c r="C61" s="22" t="s">
        <v>80</v>
      </c>
      <c r="D61" s="22" t="s">
        <v>158</v>
      </c>
      <c r="E61" s="22" t="s">
        <v>39</v>
      </c>
      <c r="F61" s="22" t="s">
        <v>182</v>
      </c>
      <c r="G61" s="22">
        <v>8</v>
      </c>
      <c r="H61" s="22">
        <v>47</v>
      </c>
      <c r="I61" s="23" t="s">
        <v>85</v>
      </c>
      <c r="J61" s="31">
        <v>1</v>
      </c>
      <c r="K61" s="25">
        <v>3</v>
      </c>
      <c r="L61" s="25">
        <v>1</v>
      </c>
      <c r="M61" s="25">
        <v>8</v>
      </c>
      <c r="N61" s="25">
        <v>1</v>
      </c>
      <c r="O61" s="25">
        <v>8</v>
      </c>
      <c r="P61" s="12"/>
      <c r="Q61" s="23" t="str">
        <f t="shared" ref="Q61" si="35">IF($K61=1,TEXT((L61+8*3600)/86400+70*365+19,"yyyy-mm-dd hh:mm:ss"),"")</f>
        <v/>
      </c>
      <c r="R61" s="23" t="str">
        <f t="shared" ref="R61" si="36">IF($K61=1,TEXT((M61+8*3600)/86400+70*365+19,"yyyy-mm-dd hh:mm:ss"),"")</f>
        <v/>
      </c>
      <c r="S61" s="23" t="str">
        <f t="shared" ref="S61" si="37">IF($K61=1,TEXT((N61+8*3600)/86400+70*365+19,"yyyy-mm-dd hh:mm:ss"),"")</f>
        <v/>
      </c>
      <c r="T61" s="23" t="str">
        <f t="shared" ref="T61" si="38">IF($K61=1,TEXT((O61+8*3600)/86400+70*365+19,"yyyy-mm-dd hh:mm:ss"),"")</f>
        <v/>
      </c>
    </row>
    <row r="62" spans="1:20" s="38" customFormat="1" x14ac:dyDescent="0.15">
      <c r="A62" s="33">
        <v>1001</v>
      </c>
      <c r="B62" s="34" t="s">
        <v>117</v>
      </c>
      <c r="C62" s="34" t="s">
        <v>132</v>
      </c>
      <c r="D62" s="34" t="s">
        <v>158</v>
      </c>
      <c r="E62" s="34" t="s">
        <v>33</v>
      </c>
      <c r="F62" s="34" t="s">
        <v>30</v>
      </c>
      <c r="G62" s="34">
        <v>10</v>
      </c>
      <c r="H62" s="34">
        <v>25</v>
      </c>
      <c r="I62" s="35" t="s">
        <v>118</v>
      </c>
      <c r="J62" s="36">
        <v>8</v>
      </c>
      <c r="K62" s="37">
        <v>3</v>
      </c>
      <c r="L62" s="37">
        <v>1</v>
      </c>
      <c r="M62" s="37">
        <v>4</v>
      </c>
      <c r="N62" s="37">
        <v>1</v>
      </c>
      <c r="O62" s="37">
        <v>4</v>
      </c>
      <c r="P62" s="12"/>
      <c r="Q62" s="35" t="str">
        <f t="shared" ref="Q62" si="39">IF($K62=1,TEXT((L62+8*3600)/86400+70*365+19,"yyyy-mm-dd hh:mm:ss"),"")</f>
        <v/>
      </c>
      <c r="R62" s="35" t="str">
        <f t="shared" ref="R62" si="40">IF($K62=1,TEXT((M62+8*3600)/86400+70*365+19,"yyyy-mm-dd hh:mm:ss"),"")</f>
        <v/>
      </c>
      <c r="S62" s="35" t="str">
        <f t="shared" ref="S62" si="41">IF($K62=1,TEXT((N62+8*3600)/86400+70*365+19,"yyyy-mm-dd hh:mm:ss"),"")</f>
        <v/>
      </c>
      <c r="T62" s="35" t="str">
        <f t="shared" ref="T62" si="42">IF($K62=1,TEXT((O62+8*3600)/86400+70*365+19,"yyyy-mm-dd hh:mm:ss"),"")</f>
        <v/>
      </c>
    </row>
    <row r="63" spans="1:20" s="38" customFormat="1" x14ac:dyDescent="0.15">
      <c r="A63" s="33">
        <v>1002</v>
      </c>
      <c r="B63" s="34" t="s">
        <v>117</v>
      </c>
      <c r="C63" s="34" t="s">
        <v>120</v>
      </c>
      <c r="D63" s="34" t="s">
        <v>158</v>
      </c>
      <c r="E63" s="34" t="s">
        <v>33</v>
      </c>
      <c r="F63" s="34" t="s">
        <v>30</v>
      </c>
      <c r="G63" s="34">
        <v>10</v>
      </c>
      <c r="H63" s="34">
        <v>25</v>
      </c>
      <c r="I63" s="35" t="s">
        <v>119</v>
      </c>
      <c r="J63" s="36">
        <v>8</v>
      </c>
      <c r="K63" s="37">
        <v>3</v>
      </c>
      <c r="L63" s="37">
        <v>4</v>
      </c>
      <c r="M63" s="37">
        <v>8</v>
      </c>
      <c r="N63" s="37">
        <v>4</v>
      </c>
      <c r="O63" s="37">
        <v>8</v>
      </c>
      <c r="P63" s="12"/>
      <c r="Q63" s="35" t="str">
        <f t="shared" ref="Q63" si="43">IF($K63=1,TEXT((L63+8*3600)/86400+70*365+19,"yyyy-mm-dd hh:mm:ss"),"")</f>
        <v/>
      </c>
      <c r="R63" s="35" t="str">
        <f t="shared" ref="R63" si="44">IF($K63=1,TEXT((M63+8*3600)/86400+70*365+19,"yyyy-mm-dd hh:mm:ss"),"")</f>
        <v/>
      </c>
      <c r="S63" s="35" t="str">
        <f t="shared" ref="S63" si="45">IF($K63=1,TEXT((N63+8*3600)/86400+70*365+19,"yyyy-mm-dd hh:mm:ss"),"")</f>
        <v/>
      </c>
      <c r="T63" s="35" t="str">
        <f t="shared" ref="T63" si="46">IF($K63=1,TEXT((O63+8*3600)/86400+70*365+19,"yyyy-mm-dd hh:mm:ss"),"")</f>
        <v/>
      </c>
    </row>
    <row r="64" spans="1:20" x14ac:dyDescent="0.15">
      <c r="A64" s="9">
        <v>10001</v>
      </c>
      <c r="B64" s="6" t="s">
        <v>95</v>
      </c>
      <c r="C64" s="6" t="s">
        <v>94</v>
      </c>
      <c r="D64" s="6" t="s">
        <v>158</v>
      </c>
      <c r="E64" s="6" t="s">
        <v>90</v>
      </c>
      <c r="F64" s="6" t="s">
        <v>32</v>
      </c>
      <c r="G64" s="6">
        <v>1</v>
      </c>
      <c r="H64" s="6">
        <v>22</v>
      </c>
      <c r="I64" s="7" t="s">
        <v>93</v>
      </c>
      <c r="J64" s="29">
        <v>1</v>
      </c>
      <c r="K64" s="26">
        <v>1</v>
      </c>
      <c r="L64" s="26">
        <v>1514476800</v>
      </c>
      <c r="M64" s="26">
        <v>1514908799</v>
      </c>
      <c r="N64" s="26">
        <v>1514476800</v>
      </c>
      <c r="O64" s="26">
        <v>1514908799</v>
      </c>
      <c r="P64" s="12"/>
      <c r="Q64" s="26" t="str">
        <f t="shared" ref="Q64:T66" si="47">IF($K64=1,TEXT((L64+8*3600)/86400+70*365+19,"yyyy-mm-dd hh:mm:ss"),"")</f>
        <v>2017-12-29 00:00:00</v>
      </c>
      <c r="R64" s="26" t="str">
        <f t="shared" si="47"/>
        <v>2018-01-02 23:59:59</v>
      </c>
      <c r="S64" s="26" t="str">
        <f t="shared" si="47"/>
        <v>2017-12-29 00:00:00</v>
      </c>
      <c r="T64" s="26" t="str">
        <f t="shared" si="47"/>
        <v>2018-01-02 23:59:59</v>
      </c>
    </row>
    <row r="65" spans="1:20" x14ac:dyDescent="0.15">
      <c r="A65" s="9">
        <v>10002</v>
      </c>
      <c r="B65" s="6" t="s">
        <v>124</v>
      </c>
      <c r="C65" s="6" t="s">
        <v>125</v>
      </c>
      <c r="D65" s="6" t="s">
        <v>158</v>
      </c>
      <c r="E65" s="6" t="s">
        <v>90</v>
      </c>
      <c r="F65" s="6" t="s">
        <v>32</v>
      </c>
      <c r="G65" s="6">
        <v>11</v>
      </c>
      <c r="H65" s="6">
        <v>22</v>
      </c>
      <c r="I65" s="7" t="s">
        <v>129</v>
      </c>
      <c r="J65" s="29">
        <v>8</v>
      </c>
      <c r="K65" s="26">
        <v>2</v>
      </c>
      <c r="L65" s="26">
        <v>8</v>
      </c>
      <c r="M65" s="26">
        <v>15</v>
      </c>
      <c r="N65" s="26">
        <v>8</v>
      </c>
      <c r="O65" s="26">
        <v>15</v>
      </c>
      <c r="P65" s="12"/>
      <c r="Q65" s="26" t="str">
        <f t="shared" si="47"/>
        <v/>
      </c>
      <c r="R65" s="26" t="str">
        <f t="shared" si="47"/>
        <v/>
      </c>
      <c r="S65" s="26" t="str">
        <f t="shared" si="47"/>
        <v/>
      </c>
      <c r="T65" s="26" t="str">
        <f t="shared" si="47"/>
        <v/>
      </c>
    </row>
    <row r="66" spans="1:20" x14ac:dyDescent="0.15">
      <c r="A66" s="9">
        <v>10003</v>
      </c>
      <c r="B66" s="6" t="s">
        <v>146</v>
      </c>
      <c r="C66" s="6" t="s">
        <v>127</v>
      </c>
      <c r="D66" s="6" t="s">
        <v>158</v>
      </c>
      <c r="E66" s="6" t="s">
        <v>90</v>
      </c>
      <c r="F66" s="6" t="s">
        <v>186</v>
      </c>
      <c r="G66" s="6">
        <v>12</v>
      </c>
      <c r="H66" s="6">
        <v>22</v>
      </c>
      <c r="I66" s="7" t="s">
        <v>130</v>
      </c>
      <c r="J66" s="29">
        <v>15</v>
      </c>
      <c r="K66" s="26">
        <v>3</v>
      </c>
      <c r="L66" s="26">
        <v>1</v>
      </c>
      <c r="M66" s="26">
        <v>8</v>
      </c>
      <c r="N66" s="26">
        <v>1</v>
      </c>
      <c r="O66" s="26">
        <v>8</v>
      </c>
      <c r="P66" s="12"/>
      <c r="Q66" s="26" t="str">
        <f t="shared" si="47"/>
        <v/>
      </c>
      <c r="R66" s="26" t="str">
        <f t="shared" si="47"/>
        <v/>
      </c>
      <c r="S66" s="26" t="str">
        <f t="shared" si="47"/>
        <v/>
      </c>
      <c r="T66" s="26" t="str">
        <f t="shared" si="47"/>
        <v/>
      </c>
    </row>
    <row r="67" spans="1:20" x14ac:dyDescent="0.15">
      <c r="A67" s="9">
        <v>10004</v>
      </c>
      <c r="B67" s="6" t="s">
        <v>144</v>
      </c>
      <c r="C67" s="6" t="s">
        <v>94</v>
      </c>
      <c r="D67" s="6" t="s">
        <v>158</v>
      </c>
      <c r="E67" s="6" t="s">
        <v>90</v>
      </c>
      <c r="F67" s="6" t="s">
        <v>32</v>
      </c>
      <c r="G67" s="6">
        <v>1</v>
      </c>
      <c r="H67" s="6">
        <v>22</v>
      </c>
      <c r="I67" s="7" t="s">
        <v>145</v>
      </c>
      <c r="J67" s="29">
        <v>1</v>
      </c>
      <c r="K67" s="26">
        <v>1</v>
      </c>
      <c r="L67" s="26">
        <v>1515513600</v>
      </c>
      <c r="M67" s="26">
        <v>1515945599</v>
      </c>
      <c r="N67" s="26">
        <v>1515513600</v>
      </c>
      <c r="O67" s="26">
        <v>1515945599</v>
      </c>
      <c r="P67" s="12"/>
      <c r="Q67" s="26" t="str">
        <f t="shared" ref="Q67:Q68" si="48">IF($K67=1,TEXT((L67+8*3600)/86400+70*365+19,"yyyy-mm-dd hh:mm:ss"),"")</f>
        <v>2018-01-10 00:00:00</v>
      </c>
      <c r="R67" s="26" t="str">
        <f t="shared" ref="R67:R68" si="49">IF($K67=1,TEXT((M67+8*3600)/86400+70*365+19,"yyyy-mm-dd hh:mm:ss"),"")</f>
        <v>2018-01-14 23:59:59</v>
      </c>
      <c r="S67" s="26" t="str">
        <f t="shared" ref="S67:S68" si="50">IF($K67=1,TEXT((N67+8*3600)/86400+70*365+19,"yyyy-mm-dd hh:mm:ss"),"")</f>
        <v>2018-01-10 00:00:00</v>
      </c>
      <c r="T67" s="26" t="str">
        <f t="shared" ref="T67:T68" si="51">IF($K67=1,TEXT((O67+8*3600)/86400+70*365+19,"yyyy-mm-dd hh:mm:ss"),"")</f>
        <v>2018-01-14 23:59:59</v>
      </c>
    </row>
    <row r="68" spans="1:20" s="38" customFormat="1" x14ac:dyDescent="0.15">
      <c r="A68" s="33">
        <v>10005</v>
      </c>
      <c r="B68" s="34" t="s">
        <v>147</v>
      </c>
      <c r="C68" s="34" t="s">
        <v>148</v>
      </c>
      <c r="D68" s="34" t="s">
        <v>158</v>
      </c>
      <c r="E68" s="34" t="s">
        <v>90</v>
      </c>
      <c r="F68" s="34" t="s">
        <v>32</v>
      </c>
      <c r="G68" s="34">
        <v>13</v>
      </c>
      <c r="H68" s="34">
        <v>22</v>
      </c>
      <c r="I68" s="35" t="s">
        <v>149</v>
      </c>
      <c r="J68" s="36">
        <v>8</v>
      </c>
      <c r="K68" s="37">
        <v>1</v>
      </c>
      <c r="L68" s="37">
        <v>1516636800</v>
      </c>
      <c r="M68" s="37">
        <v>1516895999</v>
      </c>
      <c r="N68" s="37">
        <v>1516636800</v>
      </c>
      <c r="O68" s="37">
        <v>1516895999</v>
      </c>
      <c r="P68" s="12"/>
      <c r="Q68" s="37" t="str">
        <f t="shared" si="48"/>
        <v>2018-01-23 00:00:00</v>
      </c>
      <c r="R68" s="37" t="str">
        <f t="shared" si="49"/>
        <v>2018-01-25 23:59:59</v>
      </c>
      <c r="S68" s="37" t="str">
        <f t="shared" si="50"/>
        <v>2018-01-23 00:00:00</v>
      </c>
      <c r="T68" s="37" t="str">
        <f t="shared" si="51"/>
        <v>2018-01-25 23:59:59</v>
      </c>
    </row>
    <row r="69" spans="1:20" s="38" customFormat="1" x14ac:dyDescent="0.15">
      <c r="A69" s="33">
        <v>10006</v>
      </c>
      <c r="B69" s="34" t="s">
        <v>150</v>
      </c>
      <c r="C69" s="34" t="s">
        <v>151</v>
      </c>
      <c r="D69" s="34" t="s">
        <v>158</v>
      </c>
      <c r="E69" s="34" t="s">
        <v>33</v>
      </c>
      <c r="F69" s="34" t="s">
        <v>30</v>
      </c>
      <c r="G69" s="34">
        <v>14</v>
      </c>
      <c r="H69" s="34">
        <v>12</v>
      </c>
      <c r="I69" s="35" t="s">
        <v>152</v>
      </c>
      <c r="J69" s="36">
        <v>8</v>
      </c>
      <c r="K69" s="37">
        <v>1</v>
      </c>
      <c r="L69" s="37">
        <v>1516636800</v>
      </c>
      <c r="M69" s="37">
        <v>1516895999</v>
      </c>
      <c r="N69" s="37">
        <v>1516636800</v>
      </c>
      <c r="O69" s="37">
        <v>1516895999</v>
      </c>
      <c r="P69" s="12"/>
      <c r="Q69" s="35" t="str">
        <f t="shared" ref="Q69" si="52">IF($K69=1,TEXT((L69+8*3600)/86400+70*365+19,"yyyy-mm-dd hh:mm:ss"),"")</f>
        <v>2018-01-23 00:00:00</v>
      </c>
      <c r="R69" s="35" t="str">
        <f t="shared" ref="R69" si="53">IF($K69=1,TEXT((M69+8*3600)/86400+70*365+19,"yyyy-mm-dd hh:mm:ss"),"")</f>
        <v>2018-01-25 23:59:59</v>
      </c>
      <c r="S69" s="35" t="str">
        <f t="shared" ref="S69" si="54">IF($K69=1,TEXT((N69+8*3600)/86400+70*365+19,"yyyy-mm-dd hh:mm:ss"),"")</f>
        <v>2018-01-23 00:00:00</v>
      </c>
      <c r="T69" s="35" t="str">
        <f t="shared" ref="T69" si="55">IF($K69=1,TEXT((O69+8*3600)/86400+70*365+19,"yyyy-mm-dd hh:mm:ss"),"")</f>
        <v>2018-01-25 23:59:59</v>
      </c>
    </row>
    <row r="70" spans="1:20" s="38" customFormat="1" x14ac:dyDescent="0.15">
      <c r="A70" s="33">
        <v>10007</v>
      </c>
      <c r="B70" s="34" t="s">
        <v>153</v>
      </c>
      <c r="C70" s="34" t="s">
        <v>154</v>
      </c>
      <c r="D70" s="34" t="s">
        <v>158</v>
      </c>
      <c r="E70" s="34" t="s">
        <v>155</v>
      </c>
      <c r="F70" s="34" t="s">
        <v>182</v>
      </c>
      <c r="G70" s="34">
        <v>15</v>
      </c>
      <c r="H70" s="34">
        <v>47</v>
      </c>
      <c r="I70" s="35" t="s">
        <v>156</v>
      </c>
      <c r="J70" s="36">
        <v>8</v>
      </c>
      <c r="K70" s="37">
        <v>1</v>
      </c>
      <c r="L70" s="37">
        <v>1516636800</v>
      </c>
      <c r="M70" s="37">
        <v>1516982399</v>
      </c>
      <c r="N70" s="37">
        <v>1516636800</v>
      </c>
      <c r="O70" s="37">
        <v>1516982399</v>
      </c>
      <c r="P70" s="12"/>
      <c r="Q70" s="35" t="str">
        <f t="shared" ref="Q70:Q71" si="56">IF($K70=1,TEXT((L70+8*3600)/86400+70*365+19,"yyyy-mm-dd hh:mm:ss"),"")</f>
        <v>2018-01-23 00:00:00</v>
      </c>
      <c r="R70" s="35" t="str">
        <f t="shared" ref="R70:R71" si="57">IF($K70=1,TEXT((M70+8*3600)/86400+70*365+19,"yyyy-mm-dd hh:mm:ss"),"")</f>
        <v>2018-01-26 23:59:59</v>
      </c>
      <c r="S70" s="35" t="str">
        <f t="shared" ref="S70:S71" si="58">IF($K70=1,TEXT((N70+8*3600)/86400+70*365+19,"yyyy-mm-dd hh:mm:ss"),"")</f>
        <v>2018-01-23 00:00:00</v>
      </c>
      <c r="T70" s="35" t="str">
        <f t="shared" ref="T70:T71" si="59">IF($K70=1,TEXT((O70+8*3600)/86400+70*365+19,"yyyy-mm-dd hh:mm:ss"),"")</f>
        <v>2018-01-26 23:59:59</v>
      </c>
    </row>
    <row r="71" spans="1:20" s="24" customFormat="1" x14ac:dyDescent="0.15">
      <c r="A71" s="21">
        <v>10008</v>
      </c>
      <c r="B71" s="22" t="s">
        <v>159</v>
      </c>
      <c r="C71" s="22" t="s">
        <v>162</v>
      </c>
      <c r="D71" s="22" t="s">
        <v>158</v>
      </c>
      <c r="E71" s="22" t="s">
        <v>90</v>
      </c>
      <c r="F71" s="22" t="s">
        <v>184</v>
      </c>
      <c r="G71" s="22">
        <v>16</v>
      </c>
      <c r="H71" s="22">
        <v>22</v>
      </c>
      <c r="I71" s="23" t="s">
        <v>160</v>
      </c>
      <c r="J71" s="31">
        <v>8</v>
      </c>
      <c r="K71" s="25">
        <v>1</v>
      </c>
      <c r="L71" s="25">
        <v>1518451200</v>
      </c>
      <c r="M71" s="25">
        <v>1518710399</v>
      </c>
      <c r="N71" s="25">
        <v>1518451200</v>
      </c>
      <c r="O71" s="25">
        <v>1518710399</v>
      </c>
      <c r="P71" s="12"/>
      <c r="Q71" s="25" t="str">
        <f t="shared" si="56"/>
        <v>2018-02-13 00:00:00</v>
      </c>
      <c r="R71" s="25" t="str">
        <f t="shared" si="57"/>
        <v>2018-02-15 23:59:59</v>
      </c>
      <c r="S71" s="25" t="str">
        <f t="shared" si="58"/>
        <v>2018-02-13 00:00:00</v>
      </c>
      <c r="T71" s="25" t="str">
        <f t="shared" si="59"/>
        <v>2018-02-15 23:59:59</v>
      </c>
    </row>
    <row r="72" spans="1:20" s="38" customFormat="1" x14ac:dyDescent="0.15">
      <c r="A72" s="33">
        <v>10009</v>
      </c>
      <c r="B72" s="34" t="s">
        <v>161</v>
      </c>
      <c r="C72" s="34" t="s">
        <v>164</v>
      </c>
      <c r="D72" s="34" t="s">
        <v>158</v>
      </c>
      <c r="E72" s="34" t="s">
        <v>155</v>
      </c>
      <c r="F72" s="34" t="s">
        <v>182</v>
      </c>
      <c r="G72" s="34">
        <v>17</v>
      </c>
      <c r="H72" s="34">
        <v>47</v>
      </c>
      <c r="I72" s="35" t="s">
        <v>163</v>
      </c>
      <c r="J72" s="36">
        <v>8</v>
      </c>
      <c r="K72" s="37">
        <v>1</v>
      </c>
      <c r="L72" s="37">
        <v>1518537600</v>
      </c>
      <c r="M72" s="37">
        <v>1519401599</v>
      </c>
      <c r="N72" s="37">
        <v>1518537600</v>
      </c>
      <c r="O72" s="37">
        <v>1519401599</v>
      </c>
      <c r="P72" s="12"/>
      <c r="Q72" s="35" t="str">
        <f t="shared" ref="Q72:Q73" si="60">IF($K72=1,TEXT((L72+8*3600)/86400+70*365+19,"yyyy-mm-dd hh:mm:ss"),"")</f>
        <v>2018-02-14 00:00:00</v>
      </c>
      <c r="R72" s="35" t="str">
        <f t="shared" ref="R72:R73" si="61">IF($K72=1,TEXT((M72+8*3600)/86400+70*365+19,"yyyy-mm-dd hh:mm:ss"),"")</f>
        <v>2018-02-23 23:59:59</v>
      </c>
      <c r="S72" s="35" t="str">
        <f t="shared" ref="S72:S73" si="62">IF($K72=1,TEXT((N72+8*3600)/86400+70*365+19,"yyyy-mm-dd hh:mm:ss"),"")</f>
        <v>2018-02-14 00:00:00</v>
      </c>
      <c r="T72" s="35" t="str">
        <f t="shared" ref="T72:T73" si="63">IF($K72=1,TEXT((O72+8*3600)/86400+70*365+19,"yyyy-mm-dd hh:mm:ss"),"")</f>
        <v>2018-02-23 23:59:59</v>
      </c>
    </row>
    <row r="73" spans="1:20" s="38" customFormat="1" x14ac:dyDescent="0.15">
      <c r="A73" s="33">
        <v>10010</v>
      </c>
      <c r="B73" s="34" t="s">
        <v>173</v>
      </c>
      <c r="C73" s="34" t="s">
        <v>172</v>
      </c>
      <c r="D73" s="34" t="s">
        <v>158</v>
      </c>
      <c r="E73" s="34" t="s">
        <v>33</v>
      </c>
      <c r="F73" s="34" t="s">
        <v>185</v>
      </c>
      <c r="G73" s="34">
        <v>18</v>
      </c>
      <c r="H73" s="34">
        <v>12</v>
      </c>
      <c r="I73" s="35" t="s">
        <v>167</v>
      </c>
      <c r="J73" s="36">
        <v>8</v>
      </c>
      <c r="K73" s="37">
        <v>1</v>
      </c>
      <c r="L73" s="37">
        <v>1518537600</v>
      </c>
      <c r="M73" s="37">
        <v>1518796799</v>
      </c>
      <c r="N73" s="37">
        <v>1518537600</v>
      </c>
      <c r="O73" s="37">
        <v>1518796799</v>
      </c>
      <c r="P73" s="12"/>
      <c r="Q73" s="35" t="str">
        <f t="shared" si="60"/>
        <v>2018-02-14 00:00:00</v>
      </c>
      <c r="R73" s="35" t="str">
        <f t="shared" si="61"/>
        <v>2018-02-16 23:59:59</v>
      </c>
      <c r="S73" s="35" t="str">
        <f t="shared" si="62"/>
        <v>2018-02-14 00:00:00</v>
      </c>
      <c r="T73" s="35" t="str">
        <f t="shared" si="63"/>
        <v>2018-02-16 23:59:59</v>
      </c>
    </row>
    <row r="74" spans="1:20" s="38" customFormat="1" x14ac:dyDescent="0.15">
      <c r="A74" s="33">
        <v>10011</v>
      </c>
      <c r="B74" s="34" t="s">
        <v>174</v>
      </c>
      <c r="C74" s="34" t="s">
        <v>165</v>
      </c>
      <c r="D74" s="34" t="s">
        <v>158</v>
      </c>
      <c r="E74" s="34" t="s">
        <v>33</v>
      </c>
      <c r="F74" s="34" t="s">
        <v>185</v>
      </c>
      <c r="G74" s="34">
        <v>18</v>
      </c>
      <c r="H74" s="34">
        <v>12</v>
      </c>
      <c r="I74" s="35" t="s">
        <v>168</v>
      </c>
      <c r="J74" s="36">
        <v>8</v>
      </c>
      <c r="K74" s="37">
        <v>1</v>
      </c>
      <c r="L74" s="37">
        <v>1518796800</v>
      </c>
      <c r="M74" s="37">
        <v>1519055999</v>
      </c>
      <c r="N74" s="37">
        <v>1518796800</v>
      </c>
      <c r="O74" s="37">
        <v>1519055999</v>
      </c>
      <c r="P74" s="12"/>
      <c r="Q74" s="35" t="str">
        <f t="shared" ref="Q74:Q78" si="64">IF($K74=1,TEXT((L74+8*3600)/86400+70*365+19,"yyyy-mm-dd hh:mm:ss"),"")</f>
        <v>2018-02-17 00:00:00</v>
      </c>
      <c r="R74" s="35" t="str">
        <f t="shared" ref="R74:R78" si="65">IF($K74=1,TEXT((M74+8*3600)/86400+70*365+19,"yyyy-mm-dd hh:mm:ss"),"")</f>
        <v>2018-02-19 23:59:59</v>
      </c>
      <c r="S74" s="35" t="str">
        <f t="shared" ref="S74:S78" si="66">IF($K74=1,TEXT((N74+8*3600)/86400+70*365+19,"yyyy-mm-dd hh:mm:ss"),"")</f>
        <v>2018-02-17 00:00:00</v>
      </c>
      <c r="T74" s="35" t="str">
        <f t="shared" ref="T74:T78" si="67">IF($K74=1,TEXT((O74+8*3600)/86400+70*365+19,"yyyy-mm-dd hh:mm:ss"),"")</f>
        <v>2018-02-19 23:59:59</v>
      </c>
    </row>
    <row r="75" spans="1:20" s="38" customFormat="1" x14ac:dyDescent="0.15">
      <c r="A75" s="33">
        <v>10012</v>
      </c>
      <c r="B75" s="34" t="s">
        <v>175</v>
      </c>
      <c r="C75" s="34" t="s">
        <v>166</v>
      </c>
      <c r="D75" s="34" t="s">
        <v>158</v>
      </c>
      <c r="E75" s="34" t="s">
        <v>33</v>
      </c>
      <c r="F75" s="34" t="s">
        <v>185</v>
      </c>
      <c r="G75" s="34">
        <v>18</v>
      </c>
      <c r="H75" s="34">
        <v>12</v>
      </c>
      <c r="I75" s="35" t="s">
        <v>169</v>
      </c>
      <c r="J75" s="36">
        <v>8</v>
      </c>
      <c r="K75" s="37">
        <v>1</v>
      </c>
      <c r="L75" s="37">
        <v>1519056000</v>
      </c>
      <c r="M75" s="37">
        <v>1519315199</v>
      </c>
      <c r="N75" s="37">
        <v>1519056000</v>
      </c>
      <c r="O75" s="37">
        <v>1519315199</v>
      </c>
      <c r="P75" s="12"/>
      <c r="Q75" s="35" t="str">
        <f t="shared" si="64"/>
        <v>2018-02-20 00:00:00</v>
      </c>
      <c r="R75" s="35" t="str">
        <f t="shared" si="65"/>
        <v>2018-02-22 23:59:59</v>
      </c>
      <c r="S75" s="35" t="str">
        <f t="shared" si="66"/>
        <v>2018-02-20 00:00:00</v>
      </c>
      <c r="T75" s="35" t="str">
        <f t="shared" si="67"/>
        <v>2018-02-22 23:59:59</v>
      </c>
    </row>
    <row r="76" spans="1:20" s="38" customFormat="1" x14ac:dyDescent="0.15">
      <c r="A76" s="33">
        <v>10013</v>
      </c>
      <c r="B76" s="34" t="s">
        <v>171</v>
      </c>
      <c r="C76" s="34" t="s">
        <v>170</v>
      </c>
      <c r="D76" s="34" t="s">
        <v>158</v>
      </c>
      <c r="E76" s="34" t="s">
        <v>155</v>
      </c>
      <c r="F76" s="34" t="s">
        <v>183</v>
      </c>
      <c r="G76" s="34">
        <v>19</v>
      </c>
      <c r="H76" s="34">
        <v>47</v>
      </c>
      <c r="I76" s="35" t="s">
        <v>176</v>
      </c>
      <c r="J76" s="36">
        <v>8</v>
      </c>
      <c r="K76" s="37">
        <v>1</v>
      </c>
      <c r="L76" s="37">
        <v>1518537600</v>
      </c>
      <c r="M76" s="37">
        <v>1519401599</v>
      </c>
      <c r="N76" s="37">
        <v>1518537600</v>
      </c>
      <c r="O76" s="37">
        <v>1519401599</v>
      </c>
      <c r="P76" s="12"/>
      <c r="Q76" s="35" t="str">
        <f t="shared" si="64"/>
        <v>2018-02-14 00:00:00</v>
      </c>
      <c r="R76" s="35" t="str">
        <f t="shared" si="65"/>
        <v>2018-02-23 23:59:59</v>
      </c>
      <c r="S76" s="35" t="str">
        <f t="shared" si="66"/>
        <v>2018-02-14 00:00:00</v>
      </c>
      <c r="T76" s="35" t="str">
        <f t="shared" si="67"/>
        <v>2018-02-23 23:59:59</v>
      </c>
    </row>
    <row r="77" spans="1:20" s="24" customFormat="1" x14ac:dyDescent="0.15">
      <c r="A77" s="21">
        <v>10014</v>
      </c>
      <c r="B77" s="22" t="s">
        <v>177</v>
      </c>
      <c r="C77" s="22" t="s">
        <v>178</v>
      </c>
      <c r="D77" s="22" t="s">
        <v>158</v>
      </c>
      <c r="E77" s="22" t="s">
        <v>90</v>
      </c>
      <c r="F77" s="22" t="s">
        <v>184</v>
      </c>
      <c r="G77" s="22">
        <v>16</v>
      </c>
      <c r="H77" s="22">
        <v>22</v>
      </c>
      <c r="I77" s="23" t="s">
        <v>179</v>
      </c>
      <c r="J77" s="31">
        <v>8</v>
      </c>
      <c r="K77" s="25">
        <v>1</v>
      </c>
      <c r="L77" s="25">
        <v>1518537600</v>
      </c>
      <c r="M77" s="22">
        <v>1519315199</v>
      </c>
      <c r="N77" s="25">
        <v>1518537600</v>
      </c>
      <c r="O77" s="22">
        <v>1519315199</v>
      </c>
      <c r="P77" s="12"/>
      <c r="Q77" s="25" t="str">
        <f t="shared" si="64"/>
        <v>2018-02-14 00:00:00</v>
      </c>
      <c r="R77" s="25" t="str">
        <f t="shared" si="65"/>
        <v>2018-02-22 23:59:59</v>
      </c>
      <c r="S77" s="25" t="str">
        <f t="shared" si="66"/>
        <v>2018-02-14 00:00:00</v>
      </c>
      <c r="T77" s="25" t="str">
        <f t="shared" si="67"/>
        <v>2018-02-22 23:59:59</v>
      </c>
    </row>
    <row r="78" spans="1:20" s="24" customFormat="1" x14ac:dyDescent="0.15">
      <c r="A78" s="21">
        <v>10015</v>
      </c>
      <c r="B78" s="22" t="s">
        <v>144</v>
      </c>
      <c r="C78" s="22" t="s">
        <v>180</v>
      </c>
      <c r="D78" s="22" t="s">
        <v>158</v>
      </c>
      <c r="E78" s="22" t="s">
        <v>90</v>
      </c>
      <c r="F78" s="22" t="s">
        <v>184</v>
      </c>
      <c r="G78" s="22">
        <v>20</v>
      </c>
      <c r="H78" s="22">
        <v>22</v>
      </c>
      <c r="I78" s="23" t="s">
        <v>181</v>
      </c>
      <c r="J78" s="31">
        <v>8</v>
      </c>
      <c r="K78" s="25">
        <v>1</v>
      </c>
      <c r="L78" s="25">
        <v>1518364800</v>
      </c>
      <c r="M78" s="22">
        <v>1518623999</v>
      </c>
      <c r="N78" s="25">
        <v>1518364800</v>
      </c>
      <c r="O78" s="22">
        <v>1518623999</v>
      </c>
      <c r="P78" s="12"/>
      <c r="Q78" s="25" t="str">
        <f t="shared" si="64"/>
        <v>2018-02-12 00:00:00</v>
      </c>
      <c r="R78" s="25" t="str">
        <f t="shared" si="65"/>
        <v>2018-02-14 23:59:59</v>
      </c>
      <c r="S78" s="25" t="str">
        <f t="shared" si="66"/>
        <v>2018-02-12 00:00:00</v>
      </c>
      <c r="T78" s="25" t="str">
        <f t="shared" si="67"/>
        <v>2018-02-14 23:59:59</v>
      </c>
    </row>
    <row r="79" spans="1:20" s="24" customFormat="1" x14ac:dyDescent="0.15">
      <c r="A79" s="21">
        <v>10016</v>
      </c>
      <c r="B79" s="22" t="s">
        <v>187</v>
      </c>
      <c r="C79" s="22" t="s">
        <v>188</v>
      </c>
      <c r="D79" s="22" t="s">
        <v>158</v>
      </c>
      <c r="E79" s="22" t="s">
        <v>90</v>
      </c>
      <c r="F79" s="22" t="s">
        <v>184</v>
      </c>
      <c r="G79" s="22">
        <v>1</v>
      </c>
      <c r="H79" s="22">
        <v>22</v>
      </c>
      <c r="I79" s="23" t="s">
        <v>189</v>
      </c>
      <c r="J79" s="31">
        <v>8</v>
      </c>
      <c r="K79" s="25">
        <v>1</v>
      </c>
      <c r="L79" s="25">
        <v>1519920000</v>
      </c>
      <c r="M79" s="22">
        <v>1520179199</v>
      </c>
      <c r="N79" s="25">
        <v>1519920000</v>
      </c>
      <c r="O79" s="22">
        <v>1520179199</v>
      </c>
      <c r="P79" s="12"/>
      <c r="Q79" s="25" t="str">
        <f t="shared" ref="Q79:Q82" si="68">IF($K79=1,TEXT((L79+8*3600)/86400+70*365+19,"yyyy-mm-dd hh:mm:ss"),"")</f>
        <v>2018-03-02 00:00:00</v>
      </c>
      <c r="R79" s="25" t="str">
        <f t="shared" ref="R79:R82" si="69">IF($K79=1,TEXT((M79+8*3600)/86400+70*365+19,"yyyy-mm-dd hh:mm:ss"),"")</f>
        <v>2018-03-04 23:59:59</v>
      </c>
      <c r="S79" s="25" t="str">
        <f t="shared" ref="S79:S82" si="70">IF($K79=1,TEXT((N79+8*3600)/86400+70*365+19,"yyyy-mm-dd hh:mm:ss"),"")</f>
        <v>2018-03-02 00:00:00</v>
      </c>
      <c r="T79" s="25" t="str">
        <f t="shared" ref="T79:T82" si="71">IF($K79=1,TEXT((O79+8*3600)/86400+70*365+19,"yyyy-mm-dd hh:mm:ss"),"")</f>
        <v>2018-03-04 23:59:59</v>
      </c>
    </row>
    <row r="80" spans="1:20" s="38" customFormat="1" x14ac:dyDescent="0.15">
      <c r="A80" s="34">
        <v>10017</v>
      </c>
      <c r="B80" s="34" t="s">
        <v>161</v>
      </c>
      <c r="C80" s="34" t="s">
        <v>164</v>
      </c>
      <c r="D80" s="34" t="s">
        <v>158</v>
      </c>
      <c r="E80" s="34" t="s">
        <v>155</v>
      </c>
      <c r="F80" s="34" t="s">
        <v>182</v>
      </c>
      <c r="G80" s="34">
        <v>1</v>
      </c>
      <c r="H80" s="34">
        <v>47</v>
      </c>
      <c r="I80" s="35" t="s">
        <v>190</v>
      </c>
      <c r="J80" s="36">
        <v>8</v>
      </c>
      <c r="K80" s="37">
        <v>1</v>
      </c>
      <c r="L80" s="37">
        <v>1519920000</v>
      </c>
      <c r="M80" s="37">
        <v>1520265599</v>
      </c>
      <c r="N80" s="37">
        <v>1519920000</v>
      </c>
      <c r="O80" s="37">
        <v>1520265599</v>
      </c>
      <c r="P80" s="12"/>
      <c r="Q80" s="35" t="str">
        <f t="shared" si="68"/>
        <v>2018-03-02 00:00:00</v>
      </c>
      <c r="R80" s="35" t="str">
        <f t="shared" si="69"/>
        <v>2018-03-05 23:59:59</v>
      </c>
      <c r="S80" s="35" t="str">
        <f t="shared" si="70"/>
        <v>2018-03-02 00:00:00</v>
      </c>
      <c r="T80" s="35" t="str">
        <f t="shared" si="71"/>
        <v>2018-03-05 23:59:59</v>
      </c>
    </row>
    <row r="81" spans="1:20" s="38" customFormat="1" x14ac:dyDescent="0.15">
      <c r="A81" s="34">
        <v>10018</v>
      </c>
      <c r="B81" s="34" t="s">
        <v>171</v>
      </c>
      <c r="C81" s="34" t="s">
        <v>170</v>
      </c>
      <c r="D81" s="34" t="s">
        <v>158</v>
      </c>
      <c r="E81" s="34" t="s">
        <v>155</v>
      </c>
      <c r="F81" s="34" t="s">
        <v>183</v>
      </c>
      <c r="G81" s="34">
        <v>1</v>
      </c>
      <c r="H81" s="34">
        <v>47</v>
      </c>
      <c r="I81" s="35" t="s">
        <v>191</v>
      </c>
      <c r="J81" s="36">
        <v>8</v>
      </c>
      <c r="K81" s="37">
        <v>1</v>
      </c>
      <c r="L81" s="37">
        <v>1519920000</v>
      </c>
      <c r="M81" s="37">
        <v>1520265599</v>
      </c>
      <c r="N81" s="37">
        <v>1519920000</v>
      </c>
      <c r="O81" s="37">
        <v>1520265599</v>
      </c>
      <c r="P81" s="12"/>
      <c r="Q81" s="35" t="str">
        <f t="shared" si="68"/>
        <v>2018-03-02 00:00:00</v>
      </c>
      <c r="R81" s="35" t="str">
        <f t="shared" si="69"/>
        <v>2018-03-05 23:59:59</v>
      </c>
      <c r="S81" s="35" t="str">
        <f t="shared" si="70"/>
        <v>2018-03-02 00:00:00</v>
      </c>
      <c r="T81" s="35" t="str">
        <f t="shared" si="71"/>
        <v>2018-03-05 23:59:59</v>
      </c>
    </row>
    <row r="82" spans="1:20" s="38" customFormat="1" x14ac:dyDescent="0.15">
      <c r="A82" s="34">
        <v>10019</v>
      </c>
      <c r="B82" s="34" t="s">
        <v>192</v>
      </c>
      <c r="C82" s="34" t="s">
        <v>193</v>
      </c>
      <c r="D82" s="34" t="s">
        <v>158</v>
      </c>
      <c r="E82" s="34" t="s">
        <v>33</v>
      </c>
      <c r="F82" s="34" t="s">
        <v>185</v>
      </c>
      <c r="G82" s="34">
        <v>1</v>
      </c>
      <c r="H82" s="34">
        <v>47</v>
      </c>
      <c r="I82" s="55" t="s">
        <v>196</v>
      </c>
      <c r="J82" s="36">
        <v>8</v>
      </c>
      <c r="K82" s="37">
        <v>1</v>
      </c>
      <c r="L82" s="37">
        <v>1519920000</v>
      </c>
      <c r="M82" s="37">
        <v>1520179199</v>
      </c>
      <c r="N82" s="37">
        <v>1519920000</v>
      </c>
      <c r="O82" s="37">
        <v>1520179199</v>
      </c>
      <c r="P82" s="12"/>
      <c r="Q82" s="35" t="str">
        <f t="shared" si="68"/>
        <v>2018-03-02 00:00:00</v>
      </c>
      <c r="R82" s="35" t="str">
        <f t="shared" si="69"/>
        <v>2018-03-04 23:59:59</v>
      </c>
      <c r="S82" s="35" t="str">
        <f t="shared" si="70"/>
        <v>2018-03-02 00:00:00</v>
      </c>
      <c r="T82" s="35" t="str">
        <f t="shared" si="71"/>
        <v>2018-03-04 23:59:59</v>
      </c>
    </row>
    <row r="83" spans="1:20" s="38" customFormat="1" x14ac:dyDescent="0.15">
      <c r="A83" s="34">
        <v>10020</v>
      </c>
      <c r="B83" s="34" t="s">
        <v>195</v>
      </c>
      <c r="C83" s="34" t="s">
        <v>170</v>
      </c>
      <c r="D83" s="34" t="s">
        <v>158</v>
      </c>
      <c r="E83" s="34" t="s">
        <v>155</v>
      </c>
      <c r="F83" s="34" t="s">
        <v>183</v>
      </c>
      <c r="G83" s="34">
        <v>1</v>
      </c>
      <c r="H83" s="34">
        <v>47</v>
      </c>
      <c r="I83" s="54" t="s">
        <v>196</v>
      </c>
      <c r="J83" s="36">
        <v>8</v>
      </c>
      <c r="K83" s="37">
        <v>1</v>
      </c>
      <c r="L83" s="37">
        <v>1519920000</v>
      </c>
      <c r="M83" s="37">
        <v>1520265599</v>
      </c>
      <c r="N83" s="37">
        <v>1519920000</v>
      </c>
      <c r="O83" s="37">
        <v>1520265599</v>
      </c>
      <c r="P83" s="12"/>
      <c r="Q83" s="35" t="str">
        <f t="shared" ref="Q83:Q84" si="72">IF($K83=1,TEXT((L83+8*3600)/86400+70*365+19,"yyyy-mm-dd hh:mm:ss"),"")</f>
        <v>2018-03-02 00:00:00</v>
      </c>
      <c r="R83" s="35" t="str">
        <f t="shared" ref="R83:R84" si="73">IF($K83=1,TEXT((M83+8*3600)/86400+70*365+19,"yyyy-mm-dd hh:mm:ss"),"")</f>
        <v>2018-03-05 23:59:59</v>
      </c>
      <c r="S83" s="35" t="str">
        <f t="shared" ref="S83:S84" si="74">IF($K83=1,TEXT((N83+8*3600)/86400+70*365+19,"yyyy-mm-dd hh:mm:ss"),"")</f>
        <v>2018-03-02 00:00:00</v>
      </c>
      <c r="T83" s="35" t="str">
        <f t="shared" ref="T83:T84" si="75">IF($K83=1,TEXT((O83+8*3600)/86400+70*365+19,"yyyy-mm-dd hh:mm:ss"),"")</f>
        <v>2018-03-05 23:59:59</v>
      </c>
    </row>
    <row r="84" spans="1:20" s="24" customFormat="1" x14ac:dyDescent="0.15">
      <c r="A84" s="21">
        <v>10021</v>
      </c>
      <c r="B84" s="22" t="s">
        <v>198</v>
      </c>
      <c r="C84" s="22" t="s">
        <v>197</v>
      </c>
      <c r="D84" s="22" t="s">
        <v>158</v>
      </c>
      <c r="E84" s="22" t="s">
        <v>90</v>
      </c>
      <c r="F84" s="22" t="s">
        <v>184</v>
      </c>
      <c r="G84" s="22">
        <v>1</v>
      </c>
      <c r="H84" s="22">
        <v>22</v>
      </c>
      <c r="I84" s="23" t="s">
        <v>199</v>
      </c>
      <c r="J84" s="31">
        <v>8</v>
      </c>
      <c r="K84" s="25">
        <v>1</v>
      </c>
      <c r="L84" s="25">
        <v>1520438400</v>
      </c>
      <c r="M84" s="25">
        <v>1520697599</v>
      </c>
      <c r="N84" s="25">
        <v>1520438400</v>
      </c>
      <c r="O84" s="25">
        <v>1520697599</v>
      </c>
      <c r="P84" s="12"/>
      <c r="Q84" s="25" t="str">
        <f t="shared" si="72"/>
        <v>2018-03-08 00:00:00</v>
      </c>
      <c r="R84" s="25" t="str">
        <f t="shared" si="73"/>
        <v>2018-03-10 23:59:59</v>
      </c>
      <c r="S84" s="25" t="str">
        <f t="shared" si="74"/>
        <v>2018-03-08 00:00:00</v>
      </c>
      <c r="T84" s="25" t="str">
        <f t="shared" si="75"/>
        <v>2018-03-10 23:59:59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2006-09-13T11:21:00Z</dcterms:created>
  <dcterms:modified xsi:type="dcterms:W3CDTF">2018-03-07T08:09:02Z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