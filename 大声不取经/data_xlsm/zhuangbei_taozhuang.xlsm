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65" windowWidth="14805" windowHeight="795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P12" i="2"/>
  <c r="Q12"/>
  <c r="R12"/>
  <c r="S12"/>
  <c r="S16" s="1"/>
  <c r="O29" s="1"/>
  <c r="P13"/>
  <c r="P16" s="1"/>
  <c r="O38" s="1"/>
  <c r="Q13"/>
  <c r="R13"/>
  <c r="S13"/>
  <c r="P14"/>
  <c r="Q14"/>
  <c r="R14"/>
  <c r="S14"/>
  <c r="P15"/>
  <c r="Q15"/>
  <c r="R15"/>
  <c r="S15"/>
  <c r="P20"/>
  <c r="Q20"/>
  <c r="R20"/>
  <c r="S20"/>
  <c r="P21"/>
  <c r="P24" s="1"/>
  <c r="O40" s="1"/>
  <c r="Q21"/>
  <c r="R21"/>
  <c r="R24" s="1"/>
  <c r="O34" s="1"/>
  <c r="S21"/>
  <c r="S24" s="1"/>
  <c r="O31" s="1"/>
  <c r="P22"/>
  <c r="Q22"/>
  <c r="R22"/>
  <c r="S22"/>
  <c r="P23"/>
  <c r="Q23"/>
  <c r="R23"/>
  <c r="S23"/>
  <c r="O23"/>
  <c r="O22"/>
  <c r="O21"/>
  <c r="O20"/>
  <c r="O24" s="1"/>
  <c r="O43" s="1"/>
  <c r="O15"/>
  <c r="O14"/>
  <c r="O13"/>
  <c r="O12"/>
  <c r="O16" s="1"/>
  <c r="O41" s="1"/>
  <c r="P4"/>
  <c r="P8" s="1"/>
  <c r="O39" s="1"/>
  <c r="Q4"/>
  <c r="Q8" s="1"/>
  <c r="O36" s="1"/>
  <c r="R4"/>
  <c r="S4"/>
  <c r="P5"/>
  <c r="Q5"/>
  <c r="R5"/>
  <c r="S5"/>
  <c r="P6"/>
  <c r="Q6"/>
  <c r="R6"/>
  <c r="S6"/>
  <c r="P7"/>
  <c r="Q7"/>
  <c r="R7"/>
  <c r="S7"/>
  <c r="O4"/>
  <c r="O5"/>
  <c r="O33"/>
  <c r="Q24"/>
  <c r="O37" s="1"/>
  <c r="R8"/>
  <c r="S8"/>
  <c r="O30" s="1"/>
  <c r="O8"/>
  <c r="O42" s="1"/>
  <c r="O7"/>
  <c r="O6"/>
  <c r="Q16"/>
  <c r="O35" s="1"/>
  <c r="R16"/>
  <c r="O32" s="1"/>
</calcChain>
</file>

<file path=xl/sharedStrings.xml><?xml version="1.0" encoding="utf-8"?>
<sst xmlns="http://schemas.openxmlformats.org/spreadsheetml/2006/main" count="690" uniqueCount="194">
  <si>
    <t>套装名称</t>
    <phoneticPr fontId="1" type="noConversion"/>
  </si>
  <si>
    <t>taozhuang_id</t>
    <phoneticPr fontId="1" type="noConversion"/>
  </si>
  <si>
    <t>zhuangbei_id</t>
    <phoneticPr fontId="1" type="noConversion"/>
  </si>
  <si>
    <t>taozhuang_eff1</t>
    <phoneticPr fontId="1" type="noConversion"/>
  </si>
  <si>
    <t>description</t>
    <phoneticPr fontId="2" type="noConversion"/>
  </si>
  <si>
    <t>s</t>
    <phoneticPr fontId="1" type="noConversion"/>
  </si>
  <si>
    <t>2001,2002,2003,2004</t>
    <phoneticPr fontId="1" type="noConversion"/>
  </si>
  <si>
    <t>2005,2006,2007,2008</t>
    <phoneticPr fontId="1" type="noConversion"/>
  </si>
  <si>
    <t>2009,2010,2011,2012</t>
    <phoneticPr fontId="1" type="noConversion"/>
  </si>
  <si>
    <t>2021,2022,2023,2024</t>
    <phoneticPr fontId="1" type="noConversion"/>
  </si>
  <si>
    <t>2025,2026,2027,2028</t>
    <phoneticPr fontId="1" type="noConversion"/>
  </si>
  <si>
    <t>2029,2030,2031,2032</t>
    <phoneticPr fontId="1" type="noConversion"/>
  </si>
  <si>
    <t>2041,2042,2043,2044</t>
    <phoneticPr fontId="1" type="noConversion"/>
  </si>
  <si>
    <t>2045,2046,2047,2048</t>
    <phoneticPr fontId="1" type="noConversion"/>
  </si>
  <si>
    <t>2049,2050,2051,2052</t>
    <phoneticPr fontId="1" type="noConversion"/>
  </si>
  <si>
    <t>2061,2062,2063,2064</t>
    <phoneticPr fontId="1" type="noConversion"/>
  </si>
  <si>
    <t>2065,2066,2067,2068</t>
    <phoneticPr fontId="1" type="noConversion"/>
  </si>
  <si>
    <t>2069,2070,2071,2072</t>
    <phoneticPr fontId="1" type="noConversion"/>
  </si>
  <si>
    <t>1021,1022</t>
  </si>
  <si>
    <t>1021,1022,1023,1024</t>
  </si>
  <si>
    <t>1033,1034</t>
  </si>
  <si>
    <t>1033,1034,1035,1036</t>
  </si>
  <si>
    <t>1045,1046</t>
  </si>
  <si>
    <t>1045,1046,1047,1048</t>
  </si>
  <si>
    <t>青锋套装</t>
    <phoneticPr fontId="1" type="noConversion"/>
  </si>
  <si>
    <t>赤血套装</t>
    <phoneticPr fontId="1" type="noConversion"/>
  </si>
  <si>
    <t>雁虞套装</t>
    <phoneticPr fontId="1" type="noConversion"/>
  </si>
  <si>
    <t>na</t>
    <phoneticPr fontId="2" type="noConversion"/>
  </si>
  <si>
    <t>综合</t>
    <phoneticPr fontId="1" type="noConversion"/>
  </si>
  <si>
    <t>攻击</t>
    <phoneticPr fontId="1" type="noConversion"/>
  </si>
  <si>
    <t>防御</t>
    <phoneticPr fontId="1" type="noConversion"/>
  </si>
  <si>
    <t>加成属性值</t>
  </si>
  <si>
    <t>暴击率</t>
  </si>
  <si>
    <t>攻击套装</t>
  </si>
  <si>
    <t>套装主题效果</t>
  </si>
  <si>
    <t>加成属性1</t>
  </si>
  <si>
    <t>红色</t>
  </si>
  <si>
    <t>橙色</t>
  </si>
  <si>
    <t>紫色</t>
  </si>
  <si>
    <t>蓝色</t>
  </si>
  <si>
    <t>绿色</t>
  </si>
  <si>
    <t>加成属性2</t>
  </si>
  <si>
    <t>2件套装属性</t>
  </si>
  <si>
    <t>攻击力</t>
  </si>
  <si>
    <t/>
  </si>
  <si>
    <t>3件套装属性</t>
  </si>
  <si>
    <t>命中率</t>
  </si>
  <si>
    <t>4件套装属性</t>
  </si>
  <si>
    <t>伤害加成</t>
  </si>
  <si>
    <t>综合性能套装</t>
  </si>
  <si>
    <t>生命值</t>
  </si>
  <si>
    <t>伤害减免</t>
  </si>
  <si>
    <t>防御套装</t>
  </si>
  <si>
    <t>闪避率</t>
  </si>
  <si>
    <t>抗暴率</t>
  </si>
  <si>
    <r>
      <rPr>
        <b/>
        <sz val="10"/>
        <rFont val="微软雅黑"/>
        <family val="2"/>
        <charset val="134"/>
      </rPr>
      <t>套装组ID</t>
    </r>
    <r>
      <rPr>
        <sz val="10"/>
        <rFont val="微软雅黑"/>
        <family val="2"/>
        <charset val="134"/>
      </rPr>
      <t xml:space="preserve">
game_equipment调用</t>
    </r>
    <phoneticPr fontId="1" type="noConversion"/>
  </si>
  <si>
    <r>
      <rPr>
        <b/>
        <sz val="10"/>
        <rFont val="微软雅黑"/>
        <family val="2"/>
        <charset val="134"/>
      </rPr>
      <t>套装组装备ID</t>
    </r>
    <r>
      <rPr>
        <sz val="10"/>
        <rFont val="微软雅黑"/>
        <family val="2"/>
        <charset val="134"/>
      </rPr>
      <t xml:space="preserve">
调用game_equipment</t>
    </r>
    <phoneticPr fontId="1" type="noConversion"/>
  </si>
  <si>
    <r>
      <rPr>
        <b/>
        <sz val="10"/>
        <rFont val="微软雅黑"/>
        <family val="2"/>
        <charset val="134"/>
      </rPr>
      <t>套装效果</t>
    </r>
    <r>
      <rPr>
        <sz val="10"/>
        <rFont val="微软雅黑"/>
        <family val="2"/>
        <charset val="134"/>
      </rPr>
      <t xml:space="preserve">
2件
调用hero_effect的id</t>
    </r>
    <phoneticPr fontId="1" type="noConversion"/>
  </si>
  <si>
    <t>套装效果
3件                                                                                                    调用hero_effect的id</t>
    <phoneticPr fontId="1" type="noConversion"/>
  </si>
  <si>
    <t>套装效果
4件                                                                                          调用hero_effect的id</t>
    <phoneticPr fontId="1" type="noConversion"/>
  </si>
  <si>
    <t>taozhuang_name</t>
    <phoneticPr fontId="1" type="noConversion"/>
  </si>
  <si>
    <t>taozhuang_eff2</t>
    <phoneticPr fontId="1" type="noConversion"/>
  </si>
  <si>
    <t>taozhuang_eff3</t>
    <phoneticPr fontId="1" type="noConversion"/>
  </si>
  <si>
    <t>[["攻击力:+160"],["命中率:+4%"],["暴击率:+4%","伤害加成:+4%"]]</t>
    <phoneticPr fontId="1" type="noConversion"/>
  </si>
  <si>
    <t>[["生命值:+6400"],["闪避率:+4%"],["抗暴率:+4%","伤害减免:+4%"]]</t>
    <phoneticPr fontId="1" type="noConversion"/>
  </si>
  <si>
    <t>1901</t>
  </si>
  <si>
    <t>1901</t>
    <phoneticPr fontId="1" type="noConversion"/>
  </si>
  <si>
    <t>1901,1902</t>
  </si>
  <si>
    <t>1901,1902</t>
    <phoneticPr fontId="1" type="noConversion"/>
  </si>
  <si>
    <t>1901,1902,1903,1904</t>
  </si>
  <si>
    <t>1901,1902,1903,1904</t>
    <phoneticPr fontId="1" type="noConversion"/>
  </si>
  <si>
    <t>[["生命值:+0"],["攻击力:+0"],["物防:+0%","法防:+0%"]]</t>
  </si>
  <si>
    <t>[["生命值:+0"],["攻击力:+0"],["物防:+0%","法防:+0%"]]</t>
    <phoneticPr fontId="1" type="noConversion"/>
  </si>
  <si>
    <t>[["攻击力:+80"],["命中率:+2%"],["暴击率:+2%","伤害加成:+2%"]]</t>
    <phoneticPr fontId="1" type="noConversion"/>
  </si>
  <si>
    <t>1013</t>
    <phoneticPr fontId="1" type="noConversion"/>
  </si>
  <si>
    <t>1013,1014</t>
    <phoneticPr fontId="1" type="noConversion"/>
  </si>
  <si>
    <t>1013,1014,1015,1016</t>
    <phoneticPr fontId="1" type="noConversion"/>
  </si>
  <si>
    <t>1025,1026</t>
    <phoneticPr fontId="1" type="noConversion"/>
  </si>
  <si>
    <t>1025,1026,1027,1028</t>
    <phoneticPr fontId="1" type="noConversion"/>
  </si>
  <si>
    <t>1025</t>
    <phoneticPr fontId="1" type="noConversion"/>
  </si>
  <si>
    <t>[["攻击力:+160"],["命中率:+4%"],["暴击率:+4%","伤害加成:+4%"]]</t>
    <phoneticPr fontId="1" type="noConversion"/>
  </si>
  <si>
    <t>[["攻击力:+320"],["命中率:+8%"],["暴击率:+8%","伤害加成:+8%"]]</t>
    <phoneticPr fontId="1" type="noConversion"/>
  </si>
  <si>
    <t>1037</t>
  </si>
  <si>
    <t>1037,1038</t>
    <phoneticPr fontId="1" type="noConversion"/>
  </si>
  <si>
    <t>1037,1038,1039,1040</t>
    <phoneticPr fontId="1" type="noConversion"/>
  </si>
  <si>
    <t>行者套装</t>
    <phoneticPr fontId="1" type="noConversion"/>
  </si>
  <si>
    <t>破魔套装</t>
    <phoneticPr fontId="1" type="noConversion"/>
  </si>
  <si>
    <t>紫阳套装</t>
    <phoneticPr fontId="1" type="noConversion"/>
  </si>
  <si>
    <t>封魔套装</t>
    <phoneticPr fontId="1" type="noConversion"/>
  </si>
  <si>
    <t>磐石套装</t>
    <phoneticPr fontId="1" type="noConversion"/>
  </si>
  <si>
    <t>麒麟套装</t>
    <phoneticPr fontId="1" type="noConversion"/>
  </si>
  <si>
    <t>降魔套装</t>
    <phoneticPr fontId="1" type="noConversion"/>
  </si>
  <si>
    <t>天罡套装</t>
    <phoneticPr fontId="1" type="noConversion"/>
  </si>
  <si>
    <t>护卫套装</t>
  </si>
  <si>
    <t>[["生命值:+8000"],["闪避率:+8%"],["抗暴率:+8%","伤害减免:+8%"]]</t>
    <phoneticPr fontId="1" type="noConversion"/>
  </si>
  <si>
    <t>[["生命值:+2000"],["闪避率:+4%"],["抗暴率:+4%","伤害减免:+4%"]]</t>
    <phoneticPr fontId="1" type="noConversion"/>
  </si>
  <si>
    <t>[["生命值:+1000"],["闪避率:+2%"],["抗暴率:+2%","伤害减免:+2%"]]</t>
    <phoneticPr fontId="1" type="noConversion"/>
  </si>
  <si>
    <t>描述
填写规格：
[[两件套装效果1,两件套装效果2],[三件套装效果1,三件套装效果2],[四件件套装效果1,四件件套装效果2]]</t>
    <phoneticPr fontId="1" type="noConversion"/>
  </si>
  <si>
    <t>蚩尤套装</t>
    <phoneticPr fontId="1" type="noConversion"/>
  </si>
  <si>
    <t>2081,2082,2083,2084</t>
    <phoneticPr fontId="1" type="noConversion"/>
  </si>
  <si>
    <t>1049</t>
    <phoneticPr fontId="1" type="noConversion"/>
  </si>
  <si>
    <t>1049,1050</t>
    <phoneticPr fontId="1" type="noConversion"/>
  </si>
  <si>
    <t>1049,1050,1051,1052</t>
    <phoneticPr fontId="1" type="noConversion"/>
  </si>
  <si>
    <t>[["生命值:+6000"],["攻击力:+240"],["伤害加成:+12%","伤害减免:+12%"]]</t>
    <phoneticPr fontId="1" type="noConversion"/>
  </si>
  <si>
    <t>七星火云套</t>
    <phoneticPr fontId="1" type="noConversion"/>
  </si>
  <si>
    <t>屠龙刑天套</t>
  </si>
  <si>
    <t>倚天四象套</t>
    <phoneticPr fontId="1" type="noConversion"/>
  </si>
  <si>
    <t>蛟龙覆海套</t>
    <phoneticPr fontId="1" type="noConversion"/>
  </si>
  <si>
    <t>震天将神套</t>
    <phoneticPr fontId="1" type="noConversion"/>
  </si>
  <si>
    <t>大自在修罗套</t>
    <phoneticPr fontId="1" type="noConversion"/>
  </si>
  <si>
    <t>盘古开天套</t>
    <phoneticPr fontId="1" type="noConversion"/>
  </si>
  <si>
    <t>蚩尤魔神套</t>
    <phoneticPr fontId="1" type="noConversion"/>
  </si>
  <si>
    <t>轩辕帝王套</t>
    <phoneticPr fontId="1" type="noConversion"/>
  </si>
  <si>
    <t>佛祖宝象套</t>
    <phoneticPr fontId="1" type="noConversion"/>
  </si>
  <si>
    <t>太清圣极套</t>
    <phoneticPr fontId="1" type="noConversion"/>
  </si>
  <si>
    <t>光暗仙魔套</t>
    <phoneticPr fontId="1" type="noConversion"/>
  </si>
  <si>
    <t>日月星辰套</t>
    <phoneticPr fontId="1" type="noConversion"/>
  </si>
  <si>
    <t>大道无极套</t>
    <phoneticPr fontId="1" type="noConversion"/>
  </si>
  <si>
    <t>万古不灭套</t>
    <phoneticPr fontId="1" type="noConversion"/>
  </si>
  <si>
    <t>2100,2114,2128,2142</t>
  </si>
  <si>
    <t>2101,2115,2129,2143</t>
  </si>
  <si>
    <t>2102,2116,2130,2144</t>
  </si>
  <si>
    <t>2103,2117,2131,2145</t>
  </si>
  <si>
    <t>2104,2118,2132,2146</t>
  </si>
  <si>
    <t>2105,2119,2133,2147</t>
  </si>
  <si>
    <t>2106,2120,2134,2148</t>
  </si>
  <si>
    <t>2081,2082,2083,2084</t>
  </si>
  <si>
    <t>2107,2121,2135,2149</t>
  </si>
  <si>
    <t>2108,2122,2136,2150</t>
  </si>
  <si>
    <t>2109,2123,2137,2151</t>
  </si>
  <si>
    <t>2110,2124,2138,2152</t>
  </si>
  <si>
    <t>2111,2125,2139,2153</t>
  </si>
  <si>
    <t>2112,2126,2140,2154</t>
  </si>
  <si>
    <t>2113,2127,2141,2155</t>
  </si>
  <si>
    <t>2156,2170,2184,2198</t>
  </si>
  <si>
    <t>2157,2171,2185,2199</t>
  </si>
  <si>
    <t>2158,2172,2186,2200</t>
  </si>
  <si>
    <t>2159,2173,2187,2201</t>
  </si>
  <si>
    <t>2069,2070,2071,2072</t>
  </si>
  <si>
    <t>2160,2174,2188,2202</t>
  </si>
  <si>
    <t>2161,2175,2189,2203</t>
  </si>
  <si>
    <t>2162,2176,2190,2204</t>
  </si>
  <si>
    <t>2163,2177,2191,2205</t>
  </si>
  <si>
    <t>2164,2178,2192,2206</t>
  </si>
  <si>
    <t>2165,2179,2193,2207</t>
  </si>
  <si>
    <t>2166,2180,2194,2208</t>
  </si>
  <si>
    <t>2167,2181,2195,2209</t>
  </si>
  <si>
    <t>2168,2182,2196,2210</t>
  </si>
  <si>
    <t>2169,2183,2197,2211</t>
  </si>
  <si>
    <t>2212,2226,2240,2254</t>
  </si>
  <si>
    <t>2213,2227,2241,2255</t>
  </si>
  <si>
    <t>2214,2228,2242,2256</t>
  </si>
  <si>
    <t>2215,2229,2243,2257</t>
  </si>
  <si>
    <t>2065,2066,2067,2068</t>
  </si>
  <si>
    <t>2216,2230,2244,2258</t>
  </si>
  <si>
    <t>2217,2231,2245,2259</t>
  </si>
  <si>
    <t>2218,2232,2246,2260</t>
  </si>
  <si>
    <t>2219,2233,2247,2261</t>
  </si>
  <si>
    <t>2220,2234,2248,2262</t>
  </si>
  <si>
    <t>2221,2235,2249,2263</t>
  </si>
  <si>
    <t>2222,2236,2250,2264</t>
  </si>
  <si>
    <t>2223,2237,2251,2265</t>
  </si>
  <si>
    <t>2224,2238,2252,2266</t>
  </si>
  <si>
    <t>2225,2239,2253,2267</t>
  </si>
  <si>
    <t>2324,2338,2352,2366</t>
  </si>
  <si>
    <t>2325,2339,2353,2367</t>
  </si>
  <si>
    <t>2049,2050,2051,2052</t>
  </si>
  <si>
    <t>2326,2340,2354,2368</t>
  </si>
  <si>
    <t>2327,2341,2355,2369</t>
  </si>
  <si>
    <t>2328,2342,2356,2370</t>
  </si>
  <si>
    <t>2329,2343,2357,2371</t>
  </si>
  <si>
    <t>2330,2344,2358,2372</t>
  </si>
  <si>
    <t>2331,2345,2359,2373</t>
  </si>
  <si>
    <t>2332,2346,2360,2374</t>
  </si>
  <si>
    <t>2333,2347,2361,2375</t>
  </si>
  <si>
    <t>2334,2348,2362,2376</t>
  </si>
  <si>
    <t>2335,2349,2363,2377</t>
  </si>
  <si>
    <t>2336,2350,2364,2378</t>
  </si>
  <si>
    <t>2337,2351,2365,2379</t>
  </si>
  <si>
    <t>2660,2674,2688,2702</t>
  </si>
  <si>
    <t>2661,2675,2689,2703</t>
  </si>
  <si>
    <t>2045,2046,2047,2048</t>
  </si>
  <si>
    <t>2662,2676,2690,2704</t>
  </si>
  <si>
    <t>2663,2677,2691,2705</t>
  </si>
  <si>
    <t>2664,2678,2692,2706</t>
  </si>
  <si>
    <t>2665,2679,2693,2707</t>
  </si>
  <si>
    <t>2666,2680,2694,2708</t>
  </si>
  <si>
    <t>2667,2681,2695,2709</t>
  </si>
  <si>
    <t>2668,2682,2696,2710</t>
  </si>
  <si>
    <t>2669,2683,2697,2711</t>
  </si>
  <si>
    <t>2670,2684,2698,2712</t>
  </si>
  <si>
    <t>2671,2685,2699,2713</t>
  </si>
  <si>
    <t>2672,2686,2700,2714</t>
  </si>
  <si>
    <t>2673,2687,2701,2715</t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</si>
</sst>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0" tint="-0.499984740745262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  <font>
      <sz val="10"/>
      <name val="微软雅黑"/>
      <family val="2"/>
      <charset val="134"/>
    </font>
    <font>
      <sz val="11"/>
      <name val="微软雅黑"/>
      <family val="2"/>
      <charset val="134"/>
    </font>
    <font>
      <b/>
      <sz val="10"/>
      <name val="微软雅黑"/>
      <family val="2"/>
      <charset val="134"/>
    </font>
    <font>
      <b/>
      <sz val="11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1" xfId="0" applyBorder="1"/>
    <xf numFmtId="0" fontId="3" fillId="0" borderId="1" xfId="0" applyFont="1" applyBorder="1" applyAlignment="1">
      <alignment horizontal="left" vertical="top"/>
    </xf>
    <xf numFmtId="49" fontId="3" fillId="0" borderId="1" xfId="0" applyNumberFormat="1" applyFont="1" applyBorder="1" applyAlignment="1">
      <alignment horizontal="left" vertical="top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0" fontId="5" fillId="0" borderId="1" xfId="0" applyFont="1" applyBorder="1" applyAlignment="1">
      <alignment horizontal="left" vertical="top"/>
    </xf>
    <xf numFmtId="49" fontId="5" fillId="0" borderId="1" xfId="0" applyNumberFormat="1" applyFont="1" applyBorder="1" applyAlignment="1">
      <alignment horizontal="left" vertical="top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3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5" fillId="5" borderId="1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left" vertical="top"/>
    </xf>
    <xf numFmtId="49" fontId="5" fillId="2" borderId="1" xfId="0" applyNumberFormat="1" applyFont="1" applyFill="1" applyBorder="1" applyAlignment="1">
      <alignment horizontal="left" vertical="top"/>
    </xf>
    <xf numFmtId="49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center" vertical="top"/>
    </xf>
    <xf numFmtId="0" fontId="6" fillId="0" borderId="1" xfId="0" applyFont="1" applyBorder="1" applyAlignment="1">
      <alignment vertical="center"/>
    </xf>
    <xf numFmtId="0" fontId="5" fillId="0" borderId="0" xfId="0" applyFont="1" applyBorder="1" applyAlignment="1">
      <alignment horizontal="left" vertical="top"/>
    </xf>
    <xf numFmtId="0" fontId="6" fillId="0" borderId="0" xfId="0" applyFont="1" applyAlignment="1">
      <alignment horizontal="center" vertical="center" wrapText="1"/>
    </xf>
    <xf numFmtId="0" fontId="5" fillId="7" borderId="1" xfId="0" applyFont="1" applyFill="1" applyBorder="1" applyAlignment="1">
      <alignment horizontal="left" vertical="top"/>
    </xf>
    <xf numFmtId="49" fontId="5" fillId="7" borderId="1" xfId="0" applyNumberFormat="1" applyFont="1" applyFill="1" applyBorder="1" applyAlignment="1">
      <alignment horizontal="left" vertical="top"/>
    </xf>
    <xf numFmtId="49" fontId="6" fillId="7" borderId="1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left" vertical="center"/>
    </xf>
    <xf numFmtId="0" fontId="5" fillId="7" borderId="0" xfId="0" applyFont="1" applyFill="1" applyAlignment="1">
      <alignment horizontal="left" vertical="top"/>
    </xf>
    <xf numFmtId="0" fontId="5" fillId="8" borderId="1" xfId="0" applyFont="1" applyFill="1" applyBorder="1" applyAlignment="1">
      <alignment horizontal="left" vertical="top"/>
    </xf>
    <xf numFmtId="49" fontId="5" fillId="8" borderId="1" xfId="0" applyNumberFormat="1" applyFont="1" applyFill="1" applyBorder="1" applyAlignment="1">
      <alignment horizontal="left" vertical="top"/>
    </xf>
    <xf numFmtId="49" fontId="6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left" vertical="center"/>
    </xf>
    <xf numFmtId="0" fontId="5" fillId="8" borderId="0" xfId="0" applyFont="1" applyFill="1" applyAlignment="1">
      <alignment horizontal="left" vertical="top"/>
    </xf>
    <xf numFmtId="0" fontId="5" fillId="8" borderId="0" xfId="0" applyFont="1" applyFill="1" applyAlignment="1">
      <alignment horizontal="center" vertical="top"/>
    </xf>
    <xf numFmtId="0" fontId="5" fillId="9" borderId="1" xfId="0" applyFont="1" applyFill="1" applyBorder="1" applyAlignment="1">
      <alignment horizontal="left" vertical="top"/>
    </xf>
    <xf numFmtId="49" fontId="5" fillId="9" borderId="1" xfId="0" applyNumberFormat="1" applyFont="1" applyFill="1" applyBorder="1" applyAlignment="1">
      <alignment horizontal="left" vertical="top"/>
    </xf>
    <xf numFmtId="49" fontId="6" fillId="9" borderId="1" xfId="0" applyNumberFormat="1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5" fillId="9" borderId="0" xfId="0" applyFont="1" applyFill="1" applyAlignment="1">
      <alignment horizontal="left" vertical="top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5" fillId="9" borderId="1" xfId="0" applyFont="1" applyFill="1" applyBorder="1" applyAlignment="1">
      <alignment horizontal="left" vertical="top"/>
    </xf>
    <xf numFmtId="0" fontId="0" fillId="0" borderId="0" xfId="0"/>
    <xf numFmtId="0" fontId="5" fillId="9" borderId="1" xfId="0" applyFont="1" applyFill="1" applyBorder="1" applyAlignment="1">
      <alignment horizontal="left" vertical="top"/>
    </xf>
    <xf numFmtId="0" fontId="5" fillId="9" borderId="1" xfId="0" applyFont="1" applyFill="1" applyBorder="1" applyAlignment="1">
      <alignment horizontal="left" vertical="top"/>
    </xf>
    <xf numFmtId="0" fontId="0" fillId="0" borderId="0" xfId="0"/>
    <xf numFmtId="0" fontId="5" fillId="9" borderId="1" xfId="0" applyFont="1" applyFill="1" applyBorder="1" applyAlignment="1">
      <alignment horizontal="left" vertical="top"/>
    </xf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568"/>
  <sheetViews>
    <sheetView tabSelected="1" topLeftCell="A64" zoomScale="89" zoomScaleNormal="89" workbookViewId="0">
      <selection activeCell="A77" sqref="A77:A91"/>
    </sheetView>
  </sheetViews>
  <sheetFormatPr defaultRowHeight="16.5"/>
  <cols>
    <col min="1" max="2" width="20.5" style="8" customWidth="1"/>
    <col min="3" max="3" width="32.375" style="8" customWidth="1"/>
    <col min="4" max="4" width="23.75" style="8" customWidth="1"/>
    <col min="5" max="5" width="41.875" style="29" customWidth="1"/>
    <col min="6" max="6" width="44.625" style="29" customWidth="1"/>
    <col min="7" max="7" width="82.25" style="30" bestFit="1" customWidth="1"/>
    <col min="8" max="8" width="9" style="12"/>
    <col min="9" max="9" width="34" style="12" bestFit="1" customWidth="1"/>
    <col min="10" max="16384" width="9" style="12"/>
  </cols>
  <sheetData>
    <row r="1" spans="1:18" ht="49.5">
      <c r="A1" s="14" t="s">
        <v>55</v>
      </c>
      <c r="B1" s="15" t="s">
        <v>0</v>
      </c>
      <c r="C1" s="14" t="s">
        <v>56</v>
      </c>
      <c r="D1" s="14" t="s">
        <v>57</v>
      </c>
      <c r="E1" s="14" t="s">
        <v>58</v>
      </c>
      <c r="F1" s="14" t="s">
        <v>59</v>
      </c>
      <c r="G1" s="16" t="s">
        <v>97</v>
      </c>
    </row>
    <row r="2" spans="1:18" s="19" customFormat="1">
      <c r="A2" s="17" t="s">
        <v>1</v>
      </c>
      <c r="B2" s="17" t="s">
        <v>60</v>
      </c>
      <c r="C2" s="17" t="s">
        <v>2</v>
      </c>
      <c r="D2" s="17" t="s">
        <v>3</v>
      </c>
      <c r="E2" s="17" t="s">
        <v>61</v>
      </c>
      <c r="F2" s="17" t="s">
        <v>62</v>
      </c>
      <c r="G2" s="18" t="s">
        <v>4</v>
      </c>
    </row>
    <row r="3" spans="1:18" s="21" customFormat="1">
      <c r="A3" s="20" t="s">
        <v>5</v>
      </c>
      <c r="B3" s="20" t="s">
        <v>5</v>
      </c>
      <c r="C3" s="20" t="s">
        <v>5</v>
      </c>
      <c r="D3" s="20" t="s">
        <v>5</v>
      </c>
      <c r="E3" s="20" t="s">
        <v>5</v>
      </c>
      <c r="F3" s="20" t="s">
        <v>5</v>
      </c>
      <c r="G3" s="18" t="s">
        <v>27</v>
      </c>
    </row>
    <row r="4" spans="1:18">
      <c r="A4" s="8">
        <v>20001</v>
      </c>
      <c r="B4" s="8" t="s">
        <v>85</v>
      </c>
      <c r="C4" s="9" t="s">
        <v>6</v>
      </c>
      <c r="D4" s="10" t="s">
        <v>66</v>
      </c>
      <c r="E4" s="10" t="s">
        <v>68</v>
      </c>
      <c r="F4" s="10" t="s">
        <v>70</v>
      </c>
      <c r="G4" s="11" t="s">
        <v>72</v>
      </c>
      <c r="H4" s="12" t="s">
        <v>28</v>
      </c>
      <c r="N4" s="13"/>
      <c r="O4" s="13"/>
      <c r="P4" s="13"/>
      <c r="Q4" s="13"/>
      <c r="R4" s="13"/>
    </row>
    <row r="5" spans="1:18" s="6" customFormat="1">
      <c r="A5" s="2">
        <v>20002</v>
      </c>
      <c r="B5" s="2" t="s">
        <v>24</v>
      </c>
      <c r="C5" s="3" t="s">
        <v>7</v>
      </c>
      <c r="D5" s="4" t="s">
        <v>65</v>
      </c>
      <c r="E5" s="4" t="s">
        <v>67</v>
      </c>
      <c r="F5" s="4" t="s">
        <v>69</v>
      </c>
      <c r="G5" s="5" t="s">
        <v>63</v>
      </c>
      <c r="H5" s="6" t="s">
        <v>29</v>
      </c>
      <c r="N5" s="7"/>
      <c r="O5" s="7"/>
      <c r="P5" s="7"/>
      <c r="Q5" s="7"/>
      <c r="R5" s="7"/>
    </row>
    <row r="6" spans="1:18" s="6" customFormat="1">
      <c r="A6" s="2">
        <v>20003</v>
      </c>
      <c r="B6" s="2" t="s">
        <v>25</v>
      </c>
      <c r="C6" s="3" t="s">
        <v>8</v>
      </c>
      <c r="D6" s="4" t="s">
        <v>65</v>
      </c>
      <c r="E6" s="4" t="s">
        <v>67</v>
      </c>
      <c r="F6" s="4" t="s">
        <v>69</v>
      </c>
      <c r="G6" s="5" t="s">
        <v>64</v>
      </c>
      <c r="H6" s="6" t="s">
        <v>30</v>
      </c>
      <c r="N6" s="7"/>
      <c r="O6" s="7"/>
      <c r="P6" s="7"/>
      <c r="Q6" s="7"/>
      <c r="R6" s="7"/>
    </row>
    <row r="7" spans="1:18" s="26" customFormat="1">
      <c r="A7" s="22">
        <v>20004</v>
      </c>
      <c r="B7" s="22" t="s">
        <v>26</v>
      </c>
      <c r="C7" s="23" t="s">
        <v>9</v>
      </c>
      <c r="D7" s="24" t="s">
        <v>65</v>
      </c>
      <c r="E7" s="24" t="s">
        <v>67</v>
      </c>
      <c r="F7" s="24" t="s">
        <v>69</v>
      </c>
      <c r="G7" s="25" t="s">
        <v>71</v>
      </c>
      <c r="H7" s="26" t="s">
        <v>28</v>
      </c>
      <c r="N7" s="27"/>
      <c r="O7" s="27"/>
      <c r="P7" s="27"/>
      <c r="Q7" s="27"/>
      <c r="R7" s="27"/>
    </row>
    <row r="8" spans="1:18" s="26" customFormat="1">
      <c r="A8" s="22">
        <v>20005</v>
      </c>
      <c r="B8" s="22" t="s">
        <v>86</v>
      </c>
      <c r="C8" s="23" t="s">
        <v>10</v>
      </c>
      <c r="D8" s="24" t="s">
        <v>74</v>
      </c>
      <c r="E8" s="24" t="s">
        <v>75</v>
      </c>
      <c r="F8" s="24" t="s">
        <v>76</v>
      </c>
      <c r="G8" s="25" t="s">
        <v>73</v>
      </c>
      <c r="H8" s="26" t="s">
        <v>29</v>
      </c>
      <c r="N8" s="27"/>
      <c r="O8" s="27"/>
      <c r="P8" s="27"/>
      <c r="Q8" s="27"/>
      <c r="R8" s="27"/>
    </row>
    <row r="9" spans="1:18" s="26" customFormat="1">
      <c r="A9" s="22">
        <v>20006</v>
      </c>
      <c r="B9" s="22" t="s">
        <v>93</v>
      </c>
      <c r="C9" s="23" t="s">
        <v>11</v>
      </c>
      <c r="D9" s="24">
        <v>1021</v>
      </c>
      <c r="E9" s="24" t="s">
        <v>18</v>
      </c>
      <c r="F9" s="24" t="s">
        <v>19</v>
      </c>
      <c r="G9" s="25" t="s">
        <v>96</v>
      </c>
      <c r="H9" s="26" t="s">
        <v>30</v>
      </c>
      <c r="N9" s="27"/>
      <c r="O9" s="27"/>
      <c r="P9" s="27"/>
      <c r="Q9" s="27"/>
      <c r="R9" s="27"/>
    </row>
    <row r="10" spans="1:18" s="40" customFormat="1">
      <c r="A10" s="36">
        <v>20007</v>
      </c>
      <c r="B10" s="36" t="s">
        <v>87</v>
      </c>
      <c r="C10" s="37" t="s">
        <v>12</v>
      </c>
      <c r="D10" s="38" t="s">
        <v>65</v>
      </c>
      <c r="E10" s="38" t="s">
        <v>67</v>
      </c>
      <c r="F10" s="38" t="s">
        <v>69</v>
      </c>
      <c r="G10" s="39" t="s">
        <v>71</v>
      </c>
      <c r="H10" s="40" t="s">
        <v>28</v>
      </c>
      <c r="N10" s="41"/>
      <c r="O10" s="41"/>
      <c r="P10" s="41"/>
      <c r="Q10" s="41"/>
      <c r="R10" s="41"/>
    </row>
    <row r="11" spans="1:18" s="40" customFormat="1">
      <c r="A11" s="36">
        <v>20008</v>
      </c>
      <c r="B11" s="36" t="s">
        <v>88</v>
      </c>
      <c r="C11" s="37" t="s">
        <v>13</v>
      </c>
      <c r="D11" s="38" t="s">
        <v>79</v>
      </c>
      <c r="E11" s="38" t="s">
        <v>77</v>
      </c>
      <c r="F11" s="38" t="s">
        <v>78</v>
      </c>
      <c r="G11" s="39" t="s">
        <v>80</v>
      </c>
      <c r="H11" s="40" t="s">
        <v>29</v>
      </c>
      <c r="N11" s="41"/>
      <c r="O11" s="41"/>
      <c r="P11" s="41"/>
      <c r="Q11" s="41"/>
      <c r="R11" s="41"/>
    </row>
    <row r="12" spans="1:18" s="40" customFormat="1">
      <c r="A12" s="36">
        <v>20009</v>
      </c>
      <c r="B12" s="36" t="s">
        <v>89</v>
      </c>
      <c r="C12" s="37" t="s">
        <v>14</v>
      </c>
      <c r="D12" s="38">
        <v>1033</v>
      </c>
      <c r="E12" s="38" t="s">
        <v>20</v>
      </c>
      <c r="F12" s="38" t="s">
        <v>21</v>
      </c>
      <c r="G12" s="39" t="s">
        <v>95</v>
      </c>
      <c r="H12" s="40" t="s">
        <v>30</v>
      </c>
      <c r="N12" s="41"/>
      <c r="O12" s="41"/>
      <c r="P12" s="41"/>
      <c r="Q12" s="41"/>
      <c r="R12" s="41"/>
    </row>
    <row r="13" spans="1:18" s="35" customFormat="1">
      <c r="A13" s="31">
        <v>20010</v>
      </c>
      <c r="B13" s="31" t="s">
        <v>90</v>
      </c>
      <c r="C13" s="32" t="s">
        <v>15</v>
      </c>
      <c r="D13" s="33" t="s">
        <v>65</v>
      </c>
      <c r="E13" s="33" t="s">
        <v>67</v>
      </c>
      <c r="F13" s="33" t="s">
        <v>69</v>
      </c>
      <c r="G13" s="34" t="s">
        <v>71</v>
      </c>
      <c r="H13" s="35" t="s">
        <v>28</v>
      </c>
    </row>
    <row r="14" spans="1:18" s="35" customFormat="1">
      <c r="A14" s="31">
        <v>20011</v>
      </c>
      <c r="B14" s="31" t="s">
        <v>91</v>
      </c>
      <c r="C14" s="32" t="s">
        <v>16</v>
      </c>
      <c r="D14" s="33" t="s">
        <v>82</v>
      </c>
      <c r="E14" s="33" t="s">
        <v>83</v>
      </c>
      <c r="F14" s="33" t="s">
        <v>84</v>
      </c>
      <c r="G14" s="34" t="s">
        <v>81</v>
      </c>
      <c r="H14" s="35" t="s">
        <v>29</v>
      </c>
    </row>
    <row r="15" spans="1:18" s="35" customFormat="1">
      <c r="A15" s="31">
        <v>20012</v>
      </c>
      <c r="B15" s="31" t="s">
        <v>92</v>
      </c>
      <c r="C15" s="32" t="s">
        <v>17</v>
      </c>
      <c r="D15" s="33">
        <v>1045</v>
      </c>
      <c r="E15" s="33" t="s">
        <v>22</v>
      </c>
      <c r="F15" s="33" t="s">
        <v>23</v>
      </c>
      <c r="G15" s="34" t="s">
        <v>94</v>
      </c>
      <c r="H15" s="35" t="s">
        <v>30</v>
      </c>
    </row>
    <row r="16" spans="1:18" s="46" customFormat="1">
      <c r="A16" s="42">
        <v>20013</v>
      </c>
      <c r="B16" s="42" t="s">
        <v>98</v>
      </c>
      <c r="C16" s="43" t="s">
        <v>99</v>
      </c>
      <c r="D16" s="44" t="s">
        <v>100</v>
      </c>
      <c r="E16" s="44" t="s">
        <v>101</v>
      </c>
      <c r="F16" s="44" t="s">
        <v>102</v>
      </c>
      <c r="G16" s="45" t="s">
        <v>103</v>
      </c>
      <c r="H16" s="46" t="s">
        <v>28</v>
      </c>
    </row>
    <row r="17" spans="1:8" s="46" customFormat="1">
      <c r="A17" s="42">
        <v>20014</v>
      </c>
      <c r="B17" s="42" t="s">
        <v>104</v>
      </c>
      <c r="C17" s="51" t="s">
        <v>119</v>
      </c>
      <c r="D17" s="44" t="s">
        <v>100</v>
      </c>
      <c r="E17" s="44" t="s">
        <v>101</v>
      </c>
      <c r="F17" s="44" t="s">
        <v>102</v>
      </c>
      <c r="G17" s="45" t="s">
        <v>103</v>
      </c>
      <c r="H17" s="46" t="s">
        <v>28</v>
      </c>
    </row>
    <row r="18" spans="1:8" s="46" customFormat="1">
      <c r="A18" s="42">
        <v>20015</v>
      </c>
      <c r="B18" s="42" t="s">
        <v>106</v>
      </c>
      <c r="C18" s="51" t="s">
        <v>120</v>
      </c>
      <c r="D18" s="44" t="s">
        <v>100</v>
      </c>
      <c r="E18" s="44" t="s">
        <v>101</v>
      </c>
      <c r="F18" s="44" t="s">
        <v>102</v>
      </c>
      <c r="G18" s="45" t="s">
        <v>103</v>
      </c>
      <c r="H18" s="46" t="s">
        <v>28</v>
      </c>
    </row>
    <row r="19" spans="1:8">
      <c r="A19" s="42">
        <v>20016</v>
      </c>
      <c r="B19" s="42" t="s">
        <v>105</v>
      </c>
      <c r="C19" s="51" t="s">
        <v>121</v>
      </c>
      <c r="D19" s="44" t="s">
        <v>100</v>
      </c>
      <c r="E19" s="44" t="s">
        <v>101</v>
      </c>
      <c r="F19" s="44" t="s">
        <v>102</v>
      </c>
      <c r="G19" s="45" t="s">
        <v>103</v>
      </c>
    </row>
    <row r="20" spans="1:8">
      <c r="A20" s="42">
        <v>20017</v>
      </c>
      <c r="B20" s="42" t="s">
        <v>110</v>
      </c>
      <c r="C20" s="51" t="s">
        <v>122</v>
      </c>
      <c r="D20" s="44" t="s">
        <v>100</v>
      </c>
      <c r="E20" s="44" t="s">
        <v>101</v>
      </c>
      <c r="F20" s="44" t="s">
        <v>102</v>
      </c>
      <c r="G20" s="45" t="s">
        <v>103</v>
      </c>
    </row>
    <row r="21" spans="1:8">
      <c r="A21" s="42">
        <v>20018</v>
      </c>
      <c r="B21" s="42" t="s">
        <v>107</v>
      </c>
      <c r="C21" s="51" t="s">
        <v>123</v>
      </c>
      <c r="D21" s="44" t="s">
        <v>100</v>
      </c>
      <c r="E21" s="44" t="s">
        <v>101</v>
      </c>
      <c r="F21" s="44" t="s">
        <v>102</v>
      </c>
      <c r="G21" s="45" t="s">
        <v>103</v>
      </c>
    </row>
    <row r="22" spans="1:8">
      <c r="A22" s="42">
        <v>20019</v>
      </c>
      <c r="B22" s="42" t="s">
        <v>108</v>
      </c>
      <c r="C22" s="51" t="s">
        <v>124</v>
      </c>
      <c r="D22" s="44" t="s">
        <v>100</v>
      </c>
      <c r="E22" s="44" t="s">
        <v>101</v>
      </c>
      <c r="F22" s="44" t="s">
        <v>102</v>
      </c>
      <c r="G22" s="45" t="s">
        <v>103</v>
      </c>
    </row>
    <row r="23" spans="1:8">
      <c r="A23" s="42">
        <v>20020</v>
      </c>
      <c r="B23" s="42" t="s">
        <v>109</v>
      </c>
      <c r="C23" s="51" t="s">
        <v>125</v>
      </c>
      <c r="D23" s="44" t="s">
        <v>100</v>
      </c>
      <c r="E23" s="44" t="s">
        <v>101</v>
      </c>
      <c r="F23" s="44" t="s">
        <v>102</v>
      </c>
      <c r="G23" s="45" t="s">
        <v>103</v>
      </c>
    </row>
    <row r="24" spans="1:8">
      <c r="A24" s="42">
        <v>20021</v>
      </c>
      <c r="B24" s="42" t="s">
        <v>111</v>
      </c>
      <c r="C24" s="51" t="s">
        <v>126</v>
      </c>
      <c r="D24" s="44" t="s">
        <v>100</v>
      </c>
      <c r="E24" s="44" t="s">
        <v>101</v>
      </c>
      <c r="F24" s="44" t="s">
        <v>102</v>
      </c>
      <c r="G24" s="45" t="s">
        <v>103</v>
      </c>
    </row>
    <row r="25" spans="1:8">
      <c r="A25" s="42">
        <v>20022</v>
      </c>
      <c r="B25" s="42" t="s">
        <v>112</v>
      </c>
      <c r="C25" s="51" t="s">
        <v>127</v>
      </c>
      <c r="D25" s="44" t="s">
        <v>100</v>
      </c>
      <c r="E25" s="44" t="s">
        <v>101</v>
      </c>
      <c r="F25" s="44" t="s">
        <v>102</v>
      </c>
      <c r="G25" s="45" t="s">
        <v>103</v>
      </c>
    </row>
    <row r="26" spans="1:8">
      <c r="A26" s="42">
        <v>20023</v>
      </c>
      <c r="B26" s="42" t="s">
        <v>113</v>
      </c>
      <c r="C26" s="51" t="s">
        <v>128</v>
      </c>
      <c r="D26" s="44" t="s">
        <v>100</v>
      </c>
      <c r="E26" s="44" t="s">
        <v>101</v>
      </c>
      <c r="F26" s="44" t="s">
        <v>102</v>
      </c>
      <c r="G26" s="45" t="s">
        <v>103</v>
      </c>
    </row>
    <row r="27" spans="1:8">
      <c r="A27" s="42">
        <v>20024</v>
      </c>
      <c r="B27" s="42" t="s">
        <v>114</v>
      </c>
      <c r="C27" s="51" t="s">
        <v>129</v>
      </c>
      <c r="D27" s="44" t="s">
        <v>100</v>
      </c>
      <c r="E27" s="44" t="s">
        <v>101</v>
      </c>
      <c r="F27" s="44" t="s">
        <v>102</v>
      </c>
      <c r="G27" s="45" t="s">
        <v>103</v>
      </c>
    </row>
    <row r="28" spans="1:8">
      <c r="A28" s="42">
        <v>20025</v>
      </c>
      <c r="B28" s="42" t="s">
        <v>115</v>
      </c>
      <c r="C28" s="51" t="s">
        <v>130</v>
      </c>
      <c r="D28" s="44" t="s">
        <v>100</v>
      </c>
      <c r="E28" s="44" t="s">
        <v>101</v>
      </c>
      <c r="F28" s="44" t="s">
        <v>102</v>
      </c>
      <c r="G28" s="45" t="s">
        <v>103</v>
      </c>
    </row>
    <row r="29" spans="1:8">
      <c r="A29" s="42">
        <v>20026</v>
      </c>
      <c r="B29" s="42" t="s">
        <v>116</v>
      </c>
      <c r="C29" s="51" t="s">
        <v>131</v>
      </c>
      <c r="D29" s="44" t="s">
        <v>100</v>
      </c>
      <c r="E29" s="44" t="s">
        <v>101</v>
      </c>
      <c r="F29" s="44" t="s">
        <v>102</v>
      </c>
      <c r="G29" s="45" t="s">
        <v>103</v>
      </c>
    </row>
    <row r="30" spans="1:8">
      <c r="A30" s="42">
        <v>20027</v>
      </c>
      <c r="B30" s="42" t="s">
        <v>117</v>
      </c>
      <c r="C30" s="51" t="s">
        <v>132</v>
      </c>
      <c r="D30" s="44" t="s">
        <v>100</v>
      </c>
      <c r="E30" s="44" t="s">
        <v>101</v>
      </c>
      <c r="F30" s="44" t="s">
        <v>102</v>
      </c>
      <c r="G30" s="45" t="s">
        <v>103</v>
      </c>
    </row>
    <row r="31" spans="1:8">
      <c r="A31" s="42">
        <v>20028</v>
      </c>
      <c r="B31" s="42" t="s">
        <v>118</v>
      </c>
      <c r="C31" s="51" t="s">
        <v>133</v>
      </c>
      <c r="D31" s="44" t="s">
        <v>100</v>
      </c>
      <c r="E31" s="44" t="s">
        <v>101</v>
      </c>
      <c r="F31" s="44" t="s">
        <v>102</v>
      </c>
      <c r="G31" s="45" t="s">
        <v>103</v>
      </c>
    </row>
    <row r="32" spans="1:8" s="35" customFormat="1">
      <c r="A32" s="42">
        <v>20029</v>
      </c>
      <c r="B32" s="31" t="s">
        <v>92</v>
      </c>
      <c r="C32" s="52" t="s">
        <v>134</v>
      </c>
      <c r="D32" s="33">
        <v>1045</v>
      </c>
      <c r="E32" s="33" t="s">
        <v>22</v>
      </c>
      <c r="F32" s="33" t="s">
        <v>23</v>
      </c>
      <c r="G32" s="34" t="s">
        <v>94</v>
      </c>
      <c r="H32" s="35" t="s">
        <v>30</v>
      </c>
    </row>
    <row r="33" spans="1:8">
      <c r="A33" s="42">
        <v>20030</v>
      </c>
      <c r="B33" s="31" t="s">
        <v>92</v>
      </c>
      <c r="C33" s="52" t="s">
        <v>135</v>
      </c>
      <c r="D33" s="33">
        <v>1045</v>
      </c>
      <c r="E33" s="33" t="s">
        <v>22</v>
      </c>
      <c r="F33" s="33" t="s">
        <v>23</v>
      </c>
      <c r="G33" s="34" t="s">
        <v>94</v>
      </c>
      <c r="H33" s="35" t="s">
        <v>30</v>
      </c>
    </row>
    <row r="34" spans="1:8">
      <c r="A34" s="42">
        <v>20031</v>
      </c>
      <c r="B34" s="31" t="s">
        <v>92</v>
      </c>
      <c r="C34" s="52" t="s">
        <v>136</v>
      </c>
      <c r="D34" s="33">
        <v>1045</v>
      </c>
      <c r="E34" s="33" t="s">
        <v>22</v>
      </c>
      <c r="F34" s="33" t="s">
        <v>23</v>
      </c>
      <c r="G34" s="34" t="s">
        <v>94</v>
      </c>
      <c r="H34" s="35" t="s">
        <v>30</v>
      </c>
    </row>
    <row r="35" spans="1:8">
      <c r="A35" s="42">
        <v>20032</v>
      </c>
      <c r="B35" s="31" t="s">
        <v>92</v>
      </c>
      <c r="C35" s="52" t="s">
        <v>137</v>
      </c>
      <c r="D35" s="33">
        <v>1045</v>
      </c>
      <c r="E35" s="33" t="s">
        <v>22</v>
      </c>
      <c r="F35" s="33" t="s">
        <v>23</v>
      </c>
      <c r="G35" s="34" t="s">
        <v>94</v>
      </c>
      <c r="H35" s="35" t="s">
        <v>30</v>
      </c>
    </row>
    <row r="36" spans="1:8">
      <c r="A36" s="42">
        <v>20033</v>
      </c>
      <c r="B36" s="31" t="s">
        <v>92</v>
      </c>
      <c r="C36" s="52" t="s">
        <v>138</v>
      </c>
      <c r="D36" s="33">
        <v>1045</v>
      </c>
      <c r="E36" s="33" t="s">
        <v>22</v>
      </c>
      <c r="F36" s="33" t="s">
        <v>23</v>
      </c>
      <c r="G36" s="34" t="s">
        <v>94</v>
      </c>
      <c r="H36" s="35" t="s">
        <v>30</v>
      </c>
    </row>
    <row r="37" spans="1:8">
      <c r="A37" s="42">
        <v>20034</v>
      </c>
      <c r="B37" s="31" t="s">
        <v>92</v>
      </c>
      <c r="C37" s="52" t="s">
        <v>139</v>
      </c>
      <c r="D37" s="33">
        <v>1045</v>
      </c>
      <c r="E37" s="33" t="s">
        <v>22</v>
      </c>
      <c r="F37" s="33" t="s">
        <v>23</v>
      </c>
      <c r="G37" s="34" t="s">
        <v>94</v>
      </c>
      <c r="H37" s="35" t="s">
        <v>30</v>
      </c>
    </row>
    <row r="38" spans="1:8">
      <c r="A38" s="42">
        <v>20035</v>
      </c>
      <c r="B38" s="31" t="s">
        <v>92</v>
      </c>
      <c r="C38" s="52" t="s">
        <v>140</v>
      </c>
      <c r="D38" s="33">
        <v>1045</v>
      </c>
      <c r="E38" s="33" t="s">
        <v>22</v>
      </c>
      <c r="F38" s="33" t="s">
        <v>23</v>
      </c>
      <c r="G38" s="34" t="s">
        <v>94</v>
      </c>
      <c r="H38" s="35" t="s">
        <v>30</v>
      </c>
    </row>
    <row r="39" spans="1:8">
      <c r="A39" s="42">
        <v>20036</v>
      </c>
      <c r="B39" s="31" t="s">
        <v>92</v>
      </c>
      <c r="C39" s="52" t="s">
        <v>141</v>
      </c>
      <c r="D39" s="33">
        <v>1045</v>
      </c>
      <c r="E39" s="33" t="s">
        <v>22</v>
      </c>
      <c r="F39" s="33" t="s">
        <v>23</v>
      </c>
      <c r="G39" s="34" t="s">
        <v>94</v>
      </c>
      <c r="H39" s="35" t="s">
        <v>30</v>
      </c>
    </row>
    <row r="40" spans="1:8">
      <c r="A40" s="42">
        <v>20037</v>
      </c>
      <c r="B40" s="31" t="s">
        <v>92</v>
      </c>
      <c r="C40" s="52" t="s">
        <v>142</v>
      </c>
      <c r="D40" s="33">
        <v>1045</v>
      </c>
      <c r="E40" s="33" t="s">
        <v>22</v>
      </c>
      <c r="F40" s="33" t="s">
        <v>23</v>
      </c>
      <c r="G40" s="34" t="s">
        <v>94</v>
      </c>
      <c r="H40" s="35" t="s">
        <v>30</v>
      </c>
    </row>
    <row r="41" spans="1:8">
      <c r="A41" s="42">
        <v>20038</v>
      </c>
      <c r="B41" s="31" t="s">
        <v>92</v>
      </c>
      <c r="C41" s="52" t="s">
        <v>143</v>
      </c>
      <c r="D41" s="33">
        <v>1045</v>
      </c>
      <c r="E41" s="33" t="s">
        <v>22</v>
      </c>
      <c r="F41" s="33" t="s">
        <v>23</v>
      </c>
      <c r="G41" s="34" t="s">
        <v>94</v>
      </c>
      <c r="H41" s="35" t="s">
        <v>30</v>
      </c>
    </row>
    <row r="42" spans="1:8">
      <c r="A42" s="42">
        <v>20039</v>
      </c>
      <c r="B42" s="31" t="s">
        <v>92</v>
      </c>
      <c r="C42" s="52" t="s">
        <v>144</v>
      </c>
      <c r="D42" s="33">
        <v>1045</v>
      </c>
      <c r="E42" s="33" t="s">
        <v>22</v>
      </c>
      <c r="F42" s="33" t="s">
        <v>23</v>
      </c>
      <c r="G42" s="34" t="s">
        <v>94</v>
      </c>
      <c r="H42" s="35" t="s">
        <v>30</v>
      </c>
    </row>
    <row r="43" spans="1:8">
      <c r="A43" s="42">
        <v>20040</v>
      </c>
      <c r="B43" s="31" t="s">
        <v>92</v>
      </c>
      <c r="C43" s="52" t="s">
        <v>145</v>
      </c>
      <c r="D43" s="33">
        <v>1045</v>
      </c>
      <c r="E43" s="33" t="s">
        <v>22</v>
      </c>
      <c r="F43" s="33" t="s">
        <v>23</v>
      </c>
      <c r="G43" s="34" t="s">
        <v>94</v>
      </c>
      <c r="H43" s="35" t="s">
        <v>30</v>
      </c>
    </row>
    <row r="44" spans="1:8">
      <c r="A44" s="42">
        <v>20041</v>
      </c>
      <c r="B44" s="31" t="s">
        <v>92</v>
      </c>
      <c r="C44" s="52" t="s">
        <v>146</v>
      </c>
      <c r="D44" s="33">
        <v>1045</v>
      </c>
      <c r="E44" s="33" t="s">
        <v>22</v>
      </c>
      <c r="F44" s="33" t="s">
        <v>23</v>
      </c>
      <c r="G44" s="34" t="s">
        <v>94</v>
      </c>
      <c r="H44" s="35" t="s">
        <v>30</v>
      </c>
    </row>
    <row r="45" spans="1:8">
      <c r="A45" s="42">
        <v>20042</v>
      </c>
      <c r="B45" s="31" t="s">
        <v>92</v>
      </c>
      <c r="C45" s="52" t="s">
        <v>147</v>
      </c>
      <c r="D45" s="33">
        <v>1045</v>
      </c>
      <c r="E45" s="33" t="s">
        <v>22</v>
      </c>
      <c r="F45" s="33" t="s">
        <v>23</v>
      </c>
      <c r="G45" s="34" t="s">
        <v>94</v>
      </c>
      <c r="H45" s="35" t="s">
        <v>30</v>
      </c>
    </row>
    <row r="46" spans="1:8">
      <c r="A46" s="42">
        <v>20043</v>
      </c>
      <c r="B46" s="31" t="s">
        <v>92</v>
      </c>
      <c r="C46" s="52" t="s">
        <v>148</v>
      </c>
      <c r="D46" s="33">
        <v>1045</v>
      </c>
      <c r="E46" s="33" t="s">
        <v>22</v>
      </c>
      <c r="F46" s="33" t="s">
        <v>23</v>
      </c>
      <c r="G46" s="34" t="s">
        <v>94</v>
      </c>
      <c r="H46" s="35" t="s">
        <v>30</v>
      </c>
    </row>
    <row r="47" spans="1:8" s="35" customFormat="1">
      <c r="A47" s="53">
        <v>20044</v>
      </c>
      <c r="B47" s="31" t="s">
        <v>91</v>
      </c>
      <c r="C47" s="54" t="s">
        <v>149</v>
      </c>
      <c r="D47" s="33" t="s">
        <v>82</v>
      </c>
      <c r="E47" s="33" t="s">
        <v>83</v>
      </c>
      <c r="F47" s="33" t="s">
        <v>84</v>
      </c>
      <c r="G47" s="34" t="s">
        <v>81</v>
      </c>
      <c r="H47" s="35" t="s">
        <v>29</v>
      </c>
    </row>
    <row r="48" spans="1:8">
      <c r="A48" s="53">
        <v>20045</v>
      </c>
      <c r="B48" s="31" t="s">
        <v>91</v>
      </c>
      <c r="C48" s="54" t="s">
        <v>150</v>
      </c>
      <c r="D48" s="33" t="s">
        <v>82</v>
      </c>
      <c r="E48" s="33" t="s">
        <v>83</v>
      </c>
      <c r="F48" s="33" t="s">
        <v>84</v>
      </c>
      <c r="G48" s="34" t="s">
        <v>81</v>
      </c>
      <c r="H48" s="35" t="s">
        <v>29</v>
      </c>
    </row>
    <row r="49" spans="1:18">
      <c r="A49" s="53">
        <v>20046</v>
      </c>
      <c r="B49" s="31" t="s">
        <v>91</v>
      </c>
      <c r="C49" s="54" t="s">
        <v>151</v>
      </c>
      <c r="D49" s="33" t="s">
        <v>82</v>
      </c>
      <c r="E49" s="33" t="s">
        <v>83</v>
      </c>
      <c r="F49" s="33" t="s">
        <v>84</v>
      </c>
      <c r="G49" s="34" t="s">
        <v>81</v>
      </c>
      <c r="H49" s="35" t="s">
        <v>29</v>
      </c>
    </row>
    <row r="50" spans="1:18">
      <c r="A50" s="53">
        <v>20047</v>
      </c>
      <c r="B50" s="31" t="s">
        <v>91</v>
      </c>
      <c r="C50" s="54" t="s">
        <v>152</v>
      </c>
      <c r="D50" s="33" t="s">
        <v>82</v>
      </c>
      <c r="E50" s="33" t="s">
        <v>83</v>
      </c>
      <c r="F50" s="33" t="s">
        <v>84</v>
      </c>
      <c r="G50" s="34" t="s">
        <v>81</v>
      </c>
      <c r="H50" s="35" t="s">
        <v>29</v>
      </c>
    </row>
    <row r="51" spans="1:18">
      <c r="A51" s="53">
        <v>20048</v>
      </c>
      <c r="B51" s="31" t="s">
        <v>91</v>
      </c>
      <c r="C51" s="54" t="s">
        <v>153</v>
      </c>
      <c r="D51" s="33" t="s">
        <v>82</v>
      </c>
      <c r="E51" s="33" t="s">
        <v>83</v>
      </c>
      <c r="F51" s="33" t="s">
        <v>84</v>
      </c>
      <c r="G51" s="34" t="s">
        <v>81</v>
      </c>
      <c r="H51" s="35" t="s">
        <v>29</v>
      </c>
    </row>
    <row r="52" spans="1:18">
      <c r="A52" s="53">
        <v>20049</v>
      </c>
      <c r="B52" s="31" t="s">
        <v>91</v>
      </c>
      <c r="C52" s="54" t="s">
        <v>154</v>
      </c>
      <c r="D52" s="33" t="s">
        <v>82</v>
      </c>
      <c r="E52" s="33" t="s">
        <v>83</v>
      </c>
      <c r="F52" s="33" t="s">
        <v>84</v>
      </c>
      <c r="G52" s="34" t="s">
        <v>81</v>
      </c>
      <c r="H52" s="35" t="s">
        <v>29</v>
      </c>
    </row>
    <row r="53" spans="1:18">
      <c r="A53" s="53">
        <v>20050</v>
      </c>
      <c r="B53" s="31" t="s">
        <v>91</v>
      </c>
      <c r="C53" s="54" t="s">
        <v>155</v>
      </c>
      <c r="D53" s="33" t="s">
        <v>82</v>
      </c>
      <c r="E53" s="33" t="s">
        <v>83</v>
      </c>
      <c r="F53" s="33" t="s">
        <v>84</v>
      </c>
      <c r="G53" s="34" t="s">
        <v>81</v>
      </c>
      <c r="H53" s="35" t="s">
        <v>29</v>
      </c>
    </row>
    <row r="54" spans="1:18">
      <c r="A54" s="53">
        <v>20051</v>
      </c>
      <c r="B54" s="31" t="s">
        <v>91</v>
      </c>
      <c r="C54" s="54" t="s">
        <v>156</v>
      </c>
      <c r="D54" s="33" t="s">
        <v>82</v>
      </c>
      <c r="E54" s="33" t="s">
        <v>83</v>
      </c>
      <c r="F54" s="33" t="s">
        <v>84</v>
      </c>
      <c r="G54" s="34" t="s">
        <v>81</v>
      </c>
      <c r="H54" s="35" t="s">
        <v>29</v>
      </c>
    </row>
    <row r="55" spans="1:18">
      <c r="A55" s="53">
        <v>20052</v>
      </c>
      <c r="B55" s="31" t="s">
        <v>91</v>
      </c>
      <c r="C55" s="54" t="s">
        <v>157</v>
      </c>
      <c r="D55" s="33" t="s">
        <v>82</v>
      </c>
      <c r="E55" s="33" t="s">
        <v>83</v>
      </c>
      <c r="F55" s="33" t="s">
        <v>84</v>
      </c>
      <c r="G55" s="34" t="s">
        <v>81</v>
      </c>
      <c r="H55" s="35" t="s">
        <v>29</v>
      </c>
    </row>
    <row r="56" spans="1:18">
      <c r="A56" s="53">
        <v>20053</v>
      </c>
      <c r="B56" s="31" t="s">
        <v>91</v>
      </c>
      <c r="C56" s="54" t="s">
        <v>158</v>
      </c>
      <c r="D56" s="33" t="s">
        <v>82</v>
      </c>
      <c r="E56" s="33" t="s">
        <v>83</v>
      </c>
      <c r="F56" s="33" t="s">
        <v>84</v>
      </c>
      <c r="G56" s="34" t="s">
        <v>81</v>
      </c>
      <c r="H56" s="35" t="s">
        <v>29</v>
      </c>
    </row>
    <row r="57" spans="1:18">
      <c r="A57" s="53">
        <v>20054</v>
      </c>
      <c r="B57" s="31" t="s">
        <v>91</v>
      </c>
      <c r="C57" s="54" t="s">
        <v>159</v>
      </c>
      <c r="D57" s="33" t="s">
        <v>82</v>
      </c>
      <c r="E57" s="33" t="s">
        <v>83</v>
      </c>
      <c r="F57" s="33" t="s">
        <v>84</v>
      </c>
      <c r="G57" s="34" t="s">
        <v>81</v>
      </c>
      <c r="H57" s="35" t="s">
        <v>29</v>
      </c>
    </row>
    <row r="58" spans="1:18">
      <c r="A58" s="53">
        <v>20055</v>
      </c>
      <c r="B58" s="31" t="s">
        <v>91</v>
      </c>
      <c r="C58" s="54" t="s">
        <v>160</v>
      </c>
      <c r="D58" s="33" t="s">
        <v>82</v>
      </c>
      <c r="E58" s="33" t="s">
        <v>83</v>
      </c>
      <c r="F58" s="33" t="s">
        <v>84</v>
      </c>
      <c r="G58" s="34" t="s">
        <v>81</v>
      </c>
      <c r="H58" s="35" t="s">
        <v>29</v>
      </c>
    </row>
    <row r="59" spans="1:18">
      <c r="A59" s="53">
        <v>20056</v>
      </c>
      <c r="B59" s="31" t="s">
        <v>91</v>
      </c>
      <c r="C59" s="54" t="s">
        <v>161</v>
      </c>
      <c r="D59" s="33" t="s">
        <v>82</v>
      </c>
      <c r="E59" s="33" t="s">
        <v>83</v>
      </c>
      <c r="F59" s="33" t="s">
        <v>84</v>
      </c>
      <c r="G59" s="34" t="s">
        <v>81</v>
      </c>
      <c r="H59" s="35" t="s">
        <v>29</v>
      </c>
    </row>
    <row r="60" spans="1:18">
      <c r="A60" s="53">
        <v>20057</v>
      </c>
      <c r="B60" s="31" t="s">
        <v>91</v>
      </c>
      <c r="C60" s="54" t="s">
        <v>162</v>
      </c>
      <c r="D60" s="33" t="s">
        <v>82</v>
      </c>
      <c r="E60" s="33" t="s">
        <v>83</v>
      </c>
      <c r="F60" s="33" t="s">
        <v>84</v>
      </c>
      <c r="G60" s="34" t="s">
        <v>81</v>
      </c>
      <c r="H60" s="35" t="s">
        <v>29</v>
      </c>
    </row>
    <row r="61" spans="1:18">
      <c r="A61" s="53">
        <v>20058</v>
      </c>
      <c r="B61" s="31" t="s">
        <v>91</v>
      </c>
      <c r="C61" s="54" t="s">
        <v>163</v>
      </c>
      <c r="D61" s="33" t="s">
        <v>82</v>
      </c>
      <c r="E61" s="33" t="s">
        <v>83</v>
      </c>
      <c r="F61" s="33" t="s">
        <v>84</v>
      </c>
      <c r="G61" s="34" t="s">
        <v>81</v>
      </c>
      <c r="H61" s="35" t="s">
        <v>29</v>
      </c>
    </row>
    <row r="62" spans="1:18" s="40" customFormat="1">
      <c r="A62" s="55">
        <v>20059</v>
      </c>
      <c r="B62" s="36" t="s">
        <v>89</v>
      </c>
      <c r="C62" s="57" t="s">
        <v>164</v>
      </c>
      <c r="D62" s="38">
        <v>1033</v>
      </c>
      <c r="E62" s="38" t="s">
        <v>20</v>
      </c>
      <c r="F62" s="38" t="s">
        <v>21</v>
      </c>
      <c r="G62" s="39" t="s">
        <v>95</v>
      </c>
      <c r="H62" s="40" t="s">
        <v>30</v>
      </c>
      <c r="N62" s="41"/>
      <c r="O62" s="41"/>
      <c r="P62" s="41"/>
      <c r="Q62" s="41"/>
      <c r="R62" s="41"/>
    </row>
    <row r="63" spans="1:18">
      <c r="A63" s="55">
        <v>20060</v>
      </c>
      <c r="B63" s="36" t="s">
        <v>89</v>
      </c>
      <c r="C63" s="57" t="s">
        <v>165</v>
      </c>
      <c r="D63" s="38">
        <v>1033</v>
      </c>
      <c r="E63" s="38" t="s">
        <v>20</v>
      </c>
      <c r="F63" s="38" t="s">
        <v>21</v>
      </c>
      <c r="G63" s="39" t="s">
        <v>95</v>
      </c>
      <c r="H63" s="40" t="s">
        <v>30</v>
      </c>
    </row>
    <row r="64" spans="1:18">
      <c r="A64" s="55">
        <v>20061</v>
      </c>
      <c r="B64" s="36" t="s">
        <v>89</v>
      </c>
      <c r="C64" s="57" t="s">
        <v>166</v>
      </c>
      <c r="D64" s="38">
        <v>1033</v>
      </c>
      <c r="E64" s="38" t="s">
        <v>20</v>
      </c>
      <c r="F64" s="38" t="s">
        <v>21</v>
      </c>
      <c r="G64" s="39" t="s">
        <v>95</v>
      </c>
      <c r="H64" s="40" t="s">
        <v>30</v>
      </c>
    </row>
    <row r="65" spans="1:18">
      <c r="A65" s="55">
        <v>20062</v>
      </c>
      <c r="B65" s="36" t="s">
        <v>89</v>
      </c>
      <c r="C65" s="57" t="s">
        <v>167</v>
      </c>
      <c r="D65" s="38">
        <v>1033</v>
      </c>
      <c r="E65" s="38" t="s">
        <v>20</v>
      </c>
      <c r="F65" s="38" t="s">
        <v>21</v>
      </c>
      <c r="G65" s="39" t="s">
        <v>95</v>
      </c>
      <c r="H65" s="40" t="s">
        <v>30</v>
      </c>
    </row>
    <row r="66" spans="1:18">
      <c r="A66" s="55">
        <v>20063</v>
      </c>
      <c r="B66" s="36" t="s">
        <v>89</v>
      </c>
      <c r="C66" s="57" t="s">
        <v>168</v>
      </c>
      <c r="D66" s="38">
        <v>1033</v>
      </c>
      <c r="E66" s="38" t="s">
        <v>20</v>
      </c>
      <c r="F66" s="38" t="s">
        <v>21</v>
      </c>
      <c r="G66" s="39" t="s">
        <v>95</v>
      </c>
      <c r="H66" s="40" t="s">
        <v>30</v>
      </c>
    </row>
    <row r="67" spans="1:18">
      <c r="A67" s="55">
        <v>20064</v>
      </c>
      <c r="B67" s="36" t="s">
        <v>89</v>
      </c>
      <c r="C67" s="57" t="s">
        <v>169</v>
      </c>
      <c r="D67" s="38">
        <v>1033</v>
      </c>
      <c r="E67" s="38" t="s">
        <v>20</v>
      </c>
      <c r="F67" s="38" t="s">
        <v>21</v>
      </c>
      <c r="G67" s="39" t="s">
        <v>95</v>
      </c>
      <c r="H67" s="40" t="s">
        <v>30</v>
      </c>
    </row>
    <row r="68" spans="1:18">
      <c r="A68" s="55">
        <v>20065</v>
      </c>
      <c r="B68" s="36" t="s">
        <v>89</v>
      </c>
      <c r="C68" s="57" t="s">
        <v>170</v>
      </c>
      <c r="D68" s="38">
        <v>1033</v>
      </c>
      <c r="E68" s="38" t="s">
        <v>20</v>
      </c>
      <c r="F68" s="38" t="s">
        <v>21</v>
      </c>
      <c r="G68" s="39" t="s">
        <v>95</v>
      </c>
      <c r="H68" s="40" t="s">
        <v>30</v>
      </c>
    </row>
    <row r="69" spans="1:18">
      <c r="A69" s="55">
        <v>20066</v>
      </c>
      <c r="B69" s="36" t="s">
        <v>89</v>
      </c>
      <c r="C69" s="57" t="s">
        <v>171</v>
      </c>
      <c r="D69" s="38">
        <v>1033</v>
      </c>
      <c r="E69" s="38" t="s">
        <v>20</v>
      </c>
      <c r="F69" s="38" t="s">
        <v>21</v>
      </c>
      <c r="G69" s="39" t="s">
        <v>95</v>
      </c>
      <c r="H69" s="40" t="s">
        <v>30</v>
      </c>
    </row>
    <row r="70" spans="1:18">
      <c r="A70" s="55">
        <v>20067</v>
      </c>
      <c r="B70" s="36" t="s">
        <v>89</v>
      </c>
      <c r="C70" s="57" t="s">
        <v>172</v>
      </c>
      <c r="D70" s="38">
        <v>1033</v>
      </c>
      <c r="E70" s="38" t="s">
        <v>20</v>
      </c>
      <c r="F70" s="38" t="s">
        <v>21</v>
      </c>
      <c r="G70" s="39" t="s">
        <v>95</v>
      </c>
      <c r="H70" s="40" t="s">
        <v>30</v>
      </c>
    </row>
    <row r="71" spans="1:18">
      <c r="A71" s="55">
        <v>20068</v>
      </c>
      <c r="B71" s="36" t="s">
        <v>89</v>
      </c>
      <c r="C71" s="57" t="s">
        <v>173</v>
      </c>
      <c r="D71" s="38">
        <v>1033</v>
      </c>
      <c r="E71" s="38" t="s">
        <v>20</v>
      </c>
      <c r="F71" s="38" t="s">
        <v>21</v>
      </c>
      <c r="G71" s="39" t="s">
        <v>95</v>
      </c>
      <c r="H71" s="40" t="s">
        <v>30</v>
      </c>
    </row>
    <row r="72" spans="1:18">
      <c r="A72" s="55">
        <v>20069</v>
      </c>
      <c r="B72" s="36" t="s">
        <v>89</v>
      </c>
      <c r="C72" s="57" t="s">
        <v>174</v>
      </c>
      <c r="D72" s="38">
        <v>1033</v>
      </c>
      <c r="E72" s="38" t="s">
        <v>20</v>
      </c>
      <c r="F72" s="38" t="s">
        <v>21</v>
      </c>
      <c r="G72" s="39" t="s">
        <v>95</v>
      </c>
      <c r="H72" s="40" t="s">
        <v>30</v>
      </c>
    </row>
    <row r="73" spans="1:18">
      <c r="A73" s="55">
        <v>20070</v>
      </c>
      <c r="B73" s="36" t="s">
        <v>89</v>
      </c>
      <c r="C73" s="57" t="s">
        <v>175</v>
      </c>
      <c r="D73" s="38">
        <v>1033</v>
      </c>
      <c r="E73" s="38" t="s">
        <v>20</v>
      </c>
      <c r="F73" s="38" t="s">
        <v>21</v>
      </c>
      <c r="G73" s="39" t="s">
        <v>95</v>
      </c>
      <c r="H73" s="40" t="s">
        <v>30</v>
      </c>
    </row>
    <row r="74" spans="1:18">
      <c r="A74" s="55">
        <v>20071</v>
      </c>
      <c r="B74" s="36" t="s">
        <v>89</v>
      </c>
      <c r="C74" s="57" t="s">
        <v>176</v>
      </c>
      <c r="D74" s="38">
        <v>1033</v>
      </c>
      <c r="E74" s="38" t="s">
        <v>20</v>
      </c>
      <c r="F74" s="38" t="s">
        <v>21</v>
      </c>
      <c r="G74" s="39" t="s">
        <v>95</v>
      </c>
      <c r="H74" s="40" t="s">
        <v>30</v>
      </c>
    </row>
    <row r="75" spans="1:18">
      <c r="A75" s="55">
        <v>20072</v>
      </c>
      <c r="B75" s="36" t="s">
        <v>89</v>
      </c>
      <c r="C75" s="57" t="s">
        <v>177</v>
      </c>
      <c r="D75" s="38">
        <v>1033</v>
      </c>
      <c r="E75" s="38" t="s">
        <v>20</v>
      </c>
      <c r="F75" s="38" t="s">
        <v>21</v>
      </c>
      <c r="G75" s="39" t="s">
        <v>95</v>
      </c>
      <c r="H75" s="40" t="s">
        <v>30</v>
      </c>
    </row>
    <row r="76" spans="1:18">
      <c r="A76" s="56">
        <v>20073</v>
      </c>
      <c r="B76" s="36" t="s">
        <v>89</v>
      </c>
      <c r="C76" s="57" t="s">
        <v>178</v>
      </c>
      <c r="D76" s="38">
        <v>1033</v>
      </c>
      <c r="E76" s="38" t="s">
        <v>20</v>
      </c>
      <c r="F76" s="38" t="s">
        <v>21</v>
      </c>
      <c r="G76" s="39" t="s">
        <v>95</v>
      </c>
      <c r="H76" s="40" t="s">
        <v>30</v>
      </c>
    </row>
    <row r="77" spans="1:18" s="40" customFormat="1">
      <c r="A77" s="58">
        <v>20074</v>
      </c>
      <c r="B77" s="36" t="s">
        <v>88</v>
      </c>
      <c r="C77" s="59" t="s">
        <v>179</v>
      </c>
      <c r="D77" s="38" t="s">
        <v>79</v>
      </c>
      <c r="E77" s="38" t="s">
        <v>77</v>
      </c>
      <c r="F77" s="38" t="s">
        <v>78</v>
      </c>
      <c r="G77" s="39" t="s">
        <v>63</v>
      </c>
      <c r="H77" s="40" t="s">
        <v>29</v>
      </c>
      <c r="N77" s="41"/>
      <c r="O77" s="41"/>
      <c r="P77" s="41"/>
      <c r="Q77" s="41"/>
      <c r="R77" s="41"/>
    </row>
    <row r="78" spans="1:18">
      <c r="A78" s="58">
        <v>20075</v>
      </c>
      <c r="B78" s="36" t="s">
        <v>88</v>
      </c>
      <c r="C78" s="59" t="s">
        <v>180</v>
      </c>
      <c r="D78" s="38" t="s">
        <v>79</v>
      </c>
      <c r="E78" s="38" t="s">
        <v>77</v>
      </c>
      <c r="F78" s="38" t="s">
        <v>78</v>
      </c>
      <c r="G78" s="39" t="s">
        <v>63</v>
      </c>
      <c r="H78" s="40" t="s">
        <v>29</v>
      </c>
    </row>
    <row r="79" spans="1:18">
      <c r="A79" s="58">
        <v>20076</v>
      </c>
      <c r="B79" s="36" t="s">
        <v>88</v>
      </c>
      <c r="C79" s="59" t="s">
        <v>181</v>
      </c>
      <c r="D79" s="38" t="s">
        <v>79</v>
      </c>
      <c r="E79" s="38" t="s">
        <v>77</v>
      </c>
      <c r="F79" s="38" t="s">
        <v>78</v>
      </c>
      <c r="G79" s="39" t="s">
        <v>63</v>
      </c>
      <c r="H79" s="40" t="s">
        <v>29</v>
      </c>
    </row>
    <row r="80" spans="1:18">
      <c r="A80" s="58">
        <v>20077</v>
      </c>
      <c r="B80" s="36" t="s">
        <v>88</v>
      </c>
      <c r="C80" s="59" t="s">
        <v>182</v>
      </c>
      <c r="D80" s="38" t="s">
        <v>79</v>
      </c>
      <c r="E80" s="38" t="s">
        <v>77</v>
      </c>
      <c r="F80" s="38" t="s">
        <v>78</v>
      </c>
      <c r="G80" s="39" t="s">
        <v>63</v>
      </c>
      <c r="H80" s="40" t="s">
        <v>29</v>
      </c>
    </row>
    <row r="81" spans="1:8">
      <c r="A81" s="58">
        <v>20078</v>
      </c>
      <c r="B81" s="36" t="s">
        <v>88</v>
      </c>
      <c r="C81" s="59" t="s">
        <v>183</v>
      </c>
      <c r="D81" s="38" t="s">
        <v>79</v>
      </c>
      <c r="E81" s="38" t="s">
        <v>77</v>
      </c>
      <c r="F81" s="38" t="s">
        <v>78</v>
      </c>
      <c r="G81" s="39" t="s">
        <v>63</v>
      </c>
      <c r="H81" s="40" t="s">
        <v>29</v>
      </c>
    </row>
    <row r="82" spans="1:8">
      <c r="A82" s="58">
        <v>20079</v>
      </c>
      <c r="B82" s="36" t="s">
        <v>88</v>
      </c>
      <c r="C82" s="59" t="s">
        <v>184</v>
      </c>
      <c r="D82" s="38" t="s">
        <v>79</v>
      </c>
      <c r="E82" s="38" t="s">
        <v>77</v>
      </c>
      <c r="F82" s="38" t="s">
        <v>78</v>
      </c>
      <c r="G82" s="39" t="s">
        <v>63</v>
      </c>
      <c r="H82" s="40" t="s">
        <v>29</v>
      </c>
    </row>
    <row r="83" spans="1:8">
      <c r="A83" s="58">
        <v>20080</v>
      </c>
      <c r="B83" s="36" t="s">
        <v>88</v>
      </c>
      <c r="C83" s="59" t="s">
        <v>185</v>
      </c>
      <c r="D83" s="38" t="s">
        <v>79</v>
      </c>
      <c r="E83" s="38" t="s">
        <v>77</v>
      </c>
      <c r="F83" s="38" t="s">
        <v>78</v>
      </c>
      <c r="G83" s="39" t="s">
        <v>63</v>
      </c>
      <c r="H83" s="40" t="s">
        <v>29</v>
      </c>
    </row>
    <row r="84" spans="1:8">
      <c r="A84" s="58">
        <v>20081</v>
      </c>
      <c r="B84" s="36" t="s">
        <v>88</v>
      </c>
      <c r="C84" s="59" t="s">
        <v>186</v>
      </c>
      <c r="D84" s="38" t="s">
        <v>79</v>
      </c>
      <c r="E84" s="38" t="s">
        <v>77</v>
      </c>
      <c r="F84" s="38" t="s">
        <v>78</v>
      </c>
      <c r="G84" s="39" t="s">
        <v>63</v>
      </c>
      <c r="H84" s="40" t="s">
        <v>29</v>
      </c>
    </row>
    <row r="85" spans="1:8">
      <c r="A85" s="58">
        <v>20082</v>
      </c>
      <c r="B85" s="36" t="s">
        <v>88</v>
      </c>
      <c r="C85" s="59" t="s">
        <v>187</v>
      </c>
      <c r="D85" s="38" t="s">
        <v>79</v>
      </c>
      <c r="E85" s="38" t="s">
        <v>77</v>
      </c>
      <c r="F85" s="38" t="s">
        <v>78</v>
      </c>
      <c r="G85" s="39" t="s">
        <v>63</v>
      </c>
      <c r="H85" s="40" t="s">
        <v>29</v>
      </c>
    </row>
    <row r="86" spans="1:8">
      <c r="A86" s="58">
        <v>20083</v>
      </c>
      <c r="B86" s="36" t="s">
        <v>88</v>
      </c>
      <c r="C86" s="59" t="s">
        <v>188</v>
      </c>
      <c r="D86" s="38" t="s">
        <v>79</v>
      </c>
      <c r="E86" s="38" t="s">
        <v>77</v>
      </c>
      <c r="F86" s="38" t="s">
        <v>78</v>
      </c>
      <c r="G86" s="39" t="s">
        <v>63</v>
      </c>
      <c r="H86" s="40" t="s">
        <v>29</v>
      </c>
    </row>
    <row r="87" spans="1:8">
      <c r="A87" s="58">
        <v>20084</v>
      </c>
      <c r="B87" s="36" t="s">
        <v>88</v>
      </c>
      <c r="C87" s="59" t="s">
        <v>189</v>
      </c>
      <c r="D87" s="38" t="s">
        <v>79</v>
      </c>
      <c r="E87" s="38" t="s">
        <v>77</v>
      </c>
      <c r="F87" s="38" t="s">
        <v>78</v>
      </c>
      <c r="G87" s="39" t="s">
        <v>63</v>
      </c>
      <c r="H87" s="40" t="s">
        <v>29</v>
      </c>
    </row>
    <row r="88" spans="1:8">
      <c r="A88" s="58">
        <v>20085</v>
      </c>
      <c r="B88" s="36" t="s">
        <v>88</v>
      </c>
      <c r="C88" s="59" t="s">
        <v>190</v>
      </c>
      <c r="D88" s="38" t="s">
        <v>79</v>
      </c>
      <c r="E88" s="38" t="s">
        <v>77</v>
      </c>
      <c r="F88" s="38" t="s">
        <v>78</v>
      </c>
      <c r="G88" s="39" t="s">
        <v>63</v>
      </c>
      <c r="H88" s="40" t="s">
        <v>29</v>
      </c>
    </row>
    <row r="89" spans="1:8">
      <c r="A89" s="58">
        <v>20086</v>
      </c>
      <c r="B89" s="36" t="s">
        <v>88</v>
      </c>
      <c r="C89" s="59" t="s">
        <v>191</v>
      </c>
      <c r="D89" s="38" t="s">
        <v>79</v>
      </c>
      <c r="E89" s="38" t="s">
        <v>77</v>
      </c>
      <c r="F89" s="38" t="s">
        <v>78</v>
      </c>
      <c r="G89" s="39" t="s">
        <v>63</v>
      </c>
      <c r="H89" s="40" t="s">
        <v>29</v>
      </c>
    </row>
    <row r="90" spans="1:8">
      <c r="A90" s="58">
        <v>20087</v>
      </c>
      <c r="B90" s="36" t="s">
        <v>88</v>
      </c>
      <c r="C90" s="59" t="s">
        <v>192</v>
      </c>
      <c r="D90" s="38" t="s">
        <v>79</v>
      </c>
      <c r="E90" s="38" t="s">
        <v>77</v>
      </c>
      <c r="F90" s="38" t="s">
        <v>78</v>
      </c>
      <c r="G90" s="39" t="s">
        <v>63</v>
      </c>
      <c r="H90" s="40" t="s">
        <v>29</v>
      </c>
    </row>
    <row r="91" spans="1:8">
      <c r="A91" s="58">
        <v>20088</v>
      </c>
      <c r="B91" s="36" t="s">
        <v>88</v>
      </c>
      <c r="C91" s="59" t="s">
        <v>193</v>
      </c>
      <c r="D91" s="38" t="s">
        <v>79</v>
      </c>
      <c r="E91" s="38" t="s">
        <v>77</v>
      </c>
      <c r="F91" s="38" t="s">
        <v>78</v>
      </c>
      <c r="G91" s="39" t="s">
        <v>63</v>
      </c>
      <c r="H91" s="40" t="s">
        <v>29</v>
      </c>
    </row>
    <row r="92" spans="1:8">
      <c r="E92" s="8"/>
      <c r="F92" s="8"/>
      <c r="G92" s="11"/>
    </row>
    <row r="93" spans="1:8">
      <c r="E93" s="8"/>
      <c r="F93" s="8"/>
      <c r="G93" s="11"/>
    </row>
    <row r="94" spans="1:8">
      <c r="E94" s="8"/>
      <c r="F94" s="8"/>
      <c r="G94" s="11"/>
    </row>
    <row r="95" spans="1:8">
      <c r="E95" s="8"/>
      <c r="F95" s="8"/>
      <c r="G95" s="11"/>
    </row>
    <row r="96" spans="1:8">
      <c r="E96" s="8"/>
      <c r="F96" s="8"/>
      <c r="G96" s="11"/>
    </row>
    <row r="97" spans="5:7">
      <c r="E97" s="8"/>
      <c r="F97" s="8"/>
      <c r="G97" s="11"/>
    </row>
    <row r="98" spans="5:7">
      <c r="E98" s="8"/>
      <c r="F98" s="8"/>
      <c r="G98" s="11"/>
    </row>
    <row r="99" spans="5:7">
      <c r="E99" s="8"/>
      <c r="F99" s="8"/>
      <c r="G99" s="11"/>
    </row>
    <row r="100" spans="5:7">
      <c r="E100" s="8"/>
      <c r="F100" s="8"/>
      <c r="G100" s="11"/>
    </row>
    <row r="101" spans="5:7">
      <c r="E101" s="8"/>
      <c r="F101" s="8"/>
      <c r="G101" s="11"/>
    </row>
    <row r="102" spans="5:7">
      <c r="E102" s="8"/>
      <c r="F102" s="8"/>
      <c r="G102" s="11"/>
    </row>
    <row r="103" spans="5:7">
      <c r="E103" s="8"/>
      <c r="F103" s="8"/>
      <c r="G103" s="11"/>
    </row>
    <row r="104" spans="5:7">
      <c r="E104" s="8"/>
      <c r="F104" s="8"/>
      <c r="G104" s="11"/>
    </row>
    <row r="105" spans="5:7">
      <c r="E105" s="8"/>
      <c r="F105" s="8"/>
      <c r="G105" s="11"/>
    </row>
    <row r="106" spans="5:7">
      <c r="E106" s="8"/>
      <c r="F106" s="8"/>
      <c r="G106" s="11"/>
    </row>
    <row r="107" spans="5:7">
      <c r="E107" s="8"/>
      <c r="F107" s="8"/>
      <c r="G107" s="11"/>
    </row>
    <row r="108" spans="5:7">
      <c r="E108" s="8"/>
      <c r="F108" s="8"/>
      <c r="G108" s="11"/>
    </row>
    <row r="109" spans="5:7">
      <c r="E109" s="8"/>
      <c r="F109" s="8"/>
      <c r="G109" s="11"/>
    </row>
    <row r="110" spans="5:7">
      <c r="E110" s="8"/>
      <c r="F110" s="8"/>
      <c r="G110" s="11"/>
    </row>
    <row r="111" spans="5:7">
      <c r="E111" s="8"/>
      <c r="F111" s="8"/>
      <c r="G111" s="11"/>
    </row>
    <row r="112" spans="5:7">
      <c r="E112" s="8"/>
      <c r="F112" s="8"/>
      <c r="G112" s="11"/>
    </row>
    <row r="113" spans="5:7">
      <c r="E113" s="8"/>
      <c r="F113" s="8"/>
      <c r="G113" s="11"/>
    </row>
    <row r="114" spans="5:7">
      <c r="E114" s="8"/>
      <c r="F114" s="8"/>
      <c r="G114" s="11"/>
    </row>
    <row r="115" spans="5:7">
      <c r="E115" s="8"/>
      <c r="F115" s="8"/>
      <c r="G115" s="11"/>
    </row>
    <row r="116" spans="5:7">
      <c r="E116" s="8"/>
      <c r="F116" s="8"/>
      <c r="G116" s="11"/>
    </row>
    <row r="117" spans="5:7">
      <c r="E117" s="8"/>
      <c r="F117" s="8"/>
      <c r="G117" s="11"/>
    </row>
    <row r="118" spans="5:7">
      <c r="E118" s="8"/>
      <c r="F118" s="8"/>
      <c r="G118" s="11"/>
    </row>
    <row r="119" spans="5:7">
      <c r="E119" s="8"/>
      <c r="F119" s="8"/>
      <c r="G119" s="11"/>
    </row>
    <row r="120" spans="5:7">
      <c r="E120" s="8"/>
      <c r="F120" s="8"/>
      <c r="G120" s="11"/>
    </row>
    <row r="121" spans="5:7">
      <c r="E121" s="8"/>
      <c r="F121" s="8"/>
      <c r="G121" s="11"/>
    </row>
    <row r="122" spans="5:7">
      <c r="E122" s="8"/>
      <c r="F122" s="8"/>
      <c r="G122" s="11"/>
    </row>
    <row r="123" spans="5:7">
      <c r="E123" s="8"/>
      <c r="F123" s="8"/>
      <c r="G123" s="11"/>
    </row>
    <row r="124" spans="5:7">
      <c r="E124" s="8"/>
      <c r="F124" s="8"/>
      <c r="G124" s="11"/>
    </row>
    <row r="125" spans="5:7">
      <c r="E125" s="8"/>
      <c r="F125" s="8"/>
      <c r="G125" s="11"/>
    </row>
    <row r="126" spans="5:7">
      <c r="E126" s="8"/>
      <c r="F126" s="8"/>
      <c r="G126" s="11"/>
    </row>
    <row r="127" spans="5:7">
      <c r="E127" s="8"/>
      <c r="F127" s="8"/>
      <c r="G127" s="11"/>
    </row>
    <row r="128" spans="5:7">
      <c r="E128" s="8"/>
      <c r="F128" s="8"/>
      <c r="G128" s="11"/>
    </row>
    <row r="129" spans="5:7">
      <c r="E129" s="8"/>
      <c r="F129" s="8"/>
      <c r="G129" s="11"/>
    </row>
    <row r="130" spans="5:7">
      <c r="E130" s="8"/>
      <c r="F130" s="8"/>
      <c r="G130" s="11"/>
    </row>
    <row r="131" spans="5:7">
      <c r="E131" s="8"/>
      <c r="F131" s="8"/>
      <c r="G131" s="11"/>
    </row>
    <row r="132" spans="5:7">
      <c r="E132" s="8"/>
      <c r="F132" s="8"/>
      <c r="G132" s="11"/>
    </row>
    <row r="133" spans="5:7">
      <c r="E133" s="8"/>
      <c r="F133" s="8"/>
      <c r="G133" s="11"/>
    </row>
    <row r="134" spans="5:7">
      <c r="E134" s="8"/>
      <c r="F134" s="8"/>
      <c r="G134" s="11"/>
    </row>
    <row r="135" spans="5:7">
      <c r="E135" s="8"/>
      <c r="F135" s="8"/>
      <c r="G135" s="11"/>
    </row>
    <row r="136" spans="5:7">
      <c r="E136" s="8"/>
      <c r="F136" s="8"/>
      <c r="G136" s="11"/>
    </row>
    <row r="137" spans="5:7">
      <c r="E137" s="8"/>
      <c r="F137" s="8"/>
      <c r="G137" s="11"/>
    </row>
    <row r="138" spans="5:7">
      <c r="E138" s="8"/>
      <c r="F138" s="8"/>
      <c r="G138" s="11"/>
    </row>
    <row r="139" spans="5:7">
      <c r="E139" s="8"/>
      <c r="F139" s="8"/>
      <c r="G139" s="11"/>
    </row>
    <row r="140" spans="5:7">
      <c r="E140" s="8"/>
      <c r="F140" s="8"/>
      <c r="G140" s="11"/>
    </row>
    <row r="141" spans="5:7">
      <c r="E141" s="8"/>
      <c r="F141" s="8"/>
      <c r="G141" s="11"/>
    </row>
    <row r="142" spans="5:7">
      <c r="E142" s="8"/>
      <c r="F142" s="8"/>
      <c r="G142" s="11"/>
    </row>
    <row r="143" spans="5:7">
      <c r="E143" s="8"/>
      <c r="F143" s="8"/>
      <c r="G143" s="11"/>
    </row>
    <row r="144" spans="5:7">
      <c r="E144" s="8"/>
      <c r="F144" s="8"/>
      <c r="G144" s="11"/>
    </row>
    <row r="145" spans="5:7">
      <c r="E145" s="8"/>
      <c r="F145" s="8"/>
      <c r="G145" s="11"/>
    </row>
    <row r="146" spans="5:7">
      <c r="E146" s="8"/>
      <c r="F146" s="8"/>
      <c r="G146" s="11"/>
    </row>
    <row r="147" spans="5:7">
      <c r="E147" s="8"/>
      <c r="F147" s="8"/>
      <c r="G147" s="11"/>
    </row>
    <row r="148" spans="5:7">
      <c r="E148" s="8"/>
      <c r="F148" s="8"/>
      <c r="G148" s="11"/>
    </row>
    <row r="149" spans="5:7">
      <c r="E149" s="8"/>
      <c r="F149" s="8"/>
      <c r="G149" s="11"/>
    </row>
    <row r="150" spans="5:7">
      <c r="E150" s="8"/>
      <c r="F150" s="8"/>
      <c r="G150" s="11"/>
    </row>
    <row r="151" spans="5:7">
      <c r="E151" s="8"/>
      <c r="F151" s="8"/>
      <c r="G151" s="11"/>
    </row>
    <row r="152" spans="5:7">
      <c r="E152" s="8"/>
      <c r="F152" s="8"/>
      <c r="G152" s="11"/>
    </row>
    <row r="153" spans="5:7">
      <c r="E153" s="8"/>
      <c r="F153" s="8"/>
      <c r="G153" s="11"/>
    </row>
    <row r="154" spans="5:7">
      <c r="E154" s="8"/>
      <c r="F154" s="8"/>
      <c r="G154" s="11"/>
    </row>
    <row r="155" spans="5:7">
      <c r="E155" s="8"/>
      <c r="F155" s="8"/>
      <c r="G155" s="11"/>
    </row>
    <row r="156" spans="5:7">
      <c r="E156" s="8"/>
      <c r="F156" s="8"/>
      <c r="G156" s="11"/>
    </row>
    <row r="157" spans="5:7">
      <c r="E157" s="8"/>
      <c r="F157" s="8"/>
      <c r="G157" s="11"/>
    </row>
    <row r="158" spans="5:7">
      <c r="E158" s="8"/>
      <c r="F158" s="8"/>
      <c r="G158" s="11"/>
    </row>
    <row r="159" spans="5:7">
      <c r="E159" s="8"/>
      <c r="F159" s="8"/>
      <c r="G159" s="11"/>
    </row>
    <row r="160" spans="5:7">
      <c r="E160" s="8"/>
      <c r="F160" s="8"/>
      <c r="G160" s="11"/>
    </row>
    <row r="161" spans="5:7">
      <c r="E161" s="8"/>
      <c r="F161" s="8"/>
      <c r="G161" s="11"/>
    </row>
    <row r="162" spans="5:7">
      <c r="E162" s="8"/>
      <c r="F162" s="8"/>
      <c r="G162" s="11"/>
    </row>
    <row r="163" spans="5:7">
      <c r="E163" s="8"/>
      <c r="F163" s="8"/>
      <c r="G163" s="11"/>
    </row>
    <row r="164" spans="5:7">
      <c r="E164" s="8"/>
      <c r="F164" s="8"/>
      <c r="G164" s="11"/>
    </row>
    <row r="165" spans="5:7">
      <c r="E165" s="8"/>
      <c r="F165" s="8"/>
      <c r="G165" s="11"/>
    </row>
    <row r="166" spans="5:7">
      <c r="E166" s="8"/>
      <c r="F166" s="8"/>
      <c r="G166" s="11"/>
    </row>
    <row r="167" spans="5:7">
      <c r="E167" s="8"/>
      <c r="F167" s="8"/>
      <c r="G167" s="11"/>
    </row>
    <row r="168" spans="5:7">
      <c r="E168" s="8"/>
      <c r="F168" s="8"/>
      <c r="G168" s="11"/>
    </row>
    <row r="169" spans="5:7">
      <c r="E169" s="8"/>
      <c r="F169" s="8"/>
      <c r="G169" s="11"/>
    </row>
    <row r="170" spans="5:7">
      <c r="E170" s="8"/>
      <c r="F170" s="8"/>
      <c r="G170" s="11"/>
    </row>
    <row r="171" spans="5:7">
      <c r="E171" s="8"/>
      <c r="F171" s="8"/>
      <c r="G171" s="11"/>
    </row>
    <row r="172" spans="5:7">
      <c r="E172" s="8"/>
      <c r="F172" s="8"/>
      <c r="G172" s="11"/>
    </row>
    <row r="173" spans="5:7">
      <c r="E173" s="8"/>
      <c r="F173" s="8"/>
      <c r="G173" s="11"/>
    </row>
    <row r="174" spans="5:7">
      <c r="E174" s="8"/>
      <c r="F174" s="8"/>
      <c r="G174" s="11"/>
    </row>
    <row r="175" spans="5:7">
      <c r="E175" s="8"/>
      <c r="F175" s="8"/>
      <c r="G175" s="11"/>
    </row>
    <row r="176" spans="5:7">
      <c r="E176" s="8"/>
      <c r="F176" s="8"/>
      <c r="G176" s="11"/>
    </row>
    <row r="177" spans="5:7">
      <c r="E177" s="8"/>
      <c r="F177" s="8"/>
      <c r="G177" s="11"/>
    </row>
    <row r="178" spans="5:7">
      <c r="E178" s="8"/>
      <c r="F178" s="8"/>
      <c r="G178" s="11"/>
    </row>
    <row r="179" spans="5:7">
      <c r="E179" s="8"/>
      <c r="F179" s="8"/>
      <c r="G179" s="11"/>
    </row>
    <row r="180" spans="5:7">
      <c r="E180" s="8"/>
      <c r="F180" s="8"/>
      <c r="G180" s="11"/>
    </row>
    <row r="181" spans="5:7">
      <c r="E181" s="8"/>
      <c r="F181" s="8"/>
      <c r="G181" s="11"/>
    </row>
    <row r="182" spans="5:7">
      <c r="E182" s="8"/>
      <c r="F182" s="8"/>
      <c r="G182" s="11"/>
    </row>
    <row r="183" spans="5:7">
      <c r="E183" s="8"/>
      <c r="F183" s="8"/>
      <c r="G183" s="11"/>
    </row>
    <row r="184" spans="5:7">
      <c r="E184" s="8"/>
      <c r="F184" s="8"/>
      <c r="G184" s="11"/>
    </row>
    <row r="185" spans="5:7">
      <c r="E185" s="8"/>
      <c r="F185" s="8"/>
      <c r="G185" s="11"/>
    </row>
    <row r="186" spans="5:7">
      <c r="E186" s="8"/>
      <c r="F186" s="8"/>
      <c r="G186" s="11"/>
    </row>
    <row r="187" spans="5:7">
      <c r="E187" s="8"/>
      <c r="F187" s="8"/>
      <c r="G187" s="11"/>
    </row>
    <row r="188" spans="5:7">
      <c r="E188" s="8"/>
      <c r="F188" s="8"/>
      <c r="G188" s="11"/>
    </row>
    <row r="189" spans="5:7">
      <c r="E189" s="8"/>
      <c r="F189" s="8"/>
      <c r="G189" s="11"/>
    </row>
    <row r="190" spans="5:7">
      <c r="E190" s="8"/>
      <c r="F190" s="8"/>
      <c r="G190" s="11"/>
    </row>
    <row r="191" spans="5:7">
      <c r="E191" s="8"/>
      <c r="F191" s="8"/>
      <c r="G191" s="11"/>
    </row>
    <row r="192" spans="5:7">
      <c r="E192" s="8"/>
      <c r="F192" s="8"/>
      <c r="G192" s="11"/>
    </row>
    <row r="193" spans="5:7">
      <c r="E193" s="8"/>
      <c r="F193" s="8"/>
      <c r="G193" s="11"/>
    </row>
    <row r="194" spans="5:7">
      <c r="E194" s="8"/>
      <c r="F194" s="8"/>
      <c r="G194" s="11"/>
    </row>
    <row r="195" spans="5:7">
      <c r="E195" s="8"/>
      <c r="F195" s="8"/>
      <c r="G195" s="11"/>
    </row>
    <row r="196" spans="5:7">
      <c r="E196" s="8"/>
      <c r="F196" s="8"/>
      <c r="G196" s="11"/>
    </row>
    <row r="197" spans="5:7">
      <c r="E197" s="8"/>
      <c r="F197" s="8"/>
      <c r="G197" s="11"/>
    </row>
    <row r="198" spans="5:7">
      <c r="E198" s="8"/>
      <c r="F198" s="8"/>
      <c r="G198" s="11"/>
    </row>
    <row r="199" spans="5:7">
      <c r="E199" s="8"/>
      <c r="F199" s="8"/>
      <c r="G199" s="11"/>
    </row>
    <row r="200" spans="5:7">
      <c r="E200" s="8"/>
      <c r="F200" s="8"/>
      <c r="G200" s="11"/>
    </row>
    <row r="201" spans="5:7">
      <c r="E201" s="8"/>
      <c r="F201" s="8"/>
      <c r="G201" s="11"/>
    </row>
    <row r="202" spans="5:7">
      <c r="E202" s="8"/>
      <c r="F202" s="8"/>
      <c r="G202" s="11"/>
    </row>
    <row r="203" spans="5:7">
      <c r="E203" s="8"/>
      <c r="F203" s="8"/>
      <c r="G203" s="11"/>
    </row>
    <row r="204" spans="5:7">
      <c r="E204" s="8"/>
      <c r="F204" s="8"/>
      <c r="G204" s="11"/>
    </row>
    <row r="205" spans="5:7">
      <c r="E205" s="8"/>
      <c r="F205" s="8"/>
      <c r="G205" s="11"/>
    </row>
    <row r="206" spans="5:7">
      <c r="E206" s="8"/>
      <c r="F206" s="8"/>
      <c r="G206" s="11"/>
    </row>
    <row r="207" spans="5:7">
      <c r="E207" s="8"/>
      <c r="F207" s="8"/>
      <c r="G207" s="11"/>
    </row>
    <row r="208" spans="5:7">
      <c r="E208" s="8"/>
      <c r="F208" s="8"/>
      <c r="G208" s="11"/>
    </row>
    <row r="209" spans="5:7">
      <c r="E209" s="8"/>
      <c r="F209" s="8"/>
      <c r="G209" s="11"/>
    </row>
    <row r="210" spans="5:7">
      <c r="E210" s="8"/>
      <c r="F210" s="8"/>
      <c r="G210" s="11"/>
    </row>
    <row r="211" spans="5:7">
      <c r="E211" s="8"/>
      <c r="F211" s="8"/>
      <c r="G211" s="11"/>
    </row>
    <row r="212" spans="5:7">
      <c r="E212" s="8"/>
      <c r="F212" s="8"/>
      <c r="G212" s="11"/>
    </row>
    <row r="213" spans="5:7">
      <c r="E213" s="8"/>
      <c r="F213" s="8"/>
      <c r="G213" s="11"/>
    </row>
    <row r="214" spans="5:7">
      <c r="E214" s="8"/>
      <c r="F214" s="8"/>
      <c r="G214" s="11"/>
    </row>
    <row r="215" spans="5:7">
      <c r="E215" s="8"/>
      <c r="F215" s="8"/>
      <c r="G215" s="11"/>
    </row>
    <row r="216" spans="5:7">
      <c r="E216" s="8"/>
      <c r="F216" s="8"/>
      <c r="G216" s="11"/>
    </row>
    <row r="217" spans="5:7">
      <c r="E217" s="8"/>
      <c r="F217" s="8"/>
      <c r="G217" s="11"/>
    </row>
    <row r="218" spans="5:7">
      <c r="E218" s="8"/>
      <c r="F218" s="8"/>
      <c r="G218" s="11"/>
    </row>
    <row r="219" spans="5:7">
      <c r="E219" s="8"/>
      <c r="F219" s="8"/>
      <c r="G219" s="11"/>
    </row>
    <row r="220" spans="5:7">
      <c r="E220" s="8"/>
      <c r="F220" s="8"/>
      <c r="G220" s="11"/>
    </row>
    <row r="221" spans="5:7">
      <c r="E221" s="8"/>
      <c r="F221" s="8"/>
      <c r="G221" s="11"/>
    </row>
    <row r="222" spans="5:7">
      <c r="E222" s="8"/>
      <c r="F222" s="8"/>
      <c r="G222" s="11"/>
    </row>
    <row r="223" spans="5:7">
      <c r="E223" s="8"/>
      <c r="F223" s="8"/>
      <c r="G223" s="11"/>
    </row>
    <row r="224" spans="5:7">
      <c r="E224" s="8"/>
      <c r="F224" s="8"/>
      <c r="G224" s="11"/>
    </row>
    <row r="225" spans="5:7">
      <c r="E225" s="8"/>
      <c r="F225" s="8"/>
      <c r="G225" s="11"/>
    </row>
    <row r="226" spans="5:7">
      <c r="E226" s="8"/>
      <c r="F226" s="8"/>
      <c r="G226" s="11"/>
    </row>
    <row r="227" spans="5:7">
      <c r="E227" s="8"/>
      <c r="F227" s="8"/>
      <c r="G227" s="11"/>
    </row>
    <row r="228" spans="5:7">
      <c r="E228" s="8"/>
      <c r="F228" s="8"/>
      <c r="G228" s="11"/>
    </row>
    <row r="229" spans="5:7">
      <c r="E229" s="8"/>
      <c r="F229" s="8"/>
      <c r="G229" s="11"/>
    </row>
    <row r="230" spans="5:7">
      <c r="E230" s="8"/>
      <c r="F230" s="8"/>
      <c r="G230" s="11"/>
    </row>
    <row r="231" spans="5:7">
      <c r="E231" s="8"/>
      <c r="F231" s="8"/>
      <c r="G231" s="11"/>
    </row>
    <row r="232" spans="5:7">
      <c r="E232" s="8"/>
      <c r="F232" s="8"/>
      <c r="G232" s="11"/>
    </row>
    <row r="233" spans="5:7">
      <c r="E233" s="8"/>
      <c r="F233" s="8"/>
      <c r="G233" s="11"/>
    </row>
    <row r="234" spans="5:7">
      <c r="E234" s="8"/>
      <c r="F234" s="8"/>
      <c r="G234" s="11"/>
    </row>
    <row r="235" spans="5:7">
      <c r="E235" s="8"/>
      <c r="F235" s="8"/>
      <c r="G235" s="11"/>
    </row>
    <row r="236" spans="5:7">
      <c r="E236" s="8"/>
      <c r="F236" s="8"/>
      <c r="G236" s="11"/>
    </row>
    <row r="237" spans="5:7">
      <c r="E237" s="8"/>
      <c r="F237" s="8"/>
      <c r="G237" s="11"/>
    </row>
    <row r="238" spans="5:7">
      <c r="E238" s="8"/>
      <c r="F238" s="8"/>
      <c r="G238" s="11"/>
    </row>
    <row r="239" spans="5:7">
      <c r="E239" s="8"/>
      <c r="F239" s="8"/>
      <c r="G239" s="11"/>
    </row>
    <row r="240" spans="5:7">
      <c r="E240" s="8"/>
      <c r="F240" s="8"/>
      <c r="G240" s="11"/>
    </row>
    <row r="241" spans="5:7">
      <c r="E241" s="8"/>
      <c r="F241" s="8"/>
      <c r="G241" s="11"/>
    </row>
    <row r="242" spans="5:7">
      <c r="E242" s="8"/>
      <c r="F242" s="8"/>
      <c r="G242" s="11"/>
    </row>
    <row r="243" spans="5:7">
      <c r="E243" s="8"/>
      <c r="F243" s="8"/>
      <c r="G243" s="11"/>
    </row>
    <row r="244" spans="5:7">
      <c r="E244" s="8"/>
      <c r="F244" s="8"/>
      <c r="G244" s="11"/>
    </row>
    <row r="245" spans="5:7">
      <c r="E245" s="8"/>
      <c r="F245" s="8"/>
      <c r="G245" s="11"/>
    </row>
    <row r="246" spans="5:7">
      <c r="E246" s="8"/>
      <c r="F246" s="8"/>
      <c r="G246" s="11"/>
    </row>
    <row r="247" spans="5:7">
      <c r="E247" s="8"/>
      <c r="F247" s="8"/>
      <c r="G247" s="11"/>
    </row>
    <row r="248" spans="5:7">
      <c r="E248" s="8"/>
      <c r="F248" s="8"/>
      <c r="G248" s="11"/>
    </row>
    <row r="249" spans="5:7">
      <c r="E249" s="8"/>
      <c r="F249" s="8"/>
      <c r="G249" s="11"/>
    </row>
    <row r="250" spans="5:7">
      <c r="E250" s="8"/>
      <c r="F250" s="8"/>
      <c r="G250" s="11"/>
    </row>
    <row r="251" spans="5:7">
      <c r="E251" s="8"/>
      <c r="F251" s="8"/>
      <c r="G251" s="11"/>
    </row>
    <row r="252" spans="5:7">
      <c r="E252" s="8"/>
      <c r="F252" s="8"/>
      <c r="G252" s="11"/>
    </row>
    <row r="253" spans="5:7">
      <c r="E253" s="8"/>
      <c r="F253" s="8"/>
      <c r="G253" s="11"/>
    </row>
    <row r="254" spans="5:7">
      <c r="E254" s="8"/>
      <c r="F254" s="8"/>
      <c r="G254" s="11"/>
    </row>
    <row r="255" spans="5:7">
      <c r="E255" s="8"/>
      <c r="F255" s="8"/>
      <c r="G255" s="11"/>
    </row>
    <row r="256" spans="5:7">
      <c r="E256" s="8"/>
      <c r="F256" s="8"/>
      <c r="G256" s="11"/>
    </row>
    <row r="257" spans="5:7">
      <c r="E257" s="8"/>
      <c r="F257" s="8"/>
      <c r="G257" s="11"/>
    </row>
    <row r="258" spans="5:7">
      <c r="E258" s="8"/>
      <c r="F258" s="8"/>
      <c r="G258" s="11"/>
    </row>
    <row r="259" spans="5:7">
      <c r="E259" s="8"/>
      <c r="F259" s="8"/>
      <c r="G259" s="11"/>
    </row>
    <row r="260" spans="5:7">
      <c r="E260" s="8"/>
      <c r="F260" s="8"/>
      <c r="G260" s="11"/>
    </row>
    <row r="261" spans="5:7">
      <c r="E261" s="8"/>
      <c r="F261" s="8"/>
      <c r="G261" s="11"/>
    </row>
    <row r="262" spans="5:7">
      <c r="E262" s="8"/>
      <c r="F262" s="8"/>
      <c r="G262" s="11"/>
    </row>
    <row r="263" spans="5:7">
      <c r="E263" s="8"/>
      <c r="F263" s="8"/>
      <c r="G263" s="11"/>
    </row>
    <row r="264" spans="5:7">
      <c r="E264" s="8"/>
      <c r="F264" s="8"/>
      <c r="G264" s="11"/>
    </row>
    <row r="265" spans="5:7">
      <c r="E265" s="8"/>
      <c r="F265" s="8"/>
      <c r="G265" s="11"/>
    </row>
    <row r="266" spans="5:7">
      <c r="E266" s="8"/>
      <c r="F266" s="8"/>
      <c r="G266" s="11"/>
    </row>
    <row r="267" spans="5:7">
      <c r="E267" s="8"/>
      <c r="F267" s="8"/>
      <c r="G267" s="11"/>
    </row>
    <row r="268" spans="5:7">
      <c r="E268" s="8"/>
      <c r="F268" s="8"/>
      <c r="G268" s="11"/>
    </row>
    <row r="269" spans="5:7">
      <c r="E269" s="8"/>
      <c r="F269" s="8"/>
      <c r="G269" s="11"/>
    </row>
    <row r="270" spans="5:7">
      <c r="E270" s="8"/>
      <c r="F270" s="8"/>
      <c r="G270" s="11"/>
    </row>
    <row r="271" spans="5:7">
      <c r="E271" s="8"/>
      <c r="F271" s="8"/>
      <c r="G271" s="11"/>
    </row>
    <row r="272" spans="5:7">
      <c r="E272" s="8"/>
      <c r="F272" s="8"/>
      <c r="G272" s="11"/>
    </row>
    <row r="273" spans="5:7">
      <c r="E273" s="8"/>
      <c r="F273" s="8"/>
      <c r="G273" s="11"/>
    </row>
    <row r="274" spans="5:7">
      <c r="E274" s="8"/>
      <c r="F274" s="8"/>
      <c r="G274" s="11"/>
    </row>
    <row r="275" spans="5:7">
      <c r="E275" s="8"/>
      <c r="F275" s="8"/>
      <c r="G275" s="11"/>
    </row>
    <row r="276" spans="5:7">
      <c r="E276" s="8"/>
      <c r="F276" s="8"/>
      <c r="G276" s="11"/>
    </row>
    <row r="277" spans="5:7">
      <c r="E277" s="8"/>
      <c r="F277" s="8"/>
      <c r="G277" s="11"/>
    </row>
    <row r="278" spans="5:7">
      <c r="E278" s="8"/>
      <c r="F278" s="8"/>
      <c r="G278" s="11"/>
    </row>
    <row r="279" spans="5:7">
      <c r="E279" s="8"/>
      <c r="F279" s="8"/>
      <c r="G279" s="11"/>
    </row>
    <row r="280" spans="5:7">
      <c r="E280" s="8"/>
      <c r="F280" s="8"/>
      <c r="G280" s="11"/>
    </row>
    <row r="281" spans="5:7">
      <c r="E281" s="8"/>
      <c r="F281" s="8"/>
      <c r="G281" s="11"/>
    </row>
    <row r="282" spans="5:7">
      <c r="E282" s="8"/>
      <c r="F282" s="8"/>
      <c r="G282" s="11"/>
    </row>
    <row r="283" spans="5:7">
      <c r="E283" s="8"/>
      <c r="F283" s="8"/>
      <c r="G283" s="11"/>
    </row>
    <row r="284" spans="5:7">
      <c r="E284" s="8"/>
      <c r="F284" s="8"/>
      <c r="G284" s="11"/>
    </row>
    <row r="285" spans="5:7">
      <c r="E285" s="8"/>
      <c r="F285" s="8"/>
      <c r="G285" s="11"/>
    </row>
    <row r="286" spans="5:7">
      <c r="E286" s="8"/>
      <c r="F286" s="8"/>
      <c r="G286" s="11"/>
    </row>
    <row r="287" spans="5:7">
      <c r="E287" s="8"/>
      <c r="F287" s="8"/>
      <c r="G287" s="11"/>
    </row>
    <row r="288" spans="5:7">
      <c r="E288" s="8"/>
      <c r="F288" s="8"/>
      <c r="G288" s="11"/>
    </row>
    <row r="289" spans="5:7">
      <c r="E289" s="8"/>
      <c r="F289" s="8"/>
      <c r="G289" s="11"/>
    </row>
    <row r="290" spans="5:7">
      <c r="E290" s="8"/>
      <c r="F290" s="8"/>
      <c r="G290" s="11"/>
    </row>
    <row r="291" spans="5:7">
      <c r="E291" s="8"/>
      <c r="F291" s="8"/>
      <c r="G291" s="11"/>
    </row>
    <row r="292" spans="5:7">
      <c r="E292" s="8"/>
      <c r="F292" s="8"/>
      <c r="G292" s="11"/>
    </row>
    <row r="293" spans="5:7">
      <c r="E293" s="8"/>
      <c r="F293" s="8"/>
      <c r="G293" s="11"/>
    </row>
    <row r="294" spans="5:7">
      <c r="E294" s="8"/>
      <c r="F294" s="8"/>
      <c r="G294" s="11"/>
    </row>
    <row r="295" spans="5:7">
      <c r="E295" s="8"/>
      <c r="F295" s="8"/>
      <c r="G295" s="11"/>
    </row>
    <row r="296" spans="5:7">
      <c r="E296" s="8"/>
      <c r="F296" s="8"/>
      <c r="G296" s="11"/>
    </row>
    <row r="297" spans="5:7">
      <c r="E297" s="8"/>
      <c r="F297" s="8"/>
      <c r="G297" s="11"/>
    </row>
    <row r="298" spans="5:7">
      <c r="E298" s="8"/>
      <c r="F298" s="8"/>
      <c r="G298" s="11"/>
    </row>
    <row r="299" spans="5:7">
      <c r="E299" s="8"/>
      <c r="F299" s="8"/>
      <c r="G299" s="11"/>
    </row>
    <row r="300" spans="5:7">
      <c r="E300" s="8"/>
      <c r="F300" s="8"/>
      <c r="G300" s="11"/>
    </row>
    <row r="301" spans="5:7">
      <c r="E301" s="8"/>
      <c r="F301" s="8"/>
      <c r="G301" s="11"/>
    </row>
    <row r="302" spans="5:7">
      <c r="E302" s="8"/>
      <c r="F302" s="8"/>
      <c r="G302" s="11"/>
    </row>
    <row r="303" spans="5:7">
      <c r="E303" s="8"/>
      <c r="F303" s="8"/>
      <c r="G303" s="11"/>
    </row>
    <row r="304" spans="5:7">
      <c r="E304" s="8"/>
      <c r="F304" s="8"/>
      <c r="G304" s="11"/>
    </row>
    <row r="305" spans="5:7">
      <c r="E305" s="8"/>
      <c r="F305" s="8"/>
      <c r="G305" s="11"/>
    </row>
    <row r="306" spans="5:7">
      <c r="E306" s="8"/>
      <c r="F306" s="8"/>
      <c r="G306" s="11"/>
    </row>
    <row r="307" spans="5:7">
      <c r="E307" s="8"/>
      <c r="F307" s="8"/>
      <c r="G307" s="11"/>
    </row>
    <row r="308" spans="5:7">
      <c r="E308" s="8"/>
      <c r="F308" s="8"/>
      <c r="G308" s="11"/>
    </row>
    <row r="309" spans="5:7">
      <c r="E309" s="8"/>
      <c r="F309" s="8"/>
      <c r="G309" s="11"/>
    </row>
    <row r="310" spans="5:7">
      <c r="E310" s="8"/>
      <c r="F310" s="8"/>
      <c r="G310" s="11"/>
    </row>
    <row r="311" spans="5:7">
      <c r="E311" s="8"/>
      <c r="F311" s="8"/>
      <c r="G311" s="11"/>
    </row>
    <row r="312" spans="5:7">
      <c r="E312" s="8"/>
      <c r="F312" s="8"/>
      <c r="G312" s="11"/>
    </row>
    <row r="313" spans="5:7">
      <c r="E313" s="8"/>
      <c r="F313" s="8"/>
      <c r="G313" s="11"/>
    </row>
    <row r="314" spans="5:7">
      <c r="E314" s="8"/>
      <c r="F314" s="8"/>
      <c r="G314" s="11"/>
    </row>
    <row r="315" spans="5:7">
      <c r="E315" s="8"/>
      <c r="F315" s="8"/>
      <c r="G315" s="11"/>
    </row>
    <row r="316" spans="5:7">
      <c r="E316" s="8"/>
      <c r="F316" s="8"/>
      <c r="G316" s="11"/>
    </row>
    <row r="317" spans="5:7">
      <c r="E317" s="8"/>
      <c r="F317" s="8"/>
      <c r="G317" s="11"/>
    </row>
    <row r="318" spans="5:7">
      <c r="E318" s="8"/>
      <c r="F318" s="8"/>
      <c r="G318" s="11"/>
    </row>
    <row r="319" spans="5:7">
      <c r="E319" s="8"/>
      <c r="F319" s="8"/>
      <c r="G319" s="11"/>
    </row>
    <row r="320" spans="5:7">
      <c r="E320" s="8"/>
      <c r="F320" s="8"/>
      <c r="G320" s="11"/>
    </row>
    <row r="321" spans="5:7">
      <c r="E321" s="8"/>
      <c r="F321" s="8"/>
      <c r="G321" s="11"/>
    </row>
    <row r="322" spans="5:7">
      <c r="E322" s="8"/>
      <c r="F322" s="8"/>
      <c r="G322" s="11"/>
    </row>
    <row r="323" spans="5:7">
      <c r="E323" s="8"/>
      <c r="F323" s="8"/>
      <c r="G323" s="11"/>
    </row>
    <row r="324" spans="5:7">
      <c r="E324" s="8"/>
      <c r="F324" s="8"/>
      <c r="G324" s="11"/>
    </row>
    <row r="325" spans="5:7">
      <c r="E325" s="8"/>
      <c r="F325" s="8"/>
      <c r="G325" s="11"/>
    </row>
    <row r="326" spans="5:7">
      <c r="E326" s="8"/>
      <c r="F326" s="8"/>
      <c r="G326" s="11"/>
    </row>
    <row r="327" spans="5:7">
      <c r="E327" s="8"/>
      <c r="F327" s="8"/>
      <c r="G327" s="11"/>
    </row>
    <row r="328" spans="5:7">
      <c r="E328" s="8"/>
      <c r="F328" s="8"/>
      <c r="G328" s="11"/>
    </row>
    <row r="329" spans="5:7">
      <c r="E329" s="8"/>
      <c r="F329" s="8"/>
      <c r="G329" s="11"/>
    </row>
    <row r="330" spans="5:7">
      <c r="E330" s="8"/>
      <c r="F330" s="8"/>
      <c r="G330" s="11"/>
    </row>
    <row r="331" spans="5:7">
      <c r="E331" s="8"/>
      <c r="F331" s="8"/>
      <c r="G331" s="11"/>
    </row>
    <row r="332" spans="5:7">
      <c r="E332" s="8"/>
      <c r="F332" s="8"/>
      <c r="G332" s="11"/>
    </row>
    <row r="333" spans="5:7">
      <c r="E333" s="8"/>
      <c r="F333" s="8"/>
      <c r="G333" s="11"/>
    </row>
    <row r="334" spans="5:7">
      <c r="E334" s="8"/>
      <c r="F334" s="8"/>
      <c r="G334" s="11"/>
    </row>
    <row r="335" spans="5:7">
      <c r="E335" s="8"/>
      <c r="F335" s="8"/>
      <c r="G335" s="11"/>
    </row>
    <row r="336" spans="5:7">
      <c r="E336" s="8"/>
      <c r="F336" s="8"/>
      <c r="G336" s="11"/>
    </row>
    <row r="337" spans="5:7">
      <c r="E337" s="8"/>
      <c r="F337" s="8"/>
      <c r="G337" s="11"/>
    </row>
    <row r="338" spans="5:7">
      <c r="E338" s="8"/>
      <c r="F338" s="8"/>
      <c r="G338" s="11"/>
    </row>
    <row r="339" spans="5:7">
      <c r="E339" s="8"/>
      <c r="F339" s="8"/>
      <c r="G339" s="11"/>
    </row>
    <row r="340" spans="5:7">
      <c r="E340" s="8"/>
      <c r="F340" s="8"/>
      <c r="G340" s="11"/>
    </row>
    <row r="341" spans="5:7">
      <c r="E341" s="8"/>
      <c r="F341" s="8"/>
      <c r="G341" s="11"/>
    </row>
    <row r="342" spans="5:7">
      <c r="E342" s="8"/>
      <c r="F342" s="8"/>
      <c r="G342" s="11"/>
    </row>
    <row r="343" spans="5:7">
      <c r="E343" s="8"/>
      <c r="F343" s="8"/>
      <c r="G343" s="28"/>
    </row>
    <row r="344" spans="5:7">
      <c r="E344" s="8"/>
      <c r="F344" s="8"/>
      <c r="G344" s="28"/>
    </row>
    <row r="345" spans="5:7">
      <c r="E345" s="8"/>
      <c r="F345" s="8"/>
      <c r="G345" s="28"/>
    </row>
    <row r="346" spans="5:7">
      <c r="E346" s="8"/>
      <c r="F346" s="8"/>
      <c r="G346" s="28"/>
    </row>
    <row r="347" spans="5:7">
      <c r="E347" s="8"/>
      <c r="F347" s="8"/>
      <c r="G347" s="28"/>
    </row>
    <row r="348" spans="5:7">
      <c r="E348" s="8"/>
      <c r="F348" s="8"/>
      <c r="G348" s="28"/>
    </row>
    <row r="349" spans="5:7">
      <c r="E349" s="8"/>
      <c r="F349" s="8"/>
      <c r="G349" s="28"/>
    </row>
    <row r="350" spans="5:7">
      <c r="E350" s="8"/>
      <c r="F350" s="8"/>
      <c r="G350" s="28"/>
    </row>
    <row r="351" spans="5:7">
      <c r="E351" s="8"/>
      <c r="F351" s="8"/>
      <c r="G351" s="28"/>
    </row>
    <row r="352" spans="5:7">
      <c r="E352" s="8"/>
      <c r="F352" s="8"/>
      <c r="G352" s="28"/>
    </row>
    <row r="353" spans="5:7">
      <c r="E353" s="8"/>
      <c r="F353" s="8"/>
      <c r="G353" s="28"/>
    </row>
    <row r="354" spans="5:7">
      <c r="E354" s="8"/>
      <c r="F354" s="8"/>
      <c r="G354" s="28"/>
    </row>
    <row r="355" spans="5:7">
      <c r="E355" s="8"/>
      <c r="F355" s="8"/>
      <c r="G355" s="28"/>
    </row>
    <row r="356" spans="5:7">
      <c r="E356" s="8"/>
      <c r="F356" s="8"/>
      <c r="G356" s="28"/>
    </row>
    <row r="357" spans="5:7">
      <c r="E357" s="8"/>
      <c r="F357" s="8"/>
      <c r="G357" s="28"/>
    </row>
    <row r="358" spans="5:7">
      <c r="E358" s="8"/>
      <c r="F358" s="8"/>
      <c r="G358" s="28"/>
    </row>
    <row r="359" spans="5:7">
      <c r="E359" s="8"/>
      <c r="F359" s="8"/>
      <c r="G359" s="11"/>
    </row>
    <row r="360" spans="5:7">
      <c r="E360" s="8"/>
      <c r="F360" s="8"/>
      <c r="G360" s="11"/>
    </row>
    <row r="361" spans="5:7">
      <c r="E361" s="8"/>
      <c r="F361" s="8"/>
      <c r="G361" s="11"/>
    </row>
    <row r="362" spans="5:7">
      <c r="E362" s="8"/>
      <c r="F362" s="8"/>
      <c r="G362" s="11"/>
    </row>
    <row r="363" spans="5:7">
      <c r="E363" s="8"/>
      <c r="F363" s="8"/>
      <c r="G363" s="11"/>
    </row>
    <row r="364" spans="5:7">
      <c r="E364" s="8"/>
      <c r="F364" s="8"/>
      <c r="G364" s="11"/>
    </row>
    <row r="365" spans="5:7">
      <c r="E365" s="8"/>
      <c r="F365" s="8"/>
      <c r="G365" s="11"/>
    </row>
    <row r="366" spans="5:7">
      <c r="E366" s="8"/>
      <c r="F366" s="8"/>
      <c r="G366" s="11"/>
    </row>
    <row r="367" spans="5:7">
      <c r="E367" s="8"/>
      <c r="F367" s="8"/>
      <c r="G367" s="11"/>
    </row>
    <row r="368" spans="5:7">
      <c r="E368" s="8"/>
      <c r="F368" s="8"/>
      <c r="G368" s="11"/>
    </row>
    <row r="369" spans="5:7">
      <c r="E369" s="8"/>
      <c r="F369" s="8"/>
      <c r="G369" s="11"/>
    </row>
    <row r="370" spans="5:7">
      <c r="E370" s="8"/>
      <c r="F370" s="8"/>
      <c r="G370" s="11"/>
    </row>
    <row r="371" spans="5:7">
      <c r="E371" s="8"/>
      <c r="F371" s="8"/>
      <c r="G371" s="11"/>
    </row>
    <row r="372" spans="5:7">
      <c r="E372" s="8"/>
      <c r="F372" s="8"/>
      <c r="G372" s="11"/>
    </row>
    <row r="373" spans="5:7">
      <c r="E373" s="8"/>
      <c r="F373" s="8"/>
      <c r="G373" s="11"/>
    </row>
    <row r="374" spans="5:7">
      <c r="E374" s="8"/>
      <c r="F374" s="8"/>
      <c r="G374" s="11"/>
    </row>
    <row r="375" spans="5:7">
      <c r="E375" s="8"/>
      <c r="F375" s="8"/>
      <c r="G375" s="11"/>
    </row>
    <row r="376" spans="5:7">
      <c r="E376" s="8"/>
      <c r="F376" s="8"/>
      <c r="G376" s="11"/>
    </row>
    <row r="377" spans="5:7">
      <c r="E377" s="8"/>
      <c r="F377" s="8"/>
      <c r="G377" s="11"/>
    </row>
    <row r="378" spans="5:7">
      <c r="E378" s="8"/>
      <c r="F378" s="8"/>
      <c r="G378" s="11"/>
    </row>
    <row r="379" spans="5:7">
      <c r="E379" s="8"/>
      <c r="F379" s="8"/>
      <c r="G379" s="11"/>
    </row>
    <row r="380" spans="5:7">
      <c r="E380" s="8"/>
      <c r="F380" s="8"/>
      <c r="G380" s="11"/>
    </row>
    <row r="381" spans="5:7">
      <c r="E381" s="8"/>
      <c r="F381" s="8"/>
      <c r="G381" s="11"/>
    </row>
    <row r="382" spans="5:7">
      <c r="E382" s="8"/>
      <c r="F382" s="8"/>
      <c r="G382" s="11"/>
    </row>
    <row r="383" spans="5:7">
      <c r="E383" s="8"/>
      <c r="F383" s="8"/>
      <c r="G383" s="11"/>
    </row>
    <row r="384" spans="5:7">
      <c r="E384" s="8"/>
      <c r="F384" s="8"/>
      <c r="G384" s="11"/>
    </row>
    <row r="385" spans="5:7">
      <c r="E385" s="8"/>
      <c r="F385" s="8"/>
      <c r="G385" s="11"/>
    </row>
    <row r="386" spans="5:7">
      <c r="E386" s="8"/>
      <c r="F386" s="8"/>
      <c r="G386" s="11"/>
    </row>
    <row r="387" spans="5:7">
      <c r="E387" s="8"/>
      <c r="F387" s="8"/>
      <c r="G387" s="11"/>
    </row>
    <row r="388" spans="5:7">
      <c r="E388" s="8"/>
      <c r="F388" s="8"/>
      <c r="G388" s="11"/>
    </row>
    <row r="389" spans="5:7">
      <c r="E389" s="8"/>
      <c r="F389" s="8"/>
      <c r="G389" s="11"/>
    </row>
    <row r="390" spans="5:7">
      <c r="E390" s="8"/>
      <c r="F390" s="8"/>
      <c r="G390" s="11"/>
    </row>
    <row r="391" spans="5:7">
      <c r="E391" s="8"/>
      <c r="F391" s="8"/>
      <c r="G391" s="11"/>
    </row>
    <row r="392" spans="5:7">
      <c r="E392" s="8"/>
      <c r="F392" s="8"/>
      <c r="G392" s="11"/>
    </row>
    <row r="393" spans="5:7">
      <c r="E393" s="8"/>
      <c r="F393" s="8"/>
      <c r="G393" s="11"/>
    </row>
    <row r="394" spans="5:7">
      <c r="E394" s="8"/>
      <c r="F394" s="8"/>
      <c r="G394" s="11"/>
    </row>
    <row r="395" spans="5:7">
      <c r="E395" s="8"/>
      <c r="F395" s="8"/>
      <c r="G395" s="11"/>
    </row>
    <row r="396" spans="5:7">
      <c r="E396" s="8"/>
      <c r="F396" s="8"/>
      <c r="G396" s="11"/>
    </row>
    <row r="397" spans="5:7">
      <c r="E397" s="8"/>
      <c r="F397" s="8"/>
      <c r="G397" s="11"/>
    </row>
    <row r="398" spans="5:7">
      <c r="E398" s="8"/>
      <c r="F398" s="8"/>
      <c r="G398" s="11"/>
    </row>
    <row r="399" spans="5:7">
      <c r="E399" s="8"/>
      <c r="F399" s="8"/>
      <c r="G399" s="11"/>
    </row>
    <row r="400" spans="5:7">
      <c r="E400" s="8"/>
      <c r="F400" s="8"/>
      <c r="G400" s="11"/>
    </row>
    <row r="401" spans="5:7">
      <c r="E401" s="8"/>
      <c r="F401" s="8"/>
      <c r="G401" s="11"/>
    </row>
    <row r="402" spans="5:7">
      <c r="E402" s="8"/>
      <c r="F402" s="8"/>
      <c r="G402" s="11"/>
    </row>
    <row r="403" spans="5:7">
      <c r="E403" s="8"/>
      <c r="F403" s="8"/>
      <c r="G403" s="11"/>
    </row>
    <row r="404" spans="5:7">
      <c r="E404" s="8"/>
      <c r="F404" s="8"/>
      <c r="G404" s="11"/>
    </row>
    <row r="405" spans="5:7">
      <c r="E405" s="8"/>
      <c r="F405" s="8"/>
      <c r="G405" s="11"/>
    </row>
    <row r="406" spans="5:7">
      <c r="E406" s="8"/>
      <c r="F406" s="8"/>
      <c r="G406" s="11"/>
    </row>
    <row r="407" spans="5:7">
      <c r="E407" s="8"/>
      <c r="F407" s="8"/>
      <c r="G407" s="11"/>
    </row>
    <row r="408" spans="5:7">
      <c r="E408" s="8"/>
      <c r="F408" s="8"/>
      <c r="G408" s="11"/>
    </row>
    <row r="409" spans="5:7">
      <c r="E409" s="8"/>
      <c r="F409" s="8"/>
      <c r="G409" s="11"/>
    </row>
    <row r="410" spans="5:7">
      <c r="E410" s="8"/>
      <c r="F410" s="8"/>
      <c r="G410" s="11"/>
    </row>
    <row r="411" spans="5:7">
      <c r="E411" s="8"/>
      <c r="F411" s="8"/>
      <c r="G411" s="11"/>
    </row>
    <row r="412" spans="5:7">
      <c r="E412" s="8"/>
      <c r="F412" s="8"/>
      <c r="G412" s="11"/>
    </row>
    <row r="413" spans="5:7">
      <c r="E413" s="8"/>
      <c r="F413" s="8"/>
      <c r="G413" s="11"/>
    </row>
    <row r="414" spans="5:7">
      <c r="E414" s="8"/>
      <c r="F414" s="8"/>
      <c r="G414" s="11"/>
    </row>
    <row r="415" spans="5:7">
      <c r="E415" s="8"/>
      <c r="F415" s="8"/>
      <c r="G415" s="28"/>
    </row>
    <row r="416" spans="5:7">
      <c r="E416" s="8"/>
      <c r="F416" s="8"/>
      <c r="G416" s="28"/>
    </row>
    <row r="417" spans="5:7">
      <c r="E417" s="8"/>
      <c r="F417" s="8"/>
      <c r="G417" s="28"/>
    </row>
    <row r="418" spans="5:7">
      <c r="E418" s="8"/>
      <c r="F418" s="8"/>
      <c r="G418" s="28"/>
    </row>
    <row r="419" spans="5:7">
      <c r="E419" s="8"/>
      <c r="F419" s="8"/>
      <c r="G419" s="28"/>
    </row>
    <row r="420" spans="5:7">
      <c r="E420" s="8"/>
      <c r="F420" s="8"/>
      <c r="G420" s="28"/>
    </row>
    <row r="421" spans="5:7">
      <c r="E421" s="8"/>
      <c r="F421" s="8"/>
      <c r="G421" s="28"/>
    </row>
    <row r="422" spans="5:7">
      <c r="E422" s="8"/>
      <c r="F422" s="8"/>
      <c r="G422" s="28"/>
    </row>
    <row r="423" spans="5:7">
      <c r="E423" s="8"/>
      <c r="F423" s="8"/>
      <c r="G423" s="28"/>
    </row>
    <row r="424" spans="5:7">
      <c r="E424" s="8"/>
      <c r="F424" s="8"/>
      <c r="G424" s="28"/>
    </row>
    <row r="425" spans="5:7">
      <c r="E425" s="8"/>
      <c r="F425" s="8"/>
      <c r="G425" s="28"/>
    </row>
    <row r="426" spans="5:7">
      <c r="E426" s="8"/>
      <c r="F426" s="8"/>
      <c r="G426" s="28"/>
    </row>
    <row r="427" spans="5:7">
      <c r="E427" s="8"/>
      <c r="F427" s="8"/>
      <c r="G427" s="28"/>
    </row>
    <row r="428" spans="5:7">
      <c r="E428" s="8"/>
      <c r="F428" s="8"/>
      <c r="G428" s="28"/>
    </row>
    <row r="429" spans="5:7">
      <c r="E429" s="8"/>
      <c r="F429" s="8"/>
      <c r="G429" s="28"/>
    </row>
    <row r="430" spans="5:7">
      <c r="E430" s="8"/>
      <c r="F430" s="8"/>
      <c r="G430" s="28"/>
    </row>
    <row r="431" spans="5:7">
      <c r="E431" s="8"/>
      <c r="F431" s="8"/>
      <c r="G431" s="28"/>
    </row>
    <row r="432" spans="5:7">
      <c r="E432" s="8"/>
      <c r="F432" s="8"/>
      <c r="G432" s="28"/>
    </row>
    <row r="433" spans="5:7">
      <c r="E433" s="8"/>
      <c r="F433" s="8"/>
      <c r="G433" s="28"/>
    </row>
    <row r="434" spans="5:7">
      <c r="E434" s="8"/>
      <c r="F434" s="8"/>
      <c r="G434" s="28"/>
    </row>
    <row r="435" spans="5:7">
      <c r="E435" s="8"/>
      <c r="F435" s="8"/>
      <c r="G435" s="28"/>
    </row>
    <row r="436" spans="5:7">
      <c r="E436" s="8"/>
      <c r="F436" s="8"/>
      <c r="G436" s="28"/>
    </row>
    <row r="437" spans="5:7">
      <c r="E437" s="8"/>
      <c r="F437" s="8"/>
      <c r="G437" s="28"/>
    </row>
    <row r="438" spans="5:7">
      <c r="E438" s="8"/>
      <c r="F438" s="8"/>
      <c r="G438" s="28"/>
    </row>
    <row r="439" spans="5:7">
      <c r="E439" s="8"/>
      <c r="F439" s="8"/>
      <c r="G439" s="28"/>
    </row>
    <row r="440" spans="5:7">
      <c r="E440" s="8"/>
      <c r="F440" s="8"/>
      <c r="G440" s="28"/>
    </row>
    <row r="441" spans="5:7">
      <c r="E441" s="8"/>
      <c r="F441" s="8"/>
      <c r="G441" s="28"/>
    </row>
    <row r="442" spans="5:7">
      <c r="E442" s="8"/>
      <c r="F442" s="8"/>
      <c r="G442" s="28"/>
    </row>
    <row r="443" spans="5:7">
      <c r="E443" s="8"/>
      <c r="F443" s="8"/>
      <c r="G443" s="28"/>
    </row>
    <row r="444" spans="5:7">
      <c r="E444" s="8"/>
      <c r="F444" s="8"/>
      <c r="G444" s="28"/>
    </row>
    <row r="445" spans="5:7">
      <c r="E445" s="8"/>
      <c r="F445" s="8"/>
      <c r="G445" s="28"/>
    </row>
    <row r="446" spans="5:7">
      <c r="E446" s="8"/>
      <c r="F446" s="8"/>
      <c r="G446" s="28"/>
    </row>
    <row r="447" spans="5:7">
      <c r="E447" s="8"/>
      <c r="F447" s="8"/>
      <c r="G447" s="28"/>
    </row>
    <row r="448" spans="5:7">
      <c r="E448" s="8"/>
      <c r="F448" s="8"/>
      <c r="G448" s="28"/>
    </row>
    <row r="449" spans="5:7">
      <c r="E449" s="8"/>
      <c r="F449" s="8"/>
      <c r="G449" s="28"/>
    </row>
    <row r="450" spans="5:7">
      <c r="E450" s="8"/>
      <c r="F450" s="8"/>
      <c r="G450" s="28"/>
    </row>
    <row r="451" spans="5:7">
      <c r="E451" s="8"/>
      <c r="F451" s="8"/>
      <c r="G451" s="28"/>
    </row>
    <row r="452" spans="5:7">
      <c r="E452" s="8"/>
      <c r="F452" s="8"/>
      <c r="G452" s="28"/>
    </row>
    <row r="453" spans="5:7">
      <c r="E453" s="8"/>
      <c r="F453" s="8"/>
      <c r="G453" s="28"/>
    </row>
    <row r="454" spans="5:7">
      <c r="E454" s="8"/>
      <c r="F454" s="8"/>
      <c r="G454" s="28"/>
    </row>
    <row r="455" spans="5:7">
      <c r="E455" s="8"/>
      <c r="F455" s="8"/>
      <c r="G455" s="28"/>
    </row>
    <row r="456" spans="5:7">
      <c r="E456" s="8"/>
      <c r="F456" s="8"/>
      <c r="G456" s="28"/>
    </row>
    <row r="457" spans="5:7">
      <c r="E457" s="8"/>
      <c r="F457" s="8"/>
      <c r="G457" s="28"/>
    </row>
    <row r="458" spans="5:7">
      <c r="E458" s="8"/>
      <c r="F458" s="8"/>
      <c r="G458" s="28"/>
    </row>
    <row r="459" spans="5:7">
      <c r="E459" s="8"/>
      <c r="F459" s="8"/>
      <c r="G459" s="28"/>
    </row>
    <row r="460" spans="5:7">
      <c r="E460" s="8"/>
      <c r="F460" s="8"/>
      <c r="G460" s="28"/>
    </row>
    <row r="461" spans="5:7">
      <c r="E461" s="8"/>
      <c r="F461" s="8"/>
      <c r="G461" s="28"/>
    </row>
    <row r="462" spans="5:7">
      <c r="E462" s="8"/>
      <c r="F462" s="8"/>
      <c r="G462" s="28"/>
    </row>
    <row r="463" spans="5:7">
      <c r="E463" s="8"/>
      <c r="F463" s="8"/>
      <c r="G463" s="28"/>
    </row>
    <row r="464" spans="5:7">
      <c r="E464" s="8"/>
      <c r="F464" s="8"/>
      <c r="G464" s="28"/>
    </row>
    <row r="465" spans="5:7">
      <c r="E465" s="8"/>
      <c r="F465" s="8"/>
      <c r="G465" s="11"/>
    </row>
    <row r="466" spans="5:7">
      <c r="E466" s="8"/>
      <c r="F466" s="8"/>
      <c r="G466" s="11"/>
    </row>
    <row r="467" spans="5:7">
      <c r="E467" s="8"/>
      <c r="F467" s="8"/>
      <c r="G467" s="11"/>
    </row>
    <row r="468" spans="5:7">
      <c r="E468" s="8"/>
      <c r="F468" s="8"/>
      <c r="G468" s="11"/>
    </row>
    <row r="469" spans="5:7">
      <c r="E469" s="8"/>
      <c r="F469" s="8"/>
      <c r="G469" s="11"/>
    </row>
    <row r="470" spans="5:7">
      <c r="E470" s="8"/>
      <c r="F470" s="8"/>
      <c r="G470" s="11"/>
    </row>
    <row r="471" spans="5:7">
      <c r="E471" s="8"/>
      <c r="F471" s="8"/>
      <c r="G471" s="11"/>
    </row>
    <row r="472" spans="5:7">
      <c r="E472" s="8"/>
      <c r="F472" s="8"/>
      <c r="G472" s="11"/>
    </row>
    <row r="473" spans="5:7">
      <c r="E473" s="8"/>
      <c r="F473" s="8"/>
      <c r="G473" s="11"/>
    </row>
    <row r="474" spans="5:7">
      <c r="E474" s="8"/>
      <c r="F474" s="8"/>
      <c r="G474" s="11"/>
    </row>
    <row r="475" spans="5:7">
      <c r="E475" s="8"/>
      <c r="F475" s="8"/>
      <c r="G475" s="11"/>
    </row>
    <row r="476" spans="5:7">
      <c r="E476" s="8"/>
      <c r="F476" s="8"/>
      <c r="G476" s="11"/>
    </row>
    <row r="477" spans="5:7">
      <c r="E477" s="8"/>
      <c r="F477" s="8"/>
      <c r="G477" s="11"/>
    </row>
    <row r="478" spans="5:7">
      <c r="E478" s="8"/>
      <c r="F478" s="8"/>
      <c r="G478" s="11"/>
    </row>
    <row r="479" spans="5:7">
      <c r="E479" s="8"/>
      <c r="F479" s="8"/>
      <c r="G479" s="11"/>
    </row>
    <row r="480" spans="5:7">
      <c r="E480" s="8"/>
      <c r="F480" s="8"/>
      <c r="G480" s="11"/>
    </row>
    <row r="481" spans="5:7">
      <c r="E481" s="8"/>
      <c r="F481" s="8"/>
      <c r="G481" s="11"/>
    </row>
    <row r="482" spans="5:7">
      <c r="E482" s="8"/>
      <c r="F482" s="8"/>
      <c r="G482" s="11"/>
    </row>
    <row r="483" spans="5:7">
      <c r="E483" s="8"/>
      <c r="F483" s="8"/>
      <c r="G483" s="11"/>
    </row>
    <row r="484" spans="5:7">
      <c r="E484" s="8"/>
      <c r="F484" s="8"/>
      <c r="G484" s="11"/>
    </row>
    <row r="485" spans="5:7">
      <c r="E485" s="8"/>
      <c r="F485" s="8"/>
      <c r="G485" s="11"/>
    </row>
    <row r="486" spans="5:7">
      <c r="E486" s="8"/>
      <c r="F486" s="8"/>
      <c r="G486" s="11"/>
    </row>
    <row r="487" spans="5:7">
      <c r="E487" s="8"/>
      <c r="F487" s="8"/>
      <c r="G487" s="11"/>
    </row>
    <row r="488" spans="5:7">
      <c r="E488" s="8"/>
      <c r="F488" s="8"/>
      <c r="G488" s="11"/>
    </row>
    <row r="489" spans="5:7">
      <c r="E489" s="8"/>
      <c r="F489" s="8"/>
      <c r="G489" s="11"/>
    </row>
    <row r="490" spans="5:7">
      <c r="E490" s="8"/>
      <c r="F490" s="8"/>
      <c r="G490" s="11"/>
    </row>
    <row r="491" spans="5:7">
      <c r="E491" s="8"/>
      <c r="F491" s="8"/>
      <c r="G491" s="11"/>
    </row>
    <row r="492" spans="5:7">
      <c r="E492" s="8"/>
      <c r="F492" s="8"/>
      <c r="G492" s="11"/>
    </row>
    <row r="493" spans="5:7">
      <c r="E493" s="8"/>
      <c r="F493" s="8"/>
      <c r="G493" s="11"/>
    </row>
    <row r="494" spans="5:7">
      <c r="E494" s="8"/>
      <c r="F494" s="8"/>
      <c r="G494" s="11"/>
    </row>
    <row r="495" spans="5:7">
      <c r="E495" s="8"/>
      <c r="F495" s="8"/>
      <c r="G495" s="11"/>
    </row>
    <row r="496" spans="5:7">
      <c r="E496" s="8"/>
      <c r="F496" s="8"/>
      <c r="G496" s="11"/>
    </row>
    <row r="497" spans="5:7">
      <c r="E497" s="8"/>
      <c r="F497" s="8"/>
      <c r="G497" s="11"/>
    </row>
    <row r="498" spans="5:7">
      <c r="E498" s="8"/>
      <c r="F498" s="8"/>
      <c r="G498" s="11"/>
    </row>
    <row r="499" spans="5:7">
      <c r="E499" s="8"/>
      <c r="F499" s="8"/>
      <c r="G499" s="11"/>
    </row>
    <row r="500" spans="5:7">
      <c r="E500" s="8"/>
      <c r="F500" s="8"/>
      <c r="G500" s="11"/>
    </row>
    <row r="501" spans="5:7">
      <c r="E501" s="8"/>
      <c r="F501" s="8"/>
      <c r="G501" s="11"/>
    </row>
    <row r="502" spans="5:7">
      <c r="E502" s="8"/>
      <c r="F502" s="8"/>
      <c r="G502" s="11"/>
    </row>
    <row r="503" spans="5:7">
      <c r="E503" s="8"/>
      <c r="F503" s="8"/>
      <c r="G503" s="11"/>
    </row>
    <row r="504" spans="5:7">
      <c r="E504" s="8"/>
      <c r="F504" s="8"/>
      <c r="G504" s="11"/>
    </row>
    <row r="505" spans="5:7">
      <c r="E505" s="8"/>
      <c r="F505" s="8"/>
      <c r="G505" s="11"/>
    </row>
    <row r="506" spans="5:7">
      <c r="E506" s="8"/>
      <c r="F506" s="8"/>
      <c r="G506" s="11"/>
    </row>
    <row r="507" spans="5:7">
      <c r="E507" s="8"/>
      <c r="F507" s="8"/>
      <c r="G507" s="11"/>
    </row>
    <row r="508" spans="5:7">
      <c r="E508" s="8"/>
      <c r="F508" s="8"/>
      <c r="G508" s="11"/>
    </row>
    <row r="509" spans="5:7">
      <c r="E509" s="8"/>
      <c r="F509" s="8"/>
      <c r="G509" s="11"/>
    </row>
    <row r="510" spans="5:7">
      <c r="E510" s="8"/>
      <c r="F510" s="8"/>
      <c r="G510" s="11"/>
    </row>
    <row r="511" spans="5:7">
      <c r="E511" s="8"/>
      <c r="F511" s="8"/>
      <c r="G511" s="11"/>
    </row>
    <row r="512" spans="5:7">
      <c r="E512" s="8"/>
      <c r="F512" s="8"/>
      <c r="G512" s="11"/>
    </row>
    <row r="513" spans="5:7">
      <c r="E513" s="8"/>
      <c r="F513" s="8"/>
      <c r="G513" s="11"/>
    </row>
    <row r="514" spans="5:7">
      <c r="E514" s="8"/>
      <c r="F514" s="8"/>
      <c r="G514" s="11"/>
    </row>
    <row r="515" spans="5:7">
      <c r="E515" s="8"/>
      <c r="F515" s="8"/>
      <c r="G515" s="11"/>
    </row>
    <row r="516" spans="5:7">
      <c r="E516" s="8"/>
      <c r="F516" s="8"/>
      <c r="G516" s="11"/>
    </row>
    <row r="517" spans="5:7">
      <c r="E517" s="8"/>
      <c r="F517" s="8"/>
      <c r="G517" s="11"/>
    </row>
    <row r="518" spans="5:7">
      <c r="E518" s="8"/>
      <c r="F518" s="8"/>
      <c r="G518" s="11"/>
    </row>
    <row r="519" spans="5:7">
      <c r="E519" s="8"/>
      <c r="F519" s="8"/>
      <c r="G519" s="11"/>
    </row>
    <row r="520" spans="5:7">
      <c r="E520" s="8"/>
      <c r="F520" s="8"/>
      <c r="G520" s="11"/>
    </row>
    <row r="521" spans="5:7">
      <c r="E521" s="8"/>
      <c r="F521" s="8"/>
      <c r="G521" s="11"/>
    </row>
    <row r="522" spans="5:7">
      <c r="E522" s="8"/>
      <c r="F522" s="8"/>
      <c r="G522" s="11"/>
    </row>
    <row r="523" spans="5:7">
      <c r="E523" s="8"/>
      <c r="F523" s="8"/>
      <c r="G523" s="11"/>
    </row>
    <row r="524" spans="5:7">
      <c r="E524" s="8"/>
      <c r="F524" s="8"/>
      <c r="G524" s="11"/>
    </row>
    <row r="525" spans="5:7">
      <c r="E525" s="8"/>
      <c r="F525" s="8"/>
      <c r="G525" s="11"/>
    </row>
    <row r="526" spans="5:7">
      <c r="E526" s="8"/>
      <c r="F526" s="8"/>
      <c r="G526" s="11"/>
    </row>
    <row r="527" spans="5:7">
      <c r="E527" s="8"/>
      <c r="F527" s="8"/>
      <c r="G527" s="11"/>
    </row>
    <row r="528" spans="5:7">
      <c r="E528" s="8"/>
      <c r="F528" s="8"/>
      <c r="G528" s="11"/>
    </row>
    <row r="529" spans="5:7">
      <c r="E529" s="8"/>
      <c r="F529" s="8"/>
      <c r="G529" s="11"/>
    </row>
    <row r="530" spans="5:7">
      <c r="E530" s="8"/>
      <c r="F530" s="8"/>
      <c r="G530" s="11"/>
    </row>
    <row r="531" spans="5:7">
      <c r="E531" s="8"/>
      <c r="F531" s="8"/>
      <c r="G531" s="11"/>
    </row>
    <row r="532" spans="5:7">
      <c r="E532" s="8"/>
      <c r="F532" s="8"/>
      <c r="G532" s="11"/>
    </row>
    <row r="533" spans="5:7">
      <c r="E533" s="8"/>
      <c r="F533" s="8"/>
      <c r="G533" s="11"/>
    </row>
    <row r="534" spans="5:7">
      <c r="E534" s="8"/>
      <c r="F534" s="8"/>
      <c r="G534" s="11"/>
    </row>
    <row r="535" spans="5:7">
      <c r="E535" s="8"/>
      <c r="F535" s="8"/>
      <c r="G535" s="11"/>
    </row>
    <row r="536" spans="5:7">
      <c r="E536" s="8"/>
      <c r="F536" s="8"/>
      <c r="G536" s="11"/>
    </row>
    <row r="537" spans="5:7">
      <c r="E537" s="8"/>
      <c r="F537" s="8"/>
      <c r="G537" s="11"/>
    </row>
    <row r="538" spans="5:7">
      <c r="E538" s="8"/>
      <c r="F538" s="8"/>
      <c r="G538" s="11"/>
    </row>
    <row r="539" spans="5:7">
      <c r="E539" s="8"/>
      <c r="F539" s="8"/>
      <c r="G539" s="11"/>
    </row>
    <row r="540" spans="5:7">
      <c r="E540" s="8"/>
      <c r="F540" s="8"/>
      <c r="G540" s="11"/>
    </row>
    <row r="541" spans="5:7">
      <c r="E541" s="8"/>
      <c r="F541" s="8"/>
      <c r="G541" s="11"/>
    </row>
    <row r="542" spans="5:7">
      <c r="E542" s="8"/>
      <c r="F542" s="8"/>
      <c r="G542" s="11"/>
    </row>
    <row r="543" spans="5:7">
      <c r="E543" s="8"/>
      <c r="F543" s="8"/>
      <c r="G543" s="11"/>
    </row>
    <row r="544" spans="5:7">
      <c r="E544" s="8"/>
      <c r="F544" s="8"/>
      <c r="G544" s="11"/>
    </row>
    <row r="545" spans="5:7">
      <c r="E545" s="8"/>
      <c r="F545" s="8"/>
      <c r="G545" s="11"/>
    </row>
    <row r="546" spans="5:7">
      <c r="E546" s="8"/>
      <c r="F546" s="8"/>
      <c r="G546" s="11"/>
    </row>
    <row r="547" spans="5:7">
      <c r="E547" s="8"/>
      <c r="F547" s="8"/>
      <c r="G547" s="11"/>
    </row>
    <row r="548" spans="5:7">
      <c r="E548" s="8"/>
      <c r="F548" s="8"/>
      <c r="G548" s="11"/>
    </row>
    <row r="549" spans="5:7">
      <c r="E549" s="8"/>
      <c r="F549" s="8"/>
      <c r="G549" s="11"/>
    </row>
    <row r="550" spans="5:7">
      <c r="E550" s="8"/>
      <c r="F550" s="8"/>
      <c r="G550" s="11"/>
    </row>
    <row r="551" spans="5:7">
      <c r="E551" s="8"/>
      <c r="F551" s="8"/>
      <c r="G551" s="11"/>
    </row>
    <row r="552" spans="5:7">
      <c r="E552" s="8"/>
      <c r="F552" s="8"/>
      <c r="G552" s="11"/>
    </row>
    <row r="553" spans="5:7">
      <c r="E553" s="8"/>
      <c r="F553" s="8"/>
      <c r="G553" s="11"/>
    </row>
    <row r="554" spans="5:7">
      <c r="E554" s="8"/>
      <c r="F554" s="8"/>
      <c r="G554" s="11"/>
    </row>
    <row r="555" spans="5:7">
      <c r="E555" s="8"/>
      <c r="F555" s="8"/>
      <c r="G555" s="11"/>
    </row>
    <row r="556" spans="5:7">
      <c r="E556" s="8"/>
      <c r="F556" s="8"/>
      <c r="G556" s="11"/>
    </row>
    <row r="557" spans="5:7">
      <c r="E557" s="8"/>
      <c r="F557" s="8"/>
      <c r="G557" s="11"/>
    </row>
    <row r="558" spans="5:7">
      <c r="E558" s="8"/>
      <c r="F558" s="8"/>
      <c r="G558" s="11"/>
    </row>
    <row r="559" spans="5:7">
      <c r="E559" s="8"/>
      <c r="F559" s="8"/>
      <c r="G559" s="11"/>
    </row>
    <row r="560" spans="5:7">
      <c r="E560" s="8"/>
      <c r="F560" s="8"/>
      <c r="G560" s="11"/>
    </row>
    <row r="561" spans="5:7">
      <c r="E561" s="8"/>
      <c r="F561" s="8"/>
      <c r="G561" s="11"/>
    </row>
    <row r="562" spans="5:7">
      <c r="E562" s="8"/>
      <c r="F562" s="8"/>
      <c r="G562" s="11"/>
    </row>
    <row r="563" spans="5:7">
      <c r="E563" s="8"/>
      <c r="F563" s="8"/>
      <c r="G563" s="11"/>
    </row>
    <row r="564" spans="5:7">
      <c r="E564" s="8"/>
      <c r="F564" s="8"/>
      <c r="G564" s="11"/>
    </row>
    <row r="565" spans="5:7">
      <c r="E565" s="8"/>
      <c r="F565" s="8"/>
      <c r="G565" s="11"/>
    </row>
    <row r="566" spans="5:7">
      <c r="E566" s="8"/>
      <c r="F566" s="8"/>
      <c r="G566" s="11"/>
    </row>
    <row r="567" spans="5:7">
      <c r="E567" s="8"/>
      <c r="F567" s="8"/>
      <c r="G567" s="11"/>
    </row>
    <row r="568" spans="5:7">
      <c r="E568" s="8"/>
      <c r="F568" s="8"/>
      <c r="G56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43"/>
  <sheetViews>
    <sheetView topLeftCell="F1" workbookViewId="0">
      <selection activeCell="F45" sqref="F45"/>
    </sheetView>
  </sheetViews>
  <sheetFormatPr defaultRowHeight="13.5"/>
  <cols>
    <col min="15" max="15" width="13.5" customWidth="1"/>
    <col min="16" max="16" width="13.375" bestFit="1" customWidth="1"/>
    <col min="17" max="19" width="14.375" bestFit="1" customWidth="1"/>
    <col min="20" max="20" width="18.375" bestFit="1" customWidth="1"/>
    <col min="21" max="21" width="14.375" bestFit="1" customWidth="1"/>
    <col min="22" max="22" width="13.375" bestFit="1" customWidth="1"/>
    <col min="23" max="25" width="14.375" bestFit="1" customWidth="1"/>
    <col min="26" max="26" width="10" bestFit="1" customWidth="1"/>
  </cols>
  <sheetData>
    <row r="1" spans="1:19">
      <c r="A1" s="47" t="s">
        <v>33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9">
      <c r="A2" s="47" t="s">
        <v>31</v>
      </c>
      <c r="B2" s="47"/>
      <c r="C2" s="47"/>
      <c r="D2" s="47"/>
      <c r="E2" s="47"/>
      <c r="F2" s="47"/>
      <c r="G2" s="47"/>
      <c r="H2" s="48" t="s">
        <v>31</v>
      </c>
      <c r="I2" s="49"/>
      <c r="J2" s="49"/>
      <c r="K2" s="49"/>
      <c r="L2" s="49"/>
      <c r="M2" s="50"/>
    </row>
    <row r="3" spans="1:19">
      <c r="A3" s="1" t="s">
        <v>34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36</v>
      </c>
      <c r="J3" s="1" t="s">
        <v>37</v>
      </c>
      <c r="K3" s="1" t="s">
        <v>38</v>
      </c>
      <c r="L3" s="1" t="s">
        <v>39</v>
      </c>
      <c r="M3" s="1" t="s">
        <v>40</v>
      </c>
    </row>
    <row r="4" spans="1:19">
      <c r="A4" s="1" t="s">
        <v>42</v>
      </c>
      <c r="B4" s="1" t="s">
        <v>43</v>
      </c>
      <c r="C4" s="1">
        <v>480</v>
      </c>
      <c r="D4" s="1">
        <v>400</v>
      </c>
      <c r="E4" s="1">
        <v>320</v>
      </c>
      <c r="F4" s="1">
        <v>240</v>
      </c>
      <c r="G4" s="1">
        <v>160</v>
      </c>
      <c r="H4" s="1"/>
      <c r="I4" s="1" t="s">
        <v>44</v>
      </c>
      <c r="J4" s="1" t="s">
        <v>44</v>
      </c>
      <c r="K4" s="1" t="s">
        <v>44</v>
      </c>
      <c r="L4" s="1" t="s">
        <v>44</v>
      </c>
      <c r="M4" s="1" t="s">
        <v>44</v>
      </c>
      <c r="O4" t="str">
        <f>$B4&amp;":+"&amp;IF(C4&lt;1,C4*100&amp;"%",C4)</f>
        <v>攻击力:+480</v>
      </c>
      <c r="P4" t="str">
        <f t="shared" ref="P4:S6" si="0">$B4&amp;":+"&amp;IF(D4&lt;1,D4*100&amp;"%",D4)</f>
        <v>攻击力:+400</v>
      </c>
      <c r="Q4" t="str">
        <f t="shared" si="0"/>
        <v>攻击力:+320</v>
      </c>
      <c r="R4" t="str">
        <f t="shared" si="0"/>
        <v>攻击力:+240</v>
      </c>
      <c r="S4" t="str">
        <f t="shared" si="0"/>
        <v>攻击力:+160</v>
      </c>
    </row>
    <row r="5" spans="1:19">
      <c r="A5" s="1" t="s">
        <v>45</v>
      </c>
      <c r="B5" s="1" t="s">
        <v>46</v>
      </c>
      <c r="C5" s="1">
        <v>0.12</v>
      </c>
      <c r="D5" s="1">
        <v>0.1</v>
      </c>
      <c r="E5" s="1">
        <v>8.0000000000000016E-2</v>
      </c>
      <c r="F5" s="1">
        <v>0.06</v>
      </c>
      <c r="G5" s="1">
        <v>4.0000000000000008E-2</v>
      </c>
      <c r="H5" s="1"/>
      <c r="I5" s="1" t="s">
        <v>44</v>
      </c>
      <c r="J5" s="1" t="s">
        <v>44</v>
      </c>
      <c r="K5" s="1" t="s">
        <v>44</v>
      </c>
      <c r="L5" s="1" t="s">
        <v>44</v>
      </c>
      <c r="M5" s="1" t="s">
        <v>44</v>
      </c>
      <c r="O5" t="str">
        <f>$B5&amp;":+"&amp;IF(C5&lt;1,C5*100&amp;"%",C5)</f>
        <v>命中率:+12%</v>
      </c>
      <c r="P5" t="str">
        <f t="shared" si="0"/>
        <v>命中率:+10%</v>
      </c>
      <c r="Q5" t="str">
        <f t="shared" si="0"/>
        <v>命中率:+8%</v>
      </c>
      <c r="R5" t="str">
        <f t="shared" si="0"/>
        <v>命中率:+6%</v>
      </c>
      <c r="S5" t="str">
        <f t="shared" si="0"/>
        <v>命中率:+4%</v>
      </c>
    </row>
    <row r="6" spans="1:19">
      <c r="A6" s="1" t="s">
        <v>47</v>
      </c>
      <c r="B6" s="1" t="s">
        <v>32</v>
      </c>
      <c r="C6" s="1">
        <v>0.12</v>
      </c>
      <c r="D6" s="1">
        <v>0.1</v>
      </c>
      <c r="E6" s="1">
        <v>8.0000000000000016E-2</v>
      </c>
      <c r="F6" s="1">
        <v>0.06</v>
      </c>
      <c r="G6" s="1">
        <v>4.0000000000000008E-2</v>
      </c>
      <c r="H6" s="1" t="s">
        <v>48</v>
      </c>
      <c r="I6" s="1">
        <v>0.12</v>
      </c>
      <c r="J6" s="1">
        <v>0.1</v>
      </c>
      <c r="K6" s="1">
        <v>8.0000000000000016E-2</v>
      </c>
      <c r="L6" s="1">
        <v>0.06</v>
      </c>
      <c r="M6" s="1">
        <v>4.0000000000000008E-2</v>
      </c>
      <c r="O6" t="str">
        <f>$B6&amp;":+"&amp;IF(C6&lt;1,C6*100&amp;"%",C6)</f>
        <v>暴击率:+12%</v>
      </c>
      <c r="P6" t="str">
        <f t="shared" si="0"/>
        <v>暴击率:+10%</v>
      </c>
      <c r="Q6" t="str">
        <f t="shared" si="0"/>
        <v>暴击率:+8%</v>
      </c>
      <c r="R6" t="str">
        <f t="shared" si="0"/>
        <v>暴击率:+6%</v>
      </c>
      <c r="S6" t="str">
        <f t="shared" si="0"/>
        <v>暴击率:+4%</v>
      </c>
    </row>
    <row r="7" spans="1:19">
      <c r="O7" t="str">
        <f>$B6&amp;":+"&amp;IF(I6&lt;1,I6*100&amp;"%",I6)</f>
        <v>暴击率:+12%</v>
      </c>
      <c r="P7" t="str">
        <f t="shared" ref="P7:S7" si="1">$B6&amp;":+"&amp;IF(J6&lt;1,J6*100&amp;"%",J6)</f>
        <v>暴击率:+10%</v>
      </c>
      <c r="Q7" t="str">
        <f t="shared" si="1"/>
        <v>暴击率:+8%</v>
      </c>
      <c r="R7" t="str">
        <f t="shared" si="1"/>
        <v>暴击率:+6%</v>
      </c>
      <c r="S7" t="str">
        <f t="shared" si="1"/>
        <v>暴击率:+4%</v>
      </c>
    </row>
    <row r="8" spans="1:19">
      <c r="O8" t="str">
        <f t="shared" ref="O8" si="2">"[["&amp;O4&amp;"],["&amp;O5&amp;"],["&amp;O6&amp;","&amp;O7&amp;"]]"</f>
        <v>[[攻击力:+480],[命中率:+12%],[暴击率:+12%,暴击率:+12%]]</v>
      </c>
      <c r="P8" t="str">
        <f t="shared" ref="P8" si="3">"[["&amp;P4&amp;"],["&amp;P5&amp;"],["&amp;P6&amp;","&amp;P7&amp;"]]"</f>
        <v>[[攻击力:+400],[命中率:+10%],[暴击率:+10%,暴击率:+10%]]</v>
      </c>
      <c r="Q8" t="str">
        <f t="shared" ref="Q8" si="4">"[["&amp;Q4&amp;"],["&amp;Q5&amp;"],["&amp;Q6&amp;","&amp;Q7&amp;"]]"</f>
        <v>[[攻击力:+320],[命中率:+8%],[暴击率:+8%,暴击率:+8%]]</v>
      </c>
      <c r="R8" t="str">
        <f t="shared" ref="R8" si="5">"[["&amp;R4&amp;"],["&amp;R5&amp;"],["&amp;R6&amp;","&amp;R7&amp;"]]"</f>
        <v>[[攻击力:+240],[命中率:+6%],[暴击率:+6%,暴击率:+6%]]</v>
      </c>
      <c r="S8" t="str">
        <f t="shared" ref="S8" si="6">"[["&amp;S4&amp;"],["&amp;S5&amp;"],["&amp;S6&amp;","&amp;S7&amp;"]]"</f>
        <v>[[攻击力:+160],[命中率:+4%],[暴击率:+4%,暴击率:+4%]]</v>
      </c>
    </row>
    <row r="9" spans="1:19">
      <c r="A9" s="47" t="s">
        <v>49</v>
      </c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9">
      <c r="A10" s="48" t="s">
        <v>31</v>
      </c>
      <c r="B10" s="49"/>
      <c r="C10" s="49"/>
      <c r="D10" s="49"/>
      <c r="E10" s="49"/>
      <c r="F10" s="49"/>
      <c r="G10" s="50"/>
      <c r="H10" s="48" t="s">
        <v>31</v>
      </c>
      <c r="I10" s="49"/>
      <c r="J10" s="49"/>
      <c r="K10" s="49"/>
      <c r="L10" s="49"/>
      <c r="M10" s="50"/>
    </row>
    <row r="11" spans="1:19">
      <c r="A11" s="1" t="s">
        <v>34</v>
      </c>
      <c r="B11" s="1" t="s">
        <v>35</v>
      </c>
      <c r="C11" s="1" t="s">
        <v>36</v>
      </c>
      <c r="D11" s="1" t="s">
        <v>37</v>
      </c>
      <c r="E11" s="1" t="s">
        <v>38</v>
      </c>
      <c r="F11" s="1" t="s">
        <v>39</v>
      </c>
      <c r="G11" s="1" t="s">
        <v>40</v>
      </c>
      <c r="H11" s="1" t="s">
        <v>41</v>
      </c>
      <c r="I11" s="1" t="s">
        <v>36</v>
      </c>
      <c r="J11" s="1" t="s">
        <v>37</v>
      </c>
      <c r="K11" s="1" t="s">
        <v>38</v>
      </c>
      <c r="L11" s="1" t="s">
        <v>39</v>
      </c>
      <c r="M11" s="1" t="s">
        <v>40</v>
      </c>
    </row>
    <row r="12" spans="1:19">
      <c r="A12" s="1" t="s">
        <v>42</v>
      </c>
      <c r="B12" s="1" t="s">
        <v>50</v>
      </c>
      <c r="C12" s="1">
        <v>7200</v>
      </c>
      <c r="D12" s="1">
        <v>6000</v>
      </c>
      <c r="E12" s="1">
        <v>4800</v>
      </c>
      <c r="F12" s="1">
        <v>3600</v>
      </c>
      <c r="G12" s="1">
        <v>2400</v>
      </c>
      <c r="H12" s="1"/>
      <c r="I12" s="1" t="s">
        <v>44</v>
      </c>
      <c r="J12" s="1" t="s">
        <v>44</v>
      </c>
      <c r="K12" s="1" t="s">
        <v>44</v>
      </c>
      <c r="L12" s="1" t="s">
        <v>44</v>
      </c>
      <c r="M12" s="1" t="s">
        <v>44</v>
      </c>
      <c r="O12" t="str">
        <f>$B12&amp;":+"&amp;IF(C12&lt;1,C12*100&amp;"%",C12)</f>
        <v>生命值:+7200</v>
      </c>
      <c r="P12" t="str">
        <f t="shared" ref="P12:S14" si="7">$B12&amp;":+"&amp;IF(D12&lt;1,D12*100&amp;"%",D12)</f>
        <v>生命值:+6000</v>
      </c>
      <c r="Q12" t="str">
        <f t="shared" si="7"/>
        <v>生命值:+4800</v>
      </c>
      <c r="R12" t="str">
        <f t="shared" si="7"/>
        <v>生命值:+3600</v>
      </c>
      <c r="S12" t="str">
        <f t="shared" si="7"/>
        <v>生命值:+2400</v>
      </c>
    </row>
    <row r="13" spans="1:19">
      <c r="A13" s="1" t="s">
        <v>45</v>
      </c>
      <c r="B13" s="1" t="s">
        <v>43</v>
      </c>
      <c r="C13" s="1">
        <v>240</v>
      </c>
      <c r="D13" s="1">
        <v>200</v>
      </c>
      <c r="E13" s="1">
        <v>160</v>
      </c>
      <c r="F13" s="1">
        <v>120</v>
      </c>
      <c r="G13" s="1">
        <v>80</v>
      </c>
      <c r="H13" s="1"/>
      <c r="I13" s="1" t="s">
        <v>44</v>
      </c>
      <c r="J13" s="1" t="s">
        <v>44</v>
      </c>
      <c r="K13" s="1" t="s">
        <v>44</v>
      </c>
      <c r="L13" s="1" t="s">
        <v>44</v>
      </c>
      <c r="M13" s="1" t="s">
        <v>44</v>
      </c>
      <c r="O13" t="str">
        <f>$B13&amp;":+"&amp;IF(C13&lt;1,C13*100&amp;"%",C13)</f>
        <v>攻击力:+240</v>
      </c>
      <c r="P13" t="str">
        <f t="shared" si="7"/>
        <v>攻击力:+200</v>
      </c>
      <c r="Q13" t="str">
        <f t="shared" si="7"/>
        <v>攻击力:+160</v>
      </c>
      <c r="R13" t="str">
        <f t="shared" si="7"/>
        <v>攻击力:+120</v>
      </c>
      <c r="S13" t="str">
        <f t="shared" si="7"/>
        <v>攻击力:+80</v>
      </c>
    </row>
    <row r="14" spans="1:19">
      <c r="A14" s="1" t="s">
        <v>47</v>
      </c>
      <c r="B14" s="1" t="s">
        <v>48</v>
      </c>
      <c r="C14" s="1">
        <v>0.12</v>
      </c>
      <c r="D14" s="1">
        <v>0.1</v>
      </c>
      <c r="E14" s="1">
        <v>8.0000000000000016E-2</v>
      </c>
      <c r="F14" s="1">
        <v>0.06</v>
      </c>
      <c r="G14" s="1">
        <v>4.0000000000000008E-2</v>
      </c>
      <c r="H14" s="1" t="s">
        <v>51</v>
      </c>
      <c r="I14" s="1">
        <v>0.12</v>
      </c>
      <c r="J14" s="1">
        <v>0.1</v>
      </c>
      <c r="K14" s="1">
        <v>8.0000000000000016E-2</v>
      </c>
      <c r="L14" s="1">
        <v>0.06</v>
      </c>
      <c r="M14" s="1">
        <v>4.0000000000000008E-2</v>
      </c>
      <c r="O14" t="str">
        <f>$B14&amp;":+"&amp;IF(C14&lt;1,C14*100&amp;"%",C14)</f>
        <v>伤害加成:+12%</v>
      </c>
      <c r="P14" t="str">
        <f t="shared" si="7"/>
        <v>伤害加成:+10%</v>
      </c>
      <c r="Q14" t="str">
        <f t="shared" si="7"/>
        <v>伤害加成:+8%</v>
      </c>
      <c r="R14" t="str">
        <f t="shared" si="7"/>
        <v>伤害加成:+6%</v>
      </c>
      <c r="S14" t="str">
        <f t="shared" si="7"/>
        <v>伤害加成:+4%</v>
      </c>
    </row>
    <row r="15" spans="1:19">
      <c r="O15" t="str">
        <f>$B14&amp;":+"&amp;IF(I14&lt;1,I14*100&amp;"%",I14)</f>
        <v>伤害加成:+12%</v>
      </c>
      <c r="P15" t="str">
        <f t="shared" ref="P15:S15" si="8">$B14&amp;":+"&amp;IF(J14&lt;1,J14*100&amp;"%",J14)</f>
        <v>伤害加成:+10%</v>
      </c>
      <c r="Q15" t="str">
        <f t="shared" si="8"/>
        <v>伤害加成:+8%</v>
      </c>
      <c r="R15" t="str">
        <f t="shared" si="8"/>
        <v>伤害加成:+6%</v>
      </c>
      <c r="S15" t="str">
        <f t="shared" si="8"/>
        <v>伤害加成:+4%</v>
      </c>
    </row>
    <row r="16" spans="1:19">
      <c r="O16" t="str">
        <f t="shared" ref="O16" si="9">"[["&amp;O12&amp;"],["&amp;O13&amp;"],["&amp;O14&amp;","&amp;O15&amp;"]]"</f>
        <v>[[生命值:+7200],[攻击力:+240],[伤害加成:+12%,伤害加成:+12%]]</v>
      </c>
      <c r="P16" t="str">
        <f t="shared" ref="P16" si="10">"[["&amp;P12&amp;"],["&amp;P13&amp;"],["&amp;P14&amp;","&amp;P15&amp;"]]"</f>
        <v>[[生命值:+6000],[攻击力:+200],[伤害加成:+10%,伤害加成:+10%]]</v>
      </c>
      <c r="Q16" t="str">
        <f t="shared" ref="Q16" si="11">"[["&amp;Q12&amp;"],["&amp;Q13&amp;"],["&amp;Q14&amp;","&amp;Q15&amp;"]]"</f>
        <v>[[生命值:+4800],[攻击力:+160],[伤害加成:+8%,伤害加成:+8%]]</v>
      </c>
      <c r="R16" t="str">
        <f t="shared" ref="R16" si="12">"[["&amp;R12&amp;"],["&amp;R13&amp;"],["&amp;R14&amp;","&amp;R15&amp;"]]"</f>
        <v>[[生命值:+3600],[攻击力:+120],[伤害加成:+6%,伤害加成:+6%]]</v>
      </c>
      <c r="S16" t="str">
        <f t="shared" ref="S16" si="13">"[["&amp;S12&amp;"],["&amp;S13&amp;"],["&amp;S14&amp;","&amp;S15&amp;"]]"</f>
        <v>[[生命值:+2400],[攻击力:+80],[伤害加成:+4%,伤害加成:+4%]]</v>
      </c>
    </row>
    <row r="17" spans="1:19">
      <c r="A17" s="48" t="s">
        <v>52</v>
      </c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50"/>
    </row>
    <row r="18" spans="1:19">
      <c r="A18" s="48" t="s">
        <v>31</v>
      </c>
      <c r="B18" s="49"/>
      <c r="C18" s="49"/>
      <c r="D18" s="49"/>
      <c r="E18" s="49"/>
      <c r="F18" s="49"/>
      <c r="G18" s="50"/>
      <c r="H18" s="48" t="s">
        <v>31</v>
      </c>
      <c r="I18" s="49"/>
      <c r="J18" s="49"/>
      <c r="K18" s="49"/>
      <c r="L18" s="49"/>
      <c r="M18" s="50"/>
    </row>
    <row r="19" spans="1:19">
      <c r="A19" s="1" t="s">
        <v>34</v>
      </c>
      <c r="B19" s="1" t="s">
        <v>35</v>
      </c>
      <c r="C19" s="1" t="s">
        <v>36</v>
      </c>
      <c r="D19" s="1" t="s">
        <v>37</v>
      </c>
      <c r="E19" s="1" t="s">
        <v>38</v>
      </c>
      <c r="F19" s="1" t="s">
        <v>39</v>
      </c>
      <c r="G19" s="1" t="s">
        <v>40</v>
      </c>
      <c r="H19" s="1" t="s">
        <v>41</v>
      </c>
      <c r="I19" s="1" t="s">
        <v>36</v>
      </c>
      <c r="J19" s="1" t="s">
        <v>37</v>
      </c>
      <c r="K19" s="1" t="s">
        <v>38</v>
      </c>
      <c r="L19" s="1" t="s">
        <v>39</v>
      </c>
      <c r="M19" s="1" t="s">
        <v>40</v>
      </c>
    </row>
    <row r="20" spans="1:19">
      <c r="A20" s="1" t="s">
        <v>42</v>
      </c>
      <c r="B20" s="1" t="s">
        <v>50</v>
      </c>
      <c r="C20" s="1">
        <v>14400</v>
      </c>
      <c r="D20" s="1">
        <v>12000</v>
      </c>
      <c r="E20" s="1">
        <v>9600</v>
      </c>
      <c r="F20" s="1">
        <v>7200</v>
      </c>
      <c r="G20" s="1">
        <v>4800</v>
      </c>
      <c r="H20" s="1"/>
      <c r="I20" s="1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O20" t="str">
        <f>$B20&amp;":+"&amp;IF(C20&lt;1,C20*100&amp;"%",C20)</f>
        <v>生命值:+14400</v>
      </c>
      <c r="P20" t="str">
        <f t="shared" ref="P20:S22" si="14">$B20&amp;":+"&amp;IF(D20&lt;1,D20*100&amp;"%",D20)</f>
        <v>生命值:+12000</v>
      </c>
      <c r="Q20" t="str">
        <f t="shared" si="14"/>
        <v>生命值:+9600</v>
      </c>
      <c r="R20" t="str">
        <f t="shared" si="14"/>
        <v>生命值:+7200</v>
      </c>
      <c r="S20" t="str">
        <f t="shared" si="14"/>
        <v>生命值:+4800</v>
      </c>
    </row>
    <row r="21" spans="1:19">
      <c r="A21" s="1" t="s">
        <v>45</v>
      </c>
      <c r="B21" s="1" t="s">
        <v>53</v>
      </c>
      <c r="C21" s="1">
        <v>0.12</v>
      </c>
      <c r="D21" s="1">
        <v>0.1</v>
      </c>
      <c r="E21" s="1">
        <v>8.0000000000000016E-2</v>
      </c>
      <c r="F21" s="1">
        <v>0.06</v>
      </c>
      <c r="G21" s="1">
        <v>4.0000000000000008E-2</v>
      </c>
      <c r="H21" s="1"/>
      <c r="I21" s="1" t="s">
        <v>44</v>
      </c>
      <c r="J21" s="1" t="s">
        <v>44</v>
      </c>
      <c r="K21" s="1" t="s">
        <v>44</v>
      </c>
      <c r="L21" s="1" t="s">
        <v>44</v>
      </c>
      <c r="M21" s="1" t="s">
        <v>44</v>
      </c>
      <c r="O21" t="str">
        <f>$B21&amp;":+"&amp;IF(C21&lt;1,C21*100&amp;"%",C21)</f>
        <v>闪避率:+12%</v>
      </c>
      <c r="P21" t="str">
        <f t="shared" si="14"/>
        <v>闪避率:+10%</v>
      </c>
      <c r="Q21" t="str">
        <f t="shared" si="14"/>
        <v>闪避率:+8%</v>
      </c>
      <c r="R21" t="str">
        <f t="shared" si="14"/>
        <v>闪避率:+6%</v>
      </c>
      <c r="S21" t="str">
        <f t="shared" si="14"/>
        <v>闪避率:+4%</v>
      </c>
    </row>
    <row r="22" spans="1:19">
      <c r="A22" s="1" t="s">
        <v>47</v>
      </c>
      <c r="B22" s="1" t="s">
        <v>54</v>
      </c>
      <c r="C22" s="1">
        <v>0.12</v>
      </c>
      <c r="D22" s="1">
        <v>0.1</v>
      </c>
      <c r="E22" s="1">
        <v>8.0000000000000016E-2</v>
      </c>
      <c r="F22" s="1">
        <v>0.06</v>
      </c>
      <c r="G22" s="1">
        <v>4.0000000000000008E-2</v>
      </c>
      <c r="H22" s="1" t="s">
        <v>51</v>
      </c>
      <c r="I22" s="1">
        <v>0.12</v>
      </c>
      <c r="J22" s="1">
        <v>0.1</v>
      </c>
      <c r="K22" s="1">
        <v>8.0000000000000016E-2</v>
      </c>
      <c r="L22" s="1">
        <v>0.06</v>
      </c>
      <c r="M22" s="1">
        <v>4.0000000000000008E-2</v>
      </c>
      <c r="O22" t="str">
        <f>$B22&amp;":+"&amp;IF(C22&lt;1,C22*100&amp;"%",C22)</f>
        <v>抗暴率:+12%</v>
      </c>
      <c r="P22" t="str">
        <f t="shared" si="14"/>
        <v>抗暴率:+10%</v>
      </c>
      <c r="Q22" t="str">
        <f t="shared" si="14"/>
        <v>抗暴率:+8%</v>
      </c>
      <c r="R22" t="str">
        <f t="shared" si="14"/>
        <v>抗暴率:+6%</v>
      </c>
      <c r="S22" t="str">
        <f t="shared" si="14"/>
        <v>抗暴率:+4%</v>
      </c>
    </row>
    <row r="23" spans="1:19">
      <c r="O23" t="str">
        <f>$B22&amp;":+"&amp;IF(I22&lt;1,I22*100&amp;"%",I22)</f>
        <v>抗暴率:+12%</v>
      </c>
      <c r="P23" t="str">
        <f t="shared" ref="P23:S23" si="15">$B22&amp;":+"&amp;IF(J22&lt;1,J22*100&amp;"%",J22)</f>
        <v>抗暴率:+10%</v>
      </c>
      <c r="Q23" t="str">
        <f t="shared" si="15"/>
        <v>抗暴率:+8%</v>
      </c>
      <c r="R23" t="str">
        <f t="shared" si="15"/>
        <v>抗暴率:+6%</v>
      </c>
      <c r="S23" t="str">
        <f t="shared" si="15"/>
        <v>抗暴率:+4%</v>
      </c>
    </row>
    <row r="24" spans="1:19">
      <c r="O24" t="str">
        <f t="shared" ref="O24" si="16">"[["&amp;O20&amp;"],["&amp;O21&amp;"],["&amp;O22&amp;","&amp;O23&amp;"]]"</f>
        <v>[[生命值:+14400],[闪避率:+12%],[抗暴率:+12%,抗暴率:+12%]]</v>
      </c>
      <c r="P24" t="str">
        <f t="shared" ref="P24" si="17">"[["&amp;P20&amp;"],["&amp;P21&amp;"],["&amp;P22&amp;","&amp;P23&amp;"]]"</f>
        <v>[[生命值:+12000],[闪避率:+10%],[抗暴率:+10%,抗暴率:+10%]]</v>
      </c>
      <c r="Q24" t="str">
        <f t="shared" ref="Q24" si="18">"[["&amp;Q20&amp;"],["&amp;Q21&amp;"],["&amp;Q22&amp;","&amp;Q23&amp;"]]"</f>
        <v>[[生命值:+9600],[闪避率:+8%],[抗暴率:+8%,抗暴率:+8%]]</v>
      </c>
      <c r="R24" t="str">
        <f t="shared" ref="R24" si="19">"[["&amp;R20&amp;"],["&amp;R21&amp;"],["&amp;R22&amp;","&amp;R23&amp;"]]"</f>
        <v>[[生命值:+7200],[闪避率:+6%],[抗暴率:+6%,抗暴率:+6%]]</v>
      </c>
      <c r="S24" t="str">
        <f t="shared" ref="S24" si="20">"[["&amp;S20&amp;"],["&amp;S21&amp;"],["&amp;S22&amp;","&amp;S23&amp;"]]"</f>
        <v>[[生命值:+4800],[闪避率:+4%],[抗暴率:+4%,抗暴率:+4%]]</v>
      </c>
    </row>
    <row r="29" spans="1:19">
      <c r="O29" t="str">
        <f>S16</f>
        <v>[[生命值:+2400],[攻击力:+80],[伤害加成:+4%,伤害加成:+4%]]</v>
      </c>
    </row>
    <row r="30" spans="1:19">
      <c r="O30" t="str">
        <f>S8</f>
        <v>[[攻击力:+160],[命中率:+4%],[暴击率:+4%,暴击率:+4%]]</v>
      </c>
    </row>
    <row r="31" spans="1:19">
      <c r="O31" t="str">
        <f>S24</f>
        <v>[[生命值:+4800],[闪避率:+4%],[抗暴率:+4%,抗暴率:+4%]]</v>
      </c>
    </row>
    <row r="32" spans="1:19">
      <c r="O32" t="str">
        <f>R16</f>
        <v>[[生命值:+3600],[攻击力:+120],[伤害加成:+6%,伤害加成:+6%]]</v>
      </c>
    </row>
    <row r="33" spans="15:15">
      <c r="O33" t="str">
        <f>R8</f>
        <v>[[攻击力:+240],[命中率:+6%],[暴击率:+6%,暴击率:+6%]]</v>
      </c>
    </row>
    <row r="34" spans="15:15">
      <c r="O34" t="str">
        <f>R24</f>
        <v>[[生命值:+7200],[闪避率:+6%],[抗暴率:+6%,抗暴率:+6%]]</v>
      </c>
    </row>
    <row r="35" spans="15:15">
      <c r="O35" t="str">
        <f>Q16</f>
        <v>[[生命值:+4800],[攻击力:+160],[伤害加成:+8%,伤害加成:+8%]]</v>
      </c>
    </row>
    <row r="36" spans="15:15">
      <c r="O36" t="str">
        <f>Q8</f>
        <v>[[攻击力:+320],[命中率:+8%],[暴击率:+8%,暴击率:+8%]]</v>
      </c>
    </row>
    <row r="37" spans="15:15">
      <c r="O37" t="str">
        <f>Q24</f>
        <v>[[生命值:+9600],[闪避率:+8%],[抗暴率:+8%,抗暴率:+8%]]</v>
      </c>
    </row>
    <row r="38" spans="15:15">
      <c r="O38" t="str">
        <f>P16</f>
        <v>[[生命值:+6000],[攻击力:+200],[伤害加成:+10%,伤害加成:+10%]]</v>
      </c>
    </row>
    <row r="39" spans="15:15">
      <c r="O39" t="str">
        <f>P8</f>
        <v>[[攻击力:+400],[命中率:+10%],[暴击率:+10%,暴击率:+10%]]</v>
      </c>
    </row>
    <row r="40" spans="15:15">
      <c r="O40" t="str">
        <f>P24</f>
        <v>[[生命值:+12000],[闪避率:+10%],[抗暴率:+10%,抗暴率:+10%]]</v>
      </c>
    </row>
    <row r="41" spans="15:15">
      <c r="O41" t="str">
        <f>O16</f>
        <v>[[生命值:+7200],[攻击力:+240],[伤害加成:+12%,伤害加成:+12%]]</v>
      </c>
    </row>
    <row r="42" spans="15:15">
      <c r="O42" t="str">
        <f>O8</f>
        <v>[[攻击力:+480],[命中率:+12%],[暴击率:+12%,暴击率:+12%]]</v>
      </c>
    </row>
    <row r="43" spans="15:15">
      <c r="O43" t="str">
        <f>O24</f>
        <v>[[生命值:+14400],[闪避率:+12%],[抗暴率:+12%,抗暴率:+12%]]</v>
      </c>
    </row>
  </sheetData>
  <mergeCells count="9">
    <mergeCell ref="A1:M1"/>
    <mergeCell ref="A17:M17"/>
    <mergeCell ref="A2:G2"/>
    <mergeCell ref="A9:M9"/>
    <mergeCell ref="A18:G18"/>
    <mergeCell ref="H18:M18"/>
    <mergeCell ref="H10:M10"/>
    <mergeCell ref="A10:G10"/>
    <mergeCell ref="H2:M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2018-03-04T17:10:23Z</dcterms:modified>
</cp:coreProperties>
</file>