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14805" windowHeight="7770"/>
  </bookViews>
  <sheets>
    <sheet name="Sheet1" sheetId="1" r:id="rId1"/>
    <sheet name="Sheet2" sheetId="2" r:id="rId2"/>
  </sheets>
  <functionGroups builtInGroupCount="17"/>
  <externalReferences>
    <externalReference r:id="rId3"/>
  </externalReferences>
  <definedNames>
    <definedName name="_xlnm._FilterDatabase" localSheetId="0" hidden="1">Sheet1!$I$1:$I$31</definedName>
  </definedNames>
  <calcPr calcId="144525"/>
</workbook>
</file>

<file path=xl/calcChain.xml><?xml version="1.0" encoding="utf-8"?>
<calcChain xmlns="http://schemas.openxmlformats.org/spreadsheetml/2006/main">
  <c r="A78" i="1" l="1"/>
  <c r="A121" i="1" s="1"/>
  <c r="A79" i="1"/>
  <c r="A80" i="1"/>
  <c r="A81" i="1"/>
  <c r="A124" i="1" s="1"/>
  <c r="A82" i="1"/>
  <c r="A125" i="1" s="1"/>
  <c r="A83" i="1"/>
  <c r="A84" i="1"/>
  <c r="A85" i="1"/>
  <c r="A128" i="1" s="1"/>
  <c r="A86" i="1"/>
  <c r="A129" i="1" s="1"/>
  <c r="A87" i="1"/>
  <c r="A88" i="1"/>
  <c r="A89" i="1"/>
  <c r="A132" i="1" s="1"/>
  <c r="A90" i="1"/>
  <c r="A133" i="1" s="1"/>
  <c r="A91" i="1"/>
  <c r="A92" i="1"/>
  <c r="A93" i="1"/>
  <c r="A136" i="1" s="1"/>
  <c r="A94" i="1"/>
  <c r="A137" i="1" s="1"/>
  <c r="A95" i="1"/>
  <c r="A96" i="1"/>
  <c r="A97" i="1"/>
  <c r="A140" i="1" s="1"/>
  <c r="A98" i="1"/>
  <c r="A141" i="1" s="1"/>
  <c r="A99" i="1"/>
  <c r="A100" i="1"/>
  <c r="A101" i="1"/>
  <c r="A144" i="1" s="1"/>
  <c r="A102" i="1"/>
  <c r="A145" i="1" s="1"/>
  <c r="A103" i="1"/>
  <c r="A104" i="1"/>
  <c r="A105" i="1"/>
  <c r="A148" i="1" s="1"/>
  <c r="A106" i="1"/>
  <c r="A149" i="1" s="1"/>
  <c r="A107" i="1"/>
  <c r="A108" i="1"/>
  <c r="A109" i="1"/>
  <c r="A152" i="1" s="1"/>
  <c r="A110" i="1"/>
  <c r="A153" i="1" s="1"/>
  <c r="A111" i="1"/>
  <c r="A112" i="1"/>
  <c r="A113" i="1"/>
  <c r="A156" i="1" s="1"/>
  <c r="A114" i="1"/>
  <c r="A157" i="1" s="1"/>
  <c r="A115" i="1"/>
  <c r="A116" i="1"/>
  <c r="A117" i="1"/>
  <c r="A160" i="1" s="1"/>
  <c r="A118" i="1"/>
  <c r="A161" i="1" s="1"/>
  <c r="A119" i="1"/>
  <c r="A120" i="1"/>
  <c r="A122" i="1"/>
  <c r="A123" i="1"/>
  <c r="A126" i="1"/>
  <c r="A127" i="1"/>
  <c r="A130" i="1"/>
  <c r="A131" i="1"/>
  <c r="A134" i="1"/>
  <c r="A135" i="1"/>
  <c r="A138" i="1"/>
  <c r="A139" i="1"/>
  <c r="A142" i="1"/>
  <c r="A143" i="1"/>
  <c r="A146" i="1"/>
  <c r="A147" i="1"/>
  <c r="A150" i="1"/>
  <c r="A151" i="1"/>
  <c r="A154" i="1"/>
  <c r="A155" i="1"/>
  <c r="A158" i="1"/>
  <c r="A159" i="1"/>
  <c r="A162" i="1"/>
  <c r="A77" i="1"/>
  <c r="N130" i="2" l="1"/>
  <c r="Q130" i="2"/>
  <c r="P130" i="2"/>
  <c r="O130" i="2"/>
  <c r="K130" i="2"/>
  <c r="J87" i="2"/>
  <c r="J130" i="2" s="1"/>
  <c r="I87" i="2"/>
  <c r="I130" i="2" s="1"/>
  <c r="H87" i="2"/>
  <c r="H130" i="2" s="1"/>
  <c r="G130" i="2"/>
  <c r="N129" i="2"/>
  <c r="P129" i="2"/>
  <c r="O129" i="2"/>
  <c r="K129" i="2"/>
  <c r="J86" i="2"/>
  <c r="J129" i="2" s="1"/>
  <c r="I86" i="2"/>
  <c r="I129" i="2" s="1"/>
  <c r="H86" i="2"/>
  <c r="H129" i="2" s="1"/>
  <c r="G129" i="2"/>
  <c r="N128" i="2"/>
  <c r="P128" i="2"/>
  <c r="O128" i="2"/>
  <c r="K128" i="2"/>
  <c r="J85" i="2"/>
  <c r="J128" i="2" s="1"/>
  <c r="I85" i="2"/>
  <c r="I128" i="2" s="1"/>
  <c r="H85" i="2"/>
  <c r="H128" i="2" s="1"/>
  <c r="G128" i="2"/>
  <c r="N127" i="2"/>
  <c r="P127" i="2"/>
  <c r="O127" i="2"/>
  <c r="K127" i="2"/>
  <c r="J84" i="2"/>
  <c r="J127" i="2" s="1"/>
  <c r="I84" i="2"/>
  <c r="I127" i="2" s="1"/>
  <c r="H84" i="2"/>
  <c r="H127" i="2" s="1"/>
  <c r="G127" i="2"/>
  <c r="N126" i="2"/>
  <c r="Q126" i="2"/>
  <c r="P126" i="2"/>
  <c r="O126" i="2"/>
  <c r="K126" i="2"/>
  <c r="J83" i="2"/>
  <c r="J126" i="2" s="1"/>
  <c r="I83" i="2"/>
  <c r="I126" i="2" s="1"/>
  <c r="H83" i="2"/>
  <c r="H126" i="2" s="1"/>
  <c r="G126" i="2"/>
  <c r="N125" i="2"/>
  <c r="P125" i="2"/>
  <c r="O125" i="2"/>
  <c r="K125" i="2"/>
  <c r="J82" i="2"/>
  <c r="J125" i="2" s="1"/>
  <c r="I82" i="2"/>
  <c r="I125" i="2" s="1"/>
  <c r="H82" i="2"/>
  <c r="H125" i="2" s="1"/>
  <c r="G125" i="2"/>
  <c r="N124" i="2"/>
  <c r="P124" i="2"/>
  <c r="O124" i="2"/>
  <c r="K124" i="2"/>
  <c r="J81" i="2"/>
  <c r="J124" i="2" s="1"/>
  <c r="I81" i="2"/>
  <c r="I124" i="2" s="1"/>
  <c r="H81" i="2"/>
  <c r="H124" i="2" s="1"/>
  <c r="G124" i="2"/>
  <c r="N123" i="2"/>
  <c r="P123" i="2"/>
  <c r="Q123" i="2"/>
  <c r="O123" i="2"/>
  <c r="K123" i="2"/>
  <c r="J80" i="2"/>
  <c r="J123" i="2" s="1"/>
  <c r="I80" i="2"/>
  <c r="I123" i="2" s="1"/>
  <c r="H80" i="2"/>
  <c r="H123" i="2" s="1"/>
  <c r="G123" i="2"/>
  <c r="N122" i="2"/>
  <c r="P122" i="2"/>
  <c r="O122" i="2"/>
  <c r="K122" i="2"/>
  <c r="J79" i="2"/>
  <c r="J122" i="2" s="1"/>
  <c r="I79" i="2"/>
  <c r="I122" i="2" s="1"/>
  <c r="H79" i="2"/>
  <c r="H122" i="2" s="1"/>
  <c r="G122" i="2"/>
  <c r="N121" i="2"/>
  <c r="P121" i="2"/>
  <c r="O121" i="2"/>
  <c r="K121" i="2"/>
  <c r="J78" i="2"/>
  <c r="J121" i="2" s="1"/>
  <c r="I78" i="2"/>
  <c r="I121" i="2" s="1"/>
  <c r="H78" i="2"/>
  <c r="H121" i="2" s="1"/>
  <c r="G121" i="2"/>
  <c r="N120" i="2"/>
  <c r="Q120" i="2"/>
  <c r="P120" i="2"/>
  <c r="O120" i="2"/>
  <c r="K120" i="2"/>
  <c r="J77" i="2"/>
  <c r="J120" i="2" s="1"/>
  <c r="I77" i="2"/>
  <c r="I120" i="2" s="1"/>
  <c r="H77" i="2"/>
  <c r="H120" i="2" s="1"/>
  <c r="G120" i="2"/>
  <c r="N119" i="2"/>
  <c r="P119" i="2"/>
  <c r="O119" i="2"/>
  <c r="Q119" i="2"/>
  <c r="K119" i="2"/>
  <c r="J76" i="2"/>
  <c r="J119" i="2" s="1"/>
  <c r="I76" i="2"/>
  <c r="I119" i="2" s="1"/>
  <c r="H76" i="2"/>
  <c r="H119" i="2" s="1"/>
  <c r="G119" i="2"/>
  <c r="N118" i="2"/>
  <c r="P118" i="2"/>
  <c r="O118" i="2"/>
  <c r="K118" i="2"/>
  <c r="J75" i="2"/>
  <c r="J118" i="2" s="1"/>
  <c r="I75" i="2"/>
  <c r="I118" i="2" s="1"/>
  <c r="H75" i="2"/>
  <c r="H118" i="2" s="1"/>
  <c r="G118" i="2"/>
  <c r="N117" i="2"/>
  <c r="P117" i="2"/>
  <c r="O117" i="2"/>
  <c r="K117" i="2"/>
  <c r="J74" i="2"/>
  <c r="J117" i="2" s="1"/>
  <c r="I74" i="2"/>
  <c r="I117" i="2"/>
  <c r="H74" i="2"/>
  <c r="H117" i="2" s="1"/>
  <c r="G117" i="2"/>
  <c r="N116" i="2"/>
  <c r="P116" i="2"/>
  <c r="O116" i="2"/>
  <c r="K116" i="2"/>
  <c r="J73" i="2"/>
  <c r="J116" i="2" s="1"/>
  <c r="I73" i="2"/>
  <c r="I116" i="2" s="1"/>
  <c r="H73" i="2"/>
  <c r="H116" i="2" s="1"/>
  <c r="G116" i="2"/>
  <c r="N115" i="2"/>
  <c r="P115" i="2"/>
  <c r="O115" i="2"/>
  <c r="K115" i="2"/>
  <c r="J72" i="2"/>
  <c r="J115" i="2" s="1"/>
  <c r="I72" i="2"/>
  <c r="I115" i="2" s="1"/>
  <c r="H72" i="2"/>
  <c r="H115" i="2" s="1"/>
  <c r="G115" i="2"/>
  <c r="N114" i="2"/>
  <c r="P114" i="2"/>
  <c r="O114" i="2"/>
  <c r="K114" i="2"/>
  <c r="J71" i="2"/>
  <c r="J114" i="2" s="1"/>
  <c r="I71" i="2"/>
  <c r="I114" i="2" s="1"/>
  <c r="H71" i="2"/>
  <c r="H114" i="2" s="1"/>
  <c r="G114" i="2"/>
  <c r="N113" i="2"/>
  <c r="P113" i="2"/>
  <c r="O113" i="2"/>
  <c r="K113" i="2"/>
  <c r="J70" i="2"/>
  <c r="J113" i="2" s="1"/>
  <c r="I70" i="2"/>
  <c r="I113" i="2" s="1"/>
  <c r="H70" i="2"/>
  <c r="H113" i="2" s="1"/>
  <c r="G113" i="2"/>
  <c r="N112" i="2"/>
  <c r="P112" i="2"/>
  <c r="O112" i="2"/>
  <c r="K112" i="2"/>
  <c r="J69" i="2"/>
  <c r="J112" i="2" s="1"/>
  <c r="I69" i="2"/>
  <c r="I112" i="2" s="1"/>
  <c r="H69" i="2"/>
  <c r="H112" i="2" s="1"/>
  <c r="G112" i="2"/>
  <c r="N111" i="2"/>
  <c r="P111" i="2"/>
  <c r="Q111" i="2"/>
  <c r="O111" i="2"/>
  <c r="K111" i="2"/>
  <c r="J68" i="2"/>
  <c r="J111" i="2" s="1"/>
  <c r="I68" i="2"/>
  <c r="I111" i="2" s="1"/>
  <c r="H68" i="2"/>
  <c r="H111" i="2" s="1"/>
  <c r="G111" i="2"/>
  <c r="N110" i="2"/>
  <c r="Q110" i="2"/>
  <c r="P110" i="2"/>
  <c r="O110" i="2"/>
  <c r="K110" i="2"/>
  <c r="J67" i="2"/>
  <c r="J110" i="2" s="1"/>
  <c r="I67" i="2"/>
  <c r="I110" i="2" s="1"/>
  <c r="H67" i="2"/>
  <c r="H110" i="2" s="1"/>
  <c r="G110" i="2"/>
  <c r="N109" i="2"/>
  <c r="P109" i="2"/>
  <c r="O109" i="2"/>
  <c r="K109" i="2"/>
  <c r="J66" i="2"/>
  <c r="J109" i="2" s="1"/>
  <c r="I66" i="2"/>
  <c r="I109" i="2" s="1"/>
  <c r="H66" i="2"/>
  <c r="H109" i="2" s="1"/>
  <c r="G109" i="2"/>
  <c r="N108" i="2"/>
  <c r="P108" i="2"/>
  <c r="O108" i="2"/>
  <c r="K108" i="2"/>
  <c r="J65" i="2"/>
  <c r="J108" i="2" s="1"/>
  <c r="I65" i="2"/>
  <c r="I108" i="2" s="1"/>
  <c r="H65" i="2"/>
  <c r="H108" i="2" s="1"/>
  <c r="G108" i="2"/>
  <c r="N107" i="2"/>
  <c r="P107" i="2"/>
  <c r="O107" i="2"/>
  <c r="K107" i="2"/>
  <c r="J64" i="2"/>
  <c r="J107" i="2" s="1"/>
  <c r="I64" i="2"/>
  <c r="I107" i="2" s="1"/>
  <c r="H64" i="2"/>
  <c r="H107" i="2" s="1"/>
  <c r="G107" i="2"/>
  <c r="N106" i="2"/>
  <c r="P106" i="2"/>
  <c r="O106" i="2"/>
  <c r="K106" i="2"/>
  <c r="J63" i="2"/>
  <c r="J106" i="2" s="1"/>
  <c r="I63" i="2"/>
  <c r="I106" i="2" s="1"/>
  <c r="H63" i="2"/>
  <c r="H106" i="2" s="1"/>
  <c r="G106" i="2"/>
  <c r="N105" i="2"/>
  <c r="P105" i="2"/>
  <c r="O105" i="2"/>
  <c r="K105" i="2"/>
  <c r="J62" i="2"/>
  <c r="J105" i="2" s="1"/>
  <c r="I62" i="2"/>
  <c r="I105" i="2" s="1"/>
  <c r="H62" i="2"/>
  <c r="H105" i="2" s="1"/>
  <c r="G105" i="2"/>
  <c r="N104" i="2"/>
  <c r="P104" i="2"/>
  <c r="O104" i="2"/>
  <c r="K104" i="2"/>
  <c r="J61" i="2"/>
  <c r="J104" i="2" s="1"/>
  <c r="I61" i="2"/>
  <c r="I104" i="2" s="1"/>
  <c r="H61" i="2"/>
  <c r="H104" i="2" s="1"/>
  <c r="G104" i="2"/>
  <c r="N103" i="2"/>
  <c r="Q103" i="2"/>
  <c r="P103" i="2"/>
  <c r="O103" i="2"/>
  <c r="K103" i="2"/>
  <c r="J60" i="2"/>
  <c r="J103" i="2" s="1"/>
  <c r="I60" i="2"/>
  <c r="I103" i="2" s="1"/>
  <c r="H60" i="2"/>
  <c r="H103" i="2" s="1"/>
  <c r="G103" i="2"/>
  <c r="N102" i="2"/>
  <c r="Q102" i="2"/>
  <c r="P102" i="2"/>
  <c r="O102" i="2"/>
  <c r="K102" i="2"/>
  <c r="J59" i="2"/>
  <c r="J102" i="2" s="1"/>
  <c r="I59" i="2"/>
  <c r="I102" i="2" s="1"/>
  <c r="H59" i="2"/>
  <c r="H102" i="2" s="1"/>
  <c r="G102" i="2"/>
  <c r="N101" i="2"/>
  <c r="P101" i="2"/>
  <c r="O101" i="2"/>
  <c r="K101" i="2"/>
  <c r="J58" i="2"/>
  <c r="J101" i="2" s="1"/>
  <c r="I58" i="2"/>
  <c r="I101" i="2" s="1"/>
  <c r="H58" i="2"/>
  <c r="H101" i="2" s="1"/>
  <c r="G101" i="2"/>
  <c r="N100" i="2"/>
  <c r="P100" i="2"/>
  <c r="O100" i="2"/>
  <c r="K100" i="2"/>
  <c r="J57" i="2"/>
  <c r="J100" i="2" s="1"/>
  <c r="I57" i="2"/>
  <c r="I100" i="2" s="1"/>
  <c r="H57" i="2"/>
  <c r="H100" i="2" s="1"/>
  <c r="G100" i="2"/>
  <c r="N99" i="2"/>
  <c r="P99" i="2"/>
  <c r="O99" i="2"/>
  <c r="K99" i="2"/>
  <c r="J56" i="2"/>
  <c r="J99" i="2" s="1"/>
  <c r="I56" i="2"/>
  <c r="I99" i="2" s="1"/>
  <c r="H56" i="2"/>
  <c r="H99" i="2" s="1"/>
  <c r="G99" i="2"/>
  <c r="N98" i="2"/>
  <c r="P98" i="2"/>
  <c r="O98" i="2"/>
  <c r="K98" i="2"/>
  <c r="J55" i="2"/>
  <c r="J98" i="2" s="1"/>
  <c r="I55" i="2"/>
  <c r="I98" i="2" s="1"/>
  <c r="H55" i="2"/>
  <c r="H98" i="2" s="1"/>
  <c r="G98" i="2"/>
  <c r="N97" i="2"/>
  <c r="P97" i="2"/>
  <c r="O97" i="2"/>
  <c r="K97" i="2"/>
  <c r="J54" i="2"/>
  <c r="J97" i="2" s="1"/>
  <c r="I54" i="2"/>
  <c r="I97" i="2" s="1"/>
  <c r="H54" i="2"/>
  <c r="H97" i="2" s="1"/>
  <c r="G97" i="2"/>
  <c r="N96" i="2"/>
  <c r="Q96" i="2"/>
  <c r="P96" i="2"/>
  <c r="O96" i="2"/>
  <c r="K96" i="2"/>
  <c r="J53" i="2"/>
  <c r="J96" i="2" s="1"/>
  <c r="I53" i="2"/>
  <c r="I96" i="2" s="1"/>
  <c r="H53" i="2"/>
  <c r="H96" i="2" s="1"/>
  <c r="G96" i="2"/>
  <c r="N95" i="2"/>
  <c r="Q95" i="2"/>
  <c r="P95" i="2"/>
  <c r="O95" i="2"/>
  <c r="K95" i="2"/>
  <c r="J52" i="2"/>
  <c r="J95" i="2" s="1"/>
  <c r="I52" i="2"/>
  <c r="I95" i="2"/>
  <c r="H52" i="2"/>
  <c r="H95" i="2" s="1"/>
  <c r="G95" i="2"/>
  <c r="N94" i="2"/>
  <c r="P94" i="2"/>
  <c r="O94" i="2"/>
  <c r="K94" i="2"/>
  <c r="J51" i="2"/>
  <c r="J94" i="2" s="1"/>
  <c r="I51" i="2"/>
  <c r="I94" i="2" s="1"/>
  <c r="H51" i="2"/>
  <c r="H94" i="2" s="1"/>
  <c r="G94" i="2"/>
  <c r="N93" i="2"/>
  <c r="P93" i="2"/>
  <c r="O93" i="2"/>
  <c r="K93" i="2"/>
  <c r="J50" i="2"/>
  <c r="J93" i="2" s="1"/>
  <c r="I50" i="2"/>
  <c r="I93" i="2" s="1"/>
  <c r="H50" i="2"/>
  <c r="H93" i="2" s="1"/>
  <c r="G93" i="2"/>
  <c r="N92" i="2"/>
  <c r="P92" i="2"/>
  <c r="O92" i="2"/>
  <c r="K92" i="2"/>
  <c r="J49" i="2"/>
  <c r="J92" i="2" s="1"/>
  <c r="I49" i="2"/>
  <c r="I92" i="2" s="1"/>
  <c r="H49" i="2"/>
  <c r="H92" i="2" s="1"/>
  <c r="G92" i="2"/>
  <c r="N91" i="2"/>
  <c r="P91" i="2"/>
  <c r="Q91" i="2"/>
  <c r="O91" i="2"/>
  <c r="K91" i="2"/>
  <c r="J48" i="2"/>
  <c r="J91" i="2" s="1"/>
  <c r="I48" i="2"/>
  <c r="I91" i="2" s="1"/>
  <c r="H48" i="2"/>
  <c r="H91" i="2" s="1"/>
  <c r="G91" i="2"/>
  <c r="N90" i="2"/>
  <c r="P90" i="2"/>
  <c r="O90" i="2"/>
  <c r="K90" i="2"/>
  <c r="J47" i="2"/>
  <c r="J90" i="2" s="1"/>
  <c r="I47" i="2"/>
  <c r="I90" i="2" s="1"/>
  <c r="H47" i="2"/>
  <c r="H90" i="2" s="1"/>
  <c r="G90" i="2"/>
  <c r="N89" i="2"/>
  <c r="P89" i="2"/>
  <c r="O89" i="2"/>
  <c r="K46" i="2"/>
  <c r="K89" i="2" s="1"/>
  <c r="J46" i="2"/>
  <c r="J89" i="2" s="1"/>
  <c r="I46" i="2"/>
  <c r="I89" i="2" s="1"/>
  <c r="H46" i="2"/>
  <c r="H89" i="2" s="1"/>
  <c r="G89" i="2"/>
  <c r="N88" i="2"/>
  <c r="Q88" i="2"/>
  <c r="P88" i="2"/>
  <c r="O88" i="2"/>
  <c r="K45" i="2"/>
  <c r="K88" i="2" s="1"/>
  <c r="J45" i="2"/>
  <c r="J88" i="2" s="1"/>
  <c r="I45" i="2"/>
  <c r="I88" i="2" s="1"/>
  <c r="H45" i="2"/>
  <c r="H88" i="2" s="1"/>
  <c r="G88" i="2"/>
  <c r="N87" i="2"/>
  <c r="P87" i="2"/>
  <c r="O87" i="2"/>
  <c r="G87" i="2"/>
  <c r="N86" i="2"/>
  <c r="P86" i="2"/>
  <c r="O86" i="2"/>
  <c r="G86" i="2"/>
  <c r="N85" i="2"/>
  <c r="P85" i="2"/>
  <c r="O85" i="2"/>
  <c r="Q85" i="2"/>
  <c r="G85" i="2"/>
  <c r="N84" i="2"/>
  <c r="P84" i="2"/>
  <c r="O84" i="2"/>
  <c r="G84" i="2"/>
  <c r="N83" i="2"/>
  <c r="P83" i="2"/>
  <c r="O83" i="2"/>
  <c r="G83" i="2"/>
  <c r="N82" i="2"/>
  <c r="P82" i="2"/>
  <c r="O82" i="2"/>
  <c r="G82" i="2"/>
  <c r="N81" i="2"/>
  <c r="Q81" i="2"/>
  <c r="P81" i="2"/>
  <c r="O81" i="2"/>
  <c r="G81" i="2"/>
  <c r="N80" i="2"/>
  <c r="P80" i="2"/>
  <c r="O80" i="2"/>
  <c r="G80" i="2"/>
  <c r="N79" i="2"/>
  <c r="P79" i="2"/>
  <c r="Q79" i="2"/>
  <c r="O79" i="2"/>
  <c r="G79" i="2"/>
  <c r="N78" i="2"/>
  <c r="P78" i="2"/>
  <c r="O78" i="2"/>
  <c r="G78" i="2"/>
  <c r="N77" i="2"/>
  <c r="Q77" i="2"/>
  <c r="P77" i="2"/>
  <c r="O77" i="2"/>
  <c r="G77" i="2"/>
  <c r="N76" i="2"/>
  <c r="Q76" i="2"/>
  <c r="P76" i="2"/>
  <c r="O76" i="2"/>
  <c r="G76" i="2"/>
  <c r="N75" i="2"/>
  <c r="P75" i="2"/>
  <c r="O75" i="2"/>
  <c r="G75" i="2"/>
  <c r="N74" i="2"/>
  <c r="Q74" i="2"/>
  <c r="P74" i="2"/>
  <c r="O74" i="2"/>
  <c r="G74" i="2"/>
  <c r="N73" i="2"/>
  <c r="Q73" i="2"/>
  <c r="P73" i="2"/>
  <c r="O73" i="2"/>
  <c r="G73" i="2"/>
  <c r="N72" i="2"/>
  <c r="P72" i="2"/>
  <c r="O72" i="2"/>
  <c r="G72" i="2"/>
  <c r="N71" i="2"/>
  <c r="P71" i="2"/>
  <c r="O71" i="2"/>
  <c r="G71" i="2"/>
  <c r="N70" i="2"/>
  <c r="P70" i="2"/>
  <c r="O70" i="2"/>
  <c r="G70" i="2"/>
  <c r="N69" i="2"/>
  <c r="P69" i="2"/>
  <c r="O69" i="2"/>
  <c r="Q69" i="2"/>
  <c r="G69" i="2"/>
  <c r="N68" i="2"/>
  <c r="P68" i="2"/>
  <c r="O68" i="2"/>
  <c r="G68" i="2"/>
  <c r="N67" i="2"/>
  <c r="P67" i="2"/>
  <c r="O67" i="2"/>
  <c r="G67" i="2"/>
  <c r="N66" i="2"/>
  <c r="P66" i="2"/>
  <c r="O66" i="2"/>
  <c r="G66" i="2"/>
  <c r="N65" i="2"/>
  <c r="Q65" i="2"/>
  <c r="P65" i="2"/>
  <c r="O65" i="2"/>
  <c r="G65" i="2"/>
  <c r="N64" i="2"/>
  <c r="P64" i="2"/>
  <c r="O64" i="2"/>
  <c r="G64" i="2"/>
  <c r="N63" i="2"/>
  <c r="P63" i="2"/>
  <c r="Q63" i="2"/>
  <c r="O63" i="2"/>
  <c r="G63" i="2"/>
  <c r="N62" i="2"/>
  <c r="P62" i="2"/>
  <c r="O62" i="2"/>
  <c r="G62" i="2"/>
  <c r="N61" i="2"/>
  <c r="Q61" i="2"/>
  <c r="P61" i="2"/>
  <c r="O61" i="2"/>
  <c r="G61" i="2"/>
  <c r="N60" i="2"/>
  <c r="Q60" i="2"/>
  <c r="P60" i="2"/>
  <c r="O60" i="2"/>
  <c r="G60" i="2"/>
  <c r="N59" i="2"/>
  <c r="P59" i="2"/>
  <c r="O59" i="2"/>
  <c r="G59" i="2"/>
  <c r="N58" i="2"/>
  <c r="Q58" i="2"/>
  <c r="P58" i="2"/>
  <c r="O58" i="2"/>
  <c r="G58" i="2"/>
  <c r="N57" i="2"/>
  <c r="Q57" i="2"/>
  <c r="P57" i="2"/>
  <c r="O57" i="2"/>
  <c r="G57" i="2"/>
  <c r="N56" i="2"/>
  <c r="P56" i="2"/>
  <c r="O56" i="2"/>
  <c r="G56" i="2"/>
  <c r="N55" i="2"/>
  <c r="P55" i="2"/>
  <c r="O55" i="2"/>
  <c r="G55" i="2"/>
  <c r="N54" i="2"/>
  <c r="P54" i="2"/>
  <c r="O54" i="2"/>
  <c r="G54" i="2"/>
  <c r="N53" i="2"/>
  <c r="P53" i="2"/>
  <c r="O53" i="2"/>
  <c r="Q53" i="2"/>
  <c r="G53" i="2"/>
  <c r="N52" i="2"/>
  <c r="P52" i="2"/>
  <c r="O52" i="2"/>
  <c r="G52" i="2"/>
  <c r="N51" i="2"/>
  <c r="P51" i="2"/>
  <c r="O51" i="2"/>
  <c r="G51" i="2"/>
  <c r="N50" i="2"/>
  <c r="P50" i="2"/>
  <c r="O50" i="2"/>
  <c r="G50" i="2"/>
  <c r="N49" i="2"/>
  <c r="Q49" i="2"/>
  <c r="P49" i="2"/>
  <c r="O49" i="2"/>
  <c r="G49" i="2"/>
  <c r="N48" i="2"/>
  <c r="P48" i="2"/>
  <c r="O48" i="2"/>
  <c r="G48" i="2"/>
  <c r="N47" i="2"/>
  <c r="P47" i="2"/>
  <c r="Q47" i="2"/>
  <c r="O47" i="2"/>
  <c r="G47" i="2"/>
  <c r="N46" i="2"/>
  <c r="P46" i="2"/>
  <c r="O46" i="2"/>
  <c r="G46" i="2"/>
  <c r="N45" i="2"/>
  <c r="Q45" i="2"/>
  <c r="P45" i="2"/>
  <c r="O45" i="2"/>
  <c r="G45" i="2"/>
  <c r="N44" i="2"/>
  <c r="Q44" i="2"/>
  <c r="P44" i="2"/>
  <c r="O44" i="2"/>
  <c r="G44" i="2"/>
  <c r="N43" i="2"/>
  <c r="P43" i="2"/>
  <c r="O43" i="2"/>
  <c r="G43" i="2"/>
  <c r="N42" i="2"/>
  <c r="Q42" i="2"/>
  <c r="P42" i="2"/>
  <c r="O42" i="2"/>
  <c r="G42" i="2"/>
  <c r="N41" i="2"/>
  <c r="Q41" i="2"/>
  <c r="P41" i="2"/>
  <c r="O41" i="2"/>
  <c r="G41" i="2"/>
  <c r="N40" i="2"/>
  <c r="P40" i="2"/>
  <c r="O40" i="2"/>
  <c r="G40" i="2"/>
  <c r="N39" i="2"/>
  <c r="P39" i="2"/>
  <c r="O39" i="2"/>
  <c r="G39" i="2"/>
  <c r="N38" i="2"/>
  <c r="P38" i="2"/>
  <c r="O38" i="2"/>
  <c r="G38" i="2"/>
  <c r="N37" i="2"/>
  <c r="P37" i="2"/>
  <c r="O37" i="2"/>
  <c r="Q37" i="2"/>
  <c r="G37" i="2"/>
  <c r="N36" i="2"/>
  <c r="P36" i="2"/>
  <c r="O36" i="2"/>
  <c r="G36" i="2"/>
  <c r="N35" i="2"/>
  <c r="P35" i="2"/>
  <c r="O35" i="2"/>
  <c r="G35" i="2"/>
  <c r="N34" i="2"/>
  <c r="P34" i="2"/>
  <c r="O34" i="2"/>
  <c r="G34" i="2"/>
  <c r="N33" i="2"/>
  <c r="Q33" i="2"/>
  <c r="P33" i="2"/>
  <c r="O33" i="2"/>
  <c r="G33" i="2"/>
  <c r="N32" i="2"/>
  <c r="P32" i="2"/>
  <c r="O32" i="2"/>
  <c r="G32" i="2"/>
  <c r="N31" i="2"/>
  <c r="P31" i="2"/>
  <c r="Q31" i="2"/>
  <c r="O31" i="2"/>
  <c r="G31" i="2"/>
  <c r="N30" i="2"/>
  <c r="P30" i="2"/>
  <c r="O30" i="2"/>
  <c r="G30" i="2"/>
  <c r="N29" i="2"/>
  <c r="Q29" i="2"/>
  <c r="P29" i="2"/>
  <c r="O29" i="2"/>
  <c r="G29" i="2"/>
  <c r="N28" i="2"/>
  <c r="Q28" i="2"/>
  <c r="P28" i="2"/>
  <c r="O28" i="2"/>
  <c r="G28" i="2"/>
  <c r="N27" i="2"/>
  <c r="P27" i="2"/>
  <c r="O27" i="2"/>
  <c r="G27" i="2"/>
  <c r="N26" i="2"/>
  <c r="Q26" i="2"/>
  <c r="P26" i="2"/>
  <c r="O26" i="2"/>
  <c r="G26" i="2"/>
  <c r="N25" i="2"/>
  <c r="Q25" i="2"/>
  <c r="P25" i="2"/>
  <c r="O25" i="2"/>
  <c r="G25" i="2"/>
  <c r="N24" i="2"/>
  <c r="P24" i="2"/>
  <c r="O24" i="2"/>
  <c r="G24" i="2"/>
  <c r="N23" i="2"/>
  <c r="P23" i="2"/>
  <c r="O23" i="2"/>
  <c r="G23" i="2"/>
  <c r="N22" i="2"/>
  <c r="P22" i="2"/>
  <c r="O22" i="2"/>
  <c r="G22" i="2"/>
  <c r="N21" i="2"/>
  <c r="P21" i="2"/>
  <c r="O21" i="2"/>
  <c r="Q21" i="2"/>
  <c r="G21" i="2"/>
  <c r="N20" i="2"/>
  <c r="P20" i="2"/>
  <c r="O20" i="2"/>
  <c r="G20" i="2"/>
  <c r="N19" i="2"/>
  <c r="P19" i="2"/>
  <c r="O19" i="2"/>
  <c r="G19" i="2"/>
  <c r="N18" i="2"/>
  <c r="P18" i="2"/>
  <c r="O18" i="2"/>
  <c r="G18" i="2"/>
  <c r="N17" i="2"/>
  <c r="Q17" i="2"/>
  <c r="P17" i="2"/>
  <c r="O17" i="2"/>
  <c r="G17" i="2"/>
  <c r="N16" i="2"/>
  <c r="P16" i="2"/>
  <c r="O16" i="2"/>
  <c r="G16" i="2"/>
  <c r="N15" i="2"/>
  <c r="P15" i="2"/>
  <c r="Q15" i="2"/>
  <c r="O15" i="2"/>
  <c r="G15" i="2"/>
  <c r="N14" i="2"/>
  <c r="P14" i="2"/>
  <c r="O14" i="2"/>
  <c r="G14" i="2"/>
  <c r="N13" i="2"/>
  <c r="Q13" i="2"/>
  <c r="P13" i="2"/>
  <c r="O13" i="2"/>
  <c r="G13" i="2"/>
  <c r="N12" i="2"/>
  <c r="Q12" i="2"/>
  <c r="P12" i="2"/>
  <c r="O12" i="2"/>
  <c r="G12" i="2"/>
  <c r="N11" i="2"/>
  <c r="P11" i="2"/>
  <c r="O11" i="2"/>
  <c r="G11" i="2"/>
  <c r="N10" i="2"/>
  <c r="Q10" i="2"/>
  <c r="P10" i="2"/>
  <c r="O10" i="2"/>
  <c r="G10" i="2"/>
  <c r="N9" i="2"/>
  <c r="Q9" i="2"/>
  <c r="P9" i="2"/>
  <c r="O9" i="2"/>
  <c r="G9" i="2"/>
  <c r="N8" i="2"/>
  <c r="P8" i="2"/>
  <c r="O8" i="2"/>
  <c r="G8" i="2"/>
  <c r="N7" i="2"/>
  <c r="P7" i="2"/>
  <c r="O7" i="2"/>
  <c r="G7" i="2"/>
  <c r="N6" i="2"/>
  <c r="P6" i="2"/>
  <c r="O6" i="2"/>
  <c r="G6" i="2"/>
  <c r="N5" i="2"/>
  <c r="P5" i="2"/>
  <c r="O5" i="2"/>
  <c r="Q5" i="2"/>
  <c r="G5" i="2"/>
  <c r="N4" i="2"/>
  <c r="P4" i="2"/>
  <c r="O4" i="2"/>
  <c r="G4" i="2"/>
  <c r="N3" i="2"/>
  <c r="P3" i="2"/>
  <c r="O3" i="2"/>
  <c r="G3" i="2"/>
  <c r="N2" i="2"/>
  <c r="P2" i="2"/>
  <c r="O2" i="2"/>
  <c r="G2" i="2"/>
  <c r="Q3" i="2"/>
  <c r="Q14" i="2"/>
  <c r="Q16" i="2"/>
  <c r="Q30" i="2"/>
  <c r="Q32" i="2"/>
  <c r="Q67" i="2"/>
  <c r="Q78" i="2"/>
  <c r="Q80" i="2"/>
  <c r="Q90" i="2"/>
  <c r="Q122" i="2"/>
  <c r="Q6" i="2"/>
  <c r="Q8" i="2"/>
  <c r="Q11" i="2"/>
  <c r="Q22" i="2"/>
  <c r="Q24" i="2"/>
  <c r="Q27" i="2"/>
  <c r="Q38" i="2"/>
  <c r="Q40" i="2"/>
  <c r="Q43" i="2"/>
  <c r="Q54" i="2"/>
  <c r="Q56" i="2"/>
  <c r="Q59" i="2"/>
  <c r="Q70" i="2"/>
  <c r="Q72" i="2"/>
  <c r="Q75" i="2"/>
  <c r="Q86" i="2"/>
  <c r="Q93" i="2"/>
  <c r="Q94" i="2"/>
  <c r="Q101" i="2"/>
  <c r="Q108" i="2"/>
  <c r="Q109" i="2"/>
  <c r="Q112" i="2"/>
  <c r="Q113" i="2"/>
  <c r="Q114" i="2"/>
  <c r="Q115" i="2"/>
  <c r="Q125" i="2"/>
  <c r="Q127" i="2"/>
  <c r="Q19" i="2"/>
  <c r="Q35" i="2"/>
  <c r="Q46" i="2"/>
  <c r="Q48" i="2"/>
  <c r="Q51" i="2"/>
  <c r="Q62" i="2"/>
  <c r="Q64" i="2"/>
  <c r="Q83" i="2"/>
  <c r="Q89" i="2"/>
  <c r="Q97" i="2"/>
  <c r="Q99" i="2"/>
  <c r="Q104" i="2"/>
  <c r="Q105" i="2"/>
  <c r="Q116" i="2"/>
  <c r="Q117" i="2"/>
  <c r="Q118" i="2"/>
  <c r="Q121" i="2"/>
  <c r="Q128" i="2"/>
  <c r="Q129" i="2"/>
  <c r="Q2" i="2"/>
  <c r="Q4" i="2"/>
  <c r="Q7" i="2"/>
  <c r="Q18" i="2"/>
  <c r="Q20" i="2"/>
  <c r="Q23" i="2"/>
  <c r="Q34" i="2"/>
  <c r="Q36" i="2"/>
  <c r="Q39" i="2"/>
  <c r="Q50" i="2"/>
  <c r="Q52" i="2"/>
  <c r="Q55" i="2"/>
  <c r="Q66" i="2"/>
  <c r="Q68" i="2"/>
  <c r="Q71" i="2"/>
  <c r="Q82" i="2"/>
  <c r="Q84" i="2"/>
  <c r="Q87" i="2"/>
  <c r="Q92" i="2"/>
  <c r="Q98" i="2"/>
  <c r="Q100" i="2"/>
  <c r="Q106" i="2"/>
  <c r="Q107" i="2"/>
  <c r="Q124" i="2"/>
</calcChain>
</file>

<file path=xl/sharedStrings.xml><?xml version="1.0" encoding="utf-8"?>
<sst xmlns="http://schemas.openxmlformats.org/spreadsheetml/2006/main" count="2266" uniqueCount="761">
  <si>
    <t>jiban_name</t>
    <phoneticPr fontId="5" type="noConversion"/>
  </si>
  <si>
    <t>jiban_id</t>
    <phoneticPr fontId="5" type="noConversion"/>
  </si>
  <si>
    <t>s</t>
    <phoneticPr fontId="5" type="noConversion"/>
  </si>
  <si>
    <t>jiban_jiacheng</t>
    <phoneticPr fontId="5" type="noConversion"/>
  </si>
  <si>
    <t>jiban_zhuangbei_id</t>
    <phoneticPr fontId="5" type="noConversion"/>
  </si>
  <si>
    <t>jiban_fabao_id</t>
    <phoneticPr fontId="5" type="noConversion"/>
  </si>
  <si>
    <t>s</t>
    <phoneticPr fontId="5" type="noConversion"/>
  </si>
  <si>
    <t>s</t>
    <phoneticPr fontId="5" type="noConversion"/>
  </si>
  <si>
    <t>[]</t>
  </si>
  <si>
    <t>jiban_hero_id</t>
  </si>
  <si>
    <t>s</t>
  </si>
  <si>
    <t>羁绊组描述</t>
    <phoneticPr fontId="5" type="noConversion"/>
  </si>
  <si>
    <t>羁绊ID</t>
    <phoneticPr fontId="5" type="noConversion"/>
  </si>
  <si>
    <t>head_erlangshen,head_yuhuangdadi</t>
  </si>
  <si>
    <t>head_sunwukong,head_liuermihou</t>
  </si>
  <si>
    <t>head_jinchanzi,head_tangsanzang</t>
  </si>
  <si>
    <t>head_xiezijing,head_zhizhujing</t>
  </si>
  <si>
    <t>head_niutou,head_mamian</t>
  </si>
  <si>
    <t>head_jinqianbaowang,head_yumianfuren</t>
  </si>
  <si>
    <t>head_jinqianbaowang,head_moyujing</t>
  </si>
  <si>
    <t>羁绊组名称
（显示名称）</t>
    <phoneticPr fontId="5" type="noConversion"/>
  </si>
  <si>
    <t>lanying_hujia</t>
  </si>
  <si>
    <t>lanying_xie</t>
  </si>
  <si>
    <t>youlong_hujia</t>
  </si>
  <si>
    <t>youlong_wuqi</t>
  </si>
  <si>
    <t>youlong_toukui</t>
  </si>
  <si>
    <t>youlong_xie</t>
  </si>
  <si>
    <t>zhutian_hujia</t>
  </si>
  <si>
    <t>zhutian_wuqi</t>
  </si>
  <si>
    <t>zhutian_toukui</t>
  </si>
  <si>
    <t>zhutian_xie</t>
  </si>
  <si>
    <t>牛魔王</t>
  </si>
  <si>
    <t>六耳猕猴</t>
  </si>
  <si>
    <t>白骨夫人</t>
  </si>
  <si>
    <t>铁扇公主</t>
  </si>
  <si>
    <t>孙悟空</t>
  </si>
  <si>
    <t>鹿力大仙</t>
  </si>
  <si>
    <t>羊力大仙</t>
  </si>
  <si>
    <t>虎力大仙</t>
  </si>
  <si>
    <t>猪八戒</t>
  </si>
  <si>
    <t>沙和尚</t>
  </si>
  <si>
    <t>混世魔王</t>
  </si>
  <si>
    <t>蜘蛛精</t>
  </si>
  <si>
    <t>蝎子精</t>
  </si>
  <si>
    <t>玉兔</t>
  </si>
  <si>
    <t>金钱豹王</t>
  </si>
  <si>
    <t>墨鱼精</t>
  </si>
  <si>
    <t>玉面夫人</t>
  </si>
  <si>
    <t>1101,1104</t>
  </si>
  <si>
    <t>1119,1117</t>
  </si>
  <si>
    <t>1131,1137</t>
  </si>
  <si>
    <t>1139,1140</t>
  </si>
  <si>
    <t>1139,1138</t>
  </si>
  <si>
    <t>1203,1204</t>
  </si>
  <si>
    <t>1206,1205</t>
  </si>
  <si>
    <t>1212,1122</t>
  </si>
  <si>
    <t>扇子精</t>
  </si>
  <si>
    <t>3025,3035</t>
  </si>
  <si>
    <t>防御+18%</t>
  </si>
  <si>
    <t>生命+14%</t>
  </si>
  <si>
    <t>3026,3036</t>
  </si>
  <si>
    <t>防御+20%</t>
  </si>
  <si>
    <t>攻击+12%</t>
  </si>
  <si>
    <t>攻击+14%</t>
  </si>
  <si>
    <t>1102,1123</t>
  </si>
  <si>
    <t>head_nezha,head_xiaobailong</t>
  </si>
  <si>
    <t>攻击+10%</t>
  </si>
  <si>
    <t>3024,3034</t>
  </si>
  <si>
    <t>防御+16%</t>
  </si>
  <si>
    <t>生命+10%</t>
  </si>
  <si>
    <t>1105,1123</t>
  </si>
  <si>
    <t>head_wangmuniangniang,head_xiaobailong</t>
  </si>
  <si>
    <t>生命+12%</t>
  </si>
  <si>
    <t>1113,1132</t>
  </si>
  <si>
    <t>head_hulidaxian,head_hunshimowang</t>
  </si>
  <si>
    <t>1118,1128</t>
  </si>
  <si>
    <t>head_hundun,head_saitaisui</t>
  </si>
  <si>
    <t>1120,1132</t>
  </si>
  <si>
    <t>head_zhubajie,head_hunshimowang</t>
  </si>
  <si>
    <t>1121,1110</t>
  </si>
  <si>
    <t>head_zixiaxianzi,head_honghaier</t>
  </si>
  <si>
    <t>1121,1216</t>
  </si>
  <si>
    <t>head_zixiaxianzi,head_nverguoguowang</t>
  </si>
  <si>
    <t>1127,1110</t>
  </si>
  <si>
    <t>head_milefo,head_honghaier</t>
  </si>
  <si>
    <t>1134,1133</t>
  </si>
  <si>
    <t>head_jinghelongwang,head_leigong</t>
  </si>
  <si>
    <t>head_guishihei,head_guishibai</t>
  </si>
  <si>
    <t>1211,1125</t>
  </si>
  <si>
    <t>head_douzhanshengfo,head_jiaye</t>
  </si>
  <si>
    <t>1213,1207</t>
  </si>
  <si>
    <t>1218,1106</t>
  </si>
  <si>
    <t>head_baiwuchang,head_taibaijinxing</t>
  </si>
  <si>
    <t>1219,1104</t>
  </si>
  <si>
    <t>head_heiwuchang,head_yuhuangdadi</t>
  </si>
  <si>
    <t>1138,1226</t>
  </si>
  <si>
    <t>head_tieshangongzhu,head_yanglidaxian</t>
  </si>
  <si>
    <t>head_tieshangongzhu,head_xiezijing</t>
  </si>
  <si>
    <t>lanying_wuqi</t>
  </si>
  <si>
    <t>lanying_toukui</t>
  </si>
  <si>
    <t>1119,1124,1120</t>
  </si>
  <si>
    <t>1119,1116</t>
  </si>
  <si>
    <t>1119,1114</t>
  </si>
  <si>
    <t>1119,1137</t>
  </si>
  <si>
    <t>1120,1116,1115</t>
  </si>
  <si>
    <t>1120,1117</t>
  </si>
  <si>
    <t>1120,1113</t>
  </si>
  <si>
    <t>1124,1116</t>
  </si>
  <si>
    <t>1124,1131</t>
  </si>
  <si>
    <t>1124,1208</t>
  </si>
  <si>
    <t>1124,1132</t>
  </si>
  <si>
    <t>1113,1116,1115</t>
  </si>
  <si>
    <t>1112,1111,1113</t>
  </si>
  <si>
    <t>1113,1117</t>
  </si>
  <si>
    <t>1112,1115</t>
  </si>
  <si>
    <t>1112,1114</t>
  </si>
  <si>
    <t>1112,1137</t>
  </si>
  <si>
    <t>1112,1208</t>
  </si>
  <si>
    <t>1111,1115</t>
  </si>
  <si>
    <t>1111,1131</t>
  </si>
  <si>
    <t>1111,1208</t>
  </si>
  <si>
    <t>1111,1114</t>
  </si>
  <si>
    <t>1211,1215</t>
  </si>
  <si>
    <t>1211,1202</t>
  </si>
  <si>
    <t>1211,1122</t>
  </si>
  <si>
    <t>1121,1215</t>
  </si>
  <si>
    <t>1101,1103</t>
  </si>
  <si>
    <t>1101,1107</t>
  </si>
  <si>
    <t>1101,1201</t>
  </si>
  <si>
    <t>1105,1103</t>
  </si>
  <si>
    <t>1105,1135</t>
  </si>
  <si>
    <t>head_niumowang,head_tieshangongzhu,head_zhubajie,head_yanglidaxian</t>
  </si>
  <si>
    <t>head_sunwukong,head_shaheshang,head_zhubajie</t>
  </si>
  <si>
    <t>head_niumowang,head_tieshangongzhu,head_hulidaxian</t>
  </si>
  <si>
    <t>head_zhubajie,head_baigufuren,head_yanglidaxian</t>
  </si>
  <si>
    <t>head_hulidaxian,head_baigufuren,head_yanglidaxian</t>
  </si>
  <si>
    <t>1117,1132,1208</t>
  </si>
  <si>
    <t>head_liuermihou,head_hunshimowang,head_caidiexiantong</t>
  </si>
  <si>
    <t>1114,1131,1208</t>
  </si>
  <si>
    <t>head_lulidaxian,head_xiezijing,head_caidiexiantong</t>
  </si>
  <si>
    <t>1132,1137,1114</t>
  </si>
  <si>
    <t>head_hunshimowang,head_zhizhujing,head_lulidaxian</t>
  </si>
  <si>
    <t>1117,1131,1137</t>
  </si>
  <si>
    <t>head_liuermihou,head_xiezijing,head_zhizhujing</t>
  </si>
  <si>
    <t>head_sunwukong,head_baigufuren</t>
  </si>
  <si>
    <t>head_shaheshang,head_baigufuren</t>
  </si>
  <si>
    <t>head_niumowang,head_yanglidaxian</t>
  </si>
  <si>
    <t>head_zhubajie,head_liuermihou</t>
  </si>
  <si>
    <t>head_hulidaxian,head_liuermihou</t>
  </si>
  <si>
    <t>head_zhubajie,head_hulidaxian</t>
  </si>
  <si>
    <t>head_sunwukong,head_lulidaxian</t>
  </si>
  <si>
    <t>head_niumowang,head_lulidaxian</t>
  </si>
  <si>
    <t>head_shaheshang,head_xiezijing</t>
  </si>
  <si>
    <t>head_sunwukong,head_zhizhujing</t>
  </si>
  <si>
    <t>head_niumowang,head_zhizhujing</t>
  </si>
  <si>
    <t>head_shaheshang,head_caidiexiantong</t>
  </si>
  <si>
    <t>head_tieshangongzhu,head_caidiexiantong</t>
  </si>
  <si>
    <t>head_shaheshang,head_hunshimowang</t>
  </si>
  <si>
    <t>head_niumowang,head_caidiexiantong</t>
  </si>
  <si>
    <t>head_tieshangongzhu,head_lulidaxian</t>
  </si>
  <si>
    <t>1138,1504,1139</t>
  </si>
  <si>
    <t>head_yumianfuren,head_xiejiang,head_jinqianbaowang</t>
  </si>
  <si>
    <t>1141,1140,1504</t>
  </si>
  <si>
    <t>head_yutu,head_moyujing,head_xiejiang</t>
  </si>
  <si>
    <t>head_yumianfuren,head_shanzijing</t>
  </si>
  <si>
    <t>1141,1504</t>
  </si>
  <si>
    <t>head_yutu,head_xiejiang</t>
  </si>
  <si>
    <t>1140,1226</t>
  </si>
  <si>
    <t>head_moyujing,head_shanzijing</t>
  </si>
  <si>
    <t>1138,1141</t>
  </si>
  <si>
    <t>head_yumianfuren,head_yutu</t>
  </si>
  <si>
    <t>1226,1504</t>
  </si>
  <si>
    <t>head_shanzijing,head_xiejiang</t>
  </si>
  <si>
    <t>1139,1226</t>
  </si>
  <si>
    <t>head_jinqianbaowang,head_shanzijing</t>
  </si>
  <si>
    <t>1140,1141</t>
  </si>
  <si>
    <t>head_moyujing,head_yutu</t>
  </si>
  <si>
    <t>1135,1201,1107</t>
  </si>
  <si>
    <t>head_donghailongwang,head_yanluowang,head_chijiaodaxian</t>
  </si>
  <si>
    <t>head_erlangshen,head_change</t>
  </si>
  <si>
    <t>head_wangmuniangniang,head_change</t>
  </si>
  <si>
    <t>head_erlangshen,head_chijiaodaxian</t>
  </si>
  <si>
    <t>head_erlangshen,head_yanluowang</t>
  </si>
  <si>
    <t>1105,1106</t>
  </si>
  <si>
    <t>head_wangmuniangniang,head_taibaijinxing</t>
  </si>
  <si>
    <t>head_wangmuniangniang,head_donghailongwang</t>
  </si>
  <si>
    <t>1203,1205,1134</t>
  </si>
  <si>
    <t>head_guishihei,head_mamian,head_jinghelongwang</t>
  </si>
  <si>
    <t>1206,1133,1205</t>
  </si>
  <si>
    <t>head_niutou,head_leigong,head_mamian</t>
  </si>
  <si>
    <t>1134,1203</t>
  </si>
  <si>
    <t>head_jinghelongwang,head_guishihei</t>
  </si>
  <si>
    <t>1133,1204</t>
  </si>
  <si>
    <t>head_leigong,head_guishibai</t>
  </si>
  <si>
    <t>1203,1206</t>
  </si>
  <si>
    <t>head_guishihei,head_niutou</t>
  </si>
  <si>
    <t>1204,1205</t>
  </si>
  <si>
    <t>head_guishibai,head_mamian</t>
  </si>
  <si>
    <t>1134,1204</t>
  </si>
  <si>
    <t>head_jinghelongwang,head_guishibai</t>
  </si>
  <si>
    <t>1133,1206</t>
  </si>
  <si>
    <t>head_leigong,head_niutou</t>
  </si>
  <si>
    <t>1122,1110,1207</t>
  </si>
  <si>
    <t>head_tangsanzang,head_honghaier,head_yinhunxianzi</t>
  </si>
  <si>
    <t>1125,1216,1207</t>
  </si>
  <si>
    <t>head_jiaye,head_nverguoguowang,head_yinhunxianzi</t>
  </si>
  <si>
    <t>1110,1202,1125</t>
  </si>
  <si>
    <t>head_honghaier,head_renshenwa,head_jiaye</t>
  </si>
  <si>
    <t>1122,1216,1202</t>
  </si>
  <si>
    <t>head_tangsanzang,head_nverguoguowang,head_renshenwa</t>
  </si>
  <si>
    <t>head_douzhanshengfo,head_guanshiyin</t>
  </si>
  <si>
    <t>head_zixiaxianzi,head_guanshiyin</t>
  </si>
  <si>
    <t>head_douzhanshengfo,head_renshenwa</t>
  </si>
  <si>
    <t>1121,1207</t>
  </si>
  <si>
    <t>head_zixiaxianzi,head_yinhunxianzi</t>
  </si>
  <si>
    <t>head_douzhanshengfo,head_tangsanzang</t>
  </si>
  <si>
    <t>1216,1202</t>
  </si>
  <si>
    <t>head_nverguoguowang,head_renshenwa</t>
  </si>
  <si>
    <t>1136,1152,1130</t>
  </si>
  <si>
    <t>head_bailonggongzhu,head_heixiongjing,head_dizangwang</t>
  </si>
  <si>
    <t>1192,1118,1152</t>
  </si>
  <si>
    <t>head_qinxian,head_hundun,head_heixiongjing</t>
  </si>
  <si>
    <t>1130,1118</t>
  </si>
  <si>
    <t>head_dizangwang,head_hundun</t>
  </si>
  <si>
    <t>1136,1128</t>
  </si>
  <si>
    <t>head_bailonggongzhu,head_saitaisui</t>
  </si>
  <si>
    <t>1192,1152</t>
  </si>
  <si>
    <t>head_qinxian,head_heixiongjing</t>
  </si>
  <si>
    <t>1130,1136</t>
  </si>
  <si>
    <t>head_dizangwang,head_bailonggongzhu</t>
  </si>
  <si>
    <t>head_bailonggongzhu,head_qinxian</t>
  </si>
  <si>
    <t>head_saitaisui,head_heixiongjing</t>
  </si>
  <si>
    <t>head_dizangwang,head_saitaisui</t>
  </si>
  <si>
    <t>1119,1124,1113,1116</t>
  </si>
  <si>
    <t>head_sunwukong,head_shaheshang,head_hulidaxian,head_baigufuren</t>
  </si>
  <si>
    <t>1112,1111,1120,1115</t>
  </si>
  <si>
    <t>1104,1135,1123</t>
  </si>
  <si>
    <t>head_yuhuangdadi,head_donghailongwang,head_xiaobailong</t>
  </si>
  <si>
    <t>1107,1106,1123</t>
  </si>
  <si>
    <t>head_chijiaodaxian,head_taibaijinxing,head_xiaobailong</t>
  </si>
  <si>
    <t>1104,1106,1201</t>
  </si>
  <si>
    <t>head_yuhuangdadi,head_taibaijinxing,head_yanluowang</t>
  </si>
  <si>
    <t>1106,1201</t>
  </si>
  <si>
    <t>head_taibaijinxing,head_yanluowang</t>
  </si>
  <si>
    <t>1136,1192</t>
  </si>
  <si>
    <t>1128,1152</t>
  </si>
  <si>
    <t>1130,1128</t>
  </si>
  <si>
    <t>head_hundun,head_qinxian</t>
  </si>
  <si>
    <t>如花似玉</t>
  </si>
  <si>
    <t>狂战四方</t>
  </si>
  <si>
    <t>平顶斗法</t>
  </si>
  <si>
    <t>乱斗三界</t>
  </si>
  <si>
    <t>飞沙走石</t>
  </si>
  <si>
    <t>威震四方</t>
  </si>
  <si>
    <t>车池斗法</t>
  </si>
  <si>
    <t>群妖乱舞</t>
  </si>
  <si>
    <t>芳心暗许</t>
  </si>
  <si>
    <t>千娇百媚</t>
  </si>
  <si>
    <t>为情所困</t>
  </si>
  <si>
    <t>情迷蛛女</t>
  </si>
  <si>
    <t>纯真无邪</t>
  </si>
  <si>
    <t>迷津蝶影</t>
  </si>
  <si>
    <t>真假猴王</t>
  </si>
  <si>
    <t>征战不休</t>
  </si>
  <si>
    <t>乖巧可爱</t>
  </si>
  <si>
    <t>绝色罗刹</t>
  </si>
  <si>
    <t>绝代妖娆</t>
  </si>
  <si>
    <t>东海之宴</t>
  </si>
  <si>
    <t>可爱至上</t>
  </si>
  <si>
    <t>夺命罗刹</t>
  </si>
  <si>
    <t>婀娜多姿</t>
  </si>
  <si>
    <t>天真烂漫</t>
  </si>
  <si>
    <t>蛇蝎美人</t>
  </si>
  <si>
    <t>心狠手辣</t>
  </si>
  <si>
    <t>冰肌玉肤</t>
  </si>
  <si>
    <t>秘友之邀</t>
  </si>
  <si>
    <t>妩媚多情</t>
  </si>
  <si>
    <t>明眉皓齿</t>
  </si>
  <si>
    <t>神威万古</t>
  </si>
  <si>
    <t>法力无边</t>
  </si>
  <si>
    <t>神通广大</t>
  </si>
  <si>
    <t>仙府栋梁</t>
  </si>
  <si>
    <t>仙府重臣</t>
  </si>
  <si>
    <t>绝色天仙</t>
  </si>
  <si>
    <t>天庭君臣</t>
  </si>
  <si>
    <t>股肱之臣</t>
  </si>
  <si>
    <t>仙家威严</t>
  </si>
  <si>
    <t>道法无边</t>
  </si>
  <si>
    <t>天造地设</t>
  </si>
  <si>
    <t>仙姿玉色</t>
  </si>
  <si>
    <t>天仙传奇</t>
  </si>
  <si>
    <t>绝代风华</t>
  </si>
  <si>
    <t>忠于职守</t>
  </si>
  <si>
    <t>战神无敌</t>
  </si>
  <si>
    <t>地海之源</t>
  </si>
  <si>
    <t>上天入海</t>
  </si>
  <si>
    <t>斩妖除魔</t>
  </si>
  <si>
    <t>灵霄守卫</t>
  </si>
  <si>
    <t>各显神通</t>
  </si>
  <si>
    <t>瑶池赴宴</t>
  </si>
  <si>
    <t>情投意合</t>
  </si>
  <si>
    <t>天将地仙</t>
  </si>
  <si>
    <t>铁面无私</t>
  </si>
  <si>
    <t>心腹重臣</t>
  </si>
  <si>
    <t>睚眦必报</t>
  </si>
  <si>
    <t>天庭舅甥</t>
  </si>
  <si>
    <t>瑶池之宴</t>
  </si>
  <si>
    <t>玉帝近臣</t>
  </si>
  <si>
    <t>萍水相逢</t>
  </si>
  <si>
    <t>执掌生死</t>
  </si>
  <si>
    <t>兄弟同心</t>
  </si>
  <si>
    <t>雷霆万钧</t>
  </si>
  <si>
    <t>勾魂索命</t>
  </si>
  <si>
    <t>地府群仙</t>
  </si>
  <si>
    <t>地府龙吟</t>
  </si>
  <si>
    <t>天庭雷劫</t>
  </si>
  <si>
    <t>鬼使巡差</t>
  </si>
  <si>
    <t>护卫地府</t>
  </si>
  <si>
    <t>忠心无二</t>
  </si>
  <si>
    <t>雷霆之怒</t>
  </si>
  <si>
    <t>灭世妖佛</t>
  </si>
  <si>
    <t>佛法无边</t>
  </si>
  <si>
    <t>妖神护佑</t>
  </si>
  <si>
    <t>妖佛对质</t>
  </si>
  <si>
    <t>佛法自然</t>
  </si>
  <si>
    <t>恩怨纠葛</t>
  </si>
  <si>
    <t>纶音佛语</t>
  </si>
  <si>
    <t>战天斗地</t>
  </si>
  <si>
    <t>佛缘深厚</t>
  </si>
  <si>
    <t>后世之果</t>
  </si>
  <si>
    <t>斗战不休</t>
  </si>
  <si>
    <t>冰清玉洁</t>
  </si>
  <si>
    <t>笑里藏刀</t>
  </si>
  <si>
    <t>一脉相承</t>
  </si>
  <si>
    <t>普渡众生</t>
  </si>
  <si>
    <t>遇佛杀佛</t>
  </si>
  <si>
    <t>见性成佛</t>
  </si>
  <si>
    <t>魔主苍生</t>
  </si>
  <si>
    <t>前世今生</t>
  </si>
  <si>
    <t>法不相容</t>
  </si>
  <si>
    <t>佛眼佛心</t>
  </si>
  <si>
    <t>命途多舛</t>
  </si>
  <si>
    <t>前世之源</t>
  </si>
  <si>
    <t>五庄相助</t>
  </si>
  <si>
    <t>贪吃成性</t>
  </si>
  <si>
    <t>冰肌玉骨</t>
  </si>
  <si>
    <t>佛法高深</t>
  </si>
  <si>
    <t>师徒之源</t>
  </si>
  <si>
    <t>普陀相救</t>
  </si>
  <si>
    <t>佛光普照</t>
  </si>
  <si>
    <t>佛祖护法</t>
  </si>
  <si>
    <t>慈心向善</t>
  </si>
  <si>
    <t>观音点化</t>
  </si>
  <si>
    <t>佛心普渡</t>
  </si>
  <si>
    <t>东海情缘</t>
  </si>
  <si>
    <t>普陀相逢</t>
  </si>
  <si>
    <t>佛眼相看</t>
  </si>
  <si>
    <t>妖娆魅惑</t>
  </si>
  <si>
    <t>心慈貌美</t>
  </si>
  <si>
    <t>大战黑山</t>
  </si>
  <si>
    <t>仁心相助</t>
  </si>
  <si>
    <t>仙妖斗法</t>
  </si>
  <si>
    <t>1101,1105,1108,1103</t>
  </si>
  <si>
    <t>head_erlangshen,head_wangmuniangniang,head_tuotatianwang,head_change</t>
  </si>
  <si>
    <t>1102,1218,1219,1109</t>
  </si>
  <si>
    <t>head_nezha,head_baiwuchang,head_heiwuchang,head_jiutianxuannv</t>
  </si>
  <si>
    <t>1101,1105,1219</t>
  </si>
  <si>
    <t>head_erlangshen,head_wangmuniangniang,head_heiwuchang</t>
  </si>
  <si>
    <t>1102,1218,1108</t>
  </si>
  <si>
    <t>head_nezha,head_baiwuchang,head_tuotatianwang</t>
  </si>
  <si>
    <t>1219,1103,1109</t>
  </si>
  <si>
    <t>head_heiwuchang,head_change,head_jiutianxuannv</t>
  </si>
  <si>
    <t>1108,1103,1109</t>
  </si>
  <si>
    <t>head_tuotatianwang,head_change,head_jiutianxuannv</t>
  </si>
  <si>
    <t>1102,1109</t>
  </si>
  <si>
    <t>head_nezha,head_jiutianxuannv</t>
  </si>
  <si>
    <t>1218,1109</t>
  </si>
  <si>
    <t>head_baiwuchang,head_jiutianxuannv</t>
  </si>
  <si>
    <t>1108,1104</t>
  </si>
  <si>
    <t>head_tuotatianwang,head_yuhuangdadi</t>
  </si>
  <si>
    <t>1219,1135</t>
  </si>
  <si>
    <t>head_heiwuchang,head_donghailongwang</t>
  </si>
  <si>
    <t>1108,1135</t>
  </si>
  <si>
    <t>head_tuotatianwang,head_donghailongwang</t>
  </si>
  <si>
    <t>1219,1108</t>
  </si>
  <si>
    <t>head_heiwuchang,head_tuotatianwang</t>
  </si>
  <si>
    <t>1102,1107</t>
  </si>
  <si>
    <t>head_nezha,head_chijiaodaxian</t>
  </si>
  <si>
    <t>1102,1201</t>
  </si>
  <si>
    <t>head_nezha,head_yanluowang</t>
  </si>
  <si>
    <t>1218,1123</t>
  </si>
  <si>
    <t>head_baiwuchang,head_xiaobailong</t>
  </si>
  <si>
    <t>1218,1107</t>
  </si>
  <si>
    <t>head_baiwuchang,head_chijiaodaxian</t>
  </si>
  <si>
    <t>1211,1121,1127,1215</t>
  </si>
  <si>
    <t>head_douzhanshengfo,head_zixiaxianzi,head_milefo,head_guanshiyin</t>
  </si>
  <si>
    <t>1214,1213,1212,1126</t>
  </si>
  <si>
    <t>head_babutianlong,head_longdi,head_jinchanzi,head_wenshupusa</t>
  </si>
  <si>
    <t>1211,1121,1212</t>
  </si>
  <si>
    <t>head_douzhanshengfo,head_zixiaxianzi,head_jinchanzi</t>
  </si>
  <si>
    <t>1214,1213,1127</t>
  </si>
  <si>
    <t>head_babutianlong,head_longdi,head_milefo</t>
  </si>
  <si>
    <t>1212,1215,1126</t>
  </si>
  <si>
    <t>head_jinchanzi,head_guanshiyin,head_wenshupusa</t>
  </si>
  <si>
    <t>1127,1215,1126</t>
  </si>
  <si>
    <t>head_milefo,head_guanshiyin,head_wenshupusa</t>
  </si>
  <si>
    <t>1214,1126</t>
  </si>
  <si>
    <t>head_babutianlong,head_wenshupusa</t>
  </si>
  <si>
    <t>1213,1126</t>
  </si>
  <si>
    <t>head_longdi,head_wenshupusa</t>
  </si>
  <si>
    <t>1127,1122</t>
  </si>
  <si>
    <t>head_milefo,head_tangsanzang</t>
  </si>
  <si>
    <t>1212,1110</t>
  </si>
  <si>
    <t>head_jinchanzi,head_honghaier</t>
  </si>
  <si>
    <t>1212,1127</t>
  </si>
  <si>
    <t>head_jinchanzi,head_milefo</t>
  </si>
  <si>
    <t>1214,1125</t>
  </si>
  <si>
    <t>head_babutianlong,head_jiaye</t>
  </si>
  <si>
    <t>1213,1216</t>
  </si>
  <si>
    <t>head_longdi,head_nverguoguowang</t>
  </si>
  <si>
    <t>1214,1202</t>
  </si>
  <si>
    <t>head_babutianlong,head_renshenwa</t>
  </si>
  <si>
    <t>head_longdi,head_yinhunxianzi</t>
  </si>
  <si>
    <t>1214,1207</t>
  </si>
  <si>
    <t>head_babutianlong,head_yinhunxianzi</t>
  </si>
  <si>
    <t>1213,1125</t>
  </si>
  <si>
    <t>head_longdi,head_jiaye</t>
  </si>
  <si>
    <t>1118,1192</t>
  </si>
  <si>
    <t>英雄名字：</t>
  </si>
  <si>
    <t>彩蝶仙童</t>
  </si>
  <si>
    <t>蟹将</t>
  </si>
  <si>
    <t>生命，攻击+24%</t>
  </si>
  <si>
    <t>生命，攻击+20%</t>
  </si>
  <si>
    <t>生命，防御+20%</t>
  </si>
  <si>
    <t>攻击，防御+20%</t>
  </si>
  <si>
    <t>七星宣花铃</t>
  </si>
  <si>
    <t>3017</t>
  </si>
  <si>
    <t>天翎幻音铃</t>
  </si>
  <si>
    <t>3019</t>
  </si>
  <si>
    <t>太极清源镜</t>
  </si>
  <si>
    <t>3018</t>
  </si>
  <si>
    <t>羲皇八门镜</t>
  </si>
  <si>
    <t>3020</t>
  </si>
  <si>
    <t>生命，攻击+20%</t>
    <phoneticPr fontId="10" type="noConversion"/>
  </si>
  <si>
    <r>
      <t>生命，防御</t>
    </r>
    <r>
      <rPr>
        <sz val="10"/>
        <color theme="1"/>
        <rFont val="微软雅黑"/>
        <family val="2"/>
        <charset val="134"/>
      </rPr>
      <t>+20%</t>
    </r>
    <phoneticPr fontId="10" type="noConversion"/>
  </si>
  <si>
    <r>
      <t>生命，防御</t>
    </r>
    <r>
      <rPr>
        <sz val="10"/>
        <color theme="1"/>
        <rFont val="微软雅黑"/>
        <family val="2"/>
        <charset val="134"/>
      </rPr>
      <t>+20%</t>
    </r>
    <phoneticPr fontId="10" type="noConversion"/>
  </si>
  <si>
    <t>防御+16%</t>
    <phoneticPr fontId="10" type="noConversion"/>
  </si>
  <si>
    <t>攻击+16%</t>
  </si>
  <si>
    <r>
      <t>防御</t>
    </r>
    <r>
      <rPr>
        <sz val="10"/>
        <color theme="1"/>
        <rFont val="微软雅黑"/>
        <family val="2"/>
        <charset val="134"/>
      </rPr>
      <t>+16%</t>
    </r>
    <phoneticPr fontId="10" type="noConversion"/>
  </si>
  <si>
    <r>
      <t>防御</t>
    </r>
    <r>
      <rPr>
        <sz val="10"/>
        <color theme="1"/>
        <rFont val="微软雅黑"/>
        <family val="2"/>
        <charset val="134"/>
      </rPr>
      <t>+16%</t>
    </r>
    <phoneticPr fontId="10" type="noConversion"/>
  </si>
  <si>
    <t>生命+16%</t>
  </si>
  <si>
    <t>生命+16%</t>
    <phoneticPr fontId="10" type="noConversion"/>
  </si>
  <si>
    <t>生命，攻击+20%</t>
    <phoneticPr fontId="10" type="noConversion"/>
  </si>
  <si>
    <t>7224,7324</t>
  </si>
  <si>
    <t>7220,7320</t>
  </si>
  <si>
    <t>7220,7820,7920</t>
  </si>
  <si>
    <t>7816,7916</t>
  </si>
  <si>
    <t>7316</t>
  </si>
  <si>
    <t>7820,7920</t>
  </si>
  <si>
    <t>7216</t>
  </si>
  <si>
    <r>
      <t xml:space="preserve">羁绊组英雄ID
</t>
    </r>
    <r>
      <rPr>
        <sz val="10"/>
        <color rgb="FFFF0000"/>
        <rFont val="微软雅黑"/>
        <family val="2"/>
        <charset val="134"/>
      </rPr>
      <t>调用hero_main里面的hero_id,通过逗号进行分割</t>
    </r>
    <phoneticPr fontId="5" type="noConversion"/>
  </si>
  <si>
    <r>
      <t xml:space="preserve">羁绊角色图标
</t>
    </r>
    <r>
      <rPr>
        <sz val="10"/>
        <color rgb="FFFF0000"/>
        <rFont val="微软雅黑"/>
        <family val="2"/>
        <charset val="134"/>
      </rPr>
      <t>调用game_res里面的资源id</t>
    </r>
    <phoneticPr fontId="5" type="noConversion"/>
  </si>
  <si>
    <r>
      <t xml:space="preserve">羁绊组装备ID
（需要用于激活羁绊的英雄id）
</t>
    </r>
    <r>
      <rPr>
        <sz val="10"/>
        <color rgb="FFFF0000"/>
        <rFont val="微软雅黑"/>
        <family val="2"/>
        <charset val="134"/>
      </rPr>
      <t>调用game_equipment里面的资源id</t>
    </r>
    <phoneticPr fontId="5" type="noConversion"/>
  </si>
  <si>
    <r>
      <t xml:space="preserve">羁绊装备图标
</t>
    </r>
    <r>
      <rPr>
        <sz val="10"/>
        <color rgb="FFFF0000"/>
        <rFont val="微软雅黑"/>
        <family val="2"/>
        <charset val="134"/>
      </rPr>
      <t>调用game_res里面的资源id</t>
    </r>
    <phoneticPr fontId="5" type="noConversion"/>
  </si>
  <si>
    <r>
      <t xml:space="preserve">羁绊组法宝ID
（需要用于激活羁绊的英雄id）
</t>
    </r>
    <r>
      <rPr>
        <sz val="10"/>
        <color rgb="FFFF0000"/>
        <rFont val="微软雅黑"/>
        <family val="2"/>
        <charset val="134"/>
      </rPr>
      <t>调用game_fabao里面的资源id</t>
    </r>
    <phoneticPr fontId="5" type="noConversion"/>
  </si>
  <si>
    <r>
      <t xml:space="preserve">羁绊图标
</t>
    </r>
    <r>
      <rPr>
        <sz val="10"/>
        <color rgb="FFFF0000"/>
        <rFont val="微软雅黑"/>
        <family val="2"/>
        <charset val="134"/>
      </rPr>
      <t>调用game_res里面的资源id</t>
    </r>
    <phoneticPr fontId="5" type="noConversion"/>
  </si>
  <si>
    <r>
      <t xml:space="preserve">加成效果
</t>
    </r>
    <r>
      <rPr>
        <sz val="10"/>
        <color rgb="FFFF0000"/>
        <rFont val="微软雅黑"/>
        <family val="2"/>
        <charset val="134"/>
      </rPr>
      <t>（调用hero_effect）</t>
    </r>
    <phoneticPr fontId="5" type="noConversion"/>
  </si>
  <si>
    <t>jiban_tubiao</t>
    <phoneticPr fontId="5" type="noConversion"/>
  </si>
  <si>
    <t>jiban_tubiao_equ</t>
    <phoneticPr fontId="5" type="noConversion"/>
  </si>
  <si>
    <t>jiban_tubiao_fabao</t>
    <phoneticPr fontId="5" type="noConversion"/>
  </si>
  <si>
    <t>jiban_description</t>
    <phoneticPr fontId="5" type="noConversion"/>
  </si>
  <si>
    <t>羁绊ID</t>
    <phoneticPr fontId="5" type="noConversion"/>
  </si>
  <si>
    <t>羁绊组名称
（显示名称）</t>
    <phoneticPr fontId="5" type="noConversion"/>
  </si>
  <si>
    <r>
      <t xml:space="preserve">羁绊组英雄ID
</t>
    </r>
    <r>
      <rPr>
        <sz val="10"/>
        <color rgb="FFFF0000"/>
        <rFont val="微软雅黑"/>
        <family val="2"/>
        <charset val="134"/>
      </rPr>
      <t>调用hero_main里面的hero_id,通过逗号进行分割</t>
    </r>
    <phoneticPr fontId="5" type="noConversion"/>
  </si>
  <si>
    <r>
      <t xml:space="preserve">羁绊角色图标
</t>
    </r>
    <r>
      <rPr>
        <sz val="10"/>
        <color rgb="FFFF0000"/>
        <rFont val="微软雅黑"/>
        <family val="2"/>
        <charset val="134"/>
      </rPr>
      <t>调用game_res里面的资源id</t>
    </r>
    <phoneticPr fontId="5" type="noConversion"/>
  </si>
  <si>
    <r>
      <t xml:space="preserve">加成效果
</t>
    </r>
    <r>
      <rPr>
        <sz val="10"/>
        <color rgb="FFFF0000"/>
        <rFont val="微软雅黑"/>
        <family val="2"/>
        <charset val="134"/>
      </rPr>
      <t>（调用hero_effect）</t>
    </r>
    <phoneticPr fontId="5" type="noConversion"/>
  </si>
  <si>
    <t>羁绊组描述</t>
    <phoneticPr fontId="5" type="noConversion"/>
  </si>
  <si>
    <t>妖族羁绊</t>
    <phoneticPr fontId="10" type="noConversion"/>
  </si>
  <si>
    <t>缘分效果</t>
    <phoneticPr fontId="10" type="noConversion"/>
  </si>
  <si>
    <t>属性1</t>
    <phoneticPr fontId="10" type="noConversion"/>
  </si>
  <si>
    <t>属性2</t>
    <phoneticPr fontId="10" type="noConversion"/>
  </si>
  <si>
    <t>属性值</t>
    <phoneticPr fontId="10" type="noConversion"/>
  </si>
  <si>
    <r>
      <t>配置I</t>
    </r>
    <r>
      <rPr>
        <sz val="10"/>
        <color theme="1"/>
        <rFont val="微软雅黑"/>
        <family val="2"/>
        <charset val="134"/>
      </rPr>
      <t>D</t>
    </r>
    <phoneticPr fontId="10" type="noConversion"/>
  </si>
  <si>
    <t>降魔伏妖</t>
    <phoneticPr fontId="10" type="noConversion"/>
  </si>
  <si>
    <t>孙悟空</t>
    <phoneticPr fontId="10" type="noConversion"/>
  </si>
  <si>
    <t>白骨夫人</t>
    <phoneticPr fontId="10" type="noConversion"/>
  </si>
  <si>
    <t>生命+10%</t>
    <phoneticPr fontId="10" type="noConversion"/>
  </si>
  <si>
    <t>妖界之王</t>
    <phoneticPr fontId="10" type="noConversion"/>
  </si>
  <si>
    <t>生命+11%</t>
  </si>
  <si>
    <t>西行之路</t>
    <phoneticPr fontId="10" type="noConversion"/>
  </si>
  <si>
    <t>称王称霸</t>
    <phoneticPr fontId="10" type="noConversion"/>
  </si>
  <si>
    <t>生命+13%</t>
  </si>
  <si>
    <t>环肥燕瘦</t>
    <phoneticPr fontId="10" type="noConversion"/>
  </si>
  <si>
    <t>妖法无边</t>
    <phoneticPr fontId="10" type="noConversion"/>
  </si>
  <si>
    <t>生命+15%</t>
  </si>
  <si>
    <t>邪不压正</t>
    <phoneticPr fontId="10" type="noConversion"/>
  </si>
  <si>
    <t>红粉佳人</t>
    <phoneticPr fontId="10" type="noConversion"/>
  </si>
  <si>
    <t>生命+17%</t>
  </si>
  <si>
    <t>恩将仇报</t>
    <phoneticPr fontId="10" type="noConversion"/>
  </si>
  <si>
    <t>生命+18%</t>
  </si>
  <si>
    <t>秀色可餐</t>
    <phoneticPr fontId="10" type="noConversion"/>
  </si>
  <si>
    <t>生命+19%</t>
  </si>
  <si>
    <t>爱恨纠缠</t>
    <phoneticPr fontId="10" type="noConversion"/>
  </si>
  <si>
    <t>生命+20%</t>
  </si>
  <si>
    <t>千年修行</t>
    <phoneticPr fontId="5" type="noConversion"/>
  </si>
  <si>
    <t>生命+21%</t>
  </si>
  <si>
    <t>铁汉柔情</t>
    <phoneticPr fontId="5" type="noConversion"/>
  </si>
  <si>
    <t>生命+22%</t>
  </si>
  <si>
    <t>如花似玉</t>
    <phoneticPr fontId="5" type="noConversion"/>
  </si>
  <si>
    <t>生命+23%</t>
  </si>
  <si>
    <t>生命+24%</t>
  </si>
  <si>
    <t>生命+25%</t>
  </si>
  <si>
    <r>
      <t>攻击+</t>
    </r>
    <r>
      <rPr>
        <sz val="10"/>
        <color theme="1"/>
        <rFont val="微软雅黑"/>
        <family val="2"/>
        <charset val="134"/>
      </rPr>
      <t>10%</t>
    </r>
    <phoneticPr fontId="10" type="noConversion"/>
  </si>
  <si>
    <r>
      <t>攻击+</t>
    </r>
    <r>
      <rPr>
        <sz val="10"/>
        <color theme="1"/>
        <rFont val="微软雅黑"/>
        <family val="2"/>
        <charset val="134"/>
      </rPr>
      <t>11%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</si>
  <si>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12%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</si>
  <si>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13%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</si>
  <si>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14%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</si>
  <si>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15%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</si>
  <si>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16%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</si>
  <si>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17%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</si>
  <si>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18%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</si>
  <si>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19%</t>
    </r>
    <r>
      <rPr>
        <sz val="11"/>
        <color theme="1"/>
        <rFont val="宋体"/>
        <family val="2"/>
        <charset val="134"/>
        <scheme val="minor"/>
      </rPr>
      <t/>
    </r>
  </si>
  <si>
    <t>彩蝶仙童</t>
    <phoneticPr fontId="10" type="noConversion"/>
  </si>
  <si>
    <r>
      <t>攻击+</t>
    </r>
    <r>
      <rPr>
        <sz val="10"/>
        <color theme="1"/>
        <rFont val="微软雅黑"/>
        <family val="2"/>
        <charset val="134"/>
      </rPr>
      <t>20%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</si>
  <si>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21%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</si>
  <si>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22%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</si>
  <si>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23%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</si>
  <si>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24%</t>
    </r>
    <r>
      <rPr>
        <sz val="11"/>
        <color theme="1"/>
        <rFont val="宋体"/>
        <family val="2"/>
        <charset val="134"/>
        <scheme val="minor"/>
      </rPr>
      <t/>
    </r>
  </si>
  <si>
    <r>
      <t>攻击+</t>
    </r>
    <r>
      <rPr>
        <sz val="10"/>
        <color theme="1"/>
        <rFont val="微软雅黑"/>
        <family val="2"/>
        <charset val="134"/>
      </rPr>
      <t>25%</t>
    </r>
    <r>
      <rPr>
        <sz val="11"/>
        <color theme="1"/>
        <rFont val="宋体"/>
        <family val="2"/>
        <charset val="134"/>
        <scheme val="minor"/>
      </rPr>
      <t/>
    </r>
  </si>
  <si>
    <t>防御+10%</t>
    <phoneticPr fontId="10" type="noConversion"/>
  </si>
  <si>
    <t>7810,7910</t>
  </si>
  <si>
    <t>防御+11%</t>
  </si>
  <si>
    <t>7811,7911</t>
  </si>
  <si>
    <t>防御+12%</t>
  </si>
  <si>
    <t>7812,7912</t>
  </si>
  <si>
    <t>防御+13%</t>
  </si>
  <si>
    <t>7813,7913</t>
  </si>
  <si>
    <t>防御+14%</t>
  </si>
  <si>
    <t>7814,7914</t>
  </si>
  <si>
    <t>防御+15%</t>
  </si>
  <si>
    <t>7815,7915</t>
  </si>
  <si>
    <t>防御+17%</t>
  </si>
  <si>
    <t>7817,7917</t>
  </si>
  <si>
    <t>7818,7918</t>
  </si>
  <si>
    <t>防御+19%</t>
  </si>
  <si>
    <t>7819,7919</t>
  </si>
  <si>
    <t>防御+21%</t>
  </si>
  <si>
    <t>7821,7921</t>
  </si>
  <si>
    <t>防御+22%</t>
  </si>
  <si>
    <t>7822,7922</t>
  </si>
  <si>
    <t>防御+23%</t>
  </si>
  <si>
    <t>7823,7923</t>
  </si>
  <si>
    <t>防御+24%</t>
  </si>
  <si>
    <t>7824,7924</t>
  </si>
  <si>
    <t>防御+25%</t>
  </si>
  <si>
    <t>7825,7925</t>
  </si>
  <si>
    <t>生命，攻击+20%</t>
    <phoneticPr fontId="10" type="noConversion"/>
  </si>
  <si>
    <t>防御+16%</t>
    <phoneticPr fontId="10" type="noConversion"/>
  </si>
  <si>
    <t>寻音铃</t>
  </si>
  <si>
    <t>照妖镜</t>
  </si>
  <si>
    <t>八卦镜</t>
  </si>
  <si>
    <t>龙纹镜</t>
  </si>
  <si>
    <t>樱月铃</t>
  </si>
  <si>
    <t>迷蝶铃</t>
  </si>
  <si>
    <t>紫金铃</t>
  </si>
  <si>
    <t>混元镜</t>
  </si>
  <si>
    <t>阴阳镜</t>
  </si>
  <si>
    <t>幻光铃</t>
  </si>
  <si>
    <t>破魔战甲</t>
  </si>
  <si>
    <t>破魔长剑</t>
  </si>
  <si>
    <t>破魔头盔</t>
  </si>
  <si>
    <t>破魔战靴</t>
  </si>
  <si>
    <t>封魔战甲</t>
  </si>
  <si>
    <t>封魔长剑</t>
  </si>
  <si>
    <t>封魔头盔</t>
  </si>
  <si>
    <t>封魔战靴</t>
  </si>
  <si>
    <t>降魔战甲</t>
  </si>
  <si>
    <t>降魔长剑</t>
  </si>
  <si>
    <t>降魔头盔</t>
  </si>
  <si>
    <t>降魔战靴</t>
  </si>
  <si>
    <t>1101,1105,1108</t>
  </si>
  <si>
    <t>head_erlangshen,head_wangmuniangniang,head_tuotatianwang</t>
  </si>
  <si>
    <t>1102,1218,1219</t>
  </si>
  <si>
    <t>head_nezha,head_baiwuchang,head_heiwuchang</t>
  </si>
  <si>
    <t>1108,1219</t>
  </si>
  <si>
    <t>head_tuotatianwang,head_heiwuchang</t>
  </si>
  <si>
    <t>1101,1105,1219,1109</t>
  </si>
  <si>
    <t>head_erlangshen,head_wangmuniangniang,head_heiwuchang,head_jiutianxuannv</t>
  </si>
  <si>
    <t>1102,1218,1108,1103</t>
  </si>
  <si>
    <t>head_nezha,head_baiwuchang,head_tuotatianwang,head_change</t>
  </si>
  <si>
    <t>1108,1109,1103</t>
  </si>
  <si>
    <t>head_tuotatianwang,head_jiutianxuannv,head_change</t>
  </si>
  <si>
    <t>1219,1109,1103</t>
  </si>
  <si>
    <t>head_heiwuchang,head_jiutianxuannv,head_change</t>
  </si>
  <si>
    <t>1107,1135,1106</t>
  </si>
  <si>
    <t>head_chijiaodaxian,head_donghailongwang,head_taibaijinxing</t>
  </si>
  <si>
    <t>1107,1201,1123</t>
  </si>
  <si>
    <t>head_chijiaodaxian,head_yanluowang,head_xiaobailong</t>
  </si>
  <si>
    <t>1101,1109</t>
  </si>
  <si>
    <t>head_erlangshen,head_jiutianxuannv</t>
  </si>
  <si>
    <t>1105,1109</t>
  </si>
  <si>
    <t>head_wangmuniangniang,head_jiutianxuannv</t>
  </si>
  <si>
    <t>1102,1103</t>
  </si>
  <si>
    <t>head_nezha,head_change</t>
  </si>
  <si>
    <t>1218,1103</t>
  </si>
  <si>
    <t>head_baiwuchang,head_change</t>
  </si>
  <si>
    <t>1108,1107</t>
  </si>
  <si>
    <t>head_tuotatianwang,head_chijiaodaxian</t>
  </si>
  <si>
    <t>1219,1107</t>
  </si>
  <si>
    <t>head_heiwuchang,head_chijiaodaxian</t>
  </si>
  <si>
    <t>1102,1104</t>
  </si>
  <si>
    <t>head_nezha,head_yuhuangdadi</t>
  </si>
  <si>
    <t>1105,1201</t>
  </si>
  <si>
    <t>head_wangmuniangniang,head_yanluowang</t>
  </si>
  <si>
    <t>1218,1201</t>
  </si>
  <si>
    <t>head_baiwuchang,head_yanluowang</t>
  </si>
  <si>
    <t>1101,1123</t>
  </si>
  <si>
    <t>head_erlangshen,head_xiaobailong</t>
  </si>
  <si>
    <t>1102,1106</t>
  </si>
  <si>
    <t>head_nezha,head_taibaijinxing</t>
  </si>
  <si>
    <t>1218,1104</t>
  </si>
  <si>
    <t>head_baiwuchang,head_yuhuangdadi</t>
  </si>
  <si>
    <t>1201,1123</t>
  </si>
  <si>
    <t>head_yanluowang,head_xiaobailong</t>
  </si>
  <si>
    <t>1211,1121,1127,1126</t>
  </si>
  <si>
    <t>head_douzhanshengfo,head_zixiaxianzi,head_milefo,head_wenshupusa</t>
  </si>
  <si>
    <t>1214,1213,1212,1215</t>
  </si>
  <si>
    <t>head_babutianlong,head_longdi,head_jinchanzi,head_guanshiyin</t>
  </si>
  <si>
    <t>1212,1126,1215</t>
  </si>
  <si>
    <t>head_jinchanzi,head_wenshupusa,head_guanshiyin</t>
  </si>
  <si>
    <t>1127,1126,1215</t>
  </si>
  <si>
    <t>head_milefo,head_wenshupusa,head_guanshiyin</t>
  </si>
  <si>
    <t>1122,1125,1216</t>
  </si>
  <si>
    <t>head_tangsanzang,head_jiaye,head_nverguoguowang</t>
  </si>
  <si>
    <t>1122,1207,1202</t>
  </si>
  <si>
    <t>head_tangsanzang,head_yinhunxianzi,head_renshenwa</t>
  </si>
  <si>
    <t>1211,1126</t>
  </si>
  <si>
    <t>head_douzhanshengfo,head_wenshupusa</t>
  </si>
  <si>
    <t>1121,1126</t>
  </si>
  <si>
    <t>head_zixiaxianzi,head_wenshupusa</t>
  </si>
  <si>
    <t>1214,1215</t>
  </si>
  <si>
    <t>head_babutianlong,head_guanshiyin</t>
  </si>
  <si>
    <t>1213,1215</t>
  </si>
  <si>
    <t>head_longdi,head_guanshiyin</t>
  </si>
  <si>
    <t>1212,1125</t>
  </si>
  <si>
    <t>head_jinchanzi,head_jiaye</t>
  </si>
  <si>
    <t>1127,1125</t>
  </si>
  <si>
    <t>head_milefo,head_jiaye</t>
  </si>
  <si>
    <t>1211,1110</t>
  </si>
  <si>
    <t>head_douzhanshengfo,head_honghaier</t>
  </si>
  <si>
    <t>1214,1110</t>
  </si>
  <si>
    <t>head_babutianlong,head_honghaier</t>
  </si>
  <si>
    <t>1121,1125</t>
  </si>
  <si>
    <t>head_zixiaxianzi,head_jiaye</t>
  </si>
  <si>
    <t>1214,1216</t>
  </si>
  <si>
    <t>head_babutianlong,head_nverguoguowang</t>
  </si>
  <si>
    <t>1213,1110</t>
  </si>
  <si>
    <t>head_longdi,head_honghaier</t>
  </si>
  <si>
    <t>1207,1202</t>
  </si>
  <si>
    <t>head_yinhunxianzi,head_renshenwa</t>
  </si>
  <si>
    <t>攻击+16%</t>
    <phoneticPr fontId="5" type="noConversion"/>
  </si>
  <si>
    <t>生命+16%</t>
    <phoneticPr fontId="5" type="noConversion"/>
  </si>
  <si>
    <t>[]</t>
    <phoneticPr fontId="5" type="noConversion"/>
  </si>
  <si>
    <t>3001,3011,3021,3031</t>
    <phoneticPr fontId="5" type="noConversion"/>
  </si>
  <si>
    <t>生命，攻击，防御+10%</t>
    <phoneticPr fontId="5" type="noConversion"/>
  </si>
  <si>
    <t>1115,1116</t>
  </si>
  <si>
    <t>head_yanglidaxian,head_baigufuren</t>
  </si>
  <si>
    <t>1103,1109</t>
  </si>
  <si>
    <t>head_change,head_jiutianxuannv</t>
  </si>
  <si>
    <t>1215,1126</t>
  </si>
  <si>
    <t>head_guanshiyin,head_wenshupusa</t>
  </si>
  <si>
    <t>3002,3012,3022,3032</t>
    <phoneticPr fontId="5" type="noConversion"/>
  </si>
  <si>
    <t>生命，攻击，防御+12%</t>
    <phoneticPr fontId="5" type="noConversion"/>
  </si>
  <si>
    <t>3004,3014,3024,3034</t>
    <phoneticPr fontId="5" type="noConversion"/>
  </si>
  <si>
    <t>生命，攻击，防御+16%</t>
    <phoneticPr fontId="5" type="noConversion"/>
  </si>
  <si>
    <t>攻击+12%</t>
    <phoneticPr fontId="5" type="noConversion"/>
  </si>
  <si>
    <t>生命+12%</t>
    <phoneticPr fontId="5" type="noConversion"/>
  </si>
  <si>
    <t>降魔伏妖</t>
    <phoneticPr fontId="10" type="noConversion"/>
  </si>
  <si>
    <t>妖界之王</t>
    <phoneticPr fontId="10" type="noConversion"/>
  </si>
  <si>
    <t>西行之路</t>
    <phoneticPr fontId="10" type="noConversion"/>
  </si>
  <si>
    <t>称王称霸</t>
    <phoneticPr fontId="10" type="noConversion"/>
  </si>
  <si>
    <t>环肥燕瘦</t>
    <phoneticPr fontId="10" type="noConversion"/>
  </si>
  <si>
    <t>妖法无边</t>
    <phoneticPr fontId="10" type="noConversion"/>
  </si>
  <si>
    <t>邪不压正</t>
    <phoneticPr fontId="10" type="noConversion"/>
  </si>
  <si>
    <t>红粉佳人</t>
    <phoneticPr fontId="10" type="noConversion"/>
  </si>
  <si>
    <t>恩将仇报</t>
    <phoneticPr fontId="10" type="noConversion"/>
  </si>
  <si>
    <t>秀色可餐</t>
    <phoneticPr fontId="10" type="noConversion"/>
  </si>
  <si>
    <t>爱恨纠缠</t>
    <phoneticPr fontId="10" type="noConversion"/>
  </si>
  <si>
    <t>千年修行</t>
    <phoneticPr fontId="5" type="noConversion"/>
  </si>
  <si>
    <t>铁汉柔情</t>
    <phoneticPr fontId="5" type="noConversion"/>
  </si>
  <si>
    <t>如花似玉</t>
    <phoneticPr fontId="5" type="noConversion"/>
  </si>
  <si>
    <t>绝色妖王</t>
    <phoneticPr fontId="5" type="noConversion"/>
  </si>
  <si>
    <t>天宫倩影</t>
    <phoneticPr fontId="5" type="noConversion"/>
  </si>
  <si>
    <t>佛光万丈</t>
    <phoneticPr fontId="5" type="noConversion"/>
  </si>
  <si>
    <t>1114,1132,1208</t>
  </si>
  <si>
    <t>head_lulidaxian,head_hunshimowang,head_caidiexiantong</t>
  </si>
  <si>
    <t>1131,1137,1114</t>
  </si>
  <si>
    <t>head_xiezijing,head_zhizhujing,head_lulidaxian</t>
  </si>
  <si>
    <t>1139,1140,1138</t>
  </si>
  <si>
    <t>head_jinqianbaowang,head_moyujing,head_yumianfuren</t>
  </si>
  <si>
    <t>1226,1141,1504</t>
  </si>
  <si>
    <t>head_shanzijing,head_yutu,head_xiejiang</t>
  </si>
  <si>
    <t>1504,1139</t>
  </si>
  <si>
    <t>head_xiejiang,head_jinqianbaowang</t>
  </si>
  <si>
    <t>1226,1140</t>
  </si>
  <si>
    <t>head_shanzijing,head_moyujing</t>
  </si>
  <si>
    <t>1140,1504</t>
  </si>
  <si>
    <t>head_moyujing,head_xiejiang</t>
  </si>
  <si>
    <t>1141,1226</t>
  </si>
  <si>
    <t>head_yutu,head_shanzijing</t>
  </si>
  <si>
    <t>1104,1135,1106</t>
  </si>
  <si>
    <t>head_yuhuangdadi,head_donghailongwang,head_taibaijinxing</t>
  </si>
  <si>
    <t>1201,1123,1104</t>
  </si>
  <si>
    <t>head_yanluowang,head_xiaobailong,head_yuhuangdadi</t>
  </si>
  <si>
    <t>1134,1133,1203</t>
  </si>
  <si>
    <t>head_jinghelongwang,head_leigong,head_guishihei</t>
  </si>
  <si>
    <t>1204,1206,1205</t>
  </si>
  <si>
    <t>head_guishibai,head_niutou,head_mamian</t>
  </si>
  <si>
    <t>1205,1134</t>
  </si>
  <si>
    <t>head_mamian,head_jinghelongwang</t>
  </si>
  <si>
    <t>1204,1133</t>
  </si>
  <si>
    <t>head_guishibai,head_leigong</t>
  </si>
  <si>
    <t>1133,1205</t>
  </si>
  <si>
    <t>head_leigong,head_mamian</t>
  </si>
  <si>
    <t>1206,1204</t>
  </si>
  <si>
    <t>head_niutou,head_guishibai</t>
  </si>
  <si>
    <t>1110,1125,1216</t>
  </si>
  <si>
    <t>head_honghaier,head_jiaye,head_nverguoguowang</t>
  </si>
  <si>
    <t>1207,1202,1110</t>
  </si>
  <si>
    <t>head_yinhunxianzi,head_renshenwa,head_honghaier</t>
  </si>
  <si>
    <t>1130,1118,1136</t>
  </si>
  <si>
    <t>head_dizangwang,head_hundun,head_bailonggongzhu</t>
  </si>
  <si>
    <t>1128,1192,1152</t>
  </si>
  <si>
    <t>head_saitaisui,head_qinxian,head_heixiongjing</t>
  </si>
  <si>
    <t>1152,1130</t>
  </si>
  <si>
    <t>head_heixiongjing,head_dizangwang</t>
  </si>
  <si>
    <t>1128,1118</t>
  </si>
  <si>
    <t>head_saitaisui,head_hundun</t>
  </si>
  <si>
    <t>1118,1152</t>
  </si>
  <si>
    <t>head_hundun,head_heixiongjing</t>
  </si>
  <si>
    <t>1192,1128</t>
  </si>
  <si>
    <t>head_qinxian,head_saitaisui</t>
  </si>
  <si>
    <t>生命，攻击+30%</t>
  </si>
  <si>
    <t>攻击+20%</t>
  </si>
  <si>
    <t>7230,7330</t>
  </si>
  <si>
    <t>7230,7330</t>
    <phoneticPr fontId="5" type="noConversion"/>
  </si>
  <si>
    <t>7820,7920</t>
    <phoneticPr fontId="5" type="noConversion"/>
  </si>
  <si>
    <t>7320</t>
  </si>
  <si>
    <t>7320</t>
    <phoneticPr fontId="5" type="noConversion"/>
  </si>
  <si>
    <t>head_yumianfuren,head_shanzijing,head_yutu</t>
  </si>
  <si>
    <t>head_xiejiang,head_jinqianbaowang,head_moyujing</t>
  </si>
  <si>
    <t>head_guishihei,head_guishibai,head_niutou</t>
  </si>
  <si>
    <t>head_mamian,head_jinghelongwang,head_leigong</t>
  </si>
  <si>
    <t>head_bailonggongzhu,head_saitaisui,head_qinxian</t>
  </si>
  <si>
    <t>head_heixiongjing,head_dizangwang,head_hundun</t>
  </si>
  <si>
    <t>1136,1128,1192</t>
  </si>
  <si>
    <t>1152,1130,1118</t>
  </si>
  <si>
    <t>1203,1204,1206</t>
  </si>
  <si>
    <t>1205,1134,1133</t>
  </si>
  <si>
    <t>1138,1226,1141</t>
  </si>
  <si>
    <t>1504,1139,1140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</si>
</sst>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A7D00"/>
      <name val="宋体"/>
      <family val="2"/>
      <charset val="134"/>
      <scheme val="minor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1"/>
      <color theme="0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10"/>
      <color rgb="FF0070C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1">
    <xf numFmtId="0" fontId="0" fillId="0" borderId="0"/>
    <xf numFmtId="9" fontId="8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0" borderId="0"/>
    <xf numFmtId="0" fontId="13" fillId="9" borderId="2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8" fillId="0" borderId="0"/>
    <xf numFmtId="0" fontId="2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</cellStyleXfs>
  <cellXfs count="110">
    <xf numFmtId="0" fontId="0" fillId="0" borderId="0" xfId="0"/>
    <xf numFmtId="0" fontId="4" fillId="0" borderId="0" xfId="0" applyNumberFormat="1" applyFont="1" applyBorder="1"/>
    <xf numFmtId="0" fontId="4" fillId="0" borderId="0" xfId="0" applyNumberFormat="1" applyFont="1"/>
    <xf numFmtId="0" fontId="4" fillId="0" borderId="1" xfId="0" applyNumberFormat="1" applyFont="1" applyFill="1" applyBorder="1"/>
    <xf numFmtId="0" fontId="4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/>
    <xf numFmtId="49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4" fillId="0" borderId="1" xfId="0" applyNumberFormat="1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8" borderId="1" xfId="3" applyNumberFormat="1" applyFont="1" applyFill="1" applyBorder="1" applyAlignment="1">
      <alignment horizontal="center"/>
    </xf>
    <xf numFmtId="0" fontId="4" fillId="8" borderId="1" xfId="3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49" fontId="11" fillId="0" borderId="1" xfId="2" applyNumberFormat="1" applyFont="1" applyFill="1" applyBorder="1" applyAlignment="1">
      <alignment horizontal="center" vertical="center"/>
    </xf>
    <xf numFmtId="0" fontId="14" fillId="8" borderId="1" xfId="3" applyNumberFormat="1" applyFont="1" applyFill="1" applyBorder="1" applyAlignment="1">
      <alignment horizontal="center"/>
    </xf>
    <xf numFmtId="49" fontId="15" fillId="0" borderId="1" xfId="2" applyNumberFormat="1" applyFont="1" applyFill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4" fillId="0" borderId="1" xfId="0" applyNumberFormat="1" applyFont="1" applyFill="1" applyBorder="1"/>
    <xf numFmtId="0" fontId="16" fillId="0" borderId="1" xfId="0" applyNumberFormat="1" applyFont="1" applyFill="1" applyBorder="1" applyAlignment="1">
      <alignment horizontal="center" vertical="center" wrapText="1"/>
    </xf>
    <xf numFmtId="0" fontId="14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/>
    <xf numFmtId="0" fontId="14" fillId="0" borderId="0" xfId="0" applyNumberFormat="1" applyFont="1" applyBorder="1" applyAlignment="1"/>
    <xf numFmtId="0" fontId="17" fillId="11" borderId="0" xfId="0" applyFont="1" applyFill="1" applyAlignment="1">
      <alignment vertical="center"/>
    </xf>
    <xf numFmtId="0" fontId="18" fillId="0" borderId="0" xfId="2" applyFont="1" applyFill="1" applyBorder="1" applyAlignment="1">
      <alignment horizontal="center" vertical="center"/>
    </xf>
    <xf numFmtId="0" fontId="19" fillId="0" borderId="1" xfId="4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4" borderId="1" xfId="2" applyFont="1" applyFill="1" applyBorder="1" applyAlignment="1">
      <alignment horizontal="center" vertical="center"/>
    </xf>
    <xf numFmtId="0" fontId="3" fillId="0" borderId="0" xfId="6">
      <alignment vertical="center"/>
    </xf>
    <xf numFmtId="0" fontId="22" fillId="0" borderId="0" xfId="0" applyFont="1" applyFill="1" applyAlignment="1">
      <alignment horizontal="center" vertical="center"/>
    </xf>
    <xf numFmtId="0" fontId="21" fillId="12" borderId="1" xfId="2" applyFont="1" applyFill="1" applyBorder="1" applyAlignment="1">
      <alignment horizontal="center" vertical="center"/>
    </xf>
    <xf numFmtId="0" fontId="21" fillId="12" borderId="1" xfId="5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4" fillId="8" borderId="1" xfId="3" applyNumberFormat="1" applyFont="1" applyFill="1" applyBorder="1" applyAlignment="1">
      <alignment horizontal="center" vertical="center"/>
    </xf>
    <xf numFmtId="0" fontId="14" fillId="0" borderId="0" xfId="0" applyNumberFormat="1" applyFont="1"/>
    <xf numFmtId="0" fontId="18" fillId="3" borderId="1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center" vertical="center"/>
    </xf>
    <xf numFmtId="49" fontId="4" fillId="3" borderId="1" xfId="0" applyNumberFormat="1" applyFont="1" applyFill="1" applyBorder="1"/>
    <xf numFmtId="49" fontId="4" fillId="6" borderId="1" xfId="0" applyNumberFormat="1" applyFont="1" applyFill="1" applyBorder="1"/>
    <xf numFmtId="0" fontId="11" fillId="0" borderId="0" xfId="0" applyNumberFormat="1" applyFont="1"/>
    <xf numFmtId="0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/>
    <xf numFmtId="49" fontId="4" fillId="2" borderId="0" xfId="0" applyNumberFormat="1" applyFont="1" applyFill="1"/>
    <xf numFmtId="9" fontId="4" fillId="2" borderId="0" xfId="0" applyNumberFormat="1" applyFont="1" applyFill="1"/>
    <xf numFmtId="0" fontId="4" fillId="3" borderId="1" xfId="0" applyNumberFormat="1" applyFont="1" applyFill="1" applyBorder="1" applyAlignment="1">
      <alignment horizontal="center"/>
    </xf>
    <xf numFmtId="49" fontId="4" fillId="3" borderId="1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9" fontId="4" fillId="0" borderId="0" xfId="0" applyNumberFormat="1" applyFont="1"/>
    <xf numFmtId="10" fontId="4" fillId="0" borderId="0" xfId="0" applyNumberFormat="1" applyFont="1" applyBorder="1"/>
    <xf numFmtId="9" fontId="4" fillId="0" borderId="0" xfId="1" applyFont="1" applyBorder="1" applyAlignment="1"/>
    <xf numFmtId="0" fontId="12" fillId="8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/>
    <xf numFmtId="0" fontId="4" fillId="5" borderId="0" xfId="0" applyNumberFormat="1" applyFont="1" applyFill="1" applyBorder="1"/>
    <xf numFmtId="49" fontId="4" fillId="5" borderId="0" xfId="0" applyNumberFormat="1" applyFont="1" applyFill="1"/>
    <xf numFmtId="9" fontId="4" fillId="5" borderId="0" xfId="0" applyNumberFormat="1" applyFont="1" applyFill="1"/>
    <xf numFmtId="0" fontId="4" fillId="6" borderId="1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0" xfId="0" applyNumberFormat="1" applyFont="1" applyFill="1" applyBorder="1"/>
    <xf numFmtId="49" fontId="4" fillId="6" borderId="0" xfId="0" applyNumberFormat="1" applyFont="1" applyFill="1"/>
    <xf numFmtId="9" fontId="4" fillId="6" borderId="0" xfId="0" applyNumberFormat="1" applyFont="1" applyFill="1"/>
    <xf numFmtId="0" fontId="4" fillId="4" borderId="1" xfId="0" applyNumberFormat="1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/>
    <xf numFmtId="49" fontId="4" fillId="4" borderId="1" xfId="0" applyNumberFormat="1" applyFont="1" applyFill="1" applyBorder="1" applyAlignment="1">
      <alignment vertical="center"/>
    </xf>
    <xf numFmtId="0" fontId="4" fillId="4" borderId="0" xfId="0" applyNumberFormat="1" applyFont="1" applyFill="1" applyBorder="1"/>
    <xf numFmtId="49" fontId="4" fillId="4" borderId="0" xfId="0" applyNumberFormat="1" applyFont="1" applyFill="1"/>
    <xf numFmtId="9" fontId="4" fillId="4" borderId="0" xfId="0" applyNumberFormat="1" applyFont="1" applyFill="1"/>
    <xf numFmtId="0" fontId="4" fillId="3" borderId="1" xfId="0" applyNumberFormat="1" applyFont="1" applyFill="1" applyBorder="1"/>
    <xf numFmtId="0" fontId="4" fillId="3" borderId="0" xfId="0" applyNumberFormat="1" applyFont="1" applyFill="1" applyBorder="1"/>
    <xf numFmtId="49" fontId="4" fillId="3" borderId="0" xfId="0" applyNumberFormat="1" applyFont="1" applyFill="1"/>
    <xf numFmtId="9" fontId="4" fillId="3" borderId="0" xfId="0" applyNumberFormat="1" applyFont="1" applyFill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/>
    <xf numFmtId="0" fontId="4" fillId="13" borderId="1" xfId="0" applyNumberFormat="1" applyFont="1" applyFill="1" applyBorder="1" applyAlignment="1">
      <alignment horizontal="center"/>
    </xf>
    <xf numFmtId="49" fontId="4" fillId="13" borderId="1" xfId="0" applyNumberFormat="1" applyFont="1" applyFill="1" applyBorder="1"/>
    <xf numFmtId="0" fontId="4" fillId="13" borderId="1" xfId="0" applyNumberFormat="1" applyFont="1" applyFill="1" applyBorder="1"/>
    <xf numFmtId="0" fontId="4" fillId="13" borderId="1" xfId="0" applyNumberFormat="1" applyFont="1" applyFill="1" applyBorder="1" applyAlignment="1">
      <alignment horizontal="center" vertical="center"/>
    </xf>
    <xf numFmtId="49" fontId="4" fillId="13" borderId="1" xfId="0" applyNumberFormat="1" applyFont="1" applyFill="1" applyBorder="1" applyAlignment="1">
      <alignment horizontal="center" vertical="center"/>
    </xf>
    <xf numFmtId="0" fontId="4" fillId="13" borderId="0" xfId="0" applyNumberFormat="1" applyFont="1" applyFill="1" applyBorder="1"/>
    <xf numFmtId="49" fontId="4" fillId="13" borderId="0" xfId="0" applyNumberFormat="1" applyFont="1" applyFill="1"/>
    <xf numFmtId="9" fontId="4" fillId="13" borderId="0" xfId="0" applyNumberFormat="1" applyFont="1" applyFill="1"/>
    <xf numFmtId="0" fontId="12" fillId="13" borderId="1" xfId="0" applyFont="1" applyFill="1" applyBorder="1" applyAlignment="1">
      <alignment horizontal="center" vertical="center"/>
    </xf>
    <xf numFmtId="0" fontId="12" fillId="13" borderId="0" xfId="0" applyFont="1" applyFill="1"/>
    <xf numFmtId="10" fontId="4" fillId="13" borderId="0" xfId="0" applyNumberFormat="1" applyFont="1" applyFill="1" applyBorder="1"/>
    <xf numFmtId="9" fontId="4" fillId="13" borderId="0" xfId="1" applyFont="1" applyFill="1" applyBorder="1" applyAlignment="1"/>
    <xf numFmtId="0" fontId="12" fillId="4" borderId="1" xfId="0" applyFont="1" applyFill="1" applyBorder="1" applyAlignment="1">
      <alignment horizontal="center" vertical="center"/>
    </xf>
    <xf numFmtId="0" fontId="12" fillId="4" borderId="0" xfId="0" applyFont="1" applyFill="1"/>
    <xf numFmtId="10" fontId="4" fillId="4" borderId="0" xfId="0" applyNumberFormat="1" applyFont="1" applyFill="1" applyBorder="1"/>
    <xf numFmtId="9" fontId="4" fillId="4" borderId="0" xfId="1" applyFont="1" applyFill="1" applyBorder="1" applyAlignment="1"/>
    <xf numFmtId="0" fontId="4" fillId="0" borderId="0" xfId="0" applyNumberFormat="1" applyFont="1" applyAlignment="1">
      <alignment vertical="center"/>
    </xf>
    <xf numFmtId="0" fontId="4" fillId="14" borderId="1" xfId="3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13" borderId="1" xfId="0" applyNumberFormat="1" applyFont="1" applyFill="1" applyBorder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center" vertical="center" wrapText="1"/>
    </xf>
  </cellXfs>
  <cellStyles count="21">
    <cellStyle name="百分比" xfId="1" builtinId="5"/>
    <cellStyle name="百分比 2" xfId="9"/>
    <cellStyle name="常规" xfId="0" builtinId="0"/>
    <cellStyle name="常规 2" xfId="3"/>
    <cellStyle name="常规 2 2" xfId="12"/>
    <cellStyle name="常规 2 2 2" xfId="16"/>
    <cellStyle name="常规 2 3" xfId="11"/>
    <cellStyle name="常规 2 4" xfId="15"/>
    <cellStyle name="常规 3" xfId="6"/>
    <cellStyle name="常规 3 2" xfId="18"/>
    <cellStyle name="常规 3 3" xfId="8"/>
    <cellStyle name="常规 4" xfId="10"/>
    <cellStyle name="常规 5" xfId="14"/>
    <cellStyle name="常规 5 2" xfId="20"/>
    <cellStyle name="常规 6" xfId="13"/>
    <cellStyle name="常规 6 2" xfId="19"/>
    <cellStyle name="常规 7" xfId="17"/>
    <cellStyle name="常规 8" xfId="7"/>
    <cellStyle name="计算" xfId="4" builtinId="22"/>
    <cellStyle name="强调文字颜色 2" xfId="2" builtinId="33"/>
    <cellStyle name="强调文字颜色 5" xfId="5" builtinId="45"/>
  </cellStyles>
  <dxfs count="42"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&#20840;&#33521;&#38596;&#32641;&#32458;&#65288;&#31639;&#27861;&#22120;&#29256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英雄羁绊"/>
      <sheetName val="法宝羁绊"/>
      <sheetName val="hero_jiban表"/>
      <sheetName val="hero_main表"/>
      <sheetName val="中介表"/>
      <sheetName val="中转表"/>
      <sheetName val="Sheet2"/>
      <sheetName val="法宝数据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孙悟空</v>
          </cell>
          <cell r="B1" t="str">
            <v>二郎神</v>
          </cell>
          <cell r="C1" t="str">
            <v>斗战胜佛</v>
          </cell>
        </row>
        <row r="2">
          <cell r="A2" t="str">
            <v>沙和尚</v>
          </cell>
          <cell r="B2" t="str">
            <v>王母娘娘</v>
          </cell>
          <cell r="C2" t="str">
            <v>紫霞仙子</v>
          </cell>
        </row>
        <row r="3">
          <cell r="A3" t="str">
            <v>牛魔王</v>
          </cell>
          <cell r="B3" t="str">
            <v>哪吒</v>
          </cell>
          <cell r="C3" t="str">
            <v>八部天龙</v>
          </cell>
        </row>
        <row r="4">
          <cell r="A4" t="str">
            <v>铁扇公主</v>
          </cell>
          <cell r="B4" t="str">
            <v>白无常</v>
          </cell>
          <cell r="C4" t="str">
            <v>龙帝</v>
          </cell>
        </row>
        <row r="5">
          <cell r="A5" t="str">
            <v>虎力大仙</v>
          </cell>
          <cell r="B5" t="str">
            <v>黑无常</v>
          </cell>
          <cell r="C5" t="str">
            <v>弥勒佛</v>
          </cell>
        </row>
        <row r="6">
          <cell r="A6" t="str">
            <v>猪八戒</v>
          </cell>
          <cell r="B6" t="str">
            <v>托塔天王</v>
          </cell>
          <cell r="C6" t="str">
            <v>金蝉子</v>
          </cell>
        </row>
        <row r="7">
          <cell r="A7" t="str">
            <v>羊力大仙</v>
          </cell>
          <cell r="B7" t="str">
            <v>嫦娥</v>
          </cell>
          <cell r="C7" t="str">
            <v>观世音</v>
          </cell>
        </row>
        <row r="8">
          <cell r="A8" t="str">
            <v>白骨夫人</v>
          </cell>
          <cell r="B8" t="str">
            <v>九天玄女</v>
          </cell>
          <cell r="C8" t="str">
            <v>文殊菩萨</v>
          </cell>
        </row>
        <row r="9">
          <cell r="A9" t="str">
            <v>六耳猕猴</v>
          </cell>
          <cell r="B9" t="str">
            <v>赤脚大仙</v>
          </cell>
          <cell r="C9" t="str">
            <v>唐三藏</v>
          </cell>
        </row>
        <row r="10">
          <cell r="A10" t="str">
            <v>鹿力大仙</v>
          </cell>
          <cell r="B10" t="str">
            <v>玉皇大帝</v>
          </cell>
          <cell r="C10" t="str">
            <v>红孩儿</v>
          </cell>
        </row>
        <row r="11">
          <cell r="A11" t="str">
            <v>混世魔王</v>
          </cell>
          <cell r="B11" t="str">
            <v>东海龙王</v>
          </cell>
          <cell r="C11" t="str">
            <v>迦叶</v>
          </cell>
        </row>
        <row r="12">
          <cell r="A12" t="str">
            <v>彩蝶仙童</v>
          </cell>
          <cell r="B12" t="str">
            <v>太白金星</v>
          </cell>
          <cell r="C12" t="str">
            <v>女儿国国王</v>
          </cell>
        </row>
        <row r="13">
          <cell r="A13" t="str">
            <v>蝎子精</v>
          </cell>
          <cell r="B13" t="str">
            <v>阎罗王</v>
          </cell>
          <cell r="C13" t="str">
            <v>引魂仙子</v>
          </cell>
        </row>
        <row r="14">
          <cell r="A14" t="str">
            <v>蜘蛛精</v>
          </cell>
          <cell r="B14" t="str">
            <v>小白龙</v>
          </cell>
          <cell r="C14" t="str">
            <v>人参娃</v>
          </cell>
        </row>
        <row r="15">
          <cell r="A15" t="str">
            <v>金钱豹王</v>
          </cell>
          <cell r="B15" t="str">
            <v>泾河龙王</v>
          </cell>
          <cell r="C15" t="str">
            <v>地藏王</v>
          </cell>
        </row>
        <row r="16">
          <cell r="A16" t="str">
            <v>墨鱼精</v>
          </cell>
          <cell r="B16" t="str">
            <v>雷公</v>
          </cell>
          <cell r="C16" t="str">
            <v>混沌</v>
          </cell>
        </row>
        <row r="17">
          <cell r="A17" t="str">
            <v>玉面夫人</v>
          </cell>
          <cell r="B17" t="str">
            <v>鬼使黑</v>
          </cell>
          <cell r="C17" t="str">
            <v>白龙公主</v>
          </cell>
        </row>
        <row r="18">
          <cell r="A18" t="str">
            <v>扇子精</v>
          </cell>
          <cell r="B18" t="str">
            <v>鬼使白</v>
          </cell>
          <cell r="C18" t="str">
            <v>赛太岁</v>
          </cell>
        </row>
        <row r="19">
          <cell r="A19" t="str">
            <v>玉兔</v>
          </cell>
          <cell r="B19" t="str">
            <v>牛头</v>
          </cell>
          <cell r="C19" t="str">
            <v>琴仙</v>
          </cell>
        </row>
        <row r="20">
          <cell r="A20" t="str">
            <v>蟹将</v>
          </cell>
          <cell r="B20" t="str">
            <v>马面</v>
          </cell>
          <cell r="C20" t="str">
            <v>黑熊精</v>
          </cell>
        </row>
      </sheetData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62"/>
  <sheetViews>
    <sheetView tabSelected="1" zoomScale="85" zoomScaleNormal="85" workbookViewId="0">
      <pane xSplit="2" ySplit="3" topLeftCell="D32" activePane="bottomRight" state="frozen"/>
      <selection pane="topRight" activeCell="C1" sqref="C1"/>
      <selection pane="bottomLeft" activeCell="A4" sqref="A4"/>
      <selection pane="bottomRight" activeCell="J46" sqref="J46"/>
    </sheetView>
  </sheetViews>
  <sheetFormatPr defaultRowHeight="16.5" x14ac:dyDescent="0.35"/>
  <cols>
    <col min="1" max="1" width="15.375" style="84" customWidth="1"/>
    <col min="2" max="2" width="12.5" style="10" bestFit="1" customWidth="1"/>
    <col min="3" max="3" width="25.5" style="11" customWidth="1"/>
    <col min="4" max="4" width="61.375" style="11" customWidth="1"/>
    <col min="5" max="5" width="17.375" style="11" customWidth="1"/>
    <col min="6" max="6" width="14.875" style="11" customWidth="1"/>
    <col min="7" max="7" width="16.75" style="11" customWidth="1"/>
    <col min="8" max="8" width="20.375" style="11" bestFit="1" customWidth="1"/>
    <col min="9" max="9" width="21.375" style="85" customWidth="1"/>
    <col min="10" max="10" width="22.375" style="85" bestFit="1" customWidth="1"/>
    <col min="11" max="14" width="9" style="2"/>
    <col min="15" max="18" width="9" style="11"/>
    <col min="19" max="19" width="9" style="55"/>
    <col min="20" max="16384" width="9" style="11"/>
  </cols>
  <sheetData>
    <row r="1" spans="1:20" s="49" customFormat="1" ht="82.5" x14ac:dyDescent="0.35">
      <c r="A1" s="46" t="s">
        <v>12</v>
      </c>
      <c r="B1" s="47" t="s">
        <v>20</v>
      </c>
      <c r="C1" s="47" t="s">
        <v>460</v>
      </c>
      <c r="D1" s="47" t="s">
        <v>461</v>
      </c>
      <c r="E1" s="47" t="s">
        <v>462</v>
      </c>
      <c r="F1" s="47" t="s">
        <v>463</v>
      </c>
      <c r="G1" s="47" t="s">
        <v>464</v>
      </c>
      <c r="H1" s="47" t="s">
        <v>465</v>
      </c>
      <c r="I1" s="47" t="s">
        <v>466</v>
      </c>
      <c r="J1" s="47" t="s">
        <v>11</v>
      </c>
      <c r="K1" s="48"/>
      <c r="L1" s="48"/>
      <c r="M1" s="48"/>
      <c r="N1" s="48"/>
      <c r="S1" s="50"/>
    </row>
    <row r="2" spans="1:20" s="49" customFormat="1" x14ac:dyDescent="0.35">
      <c r="A2" s="51" t="s">
        <v>1</v>
      </c>
      <c r="B2" s="52" t="s">
        <v>0</v>
      </c>
      <c r="C2" s="43" t="s">
        <v>9</v>
      </c>
      <c r="D2" s="43" t="s">
        <v>467</v>
      </c>
      <c r="E2" s="43" t="s">
        <v>4</v>
      </c>
      <c r="F2" s="43" t="s">
        <v>468</v>
      </c>
      <c r="G2" s="43" t="s">
        <v>5</v>
      </c>
      <c r="H2" s="43" t="s">
        <v>469</v>
      </c>
      <c r="I2" s="14" t="s">
        <v>3</v>
      </c>
      <c r="J2" s="14" t="s">
        <v>470</v>
      </c>
      <c r="K2" s="48"/>
      <c r="L2" s="48"/>
      <c r="M2" s="48"/>
      <c r="N2" s="48"/>
      <c r="S2" s="50"/>
    </row>
    <row r="3" spans="1:20" s="49" customFormat="1" x14ac:dyDescent="0.35">
      <c r="A3" s="51" t="s">
        <v>2</v>
      </c>
      <c r="B3" s="52" t="s">
        <v>2</v>
      </c>
      <c r="C3" s="43" t="s">
        <v>10</v>
      </c>
      <c r="D3" s="43" t="s">
        <v>2</v>
      </c>
      <c r="E3" s="43" t="s">
        <v>2</v>
      </c>
      <c r="F3" s="43" t="s">
        <v>2</v>
      </c>
      <c r="G3" s="43" t="s">
        <v>2</v>
      </c>
      <c r="H3" s="43" t="s">
        <v>2</v>
      </c>
      <c r="I3" s="14" t="s">
        <v>6</v>
      </c>
      <c r="J3" s="14" t="s">
        <v>7</v>
      </c>
      <c r="K3" s="48"/>
      <c r="L3" s="48"/>
      <c r="M3" s="48"/>
      <c r="N3" s="48"/>
      <c r="S3" s="50"/>
    </row>
    <row r="4" spans="1:20" ht="17.25" x14ac:dyDescent="0.35">
      <c r="A4" s="12">
        <v>12011</v>
      </c>
      <c r="B4" s="53" t="s">
        <v>558</v>
      </c>
      <c r="C4" s="9" t="s">
        <v>8</v>
      </c>
      <c r="D4" s="3" t="s">
        <v>8</v>
      </c>
      <c r="E4" s="3" t="s">
        <v>8</v>
      </c>
      <c r="F4" s="3" t="s">
        <v>8</v>
      </c>
      <c r="G4" s="13">
        <v>3001</v>
      </c>
      <c r="H4" s="13">
        <v>3001</v>
      </c>
      <c r="I4" s="106">
        <v>3002</v>
      </c>
      <c r="J4" s="4" t="s">
        <v>62</v>
      </c>
      <c r="K4" s="1"/>
      <c r="L4" s="1"/>
      <c r="M4" s="1"/>
      <c r="N4" s="1"/>
      <c r="P4" s="54"/>
      <c r="Q4" s="55"/>
      <c r="R4" s="56"/>
      <c r="T4" s="57"/>
    </row>
    <row r="5" spans="1:20" ht="17.25" x14ac:dyDescent="0.35">
      <c r="A5" s="12">
        <v>12012</v>
      </c>
      <c r="B5" s="58" t="s">
        <v>559</v>
      </c>
      <c r="C5" s="9" t="s">
        <v>8</v>
      </c>
      <c r="D5" s="3" t="s">
        <v>8</v>
      </c>
      <c r="E5" s="3" t="s">
        <v>8</v>
      </c>
      <c r="F5" s="3" t="s">
        <v>8</v>
      </c>
      <c r="G5" s="13">
        <v>3002</v>
      </c>
      <c r="H5" s="13">
        <v>3002</v>
      </c>
      <c r="I5" s="106">
        <v>3012</v>
      </c>
      <c r="J5" s="4" t="s">
        <v>72</v>
      </c>
      <c r="K5" s="1"/>
      <c r="L5" s="1"/>
      <c r="M5" s="1"/>
      <c r="N5" s="1"/>
      <c r="P5" s="54"/>
      <c r="Q5" s="55"/>
      <c r="R5" s="56"/>
      <c r="T5" s="57"/>
    </row>
    <row r="6" spans="1:20" ht="17.25" x14ac:dyDescent="0.35">
      <c r="A6" s="12">
        <v>12013</v>
      </c>
      <c r="B6" s="53" t="s">
        <v>560</v>
      </c>
      <c r="C6" s="9" t="s">
        <v>8</v>
      </c>
      <c r="D6" s="3" t="s">
        <v>8</v>
      </c>
      <c r="E6" s="3" t="s">
        <v>8</v>
      </c>
      <c r="F6" s="3" t="s">
        <v>8</v>
      </c>
      <c r="G6" s="13">
        <v>3006</v>
      </c>
      <c r="H6" s="13">
        <v>3006</v>
      </c>
      <c r="I6" s="106">
        <v>3002</v>
      </c>
      <c r="J6" s="4" t="s">
        <v>62</v>
      </c>
      <c r="K6" s="1"/>
      <c r="L6" s="1"/>
      <c r="M6" s="1"/>
      <c r="N6" s="1"/>
      <c r="P6" s="54"/>
      <c r="Q6" s="55"/>
      <c r="R6" s="56"/>
      <c r="T6" s="57"/>
    </row>
    <row r="7" spans="1:20" ht="17.25" x14ac:dyDescent="0.35">
      <c r="A7" s="12">
        <v>12014</v>
      </c>
      <c r="B7" s="59" t="s">
        <v>561</v>
      </c>
      <c r="C7" s="9" t="s">
        <v>8</v>
      </c>
      <c r="D7" s="3" t="s">
        <v>8</v>
      </c>
      <c r="E7" s="3" t="s">
        <v>8</v>
      </c>
      <c r="F7" s="3" t="s">
        <v>8</v>
      </c>
      <c r="G7" s="13">
        <v>3008</v>
      </c>
      <c r="H7" s="13">
        <v>3008</v>
      </c>
      <c r="I7" s="106">
        <v>3012</v>
      </c>
      <c r="J7" s="4" t="s">
        <v>72</v>
      </c>
      <c r="K7" s="1"/>
      <c r="L7" s="1"/>
      <c r="M7" s="1"/>
      <c r="N7" s="1"/>
      <c r="P7" s="54"/>
      <c r="Q7" s="55"/>
      <c r="R7" s="56"/>
      <c r="T7" s="57"/>
    </row>
    <row r="8" spans="1:20" ht="17.25" x14ac:dyDescent="0.35">
      <c r="A8" s="12">
        <v>12015</v>
      </c>
      <c r="B8" s="58" t="s">
        <v>562</v>
      </c>
      <c r="C8" s="9" t="s">
        <v>8</v>
      </c>
      <c r="D8" s="3" t="s">
        <v>8</v>
      </c>
      <c r="E8" s="3" t="s">
        <v>8</v>
      </c>
      <c r="F8" s="3" t="s">
        <v>8</v>
      </c>
      <c r="G8" s="13">
        <v>3005</v>
      </c>
      <c r="H8" s="13">
        <v>3005</v>
      </c>
      <c r="I8" s="106">
        <v>3002</v>
      </c>
      <c r="J8" s="4" t="s">
        <v>62</v>
      </c>
      <c r="K8" s="1"/>
      <c r="L8" s="1"/>
      <c r="M8" s="1"/>
      <c r="N8" s="1"/>
      <c r="P8" s="54"/>
      <c r="Q8" s="55"/>
      <c r="R8" s="56"/>
      <c r="T8" s="57"/>
    </row>
    <row r="9" spans="1:20" ht="17.25" x14ac:dyDescent="0.35">
      <c r="A9" s="12">
        <v>12016</v>
      </c>
      <c r="B9" s="58" t="s">
        <v>563</v>
      </c>
      <c r="C9" s="9" t="s">
        <v>8</v>
      </c>
      <c r="D9" s="3" t="s">
        <v>8</v>
      </c>
      <c r="E9" s="3" t="s">
        <v>8</v>
      </c>
      <c r="F9" s="3" t="s">
        <v>8</v>
      </c>
      <c r="G9" s="13">
        <v>3007</v>
      </c>
      <c r="H9" s="13">
        <v>3007</v>
      </c>
      <c r="I9" s="106">
        <v>3012</v>
      </c>
      <c r="J9" s="4" t="s">
        <v>72</v>
      </c>
      <c r="K9" s="1"/>
      <c r="L9" s="1"/>
      <c r="M9" s="1"/>
      <c r="N9" s="1"/>
      <c r="P9" s="54"/>
      <c r="Q9" s="55"/>
      <c r="R9" s="56"/>
      <c r="T9" s="57"/>
    </row>
    <row r="10" spans="1:20" s="76" customFormat="1" ht="17.25" x14ac:dyDescent="0.35">
      <c r="A10" s="71">
        <v>12017</v>
      </c>
      <c r="B10" s="100" t="s">
        <v>564</v>
      </c>
      <c r="C10" s="73" t="s">
        <v>8</v>
      </c>
      <c r="D10" s="87" t="s">
        <v>8</v>
      </c>
      <c r="E10" s="87" t="s">
        <v>8</v>
      </c>
      <c r="F10" s="87" t="s">
        <v>8</v>
      </c>
      <c r="G10" s="6">
        <v>3011</v>
      </c>
      <c r="H10" s="6">
        <v>3011</v>
      </c>
      <c r="I10" s="107">
        <v>7312</v>
      </c>
      <c r="J10" s="72" t="s">
        <v>62</v>
      </c>
      <c r="K10" s="75"/>
      <c r="L10" s="75"/>
      <c r="M10" s="75"/>
      <c r="N10" s="75"/>
      <c r="P10" s="101"/>
      <c r="Q10" s="77"/>
      <c r="R10" s="102"/>
      <c r="S10" s="77"/>
      <c r="T10" s="103"/>
    </row>
    <row r="11" spans="1:20" s="76" customFormat="1" ht="17.25" x14ac:dyDescent="0.35">
      <c r="A11" s="71">
        <v>12018</v>
      </c>
      <c r="B11" s="100" t="s">
        <v>565</v>
      </c>
      <c r="C11" s="73" t="s">
        <v>8</v>
      </c>
      <c r="D11" s="87" t="s">
        <v>8</v>
      </c>
      <c r="E11" s="87" t="s">
        <v>8</v>
      </c>
      <c r="F11" s="87" t="s">
        <v>8</v>
      </c>
      <c r="G11" s="6">
        <v>3014</v>
      </c>
      <c r="H11" s="6">
        <v>3014</v>
      </c>
      <c r="I11" s="107">
        <v>7212</v>
      </c>
      <c r="J11" s="72" t="s">
        <v>72</v>
      </c>
      <c r="K11" s="75"/>
      <c r="L11" s="75"/>
      <c r="M11" s="75"/>
      <c r="N11" s="75"/>
      <c r="P11" s="101"/>
      <c r="Q11" s="77"/>
      <c r="R11" s="102"/>
      <c r="S11" s="77"/>
      <c r="T11" s="103"/>
    </row>
    <row r="12" spans="1:20" s="76" customFormat="1" ht="17.25" x14ac:dyDescent="0.35">
      <c r="A12" s="71">
        <v>12019</v>
      </c>
      <c r="B12" s="100" t="s">
        <v>566</v>
      </c>
      <c r="C12" s="73" t="s">
        <v>8</v>
      </c>
      <c r="D12" s="87" t="s">
        <v>8</v>
      </c>
      <c r="E12" s="87" t="s">
        <v>8</v>
      </c>
      <c r="F12" s="87" t="s">
        <v>8</v>
      </c>
      <c r="G12" s="6">
        <v>3012</v>
      </c>
      <c r="H12" s="6">
        <v>3012</v>
      </c>
      <c r="I12" s="107">
        <v>7212</v>
      </c>
      <c r="J12" s="72" t="s">
        <v>72</v>
      </c>
      <c r="M12" s="75"/>
      <c r="N12" s="75"/>
      <c r="P12" s="101"/>
      <c r="Q12" s="77"/>
      <c r="R12" s="102"/>
      <c r="S12" s="77"/>
      <c r="T12" s="103"/>
    </row>
    <row r="13" spans="1:20" s="76" customFormat="1" ht="17.25" x14ac:dyDescent="0.35">
      <c r="A13" s="71">
        <v>12020</v>
      </c>
      <c r="B13" s="100" t="s">
        <v>567</v>
      </c>
      <c r="C13" s="73" t="s">
        <v>8</v>
      </c>
      <c r="D13" s="87" t="s">
        <v>8</v>
      </c>
      <c r="E13" s="87" t="s">
        <v>8</v>
      </c>
      <c r="F13" s="87" t="s">
        <v>8</v>
      </c>
      <c r="G13" s="6">
        <v>3013</v>
      </c>
      <c r="H13" s="6">
        <v>3013</v>
      </c>
      <c r="I13" s="107">
        <v>7312</v>
      </c>
      <c r="J13" s="72" t="s">
        <v>62</v>
      </c>
      <c r="K13" s="75"/>
      <c r="L13" s="75"/>
      <c r="M13" s="75"/>
      <c r="N13" s="75"/>
      <c r="P13" s="101"/>
      <c r="Q13" s="77"/>
      <c r="R13" s="102"/>
      <c r="S13" s="77"/>
      <c r="T13" s="103"/>
    </row>
    <row r="14" spans="1:20" s="94" customFormat="1" ht="17.25" x14ac:dyDescent="0.35">
      <c r="A14" s="88">
        <v>12021</v>
      </c>
      <c r="B14" s="96" t="s">
        <v>435</v>
      </c>
      <c r="C14" s="89" t="s">
        <v>8</v>
      </c>
      <c r="D14" s="90" t="s">
        <v>8</v>
      </c>
      <c r="E14" s="90" t="s">
        <v>8</v>
      </c>
      <c r="F14" s="90" t="s">
        <v>8</v>
      </c>
      <c r="G14" s="91">
        <v>3017</v>
      </c>
      <c r="H14" s="91" t="s">
        <v>436</v>
      </c>
      <c r="I14" s="108">
        <v>7316</v>
      </c>
      <c r="J14" s="91" t="s">
        <v>660</v>
      </c>
      <c r="K14" s="93"/>
      <c r="L14" s="93"/>
      <c r="M14" s="93"/>
      <c r="N14" s="93"/>
      <c r="P14" s="97"/>
      <c r="Q14" s="95"/>
      <c r="R14" s="98"/>
      <c r="S14" s="95"/>
      <c r="T14" s="99"/>
    </row>
    <row r="15" spans="1:20" s="94" customFormat="1" ht="17.25" x14ac:dyDescent="0.35">
      <c r="A15" s="88">
        <v>12022</v>
      </c>
      <c r="B15" s="96" t="s">
        <v>437</v>
      </c>
      <c r="C15" s="89" t="s">
        <v>8</v>
      </c>
      <c r="D15" s="90" t="s">
        <v>8</v>
      </c>
      <c r="E15" s="90" t="s">
        <v>8</v>
      </c>
      <c r="F15" s="90" t="s">
        <v>8</v>
      </c>
      <c r="G15" s="91">
        <v>3019</v>
      </c>
      <c r="H15" s="91" t="s">
        <v>438</v>
      </c>
      <c r="I15" s="108">
        <v>7216</v>
      </c>
      <c r="J15" s="91" t="s">
        <v>661</v>
      </c>
      <c r="K15" s="93"/>
      <c r="L15" s="93"/>
      <c r="M15" s="93"/>
      <c r="N15" s="93"/>
      <c r="P15" s="97"/>
      <c r="Q15" s="95"/>
      <c r="R15" s="98"/>
      <c r="S15" s="95"/>
      <c r="T15" s="99"/>
    </row>
    <row r="16" spans="1:20" s="94" customFormat="1" ht="17.25" x14ac:dyDescent="0.35">
      <c r="A16" s="88">
        <v>12023</v>
      </c>
      <c r="B16" s="96" t="s">
        <v>439</v>
      </c>
      <c r="C16" s="89" t="s">
        <v>8</v>
      </c>
      <c r="D16" s="90" t="s">
        <v>8</v>
      </c>
      <c r="E16" s="90" t="s">
        <v>8</v>
      </c>
      <c r="F16" s="90" t="s">
        <v>8</v>
      </c>
      <c r="G16" s="91">
        <v>3018</v>
      </c>
      <c r="H16" s="91" t="s">
        <v>440</v>
      </c>
      <c r="I16" s="108">
        <v>7316</v>
      </c>
      <c r="J16" s="91" t="s">
        <v>660</v>
      </c>
      <c r="K16" s="93"/>
      <c r="L16" s="93"/>
      <c r="M16" s="93"/>
      <c r="N16" s="93"/>
      <c r="P16" s="97"/>
      <c r="Q16" s="95"/>
      <c r="R16" s="98"/>
      <c r="S16" s="95"/>
      <c r="T16" s="99"/>
    </row>
    <row r="17" spans="1:20" s="94" customFormat="1" ht="17.25" x14ac:dyDescent="0.35">
      <c r="A17" s="88">
        <v>12024</v>
      </c>
      <c r="B17" s="96" t="s">
        <v>441</v>
      </c>
      <c r="C17" s="89" t="s">
        <v>8</v>
      </c>
      <c r="D17" s="90" t="s">
        <v>8</v>
      </c>
      <c r="E17" s="90" t="s">
        <v>8</v>
      </c>
      <c r="F17" s="90" t="s">
        <v>8</v>
      </c>
      <c r="G17" s="91">
        <v>3020</v>
      </c>
      <c r="H17" s="91" t="s">
        <v>442</v>
      </c>
      <c r="I17" s="108">
        <v>7216</v>
      </c>
      <c r="J17" s="91" t="s">
        <v>661</v>
      </c>
      <c r="K17" s="93"/>
      <c r="L17" s="93"/>
      <c r="M17" s="93"/>
      <c r="N17" s="93"/>
      <c r="P17" s="97"/>
      <c r="Q17" s="95"/>
      <c r="R17" s="98"/>
      <c r="S17" s="95"/>
      <c r="T17" s="99"/>
    </row>
    <row r="18" spans="1:20" s="64" customFormat="1" x14ac:dyDescent="0.35">
      <c r="A18" s="60">
        <v>20001</v>
      </c>
      <c r="B18" s="61" t="s">
        <v>568</v>
      </c>
      <c r="C18" s="62" t="s">
        <v>8</v>
      </c>
      <c r="D18" s="62" t="s">
        <v>662</v>
      </c>
      <c r="E18" s="61">
        <v>2025</v>
      </c>
      <c r="F18" s="61" t="s">
        <v>21</v>
      </c>
      <c r="G18" s="62" t="s">
        <v>662</v>
      </c>
      <c r="H18" s="62" t="s">
        <v>8</v>
      </c>
      <c r="I18" s="8" t="s">
        <v>663</v>
      </c>
      <c r="J18" s="8" t="s">
        <v>664</v>
      </c>
      <c r="K18" s="63"/>
      <c r="L18" s="63"/>
      <c r="M18" s="63"/>
      <c r="N18" s="63"/>
      <c r="S18" s="65"/>
    </row>
    <row r="19" spans="1:20" s="64" customFormat="1" x14ac:dyDescent="0.35">
      <c r="A19" s="60">
        <v>20002</v>
      </c>
      <c r="B19" s="61" t="s">
        <v>569</v>
      </c>
      <c r="C19" s="62" t="s">
        <v>8</v>
      </c>
      <c r="D19" s="62" t="s">
        <v>662</v>
      </c>
      <c r="E19" s="61">
        <v>2026</v>
      </c>
      <c r="F19" s="61" t="s">
        <v>98</v>
      </c>
      <c r="G19" s="62" t="s">
        <v>662</v>
      </c>
      <c r="H19" s="62" t="s">
        <v>8</v>
      </c>
      <c r="I19" s="8" t="s">
        <v>663</v>
      </c>
      <c r="J19" s="8" t="s">
        <v>664</v>
      </c>
      <c r="K19" s="63"/>
      <c r="L19" s="63"/>
      <c r="M19" s="63"/>
      <c r="N19" s="63"/>
      <c r="S19" s="65"/>
    </row>
    <row r="20" spans="1:20" s="64" customFormat="1" x14ac:dyDescent="0.35">
      <c r="A20" s="60">
        <v>20003</v>
      </c>
      <c r="B20" s="61" t="s">
        <v>570</v>
      </c>
      <c r="C20" s="62" t="s">
        <v>8</v>
      </c>
      <c r="D20" s="62" t="s">
        <v>662</v>
      </c>
      <c r="E20" s="61">
        <v>2027</v>
      </c>
      <c r="F20" s="61" t="s">
        <v>99</v>
      </c>
      <c r="G20" s="62" t="s">
        <v>662</v>
      </c>
      <c r="H20" s="62" t="s">
        <v>8</v>
      </c>
      <c r="I20" s="8" t="s">
        <v>663</v>
      </c>
      <c r="J20" s="8" t="s">
        <v>664</v>
      </c>
      <c r="K20" s="63"/>
      <c r="L20" s="63"/>
      <c r="M20" s="63"/>
      <c r="N20" s="63"/>
      <c r="S20" s="65"/>
    </row>
    <row r="21" spans="1:20" s="64" customFormat="1" x14ac:dyDescent="0.35">
      <c r="A21" s="60">
        <v>20004</v>
      </c>
      <c r="B21" s="61" t="s">
        <v>571</v>
      </c>
      <c r="C21" s="62" t="s">
        <v>8</v>
      </c>
      <c r="D21" s="62" t="s">
        <v>662</v>
      </c>
      <c r="E21" s="61">
        <v>2028</v>
      </c>
      <c r="F21" s="61" t="s">
        <v>22</v>
      </c>
      <c r="G21" s="62" t="s">
        <v>662</v>
      </c>
      <c r="H21" s="62" t="s">
        <v>8</v>
      </c>
      <c r="I21" s="8" t="s">
        <v>663</v>
      </c>
      <c r="J21" s="8" t="s">
        <v>664</v>
      </c>
      <c r="K21" s="63"/>
      <c r="L21" s="63"/>
      <c r="M21" s="63"/>
      <c r="N21" s="63"/>
      <c r="S21" s="65"/>
    </row>
    <row r="22" spans="1:20" s="69" customFormat="1" x14ac:dyDescent="0.35">
      <c r="A22" s="66">
        <v>20005</v>
      </c>
      <c r="B22" s="67" t="s">
        <v>572</v>
      </c>
      <c r="C22" s="44" t="s">
        <v>8</v>
      </c>
      <c r="D22" s="44" t="s">
        <v>662</v>
      </c>
      <c r="E22" s="67">
        <v>2045</v>
      </c>
      <c r="F22" s="67" t="s">
        <v>23</v>
      </c>
      <c r="G22" s="44" t="s">
        <v>662</v>
      </c>
      <c r="H22" s="44" t="s">
        <v>8</v>
      </c>
      <c r="I22" s="7" t="s">
        <v>671</v>
      </c>
      <c r="J22" s="7" t="s">
        <v>672</v>
      </c>
      <c r="K22" s="68"/>
      <c r="L22" s="68"/>
      <c r="M22" s="68"/>
      <c r="N22" s="68"/>
      <c r="S22" s="70"/>
    </row>
    <row r="23" spans="1:20" s="69" customFormat="1" x14ac:dyDescent="0.35">
      <c r="A23" s="66">
        <v>20006</v>
      </c>
      <c r="B23" s="67" t="s">
        <v>573</v>
      </c>
      <c r="C23" s="44" t="s">
        <v>8</v>
      </c>
      <c r="D23" s="44" t="s">
        <v>662</v>
      </c>
      <c r="E23" s="67">
        <v>2046</v>
      </c>
      <c r="F23" s="67" t="s">
        <v>24</v>
      </c>
      <c r="G23" s="44" t="s">
        <v>662</v>
      </c>
      <c r="H23" s="44" t="s">
        <v>8</v>
      </c>
      <c r="I23" s="7" t="s">
        <v>671</v>
      </c>
      <c r="J23" s="7" t="s">
        <v>672</v>
      </c>
      <c r="K23" s="68"/>
      <c r="L23" s="68"/>
      <c r="M23" s="68"/>
      <c r="N23" s="68"/>
      <c r="S23" s="70"/>
    </row>
    <row r="24" spans="1:20" s="69" customFormat="1" x14ac:dyDescent="0.35">
      <c r="A24" s="66">
        <v>20007</v>
      </c>
      <c r="B24" s="67" t="s">
        <v>574</v>
      </c>
      <c r="C24" s="44" t="s">
        <v>8</v>
      </c>
      <c r="D24" s="44" t="s">
        <v>662</v>
      </c>
      <c r="E24" s="67">
        <v>2047</v>
      </c>
      <c r="F24" s="67" t="s">
        <v>25</v>
      </c>
      <c r="G24" s="44" t="s">
        <v>662</v>
      </c>
      <c r="H24" s="44" t="s">
        <v>8</v>
      </c>
      <c r="I24" s="7" t="s">
        <v>671</v>
      </c>
      <c r="J24" s="7" t="s">
        <v>672</v>
      </c>
      <c r="K24" s="68"/>
      <c r="L24" s="68"/>
      <c r="M24" s="68"/>
      <c r="N24" s="68"/>
      <c r="S24" s="70"/>
    </row>
    <row r="25" spans="1:20" s="69" customFormat="1" x14ac:dyDescent="0.35">
      <c r="A25" s="66">
        <v>20008</v>
      </c>
      <c r="B25" s="67" t="s">
        <v>575</v>
      </c>
      <c r="C25" s="44" t="s">
        <v>8</v>
      </c>
      <c r="D25" s="44" t="s">
        <v>662</v>
      </c>
      <c r="E25" s="67">
        <v>2048</v>
      </c>
      <c r="F25" s="67" t="s">
        <v>26</v>
      </c>
      <c r="G25" s="44" t="s">
        <v>662</v>
      </c>
      <c r="H25" s="44" t="s">
        <v>8</v>
      </c>
      <c r="I25" s="7" t="s">
        <v>671</v>
      </c>
      <c r="J25" s="7" t="s">
        <v>672</v>
      </c>
      <c r="K25" s="68"/>
      <c r="L25" s="68"/>
      <c r="M25" s="68"/>
      <c r="N25" s="68"/>
      <c r="S25" s="70"/>
    </row>
    <row r="26" spans="1:20" s="76" customFormat="1" x14ac:dyDescent="0.35">
      <c r="A26" s="71">
        <v>20009</v>
      </c>
      <c r="B26" s="72" t="s">
        <v>576</v>
      </c>
      <c r="C26" s="73" t="s">
        <v>8</v>
      </c>
      <c r="D26" s="73" t="s">
        <v>662</v>
      </c>
      <c r="E26" s="72">
        <v>2065</v>
      </c>
      <c r="F26" s="72" t="s">
        <v>27</v>
      </c>
      <c r="G26" s="74" t="s">
        <v>662</v>
      </c>
      <c r="H26" s="74" t="s">
        <v>8</v>
      </c>
      <c r="I26" s="6" t="s">
        <v>673</v>
      </c>
      <c r="J26" s="6" t="s">
        <v>674</v>
      </c>
      <c r="K26" s="75"/>
      <c r="L26" s="75"/>
      <c r="M26" s="75"/>
      <c r="N26" s="75"/>
      <c r="S26" s="77"/>
    </row>
    <row r="27" spans="1:20" s="76" customFormat="1" x14ac:dyDescent="0.35">
      <c r="A27" s="71">
        <v>20010</v>
      </c>
      <c r="B27" s="72" t="s">
        <v>577</v>
      </c>
      <c r="C27" s="73" t="s">
        <v>8</v>
      </c>
      <c r="D27" s="73" t="s">
        <v>662</v>
      </c>
      <c r="E27" s="72">
        <v>2066</v>
      </c>
      <c r="F27" s="72" t="s">
        <v>28</v>
      </c>
      <c r="G27" s="74" t="s">
        <v>662</v>
      </c>
      <c r="H27" s="74" t="s">
        <v>8</v>
      </c>
      <c r="I27" s="6" t="s">
        <v>673</v>
      </c>
      <c r="J27" s="6" t="s">
        <v>674</v>
      </c>
      <c r="K27" s="75"/>
      <c r="L27" s="75"/>
      <c r="M27" s="75"/>
      <c r="N27" s="75"/>
      <c r="S27" s="77"/>
    </row>
    <row r="28" spans="1:20" s="76" customFormat="1" x14ac:dyDescent="0.35">
      <c r="A28" s="71">
        <v>20011</v>
      </c>
      <c r="B28" s="72" t="s">
        <v>578</v>
      </c>
      <c r="C28" s="73" t="s">
        <v>8</v>
      </c>
      <c r="D28" s="73" t="s">
        <v>662</v>
      </c>
      <c r="E28" s="72">
        <v>2067</v>
      </c>
      <c r="F28" s="72" t="s">
        <v>29</v>
      </c>
      <c r="G28" s="74" t="s">
        <v>662</v>
      </c>
      <c r="H28" s="74" t="s">
        <v>8</v>
      </c>
      <c r="I28" s="6" t="s">
        <v>673</v>
      </c>
      <c r="J28" s="6" t="s">
        <v>674</v>
      </c>
      <c r="K28" s="75"/>
      <c r="L28" s="75"/>
      <c r="M28" s="75"/>
      <c r="N28" s="75"/>
      <c r="S28" s="77"/>
    </row>
    <row r="29" spans="1:20" s="76" customFormat="1" x14ac:dyDescent="0.35">
      <c r="A29" s="71">
        <v>20012</v>
      </c>
      <c r="B29" s="72" t="s">
        <v>579</v>
      </c>
      <c r="C29" s="73" t="s">
        <v>8</v>
      </c>
      <c r="D29" s="73" t="s">
        <v>662</v>
      </c>
      <c r="E29" s="72">
        <v>2068</v>
      </c>
      <c r="F29" s="72" t="s">
        <v>30</v>
      </c>
      <c r="G29" s="74" t="s">
        <v>662</v>
      </c>
      <c r="H29" s="74" t="s">
        <v>8</v>
      </c>
      <c r="I29" s="6" t="s">
        <v>673</v>
      </c>
      <c r="J29" s="6" t="s">
        <v>674</v>
      </c>
      <c r="K29" s="75"/>
      <c r="L29" s="75"/>
      <c r="M29" s="75"/>
      <c r="N29" s="75"/>
      <c r="S29" s="77"/>
    </row>
    <row r="30" spans="1:20" s="80" customFormat="1" x14ac:dyDescent="0.35">
      <c r="A30" s="51">
        <v>20101</v>
      </c>
      <c r="B30" s="86" t="s">
        <v>564</v>
      </c>
      <c r="C30" s="43" t="s">
        <v>8</v>
      </c>
      <c r="D30" s="43" t="s">
        <v>662</v>
      </c>
      <c r="E30" s="43" t="s">
        <v>662</v>
      </c>
      <c r="F30" s="43" t="s">
        <v>8</v>
      </c>
      <c r="G30" s="78">
        <v>3011</v>
      </c>
      <c r="H30" s="78">
        <v>3011</v>
      </c>
      <c r="I30" s="14">
        <v>7312</v>
      </c>
      <c r="J30" s="14" t="s">
        <v>675</v>
      </c>
      <c r="K30" s="79"/>
      <c r="L30" s="79"/>
      <c r="M30" s="79"/>
      <c r="N30" s="79"/>
      <c r="S30" s="81"/>
    </row>
    <row r="31" spans="1:20" s="80" customFormat="1" x14ac:dyDescent="0.35">
      <c r="A31" s="51">
        <v>20102</v>
      </c>
      <c r="B31" s="86" t="s">
        <v>566</v>
      </c>
      <c r="C31" s="43" t="s">
        <v>662</v>
      </c>
      <c r="D31" s="43" t="s">
        <v>662</v>
      </c>
      <c r="E31" s="43" t="s">
        <v>662</v>
      </c>
      <c r="F31" s="43" t="s">
        <v>8</v>
      </c>
      <c r="G31" s="78">
        <v>3012</v>
      </c>
      <c r="H31" s="78">
        <v>3012</v>
      </c>
      <c r="I31" s="14">
        <v>7212</v>
      </c>
      <c r="J31" s="14" t="s">
        <v>676</v>
      </c>
      <c r="K31" s="79"/>
      <c r="L31" s="79"/>
      <c r="M31" s="79"/>
      <c r="N31" s="79"/>
      <c r="S31" s="81"/>
    </row>
    <row r="32" spans="1:20" s="94" customFormat="1" x14ac:dyDescent="0.35">
      <c r="A32" s="88">
        <v>20103</v>
      </c>
      <c r="B32" s="96" t="s">
        <v>435</v>
      </c>
      <c r="C32" s="89" t="s">
        <v>8</v>
      </c>
      <c r="D32" s="89" t="s">
        <v>662</v>
      </c>
      <c r="E32" s="89" t="s">
        <v>662</v>
      </c>
      <c r="F32" s="89" t="s">
        <v>8</v>
      </c>
      <c r="G32" s="90">
        <v>3017</v>
      </c>
      <c r="H32" s="90">
        <v>3017</v>
      </c>
      <c r="I32" s="108">
        <v>7316</v>
      </c>
      <c r="J32" s="92" t="s">
        <v>660</v>
      </c>
      <c r="K32" s="93"/>
      <c r="L32" s="93"/>
      <c r="M32" s="93"/>
      <c r="N32" s="93"/>
      <c r="S32" s="95"/>
    </row>
    <row r="33" spans="1:20" s="94" customFormat="1" x14ac:dyDescent="0.35">
      <c r="A33" s="88">
        <v>20104</v>
      </c>
      <c r="B33" s="96" t="s">
        <v>439</v>
      </c>
      <c r="C33" s="89" t="s">
        <v>8</v>
      </c>
      <c r="D33" s="89" t="s">
        <v>662</v>
      </c>
      <c r="E33" s="89" t="s">
        <v>662</v>
      </c>
      <c r="F33" s="89" t="s">
        <v>8</v>
      </c>
      <c r="G33" s="90">
        <v>3018</v>
      </c>
      <c r="H33" s="90">
        <v>3018</v>
      </c>
      <c r="I33" s="108">
        <v>7216</v>
      </c>
      <c r="J33" s="92" t="s">
        <v>661</v>
      </c>
      <c r="K33" s="93"/>
      <c r="L33" s="93"/>
      <c r="M33" s="93"/>
      <c r="N33" s="93"/>
      <c r="S33" s="95"/>
    </row>
    <row r="34" spans="1:20" s="82" customFormat="1" ht="17.25" x14ac:dyDescent="0.35">
      <c r="A34" s="16">
        <v>11011</v>
      </c>
      <c r="B34" s="19" t="s">
        <v>677</v>
      </c>
      <c r="C34" s="18" t="s">
        <v>233</v>
      </c>
      <c r="D34" s="18" t="s">
        <v>234</v>
      </c>
      <c r="E34" s="3" t="s">
        <v>8</v>
      </c>
      <c r="F34" s="3" t="s">
        <v>8</v>
      </c>
      <c r="G34" s="3" t="s">
        <v>8</v>
      </c>
      <c r="H34" s="3" t="s">
        <v>8</v>
      </c>
      <c r="I34" s="106" t="s">
        <v>745</v>
      </c>
      <c r="J34" s="4" t="s">
        <v>742</v>
      </c>
      <c r="K34" s="1"/>
      <c r="L34" s="15"/>
      <c r="M34" s="1"/>
      <c r="N34" s="1"/>
      <c r="P34" s="54"/>
      <c r="Q34" s="83"/>
      <c r="R34" s="56"/>
      <c r="S34" s="83"/>
      <c r="T34" s="57"/>
    </row>
    <row r="35" spans="1:20" ht="17.25" x14ac:dyDescent="0.35">
      <c r="A35" s="16">
        <v>11012</v>
      </c>
      <c r="B35" s="19" t="s">
        <v>678</v>
      </c>
      <c r="C35" s="18" t="s">
        <v>235</v>
      </c>
      <c r="D35" s="18" t="s">
        <v>131</v>
      </c>
      <c r="E35" s="3" t="s">
        <v>8</v>
      </c>
      <c r="F35" s="3" t="s">
        <v>8</v>
      </c>
      <c r="G35" s="3" t="s">
        <v>8</v>
      </c>
      <c r="H35" s="3" t="s">
        <v>8</v>
      </c>
      <c r="I35" s="106" t="s">
        <v>745</v>
      </c>
      <c r="J35" s="4" t="s">
        <v>742</v>
      </c>
      <c r="K35" s="1"/>
      <c r="L35" s="15"/>
      <c r="M35" s="1"/>
      <c r="N35" s="1"/>
      <c r="P35" s="54"/>
      <c r="Q35" s="55"/>
      <c r="R35" s="56"/>
      <c r="T35" s="57"/>
    </row>
    <row r="36" spans="1:20" ht="17.25" x14ac:dyDescent="0.35">
      <c r="A36" s="16">
        <v>11013</v>
      </c>
      <c r="B36" s="19" t="s">
        <v>679</v>
      </c>
      <c r="C36" s="18" t="s">
        <v>100</v>
      </c>
      <c r="D36" s="18" t="s">
        <v>132</v>
      </c>
      <c r="E36" s="3" t="s">
        <v>8</v>
      </c>
      <c r="F36" s="3" t="s">
        <v>8</v>
      </c>
      <c r="G36" s="3" t="s">
        <v>8</v>
      </c>
      <c r="H36" s="3" t="s">
        <v>8</v>
      </c>
      <c r="I36" s="106" t="s">
        <v>453</v>
      </c>
      <c r="J36" s="4" t="s">
        <v>431</v>
      </c>
      <c r="K36" s="1"/>
      <c r="L36" s="15"/>
      <c r="M36" s="1"/>
      <c r="N36" s="1"/>
      <c r="P36" s="54"/>
      <c r="Q36" s="55"/>
      <c r="R36" s="56"/>
      <c r="T36" s="57"/>
    </row>
    <row r="37" spans="1:20" ht="17.25" x14ac:dyDescent="0.35">
      <c r="A37" s="16">
        <v>11014</v>
      </c>
      <c r="B37" s="19" t="s">
        <v>680</v>
      </c>
      <c r="C37" s="18" t="s">
        <v>112</v>
      </c>
      <c r="D37" s="18" t="s">
        <v>133</v>
      </c>
      <c r="E37" s="3" t="s">
        <v>8</v>
      </c>
      <c r="F37" s="3" t="s">
        <v>8</v>
      </c>
      <c r="G37" s="3" t="s">
        <v>8</v>
      </c>
      <c r="H37" s="3" t="s">
        <v>8</v>
      </c>
      <c r="I37" s="106" t="s">
        <v>453</v>
      </c>
      <c r="J37" s="4" t="s">
        <v>431</v>
      </c>
      <c r="K37" s="1"/>
      <c r="L37" s="15"/>
      <c r="M37" s="1"/>
      <c r="N37" s="1"/>
      <c r="P37" s="54"/>
      <c r="Q37" s="55"/>
      <c r="R37" s="56"/>
      <c r="T37" s="57"/>
    </row>
    <row r="38" spans="1:20" ht="17.25" x14ac:dyDescent="0.35">
      <c r="A38" s="16">
        <v>11015</v>
      </c>
      <c r="B38" s="19" t="s">
        <v>681</v>
      </c>
      <c r="C38" s="18" t="s">
        <v>104</v>
      </c>
      <c r="D38" s="18" t="s">
        <v>134</v>
      </c>
      <c r="E38" s="3" t="s">
        <v>8</v>
      </c>
      <c r="F38" s="3" t="s">
        <v>8</v>
      </c>
      <c r="G38" s="3" t="s">
        <v>8</v>
      </c>
      <c r="H38" s="3" t="s">
        <v>8</v>
      </c>
      <c r="I38" s="106" t="s">
        <v>455</v>
      </c>
      <c r="J38" s="4" t="s">
        <v>433</v>
      </c>
      <c r="K38" s="1"/>
      <c r="L38" s="15"/>
      <c r="M38" s="1"/>
      <c r="N38" s="1"/>
      <c r="P38" s="54"/>
      <c r="Q38" s="55"/>
      <c r="R38" s="56"/>
      <c r="T38" s="57"/>
    </row>
    <row r="39" spans="1:20" ht="17.25" x14ac:dyDescent="0.35">
      <c r="A39" s="16">
        <v>11016</v>
      </c>
      <c r="B39" s="19" t="s">
        <v>682</v>
      </c>
      <c r="C39" s="18" t="s">
        <v>111</v>
      </c>
      <c r="D39" s="18" t="s">
        <v>135</v>
      </c>
      <c r="E39" s="3" t="s">
        <v>8</v>
      </c>
      <c r="F39" s="3" t="s">
        <v>8</v>
      </c>
      <c r="G39" s="3" t="s">
        <v>8</v>
      </c>
      <c r="H39" s="3" t="s">
        <v>8</v>
      </c>
      <c r="I39" s="106" t="s">
        <v>455</v>
      </c>
      <c r="J39" s="4" t="s">
        <v>433</v>
      </c>
      <c r="K39" s="1"/>
      <c r="L39" s="15"/>
      <c r="M39" s="1"/>
      <c r="N39" s="1"/>
      <c r="P39" s="54"/>
      <c r="Q39" s="55"/>
      <c r="R39" s="56"/>
      <c r="T39" s="57"/>
    </row>
    <row r="40" spans="1:20" ht="17.25" x14ac:dyDescent="0.35">
      <c r="A40" s="16">
        <v>11017</v>
      </c>
      <c r="B40" s="19" t="s">
        <v>683</v>
      </c>
      <c r="C40" s="18" t="s">
        <v>136</v>
      </c>
      <c r="D40" s="18" t="s">
        <v>137</v>
      </c>
      <c r="E40" s="3" t="s">
        <v>8</v>
      </c>
      <c r="F40" s="3" t="s">
        <v>8</v>
      </c>
      <c r="G40" s="3" t="s">
        <v>8</v>
      </c>
      <c r="H40" s="3" t="s">
        <v>8</v>
      </c>
      <c r="I40" s="106" t="s">
        <v>455</v>
      </c>
      <c r="J40" s="4" t="s">
        <v>433</v>
      </c>
      <c r="K40" s="1"/>
      <c r="L40" s="15"/>
      <c r="M40" s="1"/>
      <c r="N40" s="1"/>
      <c r="P40" s="54"/>
      <c r="Q40" s="55"/>
      <c r="R40" s="56"/>
      <c r="T40" s="57"/>
    </row>
    <row r="41" spans="1:20" ht="17.25" x14ac:dyDescent="0.35">
      <c r="A41" s="16">
        <v>11018</v>
      </c>
      <c r="B41" s="19" t="s">
        <v>684</v>
      </c>
      <c r="C41" s="18" t="s">
        <v>694</v>
      </c>
      <c r="D41" s="18" t="s">
        <v>695</v>
      </c>
      <c r="E41" s="3" t="s">
        <v>8</v>
      </c>
      <c r="F41" s="3" t="s">
        <v>8</v>
      </c>
      <c r="G41" s="3" t="s">
        <v>8</v>
      </c>
      <c r="H41" s="3" t="s">
        <v>8</v>
      </c>
      <c r="I41" s="106" t="s">
        <v>454</v>
      </c>
      <c r="J41" s="4" t="s">
        <v>432</v>
      </c>
      <c r="K41" s="1"/>
      <c r="L41" s="15"/>
      <c r="M41" s="1"/>
      <c r="N41" s="1"/>
      <c r="P41" s="54"/>
      <c r="Q41" s="55"/>
      <c r="R41" s="56"/>
      <c r="T41" s="57"/>
    </row>
    <row r="42" spans="1:20" ht="17.25" x14ac:dyDescent="0.35">
      <c r="A42" s="16">
        <v>11019</v>
      </c>
      <c r="B42" s="19" t="s">
        <v>685</v>
      </c>
      <c r="C42" s="18" t="s">
        <v>696</v>
      </c>
      <c r="D42" s="18" t="s">
        <v>697</v>
      </c>
      <c r="E42" s="3" t="s">
        <v>8</v>
      </c>
      <c r="F42" s="3" t="s">
        <v>8</v>
      </c>
      <c r="G42" s="3" t="s">
        <v>8</v>
      </c>
      <c r="H42" s="3" t="s">
        <v>8</v>
      </c>
      <c r="I42" s="106" t="s">
        <v>455</v>
      </c>
      <c r="J42" s="4" t="s">
        <v>433</v>
      </c>
      <c r="K42" s="1"/>
      <c r="L42" s="15"/>
      <c r="M42" s="1"/>
      <c r="N42" s="1"/>
      <c r="P42" s="54"/>
      <c r="Q42" s="55"/>
      <c r="R42" s="56"/>
      <c r="T42" s="57"/>
    </row>
    <row r="43" spans="1:20" ht="17.25" x14ac:dyDescent="0.35">
      <c r="A43" s="16">
        <v>11020</v>
      </c>
      <c r="B43" s="19" t="s">
        <v>686</v>
      </c>
      <c r="C43" s="18" t="s">
        <v>142</v>
      </c>
      <c r="D43" s="18" t="s">
        <v>143</v>
      </c>
      <c r="E43" s="3" t="s">
        <v>8</v>
      </c>
      <c r="F43" s="3" t="s">
        <v>8</v>
      </c>
      <c r="G43" s="3" t="s">
        <v>8</v>
      </c>
      <c r="H43" s="3" t="s">
        <v>8</v>
      </c>
      <c r="I43" s="106" t="s">
        <v>454</v>
      </c>
      <c r="J43" s="4" t="s">
        <v>432</v>
      </c>
      <c r="K43" s="1"/>
      <c r="L43" s="15"/>
      <c r="M43" s="1"/>
      <c r="N43" s="1"/>
      <c r="P43" s="54"/>
      <c r="Q43" s="55"/>
      <c r="R43" s="56"/>
      <c r="T43" s="57"/>
    </row>
    <row r="44" spans="1:20" ht="17.25" x14ac:dyDescent="0.35">
      <c r="A44" s="16">
        <v>11021</v>
      </c>
      <c r="B44" s="19" t="s">
        <v>687</v>
      </c>
      <c r="C44" s="18" t="s">
        <v>101</v>
      </c>
      <c r="D44" s="18" t="s">
        <v>144</v>
      </c>
      <c r="E44" s="3" t="s">
        <v>8</v>
      </c>
      <c r="F44" s="3" t="s">
        <v>8</v>
      </c>
      <c r="G44" s="3" t="s">
        <v>8</v>
      </c>
      <c r="H44" s="3" t="s">
        <v>8</v>
      </c>
      <c r="I44" s="106" t="s">
        <v>746</v>
      </c>
      <c r="J44" s="4" t="s">
        <v>61</v>
      </c>
      <c r="K44" s="1"/>
      <c r="L44" s="15"/>
      <c r="M44" s="1"/>
      <c r="N44" s="1"/>
      <c r="P44" s="54"/>
      <c r="Q44" s="55"/>
      <c r="R44" s="56"/>
      <c r="T44" s="57"/>
    </row>
    <row r="45" spans="1:20" ht="17.25" x14ac:dyDescent="0.35">
      <c r="A45" s="16">
        <v>11022</v>
      </c>
      <c r="B45" s="19" t="s">
        <v>688</v>
      </c>
      <c r="C45" s="18" t="s">
        <v>107</v>
      </c>
      <c r="D45" s="18" t="s">
        <v>145</v>
      </c>
      <c r="E45" s="3" t="s">
        <v>8</v>
      </c>
      <c r="F45" s="3" t="s">
        <v>8</v>
      </c>
      <c r="G45" s="3" t="s">
        <v>8</v>
      </c>
      <c r="H45" s="3" t="s">
        <v>8</v>
      </c>
      <c r="I45" s="106" t="s">
        <v>746</v>
      </c>
      <c r="J45" s="4" t="s">
        <v>61</v>
      </c>
      <c r="K45" s="1"/>
      <c r="L45" s="15"/>
      <c r="M45" s="1"/>
      <c r="N45" s="1"/>
      <c r="P45" s="54"/>
      <c r="Q45" s="55"/>
      <c r="R45" s="56"/>
      <c r="T45" s="57"/>
    </row>
    <row r="46" spans="1:20" ht="17.25" x14ac:dyDescent="0.35">
      <c r="A46" s="16">
        <v>11023</v>
      </c>
      <c r="B46" s="19" t="s">
        <v>689</v>
      </c>
      <c r="C46" s="18" t="s">
        <v>114</v>
      </c>
      <c r="D46" s="18" t="s">
        <v>146</v>
      </c>
      <c r="E46" s="3" t="s">
        <v>8</v>
      </c>
      <c r="F46" s="3" t="s">
        <v>8</v>
      </c>
      <c r="G46" s="3" t="s">
        <v>8</v>
      </c>
      <c r="H46" s="3" t="s">
        <v>8</v>
      </c>
      <c r="I46" s="106" t="s">
        <v>746</v>
      </c>
      <c r="J46" s="4" t="s">
        <v>61</v>
      </c>
      <c r="K46" s="1"/>
      <c r="L46" s="1"/>
      <c r="M46" s="1"/>
      <c r="N46" s="1"/>
      <c r="P46" s="54"/>
      <c r="Q46" s="55"/>
      <c r="R46" s="56"/>
      <c r="T46" s="57"/>
    </row>
    <row r="47" spans="1:20" ht="17.25" x14ac:dyDescent="0.35">
      <c r="A47" s="16">
        <v>11024</v>
      </c>
      <c r="B47" s="19" t="s">
        <v>690</v>
      </c>
      <c r="C47" s="18" t="s">
        <v>118</v>
      </c>
      <c r="D47" s="18" t="s">
        <v>96</v>
      </c>
      <c r="E47" s="3" t="s">
        <v>8</v>
      </c>
      <c r="F47" s="3" t="s">
        <v>8</v>
      </c>
      <c r="G47" s="3" t="s">
        <v>8</v>
      </c>
      <c r="H47" s="3" t="s">
        <v>8</v>
      </c>
      <c r="I47" s="106" t="s">
        <v>746</v>
      </c>
      <c r="J47" s="4" t="s">
        <v>61</v>
      </c>
      <c r="K47" s="1"/>
      <c r="L47" s="1"/>
      <c r="M47" s="1"/>
      <c r="N47" s="1"/>
      <c r="P47" s="54"/>
      <c r="Q47" s="55"/>
      <c r="R47" s="56"/>
      <c r="T47" s="57"/>
    </row>
    <row r="48" spans="1:20" ht="17.25" x14ac:dyDescent="0.35">
      <c r="A48" s="16">
        <v>11025</v>
      </c>
      <c r="B48" s="19" t="s">
        <v>249</v>
      </c>
      <c r="C48" s="18" t="s">
        <v>105</v>
      </c>
      <c r="D48" s="18" t="s">
        <v>147</v>
      </c>
      <c r="E48" s="3" t="s">
        <v>8</v>
      </c>
      <c r="F48" s="3" t="s">
        <v>8</v>
      </c>
      <c r="G48" s="3" t="s">
        <v>8</v>
      </c>
      <c r="H48" s="3" t="s">
        <v>8</v>
      </c>
      <c r="I48" s="106" t="s">
        <v>456</v>
      </c>
      <c r="J48" s="4" t="s">
        <v>68</v>
      </c>
      <c r="K48" s="1"/>
      <c r="L48" s="1"/>
      <c r="M48" s="1"/>
      <c r="N48" s="1"/>
      <c r="P48" s="54"/>
      <c r="Q48" s="55"/>
      <c r="R48" s="56"/>
      <c r="T48" s="57"/>
    </row>
    <row r="49" spans="1:20" ht="17.25" x14ac:dyDescent="0.35">
      <c r="A49" s="16">
        <v>11026</v>
      </c>
      <c r="B49" s="19" t="s">
        <v>250</v>
      </c>
      <c r="C49" s="18" t="s">
        <v>113</v>
      </c>
      <c r="D49" s="18" t="s">
        <v>148</v>
      </c>
      <c r="E49" s="3" t="s">
        <v>8</v>
      </c>
      <c r="F49" s="3" t="s">
        <v>8</v>
      </c>
      <c r="G49" s="3" t="s">
        <v>8</v>
      </c>
      <c r="H49" s="3" t="s">
        <v>8</v>
      </c>
      <c r="I49" s="106" t="s">
        <v>457</v>
      </c>
      <c r="J49" s="4" t="s">
        <v>447</v>
      </c>
      <c r="K49" s="1"/>
      <c r="L49" s="1"/>
      <c r="M49" s="1"/>
      <c r="N49" s="1"/>
      <c r="P49" s="54"/>
      <c r="Q49" s="55"/>
      <c r="R49" s="56"/>
      <c r="T49" s="57"/>
    </row>
    <row r="50" spans="1:20" ht="17.25" x14ac:dyDescent="0.35">
      <c r="A50" s="16">
        <v>11027</v>
      </c>
      <c r="B50" s="19" t="s">
        <v>251</v>
      </c>
      <c r="C50" s="18" t="s">
        <v>77</v>
      </c>
      <c r="D50" s="18" t="s">
        <v>78</v>
      </c>
      <c r="E50" s="3" t="s">
        <v>8</v>
      </c>
      <c r="F50" s="3" t="s">
        <v>8</v>
      </c>
      <c r="G50" s="3" t="s">
        <v>8</v>
      </c>
      <c r="H50" s="3" t="s">
        <v>8</v>
      </c>
      <c r="I50" s="106" t="s">
        <v>457</v>
      </c>
      <c r="J50" s="4" t="s">
        <v>447</v>
      </c>
      <c r="K50" s="1"/>
      <c r="L50" s="1"/>
      <c r="M50" s="1"/>
      <c r="N50" s="1"/>
      <c r="P50" s="54"/>
      <c r="Q50" s="55"/>
      <c r="R50" s="56"/>
      <c r="T50" s="57"/>
    </row>
    <row r="51" spans="1:20" ht="17.25" x14ac:dyDescent="0.35">
      <c r="A51" s="16">
        <v>11028</v>
      </c>
      <c r="B51" s="19" t="s">
        <v>252</v>
      </c>
      <c r="C51" s="18" t="s">
        <v>73</v>
      </c>
      <c r="D51" s="18" t="s">
        <v>74</v>
      </c>
      <c r="E51" s="3" t="s">
        <v>8</v>
      </c>
      <c r="F51" s="3" t="s">
        <v>8</v>
      </c>
      <c r="G51" s="3" t="s">
        <v>8</v>
      </c>
      <c r="H51" s="3" t="s">
        <v>8</v>
      </c>
      <c r="I51" s="106" t="s">
        <v>456</v>
      </c>
      <c r="J51" s="4" t="s">
        <v>68</v>
      </c>
      <c r="K51" s="1"/>
      <c r="L51" s="1"/>
      <c r="M51" s="1"/>
      <c r="N51" s="1"/>
      <c r="P51" s="54"/>
      <c r="Q51" s="55"/>
      <c r="R51" s="56"/>
      <c r="T51" s="57"/>
    </row>
    <row r="52" spans="1:20" ht="17.25" x14ac:dyDescent="0.35">
      <c r="A52" s="16">
        <v>11029</v>
      </c>
      <c r="B52" s="19" t="s">
        <v>253</v>
      </c>
      <c r="C52" s="18" t="s">
        <v>106</v>
      </c>
      <c r="D52" s="18" t="s">
        <v>149</v>
      </c>
      <c r="E52" s="3" t="s">
        <v>8</v>
      </c>
      <c r="F52" s="3" t="s">
        <v>8</v>
      </c>
      <c r="G52" s="3" t="s">
        <v>8</v>
      </c>
      <c r="H52" s="3" t="s">
        <v>8</v>
      </c>
      <c r="I52" s="106" t="s">
        <v>458</v>
      </c>
      <c r="J52" s="4" t="s">
        <v>61</v>
      </c>
      <c r="K52" s="1"/>
      <c r="L52" s="1"/>
      <c r="M52" s="1"/>
      <c r="N52" s="1"/>
      <c r="P52" s="54"/>
      <c r="Q52" s="55"/>
      <c r="R52" s="56"/>
      <c r="T52" s="57"/>
    </row>
    <row r="53" spans="1:20" ht="17.25" x14ac:dyDescent="0.35">
      <c r="A53" s="16">
        <v>11030</v>
      </c>
      <c r="B53" s="19" t="s">
        <v>254</v>
      </c>
      <c r="C53" s="18" t="s">
        <v>102</v>
      </c>
      <c r="D53" s="18" t="s">
        <v>150</v>
      </c>
      <c r="E53" s="3" t="s">
        <v>8</v>
      </c>
      <c r="F53" s="3" t="s">
        <v>8</v>
      </c>
      <c r="G53" s="3" t="s">
        <v>8</v>
      </c>
      <c r="H53" s="3" t="s">
        <v>8</v>
      </c>
      <c r="I53" s="106" t="s">
        <v>457</v>
      </c>
      <c r="J53" s="4" t="s">
        <v>447</v>
      </c>
      <c r="K53" s="1"/>
      <c r="L53" s="1"/>
      <c r="M53" s="1"/>
      <c r="N53" s="1"/>
      <c r="P53" s="54"/>
      <c r="Q53" s="55"/>
      <c r="R53" s="56"/>
      <c r="T53" s="57"/>
    </row>
    <row r="54" spans="1:20" ht="17.25" x14ac:dyDescent="0.35">
      <c r="A54" s="16">
        <v>11031</v>
      </c>
      <c r="B54" s="19" t="s">
        <v>255</v>
      </c>
      <c r="C54" s="18" t="s">
        <v>115</v>
      </c>
      <c r="D54" s="18" t="s">
        <v>151</v>
      </c>
      <c r="E54" s="3" t="s">
        <v>8</v>
      </c>
      <c r="F54" s="3" t="s">
        <v>8</v>
      </c>
      <c r="G54" s="3" t="s">
        <v>8</v>
      </c>
      <c r="H54" s="3" t="s">
        <v>8</v>
      </c>
      <c r="I54" s="106" t="s">
        <v>459</v>
      </c>
      <c r="J54" s="4" t="s">
        <v>450</v>
      </c>
      <c r="K54" s="1"/>
      <c r="L54" s="1"/>
      <c r="M54" s="1"/>
      <c r="N54" s="1"/>
      <c r="P54" s="54"/>
      <c r="Q54" s="55"/>
      <c r="R54" s="56"/>
      <c r="T54" s="57"/>
    </row>
    <row r="55" spans="1:20" ht="17.25" x14ac:dyDescent="0.35">
      <c r="A55" s="16">
        <v>11032</v>
      </c>
      <c r="B55" s="19" t="s">
        <v>256</v>
      </c>
      <c r="C55" s="18" t="s">
        <v>108</v>
      </c>
      <c r="D55" s="18" t="s">
        <v>152</v>
      </c>
      <c r="E55" s="3" t="s">
        <v>8</v>
      </c>
      <c r="F55" s="3" t="s">
        <v>8</v>
      </c>
      <c r="G55" s="3" t="s">
        <v>8</v>
      </c>
      <c r="H55" s="3" t="s">
        <v>8</v>
      </c>
      <c r="I55" s="106" t="s">
        <v>456</v>
      </c>
      <c r="J55" s="4" t="s">
        <v>68</v>
      </c>
      <c r="K55" s="1"/>
      <c r="L55" s="1"/>
      <c r="M55" s="1"/>
      <c r="N55" s="1"/>
      <c r="P55" s="54"/>
      <c r="Q55" s="55"/>
      <c r="R55" s="56"/>
      <c r="T55" s="57"/>
    </row>
    <row r="56" spans="1:20" ht="17.25" x14ac:dyDescent="0.35">
      <c r="A56" s="16">
        <v>11033</v>
      </c>
      <c r="B56" s="19" t="s">
        <v>257</v>
      </c>
      <c r="C56" s="18" t="s">
        <v>119</v>
      </c>
      <c r="D56" s="18" t="s">
        <v>97</v>
      </c>
      <c r="E56" s="3" t="s">
        <v>8</v>
      </c>
      <c r="F56" s="3" t="s">
        <v>8</v>
      </c>
      <c r="G56" s="3" t="s">
        <v>8</v>
      </c>
      <c r="H56" s="3" t="s">
        <v>8</v>
      </c>
      <c r="I56" s="106" t="s">
        <v>457</v>
      </c>
      <c r="J56" s="4" t="s">
        <v>447</v>
      </c>
      <c r="K56" s="1"/>
      <c r="L56" s="1"/>
      <c r="M56" s="1"/>
      <c r="N56" s="1"/>
      <c r="P56" s="54"/>
      <c r="Q56" s="55"/>
      <c r="R56" s="56"/>
      <c r="T56" s="57"/>
    </row>
    <row r="57" spans="1:20" ht="17.25" x14ac:dyDescent="0.35">
      <c r="A57" s="16">
        <v>11034</v>
      </c>
      <c r="B57" s="19" t="s">
        <v>258</v>
      </c>
      <c r="C57" s="18" t="s">
        <v>103</v>
      </c>
      <c r="D57" s="18" t="s">
        <v>153</v>
      </c>
      <c r="E57" s="3" t="s">
        <v>8</v>
      </c>
      <c r="F57" s="3" t="s">
        <v>8</v>
      </c>
      <c r="G57" s="3" t="s">
        <v>8</v>
      </c>
      <c r="H57" s="3" t="s">
        <v>8</v>
      </c>
      <c r="I57" s="106" t="s">
        <v>456</v>
      </c>
      <c r="J57" s="4" t="s">
        <v>68</v>
      </c>
      <c r="K57" s="1"/>
      <c r="L57" s="1"/>
      <c r="M57" s="1"/>
      <c r="N57" s="1"/>
      <c r="P57" s="54"/>
      <c r="Q57" s="55"/>
      <c r="R57" s="56"/>
      <c r="T57" s="57"/>
    </row>
    <row r="58" spans="1:20" ht="17.25" x14ac:dyDescent="0.35">
      <c r="A58" s="16">
        <v>11035</v>
      </c>
      <c r="B58" s="19" t="s">
        <v>259</v>
      </c>
      <c r="C58" s="18" t="s">
        <v>116</v>
      </c>
      <c r="D58" s="18" t="s">
        <v>154</v>
      </c>
      <c r="E58" s="3" t="s">
        <v>8</v>
      </c>
      <c r="F58" s="3" t="s">
        <v>8</v>
      </c>
      <c r="G58" s="3" t="s">
        <v>8</v>
      </c>
      <c r="H58" s="3" t="s">
        <v>8</v>
      </c>
      <c r="I58" s="106" t="s">
        <v>457</v>
      </c>
      <c r="J58" s="4" t="s">
        <v>447</v>
      </c>
      <c r="K58" s="1"/>
      <c r="L58" s="1"/>
      <c r="M58" s="1"/>
      <c r="N58" s="1"/>
      <c r="P58" s="54"/>
      <c r="Q58" s="55"/>
      <c r="R58" s="56"/>
      <c r="T58" s="57"/>
    </row>
    <row r="59" spans="1:20" ht="17.25" x14ac:dyDescent="0.35">
      <c r="A59" s="16">
        <v>11036</v>
      </c>
      <c r="B59" s="19" t="s">
        <v>260</v>
      </c>
      <c r="C59" s="18" t="s">
        <v>109</v>
      </c>
      <c r="D59" s="18" t="s">
        <v>155</v>
      </c>
      <c r="E59" s="3" t="s">
        <v>8</v>
      </c>
      <c r="F59" s="3" t="s">
        <v>8</v>
      </c>
      <c r="G59" s="3" t="s">
        <v>8</v>
      </c>
      <c r="H59" s="3" t="s">
        <v>8</v>
      </c>
      <c r="I59" s="106" t="s">
        <v>457</v>
      </c>
      <c r="J59" s="4" t="s">
        <v>447</v>
      </c>
      <c r="K59" s="1"/>
      <c r="L59" s="1"/>
      <c r="M59" s="1"/>
      <c r="N59" s="1"/>
      <c r="P59" s="54"/>
      <c r="Q59" s="55"/>
      <c r="R59" s="56"/>
      <c r="T59" s="57"/>
    </row>
    <row r="60" spans="1:20" ht="17.25" x14ac:dyDescent="0.35">
      <c r="A60" s="16">
        <v>11037</v>
      </c>
      <c r="B60" s="19" t="s">
        <v>261</v>
      </c>
      <c r="C60" s="18" t="s">
        <v>120</v>
      </c>
      <c r="D60" s="18" t="s">
        <v>156</v>
      </c>
      <c r="E60" s="3" t="s">
        <v>8</v>
      </c>
      <c r="F60" s="3" t="s">
        <v>8</v>
      </c>
      <c r="G60" s="3" t="s">
        <v>8</v>
      </c>
      <c r="H60" s="3" t="s">
        <v>8</v>
      </c>
      <c r="I60" s="106" t="s">
        <v>459</v>
      </c>
      <c r="J60" s="4" t="s">
        <v>450</v>
      </c>
      <c r="K60" s="1"/>
      <c r="L60" s="1"/>
      <c r="M60" s="1"/>
      <c r="N60" s="1"/>
      <c r="P60" s="54"/>
      <c r="Q60" s="55"/>
      <c r="R60" s="56"/>
      <c r="T60" s="57"/>
    </row>
    <row r="61" spans="1:20" ht="17.25" x14ac:dyDescent="0.35">
      <c r="A61" s="16">
        <v>11038</v>
      </c>
      <c r="B61" s="19" t="s">
        <v>262</v>
      </c>
      <c r="C61" s="18" t="s">
        <v>49</v>
      </c>
      <c r="D61" s="18" t="s">
        <v>14</v>
      </c>
      <c r="E61" s="3" t="s">
        <v>8</v>
      </c>
      <c r="F61" s="3" t="s">
        <v>8</v>
      </c>
      <c r="G61" s="3" t="s">
        <v>8</v>
      </c>
      <c r="H61" s="3" t="s">
        <v>8</v>
      </c>
      <c r="I61" s="106" t="s">
        <v>459</v>
      </c>
      <c r="J61" s="4" t="s">
        <v>450</v>
      </c>
      <c r="K61" s="1"/>
      <c r="L61" s="1"/>
      <c r="M61" s="1"/>
      <c r="N61" s="1"/>
      <c r="P61" s="54"/>
      <c r="Q61" s="55"/>
      <c r="R61" s="56"/>
      <c r="T61" s="57"/>
    </row>
    <row r="62" spans="1:20" ht="17.25" x14ac:dyDescent="0.35">
      <c r="A62" s="16">
        <v>11039</v>
      </c>
      <c r="B62" s="19" t="s">
        <v>263</v>
      </c>
      <c r="C62" s="18" t="s">
        <v>110</v>
      </c>
      <c r="D62" s="18" t="s">
        <v>157</v>
      </c>
      <c r="E62" s="3" t="s">
        <v>8</v>
      </c>
      <c r="F62" s="3" t="s">
        <v>8</v>
      </c>
      <c r="G62" s="3" t="s">
        <v>8</v>
      </c>
      <c r="H62" s="3" t="s">
        <v>8</v>
      </c>
      <c r="I62" s="106" t="s">
        <v>459</v>
      </c>
      <c r="J62" s="4" t="s">
        <v>450</v>
      </c>
      <c r="K62" s="1"/>
      <c r="L62" s="1"/>
      <c r="M62" s="1"/>
      <c r="N62" s="1"/>
      <c r="P62" s="54"/>
      <c r="Q62" s="55"/>
      <c r="R62" s="56"/>
      <c r="T62" s="57"/>
    </row>
    <row r="63" spans="1:20" ht="17.25" x14ac:dyDescent="0.35">
      <c r="A63" s="16">
        <v>11040</v>
      </c>
      <c r="B63" s="19" t="s">
        <v>264</v>
      </c>
      <c r="C63" s="18" t="s">
        <v>117</v>
      </c>
      <c r="D63" s="18" t="s">
        <v>158</v>
      </c>
      <c r="E63" s="3" t="s">
        <v>8</v>
      </c>
      <c r="F63" s="3" t="s">
        <v>8</v>
      </c>
      <c r="G63" s="3" t="s">
        <v>8</v>
      </c>
      <c r="H63" s="3" t="s">
        <v>8</v>
      </c>
      <c r="I63" s="106" t="s">
        <v>456</v>
      </c>
      <c r="J63" s="4" t="s">
        <v>68</v>
      </c>
      <c r="K63" s="1"/>
      <c r="L63" s="1"/>
      <c r="M63" s="1"/>
      <c r="N63" s="1"/>
      <c r="P63" s="54"/>
      <c r="Q63" s="55"/>
      <c r="R63" s="56"/>
      <c r="T63" s="57"/>
    </row>
    <row r="64" spans="1:20" ht="17.25" x14ac:dyDescent="0.35">
      <c r="A64" s="16">
        <v>11041</v>
      </c>
      <c r="B64" s="19" t="s">
        <v>265</v>
      </c>
      <c r="C64" s="18" t="s">
        <v>121</v>
      </c>
      <c r="D64" s="18" t="s">
        <v>159</v>
      </c>
      <c r="E64" s="3" t="s">
        <v>8</v>
      </c>
      <c r="F64" s="3" t="s">
        <v>8</v>
      </c>
      <c r="G64" s="3" t="s">
        <v>8</v>
      </c>
      <c r="H64" s="3" t="s">
        <v>8</v>
      </c>
      <c r="I64" s="106" t="s">
        <v>456</v>
      </c>
      <c r="J64" s="4" t="s">
        <v>68</v>
      </c>
      <c r="K64" s="1"/>
      <c r="L64" s="1"/>
      <c r="M64" s="1"/>
      <c r="N64" s="1"/>
      <c r="P64" s="54"/>
      <c r="Q64" s="55"/>
      <c r="R64" s="56"/>
      <c r="T64" s="57"/>
    </row>
    <row r="65" spans="1:20" ht="17.25" x14ac:dyDescent="0.35">
      <c r="A65" s="16">
        <v>11042</v>
      </c>
      <c r="B65" s="19" t="s">
        <v>266</v>
      </c>
      <c r="C65" s="18" t="s">
        <v>50</v>
      </c>
      <c r="D65" s="18" t="s">
        <v>16</v>
      </c>
      <c r="E65" s="3" t="s">
        <v>8</v>
      </c>
      <c r="F65" s="3" t="s">
        <v>8</v>
      </c>
      <c r="G65" s="3" t="s">
        <v>8</v>
      </c>
      <c r="H65" s="3" t="s">
        <v>8</v>
      </c>
      <c r="I65" s="106" t="s">
        <v>459</v>
      </c>
      <c r="J65" s="4" t="s">
        <v>450</v>
      </c>
      <c r="K65" s="1"/>
      <c r="L65" s="1"/>
      <c r="M65" s="1"/>
      <c r="N65" s="1"/>
      <c r="P65" s="54"/>
      <c r="Q65" s="55"/>
      <c r="R65" s="56"/>
      <c r="T65" s="57"/>
    </row>
    <row r="66" spans="1:20" ht="17.25" x14ac:dyDescent="0.35">
      <c r="A66" s="16">
        <v>11043</v>
      </c>
      <c r="B66" s="19" t="s">
        <v>691</v>
      </c>
      <c r="C66" s="18" t="s">
        <v>665</v>
      </c>
      <c r="D66" s="18" t="s">
        <v>666</v>
      </c>
      <c r="E66" s="3" t="s">
        <v>8</v>
      </c>
      <c r="F66" s="3" t="s">
        <v>8</v>
      </c>
      <c r="G66" s="3" t="s">
        <v>8</v>
      </c>
      <c r="H66" s="3" t="s">
        <v>8</v>
      </c>
      <c r="I66" s="106" t="s">
        <v>748</v>
      </c>
      <c r="J66" s="4" t="s">
        <v>743</v>
      </c>
      <c r="K66" s="1"/>
      <c r="L66" s="1"/>
      <c r="M66" s="1"/>
      <c r="N66" s="1"/>
      <c r="P66" s="54"/>
      <c r="Q66" s="55"/>
      <c r="R66" s="56"/>
      <c r="T66" s="57"/>
    </row>
    <row r="67" spans="1:20" ht="17.25" x14ac:dyDescent="0.35">
      <c r="A67" s="16">
        <v>11044</v>
      </c>
      <c r="B67" s="19" t="s">
        <v>267</v>
      </c>
      <c r="C67" s="18" t="s">
        <v>698</v>
      </c>
      <c r="D67" s="18" t="s">
        <v>699</v>
      </c>
      <c r="E67" s="3" t="s">
        <v>8</v>
      </c>
      <c r="F67" s="3" t="s">
        <v>8</v>
      </c>
      <c r="G67" s="3" t="s">
        <v>8</v>
      </c>
      <c r="H67" s="3" t="s">
        <v>8</v>
      </c>
      <c r="I67" s="106" t="s">
        <v>454</v>
      </c>
      <c r="J67" s="4" t="s">
        <v>432</v>
      </c>
      <c r="K67" s="1"/>
      <c r="L67" s="1"/>
      <c r="M67" s="1"/>
      <c r="N67" s="1"/>
      <c r="P67" s="54"/>
      <c r="Q67" s="55"/>
      <c r="R67" s="56"/>
      <c r="T67" s="57"/>
    </row>
    <row r="68" spans="1:20" ht="17.25" x14ac:dyDescent="0.35">
      <c r="A68" s="16">
        <v>11045</v>
      </c>
      <c r="B68" s="19" t="s">
        <v>268</v>
      </c>
      <c r="C68" s="18" t="s">
        <v>700</v>
      </c>
      <c r="D68" s="18" t="s">
        <v>701</v>
      </c>
      <c r="E68" s="3" t="s">
        <v>8</v>
      </c>
      <c r="F68" s="3" t="s">
        <v>8</v>
      </c>
      <c r="G68" s="3" t="s">
        <v>8</v>
      </c>
      <c r="H68" s="3" t="s">
        <v>8</v>
      </c>
      <c r="I68" s="106" t="s">
        <v>454</v>
      </c>
      <c r="J68" s="4" t="s">
        <v>432</v>
      </c>
      <c r="K68" s="1"/>
      <c r="L68" s="1"/>
      <c r="M68" s="1"/>
      <c r="N68" s="1"/>
      <c r="P68" s="54"/>
      <c r="Q68" s="55"/>
      <c r="R68" s="56"/>
      <c r="T68" s="57"/>
    </row>
    <row r="69" spans="1:20" ht="17.25" x14ac:dyDescent="0.35">
      <c r="A69" s="16">
        <v>11046</v>
      </c>
      <c r="B69" s="19" t="s">
        <v>269</v>
      </c>
      <c r="C69" s="18" t="s">
        <v>759</v>
      </c>
      <c r="D69" s="18" t="s">
        <v>749</v>
      </c>
      <c r="E69" s="3" t="s">
        <v>8</v>
      </c>
      <c r="F69" s="3" t="s">
        <v>8</v>
      </c>
      <c r="G69" s="3" t="s">
        <v>8</v>
      </c>
      <c r="H69" s="3" t="s">
        <v>8</v>
      </c>
      <c r="I69" s="106" t="s">
        <v>455</v>
      </c>
      <c r="J69" s="4" t="s">
        <v>433</v>
      </c>
      <c r="K69" s="1"/>
      <c r="L69" s="1"/>
      <c r="M69" s="1"/>
      <c r="N69" s="1"/>
      <c r="P69" s="54"/>
      <c r="Q69" s="55"/>
      <c r="R69" s="56"/>
      <c r="T69" s="57"/>
    </row>
    <row r="70" spans="1:20" ht="17.25" x14ac:dyDescent="0.35">
      <c r="A70" s="16">
        <v>11047</v>
      </c>
      <c r="B70" s="19" t="s">
        <v>270</v>
      </c>
      <c r="C70" s="18" t="s">
        <v>760</v>
      </c>
      <c r="D70" s="18" t="s">
        <v>750</v>
      </c>
      <c r="E70" s="3" t="s">
        <v>8</v>
      </c>
      <c r="F70" s="3" t="s">
        <v>8</v>
      </c>
      <c r="G70" s="3" t="s">
        <v>8</v>
      </c>
      <c r="H70" s="3" t="s">
        <v>8</v>
      </c>
      <c r="I70" s="106" t="s">
        <v>455</v>
      </c>
      <c r="J70" s="4" t="s">
        <v>433</v>
      </c>
      <c r="K70" s="1"/>
      <c r="L70" s="1"/>
      <c r="M70" s="1"/>
      <c r="N70" s="1"/>
      <c r="P70" s="54"/>
      <c r="Q70" s="55"/>
      <c r="R70" s="56"/>
      <c r="T70" s="57"/>
    </row>
    <row r="71" spans="1:20" ht="17.25" x14ac:dyDescent="0.35">
      <c r="A71" s="16">
        <v>11048</v>
      </c>
      <c r="B71" s="19" t="s">
        <v>271</v>
      </c>
      <c r="C71" s="18" t="s">
        <v>702</v>
      </c>
      <c r="D71" s="18" t="s">
        <v>703</v>
      </c>
      <c r="E71" s="3" t="s">
        <v>8</v>
      </c>
      <c r="F71" s="3" t="s">
        <v>8</v>
      </c>
      <c r="G71" s="3" t="s">
        <v>8</v>
      </c>
      <c r="H71" s="3" t="s">
        <v>8</v>
      </c>
      <c r="I71" s="106" t="s">
        <v>457</v>
      </c>
      <c r="J71" s="4" t="s">
        <v>447</v>
      </c>
      <c r="K71" s="1"/>
      <c r="L71" s="1"/>
      <c r="M71" s="1"/>
      <c r="N71" s="1"/>
      <c r="P71" s="54"/>
      <c r="Q71" s="55"/>
      <c r="R71" s="56"/>
      <c r="T71" s="57"/>
    </row>
    <row r="72" spans="1:20" ht="17.25" x14ac:dyDescent="0.35">
      <c r="A72" s="16">
        <v>11049</v>
      </c>
      <c r="B72" s="19" t="s">
        <v>272</v>
      </c>
      <c r="C72" s="18" t="s">
        <v>704</v>
      </c>
      <c r="D72" s="18" t="s">
        <v>705</v>
      </c>
      <c r="E72" s="3" t="s">
        <v>8</v>
      </c>
      <c r="F72" s="3" t="s">
        <v>8</v>
      </c>
      <c r="G72" s="3" t="s">
        <v>8</v>
      </c>
      <c r="H72" s="3" t="s">
        <v>8</v>
      </c>
      <c r="I72" s="106" t="s">
        <v>457</v>
      </c>
      <c r="J72" s="4" t="s">
        <v>447</v>
      </c>
      <c r="K72" s="1"/>
      <c r="L72" s="1"/>
      <c r="M72" s="1"/>
      <c r="N72" s="1"/>
      <c r="P72" s="54"/>
      <c r="Q72" s="55"/>
      <c r="R72" s="56"/>
      <c r="T72" s="57"/>
    </row>
    <row r="73" spans="1:20" ht="17.25" x14ac:dyDescent="0.35">
      <c r="A73" s="16">
        <v>11050</v>
      </c>
      <c r="B73" s="19" t="s">
        <v>273</v>
      </c>
      <c r="C73" s="18" t="s">
        <v>706</v>
      </c>
      <c r="D73" s="18" t="s">
        <v>707</v>
      </c>
      <c r="E73" s="3" t="s">
        <v>8</v>
      </c>
      <c r="F73" s="3" t="s">
        <v>8</v>
      </c>
      <c r="G73" s="3" t="s">
        <v>8</v>
      </c>
      <c r="H73" s="3" t="s">
        <v>8</v>
      </c>
      <c r="I73" s="106" t="s">
        <v>456</v>
      </c>
      <c r="J73" s="4" t="s">
        <v>68</v>
      </c>
      <c r="K73" s="1"/>
      <c r="L73" s="1"/>
      <c r="M73" s="1"/>
      <c r="N73" s="1"/>
      <c r="P73" s="54"/>
      <c r="Q73" s="55"/>
      <c r="R73" s="56"/>
      <c r="T73" s="57"/>
    </row>
    <row r="74" spans="1:20" ht="17.25" x14ac:dyDescent="0.35">
      <c r="A74" s="16">
        <v>11051</v>
      </c>
      <c r="B74" s="19" t="s">
        <v>274</v>
      </c>
      <c r="C74" s="18" t="s">
        <v>169</v>
      </c>
      <c r="D74" s="18" t="s">
        <v>170</v>
      </c>
      <c r="E74" s="3" t="s">
        <v>8</v>
      </c>
      <c r="F74" s="3" t="s">
        <v>8</v>
      </c>
      <c r="G74" s="3" t="s">
        <v>8</v>
      </c>
      <c r="H74" s="3" t="s">
        <v>8</v>
      </c>
      <c r="I74" s="106" t="s">
        <v>457</v>
      </c>
      <c r="J74" s="4" t="s">
        <v>447</v>
      </c>
      <c r="K74" s="1"/>
      <c r="L74" s="1"/>
      <c r="M74" s="1"/>
      <c r="N74" s="1"/>
      <c r="P74" s="54"/>
      <c r="Q74" s="55"/>
      <c r="R74" s="56"/>
      <c r="T74" s="57"/>
    </row>
    <row r="75" spans="1:20" ht="17.25" x14ac:dyDescent="0.35">
      <c r="A75" s="16">
        <v>11052</v>
      </c>
      <c r="B75" s="19" t="s">
        <v>275</v>
      </c>
      <c r="C75" s="18" t="s">
        <v>52</v>
      </c>
      <c r="D75" s="18" t="s">
        <v>18</v>
      </c>
      <c r="E75" s="3" t="s">
        <v>8</v>
      </c>
      <c r="F75" s="3" t="s">
        <v>8</v>
      </c>
      <c r="G75" s="3" t="s">
        <v>8</v>
      </c>
      <c r="H75" s="3" t="s">
        <v>8</v>
      </c>
      <c r="I75" s="106" t="s">
        <v>456</v>
      </c>
      <c r="J75" s="4" t="s">
        <v>68</v>
      </c>
      <c r="K75" s="1"/>
      <c r="L75" s="1"/>
      <c r="M75" s="1"/>
      <c r="N75" s="1"/>
      <c r="P75" s="54"/>
      <c r="Q75" s="55"/>
      <c r="R75" s="56"/>
      <c r="T75" s="57"/>
    </row>
    <row r="76" spans="1:20" ht="17.25" x14ac:dyDescent="0.35">
      <c r="A76" s="16">
        <v>11053</v>
      </c>
      <c r="B76" s="19" t="s">
        <v>276</v>
      </c>
      <c r="C76" s="18" t="s">
        <v>708</v>
      </c>
      <c r="D76" s="18" t="s">
        <v>709</v>
      </c>
      <c r="E76" s="3" t="s">
        <v>8</v>
      </c>
      <c r="F76" s="3" t="s">
        <v>8</v>
      </c>
      <c r="G76" s="3" t="s">
        <v>8</v>
      </c>
      <c r="H76" s="3" t="s">
        <v>8</v>
      </c>
      <c r="I76" s="106" t="s">
        <v>456</v>
      </c>
      <c r="J76" s="4" t="s">
        <v>68</v>
      </c>
      <c r="K76" s="1"/>
      <c r="L76" s="1"/>
      <c r="M76" s="1"/>
      <c r="N76" s="1"/>
      <c r="P76" s="54"/>
      <c r="Q76" s="55"/>
      <c r="R76" s="56"/>
      <c r="T76" s="57"/>
    </row>
    <row r="77" spans="1:20" ht="17.25" x14ac:dyDescent="0.35">
      <c r="A77" s="105">
        <f>A34+100</f>
        <v>11111</v>
      </c>
      <c r="B77" s="19" t="s">
        <v>278</v>
      </c>
      <c r="C77" s="18" t="s">
        <v>586</v>
      </c>
      <c r="D77" s="18" t="s">
        <v>587</v>
      </c>
      <c r="E77" s="23" t="s">
        <v>8</v>
      </c>
      <c r="F77" s="23" t="s">
        <v>8</v>
      </c>
      <c r="G77" s="23" t="s">
        <v>8</v>
      </c>
      <c r="H77" s="23" t="s">
        <v>8</v>
      </c>
      <c r="I77" s="109" t="s">
        <v>744</v>
      </c>
      <c r="J77" s="25" t="s">
        <v>742</v>
      </c>
      <c r="K77" s="1"/>
      <c r="L77" s="1"/>
      <c r="M77" s="1"/>
      <c r="N77" s="1"/>
      <c r="P77" s="54"/>
      <c r="Q77" s="55"/>
      <c r="R77" s="56"/>
      <c r="T77" s="57"/>
    </row>
    <row r="78" spans="1:20" ht="17.25" x14ac:dyDescent="0.35">
      <c r="A78" s="105">
        <f t="shared" ref="A78:A141" si="0">A35+100</f>
        <v>11112</v>
      </c>
      <c r="B78" s="19" t="s">
        <v>279</v>
      </c>
      <c r="C78" s="18" t="s">
        <v>588</v>
      </c>
      <c r="D78" s="18" t="s">
        <v>589</v>
      </c>
      <c r="E78" s="3" t="s">
        <v>8</v>
      </c>
      <c r="F78" s="3" t="s">
        <v>8</v>
      </c>
      <c r="G78" s="3" t="s">
        <v>8</v>
      </c>
      <c r="H78" s="3" t="s">
        <v>8</v>
      </c>
      <c r="I78" s="106" t="s">
        <v>744</v>
      </c>
      <c r="J78" s="4" t="s">
        <v>742</v>
      </c>
      <c r="K78" s="1"/>
      <c r="L78" s="1"/>
      <c r="M78" s="1"/>
      <c r="N78" s="1"/>
      <c r="P78" s="54"/>
      <c r="Q78" s="55"/>
      <c r="R78" s="56"/>
      <c r="T78" s="57"/>
    </row>
    <row r="79" spans="1:20" ht="17.25" x14ac:dyDescent="0.35">
      <c r="A79" s="105">
        <f t="shared" si="0"/>
        <v>11113</v>
      </c>
      <c r="B79" s="19" t="s">
        <v>280</v>
      </c>
      <c r="C79" s="18" t="s">
        <v>580</v>
      </c>
      <c r="D79" s="18" t="s">
        <v>581</v>
      </c>
      <c r="E79" s="3" t="s">
        <v>8</v>
      </c>
      <c r="F79" s="3" t="s">
        <v>8</v>
      </c>
      <c r="G79" s="3" t="s">
        <v>8</v>
      </c>
      <c r="H79" s="3" t="s">
        <v>8</v>
      </c>
      <c r="I79" s="106" t="s">
        <v>453</v>
      </c>
      <c r="J79" s="4" t="s">
        <v>431</v>
      </c>
      <c r="K79" s="1"/>
      <c r="L79" s="1"/>
      <c r="M79" s="1"/>
      <c r="N79" s="1"/>
      <c r="P79" s="54"/>
      <c r="Q79" s="55"/>
      <c r="R79" s="56"/>
      <c r="T79" s="57"/>
    </row>
    <row r="80" spans="1:20" ht="17.25" x14ac:dyDescent="0.35">
      <c r="A80" s="105">
        <f t="shared" si="0"/>
        <v>11114</v>
      </c>
      <c r="B80" s="19" t="s">
        <v>281</v>
      </c>
      <c r="C80" s="18" t="s">
        <v>582</v>
      </c>
      <c r="D80" s="18" t="s">
        <v>583</v>
      </c>
      <c r="E80" s="3" t="s">
        <v>8</v>
      </c>
      <c r="F80" s="3" t="s">
        <v>8</v>
      </c>
      <c r="G80" s="3" t="s">
        <v>8</v>
      </c>
      <c r="H80" s="3" t="s">
        <v>8</v>
      </c>
      <c r="I80" s="106" t="s">
        <v>453</v>
      </c>
      <c r="J80" s="4" t="s">
        <v>431</v>
      </c>
      <c r="K80" s="1"/>
      <c r="L80" s="1"/>
      <c r="M80" s="1"/>
      <c r="N80" s="1"/>
      <c r="P80" s="54"/>
      <c r="Q80" s="55"/>
      <c r="R80" s="56"/>
      <c r="T80" s="57"/>
    </row>
    <row r="81" spans="1:20" ht="17.25" x14ac:dyDescent="0.35">
      <c r="A81" s="105">
        <f t="shared" si="0"/>
        <v>11115</v>
      </c>
      <c r="B81" s="19" t="s">
        <v>282</v>
      </c>
      <c r="C81" s="18" t="s">
        <v>590</v>
      </c>
      <c r="D81" s="18" t="s">
        <v>591</v>
      </c>
      <c r="E81" s="3" t="s">
        <v>8</v>
      </c>
      <c r="F81" s="3" t="s">
        <v>8</v>
      </c>
      <c r="G81" s="3" t="s">
        <v>8</v>
      </c>
      <c r="H81" s="3" t="s">
        <v>8</v>
      </c>
      <c r="I81" s="106" t="s">
        <v>455</v>
      </c>
      <c r="J81" s="4" t="s">
        <v>433</v>
      </c>
      <c r="K81" s="1"/>
      <c r="L81" s="1"/>
      <c r="M81" s="1"/>
      <c r="N81" s="1"/>
      <c r="P81" s="54"/>
      <c r="Q81" s="55"/>
      <c r="R81" s="56"/>
      <c r="T81" s="57"/>
    </row>
    <row r="82" spans="1:20" ht="17.25" x14ac:dyDescent="0.35">
      <c r="A82" s="105">
        <f t="shared" si="0"/>
        <v>11116</v>
      </c>
      <c r="B82" s="19" t="s">
        <v>283</v>
      </c>
      <c r="C82" s="18" t="s">
        <v>592</v>
      </c>
      <c r="D82" s="18" t="s">
        <v>593</v>
      </c>
      <c r="E82" s="3" t="s">
        <v>8</v>
      </c>
      <c r="F82" s="3" t="s">
        <v>8</v>
      </c>
      <c r="G82" s="3" t="s">
        <v>8</v>
      </c>
      <c r="H82" s="3" t="s">
        <v>8</v>
      </c>
      <c r="I82" s="106" t="s">
        <v>455</v>
      </c>
      <c r="J82" s="4" t="s">
        <v>433</v>
      </c>
      <c r="K82" s="1"/>
      <c r="L82" s="1"/>
      <c r="M82" s="1"/>
      <c r="N82" s="1"/>
      <c r="P82" s="54"/>
      <c r="Q82" s="55"/>
      <c r="R82" s="56"/>
      <c r="T82" s="57"/>
    </row>
    <row r="83" spans="1:20" ht="17.25" x14ac:dyDescent="0.35">
      <c r="A83" s="105">
        <f t="shared" si="0"/>
        <v>11117</v>
      </c>
      <c r="B83" s="19" t="s">
        <v>284</v>
      </c>
      <c r="C83" s="18" t="s">
        <v>594</v>
      </c>
      <c r="D83" s="18" t="s">
        <v>595</v>
      </c>
      <c r="E83" s="3" t="s">
        <v>8</v>
      </c>
      <c r="F83" s="3" t="s">
        <v>8</v>
      </c>
      <c r="G83" s="3" t="s">
        <v>8</v>
      </c>
      <c r="H83" s="3" t="s">
        <v>8</v>
      </c>
      <c r="I83" s="106" t="s">
        <v>455</v>
      </c>
      <c r="J83" s="4" t="s">
        <v>433</v>
      </c>
      <c r="K83" s="1"/>
      <c r="L83" s="1"/>
      <c r="M83" s="1"/>
      <c r="N83" s="1"/>
      <c r="P83" s="54"/>
      <c r="Q83" s="55"/>
      <c r="R83" s="56"/>
      <c r="T83" s="57"/>
    </row>
    <row r="84" spans="1:20" ht="17.25" x14ac:dyDescent="0.35">
      <c r="A84" s="105">
        <f t="shared" si="0"/>
        <v>11118</v>
      </c>
      <c r="B84" s="19" t="s">
        <v>285</v>
      </c>
      <c r="C84" s="18" t="s">
        <v>710</v>
      </c>
      <c r="D84" s="18" t="s">
        <v>711</v>
      </c>
      <c r="E84" s="3" t="s">
        <v>8</v>
      </c>
      <c r="F84" s="3" t="s">
        <v>8</v>
      </c>
      <c r="G84" s="3" t="s">
        <v>8</v>
      </c>
      <c r="H84" s="3" t="s">
        <v>8</v>
      </c>
      <c r="I84" s="106" t="s">
        <v>454</v>
      </c>
      <c r="J84" s="4" t="s">
        <v>432</v>
      </c>
      <c r="K84" s="1"/>
      <c r="L84" s="1"/>
      <c r="M84" s="1"/>
      <c r="N84" s="1"/>
      <c r="P84" s="54"/>
      <c r="Q84" s="55"/>
      <c r="R84" s="56"/>
      <c r="T84" s="57"/>
    </row>
    <row r="85" spans="1:20" ht="17.25" x14ac:dyDescent="0.35">
      <c r="A85" s="105">
        <f t="shared" si="0"/>
        <v>11119</v>
      </c>
      <c r="B85" s="19" t="s">
        <v>286</v>
      </c>
      <c r="C85" s="18" t="s">
        <v>712</v>
      </c>
      <c r="D85" s="18" t="s">
        <v>713</v>
      </c>
      <c r="E85" s="3" t="s">
        <v>8</v>
      </c>
      <c r="F85" s="3" t="s">
        <v>8</v>
      </c>
      <c r="G85" s="3" t="s">
        <v>8</v>
      </c>
      <c r="H85" s="3" t="s">
        <v>8</v>
      </c>
      <c r="I85" s="106" t="s">
        <v>455</v>
      </c>
      <c r="J85" s="4" t="s">
        <v>433</v>
      </c>
      <c r="K85" s="1"/>
      <c r="L85" s="1"/>
      <c r="M85" s="1"/>
      <c r="N85" s="1"/>
      <c r="P85" s="54"/>
      <c r="Q85" s="55"/>
      <c r="R85" s="56"/>
      <c r="T85" s="57"/>
    </row>
    <row r="86" spans="1:20" ht="17.25" x14ac:dyDescent="0.35">
      <c r="A86" s="105">
        <f t="shared" si="0"/>
        <v>11120</v>
      </c>
      <c r="B86" s="19" t="s">
        <v>287</v>
      </c>
      <c r="C86" s="18" t="s">
        <v>596</v>
      </c>
      <c r="D86" s="18" t="s">
        <v>597</v>
      </c>
      <c r="E86" s="3" t="s">
        <v>8</v>
      </c>
      <c r="F86" s="3" t="s">
        <v>8</v>
      </c>
      <c r="G86" s="3" t="s">
        <v>8</v>
      </c>
      <c r="H86" s="3" t="s">
        <v>8</v>
      </c>
      <c r="I86" s="106" t="s">
        <v>454</v>
      </c>
      <c r="J86" s="4" t="s">
        <v>432</v>
      </c>
      <c r="K86" s="1"/>
      <c r="L86" s="1"/>
      <c r="M86" s="1"/>
      <c r="N86" s="1"/>
      <c r="P86" s="54"/>
      <c r="Q86" s="55"/>
      <c r="R86" s="56"/>
      <c r="T86" s="57"/>
    </row>
    <row r="87" spans="1:20" ht="17.25" x14ac:dyDescent="0.35">
      <c r="A87" s="105">
        <f t="shared" si="0"/>
        <v>11121</v>
      </c>
      <c r="B87" s="19" t="s">
        <v>288</v>
      </c>
      <c r="C87" s="18" t="s">
        <v>598</v>
      </c>
      <c r="D87" s="18" t="s">
        <v>599</v>
      </c>
      <c r="E87" s="3" t="s">
        <v>8</v>
      </c>
      <c r="F87" s="3" t="s">
        <v>8</v>
      </c>
      <c r="G87" s="3" t="s">
        <v>8</v>
      </c>
      <c r="H87" s="3" t="s">
        <v>8</v>
      </c>
      <c r="I87" s="106" t="s">
        <v>458</v>
      </c>
      <c r="J87" s="4" t="s">
        <v>61</v>
      </c>
      <c r="K87" s="1"/>
      <c r="L87" s="1"/>
      <c r="M87" s="1"/>
      <c r="N87" s="1"/>
      <c r="P87" s="54"/>
      <c r="Q87" s="55"/>
      <c r="R87" s="56"/>
      <c r="T87" s="57"/>
    </row>
    <row r="88" spans="1:20" ht="17.25" x14ac:dyDescent="0.35">
      <c r="A88" s="105">
        <f t="shared" si="0"/>
        <v>11122</v>
      </c>
      <c r="B88" s="19" t="s">
        <v>289</v>
      </c>
      <c r="C88" s="18" t="s">
        <v>600</v>
      </c>
      <c r="D88" s="18" t="s">
        <v>601</v>
      </c>
      <c r="E88" s="3" t="s">
        <v>8</v>
      </c>
      <c r="F88" s="3" t="s">
        <v>8</v>
      </c>
      <c r="G88" s="3" t="s">
        <v>8</v>
      </c>
      <c r="H88" s="3" t="s">
        <v>8</v>
      </c>
      <c r="I88" s="106" t="s">
        <v>458</v>
      </c>
      <c r="J88" s="4" t="s">
        <v>61</v>
      </c>
      <c r="K88" s="1"/>
      <c r="L88" s="1"/>
      <c r="M88" s="1"/>
      <c r="N88" s="1"/>
      <c r="P88" s="54"/>
      <c r="Q88" s="55"/>
      <c r="R88" s="56"/>
      <c r="T88" s="57"/>
    </row>
    <row r="89" spans="1:20" ht="17.25" x14ac:dyDescent="0.35">
      <c r="A89" s="105">
        <f t="shared" si="0"/>
        <v>11123</v>
      </c>
      <c r="B89" s="19" t="s">
        <v>290</v>
      </c>
      <c r="C89" s="18" t="s">
        <v>602</v>
      </c>
      <c r="D89" s="18" t="s">
        <v>603</v>
      </c>
      <c r="E89" s="3" t="s">
        <v>8</v>
      </c>
      <c r="F89" s="3" t="s">
        <v>8</v>
      </c>
      <c r="G89" s="3" t="s">
        <v>8</v>
      </c>
      <c r="H89" s="3" t="s">
        <v>8</v>
      </c>
      <c r="I89" s="106" t="s">
        <v>458</v>
      </c>
      <c r="J89" s="4" t="s">
        <v>61</v>
      </c>
      <c r="K89" s="1"/>
      <c r="L89" s="1"/>
      <c r="M89" s="1"/>
      <c r="N89" s="1"/>
      <c r="P89" s="54"/>
      <c r="Q89" s="55"/>
      <c r="R89" s="56"/>
      <c r="T89" s="57"/>
    </row>
    <row r="90" spans="1:20" ht="17.25" x14ac:dyDescent="0.35">
      <c r="A90" s="105">
        <f t="shared" si="0"/>
        <v>11124</v>
      </c>
      <c r="B90" s="19" t="s">
        <v>291</v>
      </c>
      <c r="C90" s="18" t="s">
        <v>604</v>
      </c>
      <c r="D90" s="18" t="s">
        <v>605</v>
      </c>
      <c r="E90" s="3" t="s">
        <v>8</v>
      </c>
      <c r="F90" s="3" t="s">
        <v>8</v>
      </c>
      <c r="G90" s="3" t="s">
        <v>8</v>
      </c>
      <c r="H90" s="3" t="s">
        <v>8</v>
      </c>
      <c r="I90" s="106" t="s">
        <v>458</v>
      </c>
      <c r="J90" s="4" t="s">
        <v>61</v>
      </c>
      <c r="K90" s="1"/>
      <c r="L90" s="1"/>
      <c r="M90" s="1"/>
      <c r="N90" s="1"/>
      <c r="P90" s="54"/>
      <c r="Q90" s="55"/>
      <c r="R90" s="56"/>
      <c r="T90" s="57"/>
    </row>
    <row r="91" spans="1:20" ht="17.25" x14ac:dyDescent="0.35">
      <c r="A91" s="105">
        <f t="shared" si="0"/>
        <v>11125</v>
      </c>
      <c r="B91" s="19" t="s">
        <v>292</v>
      </c>
      <c r="C91" s="18" t="s">
        <v>606</v>
      </c>
      <c r="D91" s="18" t="s">
        <v>607</v>
      </c>
      <c r="E91" s="3" t="s">
        <v>8</v>
      </c>
      <c r="F91" s="3" t="s">
        <v>8</v>
      </c>
      <c r="G91" s="3" t="s">
        <v>8</v>
      </c>
      <c r="H91" s="3" t="s">
        <v>8</v>
      </c>
      <c r="I91" s="106" t="s">
        <v>456</v>
      </c>
      <c r="J91" s="4" t="s">
        <v>68</v>
      </c>
      <c r="K91" s="1"/>
      <c r="L91" s="1"/>
      <c r="M91" s="1"/>
      <c r="N91" s="1"/>
      <c r="P91" s="54"/>
      <c r="Q91" s="55"/>
      <c r="R91" s="56"/>
      <c r="T91" s="57"/>
    </row>
    <row r="92" spans="1:20" ht="17.25" x14ac:dyDescent="0.35">
      <c r="A92" s="105">
        <f t="shared" si="0"/>
        <v>11126</v>
      </c>
      <c r="B92" s="19" t="s">
        <v>293</v>
      </c>
      <c r="C92" s="18" t="s">
        <v>608</v>
      </c>
      <c r="D92" s="18" t="s">
        <v>609</v>
      </c>
      <c r="E92" s="3" t="s">
        <v>8</v>
      </c>
      <c r="F92" s="3" t="s">
        <v>8</v>
      </c>
      <c r="G92" s="3" t="s">
        <v>8</v>
      </c>
      <c r="H92" s="3" t="s">
        <v>8</v>
      </c>
      <c r="I92" s="106" t="s">
        <v>457</v>
      </c>
      <c r="J92" s="4" t="s">
        <v>447</v>
      </c>
      <c r="K92" s="1"/>
      <c r="L92" s="1"/>
      <c r="M92" s="1"/>
      <c r="N92" s="1"/>
      <c r="P92" s="54"/>
      <c r="Q92" s="55"/>
      <c r="R92" s="56"/>
      <c r="T92" s="57"/>
    </row>
    <row r="93" spans="1:20" ht="17.25" x14ac:dyDescent="0.35">
      <c r="A93" s="105">
        <f t="shared" si="0"/>
        <v>11127</v>
      </c>
      <c r="B93" s="19" t="s">
        <v>294</v>
      </c>
      <c r="C93" s="18" t="s">
        <v>382</v>
      </c>
      <c r="D93" s="18" t="s">
        <v>383</v>
      </c>
      <c r="E93" s="3" t="s">
        <v>8</v>
      </c>
      <c r="F93" s="3" t="s">
        <v>8</v>
      </c>
      <c r="G93" s="3" t="s">
        <v>8</v>
      </c>
      <c r="H93" s="3" t="s">
        <v>8</v>
      </c>
      <c r="I93" s="106" t="s">
        <v>457</v>
      </c>
      <c r="J93" s="4" t="s">
        <v>447</v>
      </c>
      <c r="K93" s="1"/>
      <c r="L93" s="1"/>
      <c r="M93" s="1"/>
      <c r="N93" s="1"/>
      <c r="P93" s="54"/>
      <c r="Q93" s="55"/>
      <c r="R93" s="56"/>
      <c r="T93" s="57"/>
    </row>
    <row r="94" spans="1:20" ht="17.25" x14ac:dyDescent="0.35">
      <c r="A94" s="105">
        <f t="shared" si="0"/>
        <v>11128</v>
      </c>
      <c r="B94" s="19" t="s">
        <v>295</v>
      </c>
      <c r="C94" s="18" t="s">
        <v>380</v>
      </c>
      <c r="D94" s="18" t="s">
        <v>381</v>
      </c>
      <c r="E94" s="3" t="s">
        <v>8</v>
      </c>
      <c r="F94" s="3" t="s">
        <v>8</v>
      </c>
      <c r="G94" s="3" t="s">
        <v>8</v>
      </c>
      <c r="H94" s="3" t="s">
        <v>8</v>
      </c>
      <c r="I94" s="106" t="s">
        <v>456</v>
      </c>
      <c r="J94" s="4" t="s">
        <v>68</v>
      </c>
      <c r="K94" s="1"/>
      <c r="L94" s="1"/>
      <c r="M94" s="1"/>
      <c r="N94" s="1"/>
      <c r="P94" s="54"/>
      <c r="Q94" s="55"/>
      <c r="R94" s="56"/>
      <c r="T94" s="57"/>
    </row>
    <row r="95" spans="1:20" ht="17.25" x14ac:dyDescent="0.35">
      <c r="A95" s="105">
        <f t="shared" si="0"/>
        <v>11129</v>
      </c>
      <c r="B95" s="19" t="s">
        <v>296</v>
      </c>
      <c r="C95" s="18" t="s">
        <v>584</v>
      </c>
      <c r="D95" s="18" t="s">
        <v>585</v>
      </c>
      <c r="E95" s="3" t="s">
        <v>8</v>
      </c>
      <c r="F95" s="3" t="s">
        <v>8</v>
      </c>
      <c r="G95" s="3" t="s">
        <v>8</v>
      </c>
      <c r="H95" s="3" t="s">
        <v>8</v>
      </c>
      <c r="I95" s="106" t="s">
        <v>458</v>
      </c>
      <c r="J95" s="4" t="s">
        <v>61</v>
      </c>
      <c r="K95" s="1"/>
      <c r="L95" s="1"/>
      <c r="M95" s="1"/>
      <c r="N95" s="1"/>
      <c r="P95" s="54"/>
      <c r="Q95" s="55"/>
      <c r="R95" s="56"/>
      <c r="T95" s="57"/>
    </row>
    <row r="96" spans="1:20" ht="17.25" x14ac:dyDescent="0.35">
      <c r="A96" s="105">
        <f t="shared" si="0"/>
        <v>11130</v>
      </c>
      <c r="B96" s="19" t="s">
        <v>297</v>
      </c>
      <c r="C96" s="18" t="s">
        <v>48</v>
      </c>
      <c r="D96" s="18" t="s">
        <v>13</v>
      </c>
      <c r="E96" s="3" t="s">
        <v>8</v>
      </c>
      <c r="F96" s="3" t="s">
        <v>8</v>
      </c>
      <c r="G96" s="3" t="s">
        <v>8</v>
      </c>
      <c r="H96" s="3" t="s">
        <v>8</v>
      </c>
      <c r="I96" s="106" t="s">
        <v>457</v>
      </c>
      <c r="J96" s="4" t="s">
        <v>447</v>
      </c>
      <c r="K96" s="1"/>
      <c r="L96" s="1"/>
      <c r="M96" s="1"/>
      <c r="N96" s="1"/>
      <c r="P96" s="54"/>
      <c r="Q96" s="55"/>
      <c r="R96" s="56"/>
      <c r="T96" s="57"/>
    </row>
    <row r="97" spans="1:20" ht="17.25" x14ac:dyDescent="0.35">
      <c r="A97" s="105">
        <f t="shared" si="0"/>
        <v>11131</v>
      </c>
      <c r="B97" s="19" t="s">
        <v>298</v>
      </c>
      <c r="C97" s="18" t="s">
        <v>610</v>
      </c>
      <c r="D97" s="18" t="s">
        <v>611</v>
      </c>
      <c r="E97" s="3" t="s">
        <v>8</v>
      </c>
      <c r="F97" s="3" t="s">
        <v>8</v>
      </c>
      <c r="G97" s="3" t="s">
        <v>8</v>
      </c>
      <c r="H97" s="3" t="s">
        <v>8</v>
      </c>
      <c r="I97" s="106" t="s">
        <v>459</v>
      </c>
      <c r="J97" s="4" t="s">
        <v>450</v>
      </c>
      <c r="K97" s="1"/>
      <c r="L97" s="1"/>
      <c r="M97" s="1"/>
      <c r="N97" s="1"/>
      <c r="P97" s="54"/>
      <c r="Q97" s="55"/>
      <c r="R97" s="56"/>
      <c r="T97" s="57"/>
    </row>
    <row r="98" spans="1:20" ht="17.25" x14ac:dyDescent="0.35">
      <c r="A98" s="105">
        <f t="shared" si="0"/>
        <v>11132</v>
      </c>
      <c r="B98" s="19" t="s">
        <v>299</v>
      </c>
      <c r="C98" s="18" t="s">
        <v>612</v>
      </c>
      <c r="D98" s="18" t="s">
        <v>613</v>
      </c>
      <c r="E98" s="3" t="s">
        <v>8</v>
      </c>
      <c r="F98" s="3" t="s">
        <v>8</v>
      </c>
      <c r="G98" s="3" t="s">
        <v>8</v>
      </c>
      <c r="H98" s="3" t="s">
        <v>8</v>
      </c>
      <c r="I98" s="106" t="s">
        <v>456</v>
      </c>
      <c r="J98" s="4" t="s">
        <v>68</v>
      </c>
      <c r="K98" s="1"/>
      <c r="L98" s="1"/>
      <c r="M98" s="1"/>
      <c r="N98" s="1"/>
      <c r="P98" s="54"/>
      <c r="Q98" s="55"/>
      <c r="R98" s="56"/>
      <c r="T98" s="57"/>
    </row>
    <row r="99" spans="1:20" ht="17.25" x14ac:dyDescent="0.35">
      <c r="A99" s="105">
        <f t="shared" si="0"/>
        <v>11133</v>
      </c>
      <c r="B99" s="19" t="s">
        <v>300</v>
      </c>
      <c r="C99" s="18" t="s">
        <v>614</v>
      </c>
      <c r="D99" s="18" t="s">
        <v>615</v>
      </c>
      <c r="E99" s="3" t="s">
        <v>8</v>
      </c>
      <c r="F99" s="3" t="s">
        <v>8</v>
      </c>
      <c r="G99" s="3" t="s">
        <v>8</v>
      </c>
      <c r="H99" s="3" t="s">
        <v>8</v>
      </c>
      <c r="I99" s="106" t="s">
        <v>457</v>
      </c>
      <c r="J99" s="4" t="s">
        <v>447</v>
      </c>
      <c r="K99" s="1"/>
      <c r="L99" s="1"/>
      <c r="M99" s="1"/>
      <c r="N99" s="1"/>
      <c r="P99" s="54"/>
      <c r="Q99" s="55"/>
      <c r="R99" s="56"/>
      <c r="T99" s="57"/>
    </row>
    <row r="100" spans="1:20" ht="17.25" x14ac:dyDescent="0.35">
      <c r="A100" s="105">
        <f t="shared" si="0"/>
        <v>11134</v>
      </c>
      <c r="B100" s="19" t="s">
        <v>301</v>
      </c>
      <c r="C100" s="18" t="s">
        <v>616</v>
      </c>
      <c r="D100" s="18" t="s">
        <v>617</v>
      </c>
      <c r="E100" s="3" t="s">
        <v>8</v>
      </c>
      <c r="F100" s="3" t="s">
        <v>8</v>
      </c>
      <c r="G100" s="3" t="s">
        <v>8</v>
      </c>
      <c r="H100" s="3" t="s">
        <v>8</v>
      </c>
      <c r="I100" s="106" t="s">
        <v>456</v>
      </c>
      <c r="J100" s="4" t="s">
        <v>68</v>
      </c>
      <c r="K100" s="1"/>
      <c r="L100" s="1"/>
      <c r="M100" s="1"/>
      <c r="N100" s="1"/>
      <c r="P100" s="54"/>
      <c r="Q100" s="55"/>
      <c r="R100" s="56"/>
      <c r="T100" s="57"/>
    </row>
    <row r="101" spans="1:20" ht="17.25" x14ac:dyDescent="0.35">
      <c r="A101" s="105">
        <f t="shared" si="0"/>
        <v>11135</v>
      </c>
      <c r="B101" s="19" t="s">
        <v>302</v>
      </c>
      <c r="C101" s="18" t="s">
        <v>64</v>
      </c>
      <c r="D101" s="18" t="s">
        <v>65</v>
      </c>
      <c r="E101" s="3" t="s">
        <v>8</v>
      </c>
      <c r="F101" s="3" t="s">
        <v>8</v>
      </c>
      <c r="G101" s="3" t="s">
        <v>8</v>
      </c>
      <c r="H101" s="3" t="s">
        <v>8</v>
      </c>
      <c r="I101" s="106" t="s">
        <v>457</v>
      </c>
      <c r="J101" s="4" t="s">
        <v>447</v>
      </c>
      <c r="K101" s="1"/>
      <c r="L101" s="1"/>
      <c r="M101" s="1"/>
      <c r="N101" s="1"/>
      <c r="P101" s="54"/>
      <c r="Q101" s="55"/>
      <c r="R101" s="56"/>
      <c r="T101" s="57"/>
    </row>
    <row r="102" spans="1:20" ht="17.25" x14ac:dyDescent="0.35">
      <c r="A102" s="105">
        <f t="shared" si="0"/>
        <v>11136</v>
      </c>
      <c r="B102" s="19" t="s">
        <v>303</v>
      </c>
      <c r="C102" s="18" t="s">
        <v>183</v>
      </c>
      <c r="D102" s="18" t="s">
        <v>184</v>
      </c>
      <c r="E102" s="3" t="s">
        <v>8</v>
      </c>
      <c r="F102" s="3" t="s">
        <v>8</v>
      </c>
      <c r="G102" s="3" t="s">
        <v>8</v>
      </c>
      <c r="H102" s="3" t="s">
        <v>8</v>
      </c>
      <c r="I102" s="106" t="s">
        <v>457</v>
      </c>
      <c r="J102" s="4" t="s">
        <v>447</v>
      </c>
      <c r="K102" s="1"/>
      <c r="L102" s="1"/>
      <c r="M102" s="1"/>
      <c r="N102" s="1"/>
      <c r="P102" s="54"/>
      <c r="Q102" s="55"/>
      <c r="R102" s="56"/>
      <c r="T102" s="57"/>
    </row>
    <row r="103" spans="1:20" ht="17.25" x14ac:dyDescent="0.35">
      <c r="A103" s="105">
        <f t="shared" si="0"/>
        <v>11137</v>
      </c>
      <c r="B103" s="19" t="s">
        <v>304</v>
      </c>
      <c r="C103" s="18" t="s">
        <v>91</v>
      </c>
      <c r="D103" s="18" t="s">
        <v>92</v>
      </c>
      <c r="E103" s="3" t="s">
        <v>8</v>
      </c>
      <c r="F103" s="3" t="s">
        <v>8</v>
      </c>
      <c r="G103" s="3" t="s">
        <v>8</v>
      </c>
      <c r="H103" s="3" t="s">
        <v>8</v>
      </c>
      <c r="I103" s="106" t="s">
        <v>459</v>
      </c>
      <c r="J103" s="4" t="s">
        <v>450</v>
      </c>
      <c r="K103" s="1"/>
      <c r="L103" s="1"/>
      <c r="M103" s="1"/>
      <c r="N103" s="1"/>
      <c r="P103" s="54"/>
      <c r="Q103" s="55"/>
      <c r="R103" s="56"/>
      <c r="T103" s="57"/>
    </row>
    <row r="104" spans="1:20" ht="17.25" x14ac:dyDescent="0.35">
      <c r="A104" s="105">
        <f t="shared" si="0"/>
        <v>11138</v>
      </c>
      <c r="B104" s="19" t="s">
        <v>305</v>
      </c>
      <c r="C104" s="18" t="s">
        <v>127</v>
      </c>
      <c r="D104" s="18" t="s">
        <v>181</v>
      </c>
      <c r="E104" s="3" t="s">
        <v>8</v>
      </c>
      <c r="F104" s="3" t="s">
        <v>8</v>
      </c>
      <c r="G104" s="3" t="s">
        <v>8</v>
      </c>
      <c r="H104" s="3" t="s">
        <v>8</v>
      </c>
      <c r="I104" s="106" t="s">
        <v>459</v>
      </c>
      <c r="J104" s="4" t="s">
        <v>450</v>
      </c>
      <c r="K104" s="1"/>
      <c r="L104" s="1"/>
      <c r="M104" s="1"/>
      <c r="N104" s="1"/>
      <c r="P104" s="54"/>
      <c r="Q104" s="55"/>
      <c r="R104" s="56"/>
      <c r="T104" s="57"/>
    </row>
    <row r="105" spans="1:20" ht="17.25" x14ac:dyDescent="0.35">
      <c r="A105" s="105">
        <f t="shared" si="0"/>
        <v>11139</v>
      </c>
      <c r="B105" s="19" t="s">
        <v>306</v>
      </c>
      <c r="C105" s="18" t="s">
        <v>130</v>
      </c>
      <c r="D105" s="18" t="s">
        <v>185</v>
      </c>
      <c r="E105" s="3" t="s">
        <v>8</v>
      </c>
      <c r="F105" s="3" t="s">
        <v>8</v>
      </c>
      <c r="G105" s="3" t="s">
        <v>8</v>
      </c>
      <c r="H105" s="3" t="s">
        <v>8</v>
      </c>
      <c r="I105" s="106" t="s">
        <v>459</v>
      </c>
      <c r="J105" s="4" t="s">
        <v>450</v>
      </c>
      <c r="K105" s="1"/>
      <c r="L105" s="1"/>
      <c r="M105" s="1"/>
      <c r="N105" s="1"/>
      <c r="P105" s="54"/>
      <c r="Q105" s="55"/>
      <c r="R105" s="56"/>
      <c r="T105" s="57"/>
    </row>
    <row r="106" spans="1:20" ht="17.25" x14ac:dyDescent="0.35">
      <c r="A106" s="105">
        <f t="shared" si="0"/>
        <v>11140</v>
      </c>
      <c r="B106" s="19" t="s">
        <v>307</v>
      </c>
      <c r="C106" s="18" t="s">
        <v>618</v>
      </c>
      <c r="D106" s="18" t="s">
        <v>619</v>
      </c>
      <c r="E106" s="3" t="s">
        <v>8</v>
      </c>
      <c r="F106" s="3" t="s">
        <v>8</v>
      </c>
      <c r="G106" s="3" t="s">
        <v>8</v>
      </c>
      <c r="H106" s="3" t="s">
        <v>8</v>
      </c>
      <c r="I106" s="106" t="s">
        <v>456</v>
      </c>
      <c r="J106" s="4" t="s">
        <v>68</v>
      </c>
      <c r="K106" s="1"/>
      <c r="L106" s="1"/>
      <c r="M106" s="1"/>
      <c r="N106" s="1"/>
      <c r="P106" s="54"/>
      <c r="Q106" s="55"/>
      <c r="R106" s="56"/>
      <c r="T106" s="57"/>
    </row>
    <row r="107" spans="1:20" ht="17.25" x14ac:dyDescent="0.35">
      <c r="A107" s="105">
        <f t="shared" si="0"/>
        <v>11141</v>
      </c>
      <c r="B107" s="19" t="s">
        <v>308</v>
      </c>
      <c r="C107" s="18" t="s">
        <v>620</v>
      </c>
      <c r="D107" s="18" t="s">
        <v>621</v>
      </c>
      <c r="E107" s="3" t="s">
        <v>8</v>
      </c>
      <c r="F107" s="3" t="s">
        <v>8</v>
      </c>
      <c r="G107" s="3" t="s">
        <v>8</v>
      </c>
      <c r="H107" s="3" t="s">
        <v>8</v>
      </c>
      <c r="I107" s="106" t="s">
        <v>456</v>
      </c>
      <c r="J107" s="4" t="s">
        <v>68</v>
      </c>
      <c r="K107" s="1"/>
      <c r="L107" s="1"/>
      <c r="M107" s="1"/>
      <c r="N107" s="1"/>
      <c r="P107" s="54"/>
      <c r="Q107" s="55"/>
      <c r="R107" s="56"/>
      <c r="T107" s="57"/>
    </row>
    <row r="108" spans="1:20" ht="17.25" x14ac:dyDescent="0.35">
      <c r="A108" s="105">
        <f t="shared" si="0"/>
        <v>11142</v>
      </c>
      <c r="B108" s="19" t="s">
        <v>309</v>
      </c>
      <c r="C108" s="18" t="s">
        <v>622</v>
      </c>
      <c r="D108" s="18" t="s">
        <v>623</v>
      </c>
      <c r="E108" s="3" t="s">
        <v>8</v>
      </c>
      <c r="F108" s="3" t="s">
        <v>8</v>
      </c>
      <c r="G108" s="3" t="s">
        <v>8</v>
      </c>
      <c r="H108" s="3" t="s">
        <v>8</v>
      </c>
      <c r="I108" s="106" t="s">
        <v>459</v>
      </c>
      <c r="J108" s="4" t="s">
        <v>450</v>
      </c>
      <c r="K108" s="1"/>
      <c r="L108" s="1"/>
      <c r="M108" s="1"/>
      <c r="N108" s="1"/>
      <c r="P108" s="54"/>
      <c r="Q108" s="55"/>
      <c r="R108" s="56"/>
      <c r="T108" s="57"/>
    </row>
    <row r="109" spans="1:20" ht="17.25" x14ac:dyDescent="0.35">
      <c r="A109" s="105">
        <f t="shared" si="0"/>
        <v>11143</v>
      </c>
      <c r="B109" s="19" t="s">
        <v>692</v>
      </c>
      <c r="C109" s="18" t="s">
        <v>667</v>
      </c>
      <c r="D109" s="18" t="s">
        <v>668</v>
      </c>
      <c r="E109" s="3" t="s">
        <v>8</v>
      </c>
      <c r="F109" s="3" t="s">
        <v>8</v>
      </c>
      <c r="G109" s="3" t="s">
        <v>8</v>
      </c>
      <c r="H109" s="3" t="s">
        <v>8</v>
      </c>
      <c r="I109" s="106" t="s">
        <v>747</v>
      </c>
      <c r="J109" s="4" t="s">
        <v>743</v>
      </c>
      <c r="K109" s="1"/>
      <c r="L109" s="1"/>
      <c r="M109" s="1"/>
      <c r="N109" s="1"/>
      <c r="P109" s="54"/>
      <c r="Q109" s="55"/>
      <c r="R109" s="56"/>
      <c r="T109" s="57"/>
    </row>
    <row r="110" spans="1:20" ht="17.25" x14ac:dyDescent="0.35">
      <c r="A110" s="105">
        <f t="shared" si="0"/>
        <v>11144</v>
      </c>
      <c r="B110" s="19" t="s">
        <v>310</v>
      </c>
      <c r="C110" s="18" t="s">
        <v>714</v>
      </c>
      <c r="D110" s="18" t="s">
        <v>715</v>
      </c>
      <c r="E110" s="3" t="s">
        <v>8</v>
      </c>
      <c r="F110" s="3" t="s">
        <v>8</v>
      </c>
      <c r="G110" s="3" t="s">
        <v>8</v>
      </c>
      <c r="H110" s="3" t="s">
        <v>8</v>
      </c>
      <c r="I110" s="106" t="s">
        <v>454</v>
      </c>
      <c r="J110" s="4" t="s">
        <v>432</v>
      </c>
      <c r="K110" s="1"/>
      <c r="L110" s="1"/>
      <c r="M110" s="1"/>
      <c r="N110" s="1"/>
      <c r="P110" s="54"/>
      <c r="Q110" s="55"/>
      <c r="R110" s="56"/>
      <c r="T110" s="57"/>
    </row>
    <row r="111" spans="1:20" ht="17.25" x14ac:dyDescent="0.35">
      <c r="A111" s="105">
        <f t="shared" si="0"/>
        <v>11145</v>
      </c>
      <c r="B111" s="19" t="s">
        <v>311</v>
      </c>
      <c r="C111" s="18" t="s">
        <v>716</v>
      </c>
      <c r="D111" s="18" t="s">
        <v>717</v>
      </c>
      <c r="E111" s="3" t="s">
        <v>8</v>
      </c>
      <c r="F111" s="3" t="s">
        <v>8</v>
      </c>
      <c r="G111" s="3" t="s">
        <v>8</v>
      </c>
      <c r="H111" s="3" t="s">
        <v>8</v>
      </c>
      <c r="I111" s="106" t="s">
        <v>454</v>
      </c>
      <c r="J111" s="4" t="s">
        <v>432</v>
      </c>
      <c r="K111" s="1"/>
      <c r="L111" s="1"/>
      <c r="M111" s="1"/>
      <c r="N111" s="1"/>
      <c r="P111" s="54"/>
      <c r="Q111" s="55"/>
      <c r="R111" s="56"/>
      <c r="T111" s="57"/>
    </row>
    <row r="112" spans="1:20" ht="17.25" x14ac:dyDescent="0.35">
      <c r="A112" s="105">
        <f t="shared" si="0"/>
        <v>11146</v>
      </c>
      <c r="B112" s="19" t="s">
        <v>302</v>
      </c>
      <c r="C112" s="18" t="s">
        <v>757</v>
      </c>
      <c r="D112" s="18" t="s">
        <v>751</v>
      </c>
      <c r="E112" s="3" t="s">
        <v>8</v>
      </c>
      <c r="F112" s="3" t="s">
        <v>8</v>
      </c>
      <c r="G112" s="3" t="s">
        <v>8</v>
      </c>
      <c r="H112" s="3" t="s">
        <v>8</v>
      </c>
      <c r="I112" s="106" t="s">
        <v>455</v>
      </c>
      <c r="J112" s="4" t="s">
        <v>433</v>
      </c>
      <c r="K112" s="1"/>
      <c r="L112" s="1"/>
      <c r="M112" s="1"/>
      <c r="N112" s="1"/>
      <c r="P112" s="54"/>
      <c r="Q112" s="55"/>
      <c r="R112" s="56"/>
      <c r="T112" s="57"/>
    </row>
    <row r="113" spans="1:20" ht="17.25" x14ac:dyDescent="0.35">
      <c r="A113" s="105">
        <f t="shared" si="0"/>
        <v>11147</v>
      </c>
      <c r="B113" s="19" t="s">
        <v>312</v>
      </c>
      <c r="C113" s="18" t="s">
        <v>758</v>
      </c>
      <c r="D113" s="18" t="s">
        <v>752</v>
      </c>
      <c r="E113" s="3" t="s">
        <v>8</v>
      </c>
      <c r="F113" s="3" t="s">
        <v>8</v>
      </c>
      <c r="G113" s="3" t="s">
        <v>8</v>
      </c>
      <c r="H113" s="3" t="s">
        <v>8</v>
      </c>
      <c r="I113" s="106" t="s">
        <v>455</v>
      </c>
      <c r="J113" s="4" t="s">
        <v>433</v>
      </c>
      <c r="K113" s="1"/>
      <c r="L113" s="1"/>
      <c r="M113" s="1"/>
      <c r="N113" s="1"/>
      <c r="P113" s="54"/>
      <c r="Q113" s="55"/>
      <c r="R113" s="56"/>
      <c r="T113" s="57"/>
    </row>
    <row r="114" spans="1:20" ht="17.25" x14ac:dyDescent="0.35">
      <c r="A114" s="105">
        <f t="shared" si="0"/>
        <v>11148</v>
      </c>
      <c r="B114" s="19" t="s">
        <v>313</v>
      </c>
      <c r="C114" s="18" t="s">
        <v>718</v>
      </c>
      <c r="D114" s="18" t="s">
        <v>719</v>
      </c>
      <c r="E114" s="3" t="s">
        <v>8</v>
      </c>
      <c r="F114" s="3" t="s">
        <v>8</v>
      </c>
      <c r="G114" s="3" t="s">
        <v>8</v>
      </c>
      <c r="H114" s="3" t="s">
        <v>8</v>
      </c>
      <c r="I114" s="106" t="s">
        <v>457</v>
      </c>
      <c r="J114" s="4" t="s">
        <v>447</v>
      </c>
      <c r="K114" s="1"/>
      <c r="L114" s="1"/>
      <c r="M114" s="1"/>
      <c r="N114" s="1"/>
      <c r="P114" s="54"/>
      <c r="Q114" s="55"/>
      <c r="R114" s="56"/>
      <c r="T114" s="57"/>
    </row>
    <row r="115" spans="1:20" ht="17.25" x14ac:dyDescent="0.35">
      <c r="A115" s="105">
        <f t="shared" si="0"/>
        <v>11149</v>
      </c>
      <c r="B115" s="19" t="s">
        <v>314</v>
      </c>
      <c r="C115" s="18" t="s">
        <v>720</v>
      </c>
      <c r="D115" s="18" t="s">
        <v>721</v>
      </c>
      <c r="E115" s="3" t="s">
        <v>8</v>
      </c>
      <c r="F115" s="3" t="s">
        <v>8</v>
      </c>
      <c r="G115" s="3" t="s">
        <v>8</v>
      </c>
      <c r="H115" s="3" t="s">
        <v>8</v>
      </c>
      <c r="I115" s="106" t="s">
        <v>457</v>
      </c>
      <c r="J115" s="4" t="s">
        <v>447</v>
      </c>
      <c r="K115" s="1"/>
      <c r="L115" s="1"/>
      <c r="M115" s="1"/>
      <c r="N115" s="1"/>
      <c r="P115" s="54"/>
      <c r="Q115" s="55"/>
      <c r="R115" s="56"/>
      <c r="T115" s="57"/>
    </row>
    <row r="116" spans="1:20" ht="17.25" x14ac:dyDescent="0.35">
      <c r="A116" s="105">
        <f t="shared" si="0"/>
        <v>11150</v>
      </c>
      <c r="B116" s="19" t="s">
        <v>315</v>
      </c>
      <c r="C116" s="18" t="s">
        <v>722</v>
      </c>
      <c r="D116" s="18" t="s">
        <v>723</v>
      </c>
      <c r="E116" s="3" t="s">
        <v>8</v>
      </c>
      <c r="F116" s="3" t="s">
        <v>8</v>
      </c>
      <c r="G116" s="3" t="s">
        <v>8</v>
      </c>
      <c r="H116" s="3" t="s">
        <v>8</v>
      </c>
      <c r="I116" s="106" t="s">
        <v>456</v>
      </c>
      <c r="J116" s="4" t="s">
        <v>68</v>
      </c>
      <c r="K116" s="1"/>
      <c r="L116" s="1"/>
      <c r="M116" s="1"/>
      <c r="N116" s="1"/>
      <c r="P116" s="54"/>
      <c r="Q116" s="55"/>
      <c r="R116" s="56"/>
      <c r="T116" s="57"/>
    </row>
    <row r="117" spans="1:20" ht="17.25" x14ac:dyDescent="0.35">
      <c r="A117" s="105">
        <f t="shared" si="0"/>
        <v>11151</v>
      </c>
      <c r="B117" s="19" t="s">
        <v>316</v>
      </c>
      <c r="C117" s="18" t="s">
        <v>194</v>
      </c>
      <c r="D117" s="18" t="s">
        <v>195</v>
      </c>
      <c r="E117" s="3" t="s">
        <v>8</v>
      </c>
      <c r="F117" s="3" t="s">
        <v>8</v>
      </c>
      <c r="G117" s="3" t="s">
        <v>8</v>
      </c>
      <c r="H117" s="3" t="s">
        <v>8</v>
      </c>
      <c r="I117" s="106" t="s">
        <v>457</v>
      </c>
      <c r="J117" s="4" t="s">
        <v>447</v>
      </c>
      <c r="K117" s="1"/>
      <c r="L117" s="1"/>
      <c r="M117" s="1"/>
      <c r="N117" s="1"/>
      <c r="P117" s="54"/>
      <c r="Q117" s="55"/>
      <c r="R117" s="56"/>
      <c r="T117" s="57"/>
    </row>
    <row r="118" spans="1:20" ht="17.25" x14ac:dyDescent="0.35">
      <c r="A118" s="105">
        <f t="shared" si="0"/>
        <v>11152</v>
      </c>
      <c r="B118" s="19" t="s">
        <v>317</v>
      </c>
      <c r="C118" s="18" t="s">
        <v>190</v>
      </c>
      <c r="D118" s="18" t="s">
        <v>191</v>
      </c>
      <c r="E118" s="3" t="s">
        <v>8</v>
      </c>
      <c r="F118" s="3" t="s">
        <v>8</v>
      </c>
      <c r="G118" s="3" t="s">
        <v>8</v>
      </c>
      <c r="H118" s="3" t="s">
        <v>8</v>
      </c>
      <c r="I118" s="106" t="s">
        <v>456</v>
      </c>
      <c r="J118" s="4" t="s">
        <v>68</v>
      </c>
      <c r="K118" s="1"/>
      <c r="L118" s="1"/>
      <c r="M118" s="1"/>
      <c r="N118" s="1"/>
      <c r="P118" s="54"/>
      <c r="Q118" s="55"/>
      <c r="R118" s="56"/>
      <c r="T118" s="57"/>
    </row>
    <row r="119" spans="1:20" ht="17.25" x14ac:dyDescent="0.35">
      <c r="A119" s="105">
        <f t="shared" si="0"/>
        <v>11153</v>
      </c>
      <c r="B119" s="19" t="s">
        <v>318</v>
      </c>
      <c r="C119" s="18" t="s">
        <v>724</v>
      </c>
      <c r="D119" s="18" t="s">
        <v>725</v>
      </c>
      <c r="E119" s="3" t="s">
        <v>8</v>
      </c>
      <c r="F119" s="3" t="s">
        <v>8</v>
      </c>
      <c r="G119" s="3" t="s">
        <v>8</v>
      </c>
      <c r="H119" s="3" t="s">
        <v>8</v>
      </c>
      <c r="I119" s="106" t="s">
        <v>456</v>
      </c>
      <c r="J119" s="4" t="s">
        <v>68</v>
      </c>
      <c r="K119" s="1"/>
      <c r="L119" s="1"/>
      <c r="M119" s="1"/>
      <c r="N119" s="1"/>
      <c r="P119" s="54"/>
      <c r="Q119" s="55"/>
      <c r="R119" s="56"/>
      <c r="T119" s="57"/>
    </row>
    <row r="120" spans="1:20" ht="17.25" x14ac:dyDescent="0.35">
      <c r="A120" s="16">
        <f t="shared" si="0"/>
        <v>11211</v>
      </c>
      <c r="B120" s="19" t="s">
        <v>320</v>
      </c>
      <c r="C120" s="18" t="s">
        <v>624</v>
      </c>
      <c r="D120" s="18" t="s">
        <v>625</v>
      </c>
      <c r="E120" s="3" t="s">
        <v>8</v>
      </c>
      <c r="F120" s="3" t="s">
        <v>8</v>
      </c>
      <c r="G120" s="3" t="s">
        <v>8</v>
      </c>
      <c r="H120" s="3" t="s">
        <v>8</v>
      </c>
      <c r="I120" s="106" t="s">
        <v>744</v>
      </c>
      <c r="J120" s="4" t="s">
        <v>742</v>
      </c>
      <c r="K120" s="1"/>
      <c r="L120" s="1"/>
      <c r="M120" s="1"/>
      <c r="N120" s="1"/>
      <c r="P120" s="54"/>
      <c r="Q120" s="55"/>
      <c r="R120" s="56"/>
      <c r="T120" s="57"/>
    </row>
    <row r="121" spans="1:20" ht="17.25" x14ac:dyDescent="0.35">
      <c r="A121" s="16">
        <f t="shared" si="0"/>
        <v>11212</v>
      </c>
      <c r="B121" s="19" t="s">
        <v>321</v>
      </c>
      <c r="C121" s="18" t="s">
        <v>626</v>
      </c>
      <c r="D121" s="18" t="s">
        <v>627</v>
      </c>
      <c r="E121" s="3" t="s">
        <v>8</v>
      </c>
      <c r="F121" s="3" t="s">
        <v>8</v>
      </c>
      <c r="G121" s="3" t="s">
        <v>8</v>
      </c>
      <c r="H121" s="3" t="s">
        <v>8</v>
      </c>
      <c r="I121" s="106" t="s">
        <v>744</v>
      </c>
      <c r="J121" s="4" t="s">
        <v>742</v>
      </c>
      <c r="K121" s="1"/>
      <c r="L121" s="1"/>
      <c r="M121" s="1"/>
      <c r="N121" s="1"/>
      <c r="P121" s="54"/>
      <c r="Q121" s="55"/>
      <c r="R121" s="56"/>
      <c r="T121" s="57"/>
    </row>
    <row r="122" spans="1:20" ht="17.25" x14ac:dyDescent="0.35">
      <c r="A122" s="16">
        <f t="shared" si="0"/>
        <v>11213</v>
      </c>
      <c r="B122" s="19" t="s">
        <v>322</v>
      </c>
      <c r="C122" s="18" t="s">
        <v>398</v>
      </c>
      <c r="D122" s="18" t="s">
        <v>399</v>
      </c>
      <c r="E122" s="3" t="s">
        <v>8</v>
      </c>
      <c r="F122" s="3" t="s">
        <v>8</v>
      </c>
      <c r="G122" s="3" t="s">
        <v>8</v>
      </c>
      <c r="H122" s="3" t="s">
        <v>8</v>
      </c>
      <c r="I122" s="106" t="s">
        <v>453</v>
      </c>
      <c r="J122" s="4" t="s">
        <v>431</v>
      </c>
      <c r="K122" s="1"/>
      <c r="L122" s="1"/>
      <c r="M122" s="1"/>
      <c r="N122" s="1"/>
      <c r="P122" s="54"/>
      <c r="Q122" s="55"/>
      <c r="R122" s="56"/>
      <c r="T122" s="57"/>
    </row>
    <row r="123" spans="1:20" ht="17.25" x14ac:dyDescent="0.35">
      <c r="A123" s="16">
        <f t="shared" si="0"/>
        <v>11214</v>
      </c>
      <c r="B123" s="19" t="s">
        <v>323</v>
      </c>
      <c r="C123" s="18" t="s">
        <v>400</v>
      </c>
      <c r="D123" s="18" t="s">
        <v>401</v>
      </c>
      <c r="E123" s="3" t="s">
        <v>8</v>
      </c>
      <c r="F123" s="3" t="s">
        <v>8</v>
      </c>
      <c r="G123" s="3" t="s">
        <v>8</v>
      </c>
      <c r="H123" s="3" t="s">
        <v>8</v>
      </c>
      <c r="I123" s="106" t="s">
        <v>453</v>
      </c>
      <c r="J123" s="4" t="s">
        <v>431</v>
      </c>
      <c r="K123" s="1"/>
      <c r="L123" s="1"/>
      <c r="M123" s="1"/>
      <c r="N123" s="1"/>
      <c r="P123" s="54"/>
      <c r="Q123" s="55"/>
      <c r="R123" s="56"/>
      <c r="T123" s="57"/>
    </row>
    <row r="124" spans="1:20" ht="17.25" x14ac:dyDescent="0.35">
      <c r="A124" s="16">
        <f t="shared" si="0"/>
        <v>11215</v>
      </c>
      <c r="B124" s="19" t="s">
        <v>324</v>
      </c>
      <c r="C124" s="18" t="s">
        <v>628</v>
      </c>
      <c r="D124" s="18" t="s">
        <v>629</v>
      </c>
      <c r="E124" s="3" t="s">
        <v>8</v>
      </c>
      <c r="F124" s="3" t="s">
        <v>8</v>
      </c>
      <c r="G124" s="3" t="s">
        <v>8</v>
      </c>
      <c r="H124" s="3" t="s">
        <v>8</v>
      </c>
      <c r="I124" s="106" t="s">
        <v>455</v>
      </c>
      <c r="J124" s="4" t="s">
        <v>433</v>
      </c>
      <c r="K124" s="1"/>
      <c r="L124" s="1"/>
      <c r="M124" s="1"/>
      <c r="N124" s="1"/>
      <c r="P124" s="54"/>
      <c r="Q124" s="55"/>
      <c r="R124" s="56"/>
      <c r="T124" s="57"/>
    </row>
    <row r="125" spans="1:20" ht="17.25" x14ac:dyDescent="0.35">
      <c r="A125" s="16">
        <f t="shared" si="0"/>
        <v>11216</v>
      </c>
      <c r="B125" s="19" t="s">
        <v>325</v>
      </c>
      <c r="C125" s="18" t="s">
        <v>630</v>
      </c>
      <c r="D125" s="18" t="s">
        <v>631</v>
      </c>
      <c r="E125" s="3" t="s">
        <v>8</v>
      </c>
      <c r="F125" s="3" t="s">
        <v>8</v>
      </c>
      <c r="G125" s="3" t="s">
        <v>8</v>
      </c>
      <c r="H125" s="3" t="s">
        <v>8</v>
      </c>
      <c r="I125" s="106" t="s">
        <v>455</v>
      </c>
      <c r="J125" s="4" t="s">
        <v>433</v>
      </c>
      <c r="K125" s="1"/>
      <c r="L125" s="1"/>
      <c r="M125" s="1"/>
      <c r="N125" s="1"/>
      <c r="P125" s="54"/>
      <c r="Q125" s="55"/>
      <c r="R125" s="56"/>
      <c r="T125" s="57"/>
    </row>
    <row r="126" spans="1:20" ht="17.25" x14ac:dyDescent="0.35">
      <c r="A126" s="16">
        <f t="shared" si="0"/>
        <v>11217</v>
      </c>
      <c r="B126" s="19" t="s">
        <v>326</v>
      </c>
      <c r="C126" s="18" t="s">
        <v>632</v>
      </c>
      <c r="D126" s="18" t="s">
        <v>633</v>
      </c>
      <c r="E126" s="3" t="s">
        <v>8</v>
      </c>
      <c r="F126" s="3" t="s">
        <v>8</v>
      </c>
      <c r="G126" s="3" t="s">
        <v>8</v>
      </c>
      <c r="H126" s="3" t="s">
        <v>8</v>
      </c>
      <c r="I126" s="106" t="s">
        <v>455</v>
      </c>
      <c r="J126" s="4" t="s">
        <v>433</v>
      </c>
      <c r="K126" s="1"/>
      <c r="L126" s="1"/>
      <c r="M126" s="1"/>
      <c r="N126" s="1"/>
      <c r="P126" s="54"/>
      <c r="Q126" s="55"/>
      <c r="R126" s="56"/>
      <c r="T126" s="57"/>
    </row>
    <row r="127" spans="1:20" ht="17.25" x14ac:dyDescent="0.35">
      <c r="A127" s="16">
        <f t="shared" si="0"/>
        <v>11218</v>
      </c>
      <c r="B127" s="19" t="s">
        <v>327</v>
      </c>
      <c r="C127" s="18" t="s">
        <v>726</v>
      </c>
      <c r="D127" s="18" t="s">
        <v>727</v>
      </c>
      <c r="E127" s="3" t="s">
        <v>8</v>
      </c>
      <c r="F127" s="3" t="s">
        <v>8</v>
      </c>
      <c r="G127" s="3" t="s">
        <v>8</v>
      </c>
      <c r="H127" s="3" t="s">
        <v>8</v>
      </c>
      <c r="I127" s="106" t="s">
        <v>454</v>
      </c>
      <c r="J127" s="4" t="s">
        <v>432</v>
      </c>
      <c r="K127" s="1"/>
      <c r="L127" s="1"/>
      <c r="M127" s="1"/>
      <c r="N127" s="1"/>
      <c r="P127" s="54"/>
      <c r="Q127" s="55"/>
      <c r="R127" s="56"/>
      <c r="T127" s="57"/>
    </row>
    <row r="128" spans="1:20" ht="17.25" x14ac:dyDescent="0.35">
      <c r="A128" s="16">
        <f t="shared" si="0"/>
        <v>11219</v>
      </c>
      <c r="B128" s="19" t="s">
        <v>328</v>
      </c>
      <c r="C128" s="18" t="s">
        <v>728</v>
      </c>
      <c r="D128" s="18" t="s">
        <v>729</v>
      </c>
      <c r="E128" s="3" t="s">
        <v>8</v>
      </c>
      <c r="F128" s="3" t="s">
        <v>8</v>
      </c>
      <c r="G128" s="3" t="s">
        <v>8</v>
      </c>
      <c r="H128" s="3" t="s">
        <v>8</v>
      </c>
      <c r="I128" s="106" t="s">
        <v>455</v>
      </c>
      <c r="J128" s="4" t="s">
        <v>433</v>
      </c>
      <c r="K128" s="1"/>
      <c r="L128" s="1"/>
      <c r="M128" s="1"/>
      <c r="N128" s="1"/>
      <c r="P128" s="54"/>
      <c r="Q128" s="55"/>
      <c r="R128" s="56"/>
      <c r="T128" s="57"/>
    </row>
    <row r="129" spans="1:20" ht="17.25" x14ac:dyDescent="0.35">
      <c r="A129" s="16">
        <f t="shared" si="0"/>
        <v>11220</v>
      </c>
      <c r="B129" s="19" t="s">
        <v>329</v>
      </c>
      <c r="C129" s="18" t="s">
        <v>634</v>
      </c>
      <c r="D129" s="18" t="s">
        <v>635</v>
      </c>
      <c r="E129" s="3" t="s">
        <v>8</v>
      </c>
      <c r="F129" s="3" t="s">
        <v>8</v>
      </c>
      <c r="G129" s="3" t="s">
        <v>8</v>
      </c>
      <c r="H129" s="3" t="s">
        <v>8</v>
      </c>
      <c r="I129" s="106" t="s">
        <v>454</v>
      </c>
      <c r="J129" s="4" t="s">
        <v>432</v>
      </c>
      <c r="K129" s="1"/>
      <c r="L129" s="1"/>
      <c r="M129" s="1"/>
      <c r="N129" s="1"/>
      <c r="P129" s="54"/>
      <c r="Q129" s="55"/>
      <c r="R129" s="56"/>
      <c r="T129" s="57"/>
    </row>
    <row r="130" spans="1:20" ht="17.25" x14ac:dyDescent="0.35">
      <c r="A130" s="16">
        <f t="shared" si="0"/>
        <v>11221</v>
      </c>
      <c r="B130" s="19" t="s">
        <v>330</v>
      </c>
      <c r="C130" s="18" t="s">
        <v>636</v>
      </c>
      <c r="D130" s="18" t="s">
        <v>637</v>
      </c>
      <c r="E130" s="3" t="s">
        <v>8</v>
      </c>
      <c r="F130" s="3" t="s">
        <v>8</v>
      </c>
      <c r="G130" s="3" t="s">
        <v>8</v>
      </c>
      <c r="H130" s="3" t="s">
        <v>8</v>
      </c>
      <c r="I130" s="106" t="s">
        <v>458</v>
      </c>
      <c r="J130" s="4" t="s">
        <v>61</v>
      </c>
      <c r="K130" s="1"/>
      <c r="L130" s="1"/>
      <c r="M130" s="1"/>
      <c r="N130" s="1"/>
      <c r="P130" s="54"/>
      <c r="Q130" s="55"/>
      <c r="R130" s="56"/>
      <c r="T130" s="57"/>
    </row>
    <row r="131" spans="1:20" ht="17.25" x14ac:dyDescent="0.35">
      <c r="A131" s="16">
        <f t="shared" si="0"/>
        <v>11222</v>
      </c>
      <c r="B131" s="19" t="s">
        <v>331</v>
      </c>
      <c r="C131" s="18" t="s">
        <v>638</v>
      </c>
      <c r="D131" s="18" t="s">
        <v>639</v>
      </c>
      <c r="E131" s="3" t="s">
        <v>8</v>
      </c>
      <c r="F131" s="3" t="s">
        <v>8</v>
      </c>
      <c r="G131" s="3" t="s">
        <v>8</v>
      </c>
      <c r="H131" s="3" t="s">
        <v>8</v>
      </c>
      <c r="I131" s="106" t="s">
        <v>458</v>
      </c>
      <c r="J131" s="4" t="s">
        <v>61</v>
      </c>
      <c r="K131" s="1"/>
      <c r="L131" s="1"/>
      <c r="M131" s="1"/>
      <c r="N131" s="1"/>
      <c r="P131" s="54"/>
      <c r="Q131" s="55"/>
      <c r="R131" s="56"/>
      <c r="T131" s="57"/>
    </row>
    <row r="132" spans="1:20" ht="17.25" x14ac:dyDescent="0.35">
      <c r="A132" s="16">
        <f t="shared" si="0"/>
        <v>11223</v>
      </c>
      <c r="B132" s="19" t="s">
        <v>332</v>
      </c>
      <c r="C132" s="18" t="s">
        <v>640</v>
      </c>
      <c r="D132" s="18" t="s">
        <v>641</v>
      </c>
      <c r="E132" s="3" t="s">
        <v>8</v>
      </c>
      <c r="F132" s="3" t="s">
        <v>8</v>
      </c>
      <c r="G132" s="3" t="s">
        <v>8</v>
      </c>
      <c r="H132" s="3" t="s">
        <v>8</v>
      </c>
      <c r="I132" s="106" t="s">
        <v>458</v>
      </c>
      <c r="J132" s="4" t="s">
        <v>61</v>
      </c>
      <c r="K132" s="1"/>
      <c r="L132" s="1"/>
      <c r="M132" s="1"/>
      <c r="N132" s="1"/>
      <c r="P132" s="54"/>
      <c r="Q132" s="55"/>
      <c r="R132" s="56"/>
      <c r="T132" s="57"/>
    </row>
    <row r="133" spans="1:20" ht="17.25" x14ac:dyDescent="0.35">
      <c r="A133" s="16">
        <f t="shared" si="0"/>
        <v>11224</v>
      </c>
      <c r="B133" s="19" t="s">
        <v>333</v>
      </c>
      <c r="C133" s="18" t="s">
        <v>642</v>
      </c>
      <c r="D133" s="18" t="s">
        <v>643</v>
      </c>
      <c r="E133" s="3" t="s">
        <v>8</v>
      </c>
      <c r="F133" s="3" t="s">
        <v>8</v>
      </c>
      <c r="G133" s="3" t="s">
        <v>8</v>
      </c>
      <c r="H133" s="3" t="s">
        <v>8</v>
      </c>
      <c r="I133" s="106" t="s">
        <v>458</v>
      </c>
      <c r="J133" s="4" t="s">
        <v>61</v>
      </c>
      <c r="K133" s="1"/>
      <c r="L133" s="1"/>
      <c r="M133" s="1"/>
      <c r="N133" s="1"/>
      <c r="P133" s="54"/>
      <c r="Q133" s="55"/>
      <c r="R133" s="56"/>
      <c r="T133" s="57"/>
    </row>
    <row r="134" spans="1:20" ht="17.25" x14ac:dyDescent="0.35">
      <c r="A134" s="16">
        <f t="shared" si="0"/>
        <v>11225</v>
      </c>
      <c r="B134" s="19" t="s">
        <v>334</v>
      </c>
      <c r="C134" s="18" t="s">
        <v>55</v>
      </c>
      <c r="D134" s="18" t="s">
        <v>15</v>
      </c>
      <c r="E134" s="3" t="s">
        <v>8</v>
      </c>
      <c r="F134" s="3" t="s">
        <v>8</v>
      </c>
      <c r="G134" s="3" t="s">
        <v>8</v>
      </c>
      <c r="H134" s="3" t="s">
        <v>8</v>
      </c>
      <c r="I134" s="106" t="s">
        <v>456</v>
      </c>
      <c r="J134" s="4" t="s">
        <v>68</v>
      </c>
      <c r="K134" s="1"/>
      <c r="L134" s="1"/>
      <c r="M134" s="1"/>
      <c r="N134" s="1"/>
      <c r="P134" s="54"/>
      <c r="Q134" s="55"/>
      <c r="R134" s="56"/>
      <c r="T134" s="57"/>
    </row>
    <row r="135" spans="1:20" ht="17.25" x14ac:dyDescent="0.35">
      <c r="A135" s="16">
        <f t="shared" si="0"/>
        <v>11226</v>
      </c>
      <c r="B135" s="19" t="s">
        <v>335</v>
      </c>
      <c r="C135" s="18" t="s">
        <v>410</v>
      </c>
      <c r="D135" s="18" t="s">
        <v>411</v>
      </c>
      <c r="E135" s="3" t="s">
        <v>8</v>
      </c>
      <c r="F135" s="3" t="s">
        <v>8</v>
      </c>
      <c r="G135" s="3" t="s">
        <v>8</v>
      </c>
      <c r="H135" s="3" t="s">
        <v>8</v>
      </c>
      <c r="I135" s="106" t="s">
        <v>457</v>
      </c>
      <c r="J135" s="4" t="s">
        <v>447</v>
      </c>
      <c r="K135" s="1"/>
      <c r="L135" s="1"/>
      <c r="M135" s="1"/>
      <c r="N135" s="1"/>
      <c r="P135" s="54"/>
      <c r="Q135" s="55"/>
      <c r="R135" s="56"/>
      <c r="T135" s="57"/>
    </row>
    <row r="136" spans="1:20" ht="17.25" x14ac:dyDescent="0.35">
      <c r="A136" s="16">
        <f t="shared" si="0"/>
        <v>11227</v>
      </c>
      <c r="B136" s="19" t="s">
        <v>336</v>
      </c>
      <c r="C136" s="18" t="s">
        <v>644</v>
      </c>
      <c r="D136" s="18" t="s">
        <v>645</v>
      </c>
      <c r="E136" s="3" t="s">
        <v>8</v>
      </c>
      <c r="F136" s="3" t="s">
        <v>8</v>
      </c>
      <c r="G136" s="3" t="s">
        <v>8</v>
      </c>
      <c r="H136" s="3" t="s">
        <v>8</v>
      </c>
      <c r="I136" s="106" t="s">
        <v>457</v>
      </c>
      <c r="J136" s="4" t="s">
        <v>447</v>
      </c>
      <c r="K136" s="1"/>
      <c r="L136" s="1"/>
      <c r="M136" s="1"/>
      <c r="N136" s="1"/>
      <c r="P136" s="54"/>
      <c r="Q136" s="55"/>
      <c r="R136" s="56"/>
      <c r="T136" s="57"/>
    </row>
    <row r="137" spans="1:20" ht="17.25" x14ac:dyDescent="0.35">
      <c r="A137" s="16">
        <f t="shared" si="0"/>
        <v>11228</v>
      </c>
      <c r="B137" s="19" t="s">
        <v>337</v>
      </c>
      <c r="C137" s="18" t="s">
        <v>646</v>
      </c>
      <c r="D137" s="18" t="s">
        <v>647</v>
      </c>
      <c r="E137" s="3" t="s">
        <v>8</v>
      </c>
      <c r="F137" s="3" t="s">
        <v>8</v>
      </c>
      <c r="G137" s="3" t="s">
        <v>8</v>
      </c>
      <c r="H137" s="3" t="s">
        <v>8</v>
      </c>
      <c r="I137" s="106" t="s">
        <v>456</v>
      </c>
      <c r="J137" s="4" t="s">
        <v>68</v>
      </c>
      <c r="K137" s="1"/>
      <c r="L137" s="1"/>
      <c r="M137" s="1"/>
      <c r="N137" s="1"/>
      <c r="P137" s="54"/>
      <c r="Q137" s="55"/>
      <c r="R137" s="56"/>
      <c r="T137" s="57"/>
    </row>
    <row r="138" spans="1:20" ht="17.25" x14ac:dyDescent="0.35">
      <c r="A138" s="16">
        <f t="shared" si="0"/>
        <v>11229</v>
      </c>
      <c r="B138" s="19" t="s">
        <v>338</v>
      </c>
      <c r="C138" s="18" t="s">
        <v>414</v>
      </c>
      <c r="D138" s="18" t="s">
        <v>415</v>
      </c>
      <c r="E138" s="3" t="s">
        <v>8</v>
      </c>
      <c r="F138" s="3" t="s">
        <v>8</v>
      </c>
      <c r="G138" s="3" t="s">
        <v>8</v>
      </c>
      <c r="H138" s="3" t="s">
        <v>8</v>
      </c>
      <c r="I138" s="106" t="s">
        <v>458</v>
      </c>
      <c r="J138" s="4" t="s">
        <v>61</v>
      </c>
      <c r="K138" s="1"/>
      <c r="L138" s="1"/>
      <c r="M138" s="1"/>
      <c r="N138" s="1"/>
      <c r="P138" s="54"/>
      <c r="Q138" s="55"/>
      <c r="R138" s="56"/>
      <c r="T138" s="57"/>
    </row>
    <row r="139" spans="1:20" ht="17.25" x14ac:dyDescent="0.35">
      <c r="A139" s="16">
        <f t="shared" si="0"/>
        <v>11230</v>
      </c>
      <c r="B139" s="19" t="s">
        <v>339</v>
      </c>
      <c r="C139" s="18" t="s">
        <v>648</v>
      </c>
      <c r="D139" s="18" t="s">
        <v>649</v>
      </c>
      <c r="E139" s="3" t="s">
        <v>8</v>
      </c>
      <c r="F139" s="3" t="s">
        <v>8</v>
      </c>
      <c r="G139" s="3" t="s">
        <v>8</v>
      </c>
      <c r="H139" s="3" t="s">
        <v>8</v>
      </c>
      <c r="I139" s="106" t="s">
        <v>457</v>
      </c>
      <c r="J139" s="4" t="s">
        <v>447</v>
      </c>
      <c r="K139" s="1"/>
      <c r="L139" s="1"/>
      <c r="M139" s="1"/>
      <c r="N139" s="1"/>
      <c r="P139" s="54"/>
      <c r="Q139" s="55"/>
      <c r="R139" s="56"/>
      <c r="T139" s="57"/>
    </row>
    <row r="140" spans="1:20" s="82" customFormat="1" ht="17.25" x14ac:dyDescent="0.35">
      <c r="A140" s="16">
        <f t="shared" si="0"/>
        <v>11231</v>
      </c>
      <c r="B140" s="19" t="s">
        <v>340</v>
      </c>
      <c r="C140" s="18" t="s">
        <v>650</v>
      </c>
      <c r="D140" s="18" t="s">
        <v>651</v>
      </c>
      <c r="E140" s="3" t="s">
        <v>8</v>
      </c>
      <c r="F140" s="3" t="s">
        <v>8</v>
      </c>
      <c r="G140" s="3" t="s">
        <v>8</v>
      </c>
      <c r="H140" s="3" t="s">
        <v>8</v>
      </c>
      <c r="I140" s="106" t="s">
        <v>459</v>
      </c>
      <c r="J140" s="4" t="s">
        <v>450</v>
      </c>
      <c r="K140" s="1"/>
      <c r="L140" s="1"/>
      <c r="M140" s="1"/>
      <c r="N140" s="1"/>
      <c r="O140" s="11"/>
      <c r="P140" s="54"/>
      <c r="Q140" s="55"/>
      <c r="R140" s="56"/>
      <c r="S140" s="83"/>
      <c r="T140" s="57"/>
    </row>
    <row r="141" spans="1:20" ht="17.25" x14ac:dyDescent="0.35">
      <c r="A141" s="16">
        <f t="shared" si="0"/>
        <v>11232</v>
      </c>
      <c r="B141" s="19" t="s">
        <v>341</v>
      </c>
      <c r="C141" s="18" t="s">
        <v>213</v>
      </c>
      <c r="D141" s="18" t="s">
        <v>214</v>
      </c>
      <c r="E141" s="3" t="s">
        <v>8</v>
      </c>
      <c r="F141" s="3" t="s">
        <v>8</v>
      </c>
      <c r="G141" s="3" t="s">
        <v>8</v>
      </c>
      <c r="H141" s="3" t="s">
        <v>8</v>
      </c>
      <c r="I141" s="106" t="s">
        <v>456</v>
      </c>
      <c r="J141" s="4" t="s">
        <v>68</v>
      </c>
      <c r="K141" s="1"/>
      <c r="L141" s="1"/>
      <c r="M141" s="1"/>
      <c r="N141" s="1"/>
      <c r="P141" s="54"/>
      <c r="Q141" s="55"/>
      <c r="R141" s="56"/>
      <c r="T141" s="57"/>
    </row>
    <row r="142" spans="1:20" ht="17.25" x14ac:dyDescent="0.35">
      <c r="A142" s="16">
        <f t="shared" ref="A142:A162" si="1">A99+100</f>
        <v>11233</v>
      </c>
      <c r="B142" s="19" t="s">
        <v>342</v>
      </c>
      <c r="C142" s="18" t="s">
        <v>90</v>
      </c>
      <c r="D142" s="18" t="s">
        <v>422</v>
      </c>
      <c r="E142" s="3" t="s">
        <v>8</v>
      </c>
      <c r="F142" s="3" t="s">
        <v>8</v>
      </c>
      <c r="G142" s="3" t="s">
        <v>8</v>
      </c>
      <c r="H142" s="3" t="s">
        <v>8</v>
      </c>
      <c r="I142" s="106" t="s">
        <v>457</v>
      </c>
      <c r="J142" s="4" t="s">
        <v>447</v>
      </c>
      <c r="K142" s="1"/>
      <c r="L142" s="1"/>
      <c r="M142" s="1"/>
      <c r="N142" s="1"/>
      <c r="P142" s="54"/>
      <c r="Q142" s="55"/>
      <c r="R142" s="56"/>
      <c r="T142" s="57"/>
    </row>
    <row r="143" spans="1:20" ht="17.25" x14ac:dyDescent="0.35">
      <c r="A143" s="16">
        <f t="shared" si="1"/>
        <v>11234</v>
      </c>
      <c r="B143" s="19" t="s">
        <v>343</v>
      </c>
      <c r="C143" s="18" t="s">
        <v>123</v>
      </c>
      <c r="D143" s="18" t="s">
        <v>212</v>
      </c>
      <c r="E143" s="3" t="s">
        <v>8</v>
      </c>
      <c r="F143" s="3" t="s">
        <v>8</v>
      </c>
      <c r="G143" s="3" t="s">
        <v>8</v>
      </c>
      <c r="H143" s="3" t="s">
        <v>8</v>
      </c>
      <c r="I143" s="106" t="s">
        <v>456</v>
      </c>
      <c r="J143" s="4" t="s">
        <v>68</v>
      </c>
      <c r="K143" s="1"/>
      <c r="L143" s="1"/>
      <c r="M143" s="1"/>
      <c r="N143" s="1"/>
      <c r="P143" s="54"/>
      <c r="Q143" s="55"/>
      <c r="R143" s="56"/>
      <c r="T143" s="57"/>
    </row>
    <row r="144" spans="1:20" ht="17.25" x14ac:dyDescent="0.35">
      <c r="A144" s="16">
        <f t="shared" si="1"/>
        <v>11235</v>
      </c>
      <c r="B144" s="19" t="s">
        <v>344</v>
      </c>
      <c r="C144" s="18" t="s">
        <v>420</v>
      </c>
      <c r="D144" s="18" t="s">
        <v>421</v>
      </c>
      <c r="E144" s="3" t="s">
        <v>8</v>
      </c>
      <c r="F144" s="3" t="s">
        <v>8</v>
      </c>
      <c r="G144" s="3" t="s">
        <v>8</v>
      </c>
      <c r="H144" s="3" t="s">
        <v>8</v>
      </c>
      <c r="I144" s="106" t="s">
        <v>457</v>
      </c>
      <c r="J144" s="4" t="s">
        <v>447</v>
      </c>
      <c r="K144" s="1"/>
      <c r="L144" s="1"/>
      <c r="M144" s="1"/>
      <c r="N144" s="1"/>
      <c r="P144" s="54"/>
      <c r="Q144" s="55"/>
      <c r="R144" s="56"/>
      <c r="T144" s="57"/>
    </row>
    <row r="145" spans="1:20" ht="17.25" x14ac:dyDescent="0.35">
      <c r="A145" s="16">
        <f t="shared" si="1"/>
        <v>11236</v>
      </c>
      <c r="B145" s="19" t="s">
        <v>345</v>
      </c>
      <c r="C145" s="18" t="s">
        <v>81</v>
      </c>
      <c r="D145" s="18" t="s">
        <v>82</v>
      </c>
      <c r="E145" s="3" t="s">
        <v>8</v>
      </c>
      <c r="F145" s="3" t="s">
        <v>8</v>
      </c>
      <c r="G145" s="3" t="s">
        <v>8</v>
      </c>
      <c r="H145" s="3" t="s">
        <v>8</v>
      </c>
      <c r="I145" s="106" t="s">
        <v>457</v>
      </c>
      <c r="J145" s="4" t="s">
        <v>447</v>
      </c>
      <c r="K145" s="1"/>
      <c r="L145" s="1"/>
      <c r="M145" s="1"/>
      <c r="N145" s="1"/>
      <c r="P145" s="54"/>
      <c r="Q145" s="55"/>
      <c r="R145" s="56"/>
      <c r="T145" s="57"/>
    </row>
    <row r="146" spans="1:20" ht="17.25" x14ac:dyDescent="0.35">
      <c r="A146" s="16">
        <f t="shared" si="1"/>
        <v>11237</v>
      </c>
      <c r="B146" s="19" t="s">
        <v>346</v>
      </c>
      <c r="C146" s="18" t="s">
        <v>418</v>
      </c>
      <c r="D146" s="18" t="s">
        <v>419</v>
      </c>
      <c r="E146" s="3" t="s">
        <v>8</v>
      </c>
      <c r="F146" s="3" t="s">
        <v>8</v>
      </c>
      <c r="G146" s="3" t="s">
        <v>8</v>
      </c>
      <c r="H146" s="3" t="s">
        <v>8</v>
      </c>
      <c r="I146" s="106" t="s">
        <v>459</v>
      </c>
      <c r="J146" s="4" t="s">
        <v>450</v>
      </c>
      <c r="K146" s="1"/>
      <c r="L146" s="1"/>
      <c r="M146" s="1"/>
      <c r="N146" s="1"/>
      <c r="P146" s="54"/>
      <c r="Q146" s="55"/>
      <c r="R146" s="56"/>
      <c r="T146" s="57"/>
    </row>
    <row r="147" spans="1:20" ht="17.25" x14ac:dyDescent="0.35">
      <c r="A147" s="16">
        <f t="shared" si="1"/>
        <v>11238</v>
      </c>
      <c r="B147" s="19" t="s">
        <v>347</v>
      </c>
      <c r="C147" s="18" t="s">
        <v>124</v>
      </c>
      <c r="D147" s="18" t="s">
        <v>215</v>
      </c>
      <c r="E147" s="3" t="s">
        <v>8</v>
      </c>
      <c r="F147" s="3" t="s">
        <v>8</v>
      </c>
      <c r="G147" s="3" t="s">
        <v>8</v>
      </c>
      <c r="H147" s="3" t="s">
        <v>8</v>
      </c>
      <c r="I147" s="106" t="s">
        <v>459</v>
      </c>
      <c r="J147" s="4" t="s">
        <v>450</v>
      </c>
      <c r="K147" s="1"/>
      <c r="L147" s="1"/>
      <c r="M147" s="1"/>
      <c r="N147" s="1"/>
      <c r="P147" s="54"/>
      <c r="Q147" s="55"/>
      <c r="R147" s="56"/>
      <c r="T147" s="57"/>
    </row>
    <row r="148" spans="1:20" ht="17.25" x14ac:dyDescent="0.35">
      <c r="A148" s="16">
        <f t="shared" si="1"/>
        <v>11239</v>
      </c>
      <c r="B148" s="19" t="s">
        <v>348</v>
      </c>
      <c r="C148" s="18" t="s">
        <v>652</v>
      </c>
      <c r="D148" s="18" t="s">
        <v>653</v>
      </c>
      <c r="E148" s="3" t="s">
        <v>8</v>
      </c>
      <c r="F148" s="3" t="s">
        <v>8</v>
      </c>
      <c r="G148" s="3" t="s">
        <v>8</v>
      </c>
      <c r="H148" s="3" t="s">
        <v>8</v>
      </c>
      <c r="I148" s="106" t="s">
        <v>459</v>
      </c>
      <c r="J148" s="4" t="s">
        <v>450</v>
      </c>
      <c r="K148" s="1"/>
      <c r="L148" s="1"/>
      <c r="M148" s="1"/>
      <c r="N148" s="1"/>
      <c r="P148" s="54"/>
      <c r="Q148" s="55"/>
      <c r="R148" s="56"/>
      <c r="T148" s="57"/>
    </row>
    <row r="149" spans="1:20" ht="17.25" x14ac:dyDescent="0.35">
      <c r="A149" s="16">
        <f t="shared" si="1"/>
        <v>11240</v>
      </c>
      <c r="B149" s="19" t="s">
        <v>349</v>
      </c>
      <c r="C149" s="18" t="s">
        <v>654</v>
      </c>
      <c r="D149" s="18" t="s">
        <v>655</v>
      </c>
      <c r="E149" s="3" t="s">
        <v>8</v>
      </c>
      <c r="F149" s="3" t="s">
        <v>8</v>
      </c>
      <c r="G149" s="3" t="s">
        <v>8</v>
      </c>
      <c r="H149" s="3" t="s">
        <v>8</v>
      </c>
      <c r="I149" s="106" t="s">
        <v>456</v>
      </c>
      <c r="J149" s="4" t="s">
        <v>68</v>
      </c>
      <c r="K149" s="1"/>
      <c r="L149" s="1"/>
      <c r="M149" s="1"/>
      <c r="N149" s="1"/>
      <c r="P149" s="54"/>
      <c r="Q149" s="55"/>
      <c r="R149" s="56"/>
      <c r="T149" s="57"/>
    </row>
    <row r="150" spans="1:20" ht="17.25" x14ac:dyDescent="0.35">
      <c r="A150" s="16">
        <f t="shared" si="1"/>
        <v>11241</v>
      </c>
      <c r="B150" s="19" t="s">
        <v>350</v>
      </c>
      <c r="C150" s="18" t="s">
        <v>656</v>
      </c>
      <c r="D150" s="18" t="s">
        <v>657</v>
      </c>
      <c r="E150" s="3" t="s">
        <v>8</v>
      </c>
      <c r="F150" s="3" t="s">
        <v>8</v>
      </c>
      <c r="G150" s="3" t="s">
        <v>8</v>
      </c>
      <c r="H150" s="3" t="s">
        <v>8</v>
      </c>
      <c r="I150" s="106" t="s">
        <v>456</v>
      </c>
      <c r="J150" s="4" t="s">
        <v>68</v>
      </c>
      <c r="K150" s="1"/>
      <c r="L150" s="1"/>
      <c r="M150" s="1"/>
      <c r="N150" s="1"/>
      <c r="P150" s="54"/>
      <c r="Q150" s="55"/>
      <c r="R150" s="56"/>
      <c r="T150" s="57"/>
    </row>
    <row r="151" spans="1:20" ht="17.25" x14ac:dyDescent="0.35">
      <c r="A151" s="16">
        <f t="shared" si="1"/>
        <v>11242</v>
      </c>
      <c r="B151" s="19" t="s">
        <v>248</v>
      </c>
      <c r="C151" s="18" t="s">
        <v>658</v>
      </c>
      <c r="D151" s="18" t="s">
        <v>659</v>
      </c>
      <c r="E151" s="3" t="s">
        <v>8</v>
      </c>
      <c r="F151" s="3" t="s">
        <v>8</v>
      </c>
      <c r="G151" s="3" t="s">
        <v>8</v>
      </c>
      <c r="H151" s="3" t="s">
        <v>8</v>
      </c>
      <c r="I151" s="106" t="s">
        <v>459</v>
      </c>
      <c r="J151" s="4" t="s">
        <v>450</v>
      </c>
      <c r="K151" s="1"/>
      <c r="L151" s="1"/>
      <c r="M151" s="1"/>
      <c r="N151" s="1"/>
      <c r="P151" s="54"/>
      <c r="Q151" s="55"/>
      <c r="R151" s="56"/>
      <c r="T151" s="57"/>
    </row>
    <row r="152" spans="1:20" ht="17.25" x14ac:dyDescent="0.35">
      <c r="A152" s="16">
        <f t="shared" si="1"/>
        <v>11243</v>
      </c>
      <c r="B152" s="19" t="s">
        <v>693</v>
      </c>
      <c r="C152" s="18" t="s">
        <v>669</v>
      </c>
      <c r="D152" s="18" t="s">
        <v>670</v>
      </c>
      <c r="E152" s="3" t="s">
        <v>8</v>
      </c>
      <c r="F152" s="3" t="s">
        <v>8</v>
      </c>
      <c r="G152" s="3" t="s">
        <v>8</v>
      </c>
      <c r="H152" s="3" t="s">
        <v>8</v>
      </c>
      <c r="I152" s="106" t="s">
        <v>747</v>
      </c>
      <c r="J152" s="4" t="s">
        <v>743</v>
      </c>
      <c r="K152" s="1"/>
      <c r="L152" s="1"/>
      <c r="M152" s="1"/>
      <c r="N152" s="1"/>
      <c r="P152" s="54"/>
      <c r="Q152" s="55"/>
      <c r="R152" s="56"/>
      <c r="T152" s="57"/>
    </row>
    <row r="153" spans="1:20" ht="17.25" x14ac:dyDescent="0.35">
      <c r="A153" s="16">
        <f t="shared" si="1"/>
        <v>11244</v>
      </c>
      <c r="B153" s="19" t="s">
        <v>351</v>
      </c>
      <c r="C153" s="18" t="s">
        <v>730</v>
      </c>
      <c r="D153" s="18" t="s">
        <v>731</v>
      </c>
      <c r="E153" s="3" t="s">
        <v>8</v>
      </c>
      <c r="F153" s="3" t="s">
        <v>8</v>
      </c>
      <c r="G153" s="3" t="s">
        <v>8</v>
      </c>
      <c r="H153" s="3" t="s">
        <v>8</v>
      </c>
      <c r="I153" s="106" t="s">
        <v>454</v>
      </c>
      <c r="J153" s="4" t="s">
        <v>432</v>
      </c>
      <c r="K153" s="1"/>
      <c r="L153" s="1"/>
      <c r="M153" s="1"/>
      <c r="N153" s="1"/>
      <c r="P153" s="54"/>
      <c r="Q153" s="55"/>
      <c r="R153" s="56"/>
      <c r="T153" s="57"/>
    </row>
    <row r="154" spans="1:20" ht="17.25" x14ac:dyDescent="0.35">
      <c r="A154" s="16">
        <f t="shared" si="1"/>
        <v>11245</v>
      </c>
      <c r="B154" s="19" t="s">
        <v>352</v>
      </c>
      <c r="C154" s="18" t="s">
        <v>732</v>
      </c>
      <c r="D154" s="18" t="s">
        <v>733</v>
      </c>
      <c r="E154" s="3" t="s">
        <v>8</v>
      </c>
      <c r="F154" s="3" t="s">
        <v>8</v>
      </c>
      <c r="G154" s="3" t="s">
        <v>8</v>
      </c>
      <c r="H154" s="3" t="s">
        <v>8</v>
      </c>
      <c r="I154" s="106" t="s">
        <v>454</v>
      </c>
      <c r="J154" s="4" t="s">
        <v>432</v>
      </c>
      <c r="K154" s="1"/>
      <c r="L154" s="1"/>
      <c r="M154" s="1"/>
      <c r="N154" s="1"/>
      <c r="P154" s="54"/>
      <c r="Q154" s="55"/>
      <c r="R154" s="56"/>
      <c r="T154" s="57"/>
    </row>
    <row r="155" spans="1:20" ht="17.25" x14ac:dyDescent="0.35">
      <c r="A155" s="16">
        <f t="shared" si="1"/>
        <v>11246</v>
      </c>
      <c r="B155" s="19" t="s">
        <v>353</v>
      </c>
      <c r="C155" s="18" t="s">
        <v>755</v>
      </c>
      <c r="D155" s="18" t="s">
        <v>753</v>
      </c>
      <c r="E155" s="3" t="s">
        <v>8</v>
      </c>
      <c r="F155" s="3" t="s">
        <v>8</v>
      </c>
      <c r="G155" s="3" t="s">
        <v>8</v>
      </c>
      <c r="H155" s="3" t="s">
        <v>8</v>
      </c>
      <c r="I155" s="106" t="s">
        <v>455</v>
      </c>
      <c r="J155" s="4" t="s">
        <v>433</v>
      </c>
      <c r="K155" s="1"/>
      <c r="L155" s="1"/>
      <c r="M155" s="1"/>
      <c r="N155" s="1"/>
      <c r="P155" s="54"/>
      <c r="Q155" s="55"/>
      <c r="R155" s="56"/>
      <c r="T155" s="57"/>
    </row>
    <row r="156" spans="1:20" ht="17.25" x14ac:dyDescent="0.35">
      <c r="A156" s="16">
        <f t="shared" si="1"/>
        <v>11247</v>
      </c>
      <c r="B156" s="19" t="s">
        <v>354</v>
      </c>
      <c r="C156" s="18" t="s">
        <v>756</v>
      </c>
      <c r="D156" s="18" t="s">
        <v>754</v>
      </c>
      <c r="E156" s="3" t="s">
        <v>8</v>
      </c>
      <c r="F156" s="3" t="s">
        <v>8</v>
      </c>
      <c r="G156" s="3" t="s">
        <v>8</v>
      </c>
      <c r="H156" s="3" t="s">
        <v>8</v>
      </c>
      <c r="I156" s="106" t="s">
        <v>455</v>
      </c>
      <c r="J156" s="4" t="s">
        <v>433</v>
      </c>
      <c r="K156" s="1"/>
      <c r="L156" s="1"/>
      <c r="M156" s="1"/>
      <c r="N156" s="1"/>
      <c r="P156" s="54"/>
      <c r="Q156" s="55"/>
      <c r="R156" s="56"/>
      <c r="T156" s="57"/>
    </row>
    <row r="157" spans="1:20" ht="17.25" x14ac:dyDescent="0.35">
      <c r="A157" s="16">
        <f t="shared" si="1"/>
        <v>11248</v>
      </c>
      <c r="B157" s="19" t="s">
        <v>355</v>
      </c>
      <c r="C157" s="18" t="s">
        <v>734</v>
      </c>
      <c r="D157" s="18" t="s">
        <v>735</v>
      </c>
      <c r="E157" s="3" t="s">
        <v>8</v>
      </c>
      <c r="F157" s="3" t="s">
        <v>8</v>
      </c>
      <c r="G157" s="3" t="s">
        <v>8</v>
      </c>
      <c r="H157" s="3" t="s">
        <v>8</v>
      </c>
      <c r="I157" s="106" t="s">
        <v>457</v>
      </c>
      <c r="J157" s="4" t="s">
        <v>447</v>
      </c>
      <c r="K157" s="1"/>
      <c r="L157" s="1"/>
      <c r="M157" s="1"/>
      <c r="N157" s="1"/>
      <c r="P157" s="54"/>
      <c r="Q157" s="55"/>
      <c r="R157" s="56"/>
      <c r="T157" s="57"/>
    </row>
    <row r="158" spans="1:20" ht="17.25" x14ac:dyDescent="0.35">
      <c r="A158" s="16">
        <f t="shared" si="1"/>
        <v>11249</v>
      </c>
      <c r="B158" s="19" t="s">
        <v>356</v>
      </c>
      <c r="C158" s="18" t="s">
        <v>736</v>
      </c>
      <c r="D158" s="18" t="s">
        <v>737</v>
      </c>
      <c r="E158" s="3" t="s">
        <v>8</v>
      </c>
      <c r="F158" s="3" t="s">
        <v>8</v>
      </c>
      <c r="G158" s="3" t="s">
        <v>8</v>
      </c>
      <c r="H158" s="3" t="s">
        <v>8</v>
      </c>
      <c r="I158" s="106" t="s">
        <v>457</v>
      </c>
      <c r="J158" s="4" t="s">
        <v>447</v>
      </c>
      <c r="K158" s="1"/>
      <c r="L158" s="1"/>
      <c r="M158" s="1"/>
      <c r="N158" s="1"/>
      <c r="P158" s="54"/>
      <c r="Q158" s="55"/>
      <c r="R158" s="56"/>
      <c r="T158" s="57"/>
    </row>
    <row r="159" spans="1:20" ht="17.25" x14ac:dyDescent="0.35">
      <c r="A159" s="16">
        <f t="shared" si="1"/>
        <v>11250</v>
      </c>
      <c r="B159" s="19" t="s">
        <v>357</v>
      </c>
      <c r="C159" s="18" t="s">
        <v>738</v>
      </c>
      <c r="D159" s="18" t="s">
        <v>739</v>
      </c>
      <c r="E159" s="3" t="s">
        <v>8</v>
      </c>
      <c r="F159" s="3" t="s">
        <v>8</v>
      </c>
      <c r="G159" s="3" t="s">
        <v>8</v>
      </c>
      <c r="H159" s="3" t="s">
        <v>8</v>
      </c>
      <c r="I159" s="106" t="s">
        <v>456</v>
      </c>
      <c r="J159" s="4" t="s">
        <v>68</v>
      </c>
      <c r="K159" s="1"/>
      <c r="L159" s="1"/>
      <c r="M159" s="1"/>
      <c r="N159" s="1"/>
      <c r="P159" s="54"/>
      <c r="Q159" s="55"/>
      <c r="R159" s="56"/>
      <c r="T159" s="57"/>
    </row>
    <row r="160" spans="1:20" ht="17.25" x14ac:dyDescent="0.35">
      <c r="A160" s="16">
        <f t="shared" si="1"/>
        <v>11251</v>
      </c>
      <c r="B160" s="19" t="s">
        <v>358</v>
      </c>
      <c r="C160" s="18" t="s">
        <v>244</v>
      </c>
      <c r="D160" s="18" t="s">
        <v>230</v>
      </c>
      <c r="E160" s="3" t="s">
        <v>8</v>
      </c>
      <c r="F160" s="3" t="s">
        <v>8</v>
      </c>
      <c r="G160" s="3" t="s">
        <v>8</v>
      </c>
      <c r="H160" s="3" t="s">
        <v>8</v>
      </c>
      <c r="I160" s="106" t="s">
        <v>457</v>
      </c>
      <c r="J160" s="4" t="s">
        <v>447</v>
      </c>
      <c r="K160" s="1"/>
      <c r="L160" s="1"/>
      <c r="M160" s="1"/>
      <c r="N160" s="1"/>
      <c r="P160" s="54"/>
      <c r="Q160" s="55"/>
      <c r="R160" s="56"/>
      <c r="T160" s="57"/>
    </row>
    <row r="161" spans="1:11" x14ac:dyDescent="0.35">
      <c r="A161" s="16">
        <f t="shared" si="1"/>
        <v>11252</v>
      </c>
      <c r="B161" s="19" t="s">
        <v>359</v>
      </c>
      <c r="C161" s="18" t="s">
        <v>228</v>
      </c>
      <c r="D161" s="18" t="s">
        <v>229</v>
      </c>
      <c r="E161" s="3" t="s">
        <v>8</v>
      </c>
      <c r="F161" s="3" t="s">
        <v>8</v>
      </c>
      <c r="G161" s="3" t="s">
        <v>8</v>
      </c>
      <c r="H161" s="3" t="s">
        <v>8</v>
      </c>
      <c r="I161" s="106" t="s">
        <v>456</v>
      </c>
      <c r="J161" s="4" t="s">
        <v>68</v>
      </c>
      <c r="K161" s="1"/>
    </row>
    <row r="162" spans="1:11" x14ac:dyDescent="0.35">
      <c r="A162" s="16">
        <f t="shared" si="1"/>
        <v>11253</v>
      </c>
      <c r="B162" s="19" t="s">
        <v>360</v>
      </c>
      <c r="C162" s="18" t="s">
        <v>740</v>
      </c>
      <c r="D162" s="18" t="s">
        <v>741</v>
      </c>
      <c r="E162" s="3" t="s">
        <v>8</v>
      </c>
      <c r="F162" s="3" t="s">
        <v>8</v>
      </c>
      <c r="G162" s="3" t="s">
        <v>8</v>
      </c>
      <c r="H162" s="3" t="s">
        <v>8</v>
      </c>
      <c r="I162" s="106" t="s">
        <v>456</v>
      </c>
      <c r="J162" s="4" t="s">
        <v>68</v>
      </c>
      <c r="K162" s="1"/>
    </row>
  </sheetData>
  <sortState ref="A4:T275">
    <sortCondition ref="A4:A275"/>
  </sortState>
  <phoneticPr fontId="5" type="noConversion"/>
  <conditionalFormatting sqref="B34:B162">
    <cfRule type="expression" dxfId="41" priority="22">
      <formula>INDEX($D:$D,MATCH(B34,$A:$A,0))=11</formula>
    </cfRule>
    <cfRule type="expression" dxfId="40" priority="23">
      <formula>INDEX($D:$D,MATCH(B34,$A:$A,0))=13</formula>
    </cfRule>
    <cfRule type="expression" dxfId="39" priority="24">
      <formula>INDEX($D:$D,MATCH(B34,$A:$A,0))=16</formula>
    </cfRule>
    <cfRule type="expression" dxfId="38" priority="25">
      <formula>INDEX($D:$D,MATCH(B34,$A:$A,0))=20</formula>
    </cfRule>
  </conditionalFormatting>
  <conditionalFormatting sqref="B34:B43">
    <cfRule type="cellIs" dxfId="37" priority="26" operator="equal">
      <formula>#REF!</formula>
    </cfRule>
  </conditionalFormatting>
  <conditionalFormatting sqref="B67:B68">
    <cfRule type="cellIs" dxfId="36" priority="21" operator="equal">
      <formula>#REF!</formula>
    </cfRule>
  </conditionalFormatting>
  <conditionalFormatting sqref="B44:B66">
    <cfRule type="cellIs" dxfId="35" priority="20" operator="equal">
      <formula>#REF!</formula>
    </cfRule>
  </conditionalFormatting>
  <conditionalFormatting sqref="B69:B76">
    <cfRule type="cellIs" dxfId="34" priority="19" operator="equal">
      <formula>#REF!</formula>
    </cfRule>
  </conditionalFormatting>
  <conditionalFormatting sqref="B77:B78">
    <cfRule type="cellIs" dxfId="33" priority="18" operator="equal">
      <formula>#REF!</formula>
    </cfRule>
  </conditionalFormatting>
  <conditionalFormatting sqref="B79:B86">
    <cfRule type="cellIs" dxfId="32" priority="17" operator="equal">
      <formula>#REF!</formula>
    </cfRule>
  </conditionalFormatting>
  <conditionalFormatting sqref="B110:B111">
    <cfRule type="cellIs" dxfId="31" priority="16" operator="equal">
      <formula>#REF!</formula>
    </cfRule>
  </conditionalFormatting>
  <conditionalFormatting sqref="B87:B109">
    <cfRule type="cellIs" dxfId="30" priority="15" operator="equal">
      <formula>#REF!</formula>
    </cfRule>
  </conditionalFormatting>
  <conditionalFormatting sqref="B112:B119">
    <cfRule type="cellIs" dxfId="29" priority="14" operator="equal">
      <formula>#REF!</formula>
    </cfRule>
  </conditionalFormatting>
  <conditionalFormatting sqref="B120:B121">
    <cfRule type="cellIs" dxfId="28" priority="13" operator="equal">
      <formula>#REF!</formula>
    </cfRule>
  </conditionalFormatting>
  <conditionalFormatting sqref="B122:B129">
    <cfRule type="cellIs" dxfId="27" priority="12" operator="equal">
      <formula>#REF!</formula>
    </cfRule>
  </conditionalFormatting>
  <conditionalFormatting sqref="B153:B154">
    <cfRule type="cellIs" dxfId="26" priority="11" operator="equal">
      <formula>#REF!</formula>
    </cfRule>
  </conditionalFormatting>
  <conditionalFormatting sqref="B130:B152">
    <cfRule type="cellIs" dxfId="25" priority="6" operator="equal">
      <formula>#REF!</formula>
    </cfRule>
  </conditionalFormatting>
  <conditionalFormatting sqref="B155:B162">
    <cfRule type="cellIs" dxfId="24" priority="5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0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RowHeight="16.5" x14ac:dyDescent="0.35"/>
  <cols>
    <col min="1" max="1" width="6.5" style="2" bestFit="1" customWidth="1"/>
    <col min="2" max="2" width="11.375" style="2" bestFit="1" customWidth="1"/>
    <col min="3" max="3" width="39.5" style="2" bestFit="1" customWidth="1"/>
    <col min="4" max="4" width="72.125" style="2" bestFit="1" customWidth="1"/>
    <col min="5" max="5" width="17.5" style="2" bestFit="1" customWidth="1"/>
    <col min="6" max="6" width="9.625" style="2" bestFit="1" customWidth="1"/>
    <col min="7" max="7" width="9" style="104"/>
    <col min="8" max="8" width="10.375" style="38" customWidth="1"/>
    <col min="9" max="11" width="9" style="38"/>
    <col min="12" max="12" width="14.875" style="2" bestFit="1" customWidth="1"/>
    <col min="13" max="16" width="9" style="2"/>
    <col min="17" max="17" width="10" style="2" bestFit="1" customWidth="1"/>
    <col min="18" max="20" width="9" style="2"/>
    <col min="21" max="21" width="9.875" style="2" bestFit="1" customWidth="1"/>
    <col min="22" max="16384" width="9" style="2"/>
  </cols>
  <sheetData>
    <row r="1" spans="1:21" ht="33" x14ac:dyDescent="0.35">
      <c r="A1" s="46" t="s">
        <v>471</v>
      </c>
      <c r="B1" s="47" t="s">
        <v>472</v>
      </c>
      <c r="C1" s="47" t="s">
        <v>473</v>
      </c>
      <c r="D1" s="47" t="s">
        <v>474</v>
      </c>
      <c r="E1" s="47" t="s">
        <v>475</v>
      </c>
      <c r="F1" s="47" t="s">
        <v>476</v>
      </c>
      <c r="H1" s="28" t="s">
        <v>477</v>
      </c>
      <c r="I1" s="29" t="s">
        <v>428</v>
      </c>
      <c r="J1" s="30" t="s">
        <v>38</v>
      </c>
      <c r="K1" s="31"/>
      <c r="L1" s="2" t="s">
        <v>478</v>
      </c>
      <c r="N1" s="2" t="s">
        <v>479</v>
      </c>
      <c r="O1" s="2" t="s">
        <v>480</v>
      </c>
      <c r="P1" s="2" t="s">
        <v>481</v>
      </c>
      <c r="Q1" s="2" t="s">
        <v>482</v>
      </c>
    </row>
    <row r="2" spans="1:21" s="40" customFormat="1" x14ac:dyDescent="0.35">
      <c r="A2" s="20">
        <v>11011</v>
      </c>
      <c r="B2" s="21" t="s">
        <v>483</v>
      </c>
      <c r="C2" s="22" t="s">
        <v>233</v>
      </c>
      <c r="D2" s="22" t="s">
        <v>234</v>
      </c>
      <c r="E2" s="24" t="s">
        <v>60</v>
      </c>
      <c r="F2" s="25" t="s">
        <v>61</v>
      </c>
      <c r="G2" s="27">
        <f>INT(LEN($C2)-LEN(SUBSTITUTE($C2,",",""))+1)</f>
        <v>4</v>
      </c>
      <c r="H2" s="41" t="s">
        <v>484</v>
      </c>
      <c r="I2" s="41" t="s">
        <v>40</v>
      </c>
      <c r="J2" s="41" t="s">
        <v>38</v>
      </c>
      <c r="K2" s="42" t="s">
        <v>485</v>
      </c>
      <c r="L2" s="40" t="s">
        <v>431</v>
      </c>
      <c r="N2" s="40" t="str">
        <f t="shared" ref="N2:N65" si="0">IF(ISERROR(FIND("，",$L2)),LEFT($L2,FIND("+",$L2)-1),LEFT($L2,FIND("，",$L2)-1))</f>
        <v>生命</v>
      </c>
      <c r="O2" s="40" t="str">
        <f>IF(ISERROR(FIND("，",$L2)),"",MID($L2,FIND("，",$L2)+1,2))</f>
        <v>攻击</v>
      </c>
      <c r="P2" s="40" t="str">
        <f>RIGHT($L2,LEN($L2)-FIND("+",$L2)+1)</f>
        <v>+24%</v>
      </c>
      <c r="Q2" s="40" t="str">
        <f t="shared" ref="Q2:Q33" si="1">VLOOKUP($N2&amp;$P2,$T:$U,2,0)&amp;IF($O2="","",","&amp;VLOOKUP($O2&amp;$P2,$T:$U,2,0))</f>
        <v>7224,7324</v>
      </c>
      <c r="T2" s="40" t="s">
        <v>486</v>
      </c>
      <c r="U2" s="40">
        <v>7210</v>
      </c>
    </row>
    <row r="3" spans="1:21" x14ac:dyDescent="0.35">
      <c r="A3" s="16">
        <v>11012</v>
      </c>
      <c r="B3" s="19" t="s">
        <v>487</v>
      </c>
      <c r="C3" s="18" t="s">
        <v>235</v>
      </c>
      <c r="D3" s="18" t="s">
        <v>131</v>
      </c>
      <c r="E3" s="5" t="s">
        <v>57</v>
      </c>
      <c r="F3" s="4" t="s">
        <v>58</v>
      </c>
      <c r="G3" s="26">
        <f t="shared" ref="G3:G66" si="2">INT(LEN($C3)-LEN(SUBSTITUTE($C3,",",""))+1)</f>
        <v>4</v>
      </c>
      <c r="H3" s="32" t="s">
        <v>31</v>
      </c>
      <c r="I3" s="32" t="s">
        <v>34</v>
      </c>
      <c r="J3" s="32" t="s">
        <v>39</v>
      </c>
      <c r="K3" s="33" t="s">
        <v>37</v>
      </c>
      <c r="L3" s="2" t="s">
        <v>431</v>
      </c>
      <c r="N3" s="2" t="str">
        <f t="shared" si="0"/>
        <v>生命</v>
      </c>
      <c r="O3" s="2" t="str">
        <f t="shared" ref="O3:O66" si="3">IF(ISERROR(FIND("，",$L3)),"",MID($L3,FIND("，",$L3)+1,2))</f>
        <v>攻击</v>
      </c>
      <c r="P3" s="2" t="str">
        <f t="shared" ref="P3:P66" si="4">RIGHT($L3,LEN($L3)-FIND("+",$L3)+1)</f>
        <v>+24%</v>
      </c>
      <c r="Q3" s="2" t="str">
        <f t="shared" si="1"/>
        <v>7224,7324</v>
      </c>
      <c r="T3" s="2" t="s">
        <v>488</v>
      </c>
      <c r="U3" s="2">
        <v>7211</v>
      </c>
    </row>
    <row r="4" spans="1:21" x14ac:dyDescent="0.35">
      <c r="A4" s="16">
        <v>11013</v>
      </c>
      <c r="B4" s="19" t="s">
        <v>489</v>
      </c>
      <c r="C4" s="18" t="s">
        <v>100</v>
      </c>
      <c r="D4" s="18" t="s">
        <v>132</v>
      </c>
      <c r="E4" s="5">
        <v>3013</v>
      </c>
      <c r="F4" s="4" t="s">
        <v>59</v>
      </c>
      <c r="G4" s="26">
        <f t="shared" si="2"/>
        <v>3</v>
      </c>
      <c r="H4" s="32" t="s">
        <v>35</v>
      </c>
      <c r="I4" s="32" t="s">
        <v>40</v>
      </c>
      <c r="J4" s="32" t="s">
        <v>39</v>
      </c>
      <c r="K4" s="34"/>
      <c r="L4" s="2" t="s">
        <v>432</v>
      </c>
      <c r="N4" s="2" t="str">
        <f t="shared" si="0"/>
        <v>生命</v>
      </c>
      <c r="O4" s="2" t="str">
        <f t="shared" si="3"/>
        <v>攻击</v>
      </c>
      <c r="P4" s="2" t="str">
        <f t="shared" si="4"/>
        <v>+20%</v>
      </c>
      <c r="Q4" s="2" t="str">
        <f t="shared" si="1"/>
        <v>7220,7320</v>
      </c>
      <c r="T4" s="2" t="s">
        <v>72</v>
      </c>
      <c r="U4" s="2">
        <v>7212</v>
      </c>
    </row>
    <row r="5" spans="1:21" x14ac:dyDescent="0.35">
      <c r="A5" s="16">
        <v>11014</v>
      </c>
      <c r="B5" s="19" t="s">
        <v>490</v>
      </c>
      <c r="C5" s="18" t="s">
        <v>112</v>
      </c>
      <c r="D5" s="18" t="s">
        <v>133</v>
      </c>
      <c r="E5" s="5">
        <v>3003</v>
      </c>
      <c r="F5" s="4" t="s">
        <v>63</v>
      </c>
      <c r="G5" s="26">
        <f t="shared" si="2"/>
        <v>3</v>
      </c>
      <c r="H5" s="32" t="s">
        <v>31</v>
      </c>
      <c r="I5" s="32" t="s">
        <v>34</v>
      </c>
      <c r="J5" s="32" t="s">
        <v>38</v>
      </c>
      <c r="K5" s="34"/>
      <c r="L5" s="2" t="s">
        <v>432</v>
      </c>
      <c r="N5" s="2" t="str">
        <f t="shared" si="0"/>
        <v>生命</v>
      </c>
      <c r="O5" s="2" t="str">
        <f t="shared" si="3"/>
        <v>攻击</v>
      </c>
      <c r="P5" s="2" t="str">
        <f t="shared" si="4"/>
        <v>+20%</v>
      </c>
      <c r="Q5" s="2" t="str">
        <f t="shared" si="1"/>
        <v>7220,7320</v>
      </c>
      <c r="T5" s="2" t="s">
        <v>491</v>
      </c>
      <c r="U5" s="2">
        <v>7213</v>
      </c>
    </row>
    <row r="6" spans="1:21" x14ac:dyDescent="0.35">
      <c r="A6" s="16">
        <v>11015</v>
      </c>
      <c r="B6" s="19" t="s">
        <v>492</v>
      </c>
      <c r="C6" s="18" t="s">
        <v>104</v>
      </c>
      <c r="D6" s="18" t="s">
        <v>134</v>
      </c>
      <c r="E6" s="5">
        <v>3002</v>
      </c>
      <c r="F6" s="4" t="s">
        <v>62</v>
      </c>
      <c r="G6" s="26">
        <f t="shared" si="2"/>
        <v>3</v>
      </c>
      <c r="H6" s="32" t="s">
        <v>39</v>
      </c>
      <c r="I6" s="33" t="s">
        <v>33</v>
      </c>
      <c r="J6" s="33" t="s">
        <v>37</v>
      </c>
      <c r="K6" s="34"/>
      <c r="L6" s="2" t="s">
        <v>433</v>
      </c>
      <c r="N6" s="2" t="str">
        <f t="shared" si="0"/>
        <v>生命</v>
      </c>
      <c r="O6" s="2" t="str">
        <f t="shared" si="3"/>
        <v>防御</v>
      </c>
      <c r="P6" s="2" t="str">
        <f t="shared" si="4"/>
        <v>+20%</v>
      </c>
      <c r="Q6" s="2" t="str">
        <f t="shared" si="1"/>
        <v>7220,7820,7920</v>
      </c>
      <c r="T6" s="2" t="s">
        <v>59</v>
      </c>
      <c r="U6" s="2">
        <v>7214</v>
      </c>
    </row>
    <row r="7" spans="1:21" x14ac:dyDescent="0.35">
      <c r="A7" s="16">
        <v>11016</v>
      </c>
      <c r="B7" s="19" t="s">
        <v>493</v>
      </c>
      <c r="C7" s="18" t="s">
        <v>111</v>
      </c>
      <c r="D7" s="18" t="s">
        <v>135</v>
      </c>
      <c r="E7" s="5">
        <v>3013</v>
      </c>
      <c r="F7" s="4" t="s">
        <v>59</v>
      </c>
      <c r="G7" s="26">
        <f t="shared" si="2"/>
        <v>3</v>
      </c>
      <c r="H7" s="32" t="s">
        <v>38</v>
      </c>
      <c r="I7" s="33" t="s">
        <v>33</v>
      </c>
      <c r="J7" s="33" t="s">
        <v>37</v>
      </c>
      <c r="K7" s="34"/>
      <c r="L7" s="2" t="s">
        <v>433</v>
      </c>
      <c r="N7" s="2" t="str">
        <f t="shared" si="0"/>
        <v>生命</v>
      </c>
      <c r="O7" s="2" t="str">
        <f t="shared" si="3"/>
        <v>防御</v>
      </c>
      <c r="P7" s="2" t="str">
        <f t="shared" si="4"/>
        <v>+20%</v>
      </c>
      <c r="Q7" s="2" t="str">
        <f t="shared" si="1"/>
        <v>7220,7820,7920</v>
      </c>
      <c r="T7" s="2" t="s">
        <v>494</v>
      </c>
      <c r="U7" s="2">
        <v>7215</v>
      </c>
    </row>
    <row r="8" spans="1:21" x14ac:dyDescent="0.35">
      <c r="A8" s="16">
        <v>11017</v>
      </c>
      <c r="B8" s="19" t="s">
        <v>495</v>
      </c>
      <c r="C8" s="18" t="s">
        <v>136</v>
      </c>
      <c r="D8" s="18" t="s">
        <v>137</v>
      </c>
      <c r="E8" s="5">
        <v>3003</v>
      </c>
      <c r="F8" s="4" t="s">
        <v>63</v>
      </c>
      <c r="G8" s="26">
        <f t="shared" si="2"/>
        <v>3</v>
      </c>
      <c r="H8" s="33" t="s">
        <v>32</v>
      </c>
      <c r="I8" s="33" t="s">
        <v>41</v>
      </c>
      <c r="J8" s="33" t="s">
        <v>429</v>
      </c>
      <c r="K8" s="34"/>
      <c r="L8" s="2" t="s">
        <v>433</v>
      </c>
      <c r="N8" s="2" t="str">
        <f t="shared" si="0"/>
        <v>生命</v>
      </c>
      <c r="O8" s="2" t="str">
        <f t="shared" si="3"/>
        <v>防御</v>
      </c>
      <c r="P8" s="2" t="str">
        <f t="shared" si="4"/>
        <v>+20%</v>
      </c>
      <c r="Q8" s="2" t="str">
        <f t="shared" si="1"/>
        <v>7220,7820,7920</v>
      </c>
      <c r="T8" s="2" t="s">
        <v>450</v>
      </c>
      <c r="U8" s="2">
        <v>7216</v>
      </c>
    </row>
    <row r="9" spans="1:21" x14ac:dyDescent="0.35">
      <c r="A9" s="16">
        <v>11018</v>
      </c>
      <c r="B9" s="19" t="s">
        <v>496</v>
      </c>
      <c r="C9" s="18" t="s">
        <v>138</v>
      </c>
      <c r="D9" s="18" t="s">
        <v>139</v>
      </c>
      <c r="E9" s="5" t="s">
        <v>57</v>
      </c>
      <c r="F9" s="4" t="s">
        <v>58</v>
      </c>
      <c r="G9" s="26">
        <f t="shared" si="2"/>
        <v>3</v>
      </c>
      <c r="H9" s="33" t="s">
        <v>36</v>
      </c>
      <c r="I9" s="33" t="s">
        <v>43</v>
      </c>
      <c r="J9" s="33" t="s">
        <v>429</v>
      </c>
      <c r="K9" s="34"/>
      <c r="L9" s="2" t="s">
        <v>432</v>
      </c>
      <c r="N9" s="2" t="str">
        <f t="shared" si="0"/>
        <v>生命</v>
      </c>
      <c r="O9" s="2" t="str">
        <f t="shared" si="3"/>
        <v>攻击</v>
      </c>
      <c r="P9" s="2" t="str">
        <f t="shared" si="4"/>
        <v>+20%</v>
      </c>
      <c r="Q9" s="2" t="str">
        <f t="shared" si="1"/>
        <v>7220,7320</v>
      </c>
      <c r="T9" s="2" t="s">
        <v>497</v>
      </c>
      <c r="U9" s="2">
        <v>7217</v>
      </c>
    </row>
    <row r="10" spans="1:21" x14ac:dyDescent="0.35">
      <c r="A10" s="16">
        <v>11019</v>
      </c>
      <c r="B10" s="19" t="s">
        <v>498</v>
      </c>
      <c r="C10" s="18" t="s">
        <v>140</v>
      </c>
      <c r="D10" s="18" t="s">
        <v>141</v>
      </c>
      <c r="E10" s="5" t="s">
        <v>60</v>
      </c>
      <c r="F10" s="4" t="s">
        <v>61</v>
      </c>
      <c r="G10" s="26">
        <f t="shared" si="2"/>
        <v>3</v>
      </c>
      <c r="H10" s="33" t="s">
        <v>41</v>
      </c>
      <c r="I10" s="33" t="s">
        <v>42</v>
      </c>
      <c r="J10" s="33" t="s">
        <v>36</v>
      </c>
      <c r="K10" s="34"/>
      <c r="L10" s="2" t="s">
        <v>443</v>
      </c>
      <c r="N10" s="2" t="str">
        <f t="shared" si="0"/>
        <v>生命</v>
      </c>
      <c r="O10" s="2" t="str">
        <f t="shared" si="3"/>
        <v>攻击</v>
      </c>
      <c r="P10" s="2" t="str">
        <f t="shared" si="4"/>
        <v>+20%</v>
      </c>
      <c r="Q10" s="2" t="str">
        <f t="shared" si="1"/>
        <v>7220,7320</v>
      </c>
      <c r="T10" s="2" t="s">
        <v>499</v>
      </c>
      <c r="U10" s="2">
        <v>7218</v>
      </c>
    </row>
    <row r="11" spans="1:21" x14ac:dyDescent="0.35">
      <c r="A11" s="16">
        <v>11020</v>
      </c>
      <c r="B11" s="19" t="s">
        <v>500</v>
      </c>
      <c r="C11" s="18" t="s">
        <v>142</v>
      </c>
      <c r="D11" s="18" t="s">
        <v>143</v>
      </c>
      <c r="E11" s="5">
        <v>3013</v>
      </c>
      <c r="F11" s="4" t="s">
        <v>59</v>
      </c>
      <c r="G11" s="26">
        <f t="shared" si="2"/>
        <v>3</v>
      </c>
      <c r="H11" s="33" t="s">
        <v>32</v>
      </c>
      <c r="I11" s="33" t="s">
        <v>43</v>
      </c>
      <c r="J11" s="33" t="s">
        <v>42</v>
      </c>
      <c r="K11" s="34"/>
      <c r="L11" s="2" t="s">
        <v>445</v>
      </c>
      <c r="N11" s="2" t="str">
        <f t="shared" si="0"/>
        <v>生命</v>
      </c>
      <c r="O11" s="2" t="str">
        <f t="shared" si="3"/>
        <v>防御</v>
      </c>
      <c r="P11" s="2" t="str">
        <f t="shared" si="4"/>
        <v>+20%</v>
      </c>
      <c r="Q11" s="2" t="str">
        <f t="shared" si="1"/>
        <v>7220,7820,7920</v>
      </c>
      <c r="T11" s="2" t="s">
        <v>501</v>
      </c>
      <c r="U11" s="2">
        <v>7219</v>
      </c>
    </row>
    <row r="12" spans="1:21" x14ac:dyDescent="0.35">
      <c r="A12" s="16">
        <v>11021</v>
      </c>
      <c r="B12" s="19" t="s">
        <v>502</v>
      </c>
      <c r="C12" s="18" t="s">
        <v>101</v>
      </c>
      <c r="D12" s="18" t="s">
        <v>144</v>
      </c>
      <c r="E12" s="5">
        <v>3013</v>
      </c>
      <c r="F12" s="4" t="s">
        <v>59</v>
      </c>
      <c r="G12" s="26">
        <f t="shared" si="2"/>
        <v>2</v>
      </c>
      <c r="H12" s="32" t="s">
        <v>35</v>
      </c>
      <c r="I12" s="33" t="s">
        <v>33</v>
      </c>
      <c r="J12" s="34"/>
      <c r="K12" s="34"/>
      <c r="L12" s="2" t="s">
        <v>434</v>
      </c>
      <c r="N12" s="2" t="str">
        <f t="shared" si="0"/>
        <v>攻击</v>
      </c>
      <c r="O12" s="2" t="str">
        <f t="shared" si="3"/>
        <v>防御</v>
      </c>
      <c r="P12" s="2" t="str">
        <f t="shared" si="4"/>
        <v>+20%</v>
      </c>
      <c r="Q12" s="2" t="str">
        <f t="shared" si="1"/>
        <v>7320,7820,7920</v>
      </c>
      <c r="T12" s="2" t="s">
        <v>503</v>
      </c>
      <c r="U12" s="2">
        <v>7220</v>
      </c>
    </row>
    <row r="13" spans="1:21" x14ac:dyDescent="0.35">
      <c r="A13" s="16">
        <v>11022</v>
      </c>
      <c r="B13" s="19" t="s">
        <v>504</v>
      </c>
      <c r="C13" s="18" t="s">
        <v>107</v>
      </c>
      <c r="D13" s="18" t="s">
        <v>145</v>
      </c>
      <c r="E13" s="5">
        <v>3002</v>
      </c>
      <c r="F13" s="4" t="s">
        <v>62</v>
      </c>
      <c r="G13" s="26">
        <f t="shared" si="2"/>
        <v>2</v>
      </c>
      <c r="H13" s="32" t="s">
        <v>40</v>
      </c>
      <c r="I13" s="33" t="s">
        <v>33</v>
      </c>
      <c r="J13" s="34"/>
      <c r="K13" s="34"/>
      <c r="L13" s="2" t="s">
        <v>434</v>
      </c>
      <c r="N13" s="2" t="str">
        <f t="shared" si="0"/>
        <v>攻击</v>
      </c>
      <c r="O13" s="2" t="str">
        <f t="shared" si="3"/>
        <v>防御</v>
      </c>
      <c r="P13" s="2" t="str">
        <f t="shared" si="4"/>
        <v>+20%</v>
      </c>
      <c r="Q13" s="2" t="str">
        <f t="shared" si="1"/>
        <v>7320,7820,7920</v>
      </c>
      <c r="T13" s="2" t="s">
        <v>505</v>
      </c>
      <c r="U13" s="2">
        <v>7221</v>
      </c>
    </row>
    <row r="14" spans="1:21" x14ac:dyDescent="0.35">
      <c r="A14" s="16">
        <v>11023</v>
      </c>
      <c r="B14" s="19" t="s">
        <v>506</v>
      </c>
      <c r="C14" s="18" t="s">
        <v>114</v>
      </c>
      <c r="D14" s="18" t="s">
        <v>146</v>
      </c>
      <c r="E14" s="5" t="s">
        <v>67</v>
      </c>
      <c r="F14" s="4" t="s">
        <v>68</v>
      </c>
      <c r="G14" s="26">
        <f t="shared" si="2"/>
        <v>2</v>
      </c>
      <c r="H14" s="32" t="s">
        <v>31</v>
      </c>
      <c r="I14" s="33" t="s">
        <v>37</v>
      </c>
      <c r="J14" s="34"/>
      <c r="K14" s="34"/>
      <c r="L14" s="2" t="s">
        <v>434</v>
      </c>
      <c r="N14" s="2" t="str">
        <f t="shared" si="0"/>
        <v>攻击</v>
      </c>
      <c r="O14" s="2" t="str">
        <f t="shared" si="3"/>
        <v>防御</v>
      </c>
      <c r="P14" s="2" t="str">
        <f t="shared" si="4"/>
        <v>+20%</v>
      </c>
      <c r="Q14" s="2" t="str">
        <f t="shared" si="1"/>
        <v>7320,7820,7920</v>
      </c>
      <c r="T14" s="2" t="s">
        <v>507</v>
      </c>
      <c r="U14" s="2">
        <v>7222</v>
      </c>
    </row>
    <row r="15" spans="1:21" x14ac:dyDescent="0.35">
      <c r="A15" s="16">
        <v>11024</v>
      </c>
      <c r="B15" s="19" t="s">
        <v>508</v>
      </c>
      <c r="C15" s="18" t="s">
        <v>118</v>
      </c>
      <c r="D15" s="18" t="s">
        <v>96</v>
      </c>
      <c r="E15" s="5">
        <v>3003</v>
      </c>
      <c r="F15" s="4" t="s">
        <v>63</v>
      </c>
      <c r="G15" s="26">
        <f t="shared" si="2"/>
        <v>2</v>
      </c>
      <c r="H15" s="32" t="s">
        <v>34</v>
      </c>
      <c r="I15" s="33" t="s">
        <v>37</v>
      </c>
      <c r="J15" s="34"/>
      <c r="K15" s="34"/>
      <c r="L15" s="2" t="s">
        <v>434</v>
      </c>
      <c r="N15" s="2" t="str">
        <f t="shared" si="0"/>
        <v>攻击</v>
      </c>
      <c r="O15" s="2" t="str">
        <f t="shared" si="3"/>
        <v>防御</v>
      </c>
      <c r="P15" s="2" t="str">
        <f t="shared" si="4"/>
        <v>+20%</v>
      </c>
      <c r="Q15" s="2" t="str">
        <f t="shared" si="1"/>
        <v>7320,7820,7920</v>
      </c>
      <c r="T15" s="2" t="s">
        <v>509</v>
      </c>
      <c r="U15" s="2">
        <v>7223</v>
      </c>
    </row>
    <row r="16" spans="1:21" x14ac:dyDescent="0.35">
      <c r="A16" s="16">
        <v>11025</v>
      </c>
      <c r="B16" s="19" t="s">
        <v>249</v>
      </c>
      <c r="C16" s="18" t="s">
        <v>105</v>
      </c>
      <c r="D16" s="18" t="s">
        <v>147</v>
      </c>
      <c r="E16" s="5">
        <v>3013</v>
      </c>
      <c r="F16" s="4" t="s">
        <v>59</v>
      </c>
      <c r="G16" s="26">
        <f t="shared" si="2"/>
        <v>2</v>
      </c>
      <c r="H16" s="32" t="s">
        <v>39</v>
      </c>
      <c r="I16" s="33" t="s">
        <v>32</v>
      </c>
      <c r="J16" s="34"/>
      <c r="K16" s="34"/>
      <c r="L16" s="2" t="s">
        <v>446</v>
      </c>
      <c r="N16" s="2" t="str">
        <f t="shared" si="0"/>
        <v>防御</v>
      </c>
      <c r="O16" s="2" t="str">
        <f t="shared" si="3"/>
        <v/>
      </c>
      <c r="P16" s="2" t="str">
        <f t="shared" si="4"/>
        <v>+16%</v>
      </c>
      <c r="Q16" s="2" t="str">
        <f t="shared" si="1"/>
        <v>7816,7916</v>
      </c>
      <c r="T16" s="2" t="s">
        <v>510</v>
      </c>
      <c r="U16" s="2">
        <v>7224</v>
      </c>
    </row>
    <row r="17" spans="1:21" x14ac:dyDescent="0.35">
      <c r="A17" s="16">
        <v>11026</v>
      </c>
      <c r="B17" s="19" t="s">
        <v>250</v>
      </c>
      <c r="C17" s="18" t="s">
        <v>113</v>
      </c>
      <c r="D17" s="18" t="s">
        <v>148</v>
      </c>
      <c r="E17" s="5" t="s">
        <v>60</v>
      </c>
      <c r="F17" s="4" t="s">
        <v>61</v>
      </c>
      <c r="G17" s="26">
        <f t="shared" si="2"/>
        <v>2</v>
      </c>
      <c r="H17" s="32" t="s">
        <v>38</v>
      </c>
      <c r="I17" s="33" t="s">
        <v>32</v>
      </c>
      <c r="J17" s="35"/>
      <c r="K17" s="35"/>
      <c r="L17" s="2" t="s">
        <v>447</v>
      </c>
      <c r="N17" s="2" t="str">
        <f t="shared" si="0"/>
        <v>攻击</v>
      </c>
      <c r="O17" s="2" t="str">
        <f t="shared" si="3"/>
        <v/>
      </c>
      <c r="P17" s="2" t="str">
        <f t="shared" si="4"/>
        <v>+16%</v>
      </c>
      <c r="Q17" s="2" t="str">
        <f t="shared" si="1"/>
        <v>7316</v>
      </c>
      <c r="T17" s="2" t="s">
        <v>511</v>
      </c>
      <c r="U17" s="2">
        <v>7225</v>
      </c>
    </row>
    <row r="18" spans="1:21" x14ac:dyDescent="0.35">
      <c r="A18" s="16">
        <v>11027</v>
      </c>
      <c r="B18" s="19" t="s">
        <v>251</v>
      </c>
      <c r="C18" s="18" t="s">
        <v>77</v>
      </c>
      <c r="D18" s="18" t="s">
        <v>78</v>
      </c>
      <c r="E18" s="5">
        <v>3013</v>
      </c>
      <c r="F18" s="4" t="s">
        <v>59</v>
      </c>
      <c r="G18" s="26">
        <f t="shared" si="2"/>
        <v>2</v>
      </c>
      <c r="H18" s="32" t="s">
        <v>39</v>
      </c>
      <c r="I18" s="33" t="s">
        <v>41</v>
      </c>
      <c r="J18" s="35"/>
      <c r="K18" s="35"/>
      <c r="L18" s="2" t="s">
        <v>447</v>
      </c>
      <c r="N18" s="2" t="str">
        <f t="shared" si="0"/>
        <v>攻击</v>
      </c>
      <c r="O18" s="2" t="str">
        <f t="shared" si="3"/>
        <v/>
      </c>
      <c r="P18" s="2" t="str">
        <f t="shared" si="4"/>
        <v>+16%</v>
      </c>
      <c r="Q18" s="2" t="str">
        <f t="shared" si="1"/>
        <v>7316</v>
      </c>
      <c r="T18" s="2" t="s">
        <v>512</v>
      </c>
      <c r="U18" s="2">
        <v>7310</v>
      </c>
    </row>
    <row r="19" spans="1:21" x14ac:dyDescent="0.35">
      <c r="A19" s="16">
        <v>11028</v>
      </c>
      <c r="B19" s="19" t="s">
        <v>252</v>
      </c>
      <c r="C19" s="18" t="s">
        <v>73</v>
      </c>
      <c r="D19" s="18" t="s">
        <v>74</v>
      </c>
      <c r="E19" s="5">
        <v>3001</v>
      </c>
      <c r="F19" s="4" t="s">
        <v>66</v>
      </c>
      <c r="G19" s="26">
        <f t="shared" si="2"/>
        <v>2</v>
      </c>
      <c r="H19" s="32" t="s">
        <v>38</v>
      </c>
      <c r="I19" s="33" t="s">
        <v>41</v>
      </c>
      <c r="J19" s="35"/>
      <c r="K19" s="35"/>
      <c r="L19" s="2" t="s">
        <v>449</v>
      </c>
      <c r="N19" s="2" t="str">
        <f t="shared" si="0"/>
        <v>防御</v>
      </c>
      <c r="O19" s="2" t="str">
        <f t="shared" si="3"/>
        <v/>
      </c>
      <c r="P19" s="2" t="str">
        <f t="shared" si="4"/>
        <v>+16%</v>
      </c>
      <c r="Q19" s="2" t="str">
        <f t="shared" si="1"/>
        <v>7816,7916</v>
      </c>
      <c r="T19" s="2" t="s">
        <v>513</v>
      </c>
      <c r="U19" s="2">
        <v>7311</v>
      </c>
    </row>
    <row r="20" spans="1:21" x14ac:dyDescent="0.35">
      <c r="A20" s="16">
        <v>11029</v>
      </c>
      <c r="B20" s="19" t="s">
        <v>253</v>
      </c>
      <c r="C20" s="18" t="s">
        <v>106</v>
      </c>
      <c r="D20" s="18" t="s">
        <v>149</v>
      </c>
      <c r="E20" s="5">
        <v>3013</v>
      </c>
      <c r="F20" s="4" t="s">
        <v>59</v>
      </c>
      <c r="G20" s="26">
        <f t="shared" si="2"/>
        <v>2</v>
      </c>
      <c r="H20" s="32" t="s">
        <v>39</v>
      </c>
      <c r="I20" s="32" t="s">
        <v>38</v>
      </c>
      <c r="J20" s="35"/>
      <c r="K20" s="35"/>
      <c r="L20" s="2" t="s">
        <v>61</v>
      </c>
      <c r="N20" s="2" t="str">
        <f t="shared" si="0"/>
        <v>防御</v>
      </c>
      <c r="O20" s="2" t="str">
        <f t="shared" si="3"/>
        <v/>
      </c>
      <c r="P20" s="2" t="str">
        <f t="shared" si="4"/>
        <v>+20%</v>
      </c>
      <c r="Q20" s="2" t="str">
        <f t="shared" si="1"/>
        <v>7820,7920</v>
      </c>
      <c r="T20" s="2" t="s">
        <v>514</v>
      </c>
      <c r="U20" s="2">
        <v>7312</v>
      </c>
    </row>
    <row r="21" spans="1:21" x14ac:dyDescent="0.35">
      <c r="A21" s="16">
        <v>11030</v>
      </c>
      <c r="B21" s="19" t="s">
        <v>254</v>
      </c>
      <c r="C21" s="18" t="s">
        <v>102</v>
      </c>
      <c r="D21" s="18" t="s">
        <v>150</v>
      </c>
      <c r="E21" s="5">
        <v>3002</v>
      </c>
      <c r="F21" s="4" t="s">
        <v>62</v>
      </c>
      <c r="G21" s="26">
        <f t="shared" si="2"/>
        <v>2</v>
      </c>
      <c r="H21" s="32" t="s">
        <v>35</v>
      </c>
      <c r="I21" s="33" t="s">
        <v>36</v>
      </c>
      <c r="J21" s="35"/>
      <c r="K21" s="35"/>
      <c r="L21" s="2" t="s">
        <v>447</v>
      </c>
      <c r="N21" s="2" t="str">
        <f t="shared" si="0"/>
        <v>攻击</v>
      </c>
      <c r="O21" s="2" t="str">
        <f t="shared" si="3"/>
        <v/>
      </c>
      <c r="P21" s="2" t="str">
        <f t="shared" si="4"/>
        <v>+16%</v>
      </c>
      <c r="Q21" s="2" t="str">
        <f t="shared" si="1"/>
        <v>7316</v>
      </c>
      <c r="T21" s="2" t="s">
        <v>515</v>
      </c>
      <c r="U21" s="2">
        <v>7313</v>
      </c>
    </row>
    <row r="22" spans="1:21" x14ac:dyDescent="0.35">
      <c r="A22" s="16">
        <v>11031</v>
      </c>
      <c r="B22" s="19" t="s">
        <v>255</v>
      </c>
      <c r="C22" s="18" t="s">
        <v>115</v>
      </c>
      <c r="D22" s="18" t="s">
        <v>151</v>
      </c>
      <c r="E22" s="5">
        <v>3002</v>
      </c>
      <c r="F22" s="4" t="s">
        <v>62</v>
      </c>
      <c r="G22" s="26">
        <f t="shared" si="2"/>
        <v>2</v>
      </c>
      <c r="H22" s="32" t="s">
        <v>31</v>
      </c>
      <c r="I22" s="33" t="s">
        <v>36</v>
      </c>
      <c r="J22" s="35"/>
      <c r="K22" s="35"/>
      <c r="L22" s="45" t="s">
        <v>450</v>
      </c>
      <c r="N22" s="2" t="str">
        <f t="shared" si="0"/>
        <v>生命</v>
      </c>
      <c r="O22" s="2" t="str">
        <f t="shared" si="3"/>
        <v/>
      </c>
      <c r="P22" s="2" t="str">
        <f t="shared" si="4"/>
        <v>+16%</v>
      </c>
      <c r="Q22" s="2" t="str">
        <f t="shared" si="1"/>
        <v>7216</v>
      </c>
      <c r="T22" s="2" t="s">
        <v>516</v>
      </c>
      <c r="U22" s="2">
        <v>7314</v>
      </c>
    </row>
    <row r="23" spans="1:21" x14ac:dyDescent="0.35">
      <c r="A23" s="16">
        <v>11032</v>
      </c>
      <c r="B23" s="19" t="s">
        <v>256</v>
      </c>
      <c r="C23" s="18" t="s">
        <v>108</v>
      </c>
      <c r="D23" s="18" t="s">
        <v>152</v>
      </c>
      <c r="E23" s="5" t="s">
        <v>57</v>
      </c>
      <c r="F23" s="4" t="s">
        <v>58</v>
      </c>
      <c r="G23" s="26">
        <f t="shared" si="2"/>
        <v>2</v>
      </c>
      <c r="H23" s="32" t="s">
        <v>40</v>
      </c>
      <c r="I23" s="33" t="s">
        <v>43</v>
      </c>
      <c r="J23" s="35"/>
      <c r="K23" s="35"/>
      <c r="L23" s="2" t="s">
        <v>68</v>
      </c>
      <c r="N23" s="2" t="str">
        <f t="shared" si="0"/>
        <v>防御</v>
      </c>
      <c r="O23" s="2" t="str">
        <f t="shared" si="3"/>
        <v/>
      </c>
      <c r="P23" s="2" t="str">
        <f t="shared" si="4"/>
        <v>+16%</v>
      </c>
      <c r="Q23" s="2" t="str">
        <f t="shared" si="1"/>
        <v>7816,7916</v>
      </c>
      <c r="T23" s="2" t="s">
        <v>517</v>
      </c>
      <c r="U23" s="2">
        <v>7315</v>
      </c>
    </row>
    <row r="24" spans="1:21" x14ac:dyDescent="0.35">
      <c r="A24" s="16">
        <v>11033</v>
      </c>
      <c r="B24" s="19" t="s">
        <v>257</v>
      </c>
      <c r="C24" s="18" t="s">
        <v>119</v>
      </c>
      <c r="D24" s="18" t="s">
        <v>97</v>
      </c>
      <c r="E24" s="5" t="s">
        <v>67</v>
      </c>
      <c r="F24" s="4" t="s">
        <v>68</v>
      </c>
      <c r="G24" s="26">
        <f t="shared" si="2"/>
        <v>2</v>
      </c>
      <c r="H24" s="32" t="s">
        <v>34</v>
      </c>
      <c r="I24" s="33" t="s">
        <v>43</v>
      </c>
      <c r="J24" s="35"/>
      <c r="K24" s="35"/>
      <c r="L24" s="2" t="s">
        <v>447</v>
      </c>
      <c r="N24" s="2" t="str">
        <f t="shared" si="0"/>
        <v>攻击</v>
      </c>
      <c r="O24" s="2" t="str">
        <f t="shared" si="3"/>
        <v/>
      </c>
      <c r="P24" s="2" t="str">
        <f t="shared" si="4"/>
        <v>+16%</v>
      </c>
      <c r="Q24" s="2" t="str">
        <f t="shared" si="1"/>
        <v>7316</v>
      </c>
      <c r="T24" s="2" t="s">
        <v>518</v>
      </c>
      <c r="U24" s="2">
        <v>7316</v>
      </c>
    </row>
    <row r="25" spans="1:21" x14ac:dyDescent="0.35">
      <c r="A25" s="16">
        <v>11034</v>
      </c>
      <c r="B25" s="19" t="s">
        <v>258</v>
      </c>
      <c r="C25" s="18" t="s">
        <v>103</v>
      </c>
      <c r="D25" s="18" t="s">
        <v>153</v>
      </c>
      <c r="E25" s="5">
        <v>3011</v>
      </c>
      <c r="F25" s="4" t="s">
        <v>69</v>
      </c>
      <c r="G25" s="26">
        <f t="shared" si="2"/>
        <v>2</v>
      </c>
      <c r="H25" s="32" t="s">
        <v>35</v>
      </c>
      <c r="I25" s="33" t="s">
        <v>42</v>
      </c>
      <c r="J25" s="35"/>
      <c r="K25" s="35"/>
      <c r="L25" s="2" t="s">
        <v>68</v>
      </c>
      <c r="N25" s="2" t="str">
        <f t="shared" si="0"/>
        <v>防御</v>
      </c>
      <c r="O25" s="2" t="str">
        <f t="shared" si="3"/>
        <v/>
      </c>
      <c r="P25" s="2" t="str">
        <f t="shared" si="4"/>
        <v>+16%</v>
      </c>
      <c r="Q25" s="2" t="str">
        <f t="shared" si="1"/>
        <v>7816,7916</v>
      </c>
      <c r="T25" s="2" t="s">
        <v>519</v>
      </c>
      <c r="U25" s="2">
        <v>7317</v>
      </c>
    </row>
    <row r="26" spans="1:21" x14ac:dyDescent="0.35">
      <c r="A26" s="16">
        <v>11035</v>
      </c>
      <c r="B26" s="19" t="s">
        <v>259</v>
      </c>
      <c r="C26" s="18" t="s">
        <v>116</v>
      </c>
      <c r="D26" s="18" t="s">
        <v>154</v>
      </c>
      <c r="E26" s="5">
        <v>3002</v>
      </c>
      <c r="F26" s="4" t="s">
        <v>62</v>
      </c>
      <c r="G26" s="26">
        <f t="shared" si="2"/>
        <v>2</v>
      </c>
      <c r="H26" s="32" t="s">
        <v>31</v>
      </c>
      <c r="I26" s="33" t="s">
        <v>42</v>
      </c>
      <c r="J26" s="35"/>
      <c r="K26" s="35"/>
      <c r="L26" s="2" t="s">
        <v>447</v>
      </c>
      <c r="N26" s="2" t="str">
        <f t="shared" si="0"/>
        <v>攻击</v>
      </c>
      <c r="O26" s="2" t="str">
        <f t="shared" si="3"/>
        <v/>
      </c>
      <c r="P26" s="2" t="str">
        <f t="shared" si="4"/>
        <v>+16%</v>
      </c>
      <c r="Q26" s="2" t="str">
        <f t="shared" si="1"/>
        <v>7316</v>
      </c>
      <c r="T26" s="2" t="s">
        <v>520</v>
      </c>
      <c r="U26" s="2">
        <v>7318</v>
      </c>
    </row>
    <row r="27" spans="1:21" x14ac:dyDescent="0.35">
      <c r="A27" s="16">
        <v>11036</v>
      </c>
      <c r="B27" s="19" t="s">
        <v>260</v>
      </c>
      <c r="C27" s="18" t="s">
        <v>109</v>
      </c>
      <c r="D27" s="18" t="s">
        <v>155</v>
      </c>
      <c r="E27" s="5">
        <v>3012</v>
      </c>
      <c r="F27" s="4" t="s">
        <v>72</v>
      </c>
      <c r="G27" s="26">
        <f t="shared" si="2"/>
        <v>2</v>
      </c>
      <c r="H27" s="32" t="s">
        <v>40</v>
      </c>
      <c r="I27" s="33" t="s">
        <v>429</v>
      </c>
      <c r="J27" s="35"/>
      <c r="K27" s="35"/>
      <c r="L27" s="2" t="s">
        <v>447</v>
      </c>
      <c r="N27" s="2" t="str">
        <f t="shared" si="0"/>
        <v>攻击</v>
      </c>
      <c r="O27" s="2" t="str">
        <f t="shared" si="3"/>
        <v/>
      </c>
      <c r="P27" s="2" t="str">
        <f t="shared" si="4"/>
        <v>+16%</v>
      </c>
      <c r="Q27" s="2" t="str">
        <f t="shared" si="1"/>
        <v>7316</v>
      </c>
      <c r="T27" s="2" t="s">
        <v>521</v>
      </c>
      <c r="U27" s="2">
        <v>7319</v>
      </c>
    </row>
    <row r="28" spans="1:21" x14ac:dyDescent="0.35">
      <c r="A28" s="16">
        <v>11037</v>
      </c>
      <c r="B28" s="19" t="s">
        <v>261</v>
      </c>
      <c r="C28" s="18" t="s">
        <v>120</v>
      </c>
      <c r="D28" s="18" t="s">
        <v>156</v>
      </c>
      <c r="E28" s="5">
        <v>3011</v>
      </c>
      <c r="F28" s="4" t="s">
        <v>69</v>
      </c>
      <c r="G28" s="26">
        <f t="shared" si="2"/>
        <v>2</v>
      </c>
      <c r="H28" s="32" t="s">
        <v>34</v>
      </c>
      <c r="I28" s="33" t="s">
        <v>522</v>
      </c>
      <c r="J28" s="35"/>
      <c r="K28" s="35"/>
      <c r="L28" s="45" t="s">
        <v>450</v>
      </c>
      <c r="N28" s="2" t="str">
        <f t="shared" si="0"/>
        <v>生命</v>
      </c>
      <c r="O28" s="2" t="str">
        <f t="shared" si="3"/>
        <v/>
      </c>
      <c r="P28" s="2" t="str">
        <f t="shared" si="4"/>
        <v>+16%</v>
      </c>
      <c r="Q28" s="2" t="str">
        <f t="shared" si="1"/>
        <v>7216</v>
      </c>
      <c r="T28" s="2" t="s">
        <v>523</v>
      </c>
      <c r="U28" s="2">
        <v>7320</v>
      </c>
    </row>
    <row r="29" spans="1:21" x14ac:dyDescent="0.35">
      <c r="A29" s="16">
        <v>11038</v>
      </c>
      <c r="B29" s="19" t="s">
        <v>262</v>
      </c>
      <c r="C29" s="18" t="s">
        <v>49</v>
      </c>
      <c r="D29" s="18" t="s">
        <v>14</v>
      </c>
      <c r="E29" s="5" t="s">
        <v>57</v>
      </c>
      <c r="F29" s="4" t="s">
        <v>58</v>
      </c>
      <c r="G29" s="26">
        <f t="shared" si="2"/>
        <v>2</v>
      </c>
      <c r="H29" s="32" t="s">
        <v>35</v>
      </c>
      <c r="I29" s="33" t="s">
        <v>32</v>
      </c>
      <c r="J29" s="35"/>
      <c r="K29" s="35"/>
      <c r="L29" s="45" t="s">
        <v>450</v>
      </c>
      <c r="N29" s="2" t="str">
        <f t="shared" si="0"/>
        <v>生命</v>
      </c>
      <c r="O29" s="2" t="str">
        <f t="shared" si="3"/>
        <v/>
      </c>
      <c r="P29" s="2" t="str">
        <f t="shared" si="4"/>
        <v>+16%</v>
      </c>
      <c r="Q29" s="2" t="str">
        <f t="shared" si="1"/>
        <v>7216</v>
      </c>
      <c r="T29" s="2" t="s">
        <v>524</v>
      </c>
      <c r="U29" s="2">
        <v>7321</v>
      </c>
    </row>
    <row r="30" spans="1:21" x14ac:dyDescent="0.35">
      <c r="A30" s="16">
        <v>11039</v>
      </c>
      <c r="B30" s="19" t="s">
        <v>263</v>
      </c>
      <c r="C30" s="18" t="s">
        <v>110</v>
      </c>
      <c r="D30" s="18" t="s">
        <v>157</v>
      </c>
      <c r="E30" s="5" t="s">
        <v>60</v>
      </c>
      <c r="F30" s="4" t="s">
        <v>61</v>
      </c>
      <c r="G30" s="26">
        <f t="shared" si="2"/>
        <v>2</v>
      </c>
      <c r="H30" s="32" t="s">
        <v>40</v>
      </c>
      <c r="I30" s="33" t="s">
        <v>41</v>
      </c>
      <c r="J30" s="35"/>
      <c r="K30" s="35"/>
      <c r="L30" s="45" t="s">
        <v>451</v>
      </c>
      <c r="N30" s="2" t="str">
        <f t="shared" si="0"/>
        <v>生命</v>
      </c>
      <c r="O30" s="2" t="str">
        <f t="shared" si="3"/>
        <v/>
      </c>
      <c r="P30" s="2" t="str">
        <f t="shared" si="4"/>
        <v>+16%</v>
      </c>
      <c r="Q30" s="2" t="str">
        <f t="shared" si="1"/>
        <v>7216</v>
      </c>
      <c r="T30" s="2" t="s">
        <v>525</v>
      </c>
      <c r="U30" s="2">
        <v>7322</v>
      </c>
    </row>
    <row r="31" spans="1:21" x14ac:dyDescent="0.35">
      <c r="A31" s="16">
        <v>11040</v>
      </c>
      <c r="B31" s="19" t="s">
        <v>264</v>
      </c>
      <c r="C31" s="18" t="s">
        <v>117</v>
      </c>
      <c r="D31" s="18" t="s">
        <v>158</v>
      </c>
      <c r="E31" s="5">
        <v>3001</v>
      </c>
      <c r="F31" s="4" t="s">
        <v>66</v>
      </c>
      <c r="G31" s="26">
        <f t="shared" si="2"/>
        <v>2</v>
      </c>
      <c r="H31" s="32" t="s">
        <v>31</v>
      </c>
      <c r="I31" s="33" t="s">
        <v>429</v>
      </c>
      <c r="J31" s="35"/>
      <c r="K31" s="35"/>
      <c r="L31" s="2" t="s">
        <v>68</v>
      </c>
      <c r="N31" s="2" t="str">
        <f t="shared" si="0"/>
        <v>防御</v>
      </c>
      <c r="O31" s="2" t="str">
        <f t="shared" si="3"/>
        <v/>
      </c>
      <c r="P31" s="2" t="str">
        <f t="shared" si="4"/>
        <v>+16%</v>
      </c>
      <c r="Q31" s="2" t="str">
        <f t="shared" si="1"/>
        <v>7816,7916</v>
      </c>
      <c r="T31" s="2" t="s">
        <v>526</v>
      </c>
      <c r="U31" s="2">
        <v>7323</v>
      </c>
    </row>
    <row r="32" spans="1:21" x14ac:dyDescent="0.35">
      <c r="A32" s="16">
        <v>11041</v>
      </c>
      <c r="B32" s="19" t="s">
        <v>265</v>
      </c>
      <c r="C32" s="18" t="s">
        <v>121</v>
      </c>
      <c r="D32" s="18" t="s">
        <v>159</v>
      </c>
      <c r="E32" s="5">
        <v>3013</v>
      </c>
      <c r="F32" s="4" t="s">
        <v>59</v>
      </c>
      <c r="G32" s="26">
        <f t="shared" si="2"/>
        <v>2</v>
      </c>
      <c r="H32" s="32" t="s">
        <v>34</v>
      </c>
      <c r="I32" s="33" t="s">
        <v>36</v>
      </c>
      <c r="J32" s="35"/>
      <c r="K32" s="35"/>
      <c r="L32" s="2" t="s">
        <v>68</v>
      </c>
      <c r="N32" s="2" t="str">
        <f t="shared" si="0"/>
        <v>防御</v>
      </c>
      <c r="O32" s="2" t="str">
        <f t="shared" si="3"/>
        <v/>
      </c>
      <c r="P32" s="2" t="str">
        <f t="shared" si="4"/>
        <v>+16%</v>
      </c>
      <c r="Q32" s="2" t="str">
        <f t="shared" si="1"/>
        <v>7816,7916</v>
      </c>
      <c r="T32" s="2" t="s">
        <v>527</v>
      </c>
      <c r="U32" s="2">
        <v>7324</v>
      </c>
    </row>
    <row r="33" spans="1:23" x14ac:dyDescent="0.35">
      <c r="A33" s="16">
        <v>11042</v>
      </c>
      <c r="B33" s="19" t="s">
        <v>266</v>
      </c>
      <c r="C33" s="18" t="s">
        <v>50</v>
      </c>
      <c r="D33" s="18" t="s">
        <v>16</v>
      </c>
      <c r="E33" s="5">
        <v>3003</v>
      </c>
      <c r="F33" s="4" t="s">
        <v>63</v>
      </c>
      <c r="G33" s="26">
        <f t="shared" si="2"/>
        <v>2</v>
      </c>
      <c r="H33" s="33" t="s">
        <v>43</v>
      </c>
      <c r="I33" s="33" t="s">
        <v>42</v>
      </c>
      <c r="J33" s="34"/>
      <c r="K33" s="35"/>
      <c r="L33" s="45" t="s">
        <v>450</v>
      </c>
      <c r="N33" s="2" t="str">
        <f t="shared" si="0"/>
        <v>生命</v>
      </c>
      <c r="O33" s="2" t="str">
        <f t="shared" si="3"/>
        <v/>
      </c>
      <c r="P33" s="2" t="str">
        <f t="shared" si="4"/>
        <v>+16%</v>
      </c>
      <c r="Q33" s="2" t="str">
        <f t="shared" si="1"/>
        <v>7216</v>
      </c>
      <c r="T33" s="2" t="s">
        <v>528</v>
      </c>
      <c r="U33" s="2">
        <v>7325</v>
      </c>
    </row>
    <row r="34" spans="1:23" x14ac:dyDescent="0.35">
      <c r="A34" s="16">
        <v>11043</v>
      </c>
      <c r="B34" s="19" t="s">
        <v>267</v>
      </c>
      <c r="C34" s="18" t="s">
        <v>160</v>
      </c>
      <c r="D34" s="18" t="s">
        <v>161</v>
      </c>
      <c r="E34" s="5" t="s">
        <v>67</v>
      </c>
      <c r="F34" s="4" t="s">
        <v>68</v>
      </c>
      <c r="G34" s="26">
        <f t="shared" si="2"/>
        <v>3</v>
      </c>
      <c r="H34" s="36" t="s">
        <v>47</v>
      </c>
      <c r="I34" s="37" t="s">
        <v>430</v>
      </c>
      <c r="J34" s="36" t="s">
        <v>45</v>
      </c>
      <c r="K34" s="35"/>
      <c r="L34" s="2" t="s">
        <v>452</v>
      </c>
      <c r="N34" s="2" t="str">
        <f t="shared" si="0"/>
        <v>生命</v>
      </c>
      <c r="O34" s="2" t="str">
        <f t="shared" si="3"/>
        <v>攻击</v>
      </c>
      <c r="P34" s="2" t="str">
        <f t="shared" si="4"/>
        <v>+20%</v>
      </c>
      <c r="Q34" s="2" t="str">
        <f t="shared" ref="Q34:Q65" si="5">VLOOKUP($N34&amp;$P34,$T:$U,2,0)&amp;IF($O34="","",","&amp;VLOOKUP($O34&amp;$P34,$T:$U,2,0))</f>
        <v>7220,7320</v>
      </c>
      <c r="T34" s="2" t="s">
        <v>529</v>
      </c>
      <c r="U34" s="2" t="s">
        <v>530</v>
      </c>
    </row>
    <row r="35" spans="1:23" x14ac:dyDescent="0.35">
      <c r="A35" s="16">
        <v>11044</v>
      </c>
      <c r="B35" s="19" t="s">
        <v>268</v>
      </c>
      <c r="C35" s="18" t="s">
        <v>162</v>
      </c>
      <c r="D35" s="18" t="s">
        <v>163</v>
      </c>
      <c r="E35" s="5">
        <v>3003</v>
      </c>
      <c r="F35" s="4" t="s">
        <v>63</v>
      </c>
      <c r="G35" s="26">
        <f t="shared" si="2"/>
        <v>3</v>
      </c>
      <c r="H35" s="37" t="s">
        <v>44</v>
      </c>
      <c r="I35" s="36" t="s">
        <v>46</v>
      </c>
      <c r="J35" s="37" t="s">
        <v>430</v>
      </c>
      <c r="K35" s="35"/>
      <c r="L35" s="2" t="s">
        <v>432</v>
      </c>
      <c r="N35" s="2" t="str">
        <f t="shared" si="0"/>
        <v>生命</v>
      </c>
      <c r="O35" s="2" t="str">
        <f t="shared" si="3"/>
        <v>攻击</v>
      </c>
      <c r="P35" s="2" t="str">
        <f t="shared" si="4"/>
        <v>+20%</v>
      </c>
      <c r="Q35" s="2" t="str">
        <f t="shared" si="5"/>
        <v>7220,7320</v>
      </c>
      <c r="T35" s="2" t="s">
        <v>531</v>
      </c>
      <c r="U35" s="2" t="s">
        <v>532</v>
      </c>
    </row>
    <row r="36" spans="1:23" x14ac:dyDescent="0.35">
      <c r="A36" s="16">
        <v>11045</v>
      </c>
      <c r="B36" s="19" t="s">
        <v>269</v>
      </c>
      <c r="C36" s="18" t="s">
        <v>51</v>
      </c>
      <c r="D36" s="18" t="s">
        <v>19</v>
      </c>
      <c r="E36" s="5" t="s">
        <v>60</v>
      </c>
      <c r="F36" s="4" t="s">
        <v>61</v>
      </c>
      <c r="G36" s="26">
        <f t="shared" si="2"/>
        <v>2</v>
      </c>
      <c r="H36" s="36" t="s">
        <v>45</v>
      </c>
      <c r="I36" s="36" t="s">
        <v>46</v>
      </c>
      <c r="J36" s="34"/>
      <c r="K36" s="35"/>
      <c r="L36" s="2" t="s">
        <v>450</v>
      </c>
      <c r="N36" s="2" t="str">
        <f t="shared" si="0"/>
        <v>生命</v>
      </c>
      <c r="O36" s="2" t="str">
        <f t="shared" si="3"/>
        <v/>
      </c>
      <c r="P36" s="2" t="str">
        <f t="shared" si="4"/>
        <v>+16%</v>
      </c>
      <c r="Q36" s="2" t="str">
        <f t="shared" si="5"/>
        <v>7216</v>
      </c>
      <c r="T36" s="2" t="s">
        <v>533</v>
      </c>
      <c r="U36" s="2" t="s">
        <v>534</v>
      </c>
    </row>
    <row r="37" spans="1:23" x14ac:dyDescent="0.35">
      <c r="A37" s="16">
        <v>11046</v>
      </c>
      <c r="B37" s="19" t="s">
        <v>270</v>
      </c>
      <c r="C37" s="18" t="s">
        <v>95</v>
      </c>
      <c r="D37" s="18" t="s">
        <v>164</v>
      </c>
      <c r="E37" s="5">
        <v>3011</v>
      </c>
      <c r="F37" s="4" t="s">
        <v>69</v>
      </c>
      <c r="G37" s="26">
        <f t="shared" si="2"/>
        <v>2</v>
      </c>
      <c r="H37" s="36" t="s">
        <v>47</v>
      </c>
      <c r="I37" s="36" t="s">
        <v>56</v>
      </c>
      <c r="J37" s="34"/>
      <c r="K37" s="35"/>
      <c r="L37" s="2" t="s">
        <v>450</v>
      </c>
      <c r="N37" s="2" t="str">
        <f t="shared" si="0"/>
        <v>生命</v>
      </c>
      <c r="O37" s="2" t="str">
        <f t="shared" si="3"/>
        <v/>
      </c>
      <c r="P37" s="2" t="str">
        <f t="shared" si="4"/>
        <v>+16%</v>
      </c>
      <c r="Q37" s="2" t="str">
        <f t="shared" si="5"/>
        <v>7216</v>
      </c>
      <c r="T37" s="2" t="s">
        <v>535</v>
      </c>
      <c r="U37" s="2" t="s">
        <v>536</v>
      </c>
    </row>
    <row r="38" spans="1:23" x14ac:dyDescent="0.35">
      <c r="A38" s="16">
        <v>11047</v>
      </c>
      <c r="B38" s="19" t="s">
        <v>271</v>
      </c>
      <c r="C38" s="18" t="s">
        <v>165</v>
      </c>
      <c r="D38" s="18" t="s">
        <v>166</v>
      </c>
      <c r="E38" s="5">
        <v>3011</v>
      </c>
      <c r="F38" s="4" t="s">
        <v>69</v>
      </c>
      <c r="G38" s="26">
        <f t="shared" si="2"/>
        <v>2</v>
      </c>
      <c r="H38" s="37" t="s">
        <v>44</v>
      </c>
      <c r="I38" s="37" t="s">
        <v>430</v>
      </c>
      <c r="J38" s="34"/>
      <c r="K38" s="35"/>
      <c r="L38" s="2" t="s">
        <v>68</v>
      </c>
      <c r="N38" s="2" t="str">
        <f t="shared" si="0"/>
        <v>防御</v>
      </c>
      <c r="O38" s="2" t="str">
        <f t="shared" si="3"/>
        <v/>
      </c>
      <c r="P38" s="2" t="str">
        <f t="shared" si="4"/>
        <v>+16%</v>
      </c>
      <c r="Q38" s="2" t="str">
        <f t="shared" si="5"/>
        <v>7816,7916</v>
      </c>
      <c r="T38" s="2" t="s">
        <v>537</v>
      </c>
      <c r="U38" s="2" t="s">
        <v>538</v>
      </c>
    </row>
    <row r="39" spans="1:23" x14ac:dyDescent="0.35">
      <c r="A39" s="16">
        <v>11048</v>
      </c>
      <c r="B39" s="19" t="s">
        <v>272</v>
      </c>
      <c r="C39" s="18" t="s">
        <v>52</v>
      </c>
      <c r="D39" s="18" t="s">
        <v>18</v>
      </c>
      <c r="E39" s="5">
        <v>3001</v>
      </c>
      <c r="F39" s="4" t="s">
        <v>66</v>
      </c>
      <c r="G39" s="26">
        <f t="shared" si="2"/>
        <v>2</v>
      </c>
      <c r="H39" s="36" t="s">
        <v>45</v>
      </c>
      <c r="I39" s="36" t="s">
        <v>47</v>
      </c>
      <c r="J39" s="34"/>
      <c r="K39" s="35"/>
      <c r="L39" s="2" t="s">
        <v>68</v>
      </c>
      <c r="N39" s="2" t="str">
        <f t="shared" si="0"/>
        <v>防御</v>
      </c>
      <c r="O39" s="2" t="str">
        <f t="shared" si="3"/>
        <v/>
      </c>
      <c r="P39" s="2" t="str">
        <f t="shared" si="4"/>
        <v>+16%</v>
      </c>
      <c r="Q39" s="2" t="str">
        <f t="shared" si="5"/>
        <v>7816,7916</v>
      </c>
      <c r="T39" s="2" t="s">
        <v>539</v>
      </c>
      <c r="U39" s="2" t="s">
        <v>540</v>
      </c>
    </row>
    <row r="40" spans="1:23" x14ac:dyDescent="0.35">
      <c r="A40" s="16">
        <v>11049</v>
      </c>
      <c r="B40" s="19" t="s">
        <v>273</v>
      </c>
      <c r="C40" s="18" t="s">
        <v>167</v>
      </c>
      <c r="D40" s="18" t="s">
        <v>168</v>
      </c>
      <c r="E40" s="5">
        <v>3011</v>
      </c>
      <c r="F40" s="4" t="s">
        <v>69</v>
      </c>
      <c r="G40" s="26">
        <f t="shared" si="2"/>
        <v>2</v>
      </c>
      <c r="H40" s="36" t="s">
        <v>46</v>
      </c>
      <c r="I40" s="36" t="s">
        <v>56</v>
      </c>
      <c r="J40" s="34"/>
      <c r="K40" s="35"/>
      <c r="L40" s="2" t="s">
        <v>68</v>
      </c>
      <c r="N40" s="2" t="str">
        <f t="shared" si="0"/>
        <v>防御</v>
      </c>
      <c r="O40" s="2" t="str">
        <f t="shared" si="3"/>
        <v/>
      </c>
      <c r="P40" s="2" t="str">
        <f t="shared" si="4"/>
        <v>+16%</v>
      </c>
      <c r="Q40" s="2" t="str">
        <f t="shared" si="5"/>
        <v>7816,7916</v>
      </c>
      <c r="T40" s="2" t="s">
        <v>68</v>
      </c>
      <c r="U40" s="2" t="s">
        <v>456</v>
      </c>
    </row>
    <row r="41" spans="1:23" x14ac:dyDescent="0.35">
      <c r="A41" s="16">
        <v>11050</v>
      </c>
      <c r="B41" s="19" t="s">
        <v>274</v>
      </c>
      <c r="C41" s="18" t="s">
        <v>169</v>
      </c>
      <c r="D41" s="18" t="s">
        <v>170</v>
      </c>
      <c r="E41" s="5" t="s">
        <v>60</v>
      </c>
      <c r="F41" s="4" t="s">
        <v>61</v>
      </c>
      <c r="G41" s="26">
        <f t="shared" si="2"/>
        <v>2</v>
      </c>
      <c r="H41" s="36" t="s">
        <v>47</v>
      </c>
      <c r="I41" s="37" t="s">
        <v>44</v>
      </c>
      <c r="J41" s="34"/>
      <c r="K41" s="35"/>
      <c r="L41" s="2" t="s">
        <v>450</v>
      </c>
      <c r="N41" s="2" t="str">
        <f t="shared" si="0"/>
        <v>生命</v>
      </c>
      <c r="O41" s="2" t="str">
        <f t="shared" si="3"/>
        <v/>
      </c>
      <c r="P41" s="2" t="str">
        <f t="shared" si="4"/>
        <v>+16%</v>
      </c>
      <c r="Q41" s="2" t="str">
        <f t="shared" si="5"/>
        <v>7216</v>
      </c>
      <c r="T41" s="2" t="s">
        <v>541</v>
      </c>
      <c r="U41" s="2" t="s">
        <v>542</v>
      </c>
    </row>
    <row r="42" spans="1:23" x14ac:dyDescent="0.35">
      <c r="A42" s="16">
        <v>11051</v>
      </c>
      <c r="B42" s="19" t="s">
        <v>275</v>
      </c>
      <c r="C42" s="18" t="s">
        <v>171</v>
      </c>
      <c r="D42" s="18" t="s">
        <v>172</v>
      </c>
      <c r="E42" s="5" t="s">
        <v>60</v>
      </c>
      <c r="F42" s="4" t="s">
        <v>61</v>
      </c>
      <c r="G42" s="26">
        <f t="shared" si="2"/>
        <v>2</v>
      </c>
      <c r="H42" s="36" t="s">
        <v>56</v>
      </c>
      <c r="I42" s="37" t="s">
        <v>430</v>
      </c>
      <c r="J42" s="34"/>
      <c r="K42" s="35"/>
      <c r="L42" s="2" t="s">
        <v>68</v>
      </c>
      <c r="N42" s="2" t="str">
        <f t="shared" si="0"/>
        <v>防御</v>
      </c>
      <c r="O42" s="2" t="str">
        <f t="shared" si="3"/>
        <v/>
      </c>
      <c r="P42" s="2" t="str">
        <f t="shared" si="4"/>
        <v>+16%</v>
      </c>
      <c r="Q42" s="2" t="str">
        <f t="shared" si="5"/>
        <v>7816,7916</v>
      </c>
      <c r="T42" s="2" t="s">
        <v>58</v>
      </c>
      <c r="U42" s="2" t="s">
        <v>543</v>
      </c>
    </row>
    <row r="43" spans="1:23" x14ac:dyDescent="0.35">
      <c r="A43" s="16">
        <v>11052</v>
      </c>
      <c r="B43" s="19" t="s">
        <v>276</v>
      </c>
      <c r="C43" s="18" t="s">
        <v>173</v>
      </c>
      <c r="D43" s="18" t="s">
        <v>174</v>
      </c>
      <c r="E43" s="5">
        <v>3003</v>
      </c>
      <c r="F43" s="4" t="s">
        <v>63</v>
      </c>
      <c r="G43" s="26">
        <f t="shared" si="2"/>
        <v>2</v>
      </c>
      <c r="H43" s="36" t="s">
        <v>45</v>
      </c>
      <c r="I43" s="36" t="s">
        <v>56</v>
      </c>
      <c r="J43" s="34"/>
      <c r="K43" s="35"/>
      <c r="L43" s="2" t="s">
        <v>447</v>
      </c>
      <c r="N43" s="2" t="str">
        <f t="shared" si="0"/>
        <v>攻击</v>
      </c>
      <c r="O43" s="2" t="str">
        <f t="shared" si="3"/>
        <v/>
      </c>
      <c r="P43" s="2" t="str">
        <f t="shared" si="4"/>
        <v>+16%</v>
      </c>
      <c r="Q43" s="2" t="str">
        <f t="shared" si="5"/>
        <v>7316</v>
      </c>
      <c r="T43" s="2" t="s">
        <v>544</v>
      </c>
      <c r="U43" s="2" t="s">
        <v>545</v>
      </c>
    </row>
    <row r="44" spans="1:23" x14ac:dyDescent="0.35">
      <c r="A44" s="16">
        <v>11053</v>
      </c>
      <c r="B44" s="19" t="s">
        <v>277</v>
      </c>
      <c r="C44" s="18" t="s">
        <v>175</v>
      </c>
      <c r="D44" s="18" t="s">
        <v>176</v>
      </c>
      <c r="E44" s="5">
        <v>3013</v>
      </c>
      <c r="F44" s="4" t="s">
        <v>59</v>
      </c>
      <c r="G44" s="26">
        <f t="shared" si="2"/>
        <v>2</v>
      </c>
      <c r="H44" s="36" t="s">
        <v>46</v>
      </c>
      <c r="I44" s="37" t="s">
        <v>44</v>
      </c>
      <c r="J44" s="34"/>
      <c r="K44" s="35"/>
      <c r="L44" s="2" t="s">
        <v>447</v>
      </c>
      <c r="N44" s="2" t="str">
        <f t="shared" si="0"/>
        <v>攻击</v>
      </c>
      <c r="O44" s="2" t="str">
        <f t="shared" si="3"/>
        <v/>
      </c>
      <c r="P44" s="2" t="str">
        <f t="shared" si="4"/>
        <v>+16%</v>
      </c>
      <c r="Q44" s="2" t="str">
        <f t="shared" si="5"/>
        <v>7316</v>
      </c>
      <c r="T44" s="2" t="s">
        <v>61</v>
      </c>
      <c r="U44" s="2" t="s">
        <v>458</v>
      </c>
    </row>
    <row r="45" spans="1:23" s="40" customFormat="1" x14ac:dyDescent="0.35">
      <c r="A45" s="20">
        <v>11054</v>
      </c>
      <c r="B45" s="21" t="s">
        <v>278</v>
      </c>
      <c r="C45" s="22" t="s">
        <v>362</v>
      </c>
      <c r="D45" s="22" t="s">
        <v>363</v>
      </c>
      <c r="E45" s="24">
        <v>3011</v>
      </c>
      <c r="F45" s="25" t="s">
        <v>69</v>
      </c>
      <c r="G45" s="27">
        <f t="shared" si="2"/>
        <v>4</v>
      </c>
      <c r="H45" s="41" t="str">
        <f>IFERROR(VLOOKUP(H2,[1]中介表!$A$1:$C$20,2,FALSE),"")</f>
        <v>二郎神</v>
      </c>
      <c r="I45" s="41" t="str">
        <f>IFERROR(VLOOKUP(I2,[1]中介表!$A$1:$C$20,2,FALSE),"")</f>
        <v>王母娘娘</v>
      </c>
      <c r="J45" s="41" t="str">
        <f>IFERROR(VLOOKUP(J2,[1]中介表!$A$1:$C$20,2,FALSE),"")</f>
        <v>黑无常</v>
      </c>
      <c r="K45" s="42" t="str">
        <f>IFERROR(VLOOKUP(K2,[1]中介表!$A$1:$C$20,2,FALSE),"")</f>
        <v>九天玄女</v>
      </c>
      <c r="L45" s="40" t="s">
        <v>431</v>
      </c>
      <c r="N45" s="40" t="str">
        <f t="shared" si="0"/>
        <v>生命</v>
      </c>
      <c r="O45" s="40" t="str">
        <f t="shared" si="3"/>
        <v>攻击</v>
      </c>
      <c r="P45" s="40" t="str">
        <f t="shared" si="4"/>
        <v>+24%</v>
      </c>
      <c r="Q45" s="2" t="str">
        <f t="shared" si="5"/>
        <v>7224,7324</v>
      </c>
      <c r="T45" s="2" t="s">
        <v>546</v>
      </c>
      <c r="U45" s="2" t="s">
        <v>547</v>
      </c>
      <c r="V45" s="2"/>
      <c r="W45" s="2"/>
    </row>
    <row r="46" spans="1:23" x14ac:dyDescent="0.35">
      <c r="A46" s="16">
        <v>11055</v>
      </c>
      <c r="B46" s="19" t="s">
        <v>279</v>
      </c>
      <c r="C46" s="18" t="s">
        <v>364</v>
      </c>
      <c r="D46" s="18" t="s">
        <v>365</v>
      </c>
      <c r="E46" s="5" t="s">
        <v>60</v>
      </c>
      <c r="F46" s="4" t="s">
        <v>61</v>
      </c>
      <c r="G46" s="26">
        <f t="shared" si="2"/>
        <v>4</v>
      </c>
      <c r="H46" s="32" t="str">
        <f>IFERROR(VLOOKUP(H3,[1]中介表!$A$1:$C$20,2,FALSE),"")</f>
        <v>哪吒</v>
      </c>
      <c r="I46" s="32" t="str">
        <f>IFERROR(VLOOKUP(I3,[1]中介表!$A$1:$C$20,2,FALSE),"")</f>
        <v>白无常</v>
      </c>
      <c r="J46" s="32" t="str">
        <f>IFERROR(VLOOKUP(J3,[1]中介表!$A$1:$C$20,2,FALSE),"")</f>
        <v>托塔天王</v>
      </c>
      <c r="K46" s="33" t="str">
        <f>IFERROR(VLOOKUP(K3,[1]中介表!$A$1:$C$20,2,FALSE),"")</f>
        <v>嫦娥</v>
      </c>
      <c r="L46" s="2" t="s">
        <v>431</v>
      </c>
      <c r="N46" s="2" t="str">
        <f t="shared" si="0"/>
        <v>生命</v>
      </c>
      <c r="O46" s="2" t="str">
        <f t="shared" si="3"/>
        <v>攻击</v>
      </c>
      <c r="P46" s="2" t="str">
        <f t="shared" si="4"/>
        <v>+24%</v>
      </c>
      <c r="Q46" s="2" t="str">
        <f t="shared" si="5"/>
        <v>7224,7324</v>
      </c>
      <c r="T46" s="2" t="s">
        <v>548</v>
      </c>
      <c r="U46" s="2" t="s">
        <v>549</v>
      </c>
    </row>
    <row r="47" spans="1:23" x14ac:dyDescent="0.35">
      <c r="A47" s="16">
        <v>11056</v>
      </c>
      <c r="B47" s="19" t="s">
        <v>280</v>
      </c>
      <c r="C47" s="18" t="s">
        <v>366</v>
      </c>
      <c r="D47" s="18" t="s">
        <v>367</v>
      </c>
      <c r="E47" s="5">
        <v>3003</v>
      </c>
      <c r="F47" s="4" t="s">
        <v>63</v>
      </c>
      <c r="G47" s="26">
        <f t="shared" si="2"/>
        <v>3</v>
      </c>
      <c r="H47" s="32" t="str">
        <f>IFERROR(VLOOKUP(H4,[1]中介表!$A$1:$C$20,2,FALSE),"")</f>
        <v>二郎神</v>
      </c>
      <c r="I47" s="32" t="str">
        <f>IFERROR(VLOOKUP(I4,[1]中介表!$A$1:$C$20,2,FALSE),"")</f>
        <v>王母娘娘</v>
      </c>
      <c r="J47" s="32" t="str">
        <f>IFERROR(VLOOKUP(J4,[1]中介表!$A$1:$C$20,2,FALSE),"")</f>
        <v>托塔天王</v>
      </c>
      <c r="K47" s="34"/>
      <c r="L47" s="2" t="s">
        <v>432</v>
      </c>
      <c r="N47" s="2" t="str">
        <f t="shared" si="0"/>
        <v>生命</v>
      </c>
      <c r="O47" s="2" t="str">
        <f t="shared" si="3"/>
        <v>攻击</v>
      </c>
      <c r="P47" s="2" t="str">
        <f t="shared" si="4"/>
        <v>+20%</v>
      </c>
      <c r="Q47" s="2" t="str">
        <f t="shared" si="5"/>
        <v>7220,7320</v>
      </c>
      <c r="T47" s="2" t="s">
        <v>550</v>
      </c>
      <c r="U47" s="2" t="s">
        <v>551</v>
      </c>
    </row>
    <row r="48" spans="1:23" x14ac:dyDescent="0.35">
      <c r="A48" s="16">
        <v>11057</v>
      </c>
      <c r="B48" s="19" t="s">
        <v>281</v>
      </c>
      <c r="C48" s="18" t="s">
        <v>368</v>
      </c>
      <c r="D48" s="18" t="s">
        <v>369</v>
      </c>
      <c r="E48" s="5" t="s">
        <v>67</v>
      </c>
      <c r="F48" s="4" t="s">
        <v>68</v>
      </c>
      <c r="G48" s="26">
        <f t="shared" si="2"/>
        <v>3</v>
      </c>
      <c r="H48" s="32" t="str">
        <f>IFERROR(VLOOKUP(H5,[1]中介表!$A$1:$C$20,2,FALSE),"")</f>
        <v>哪吒</v>
      </c>
      <c r="I48" s="32" t="str">
        <f>IFERROR(VLOOKUP(I5,[1]中介表!$A$1:$C$20,2,FALSE),"")</f>
        <v>白无常</v>
      </c>
      <c r="J48" s="32" t="str">
        <f>IFERROR(VLOOKUP(J5,[1]中介表!$A$1:$C$20,2,FALSE),"")</f>
        <v>黑无常</v>
      </c>
      <c r="K48" s="34"/>
      <c r="L48" s="2" t="s">
        <v>432</v>
      </c>
      <c r="N48" s="2" t="str">
        <f t="shared" si="0"/>
        <v>生命</v>
      </c>
      <c r="O48" s="2" t="str">
        <f t="shared" si="3"/>
        <v>攻击</v>
      </c>
      <c r="P48" s="2" t="str">
        <f t="shared" si="4"/>
        <v>+20%</v>
      </c>
      <c r="Q48" s="2" t="str">
        <f t="shared" si="5"/>
        <v>7220,7320</v>
      </c>
      <c r="T48" s="2" t="s">
        <v>552</v>
      </c>
      <c r="U48" s="2" t="s">
        <v>553</v>
      </c>
    </row>
    <row r="49" spans="1:21" x14ac:dyDescent="0.35">
      <c r="A49" s="16">
        <v>11058</v>
      </c>
      <c r="B49" s="19" t="s">
        <v>282</v>
      </c>
      <c r="C49" s="18" t="s">
        <v>370</v>
      </c>
      <c r="D49" s="18" t="s">
        <v>371</v>
      </c>
      <c r="E49" s="5" t="s">
        <v>57</v>
      </c>
      <c r="F49" s="4" t="s">
        <v>58</v>
      </c>
      <c r="G49" s="26">
        <f t="shared" si="2"/>
        <v>3</v>
      </c>
      <c r="H49" s="32" t="str">
        <f>IFERROR(VLOOKUP(H6,[1]中介表!$A$1:$C$20,2,FALSE),"")</f>
        <v>托塔天王</v>
      </c>
      <c r="I49" s="33" t="str">
        <f>IFERROR(VLOOKUP(I6,[1]中介表!$A$1:$C$20,2,FALSE),"")</f>
        <v>九天玄女</v>
      </c>
      <c r="J49" s="33" t="str">
        <f>IFERROR(VLOOKUP(J6,[1]中介表!$A$1:$C$20,2,FALSE),"")</f>
        <v>嫦娥</v>
      </c>
      <c r="K49" s="34"/>
      <c r="L49" s="2" t="s">
        <v>433</v>
      </c>
      <c r="N49" s="2" t="str">
        <f t="shared" si="0"/>
        <v>生命</v>
      </c>
      <c r="O49" s="2" t="str">
        <f t="shared" si="3"/>
        <v>防御</v>
      </c>
      <c r="P49" s="2" t="str">
        <f t="shared" si="4"/>
        <v>+20%</v>
      </c>
      <c r="Q49" s="2" t="str">
        <f t="shared" si="5"/>
        <v>7220,7820,7920</v>
      </c>
      <c r="T49" s="2" t="s">
        <v>554</v>
      </c>
      <c r="U49" s="2" t="s">
        <v>555</v>
      </c>
    </row>
    <row r="50" spans="1:21" x14ac:dyDescent="0.35">
      <c r="A50" s="16">
        <v>11059</v>
      </c>
      <c r="B50" s="19" t="s">
        <v>283</v>
      </c>
      <c r="C50" s="18" t="s">
        <v>372</v>
      </c>
      <c r="D50" s="18" t="s">
        <v>373</v>
      </c>
      <c r="E50" s="5">
        <v>3013</v>
      </c>
      <c r="F50" s="4" t="s">
        <v>59</v>
      </c>
      <c r="G50" s="26">
        <f t="shared" si="2"/>
        <v>3</v>
      </c>
      <c r="H50" s="32" t="str">
        <f>IFERROR(VLOOKUP(H7,[1]中介表!$A$1:$C$20,2,FALSE),"")</f>
        <v>黑无常</v>
      </c>
      <c r="I50" s="33" t="str">
        <f>IFERROR(VLOOKUP(I7,[1]中介表!$A$1:$C$20,2,FALSE),"")</f>
        <v>九天玄女</v>
      </c>
      <c r="J50" s="33" t="str">
        <f>IFERROR(VLOOKUP(J7,[1]中介表!$A$1:$C$20,2,FALSE),"")</f>
        <v>嫦娥</v>
      </c>
      <c r="K50" s="34"/>
      <c r="L50" s="2" t="s">
        <v>433</v>
      </c>
      <c r="N50" s="2" t="str">
        <f t="shared" si="0"/>
        <v>生命</v>
      </c>
      <c r="O50" s="2" t="str">
        <f t="shared" si="3"/>
        <v>防御</v>
      </c>
      <c r="P50" s="2" t="str">
        <f t="shared" si="4"/>
        <v>+20%</v>
      </c>
      <c r="Q50" s="2" t="str">
        <f t="shared" si="5"/>
        <v>7220,7820,7920</v>
      </c>
    </row>
    <row r="51" spans="1:21" x14ac:dyDescent="0.35">
      <c r="A51" s="16">
        <v>11060</v>
      </c>
      <c r="B51" s="19" t="s">
        <v>284</v>
      </c>
      <c r="C51" s="18" t="s">
        <v>236</v>
      </c>
      <c r="D51" s="18" t="s">
        <v>237</v>
      </c>
      <c r="E51" s="5" t="s">
        <v>67</v>
      </c>
      <c r="F51" s="4" t="s">
        <v>68</v>
      </c>
      <c r="G51" s="26">
        <f t="shared" si="2"/>
        <v>3</v>
      </c>
      <c r="H51" s="33" t="str">
        <f>IFERROR(VLOOKUP(H8,[1]中介表!$A$1:$C$20,2,FALSE),"")</f>
        <v>赤脚大仙</v>
      </c>
      <c r="I51" s="33" t="str">
        <f>IFERROR(VLOOKUP(I8,[1]中介表!$A$1:$C$20,2,FALSE),"")</f>
        <v>东海龙王</v>
      </c>
      <c r="J51" s="33" t="str">
        <f>IFERROR(VLOOKUP(J8,[1]中介表!$A$1:$C$20,2,FALSE),"")</f>
        <v>太白金星</v>
      </c>
      <c r="K51" s="34"/>
      <c r="L51" s="2" t="s">
        <v>433</v>
      </c>
      <c r="N51" s="2" t="str">
        <f t="shared" si="0"/>
        <v>生命</v>
      </c>
      <c r="O51" s="2" t="str">
        <f t="shared" si="3"/>
        <v>防御</v>
      </c>
      <c r="P51" s="2" t="str">
        <f t="shared" si="4"/>
        <v>+20%</v>
      </c>
      <c r="Q51" s="2" t="str">
        <f t="shared" si="5"/>
        <v>7220,7820,7920</v>
      </c>
    </row>
    <row r="52" spans="1:21" x14ac:dyDescent="0.35">
      <c r="A52" s="16">
        <v>11061</v>
      </c>
      <c r="B52" s="19" t="s">
        <v>285</v>
      </c>
      <c r="C52" s="18" t="s">
        <v>238</v>
      </c>
      <c r="D52" s="18" t="s">
        <v>239</v>
      </c>
      <c r="E52" s="5">
        <v>3003</v>
      </c>
      <c r="F52" s="4" t="s">
        <v>63</v>
      </c>
      <c r="G52" s="26">
        <f t="shared" si="2"/>
        <v>3</v>
      </c>
      <c r="H52" s="33" t="str">
        <f>IFERROR(VLOOKUP(H9,[1]中介表!$A$1:$C$20,2,FALSE),"")</f>
        <v>玉皇大帝</v>
      </c>
      <c r="I52" s="33" t="str">
        <f>IFERROR(VLOOKUP(I9,[1]中介表!$A$1:$C$20,2,FALSE),"")</f>
        <v>阎罗王</v>
      </c>
      <c r="J52" s="33" t="str">
        <f>IFERROR(VLOOKUP(J9,[1]中介表!$A$1:$C$20,2,FALSE),"")</f>
        <v>太白金星</v>
      </c>
      <c r="K52" s="34"/>
      <c r="L52" s="2" t="s">
        <v>432</v>
      </c>
      <c r="N52" s="2" t="str">
        <f t="shared" si="0"/>
        <v>生命</v>
      </c>
      <c r="O52" s="2" t="str">
        <f t="shared" si="3"/>
        <v>攻击</v>
      </c>
      <c r="P52" s="2" t="str">
        <f t="shared" si="4"/>
        <v>+20%</v>
      </c>
      <c r="Q52" s="2" t="str">
        <f t="shared" si="5"/>
        <v>7220,7320</v>
      </c>
    </row>
    <row r="53" spans="1:21" x14ac:dyDescent="0.35">
      <c r="A53" s="16">
        <v>11062</v>
      </c>
      <c r="B53" s="19" t="s">
        <v>286</v>
      </c>
      <c r="C53" s="18" t="s">
        <v>177</v>
      </c>
      <c r="D53" s="18" t="s">
        <v>178</v>
      </c>
      <c r="E53" s="5">
        <v>3012</v>
      </c>
      <c r="F53" s="4" t="s">
        <v>72</v>
      </c>
      <c r="G53" s="26">
        <f t="shared" si="2"/>
        <v>3</v>
      </c>
      <c r="H53" s="33" t="str">
        <f>IFERROR(VLOOKUP(H10,[1]中介表!$A$1:$C$20,2,FALSE),"")</f>
        <v>东海龙王</v>
      </c>
      <c r="I53" s="33" t="str">
        <f>IFERROR(VLOOKUP(I10,[1]中介表!$A$1:$C$20,2,FALSE),"")</f>
        <v>小白龙</v>
      </c>
      <c r="J53" s="33" t="str">
        <f>IFERROR(VLOOKUP(J10,[1]中介表!$A$1:$C$20,2,FALSE),"")</f>
        <v>玉皇大帝</v>
      </c>
      <c r="K53" s="34"/>
      <c r="L53" s="2" t="s">
        <v>556</v>
      </c>
      <c r="N53" s="2" t="str">
        <f t="shared" si="0"/>
        <v>生命</v>
      </c>
      <c r="O53" s="2" t="str">
        <f t="shared" si="3"/>
        <v>攻击</v>
      </c>
      <c r="P53" s="2" t="str">
        <f t="shared" si="4"/>
        <v>+20%</v>
      </c>
      <c r="Q53" s="2" t="str">
        <f t="shared" si="5"/>
        <v>7220,7320</v>
      </c>
    </row>
    <row r="54" spans="1:21" x14ac:dyDescent="0.35">
      <c r="A54" s="16">
        <v>11063</v>
      </c>
      <c r="B54" s="19" t="s">
        <v>287</v>
      </c>
      <c r="C54" s="18" t="s">
        <v>240</v>
      </c>
      <c r="D54" s="18" t="s">
        <v>241</v>
      </c>
      <c r="E54" s="5">
        <v>3002</v>
      </c>
      <c r="F54" s="4" t="s">
        <v>62</v>
      </c>
      <c r="G54" s="26">
        <f t="shared" si="2"/>
        <v>3</v>
      </c>
      <c r="H54" s="33" t="str">
        <f>IFERROR(VLOOKUP(H11,[1]中介表!$A$1:$C$20,2,FALSE),"")</f>
        <v>赤脚大仙</v>
      </c>
      <c r="I54" s="33" t="str">
        <f>IFERROR(VLOOKUP(I11,[1]中介表!$A$1:$C$20,2,FALSE),"")</f>
        <v>阎罗王</v>
      </c>
      <c r="J54" s="33" t="str">
        <f>IFERROR(VLOOKUP(J11,[1]中介表!$A$1:$C$20,2,FALSE),"")</f>
        <v>小白龙</v>
      </c>
      <c r="K54" s="34"/>
      <c r="L54" s="2" t="s">
        <v>444</v>
      </c>
      <c r="N54" s="2" t="str">
        <f t="shared" si="0"/>
        <v>生命</v>
      </c>
      <c r="O54" s="2" t="str">
        <f t="shared" si="3"/>
        <v>防御</v>
      </c>
      <c r="P54" s="2" t="str">
        <f t="shared" si="4"/>
        <v>+20%</v>
      </c>
      <c r="Q54" s="2" t="str">
        <f t="shared" si="5"/>
        <v>7220,7820,7920</v>
      </c>
    </row>
    <row r="55" spans="1:21" x14ac:dyDescent="0.35">
      <c r="A55" s="16">
        <v>11064</v>
      </c>
      <c r="B55" s="19" t="s">
        <v>288</v>
      </c>
      <c r="C55" s="18" t="s">
        <v>126</v>
      </c>
      <c r="D55" s="18" t="s">
        <v>179</v>
      </c>
      <c r="E55" s="5">
        <v>3003</v>
      </c>
      <c r="F55" s="4" t="s">
        <v>63</v>
      </c>
      <c r="G55" s="26">
        <f t="shared" si="2"/>
        <v>2</v>
      </c>
      <c r="H55" s="32" t="str">
        <f>IFERROR(VLOOKUP(H12,[1]中介表!$A$1:$C$20,2,FALSE),"")</f>
        <v>二郎神</v>
      </c>
      <c r="I55" s="33" t="str">
        <f>IFERROR(VLOOKUP(I12,[1]中介表!$A$1:$C$20,2,FALSE),"")</f>
        <v>九天玄女</v>
      </c>
      <c r="J55" s="34" t="str">
        <f>IFERROR(VLOOKUP(J12,[1]中介表!$A$1:$C$20,2,FALSE),"")</f>
        <v/>
      </c>
      <c r="K55" s="34"/>
      <c r="L55" s="2" t="s">
        <v>434</v>
      </c>
      <c r="N55" s="2" t="str">
        <f t="shared" si="0"/>
        <v>攻击</v>
      </c>
      <c r="O55" s="2" t="str">
        <f t="shared" si="3"/>
        <v>防御</v>
      </c>
      <c r="P55" s="2" t="str">
        <f t="shared" si="4"/>
        <v>+20%</v>
      </c>
      <c r="Q55" s="2" t="str">
        <f t="shared" si="5"/>
        <v>7320,7820,7920</v>
      </c>
    </row>
    <row r="56" spans="1:21" x14ac:dyDescent="0.35">
      <c r="A56" s="16">
        <v>11065</v>
      </c>
      <c r="B56" s="19" t="s">
        <v>289</v>
      </c>
      <c r="C56" s="18" t="s">
        <v>129</v>
      </c>
      <c r="D56" s="18" t="s">
        <v>180</v>
      </c>
      <c r="E56" s="5" t="s">
        <v>57</v>
      </c>
      <c r="F56" s="4" t="s">
        <v>58</v>
      </c>
      <c r="G56" s="26">
        <f t="shared" si="2"/>
        <v>2</v>
      </c>
      <c r="H56" s="32" t="str">
        <f>IFERROR(VLOOKUP(H13,[1]中介表!$A$1:$C$20,2,FALSE),"")</f>
        <v>王母娘娘</v>
      </c>
      <c r="I56" s="33" t="str">
        <f>IFERROR(VLOOKUP(I13,[1]中介表!$A$1:$C$20,2,FALSE),"")</f>
        <v>九天玄女</v>
      </c>
      <c r="J56" s="34" t="str">
        <f>IFERROR(VLOOKUP(J13,[1]中介表!$A$1:$C$20,2,FALSE),"")</f>
        <v/>
      </c>
      <c r="K56" s="34"/>
      <c r="L56" s="2" t="s">
        <v>434</v>
      </c>
      <c r="N56" s="2" t="str">
        <f t="shared" si="0"/>
        <v>攻击</v>
      </c>
      <c r="O56" s="2" t="str">
        <f t="shared" si="3"/>
        <v>防御</v>
      </c>
      <c r="P56" s="2" t="str">
        <f t="shared" si="4"/>
        <v>+20%</v>
      </c>
      <c r="Q56" s="2" t="str">
        <f t="shared" si="5"/>
        <v>7320,7820,7920</v>
      </c>
    </row>
    <row r="57" spans="1:21" x14ac:dyDescent="0.35">
      <c r="A57" s="16">
        <v>11066</v>
      </c>
      <c r="B57" s="19" t="s">
        <v>290</v>
      </c>
      <c r="C57" s="18" t="s">
        <v>374</v>
      </c>
      <c r="D57" s="18" t="s">
        <v>375</v>
      </c>
      <c r="E57" s="5">
        <v>3012</v>
      </c>
      <c r="F57" s="4" t="s">
        <v>72</v>
      </c>
      <c r="G57" s="26">
        <f t="shared" si="2"/>
        <v>2</v>
      </c>
      <c r="H57" s="32" t="str">
        <f>IFERROR(VLOOKUP(H14,[1]中介表!$A$1:$C$20,2,FALSE),"")</f>
        <v>哪吒</v>
      </c>
      <c r="I57" s="33" t="str">
        <f>IFERROR(VLOOKUP(I14,[1]中介表!$A$1:$C$20,2,FALSE),"")</f>
        <v>嫦娥</v>
      </c>
      <c r="J57" s="34" t="str">
        <f>IFERROR(VLOOKUP(J14,[1]中介表!$A$1:$C$20,2,FALSE),"")</f>
        <v/>
      </c>
      <c r="K57" s="34"/>
      <c r="L57" s="2" t="s">
        <v>434</v>
      </c>
      <c r="N57" s="2" t="str">
        <f t="shared" si="0"/>
        <v>攻击</v>
      </c>
      <c r="O57" s="2" t="str">
        <f t="shared" si="3"/>
        <v>防御</v>
      </c>
      <c r="P57" s="2" t="str">
        <f t="shared" si="4"/>
        <v>+20%</v>
      </c>
      <c r="Q57" s="2" t="str">
        <f t="shared" si="5"/>
        <v>7320,7820,7920</v>
      </c>
    </row>
    <row r="58" spans="1:21" x14ac:dyDescent="0.35">
      <c r="A58" s="16">
        <v>11067</v>
      </c>
      <c r="B58" s="19" t="s">
        <v>291</v>
      </c>
      <c r="C58" s="18" t="s">
        <v>376</v>
      </c>
      <c r="D58" s="18" t="s">
        <v>377</v>
      </c>
      <c r="E58" s="5" t="s">
        <v>60</v>
      </c>
      <c r="F58" s="4" t="s">
        <v>61</v>
      </c>
      <c r="G58" s="26">
        <f t="shared" si="2"/>
        <v>2</v>
      </c>
      <c r="H58" s="32" t="str">
        <f>IFERROR(VLOOKUP(H15,[1]中介表!$A$1:$C$20,2,FALSE),"")</f>
        <v>白无常</v>
      </c>
      <c r="I58" s="33" t="str">
        <f>IFERROR(VLOOKUP(I15,[1]中介表!$A$1:$C$20,2,FALSE),"")</f>
        <v>嫦娥</v>
      </c>
      <c r="J58" s="34" t="str">
        <f>IFERROR(VLOOKUP(J15,[1]中介表!$A$1:$C$20,2,FALSE),"")</f>
        <v/>
      </c>
      <c r="K58" s="34"/>
      <c r="L58" s="2" t="s">
        <v>434</v>
      </c>
      <c r="N58" s="2" t="str">
        <f t="shared" si="0"/>
        <v>攻击</v>
      </c>
      <c r="O58" s="2" t="str">
        <f t="shared" si="3"/>
        <v>防御</v>
      </c>
      <c r="P58" s="2" t="str">
        <f t="shared" si="4"/>
        <v>+20%</v>
      </c>
      <c r="Q58" s="2" t="str">
        <f t="shared" si="5"/>
        <v>7320,7820,7920</v>
      </c>
    </row>
    <row r="59" spans="1:21" x14ac:dyDescent="0.35">
      <c r="A59" s="16">
        <v>11068</v>
      </c>
      <c r="B59" s="19" t="s">
        <v>292</v>
      </c>
      <c r="C59" s="18" t="s">
        <v>93</v>
      </c>
      <c r="D59" s="18" t="s">
        <v>94</v>
      </c>
      <c r="E59" s="5">
        <v>3003</v>
      </c>
      <c r="F59" s="4" t="s">
        <v>63</v>
      </c>
      <c r="G59" s="26">
        <f t="shared" si="2"/>
        <v>2</v>
      </c>
      <c r="H59" s="32" t="str">
        <f>IFERROR(VLOOKUP(H16,[1]中介表!$A$1:$C$20,2,FALSE),"")</f>
        <v>托塔天王</v>
      </c>
      <c r="I59" s="33" t="str">
        <f>IFERROR(VLOOKUP(I16,[1]中介表!$A$1:$C$20,2,FALSE),"")</f>
        <v>赤脚大仙</v>
      </c>
      <c r="J59" s="34" t="str">
        <f>IFERROR(VLOOKUP(J16,[1]中介表!$A$1:$C$20,2,FALSE),"")</f>
        <v/>
      </c>
      <c r="K59" s="34"/>
      <c r="L59" s="2" t="s">
        <v>557</v>
      </c>
      <c r="N59" s="2" t="str">
        <f t="shared" si="0"/>
        <v>防御</v>
      </c>
      <c r="O59" s="2" t="str">
        <f t="shared" si="3"/>
        <v/>
      </c>
      <c r="P59" s="2" t="str">
        <f t="shared" si="4"/>
        <v>+16%</v>
      </c>
      <c r="Q59" s="2" t="str">
        <f t="shared" si="5"/>
        <v>7816,7916</v>
      </c>
    </row>
    <row r="60" spans="1:21" x14ac:dyDescent="0.35">
      <c r="A60" s="16">
        <v>11069</v>
      </c>
      <c r="B60" s="19" t="s">
        <v>293</v>
      </c>
      <c r="C60" s="18" t="s">
        <v>378</v>
      </c>
      <c r="D60" s="18" t="s">
        <v>379</v>
      </c>
      <c r="E60" s="5">
        <v>3012</v>
      </c>
      <c r="F60" s="4" t="s">
        <v>72</v>
      </c>
      <c r="G60" s="26">
        <f t="shared" si="2"/>
        <v>2</v>
      </c>
      <c r="H60" s="32" t="str">
        <f>IFERROR(VLOOKUP(H17,[1]中介表!$A$1:$C$20,2,FALSE),"")</f>
        <v>黑无常</v>
      </c>
      <c r="I60" s="33" t="str">
        <f>IFERROR(VLOOKUP(I17,[1]中介表!$A$1:$C$20,2,FALSE),"")</f>
        <v>赤脚大仙</v>
      </c>
      <c r="J60" s="35" t="str">
        <f>IFERROR(VLOOKUP(J17,[1]中介表!$A$1:$C$20,2,FALSE),"")</f>
        <v/>
      </c>
      <c r="K60" s="35"/>
      <c r="L60" s="2" t="s">
        <v>447</v>
      </c>
      <c r="N60" s="2" t="str">
        <f t="shared" si="0"/>
        <v>攻击</v>
      </c>
      <c r="O60" s="2" t="str">
        <f t="shared" si="3"/>
        <v/>
      </c>
      <c r="P60" s="2" t="str">
        <f t="shared" si="4"/>
        <v>+16%</v>
      </c>
      <c r="Q60" s="2" t="str">
        <f t="shared" si="5"/>
        <v>7316</v>
      </c>
    </row>
    <row r="61" spans="1:21" x14ac:dyDescent="0.35">
      <c r="A61" s="16">
        <v>11070</v>
      </c>
      <c r="B61" s="19" t="s">
        <v>294</v>
      </c>
      <c r="C61" s="18" t="s">
        <v>380</v>
      </c>
      <c r="D61" s="18" t="s">
        <v>381</v>
      </c>
      <c r="E61" s="5">
        <v>3003</v>
      </c>
      <c r="F61" s="4" t="s">
        <v>63</v>
      </c>
      <c r="G61" s="26">
        <f t="shared" si="2"/>
        <v>2</v>
      </c>
      <c r="H61" s="32" t="str">
        <f>IFERROR(VLOOKUP(H18,[1]中介表!$A$1:$C$20,2,FALSE),"")</f>
        <v>托塔天王</v>
      </c>
      <c r="I61" s="33" t="str">
        <f>IFERROR(VLOOKUP(I18,[1]中介表!$A$1:$C$20,2,FALSE),"")</f>
        <v>东海龙王</v>
      </c>
      <c r="J61" s="35" t="str">
        <f>IFERROR(VLOOKUP(J18,[1]中介表!$A$1:$C$20,2,FALSE),"")</f>
        <v/>
      </c>
      <c r="K61" s="35"/>
      <c r="L61" s="2" t="s">
        <v>447</v>
      </c>
      <c r="N61" s="2" t="str">
        <f t="shared" si="0"/>
        <v>攻击</v>
      </c>
      <c r="O61" s="2" t="str">
        <f t="shared" si="3"/>
        <v/>
      </c>
      <c r="P61" s="2" t="str">
        <f t="shared" si="4"/>
        <v>+16%</v>
      </c>
      <c r="Q61" s="2" t="str">
        <f t="shared" si="5"/>
        <v>7316</v>
      </c>
    </row>
    <row r="62" spans="1:21" x14ac:dyDescent="0.35">
      <c r="A62" s="16">
        <v>11071</v>
      </c>
      <c r="B62" s="19" t="s">
        <v>295</v>
      </c>
      <c r="C62" s="18" t="s">
        <v>382</v>
      </c>
      <c r="D62" s="18" t="s">
        <v>383</v>
      </c>
      <c r="E62" s="5">
        <v>3013</v>
      </c>
      <c r="F62" s="4" t="s">
        <v>59</v>
      </c>
      <c r="G62" s="26">
        <f t="shared" si="2"/>
        <v>2</v>
      </c>
      <c r="H62" s="32" t="str">
        <f>IFERROR(VLOOKUP(H19,[1]中介表!$A$1:$C$20,2,FALSE),"")</f>
        <v>黑无常</v>
      </c>
      <c r="I62" s="33" t="str">
        <f>IFERROR(VLOOKUP(I19,[1]中介表!$A$1:$C$20,2,FALSE),"")</f>
        <v>东海龙王</v>
      </c>
      <c r="J62" s="35" t="str">
        <f>IFERROR(VLOOKUP(J19,[1]中介表!$A$1:$C$20,2,FALSE),"")</f>
        <v/>
      </c>
      <c r="K62" s="35"/>
      <c r="L62" s="2" t="s">
        <v>448</v>
      </c>
      <c r="N62" s="2" t="str">
        <f t="shared" si="0"/>
        <v>防御</v>
      </c>
      <c r="O62" s="2" t="str">
        <f t="shared" si="3"/>
        <v/>
      </c>
      <c r="P62" s="2" t="str">
        <f t="shared" si="4"/>
        <v>+16%</v>
      </c>
      <c r="Q62" s="2" t="str">
        <f t="shared" si="5"/>
        <v>7816,7916</v>
      </c>
    </row>
    <row r="63" spans="1:21" x14ac:dyDescent="0.35">
      <c r="A63" s="16">
        <v>11072</v>
      </c>
      <c r="B63" s="19" t="s">
        <v>296</v>
      </c>
      <c r="C63" s="18" t="s">
        <v>384</v>
      </c>
      <c r="D63" s="18" t="s">
        <v>385</v>
      </c>
      <c r="E63" s="5">
        <v>3012</v>
      </c>
      <c r="F63" s="4" t="s">
        <v>72</v>
      </c>
      <c r="G63" s="26">
        <f t="shared" si="2"/>
        <v>2</v>
      </c>
      <c r="H63" s="32" t="str">
        <f>IFERROR(VLOOKUP(H20,[1]中介表!$A$1:$C$20,2,FALSE),"")</f>
        <v>托塔天王</v>
      </c>
      <c r="I63" s="32" t="str">
        <f>IFERROR(VLOOKUP(I20,[1]中介表!$A$1:$C$20,2,FALSE),"")</f>
        <v>黑无常</v>
      </c>
      <c r="J63" s="35" t="str">
        <f>IFERROR(VLOOKUP(J20,[1]中介表!$A$1:$C$20,2,FALSE),"")</f>
        <v/>
      </c>
      <c r="K63" s="35"/>
      <c r="L63" s="2" t="s">
        <v>61</v>
      </c>
      <c r="N63" s="2" t="str">
        <f t="shared" si="0"/>
        <v>防御</v>
      </c>
      <c r="O63" s="2" t="str">
        <f t="shared" si="3"/>
        <v/>
      </c>
      <c r="P63" s="2" t="str">
        <f t="shared" si="4"/>
        <v>+20%</v>
      </c>
      <c r="Q63" s="2" t="str">
        <f t="shared" si="5"/>
        <v>7820,7920</v>
      </c>
    </row>
    <row r="64" spans="1:21" x14ac:dyDescent="0.35">
      <c r="A64" s="16">
        <v>11073</v>
      </c>
      <c r="B64" s="19" t="s">
        <v>297</v>
      </c>
      <c r="C64" s="18" t="s">
        <v>127</v>
      </c>
      <c r="D64" s="18" t="s">
        <v>181</v>
      </c>
      <c r="E64" s="5">
        <v>3003</v>
      </c>
      <c r="F64" s="4" t="s">
        <v>63</v>
      </c>
      <c r="G64" s="26">
        <f t="shared" si="2"/>
        <v>2</v>
      </c>
      <c r="H64" s="32" t="str">
        <f>IFERROR(VLOOKUP(H21,[1]中介表!$A$1:$C$20,2,FALSE),"")</f>
        <v>二郎神</v>
      </c>
      <c r="I64" s="33" t="str">
        <f>IFERROR(VLOOKUP(I21,[1]中介表!$A$1:$C$20,2,FALSE),"")</f>
        <v>玉皇大帝</v>
      </c>
      <c r="J64" s="35" t="str">
        <f>IFERROR(VLOOKUP(J21,[1]中介表!$A$1:$C$20,2,FALSE),"")</f>
        <v/>
      </c>
      <c r="K64" s="35"/>
      <c r="L64" s="2" t="s">
        <v>447</v>
      </c>
      <c r="N64" s="2" t="str">
        <f t="shared" si="0"/>
        <v>攻击</v>
      </c>
      <c r="O64" s="2" t="str">
        <f t="shared" si="3"/>
        <v/>
      </c>
      <c r="P64" s="2" t="str">
        <f t="shared" si="4"/>
        <v>+16%</v>
      </c>
      <c r="Q64" s="2" t="str">
        <f t="shared" si="5"/>
        <v>7316</v>
      </c>
    </row>
    <row r="65" spans="1:17" x14ac:dyDescent="0.35">
      <c r="A65" s="16">
        <v>11074</v>
      </c>
      <c r="B65" s="19" t="s">
        <v>298</v>
      </c>
      <c r="C65" s="18" t="s">
        <v>386</v>
      </c>
      <c r="D65" s="18" t="s">
        <v>387</v>
      </c>
      <c r="E65" s="5" t="s">
        <v>60</v>
      </c>
      <c r="F65" s="4" t="s">
        <v>61</v>
      </c>
      <c r="G65" s="26">
        <f t="shared" si="2"/>
        <v>2</v>
      </c>
      <c r="H65" s="32" t="str">
        <f>IFERROR(VLOOKUP(H22,[1]中介表!$A$1:$C$20,2,FALSE),"")</f>
        <v>哪吒</v>
      </c>
      <c r="I65" s="33" t="str">
        <f>IFERROR(VLOOKUP(I22,[1]中介表!$A$1:$C$20,2,FALSE),"")</f>
        <v>玉皇大帝</v>
      </c>
      <c r="J65" s="35" t="str">
        <f>IFERROR(VLOOKUP(J22,[1]中介表!$A$1:$C$20,2,FALSE),"")</f>
        <v/>
      </c>
      <c r="K65" s="35"/>
      <c r="L65" s="45" t="s">
        <v>450</v>
      </c>
      <c r="N65" s="2" t="str">
        <f t="shared" si="0"/>
        <v>生命</v>
      </c>
      <c r="O65" s="2" t="str">
        <f t="shared" si="3"/>
        <v/>
      </c>
      <c r="P65" s="2" t="str">
        <f t="shared" si="4"/>
        <v>+16%</v>
      </c>
      <c r="Q65" s="2" t="str">
        <f t="shared" si="5"/>
        <v>7216</v>
      </c>
    </row>
    <row r="66" spans="1:17" x14ac:dyDescent="0.35">
      <c r="A66" s="16">
        <v>11075</v>
      </c>
      <c r="B66" s="19" t="s">
        <v>299</v>
      </c>
      <c r="C66" s="18" t="s">
        <v>183</v>
      </c>
      <c r="D66" s="18" t="s">
        <v>184</v>
      </c>
      <c r="E66" s="5" t="s">
        <v>67</v>
      </c>
      <c r="F66" s="4" t="s">
        <v>68</v>
      </c>
      <c r="G66" s="26">
        <f t="shared" si="2"/>
        <v>2</v>
      </c>
      <c r="H66" s="32" t="str">
        <f>IFERROR(VLOOKUP(H23,[1]中介表!$A$1:$C$20,2,FALSE),"")</f>
        <v>王母娘娘</v>
      </c>
      <c r="I66" s="33" t="str">
        <f>IFERROR(VLOOKUP(I23,[1]中介表!$A$1:$C$20,2,FALSE),"")</f>
        <v>阎罗王</v>
      </c>
      <c r="J66" s="35" t="str">
        <f>IFERROR(VLOOKUP(J23,[1]中介表!$A$1:$C$20,2,FALSE),"")</f>
        <v/>
      </c>
      <c r="K66" s="35"/>
      <c r="L66" s="2" t="s">
        <v>68</v>
      </c>
      <c r="N66" s="2" t="str">
        <f t="shared" ref="N66:N129" si="6">IF(ISERROR(FIND("，",$L66)),LEFT($L66,FIND("+",$L66)-1),LEFT($L66,FIND("，",$L66)-1))</f>
        <v>防御</v>
      </c>
      <c r="O66" s="2" t="str">
        <f t="shared" si="3"/>
        <v/>
      </c>
      <c r="P66" s="2" t="str">
        <f t="shared" si="4"/>
        <v>+16%</v>
      </c>
      <c r="Q66" s="2" t="str">
        <f t="shared" ref="Q66:Q97" si="7">VLOOKUP($N66&amp;$P66,$T:$U,2,0)&amp;IF($O66="","",","&amp;VLOOKUP($O66&amp;$P66,$T:$U,2,0))</f>
        <v>7816,7916</v>
      </c>
    </row>
    <row r="67" spans="1:17" x14ac:dyDescent="0.35">
      <c r="A67" s="16">
        <v>11076</v>
      </c>
      <c r="B67" s="19" t="s">
        <v>300</v>
      </c>
      <c r="C67" s="18" t="s">
        <v>91</v>
      </c>
      <c r="D67" s="18" t="s">
        <v>92</v>
      </c>
      <c r="E67" s="5">
        <v>3013</v>
      </c>
      <c r="F67" s="4" t="s">
        <v>59</v>
      </c>
      <c r="G67" s="26">
        <f t="shared" ref="G67:G130" si="8">INT(LEN($C67)-LEN(SUBSTITUTE($C67,",",""))+1)</f>
        <v>2</v>
      </c>
      <c r="H67" s="32" t="str">
        <f>IFERROR(VLOOKUP(H24,[1]中介表!$A$1:$C$20,2,FALSE),"")</f>
        <v>白无常</v>
      </c>
      <c r="I67" s="33" t="str">
        <f>IFERROR(VLOOKUP(I24,[1]中介表!$A$1:$C$20,2,FALSE),"")</f>
        <v>阎罗王</v>
      </c>
      <c r="J67" s="35" t="str">
        <f>IFERROR(VLOOKUP(J24,[1]中介表!$A$1:$C$20,2,FALSE),"")</f>
        <v/>
      </c>
      <c r="K67" s="35"/>
      <c r="L67" s="2" t="s">
        <v>447</v>
      </c>
      <c r="N67" s="2" t="str">
        <f t="shared" si="6"/>
        <v>攻击</v>
      </c>
      <c r="O67" s="2" t="str">
        <f t="shared" ref="O67:O130" si="9">IF(ISERROR(FIND("，",$L67)),"",MID($L67,FIND("，",$L67)+1,2))</f>
        <v/>
      </c>
      <c r="P67" s="2" t="str">
        <f t="shared" ref="P67:P130" si="10">RIGHT($L67,LEN($L67)-FIND("+",$L67)+1)</f>
        <v>+16%</v>
      </c>
      <c r="Q67" s="2" t="str">
        <f t="shared" si="7"/>
        <v>7316</v>
      </c>
    </row>
    <row r="68" spans="1:17" x14ac:dyDescent="0.35">
      <c r="A68" s="16">
        <v>11077</v>
      </c>
      <c r="B68" s="19" t="s">
        <v>301</v>
      </c>
      <c r="C68" s="18" t="s">
        <v>128</v>
      </c>
      <c r="D68" s="18" t="s">
        <v>182</v>
      </c>
      <c r="E68" s="5" t="s">
        <v>60</v>
      </c>
      <c r="F68" s="4" t="s">
        <v>61</v>
      </c>
      <c r="G68" s="26">
        <f t="shared" si="8"/>
        <v>2</v>
      </c>
      <c r="H68" s="32" t="str">
        <f>IFERROR(VLOOKUP(H25,[1]中介表!$A$1:$C$20,2,FALSE),"")</f>
        <v>二郎神</v>
      </c>
      <c r="I68" s="33" t="str">
        <f>IFERROR(VLOOKUP(I25,[1]中介表!$A$1:$C$20,2,FALSE),"")</f>
        <v>小白龙</v>
      </c>
      <c r="J68" s="35" t="str">
        <f>IFERROR(VLOOKUP(J25,[1]中介表!$A$1:$C$20,2,FALSE),"")</f>
        <v/>
      </c>
      <c r="K68" s="35"/>
      <c r="L68" s="2" t="s">
        <v>68</v>
      </c>
      <c r="N68" s="2" t="str">
        <f t="shared" si="6"/>
        <v>防御</v>
      </c>
      <c r="O68" s="2" t="str">
        <f t="shared" si="9"/>
        <v/>
      </c>
      <c r="P68" s="2" t="str">
        <f t="shared" si="10"/>
        <v>+16%</v>
      </c>
      <c r="Q68" s="2" t="str">
        <f t="shared" si="7"/>
        <v>7816,7916</v>
      </c>
    </row>
    <row r="69" spans="1:17" x14ac:dyDescent="0.35">
      <c r="A69" s="16">
        <v>11078</v>
      </c>
      <c r="B69" s="19" t="s">
        <v>302</v>
      </c>
      <c r="C69" s="18" t="s">
        <v>388</v>
      </c>
      <c r="D69" s="18" t="s">
        <v>389</v>
      </c>
      <c r="E69" s="5" t="s">
        <v>67</v>
      </c>
      <c r="F69" s="4" t="s">
        <v>68</v>
      </c>
      <c r="G69" s="26">
        <f t="shared" si="8"/>
        <v>2</v>
      </c>
      <c r="H69" s="32" t="str">
        <f>IFERROR(VLOOKUP(H26,[1]中介表!$A$1:$C$20,2,FALSE),"")</f>
        <v>哪吒</v>
      </c>
      <c r="I69" s="33" t="str">
        <f>IFERROR(VLOOKUP(I26,[1]中介表!$A$1:$C$20,2,FALSE),"")</f>
        <v>小白龙</v>
      </c>
      <c r="J69" s="35" t="str">
        <f>IFERROR(VLOOKUP(J26,[1]中介表!$A$1:$C$20,2,FALSE),"")</f>
        <v/>
      </c>
      <c r="K69" s="35"/>
      <c r="L69" s="2" t="s">
        <v>447</v>
      </c>
      <c r="N69" s="2" t="str">
        <f t="shared" si="6"/>
        <v>攻击</v>
      </c>
      <c r="O69" s="2" t="str">
        <f t="shared" si="9"/>
        <v/>
      </c>
      <c r="P69" s="2" t="str">
        <f t="shared" si="10"/>
        <v>+16%</v>
      </c>
      <c r="Q69" s="2" t="str">
        <f t="shared" si="7"/>
        <v>7316</v>
      </c>
    </row>
    <row r="70" spans="1:17" x14ac:dyDescent="0.35">
      <c r="A70" s="16">
        <v>11079</v>
      </c>
      <c r="B70" s="19" t="s">
        <v>303</v>
      </c>
      <c r="C70" s="18" t="s">
        <v>70</v>
      </c>
      <c r="D70" s="18" t="s">
        <v>71</v>
      </c>
      <c r="E70" s="5">
        <v>3003</v>
      </c>
      <c r="F70" s="4" t="s">
        <v>63</v>
      </c>
      <c r="G70" s="26">
        <f t="shared" si="8"/>
        <v>2</v>
      </c>
      <c r="H70" s="32" t="str">
        <f>IFERROR(VLOOKUP(H27,[1]中介表!$A$1:$C$20,2,FALSE),"")</f>
        <v>王母娘娘</v>
      </c>
      <c r="I70" s="33" t="str">
        <f>IFERROR(VLOOKUP(I27,[1]中介表!$A$1:$C$20,2,FALSE),"")</f>
        <v>太白金星</v>
      </c>
      <c r="J70" s="35" t="str">
        <f>IFERROR(VLOOKUP(J27,[1]中介表!$A$1:$C$20,2,FALSE),"")</f>
        <v/>
      </c>
      <c r="K70" s="35"/>
      <c r="L70" s="2" t="s">
        <v>447</v>
      </c>
      <c r="N70" s="2" t="str">
        <f t="shared" si="6"/>
        <v>攻击</v>
      </c>
      <c r="O70" s="2" t="str">
        <f t="shared" si="9"/>
        <v/>
      </c>
      <c r="P70" s="2" t="str">
        <f t="shared" si="10"/>
        <v>+16%</v>
      </c>
      <c r="Q70" s="2" t="str">
        <f t="shared" si="7"/>
        <v>7316</v>
      </c>
    </row>
    <row r="71" spans="1:17" x14ac:dyDescent="0.35">
      <c r="A71" s="16">
        <v>11080</v>
      </c>
      <c r="B71" s="19" t="s">
        <v>304</v>
      </c>
      <c r="C71" s="18" t="s">
        <v>390</v>
      </c>
      <c r="D71" s="18" t="s">
        <v>391</v>
      </c>
      <c r="E71" s="5">
        <v>3002</v>
      </c>
      <c r="F71" s="4" t="s">
        <v>62</v>
      </c>
      <c r="G71" s="26">
        <f t="shared" si="8"/>
        <v>2</v>
      </c>
      <c r="H71" s="32" t="str">
        <f>IFERROR(VLOOKUP(H28,[1]中介表!$A$1:$C$20,2,FALSE),"")</f>
        <v>白无常</v>
      </c>
      <c r="I71" s="33" t="str">
        <f>IFERROR(VLOOKUP(I28,[1]中介表!$A$1:$C$20,2,FALSE),"")</f>
        <v>太白金星</v>
      </c>
      <c r="J71" s="35" t="str">
        <f>IFERROR(VLOOKUP(J28,[1]中介表!$A$1:$C$20,2,FALSE),"")</f>
        <v/>
      </c>
      <c r="K71" s="35"/>
      <c r="L71" s="45" t="s">
        <v>450</v>
      </c>
      <c r="N71" s="2" t="str">
        <f t="shared" si="6"/>
        <v>生命</v>
      </c>
      <c r="O71" s="2" t="str">
        <f t="shared" si="9"/>
        <v/>
      </c>
      <c r="P71" s="2" t="str">
        <f t="shared" si="10"/>
        <v>+16%</v>
      </c>
      <c r="Q71" s="2" t="str">
        <f t="shared" si="7"/>
        <v>7216</v>
      </c>
    </row>
    <row r="72" spans="1:17" x14ac:dyDescent="0.35">
      <c r="A72" s="16">
        <v>11081</v>
      </c>
      <c r="B72" s="19" t="s">
        <v>305</v>
      </c>
      <c r="C72" s="18" t="s">
        <v>48</v>
      </c>
      <c r="D72" s="18" t="s">
        <v>13</v>
      </c>
      <c r="E72" s="5">
        <v>3013</v>
      </c>
      <c r="F72" s="4" t="s">
        <v>59</v>
      </c>
      <c r="G72" s="26">
        <f t="shared" si="8"/>
        <v>2</v>
      </c>
      <c r="H72" s="32" t="str">
        <f>IFERROR(VLOOKUP(H29,[1]中介表!$A$1:$C$20,2,FALSE),"")</f>
        <v>二郎神</v>
      </c>
      <c r="I72" s="33" t="str">
        <f>IFERROR(VLOOKUP(I29,[1]中介表!$A$1:$C$20,2,FALSE),"")</f>
        <v>赤脚大仙</v>
      </c>
      <c r="J72" s="35" t="str">
        <f>IFERROR(VLOOKUP(J29,[1]中介表!$A$1:$C$20,2,FALSE),"")</f>
        <v/>
      </c>
      <c r="K72" s="35"/>
      <c r="L72" s="45" t="s">
        <v>450</v>
      </c>
      <c r="N72" s="2" t="str">
        <f t="shared" si="6"/>
        <v>生命</v>
      </c>
      <c r="O72" s="2" t="str">
        <f t="shared" si="9"/>
        <v/>
      </c>
      <c r="P72" s="2" t="str">
        <f t="shared" si="10"/>
        <v>+16%</v>
      </c>
      <c r="Q72" s="2" t="str">
        <f t="shared" si="7"/>
        <v>7216</v>
      </c>
    </row>
    <row r="73" spans="1:17" x14ac:dyDescent="0.35">
      <c r="A73" s="16">
        <v>11082</v>
      </c>
      <c r="B73" s="19" t="s">
        <v>306</v>
      </c>
      <c r="C73" s="18" t="s">
        <v>130</v>
      </c>
      <c r="D73" s="18" t="s">
        <v>185</v>
      </c>
      <c r="E73" s="5">
        <v>3003</v>
      </c>
      <c r="F73" s="4" t="s">
        <v>63</v>
      </c>
      <c r="G73" s="26">
        <f t="shared" si="8"/>
        <v>2</v>
      </c>
      <c r="H73" s="32" t="str">
        <f>IFERROR(VLOOKUP(H30,[1]中介表!$A$1:$C$20,2,FALSE),"")</f>
        <v>王母娘娘</v>
      </c>
      <c r="I73" s="33" t="str">
        <f>IFERROR(VLOOKUP(I30,[1]中介表!$A$1:$C$20,2,FALSE),"")</f>
        <v>东海龙王</v>
      </c>
      <c r="J73" s="35" t="str">
        <f>IFERROR(VLOOKUP(J30,[1]中介表!$A$1:$C$20,2,FALSE),"")</f>
        <v/>
      </c>
      <c r="K73" s="35"/>
      <c r="L73" s="45" t="s">
        <v>451</v>
      </c>
      <c r="N73" s="2" t="str">
        <f t="shared" si="6"/>
        <v>生命</v>
      </c>
      <c r="O73" s="2" t="str">
        <f t="shared" si="9"/>
        <v/>
      </c>
      <c r="P73" s="2" t="str">
        <f t="shared" si="10"/>
        <v>+16%</v>
      </c>
      <c r="Q73" s="2" t="str">
        <f t="shared" si="7"/>
        <v>7216</v>
      </c>
    </row>
    <row r="74" spans="1:17" x14ac:dyDescent="0.35">
      <c r="A74" s="16">
        <v>11083</v>
      </c>
      <c r="B74" s="19" t="s">
        <v>307</v>
      </c>
      <c r="C74" s="18" t="s">
        <v>64</v>
      </c>
      <c r="D74" s="18" t="s">
        <v>65</v>
      </c>
      <c r="E74" s="5">
        <v>3012</v>
      </c>
      <c r="F74" s="4" t="s">
        <v>72</v>
      </c>
      <c r="G74" s="26">
        <f t="shared" si="8"/>
        <v>2</v>
      </c>
      <c r="H74" s="32" t="str">
        <f>IFERROR(VLOOKUP(H31,[1]中介表!$A$1:$C$20,2,FALSE),"")</f>
        <v>哪吒</v>
      </c>
      <c r="I74" s="33" t="str">
        <f>IFERROR(VLOOKUP(I31,[1]中介表!$A$1:$C$20,2,FALSE),"")</f>
        <v>太白金星</v>
      </c>
      <c r="J74" s="35" t="str">
        <f>IFERROR(VLOOKUP(J31,[1]中介表!$A$1:$C$20,2,FALSE),"")</f>
        <v/>
      </c>
      <c r="K74" s="35"/>
      <c r="L74" s="2" t="s">
        <v>68</v>
      </c>
      <c r="N74" s="2" t="str">
        <f t="shared" si="6"/>
        <v>防御</v>
      </c>
      <c r="O74" s="2" t="str">
        <f t="shared" si="9"/>
        <v/>
      </c>
      <c r="P74" s="2" t="str">
        <f t="shared" si="10"/>
        <v>+16%</v>
      </c>
      <c r="Q74" s="2" t="str">
        <f t="shared" si="7"/>
        <v>7816,7916</v>
      </c>
    </row>
    <row r="75" spans="1:17" x14ac:dyDescent="0.35">
      <c r="A75" s="16">
        <v>11084</v>
      </c>
      <c r="B75" s="19" t="s">
        <v>308</v>
      </c>
      <c r="C75" s="18" t="s">
        <v>392</v>
      </c>
      <c r="D75" s="18" t="s">
        <v>393</v>
      </c>
      <c r="E75" s="5">
        <v>3011</v>
      </c>
      <c r="F75" s="4" t="s">
        <v>69</v>
      </c>
      <c r="G75" s="26">
        <f t="shared" si="8"/>
        <v>2</v>
      </c>
      <c r="H75" s="32" t="str">
        <f>IFERROR(VLOOKUP(H32,[1]中介表!$A$1:$C$20,2,FALSE),"")</f>
        <v>白无常</v>
      </c>
      <c r="I75" s="33" t="str">
        <f>IFERROR(VLOOKUP(I32,[1]中介表!$A$1:$C$20,2,FALSE),"")</f>
        <v>玉皇大帝</v>
      </c>
      <c r="J75" s="35" t="str">
        <f>IFERROR(VLOOKUP(J32,[1]中介表!$A$1:$C$20,2,FALSE),"")</f>
        <v/>
      </c>
      <c r="K75" s="35"/>
      <c r="L75" s="2" t="s">
        <v>68</v>
      </c>
      <c r="N75" s="2" t="str">
        <f t="shared" si="6"/>
        <v>防御</v>
      </c>
      <c r="O75" s="2" t="str">
        <f t="shared" si="9"/>
        <v/>
      </c>
      <c r="P75" s="2" t="str">
        <f t="shared" si="10"/>
        <v>+16%</v>
      </c>
      <c r="Q75" s="2" t="str">
        <f t="shared" si="7"/>
        <v>7816,7916</v>
      </c>
    </row>
    <row r="76" spans="1:17" x14ac:dyDescent="0.35">
      <c r="A76" s="16">
        <v>11085</v>
      </c>
      <c r="B76" s="19" t="s">
        <v>309</v>
      </c>
      <c r="C76" s="18" t="s">
        <v>242</v>
      </c>
      <c r="D76" s="18" t="s">
        <v>243</v>
      </c>
      <c r="E76" s="5" t="s">
        <v>67</v>
      </c>
      <c r="F76" s="4" t="s">
        <v>68</v>
      </c>
      <c r="G76" s="26">
        <f t="shared" si="8"/>
        <v>2</v>
      </c>
      <c r="H76" s="33" t="str">
        <f>IFERROR(VLOOKUP(H33,[1]中介表!$A$1:$C$20,2,FALSE),"")</f>
        <v>阎罗王</v>
      </c>
      <c r="I76" s="33" t="str">
        <f>IFERROR(VLOOKUP(I33,[1]中介表!$A$1:$C$20,2,FALSE),"")</f>
        <v>小白龙</v>
      </c>
      <c r="J76" s="34" t="str">
        <f>IFERROR(VLOOKUP(J33,[1]中介表!$A$1:$C$20,2,FALSE),"")</f>
        <v/>
      </c>
      <c r="K76" s="35"/>
      <c r="L76" s="45" t="s">
        <v>450</v>
      </c>
      <c r="N76" s="2" t="str">
        <f t="shared" si="6"/>
        <v>生命</v>
      </c>
      <c r="O76" s="2" t="str">
        <f t="shared" si="9"/>
        <v/>
      </c>
      <c r="P76" s="2" t="str">
        <f t="shared" si="10"/>
        <v>+16%</v>
      </c>
      <c r="Q76" s="2" t="str">
        <f t="shared" si="7"/>
        <v>7216</v>
      </c>
    </row>
    <row r="77" spans="1:17" x14ac:dyDescent="0.35">
      <c r="A77" s="16">
        <v>11086</v>
      </c>
      <c r="B77" s="19" t="s">
        <v>310</v>
      </c>
      <c r="C77" s="18" t="s">
        <v>186</v>
      </c>
      <c r="D77" s="18" t="s">
        <v>187</v>
      </c>
      <c r="E77" s="5">
        <v>3001</v>
      </c>
      <c r="F77" s="4" t="s">
        <v>66</v>
      </c>
      <c r="G77" s="26">
        <f t="shared" si="8"/>
        <v>3</v>
      </c>
      <c r="H77" s="36" t="str">
        <f>IFERROR(VLOOKUP(H34,[1]中介表!$A$1:$C$20,2,FALSE),"")</f>
        <v>鬼使黑</v>
      </c>
      <c r="I77" s="37" t="str">
        <f>IFERROR(VLOOKUP(I34,[1]中介表!$A$1:$C$20,2,FALSE),"")</f>
        <v>马面</v>
      </c>
      <c r="J77" s="36" t="str">
        <f>IFERROR(VLOOKUP(J34,[1]中介表!$A$1:$C$20,2,FALSE),"")</f>
        <v>泾河龙王</v>
      </c>
      <c r="K77" s="35"/>
      <c r="L77" s="2" t="s">
        <v>452</v>
      </c>
      <c r="N77" s="2" t="str">
        <f t="shared" si="6"/>
        <v>生命</v>
      </c>
      <c r="O77" s="2" t="str">
        <f t="shared" si="9"/>
        <v>攻击</v>
      </c>
      <c r="P77" s="2" t="str">
        <f t="shared" si="10"/>
        <v>+20%</v>
      </c>
      <c r="Q77" s="2" t="str">
        <f t="shared" si="7"/>
        <v>7220,7320</v>
      </c>
    </row>
    <row r="78" spans="1:17" x14ac:dyDescent="0.35">
      <c r="A78" s="16">
        <v>11087</v>
      </c>
      <c r="B78" s="19" t="s">
        <v>311</v>
      </c>
      <c r="C78" s="18" t="s">
        <v>188</v>
      </c>
      <c r="D78" s="18" t="s">
        <v>189</v>
      </c>
      <c r="E78" s="5" t="s">
        <v>57</v>
      </c>
      <c r="F78" s="4" t="s">
        <v>58</v>
      </c>
      <c r="G78" s="26">
        <f t="shared" si="8"/>
        <v>3</v>
      </c>
      <c r="H78" s="37" t="str">
        <f>IFERROR(VLOOKUP(H35,[1]中介表!$A$1:$C$20,2,FALSE),"")</f>
        <v>牛头</v>
      </c>
      <c r="I78" s="36" t="str">
        <f>IFERROR(VLOOKUP(I35,[1]中介表!$A$1:$C$20,2,FALSE),"")</f>
        <v>雷公</v>
      </c>
      <c r="J78" s="37" t="str">
        <f>IFERROR(VLOOKUP(J35,[1]中介表!$A$1:$C$20,2,FALSE),"")</f>
        <v>马面</v>
      </c>
      <c r="K78" s="35"/>
      <c r="L78" s="2" t="s">
        <v>432</v>
      </c>
      <c r="N78" s="2" t="str">
        <f t="shared" si="6"/>
        <v>生命</v>
      </c>
      <c r="O78" s="2" t="str">
        <f t="shared" si="9"/>
        <v>攻击</v>
      </c>
      <c r="P78" s="2" t="str">
        <f t="shared" si="10"/>
        <v>+20%</v>
      </c>
      <c r="Q78" s="2" t="str">
        <f t="shared" si="7"/>
        <v>7220,7320</v>
      </c>
    </row>
    <row r="79" spans="1:17" x14ac:dyDescent="0.35">
      <c r="A79" s="16">
        <v>11088</v>
      </c>
      <c r="B79" s="19" t="s">
        <v>302</v>
      </c>
      <c r="C79" s="18" t="s">
        <v>85</v>
      </c>
      <c r="D79" s="18" t="s">
        <v>86</v>
      </c>
      <c r="E79" s="5" t="s">
        <v>60</v>
      </c>
      <c r="F79" s="4" t="s">
        <v>61</v>
      </c>
      <c r="G79" s="26">
        <f t="shared" si="8"/>
        <v>2</v>
      </c>
      <c r="H79" s="36" t="str">
        <f>IFERROR(VLOOKUP(H36,[1]中介表!$A$1:$C$20,2,FALSE),"")</f>
        <v>泾河龙王</v>
      </c>
      <c r="I79" s="36" t="str">
        <f>IFERROR(VLOOKUP(I36,[1]中介表!$A$1:$C$20,2,FALSE),"")</f>
        <v>雷公</v>
      </c>
      <c r="J79" s="34" t="str">
        <f>IFERROR(VLOOKUP(J36,[1]中介表!$A$1:$C$20,2,FALSE),"")</f>
        <v/>
      </c>
      <c r="K79" s="35"/>
      <c r="L79" s="2" t="s">
        <v>450</v>
      </c>
      <c r="N79" s="2" t="str">
        <f t="shared" si="6"/>
        <v>生命</v>
      </c>
      <c r="O79" s="2" t="str">
        <f t="shared" si="9"/>
        <v/>
      </c>
      <c r="P79" s="2" t="str">
        <f t="shared" si="10"/>
        <v>+16%</v>
      </c>
      <c r="Q79" s="2" t="str">
        <f t="shared" si="7"/>
        <v>7216</v>
      </c>
    </row>
    <row r="80" spans="1:17" x14ac:dyDescent="0.35">
      <c r="A80" s="16">
        <v>11089</v>
      </c>
      <c r="B80" s="19" t="s">
        <v>312</v>
      </c>
      <c r="C80" s="18" t="s">
        <v>53</v>
      </c>
      <c r="D80" s="18" t="s">
        <v>87</v>
      </c>
      <c r="E80" s="5">
        <v>3012</v>
      </c>
      <c r="F80" s="4" t="s">
        <v>72</v>
      </c>
      <c r="G80" s="26">
        <f t="shared" si="8"/>
        <v>2</v>
      </c>
      <c r="H80" s="36" t="str">
        <f>IFERROR(VLOOKUP(H37,[1]中介表!$A$1:$C$20,2,FALSE),"")</f>
        <v>鬼使黑</v>
      </c>
      <c r="I80" s="36" t="str">
        <f>IFERROR(VLOOKUP(I37,[1]中介表!$A$1:$C$20,2,FALSE),"")</f>
        <v>鬼使白</v>
      </c>
      <c r="J80" s="34" t="str">
        <f>IFERROR(VLOOKUP(J37,[1]中介表!$A$1:$C$20,2,FALSE),"")</f>
        <v/>
      </c>
      <c r="K80" s="35"/>
      <c r="L80" s="2" t="s">
        <v>450</v>
      </c>
      <c r="N80" s="2" t="str">
        <f t="shared" si="6"/>
        <v>生命</v>
      </c>
      <c r="O80" s="2" t="str">
        <f t="shared" si="9"/>
        <v/>
      </c>
      <c r="P80" s="2" t="str">
        <f t="shared" si="10"/>
        <v>+16%</v>
      </c>
      <c r="Q80" s="2" t="str">
        <f t="shared" si="7"/>
        <v>7216</v>
      </c>
    </row>
    <row r="81" spans="1:17" x14ac:dyDescent="0.35">
      <c r="A81" s="16">
        <v>11090</v>
      </c>
      <c r="B81" s="19" t="s">
        <v>313</v>
      </c>
      <c r="C81" s="18" t="s">
        <v>54</v>
      </c>
      <c r="D81" s="18" t="s">
        <v>17</v>
      </c>
      <c r="E81" s="5" t="s">
        <v>67</v>
      </c>
      <c r="F81" s="4" t="s">
        <v>68</v>
      </c>
      <c r="G81" s="26">
        <f t="shared" si="8"/>
        <v>2</v>
      </c>
      <c r="H81" s="37" t="str">
        <f>IFERROR(VLOOKUP(H38,[1]中介表!$A$1:$C$20,2,FALSE),"")</f>
        <v>牛头</v>
      </c>
      <c r="I81" s="37" t="str">
        <f>IFERROR(VLOOKUP(I38,[1]中介表!$A$1:$C$20,2,FALSE),"")</f>
        <v>马面</v>
      </c>
      <c r="J81" s="34" t="str">
        <f>IFERROR(VLOOKUP(J38,[1]中介表!$A$1:$C$20,2,FALSE),"")</f>
        <v/>
      </c>
      <c r="K81" s="35"/>
      <c r="L81" s="2" t="s">
        <v>68</v>
      </c>
      <c r="N81" s="2" t="str">
        <f t="shared" si="6"/>
        <v>防御</v>
      </c>
      <c r="O81" s="2" t="str">
        <f t="shared" si="9"/>
        <v/>
      </c>
      <c r="P81" s="2" t="str">
        <f t="shared" si="10"/>
        <v>+16%</v>
      </c>
      <c r="Q81" s="2" t="str">
        <f t="shared" si="7"/>
        <v>7816,7916</v>
      </c>
    </row>
    <row r="82" spans="1:17" x14ac:dyDescent="0.35">
      <c r="A82" s="16">
        <v>11091</v>
      </c>
      <c r="B82" s="19" t="s">
        <v>314</v>
      </c>
      <c r="C82" s="18" t="s">
        <v>190</v>
      </c>
      <c r="D82" s="18" t="s">
        <v>191</v>
      </c>
      <c r="E82" s="5">
        <v>3003</v>
      </c>
      <c r="F82" s="4" t="s">
        <v>63</v>
      </c>
      <c r="G82" s="26">
        <f t="shared" si="8"/>
        <v>2</v>
      </c>
      <c r="H82" s="36" t="str">
        <f>IFERROR(VLOOKUP(H39,[1]中介表!$A$1:$C$20,2,FALSE),"")</f>
        <v>泾河龙王</v>
      </c>
      <c r="I82" s="36" t="str">
        <f>IFERROR(VLOOKUP(I39,[1]中介表!$A$1:$C$20,2,FALSE),"")</f>
        <v>鬼使黑</v>
      </c>
      <c r="J82" s="34" t="str">
        <f>IFERROR(VLOOKUP(J39,[1]中介表!$A$1:$C$20,2,FALSE),"")</f>
        <v/>
      </c>
      <c r="K82" s="35"/>
      <c r="L82" s="2" t="s">
        <v>68</v>
      </c>
      <c r="N82" s="2" t="str">
        <f t="shared" si="6"/>
        <v>防御</v>
      </c>
      <c r="O82" s="2" t="str">
        <f t="shared" si="9"/>
        <v/>
      </c>
      <c r="P82" s="2" t="str">
        <f t="shared" si="10"/>
        <v>+16%</v>
      </c>
      <c r="Q82" s="2" t="str">
        <f t="shared" si="7"/>
        <v>7816,7916</v>
      </c>
    </row>
    <row r="83" spans="1:17" x14ac:dyDescent="0.35">
      <c r="A83" s="16">
        <v>11092</v>
      </c>
      <c r="B83" s="19" t="s">
        <v>315</v>
      </c>
      <c r="C83" s="18" t="s">
        <v>192</v>
      </c>
      <c r="D83" s="18" t="s">
        <v>193</v>
      </c>
      <c r="E83" s="5">
        <v>3003</v>
      </c>
      <c r="F83" s="4" t="s">
        <v>63</v>
      </c>
      <c r="G83" s="26">
        <f t="shared" si="8"/>
        <v>2</v>
      </c>
      <c r="H83" s="36" t="str">
        <f>IFERROR(VLOOKUP(H40,[1]中介表!$A$1:$C$20,2,FALSE),"")</f>
        <v>雷公</v>
      </c>
      <c r="I83" s="36" t="str">
        <f>IFERROR(VLOOKUP(I40,[1]中介表!$A$1:$C$20,2,FALSE),"")</f>
        <v>鬼使白</v>
      </c>
      <c r="J83" s="34" t="str">
        <f>IFERROR(VLOOKUP(J40,[1]中介表!$A$1:$C$20,2,FALSE),"")</f>
        <v/>
      </c>
      <c r="K83" s="35"/>
      <c r="L83" s="2" t="s">
        <v>68</v>
      </c>
      <c r="N83" s="2" t="str">
        <f t="shared" si="6"/>
        <v>防御</v>
      </c>
      <c r="O83" s="2" t="str">
        <f t="shared" si="9"/>
        <v/>
      </c>
      <c r="P83" s="2" t="str">
        <f t="shared" si="10"/>
        <v>+16%</v>
      </c>
      <c r="Q83" s="2" t="str">
        <f t="shared" si="7"/>
        <v>7816,7916</v>
      </c>
    </row>
    <row r="84" spans="1:17" x14ac:dyDescent="0.35">
      <c r="A84" s="16">
        <v>11093</v>
      </c>
      <c r="B84" s="19" t="s">
        <v>316</v>
      </c>
      <c r="C84" s="18" t="s">
        <v>194</v>
      </c>
      <c r="D84" s="18" t="s">
        <v>195</v>
      </c>
      <c r="E84" s="5">
        <v>3011</v>
      </c>
      <c r="F84" s="4" t="s">
        <v>69</v>
      </c>
      <c r="G84" s="26">
        <f t="shared" si="8"/>
        <v>2</v>
      </c>
      <c r="H84" s="36" t="str">
        <f>IFERROR(VLOOKUP(H41,[1]中介表!$A$1:$C$20,2,FALSE),"")</f>
        <v>鬼使黑</v>
      </c>
      <c r="I84" s="37" t="str">
        <f>IFERROR(VLOOKUP(I41,[1]中介表!$A$1:$C$20,2,FALSE),"")</f>
        <v>牛头</v>
      </c>
      <c r="J84" s="34" t="str">
        <f>IFERROR(VLOOKUP(J41,[1]中介表!$A$1:$C$20,2,FALSE),"")</f>
        <v/>
      </c>
      <c r="K84" s="35"/>
      <c r="L84" s="2" t="s">
        <v>450</v>
      </c>
      <c r="N84" s="2" t="str">
        <f t="shared" si="6"/>
        <v>生命</v>
      </c>
      <c r="O84" s="2" t="str">
        <f t="shared" si="9"/>
        <v/>
      </c>
      <c r="P84" s="2" t="str">
        <f t="shared" si="10"/>
        <v>+16%</v>
      </c>
      <c r="Q84" s="2" t="str">
        <f t="shared" si="7"/>
        <v>7216</v>
      </c>
    </row>
    <row r="85" spans="1:17" x14ac:dyDescent="0.35">
      <c r="A85" s="16">
        <v>11094</v>
      </c>
      <c r="B85" s="19" t="s">
        <v>317</v>
      </c>
      <c r="C85" s="18" t="s">
        <v>196</v>
      </c>
      <c r="D85" s="18" t="s">
        <v>197</v>
      </c>
      <c r="E85" s="5">
        <v>3012</v>
      </c>
      <c r="F85" s="4" t="s">
        <v>72</v>
      </c>
      <c r="G85" s="26">
        <f t="shared" si="8"/>
        <v>2</v>
      </c>
      <c r="H85" s="36" t="str">
        <f>IFERROR(VLOOKUP(H42,[1]中介表!$A$1:$C$20,2,FALSE),"")</f>
        <v>鬼使白</v>
      </c>
      <c r="I85" s="37" t="str">
        <f>IFERROR(VLOOKUP(I42,[1]中介表!$A$1:$C$20,2,FALSE),"")</f>
        <v>马面</v>
      </c>
      <c r="J85" s="34" t="str">
        <f>IFERROR(VLOOKUP(J42,[1]中介表!$A$1:$C$20,2,FALSE),"")</f>
        <v/>
      </c>
      <c r="K85" s="35"/>
      <c r="L85" s="2" t="s">
        <v>68</v>
      </c>
      <c r="N85" s="2" t="str">
        <f t="shared" si="6"/>
        <v>防御</v>
      </c>
      <c r="O85" s="2" t="str">
        <f t="shared" si="9"/>
        <v/>
      </c>
      <c r="P85" s="2" t="str">
        <f t="shared" si="10"/>
        <v>+16%</v>
      </c>
      <c r="Q85" s="2" t="str">
        <f t="shared" si="7"/>
        <v>7816,7916</v>
      </c>
    </row>
    <row r="86" spans="1:17" x14ac:dyDescent="0.35">
      <c r="A86" s="16">
        <v>11095</v>
      </c>
      <c r="B86" s="19" t="s">
        <v>318</v>
      </c>
      <c r="C86" s="18" t="s">
        <v>198</v>
      </c>
      <c r="D86" s="18" t="s">
        <v>199</v>
      </c>
      <c r="E86" s="5">
        <v>3003</v>
      </c>
      <c r="F86" s="4" t="s">
        <v>63</v>
      </c>
      <c r="G86" s="26">
        <f t="shared" si="8"/>
        <v>2</v>
      </c>
      <c r="H86" s="36" t="str">
        <f>IFERROR(VLOOKUP(H43,[1]中介表!$A$1:$C$20,2,FALSE),"")</f>
        <v>泾河龙王</v>
      </c>
      <c r="I86" s="36" t="str">
        <f>IFERROR(VLOOKUP(I43,[1]中介表!$A$1:$C$20,2,FALSE),"")</f>
        <v>鬼使白</v>
      </c>
      <c r="J86" s="34" t="str">
        <f>IFERROR(VLOOKUP(J43,[1]中介表!$A$1:$C$20,2,FALSE),"")</f>
        <v/>
      </c>
      <c r="K86" s="35"/>
      <c r="L86" s="2" t="s">
        <v>447</v>
      </c>
      <c r="N86" s="2" t="str">
        <f t="shared" si="6"/>
        <v>攻击</v>
      </c>
      <c r="O86" s="2" t="str">
        <f t="shared" si="9"/>
        <v/>
      </c>
      <c r="P86" s="2" t="str">
        <f t="shared" si="10"/>
        <v>+16%</v>
      </c>
      <c r="Q86" s="2" t="str">
        <f t="shared" si="7"/>
        <v>7316</v>
      </c>
    </row>
    <row r="87" spans="1:17" x14ac:dyDescent="0.35">
      <c r="A87" s="16">
        <v>11096</v>
      </c>
      <c r="B87" s="19" t="s">
        <v>319</v>
      </c>
      <c r="C87" s="18" t="s">
        <v>200</v>
      </c>
      <c r="D87" s="18" t="s">
        <v>201</v>
      </c>
      <c r="E87" s="5">
        <v>3001</v>
      </c>
      <c r="F87" s="4" t="s">
        <v>66</v>
      </c>
      <c r="G87" s="26">
        <f t="shared" si="8"/>
        <v>2</v>
      </c>
      <c r="H87" s="36" t="str">
        <f>IFERROR(VLOOKUP(H44,[1]中介表!$A$1:$C$20,2,FALSE),"")</f>
        <v>雷公</v>
      </c>
      <c r="I87" s="37" t="str">
        <f>IFERROR(VLOOKUP(I44,[1]中介表!$A$1:$C$20,2,FALSE),"")</f>
        <v>牛头</v>
      </c>
      <c r="J87" s="34" t="str">
        <f>IFERROR(VLOOKUP(J44,[1]中介表!$A$1:$C$20,2,FALSE),"")</f>
        <v/>
      </c>
      <c r="K87" s="35"/>
      <c r="L87" s="2" t="s">
        <v>447</v>
      </c>
      <c r="N87" s="2" t="str">
        <f t="shared" si="6"/>
        <v>攻击</v>
      </c>
      <c r="O87" s="2" t="str">
        <f t="shared" si="9"/>
        <v/>
      </c>
      <c r="P87" s="2" t="str">
        <f t="shared" si="10"/>
        <v>+16%</v>
      </c>
      <c r="Q87" s="2" t="str">
        <f t="shared" si="7"/>
        <v>7316</v>
      </c>
    </row>
    <row r="88" spans="1:17" s="40" customFormat="1" x14ac:dyDescent="0.35">
      <c r="A88" s="39">
        <v>11097</v>
      </c>
      <c r="B88" s="21" t="s">
        <v>320</v>
      </c>
      <c r="C88" s="22" t="s">
        <v>394</v>
      </c>
      <c r="D88" s="22" t="s">
        <v>395</v>
      </c>
      <c r="E88" s="24">
        <v>3012</v>
      </c>
      <c r="F88" s="25" t="s">
        <v>72</v>
      </c>
      <c r="G88" s="27">
        <f t="shared" si="8"/>
        <v>4</v>
      </c>
      <c r="H88" s="41" t="str">
        <f>IFERROR(VLOOKUP(H45,[1]中介表!$B$1:$C$20,2,FALSE),"")</f>
        <v>斗战胜佛</v>
      </c>
      <c r="I88" s="41" t="str">
        <f>IFERROR(VLOOKUP(I45,[1]中介表!$B$1:$C$20,2,FALSE),"")</f>
        <v>紫霞仙子</v>
      </c>
      <c r="J88" s="41" t="str">
        <f>IFERROR(VLOOKUP(J45,[1]中介表!$B$1:$C$20,2,FALSE),"")</f>
        <v>弥勒佛</v>
      </c>
      <c r="K88" s="42" t="str">
        <f>IFERROR(VLOOKUP(K45,[1]中介表!$B$1:$C$20,2,FALSE),"")</f>
        <v>文殊菩萨</v>
      </c>
      <c r="L88" s="40" t="s">
        <v>431</v>
      </c>
      <c r="N88" s="40" t="str">
        <f t="shared" si="6"/>
        <v>生命</v>
      </c>
      <c r="O88" s="40" t="str">
        <f t="shared" si="9"/>
        <v>攻击</v>
      </c>
      <c r="P88" s="40" t="str">
        <f t="shared" si="10"/>
        <v>+24%</v>
      </c>
      <c r="Q88" s="2" t="str">
        <f t="shared" si="7"/>
        <v>7224,7324</v>
      </c>
    </row>
    <row r="89" spans="1:17" x14ac:dyDescent="0.35">
      <c r="A89" s="17">
        <v>11098</v>
      </c>
      <c r="B89" s="19" t="s">
        <v>321</v>
      </c>
      <c r="C89" s="18" t="s">
        <v>396</v>
      </c>
      <c r="D89" s="18" t="s">
        <v>397</v>
      </c>
      <c r="E89" s="5" t="s">
        <v>67</v>
      </c>
      <c r="F89" s="4" t="s">
        <v>68</v>
      </c>
      <c r="G89" s="26">
        <f t="shared" si="8"/>
        <v>4</v>
      </c>
      <c r="H89" s="32" t="str">
        <f>IFERROR(VLOOKUP(H46,[1]中介表!$B$1:$C$20,2,FALSE),"")</f>
        <v>八部天龙</v>
      </c>
      <c r="I89" s="32" t="str">
        <f>IFERROR(VLOOKUP(I46,[1]中介表!$B$1:$C$20,2,FALSE),"")</f>
        <v>龙帝</v>
      </c>
      <c r="J89" s="32" t="str">
        <f>IFERROR(VLOOKUP(J46,[1]中介表!$B$1:$C$20,2,FALSE),"")</f>
        <v>金蝉子</v>
      </c>
      <c r="K89" s="33" t="str">
        <f>IFERROR(VLOOKUP(K46,[1]中介表!$B$1:$C$20,2,FALSE),"")</f>
        <v>观世音</v>
      </c>
      <c r="L89" s="2" t="s">
        <v>431</v>
      </c>
      <c r="N89" s="2" t="str">
        <f t="shared" si="6"/>
        <v>生命</v>
      </c>
      <c r="O89" s="2" t="str">
        <f t="shared" si="9"/>
        <v>攻击</v>
      </c>
      <c r="P89" s="2" t="str">
        <f t="shared" si="10"/>
        <v>+24%</v>
      </c>
      <c r="Q89" s="2" t="str">
        <f t="shared" si="7"/>
        <v>7224,7324</v>
      </c>
    </row>
    <row r="90" spans="1:17" x14ac:dyDescent="0.35">
      <c r="A90" s="17">
        <v>11099</v>
      </c>
      <c r="B90" s="19" t="s">
        <v>322</v>
      </c>
      <c r="C90" s="18" t="s">
        <v>398</v>
      </c>
      <c r="D90" s="18" t="s">
        <v>399</v>
      </c>
      <c r="E90" s="5" t="s">
        <v>57</v>
      </c>
      <c r="F90" s="4" t="s">
        <v>58</v>
      </c>
      <c r="G90" s="26">
        <f t="shared" si="8"/>
        <v>3</v>
      </c>
      <c r="H90" s="32" t="str">
        <f>IFERROR(VLOOKUP(H47,[1]中介表!$B$1:$C$20,2,FALSE),"")</f>
        <v>斗战胜佛</v>
      </c>
      <c r="I90" s="32" t="str">
        <f>IFERROR(VLOOKUP(I47,[1]中介表!$B$1:$C$20,2,FALSE),"")</f>
        <v>紫霞仙子</v>
      </c>
      <c r="J90" s="32" t="str">
        <f>IFERROR(VLOOKUP(J47,[1]中介表!$B$1:$C$20,2,FALSE),"")</f>
        <v>金蝉子</v>
      </c>
      <c r="K90" s="34" t="str">
        <f>IFERROR(VLOOKUP(K47,[1]中介表!$B$1:$C$20,2,FALSE),"")</f>
        <v/>
      </c>
      <c r="L90" s="2" t="s">
        <v>432</v>
      </c>
      <c r="N90" s="2" t="str">
        <f t="shared" si="6"/>
        <v>生命</v>
      </c>
      <c r="O90" s="2" t="str">
        <f t="shared" si="9"/>
        <v>攻击</v>
      </c>
      <c r="P90" s="2" t="str">
        <f t="shared" si="10"/>
        <v>+20%</v>
      </c>
      <c r="Q90" s="2" t="str">
        <f t="shared" si="7"/>
        <v>7220,7320</v>
      </c>
    </row>
    <row r="91" spans="1:17" x14ac:dyDescent="0.35">
      <c r="A91" s="17">
        <v>11100</v>
      </c>
      <c r="B91" s="19" t="s">
        <v>323</v>
      </c>
      <c r="C91" s="18" t="s">
        <v>400</v>
      </c>
      <c r="D91" s="18" t="s">
        <v>401</v>
      </c>
      <c r="E91" s="5">
        <v>3003</v>
      </c>
      <c r="F91" s="4" t="s">
        <v>63</v>
      </c>
      <c r="G91" s="26">
        <f t="shared" si="8"/>
        <v>3</v>
      </c>
      <c r="H91" s="32" t="str">
        <f>IFERROR(VLOOKUP(H48,[1]中介表!$B$1:$C$20,2,FALSE),"")</f>
        <v>八部天龙</v>
      </c>
      <c r="I91" s="32" t="str">
        <f>IFERROR(VLOOKUP(I48,[1]中介表!$B$1:$C$20,2,FALSE),"")</f>
        <v>龙帝</v>
      </c>
      <c r="J91" s="32" t="str">
        <f>IFERROR(VLOOKUP(J48,[1]中介表!$B$1:$C$20,2,FALSE),"")</f>
        <v>弥勒佛</v>
      </c>
      <c r="K91" s="34" t="str">
        <f>IFERROR(VLOOKUP(K48,[1]中介表!$B$1:$C$20,2,FALSE),"")</f>
        <v/>
      </c>
      <c r="L91" s="2" t="s">
        <v>432</v>
      </c>
      <c r="N91" s="2" t="str">
        <f t="shared" si="6"/>
        <v>生命</v>
      </c>
      <c r="O91" s="2" t="str">
        <f t="shared" si="9"/>
        <v>攻击</v>
      </c>
      <c r="P91" s="2" t="str">
        <f t="shared" si="10"/>
        <v>+20%</v>
      </c>
      <c r="Q91" s="2" t="str">
        <f t="shared" si="7"/>
        <v>7220,7320</v>
      </c>
    </row>
    <row r="92" spans="1:17" x14ac:dyDescent="0.35">
      <c r="A92" s="17">
        <v>11101</v>
      </c>
      <c r="B92" s="19" t="s">
        <v>324</v>
      </c>
      <c r="C92" s="18" t="s">
        <v>402</v>
      </c>
      <c r="D92" s="18" t="s">
        <v>403</v>
      </c>
      <c r="E92" s="5">
        <v>3012</v>
      </c>
      <c r="F92" s="4" t="s">
        <v>72</v>
      </c>
      <c r="G92" s="26">
        <f t="shared" si="8"/>
        <v>3</v>
      </c>
      <c r="H92" s="32" t="str">
        <f>IFERROR(VLOOKUP(H49,[1]中介表!$B$1:$C$20,2,FALSE),"")</f>
        <v>金蝉子</v>
      </c>
      <c r="I92" s="33" t="str">
        <f>IFERROR(VLOOKUP(I49,[1]中介表!$B$1:$C$20,2,FALSE),"")</f>
        <v>文殊菩萨</v>
      </c>
      <c r="J92" s="33" t="str">
        <f>IFERROR(VLOOKUP(J49,[1]中介表!$B$1:$C$20,2,FALSE),"")</f>
        <v>观世音</v>
      </c>
      <c r="K92" s="34" t="str">
        <f>IFERROR(VLOOKUP(K49,[1]中介表!$B$1:$C$20,2,FALSE),"")</f>
        <v/>
      </c>
      <c r="L92" s="2" t="s">
        <v>433</v>
      </c>
      <c r="N92" s="2" t="str">
        <f t="shared" si="6"/>
        <v>生命</v>
      </c>
      <c r="O92" s="2" t="str">
        <f t="shared" si="9"/>
        <v>防御</v>
      </c>
      <c r="P92" s="2" t="str">
        <f t="shared" si="10"/>
        <v>+20%</v>
      </c>
      <c r="Q92" s="2" t="str">
        <f t="shared" si="7"/>
        <v>7220,7820,7920</v>
      </c>
    </row>
    <row r="93" spans="1:17" x14ac:dyDescent="0.35">
      <c r="A93" s="17">
        <v>11102</v>
      </c>
      <c r="B93" s="19" t="s">
        <v>325</v>
      </c>
      <c r="C93" s="18" t="s">
        <v>404</v>
      </c>
      <c r="D93" s="18" t="s">
        <v>405</v>
      </c>
      <c r="E93" s="5">
        <v>3002</v>
      </c>
      <c r="F93" s="4" t="s">
        <v>62</v>
      </c>
      <c r="G93" s="26">
        <f t="shared" si="8"/>
        <v>3</v>
      </c>
      <c r="H93" s="32" t="str">
        <f>IFERROR(VLOOKUP(H50,[1]中介表!$B$1:$C$20,2,FALSE),"")</f>
        <v>弥勒佛</v>
      </c>
      <c r="I93" s="33" t="str">
        <f>IFERROR(VLOOKUP(I50,[1]中介表!$B$1:$C$20,2,FALSE),"")</f>
        <v>文殊菩萨</v>
      </c>
      <c r="J93" s="33" t="str">
        <f>IFERROR(VLOOKUP(J50,[1]中介表!$B$1:$C$20,2,FALSE),"")</f>
        <v>观世音</v>
      </c>
      <c r="K93" s="34" t="str">
        <f>IFERROR(VLOOKUP(K50,[1]中介表!$B$1:$C$20,2,FALSE),"")</f>
        <v/>
      </c>
      <c r="L93" s="2" t="s">
        <v>433</v>
      </c>
      <c r="N93" s="2" t="str">
        <f t="shared" si="6"/>
        <v>生命</v>
      </c>
      <c r="O93" s="2" t="str">
        <f t="shared" si="9"/>
        <v>防御</v>
      </c>
      <c r="P93" s="2" t="str">
        <f t="shared" si="10"/>
        <v>+20%</v>
      </c>
      <c r="Q93" s="2" t="str">
        <f t="shared" si="7"/>
        <v>7220,7820,7920</v>
      </c>
    </row>
    <row r="94" spans="1:17" x14ac:dyDescent="0.35">
      <c r="A94" s="17">
        <v>11103</v>
      </c>
      <c r="B94" s="19" t="s">
        <v>326</v>
      </c>
      <c r="C94" s="18" t="s">
        <v>202</v>
      </c>
      <c r="D94" s="18" t="s">
        <v>203</v>
      </c>
      <c r="E94" s="5">
        <v>3013</v>
      </c>
      <c r="F94" s="4" t="s">
        <v>59</v>
      </c>
      <c r="G94" s="26">
        <f t="shared" si="8"/>
        <v>3</v>
      </c>
      <c r="H94" s="33" t="str">
        <f>IFERROR(VLOOKUP(H51,[1]中介表!$B$1:$C$20,2,FALSE),"")</f>
        <v>唐三藏</v>
      </c>
      <c r="I94" s="33" t="str">
        <f>IFERROR(VLOOKUP(I51,[1]中介表!$B$1:$C$20,2,FALSE),"")</f>
        <v>迦叶</v>
      </c>
      <c r="J94" s="33" t="str">
        <f>IFERROR(VLOOKUP(J51,[1]中介表!$B$1:$C$20,2,FALSE),"")</f>
        <v>女儿国国王</v>
      </c>
      <c r="K94" s="34" t="str">
        <f>IFERROR(VLOOKUP(K51,[1]中介表!$B$1:$C$20,2,FALSE),"")</f>
        <v/>
      </c>
      <c r="L94" s="2" t="s">
        <v>433</v>
      </c>
      <c r="N94" s="2" t="str">
        <f t="shared" si="6"/>
        <v>生命</v>
      </c>
      <c r="O94" s="2" t="str">
        <f t="shared" si="9"/>
        <v>防御</v>
      </c>
      <c r="P94" s="2" t="str">
        <f t="shared" si="10"/>
        <v>+20%</v>
      </c>
      <c r="Q94" s="2" t="str">
        <f t="shared" si="7"/>
        <v>7220,7820,7920</v>
      </c>
    </row>
    <row r="95" spans="1:17" x14ac:dyDescent="0.35">
      <c r="A95" s="17">
        <v>11104</v>
      </c>
      <c r="B95" s="19" t="s">
        <v>327</v>
      </c>
      <c r="C95" s="18" t="s">
        <v>204</v>
      </c>
      <c r="D95" s="18" t="s">
        <v>205</v>
      </c>
      <c r="E95" s="5" t="s">
        <v>57</v>
      </c>
      <c r="F95" s="4" t="s">
        <v>58</v>
      </c>
      <c r="G95" s="26">
        <f t="shared" si="8"/>
        <v>3</v>
      </c>
      <c r="H95" s="33" t="str">
        <f>IFERROR(VLOOKUP(H52,[1]中介表!$B$1:$C$20,2,FALSE),"")</f>
        <v>红孩儿</v>
      </c>
      <c r="I95" s="33" t="str">
        <f>IFERROR(VLOOKUP(I52,[1]中介表!$B$1:$C$20,2,FALSE),"")</f>
        <v>引魂仙子</v>
      </c>
      <c r="J95" s="33" t="str">
        <f>IFERROR(VLOOKUP(J52,[1]中介表!$B$1:$C$20,2,FALSE),"")</f>
        <v>女儿国国王</v>
      </c>
      <c r="K95" s="34" t="str">
        <f>IFERROR(VLOOKUP(K52,[1]中介表!$B$1:$C$20,2,FALSE),"")</f>
        <v/>
      </c>
      <c r="L95" s="2" t="s">
        <v>432</v>
      </c>
      <c r="N95" s="2" t="str">
        <f t="shared" si="6"/>
        <v>生命</v>
      </c>
      <c r="O95" s="2" t="str">
        <f t="shared" si="9"/>
        <v>攻击</v>
      </c>
      <c r="P95" s="2" t="str">
        <f t="shared" si="10"/>
        <v>+20%</v>
      </c>
      <c r="Q95" s="2" t="str">
        <f t="shared" si="7"/>
        <v>7220,7320</v>
      </c>
    </row>
    <row r="96" spans="1:17" x14ac:dyDescent="0.35">
      <c r="A96" s="17">
        <v>11105</v>
      </c>
      <c r="B96" s="19" t="s">
        <v>328</v>
      </c>
      <c r="C96" s="18" t="s">
        <v>206</v>
      </c>
      <c r="D96" s="18" t="s">
        <v>207</v>
      </c>
      <c r="E96" s="5" t="s">
        <v>67</v>
      </c>
      <c r="F96" s="4" t="s">
        <v>68</v>
      </c>
      <c r="G96" s="26">
        <f t="shared" si="8"/>
        <v>3</v>
      </c>
      <c r="H96" s="33" t="str">
        <f>IFERROR(VLOOKUP(H53,[1]中介表!$B$1:$C$20,2,FALSE),"")</f>
        <v>迦叶</v>
      </c>
      <c r="I96" s="33" t="str">
        <f>IFERROR(VLOOKUP(I53,[1]中介表!$B$1:$C$20,2,FALSE),"")</f>
        <v>人参娃</v>
      </c>
      <c r="J96" s="33" t="str">
        <f>IFERROR(VLOOKUP(J53,[1]中介表!$B$1:$C$20,2,FALSE),"")</f>
        <v>红孩儿</v>
      </c>
      <c r="K96" s="34" t="str">
        <f>IFERROR(VLOOKUP(K53,[1]中介表!$B$1:$C$20,2,FALSE),"")</f>
        <v/>
      </c>
      <c r="L96" s="2" t="s">
        <v>443</v>
      </c>
      <c r="N96" s="2" t="str">
        <f t="shared" si="6"/>
        <v>生命</v>
      </c>
      <c r="O96" s="2" t="str">
        <f t="shared" si="9"/>
        <v>攻击</v>
      </c>
      <c r="P96" s="2" t="str">
        <f t="shared" si="10"/>
        <v>+20%</v>
      </c>
      <c r="Q96" s="2" t="str">
        <f t="shared" si="7"/>
        <v>7220,7320</v>
      </c>
    </row>
    <row r="97" spans="1:17" x14ac:dyDescent="0.35">
      <c r="A97" s="17">
        <v>11106</v>
      </c>
      <c r="B97" s="19" t="s">
        <v>329</v>
      </c>
      <c r="C97" s="18" t="s">
        <v>208</v>
      </c>
      <c r="D97" s="18" t="s">
        <v>209</v>
      </c>
      <c r="E97" s="5" t="s">
        <v>60</v>
      </c>
      <c r="F97" s="4" t="s">
        <v>61</v>
      </c>
      <c r="G97" s="26">
        <f t="shared" si="8"/>
        <v>3</v>
      </c>
      <c r="H97" s="33" t="str">
        <f>IFERROR(VLOOKUP(H54,[1]中介表!$B$1:$C$20,2,FALSE),"")</f>
        <v>唐三藏</v>
      </c>
      <c r="I97" s="33" t="str">
        <f>IFERROR(VLOOKUP(I54,[1]中介表!$B$1:$C$20,2,FALSE),"")</f>
        <v>引魂仙子</v>
      </c>
      <c r="J97" s="33" t="str">
        <f>IFERROR(VLOOKUP(J54,[1]中介表!$B$1:$C$20,2,FALSE),"")</f>
        <v>人参娃</v>
      </c>
      <c r="K97" s="34" t="str">
        <f>IFERROR(VLOOKUP(K54,[1]中介表!$B$1:$C$20,2,FALSE),"")</f>
        <v/>
      </c>
      <c r="L97" s="2" t="s">
        <v>445</v>
      </c>
      <c r="N97" s="2" t="str">
        <f t="shared" si="6"/>
        <v>生命</v>
      </c>
      <c r="O97" s="2" t="str">
        <f t="shared" si="9"/>
        <v>防御</v>
      </c>
      <c r="P97" s="2" t="str">
        <f t="shared" si="10"/>
        <v>+20%</v>
      </c>
      <c r="Q97" s="2" t="str">
        <f t="shared" si="7"/>
        <v>7220,7820,7920</v>
      </c>
    </row>
    <row r="98" spans="1:17" x14ac:dyDescent="0.35">
      <c r="A98" s="17">
        <v>11107</v>
      </c>
      <c r="B98" s="19" t="s">
        <v>330</v>
      </c>
      <c r="C98" s="18" t="s">
        <v>122</v>
      </c>
      <c r="D98" s="18" t="s">
        <v>210</v>
      </c>
      <c r="E98" s="5">
        <v>3012</v>
      </c>
      <c r="F98" s="4" t="s">
        <v>72</v>
      </c>
      <c r="G98" s="26">
        <f t="shared" si="8"/>
        <v>2</v>
      </c>
      <c r="H98" s="32" t="str">
        <f>IFERROR(VLOOKUP(H55,[1]中介表!$B$1:$C$20,2,FALSE),"")</f>
        <v>斗战胜佛</v>
      </c>
      <c r="I98" s="33" t="str">
        <f>IFERROR(VLOOKUP(I55,[1]中介表!$B$1:$C$20,2,FALSE),"")</f>
        <v>文殊菩萨</v>
      </c>
      <c r="J98" s="34" t="str">
        <f>IFERROR(VLOOKUP(J55,[1]中介表!$B$1:$C$20,2,FALSE),"")</f>
        <v/>
      </c>
      <c r="K98" s="34" t="str">
        <f>IFERROR(VLOOKUP(K55,[1]中介表!$B$1:$C$20,2,FALSE),"")</f>
        <v/>
      </c>
      <c r="L98" s="2" t="s">
        <v>434</v>
      </c>
      <c r="N98" s="2" t="str">
        <f t="shared" si="6"/>
        <v>攻击</v>
      </c>
      <c r="O98" s="2" t="str">
        <f t="shared" si="9"/>
        <v>防御</v>
      </c>
      <c r="P98" s="2" t="str">
        <f t="shared" si="10"/>
        <v>+20%</v>
      </c>
      <c r="Q98" s="2" t="str">
        <f t="shared" ref="Q98:Q130" si="11">VLOOKUP($N98&amp;$P98,$T:$U,2,0)&amp;IF($O98="","",","&amp;VLOOKUP($O98&amp;$P98,$T:$U,2,0))</f>
        <v>7320,7820,7920</v>
      </c>
    </row>
    <row r="99" spans="1:17" x14ac:dyDescent="0.35">
      <c r="A99" s="17">
        <v>11108</v>
      </c>
      <c r="B99" s="19" t="s">
        <v>331</v>
      </c>
      <c r="C99" s="18" t="s">
        <v>125</v>
      </c>
      <c r="D99" s="18" t="s">
        <v>211</v>
      </c>
      <c r="E99" s="5" t="s">
        <v>57</v>
      </c>
      <c r="F99" s="4" t="s">
        <v>58</v>
      </c>
      <c r="G99" s="26">
        <f t="shared" si="8"/>
        <v>2</v>
      </c>
      <c r="H99" s="32" t="str">
        <f>IFERROR(VLOOKUP(H56,[1]中介表!$B$1:$C$20,2,FALSE),"")</f>
        <v>紫霞仙子</v>
      </c>
      <c r="I99" s="33" t="str">
        <f>IFERROR(VLOOKUP(I56,[1]中介表!$B$1:$C$20,2,FALSE),"")</f>
        <v>文殊菩萨</v>
      </c>
      <c r="J99" s="34" t="str">
        <f>IFERROR(VLOOKUP(J56,[1]中介表!$B$1:$C$20,2,FALSE),"")</f>
        <v/>
      </c>
      <c r="K99" s="34" t="str">
        <f>IFERROR(VLOOKUP(K56,[1]中介表!$B$1:$C$20,2,FALSE),"")</f>
        <v/>
      </c>
      <c r="L99" s="2" t="s">
        <v>434</v>
      </c>
      <c r="N99" s="2" t="str">
        <f t="shared" si="6"/>
        <v>攻击</v>
      </c>
      <c r="O99" s="2" t="str">
        <f t="shared" si="9"/>
        <v>防御</v>
      </c>
      <c r="P99" s="2" t="str">
        <f t="shared" si="10"/>
        <v>+20%</v>
      </c>
      <c r="Q99" s="2" t="str">
        <f t="shared" si="11"/>
        <v>7320,7820,7920</v>
      </c>
    </row>
    <row r="100" spans="1:17" x14ac:dyDescent="0.35">
      <c r="A100" s="17">
        <v>11109</v>
      </c>
      <c r="B100" s="19" t="s">
        <v>332</v>
      </c>
      <c r="C100" s="18" t="s">
        <v>406</v>
      </c>
      <c r="D100" s="18" t="s">
        <v>407</v>
      </c>
      <c r="E100" s="5">
        <v>3003</v>
      </c>
      <c r="F100" s="4" t="s">
        <v>63</v>
      </c>
      <c r="G100" s="26">
        <f t="shared" si="8"/>
        <v>2</v>
      </c>
      <c r="H100" s="32" t="str">
        <f>IFERROR(VLOOKUP(H57,[1]中介表!$B$1:$C$20,2,FALSE),"")</f>
        <v>八部天龙</v>
      </c>
      <c r="I100" s="33" t="str">
        <f>IFERROR(VLOOKUP(I57,[1]中介表!$B$1:$C$20,2,FALSE),"")</f>
        <v>观世音</v>
      </c>
      <c r="J100" s="34" t="str">
        <f>IFERROR(VLOOKUP(J57,[1]中介表!$B$1:$C$20,2,FALSE),"")</f>
        <v/>
      </c>
      <c r="K100" s="34" t="str">
        <f>IFERROR(VLOOKUP(K57,[1]中介表!$B$1:$C$20,2,FALSE),"")</f>
        <v/>
      </c>
      <c r="L100" s="2" t="s">
        <v>434</v>
      </c>
      <c r="N100" s="2" t="str">
        <f t="shared" si="6"/>
        <v>攻击</v>
      </c>
      <c r="O100" s="2" t="str">
        <f t="shared" si="9"/>
        <v>防御</v>
      </c>
      <c r="P100" s="2" t="str">
        <f t="shared" si="10"/>
        <v>+20%</v>
      </c>
      <c r="Q100" s="2" t="str">
        <f t="shared" si="11"/>
        <v>7320,7820,7920</v>
      </c>
    </row>
    <row r="101" spans="1:17" x14ac:dyDescent="0.35">
      <c r="A101" s="17">
        <v>11110</v>
      </c>
      <c r="B101" s="19" t="s">
        <v>333</v>
      </c>
      <c r="C101" s="18" t="s">
        <v>408</v>
      </c>
      <c r="D101" s="18" t="s">
        <v>409</v>
      </c>
      <c r="E101" s="5">
        <v>3003</v>
      </c>
      <c r="F101" s="4" t="s">
        <v>63</v>
      </c>
      <c r="G101" s="26">
        <f t="shared" si="8"/>
        <v>2</v>
      </c>
      <c r="H101" s="32" t="str">
        <f>IFERROR(VLOOKUP(H58,[1]中介表!$B$1:$C$20,2,FALSE),"")</f>
        <v>龙帝</v>
      </c>
      <c r="I101" s="33" t="str">
        <f>IFERROR(VLOOKUP(I58,[1]中介表!$B$1:$C$20,2,FALSE),"")</f>
        <v>观世音</v>
      </c>
      <c r="J101" s="34" t="str">
        <f>IFERROR(VLOOKUP(J58,[1]中介表!$B$1:$C$20,2,FALSE),"")</f>
        <v/>
      </c>
      <c r="K101" s="34" t="str">
        <f>IFERROR(VLOOKUP(K58,[1]中介表!$B$1:$C$20,2,FALSE),"")</f>
        <v/>
      </c>
      <c r="L101" s="2" t="s">
        <v>434</v>
      </c>
      <c r="N101" s="2" t="str">
        <f t="shared" si="6"/>
        <v>攻击</v>
      </c>
      <c r="O101" s="2" t="str">
        <f t="shared" si="9"/>
        <v>防御</v>
      </c>
      <c r="P101" s="2" t="str">
        <f t="shared" si="10"/>
        <v>+20%</v>
      </c>
      <c r="Q101" s="2" t="str">
        <f t="shared" si="11"/>
        <v>7320,7820,7920</v>
      </c>
    </row>
    <row r="102" spans="1:17" x14ac:dyDescent="0.35">
      <c r="A102" s="17">
        <v>11111</v>
      </c>
      <c r="B102" s="19" t="s">
        <v>334</v>
      </c>
      <c r="C102" s="18" t="s">
        <v>55</v>
      </c>
      <c r="D102" s="18" t="s">
        <v>15</v>
      </c>
      <c r="E102" s="5">
        <v>3011</v>
      </c>
      <c r="F102" s="4" t="s">
        <v>69</v>
      </c>
      <c r="G102" s="26">
        <f t="shared" si="8"/>
        <v>2</v>
      </c>
      <c r="H102" s="32" t="str">
        <f>IFERROR(VLOOKUP(H59,[1]中介表!$B$1:$C$20,2,FALSE),"")</f>
        <v>金蝉子</v>
      </c>
      <c r="I102" s="33" t="str">
        <f>IFERROR(VLOOKUP(I59,[1]中介表!$B$1:$C$20,2,FALSE),"")</f>
        <v>唐三藏</v>
      </c>
      <c r="J102" s="34" t="str">
        <f>IFERROR(VLOOKUP(J59,[1]中介表!$B$1:$C$20,2,FALSE),"")</f>
        <v/>
      </c>
      <c r="K102" s="34" t="str">
        <f>IFERROR(VLOOKUP(K59,[1]中介表!$B$1:$C$20,2,FALSE),"")</f>
        <v/>
      </c>
      <c r="L102" s="2" t="s">
        <v>446</v>
      </c>
      <c r="N102" s="2" t="str">
        <f t="shared" si="6"/>
        <v>防御</v>
      </c>
      <c r="O102" s="2" t="str">
        <f t="shared" si="9"/>
        <v/>
      </c>
      <c r="P102" s="2" t="str">
        <f t="shared" si="10"/>
        <v>+16%</v>
      </c>
      <c r="Q102" s="2" t="str">
        <f t="shared" si="11"/>
        <v>7816,7916</v>
      </c>
    </row>
    <row r="103" spans="1:17" x14ac:dyDescent="0.35">
      <c r="A103" s="17">
        <v>11112</v>
      </c>
      <c r="B103" s="19" t="s">
        <v>335</v>
      </c>
      <c r="C103" s="18" t="s">
        <v>410</v>
      </c>
      <c r="D103" s="18" t="s">
        <v>411</v>
      </c>
      <c r="E103" s="5" t="s">
        <v>67</v>
      </c>
      <c r="F103" s="4" t="s">
        <v>68</v>
      </c>
      <c r="G103" s="26">
        <f t="shared" si="8"/>
        <v>2</v>
      </c>
      <c r="H103" s="32" t="str">
        <f>IFERROR(VLOOKUP(H60,[1]中介表!$B$1:$C$20,2,FALSE),"")</f>
        <v>弥勒佛</v>
      </c>
      <c r="I103" s="33" t="str">
        <f>IFERROR(VLOOKUP(I60,[1]中介表!$B$1:$C$20,2,FALSE),"")</f>
        <v>唐三藏</v>
      </c>
      <c r="J103" s="35" t="str">
        <f>IFERROR(VLOOKUP(J60,[1]中介表!$B$1:$C$20,2,FALSE),"")</f>
        <v/>
      </c>
      <c r="K103" s="35" t="str">
        <f>IFERROR(VLOOKUP(K60,[1]中介表!$B$1:$C$20,2,FALSE),"")</f>
        <v/>
      </c>
      <c r="L103" s="2" t="s">
        <v>447</v>
      </c>
      <c r="N103" s="2" t="str">
        <f t="shared" si="6"/>
        <v>攻击</v>
      </c>
      <c r="O103" s="2" t="str">
        <f t="shared" si="9"/>
        <v/>
      </c>
      <c r="P103" s="2" t="str">
        <f t="shared" si="10"/>
        <v>+16%</v>
      </c>
      <c r="Q103" s="2" t="str">
        <f t="shared" si="11"/>
        <v>7316</v>
      </c>
    </row>
    <row r="104" spans="1:17" x14ac:dyDescent="0.35">
      <c r="A104" s="17">
        <v>11113</v>
      </c>
      <c r="B104" s="19" t="s">
        <v>336</v>
      </c>
      <c r="C104" s="18" t="s">
        <v>412</v>
      </c>
      <c r="D104" s="18" t="s">
        <v>413</v>
      </c>
      <c r="E104" s="5" t="s">
        <v>67</v>
      </c>
      <c r="F104" s="4" t="s">
        <v>68</v>
      </c>
      <c r="G104" s="26">
        <f t="shared" si="8"/>
        <v>2</v>
      </c>
      <c r="H104" s="32" t="str">
        <f>IFERROR(VLOOKUP(H61,[1]中介表!$B$1:$C$20,2,FALSE),"")</f>
        <v>金蝉子</v>
      </c>
      <c r="I104" s="33" t="str">
        <f>IFERROR(VLOOKUP(I61,[1]中介表!$B$1:$C$20,2,FALSE),"")</f>
        <v>迦叶</v>
      </c>
      <c r="J104" s="35" t="str">
        <f>IFERROR(VLOOKUP(J61,[1]中介表!$B$1:$C$20,2,FALSE),"")</f>
        <v/>
      </c>
      <c r="K104" s="35" t="str">
        <f>IFERROR(VLOOKUP(K61,[1]中介表!$B$1:$C$20,2,FALSE),"")</f>
        <v/>
      </c>
      <c r="L104" s="2" t="s">
        <v>447</v>
      </c>
      <c r="N104" s="2" t="str">
        <f t="shared" si="6"/>
        <v>攻击</v>
      </c>
      <c r="O104" s="2" t="str">
        <f t="shared" si="9"/>
        <v/>
      </c>
      <c r="P104" s="2" t="str">
        <f t="shared" si="10"/>
        <v>+16%</v>
      </c>
      <c r="Q104" s="2" t="str">
        <f t="shared" si="11"/>
        <v>7316</v>
      </c>
    </row>
    <row r="105" spans="1:17" x14ac:dyDescent="0.35">
      <c r="A105" s="17">
        <v>11114</v>
      </c>
      <c r="B105" s="19" t="s">
        <v>337</v>
      </c>
      <c r="C105" s="18" t="s">
        <v>83</v>
      </c>
      <c r="D105" s="18" t="s">
        <v>84</v>
      </c>
      <c r="E105" s="5">
        <v>3001</v>
      </c>
      <c r="F105" s="4" t="s">
        <v>66</v>
      </c>
      <c r="G105" s="26">
        <f t="shared" si="8"/>
        <v>2</v>
      </c>
      <c r="H105" s="32" t="str">
        <f>IFERROR(VLOOKUP(H62,[1]中介表!$B$1:$C$20,2,FALSE),"")</f>
        <v>弥勒佛</v>
      </c>
      <c r="I105" s="33" t="str">
        <f>IFERROR(VLOOKUP(I62,[1]中介表!$B$1:$C$20,2,FALSE),"")</f>
        <v>迦叶</v>
      </c>
      <c r="J105" s="35" t="str">
        <f>IFERROR(VLOOKUP(J62,[1]中介表!$B$1:$C$20,2,FALSE),"")</f>
        <v/>
      </c>
      <c r="K105" s="35" t="str">
        <f>IFERROR(VLOOKUP(K62,[1]中介表!$B$1:$C$20,2,FALSE),"")</f>
        <v/>
      </c>
      <c r="L105" s="2" t="s">
        <v>449</v>
      </c>
      <c r="N105" s="2" t="str">
        <f t="shared" si="6"/>
        <v>防御</v>
      </c>
      <c r="O105" s="2" t="str">
        <f t="shared" si="9"/>
        <v/>
      </c>
      <c r="P105" s="2" t="str">
        <f t="shared" si="10"/>
        <v>+16%</v>
      </c>
      <c r="Q105" s="2" t="str">
        <f t="shared" si="11"/>
        <v>7816,7916</v>
      </c>
    </row>
    <row r="106" spans="1:17" x14ac:dyDescent="0.35">
      <c r="A106" s="17">
        <v>11115</v>
      </c>
      <c r="B106" s="19" t="s">
        <v>338</v>
      </c>
      <c r="C106" s="18" t="s">
        <v>414</v>
      </c>
      <c r="D106" s="18" t="s">
        <v>415</v>
      </c>
      <c r="E106" s="5">
        <v>3011</v>
      </c>
      <c r="F106" s="4" t="s">
        <v>69</v>
      </c>
      <c r="G106" s="26">
        <f t="shared" si="8"/>
        <v>2</v>
      </c>
      <c r="H106" s="32" t="str">
        <f>IFERROR(VLOOKUP(H63,[1]中介表!$B$1:$C$20,2,FALSE),"")</f>
        <v>金蝉子</v>
      </c>
      <c r="I106" s="32" t="str">
        <f>IFERROR(VLOOKUP(I63,[1]中介表!$B$1:$C$20,2,FALSE),"")</f>
        <v>弥勒佛</v>
      </c>
      <c r="J106" s="35" t="str">
        <f>IFERROR(VLOOKUP(J63,[1]中介表!$B$1:$C$20,2,FALSE),"")</f>
        <v/>
      </c>
      <c r="K106" s="35" t="str">
        <f>IFERROR(VLOOKUP(K63,[1]中介表!$B$1:$C$20,2,FALSE),"")</f>
        <v/>
      </c>
      <c r="L106" s="2" t="s">
        <v>61</v>
      </c>
      <c r="N106" s="2" t="str">
        <f t="shared" si="6"/>
        <v>防御</v>
      </c>
      <c r="O106" s="2" t="str">
        <f t="shared" si="9"/>
        <v/>
      </c>
      <c r="P106" s="2" t="str">
        <f t="shared" si="10"/>
        <v>+20%</v>
      </c>
      <c r="Q106" s="2" t="str">
        <f t="shared" si="11"/>
        <v>7820,7920</v>
      </c>
    </row>
    <row r="107" spans="1:17" x14ac:dyDescent="0.35">
      <c r="A107" s="17">
        <v>11116</v>
      </c>
      <c r="B107" s="19" t="s">
        <v>339</v>
      </c>
      <c r="C107" s="18" t="s">
        <v>88</v>
      </c>
      <c r="D107" s="18" t="s">
        <v>89</v>
      </c>
      <c r="E107" s="5">
        <v>3013</v>
      </c>
      <c r="F107" s="4" t="s">
        <v>59</v>
      </c>
      <c r="G107" s="26">
        <f t="shared" si="8"/>
        <v>2</v>
      </c>
      <c r="H107" s="32" t="str">
        <f>IFERROR(VLOOKUP(H64,[1]中介表!$B$1:$C$20,2,FALSE),"")</f>
        <v>斗战胜佛</v>
      </c>
      <c r="I107" s="33" t="str">
        <f>IFERROR(VLOOKUP(I64,[1]中介表!$B$1:$C$20,2,FALSE),"")</f>
        <v>红孩儿</v>
      </c>
      <c r="J107" s="35" t="str">
        <f>IFERROR(VLOOKUP(J64,[1]中介表!$B$1:$C$20,2,FALSE),"")</f>
        <v/>
      </c>
      <c r="K107" s="35" t="str">
        <f>IFERROR(VLOOKUP(K64,[1]中介表!$B$1:$C$20,2,FALSE),"")</f>
        <v/>
      </c>
      <c r="L107" s="2" t="s">
        <v>447</v>
      </c>
      <c r="N107" s="2" t="str">
        <f t="shared" si="6"/>
        <v>攻击</v>
      </c>
      <c r="O107" s="2" t="str">
        <f t="shared" si="9"/>
        <v/>
      </c>
      <c r="P107" s="2" t="str">
        <f t="shared" si="10"/>
        <v>+16%</v>
      </c>
      <c r="Q107" s="2" t="str">
        <f t="shared" si="11"/>
        <v>7316</v>
      </c>
    </row>
    <row r="108" spans="1:17" x14ac:dyDescent="0.35">
      <c r="A108" s="17">
        <v>11117</v>
      </c>
      <c r="B108" s="19" t="s">
        <v>340</v>
      </c>
      <c r="C108" s="18" t="s">
        <v>416</v>
      </c>
      <c r="D108" s="18" t="s">
        <v>417</v>
      </c>
      <c r="E108" s="5" t="s">
        <v>60</v>
      </c>
      <c r="F108" s="4" t="s">
        <v>61</v>
      </c>
      <c r="G108" s="26">
        <f t="shared" si="8"/>
        <v>2</v>
      </c>
      <c r="H108" s="32" t="str">
        <f>IFERROR(VLOOKUP(H65,[1]中介表!$B$1:$C$20,2,FALSE),"")</f>
        <v>八部天龙</v>
      </c>
      <c r="I108" s="33" t="str">
        <f>IFERROR(VLOOKUP(I65,[1]中介表!$B$1:$C$20,2,FALSE),"")</f>
        <v>红孩儿</v>
      </c>
      <c r="J108" s="35" t="str">
        <f>IFERROR(VLOOKUP(J65,[1]中介表!$B$1:$C$20,2,FALSE),"")</f>
        <v/>
      </c>
      <c r="K108" s="35" t="str">
        <f>IFERROR(VLOOKUP(K65,[1]中介表!$B$1:$C$20,2,FALSE),"")</f>
        <v/>
      </c>
      <c r="L108" s="45" t="s">
        <v>450</v>
      </c>
      <c r="N108" s="2" t="str">
        <f t="shared" si="6"/>
        <v>生命</v>
      </c>
      <c r="O108" s="2" t="str">
        <f t="shared" si="9"/>
        <v/>
      </c>
      <c r="P108" s="2" t="str">
        <f t="shared" si="10"/>
        <v>+16%</v>
      </c>
      <c r="Q108" s="2" t="str">
        <f t="shared" si="11"/>
        <v>7216</v>
      </c>
    </row>
    <row r="109" spans="1:17" x14ac:dyDescent="0.35">
      <c r="A109" s="17">
        <v>11118</v>
      </c>
      <c r="B109" s="19" t="s">
        <v>341</v>
      </c>
      <c r="C109" s="18" t="s">
        <v>81</v>
      </c>
      <c r="D109" s="18" t="s">
        <v>82</v>
      </c>
      <c r="E109" s="5">
        <v>3003</v>
      </c>
      <c r="F109" s="4" t="s">
        <v>63</v>
      </c>
      <c r="G109" s="26">
        <f t="shared" si="8"/>
        <v>2</v>
      </c>
      <c r="H109" s="32" t="str">
        <f>IFERROR(VLOOKUP(H66,[1]中介表!$B$1:$C$20,2,FALSE),"")</f>
        <v>紫霞仙子</v>
      </c>
      <c r="I109" s="33" t="str">
        <f>IFERROR(VLOOKUP(I66,[1]中介表!$B$1:$C$20,2,FALSE),"")</f>
        <v>引魂仙子</v>
      </c>
      <c r="J109" s="35" t="str">
        <f>IFERROR(VLOOKUP(J66,[1]中介表!$B$1:$C$20,2,FALSE),"")</f>
        <v/>
      </c>
      <c r="K109" s="35" t="str">
        <f>IFERROR(VLOOKUP(K66,[1]中介表!$B$1:$C$20,2,FALSE),"")</f>
        <v/>
      </c>
      <c r="L109" s="2" t="s">
        <v>68</v>
      </c>
      <c r="N109" s="2" t="str">
        <f t="shared" si="6"/>
        <v>防御</v>
      </c>
      <c r="O109" s="2" t="str">
        <f t="shared" si="9"/>
        <v/>
      </c>
      <c r="P109" s="2" t="str">
        <f t="shared" si="10"/>
        <v>+16%</v>
      </c>
      <c r="Q109" s="2" t="str">
        <f t="shared" si="11"/>
        <v>7816,7916</v>
      </c>
    </row>
    <row r="110" spans="1:17" x14ac:dyDescent="0.35">
      <c r="A110" s="17">
        <v>11119</v>
      </c>
      <c r="B110" s="19" t="s">
        <v>342</v>
      </c>
      <c r="C110" s="18" t="s">
        <v>418</v>
      </c>
      <c r="D110" s="18" t="s">
        <v>419</v>
      </c>
      <c r="E110" s="5">
        <v>3003</v>
      </c>
      <c r="F110" s="4" t="s">
        <v>63</v>
      </c>
      <c r="G110" s="26">
        <f t="shared" si="8"/>
        <v>2</v>
      </c>
      <c r="H110" s="32" t="str">
        <f>IFERROR(VLOOKUP(H67,[1]中介表!$B$1:$C$20,2,FALSE),"")</f>
        <v>龙帝</v>
      </c>
      <c r="I110" s="33" t="str">
        <f>IFERROR(VLOOKUP(I67,[1]中介表!$B$1:$C$20,2,FALSE),"")</f>
        <v>引魂仙子</v>
      </c>
      <c r="J110" s="35" t="str">
        <f>IFERROR(VLOOKUP(J67,[1]中介表!$B$1:$C$20,2,FALSE),"")</f>
        <v/>
      </c>
      <c r="K110" s="35" t="str">
        <f>IFERROR(VLOOKUP(K67,[1]中介表!$B$1:$C$20,2,FALSE),"")</f>
        <v/>
      </c>
      <c r="L110" s="2" t="s">
        <v>447</v>
      </c>
      <c r="N110" s="2" t="str">
        <f t="shared" si="6"/>
        <v>攻击</v>
      </c>
      <c r="O110" s="2" t="str">
        <f t="shared" si="9"/>
        <v/>
      </c>
      <c r="P110" s="2" t="str">
        <f t="shared" si="10"/>
        <v>+16%</v>
      </c>
      <c r="Q110" s="2" t="str">
        <f t="shared" si="11"/>
        <v>7316</v>
      </c>
    </row>
    <row r="111" spans="1:17" x14ac:dyDescent="0.35">
      <c r="A111" s="17">
        <v>11120</v>
      </c>
      <c r="B111" s="19" t="s">
        <v>343</v>
      </c>
      <c r="C111" s="18" t="s">
        <v>123</v>
      </c>
      <c r="D111" s="18" t="s">
        <v>212</v>
      </c>
      <c r="E111" s="5">
        <v>3013</v>
      </c>
      <c r="F111" s="4" t="s">
        <v>59</v>
      </c>
      <c r="G111" s="26">
        <f t="shared" si="8"/>
        <v>2</v>
      </c>
      <c r="H111" s="32" t="str">
        <f>IFERROR(VLOOKUP(H68,[1]中介表!$B$1:$C$20,2,FALSE),"")</f>
        <v>斗战胜佛</v>
      </c>
      <c r="I111" s="33" t="str">
        <f>IFERROR(VLOOKUP(I68,[1]中介表!$B$1:$C$20,2,FALSE),"")</f>
        <v>人参娃</v>
      </c>
      <c r="J111" s="35" t="str">
        <f>IFERROR(VLOOKUP(J68,[1]中介表!$B$1:$C$20,2,FALSE),"")</f>
        <v/>
      </c>
      <c r="K111" s="35" t="str">
        <f>IFERROR(VLOOKUP(K68,[1]中介表!$B$1:$C$20,2,FALSE),"")</f>
        <v/>
      </c>
      <c r="L111" s="2" t="s">
        <v>68</v>
      </c>
      <c r="N111" s="2" t="str">
        <f t="shared" si="6"/>
        <v>防御</v>
      </c>
      <c r="O111" s="2" t="str">
        <f t="shared" si="9"/>
        <v/>
      </c>
      <c r="P111" s="2" t="str">
        <f t="shared" si="10"/>
        <v>+16%</v>
      </c>
      <c r="Q111" s="2" t="str">
        <f t="shared" si="11"/>
        <v>7816,7916</v>
      </c>
    </row>
    <row r="112" spans="1:17" x14ac:dyDescent="0.35">
      <c r="A112" s="17">
        <v>11121</v>
      </c>
      <c r="B112" s="19" t="s">
        <v>344</v>
      </c>
      <c r="C112" s="18" t="s">
        <v>420</v>
      </c>
      <c r="D112" s="18" t="s">
        <v>421</v>
      </c>
      <c r="E112" s="5" t="s">
        <v>57</v>
      </c>
      <c r="F112" s="4" t="s">
        <v>58</v>
      </c>
      <c r="G112" s="26">
        <f t="shared" si="8"/>
        <v>2</v>
      </c>
      <c r="H112" s="32" t="str">
        <f>IFERROR(VLOOKUP(H69,[1]中介表!$B$1:$C$20,2,FALSE),"")</f>
        <v>八部天龙</v>
      </c>
      <c r="I112" s="33" t="str">
        <f>IFERROR(VLOOKUP(I69,[1]中介表!$B$1:$C$20,2,FALSE),"")</f>
        <v>人参娃</v>
      </c>
      <c r="J112" s="35" t="str">
        <f>IFERROR(VLOOKUP(J69,[1]中介表!$B$1:$C$20,2,FALSE),"")</f>
        <v/>
      </c>
      <c r="K112" s="35" t="str">
        <f>IFERROR(VLOOKUP(K69,[1]中介表!$B$1:$C$20,2,FALSE),"")</f>
        <v/>
      </c>
      <c r="L112" s="2" t="s">
        <v>447</v>
      </c>
      <c r="N112" s="2" t="str">
        <f t="shared" si="6"/>
        <v>攻击</v>
      </c>
      <c r="O112" s="2" t="str">
        <f t="shared" si="9"/>
        <v/>
      </c>
      <c r="P112" s="2" t="str">
        <f t="shared" si="10"/>
        <v>+16%</v>
      </c>
      <c r="Q112" s="2" t="str">
        <f t="shared" si="11"/>
        <v>7316</v>
      </c>
    </row>
    <row r="113" spans="1:17" x14ac:dyDescent="0.35">
      <c r="A113" s="17">
        <v>11122</v>
      </c>
      <c r="B113" s="19" t="s">
        <v>345</v>
      </c>
      <c r="C113" s="18" t="s">
        <v>213</v>
      </c>
      <c r="D113" s="18" t="s">
        <v>214</v>
      </c>
      <c r="E113" s="5">
        <v>3012</v>
      </c>
      <c r="F113" s="4" t="s">
        <v>72</v>
      </c>
      <c r="G113" s="26">
        <f t="shared" si="8"/>
        <v>2</v>
      </c>
      <c r="H113" s="32" t="str">
        <f>IFERROR(VLOOKUP(H70,[1]中介表!$B$1:$C$20,2,FALSE),"")</f>
        <v>紫霞仙子</v>
      </c>
      <c r="I113" s="33" t="str">
        <f>IFERROR(VLOOKUP(I70,[1]中介表!$B$1:$C$20,2,FALSE),"")</f>
        <v>女儿国国王</v>
      </c>
      <c r="J113" s="35" t="str">
        <f>IFERROR(VLOOKUP(J70,[1]中介表!$B$1:$C$20,2,FALSE),"")</f>
        <v/>
      </c>
      <c r="K113" s="35" t="str">
        <f>IFERROR(VLOOKUP(K70,[1]中介表!$B$1:$C$20,2,FALSE),"")</f>
        <v/>
      </c>
      <c r="L113" s="2" t="s">
        <v>447</v>
      </c>
      <c r="N113" s="2" t="str">
        <f t="shared" si="6"/>
        <v>攻击</v>
      </c>
      <c r="O113" s="2" t="str">
        <f t="shared" si="9"/>
        <v/>
      </c>
      <c r="P113" s="2" t="str">
        <f t="shared" si="10"/>
        <v>+16%</v>
      </c>
      <c r="Q113" s="2" t="str">
        <f t="shared" si="11"/>
        <v>7316</v>
      </c>
    </row>
    <row r="114" spans="1:17" x14ac:dyDescent="0.35">
      <c r="A114" s="17">
        <v>11123</v>
      </c>
      <c r="B114" s="19" t="s">
        <v>346</v>
      </c>
      <c r="C114" s="18" t="s">
        <v>90</v>
      </c>
      <c r="D114" s="18" t="s">
        <v>422</v>
      </c>
      <c r="E114" s="5">
        <v>3003</v>
      </c>
      <c r="F114" s="4" t="s">
        <v>63</v>
      </c>
      <c r="G114" s="26">
        <f t="shared" si="8"/>
        <v>2</v>
      </c>
      <c r="H114" s="32" t="str">
        <f>IFERROR(VLOOKUP(H71,[1]中介表!$B$1:$C$20,2,FALSE),"")</f>
        <v>龙帝</v>
      </c>
      <c r="I114" s="33" t="str">
        <f>IFERROR(VLOOKUP(I71,[1]中介表!$B$1:$C$20,2,FALSE),"")</f>
        <v>女儿国国王</v>
      </c>
      <c r="J114" s="35" t="str">
        <f>IFERROR(VLOOKUP(J71,[1]中介表!$B$1:$C$20,2,FALSE),"")</f>
        <v/>
      </c>
      <c r="K114" s="35" t="str">
        <f>IFERROR(VLOOKUP(K71,[1]中介表!$B$1:$C$20,2,FALSE),"")</f>
        <v/>
      </c>
      <c r="L114" s="45" t="s">
        <v>450</v>
      </c>
      <c r="N114" s="2" t="str">
        <f t="shared" si="6"/>
        <v>生命</v>
      </c>
      <c r="O114" s="2" t="str">
        <f t="shared" si="9"/>
        <v/>
      </c>
      <c r="P114" s="2" t="str">
        <f t="shared" si="10"/>
        <v>+16%</v>
      </c>
      <c r="Q114" s="2" t="str">
        <f t="shared" si="11"/>
        <v>7216</v>
      </c>
    </row>
    <row r="115" spans="1:17" x14ac:dyDescent="0.35">
      <c r="A115" s="17">
        <v>11124</v>
      </c>
      <c r="B115" s="19" t="s">
        <v>347</v>
      </c>
      <c r="C115" s="18" t="s">
        <v>124</v>
      </c>
      <c r="D115" s="18" t="s">
        <v>215</v>
      </c>
      <c r="E115" s="5">
        <v>3013</v>
      </c>
      <c r="F115" s="4" t="s">
        <v>59</v>
      </c>
      <c r="G115" s="26">
        <f t="shared" si="8"/>
        <v>2</v>
      </c>
      <c r="H115" s="32" t="str">
        <f>IFERROR(VLOOKUP(H72,[1]中介表!$B$1:$C$20,2,FALSE),"")</f>
        <v>斗战胜佛</v>
      </c>
      <c r="I115" s="33" t="str">
        <f>IFERROR(VLOOKUP(I72,[1]中介表!$B$1:$C$20,2,FALSE),"")</f>
        <v>唐三藏</v>
      </c>
      <c r="J115" s="35" t="str">
        <f>IFERROR(VLOOKUP(J72,[1]中介表!$B$1:$C$20,2,FALSE),"")</f>
        <v/>
      </c>
      <c r="K115" s="35" t="str">
        <f>IFERROR(VLOOKUP(K72,[1]中介表!$B$1:$C$20,2,FALSE),"")</f>
        <v/>
      </c>
      <c r="L115" s="45" t="s">
        <v>450</v>
      </c>
      <c r="N115" s="2" t="str">
        <f t="shared" si="6"/>
        <v>生命</v>
      </c>
      <c r="O115" s="2" t="str">
        <f t="shared" si="9"/>
        <v/>
      </c>
      <c r="P115" s="2" t="str">
        <f t="shared" si="10"/>
        <v>+16%</v>
      </c>
      <c r="Q115" s="2" t="str">
        <f t="shared" si="11"/>
        <v>7216</v>
      </c>
    </row>
    <row r="116" spans="1:17" x14ac:dyDescent="0.35">
      <c r="A116" s="17">
        <v>11125</v>
      </c>
      <c r="B116" s="19" t="s">
        <v>348</v>
      </c>
      <c r="C116" s="18" t="s">
        <v>79</v>
      </c>
      <c r="D116" s="18" t="s">
        <v>80</v>
      </c>
      <c r="E116" s="5">
        <v>3012</v>
      </c>
      <c r="F116" s="4" t="s">
        <v>72</v>
      </c>
      <c r="G116" s="26">
        <f t="shared" si="8"/>
        <v>2</v>
      </c>
      <c r="H116" s="32" t="str">
        <f>IFERROR(VLOOKUP(H73,[1]中介表!$B$1:$C$20,2,FALSE),"")</f>
        <v>紫霞仙子</v>
      </c>
      <c r="I116" s="33" t="str">
        <f>IFERROR(VLOOKUP(I73,[1]中介表!$B$1:$C$20,2,FALSE),"")</f>
        <v>迦叶</v>
      </c>
      <c r="J116" s="35" t="str">
        <f>IFERROR(VLOOKUP(J73,[1]中介表!$B$1:$C$20,2,FALSE),"")</f>
        <v/>
      </c>
      <c r="K116" s="35" t="str">
        <f>IFERROR(VLOOKUP(K73,[1]中介表!$B$1:$C$20,2,FALSE),"")</f>
        <v/>
      </c>
      <c r="L116" s="45" t="s">
        <v>451</v>
      </c>
      <c r="N116" s="2" t="str">
        <f t="shared" si="6"/>
        <v>生命</v>
      </c>
      <c r="O116" s="2" t="str">
        <f t="shared" si="9"/>
        <v/>
      </c>
      <c r="P116" s="2" t="str">
        <f t="shared" si="10"/>
        <v>+16%</v>
      </c>
      <c r="Q116" s="2" t="str">
        <f t="shared" si="11"/>
        <v>7216</v>
      </c>
    </row>
    <row r="117" spans="1:17" x14ac:dyDescent="0.35">
      <c r="A117" s="17">
        <v>11126</v>
      </c>
      <c r="B117" s="19" t="s">
        <v>349</v>
      </c>
      <c r="C117" s="18" t="s">
        <v>423</v>
      </c>
      <c r="D117" s="18" t="s">
        <v>424</v>
      </c>
      <c r="E117" s="5">
        <v>3003</v>
      </c>
      <c r="F117" s="4" t="s">
        <v>63</v>
      </c>
      <c r="G117" s="26">
        <f t="shared" si="8"/>
        <v>2</v>
      </c>
      <c r="H117" s="32" t="str">
        <f>IFERROR(VLOOKUP(H74,[1]中介表!$B$1:$C$20,2,FALSE),"")</f>
        <v>八部天龙</v>
      </c>
      <c r="I117" s="33" t="str">
        <f>IFERROR(VLOOKUP(I74,[1]中介表!$B$1:$C$20,2,FALSE),"")</f>
        <v>女儿国国王</v>
      </c>
      <c r="J117" s="35" t="str">
        <f>IFERROR(VLOOKUP(J74,[1]中介表!$B$1:$C$20,2,FALSE),"")</f>
        <v/>
      </c>
      <c r="K117" s="35" t="str">
        <f>IFERROR(VLOOKUP(K74,[1]中介表!$B$1:$C$20,2,FALSE),"")</f>
        <v/>
      </c>
      <c r="L117" s="2" t="s">
        <v>68</v>
      </c>
      <c r="N117" s="2" t="str">
        <f t="shared" si="6"/>
        <v>防御</v>
      </c>
      <c r="O117" s="2" t="str">
        <f t="shared" si="9"/>
        <v/>
      </c>
      <c r="P117" s="2" t="str">
        <f t="shared" si="10"/>
        <v>+16%</v>
      </c>
      <c r="Q117" s="2" t="str">
        <f t="shared" si="11"/>
        <v>7816,7916</v>
      </c>
    </row>
    <row r="118" spans="1:17" x14ac:dyDescent="0.35">
      <c r="A118" s="17">
        <v>11127</v>
      </c>
      <c r="B118" s="19" t="s">
        <v>350</v>
      </c>
      <c r="C118" s="18" t="s">
        <v>425</v>
      </c>
      <c r="D118" s="18" t="s">
        <v>426</v>
      </c>
      <c r="E118" s="5" t="s">
        <v>57</v>
      </c>
      <c r="F118" s="4" t="s">
        <v>58</v>
      </c>
      <c r="G118" s="26">
        <f t="shared" si="8"/>
        <v>2</v>
      </c>
      <c r="H118" s="32" t="str">
        <f>IFERROR(VLOOKUP(H75,[1]中介表!$B$1:$C$20,2,FALSE),"")</f>
        <v>龙帝</v>
      </c>
      <c r="I118" s="33" t="str">
        <f>IFERROR(VLOOKUP(I75,[1]中介表!$B$1:$C$20,2,FALSE),"")</f>
        <v>红孩儿</v>
      </c>
      <c r="J118" s="35" t="str">
        <f>IFERROR(VLOOKUP(J75,[1]中介表!$B$1:$C$20,2,FALSE),"")</f>
        <v/>
      </c>
      <c r="K118" s="35" t="str">
        <f>IFERROR(VLOOKUP(K75,[1]中介表!$B$1:$C$20,2,FALSE),"")</f>
        <v/>
      </c>
      <c r="L118" s="2" t="s">
        <v>68</v>
      </c>
      <c r="N118" s="2" t="str">
        <f t="shared" si="6"/>
        <v>防御</v>
      </c>
      <c r="O118" s="2" t="str">
        <f t="shared" si="9"/>
        <v/>
      </c>
      <c r="P118" s="2" t="str">
        <f t="shared" si="10"/>
        <v>+16%</v>
      </c>
      <c r="Q118" s="2" t="str">
        <f t="shared" si="11"/>
        <v>7816,7916</v>
      </c>
    </row>
    <row r="119" spans="1:17" x14ac:dyDescent="0.35">
      <c r="A119" s="17">
        <v>11128</v>
      </c>
      <c r="B119" s="19" t="s">
        <v>248</v>
      </c>
      <c r="C119" s="18" t="s">
        <v>216</v>
      </c>
      <c r="D119" s="18" t="s">
        <v>217</v>
      </c>
      <c r="E119" s="5" t="s">
        <v>57</v>
      </c>
      <c r="F119" s="4" t="s">
        <v>58</v>
      </c>
      <c r="G119" s="26">
        <f t="shared" si="8"/>
        <v>2</v>
      </c>
      <c r="H119" s="33" t="str">
        <f>IFERROR(VLOOKUP(H76,[1]中介表!$B$1:$C$20,2,FALSE),"")</f>
        <v>引魂仙子</v>
      </c>
      <c r="I119" s="33" t="str">
        <f>IFERROR(VLOOKUP(I76,[1]中介表!$B$1:$C$20,2,FALSE),"")</f>
        <v>人参娃</v>
      </c>
      <c r="J119" s="34" t="str">
        <f>IFERROR(VLOOKUP(J76,[1]中介表!$B$1:$C$20,2,FALSE),"")</f>
        <v/>
      </c>
      <c r="K119" s="35" t="str">
        <f>IFERROR(VLOOKUP(K76,[1]中介表!$B$1:$C$20,2,FALSE),"")</f>
        <v/>
      </c>
      <c r="L119" s="45" t="s">
        <v>450</v>
      </c>
      <c r="N119" s="2" t="str">
        <f t="shared" si="6"/>
        <v>生命</v>
      </c>
      <c r="O119" s="2" t="str">
        <f t="shared" si="9"/>
        <v/>
      </c>
      <c r="P119" s="2" t="str">
        <f t="shared" si="10"/>
        <v>+16%</v>
      </c>
      <c r="Q119" s="2" t="str">
        <f t="shared" si="11"/>
        <v>7216</v>
      </c>
    </row>
    <row r="120" spans="1:17" x14ac:dyDescent="0.35">
      <c r="A120" s="17">
        <v>11129</v>
      </c>
      <c r="B120" s="19" t="s">
        <v>351</v>
      </c>
      <c r="C120" s="18" t="s">
        <v>218</v>
      </c>
      <c r="D120" s="18" t="s">
        <v>219</v>
      </c>
      <c r="E120" s="5">
        <v>3012</v>
      </c>
      <c r="F120" s="4" t="s">
        <v>72</v>
      </c>
      <c r="G120" s="26">
        <f t="shared" si="8"/>
        <v>3</v>
      </c>
      <c r="H120" s="36" t="str">
        <f>IFERROR(VLOOKUP(H77,[1]中介表!$B$1:$C$20,2,FALSE),"")</f>
        <v>白龙公主</v>
      </c>
      <c r="I120" s="37" t="str">
        <f>IFERROR(VLOOKUP(I77,[1]中介表!$B$1:$C$20,2,FALSE),"")</f>
        <v>黑熊精</v>
      </c>
      <c r="J120" s="36" t="str">
        <f>IFERROR(VLOOKUP(J77,[1]中介表!$B$1:$C$20,2,FALSE),"")</f>
        <v>地藏王</v>
      </c>
      <c r="K120" s="35" t="str">
        <f>IFERROR(VLOOKUP(K77,[1]中介表!$B$1:$C$20,2,FALSE),"")</f>
        <v/>
      </c>
      <c r="L120" s="2" t="s">
        <v>452</v>
      </c>
      <c r="N120" s="2" t="str">
        <f t="shared" si="6"/>
        <v>生命</v>
      </c>
      <c r="O120" s="2" t="str">
        <f t="shared" si="9"/>
        <v>攻击</v>
      </c>
      <c r="P120" s="2" t="str">
        <f t="shared" si="10"/>
        <v>+20%</v>
      </c>
      <c r="Q120" s="2" t="str">
        <f t="shared" si="11"/>
        <v>7220,7320</v>
      </c>
    </row>
    <row r="121" spans="1:17" x14ac:dyDescent="0.35">
      <c r="A121" s="17">
        <v>11130</v>
      </c>
      <c r="B121" s="19" t="s">
        <v>352</v>
      </c>
      <c r="C121" s="18" t="s">
        <v>220</v>
      </c>
      <c r="D121" s="18" t="s">
        <v>221</v>
      </c>
      <c r="E121" s="5">
        <v>3013</v>
      </c>
      <c r="F121" s="4" t="s">
        <v>59</v>
      </c>
      <c r="G121" s="26">
        <f t="shared" si="8"/>
        <v>3</v>
      </c>
      <c r="H121" s="37" t="str">
        <f>IFERROR(VLOOKUP(H78,[1]中介表!$B$1:$C$20,2,FALSE),"")</f>
        <v>琴仙</v>
      </c>
      <c r="I121" s="36" t="str">
        <f>IFERROR(VLOOKUP(I78,[1]中介表!$B$1:$C$20,2,FALSE),"")</f>
        <v>混沌</v>
      </c>
      <c r="J121" s="37" t="str">
        <f>IFERROR(VLOOKUP(J78,[1]中介表!$B$1:$C$20,2,FALSE),"")</f>
        <v>黑熊精</v>
      </c>
      <c r="K121" s="35" t="str">
        <f>IFERROR(VLOOKUP(K78,[1]中介表!$B$1:$C$20,2,FALSE),"")</f>
        <v/>
      </c>
      <c r="L121" s="2" t="s">
        <v>432</v>
      </c>
      <c r="N121" s="2" t="str">
        <f t="shared" si="6"/>
        <v>生命</v>
      </c>
      <c r="O121" s="2" t="str">
        <f t="shared" si="9"/>
        <v>攻击</v>
      </c>
      <c r="P121" s="2" t="str">
        <f t="shared" si="10"/>
        <v>+20%</v>
      </c>
      <c r="Q121" s="2" t="str">
        <f t="shared" si="11"/>
        <v>7220,7320</v>
      </c>
    </row>
    <row r="122" spans="1:17" x14ac:dyDescent="0.35">
      <c r="A122" s="17">
        <v>11131</v>
      </c>
      <c r="B122" s="19" t="s">
        <v>353</v>
      </c>
      <c r="C122" s="18" t="s">
        <v>222</v>
      </c>
      <c r="D122" s="18" t="s">
        <v>223</v>
      </c>
      <c r="E122" s="5" t="s">
        <v>60</v>
      </c>
      <c r="F122" s="4" t="s">
        <v>61</v>
      </c>
      <c r="G122" s="26">
        <f t="shared" si="8"/>
        <v>2</v>
      </c>
      <c r="H122" s="36" t="str">
        <f>IFERROR(VLOOKUP(H79,[1]中介表!$B$1:$C$20,2,FALSE),"")</f>
        <v>地藏王</v>
      </c>
      <c r="I122" s="36" t="str">
        <f>IFERROR(VLOOKUP(I79,[1]中介表!$B$1:$C$20,2,FALSE),"")</f>
        <v>混沌</v>
      </c>
      <c r="J122" s="34" t="str">
        <f>IFERROR(VLOOKUP(J79,[1]中介表!$B$1:$C$20,2,FALSE),"")</f>
        <v/>
      </c>
      <c r="K122" s="35" t="str">
        <f>IFERROR(VLOOKUP(K79,[1]中介表!$B$1:$C$20,2,FALSE),"")</f>
        <v/>
      </c>
      <c r="L122" s="2" t="s">
        <v>450</v>
      </c>
      <c r="N122" s="2" t="str">
        <f t="shared" si="6"/>
        <v>生命</v>
      </c>
      <c r="O122" s="2" t="str">
        <f t="shared" si="9"/>
        <v/>
      </c>
      <c r="P122" s="2" t="str">
        <f t="shared" si="10"/>
        <v>+16%</v>
      </c>
      <c r="Q122" s="2" t="str">
        <f t="shared" si="11"/>
        <v>7216</v>
      </c>
    </row>
    <row r="123" spans="1:17" x14ac:dyDescent="0.35">
      <c r="A123" s="17">
        <v>11132</v>
      </c>
      <c r="B123" s="19" t="s">
        <v>354</v>
      </c>
      <c r="C123" s="18" t="s">
        <v>224</v>
      </c>
      <c r="D123" s="18" t="s">
        <v>225</v>
      </c>
      <c r="E123" s="5">
        <v>3003</v>
      </c>
      <c r="F123" s="4" t="s">
        <v>63</v>
      </c>
      <c r="G123" s="26">
        <f t="shared" si="8"/>
        <v>2</v>
      </c>
      <c r="H123" s="36" t="str">
        <f>IFERROR(VLOOKUP(H80,[1]中介表!$B$1:$C$20,2,FALSE),"")</f>
        <v>白龙公主</v>
      </c>
      <c r="I123" s="36" t="str">
        <f>IFERROR(VLOOKUP(I80,[1]中介表!$B$1:$C$20,2,FALSE),"")</f>
        <v>赛太岁</v>
      </c>
      <c r="J123" s="34" t="str">
        <f>IFERROR(VLOOKUP(J80,[1]中介表!$B$1:$C$20,2,FALSE),"")</f>
        <v/>
      </c>
      <c r="K123" s="35" t="str">
        <f>IFERROR(VLOOKUP(K80,[1]中介表!$B$1:$C$20,2,FALSE),"")</f>
        <v/>
      </c>
      <c r="L123" s="2" t="s">
        <v>450</v>
      </c>
      <c r="N123" s="2" t="str">
        <f t="shared" si="6"/>
        <v>生命</v>
      </c>
      <c r="O123" s="2" t="str">
        <f t="shared" si="9"/>
        <v/>
      </c>
      <c r="P123" s="2" t="str">
        <f t="shared" si="10"/>
        <v>+16%</v>
      </c>
      <c r="Q123" s="2" t="str">
        <f t="shared" si="11"/>
        <v>7216</v>
      </c>
    </row>
    <row r="124" spans="1:17" x14ac:dyDescent="0.35">
      <c r="A124" s="17">
        <v>11133</v>
      </c>
      <c r="B124" s="19" t="s">
        <v>355</v>
      </c>
      <c r="C124" s="18" t="s">
        <v>226</v>
      </c>
      <c r="D124" s="18" t="s">
        <v>227</v>
      </c>
      <c r="E124" s="5" t="s">
        <v>60</v>
      </c>
      <c r="F124" s="4" t="s">
        <v>61</v>
      </c>
      <c r="G124" s="26">
        <f t="shared" si="8"/>
        <v>2</v>
      </c>
      <c r="H124" s="37" t="str">
        <f>IFERROR(VLOOKUP(H81,[1]中介表!$B$1:$C$20,2,FALSE),"")</f>
        <v>琴仙</v>
      </c>
      <c r="I124" s="37" t="str">
        <f>IFERROR(VLOOKUP(I81,[1]中介表!$B$1:$C$20,2,FALSE),"")</f>
        <v>黑熊精</v>
      </c>
      <c r="J124" s="34" t="str">
        <f>IFERROR(VLOOKUP(J81,[1]中介表!$B$1:$C$20,2,FALSE),"")</f>
        <v/>
      </c>
      <c r="K124" s="35" t="str">
        <f>IFERROR(VLOOKUP(K81,[1]中介表!$B$1:$C$20,2,FALSE),"")</f>
        <v/>
      </c>
      <c r="L124" s="2" t="s">
        <v>68</v>
      </c>
      <c r="N124" s="2" t="str">
        <f t="shared" si="6"/>
        <v>防御</v>
      </c>
      <c r="O124" s="2" t="str">
        <f t="shared" si="9"/>
        <v/>
      </c>
      <c r="P124" s="2" t="str">
        <f t="shared" si="10"/>
        <v>+16%</v>
      </c>
      <c r="Q124" s="2" t="str">
        <f t="shared" si="11"/>
        <v>7816,7916</v>
      </c>
    </row>
    <row r="125" spans="1:17" x14ac:dyDescent="0.35">
      <c r="A125" s="17">
        <v>11134</v>
      </c>
      <c r="B125" s="19" t="s">
        <v>356</v>
      </c>
      <c r="C125" s="18" t="s">
        <v>228</v>
      </c>
      <c r="D125" s="18" t="s">
        <v>229</v>
      </c>
      <c r="E125" s="5">
        <v>3002</v>
      </c>
      <c r="F125" s="4" t="s">
        <v>62</v>
      </c>
      <c r="G125" s="26">
        <f t="shared" si="8"/>
        <v>2</v>
      </c>
      <c r="H125" s="36" t="str">
        <f>IFERROR(VLOOKUP(H82,[1]中介表!$B$1:$C$20,2,FALSE),"")</f>
        <v>地藏王</v>
      </c>
      <c r="I125" s="36" t="str">
        <f>IFERROR(VLOOKUP(I82,[1]中介表!$B$1:$C$20,2,FALSE),"")</f>
        <v>白龙公主</v>
      </c>
      <c r="J125" s="34" t="str">
        <f>IFERROR(VLOOKUP(J82,[1]中介表!$B$1:$C$20,2,FALSE),"")</f>
        <v/>
      </c>
      <c r="K125" s="35" t="str">
        <f>IFERROR(VLOOKUP(K82,[1]中介表!$B$1:$C$20,2,FALSE),"")</f>
        <v/>
      </c>
      <c r="L125" s="2" t="s">
        <v>68</v>
      </c>
      <c r="N125" s="2" t="str">
        <f t="shared" si="6"/>
        <v>防御</v>
      </c>
      <c r="O125" s="2" t="str">
        <f t="shared" si="9"/>
        <v/>
      </c>
      <c r="P125" s="2" t="str">
        <f t="shared" si="10"/>
        <v>+16%</v>
      </c>
      <c r="Q125" s="2" t="str">
        <f t="shared" si="11"/>
        <v>7816,7916</v>
      </c>
    </row>
    <row r="126" spans="1:17" x14ac:dyDescent="0.35">
      <c r="A126" s="17">
        <v>11135</v>
      </c>
      <c r="B126" s="19" t="s">
        <v>357</v>
      </c>
      <c r="C126" s="18" t="s">
        <v>75</v>
      </c>
      <c r="D126" s="18" t="s">
        <v>76</v>
      </c>
      <c r="E126" s="5">
        <v>3013</v>
      </c>
      <c r="F126" s="4" t="s">
        <v>59</v>
      </c>
      <c r="G126" s="26">
        <f t="shared" si="8"/>
        <v>2</v>
      </c>
      <c r="H126" s="36" t="str">
        <f>IFERROR(VLOOKUP(H83,[1]中介表!$B$1:$C$20,2,FALSE),"")</f>
        <v>混沌</v>
      </c>
      <c r="I126" s="36" t="str">
        <f>IFERROR(VLOOKUP(I83,[1]中介表!$B$1:$C$20,2,FALSE),"")</f>
        <v>赛太岁</v>
      </c>
      <c r="J126" s="34" t="str">
        <f>IFERROR(VLOOKUP(J83,[1]中介表!$B$1:$C$20,2,FALSE),"")</f>
        <v/>
      </c>
      <c r="K126" s="35" t="str">
        <f>IFERROR(VLOOKUP(K83,[1]中介表!$B$1:$C$20,2,FALSE),"")</f>
        <v/>
      </c>
      <c r="L126" s="2" t="s">
        <v>68</v>
      </c>
      <c r="N126" s="2" t="str">
        <f t="shared" si="6"/>
        <v>防御</v>
      </c>
      <c r="O126" s="2" t="str">
        <f t="shared" si="9"/>
        <v/>
      </c>
      <c r="P126" s="2" t="str">
        <f t="shared" si="10"/>
        <v>+16%</v>
      </c>
      <c r="Q126" s="2" t="str">
        <f t="shared" si="11"/>
        <v>7816,7916</v>
      </c>
    </row>
    <row r="127" spans="1:17" x14ac:dyDescent="0.35">
      <c r="A127" s="17">
        <v>11136</v>
      </c>
      <c r="B127" s="19" t="s">
        <v>358</v>
      </c>
      <c r="C127" s="18" t="s">
        <v>244</v>
      </c>
      <c r="D127" s="18" t="s">
        <v>230</v>
      </c>
      <c r="E127" s="5" t="s">
        <v>57</v>
      </c>
      <c r="F127" s="4" t="s">
        <v>58</v>
      </c>
      <c r="G127" s="26">
        <f t="shared" si="8"/>
        <v>2</v>
      </c>
      <c r="H127" s="36" t="str">
        <f>IFERROR(VLOOKUP(H84,[1]中介表!$B$1:$C$20,2,FALSE),"")</f>
        <v>白龙公主</v>
      </c>
      <c r="I127" s="37" t="str">
        <f>IFERROR(VLOOKUP(I84,[1]中介表!$B$1:$C$20,2,FALSE),"")</f>
        <v>琴仙</v>
      </c>
      <c r="J127" s="34" t="str">
        <f>IFERROR(VLOOKUP(J84,[1]中介表!$B$1:$C$20,2,FALSE),"")</f>
        <v/>
      </c>
      <c r="K127" s="35" t="str">
        <f>IFERROR(VLOOKUP(K84,[1]中介表!$B$1:$C$20,2,FALSE),"")</f>
        <v/>
      </c>
      <c r="L127" s="2" t="s">
        <v>450</v>
      </c>
      <c r="N127" s="2" t="str">
        <f t="shared" si="6"/>
        <v>生命</v>
      </c>
      <c r="O127" s="2" t="str">
        <f t="shared" si="9"/>
        <v/>
      </c>
      <c r="P127" s="2" t="str">
        <f t="shared" si="10"/>
        <v>+16%</v>
      </c>
      <c r="Q127" s="2" t="str">
        <f t="shared" si="11"/>
        <v>7216</v>
      </c>
    </row>
    <row r="128" spans="1:17" x14ac:dyDescent="0.35">
      <c r="A128" s="17">
        <v>11137</v>
      </c>
      <c r="B128" s="19" t="s">
        <v>359</v>
      </c>
      <c r="C128" s="18" t="s">
        <v>245</v>
      </c>
      <c r="D128" s="18" t="s">
        <v>231</v>
      </c>
      <c r="E128" s="5" t="s">
        <v>60</v>
      </c>
      <c r="F128" s="4" t="s">
        <v>61</v>
      </c>
      <c r="G128" s="26">
        <f t="shared" si="8"/>
        <v>2</v>
      </c>
      <c r="H128" s="36" t="str">
        <f>IFERROR(VLOOKUP(H85,[1]中介表!$B$1:$C$20,2,FALSE),"")</f>
        <v>赛太岁</v>
      </c>
      <c r="I128" s="37" t="str">
        <f>IFERROR(VLOOKUP(I85,[1]中介表!$B$1:$C$20,2,FALSE),"")</f>
        <v>黑熊精</v>
      </c>
      <c r="J128" s="34" t="str">
        <f>IFERROR(VLOOKUP(J85,[1]中介表!$B$1:$C$20,2,FALSE),"")</f>
        <v/>
      </c>
      <c r="K128" s="35" t="str">
        <f>IFERROR(VLOOKUP(K85,[1]中介表!$B$1:$C$20,2,FALSE),"")</f>
        <v/>
      </c>
      <c r="L128" s="2" t="s">
        <v>68</v>
      </c>
      <c r="N128" s="2" t="str">
        <f t="shared" si="6"/>
        <v>防御</v>
      </c>
      <c r="O128" s="2" t="str">
        <f t="shared" si="9"/>
        <v/>
      </c>
      <c r="P128" s="2" t="str">
        <f t="shared" si="10"/>
        <v>+16%</v>
      </c>
      <c r="Q128" s="2" t="str">
        <f t="shared" si="11"/>
        <v>7816,7916</v>
      </c>
    </row>
    <row r="129" spans="1:17" x14ac:dyDescent="0.35">
      <c r="A129" s="17">
        <v>11138</v>
      </c>
      <c r="B129" s="19" t="s">
        <v>360</v>
      </c>
      <c r="C129" s="18" t="s">
        <v>246</v>
      </c>
      <c r="D129" s="18" t="s">
        <v>232</v>
      </c>
      <c r="E129" s="5">
        <v>3002</v>
      </c>
      <c r="F129" s="4" t="s">
        <v>62</v>
      </c>
      <c r="G129" s="26">
        <f t="shared" si="8"/>
        <v>2</v>
      </c>
      <c r="H129" s="36" t="str">
        <f>IFERROR(VLOOKUP(H86,[1]中介表!$B$1:$C$20,2,FALSE),"")</f>
        <v>地藏王</v>
      </c>
      <c r="I129" s="36" t="str">
        <f>IFERROR(VLOOKUP(I86,[1]中介表!$B$1:$C$20,2,FALSE),"")</f>
        <v>赛太岁</v>
      </c>
      <c r="J129" s="34" t="str">
        <f>IFERROR(VLOOKUP(J86,[1]中介表!$B$1:$C$20,2,FALSE),"")</f>
        <v/>
      </c>
      <c r="K129" s="35" t="str">
        <f>IFERROR(VLOOKUP(K86,[1]中介表!$B$1:$C$20,2,FALSE),"")</f>
        <v/>
      </c>
      <c r="L129" s="2" t="s">
        <v>447</v>
      </c>
      <c r="N129" s="2" t="str">
        <f t="shared" si="6"/>
        <v>攻击</v>
      </c>
      <c r="O129" s="2" t="str">
        <f t="shared" si="9"/>
        <v/>
      </c>
      <c r="P129" s="2" t="str">
        <f t="shared" si="10"/>
        <v>+16%</v>
      </c>
      <c r="Q129" s="2" t="str">
        <f t="shared" si="11"/>
        <v>7316</v>
      </c>
    </row>
    <row r="130" spans="1:17" x14ac:dyDescent="0.35">
      <c r="A130" s="17">
        <v>11139</v>
      </c>
      <c r="B130" s="19" t="s">
        <v>361</v>
      </c>
      <c r="C130" s="18" t="s">
        <v>427</v>
      </c>
      <c r="D130" s="18" t="s">
        <v>247</v>
      </c>
      <c r="E130" s="5">
        <v>3002</v>
      </c>
      <c r="F130" s="4" t="s">
        <v>62</v>
      </c>
      <c r="G130" s="26">
        <f t="shared" si="8"/>
        <v>2</v>
      </c>
      <c r="H130" s="36" t="str">
        <f>IFERROR(VLOOKUP(H87,[1]中介表!$B$1:$C$20,2,FALSE),"")</f>
        <v>混沌</v>
      </c>
      <c r="I130" s="37" t="str">
        <f>IFERROR(VLOOKUP(I87,[1]中介表!$B$1:$C$20,2,FALSE),"")</f>
        <v>琴仙</v>
      </c>
      <c r="J130" s="34" t="str">
        <f>IFERROR(VLOOKUP(J87,[1]中介表!$B$1:$C$20,2,FALSE),"")</f>
        <v/>
      </c>
      <c r="K130" s="35" t="str">
        <f>IFERROR(VLOOKUP(K87,[1]中介表!$B$1:$C$20,2,FALSE),"")</f>
        <v/>
      </c>
      <c r="L130" s="2" t="s">
        <v>447</v>
      </c>
      <c r="N130" s="2" t="str">
        <f t="shared" ref="N130" si="12">IF(ISERROR(FIND("，",$L130)),LEFT($L130,FIND("+",$L130)-1),LEFT($L130,FIND("，",$L130)-1))</f>
        <v>攻击</v>
      </c>
      <c r="O130" s="2" t="str">
        <f t="shared" si="9"/>
        <v/>
      </c>
      <c r="P130" s="2" t="str">
        <f t="shared" si="10"/>
        <v>+16%</v>
      </c>
      <c r="Q130" s="2" t="str">
        <f t="shared" si="11"/>
        <v>7316</v>
      </c>
    </row>
  </sheetData>
  <sortState ref="A1:N460">
    <sortCondition ref="C1:C460"/>
    <sortCondition ref="E1:E460"/>
    <sortCondition ref="G1:G460"/>
  </sortState>
  <phoneticPr fontId="10" type="noConversion"/>
  <conditionalFormatting sqref="H88:K130">
    <cfRule type="cellIs" dxfId="23" priority="2" operator="equal">
      <formula>#REF!</formula>
    </cfRule>
  </conditionalFormatting>
  <conditionalFormatting sqref="H88:K130">
    <cfRule type="cellIs" dxfId="22" priority="1" operator="equal">
      <formula>$C$1</formula>
    </cfRule>
  </conditionalFormatting>
  <conditionalFormatting sqref="B2:B130 I1 H2:K130">
    <cfRule type="expression" dxfId="21" priority="20">
      <formula>INDEX($D:$D,MATCH(B1,$A:$A,0))=11</formula>
    </cfRule>
    <cfRule type="expression" dxfId="20" priority="21">
      <formula>INDEX($D:$D,MATCH(B1,$A:$A,0))=13</formula>
    </cfRule>
    <cfRule type="expression" dxfId="19" priority="22">
      <formula>INDEX($D:$D,MATCH(B1,$A:$A,0))=16</formula>
    </cfRule>
    <cfRule type="expression" dxfId="18" priority="23">
      <formula>INDEX($D:$D,MATCH(B1,$A:$A,0))=20</formula>
    </cfRule>
  </conditionalFormatting>
  <conditionalFormatting sqref="B2:B11">
    <cfRule type="cellIs" dxfId="17" priority="24" operator="equal">
      <formula>#REF!</formula>
    </cfRule>
  </conditionalFormatting>
  <conditionalFormatting sqref="B34:B35">
    <cfRule type="cellIs" dxfId="16" priority="19" operator="equal">
      <formula>#REF!</formula>
    </cfRule>
  </conditionalFormatting>
  <conditionalFormatting sqref="B12:B33">
    <cfRule type="cellIs" dxfId="15" priority="18" operator="equal">
      <formula>#REF!</formula>
    </cfRule>
  </conditionalFormatting>
  <conditionalFormatting sqref="B36:B44">
    <cfRule type="cellIs" dxfId="14" priority="17" operator="equal">
      <formula>#REF!</formula>
    </cfRule>
  </conditionalFormatting>
  <conditionalFormatting sqref="B45:B46">
    <cfRule type="cellIs" dxfId="13" priority="16" operator="equal">
      <formula>#REF!</formula>
    </cfRule>
  </conditionalFormatting>
  <conditionalFormatting sqref="B47:B54">
    <cfRule type="cellIs" dxfId="12" priority="15" operator="equal">
      <formula>#REF!</formula>
    </cfRule>
  </conditionalFormatting>
  <conditionalFormatting sqref="B77:B78">
    <cfRule type="cellIs" dxfId="11" priority="14" operator="equal">
      <formula>#REF!</formula>
    </cfRule>
  </conditionalFormatting>
  <conditionalFormatting sqref="B55:B76">
    <cfRule type="cellIs" dxfId="10" priority="13" operator="equal">
      <formula>#REF!</formula>
    </cfRule>
  </conditionalFormatting>
  <conditionalFormatting sqref="B79:B87">
    <cfRule type="cellIs" dxfId="9" priority="12" operator="equal">
      <formula>#REF!</formula>
    </cfRule>
  </conditionalFormatting>
  <conditionalFormatting sqref="B88:B89">
    <cfRule type="cellIs" dxfId="8" priority="11" operator="equal">
      <formula>#REF!</formula>
    </cfRule>
  </conditionalFormatting>
  <conditionalFormatting sqref="B90:B97">
    <cfRule type="cellIs" dxfId="7" priority="10" operator="equal">
      <formula>#REF!</formula>
    </cfRule>
  </conditionalFormatting>
  <conditionalFormatting sqref="B120:B121">
    <cfRule type="cellIs" dxfId="6" priority="9" operator="equal">
      <formula>#REF!</formula>
    </cfRule>
  </conditionalFormatting>
  <conditionalFormatting sqref="B98:B119">
    <cfRule type="cellIs" dxfId="5" priority="8" operator="equal">
      <formula>#REF!</formula>
    </cfRule>
  </conditionalFormatting>
  <conditionalFormatting sqref="B122:B130">
    <cfRule type="cellIs" dxfId="4" priority="7" operator="equal">
      <formula>#REF!</formula>
    </cfRule>
  </conditionalFormatting>
  <conditionalFormatting sqref="H2:K44">
    <cfRule type="cellIs" dxfId="3" priority="6" operator="equal">
      <formula>#REF!</formula>
    </cfRule>
  </conditionalFormatting>
  <conditionalFormatting sqref="H2:K44">
    <cfRule type="cellIs" dxfId="2" priority="5" operator="equal">
      <formula>$C$1</formula>
    </cfRule>
  </conditionalFormatting>
  <conditionalFormatting sqref="H45:K87">
    <cfRule type="cellIs" dxfId="1" priority="4" operator="equal">
      <formula>#REF!</formula>
    </cfRule>
  </conditionalFormatting>
  <conditionalFormatting sqref="H45:K87">
    <cfRule type="cellIs" dxfId="0" priority="3" operator="equal">
      <formula>$C$1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2018-01-02T15:03:58Z</dcterms:modified>
</cp:coreProperties>
</file>