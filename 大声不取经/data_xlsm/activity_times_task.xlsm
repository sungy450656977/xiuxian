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90" windowWidth="24240" windowHeight="12960"/>
  </bookViews>
  <sheets>
    <sheet name="Sheet1" sheetId="3" r:id="rId1"/>
    <sheet name="获取途径" sheetId="4" r:id="rId2"/>
  </sheets>
  <functionGroups builtInGroupCount="17"/>
  <externalReferences>
    <externalReference r:id="rId3"/>
  </externalReferences>
  <definedNames>
    <definedName name="_xlnm._FilterDatabase" localSheetId="0" hidden="1">Sheet1!$A$3:$J$4</definedName>
  </definedNames>
  <calcPr calcId="144525"/>
</workbook>
</file>

<file path=xl/calcChain.xml><?xml version="1.0" encoding="utf-8"?>
<calcChain xmlns="http://schemas.openxmlformats.org/spreadsheetml/2006/main">
  <c r="U214" i="3" l="1"/>
  <c r="V214" i="3" s="1"/>
  <c r="U213" i="3"/>
  <c r="V213" i="3" s="1"/>
  <c r="U212" i="3"/>
  <c r="V212" i="3" s="1"/>
  <c r="O212" i="3"/>
  <c r="O213" i="3" s="1"/>
  <c r="O214" i="3" s="1"/>
  <c r="M214" i="3"/>
  <c r="M213" i="3"/>
  <c r="M212" i="3"/>
  <c r="U211" i="3" l="1"/>
  <c r="V211" i="3" s="1"/>
  <c r="U210" i="3"/>
  <c r="V210" i="3" s="1"/>
  <c r="U209" i="3"/>
  <c r="V209" i="3" s="1"/>
  <c r="U208" i="3"/>
  <c r="V208" i="3" s="1"/>
  <c r="U207" i="3"/>
  <c r="V207" i="3" s="1"/>
  <c r="O207" i="3"/>
  <c r="O208" i="3" s="1"/>
  <c r="O209" i="3" s="1"/>
  <c r="O210" i="3" s="1"/>
  <c r="O211" i="3" s="1"/>
  <c r="M210" i="3"/>
  <c r="M207" i="3"/>
  <c r="M208" i="3"/>
  <c r="M209" i="3"/>
  <c r="M211" i="3"/>
  <c r="U206" i="3" l="1"/>
  <c r="V206" i="3" s="1"/>
  <c r="U205" i="3"/>
  <c r="V205" i="3" s="1"/>
  <c r="U204" i="3"/>
  <c r="V204" i="3" s="1"/>
  <c r="O204" i="3"/>
  <c r="O205" i="3" s="1"/>
  <c r="O206" i="3" s="1"/>
  <c r="U203" i="3"/>
  <c r="V203" i="3" s="1"/>
  <c r="U202" i="3"/>
  <c r="V202" i="3" s="1"/>
  <c r="U201" i="3"/>
  <c r="V201" i="3" s="1"/>
  <c r="O201" i="3"/>
  <c r="O202" i="3" s="1"/>
  <c r="O203" i="3" s="1"/>
  <c r="O194" i="3"/>
  <c r="O195" i="3" s="1"/>
  <c r="O196" i="3" s="1"/>
  <c r="O197" i="3" s="1"/>
  <c r="O198" i="3" s="1"/>
  <c r="O199" i="3" s="1"/>
  <c r="O200" i="3" s="1"/>
  <c r="U200" i="3"/>
  <c r="V200" i="3" s="1"/>
  <c r="U199" i="3"/>
  <c r="V199" i="3" s="1"/>
  <c r="U198" i="3"/>
  <c r="V198" i="3" s="1"/>
  <c r="U197" i="3"/>
  <c r="V197" i="3" s="1"/>
  <c r="U196" i="3"/>
  <c r="V196" i="3" s="1"/>
  <c r="U195" i="3"/>
  <c r="V195" i="3" s="1"/>
  <c r="U194" i="3"/>
  <c r="V194" i="3" s="1"/>
  <c r="U193" i="3"/>
  <c r="V193" i="3" s="1"/>
  <c r="U192" i="3"/>
  <c r="V192" i="3" s="1"/>
  <c r="O192" i="3"/>
  <c r="O193" i="3" s="1"/>
  <c r="U191" i="3"/>
  <c r="V191" i="3" s="1"/>
  <c r="U190" i="3"/>
  <c r="V190" i="3" s="1"/>
  <c r="U189" i="3"/>
  <c r="V189" i="3" s="1"/>
  <c r="U188" i="3"/>
  <c r="V188" i="3" s="1"/>
  <c r="U187" i="3"/>
  <c r="V187" i="3" s="1"/>
  <c r="O187" i="3"/>
  <c r="O188" i="3" s="1"/>
  <c r="O189" i="3" s="1"/>
  <c r="O190" i="3" s="1"/>
  <c r="O191" i="3" s="1"/>
  <c r="U186" i="3"/>
  <c r="V186" i="3" s="1"/>
  <c r="U185" i="3"/>
  <c r="V185" i="3" s="1"/>
  <c r="U184" i="3"/>
  <c r="V184" i="3" s="1"/>
  <c r="U183" i="3"/>
  <c r="V183" i="3" s="1"/>
  <c r="U182" i="3"/>
  <c r="V182" i="3" s="1"/>
  <c r="O182" i="3"/>
  <c r="O183" i="3" s="1"/>
  <c r="O184" i="3" s="1"/>
  <c r="O185" i="3" s="1"/>
  <c r="O186" i="3" s="1"/>
  <c r="U181" i="3"/>
  <c r="V181" i="3" s="1"/>
  <c r="U180" i="3"/>
  <c r="V180" i="3" s="1"/>
  <c r="U179" i="3"/>
  <c r="V179" i="3" s="1"/>
  <c r="U178" i="3"/>
  <c r="V178" i="3" s="1"/>
  <c r="U177" i="3"/>
  <c r="V177" i="3" s="1"/>
  <c r="O177" i="3"/>
  <c r="O178" i="3" s="1"/>
  <c r="O179" i="3" s="1"/>
  <c r="O180" i="3" s="1"/>
  <c r="O181" i="3" s="1"/>
  <c r="U176" i="3"/>
  <c r="V176" i="3" s="1"/>
  <c r="O174" i="3"/>
  <c r="O175" i="3" s="1"/>
  <c r="O176" i="3" s="1"/>
  <c r="U175" i="3"/>
  <c r="V175" i="3"/>
  <c r="U174" i="3"/>
  <c r="V174" i="3" s="1"/>
  <c r="U5" i="3"/>
  <c r="V5" i="3" s="1"/>
  <c r="U6" i="3"/>
  <c r="V6" i="3" s="1"/>
  <c r="U7" i="3"/>
  <c r="V7" i="3" s="1"/>
  <c r="U8" i="3"/>
  <c r="V8" i="3" s="1"/>
  <c r="U9" i="3"/>
  <c r="V9" i="3" s="1"/>
  <c r="U10" i="3"/>
  <c r="V10" i="3" s="1"/>
  <c r="U11" i="3"/>
  <c r="V11" i="3" s="1"/>
  <c r="U12" i="3"/>
  <c r="V12" i="3" s="1"/>
  <c r="U13" i="3"/>
  <c r="V13" i="3" s="1"/>
  <c r="U14" i="3"/>
  <c r="V14" i="3" s="1"/>
  <c r="U15" i="3"/>
  <c r="V15" i="3" s="1"/>
  <c r="U16" i="3"/>
  <c r="V16" i="3" s="1"/>
  <c r="U17" i="3"/>
  <c r="V17" i="3" s="1"/>
  <c r="U18" i="3"/>
  <c r="V18" i="3" s="1"/>
  <c r="U19" i="3"/>
  <c r="V19" i="3" s="1"/>
  <c r="U20" i="3"/>
  <c r="V20" i="3" s="1"/>
  <c r="U21" i="3"/>
  <c r="V21" i="3" s="1"/>
  <c r="U22" i="3"/>
  <c r="V22" i="3" s="1"/>
  <c r="U23" i="3"/>
  <c r="V23" i="3" s="1"/>
  <c r="U24" i="3"/>
  <c r="V24" i="3" s="1"/>
  <c r="U25" i="3"/>
  <c r="V25" i="3" s="1"/>
  <c r="U26" i="3"/>
  <c r="V26" i="3" s="1"/>
  <c r="U27" i="3"/>
  <c r="V27" i="3" s="1"/>
  <c r="U28" i="3"/>
  <c r="V28" i="3" s="1"/>
  <c r="U29" i="3"/>
  <c r="V29" i="3" s="1"/>
  <c r="U30" i="3"/>
  <c r="V30" i="3" s="1"/>
  <c r="U31" i="3"/>
  <c r="V31" i="3" s="1"/>
  <c r="U32" i="3"/>
  <c r="V32" i="3" s="1"/>
  <c r="U75" i="3"/>
  <c r="V75" i="3" s="1"/>
  <c r="U76" i="3"/>
  <c r="V76" i="3" s="1"/>
  <c r="U77" i="3"/>
  <c r="V77" i="3" s="1"/>
  <c r="U78" i="3"/>
  <c r="V78" i="3" s="1"/>
  <c r="U79" i="3"/>
  <c r="V79" i="3" s="1"/>
  <c r="U80" i="3"/>
  <c r="V80" i="3" s="1"/>
  <c r="U81" i="3"/>
  <c r="V81" i="3" s="1"/>
  <c r="U82" i="3"/>
  <c r="V82" i="3" s="1"/>
  <c r="U83" i="3"/>
  <c r="V83" i="3" s="1"/>
  <c r="U84" i="3"/>
  <c r="V84" i="3" s="1"/>
  <c r="U85" i="3"/>
  <c r="V85" i="3" s="1"/>
  <c r="U86" i="3"/>
  <c r="V86" i="3" s="1"/>
  <c r="U87" i="3"/>
  <c r="V87" i="3" s="1"/>
  <c r="U88" i="3"/>
  <c r="V88" i="3" s="1"/>
  <c r="U89" i="3"/>
  <c r="V89" i="3" s="1"/>
  <c r="U90" i="3"/>
  <c r="V90" i="3" s="1"/>
  <c r="U91" i="3"/>
  <c r="V91" i="3" s="1"/>
  <c r="U92" i="3"/>
  <c r="V92" i="3" s="1"/>
  <c r="U93" i="3"/>
  <c r="V93" i="3" s="1"/>
  <c r="U94" i="3"/>
  <c r="V94" i="3" s="1"/>
  <c r="U95" i="3"/>
  <c r="V95" i="3" s="1"/>
  <c r="U96" i="3"/>
  <c r="V96" i="3" s="1"/>
  <c r="U97" i="3"/>
  <c r="V97" i="3" s="1"/>
  <c r="U98" i="3"/>
  <c r="V98" i="3" s="1"/>
  <c r="U99" i="3"/>
  <c r="V99" i="3" s="1"/>
  <c r="U100" i="3"/>
  <c r="V100" i="3" s="1"/>
  <c r="U101" i="3"/>
  <c r="V101" i="3" s="1"/>
  <c r="U102" i="3"/>
  <c r="V102" i="3" s="1"/>
  <c r="U103" i="3"/>
  <c r="V103" i="3" s="1"/>
  <c r="U104" i="3"/>
  <c r="V104" i="3" s="1"/>
  <c r="U105" i="3"/>
  <c r="V105" i="3" s="1"/>
  <c r="U106" i="3"/>
  <c r="V106" i="3" s="1"/>
  <c r="U107" i="3"/>
  <c r="V107" i="3" s="1"/>
  <c r="U108" i="3"/>
  <c r="V108" i="3" s="1"/>
  <c r="U109" i="3"/>
  <c r="V109" i="3" s="1"/>
  <c r="U110" i="3"/>
  <c r="V110" i="3" s="1"/>
  <c r="U111" i="3"/>
  <c r="V111" i="3" s="1"/>
  <c r="U112" i="3"/>
  <c r="V112" i="3" s="1"/>
  <c r="U113" i="3"/>
  <c r="V113" i="3" s="1"/>
  <c r="U114" i="3"/>
  <c r="V114" i="3" s="1"/>
  <c r="U115" i="3"/>
  <c r="V115" i="3" s="1"/>
  <c r="U116" i="3"/>
  <c r="V116" i="3" s="1"/>
  <c r="U117" i="3"/>
  <c r="V117" i="3" s="1"/>
  <c r="U118" i="3"/>
  <c r="V118" i="3" s="1"/>
  <c r="U119" i="3"/>
  <c r="V119" i="3" s="1"/>
  <c r="U120" i="3"/>
  <c r="V120" i="3" s="1"/>
  <c r="U121" i="3"/>
  <c r="V121" i="3" s="1"/>
  <c r="U122" i="3"/>
  <c r="V122" i="3" s="1"/>
  <c r="U123" i="3"/>
  <c r="V123" i="3" s="1"/>
  <c r="U124" i="3"/>
  <c r="V124" i="3" s="1"/>
  <c r="U125" i="3"/>
  <c r="V125" i="3" s="1"/>
  <c r="U126" i="3"/>
  <c r="V126" i="3" s="1"/>
  <c r="U127" i="3"/>
  <c r="V127" i="3" s="1"/>
  <c r="U128" i="3"/>
  <c r="V128" i="3" s="1"/>
  <c r="U129" i="3"/>
  <c r="V129" i="3" s="1"/>
  <c r="U130" i="3"/>
  <c r="V130" i="3" s="1"/>
  <c r="U131" i="3"/>
  <c r="V131" i="3" s="1"/>
  <c r="U132" i="3"/>
  <c r="V132" i="3" s="1"/>
  <c r="U133" i="3"/>
  <c r="V133" i="3" s="1"/>
  <c r="U134" i="3"/>
  <c r="V134" i="3" s="1"/>
  <c r="U135" i="3"/>
  <c r="V135" i="3" s="1"/>
  <c r="U136" i="3"/>
  <c r="V136" i="3" s="1"/>
  <c r="U137" i="3"/>
  <c r="V137" i="3" s="1"/>
  <c r="U138" i="3"/>
  <c r="V138" i="3" s="1"/>
  <c r="U139" i="3"/>
  <c r="V139" i="3" s="1"/>
  <c r="U140" i="3"/>
  <c r="V140" i="3" s="1"/>
  <c r="U141" i="3"/>
  <c r="V141" i="3" s="1"/>
  <c r="U142" i="3"/>
  <c r="V142" i="3" s="1"/>
  <c r="U143" i="3"/>
  <c r="V143" i="3" s="1"/>
  <c r="U144" i="3"/>
  <c r="V144" i="3" s="1"/>
  <c r="U145" i="3"/>
  <c r="V145" i="3" s="1"/>
  <c r="U146" i="3"/>
  <c r="V146" i="3" s="1"/>
  <c r="U147" i="3"/>
  <c r="V147" i="3" s="1"/>
  <c r="U148" i="3"/>
  <c r="V148" i="3" s="1"/>
  <c r="U149" i="3"/>
  <c r="V149" i="3" s="1"/>
  <c r="U150" i="3"/>
  <c r="V150" i="3" s="1"/>
  <c r="U151" i="3"/>
  <c r="V151" i="3" s="1"/>
  <c r="U152" i="3"/>
  <c r="V152" i="3" s="1"/>
  <c r="U153" i="3"/>
  <c r="V153" i="3" s="1"/>
  <c r="U154" i="3"/>
  <c r="V154" i="3" s="1"/>
  <c r="U155" i="3"/>
  <c r="V155" i="3" s="1"/>
  <c r="U156" i="3"/>
  <c r="V156" i="3" s="1"/>
  <c r="U157" i="3"/>
  <c r="V157" i="3" s="1"/>
  <c r="U158" i="3"/>
  <c r="V158" i="3" s="1"/>
  <c r="U159" i="3"/>
  <c r="V159" i="3" s="1"/>
  <c r="U160" i="3"/>
  <c r="V160" i="3" s="1"/>
  <c r="U161" i="3"/>
  <c r="V161" i="3" s="1"/>
  <c r="U162" i="3"/>
  <c r="V162" i="3" s="1"/>
  <c r="U163" i="3"/>
  <c r="V163" i="3" s="1"/>
  <c r="U164" i="3"/>
  <c r="V164" i="3" s="1"/>
  <c r="U165" i="3"/>
  <c r="V165" i="3" s="1"/>
  <c r="U166" i="3"/>
  <c r="V166" i="3" s="1"/>
  <c r="U167" i="3"/>
  <c r="V167" i="3" s="1"/>
  <c r="U168" i="3"/>
  <c r="V168" i="3" s="1"/>
  <c r="U169" i="3"/>
  <c r="V169" i="3" s="1"/>
  <c r="U170" i="3"/>
  <c r="V170" i="3" s="1"/>
  <c r="U171" i="3"/>
  <c r="V171" i="3" s="1"/>
  <c r="U172" i="3"/>
  <c r="V172" i="3" s="1"/>
  <c r="U173" i="3"/>
  <c r="V173" i="3" s="1"/>
  <c r="U4" i="3"/>
  <c r="V4" i="3" s="1"/>
  <c r="M198" i="3"/>
  <c r="M188" i="3"/>
  <c r="M178" i="3"/>
  <c r="M196" i="3"/>
  <c r="M197" i="3"/>
  <c r="M174" i="3"/>
  <c r="M203" i="3"/>
  <c r="M202" i="3"/>
  <c r="M180" i="3"/>
  <c r="M200" i="3"/>
  <c r="M176" i="3"/>
  <c r="M192" i="3"/>
  <c r="M194" i="3"/>
  <c r="M191" i="3"/>
  <c r="M181" i="3"/>
  <c r="M179" i="3"/>
  <c r="M190" i="3"/>
  <c r="M184" i="3"/>
  <c r="M193" i="3"/>
  <c r="M195" i="3"/>
  <c r="M204" i="3"/>
  <c r="M185" i="3"/>
  <c r="M199" i="3"/>
  <c r="M175" i="3"/>
  <c r="M205" i="3"/>
  <c r="M182" i="3"/>
  <c r="M206" i="3"/>
  <c r="M201" i="3"/>
  <c r="M183" i="3"/>
  <c r="M186" i="3"/>
  <c r="M189" i="3"/>
  <c r="M187" i="3"/>
  <c r="M177" i="3"/>
  <c r="O169" i="3" l="1"/>
  <c r="O170" i="3" s="1"/>
  <c r="O171" i="3" s="1"/>
  <c r="O172" i="3" s="1"/>
  <c r="O173" i="3" s="1"/>
  <c r="O166" i="3"/>
  <c r="O167" i="3" s="1"/>
  <c r="O168" i="3" s="1"/>
  <c r="O149" i="3"/>
  <c r="O150" i="3" s="1"/>
  <c r="O151" i="3" s="1"/>
  <c r="O159" i="3"/>
  <c r="O160" i="3" s="1"/>
  <c r="O161" i="3" s="1"/>
  <c r="O162" i="3" s="1"/>
  <c r="O163" i="3" s="1"/>
  <c r="O164" i="3" s="1"/>
  <c r="O165" i="3" s="1"/>
  <c r="O152" i="3"/>
  <c r="O153" i="3" s="1"/>
  <c r="O154" i="3" s="1"/>
  <c r="O155" i="3" s="1"/>
  <c r="O156" i="3" s="1"/>
  <c r="O157" i="3" s="1"/>
  <c r="O158" i="3" s="1"/>
  <c r="O144" i="3"/>
  <c r="O145" i="3" s="1"/>
  <c r="O146" i="3" s="1"/>
  <c r="O147" i="3" s="1"/>
  <c r="O148" i="3" s="1"/>
  <c r="U34" i="3"/>
  <c r="V34" i="3" s="1"/>
  <c r="U35" i="3"/>
  <c r="V35" i="3" s="1"/>
  <c r="U36" i="3"/>
  <c r="V36" i="3" s="1"/>
  <c r="U37" i="3"/>
  <c r="V37" i="3" s="1"/>
  <c r="U38" i="3"/>
  <c r="V38" i="3" s="1"/>
  <c r="U39" i="3"/>
  <c r="V39" i="3" s="1"/>
  <c r="U40" i="3"/>
  <c r="V40" i="3" s="1"/>
  <c r="U41" i="3"/>
  <c r="V41" i="3" s="1"/>
  <c r="U42" i="3"/>
  <c r="V42" i="3" s="1"/>
  <c r="U43" i="3"/>
  <c r="V43" i="3" s="1"/>
  <c r="U44" i="3"/>
  <c r="V44" i="3" s="1"/>
  <c r="U45" i="3"/>
  <c r="V45" i="3" s="1"/>
  <c r="U46" i="3"/>
  <c r="V46" i="3" s="1"/>
  <c r="U47" i="3"/>
  <c r="V47" i="3" s="1"/>
  <c r="U48" i="3"/>
  <c r="V48" i="3" s="1"/>
  <c r="U49" i="3"/>
  <c r="V49" i="3" s="1"/>
  <c r="U50" i="3"/>
  <c r="V50" i="3" s="1"/>
  <c r="U51" i="3"/>
  <c r="V51" i="3" s="1"/>
  <c r="U52" i="3"/>
  <c r="V52" i="3" s="1"/>
  <c r="U53" i="3"/>
  <c r="V53" i="3" s="1"/>
  <c r="U54" i="3"/>
  <c r="V54" i="3" s="1"/>
  <c r="U55" i="3"/>
  <c r="V55" i="3" s="1"/>
  <c r="U56" i="3"/>
  <c r="V56" i="3" s="1"/>
  <c r="U57" i="3"/>
  <c r="V57" i="3" s="1"/>
  <c r="U58" i="3"/>
  <c r="V58" i="3" s="1"/>
  <c r="U59" i="3"/>
  <c r="V59" i="3" s="1"/>
  <c r="U60" i="3"/>
  <c r="V60" i="3" s="1"/>
  <c r="U61" i="3"/>
  <c r="V61" i="3" s="1"/>
  <c r="U62" i="3"/>
  <c r="V62" i="3" s="1"/>
  <c r="U63" i="3"/>
  <c r="V63" i="3" s="1"/>
  <c r="U64" i="3"/>
  <c r="V64" i="3" s="1"/>
  <c r="U65" i="3"/>
  <c r="V65" i="3" s="1"/>
  <c r="U66" i="3"/>
  <c r="V66" i="3" s="1"/>
  <c r="U67" i="3"/>
  <c r="V67" i="3" s="1"/>
  <c r="U68" i="3"/>
  <c r="V68" i="3" s="1"/>
  <c r="U69" i="3"/>
  <c r="V69" i="3" s="1"/>
  <c r="U70" i="3"/>
  <c r="V70" i="3" s="1"/>
  <c r="U71" i="3"/>
  <c r="V71" i="3" s="1"/>
  <c r="U72" i="3"/>
  <c r="V72" i="3" s="1"/>
  <c r="U73" i="3"/>
  <c r="V73" i="3" s="1"/>
  <c r="U74" i="3"/>
  <c r="V74" i="3" s="1"/>
  <c r="U33" i="3"/>
  <c r="V33" i="3" s="1"/>
  <c r="M40" i="3"/>
  <c r="M70" i="3"/>
  <c r="M29" i="3"/>
  <c r="M148" i="3"/>
  <c r="M50" i="3"/>
  <c r="M118" i="3"/>
  <c r="M81" i="3"/>
  <c r="M11" i="3"/>
  <c r="M152" i="3"/>
  <c r="M16" i="3"/>
  <c r="M115" i="3"/>
  <c r="M47" i="3"/>
  <c r="M68" i="3"/>
  <c r="M54" i="3"/>
  <c r="M163" i="3"/>
  <c r="M53" i="3"/>
  <c r="M112" i="3"/>
  <c r="M13" i="3"/>
  <c r="M73" i="3"/>
  <c r="M97" i="3"/>
  <c r="M159" i="3"/>
  <c r="M173" i="3"/>
  <c r="M58" i="3"/>
  <c r="M17" i="3"/>
  <c r="M170" i="3"/>
  <c r="M113" i="3"/>
  <c r="M169" i="3"/>
  <c r="M48" i="3"/>
  <c r="M44" i="3"/>
  <c r="M56" i="3"/>
  <c r="M138" i="3"/>
  <c r="M25" i="3"/>
  <c r="M60" i="3"/>
  <c r="M100" i="3"/>
  <c r="M161" i="3"/>
  <c r="M67" i="3"/>
  <c r="M36" i="3"/>
  <c r="M146" i="3"/>
  <c r="M93" i="3"/>
  <c r="M45" i="3"/>
  <c r="M96" i="3"/>
  <c r="M128" i="3"/>
  <c r="M117" i="3"/>
  <c r="M140" i="3"/>
  <c r="M124" i="3"/>
  <c r="M42" i="3"/>
  <c r="M10" i="3"/>
  <c r="M94" i="3"/>
  <c r="M86" i="3"/>
  <c r="M167" i="3"/>
  <c r="M104" i="3"/>
  <c r="M131" i="3"/>
  <c r="M107" i="3"/>
  <c r="M49" i="3"/>
  <c r="M143" i="3"/>
  <c r="M139" i="3"/>
  <c r="M157" i="3"/>
  <c r="M7" i="3"/>
  <c r="M135" i="3"/>
  <c r="M165" i="3"/>
  <c r="M57" i="3"/>
  <c r="M172" i="3"/>
  <c r="M150" i="3"/>
  <c r="M51" i="3"/>
  <c r="M168" i="3"/>
  <c r="M83" i="3"/>
  <c r="M127" i="3"/>
  <c r="M63" i="3"/>
  <c r="M136" i="3"/>
  <c r="M20" i="3"/>
  <c r="M5" i="3"/>
  <c r="M98" i="3"/>
  <c r="M26" i="3"/>
  <c r="M85" i="3"/>
  <c r="M62" i="3"/>
  <c r="M149" i="3"/>
  <c r="M6" i="3"/>
  <c r="M55" i="3"/>
  <c r="M72" i="3"/>
  <c r="M37" i="3"/>
  <c r="M92" i="3"/>
  <c r="M71" i="3"/>
  <c r="M64" i="3"/>
  <c r="M102" i="3"/>
  <c r="M111" i="3"/>
  <c r="M32" i="3"/>
  <c r="M69" i="3"/>
  <c r="M171" i="3"/>
  <c r="M123" i="3"/>
  <c r="M74" i="3"/>
  <c r="M153" i="3"/>
  <c r="M95" i="3"/>
  <c r="M164" i="3"/>
  <c r="M59" i="3"/>
  <c r="M156" i="3"/>
  <c r="M101" i="3"/>
  <c r="M46" i="3"/>
  <c r="M9" i="3"/>
  <c r="M66" i="3"/>
  <c r="M27" i="3"/>
  <c r="M108" i="3"/>
  <c r="M14" i="3"/>
  <c r="M15" i="3"/>
  <c r="M158" i="3"/>
  <c r="M89" i="3"/>
  <c r="M24" i="3"/>
  <c r="M120" i="3"/>
  <c r="M144" i="3"/>
  <c r="M28" i="3"/>
  <c r="M137" i="3"/>
  <c r="M154" i="3"/>
  <c r="M23" i="3"/>
  <c r="M109" i="3"/>
  <c r="M151" i="3"/>
  <c r="M43" i="3"/>
  <c r="M162" i="3"/>
  <c r="M19" i="3"/>
  <c r="M4" i="3"/>
  <c r="M141" i="3"/>
  <c r="M76" i="3"/>
  <c r="M142" i="3"/>
  <c r="M78" i="3"/>
  <c r="M84" i="3"/>
  <c r="M134" i="3"/>
  <c r="M106" i="3"/>
  <c r="M130" i="3"/>
  <c r="M39" i="3"/>
  <c r="M121" i="3"/>
  <c r="M52" i="3"/>
  <c r="M160" i="3"/>
  <c r="M61" i="3"/>
  <c r="M133" i="3"/>
  <c r="M145" i="3"/>
  <c r="M132" i="3"/>
  <c r="M21" i="3"/>
  <c r="M31" i="3"/>
  <c r="M147" i="3"/>
  <c r="M125" i="3"/>
  <c r="M88" i="3"/>
  <c r="M33" i="3"/>
  <c r="M114" i="3"/>
  <c r="M116" i="3"/>
  <c r="M91" i="3"/>
  <c r="M79" i="3"/>
  <c r="M126" i="3"/>
  <c r="M87" i="3"/>
  <c r="M90" i="3"/>
  <c r="M18" i="3"/>
  <c r="M82" i="3"/>
  <c r="M80" i="3"/>
  <c r="M77" i="3"/>
  <c r="M119" i="3"/>
  <c r="M75" i="3"/>
  <c r="M34" i="3"/>
  <c r="M99" i="3"/>
  <c r="M155" i="3"/>
  <c r="M105" i="3"/>
  <c r="M129" i="3"/>
  <c r="M103" i="3"/>
  <c r="M166" i="3"/>
  <c r="M41" i="3"/>
  <c r="M122" i="3"/>
  <c r="M38" i="3"/>
  <c r="M12" i="3"/>
  <c r="M30" i="3"/>
  <c r="M8" i="3"/>
  <c r="M35" i="3"/>
  <c r="M110" i="3"/>
  <c r="M65" i="3"/>
  <c r="M22" i="3"/>
</calcChain>
</file>

<file path=xl/sharedStrings.xml><?xml version="1.0" encoding="utf-8"?>
<sst xmlns="http://schemas.openxmlformats.org/spreadsheetml/2006/main" count="832" uniqueCount="337">
  <si>
    <t>s</t>
    <phoneticPr fontId="2" type="noConversion"/>
  </si>
  <si>
    <t>活动目标描述</t>
    <phoneticPr fontId="2" type="noConversion"/>
  </si>
  <si>
    <t>desc</t>
    <phoneticPr fontId="2" type="noConversion"/>
  </si>
  <si>
    <t>活动目标id</t>
    <phoneticPr fontId="2" type="noConversion"/>
  </si>
  <si>
    <t>前往的系统
[]-没有”前往“
填game_module的id</t>
    <phoneticPr fontId="2" type="noConversion"/>
  </si>
  <si>
    <t>id</t>
    <phoneticPr fontId="2" type="noConversion"/>
  </si>
  <si>
    <t>param</t>
    <phoneticPr fontId="2" type="noConversion"/>
  </si>
  <si>
    <t>module_id</t>
    <phoneticPr fontId="2" type="noConversion"/>
  </si>
  <si>
    <t>s</t>
    <phoneticPr fontId="2" type="noConversion"/>
  </si>
  <si>
    <t>i</t>
    <phoneticPr fontId="2" type="noConversion"/>
  </si>
  <si>
    <t>s</t>
    <phoneticPr fontId="2" type="noConversion"/>
  </si>
  <si>
    <t>i</t>
    <phoneticPr fontId="2" type="noConversion"/>
  </si>
  <si>
    <t>show_plan</t>
    <phoneticPr fontId="2" type="noConversion"/>
  </si>
  <si>
    <t>i</t>
    <phoneticPr fontId="2" type="noConversion"/>
  </si>
  <si>
    <t>task_vip</t>
  </si>
  <si>
    <t>引用模板
1-单奖励模板
2-多奖励模板</t>
    <phoneticPr fontId="2" type="noConversion"/>
  </si>
  <si>
    <t>rewards_type</t>
    <phoneticPr fontId="2" type="noConversion"/>
  </si>
  <si>
    <t xml:space="preserve">
模板为2时生效
rewards_type=2
奖励图标
icon_id</t>
    <phoneticPr fontId="2" type="noConversion"/>
  </si>
  <si>
    <t>icon</t>
    <phoneticPr fontId="2" type="noConversion"/>
  </si>
  <si>
    <t>quality</t>
    <phoneticPr fontId="2" type="noConversion"/>
  </si>
  <si>
    <t>i</t>
    <phoneticPr fontId="2" type="noConversion"/>
  </si>
  <si>
    <t>na</t>
    <phoneticPr fontId="2" type="noConversion"/>
  </si>
  <si>
    <t>活动奖励
[[类型,物品ID,数量],[类型,物品ID,数量]]
类型：
1=道具（game_items）
2=装备(game_equpment)
4=资源（currency）
5=伙伴（hero_main）
6=法宝(game_fabao)</t>
    <phoneticPr fontId="2" type="noConversion"/>
  </si>
  <si>
    <t>reward</t>
  </si>
  <si>
    <t>[[2,2043,1],[4,1,50000]]</t>
  </si>
  <si>
    <t>[[2,2042,1],[1,14101,2],[4,1,100000]]</t>
  </si>
  <si>
    <t>[[1,14318,4],[1,14108,2],[4,1,200000]]</t>
  </si>
  <si>
    <t>[[1,14318,4],[4,39,10000],[4,1,300000]]</t>
  </si>
  <si>
    <t>[[2,2041,1],[2,2044,1],[4,3,10000]]</t>
  </si>
  <si>
    <t>[[1,14522,1],[1,14107,1000],[4,1,400000]]</t>
  </si>
  <si>
    <t>[[1,14517,1],[1,14107,1000],[4,1,500000]]</t>
  </si>
  <si>
    <t>活动时段内的可完成次数
即可以领奖的次数</t>
    <phoneticPr fontId="2" type="noConversion"/>
  </si>
  <si>
    <t>count</t>
    <phoneticPr fontId="2" type="noConversion"/>
  </si>
  <si>
    <t>i</t>
    <phoneticPr fontId="2" type="noConversion"/>
  </si>
  <si>
    <t>获得奖励的方式
0-全部获得
1-多选一（只能选择1个）</t>
    <phoneticPr fontId="2" type="noConversion"/>
  </si>
  <si>
    <t>reward_type</t>
    <phoneticPr fontId="2" type="noConversion"/>
  </si>
  <si>
    <t>i</t>
    <phoneticPr fontId="2" type="noConversion"/>
  </si>
  <si>
    <t>renew</t>
    <phoneticPr fontId="2" type="noConversion"/>
  </si>
  <si>
    <t>活动时段内
是否进行每日重置
0-不重置
1-重置</t>
    <phoneticPr fontId="2" type="noConversion"/>
  </si>
  <si>
    <t>是否显示进度
0-不显示
1-显示
2-显示领奖次数</t>
    <phoneticPr fontId="2" type="noConversion"/>
  </si>
  <si>
    <t xml:space="preserve">模板为2时生效
rewards_type=2
物品品质                     
0无品质                          
1.绿色                              
2.蓝色                                   
3.紫色                              
4.橙色                                
5.橙16
6.红色                       </t>
    <phoneticPr fontId="2" type="noConversion"/>
  </si>
  <si>
    <t>[[1,14408,10],[1,14102,10],[4,4,100]]</t>
  </si>
  <si>
    <t>[[1,14408,30],[1,14006,2],[1,14315,12]]</t>
  </si>
  <si>
    <t>[[1,14408,60],[1,14107,1000],[4,4,500]]</t>
  </si>
  <si>
    <t>[[1,14408,10],[6,4502,2],[1,14306,1]]</t>
  </si>
  <si>
    <t>[[1,14408,30],[1,14107,600],[4,39,2000]]</t>
  </si>
  <si>
    <t>[[1,14408,60],[1,14315,20],[1,14006,3]]</t>
  </si>
  <si>
    <t>[[1,14408,10],[1,14107,150],[1,14006,1]]</t>
  </si>
  <si>
    <t>[[1,14408,30],[1,16005,120],[1,14106,120]]</t>
  </si>
  <si>
    <t>[[1,14408,60],[4,4,500],[6,4502,10]]</t>
  </si>
  <si>
    <t>[[1,14408,10],[1,14211,10],[1,14315,3]]</t>
  </si>
  <si>
    <t>[[1,14408,30],[1,17000,600],[6,4502,6]]</t>
  </si>
  <si>
    <t>[[1,14408,60],[1,14107,1000],[1,14306,6]]</t>
  </si>
  <si>
    <t>[[1,14408,30],[1,14306,4],[4,5,2000]]</t>
  </si>
  <si>
    <t>[[1,14408,60],[1,14106,200],[1,16005,200]]</t>
  </si>
  <si>
    <t>[[1,14408,10],[1,14201,30],[1,14306,1]]</t>
  </si>
  <si>
    <t>[[1,14408,30],[1,14102,30],[4,3,2000]]</t>
  </si>
  <si>
    <t>[[1,14408,60],[1,17000,1000],[1,14201,200]]</t>
  </si>
  <si>
    <t>[[1,14408,10],[1,14106,30],[1,16005,30]]</t>
  </si>
  <si>
    <t>[[1,14408,30],[1,17000,600],[1,14201,120]]</t>
  </si>
  <si>
    <t>[[1,14408,60],[1,14102,50],[1,17001,200]]</t>
  </si>
  <si>
    <t>[[1,14408,10],[1,14211,10],[4,4,100]]</t>
  </si>
  <si>
    <t>[[1,14408,30],[1,14106,120],[4,29,2000]]</t>
  </si>
  <si>
    <t>[[1,14408,60],[1,16005,200],[4,3,5000]]</t>
  </si>
  <si>
    <t>[[1,14408,10],[1,14106,30],[4,5,1000]]</t>
  </si>
  <si>
    <t>[[1,14408,30],[1,16010,30],[4,4,200]]</t>
  </si>
  <si>
    <t>[[1,14408,60],[1,14201,200],[4,29,5000]]</t>
  </si>
  <si>
    <t>[[1,14408,10],[1,16010,8],[4,39,1000]]</t>
  </si>
  <si>
    <t>[[1,14408,30],[1,16005,120],[4,5,2000]]</t>
  </si>
  <si>
    <t>[[1,14408,60],[1,14106,200],[4,4,500]]</t>
  </si>
  <si>
    <t>[[1,14408,10],[1,16005,30],[4,3,1000]]</t>
  </si>
  <si>
    <t>[[1,14408,30],[1,14201,120],[4,39,2000]]</t>
  </si>
  <si>
    <t>[[1,14408,60],[1,17001,200],[4,4,500]]</t>
  </si>
  <si>
    <t>[[1,14408,10],[1,14201,30],[4,29,1000]]</t>
  </si>
  <si>
    <t>[[1,14408,30],[1,17001,120],[4,3,2000]]</t>
  </si>
  <si>
    <t>[[1,14408,60],[1,16010,50],[4,39,5000]]</t>
  </si>
  <si>
    <t>[[1,14408,10],[1,17000,150],[4,4,100]]</t>
  </si>
  <si>
    <t>[[1,14408,30],[1,16005,120],[4,29,2000]]</t>
  </si>
  <si>
    <t>[[1,14408,60],[1,14201,200],[4,5,5000]]</t>
  </si>
  <si>
    <t>[[1,14408,10],[1,17001,30],[4,29,1000]]</t>
  </si>
  <si>
    <t>[[1,14408,30],[1,14201,120],[4,4,200]]</t>
  </si>
  <si>
    <t>[[1,14408,60],[1,16005,200],[4,29,5000]]</t>
  </si>
  <si>
    <t>[[4,2,500],[1,14315,2],[1,14006,1]]</t>
  </si>
  <si>
    <t>[[1,14507,40],[1,14509,40],[1,14508,40]]</t>
  </si>
  <si>
    <t>[[1,14507,60],[1,14509,60],[1,14508,60]]</t>
  </si>
  <si>
    <t>[[1,14535,2],[1,14306,2],[6,4503,2]]</t>
  </si>
  <si>
    <t>[[1,14572,40],[1,17001,100],[4,29,1000]]</t>
  </si>
  <si>
    <t>[[1,14572,60],[1,17001,200],[4,29,2000]]</t>
  </si>
  <si>
    <t>[[4,2,1000],[4,26,240],[1,14408,100]]</t>
  </si>
  <si>
    <t>[[2,2030,1],[2,2029,1],[1,14107,50],[1,14315,1]]</t>
  </si>
  <si>
    <t>[[2,2031,1],[2,2032,1],[1,14107,100],[1,14315,2]]</t>
  </si>
  <si>
    <t>[[1,14006,1],[1,14102,5],[1,14311,2],[1,14306,1]]</t>
  </si>
  <si>
    <t>[[1,14006,1],[1,14102,10],[1,14311,5],[1,14306,2]]</t>
  </si>
  <si>
    <t>[[1,14006,1],[6,4502,1],[1,16005,10],[1,14315,1]]</t>
  </si>
  <si>
    <t>[[1,14006,1],[6,4502,2],[1,16005,20],[1,14315,2]]</t>
  </si>
  <si>
    <t>[[1,14006,1],[6,4502,1],[1,14310,2],[1,14306,1]]</t>
  </si>
  <si>
    <t>[[1,14006,1],[6,4502,2],[1,14310,5],[1,14306,2]]</t>
  </si>
  <si>
    <t>[[1,14006,1],[1,14106,10],[4,4,50],[1,14315,1]]</t>
  </si>
  <si>
    <t>[[1,14006,1],[1,14106,20],[4,4,100],[1,14315,2]]</t>
  </si>
  <si>
    <t>[[1,14006,1],[1,17001,10],[1,14310,2],[1,14306,1]]</t>
  </si>
  <si>
    <t>[[1,14006,1],[1,17001,20],[1,14310,5],[1,14306,2]]</t>
  </si>
  <si>
    <t>[[1,14006,1],[6,4502,1],[1,14201,10],[1,14315,1]]</t>
  </si>
  <si>
    <t>[[1,14006,1],[6,4502,2],[1,14201,20],[1,14315,2]]</t>
  </si>
  <si>
    <t>[]</t>
  </si>
  <si>
    <r>
      <t>活动任务参数
1-主线关卡|活动期间累计挑战次数
2-精英关卡|活动期间累计挑战次数
3-幻境关卡|活动期间累计挑战次数
4-竞技场挑战|活动期间累计挑战次数
5-距离开服天数领奖（5|距离开服天数）
6-完成法宝强化|累计强化消耗道具数量
7-完成法宝合成|累计合成次数
8-完成装备强化|累计强化次数
9-完成装备精炼|累计精炼次数
10-普通抽奖|活动期间累计抽奖次数
11-钻石抽奖|活动期间累计抽奖次数
12-单笔充值（12|单笔充值获得元宝数）
13-购买道具|商品ID|活动期间累计购买次数
14-主角等级|目标等级
15-主线关卡总星数|目标星数
16-精英关卡总星数|目标星数
17-幻境关卡总星数|目标星数
18-战斗力|目标战斗力数值
19-vip等级|目标等级
20-法宝抢夺|活动期间累计抢夺次数
21-升级技能|活动期间累计升级次数
22-累积登陆|活动期间累计登陆天数
23-灵台斗法最高排名|目标名次
24-上阵伙伴最低等级达到|目标等级
25-活动期间累计充值|累计充值获得元宝数
26-大雁塔挑战次数|活动期间累计挑战次数
27-大雁塔最高层数|目标层数
28-噩梦入侵活动期间累计伤害(28|活动期间累计伤害值)
29-噩梦入侵活动期间累计击杀怪物数量(29|活动期间累计击杀怪物数量)
30-装备的最高强化等级达到（30|装备的最高强化等级）
31-装备的最高精炼等级达到（31|装备的最高精炼等级）
32-法宝的最高强化等级达到（32|法宝的最高强化等级）
33-法宝的最高精炼等级达到（33|法宝的最高精炼等级）
34-通关的副本id|battle_scene中的副本id（只能配置主线，精英，幻境）
35-夜探无底洞挑战次数|累计挑战次数（35|累计挑战次数）
36-斩妖夺宝挑战次数|累计挑战次数（36|累计挑战次数）
37-累计培养武将次数（37|累计培养武将次数）
38-伙伴培养的最高等级达到（38|伙伴培养的最高等级）
39-神兵的最高强化等级达到（39|神兵强化等级）
40-神兵的最高精炼等级达到（40|神兵精炼等级）
41-伙伴商铺累计刷新次数（41|伙伴商铺累计刷新次数）
42-斩妖夺宝累计击杀怪物数-胜利的次数（42|累计击杀怪物数）
43-神兵的最高强化等级达到（43|神兵的最高强化等级）
44-神兵的最高精炼等级达到（44|神兵的最高精炼等级）</t>
    </r>
    <r>
      <rPr>
        <sz val="11"/>
        <color theme="1"/>
        <rFont val="微软雅黑"/>
        <family val="2"/>
        <charset val="134"/>
      </rPr>
      <t xml:space="preserve">
45-通关夜探无底洞层数|通关夜探无底洞层数</t>
    </r>
    <phoneticPr fontId="2" type="noConversion"/>
  </si>
  <si>
    <t>[[1,14101,5],[1,14108,5]]</t>
  </si>
  <si>
    <t>[[2,2046,1],[4,1,200000]]</t>
  </si>
  <si>
    <t>[[2,2045,1],[1,14315,10]]</t>
  </si>
  <si>
    <t>[[2,2047,1],[1,16005,200]]</t>
  </si>
  <si>
    <t>[[2,2048,1],[1,16005,500]]</t>
  </si>
  <si>
    <t>[[1,14306,5],[4,1,200000]]</t>
  </si>
  <si>
    <t>[[6,4503,5],[1,14108,10]]</t>
  </si>
  <si>
    <t>[[6,4503,10],[1,14101,10]]</t>
  </si>
  <si>
    <t>[[1,14535,1],[4,1,200000]]</t>
  </si>
  <si>
    <t>[[1,14535,2],[1,14108,10]]</t>
  </si>
  <si>
    <t>[[1,16005,100],[4,1,200000]]</t>
  </si>
  <si>
    <t>[[1,16005,200],[1,14108,10]]</t>
  </si>
  <si>
    <t>[[1,16005,500],[1,14101,10]]</t>
  </si>
  <si>
    <t>[[1,14106,100],[4,1,200000]]</t>
  </si>
  <si>
    <t>[[1,14106,200],[1,14108,10]]</t>
  </si>
  <si>
    <t>[[1,14106,500],[1,14101,10]]</t>
  </si>
  <si>
    <t>[[1,14201,200],[1,14108,10]]</t>
  </si>
  <si>
    <t>[[1,14527,1],[1,14528,1]]</t>
  </si>
  <si>
    <t>[[6,4503,5],[4,1,200000]]</t>
  </si>
  <si>
    <t>[[2,2070,1],[2,2069,1],[2,2071,1],[2,2072,1]]</t>
  </si>
  <si>
    <t>任务类型</t>
    <phoneticPr fontId="2" type="noConversion"/>
  </si>
  <si>
    <t>任务描述</t>
    <phoneticPr fontId="2" type="noConversion"/>
  </si>
  <si>
    <t>module_id</t>
    <phoneticPr fontId="2" type="noConversion"/>
  </si>
  <si>
    <t>是否显示进度
0-不显示
1-显示</t>
    <phoneticPr fontId="2" type="noConversion"/>
  </si>
  <si>
    <t>主线关卡|活动期间累计挑战次数</t>
  </si>
  <si>
    <t>精英关卡|活动期间累计挑战次数</t>
  </si>
  <si>
    <t>幻境关卡|活动期间累计挑战次数</t>
  </si>
  <si>
    <t>[]</t>
    <phoneticPr fontId="2" type="noConversion"/>
  </si>
  <si>
    <t>竞技场挑战|活动期间累计挑战次数</t>
  </si>
  <si>
    <t>距离开服天数领奖（5|距离开服天数）</t>
  </si>
  <si>
    <t>完成法宝强化|累计强化消耗道具数量</t>
  </si>
  <si>
    <t>完成法宝合成|累计合成次数</t>
  </si>
  <si>
    <t>完成装备强化|累计强化次数</t>
  </si>
  <si>
    <t>完成装备精炼|累计精炼次数</t>
  </si>
  <si>
    <t>普通抽奖|活动期间累计抽奖次数</t>
  </si>
  <si>
    <t>钻石抽奖|活动期间累计抽奖次数</t>
  </si>
  <si>
    <t>单笔充值（12|单笔充值数目）</t>
  </si>
  <si>
    <t>购买道具|商品ID|活动期间累计购买次数</t>
  </si>
  <si>
    <t>主角等级|目标等级</t>
  </si>
  <si>
    <t>主线关卡总星数|目标星数</t>
  </si>
  <si>
    <t>精英关卡总星数|目标星数</t>
  </si>
  <si>
    <t>幻境关卡总星数|目标星数</t>
  </si>
  <si>
    <t>战斗力|目标战斗力数值</t>
  </si>
  <si>
    <t>vip等级|目标等级</t>
  </si>
  <si>
    <t>法宝抢夺|活动期间累计抢夺次数</t>
  </si>
  <si>
    <t>升级技能|活动期间累计升级次数</t>
  </si>
  <si>
    <t>累积登陆|活动期间累计登陆天数</t>
  </si>
  <si>
    <t>灵台斗法最高排名|目标名次</t>
  </si>
  <si>
    <t>上阵伙伴最低等级达到|目标等级</t>
  </si>
  <si>
    <t>活动期间累计充值|目标充值数量</t>
  </si>
  <si>
    <t>大雁塔挑战次数|活动期间累计挑战次数</t>
  </si>
  <si>
    <t>大雁塔最高层数|目标层数</t>
  </si>
  <si>
    <t>噩梦入侵活动期间累计伤害(28|活动期间累计伤害值)</t>
  </si>
  <si>
    <t>噩梦入侵活动期间累计击杀怪物数量(29|活动期间累计击杀怪物数量)</t>
  </si>
  <si>
    <t>装备的最高强化等级达到（30|装备的最高强化等级）</t>
  </si>
  <si>
    <t>装备的最高精炼等级达到（31|装备的最高精炼等级）</t>
  </si>
  <si>
    <t>法宝的最高强化等级达到（32|法宝的最高强化等级）</t>
  </si>
  <si>
    <t>法宝的最高精炼等级达到（33|法宝的最高精炼等级）</t>
  </si>
  <si>
    <t>通关的副本id|battle_scene中的副本id（主线，精英，幻境）</t>
  </si>
  <si>
    <t>夜探无底洞挑战次数|累计挑战次数（35|累计挑战次数）</t>
  </si>
  <si>
    <t>斩妖夺宝挑战次数|累计挑战次数（36|累计挑战次数）</t>
  </si>
  <si>
    <t>累计培养武将次数（37|累计培养武将次数）</t>
  </si>
  <si>
    <t>培养突破等级达到（38|达到的培养突破等级）</t>
  </si>
  <si>
    <t>神兵的最高强化等级达到（39|神兵强化等级）</t>
  </si>
  <si>
    <t>神兵的最高精炼等级达到（40|神兵精炼等级）</t>
  </si>
  <si>
    <t>伙伴商铺累计刷新次数（41|伙伴商铺累计刷新次数）</t>
  </si>
  <si>
    <t>斩妖夺宝累计击杀怪物数（42|累计击杀怪物数）</t>
  </si>
  <si>
    <t>神兵的最高强化等级达到（43|神兵的最高强化等级）</t>
  </si>
  <si>
    <t>神兵的最高精炼等级达到（44|神兵的最高精炼等级）</t>
  </si>
  <si>
    <t>通关夜探无底洞层数|通关夜探无底洞层数</t>
  </si>
  <si>
    <t>5个上阵伙伴的20件已穿戴的装备强化最低达到x级</t>
  </si>
  <si>
    <t>5个上阵伙伴的20件已穿戴的装备精炼最低达到x级</t>
  </si>
  <si>
    <t>5个上阵伙伴的10件已穿戴的法宝强化最低达到x级</t>
  </si>
  <si>
    <t>5个上阵伙伴的10件已穿戴的法宝精炼最低达到x级</t>
  </si>
  <si>
    <t>x个上阵伙伴的进阶等级最低达到x级（人数,进阶等级）</t>
  </si>
  <si>
    <t>x个上阵伙伴的全部穿戴y品质以上的装备（人数，装备品质type）</t>
  </si>
  <si>
    <t>上阵x个y品质的伙伴(人数，伙伴品质type)</t>
  </si>
  <si>
    <t>上阵x人的神兵强化等级达到y级（人数，神兵强化等级）</t>
  </si>
  <si>
    <t>上阵x人的神兵进阶等级达到y级（人数，神兵进阶等级）</t>
  </si>
  <si>
    <t>某个商店x消耗某种货币y达到一定数值z（商店id,货币id,累计消耗值）</t>
  </si>
  <si>
    <t>大闹三界通过哪个副本(副本id)</t>
  </si>
  <si>
    <t>在某个商店x中累计购买y次商品（商店id,累计购买次数）</t>
  </si>
  <si>
    <t>活动时段内大雁塔的累计重置次数</t>
  </si>
  <si>
    <t>任务类型</t>
    <phoneticPr fontId="2" type="noConversion"/>
  </si>
  <si>
    <t>[[4,2,188],[1,14408,18]]</t>
  </si>
  <si>
    <t>[[5,1211,1],[5,1101,1],[5,1119,1]]</t>
  </si>
  <si>
    <t>[[4,2,188],[1,14408,18],[1,14409,28]]</t>
  </si>
  <si>
    <t>[[4,2,2018],[1,14408,28],[1,14409,68]]</t>
  </si>
  <si>
    <t>[[4,2,200],[1,14412,18]]</t>
  </si>
  <si>
    <t>[[4,2,400],[1,14412,18]]</t>
  </si>
  <si>
    <t>[[4,2,500],[1,14412,18]]</t>
  </si>
  <si>
    <t>[[4,2,600],[1,14412,18]]</t>
  </si>
  <si>
    <t>[[4,2,200],[1,14412,28]]</t>
  </si>
  <si>
    <t>[[4,2,300],[1,14412,28]]</t>
  </si>
  <si>
    <t>[[4,2,400],[1,14412,28]]</t>
  </si>
  <si>
    <t>[[4,2,500],[1,14412,28]]</t>
  </si>
  <si>
    <t>[[4,2,600],[1,14412,28]]</t>
  </si>
  <si>
    <t>[[5,1121,1],[5,1105,1],[5,1124,1]]</t>
  </si>
  <si>
    <t>[[1,14567,10],[1,14588,2],[1,14572,15],[1,14101,5]]</t>
  </si>
  <si>
    <t>[[1,14567,10],[1,14588,2],[1,14572,15],[1,14108,5]]</t>
  </si>
  <si>
    <t>[[1,14567,20],[1,14588,4],[1,14572,25],[1,14101,10]]</t>
  </si>
  <si>
    <t>[[1,14567,20],[1,14588,4],[1,14572,25],[1,14108,10]]</t>
  </si>
  <si>
    <t>[[1,14567,30],[1,14588,6],[1,14572,40],[1,16005,300]]</t>
  </si>
  <si>
    <t>[[1,14567,40],[1,14588,8],[1,14572,50],[1,14106,400]]</t>
  </si>
  <si>
    <t>[[1,14567,60],[1,14588,12],[1,14572,80],[1,17001,600]]</t>
  </si>
  <si>
    <t>[[1,14567,100],[1,14588,20],[1,14572,150],[1,17001,1000]]</t>
  </si>
  <si>
    <t>[[1,14101,7],[4,1,50000]]</t>
  </si>
  <si>
    <t>[[4,2,1000],[4,26,100]]</t>
  </si>
  <si>
    <t>[[4,4,300],[4,39,3000],[4,29,3000]]</t>
  </si>
  <si>
    <t>[[1,14108,7],[4,1,100000]]</t>
  </si>
  <si>
    <t>[[1,14201,100],[1,14535,1]]</t>
  </si>
  <si>
    <t>[[1,16005,100],[4,1,150000]]</t>
  </si>
  <si>
    <t>[[1,14567,30],[1,14588,6],[1,14572,40]]</t>
  </si>
  <si>
    <t>[[1,14201,100],[1,14587,1]]</t>
  </si>
  <si>
    <t>[[4,2,1000],[4,26,60],[1,14408,100]]</t>
    <phoneticPr fontId="2" type="noConversion"/>
  </si>
  <si>
    <t>[[4,2,300],[1,14412,18],[1,14572,100]]</t>
  </si>
  <si>
    <t>[[4,2,1000],[4,45,8000],[1,14567,20]]</t>
  </si>
  <si>
    <t>[[4,2,300],[4,45,5000],[1,14567,10]]</t>
  </si>
  <si>
    <t>[[4,2,200],[4,45,2000],[1,14106,100]]</t>
  </si>
  <si>
    <t>[[4,2,300],[1,14413,18],[1,14414,18]]</t>
  </si>
  <si>
    <t>[[1,14413,5],[1,14414,5]]</t>
  </si>
  <si>
    <t>[[1,14413,15],[1,14101,10],[1,14108,10]]</t>
  </si>
  <si>
    <t>[[1,14413,40],[1,14101,20],[1,14108,20]]</t>
  </si>
  <si>
    <t>[[1,14413,120],[1,17001,300]]</t>
  </si>
  <si>
    <t>[[1,14413,200],[1,14572,50]]</t>
  </si>
  <si>
    <t>累计登陆 [00821cff]1[-] 天送元宝</t>
  </si>
  <si>
    <t>累计登陆 [00821cff]2[-] 天送VIP1</t>
  </si>
  <si>
    <t>累计登陆 [00821cff]3[-] 天送顶级橙伙伴碎片</t>
  </si>
  <si>
    <t>累计登陆 [00821cff]4[-] 天送顶级橙伙伴碎片</t>
  </si>
  <si>
    <t>累计登陆 [00821cff]5[-] 天送橙色法宝</t>
  </si>
  <si>
    <t>累计登陆 [00821cff]6[-] 天送红神兵碎片</t>
  </si>
  <si>
    <t>累计登陆 [00821cff]7[-] 天送红神兵碎片</t>
  </si>
  <si>
    <t>累计登陆 [00821cff]8[-] 天送VIP2</t>
  </si>
  <si>
    <t>单笔充值 [00821cff]1[-] 元</t>
  </si>
  <si>
    <t>单笔充值 [00821cff]6[-] 元</t>
  </si>
  <si>
    <t>单笔充值 [00821cff]30[-] 元</t>
  </si>
  <si>
    <t>单笔充值 [00821cff]98[-] 元</t>
  </si>
  <si>
    <t>单笔充值 [00821cff]168[-] 元</t>
  </si>
  <si>
    <t>单笔充值 [00821cff]268[-] 元</t>
  </si>
  <si>
    <t>单笔充值 [00821cff]648[-] 元</t>
  </si>
  <si>
    <t>累计登陆 [00821cff]1[-] 天（第2天送红色伙伴）</t>
  </si>
  <si>
    <t>累计登陆 [00821cff]2[-] 天送红色伙伴（斗战胜佛，二郎神，孙悟空三选一）</t>
  </si>
  <si>
    <t>累计登陆 [00821cff]3[-] 天送红色神兵</t>
  </si>
  <si>
    <t>累计登陆 [00821cff]4[-] 天（第7天送红色伙伴）</t>
  </si>
  <si>
    <t>累计登陆 [00821cff]5[-] 天（第7天送红色伙伴）</t>
  </si>
  <si>
    <t>累计登陆 [00821cff]6[-] 天（第7天送红色伙伴）</t>
  </si>
  <si>
    <t>累计登陆 [00821cff]7[-] 天送红色伙伴（斗战胜佛，二郎神，孙悟空三选一）</t>
  </si>
  <si>
    <t>累计登陆 [00821cff]1[-] 天（第7天送红色伙伴）</t>
  </si>
  <si>
    <t>累计登陆 [00821cff]2[-] 天（第7天送红色伙伴）</t>
  </si>
  <si>
    <t>累计登陆 [00821cff]3[-] 天（第7天送红色伙伴）</t>
  </si>
  <si>
    <t>累计登陆 [00821cff]7[-] 天送红色伙伴（紫霞仙子，王母娘娘，沙和尚三选一）</t>
  </si>
  <si>
    <t>单笔充值 [00821cff]68[-] 元</t>
  </si>
  <si>
    <t>累计充值 [00821cff]1[-] 元</t>
  </si>
  <si>
    <t>累计充值 [00821cff]3[-] 元</t>
  </si>
  <si>
    <t>今日累计充值 [00821cff]6[-] 元</t>
  </si>
  <si>
    <t>今日累计充值 [00821cff]25[-] 元</t>
  </si>
  <si>
    <t>今日累计充值 [00821cff]50[-] 元</t>
  </si>
  <si>
    <t>今日累计充值 [00821cff]100[-] 元</t>
  </si>
  <si>
    <t>今日累计充值 [00821cff]168[-] 元</t>
  </si>
  <si>
    <t>今日累计充值 [00821cff]168[-] 元（四选一）</t>
  </si>
  <si>
    <t>今日累计充值 [00821cff]168[-] 元（二选一）</t>
  </si>
  <si>
    <t>活动期间总共充值 [00821cff]6[-] 元（四选一）</t>
  </si>
  <si>
    <t>活动期间总共充值 [00821cff]25[-] 元（四选一）</t>
  </si>
  <si>
    <t>活动期间总共充值 [00821cff]50[-] 元（四选一）</t>
  </si>
  <si>
    <t>活动期间总共充值 [00821cff]150[-] 元（四选一）</t>
  </si>
  <si>
    <t>活动期间总共充值 [00821cff]300[-] 元（四选一）</t>
  </si>
  <si>
    <t>活动期间总共充值 [00821cff]500[-] 元（四选一）</t>
  </si>
  <si>
    <t>活动期间总共充值 [00821cff]750[-] 元（四选一）</t>
  </si>
  <si>
    <t>活动期间总共充值 [00821cff]1000[-] 元（四选一）</t>
  </si>
  <si>
    <t>活动期间总共充值 [00821cff]1500[-] 元（四选一）</t>
  </si>
  <si>
    <t>活动期间总共充值 [00821cff]2000[-] 元（四选一）</t>
  </si>
  <si>
    <t>新年送壕礼-累计登陆 [00821cff]1[-] 天奖励</t>
  </si>
  <si>
    <t>新年送壕礼-累计登陆 [00821cff]2[-] 天奖励</t>
  </si>
  <si>
    <t>新年送壕礼-累计登陆 [00821cff]3[-] 天奖励</t>
  </si>
  <si>
    <t>新年送壕礼-累计登陆 [00821cff]4[-] 天奖励</t>
  </si>
  <si>
    <t>新年送壕礼-累计登陆 [00821cff]5[-] 天奖励</t>
  </si>
  <si>
    <t>累计登陆 [00821cff]1[-] 天</t>
  </si>
  <si>
    <t>累计登陆 [00821cff]2[-] 天</t>
  </si>
  <si>
    <t>累计登陆 [00821cff]3[-] 天</t>
  </si>
  <si>
    <t>累计登陆 [00821cff]4[-] 天</t>
  </si>
  <si>
    <t>累计登陆 [00821cff]5[-] 天</t>
  </si>
  <si>
    <t>累计登陆 [00821cff]6[-] 天</t>
  </si>
  <si>
    <t>累计登陆 [00821cff]7[-] 天</t>
  </si>
  <si>
    <t>腊八送壕礼-累计登陆 [00821cff]1[-] 天奖励</t>
  </si>
  <si>
    <t>腊八送壕礼-累计登陆 [00821cff]2[-] 天奖励</t>
  </si>
  <si>
    <t>腊八送壕礼-累计登陆 [00821cff]3[-] 天奖励</t>
  </si>
  <si>
    <t>单笔充值 [00821cff]6[-] 元可领取</t>
  </si>
  <si>
    <t>单笔充值 [00821cff]68[-] 元可领取</t>
  </si>
  <si>
    <t>单笔充值 [00821cff]168[-] 元可领取</t>
  </si>
  <si>
    <t>单笔充值 [00821cff]418[-] 元可领取</t>
  </si>
  <si>
    <t>单笔充值 [00821cff]648[-] 元可领取</t>
  </si>
  <si>
    <t>情人节送礼-累计登陆 [00821cff]1[-] 天奖励</t>
  </si>
  <si>
    <t>情人节送礼-累计登陆 [00821cff]2[-] 天奖励</t>
  </si>
  <si>
    <t>情人节送礼-累计登陆 [00821cff]3[-] 天奖励</t>
  </si>
  <si>
    <t>[[4,2,300],[1,14425,28]]</t>
  </si>
  <si>
    <t>[[1,14429,1],[1,14426,5]]</t>
  </si>
  <si>
    <t>[[1,14429,3],[1,14101,10],[1,14108,10]]</t>
  </si>
  <si>
    <t>[[1,14429,8],[1,14101,20],[1,14108,20]]</t>
  </si>
  <si>
    <t>[[1,14429,24],[1,14201,300]]</t>
  </si>
  <si>
    <t>[[1,14429,40],[1,14586,3]]</t>
  </si>
  <si>
    <t>[[1,14430,1],[1,14426,5]]</t>
  </si>
  <si>
    <t>[[1,14430,3],[1,14101,10],[1,14108,10]]</t>
  </si>
  <si>
    <t>[[1,14430,8],[1,14101,20],[1,14108,20]]</t>
  </si>
  <si>
    <t>[[1,14430,24],[1,14106,300]]</t>
  </si>
  <si>
    <t>[[1,14430,40],[1,14567,40]]</t>
  </si>
  <si>
    <t>[[1,14431,1],[1,14426,5]]</t>
  </si>
  <si>
    <t>[[1,14431,3],[1,14101,10],[1,14108,10]]</t>
  </si>
  <si>
    <t>[[1,14431,8],[1,14101,20],[1,14108,20]]</t>
  </si>
  <si>
    <t>[[1,14431,24],[1,17001,300]]</t>
  </si>
  <si>
    <t>[[1,14431,40],[1,14572,50]]</t>
  </si>
  <si>
    <t>欢度春节-累计登陆 [00821cff]1[-] 天</t>
    <phoneticPr fontId="2" type="noConversion"/>
  </si>
  <si>
    <t>欢度春节-累计登陆 [00821cff]2[-] 天</t>
  </si>
  <si>
    <t>欢度春节-累计登陆 [00821cff]3[-] 天</t>
  </si>
  <si>
    <t>欢度春节-累计登陆 [00821cff]4[-] 天</t>
  </si>
  <si>
    <t>欢度春节-累计登陆 [00821cff]5[-] 天</t>
  </si>
  <si>
    <t>欢度春节-累计登陆 [00821cff]6[-] 天</t>
  </si>
  <si>
    <t>欢度春节-累计登陆 [00821cff]7[-] 天</t>
  </si>
  <si>
    <t>欢度春节-累计登陆 [00821cff]8[-] 天</t>
  </si>
  <si>
    <t>欢度春节-累计登陆 [00821cff]9[-] 天</t>
  </si>
  <si>
    <t>[[1,14426,18],[1,14427,2],[1,14428,18]]</t>
  </si>
  <si>
    <t>更新送壕礼-累计登陆 [00821cff]1[-] 天奖励</t>
    <phoneticPr fontId="2" type="noConversion"/>
  </si>
  <si>
    <t>更新送壕礼-累计登陆 [00821cff]2[-] 天奖励</t>
    <phoneticPr fontId="2" type="noConversion"/>
  </si>
  <si>
    <t>更新送壕礼-累计登陆 [00821cff]3[-] 天奖励</t>
    <phoneticPr fontId="2" type="noConversion"/>
  </si>
  <si>
    <t>[[4,2,300],[4,4,500],[1,14590,2]]</t>
  </si>
  <si>
    <t>欢庆佳节-累计登陆 [00821cff]1[-] 天奖励</t>
    <phoneticPr fontId="2" type="noConversion"/>
  </si>
  <si>
    <t>欢庆佳节-累计登陆 [00821cff]2[-] 天奖励</t>
    <phoneticPr fontId="2" type="noConversion"/>
  </si>
  <si>
    <t>欢庆佳节-累计登陆 [00821cff]3[-] 天奖励</t>
    <phoneticPr fontId="2" type="noConversion"/>
  </si>
  <si>
    <t>[[4,2,300],[1,14433,18],[1,14432,18]]</t>
  </si>
  <si>
    <t>[[1,14430,1],[1,14433,5]]</t>
    <phoneticPr fontId="2" type="noConversion"/>
  </si>
  <si>
    <t>女神节送礼-累计登陆 [00821cff]1[-] 天奖励</t>
    <phoneticPr fontId="2" type="noConversion"/>
  </si>
  <si>
    <t>女神节送礼-累计登陆 [00821cff]2[-] 天奖励</t>
    <phoneticPr fontId="2" type="noConversion"/>
  </si>
  <si>
    <t>女神节送礼-累计登陆 [00821cff]3[-] 天奖励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</si>
</sst>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3499862666707357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2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5" fillId="0" borderId="0" xfId="0" applyFont="1">
      <alignment vertical="center"/>
    </xf>
    <xf numFmtId="0" fontId="3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 wrapText="1"/>
    </xf>
    <xf numFmtId="0" fontId="6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7" fillId="6" borderId="0" xfId="0" applyFont="1" applyFill="1">
      <alignment vertical="center"/>
    </xf>
    <xf numFmtId="0" fontId="6" fillId="6" borderId="0" xfId="0" applyFont="1" applyFill="1">
      <alignment vertical="center"/>
    </xf>
    <xf numFmtId="0" fontId="9" fillId="6" borderId="0" xfId="0" applyFont="1" applyFill="1">
      <alignment vertical="center"/>
    </xf>
    <xf numFmtId="0" fontId="9" fillId="0" borderId="0" xfId="0" applyFont="1" applyFill="1">
      <alignment vertical="center"/>
    </xf>
    <xf numFmtId="0" fontId="6" fillId="7" borderId="0" xfId="0" applyFont="1" applyFill="1">
      <alignment vertical="center"/>
    </xf>
    <xf numFmtId="0" fontId="10" fillId="6" borderId="0" xfId="0" applyFont="1" applyFill="1">
      <alignment vertical="center"/>
    </xf>
    <xf numFmtId="0" fontId="11" fillId="0" borderId="0" xfId="0" applyFont="1">
      <alignment vertical="center"/>
    </xf>
    <xf numFmtId="0" fontId="3" fillId="8" borderId="1" xfId="0" applyFont="1" applyFill="1" applyBorder="1" applyAlignment="1">
      <alignment vertical="center"/>
    </xf>
    <xf numFmtId="0" fontId="5" fillId="8" borderId="1" xfId="0" applyFont="1" applyFill="1" applyBorder="1" applyAlignment="1">
      <alignment vertical="center"/>
    </xf>
    <xf numFmtId="0" fontId="3" fillId="9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3" fillId="10" borderId="1" xfId="0" applyFont="1" applyFill="1" applyBorder="1" applyAlignment="1">
      <alignment vertical="center"/>
    </xf>
    <xf numFmtId="0" fontId="5" fillId="10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3" fillId="7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vertical="center"/>
    </xf>
    <xf numFmtId="0" fontId="3" fillId="11" borderId="1" xfId="0" applyFont="1" applyFill="1" applyBorder="1" applyAlignment="1">
      <alignment vertical="center"/>
    </xf>
    <xf numFmtId="0" fontId="5" fillId="11" borderId="1" xfId="0" applyFont="1" applyFill="1" applyBorder="1" applyAlignment="1">
      <alignment vertical="center"/>
    </xf>
    <xf numFmtId="0" fontId="1" fillId="10" borderId="0" xfId="0" applyFont="1" applyFill="1">
      <alignment vertical="center"/>
    </xf>
    <xf numFmtId="0" fontId="1" fillId="10" borderId="0" xfId="0" applyFont="1" applyFill="1" applyAlignment="1">
      <alignment horizontal="left" vertical="center"/>
    </xf>
    <xf numFmtId="0" fontId="1" fillId="9" borderId="0" xfId="0" applyFont="1" applyFill="1">
      <alignment vertical="center"/>
    </xf>
    <xf numFmtId="0" fontId="1" fillId="9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ctivity_tim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id
ID不可复用，用于区分新旧活动和有内容修改</v>
          </cell>
          <cell r="B1" t="str">
            <v>标题</v>
          </cell>
          <cell r="C1" t="str">
            <v>备注</v>
          </cell>
          <cell r="D1" t="str">
            <v>活动图标
icon_id</v>
          </cell>
          <cell r="E1" t="str">
            <v>活动背景图
背景图id</v>
          </cell>
          <cell r="F1" t="str">
            <v>文字图片
文字图id</v>
          </cell>
          <cell r="G1" t="str">
            <v>排序
仅排序在同一个活动界
面中的活动
数值越小，越靠前排列</v>
          </cell>
          <cell r="H1" t="str">
            <v>活动任务参数48-幸运轮盘专用（程序写死，不要配置）
1-主线关卡|活动期间累计挑战次数
2-精英关卡|活动期间累计挑战次数
3-幻境关卡|活动期间累计挑战次数
4-竞技场挑战|活动期间累计挑战次数
5-距离开服天数领奖（5|距离开服天数）
6-完成法宝强化|累计强化消耗道具数量
7-完成法宝合成|累计合成次数
8-完成装备强化|累计强化次数
9-完成装备精炼|累计精炼次数
10-普通抽奖|活动期间累计抽奖次数
11-钻石抽奖|活动期间累计抽奖次数
12-单笔充值（12|单笔充值数目）
13-购买道具|商品ID|活动期间累计购买次数
14-主角等级|目标等级
15-主线关卡总星数|目标星数
16-精英关卡总星数|目标星数
17-幻境关卡总星数|目标星数
18-战斗力|目标战斗力数值
19-vip等级|目标等级
20-法宝抢夺|活动期间累计抢夺次数
21-升级技能|活动期间累计升级次数
22-累积登陆|活动期间累计登陆天数
23-灵台斗法最高排名|目标名次
24-上阵伙伴最低等级达到|目标等级
25-活动期间累计充值|目标充值数量
26-大雁塔挑战次数|活动期间累计挑战次数
27-大雁塔最高层数|目标层数
28-噩梦入侵活动期间累计伤害(28|活动期间累计伤害值)
29-噩梦入侵活动期间累计击杀怪物数量(29|活动期间累计击杀怪物数量)
30-装备的最高强化等级达到（30|装备的最高强化等级）
31-装备的最高精炼等级达到（31|装备的最高精炼等级）
32-法宝的最高强化等级达到（32|法宝的最高强化等级）
33-法宝的最高精炼等级达到（33|法宝的最高精炼等级）
34-通关的副本id|battle_scene中的副本id（只能配置主线，精英，幻境）
35-夜探无底洞挑战次数|累计挑战次数（35|累计挑战次数）
36-斩妖夺宝挑战次数|累计挑战次数（36|累计挑战次数）
37-累计培养武将次数（37|累计培养武将次数）
38-伙伴培养的最高等级达到（38|伙伴培养的最高等级）
39-神兵的最高强化等级达到（39|神兵强化等级）
40-神兵的最高精炼等级达到（40|神兵精炼等级）
41-伙伴商铺累计刷新次数（41|伙伴商铺累计刷新次数）
42-斩妖夺宝累计击杀怪物数-胜利的次数（42|累计击杀怪物数）
43-神兵的最高强化等级达到（43|神兵的最高强化等级）
44-神兵的最高精炼等级达到（44|神兵的最高精炼等级）
45-通关夜探无底洞层数|通关夜探无底洞层数
46-商品售卖型（后列填商品，已废弃）
47-商品售卖型（后列填商品）
48-幸运轮盘专用（程序写死，不要配置）</v>
          </cell>
          <cell r="I1" t="str">
            <v>活动目标id
type&lt;&gt;46时，取activity_times_task的id
type=47时，取store_goods_times的id</v>
          </cell>
        </row>
        <row r="2">
          <cell r="A2" t="str">
            <v>id</v>
          </cell>
          <cell r="B2" t="str">
            <v>title</v>
          </cell>
          <cell r="C2" t="str">
            <v>beizhu</v>
          </cell>
          <cell r="D2" t="str">
            <v>icon</v>
          </cell>
          <cell r="E2" t="str">
            <v>toppic</v>
          </cell>
          <cell r="F2" t="str">
            <v>textpic</v>
          </cell>
          <cell r="G2" t="str">
            <v>order</v>
          </cell>
          <cell r="H2" t="str">
            <v>type</v>
          </cell>
          <cell r="I2" t="str">
            <v>param</v>
          </cell>
        </row>
        <row r="3">
          <cell r="A3" t="str">
            <v>s</v>
          </cell>
          <cell r="B3" t="str">
            <v>s</v>
          </cell>
          <cell r="C3" t="str">
            <v>s</v>
          </cell>
          <cell r="D3" t="str">
            <v>s</v>
          </cell>
          <cell r="E3" t="str">
            <v>s</v>
          </cell>
          <cell r="F3" t="str">
            <v>s</v>
          </cell>
          <cell r="G3" t="str">
            <v>i</v>
          </cell>
          <cell r="H3" t="str">
            <v>i</v>
          </cell>
          <cell r="I3" t="str">
            <v>a</v>
          </cell>
        </row>
        <row r="4">
          <cell r="A4">
            <v>101</v>
          </cell>
          <cell r="B4" t="str">
            <v>[b]开服送神兵</v>
          </cell>
          <cell r="C4" t="str">
            <v>新服常驻</v>
          </cell>
          <cell r="D4" t="str">
            <v>public_02</v>
          </cell>
          <cell r="E4" t="str">
            <v>huodong_meitou</v>
          </cell>
          <cell r="F4" t="str">
            <v>huodong_55</v>
          </cell>
          <cell r="G4">
            <v>2</v>
          </cell>
          <cell r="H4">
            <v>22</v>
          </cell>
          <cell r="I4" t="str">
            <v>1001,1002,1003,1004,1005,1006,1007,1008</v>
          </cell>
        </row>
        <row r="5">
          <cell r="A5">
            <v>102</v>
          </cell>
          <cell r="B5" t="str">
            <v>[b]开服送悟空</v>
          </cell>
          <cell r="C5" t="str">
            <v>新服常驻</v>
          </cell>
          <cell r="D5" t="str">
            <v>public_02</v>
          </cell>
          <cell r="E5" t="str">
            <v>huodong_meitou</v>
          </cell>
          <cell r="F5" t="str">
            <v>huodong_55</v>
          </cell>
          <cell r="G5">
            <v>1</v>
          </cell>
          <cell r="H5">
            <v>22</v>
          </cell>
          <cell r="I5" t="str">
            <v>1021,1022,1023,1024,1025,1026,1027</v>
          </cell>
        </row>
        <row r="6">
          <cell r="A6">
            <v>103</v>
          </cell>
          <cell r="B6" t="str">
            <v>[b]开服送紫霞</v>
          </cell>
          <cell r="C6" t="str">
            <v>新服常驻</v>
          </cell>
          <cell r="D6" t="str">
            <v>public_02</v>
          </cell>
          <cell r="E6" t="str">
            <v>huodong_meitou</v>
          </cell>
          <cell r="F6" t="str">
            <v>huodong_55</v>
          </cell>
          <cell r="G6">
            <v>1</v>
          </cell>
          <cell r="H6">
            <v>22</v>
          </cell>
          <cell r="I6" t="str">
            <v>1028,1029,1030,1031,1032,1033,1034</v>
          </cell>
        </row>
        <row r="7">
          <cell r="A7">
            <v>201</v>
          </cell>
          <cell r="B7" t="str">
            <v>[b]豪华签到</v>
          </cell>
          <cell r="C7" t="str">
            <v>新服常驻</v>
          </cell>
          <cell r="D7" t="str">
            <v>public_02</v>
          </cell>
          <cell r="E7" t="str">
            <v>huodong_51</v>
          </cell>
          <cell r="F7" t="str">
            <v>huodong_54</v>
          </cell>
          <cell r="G7">
            <v>3</v>
          </cell>
          <cell r="H7">
            <v>12</v>
          </cell>
          <cell r="I7" t="str">
            <v>2011,2012,2013</v>
          </cell>
        </row>
        <row r="8">
          <cell r="A8">
            <v>202</v>
          </cell>
          <cell r="B8" t="str">
            <v>[b]豪华签到</v>
          </cell>
          <cell r="C8" t="str">
            <v>新服常驻</v>
          </cell>
          <cell r="D8" t="str">
            <v>public_02</v>
          </cell>
          <cell r="E8" t="str">
            <v>huodong_51</v>
          </cell>
          <cell r="F8" t="str">
            <v>huodong_54</v>
          </cell>
          <cell r="G8">
            <v>3</v>
          </cell>
          <cell r="H8">
            <v>12</v>
          </cell>
          <cell r="I8" t="str">
            <v>2021,2022,2023</v>
          </cell>
        </row>
        <row r="9">
          <cell r="A9">
            <v>203</v>
          </cell>
          <cell r="B9" t="str">
            <v>[b]豪华签到</v>
          </cell>
          <cell r="C9" t="str">
            <v>新服常驻</v>
          </cell>
          <cell r="D9" t="str">
            <v>public_02</v>
          </cell>
          <cell r="E9" t="str">
            <v>huodong_51</v>
          </cell>
          <cell r="F9" t="str">
            <v>huodong_54</v>
          </cell>
          <cell r="G9">
            <v>3</v>
          </cell>
          <cell r="H9">
            <v>12</v>
          </cell>
          <cell r="I9" t="str">
            <v>2031,2032,2033</v>
          </cell>
        </row>
        <row r="10">
          <cell r="A10">
            <v>204</v>
          </cell>
          <cell r="B10" t="str">
            <v>[b]豪华签到</v>
          </cell>
          <cell r="C10" t="str">
            <v>新服常驻</v>
          </cell>
          <cell r="D10" t="str">
            <v>public_02</v>
          </cell>
          <cell r="E10" t="str">
            <v>huodong_51</v>
          </cell>
          <cell r="F10" t="str">
            <v>huodong_54</v>
          </cell>
          <cell r="G10">
            <v>3</v>
          </cell>
          <cell r="H10">
            <v>12</v>
          </cell>
          <cell r="I10" t="str">
            <v>2041,2042,2043</v>
          </cell>
        </row>
        <row r="11">
          <cell r="A11">
            <v>205</v>
          </cell>
          <cell r="B11" t="str">
            <v>[b]豪华签到</v>
          </cell>
          <cell r="C11" t="str">
            <v>新服常驻</v>
          </cell>
          <cell r="D11" t="str">
            <v>public_02</v>
          </cell>
          <cell r="E11" t="str">
            <v>huodong_51</v>
          </cell>
          <cell r="F11" t="str">
            <v>huodong_54</v>
          </cell>
          <cell r="G11">
            <v>3</v>
          </cell>
          <cell r="H11">
            <v>12</v>
          </cell>
          <cell r="I11" t="str">
            <v>2051,2052,2053</v>
          </cell>
        </row>
        <row r="12">
          <cell r="A12">
            <v>206</v>
          </cell>
          <cell r="B12" t="str">
            <v>[b]豪华签到</v>
          </cell>
          <cell r="C12" t="str">
            <v>新服常驻</v>
          </cell>
          <cell r="D12" t="str">
            <v>public_02</v>
          </cell>
          <cell r="E12" t="str">
            <v>huodong_51</v>
          </cell>
          <cell r="F12" t="str">
            <v>huodong_54</v>
          </cell>
          <cell r="G12">
            <v>3</v>
          </cell>
          <cell r="H12">
            <v>12</v>
          </cell>
          <cell r="I12" t="str">
            <v>2061,2062,2063</v>
          </cell>
        </row>
        <row r="13">
          <cell r="A13">
            <v>207</v>
          </cell>
          <cell r="B13" t="str">
            <v>[b]豪华签到</v>
          </cell>
          <cell r="C13" t="str">
            <v>新服常驻</v>
          </cell>
          <cell r="D13" t="str">
            <v>public_02</v>
          </cell>
          <cell r="E13" t="str">
            <v>huodong_51</v>
          </cell>
          <cell r="F13" t="str">
            <v>huodong_54</v>
          </cell>
          <cell r="G13">
            <v>3</v>
          </cell>
          <cell r="H13">
            <v>12</v>
          </cell>
          <cell r="I13" t="str">
            <v>2071,2072,2073</v>
          </cell>
        </row>
        <row r="14">
          <cell r="A14">
            <v>211</v>
          </cell>
          <cell r="B14" t="str">
            <v>[b]豪华签到</v>
          </cell>
          <cell r="C14" t="str">
            <v>8天后每周循环</v>
          </cell>
          <cell r="D14" t="str">
            <v>public_02</v>
          </cell>
          <cell r="E14" t="str">
            <v>huodong_51</v>
          </cell>
          <cell r="F14" t="str">
            <v>huodong_54</v>
          </cell>
          <cell r="G14">
            <v>3</v>
          </cell>
          <cell r="H14">
            <v>12</v>
          </cell>
          <cell r="I14" t="str">
            <v>2111,2112,2113</v>
          </cell>
        </row>
        <row r="15">
          <cell r="A15">
            <v>212</v>
          </cell>
          <cell r="B15" t="str">
            <v>[b]豪华签到</v>
          </cell>
          <cell r="C15" t="str">
            <v>8天后每周循环</v>
          </cell>
          <cell r="D15" t="str">
            <v>public_02</v>
          </cell>
          <cell r="E15" t="str">
            <v>huodong_51</v>
          </cell>
          <cell r="F15" t="str">
            <v>huodong_54</v>
          </cell>
          <cell r="G15">
            <v>3</v>
          </cell>
          <cell r="H15">
            <v>12</v>
          </cell>
          <cell r="I15" t="str">
            <v>2121,2122,2123</v>
          </cell>
        </row>
        <row r="16">
          <cell r="A16">
            <v>213</v>
          </cell>
          <cell r="B16" t="str">
            <v>[b]豪华签到</v>
          </cell>
          <cell r="C16" t="str">
            <v>8天后每周循环</v>
          </cell>
          <cell r="D16" t="str">
            <v>public_02</v>
          </cell>
          <cell r="E16" t="str">
            <v>huodong_51</v>
          </cell>
          <cell r="F16" t="str">
            <v>huodong_54</v>
          </cell>
          <cell r="G16">
            <v>3</v>
          </cell>
          <cell r="H16">
            <v>12</v>
          </cell>
          <cell r="I16" t="str">
            <v>2131,2132,2133</v>
          </cell>
        </row>
        <row r="17">
          <cell r="A17">
            <v>214</v>
          </cell>
          <cell r="B17" t="str">
            <v>[b]豪华签到</v>
          </cell>
          <cell r="C17" t="str">
            <v>8天后每周循环</v>
          </cell>
          <cell r="D17" t="str">
            <v>public_02</v>
          </cell>
          <cell r="E17" t="str">
            <v>huodong_51</v>
          </cell>
          <cell r="F17" t="str">
            <v>huodong_54</v>
          </cell>
          <cell r="G17">
            <v>3</v>
          </cell>
          <cell r="H17">
            <v>12</v>
          </cell>
          <cell r="I17" t="str">
            <v>2141,2142,2143</v>
          </cell>
        </row>
        <row r="18">
          <cell r="A18">
            <v>215</v>
          </cell>
          <cell r="B18" t="str">
            <v>[b]豪华签到</v>
          </cell>
          <cell r="C18" t="str">
            <v>8天后每周循环</v>
          </cell>
          <cell r="D18" t="str">
            <v>public_02</v>
          </cell>
          <cell r="E18" t="str">
            <v>huodong_51</v>
          </cell>
          <cell r="F18" t="str">
            <v>huodong_54</v>
          </cell>
          <cell r="G18">
            <v>3</v>
          </cell>
          <cell r="H18">
            <v>12</v>
          </cell>
          <cell r="I18" t="str">
            <v>2151,2152,2153</v>
          </cell>
        </row>
        <row r="19">
          <cell r="A19">
            <v>216</v>
          </cell>
          <cell r="B19" t="str">
            <v>[b]豪华签到</v>
          </cell>
          <cell r="C19" t="str">
            <v>8天后每周循环</v>
          </cell>
          <cell r="D19" t="str">
            <v>public_02</v>
          </cell>
          <cell r="E19" t="str">
            <v>huodong_51</v>
          </cell>
          <cell r="F19" t="str">
            <v>huodong_54</v>
          </cell>
          <cell r="G19">
            <v>3</v>
          </cell>
          <cell r="H19">
            <v>12</v>
          </cell>
          <cell r="I19" t="str">
            <v>2161,2162,2163</v>
          </cell>
        </row>
        <row r="20">
          <cell r="A20">
            <v>217</v>
          </cell>
          <cell r="B20" t="str">
            <v>[b]豪华签到</v>
          </cell>
          <cell r="C20" t="str">
            <v>8天后每周循环</v>
          </cell>
          <cell r="D20" t="str">
            <v>public_02</v>
          </cell>
          <cell r="E20" t="str">
            <v>huodong_51</v>
          </cell>
          <cell r="F20" t="str">
            <v>huodong_54</v>
          </cell>
          <cell r="G20">
            <v>3</v>
          </cell>
          <cell r="H20">
            <v>12</v>
          </cell>
          <cell r="I20" t="str">
            <v>2171,2172,2173</v>
          </cell>
        </row>
        <row r="21">
          <cell r="A21">
            <v>301</v>
          </cell>
          <cell r="B21" t="str">
            <v>[b]琥珀商铺</v>
          </cell>
          <cell r="C21" t="str">
            <v>新服常驻</v>
          </cell>
          <cell r="D21" t="str">
            <v>public_02</v>
          </cell>
          <cell r="E21" t="str">
            <v>huodong_meitou2</v>
          </cell>
          <cell r="F21" t="str">
            <v>huodong_57</v>
          </cell>
          <cell r="G21">
            <v>4</v>
          </cell>
          <cell r="H21">
            <v>47</v>
          </cell>
          <cell r="I21" t="str">
            <v>1000001,1000002,1000003,1000004,1000005</v>
          </cell>
        </row>
        <row r="22">
          <cell r="A22">
            <v>302</v>
          </cell>
          <cell r="B22" t="str">
            <v>[b]琥珀商铺</v>
          </cell>
          <cell r="C22" t="str">
            <v>新服常驻</v>
          </cell>
          <cell r="D22" t="str">
            <v>public_02</v>
          </cell>
          <cell r="E22" t="str">
            <v>huodong_meitou2</v>
          </cell>
          <cell r="F22" t="str">
            <v>huodong_57</v>
          </cell>
          <cell r="G22">
            <v>4</v>
          </cell>
          <cell r="H22">
            <v>47</v>
          </cell>
          <cell r="I22" t="str">
            <v>1000011,1000012,1000013,1000014,1000015,1000016</v>
          </cell>
        </row>
        <row r="23">
          <cell r="A23">
            <v>303</v>
          </cell>
          <cell r="B23" t="str">
            <v>[b]琥珀商铺</v>
          </cell>
          <cell r="C23" t="str">
            <v>新服常驻</v>
          </cell>
          <cell r="D23" t="str">
            <v>public_02</v>
          </cell>
          <cell r="E23" t="str">
            <v>huodong_meitou2</v>
          </cell>
          <cell r="F23" t="str">
            <v>huodong_57</v>
          </cell>
          <cell r="G23">
            <v>4</v>
          </cell>
          <cell r="H23">
            <v>47</v>
          </cell>
          <cell r="I23" t="str">
            <v>1000021,1000022,1000023,1000024,1000025,1000026</v>
          </cell>
        </row>
        <row r="24">
          <cell r="A24">
            <v>304</v>
          </cell>
          <cell r="B24" t="str">
            <v>[b]琥珀商铺</v>
          </cell>
          <cell r="C24" t="str">
            <v>新服常驻</v>
          </cell>
          <cell r="D24" t="str">
            <v>public_02</v>
          </cell>
          <cell r="E24" t="str">
            <v>huodong_meitou2</v>
          </cell>
          <cell r="F24" t="str">
            <v>huodong_57</v>
          </cell>
          <cell r="G24">
            <v>4</v>
          </cell>
          <cell r="H24">
            <v>47</v>
          </cell>
          <cell r="I24" t="str">
            <v>1000031,1000032,1000033,1000034,1000035,1000036,1000037</v>
          </cell>
        </row>
        <row r="25">
          <cell r="A25">
            <v>305</v>
          </cell>
          <cell r="B25" t="str">
            <v>[b]琥珀商铺</v>
          </cell>
          <cell r="C25" t="str">
            <v>新服常驻</v>
          </cell>
          <cell r="D25" t="str">
            <v>public_02</v>
          </cell>
          <cell r="E25" t="str">
            <v>huodong_meitou2</v>
          </cell>
          <cell r="F25" t="str">
            <v>huodong_57</v>
          </cell>
          <cell r="G25">
            <v>4</v>
          </cell>
          <cell r="H25">
            <v>47</v>
          </cell>
          <cell r="I25" t="str">
            <v>1000041,1000042,1000043,1000044,1000045,1000046</v>
          </cell>
        </row>
        <row r="26">
          <cell r="A26">
            <v>306</v>
          </cell>
          <cell r="B26" t="str">
            <v>[b]琥珀商铺</v>
          </cell>
          <cell r="C26" t="str">
            <v>新服常驻</v>
          </cell>
          <cell r="D26" t="str">
            <v>public_02</v>
          </cell>
          <cell r="E26" t="str">
            <v>huodong_meitou2</v>
          </cell>
          <cell r="F26" t="str">
            <v>huodong_57</v>
          </cell>
          <cell r="G26">
            <v>4</v>
          </cell>
          <cell r="H26">
            <v>47</v>
          </cell>
          <cell r="I26" t="str">
            <v>1000051,1000052,1000053,1000054,1000055,1000056</v>
          </cell>
        </row>
        <row r="27">
          <cell r="A27">
            <v>307</v>
          </cell>
          <cell r="B27" t="str">
            <v>[b]琥珀商铺</v>
          </cell>
          <cell r="C27" t="str">
            <v>新服常驻</v>
          </cell>
          <cell r="D27" t="str">
            <v>public_02</v>
          </cell>
          <cell r="E27" t="str">
            <v>huodong_meitou2</v>
          </cell>
          <cell r="F27" t="str">
            <v>huodong_57</v>
          </cell>
          <cell r="G27">
            <v>4</v>
          </cell>
          <cell r="H27">
            <v>47</v>
          </cell>
          <cell r="I27" t="str">
            <v>1000061,1000062,1000063,1000064,1000065,1000066</v>
          </cell>
        </row>
        <row r="28">
          <cell r="A28">
            <v>311</v>
          </cell>
          <cell r="B28" t="str">
            <v>[b]琥珀商铺</v>
          </cell>
          <cell r="C28" t="str">
            <v>新服常驻-第二周</v>
          </cell>
          <cell r="D28" t="str">
            <v>public_02</v>
          </cell>
          <cell r="E28" t="str">
            <v>huodong_meitou2</v>
          </cell>
          <cell r="F28" t="str">
            <v>huodong_57</v>
          </cell>
          <cell r="G28">
            <v>4</v>
          </cell>
          <cell r="H28">
            <v>47</v>
          </cell>
          <cell r="I28" t="str">
            <v>1000101,1000102,1000103,1000104,1000105,1000106</v>
          </cell>
        </row>
        <row r="29">
          <cell r="A29">
            <v>312</v>
          </cell>
          <cell r="B29" t="str">
            <v>[b]琥珀商铺</v>
          </cell>
          <cell r="C29" t="str">
            <v>新服常驻-第二周</v>
          </cell>
          <cell r="D29" t="str">
            <v>public_02</v>
          </cell>
          <cell r="E29" t="str">
            <v>huodong_meitou2</v>
          </cell>
          <cell r="F29" t="str">
            <v>huodong_57</v>
          </cell>
          <cell r="G29">
            <v>4</v>
          </cell>
          <cell r="H29">
            <v>47</v>
          </cell>
          <cell r="I29" t="str">
            <v>1000201,1000202,1000203,1000204,1000205,1000206</v>
          </cell>
        </row>
        <row r="30">
          <cell r="A30">
            <v>313</v>
          </cell>
          <cell r="B30" t="str">
            <v>[b]琥珀商铺</v>
          </cell>
          <cell r="C30" t="str">
            <v>新服常驻-第二周</v>
          </cell>
          <cell r="D30" t="str">
            <v>public_02</v>
          </cell>
          <cell r="E30" t="str">
            <v>huodong_meitou2</v>
          </cell>
          <cell r="F30" t="str">
            <v>huodong_57</v>
          </cell>
          <cell r="G30">
            <v>4</v>
          </cell>
          <cell r="H30">
            <v>47</v>
          </cell>
          <cell r="I30" t="str">
            <v>1000301,1000302,1000303,1000304,1000305,1000306</v>
          </cell>
        </row>
        <row r="31">
          <cell r="A31">
            <v>314</v>
          </cell>
          <cell r="B31" t="str">
            <v>[b]琥珀商铺</v>
          </cell>
          <cell r="C31" t="str">
            <v>新服常驻-第二周</v>
          </cell>
          <cell r="D31" t="str">
            <v>public_02</v>
          </cell>
          <cell r="E31" t="str">
            <v>huodong_meitou2</v>
          </cell>
          <cell r="F31" t="str">
            <v>huodong_57</v>
          </cell>
          <cell r="G31">
            <v>4</v>
          </cell>
          <cell r="H31">
            <v>47</v>
          </cell>
          <cell r="I31" t="str">
            <v>1000401,1000402,1000403,1000404,1000405,1000406</v>
          </cell>
        </row>
        <row r="32">
          <cell r="A32">
            <v>315</v>
          </cell>
          <cell r="B32" t="str">
            <v>[b]琥珀商铺</v>
          </cell>
          <cell r="C32" t="str">
            <v>新服常驻-第二周</v>
          </cell>
          <cell r="D32" t="str">
            <v>public_02</v>
          </cell>
          <cell r="E32" t="str">
            <v>huodong_meitou2</v>
          </cell>
          <cell r="F32" t="str">
            <v>huodong_57</v>
          </cell>
          <cell r="G32">
            <v>4</v>
          </cell>
          <cell r="H32">
            <v>47</v>
          </cell>
          <cell r="I32" t="str">
            <v>1000501,1000502,1000503,1000504,1000505,1000506</v>
          </cell>
        </row>
        <row r="33">
          <cell r="A33">
            <v>316</v>
          </cell>
          <cell r="B33" t="str">
            <v>[b]琥珀商铺</v>
          </cell>
          <cell r="C33" t="str">
            <v>新服常驻-第二周</v>
          </cell>
          <cell r="D33" t="str">
            <v>public_02</v>
          </cell>
          <cell r="E33" t="str">
            <v>huodong_meitou2</v>
          </cell>
          <cell r="F33" t="str">
            <v>huodong_57</v>
          </cell>
          <cell r="G33">
            <v>4</v>
          </cell>
          <cell r="H33">
            <v>47</v>
          </cell>
          <cell r="I33" t="str">
            <v>1000601,1000602,1000603,1000604,1000605,1000606</v>
          </cell>
        </row>
        <row r="34">
          <cell r="A34">
            <v>317</v>
          </cell>
          <cell r="B34" t="str">
            <v>[b]琥珀商铺</v>
          </cell>
          <cell r="C34" t="str">
            <v>新服常驻-第二周</v>
          </cell>
          <cell r="D34" t="str">
            <v>public_02</v>
          </cell>
          <cell r="E34" t="str">
            <v>huodong_meitou2</v>
          </cell>
          <cell r="F34" t="str">
            <v>huodong_57</v>
          </cell>
          <cell r="G34">
            <v>4</v>
          </cell>
          <cell r="H34">
            <v>47</v>
          </cell>
          <cell r="I34" t="str">
            <v>1000701,1000702,1000703,1000704,1000705,1000706</v>
          </cell>
        </row>
        <row r="35">
          <cell r="A35">
            <v>321</v>
          </cell>
          <cell r="B35" t="str">
            <v>[b]琥珀商铺</v>
          </cell>
          <cell r="C35" t="str">
            <v>15天后每周循环</v>
          </cell>
          <cell r="D35" t="str">
            <v>public_02</v>
          </cell>
          <cell r="E35" t="str">
            <v>huodong_meitou2</v>
          </cell>
          <cell r="F35" t="str">
            <v>huodong_57</v>
          </cell>
          <cell r="G35">
            <v>4</v>
          </cell>
          <cell r="H35">
            <v>47</v>
          </cell>
          <cell r="I35" t="str">
            <v>1001001,1001002,1001003,1001004,1001005,1001006,1001007,1001008</v>
          </cell>
        </row>
        <row r="36">
          <cell r="A36">
            <v>322</v>
          </cell>
          <cell r="B36" t="str">
            <v>[b]琥珀商铺</v>
          </cell>
          <cell r="C36" t="str">
            <v>15天后每周循环</v>
          </cell>
          <cell r="D36" t="str">
            <v>public_02</v>
          </cell>
          <cell r="E36" t="str">
            <v>huodong_meitou2</v>
          </cell>
          <cell r="F36" t="str">
            <v>huodong_57</v>
          </cell>
          <cell r="G36">
            <v>4</v>
          </cell>
          <cell r="H36">
            <v>47</v>
          </cell>
          <cell r="I36" t="str">
            <v>1001101,1001102,1001103,1001104,1001105,1001106,1001107,1001108</v>
          </cell>
        </row>
        <row r="37">
          <cell r="A37">
            <v>323</v>
          </cell>
          <cell r="B37" t="str">
            <v>[b]琥珀商铺</v>
          </cell>
          <cell r="C37" t="str">
            <v>15天后每周循环</v>
          </cell>
          <cell r="D37" t="str">
            <v>public_02</v>
          </cell>
          <cell r="E37" t="str">
            <v>huodong_meitou2</v>
          </cell>
          <cell r="F37" t="str">
            <v>huodong_57</v>
          </cell>
          <cell r="G37">
            <v>4</v>
          </cell>
          <cell r="H37">
            <v>47</v>
          </cell>
          <cell r="I37" t="str">
            <v>1001201,1001202,1001203,1001204,1001205,1001206,1001207,1001208</v>
          </cell>
        </row>
        <row r="38">
          <cell r="A38">
            <v>324</v>
          </cell>
          <cell r="B38" t="str">
            <v>[b]琥珀商铺</v>
          </cell>
          <cell r="C38" t="str">
            <v>15天后每周循环</v>
          </cell>
          <cell r="D38" t="str">
            <v>public_02</v>
          </cell>
          <cell r="E38" t="str">
            <v>huodong_meitou2</v>
          </cell>
          <cell r="F38" t="str">
            <v>huodong_57</v>
          </cell>
          <cell r="G38">
            <v>4</v>
          </cell>
          <cell r="H38">
            <v>47</v>
          </cell>
          <cell r="I38" t="str">
            <v>1001301,1001302,1001303,1001304,1001305,1001306,1001307,1001308</v>
          </cell>
        </row>
        <row r="39">
          <cell r="A39">
            <v>325</v>
          </cell>
          <cell r="B39" t="str">
            <v>[b]琥珀商铺</v>
          </cell>
          <cell r="C39" t="str">
            <v>15天后每周循环</v>
          </cell>
          <cell r="D39" t="str">
            <v>public_02</v>
          </cell>
          <cell r="E39" t="str">
            <v>huodong_meitou2</v>
          </cell>
          <cell r="F39" t="str">
            <v>huodong_57</v>
          </cell>
          <cell r="G39">
            <v>4</v>
          </cell>
          <cell r="H39">
            <v>47</v>
          </cell>
          <cell r="I39" t="str">
            <v>1001401,1001402,1001403,1001404,1001405,1001406,1001407,1001408</v>
          </cell>
        </row>
        <row r="40">
          <cell r="A40">
            <v>326</v>
          </cell>
          <cell r="B40" t="str">
            <v>[b]琥珀商铺</v>
          </cell>
          <cell r="C40" t="str">
            <v>15天后每周循环</v>
          </cell>
          <cell r="D40" t="str">
            <v>public_02</v>
          </cell>
          <cell r="E40" t="str">
            <v>huodong_meitou2</v>
          </cell>
          <cell r="F40" t="str">
            <v>huodong_57</v>
          </cell>
          <cell r="G40">
            <v>4</v>
          </cell>
          <cell r="H40">
            <v>47</v>
          </cell>
          <cell r="I40" t="str">
            <v>1001501,1001502,1001503,1001504,1001505,1001506,1001507,1001508</v>
          </cell>
        </row>
        <row r="41">
          <cell r="A41">
            <v>327</v>
          </cell>
          <cell r="B41" t="str">
            <v>[b]琥珀商铺</v>
          </cell>
          <cell r="C41" t="str">
            <v>15天后每周循环</v>
          </cell>
          <cell r="D41" t="str">
            <v>public_02</v>
          </cell>
          <cell r="E41" t="str">
            <v>huodong_meitou2</v>
          </cell>
          <cell r="F41" t="str">
            <v>huodong_57</v>
          </cell>
          <cell r="G41">
            <v>4</v>
          </cell>
          <cell r="H41">
            <v>47</v>
          </cell>
          <cell r="I41" t="str">
            <v>1001601,1001602,1001603,1001604,1001605,1001606,1001607,1001608</v>
          </cell>
        </row>
        <row r="42">
          <cell r="A42">
            <v>401</v>
          </cell>
          <cell r="B42" t="str">
            <v>[b]特惠礼包</v>
          </cell>
          <cell r="C42" t="str">
            <v>新服常驻</v>
          </cell>
          <cell r="D42" t="str">
            <v>public_02</v>
          </cell>
          <cell r="E42" t="str">
            <v>huodong_51</v>
          </cell>
          <cell r="F42" t="str">
            <v>huodong_56</v>
          </cell>
          <cell r="G42">
            <v>5</v>
          </cell>
          <cell r="H42">
            <v>25</v>
          </cell>
          <cell r="I42" t="str">
            <v>4011,4012</v>
          </cell>
        </row>
        <row r="43">
          <cell r="A43">
            <v>402</v>
          </cell>
          <cell r="B43" t="str">
            <v>[b]特惠礼包</v>
          </cell>
          <cell r="C43" t="str">
            <v>新服常驻</v>
          </cell>
          <cell r="D43" t="str">
            <v>public_02</v>
          </cell>
          <cell r="E43" t="str">
            <v>huodong_51</v>
          </cell>
          <cell r="F43" t="str">
            <v>huodong_56</v>
          </cell>
          <cell r="G43">
            <v>5</v>
          </cell>
          <cell r="H43">
            <v>25</v>
          </cell>
          <cell r="I43" t="str">
            <v>4021,4022</v>
          </cell>
        </row>
        <row r="44">
          <cell r="A44">
            <v>403</v>
          </cell>
          <cell r="B44" t="str">
            <v>[b]特惠礼包</v>
          </cell>
          <cell r="C44" t="str">
            <v>新服常驻</v>
          </cell>
          <cell r="D44" t="str">
            <v>public_02</v>
          </cell>
          <cell r="E44" t="str">
            <v>huodong_51</v>
          </cell>
          <cell r="F44" t="str">
            <v>huodong_56</v>
          </cell>
          <cell r="G44">
            <v>5</v>
          </cell>
          <cell r="H44">
            <v>25</v>
          </cell>
          <cell r="I44" t="str">
            <v>4031,4032</v>
          </cell>
        </row>
        <row r="45">
          <cell r="A45">
            <v>404</v>
          </cell>
          <cell r="B45" t="str">
            <v>[b]特惠礼包</v>
          </cell>
          <cell r="C45" t="str">
            <v>新服常驻</v>
          </cell>
          <cell r="D45" t="str">
            <v>public_02</v>
          </cell>
          <cell r="E45" t="str">
            <v>huodong_51</v>
          </cell>
          <cell r="F45" t="str">
            <v>huodong_56</v>
          </cell>
          <cell r="G45">
            <v>5</v>
          </cell>
          <cell r="H45">
            <v>25</v>
          </cell>
          <cell r="I45" t="str">
            <v>4041,4042</v>
          </cell>
        </row>
        <row r="46">
          <cell r="A46">
            <v>405</v>
          </cell>
          <cell r="B46" t="str">
            <v>[b]特惠礼包</v>
          </cell>
          <cell r="C46" t="str">
            <v>新服常驻</v>
          </cell>
          <cell r="D46" t="str">
            <v>public_02</v>
          </cell>
          <cell r="E46" t="str">
            <v>huodong_51</v>
          </cell>
          <cell r="F46" t="str">
            <v>huodong_56</v>
          </cell>
          <cell r="G46">
            <v>5</v>
          </cell>
          <cell r="H46">
            <v>25</v>
          </cell>
          <cell r="I46" t="str">
            <v>4051,4052</v>
          </cell>
        </row>
        <row r="47">
          <cell r="A47">
            <v>406</v>
          </cell>
          <cell r="B47" t="str">
            <v>[b]特惠礼包</v>
          </cell>
          <cell r="C47" t="str">
            <v>新服常驻</v>
          </cell>
          <cell r="D47" t="str">
            <v>public_02</v>
          </cell>
          <cell r="E47" t="str">
            <v>huodong_51</v>
          </cell>
          <cell r="F47" t="str">
            <v>huodong_56</v>
          </cell>
          <cell r="G47">
            <v>5</v>
          </cell>
          <cell r="H47">
            <v>25</v>
          </cell>
          <cell r="I47" t="str">
            <v>4061,4062</v>
          </cell>
        </row>
        <row r="48">
          <cell r="A48">
            <v>407</v>
          </cell>
          <cell r="B48" t="str">
            <v>[b]特惠礼包</v>
          </cell>
          <cell r="C48" t="str">
            <v>新服常驻</v>
          </cell>
          <cell r="D48" t="str">
            <v>public_02</v>
          </cell>
          <cell r="E48" t="str">
            <v>huodong_51</v>
          </cell>
          <cell r="F48" t="str">
            <v>huodong_56</v>
          </cell>
          <cell r="G48">
            <v>5</v>
          </cell>
          <cell r="H48">
            <v>25</v>
          </cell>
          <cell r="I48" t="str">
            <v>4071,4072</v>
          </cell>
        </row>
        <row r="49">
          <cell r="A49">
            <v>501</v>
          </cell>
          <cell r="B49" t="str">
            <v>[b]单日累充</v>
          </cell>
          <cell r="C49" t="str">
            <v>新服常驻</v>
          </cell>
          <cell r="D49" t="str">
            <v>public_02</v>
          </cell>
          <cell r="E49" t="str">
            <v>huodong_51</v>
          </cell>
          <cell r="F49" t="str">
            <v>huodong_56</v>
          </cell>
          <cell r="G49">
            <v>6</v>
          </cell>
          <cell r="H49">
            <v>25</v>
          </cell>
          <cell r="I49" t="str">
            <v>5011,5012,5013,5014,5015</v>
          </cell>
        </row>
        <row r="50">
          <cell r="A50">
            <v>502</v>
          </cell>
          <cell r="B50" t="str">
            <v>[b]单日累充</v>
          </cell>
          <cell r="C50" t="str">
            <v>新服常驻</v>
          </cell>
          <cell r="D50" t="str">
            <v>public_02</v>
          </cell>
          <cell r="E50" t="str">
            <v>huodong_51</v>
          </cell>
          <cell r="F50" t="str">
            <v>huodong_56</v>
          </cell>
          <cell r="G50">
            <v>6</v>
          </cell>
          <cell r="H50">
            <v>25</v>
          </cell>
          <cell r="I50" t="str">
            <v>5021,5022,5023,5024,5025</v>
          </cell>
        </row>
        <row r="51">
          <cell r="A51">
            <v>503</v>
          </cell>
          <cell r="B51" t="str">
            <v>[b]单日累充</v>
          </cell>
          <cell r="C51" t="str">
            <v>新服常驻</v>
          </cell>
          <cell r="D51" t="str">
            <v>public_02</v>
          </cell>
          <cell r="E51" t="str">
            <v>huodong_51</v>
          </cell>
          <cell r="F51" t="str">
            <v>huodong_56</v>
          </cell>
          <cell r="G51">
            <v>6</v>
          </cell>
          <cell r="H51">
            <v>25</v>
          </cell>
          <cell r="I51" t="str">
            <v>5031,5032,5033,5034,5035</v>
          </cell>
        </row>
        <row r="52">
          <cell r="A52">
            <v>504</v>
          </cell>
          <cell r="B52" t="str">
            <v>[b]单日累充</v>
          </cell>
          <cell r="C52" t="str">
            <v>新服常驻</v>
          </cell>
          <cell r="D52" t="str">
            <v>public_02</v>
          </cell>
          <cell r="E52" t="str">
            <v>huodong_51</v>
          </cell>
          <cell r="F52" t="str">
            <v>huodong_56</v>
          </cell>
          <cell r="G52">
            <v>6</v>
          </cell>
          <cell r="H52">
            <v>25</v>
          </cell>
          <cell r="I52" t="str">
            <v>5041,5042,5043,5044,5045</v>
          </cell>
        </row>
        <row r="53">
          <cell r="A53">
            <v>505</v>
          </cell>
          <cell r="B53" t="str">
            <v>[b]单日累充</v>
          </cell>
          <cell r="C53" t="str">
            <v>新服常驻</v>
          </cell>
          <cell r="D53" t="str">
            <v>public_02</v>
          </cell>
          <cell r="E53" t="str">
            <v>huodong_51</v>
          </cell>
          <cell r="F53" t="str">
            <v>huodong_56</v>
          </cell>
          <cell r="G53">
            <v>6</v>
          </cell>
          <cell r="H53">
            <v>25</v>
          </cell>
          <cell r="I53" t="str">
            <v>5051,5052,5053,5054,5055</v>
          </cell>
        </row>
        <row r="54">
          <cell r="A54">
            <v>506</v>
          </cell>
          <cell r="B54" t="str">
            <v>[b]单日累充</v>
          </cell>
          <cell r="C54" t="str">
            <v>新服常驻</v>
          </cell>
          <cell r="D54" t="str">
            <v>public_02</v>
          </cell>
          <cell r="E54" t="str">
            <v>huodong_51</v>
          </cell>
          <cell r="F54" t="str">
            <v>huodong_56</v>
          </cell>
          <cell r="G54">
            <v>6</v>
          </cell>
          <cell r="H54">
            <v>25</v>
          </cell>
          <cell r="I54" t="str">
            <v>5061,5062,5063,5064,5065</v>
          </cell>
        </row>
        <row r="55">
          <cell r="A55">
            <v>507</v>
          </cell>
          <cell r="B55" t="str">
            <v>[b]单日累充</v>
          </cell>
          <cell r="C55" t="str">
            <v>新服常驻</v>
          </cell>
          <cell r="D55" t="str">
            <v>public_02</v>
          </cell>
          <cell r="E55" t="str">
            <v>huodong_51</v>
          </cell>
          <cell r="F55" t="str">
            <v>huodong_56</v>
          </cell>
          <cell r="G55">
            <v>6</v>
          </cell>
          <cell r="H55">
            <v>25</v>
          </cell>
          <cell r="I55" t="str">
            <v>5071,5072,5073,5074,5075</v>
          </cell>
        </row>
        <row r="56">
          <cell r="A56">
            <v>601</v>
          </cell>
          <cell r="B56" t="str">
            <v>[b]限时商铺</v>
          </cell>
          <cell r="C56" t="str">
            <v>新服常驻</v>
          </cell>
          <cell r="D56" t="str">
            <v>public_02</v>
          </cell>
          <cell r="E56" t="str">
            <v>huodong_meitou2</v>
          </cell>
          <cell r="F56" t="str">
            <v>huodong_60</v>
          </cell>
          <cell r="G56">
            <v>7</v>
          </cell>
          <cell r="H56">
            <v>47</v>
          </cell>
          <cell r="I56" t="str">
            <v>1100001,1100002,1100003,1100004,1100005,1100006,1100007,1100008,1100009,1100010,1100011,1100012,1100013,1100014,1100015,1100016,1100017,1100018,1100019,1100020,1100021,1100022,1100023,1100024,1100025,1100026,1100027,1100028,1100029,1100030,1100031,1100032</v>
          </cell>
        </row>
        <row r="57">
          <cell r="A57">
            <v>602</v>
          </cell>
          <cell r="B57" t="str">
            <v>[b]限时商铺</v>
          </cell>
          <cell r="C57" t="str">
            <v>8天后每周循环1-2</v>
          </cell>
          <cell r="D57" t="str">
            <v>public_02</v>
          </cell>
          <cell r="E57" t="str">
            <v>huodong_meitou2</v>
          </cell>
          <cell r="F57" t="str">
            <v>huodong_60</v>
          </cell>
          <cell r="G57">
            <v>7</v>
          </cell>
          <cell r="H57">
            <v>47</v>
          </cell>
          <cell r="I57" t="str">
            <v>1100101,1100102,1100103,1100104,1100105,1100106,1100107,1100108,1100109,1100110,1100111,1100112,1100113,1100114,1100115</v>
          </cell>
        </row>
        <row r="58">
          <cell r="A58">
            <v>603</v>
          </cell>
          <cell r="B58" t="str">
            <v>[b]限时商铺</v>
          </cell>
          <cell r="C58" t="str">
            <v>8天后每周循环3-4</v>
          </cell>
          <cell r="D58" t="str">
            <v>public_02</v>
          </cell>
          <cell r="E58" t="str">
            <v>huodong_meitou2</v>
          </cell>
          <cell r="F58" t="str">
            <v>huodong_60</v>
          </cell>
          <cell r="G58">
            <v>7</v>
          </cell>
          <cell r="H58">
            <v>47</v>
          </cell>
          <cell r="I58" t="str">
            <v>1100201,1100202,1100203,1100204,1100205,1100206,1100207,1100208</v>
          </cell>
        </row>
        <row r="59">
          <cell r="A59">
            <v>604</v>
          </cell>
          <cell r="B59" t="str">
            <v>[b]限时商铺</v>
          </cell>
          <cell r="C59" t="str">
            <v>8天后每周循环5-6</v>
          </cell>
          <cell r="D59" t="str">
            <v>public_02</v>
          </cell>
          <cell r="E59" t="str">
            <v>huodong_meitou2</v>
          </cell>
          <cell r="F59" t="str">
            <v>huodong_60</v>
          </cell>
          <cell r="G59">
            <v>7</v>
          </cell>
          <cell r="H59">
            <v>47</v>
          </cell>
          <cell r="I59" t="str">
            <v>1100301,1100302,1100303,1100304,1100305,1100306,1100307,1100308,1100309</v>
          </cell>
        </row>
        <row r="60">
          <cell r="A60">
            <v>605</v>
          </cell>
          <cell r="B60" t="str">
            <v>[b]限时商铺</v>
          </cell>
          <cell r="C60" t="str">
            <v>8天后每周循环7</v>
          </cell>
          <cell r="D60" t="str">
            <v>public_02</v>
          </cell>
          <cell r="E60" t="str">
            <v>huodong_meitou2</v>
          </cell>
          <cell r="F60" t="str">
            <v>huodong_60</v>
          </cell>
          <cell r="G60">
            <v>7</v>
          </cell>
          <cell r="H60">
            <v>47</v>
          </cell>
          <cell r="I60" t="str">
            <v>1100401,1100402,1100403,1100404,1100405,1100406,1100407,1100408,1100409,1100410,1100411,1100412</v>
          </cell>
        </row>
        <row r="61">
          <cell r="A61">
            <v>701</v>
          </cell>
          <cell r="B61" t="str">
            <v>[b]每周限购</v>
          </cell>
          <cell r="C61" t="str">
            <v>新服常驻</v>
          </cell>
          <cell r="D61" t="str">
            <v>public_02</v>
          </cell>
          <cell r="E61" t="str">
            <v>huodong_meitou2</v>
          </cell>
          <cell r="F61" t="str">
            <v>huodong_60</v>
          </cell>
          <cell r="G61">
            <v>8</v>
          </cell>
          <cell r="H61">
            <v>47</v>
          </cell>
          <cell r="I61" t="str">
            <v>1200001,1200002,1200003,1200004,1200005,1200006</v>
          </cell>
        </row>
        <row r="62">
          <cell r="A62">
            <v>1001</v>
          </cell>
          <cell r="B62" t="str">
            <v>[b]累充送礼</v>
          </cell>
          <cell r="C62" t="str">
            <v>8天后每周循环</v>
          </cell>
          <cell r="D62" t="str">
            <v>public_02</v>
          </cell>
          <cell r="E62" t="str">
            <v>huodong_51</v>
          </cell>
          <cell r="F62" t="str">
            <v>huodong_56</v>
          </cell>
          <cell r="G62">
            <v>10</v>
          </cell>
          <cell r="H62">
            <v>25</v>
          </cell>
          <cell r="I62" t="str">
            <v>10001,10002,10003,10004,10005,10006,10007,10008,10009,10010</v>
          </cell>
        </row>
        <row r="63">
          <cell r="A63">
            <v>1002</v>
          </cell>
          <cell r="B63" t="str">
            <v>[b]累充送礼</v>
          </cell>
          <cell r="C63" t="str">
            <v>8天后每周循环</v>
          </cell>
          <cell r="D63" t="str">
            <v>public_02</v>
          </cell>
          <cell r="E63" t="str">
            <v>huodong_51</v>
          </cell>
          <cell r="F63" t="str">
            <v>huodong_56</v>
          </cell>
          <cell r="G63">
            <v>10</v>
          </cell>
          <cell r="H63">
            <v>25</v>
          </cell>
          <cell r="I63" t="str">
            <v>10011,10012,10013,10014,10015,10016,10017,10018,10019,10020</v>
          </cell>
        </row>
        <row r="64">
          <cell r="A64">
            <v>10001</v>
          </cell>
          <cell r="B64" t="str">
            <v>[b]新年壕礼</v>
          </cell>
          <cell r="C64" t="str">
            <v>运营限时活动</v>
          </cell>
          <cell r="D64" t="str">
            <v>public_02</v>
          </cell>
          <cell r="E64" t="str">
            <v>huodong_meitou</v>
          </cell>
          <cell r="F64" t="str">
            <v>huodong_55</v>
          </cell>
          <cell r="G64">
            <v>1</v>
          </cell>
          <cell r="H64">
            <v>22</v>
          </cell>
          <cell r="I64" t="str">
            <v>100001,100002,100003,100004,100005</v>
          </cell>
        </row>
        <row r="65">
          <cell r="A65">
            <v>10002</v>
          </cell>
          <cell r="B65" t="str">
            <v>[b]登陆福利</v>
          </cell>
          <cell r="C65" t="str">
            <v>新服常驻-第二周</v>
          </cell>
          <cell r="D65" t="str">
            <v>public_02</v>
          </cell>
          <cell r="E65" t="str">
            <v>huodong_meitou</v>
          </cell>
          <cell r="F65" t="str">
            <v>huodong_55</v>
          </cell>
          <cell r="G65">
            <v>11</v>
          </cell>
          <cell r="H65">
            <v>22</v>
          </cell>
          <cell r="I65" t="str">
            <v>100011,100012,100013,100014,100015,100016,100017</v>
          </cell>
        </row>
        <row r="66">
          <cell r="A66">
            <v>10003</v>
          </cell>
          <cell r="B66" t="str">
            <v>[b]每周福利</v>
          </cell>
          <cell r="C66" t="str">
            <v>15天后每周循环</v>
          </cell>
          <cell r="D66" t="str">
            <v>public_02</v>
          </cell>
          <cell r="E66" t="str">
            <v>huodong_meitou</v>
          </cell>
          <cell r="F66" t="str">
            <v>huodong_61</v>
          </cell>
          <cell r="G66">
            <v>12</v>
          </cell>
          <cell r="H66">
            <v>22</v>
          </cell>
          <cell r="I66" t="str">
            <v>100021,100022,100023,100024,100025,100026,100027</v>
          </cell>
        </row>
        <row r="67">
          <cell r="A67">
            <v>10004</v>
          </cell>
          <cell r="B67" t="str">
            <v>[b]更新送礼</v>
          </cell>
          <cell r="C67" t="str">
            <v>运营限时活动</v>
          </cell>
          <cell r="D67" t="str">
            <v>public_02</v>
          </cell>
          <cell r="E67" t="str">
            <v>huodong_meitou</v>
          </cell>
          <cell r="F67" t="str">
            <v>huodong_55</v>
          </cell>
          <cell r="G67">
            <v>1</v>
          </cell>
          <cell r="H67">
            <v>22</v>
          </cell>
          <cell r="I67" t="str">
            <v>100006,100007,100008</v>
          </cell>
        </row>
        <row r="68">
          <cell r="A68">
            <v>10005</v>
          </cell>
          <cell r="B68" t="str">
            <v>[b]腊八送礼</v>
          </cell>
          <cell r="C68" t="str">
            <v>腊八送礼</v>
          </cell>
          <cell r="D68" t="str">
            <v>public_02</v>
          </cell>
          <cell r="E68" t="str">
            <v>huodong_meitou</v>
          </cell>
          <cell r="F68" t="str">
            <v>huodong_55</v>
          </cell>
          <cell r="G68">
            <v>13</v>
          </cell>
          <cell r="H68">
            <v>22</v>
          </cell>
          <cell r="I68" t="str">
            <v>100031,100032,100033</v>
          </cell>
        </row>
        <row r="69">
          <cell r="A69">
            <v>10006</v>
          </cell>
          <cell r="B69" t="str">
            <v>[b]腊八返利</v>
          </cell>
          <cell r="C69" t="str">
            <v>腊八返利</v>
          </cell>
          <cell r="D69" t="str">
            <v>public_02</v>
          </cell>
          <cell r="E69" t="str">
            <v>huodong_51</v>
          </cell>
          <cell r="F69" t="str">
            <v>huodong_56</v>
          </cell>
          <cell r="G69">
            <v>14</v>
          </cell>
          <cell r="H69">
            <v>12</v>
          </cell>
          <cell r="I69" t="str">
            <v>100041,100042,100043,100044,100045</v>
          </cell>
        </row>
        <row r="70">
          <cell r="A70">
            <v>10007</v>
          </cell>
          <cell r="B70" t="str">
            <v>[b]腊八兑换</v>
          </cell>
          <cell r="C70" t="str">
            <v>腊八兑换</v>
          </cell>
          <cell r="D70" t="str">
            <v>public_02</v>
          </cell>
          <cell r="E70" t="str">
            <v>huodong_meitou2</v>
          </cell>
          <cell r="F70" t="str">
            <v>huodong_60</v>
          </cell>
          <cell r="G70">
            <v>15</v>
          </cell>
          <cell r="H70">
            <v>47</v>
          </cell>
          <cell r="I70" t="str">
            <v>1210001,1210002,1210003,1210004,1210005,1210006,1210007,1210008,1210009,1210010,1210011,1210012,1210013,1210014,1210015,1210016,1210017,1210018,1210019,1210020,1210021,1210022</v>
          </cell>
        </row>
        <row r="71">
          <cell r="A71">
            <v>10008</v>
          </cell>
          <cell r="B71" t="str">
            <v>[b]情人节送礼</v>
          </cell>
          <cell r="C71" t="str">
            <v>情人节送礼</v>
          </cell>
          <cell r="D71" t="str">
            <v>public_02</v>
          </cell>
          <cell r="E71" t="str">
            <v>huodong_meitou</v>
          </cell>
          <cell r="F71" t="str">
            <v>huodong_61</v>
          </cell>
          <cell r="G71">
            <v>16</v>
          </cell>
          <cell r="H71">
            <v>22</v>
          </cell>
          <cell r="I71" t="str">
            <v>100051,100052,100053</v>
          </cell>
        </row>
        <row r="72">
          <cell r="A72">
            <v>10009</v>
          </cell>
          <cell r="B72" t="str">
            <v>[b]节日兑换</v>
          </cell>
          <cell r="C72" t="str">
            <v>节日兑换</v>
          </cell>
          <cell r="D72" t="str">
            <v>public_02</v>
          </cell>
          <cell r="E72" t="str">
            <v>huodong_meitou2</v>
          </cell>
          <cell r="F72" t="str">
            <v>huodong_60</v>
          </cell>
          <cell r="G72">
            <v>17</v>
          </cell>
          <cell r="H72">
            <v>47</v>
          </cell>
          <cell r="I72" t="str">
            <v>1210101,1210102,1210103,1210104,1210105,1210106,1210107,1210108,1210109,1210110,1210111,1210112,1210113,1210114,1210115,1210116,1210117,1210118,1210119,1210120,1210121,1210122</v>
          </cell>
        </row>
        <row r="73">
          <cell r="A73">
            <v>10010</v>
          </cell>
          <cell r="B73" t="str">
            <v>[b]新春返利(一)</v>
          </cell>
          <cell r="C73" t="str">
            <v>新春返利（一）</v>
          </cell>
          <cell r="D73" t="str">
            <v>public_02</v>
          </cell>
          <cell r="E73" t="str">
            <v>huodong_51</v>
          </cell>
          <cell r="F73" t="str">
            <v>huodong_54</v>
          </cell>
          <cell r="G73">
            <v>18</v>
          </cell>
          <cell r="H73">
            <v>12</v>
          </cell>
          <cell r="I73" t="str">
            <v>100061,100062,100063,100064,100065</v>
          </cell>
        </row>
        <row r="74">
          <cell r="A74">
            <v>10011</v>
          </cell>
          <cell r="B74" t="str">
            <v>[b]新春返利(二)</v>
          </cell>
          <cell r="C74" t="str">
            <v>新春返利（二）</v>
          </cell>
          <cell r="D74" t="str">
            <v>public_02</v>
          </cell>
          <cell r="E74" t="str">
            <v>huodong_51</v>
          </cell>
          <cell r="F74" t="str">
            <v>huodong_54</v>
          </cell>
          <cell r="G74">
            <v>18</v>
          </cell>
          <cell r="H74">
            <v>12</v>
          </cell>
          <cell r="I74" t="str">
            <v>100071,100072,100073,100074,100075</v>
          </cell>
        </row>
        <row r="75">
          <cell r="A75">
            <v>10012</v>
          </cell>
          <cell r="B75" t="str">
            <v>[b]新春返利(三)</v>
          </cell>
          <cell r="C75" t="str">
            <v>新春返利（三）</v>
          </cell>
          <cell r="D75" t="str">
            <v>public_02</v>
          </cell>
          <cell r="E75" t="str">
            <v>huodong_51</v>
          </cell>
          <cell r="F75" t="str">
            <v>huodong_54</v>
          </cell>
          <cell r="G75">
            <v>18</v>
          </cell>
          <cell r="H75">
            <v>12</v>
          </cell>
          <cell r="I75" t="str">
            <v>100081,100082,100083,100084,100085</v>
          </cell>
        </row>
        <row r="76">
          <cell r="A76">
            <v>10013</v>
          </cell>
          <cell r="B76" t="str">
            <v>[b]豪华兑换</v>
          </cell>
          <cell r="C76" t="str">
            <v>豪华兑换</v>
          </cell>
          <cell r="D76" t="str">
            <v>public_02</v>
          </cell>
          <cell r="E76" t="str">
            <v>huodong_meitou2</v>
          </cell>
          <cell r="F76" t="str">
            <v>huodong_60</v>
          </cell>
          <cell r="G76">
            <v>19</v>
          </cell>
          <cell r="H76">
            <v>47</v>
          </cell>
          <cell r="I76" t="str">
            <v>1210201,1210202,1210203,1210204,1210205,1210206,1210207,1210208,1210209,1210210,1210211,1210212,1210213,1210214,1210215</v>
          </cell>
        </row>
        <row r="77">
          <cell r="A77">
            <v>10014</v>
          </cell>
          <cell r="B77" t="str">
            <v>[b]新春送礼</v>
          </cell>
          <cell r="C77" t="str">
            <v>新春送礼</v>
          </cell>
          <cell r="D77" t="str">
            <v>public_02</v>
          </cell>
          <cell r="E77" t="str">
            <v>huodong_meitou</v>
          </cell>
          <cell r="F77" t="str">
            <v>huodong_61</v>
          </cell>
          <cell r="G77">
            <v>16</v>
          </cell>
          <cell r="H77">
            <v>22</v>
          </cell>
          <cell r="I77" t="str">
            <v>100091,100092,100093,100094,100095,100096,100097,100098,100099</v>
          </cell>
        </row>
        <row r="78">
          <cell r="A78">
            <v>10015</v>
          </cell>
          <cell r="B78" t="str">
            <v>[b]更新送礼</v>
          </cell>
          <cell r="C78" t="str">
            <v>更新送礼</v>
          </cell>
          <cell r="D78" t="str">
            <v>public_02</v>
          </cell>
          <cell r="E78" t="str">
            <v>huodong_meitou</v>
          </cell>
          <cell r="F78" t="str">
            <v>huodong_61</v>
          </cell>
          <cell r="G78">
            <v>20</v>
          </cell>
          <cell r="H78">
            <v>22</v>
          </cell>
          <cell r="I78" t="str">
            <v>100101,100102,100103</v>
          </cell>
        </row>
        <row r="79">
          <cell r="A79">
            <v>10016</v>
          </cell>
          <cell r="B79" t="str">
            <v>[b]元宵节送礼</v>
          </cell>
          <cell r="C79" t="str">
            <v>元宵节送礼</v>
          </cell>
          <cell r="D79" t="str">
            <v>public_02</v>
          </cell>
          <cell r="E79" t="str">
            <v>huodong_meitou</v>
          </cell>
          <cell r="F79" t="str">
            <v>huodong_61</v>
          </cell>
          <cell r="G79">
            <v>1</v>
          </cell>
          <cell r="H79">
            <v>22</v>
          </cell>
          <cell r="I79" t="str">
            <v>100111,100112,100113</v>
          </cell>
        </row>
        <row r="80">
          <cell r="A80">
            <v>10017</v>
          </cell>
          <cell r="B80" t="str">
            <v>[b]节日兑换</v>
          </cell>
          <cell r="C80" t="str">
            <v>节日兑换</v>
          </cell>
          <cell r="D80" t="str">
            <v>public_02</v>
          </cell>
          <cell r="E80" t="str">
            <v>huodong_meitou2</v>
          </cell>
          <cell r="F80" t="str">
            <v>huodong_60</v>
          </cell>
          <cell r="G80">
            <v>1</v>
          </cell>
          <cell r="H80">
            <v>47</v>
          </cell>
          <cell r="I80" t="str">
            <v>1210301,1210302,1210303,1210304,1210305,1210306,1210307,1210308,1210309,1210310,1210311,1210312,1210313,1210314,1210315,1210316,1210317,1210318,1210319,1210320,1210321,1210322</v>
          </cell>
        </row>
        <row r="81">
          <cell r="A81">
            <v>10018</v>
          </cell>
          <cell r="B81" t="str">
            <v>[b]豪华兑换</v>
          </cell>
          <cell r="C81" t="str">
            <v>豪华兑换</v>
          </cell>
          <cell r="D81" t="str">
            <v>public_02</v>
          </cell>
          <cell r="E81" t="str">
            <v>huodong_meitou2</v>
          </cell>
          <cell r="F81" t="str">
            <v>huodong_60</v>
          </cell>
          <cell r="G81">
            <v>1</v>
          </cell>
          <cell r="H81">
            <v>47</v>
          </cell>
          <cell r="I81" t="str">
            <v>1210401,1210402,1210403,1210404,1210405</v>
          </cell>
        </row>
        <row r="82">
          <cell r="A82">
            <v>10019</v>
          </cell>
          <cell r="B82" t="str">
            <v>[b]元宵节返利</v>
          </cell>
          <cell r="C82" t="str">
            <v>元宵节返利</v>
          </cell>
          <cell r="D82" t="str">
            <v>public_02</v>
          </cell>
          <cell r="E82" t="str">
            <v>huodong_51</v>
          </cell>
          <cell r="F82" t="str">
            <v>huodong_54</v>
          </cell>
          <cell r="G82">
            <v>1</v>
          </cell>
          <cell r="H82">
            <v>47</v>
          </cell>
          <cell r="I82" t="str">
            <v>1210407,1210408,1210409,1210410,1210411,1210412,1210413,1210414,1210415,1210416,1210417,1210418,1210419,1210420,1210421</v>
          </cell>
        </row>
        <row r="83">
          <cell r="A83">
            <v>10020</v>
          </cell>
          <cell r="B83" t="str">
            <v>[b]王の宝库</v>
          </cell>
          <cell r="C83" t="str">
            <v>豪华兑换</v>
          </cell>
          <cell r="D83" t="str">
            <v>public_02</v>
          </cell>
          <cell r="E83" t="str">
            <v>huodong_meitou2</v>
          </cell>
          <cell r="F83" t="str">
            <v>huodong_60</v>
          </cell>
          <cell r="G83">
            <v>1</v>
          </cell>
          <cell r="H83">
            <v>47</v>
          </cell>
          <cell r="I83" t="str">
            <v>1210407,1210408,1210409,1210410,1210411,1210412,1210413,1210414,1210415,1210416,1210417,1210418,1210419,1210420,1210421</v>
          </cell>
        </row>
        <row r="84">
          <cell r="A84">
            <v>10021</v>
          </cell>
          <cell r="B84" t="str">
            <v>[b]女神节送礼</v>
          </cell>
          <cell r="C84" t="str">
            <v>女神节送礼</v>
          </cell>
          <cell r="D84" t="str">
            <v>public_02</v>
          </cell>
          <cell r="E84" t="str">
            <v>huodong_meitou</v>
          </cell>
          <cell r="F84" t="str">
            <v>huodong_61</v>
          </cell>
          <cell r="G84">
            <v>1</v>
          </cell>
          <cell r="H84">
            <v>22</v>
          </cell>
          <cell r="I84" t="str">
            <v>100131,100132,100133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14"/>
  <sheetViews>
    <sheetView tabSelected="1" workbookViewId="0">
      <pane ySplit="3" topLeftCell="A199" activePane="bottomLeft" state="frozen"/>
      <selection pane="bottomLeft" activeCell="A215" sqref="A215"/>
    </sheetView>
  </sheetViews>
  <sheetFormatPr defaultRowHeight="16.5"/>
  <cols>
    <col min="1" max="1" width="9.375" style="4" bestFit="1" customWidth="1"/>
    <col min="2" max="2" width="52.125" style="4" bestFit="1" customWidth="1"/>
    <col min="3" max="3" width="20.375" style="7" bestFit="1" customWidth="1"/>
    <col min="4" max="4" width="15" style="7" bestFit="1" customWidth="1"/>
    <col min="5" max="5" width="32.375" style="4" customWidth="1"/>
    <col min="6" max="7" width="14.25" style="4" bestFit="1" customWidth="1"/>
    <col min="8" max="8" width="13.375" style="4" bestFit="1" customWidth="1"/>
    <col min="9" max="9" width="35.75" style="4" bestFit="1" customWidth="1"/>
    <col min="10" max="10" width="17.625" style="4" bestFit="1" customWidth="1"/>
    <col min="11" max="11" width="17.625" style="4" customWidth="1"/>
    <col min="12" max="12" width="51.75" style="4" customWidth="1"/>
    <col min="13" max="13" width="9.625" style="1" bestFit="1" customWidth="1"/>
    <col min="14" max="16" width="9" style="36"/>
    <col min="17" max="16384" width="9" style="1"/>
  </cols>
  <sheetData>
    <row r="1" spans="1:22" ht="148.5" customHeight="1">
      <c r="A1" s="2" t="s">
        <v>3</v>
      </c>
      <c r="B1" s="2" t="s">
        <v>1</v>
      </c>
      <c r="C1" s="5" t="s">
        <v>31</v>
      </c>
      <c r="D1" s="5" t="s">
        <v>38</v>
      </c>
      <c r="E1" s="2" t="s">
        <v>15</v>
      </c>
      <c r="F1" s="2" t="s">
        <v>17</v>
      </c>
      <c r="G1" s="2" t="s">
        <v>40</v>
      </c>
      <c r="H1" s="2" t="s">
        <v>39</v>
      </c>
      <c r="I1" s="2" t="s">
        <v>104</v>
      </c>
      <c r="J1" s="2" t="s">
        <v>4</v>
      </c>
      <c r="K1" s="2" t="s">
        <v>34</v>
      </c>
      <c r="L1" s="2" t="s">
        <v>22</v>
      </c>
      <c r="M1" s="1" t="s">
        <v>188</v>
      </c>
    </row>
    <row r="2" spans="1:22">
      <c r="A2" s="3" t="s">
        <v>5</v>
      </c>
      <c r="B2" s="3" t="s">
        <v>2</v>
      </c>
      <c r="C2" s="6" t="s">
        <v>32</v>
      </c>
      <c r="D2" s="6" t="s">
        <v>37</v>
      </c>
      <c r="E2" s="3" t="s">
        <v>16</v>
      </c>
      <c r="F2" s="3" t="s">
        <v>18</v>
      </c>
      <c r="G2" s="3" t="s">
        <v>19</v>
      </c>
      <c r="H2" s="3" t="s">
        <v>12</v>
      </c>
      <c r="I2" s="3" t="s">
        <v>6</v>
      </c>
      <c r="J2" s="3" t="s">
        <v>7</v>
      </c>
      <c r="K2" s="3" t="s">
        <v>35</v>
      </c>
      <c r="L2" s="3" t="s">
        <v>23</v>
      </c>
    </row>
    <row r="3" spans="1:22">
      <c r="A3" s="3" t="s">
        <v>8</v>
      </c>
      <c r="B3" s="3" t="s">
        <v>0</v>
      </c>
      <c r="C3" s="6" t="s">
        <v>33</v>
      </c>
      <c r="D3" s="6" t="s">
        <v>33</v>
      </c>
      <c r="E3" s="3" t="s">
        <v>13</v>
      </c>
      <c r="F3" s="3" t="s">
        <v>0</v>
      </c>
      <c r="G3" s="3" t="s">
        <v>20</v>
      </c>
      <c r="H3" s="3" t="s">
        <v>11</v>
      </c>
      <c r="I3" s="3" t="s">
        <v>9</v>
      </c>
      <c r="J3" s="3" t="s">
        <v>10</v>
      </c>
      <c r="K3" s="3" t="s">
        <v>36</v>
      </c>
      <c r="L3" s="3" t="s">
        <v>21</v>
      </c>
    </row>
    <row r="4" spans="1:22">
      <c r="A4" s="8">
        <v>1001</v>
      </c>
      <c r="B4" s="8" t="s">
        <v>230</v>
      </c>
      <c r="C4" s="9">
        <v>1</v>
      </c>
      <c r="D4" s="9">
        <v>0</v>
      </c>
      <c r="E4" s="8">
        <v>2</v>
      </c>
      <c r="F4" s="8" t="s">
        <v>14</v>
      </c>
      <c r="G4" s="8">
        <v>4</v>
      </c>
      <c r="H4" s="8">
        <v>1</v>
      </c>
      <c r="I4" s="8">
        <v>1</v>
      </c>
      <c r="J4" s="8" t="s">
        <v>103</v>
      </c>
      <c r="K4" s="8">
        <v>0</v>
      </c>
      <c r="L4" s="8" t="s">
        <v>82</v>
      </c>
      <c r="M4" s="1">
        <f>VLOOKUP(FindStrFirstNum($A4,[1]Sheet1!$I$3:$I$43,[1]Sheet1!$A$3:$A$43),[1]Sheet1!$A:$I,7,0)</f>
        <v>2</v>
      </c>
      <c r="U4" s="1" t="e">
        <f>INT(MID($B4,MIN(FIND({0,1,2,3,4,5,6,7,8,9},$B4&amp;"0123456789")),LEN($B4)*2-LENB($B4)))</f>
        <v>#VALUE!</v>
      </c>
      <c r="V4" s="1" t="str">
        <f t="shared" ref="V4:V35" si="0">IF(ISERROR($U4),$B4,LEFT($B4,FIND($U4,$B4)-1)&amp;"[FF7400]"&amp;U4&amp;"[-]"&amp;IFERROR(RIGHT($B4,LEN($B4)-FIND($U4,$B4)-LEN($U4)+1),""))</f>
        <v>累计登陆 [00821cff]1[-] 天送元宝</v>
      </c>
    </row>
    <row r="5" spans="1:22">
      <c r="A5" s="8">
        <v>1002</v>
      </c>
      <c r="B5" s="8" t="s">
        <v>231</v>
      </c>
      <c r="C5" s="9">
        <v>1</v>
      </c>
      <c r="D5" s="9">
        <v>0</v>
      </c>
      <c r="E5" s="8">
        <v>2</v>
      </c>
      <c r="F5" s="8" t="s">
        <v>14</v>
      </c>
      <c r="G5" s="8">
        <v>4</v>
      </c>
      <c r="H5" s="8">
        <v>1</v>
      </c>
      <c r="I5" s="8">
        <v>2</v>
      </c>
      <c r="J5" s="8" t="s">
        <v>103</v>
      </c>
      <c r="K5" s="8">
        <v>0</v>
      </c>
      <c r="L5" s="8" t="s">
        <v>219</v>
      </c>
      <c r="M5" s="1">
        <f>VLOOKUP(FindStrFirstNum($A5,[1]Sheet1!$I$3:$I$43,[1]Sheet1!$A$3:$A$43),[1]Sheet1!$A:$I,7,0)</f>
        <v>2</v>
      </c>
      <c r="U5" s="1" t="e">
        <f>INT(MID($B5,MIN(FIND({0,1,2,3,4,5,6,7,8,9},$B5&amp;"0123456789")),LEN($B5)*2-LENB($B5)))</f>
        <v>#VALUE!</v>
      </c>
      <c r="V5" s="1" t="str">
        <f t="shared" si="0"/>
        <v>累计登陆 [00821cff]2[-] 天送VIP1</v>
      </c>
    </row>
    <row r="6" spans="1:22">
      <c r="A6" s="8">
        <v>1003</v>
      </c>
      <c r="B6" s="8" t="s">
        <v>232</v>
      </c>
      <c r="C6" s="9">
        <v>1</v>
      </c>
      <c r="D6" s="9">
        <v>0</v>
      </c>
      <c r="E6" s="8">
        <v>2</v>
      </c>
      <c r="F6" s="8" t="s">
        <v>14</v>
      </c>
      <c r="G6" s="8">
        <v>4</v>
      </c>
      <c r="H6" s="8">
        <v>1</v>
      </c>
      <c r="I6" s="8">
        <v>3</v>
      </c>
      <c r="J6" s="8" t="s">
        <v>103</v>
      </c>
      <c r="K6" s="8">
        <v>1</v>
      </c>
      <c r="L6" s="8" t="s">
        <v>83</v>
      </c>
      <c r="M6" s="1">
        <f>VLOOKUP(FindStrFirstNum($A6,[1]Sheet1!$I$3:$I$43,[1]Sheet1!$A$3:$A$43),[1]Sheet1!$A:$I,7,0)</f>
        <v>2</v>
      </c>
      <c r="U6" s="1" t="e">
        <f>INT(MID($B6,MIN(FIND({0,1,2,3,4,5,6,7,8,9},$B6&amp;"0123456789")),LEN($B6)*2-LENB($B6)))</f>
        <v>#VALUE!</v>
      </c>
      <c r="V6" s="1" t="str">
        <f t="shared" si="0"/>
        <v>累计登陆 [00821cff]3[-] 天送顶级橙伙伴碎片</v>
      </c>
    </row>
    <row r="7" spans="1:22">
      <c r="A7" s="8">
        <v>1004</v>
      </c>
      <c r="B7" s="8" t="s">
        <v>233</v>
      </c>
      <c r="C7" s="9">
        <v>1</v>
      </c>
      <c r="D7" s="9">
        <v>0</v>
      </c>
      <c r="E7" s="8">
        <v>2</v>
      </c>
      <c r="F7" s="8" t="s">
        <v>14</v>
      </c>
      <c r="G7" s="8">
        <v>4</v>
      </c>
      <c r="H7" s="8">
        <v>1</v>
      </c>
      <c r="I7" s="8">
        <v>4</v>
      </c>
      <c r="J7" s="8" t="s">
        <v>103</v>
      </c>
      <c r="K7" s="8">
        <v>1</v>
      </c>
      <c r="L7" s="8" t="s">
        <v>84</v>
      </c>
      <c r="M7" s="1">
        <f>VLOOKUP(FindStrFirstNum($A7,[1]Sheet1!$I$3:$I$43,[1]Sheet1!$A$3:$A$43),[1]Sheet1!$A:$I,7,0)</f>
        <v>2</v>
      </c>
      <c r="U7" s="1" t="e">
        <f>INT(MID($B7,MIN(FIND({0,1,2,3,4,5,6,7,8,9},$B7&amp;"0123456789")),LEN($B7)*2-LENB($B7)))</f>
        <v>#VALUE!</v>
      </c>
      <c r="V7" s="1" t="str">
        <f t="shared" si="0"/>
        <v>累计登陆 [00821cff]4[-] 天送顶级橙伙伴碎片</v>
      </c>
    </row>
    <row r="8" spans="1:22">
      <c r="A8" s="8">
        <v>1005</v>
      </c>
      <c r="B8" s="8" t="s">
        <v>234</v>
      </c>
      <c r="C8" s="9">
        <v>1</v>
      </c>
      <c r="D8" s="9">
        <v>0</v>
      </c>
      <c r="E8" s="8">
        <v>2</v>
      </c>
      <c r="F8" s="8" t="s">
        <v>14</v>
      </c>
      <c r="G8" s="8">
        <v>4</v>
      </c>
      <c r="H8" s="8">
        <v>1</v>
      </c>
      <c r="I8" s="8">
        <v>5</v>
      </c>
      <c r="J8" s="8" t="s">
        <v>103</v>
      </c>
      <c r="K8" s="8">
        <v>0</v>
      </c>
      <c r="L8" s="8" t="s">
        <v>85</v>
      </c>
      <c r="M8" s="1">
        <f>VLOOKUP(FindStrFirstNum($A8,[1]Sheet1!$I$3:$I$43,[1]Sheet1!$A$3:$A$43),[1]Sheet1!$A:$I,7,0)</f>
        <v>2</v>
      </c>
      <c r="U8" s="1" t="e">
        <f>INT(MID($B8,MIN(FIND({0,1,2,3,4,5,6,7,8,9},$B8&amp;"0123456789")),LEN($B8)*2-LENB($B8)))</f>
        <v>#VALUE!</v>
      </c>
      <c r="V8" s="1" t="str">
        <f t="shared" si="0"/>
        <v>累计登陆 [00821cff]5[-] 天送橙色法宝</v>
      </c>
    </row>
    <row r="9" spans="1:22">
      <c r="A9" s="8">
        <v>1006</v>
      </c>
      <c r="B9" s="8" t="s">
        <v>235</v>
      </c>
      <c r="C9" s="9">
        <v>1</v>
      </c>
      <c r="D9" s="9">
        <v>0</v>
      </c>
      <c r="E9" s="8">
        <v>2</v>
      </c>
      <c r="F9" s="8" t="s">
        <v>14</v>
      </c>
      <c r="G9" s="8">
        <v>4</v>
      </c>
      <c r="H9" s="8">
        <v>1</v>
      </c>
      <c r="I9" s="8">
        <v>6</v>
      </c>
      <c r="J9" s="8" t="s">
        <v>103</v>
      </c>
      <c r="K9" s="8">
        <v>0</v>
      </c>
      <c r="L9" s="8" t="s">
        <v>86</v>
      </c>
      <c r="M9" s="1">
        <f>VLOOKUP(FindStrFirstNum($A9,[1]Sheet1!$I$3:$I$43,[1]Sheet1!$A$3:$A$43),[1]Sheet1!$A:$I,7,0)</f>
        <v>2</v>
      </c>
      <c r="U9" s="1" t="e">
        <f>INT(MID($B9,MIN(FIND({0,1,2,3,4,5,6,7,8,9},$B9&amp;"0123456789")),LEN($B9)*2-LENB($B9)))</f>
        <v>#VALUE!</v>
      </c>
      <c r="V9" s="1" t="str">
        <f t="shared" si="0"/>
        <v>累计登陆 [00821cff]6[-] 天送红神兵碎片</v>
      </c>
    </row>
    <row r="10" spans="1:22">
      <c r="A10" s="8">
        <v>1007</v>
      </c>
      <c r="B10" s="8" t="s">
        <v>236</v>
      </c>
      <c r="C10" s="9">
        <v>1</v>
      </c>
      <c r="D10" s="9">
        <v>0</v>
      </c>
      <c r="E10" s="8">
        <v>2</v>
      </c>
      <c r="F10" s="8" t="s">
        <v>14</v>
      </c>
      <c r="G10" s="8">
        <v>4</v>
      </c>
      <c r="H10" s="8">
        <v>1</v>
      </c>
      <c r="I10" s="8">
        <v>7</v>
      </c>
      <c r="J10" s="8" t="s">
        <v>103</v>
      </c>
      <c r="K10" s="8">
        <v>0</v>
      </c>
      <c r="L10" s="8" t="s">
        <v>87</v>
      </c>
      <c r="M10" s="1">
        <f>VLOOKUP(FindStrFirstNum($A10,[1]Sheet1!$I$3:$I$43,[1]Sheet1!$A$3:$A$43),[1]Sheet1!$A:$I,7,0)</f>
        <v>2</v>
      </c>
      <c r="U10" s="1" t="e">
        <f>INT(MID($B10,MIN(FIND({0,1,2,3,4,5,6,7,8,9},$B10&amp;"0123456789")),LEN($B10)*2-LENB($B10)))</f>
        <v>#VALUE!</v>
      </c>
      <c r="V10" s="1" t="str">
        <f t="shared" si="0"/>
        <v>累计登陆 [00821cff]7[-] 天送红神兵碎片</v>
      </c>
    </row>
    <row r="11" spans="1:22">
      <c r="A11" s="8">
        <v>1008</v>
      </c>
      <c r="B11" s="8" t="s">
        <v>237</v>
      </c>
      <c r="C11" s="9">
        <v>1</v>
      </c>
      <c r="D11" s="9">
        <v>0</v>
      </c>
      <c r="E11" s="8">
        <v>2</v>
      </c>
      <c r="F11" s="8" t="s">
        <v>14</v>
      </c>
      <c r="G11" s="8">
        <v>4</v>
      </c>
      <c r="H11" s="8">
        <v>1</v>
      </c>
      <c r="I11" s="8">
        <v>8</v>
      </c>
      <c r="J11" s="8" t="s">
        <v>103</v>
      </c>
      <c r="K11" s="8">
        <v>0</v>
      </c>
      <c r="L11" s="8" t="s">
        <v>88</v>
      </c>
      <c r="M11" s="1">
        <f>VLOOKUP(FindStrFirstNum($A11,[1]Sheet1!$I$3:$I$43,[1]Sheet1!$A$3:$A$43),[1]Sheet1!$A:$I,7,0)</f>
        <v>2</v>
      </c>
      <c r="U11" s="1" t="e">
        <f>INT(MID($B11,MIN(FIND({0,1,2,3,4,5,6,7,8,9},$B11&amp;"0123456789")),LEN($B11)*2-LENB($B11)))</f>
        <v>#VALUE!</v>
      </c>
      <c r="V11" s="1" t="str">
        <f t="shared" si="0"/>
        <v>累计登陆 [00821cff]8[-] 天送VIP2</v>
      </c>
    </row>
    <row r="12" spans="1:22">
      <c r="A12" s="32">
        <v>1011</v>
      </c>
      <c r="B12" s="32" t="s">
        <v>238</v>
      </c>
      <c r="C12" s="33">
        <v>3</v>
      </c>
      <c r="D12" s="33">
        <v>1</v>
      </c>
      <c r="E12" s="32">
        <v>2</v>
      </c>
      <c r="F12" s="32" t="s">
        <v>14</v>
      </c>
      <c r="G12" s="32">
        <v>4</v>
      </c>
      <c r="H12" s="32">
        <v>2</v>
      </c>
      <c r="I12" s="32">
        <v>10</v>
      </c>
      <c r="J12" s="32">
        <v>34</v>
      </c>
      <c r="K12" s="32">
        <v>0</v>
      </c>
      <c r="L12" s="32" t="s">
        <v>24</v>
      </c>
      <c r="M12" s="1" t="e">
        <f>VLOOKUP(FindStrFirstNum($A12,[1]Sheet1!$I$3:$I$43,[1]Sheet1!$A$3:$A$43),[1]Sheet1!$A:$I,7,0)</f>
        <v>#N/A</v>
      </c>
      <c r="U12" s="1" t="e">
        <f>INT(MID($B12,MIN(FIND({0,1,2,3,4,5,6,7,8,9},$B12&amp;"0123456789")),LEN($B12)*2-LENB($B12)))</f>
        <v>#VALUE!</v>
      </c>
      <c r="V12" s="1" t="str">
        <f t="shared" si="0"/>
        <v>单笔充值 [00821cff]1[-] 元</v>
      </c>
    </row>
    <row r="13" spans="1:22">
      <c r="A13" s="32">
        <v>1012</v>
      </c>
      <c r="B13" s="32" t="s">
        <v>239</v>
      </c>
      <c r="C13" s="33">
        <v>4</v>
      </c>
      <c r="D13" s="33">
        <v>1</v>
      </c>
      <c r="E13" s="32">
        <v>2</v>
      </c>
      <c r="F13" s="32" t="s">
        <v>14</v>
      </c>
      <c r="G13" s="32">
        <v>4</v>
      </c>
      <c r="H13" s="32">
        <v>2</v>
      </c>
      <c r="I13" s="32">
        <v>60</v>
      </c>
      <c r="J13" s="32">
        <v>34</v>
      </c>
      <c r="K13" s="32">
        <v>0</v>
      </c>
      <c r="L13" s="32" t="s">
        <v>25</v>
      </c>
      <c r="M13" s="1" t="e">
        <f>VLOOKUP(FindStrFirstNum($A13,[1]Sheet1!$I$3:$I$43,[1]Sheet1!$A$3:$A$43),[1]Sheet1!$A:$I,7,0)</f>
        <v>#N/A</v>
      </c>
      <c r="U13" s="1" t="e">
        <f>INT(MID($B13,MIN(FIND({0,1,2,3,4,5,6,7,8,9},$B13&amp;"0123456789")),LEN($B13)*2-LENB($B13)))</f>
        <v>#VALUE!</v>
      </c>
      <c r="V13" s="1" t="str">
        <f t="shared" si="0"/>
        <v>单笔充值 [00821cff]6[-] 元</v>
      </c>
    </row>
    <row r="14" spans="1:22">
      <c r="A14" s="32">
        <v>1013</v>
      </c>
      <c r="B14" s="32" t="s">
        <v>240</v>
      </c>
      <c r="C14" s="33">
        <v>5</v>
      </c>
      <c r="D14" s="33">
        <v>1</v>
      </c>
      <c r="E14" s="32">
        <v>2</v>
      </c>
      <c r="F14" s="32" t="s">
        <v>14</v>
      </c>
      <c r="G14" s="32">
        <v>4</v>
      </c>
      <c r="H14" s="32">
        <v>2</v>
      </c>
      <c r="I14" s="32">
        <v>300</v>
      </c>
      <c r="J14" s="32">
        <v>34</v>
      </c>
      <c r="K14" s="32">
        <v>0</v>
      </c>
      <c r="L14" s="32" t="s">
        <v>26</v>
      </c>
      <c r="M14" s="1" t="e">
        <f>VLOOKUP(FindStrFirstNum($A14,[1]Sheet1!$I$3:$I$43,[1]Sheet1!$A$3:$A$43),[1]Sheet1!$A:$I,7,0)</f>
        <v>#N/A</v>
      </c>
      <c r="U14" s="1" t="e">
        <f>INT(MID($B14,MIN(FIND({0,1,2,3,4,5,6,7,8,9},$B14&amp;"0123456789")),LEN($B14)*2-LENB($B14)))</f>
        <v>#VALUE!</v>
      </c>
      <c r="V14" s="1" t="str">
        <f t="shared" si="0"/>
        <v>单笔充值 [00821cff]30[-] 元</v>
      </c>
    </row>
    <row r="15" spans="1:22">
      <c r="A15" s="32">
        <v>1014</v>
      </c>
      <c r="B15" s="32" t="s">
        <v>241</v>
      </c>
      <c r="C15" s="33">
        <v>6</v>
      </c>
      <c r="D15" s="33">
        <v>1</v>
      </c>
      <c r="E15" s="32">
        <v>2</v>
      </c>
      <c r="F15" s="32" t="s">
        <v>14</v>
      </c>
      <c r="G15" s="32">
        <v>4</v>
      </c>
      <c r="H15" s="32">
        <v>2</v>
      </c>
      <c r="I15" s="32">
        <v>980</v>
      </c>
      <c r="J15" s="32">
        <v>34</v>
      </c>
      <c r="K15" s="32">
        <v>0</v>
      </c>
      <c r="L15" s="32" t="s">
        <v>27</v>
      </c>
      <c r="M15" s="1" t="e">
        <f>VLOOKUP(FindStrFirstNum($A15,[1]Sheet1!$I$3:$I$43,[1]Sheet1!$A$3:$A$43),[1]Sheet1!$A:$I,7,0)</f>
        <v>#N/A</v>
      </c>
      <c r="U15" s="1" t="e">
        <f>INT(MID($B15,MIN(FIND({0,1,2,3,4,5,6,7,8,9},$B15&amp;"0123456789")),LEN($B15)*2-LENB($B15)))</f>
        <v>#VALUE!</v>
      </c>
      <c r="V15" s="1" t="str">
        <f t="shared" si="0"/>
        <v>单笔充值 [00821cff]98[-] 元</v>
      </c>
    </row>
    <row r="16" spans="1:22">
      <c r="A16" s="32">
        <v>1015</v>
      </c>
      <c r="B16" s="32" t="s">
        <v>242</v>
      </c>
      <c r="C16" s="33">
        <v>7</v>
      </c>
      <c r="D16" s="33">
        <v>1</v>
      </c>
      <c r="E16" s="32">
        <v>2</v>
      </c>
      <c r="F16" s="32" t="s">
        <v>14</v>
      </c>
      <c r="G16" s="32">
        <v>4</v>
      </c>
      <c r="H16" s="32">
        <v>2</v>
      </c>
      <c r="I16" s="32">
        <v>1680</v>
      </c>
      <c r="J16" s="32">
        <v>34</v>
      </c>
      <c r="K16" s="32">
        <v>0</v>
      </c>
      <c r="L16" s="32" t="s">
        <v>28</v>
      </c>
      <c r="M16" s="1" t="e">
        <f>VLOOKUP(FindStrFirstNum($A16,[1]Sheet1!$I$3:$I$43,[1]Sheet1!$A$3:$A$43),[1]Sheet1!$A:$I,7,0)</f>
        <v>#N/A</v>
      </c>
      <c r="U16" s="1" t="e">
        <f>INT(MID($B16,MIN(FIND({0,1,2,3,4,5,6,7,8,9},$B16&amp;"0123456789")),LEN($B16)*2-LENB($B16)))</f>
        <v>#VALUE!</v>
      </c>
      <c r="V16" s="1" t="str">
        <f t="shared" si="0"/>
        <v>单笔充值 [00821cff]168[-] 元</v>
      </c>
    </row>
    <row r="17" spans="1:22">
      <c r="A17" s="32">
        <v>1016</v>
      </c>
      <c r="B17" s="32" t="s">
        <v>243</v>
      </c>
      <c r="C17" s="33">
        <v>8</v>
      </c>
      <c r="D17" s="33">
        <v>1</v>
      </c>
      <c r="E17" s="32">
        <v>2</v>
      </c>
      <c r="F17" s="32" t="s">
        <v>14</v>
      </c>
      <c r="G17" s="32">
        <v>4</v>
      </c>
      <c r="H17" s="32">
        <v>2</v>
      </c>
      <c r="I17" s="32">
        <v>2680</v>
      </c>
      <c r="J17" s="32">
        <v>34</v>
      </c>
      <c r="K17" s="32">
        <v>0</v>
      </c>
      <c r="L17" s="32" t="s">
        <v>29</v>
      </c>
      <c r="M17" s="1" t="e">
        <f>VLOOKUP(FindStrFirstNum($A17,[1]Sheet1!$I$3:$I$43,[1]Sheet1!$A$3:$A$43),[1]Sheet1!$A:$I,7,0)</f>
        <v>#N/A</v>
      </c>
      <c r="U17" s="1" t="e">
        <f>INT(MID($B17,MIN(FIND({0,1,2,3,4,5,6,7,8,9},$B17&amp;"0123456789")),LEN($B17)*2-LENB($B17)))</f>
        <v>#VALUE!</v>
      </c>
      <c r="V17" s="1" t="str">
        <f t="shared" si="0"/>
        <v>单笔充值 [00821cff]268[-] 元</v>
      </c>
    </row>
    <row r="18" spans="1:22">
      <c r="A18" s="32">
        <v>1017</v>
      </c>
      <c r="B18" s="32" t="s">
        <v>244</v>
      </c>
      <c r="C18" s="33">
        <v>9</v>
      </c>
      <c r="D18" s="33">
        <v>1</v>
      </c>
      <c r="E18" s="32">
        <v>2</v>
      </c>
      <c r="F18" s="32" t="s">
        <v>14</v>
      </c>
      <c r="G18" s="32">
        <v>4</v>
      </c>
      <c r="H18" s="32">
        <v>2</v>
      </c>
      <c r="I18" s="32">
        <v>6480</v>
      </c>
      <c r="J18" s="32">
        <v>34</v>
      </c>
      <c r="K18" s="32">
        <v>0</v>
      </c>
      <c r="L18" s="32" t="s">
        <v>30</v>
      </c>
      <c r="M18" s="1" t="e">
        <f>VLOOKUP(FindStrFirstNum($A18,[1]Sheet1!$I$3:$I$43,[1]Sheet1!$A$3:$A$43),[1]Sheet1!$A:$I,7,0)</f>
        <v>#N/A</v>
      </c>
      <c r="U18" s="1" t="e">
        <f>INT(MID($B18,MIN(FIND({0,1,2,3,4,5,6,7,8,9},$B18&amp;"0123456789")),LEN($B18)*2-LENB($B18)))</f>
        <v>#VALUE!</v>
      </c>
      <c r="V18" s="1" t="str">
        <f t="shared" si="0"/>
        <v>单笔充值 [00821cff]648[-] 元</v>
      </c>
    </row>
    <row r="19" spans="1:22">
      <c r="A19" s="43">
        <v>1021</v>
      </c>
      <c r="B19" s="43" t="s">
        <v>245</v>
      </c>
      <c r="C19" s="44">
        <v>1</v>
      </c>
      <c r="D19" s="44">
        <v>0</v>
      </c>
      <c r="E19" s="43">
        <v>2</v>
      </c>
      <c r="F19" s="43" t="s">
        <v>14</v>
      </c>
      <c r="G19" s="43">
        <v>6</v>
      </c>
      <c r="H19" s="43">
        <v>1</v>
      </c>
      <c r="I19" s="43">
        <v>1</v>
      </c>
      <c r="J19" s="43" t="s">
        <v>103</v>
      </c>
      <c r="K19" s="43">
        <v>0</v>
      </c>
      <c r="L19" s="43" t="s">
        <v>193</v>
      </c>
      <c r="M19" s="1">
        <f>VLOOKUP(FindStrFirstNum($A19,[1]Sheet1!$I$3:$I$43,[1]Sheet1!$A$3:$A$43),[1]Sheet1!$A:$I,7,0)</f>
        <v>1</v>
      </c>
      <c r="U19" s="1" t="e">
        <f>INT(MID($B19,MIN(FIND({0,1,2,3,4,5,6,7,8,9},$B19&amp;"0123456789")),LEN($B19)*2-LENB($B19)))</f>
        <v>#VALUE!</v>
      </c>
      <c r="V19" s="1" t="str">
        <f t="shared" si="0"/>
        <v>累计登陆 [00821cff]1[-] 天（第2天送红色伙伴）</v>
      </c>
    </row>
    <row r="20" spans="1:22">
      <c r="A20" s="43">
        <v>1022</v>
      </c>
      <c r="B20" s="43" t="s">
        <v>246</v>
      </c>
      <c r="C20" s="44">
        <v>1</v>
      </c>
      <c r="D20" s="44">
        <v>0</v>
      </c>
      <c r="E20" s="43">
        <v>2</v>
      </c>
      <c r="F20" s="43" t="s">
        <v>14</v>
      </c>
      <c r="G20" s="43">
        <v>6</v>
      </c>
      <c r="H20" s="43">
        <v>1</v>
      </c>
      <c r="I20" s="43">
        <v>2</v>
      </c>
      <c r="J20" s="43" t="s">
        <v>103</v>
      </c>
      <c r="K20" s="43">
        <v>1</v>
      </c>
      <c r="L20" s="43" t="s">
        <v>190</v>
      </c>
      <c r="M20" s="1">
        <f>VLOOKUP(FindStrFirstNum($A20,[1]Sheet1!$I$3:$I$43,[1]Sheet1!$A$3:$A$43),[1]Sheet1!$A:$I,7,0)</f>
        <v>1</v>
      </c>
      <c r="U20" s="1" t="e">
        <f>INT(MID($B20,MIN(FIND({0,1,2,3,4,5,6,7,8,9},$B20&amp;"0123456789")),LEN($B20)*2-LENB($B20)))</f>
        <v>#VALUE!</v>
      </c>
      <c r="V20" s="1" t="str">
        <f t="shared" si="0"/>
        <v>累计登陆 [00821cff]2[-] 天送红色伙伴（斗战胜佛，二郎神，孙悟空三选一）</v>
      </c>
    </row>
    <row r="21" spans="1:22">
      <c r="A21" s="43">
        <v>1023</v>
      </c>
      <c r="B21" s="43" t="s">
        <v>247</v>
      </c>
      <c r="C21" s="44">
        <v>1</v>
      </c>
      <c r="D21" s="44">
        <v>0</v>
      </c>
      <c r="E21" s="43">
        <v>2</v>
      </c>
      <c r="F21" s="43" t="s">
        <v>14</v>
      </c>
      <c r="G21" s="43">
        <v>6</v>
      </c>
      <c r="H21" s="43">
        <v>1</v>
      </c>
      <c r="I21" s="43">
        <v>3</v>
      </c>
      <c r="J21" s="43" t="s">
        <v>103</v>
      </c>
      <c r="K21" s="43">
        <v>0</v>
      </c>
      <c r="L21" s="43" t="s">
        <v>220</v>
      </c>
      <c r="M21" s="1">
        <f>VLOOKUP(FindStrFirstNum($A21,[1]Sheet1!$I$3:$I$43,[1]Sheet1!$A$3:$A$43),[1]Sheet1!$A:$I,7,0)</f>
        <v>1</v>
      </c>
      <c r="U21" s="1" t="e">
        <f>INT(MID($B21,MIN(FIND({0,1,2,3,4,5,6,7,8,9},$B21&amp;"0123456789")),LEN($B21)*2-LENB($B21)))</f>
        <v>#VALUE!</v>
      </c>
      <c r="V21" s="1" t="str">
        <f t="shared" si="0"/>
        <v>累计登陆 [00821cff]3[-] 天送红色神兵</v>
      </c>
    </row>
    <row r="22" spans="1:22">
      <c r="A22" s="43">
        <v>1024</v>
      </c>
      <c r="B22" s="43" t="s">
        <v>248</v>
      </c>
      <c r="C22" s="44">
        <v>1</v>
      </c>
      <c r="D22" s="44">
        <v>0</v>
      </c>
      <c r="E22" s="43">
        <v>2</v>
      </c>
      <c r="F22" s="43" t="s">
        <v>14</v>
      </c>
      <c r="G22" s="43">
        <v>6</v>
      </c>
      <c r="H22" s="43">
        <v>1</v>
      </c>
      <c r="I22" s="43">
        <v>4</v>
      </c>
      <c r="J22" s="43" t="s">
        <v>103</v>
      </c>
      <c r="K22" s="43">
        <v>0</v>
      </c>
      <c r="L22" s="43" t="s">
        <v>194</v>
      </c>
      <c r="M22" s="1">
        <f>VLOOKUP(FindStrFirstNum($A22,[1]Sheet1!$I$3:$I$43,[1]Sheet1!$A$3:$A$43),[1]Sheet1!$A:$I,7,0)</f>
        <v>1</v>
      </c>
      <c r="U22" s="1" t="e">
        <f>INT(MID($B22,MIN(FIND({0,1,2,3,4,5,6,7,8,9},$B22&amp;"0123456789")),LEN($B22)*2-LENB($B22)))</f>
        <v>#VALUE!</v>
      </c>
      <c r="V22" s="1" t="str">
        <f t="shared" si="0"/>
        <v>累计登陆 [00821cff]4[-] 天（第7天送红色伙伴）</v>
      </c>
    </row>
    <row r="23" spans="1:22">
      <c r="A23" s="43">
        <v>1025</v>
      </c>
      <c r="B23" s="43" t="s">
        <v>249</v>
      </c>
      <c r="C23" s="44">
        <v>1</v>
      </c>
      <c r="D23" s="44">
        <v>0</v>
      </c>
      <c r="E23" s="43">
        <v>2</v>
      </c>
      <c r="F23" s="43" t="s">
        <v>14</v>
      </c>
      <c r="G23" s="43">
        <v>6</v>
      </c>
      <c r="H23" s="43">
        <v>1</v>
      </c>
      <c r="I23" s="43">
        <v>5</v>
      </c>
      <c r="J23" s="43" t="s">
        <v>103</v>
      </c>
      <c r="K23" s="43">
        <v>0</v>
      </c>
      <c r="L23" s="43" t="s">
        <v>195</v>
      </c>
      <c r="M23" s="1">
        <f>VLOOKUP(FindStrFirstNum($A23,[1]Sheet1!$I$3:$I$43,[1]Sheet1!$A$3:$A$43),[1]Sheet1!$A:$I,7,0)</f>
        <v>1</v>
      </c>
      <c r="U23" s="1" t="e">
        <f>INT(MID($B23,MIN(FIND({0,1,2,3,4,5,6,7,8,9},$B23&amp;"0123456789")),LEN($B23)*2-LENB($B23)))</f>
        <v>#VALUE!</v>
      </c>
      <c r="V23" s="1" t="str">
        <f t="shared" si="0"/>
        <v>累计登陆 [00821cff]5[-] 天（第7天送红色伙伴）</v>
      </c>
    </row>
    <row r="24" spans="1:22">
      <c r="A24" s="43">
        <v>1026</v>
      </c>
      <c r="B24" s="43" t="s">
        <v>250</v>
      </c>
      <c r="C24" s="44">
        <v>1</v>
      </c>
      <c r="D24" s="44">
        <v>0</v>
      </c>
      <c r="E24" s="43">
        <v>2</v>
      </c>
      <c r="F24" s="43" t="s">
        <v>14</v>
      </c>
      <c r="G24" s="43">
        <v>6</v>
      </c>
      <c r="H24" s="43">
        <v>1</v>
      </c>
      <c r="I24" s="43">
        <v>6</v>
      </c>
      <c r="J24" s="43" t="s">
        <v>103</v>
      </c>
      <c r="K24" s="43">
        <v>0</v>
      </c>
      <c r="L24" s="43" t="s">
        <v>196</v>
      </c>
      <c r="M24" s="1">
        <f>VLOOKUP(FindStrFirstNum($A24,[1]Sheet1!$I$3:$I$43,[1]Sheet1!$A$3:$A$43),[1]Sheet1!$A:$I,7,0)</f>
        <v>1</v>
      </c>
      <c r="U24" s="1" t="e">
        <f>INT(MID($B24,MIN(FIND({0,1,2,3,4,5,6,7,8,9},$B24&amp;"0123456789")),LEN($B24)*2-LENB($B24)))</f>
        <v>#VALUE!</v>
      </c>
      <c r="V24" s="1" t="str">
        <f t="shared" si="0"/>
        <v>累计登陆 [00821cff]6[-] 天（第7天送红色伙伴）</v>
      </c>
    </row>
    <row r="25" spans="1:22">
      <c r="A25" s="43">
        <v>1027</v>
      </c>
      <c r="B25" s="43" t="s">
        <v>251</v>
      </c>
      <c r="C25" s="44">
        <v>1</v>
      </c>
      <c r="D25" s="44">
        <v>0</v>
      </c>
      <c r="E25" s="43">
        <v>2</v>
      </c>
      <c r="F25" s="43" t="s">
        <v>14</v>
      </c>
      <c r="G25" s="43">
        <v>6</v>
      </c>
      <c r="H25" s="43">
        <v>1</v>
      </c>
      <c r="I25" s="43">
        <v>7</v>
      </c>
      <c r="J25" s="43" t="s">
        <v>103</v>
      </c>
      <c r="K25" s="43">
        <v>1</v>
      </c>
      <c r="L25" s="43" t="s">
        <v>190</v>
      </c>
      <c r="M25" s="1">
        <f>VLOOKUP(FindStrFirstNum($A25,[1]Sheet1!$I$3:$I$43,[1]Sheet1!$A$3:$A$43),[1]Sheet1!$A:$I,7,0)</f>
        <v>1</v>
      </c>
      <c r="U25" s="1" t="e">
        <f>INT(MID($B25,MIN(FIND({0,1,2,3,4,5,6,7,8,9},$B25&amp;"0123456789")),LEN($B25)*2-LENB($B25)))</f>
        <v>#VALUE!</v>
      </c>
      <c r="V25" s="1" t="str">
        <f t="shared" si="0"/>
        <v>累计登陆 [00821cff]7[-] 天送红色伙伴（斗战胜佛，二郎神，孙悟空三选一）</v>
      </c>
    </row>
    <row r="26" spans="1:22">
      <c r="A26" s="8">
        <v>1028</v>
      </c>
      <c r="B26" s="8" t="s">
        <v>252</v>
      </c>
      <c r="C26" s="9">
        <v>1</v>
      </c>
      <c r="D26" s="9">
        <v>0</v>
      </c>
      <c r="E26" s="8">
        <v>2</v>
      </c>
      <c r="F26" s="8" t="s">
        <v>14</v>
      </c>
      <c r="G26" s="8">
        <v>6</v>
      </c>
      <c r="H26" s="8">
        <v>1</v>
      </c>
      <c r="I26" s="8">
        <v>1</v>
      </c>
      <c r="J26" s="8" t="s">
        <v>103</v>
      </c>
      <c r="K26" s="8">
        <v>0</v>
      </c>
      <c r="L26" s="8" t="s">
        <v>197</v>
      </c>
      <c r="M26" s="1">
        <f>VLOOKUP(FindStrFirstNum($A26,[1]Sheet1!$I$3:$I$43,[1]Sheet1!$A$3:$A$43),[1]Sheet1!$A:$I,7,0)</f>
        <v>1</v>
      </c>
      <c r="U26" s="1" t="e">
        <f>INT(MID($B26,MIN(FIND({0,1,2,3,4,5,6,7,8,9},$B26&amp;"0123456789")),LEN($B26)*2-LENB($B26)))</f>
        <v>#VALUE!</v>
      </c>
      <c r="V26" s="1" t="str">
        <f t="shared" si="0"/>
        <v>累计登陆 [00821cff]1[-] 天（第7天送红色伙伴）</v>
      </c>
    </row>
    <row r="27" spans="1:22">
      <c r="A27" s="8">
        <v>1029</v>
      </c>
      <c r="B27" s="8" t="s">
        <v>253</v>
      </c>
      <c r="C27" s="9">
        <v>1</v>
      </c>
      <c r="D27" s="9">
        <v>0</v>
      </c>
      <c r="E27" s="8">
        <v>2</v>
      </c>
      <c r="F27" s="8" t="s">
        <v>14</v>
      </c>
      <c r="G27" s="8">
        <v>6</v>
      </c>
      <c r="H27" s="8">
        <v>1</v>
      </c>
      <c r="I27" s="8">
        <v>2</v>
      </c>
      <c r="J27" s="8" t="s">
        <v>103</v>
      </c>
      <c r="K27" s="8">
        <v>0</v>
      </c>
      <c r="L27" s="8" t="s">
        <v>197</v>
      </c>
      <c r="M27" s="1">
        <f>VLOOKUP(FindStrFirstNum($A27,[1]Sheet1!$I$3:$I$43,[1]Sheet1!$A$3:$A$43),[1]Sheet1!$A:$I,7,0)</f>
        <v>1</v>
      </c>
      <c r="U27" s="1" t="e">
        <f>INT(MID($B27,MIN(FIND({0,1,2,3,4,5,6,7,8,9},$B27&amp;"0123456789")),LEN($B27)*2-LENB($B27)))</f>
        <v>#VALUE!</v>
      </c>
      <c r="V27" s="1" t="str">
        <f t="shared" si="0"/>
        <v>累计登陆 [00821cff]2[-] 天（第7天送红色伙伴）</v>
      </c>
    </row>
    <row r="28" spans="1:22">
      <c r="A28" s="8">
        <v>1030</v>
      </c>
      <c r="B28" s="8" t="s">
        <v>254</v>
      </c>
      <c r="C28" s="9">
        <v>1</v>
      </c>
      <c r="D28" s="9">
        <v>0</v>
      </c>
      <c r="E28" s="8">
        <v>2</v>
      </c>
      <c r="F28" s="8" t="s">
        <v>14</v>
      </c>
      <c r="G28" s="8">
        <v>6</v>
      </c>
      <c r="H28" s="8">
        <v>1</v>
      </c>
      <c r="I28" s="8">
        <v>3</v>
      </c>
      <c r="J28" s="8" t="s">
        <v>103</v>
      </c>
      <c r="K28" s="8">
        <v>0</v>
      </c>
      <c r="L28" s="8" t="s">
        <v>198</v>
      </c>
      <c r="M28" s="1">
        <f>VLOOKUP(FindStrFirstNum($A28,[1]Sheet1!$I$3:$I$43,[1]Sheet1!$A$3:$A$43),[1]Sheet1!$A:$I,7,0)</f>
        <v>1</v>
      </c>
      <c r="U28" s="1" t="e">
        <f>INT(MID($B28,MIN(FIND({0,1,2,3,4,5,6,7,8,9},$B28&amp;"0123456789")),LEN($B28)*2-LENB($B28)))</f>
        <v>#VALUE!</v>
      </c>
      <c r="V28" s="1" t="str">
        <f t="shared" si="0"/>
        <v>累计登陆 [00821cff]3[-] 天（第7天送红色伙伴）</v>
      </c>
    </row>
    <row r="29" spans="1:22">
      <c r="A29" s="8">
        <v>1031</v>
      </c>
      <c r="B29" s="8" t="s">
        <v>248</v>
      </c>
      <c r="C29" s="9">
        <v>1</v>
      </c>
      <c r="D29" s="9">
        <v>0</v>
      </c>
      <c r="E29" s="8">
        <v>2</v>
      </c>
      <c r="F29" s="8" t="s">
        <v>14</v>
      </c>
      <c r="G29" s="8">
        <v>6</v>
      </c>
      <c r="H29" s="8">
        <v>1</v>
      </c>
      <c r="I29" s="8">
        <v>4</v>
      </c>
      <c r="J29" s="8" t="s">
        <v>103</v>
      </c>
      <c r="K29" s="8">
        <v>0</v>
      </c>
      <c r="L29" s="8" t="s">
        <v>199</v>
      </c>
      <c r="M29" s="1">
        <f>VLOOKUP(FindStrFirstNum($A29,[1]Sheet1!$I$3:$I$43,[1]Sheet1!$A$3:$A$43),[1]Sheet1!$A:$I,7,0)</f>
        <v>1</v>
      </c>
      <c r="U29" s="1" t="e">
        <f>INT(MID($B29,MIN(FIND({0,1,2,3,4,5,6,7,8,9},$B29&amp;"0123456789")),LEN($B29)*2-LENB($B29)))</f>
        <v>#VALUE!</v>
      </c>
      <c r="V29" s="1" t="str">
        <f t="shared" si="0"/>
        <v>累计登陆 [00821cff]4[-] 天（第7天送红色伙伴）</v>
      </c>
    </row>
    <row r="30" spans="1:22">
      <c r="A30" s="8">
        <v>1032</v>
      </c>
      <c r="B30" s="8" t="s">
        <v>249</v>
      </c>
      <c r="C30" s="9">
        <v>1</v>
      </c>
      <c r="D30" s="9">
        <v>0</v>
      </c>
      <c r="E30" s="8">
        <v>2</v>
      </c>
      <c r="F30" s="8" t="s">
        <v>14</v>
      </c>
      <c r="G30" s="8">
        <v>6</v>
      </c>
      <c r="H30" s="8">
        <v>1</v>
      </c>
      <c r="I30" s="8">
        <v>5</v>
      </c>
      <c r="J30" s="8" t="s">
        <v>103</v>
      </c>
      <c r="K30" s="8">
        <v>0</v>
      </c>
      <c r="L30" s="8" t="s">
        <v>200</v>
      </c>
      <c r="M30" s="1">
        <f>VLOOKUP(FindStrFirstNum($A30,[1]Sheet1!$I$3:$I$43,[1]Sheet1!$A$3:$A$43),[1]Sheet1!$A:$I,7,0)</f>
        <v>1</v>
      </c>
      <c r="U30" s="1" t="e">
        <f>INT(MID($B30,MIN(FIND({0,1,2,3,4,5,6,7,8,9},$B30&amp;"0123456789")),LEN($B30)*2-LENB($B30)))</f>
        <v>#VALUE!</v>
      </c>
      <c r="V30" s="1" t="str">
        <f t="shared" si="0"/>
        <v>累计登陆 [00821cff]5[-] 天（第7天送红色伙伴）</v>
      </c>
    </row>
    <row r="31" spans="1:22">
      <c r="A31" s="8">
        <v>1033</v>
      </c>
      <c r="B31" s="8" t="s">
        <v>250</v>
      </c>
      <c r="C31" s="9">
        <v>1</v>
      </c>
      <c r="D31" s="9">
        <v>0</v>
      </c>
      <c r="E31" s="8">
        <v>2</v>
      </c>
      <c r="F31" s="8" t="s">
        <v>14</v>
      </c>
      <c r="G31" s="8">
        <v>6</v>
      </c>
      <c r="H31" s="8">
        <v>1</v>
      </c>
      <c r="I31" s="8">
        <v>6</v>
      </c>
      <c r="J31" s="8" t="s">
        <v>103</v>
      </c>
      <c r="K31" s="8">
        <v>0</v>
      </c>
      <c r="L31" s="8" t="s">
        <v>201</v>
      </c>
      <c r="M31" s="1">
        <f>VLOOKUP(FindStrFirstNum($A31,[1]Sheet1!$I$3:$I$43,[1]Sheet1!$A$3:$A$43),[1]Sheet1!$A:$I,7,0)</f>
        <v>1</v>
      </c>
      <c r="U31" s="1" t="e">
        <f>INT(MID($B31,MIN(FIND({0,1,2,3,4,5,6,7,8,9},$B31&amp;"0123456789")),LEN($B31)*2-LENB($B31)))</f>
        <v>#VALUE!</v>
      </c>
      <c r="V31" s="1" t="str">
        <f t="shared" si="0"/>
        <v>累计登陆 [00821cff]6[-] 天（第7天送红色伙伴）</v>
      </c>
    </row>
    <row r="32" spans="1:22">
      <c r="A32" s="8">
        <v>1034</v>
      </c>
      <c r="B32" s="8" t="s">
        <v>255</v>
      </c>
      <c r="C32" s="9">
        <v>1</v>
      </c>
      <c r="D32" s="9">
        <v>0</v>
      </c>
      <c r="E32" s="8">
        <v>2</v>
      </c>
      <c r="F32" s="8" t="s">
        <v>14</v>
      </c>
      <c r="G32" s="8">
        <v>6</v>
      </c>
      <c r="H32" s="8">
        <v>1</v>
      </c>
      <c r="I32" s="8">
        <v>7</v>
      </c>
      <c r="J32" s="8" t="s">
        <v>103</v>
      </c>
      <c r="K32" s="8">
        <v>1</v>
      </c>
      <c r="L32" s="8" t="s">
        <v>202</v>
      </c>
      <c r="M32" s="1">
        <f>VLOOKUP(FindStrFirstNum($A32,[1]Sheet1!$I$3:$I$43,[1]Sheet1!$A$3:$A$43),[1]Sheet1!$A:$I,7,0)</f>
        <v>1</v>
      </c>
      <c r="U32" s="1" t="e">
        <f>INT(MID($B32,MIN(FIND({0,1,2,3,4,5,6,7,8,9},$B32&amp;"0123456789")),LEN($B32)*2-LENB($B32)))</f>
        <v>#VALUE!</v>
      </c>
      <c r="V32" s="1" t="str">
        <f t="shared" si="0"/>
        <v>累计登陆 [00821cff]7[-] 天送红色伙伴（紫霞仙子，王母娘娘，沙和尚三选一）</v>
      </c>
    </row>
    <row r="33" spans="1:22">
      <c r="A33" s="10">
        <v>2011</v>
      </c>
      <c r="B33" s="10" t="s">
        <v>239</v>
      </c>
      <c r="C33" s="11">
        <v>2</v>
      </c>
      <c r="D33" s="11">
        <v>1</v>
      </c>
      <c r="E33" s="10">
        <v>2</v>
      </c>
      <c r="F33" s="10" t="s">
        <v>14</v>
      </c>
      <c r="G33" s="10">
        <v>4</v>
      </c>
      <c r="H33" s="10">
        <v>2</v>
      </c>
      <c r="I33" s="10">
        <v>60</v>
      </c>
      <c r="J33" s="10">
        <v>34</v>
      </c>
      <c r="K33" s="10">
        <v>0</v>
      </c>
      <c r="L33" s="10" t="s">
        <v>41</v>
      </c>
      <c r="M33" s="1">
        <f>VLOOKUP(FindStrFirstNum($A33,[1]Sheet1!$I$3:$I$43,[1]Sheet1!$A$3:$A$43),[1]Sheet1!$A:$I,7,0)</f>
        <v>3</v>
      </c>
      <c r="U33" s="1" t="e">
        <f>INT(MID($B33,MIN(FIND({0,1,2,3,4,5,6,7,8,9},$B33&amp;"0123456789")),LEN($B33)*2-LENB($B33)))</f>
        <v>#VALUE!</v>
      </c>
      <c r="V33" s="1" t="str">
        <f t="shared" si="0"/>
        <v>单笔充值 [00821cff]6[-] 元</v>
      </c>
    </row>
    <row r="34" spans="1:22">
      <c r="A34" s="10">
        <v>2012</v>
      </c>
      <c r="B34" s="10" t="s">
        <v>240</v>
      </c>
      <c r="C34" s="11">
        <v>2</v>
      </c>
      <c r="D34" s="11">
        <v>1</v>
      </c>
      <c r="E34" s="10">
        <v>2</v>
      </c>
      <c r="F34" s="10" t="s">
        <v>14</v>
      </c>
      <c r="G34" s="10">
        <v>4</v>
      </c>
      <c r="H34" s="10">
        <v>2</v>
      </c>
      <c r="I34" s="10">
        <v>300</v>
      </c>
      <c r="J34" s="10">
        <v>34</v>
      </c>
      <c r="K34" s="10">
        <v>0</v>
      </c>
      <c r="L34" s="10" t="s">
        <v>42</v>
      </c>
      <c r="M34" s="1">
        <f>VLOOKUP(FindStrFirstNum($A34,[1]Sheet1!$I$3:$I$43,[1]Sheet1!$A$3:$A$43),[1]Sheet1!$A:$I,7,0)</f>
        <v>3</v>
      </c>
      <c r="U34" s="1" t="e">
        <f>INT(MID($B34,MIN(FIND({0,1,2,3,4,5,6,7,8,9},$B34&amp;"0123456789")),LEN($B34)*2-LENB($B34)))</f>
        <v>#VALUE!</v>
      </c>
      <c r="V34" s="1" t="str">
        <f t="shared" si="0"/>
        <v>单笔充值 [00821cff]30[-] 元</v>
      </c>
    </row>
    <row r="35" spans="1:22">
      <c r="A35" s="10">
        <v>2013</v>
      </c>
      <c r="B35" s="10" t="s">
        <v>256</v>
      </c>
      <c r="C35" s="11">
        <v>2</v>
      </c>
      <c r="D35" s="11">
        <v>1</v>
      </c>
      <c r="E35" s="10">
        <v>2</v>
      </c>
      <c r="F35" s="10" t="s">
        <v>14</v>
      </c>
      <c r="G35" s="10">
        <v>4</v>
      </c>
      <c r="H35" s="10">
        <v>2</v>
      </c>
      <c r="I35" s="10">
        <v>680</v>
      </c>
      <c r="J35" s="10">
        <v>34</v>
      </c>
      <c r="K35" s="10">
        <v>0</v>
      </c>
      <c r="L35" s="10" t="s">
        <v>43</v>
      </c>
      <c r="M35" s="1">
        <f>VLOOKUP(FindStrFirstNum($A35,[1]Sheet1!$I$3:$I$43,[1]Sheet1!$A$3:$A$43),[1]Sheet1!$A:$I,7,0)</f>
        <v>3</v>
      </c>
      <c r="U35" s="1" t="e">
        <f>INT(MID($B35,MIN(FIND({0,1,2,3,4,5,6,7,8,9},$B35&amp;"0123456789")),LEN($B35)*2-LENB($B35)))</f>
        <v>#VALUE!</v>
      </c>
      <c r="V35" s="1" t="str">
        <f t="shared" si="0"/>
        <v>单笔充值 [00821cff]68[-] 元</v>
      </c>
    </row>
    <row r="36" spans="1:22">
      <c r="A36" s="14">
        <v>2021</v>
      </c>
      <c r="B36" s="14" t="s">
        <v>239</v>
      </c>
      <c r="C36" s="15">
        <v>2</v>
      </c>
      <c r="D36" s="15">
        <v>1</v>
      </c>
      <c r="E36" s="14">
        <v>2</v>
      </c>
      <c r="F36" s="14" t="s">
        <v>14</v>
      </c>
      <c r="G36" s="14">
        <v>4</v>
      </c>
      <c r="H36" s="14">
        <v>2</v>
      </c>
      <c r="I36" s="14">
        <v>60</v>
      </c>
      <c r="J36" s="14">
        <v>34</v>
      </c>
      <c r="K36" s="14">
        <v>0</v>
      </c>
      <c r="L36" s="14" t="s">
        <v>44</v>
      </c>
      <c r="M36" s="1">
        <f>VLOOKUP(FindStrFirstNum($A36,[1]Sheet1!$I$3:$I$43,[1]Sheet1!$A$3:$A$43),[1]Sheet1!$A:$I,7,0)</f>
        <v>3</v>
      </c>
      <c r="U36" s="1" t="e">
        <f>INT(MID($B36,MIN(FIND({0,1,2,3,4,5,6,7,8,9},$B36&amp;"0123456789")),LEN($B36)*2-LENB($B36)))</f>
        <v>#VALUE!</v>
      </c>
      <c r="V36" s="1" t="str">
        <f t="shared" ref="V36:V67" si="1">IF(ISERROR($U36),$B36,LEFT($B36,FIND($U36,$B36)-1)&amp;"[FF7400]"&amp;U36&amp;"[-]"&amp;IFERROR(RIGHT($B36,LEN($B36)-FIND($U36,$B36)-LEN($U36)+1),""))</f>
        <v>单笔充值 [00821cff]6[-] 元</v>
      </c>
    </row>
    <row r="37" spans="1:22">
      <c r="A37" s="14">
        <v>2022</v>
      </c>
      <c r="B37" s="14" t="s">
        <v>240</v>
      </c>
      <c r="C37" s="15">
        <v>2</v>
      </c>
      <c r="D37" s="15">
        <v>1</v>
      </c>
      <c r="E37" s="14">
        <v>2</v>
      </c>
      <c r="F37" s="14" t="s">
        <v>14</v>
      </c>
      <c r="G37" s="14">
        <v>4</v>
      </c>
      <c r="H37" s="14">
        <v>2</v>
      </c>
      <c r="I37" s="14">
        <v>300</v>
      </c>
      <c r="J37" s="14">
        <v>34</v>
      </c>
      <c r="K37" s="14">
        <v>0</v>
      </c>
      <c r="L37" s="14" t="s">
        <v>45</v>
      </c>
      <c r="M37" s="1">
        <f>VLOOKUP(FindStrFirstNum($A37,[1]Sheet1!$I$3:$I$43,[1]Sheet1!$A$3:$A$43),[1]Sheet1!$A:$I,7,0)</f>
        <v>3</v>
      </c>
      <c r="U37" s="1" t="e">
        <f>INT(MID($B37,MIN(FIND({0,1,2,3,4,5,6,7,8,9},$B37&amp;"0123456789")),LEN($B37)*2-LENB($B37)))</f>
        <v>#VALUE!</v>
      </c>
      <c r="V37" s="1" t="str">
        <f t="shared" si="1"/>
        <v>单笔充值 [00821cff]30[-] 元</v>
      </c>
    </row>
    <row r="38" spans="1:22">
      <c r="A38" s="14">
        <v>2023</v>
      </c>
      <c r="B38" s="14" t="s">
        <v>256</v>
      </c>
      <c r="C38" s="15">
        <v>2</v>
      </c>
      <c r="D38" s="15">
        <v>1</v>
      </c>
      <c r="E38" s="14">
        <v>2</v>
      </c>
      <c r="F38" s="14" t="s">
        <v>14</v>
      </c>
      <c r="G38" s="14">
        <v>4</v>
      </c>
      <c r="H38" s="14">
        <v>2</v>
      </c>
      <c r="I38" s="14">
        <v>680</v>
      </c>
      <c r="J38" s="14">
        <v>34</v>
      </c>
      <c r="K38" s="14">
        <v>0</v>
      </c>
      <c r="L38" s="14" t="s">
        <v>46</v>
      </c>
      <c r="M38" s="1">
        <f>VLOOKUP(FindStrFirstNum($A38,[1]Sheet1!$I$3:$I$43,[1]Sheet1!$A$3:$A$43),[1]Sheet1!$A:$I,7,0)</f>
        <v>3</v>
      </c>
      <c r="U38" s="1" t="e">
        <f>INT(MID($B38,MIN(FIND({0,1,2,3,4,5,6,7,8,9},$B38&amp;"0123456789")),LEN($B38)*2-LENB($B38)))</f>
        <v>#VALUE!</v>
      </c>
      <c r="V38" s="1" t="str">
        <f t="shared" si="1"/>
        <v>单笔充值 [00821cff]68[-] 元</v>
      </c>
    </row>
    <row r="39" spans="1:22">
      <c r="A39" s="10">
        <v>2031</v>
      </c>
      <c r="B39" s="10" t="s">
        <v>239</v>
      </c>
      <c r="C39" s="11">
        <v>2</v>
      </c>
      <c r="D39" s="11">
        <v>1</v>
      </c>
      <c r="E39" s="10">
        <v>2</v>
      </c>
      <c r="F39" s="10" t="s">
        <v>14</v>
      </c>
      <c r="G39" s="10">
        <v>4</v>
      </c>
      <c r="H39" s="10">
        <v>2</v>
      </c>
      <c r="I39" s="10">
        <v>60</v>
      </c>
      <c r="J39" s="10">
        <v>34</v>
      </c>
      <c r="K39" s="10">
        <v>0</v>
      </c>
      <c r="L39" s="10" t="s">
        <v>47</v>
      </c>
      <c r="M39" s="1">
        <f>VLOOKUP(FindStrFirstNum($A39,[1]Sheet1!$I$3:$I$43,[1]Sheet1!$A$3:$A$43),[1]Sheet1!$A:$I,7,0)</f>
        <v>3</v>
      </c>
      <c r="U39" s="1" t="e">
        <f>INT(MID($B39,MIN(FIND({0,1,2,3,4,5,6,7,8,9},$B39&amp;"0123456789")),LEN($B39)*2-LENB($B39)))</f>
        <v>#VALUE!</v>
      </c>
      <c r="V39" s="1" t="str">
        <f t="shared" si="1"/>
        <v>单笔充值 [00821cff]6[-] 元</v>
      </c>
    </row>
    <row r="40" spans="1:22">
      <c r="A40" s="10">
        <v>2032</v>
      </c>
      <c r="B40" s="10" t="s">
        <v>240</v>
      </c>
      <c r="C40" s="11">
        <v>2</v>
      </c>
      <c r="D40" s="11">
        <v>1</v>
      </c>
      <c r="E40" s="10">
        <v>2</v>
      </c>
      <c r="F40" s="10" t="s">
        <v>14</v>
      </c>
      <c r="G40" s="10">
        <v>4</v>
      </c>
      <c r="H40" s="10">
        <v>2</v>
      </c>
      <c r="I40" s="10">
        <v>300</v>
      </c>
      <c r="J40" s="10">
        <v>34</v>
      </c>
      <c r="K40" s="10">
        <v>0</v>
      </c>
      <c r="L40" s="10" t="s">
        <v>48</v>
      </c>
      <c r="M40" s="1">
        <f>VLOOKUP(FindStrFirstNum($A40,[1]Sheet1!$I$3:$I$43,[1]Sheet1!$A$3:$A$43),[1]Sheet1!$A:$I,7,0)</f>
        <v>3</v>
      </c>
      <c r="U40" s="1" t="e">
        <f>INT(MID($B40,MIN(FIND({0,1,2,3,4,5,6,7,8,9},$B40&amp;"0123456789")),LEN($B40)*2-LENB($B40)))</f>
        <v>#VALUE!</v>
      </c>
      <c r="V40" s="1" t="str">
        <f t="shared" si="1"/>
        <v>单笔充值 [00821cff]30[-] 元</v>
      </c>
    </row>
    <row r="41" spans="1:22">
      <c r="A41" s="10">
        <v>2033</v>
      </c>
      <c r="B41" s="10" t="s">
        <v>256</v>
      </c>
      <c r="C41" s="11">
        <v>2</v>
      </c>
      <c r="D41" s="11">
        <v>1</v>
      </c>
      <c r="E41" s="10">
        <v>2</v>
      </c>
      <c r="F41" s="10" t="s">
        <v>14</v>
      </c>
      <c r="G41" s="10">
        <v>4</v>
      </c>
      <c r="H41" s="10">
        <v>2</v>
      </c>
      <c r="I41" s="10">
        <v>680</v>
      </c>
      <c r="J41" s="10">
        <v>34</v>
      </c>
      <c r="K41" s="10">
        <v>0</v>
      </c>
      <c r="L41" s="10" t="s">
        <v>49</v>
      </c>
      <c r="M41" s="1">
        <f>VLOOKUP(FindStrFirstNum($A41,[1]Sheet1!$I$3:$I$43,[1]Sheet1!$A$3:$A$43),[1]Sheet1!$A:$I,7,0)</f>
        <v>3</v>
      </c>
      <c r="U41" s="1" t="e">
        <f>INT(MID($B41,MIN(FIND({0,1,2,3,4,5,6,7,8,9},$B41&amp;"0123456789")),LEN($B41)*2-LENB($B41)))</f>
        <v>#VALUE!</v>
      </c>
      <c r="V41" s="1" t="str">
        <f t="shared" si="1"/>
        <v>单笔充值 [00821cff]68[-] 元</v>
      </c>
    </row>
    <row r="42" spans="1:22">
      <c r="A42" s="14">
        <v>2041</v>
      </c>
      <c r="B42" s="14" t="s">
        <v>239</v>
      </c>
      <c r="C42" s="15">
        <v>2</v>
      </c>
      <c r="D42" s="15">
        <v>1</v>
      </c>
      <c r="E42" s="14">
        <v>2</v>
      </c>
      <c r="F42" s="14" t="s">
        <v>14</v>
      </c>
      <c r="G42" s="14">
        <v>4</v>
      </c>
      <c r="H42" s="14">
        <v>2</v>
      </c>
      <c r="I42" s="14">
        <v>60</v>
      </c>
      <c r="J42" s="14">
        <v>34</v>
      </c>
      <c r="K42" s="14">
        <v>0</v>
      </c>
      <c r="L42" s="14" t="s">
        <v>50</v>
      </c>
      <c r="M42" s="1">
        <f>VLOOKUP(FindStrFirstNum($A42,[1]Sheet1!$I$3:$I$43,[1]Sheet1!$A$3:$A$43),[1]Sheet1!$A:$I,7,0)</f>
        <v>3</v>
      </c>
      <c r="U42" s="1" t="e">
        <f>INT(MID($B42,MIN(FIND({0,1,2,3,4,5,6,7,8,9},$B42&amp;"0123456789")),LEN($B42)*2-LENB($B42)))</f>
        <v>#VALUE!</v>
      </c>
      <c r="V42" s="1" t="str">
        <f t="shared" si="1"/>
        <v>单笔充值 [00821cff]6[-] 元</v>
      </c>
    </row>
    <row r="43" spans="1:22">
      <c r="A43" s="14">
        <v>2042</v>
      </c>
      <c r="B43" s="14" t="s">
        <v>240</v>
      </c>
      <c r="C43" s="15">
        <v>2</v>
      </c>
      <c r="D43" s="15">
        <v>1</v>
      </c>
      <c r="E43" s="14">
        <v>2</v>
      </c>
      <c r="F43" s="14" t="s">
        <v>14</v>
      </c>
      <c r="G43" s="14">
        <v>4</v>
      </c>
      <c r="H43" s="14">
        <v>2</v>
      </c>
      <c r="I43" s="14">
        <v>300</v>
      </c>
      <c r="J43" s="14">
        <v>34</v>
      </c>
      <c r="K43" s="14">
        <v>0</v>
      </c>
      <c r="L43" s="14" t="s">
        <v>51</v>
      </c>
      <c r="M43" s="1">
        <f>VLOOKUP(FindStrFirstNum($A43,[1]Sheet1!$I$3:$I$43,[1]Sheet1!$A$3:$A$43),[1]Sheet1!$A:$I,7,0)</f>
        <v>3</v>
      </c>
      <c r="U43" s="1" t="e">
        <f>INT(MID($B43,MIN(FIND({0,1,2,3,4,5,6,7,8,9},$B43&amp;"0123456789")),LEN($B43)*2-LENB($B43)))</f>
        <v>#VALUE!</v>
      </c>
      <c r="V43" s="1" t="str">
        <f t="shared" si="1"/>
        <v>单笔充值 [00821cff]30[-] 元</v>
      </c>
    </row>
    <row r="44" spans="1:22">
      <c r="A44" s="14">
        <v>2043</v>
      </c>
      <c r="B44" s="14" t="s">
        <v>256</v>
      </c>
      <c r="C44" s="15">
        <v>2</v>
      </c>
      <c r="D44" s="15">
        <v>1</v>
      </c>
      <c r="E44" s="14">
        <v>2</v>
      </c>
      <c r="F44" s="14" t="s">
        <v>14</v>
      </c>
      <c r="G44" s="14">
        <v>4</v>
      </c>
      <c r="H44" s="14">
        <v>2</v>
      </c>
      <c r="I44" s="14">
        <v>680</v>
      </c>
      <c r="J44" s="14">
        <v>34</v>
      </c>
      <c r="K44" s="14">
        <v>0</v>
      </c>
      <c r="L44" s="14" t="s">
        <v>52</v>
      </c>
      <c r="M44" s="1">
        <f>VLOOKUP(FindStrFirstNum($A44,[1]Sheet1!$I$3:$I$43,[1]Sheet1!$A$3:$A$43),[1]Sheet1!$A:$I,7,0)</f>
        <v>3</v>
      </c>
      <c r="U44" s="1" t="e">
        <f>INT(MID($B44,MIN(FIND({0,1,2,3,4,5,6,7,8,9},$B44&amp;"0123456789")),LEN($B44)*2-LENB($B44)))</f>
        <v>#VALUE!</v>
      </c>
      <c r="V44" s="1" t="str">
        <f t="shared" si="1"/>
        <v>单笔充值 [00821cff]68[-] 元</v>
      </c>
    </row>
    <row r="45" spans="1:22">
      <c r="A45" s="10">
        <v>2051</v>
      </c>
      <c r="B45" s="10" t="s">
        <v>239</v>
      </c>
      <c r="C45" s="11">
        <v>2</v>
      </c>
      <c r="D45" s="11">
        <v>1</v>
      </c>
      <c r="E45" s="10">
        <v>2</v>
      </c>
      <c r="F45" s="10" t="s">
        <v>14</v>
      </c>
      <c r="G45" s="10">
        <v>4</v>
      </c>
      <c r="H45" s="10">
        <v>2</v>
      </c>
      <c r="I45" s="10">
        <v>60</v>
      </c>
      <c r="J45" s="10">
        <v>34</v>
      </c>
      <c r="K45" s="10">
        <v>0</v>
      </c>
      <c r="L45" s="10" t="s">
        <v>41</v>
      </c>
      <c r="M45" s="1">
        <f>VLOOKUP(FindStrFirstNum($A45,[1]Sheet1!$I$3:$I$43,[1]Sheet1!$A$3:$A$43),[1]Sheet1!$A:$I,7,0)</f>
        <v>3</v>
      </c>
      <c r="U45" s="1" t="e">
        <f>INT(MID($B45,MIN(FIND({0,1,2,3,4,5,6,7,8,9},$B45&amp;"0123456789")),LEN($B45)*2-LENB($B45)))</f>
        <v>#VALUE!</v>
      </c>
      <c r="V45" s="1" t="str">
        <f t="shared" si="1"/>
        <v>单笔充值 [00821cff]6[-] 元</v>
      </c>
    </row>
    <row r="46" spans="1:22">
      <c r="A46" s="10">
        <v>2052</v>
      </c>
      <c r="B46" s="10" t="s">
        <v>240</v>
      </c>
      <c r="C46" s="11">
        <v>2</v>
      </c>
      <c r="D46" s="11">
        <v>1</v>
      </c>
      <c r="E46" s="10">
        <v>2</v>
      </c>
      <c r="F46" s="10" t="s">
        <v>14</v>
      </c>
      <c r="G46" s="10">
        <v>4</v>
      </c>
      <c r="H46" s="10">
        <v>2</v>
      </c>
      <c r="I46" s="10">
        <v>300</v>
      </c>
      <c r="J46" s="10">
        <v>34</v>
      </c>
      <c r="K46" s="10">
        <v>0</v>
      </c>
      <c r="L46" s="10" t="s">
        <v>53</v>
      </c>
      <c r="M46" s="1">
        <f>VLOOKUP(FindStrFirstNum($A46,[1]Sheet1!$I$3:$I$43,[1]Sheet1!$A$3:$A$43),[1]Sheet1!$A:$I,7,0)</f>
        <v>3</v>
      </c>
      <c r="U46" s="1" t="e">
        <f>INT(MID($B46,MIN(FIND({0,1,2,3,4,5,6,7,8,9},$B46&amp;"0123456789")),LEN($B46)*2-LENB($B46)))</f>
        <v>#VALUE!</v>
      </c>
      <c r="V46" s="1" t="str">
        <f t="shared" si="1"/>
        <v>单笔充值 [00821cff]30[-] 元</v>
      </c>
    </row>
    <row r="47" spans="1:22">
      <c r="A47" s="10">
        <v>2053</v>
      </c>
      <c r="B47" s="10" t="s">
        <v>256</v>
      </c>
      <c r="C47" s="11">
        <v>2</v>
      </c>
      <c r="D47" s="11">
        <v>1</v>
      </c>
      <c r="E47" s="10">
        <v>2</v>
      </c>
      <c r="F47" s="10" t="s">
        <v>14</v>
      </c>
      <c r="G47" s="10">
        <v>4</v>
      </c>
      <c r="H47" s="10">
        <v>2</v>
      </c>
      <c r="I47" s="10">
        <v>680</v>
      </c>
      <c r="J47" s="10">
        <v>34</v>
      </c>
      <c r="K47" s="10">
        <v>0</v>
      </c>
      <c r="L47" s="10" t="s">
        <v>54</v>
      </c>
      <c r="M47" s="1">
        <f>VLOOKUP(FindStrFirstNum($A47,[1]Sheet1!$I$3:$I$43,[1]Sheet1!$A$3:$A$43),[1]Sheet1!$A:$I,7,0)</f>
        <v>3</v>
      </c>
      <c r="U47" s="1" t="e">
        <f>INT(MID($B47,MIN(FIND({0,1,2,3,4,5,6,7,8,9},$B47&amp;"0123456789")),LEN($B47)*2-LENB($B47)))</f>
        <v>#VALUE!</v>
      </c>
      <c r="V47" s="1" t="str">
        <f t="shared" si="1"/>
        <v>单笔充值 [00821cff]68[-] 元</v>
      </c>
    </row>
    <row r="48" spans="1:22">
      <c r="A48" s="14">
        <v>2061</v>
      </c>
      <c r="B48" s="14" t="s">
        <v>239</v>
      </c>
      <c r="C48" s="15">
        <v>2</v>
      </c>
      <c r="D48" s="15">
        <v>1</v>
      </c>
      <c r="E48" s="14">
        <v>2</v>
      </c>
      <c r="F48" s="14" t="s">
        <v>14</v>
      </c>
      <c r="G48" s="14">
        <v>4</v>
      </c>
      <c r="H48" s="14">
        <v>2</v>
      </c>
      <c r="I48" s="14">
        <v>60</v>
      </c>
      <c r="J48" s="14">
        <v>34</v>
      </c>
      <c r="K48" s="14">
        <v>0</v>
      </c>
      <c r="L48" s="14" t="s">
        <v>55</v>
      </c>
      <c r="M48" s="1">
        <f>VLOOKUP(FindStrFirstNum($A48,[1]Sheet1!$I$3:$I$43,[1]Sheet1!$A$3:$A$43),[1]Sheet1!$A:$I,7,0)</f>
        <v>3</v>
      </c>
      <c r="U48" s="1" t="e">
        <f>INT(MID($B48,MIN(FIND({0,1,2,3,4,5,6,7,8,9},$B48&amp;"0123456789")),LEN($B48)*2-LENB($B48)))</f>
        <v>#VALUE!</v>
      </c>
      <c r="V48" s="1" t="str">
        <f t="shared" si="1"/>
        <v>单笔充值 [00821cff]6[-] 元</v>
      </c>
    </row>
    <row r="49" spans="1:22">
      <c r="A49" s="14">
        <v>2062</v>
      </c>
      <c r="B49" s="14" t="s">
        <v>240</v>
      </c>
      <c r="C49" s="15">
        <v>2</v>
      </c>
      <c r="D49" s="15">
        <v>1</v>
      </c>
      <c r="E49" s="14">
        <v>2</v>
      </c>
      <c r="F49" s="14" t="s">
        <v>14</v>
      </c>
      <c r="G49" s="14">
        <v>4</v>
      </c>
      <c r="H49" s="14">
        <v>2</v>
      </c>
      <c r="I49" s="14">
        <v>300</v>
      </c>
      <c r="J49" s="14">
        <v>34</v>
      </c>
      <c r="K49" s="14">
        <v>0</v>
      </c>
      <c r="L49" s="14" t="s">
        <v>56</v>
      </c>
      <c r="M49" s="1">
        <f>VLOOKUP(FindStrFirstNum($A49,[1]Sheet1!$I$3:$I$43,[1]Sheet1!$A$3:$A$43),[1]Sheet1!$A:$I,7,0)</f>
        <v>3</v>
      </c>
      <c r="U49" s="1" t="e">
        <f>INT(MID($B49,MIN(FIND({0,1,2,3,4,5,6,7,8,9},$B49&amp;"0123456789")),LEN($B49)*2-LENB($B49)))</f>
        <v>#VALUE!</v>
      </c>
      <c r="V49" s="1" t="str">
        <f t="shared" si="1"/>
        <v>单笔充值 [00821cff]30[-] 元</v>
      </c>
    </row>
    <row r="50" spans="1:22">
      <c r="A50" s="14">
        <v>2063</v>
      </c>
      <c r="B50" s="14" t="s">
        <v>256</v>
      </c>
      <c r="C50" s="15">
        <v>2</v>
      </c>
      <c r="D50" s="15">
        <v>1</v>
      </c>
      <c r="E50" s="14">
        <v>2</v>
      </c>
      <c r="F50" s="14" t="s">
        <v>14</v>
      </c>
      <c r="G50" s="14">
        <v>4</v>
      </c>
      <c r="H50" s="14">
        <v>2</v>
      </c>
      <c r="I50" s="14">
        <v>680</v>
      </c>
      <c r="J50" s="14">
        <v>34</v>
      </c>
      <c r="K50" s="14">
        <v>0</v>
      </c>
      <c r="L50" s="14" t="s">
        <v>57</v>
      </c>
      <c r="M50" s="1">
        <f>VLOOKUP(FindStrFirstNum($A50,[1]Sheet1!$I$3:$I$43,[1]Sheet1!$A$3:$A$43),[1]Sheet1!$A:$I,7,0)</f>
        <v>3</v>
      </c>
      <c r="U50" s="1" t="e">
        <f>INT(MID($B50,MIN(FIND({0,1,2,3,4,5,6,7,8,9},$B50&amp;"0123456789")),LEN($B50)*2-LENB($B50)))</f>
        <v>#VALUE!</v>
      </c>
      <c r="V50" s="1" t="str">
        <f t="shared" si="1"/>
        <v>单笔充值 [00821cff]68[-] 元</v>
      </c>
    </row>
    <row r="51" spans="1:22">
      <c r="A51" s="10">
        <v>2071</v>
      </c>
      <c r="B51" s="10" t="s">
        <v>239</v>
      </c>
      <c r="C51" s="11">
        <v>2</v>
      </c>
      <c r="D51" s="11">
        <v>1</v>
      </c>
      <c r="E51" s="10">
        <v>2</v>
      </c>
      <c r="F51" s="10" t="s">
        <v>14</v>
      </c>
      <c r="G51" s="10">
        <v>4</v>
      </c>
      <c r="H51" s="10">
        <v>2</v>
      </c>
      <c r="I51" s="10">
        <v>60</v>
      </c>
      <c r="J51" s="10">
        <v>34</v>
      </c>
      <c r="K51" s="10">
        <v>0</v>
      </c>
      <c r="L51" s="10" t="s">
        <v>58</v>
      </c>
      <c r="M51" s="1">
        <f>VLOOKUP(FindStrFirstNum($A51,[1]Sheet1!$I$3:$I$43,[1]Sheet1!$A$3:$A$43),[1]Sheet1!$A:$I,7,0)</f>
        <v>3</v>
      </c>
      <c r="U51" s="1" t="e">
        <f>INT(MID($B51,MIN(FIND({0,1,2,3,4,5,6,7,8,9},$B51&amp;"0123456789")),LEN($B51)*2-LENB($B51)))</f>
        <v>#VALUE!</v>
      </c>
      <c r="V51" s="1" t="str">
        <f t="shared" si="1"/>
        <v>单笔充值 [00821cff]6[-] 元</v>
      </c>
    </row>
    <row r="52" spans="1:22">
      <c r="A52" s="10">
        <v>2072</v>
      </c>
      <c r="B52" s="10" t="s">
        <v>240</v>
      </c>
      <c r="C52" s="11">
        <v>2</v>
      </c>
      <c r="D52" s="11">
        <v>1</v>
      </c>
      <c r="E52" s="10">
        <v>2</v>
      </c>
      <c r="F52" s="10" t="s">
        <v>14</v>
      </c>
      <c r="G52" s="10">
        <v>4</v>
      </c>
      <c r="H52" s="10">
        <v>2</v>
      </c>
      <c r="I52" s="10">
        <v>300</v>
      </c>
      <c r="J52" s="10">
        <v>34</v>
      </c>
      <c r="K52" s="10">
        <v>0</v>
      </c>
      <c r="L52" s="10" t="s">
        <v>59</v>
      </c>
      <c r="M52" s="1">
        <f>VLOOKUP(FindStrFirstNum($A52,[1]Sheet1!$I$3:$I$43,[1]Sheet1!$A$3:$A$43),[1]Sheet1!$A:$I,7,0)</f>
        <v>3</v>
      </c>
      <c r="U52" s="1" t="e">
        <f>INT(MID($B52,MIN(FIND({0,1,2,3,4,5,6,7,8,9},$B52&amp;"0123456789")),LEN($B52)*2-LENB($B52)))</f>
        <v>#VALUE!</v>
      </c>
      <c r="V52" s="1" t="str">
        <f t="shared" si="1"/>
        <v>单笔充值 [00821cff]30[-] 元</v>
      </c>
    </row>
    <row r="53" spans="1:22">
      <c r="A53" s="10">
        <v>2073</v>
      </c>
      <c r="B53" s="10" t="s">
        <v>256</v>
      </c>
      <c r="C53" s="11">
        <v>2</v>
      </c>
      <c r="D53" s="11">
        <v>1</v>
      </c>
      <c r="E53" s="10">
        <v>2</v>
      </c>
      <c r="F53" s="10" t="s">
        <v>14</v>
      </c>
      <c r="G53" s="10">
        <v>4</v>
      </c>
      <c r="H53" s="10">
        <v>2</v>
      </c>
      <c r="I53" s="10">
        <v>680</v>
      </c>
      <c r="J53" s="10">
        <v>34</v>
      </c>
      <c r="K53" s="10">
        <v>0</v>
      </c>
      <c r="L53" s="10" t="s">
        <v>60</v>
      </c>
      <c r="M53" s="1">
        <f>VLOOKUP(FindStrFirstNum($A53,[1]Sheet1!$I$3:$I$43,[1]Sheet1!$A$3:$A$43),[1]Sheet1!$A:$I,7,0)</f>
        <v>3</v>
      </c>
      <c r="U53" s="1" t="e">
        <f>INT(MID($B53,MIN(FIND({0,1,2,3,4,5,6,7,8,9},$B53&amp;"0123456789")),LEN($B53)*2-LENB($B53)))</f>
        <v>#VALUE!</v>
      </c>
      <c r="V53" s="1" t="str">
        <f t="shared" si="1"/>
        <v>单笔充值 [00821cff]68[-] 元</v>
      </c>
    </row>
    <row r="54" spans="1:22">
      <c r="A54" s="14">
        <v>2111</v>
      </c>
      <c r="B54" s="14" t="s">
        <v>239</v>
      </c>
      <c r="C54" s="15">
        <v>2</v>
      </c>
      <c r="D54" s="15">
        <v>1</v>
      </c>
      <c r="E54" s="14">
        <v>2</v>
      </c>
      <c r="F54" s="14" t="s">
        <v>14</v>
      </c>
      <c r="G54" s="14">
        <v>4</v>
      </c>
      <c r="H54" s="14">
        <v>2</v>
      </c>
      <c r="I54" s="14">
        <v>60</v>
      </c>
      <c r="J54" s="14">
        <v>34</v>
      </c>
      <c r="K54" s="14">
        <v>0</v>
      </c>
      <c r="L54" s="14" t="s">
        <v>61</v>
      </c>
      <c r="M54" s="1">
        <f>VLOOKUP(FindStrFirstNum($A54,[1]Sheet1!$I$3:$I$43,[1]Sheet1!$A$3:$A$43),[1]Sheet1!$A:$I,7,0)</f>
        <v>3</v>
      </c>
      <c r="U54" s="1" t="e">
        <f>INT(MID($B54,MIN(FIND({0,1,2,3,4,5,6,7,8,9},$B54&amp;"0123456789")),LEN($B54)*2-LENB($B54)))</f>
        <v>#VALUE!</v>
      </c>
      <c r="V54" s="1" t="str">
        <f t="shared" si="1"/>
        <v>单笔充值 [00821cff]6[-] 元</v>
      </c>
    </row>
    <row r="55" spans="1:22">
      <c r="A55" s="14">
        <v>2112</v>
      </c>
      <c r="B55" s="14" t="s">
        <v>240</v>
      </c>
      <c r="C55" s="15">
        <v>2</v>
      </c>
      <c r="D55" s="15">
        <v>1</v>
      </c>
      <c r="E55" s="14">
        <v>2</v>
      </c>
      <c r="F55" s="14" t="s">
        <v>14</v>
      </c>
      <c r="G55" s="14">
        <v>4</v>
      </c>
      <c r="H55" s="14">
        <v>2</v>
      </c>
      <c r="I55" s="14">
        <v>300</v>
      </c>
      <c r="J55" s="14">
        <v>34</v>
      </c>
      <c r="K55" s="14">
        <v>0</v>
      </c>
      <c r="L55" s="14" t="s">
        <v>62</v>
      </c>
      <c r="M55" s="1">
        <f>VLOOKUP(FindStrFirstNum($A55,[1]Sheet1!$I$3:$I$43,[1]Sheet1!$A$3:$A$43),[1]Sheet1!$A:$I,7,0)</f>
        <v>3</v>
      </c>
      <c r="U55" s="1" t="e">
        <f>INT(MID($B55,MIN(FIND({0,1,2,3,4,5,6,7,8,9},$B55&amp;"0123456789")),LEN($B55)*2-LENB($B55)))</f>
        <v>#VALUE!</v>
      </c>
      <c r="V55" s="1" t="str">
        <f t="shared" si="1"/>
        <v>单笔充值 [00821cff]30[-] 元</v>
      </c>
    </row>
    <row r="56" spans="1:22">
      <c r="A56" s="14">
        <v>2113</v>
      </c>
      <c r="B56" s="14" t="s">
        <v>256</v>
      </c>
      <c r="C56" s="15">
        <v>2</v>
      </c>
      <c r="D56" s="15">
        <v>1</v>
      </c>
      <c r="E56" s="14">
        <v>2</v>
      </c>
      <c r="F56" s="14" t="s">
        <v>14</v>
      </c>
      <c r="G56" s="14">
        <v>4</v>
      </c>
      <c r="H56" s="14">
        <v>2</v>
      </c>
      <c r="I56" s="14">
        <v>680</v>
      </c>
      <c r="J56" s="14">
        <v>34</v>
      </c>
      <c r="K56" s="14">
        <v>0</v>
      </c>
      <c r="L56" s="14" t="s">
        <v>63</v>
      </c>
      <c r="M56" s="1">
        <f>VLOOKUP(FindStrFirstNum($A56,[1]Sheet1!$I$3:$I$43,[1]Sheet1!$A$3:$A$43),[1]Sheet1!$A:$I,7,0)</f>
        <v>3</v>
      </c>
      <c r="U56" s="1" t="e">
        <f>INT(MID($B56,MIN(FIND({0,1,2,3,4,5,6,7,8,9},$B56&amp;"0123456789")),LEN($B56)*2-LENB($B56)))</f>
        <v>#VALUE!</v>
      </c>
      <c r="V56" s="1" t="str">
        <f t="shared" si="1"/>
        <v>单笔充值 [00821cff]68[-] 元</v>
      </c>
    </row>
    <row r="57" spans="1:22">
      <c r="A57" s="10">
        <v>2121</v>
      </c>
      <c r="B57" s="10" t="s">
        <v>239</v>
      </c>
      <c r="C57" s="11">
        <v>2</v>
      </c>
      <c r="D57" s="11">
        <v>1</v>
      </c>
      <c r="E57" s="10">
        <v>2</v>
      </c>
      <c r="F57" s="10" t="s">
        <v>14</v>
      </c>
      <c r="G57" s="10">
        <v>4</v>
      </c>
      <c r="H57" s="10">
        <v>2</v>
      </c>
      <c r="I57" s="10">
        <v>60</v>
      </c>
      <c r="J57" s="10">
        <v>34</v>
      </c>
      <c r="K57" s="10">
        <v>0</v>
      </c>
      <c r="L57" s="10" t="s">
        <v>64</v>
      </c>
      <c r="M57" s="1">
        <f>VLOOKUP(FindStrFirstNum($A57,[1]Sheet1!$I$3:$I$43,[1]Sheet1!$A$3:$A$43),[1]Sheet1!$A:$I,7,0)</f>
        <v>3</v>
      </c>
      <c r="U57" s="1" t="e">
        <f>INT(MID($B57,MIN(FIND({0,1,2,3,4,5,6,7,8,9},$B57&amp;"0123456789")),LEN($B57)*2-LENB($B57)))</f>
        <v>#VALUE!</v>
      </c>
      <c r="V57" s="1" t="str">
        <f t="shared" si="1"/>
        <v>单笔充值 [00821cff]6[-] 元</v>
      </c>
    </row>
    <row r="58" spans="1:22">
      <c r="A58" s="10">
        <v>2122</v>
      </c>
      <c r="B58" s="10" t="s">
        <v>240</v>
      </c>
      <c r="C58" s="11">
        <v>2</v>
      </c>
      <c r="D58" s="11">
        <v>1</v>
      </c>
      <c r="E58" s="10">
        <v>2</v>
      </c>
      <c r="F58" s="10" t="s">
        <v>14</v>
      </c>
      <c r="G58" s="10">
        <v>4</v>
      </c>
      <c r="H58" s="10">
        <v>2</v>
      </c>
      <c r="I58" s="10">
        <v>300</v>
      </c>
      <c r="J58" s="10">
        <v>34</v>
      </c>
      <c r="K58" s="10">
        <v>0</v>
      </c>
      <c r="L58" s="10" t="s">
        <v>65</v>
      </c>
      <c r="M58" s="1">
        <f>VLOOKUP(FindStrFirstNum($A58,[1]Sheet1!$I$3:$I$43,[1]Sheet1!$A$3:$A$43),[1]Sheet1!$A:$I,7,0)</f>
        <v>3</v>
      </c>
      <c r="U58" s="1" t="e">
        <f>INT(MID($B58,MIN(FIND({0,1,2,3,4,5,6,7,8,9},$B58&amp;"0123456789")),LEN($B58)*2-LENB($B58)))</f>
        <v>#VALUE!</v>
      </c>
      <c r="V58" s="1" t="str">
        <f t="shared" si="1"/>
        <v>单笔充值 [00821cff]30[-] 元</v>
      </c>
    </row>
    <row r="59" spans="1:22">
      <c r="A59" s="10">
        <v>2123</v>
      </c>
      <c r="B59" s="10" t="s">
        <v>256</v>
      </c>
      <c r="C59" s="11">
        <v>2</v>
      </c>
      <c r="D59" s="11">
        <v>1</v>
      </c>
      <c r="E59" s="10">
        <v>2</v>
      </c>
      <c r="F59" s="10" t="s">
        <v>14</v>
      </c>
      <c r="G59" s="10">
        <v>4</v>
      </c>
      <c r="H59" s="10">
        <v>2</v>
      </c>
      <c r="I59" s="10">
        <v>680</v>
      </c>
      <c r="J59" s="10">
        <v>34</v>
      </c>
      <c r="K59" s="10">
        <v>0</v>
      </c>
      <c r="L59" s="10" t="s">
        <v>66</v>
      </c>
      <c r="M59" s="1">
        <f>VLOOKUP(FindStrFirstNum($A59,[1]Sheet1!$I$3:$I$43,[1]Sheet1!$A$3:$A$43),[1]Sheet1!$A:$I,7,0)</f>
        <v>3</v>
      </c>
      <c r="U59" s="1" t="e">
        <f>INT(MID($B59,MIN(FIND({0,1,2,3,4,5,6,7,8,9},$B59&amp;"0123456789")),LEN($B59)*2-LENB($B59)))</f>
        <v>#VALUE!</v>
      </c>
      <c r="V59" s="1" t="str">
        <f t="shared" si="1"/>
        <v>单笔充值 [00821cff]68[-] 元</v>
      </c>
    </row>
    <row r="60" spans="1:22">
      <c r="A60" s="14">
        <v>2131</v>
      </c>
      <c r="B60" s="14" t="s">
        <v>239</v>
      </c>
      <c r="C60" s="15">
        <v>2</v>
      </c>
      <c r="D60" s="15">
        <v>1</v>
      </c>
      <c r="E60" s="14">
        <v>2</v>
      </c>
      <c r="F60" s="14" t="s">
        <v>14</v>
      </c>
      <c r="G60" s="14">
        <v>4</v>
      </c>
      <c r="H60" s="14">
        <v>2</v>
      </c>
      <c r="I60" s="14">
        <v>60</v>
      </c>
      <c r="J60" s="14">
        <v>34</v>
      </c>
      <c r="K60" s="14">
        <v>0</v>
      </c>
      <c r="L60" s="14" t="s">
        <v>67</v>
      </c>
      <c r="M60" s="1">
        <f>VLOOKUP(FindStrFirstNum($A60,[1]Sheet1!$I$3:$I$43,[1]Sheet1!$A$3:$A$43),[1]Sheet1!$A:$I,7,0)</f>
        <v>3</v>
      </c>
      <c r="U60" s="1" t="e">
        <f>INT(MID($B60,MIN(FIND({0,1,2,3,4,5,6,7,8,9},$B60&amp;"0123456789")),LEN($B60)*2-LENB($B60)))</f>
        <v>#VALUE!</v>
      </c>
      <c r="V60" s="1" t="str">
        <f t="shared" si="1"/>
        <v>单笔充值 [00821cff]6[-] 元</v>
      </c>
    </row>
    <row r="61" spans="1:22">
      <c r="A61" s="14">
        <v>2132</v>
      </c>
      <c r="B61" s="14" t="s">
        <v>240</v>
      </c>
      <c r="C61" s="15">
        <v>2</v>
      </c>
      <c r="D61" s="15">
        <v>1</v>
      </c>
      <c r="E61" s="14">
        <v>2</v>
      </c>
      <c r="F61" s="14" t="s">
        <v>14</v>
      </c>
      <c r="G61" s="14">
        <v>4</v>
      </c>
      <c r="H61" s="14">
        <v>2</v>
      </c>
      <c r="I61" s="14">
        <v>300</v>
      </c>
      <c r="J61" s="14">
        <v>34</v>
      </c>
      <c r="K61" s="14">
        <v>0</v>
      </c>
      <c r="L61" s="14" t="s">
        <v>68</v>
      </c>
      <c r="M61" s="1">
        <f>VLOOKUP(FindStrFirstNum($A61,[1]Sheet1!$I$3:$I$43,[1]Sheet1!$A$3:$A$43),[1]Sheet1!$A:$I,7,0)</f>
        <v>3</v>
      </c>
      <c r="U61" s="1" t="e">
        <f>INT(MID($B61,MIN(FIND({0,1,2,3,4,5,6,7,8,9},$B61&amp;"0123456789")),LEN($B61)*2-LENB($B61)))</f>
        <v>#VALUE!</v>
      </c>
      <c r="V61" s="1" t="str">
        <f t="shared" si="1"/>
        <v>单笔充值 [00821cff]30[-] 元</v>
      </c>
    </row>
    <row r="62" spans="1:22">
      <c r="A62" s="14">
        <v>2133</v>
      </c>
      <c r="B62" s="14" t="s">
        <v>256</v>
      </c>
      <c r="C62" s="15">
        <v>2</v>
      </c>
      <c r="D62" s="15">
        <v>1</v>
      </c>
      <c r="E62" s="14">
        <v>2</v>
      </c>
      <c r="F62" s="14" t="s">
        <v>14</v>
      </c>
      <c r="G62" s="14">
        <v>4</v>
      </c>
      <c r="H62" s="14">
        <v>2</v>
      </c>
      <c r="I62" s="14">
        <v>680</v>
      </c>
      <c r="J62" s="14">
        <v>34</v>
      </c>
      <c r="K62" s="14">
        <v>0</v>
      </c>
      <c r="L62" s="14" t="s">
        <v>69</v>
      </c>
      <c r="M62" s="1">
        <f>VLOOKUP(FindStrFirstNum($A62,[1]Sheet1!$I$3:$I$43,[1]Sheet1!$A$3:$A$43),[1]Sheet1!$A:$I,7,0)</f>
        <v>3</v>
      </c>
      <c r="U62" s="1" t="e">
        <f>INT(MID($B62,MIN(FIND({0,1,2,3,4,5,6,7,8,9},$B62&amp;"0123456789")),LEN($B62)*2-LENB($B62)))</f>
        <v>#VALUE!</v>
      </c>
      <c r="V62" s="1" t="str">
        <f t="shared" si="1"/>
        <v>单笔充值 [00821cff]68[-] 元</v>
      </c>
    </row>
    <row r="63" spans="1:22">
      <c r="A63" s="10">
        <v>2141</v>
      </c>
      <c r="B63" s="10" t="s">
        <v>239</v>
      </c>
      <c r="C63" s="11">
        <v>2</v>
      </c>
      <c r="D63" s="11">
        <v>1</v>
      </c>
      <c r="E63" s="10">
        <v>2</v>
      </c>
      <c r="F63" s="10" t="s">
        <v>14</v>
      </c>
      <c r="G63" s="10">
        <v>4</v>
      </c>
      <c r="H63" s="10">
        <v>2</v>
      </c>
      <c r="I63" s="10">
        <v>60</v>
      </c>
      <c r="J63" s="10">
        <v>34</v>
      </c>
      <c r="K63" s="10">
        <v>0</v>
      </c>
      <c r="L63" s="10" t="s">
        <v>70</v>
      </c>
      <c r="M63" s="1">
        <f>VLOOKUP(FindStrFirstNum($A63,[1]Sheet1!$I$3:$I$43,[1]Sheet1!$A$3:$A$43),[1]Sheet1!$A:$I,7,0)</f>
        <v>3</v>
      </c>
      <c r="U63" s="1" t="e">
        <f>INT(MID($B63,MIN(FIND({0,1,2,3,4,5,6,7,8,9},$B63&amp;"0123456789")),LEN($B63)*2-LENB($B63)))</f>
        <v>#VALUE!</v>
      </c>
      <c r="V63" s="1" t="str">
        <f t="shared" si="1"/>
        <v>单笔充值 [00821cff]6[-] 元</v>
      </c>
    </row>
    <row r="64" spans="1:22">
      <c r="A64" s="10">
        <v>2142</v>
      </c>
      <c r="B64" s="10" t="s">
        <v>240</v>
      </c>
      <c r="C64" s="11">
        <v>2</v>
      </c>
      <c r="D64" s="11">
        <v>1</v>
      </c>
      <c r="E64" s="10">
        <v>2</v>
      </c>
      <c r="F64" s="10" t="s">
        <v>14</v>
      </c>
      <c r="G64" s="10">
        <v>4</v>
      </c>
      <c r="H64" s="10">
        <v>2</v>
      </c>
      <c r="I64" s="10">
        <v>300</v>
      </c>
      <c r="J64" s="10">
        <v>34</v>
      </c>
      <c r="K64" s="10">
        <v>0</v>
      </c>
      <c r="L64" s="10" t="s">
        <v>71</v>
      </c>
      <c r="M64" s="1">
        <f>VLOOKUP(FindStrFirstNum($A64,[1]Sheet1!$I$3:$I$43,[1]Sheet1!$A$3:$A$43),[1]Sheet1!$A:$I,7,0)</f>
        <v>3</v>
      </c>
      <c r="U64" s="1" t="e">
        <f>INT(MID($B64,MIN(FIND({0,1,2,3,4,5,6,7,8,9},$B64&amp;"0123456789")),LEN($B64)*2-LENB($B64)))</f>
        <v>#VALUE!</v>
      </c>
      <c r="V64" s="1" t="str">
        <f t="shared" si="1"/>
        <v>单笔充值 [00821cff]30[-] 元</v>
      </c>
    </row>
    <row r="65" spans="1:22">
      <c r="A65" s="10">
        <v>2143</v>
      </c>
      <c r="B65" s="10" t="s">
        <v>256</v>
      </c>
      <c r="C65" s="11">
        <v>2</v>
      </c>
      <c r="D65" s="11">
        <v>1</v>
      </c>
      <c r="E65" s="10">
        <v>2</v>
      </c>
      <c r="F65" s="10" t="s">
        <v>14</v>
      </c>
      <c r="G65" s="10">
        <v>4</v>
      </c>
      <c r="H65" s="10">
        <v>2</v>
      </c>
      <c r="I65" s="10">
        <v>680</v>
      </c>
      <c r="J65" s="10">
        <v>34</v>
      </c>
      <c r="K65" s="10">
        <v>0</v>
      </c>
      <c r="L65" s="10" t="s">
        <v>72</v>
      </c>
      <c r="M65" s="1">
        <f>VLOOKUP(FindStrFirstNum($A65,[1]Sheet1!$I$3:$I$43,[1]Sheet1!$A$3:$A$43),[1]Sheet1!$A:$I,7,0)</f>
        <v>3</v>
      </c>
      <c r="U65" s="1" t="e">
        <f>INT(MID($B65,MIN(FIND({0,1,2,3,4,5,6,7,8,9},$B65&amp;"0123456789")),LEN($B65)*2-LENB($B65)))</f>
        <v>#VALUE!</v>
      </c>
      <c r="V65" s="1" t="str">
        <f t="shared" si="1"/>
        <v>单笔充值 [00821cff]68[-] 元</v>
      </c>
    </row>
    <row r="66" spans="1:22">
      <c r="A66" s="14">
        <v>2151</v>
      </c>
      <c r="B66" s="14" t="s">
        <v>239</v>
      </c>
      <c r="C66" s="15">
        <v>2</v>
      </c>
      <c r="D66" s="15">
        <v>1</v>
      </c>
      <c r="E66" s="14">
        <v>2</v>
      </c>
      <c r="F66" s="14" t="s">
        <v>14</v>
      </c>
      <c r="G66" s="14">
        <v>4</v>
      </c>
      <c r="H66" s="14">
        <v>2</v>
      </c>
      <c r="I66" s="14">
        <v>60</v>
      </c>
      <c r="J66" s="14">
        <v>34</v>
      </c>
      <c r="K66" s="14">
        <v>0</v>
      </c>
      <c r="L66" s="14" t="s">
        <v>73</v>
      </c>
      <c r="M66" s="1">
        <f>VLOOKUP(FindStrFirstNum($A66,[1]Sheet1!$I$3:$I$43,[1]Sheet1!$A$3:$A$43),[1]Sheet1!$A:$I,7,0)</f>
        <v>3</v>
      </c>
      <c r="U66" s="1" t="e">
        <f>INT(MID($B66,MIN(FIND({0,1,2,3,4,5,6,7,8,9},$B66&amp;"0123456789")),LEN($B66)*2-LENB($B66)))</f>
        <v>#VALUE!</v>
      </c>
      <c r="V66" s="1" t="str">
        <f t="shared" si="1"/>
        <v>单笔充值 [00821cff]6[-] 元</v>
      </c>
    </row>
    <row r="67" spans="1:22">
      <c r="A67" s="14">
        <v>2152</v>
      </c>
      <c r="B67" s="14" t="s">
        <v>240</v>
      </c>
      <c r="C67" s="15">
        <v>2</v>
      </c>
      <c r="D67" s="15">
        <v>1</v>
      </c>
      <c r="E67" s="14">
        <v>2</v>
      </c>
      <c r="F67" s="14" t="s">
        <v>14</v>
      </c>
      <c r="G67" s="14">
        <v>4</v>
      </c>
      <c r="H67" s="14">
        <v>2</v>
      </c>
      <c r="I67" s="14">
        <v>300</v>
      </c>
      <c r="J67" s="14">
        <v>34</v>
      </c>
      <c r="K67" s="14">
        <v>0</v>
      </c>
      <c r="L67" s="14" t="s">
        <v>74</v>
      </c>
      <c r="M67" s="1">
        <f>VLOOKUP(FindStrFirstNum($A67,[1]Sheet1!$I$3:$I$43,[1]Sheet1!$A$3:$A$43),[1]Sheet1!$A:$I,7,0)</f>
        <v>3</v>
      </c>
      <c r="U67" s="1" t="e">
        <f>INT(MID($B67,MIN(FIND({0,1,2,3,4,5,6,7,8,9},$B67&amp;"0123456789")),LEN($B67)*2-LENB($B67)))</f>
        <v>#VALUE!</v>
      </c>
      <c r="V67" s="1" t="str">
        <f t="shared" si="1"/>
        <v>单笔充值 [00821cff]30[-] 元</v>
      </c>
    </row>
    <row r="68" spans="1:22">
      <c r="A68" s="14">
        <v>2153</v>
      </c>
      <c r="B68" s="14" t="s">
        <v>256</v>
      </c>
      <c r="C68" s="15">
        <v>2</v>
      </c>
      <c r="D68" s="15">
        <v>1</v>
      </c>
      <c r="E68" s="14">
        <v>2</v>
      </c>
      <c r="F68" s="14" t="s">
        <v>14</v>
      </c>
      <c r="G68" s="14">
        <v>4</v>
      </c>
      <c r="H68" s="14">
        <v>2</v>
      </c>
      <c r="I68" s="14">
        <v>680</v>
      </c>
      <c r="J68" s="14">
        <v>34</v>
      </c>
      <c r="K68" s="14">
        <v>0</v>
      </c>
      <c r="L68" s="14" t="s">
        <v>75</v>
      </c>
      <c r="M68" s="1">
        <f>VLOOKUP(FindStrFirstNum($A68,[1]Sheet1!$I$3:$I$43,[1]Sheet1!$A$3:$A$43),[1]Sheet1!$A:$I,7,0)</f>
        <v>3</v>
      </c>
      <c r="U68" s="1" t="e">
        <f>INT(MID($B68,MIN(FIND({0,1,2,3,4,5,6,7,8,9},$B68&amp;"0123456789")),LEN($B68)*2-LENB($B68)))</f>
        <v>#VALUE!</v>
      </c>
      <c r="V68" s="1" t="str">
        <f t="shared" ref="V68:V99" si="2">IF(ISERROR($U68),$B68,LEFT($B68,FIND($U68,$B68)-1)&amp;"[FF7400]"&amp;U68&amp;"[-]"&amp;IFERROR(RIGHT($B68,LEN($B68)-FIND($U68,$B68)-LEN($U68)+1),""))</f>
        <v>单笔充值 [00821cff]68[-] 元</v>
      </c>
    </row>
    <row r="69" spans="1:22">
      <c r="A69" s="10">
        <v>2161</v>
      </c>
      <c r="B69" s="10" t="s">
        <v>239</v>
      </c>
      <c r="C69" s="11">
        <v>2</v>
      </c>
      <c r="D69" s="11">
        <v>1</v>
      </c>
      <c r="E69" s="10">
        <v>2</v>
      </c>
      <c r="F69" s="10" t="s">
        <v>14</v>
      </c>
      <c r="G69" s="10">
        <v>4</v>
      </c>
      <c r="H69" s="10">
        <v>2</v>
      </c>
      <c r="I69" s="10">
        <v>60</v>
      </c>
      <c r="J69" s="10">
        <v>34</v>
      </c>
      <c r="K69" s="10">
        <v>0</v>
      </c>
      <c r="L69" s="10" t="s">
        <v>76</v>
      </c>
      <c r="M69" s="1">
        <f>VLOOKUP(FindStrFirstNum($A69,[1]Sheet1!$I$3:$I$43,[1]Sheet1!$A$3:$A$43),[1]Sheet1!$A:$I,7,0)</f>
        <v>3</v>
      </c>
      <c r="U69" s="1" t="e">
        <f>INT(MID($B69,MIN(FIND({0,1,2,3,4,5,6,7,8,9},$B69&amp;"0123456789")),LEN($B69)*2-LENB($B69)))</f>
        <v>#VALUE!</v>
      </c>
      <c r="V69" s="1" t="str">
        <f t="shared" si="2"/>
        <v>单笔充值 [00821cff]6[-] 元</v>
      </c>
    </row>
    <row r="70" spans="1:22">
      <c r="A70" s="10">
        <v>2162</v>
      </c>
      <c r="B70" s="10" t="s">
        <v>240</v>
      </c>
      <c r="C70" s="11">
        <v>2</v>
      </c>
      <c r="D70" s="11">
        <v>1</v>
      </c>
      <c r="E70" s="10">
        <v>2</v>
      </c>
      <c r="F70" s="10" t="s">
        <v>14</v>
      </c>
      <c r="G70" s="10">
        <v>4</v>
      </c>
      <c r="H70" s="10">
        <v>2</v>
      </c>
      <c r="I70" s="10">
        <v>300</v>
      </c>
      <c r="J70" s="10">
        <v>34</v>
      </c>
      <c r="K70" s="10">
        <v>0</v>
      </c>
      <c r="L70" s="10" t="s">
        <v>77</v>
      </c>
      <c r="M70" s="1">
        <f>VLOOKUP(FindStrFirstNum($A70,[1]Sheet1!$I$3:$I$43,[1]Sheet1!$A$3:$A$43),[1]Sheet1!$A:$I,7,0)</f>
        <v>3</v>
      </c>
      <c r="U70" s="1" t="e">
        <f>INT(MID($B70,MIN(FIND({0,1,2,3,4,5,6,7,8,9},$B70&amp;"0123456789")),LEN($B70)*2-LENB($B70)))</f>
        <v>#VALUE!</v>
      </c>
      <c r="V70" s="1" t="str">
        <f t="shared" si="2"/>
        <v>单笔充值 [00821cff]30[-] 元</v>
      </c>
    </row>
    <row r="71" spans="1:22">
      <c r="A71" s="10">
        <v>2163</v>
      </c>
      <c r="B71" s="10" t="s">
        <v>256</v>
      </c>
      <c r="C71" s="11">
        <v>2</v>
      </c>
      <c r="D71" s="11">
        <v>1</v>
      </c>
      <c r="E71" s="10">
        <v>2</v>
      </c>
      <c r="F71" s="10" t="s">
        <v>14</v>
      </c>
      <c r="G71" s="10">
        <v>4</v>
      </c>
      <c r="H71" s="10">
        <v>2</v>
      </c>
      <c r="I71" s="10">
        <v>680</v>
      </c>
      <c r="J71" s="10">
        <v>34</v>
      </c>
      <c r="K71" s="10">
        <v>0</v>
      </c>
      <c r="L71" s="10" t="s">
        <v>78</v>
      </c>
      <c r="M71" s="1">
        <f>VLOOKUP(FindStrFirstNum($A71,[1]Sheet1!$I$3:$I$43,[1]Sheet1!$A$3:$A$43),[1]Sheet1!$A:$I,7,0)</f>
        <v>3</v>
      </c>
      <c r="U71" s="1" t="e">
        <f>INT(MID($B71,MIN(FIND({0,1,2,3,4,5,6,7,8,9},$B71&amp;"0123456789")),LEN($B71)*2-LENB($B71)))</f>
        <v>#VALUE!</v>
      </c>
      <c r="V71" s="1" t="str">
        <f t="shared" si="2"/>
        <v>单笔充值 [00821cff]68[-] 元</v>
      </c>
    </row>
    <row r="72" spans="1:22">
      <c r="A72" s="14">
        <v>2171</v>
      </c>
      <c r="B72" s="14" t="s">
        <v>239</v>
      </c>
      <c r="C72" s="15">
        <v>2</v>
      </c>
      <c r="D72" s="15">
        <v>1</v>
      </c>
      <c r="E72" s="14">
        <v>2</v>
      </c>
      <c r="F72" s="14" t="s">
        <v>14</v>
      </c>
      <c r="G72" s="14">
        <v>4</v>
      </c>
      <c r="H72" s="14">
        <v>2</v>
      </c>
      <c r="I72" s="14">
        <v>60</v>
      </c>
      <c r="J72" s="14">
        <v>34</v>
      </c>
      <c r="K72" s="14">
        <v>0</v>
      </c>
      <c r="L72" s="14" t="s">
        <v>79</v>
      </c>
      <c r="M72" s="1">
        <f>VLOOKUP(FindStrFirstNum($A72,[1]Sheet1!$I$3:$I$43,[1]Sheet1!$A$3:$A$43),[1]Sheet1!$A:$I,7,0)</f>
        <v>3</v>
      </c>
      <c r="U72" s="1" t="e">
        <f>INT(MID($B72,MIN(FIND({0,1,2,3,4,5,6,7,8,9},$B72&amp;"0123456789")),LEN($B72)*2-LENB($B72)))</f>
        <v>#VALUE!</v>
      </c>
      <c r="V72" s="1" t="str">
        <f t="shared" si="2"/>
        <v>单笔充值 [00821cff]6[-] 元</v>
      </c>
    </row>
    <row r="73" spans="1:22">
      <c r="A73" s="14">
        <v>2172</v>
      </c>
      <c r="B73" s="14" t="s">
        <v>240</v>
      </c>
      <c r="C73" s="15">
        <v>2</v>
      </c>
      <c r="D73" s="15">
        <v>1</v>
      </c>
      <c r="E73" s="14">
        <v>2</v>
      </c>
      <c r="F73" s="14" t="s">
        <v>14</v>
      </c>
      <c r="G73" s="14">
        <v>4</v>
      </c>
      <c r="H73" s="14">
        <v>2</v>
      </c>
      <c r="I73" s="14">
        <v>300</v>
      </c>
      <c r="J73" s="14">
        <v>34</v>
      </c>
      <c r="K73" s="14">
        <v>0</v>
      </c>
      <c r="L73" s="14" t="s">
        <v>80</v>
      </c>
      <c r="M73" s="1">
        <f>VLOOKUP(FindStrFirstNum($A73,[1]Sheet1!$I$3:$I$43,[1]Sheet1!$A$3:$A$43),[1]Sheet1!$A:$I,7,0)</f>
        <v>3</v>
      </c>
      <c r="U73" s="1" t="e">
        <f>INT(MID($B73,MIN(FIND({0,1,2,3,4,5,6,7,8,9},$B73&amp;"0123456789")),LEN($B73)*2-LENB($B73)))</f>
        <v>#VALUE!</v>
      </c>
      <c r="V73" s="1" t="str">
        <f t="shared" si="2"/>
        <v>单笔充值 [00821cff]30[-] 元</v>
      </c>
    </row>
    <row r="74" spans="1:22">
      <c r="A74" s="14">
        <v>2173</v>
      </c>
      <c r="B74" s="14" t="s">
        <v>256</v>
      </c>
      <c r="C74" s="15">
        <v>2</v>
      </c>
      <c r="D74" s="15">
        <v>1</v>
      </c>
      <c r="E74" s="14">
        <v>2</v>
      </c>
      <c r="F74" s="14" t="s">
        <v>14</v>
      </c>
      <c r="G74" s="14">
        <v>4</v>
      </c>
      <c r="H74" s="14">
        <v>2</v>
      </c>
      <c r="I74" s="14">
        <v>680</v>
      </c>
      <c r="J74" s="14">
        <v>34</v>
      </c>
      <c r="K74" s="14">
        <v>0</v>
      </c>
      <c r="L74" s="14" t="s">
        <v>81</v>
      </c>
      <c r="M74" s="1">
        <f>VLOOKUP(FindStrFirstNum($A74,[1]Sheet1!$I$3:$I$43,[1]Sheet1!$A$3:$A$43),[1]Sheet1!$A:$I,7,0)</f>
        <v>3</v>
      </c>
      <c r="U74" s="1" t="e">
        <f>INT(MID($B74,MIN(FIND({0,1,2,3,4,5,6,7,8,9},$B74&amp;"0123456789")),LEN($B74)*2-LENB($B74)))</f>
        <v>#VALUE!</v>
      </c>
      <c r="V74" s="1" t="str">
        <f t="shared" si="2"/>
        <v>单笔充值 [00821cff]68[-] 元</v>
      </c>
    </row>
    <row r="75" spans="1:22">
      <c r="A75" s="10">
        <v>4011</v>
      </c>
      <c r="B75" s="10" t="s">
        <v>257</v>
      </c>
      <c r="C75" s="11">
        <v>1</v>
      </c>
      <c r="D75" s="11">
        <v>1</v>
      </c>
      <c r="E75" s="10">
        <v>2</v>
      </c>
      <c r="F75" s="10" t="s">
        <v>14</v>
      </c>
      <c r="G75" s="10">
        <v>4</v>
      </c>
      <c r="H75" s="10">
        <v>1</v>
      </c>
      <c r="I75" s="10">
        <v>10</v>
      </c>
      <c r="J75" s="10">
        <v>34</v>
      </c>
      <c r="K75" s="10">
        <v>0</v>
      </c>
      <c r="L75" s="10" t="s">
        <v>89</v>
      </c>
      <c r="M75" s="1">
        <f>VLOOKUP(FindStrFirstNum($A75,[1]Sheet1!$I$3:$I$43,[1]Sheet1!$A$3:$A$43),[1]Sheet1!$A:$I,7,0)</f>
        <v>5</v>
      </c>
      <c r="U75" s="1" t="e">
        <f>INT(MID($B75,MIN(FIND({0,1,2,3,4,5,6,7,8,9},$B75&amp;"0123456789")),LEN($B75)*2-LENB($B75)))</f>
        <v>#VALUE!</v>
      </c>
      <c r="V75" s="1" t="str">
        <f t="shared" si="2"/>
        <v>累计充值 [00821cff]1[-] 元</v>
      </c>
    </row>
    <row r="76" spans="1:22">
      <c r="A76" s="10">
        <v>4012</v>
      </c>
      <c r="B76" s="10" t="s">
        <v>258</v>
      </c>
      <c r="C76" s="11">
        <v>1</v>
      </c>
      <c r="D76" s="11">
        <v>1</v>
      </c>
      <c r="E76" s="10">
        <v>2</v>
      </c>
      <c r="F76" s="10" t="s">
        <v>14</v>
      </c>
      <c r="G76" s="10">
        <v>4</v>
      </c>
      <c r="H76" s="10">
        <v>1</v>
      </c>
      <c r="I76" s="10">
        <v>30</v>
      </c>
      <c r="J76" s="10">
        <v>34</v>
      </c>
      <c r="K76" s="10">
        <v>0</v>
      </c>
      <c r="L76" s="10" t="s">
        <v>90</v>
      </c>
      <c r="M76" s="1">
        <f>VLOOKUP(FindStrFirstNum($A76,[1]Sheet1!$I$3:$I$43,[1]Sheet1!$A$3:$A$43),[1]Sheet1!$A:$I,7,0)</f>
        <v>5</v>
      </c>
      <c r="U76" s="1" t="e">
        <f>INT(MID($B76,MIN(FIND({0,1,2,3,4,5,6,7,8,9},$B76&amp;"0123456789")),LEN($B76)*2-LENB($B76)))</f>
        <v>#VALUE!</v>
      </c>
      <c r="V76" s="1" t="str">
        <f t="shared" si="2"/>
        <v>累计充值 [00821cff]3[-] 元</v>
      </c>
    </row>
    <row r="77" spans="1:22">
      <c r="A77" s="14">
        <v>4021</v>
      </c>
      <c r="B77" s="14" t="s">
        <v>257</v>
      </c>
      <c r="C77" s="15">
        <v>1</v>
      </c>
      <c r="D77" s="15">
        <v>1</v>
      </c>
      <c r="E77" s="14">
        <v>2</v>
      </c>
      <c r="F77" s="14" t="s">
        <v>14</v>
      </c>
      <c r="G77" s="14">
        <v>4</v>
      </c>
      <c r="H77" s="14">
        <v>1</v>
      </c>
      <c r="I77" s="14">
        <v>10</v>
      </c>
      <c r="J77" s="14">
        <v>34</v>
      </c>
      <c r="K77" s="14">
        <v>0</v>
      </c>
      <c r="L77" s="14" t="s">
        <v>91</v>
      </c>
      <c r="M77" s="1">
        <f>VLOOKUP(FindStrFirstNum($A77,[1]Sheet1!$I$3:$I$43,[1]Sheet1!$A$3:$A$43),[1]Sheet1!$A:$I,7,0)</f>
        <v>5</v>
      </c>
      <c r="U77" s="1" t="e">
        <f>INT(MID($B77,MIN(FIND({0,1,2,3,4,5,6,7,8,9},$B77&amp;"0123456789")),LEN($B77)*2-LENB($B77)))</f>
        <v>#VALUE!</v>
      </c>
      <c r="V77" s="1" t="str">
        <f t="shared" si="2"/>
        <v>累计充值 [00821cff]1[-] 元</v>
      </c>
    </row>
    <row r="78" spans="1:22">
      <c r="A78" s="14">
        <v>4022</v>
      </c>
      <c r="B78" s="14" t="s">
        <v>258</v>
      </c>
      <c r="C78" s="15">
        <v>1</v>
      </c>
      <c r="D78" s="15">
        <v>1</v>
      </c>
      <c r="E78" s="14">
        <v>2</v>
      </c>
      <c r="F78" s="14" t="s">
        <v>14</v>
      </c>
      <c r="G78" s="14">
        <v>4</v>
      </c>
      <c r="H78" s="14">
        <v>1</v>
      </c>
      <c r="I78" s="14">
        <v>30</v>
      </c>
      <c r="J78" s="14">
        <v>34</v>
      </c>
      <c r="K78" s="14">
        <v>0</v>
      </c>
      <c r="L78" s="14" t="s">
        <v>92</v>
      </c>
      <c r="M78" s="1">
        <f>VLOOKUP(FindStrFirstNum($A78,[1]Sheet1!$I$3:$I$43,[1]Sheet1!$A$3:$A$43),[1]Sheet1!$A:$I,7,0)</f>
        <v>5</v>
      </c>
      <c r="U78" s="1" t="e">
        <f>INT(MID($B78,MIN(FIND({0,1,2,3,4,5,6,7,8,9},$B78&amp;"0123456789")),LEN($B78)*2-LENB($B78)))</f>
        <v>#VALUE!</v>
      </c>
      <c r="V78" s="1" t="str">
        <f t="shared" si="2"/>
        <v>累计充值 [00821cff]3[-] 元</v>
      </c>
    </row>
    <row r="79" spans="1:22">
      <c r="A79" s="10">
        <v>4031</v>
      </c>
      <c r="B79" s="10" t="s">
        <v>257</v>
      </c>
      <c r="C79" s="11">
        <v>1</v>
      </c>
      <c r="D79" s="11">
        <v>1</v>
      </c>
      <c r="E79" s="10">
        <v>2</v>
      </c>
      <c r="F79" s="10" t="s">
        <v>14</v>
      </c>
      <c r="G79" s="10">
        <v>4</v>
      </c>
      <c r="H79" s="10">
        <v>1</v>
      </c>
      <c r="I79" s="10">
        <v>10</v>
      </c>
      <c r="J79" s="10">
        <v>34</v>
      </c>
      <c r="K79" s="10">
        <v>0</v>
      </c>
      <c r="L79" s="10" t="s">
        <v>93</v>
      </c>
      <c r="M79" s="1" t="e">
        <f>VLOOKUP(FindStrFirstNum($A79,[1]Sheet1!$I$3:$I$43,[1]Sheet1!$A$3:$A$43),[1]Sheet1!$A:$I,7,0)</f>
        <v>#N/A</v>
      </c>
      <c r="U79" s="1" t="e">
        <f>INT(MID($B79,MIN(FIND({0,1,2,3,4,5,6,7,8,9},$B79&amp;"0123456789")),LEN($B79)*2-LENB($B79)))</f>
        <v>#VALUE!</v>
      </c>
      <c r="V79" s="1" t="str">
        <f t="shared" si="2"/>
        <v>累计充值 [00821cff]1[-] 元</v>
      </c>
    </row>
    <row r="80" spans="1:22">
      <c r="A80" s="10">
        <v>4032</v>
      </c>
      <c r="B80" s="10" t="s">
        <v>258</v>
      </c>
      <c r="C80" s="11">
        <v>1</v>
      </c>
      <c r="D80" s="11">
        <v>1</v>
      </c>
      <c r="E80" s="10">
        <v>2</v>
      </c>
      <c r="F80" s="10" t="s">
        <v>14</v>
      </c>
      <c r="G80" s="10">
        <v>4</v>
      </c>
      <c r="H80" s="10">
        <v>1</v>
      </c>
      <c r="I80" s="10">
        <v>30</v>
      </c>
      <c r="J80" s="10">
        <v>34</v>
      </c>
      <c r="K80" s="10">
        <v>0</v>
      </c>
      <c r="L80" s="10" t="s">
        <v>94</v>
      </c>
      <c r="M80" s="1" t="e">
        <f>VLOOKUP(FindStrFirstNum($A80,[1]Sheet1!$I$3:$I$43,[1]Sheet1!$A$3:$A$43),[1]Sheet1!$A:$I,7,0)</f>
        <v>#N/A</v>
      </c>
      <c r="U80" s="1" t="e">
        <f>INT(MID($B80,MIN(FIND({0,1,2,3,4,5,6,7,8,9},$B80&amp;"0123456789")),LEN($B80)*2-LENB($B80)))</f>
        <v>#VALUE!</v>
      </c>
      <c r="V80" s="1" t="str">
        <f t="shared" si="2"/>
        <v>累计充值 [00821cff]3[-] 元</v>
      </c>
    </row>
    <row r="81" spans="1:22">
      <c r="A81" s="14">
        <v>4041</v>
      </c>
      <c r="B81" s="14" t="s">
        <v>257</v>
      </c>
      <c r="C81" s="15">
        <v>1</v>
      </c>
      <c r="D81" s="15">
        <v>1</v>
      </c>
      <c r="E81" s="14">
        <v>2</v>
      </c>
      <c r="F81" s="14" t="s">
        <v>14</v>
      </c>
      <c r="G81" s="14">
        <v>4</v>
      </c>
      <c r="H81" s="14">
        <v>1</v>
      </c>
      <c r="I81" s="14">
        <v>10</v>
      </c>
      <c r="J81" s="14">
        <v>34</v>
      </c>
      <c r="K81" s="14">
        <v>0</v>
      </c>
      <c r="L81" s="14" t="s">
        <v>95</v>
      </c>
      <c r="M81" s="1" t="e">
        <f>VLOOKUP(FindStrFirstNum($A81,[1]Sheet1!$I$3:$I$43,[1]Sheet1!$A$3:$A$43),[1]Sheet1!$A:$I,7,0)</f>
        <v>#N/A</v>
      </c>
      <c r="U81" s="1" t="e">
        <f>INT(MID($B81,MIN(FIND({0,1,2,3,4,5,6,7,8,9},$B81&amp;"0123456789")),LEN($B81)*2-LENB($B81)))</f>
        <v>#VALUE!</v>
      </c>
      <c r="V81" s="1" t="str">
        <f t="shared" si="2"/>
        <v>累计充值 [00821cff]1[-] 元</v>
      </c>
    </row>
    <row r="82" spans="1:22">
      <c r="A82" s="14">
        <v>4042</v>
      </c>
      <c r="B82" s="14" t="s">
        <v>258</v>
      </c>
      <c r="C82" s="15">
        <v>1</v>
      </c>
      <c r="D82" s="15">
        <v>1</v>
      </c>
      <c r="E82" s="14">
        <v>2</v>
      </c>
      <c r="F82" s="14" t="s">
        <v>14</v>
      </c>
      <c r="G82" s="14">
        <v>4</v>
      </c>
      <c r="H82" s="14">
        <v>1</v>
      </c>
      <c r="I82" s="14">
        <v>30</v>
      </c>
      <c r="J82" s="14">
        <v>34</v>
      </c>
      <c r="K82" s="14">
        <v>0</v>
      </c>
      <c r="L82" s="14" t="s">
        <v>96</v>
      </c>
      <c r="M82" s="1" t="e">
        <f>VLOOKUP(FindStrFirstNum($A82,[1]Sheet1!$I$3:$I$43,[1]Sheet1!$A$3:$A$43),[1]Sheet1!$A:$I,7,0)</f>
        <v>#N/A</v>
      </c>
      <c r="U82" s="1" t="e">
        <f>INT(MID($B82,MIN(FIND({0,1,2,3,4,5,6,7,8,9},$B82&amp;"0123456789")),LEN($B82)*2-LENB($B82)))</f>
        <v>#VALUE!</v>
      </c>
      <c r="V82" s="1" t="str">
        <f t="shared" si="2"/>
        <v>累计充值 [00821cff]3[-] 元</v>
      </c>
    </row>
    <row r="83" spans="1:22">
      <c r="A83" s="10">
        <v>4051</v>
      </c>
      <c r="B83" s="10" t="s">
        <v>257</v>
      </c>
      <c r="C83" s="11">
        <v>1</v>
      </c>
      <c r="D83" s="11">
        <v>1</v>
      </c>
      <c r="E83" s="10">
        <v>2</v>
      </c>
      <c r="F83" s="10" t="s">
        <v>14</v>
      </c>
      <c r="G83" s="10">
        <v>4</v>
      </c>
      <c r="H83" s="10">
        <v>1</v>
      </c>
      <c r="I83" s="10">
        <v>10</v>
      </c>
      <c r="J83" s="10">
        <v>34</v>
      </c>
      <c r="K83" s="10">
        <v>0</v>
      </c>
      <c r="L83" s="10" t="s">
        <v>97</v>
      </c>
      <c r="M83" s="1" t="e">
        <f>VLOOKUP(FindStrFirstNum($A83,[1]Sheet1!$I$3:$I$43,[1]Sheet1!$A$3:$A$43),[1]Sheet1!$A:$I,7,0)</f>
        <v>#N/A</v>
      </c>
      <c r="U83" s="1" t="e">
        <f>INT(MID($B83,MIN(FIND({0,1,2,3,4,5,6,7,8,9},$B83&amp;"0123456789")),LEN($B83)*2-LENB($B83)))</f>
        <v>#VALUE!</v>
      </c>
      <c r="V83" s="1" t="str">
        <f t="shared" si="2"/>
        <v>累计充值 [00821cff]1[-] 元</v>
      </c>
    </row>
    <row r="84" spans="1:22">
      <c r="A84" s="10">
        <v>4052</v>
      </c>
      <c r="B84" s="10" t="s">
        <v>258</v>
      </c>
      <c r="C84" s="11">
        <v>1</v>
      </c>
      <c r="D84" s="11">
        <v>1</v>
      </c>
      <c r="E84" s="10">
        <v>2</v>
      </c>
      <c r="F84" s="10" t="s">
        <v>14</v>
      </c>
      <c r="G84" s="10">
        <v>4</v>
      </c>
      <c r="H84" s="10">
        <v>1</v>
      </c>
      <c r="I84" s="10">
        <v>30</v>
      </c>
      <c r="J84" s="10">
        <v>34</v>
      </c>
      <c r="K84" s="10">
        <v>0</v>
      </c>
      <c r="L84" s="10" t="s">
        <v>98</v>
      </c>
      <c r="M84" s="1" t="e">
        <f>VLOOKUP(FindStrFirstNum($A84,[1]Sheet1!$I$3:$I$43,[1]Sheet1!$A$3:$A$43),[1]Sheet1!$A:$I,7,0)</f>
        <v>#N/A</v>
      </c>
      <c r="U84" s="1" t="e">
        <f>INT(MID($B84,MIN(FIND({0,1,2,3,4,5,6,7,8,9},$B84&amp;"0123456789")),LEN($B84)*2-LENB($B84)))</f>
        <v>#VALUE!</v>
      </c>
      <c r="V84" s="1" t="str">
        <f t="shared" si="2"/>
        <v>累计充值 [00821cff]3[-] 元</v>
      </c>
    </row>
    <row r="85" spans="1:22">
      <c r="A85" s="14">
        <v>4061</v>
      </c>
      <c r="B85" s="14" t="s">
        <v>257</v>
      </c>
      <c r="C85" s="15">
        <v>1</v>
      </c>
      <c r="D85" s="15">
        <v>1</v>
      </c>
      <c r="E85" s="14">
        <v>2</v>
      </c>
      <c r="F85" s="14" t="s">
        <v>14</v>
      </c>
      <c r="G85" s="14">
        <v>4</v>
      </c>
      <c r="H85" s="14">
        <v>1</v>
      </c>
      <c r="I85" s="14">
        <v>10</v>
      </c>
      <c r="J85" s="14">
        <v>34</v>
      </c>
      <c r="K85" s="14">
        <v>0</v>
      </c>
      <c r="L85" s="14" t="s">
        <v>99</v>
      </c>
      <c r="M85" s="1" t="e">
        <f>VLOOKUP(FindStrFirstNum($A85,[1]Sheet1!$I$3:$I$43,[1]Sheet1!$A$3:$A$43),[1]Sheet1!$A:$I,7,0)</f>
        <v>#N/A</v>
      </c>
      <c r="U85" s="1" t="e">
        <f>INT(MID($B85,MIN(FIND({0,1,2,3,4,5,6,7,8,9},$B85&amp;"0123456789")),LEN($B85)*2-LENB($B85)))</f>
        <v>#VALUE!</v>
      </c>
      <c r="V85" s="1" t="str">
        <f t="shared" si="2"/>
        <v>累计充值 [00821cff]1[-] 元</v>
      </c>
    </row>
    <row r="86" spans="1:22">
      <c r="A86" s="14">
        <v>4062</v>
      </c>
      <c r="B86" s="14" t="s">
        <v>258</v>
      </c>
      <c r="C86" s="15">
        <v>1</v>
      </c>
      <c r="D86" s="15">
        <v>1</v>
      </c>
      <c r="E86" s="14">
        <v>2</v>
      </c>
      <c r="F86" s="14" t="s">
        <v>14</v>
      </c>
      <c r="G86" s="14">
        <v>4</v>
      </c>
      <c r="H86" s="14">
        <v>1</v>
      </c>
      <c r="I86" s="14">
        <v>30</v>
      </c>
      <c r="J86" s="14">
        <v>34</v>
      </c>
      <c r="K86" s="14">
        <v>0</v>
      </c>
      <c r="L86" s="14" t="s">
        <v>100</v>
      </c>
      <c r="M86" s="1" t="e">
        <f>VLOOKUP(FindStrFirstNum($A86,[1]Sheet1!$I$3:$I$43,[1]Sheet1!$A$3:$A$43),[1]Sheet1!$A:$I,7,0)</f>
        <v>#N/A</v>
      </c>
      <c r="U86" s="1" t="e">
        <f>INT(MID($B86,MIN(FIND({0,1,2,3,4,5,6,7,8,9},$B86&amp;"0123456789")),LEN($B86)*2-LENB($B86)))</f>
        <v>#VALUE!</v>
      </c>
      <c r="V86" s="1" t="str">
        <f t="shared" si="2"/>
        <v>累计充值 [00821cff]3[-] 元</v>
      </c>
    </row>
    <row r="87" spans="1:22">
      <c r="A87" s="10">
        <v>4071</v>
      </c>
      <c r="B87" s="10" t="s">
        <v>257</v>
      </c>
      <c r="C87" s="11">
        <v>1</v>
      </c>
      <c r="D87" s="11">
        <v>1</v>
      </c>
      <c r="E87" s="10">
        <v>2</v>
      </c>
      <c r="F87" s="10" t="s">
        <v>14</v>
      </c>
      <c r="G87" s="10">
        <v>4</v>
      </c>
      <c r="H87" s="10">
        <v>1</v>
      </c>
      <c r="I87" s="10">
        <v>10</v>
      </c>
      <c r="J87" s="10">
        <v>34</v>
      </c>
      <c r="K87" s="10">
        <v>0</v>
      </c>
      <c r="L87" s="10" t="s">
        <v>101</v>
      </c>
      <c r="M87" s="1" t="e">
        <f>VLOOKUP(FindStrFirstNum($A87,[1]Sheet1!$I$3:$I$43,[1]Sheet1!$A$3:$A$43),[1]Sheet1!$A:$I,7,0)</f>
        <v>#N/A</v>
      </c>
      <c r="U87" s="1" t="e">
        <f>INT(MID($B87,MIN(FIND({0,1,2,3,4,5,6,7,8,9},$B87&amp;"0123456789")),LEN($B87)*2-LENB($B87)))</f>
        <v>#VALUE!</v>
      </c>
      <c r="V87" s="1" t="str">
        <f t="shared" si="2"/>
        <v>累计充值 [00821cff]1[-] 元</v>
      </c>
    </row>
    <row r="88" spans="1:22">
      <c r="A88" s="10">
        <v>4072</v>
      </c>
      <c r="B88" s="10" t="s">
        <v>258</v>
      </c>
      <c r="C88" s="11">
        <v>1</v>
      </c>
      <c r="D88" s="11">
        <v>1</v>
      </c>
      <c r="E88" s="10">
        <v>2</v>
      </c>
      <c r="F88" s="10" t="s">
        <v>14</v>
      </c>
      <c r="G88" s="10">
        <v>4</v>
      </c>
      <c r="H88" s="10">
        <v>1</v>
      </c>
      <c r="I88" s="10">
        <v>30</v>
      </c>
      <c r="J88" s="10">
        <v>34</v>
      </c>
      <c r="K88" s="10">
        <v>0</v>
      </c>
      <c r="L88" s="10" t="s">
        <v>102</v>
      </c>
      <c r="M88" s="1" t="e">
        <f>VLOOKUP(FindStrFirstNum($A88,[1]Sheet1!$I$3:$I$43,[1]Sheet1!$A$3:$A$43),[1]Sheet1!$A:$I,7,0)</f>
        <v>#N/A</v>
      </c>
      <c r="U88" s="1" t="e">
        <f>INT(MID($B88,MIN(FIND({0,1,2,3,4,5,6,7,8,9},$B88&amp;"0123456789")),LEN($B88)*2-LENB($B88)))</f>
        <v>#VALUE!</v>
      </c>
      <c r="V88" s="1" t="str">
        <f t="shared" si="2"/>
        <v>累计充值 [00821cff]3[-] 元</v>
      </c>
    </row>
    <row r="89" spans="1:22">
      <c r="A89" s="12">
        <v>5011</v>
      </c>
      <c r="B89" s="12" t="s">
        <v>259</v>
      </c>
      <c r="C89" s="13">
        <v>1</v>
      </c>
      <c r="D89" s="13">
        <v>1</v>
      </c>
      <c r="E89" s="12">
        <v>2</v>
      </c>
      <c r="F89" s="12" t="s">
        <v>14</v>
      </c>
      <c r="G89" s="12">
        <v>4</v>
      </c>
      <c r="H89" s="12">
        <v>1</v>
      </c>
      <c r="I89" s="12">
        <v>60</v>
      </c>
      <c r="J89" s="12">
        <v>34</v>
      </c>
      <c r="K89" s="12">
        <v>0</v>
      </c>
      <c r="L89" s="12" t="s">
        <v>105</v>
      </c>
      <c r="M89" s="1" t="e">
        <f>VLOOKUP(FindStrFirstNum($A89,[1]Sheet1!$I$3:$I$43,[1]Sheet1!$A$3:$A$43),[1]Sheet1!$A:$I,7,0)</f>
        <v>#N/A</v>
      </c>
      <c r="U89" s="1" t="e">
        <f>INT(MID($B89,MIN(FIND({0,1,2,3,4,5,6,7,8,9},$B89&amp;"0123456789")),LEN($B89)*2-LENB($B89)))</f>
        <v>#VALUE!</v>
      </c>
      <c r="V89" s="1" t="str">
        <f t="shared" si="2"/>
        <v>今日累计充值 [00821cff]6[-] 元</v>
      </c>
    </row>
    <row r="90" spans="1:22">
      <c r="A90" s="12">
        <v>5012</v>
      </c>
      <c r="B90" s="12" t="s">
        <v>260</v>
      </c>
      <c r="C90" s="13">
        <v>1</v>
      </c>
      <c r="D90" s="13">
        <v>1</v>
      </c>
      <c r="E90" s="12">
        <v>2</v>
      </c>
      <c r="F90" s="12" t="s">
        <v>14</v>
      </c>
      <c r="G90" s="12">
        <v>4</v>
      </c>
      <c r="H90" s="12">
        <v>1</v>
      </c>
      <c r="I90" s="12">
        <v>250</v>
      </c>
      <c r="J90" s="12">
        <v>34</v>
      </c>
      <c r="K90" s="12">
        <v>0</v>
      </c>
      <c r="L90" s="12" t="s">
        <v>106</v>
      </c>
      <c r="M90" s="1" t="e">
        <f>VLOOKUP(FindStrFirstNum($A90,[1]Sheet1!$I$3:$I$43,[1]Sheet1!$A$3:$A$43),[1]Sheet1!$A:$I,7,0)</f>
        <v>#N/A</v>
      </c>
      <c r="U90" s="1" t="e">
        <f>INT(MID($B90,MIN(FIND({0,1,2,3,4,5,6,7,8,9},$B90&amp;"0123456789")),LEN($B90)*2-LENB($B90)))</f>
        <v>#VALUE!</v>
      </c>
      <c r="V90" s="1" t="str">
        <f t="shared" si="2"/>
        <v>今日累计充值 [00821cff]25[-] 元</v>
      </c>
    </row>
    <row r="91" spans="1:22">
      <c r="A91" s="12">
        <v>5013</v>
      </c>
      <c r="B91" s="12" t="s">
        <v>261</v>
      </c>
      <c r="C91" s="13">
        <v>1</v>
      </c>
      <c r="D91" s="13">
        <v>1</v>
      </c>
      <c r="E91" s="12">
        <v>2</v>
      </c>
      <c r="F91" s="12" t="s">
        <v>14</v>
      </c>
      <c r="G91" s="12">
        <v>4</v>
      </c>
      <c r="H91" s="12">
        <v>1</v>
      </c>
      <c r="I91" s="12">
        <v>500</v>
      </c>
      <c r="J91" s="12">
        <v>34</v>
      </c>
      <c r="K91" s="12">
        <v>0</v>
      </c>
      <c r="L91" s="12" t="s">
        <v>107</v>
      </c>
      <c r="M91" s="1" t="e">
        <f>VLOOKUP(FindStrFirstNum($A91,[1]Sheet1!$I$3:$I$43,[1]Sheet1!$A$3:$A$43),[1]Sheet1!$A:$I,7,0)</f>
        <v>#N/A</v>
      </c>
      <c r="U91" s="1" t="e">
        <f>INT(MID($B91,MIN(FIND({0,1,2,3,4,5,6,7,8,9},$B91&amp;"0123456789")),LEN($B91)*2-LENB($B91)))</f>
        <v>#VALUE!</v>
      </c>
      <c r="V91" s="1" t="str">
        <f t="shared" si="2"/>
        <v>今日累计充值 [00821cff]50[-] 元</v>
      </c>
    </row>
    <row r="92" spans="1:22">
      <c r="A92" s="12">
        <v>5014</v>
      </c>
      <c r="B92" s="12" t="s">
        <v>262</v>
      </c>
      <c r="C92" s="13">
        <v>1</v>
      </c>
      <c r="D92" s="13">
        <v>1</v>
      </c>
      <c r="E92" s="12">
        <v>2</v>
      </c>
      <c r="F92" s="12" t="s">
        <v>14</v>
      </c>
      <c r="G92" s="12">
        <v>4</v>
      </c>
      <c r="H92" s="12">
        <v>1</v>
      </c>
      <c r="I92" s="12">
        <v>1000</v>
      </c>
      <c r="J92" s="12">
        <v>34</v>
      </c>
      <c r="K92" s="12">
        <v>0</v>
      </c>
      <c r="L92" s="12" t="s">
        <v>108</v>
      </c>
      <c r="M92" s="1" t="e">
        <f>VLOOKUP(FindStrFirstNum($A92,[1]Sheet1!$I$3:$I$43,[1]Sheet1!$A$3:$A$43),[1]Sheet1!$A:$I,7,0)</f>
        <v>#N/A</v>
      </c>
      <c r="U92" s="1" t="e">
        <f>INT(MID($B92,MIN(FIND({0,1,2,3,4,5,6,7,8,9},$B92&amp;"0123456789")),LEN($B92)*2-LENB($B92)))</f>
        <v>#VALUE!</v>
      </c>
      <c r="V92" s="1" t="str">
        <f t="shared" si="2"/>
        <v>今日累计充值 [00821cff]100[-] 元</v>
      </c>
    </row>
    <row r="93" spans="1:22">
      <c r="A93" s="12">
        <v>5015</v>
      </c>
      <c r="B93" s="12" t="s">
        <v>263</v>
      </c>
      <c r="C93" s="13">
        <v>1</v>
      </c>
      <c r="D93" s="13">
        <v>1</v>
      </c>
      <c r="E93" s="12">
        <v>2</v>
      </c>
      <c r="F93" s="12" t="s">
        <v>14</v>
      </c>
      <c r="G93" s="12">
        <v>4</v>
      </c>
      <c r="H93" s="12">
        <v>1</v>
      </c>
      <c r="I93" s="12">
        <v>1680</v>
      </c>
      <c r="J93" s="12">
        <v>34</v>
      </c>
      <c r="K93" s="12">
        <v>0</v>
      </c>
      <c r="L93" s="12" t="s">
        <v>109</v>
      </c>
      <c r="M93" s="1" t="e">
        <f>VLOOKUP(FindStrFirstNum($A93,[1]Sheet1!$I$3:$I$43,[1]Sheet1!$A$3:$A$43),[1]Sheet1!$A:$I,7,0)</f>
        <v>#N/A</v>
      </c>
      <c r="U93" s="1" t="e">
        <f>INT(MID($B93,MIN(FIND({0,1,2,3,4,5,6,7,8,9},$B93&amp;"0123456789")),LEN($B93)*2-LENB($B93)))</f>
        <v>#VALUE!</v>
      </c>
      <c r="V93" s="1" t="str">
        <f t="shared" si="2"/>
        <v>今日累计充值 [00821cff]168[-] 元</v>
      </c>
    </row>
    <row r="94" spans="1:22">
      <c r="A94" s="16">
        <v>5021</v>
      </c>
      <c r="B94" s="16" t="s">
        <v>259</v>
      </c>
      <c r="C94" s="17">
        <v>1</v>
      </c>
      <c r="D94" s="17">
        <v>1</v>
      </c>
      <c r="E94" s="16">
        <v>2</v>
      </c>
      <c r="F94" s="16" t="s">
        <v>14</v>
      </c>
      <c r="G94" s="16">
        <v>4</v>
      </c>
      <c r="H94" s="16">
        <v>1</v>
      </c>
      <c r="I94" s="16">
        <v>60</v>
      </c>
      <c r="J94" s="16">
        <v>34</v>
      </c>
      <c r="K94" s="16">
        <v>0</v>
      </c>
      <c r="L94" s="16" t="s">
        <v>105</v>
      </c>
      <c r="M94" s="1" t="e">
        <f>VLOOKUP(FindStrFirstNum($A94,[1]Sheet1!$I$3:$I$43,[1]Sheet1!$A$3:$A$43),[1]Sheet1!$A:$I,7,0)</f>
        <v>#N/A</v>
      </c>
      <c r="U94" s="1" t="e">
        <f>INT(MID($B94,MIN(FIND({0,1,2,3,4,5,6,7,8,9},$B94&amp;"0123456789")),LEN($B94)*2-LENB($B94)))</f>
        <v>#VALUE!</v>
      </c>
      <c r="V94" s="1" t="str">
        <f t="shared" si="2"/>
        <v>今日累计充值 [00821cff]6[-] 元</v>
      </c>
    </row>
    <row r="95" spans="1:22">
      <c r="A95" s="16">
        <v>5022</v>
      </c>
      <c r="B95" s="16" t="s">
        <v>260</v>
      </c>
      <c r="C95" s="17">
        <v>1</v>
      </c>
      <c r="D95" s="17">
        <v>1</v>
      </c>
      <c r="E95" s="16">
        <v>2</v>
      </c>
      <c r="F95" s="16" t="s">
        <v>14</v>
      </c>
      <c r="G95" s="16">
        <v>4</v>
      </c>
      <c r="H95" s="16">
        <v>1</v>
      </c>
      <c r="I95" s="16">
        <v>250</v>
      </c>
      <c r="J95" s="16">
        <v>34</v>
      </c>
      <c r="K95" s="16">
        <v>0</v>
      </c>
      <c r="L95" s="16" t="s">
        <v>110</v>
      </c>
      <c r="M95" s="1" t="e">
        <f>VLOOKUP(FindStrFirstNum($A95,[1]Sheet1!$I$3:$I$43,[1]Sheet1!$A$3:$A$43),[1]Sheet1!$A:$I,7,0)</f>
        <v>#N/A</v>
      </c>
      <c r="U95" s="1" t="e">
        <f>INT(MID($B95,MIN(FIND({0,1,2,3,4,5,6,7,8,9},$B95&amp;"0123456789")),LEN($B95)*2-LENB($B95)))</f>
        <v>#VALUE!</v>
      </c>
      <c r="V95" s="1" t="str">
        <f t="shared" si="2"/>
        <v>今日累计充值 [00821cff]25[-] 元</v>
      </c>
    </row>
    <row r="96" spans="1:22">
      <c r="A96" s="16">
        <v>5023</v>
      </c>
      <c r="B96" s="16" t="s">
        <v>261</v>
      </c>
      <c r="C96" s="17">
        <v>1</v>
      </c>
      <c r="D96" s="17">
        <v>1</v>
      </c>
      <c r="E96" s="16">
        <v>2</v>
      </c>
      <c r="F96" s="16" t="s">
        <v>14</v>
      </c>
      <c r="G96" s="16">
        <v>4</v>
      </c>
      <c r="H96" s="16">
        <v>1</v>
      </c>
      <c r="I96" s="16">
        <v>500</v>
      </c>
      <c r="J96" s="16">
        <v>34</v>
      </c>
      <c r="K96" s="16">
        <v>0</v>
      </c>
      <c r="L96" s="16" t="s">
        <v>111</v>
      </c>
      <c r="M96" s="1" t="e">
        <f>VLOOKUP(FindStrFirstNum($A96,[1]Sheet1!$I$3:$I$43,[1]Sheet1!$A$3:$A$43),[1]Sheet1!$A:$I,7,0)</f>
        <v>#N/A</v>
      </c>
      <c r="U96" s="1" t="e">
        <f>INT(MID($B96,MIN(FIND({0,1,2,3,4,5,6,7,8,9},$B96&amp;"0123456789")),LEN($B96)*2-LENB($B96)))</f>
        <v>#VALUE!</v>
      </c>
      <c r="V96" s="1" t="str">
        <f t="shared" si="2"/>
        <v>今日累计充值 [00821cff]50[-] 元</v>
      </c>
    </row>
    <row r="97" spans="1:22">
      <c r="A97" s="16">
        <v>5024</v>
      </c>
      <c r="B97" s="16" t="s">
        <v>262</v>
      </c>
      <c r="C97" s="17">
        <v>1</v>
      </c>
      <c r="D97" s="17">
        <v>1</v>
      </c>
      <c r="E97" s="16">
        <v>2</v>
      </c>
      <c r="F97" s="16" t="s">
        <v>14</v>
      </c>
      <c r="G97" s="16">
        <v>4</v>
      </c>
      <c r="H97" s="16">
        <v>1</v>
      </c>
      <c r="I97" s="16">
        <v>1000</v>
      </c>
      <c r="J97" s="16">
        <v>34</v>
      </c>
      <c r="K97" s="16">
        <v>0</v>
      </c>
      <c r="L97" s="16" t="s">
        <v>112</v>
      </c>
      <c r="M97" s="1" t="e">
        <f>VLOOKUP(FindStrFirstNum($A97,[1]Sheet1!$I$3:$I$43,[1]Sheet1!$A$3:$A$43),[1]Sheet1!$A:$I,7,0)</f>
        <v>#N/A</v>
      </c>
      <c r="U97" s="1" t="e">
        <f>INT(MID($B97,MIN(FIND({0,1,2,3,4,5,6,7,8,9},$B97&amp;"0123456789")),LEN($B97)*2-LENB($B97)))</f>
        <v>#VALUE!</v>
      </c>
      <c r="V97" s="1" t="str">
        <f t="shared" si="2"/>
        <v>今日累计充值 [00821cff]100[-] 元</v>
      </c>
    </row>
    <row r="98" spans="1:22">
      <c r="A98" s="16">
        <v>5025</v>
      </c>
      <c r="B98" s="16" t="s">
        <v>264</v>
      </c>
      <c r="C98" s="17">
        <v>1</v>
      </c>
      <c r="D98" s="17">
        <v>1</v>
      </c>
      <c r="E98" s="16">
        <v>2</v>
      </c>
      <c r="F98" s="16" t="s">
        <v>14</v>
      </c>
      <c r="G98" s="16">
        <v>4</v>
      </c>
      <c r="H98" s="16">
        <v>1</v>
      </c>
      <c r="I98" s="16">
        <v>1680</v>
      </c>
      <c r="J98" s="16">
        <v>34</v>
      </c>
      <c r="K98" s="16">
        <v>1</v>
      </c>
      <c r="L98" s="16" t="s">
        <v>124</v>
      </c>
      <c r="M98" s="1" t="e">
        <f>VLOOKUP(FindStrFirstNum($A98,[1]Sheet1!$I$3:$I$43,[1]Sheet1!$A$3:$A$43),[1]Sheet1!$A:$I,7,0)</f>
        <v>#N/A</v>
      </c>
      <c r="U98" s="1" t="e">
        <f>INT(MID($B98,MIN(FIND({0,1,2,3,4,5,6,7,8,9},$B98&amp;"0123456789")),LEN($B98)*2-LENB($B98)))</f>
        <v>#VALUE!</v>
      </c>
      <c r="V98" s="1" t="str">
        <f t="shared" si="2"/>
        <v>今日累计充值 [00821cff]168[-] 元（四选一）</v>
      </c>
    </row>
    <row r="99" spans="1:22">
      <c r="A99" s="12">
        <v>5031</v>
      </c>
      <c r="B99" s="12" t="s">
        <v>259</v>
      </c>
      <c r="C99" s="13">
        <v>1</v>
      </c>
      <c r="D99" s="13">
        <v>1</v>
      </c>
      <c r="E99" s="12">
        <v>2</v>
      </c>
      <c r="F99" s="12" t="s">
        <v>14</v>
      </c>
      <c r="G99" s="12">
        <v>4</v>
      </c>
      <c r="H99" s="12">
        <v>1</v>
      </c>
      <c r="I99" s="12">
        <v>60</v>
      </c>
      <c r="J99" s="12">
        <v>34</v>
      </c>
      <c r="K99" s="12">
        <v>0</v>
      </c>
      <c r="L99" s="12" t="s">
        <v>105</v>
      </c>
      <c r="M99" s="1" t="e">
        <f>VLOOKUP(FindStrFirstNum($A99,[1]Sheet1!$I$3:$I$43,[1]Sheet1!$A$3:$A$43),[1]Sheet1!$A:$I,7,0)</f>
        <v>#N/A</v>
      </c>
      <c r="U99" s="1" t="e">
        <f>INT(MID($B99,MIN(FIND({0,1,2,3,4,5,6,7,8,9},$B99&amp;"0123456789")),LEN($B99)*2-LENB($B99)))</f>
        <v>#VALUE!</v>
      </c>
      <c r="V99" s="1" t="str">
        <f t="shared" si="2"/>
        <v>今日累计充值 [00821cff]6[-] 元</v>
      </c>
    </row>
    <row r="100" spans="1:22">
      <c r="A100" s="12">
        <v>5032</v>
      </c>
      <c r="B100" s="12" t="s">
        <v>260</v>
      </c>
      <c r="C100" s="13">
        <v>1</v>
      </c>
      <c r="D100" s="13">
        <v>1</v>
      </c>
      <c r="E100" s="12">
        <v>2</v>
      </c>
      <c r="F100" s="12" t="s">
        <v>14</v>
      </c>
      <c r="G100" s="12">
        <v>4</v>
      </c>
      <c r="H100" s="12">
        <v>1</v>
      </c>
      <c r="I100" s="12">
        <v>250</v>
      </c>
      <c r="J100" s="12">
        <v>34</v>
      </c>
      <c r="K100" s="12">
        <v>0</v>
      </c>
      <c r="L100" s="12" t="s">
        <v>113</v>
      </c>
      <c r="M100" s="1" t="e">
        <f>VLOOKUP(FindStrFirstNum($A100,[1]Sheet1!$I$3:$I$43,[1]Sheet1!$A$3:$A$43),[1]Sheet1!$A:$I,7,0)</f>
        <v>#N/A</v>
      </c>
      <c r="U100" s="1" t="e">
        <f>INT(MID($B100,MIN(FIND({0,1,2,3,4,5,6,7,8,9},$B100&amp;"0123456789")),LEN($B100)*2-LENB($B100)))</f>
        <v>#VALUE!</v>
      </c>
      <c r="V100" s="1" t="str">
        <f t="shared" ref="V100:V131" si="3">IF(ISERROR($U100),$B100,LEFT($B100,FIND($U100,$B100)-1)&amp;"[FF7400]"&amp;U100&amp;"[-]"&amp;IFERROR(RIGHT($B100,LEN($B100)-FIND($U100,$B100)-LEN($U100)+1),""))</f>
        <v>今日累计充值 [00821cff]25[-] 元</v>
      </c>
    </row>
    <row r="101" spans="1:22">
      <c r="A101" s="12">
        <v>5033</v>
      </c>
      <c r="B101" s="12" t="s">
        <v>261</v>
      </c>
      <c r="C101" s="13">
        <v>1</v>
      </c>
      <c r="D101" s="13">
        <v>1</v>
      </c>
      <c r="E101" s="12">
        <v>2</v>
      </c>
      <c r="F101" s="12" t="s">
        <v>14</v>
      </c>
      <c r="G101" s="12">
        <v>4</v>
      </c>
      <c r="H101" s="12">
        <v>1</v>
      </c>
      <c r="I101" s="12">
        <v>500</v>
      </c>
      <c r="J101" s="12">
        <v>34</v>
      </c>
      <c r="K101" s="12">
        <v>0</v>
      </c>
      <c r="L101" s="12" t="s">
        <v>114</v>
      </c>
      <c r="M101" s="1" t="e">
        <f>VLOOKUP(FindStrFirstNum($A101,[1]Sheet1!$I$3:$I$43,[1]Sheet1!$A$3:$A$43),[1]Sheet1!$A:$I,7,0)</f>
        <v>#N/A</v>
      </c>
      <c r="U101" s="1" t="e">
        <f>INT(MID($B101,MIN(FIND({0,1,2,3,4,5,6,7,8,9},$B101&amp;"0123456789")),LEN($B101)*2-LENB($B101)))</f>
        <v>#VALUE!</v>
      </c>
      <c r="V101" s="1" t="str">
        <f t="shared" si="3"/>
        <v>今日累计充值 [00821cff]50[-] 元</v>
      </c>
    </row>
    <row r="102" spans="1:22">
      <c r="A102" s="12">
        <v>5034</v>
      </c>
      <c r="B102" s="12" t="s">
        <v>262</v>
      </c>
      <c r="C102" s="13">
        <v>1</v>
      </c>
      <c r="D102" s="13">
        <v>1</v>
      </c>
      <c r="E102" s="12">
        <v>2</v>
      </c>
      <c r="F102" s="12" t="s">
        <v>14</v>
      </c>
      <c r="G102" s="12">
        <v>4</v>
      </c>
      <c r="H102" s="12">
        <v>1</v>
      </c>
      <c r="I102" s="12">
        <v>1000</v>
      </c>
      <c r="J102" s="12">
        <v>34</v>
      </c>
      <c r="K102" s="12">
        <v>0</v>
      </c>
      <c r="L102" s="12" t="s">
        <v>112</v>
      </c>
      <c r="M102" s="1" t="e">
        <f>VLOOKUP(FindStrFirstNum($A102,[1]Sheet1!$I$3:$I$43,[1]Sheet1!$A$3:$A$43),[1]Sheet1!$A:$I,7,0)</f>
        <v>#N/A</v>
      </c>
      <c r="U102" s="1" t="e">
        <f>INT(MID($B102,MIN(FIND({0,1,2,3,4,5,6,7,8,9},$B102&amp;"0123456789")),LEN($B102)*2-LENB($B102)))</f>
        <v>#VALUE!</v>
      </c>
      <c r="V102" s="1" t="str">
        <f t="shared" si="3"/>
        <v>今日累计充值 [00821cff]100[-] 元</v>
      </c>
    </row>
    <row r="103" spans="1:22">
      <c r="A103" s="12">
        <v>5035</v>
      </c>
      <c r="B103" s="12" t="s">
        <v>264</v>
      </c>
      <c r="C103" s="13">
        <v>1</v>
      </c>
      <c r="D103" s="13">
        <v>1</v>
      </c>
      <c r="E103" s="12">
        <v>2</v>
      </c>
      <c r="F103" s="12" t="s">
        <v>14</v>
      </c>
      <c r="G103" s="12">
        <v>4</v>
      </c>
      <c r="H103" s="12">
        <v>1</v>
      </c>
      <c r="I103" s="12">
        <v>1680</v>
      </c>
      <c r="J103" s="12">
        <v>34</v>
      </c>
      <c r="K103" s="12">
        <v>1</v>
      </c>
      <c r="L103" s="12" t="s">
        <v>124</v>
      </c>
      <c r="M103" s="1" t="e">
        <f>VLOOKUP(FindStrFirstNum($A103,[1]Sheet1!$I$3:$I$43,[1]Sheet1!$A$3:$A$43),[1]Sheet1!$A:$I,7,0)</f>
        <v>#N/A</v>
      </c>
      <c r="U103" s="1" t="e">
        <f>INT(MID($B103,MIN(FIND({0,1,2,3,4,5,6,7,8,9},$B103&amp;"0123456789")),LEN($B103)*2-LENB($B103)))</f>
        <v>#VALUE!</v>
      </c>
      <c r="V103" s="1" t="str">
        <f t="shared" si="3"/>
        <v>今日累计充值 [00821cff]168[-] 元（四选一）</v>
      </c>
    </row>
    <row r="104" spans="1:22">
      <c r="A104" s="16">
        <v>5041</v>
      </c>
      <c r="B104" s="16" t="s">
        <v>259</v>
      </c>
      <c r="C104" s="17">
        <v>1</v>
      </c>
      <c r="D104" s="17">
        <v>1</v>
      </c>
      <c r="E104" s="16">
        <v>2</v>
      </c>
      <c r="F104" s="16" t="s">
        <v>14</v>
      </c>
      <c r="G104" s="16">
        <v>4</v>
      </c>
      <c r="H104" s="16">
        <v>1</v>
      </c>
      <c r="I104" s="16">
        <v>60</v>
      </c>
      <c r="J104" s="16">
        <v>34</v>
      </c>
      <c r="K104" s="16">
        <v>0</v>
      </c>
      <c r="L104" s="16" t="s">
        <v>105</v>
      </c>
      <c r="M104" s="1" t="e">
        <f>VLOOKUP(FindStrFirstNum($A104,[1]Sheet1!$I$3:$I$43,[1]Sheet1!$A$3:$A$43),[1]Sheet1!$A:$I,7,0)</f>
        <v>#N/A</v>
      </c>
      <c r="U104" s="1" t="e">
        <f>INT(MID($B104,MIN(FIND({0,1,2,3,4,5,6,7,8,9},$B104&amp;"0123456789")),LEN($B104)*2-LENB($B104)))</f>
        <v>#VALUE!</v>
      </c>
      <c r="V104" s="1" t="str">
        <f t="shared" si="3"/>
        <v>今日累计充值 [00821cff]6[-] 元</v>
      </c>
    </row>
    <row r="105" spans="1:22">
      <c r="A105" s="16">
        <v>5042</v>
      </c>
      <c r="B105" s="16" t="s">
        <v>260</v>
      </c>
      <c r="C105" s="17">
        <v>1</v>
      </c>
      <c r="D105" s="17">
        <v>1</v>
      </c>
      <c r="E105" s="16">
        <v>2</v>
      </c>
      <c r="F105" s="16" t="s">
        <v>14</v>
      </c>
      <c r="G105" s="16">
        <v>4</v>
      </c>
      <c r="H105" s="16">
        <v>1</v>
      </c>
      <c r="I105" s="16">
        <v>250</v>
      </c>
      <c r="J105" s="16">
        <v>34</v>
      </c>
      <c r="K105" s="16">
        <v>0</v>
      </c>
      <c r="L105" s="16" t="s">
        <v>115</v>
      </c>
      <c r="M105" s="1" t="e">
        <f>VLOOKUP(FindStrFirstNum($A105,[1]Sheet1!$I$3:$I$43,[1]Sheet1!$A$3:$A$43),[1]Sheet1!$A:$I,7,0)</f>
        <v>#N/A</v>
      </c>
      <c r="U105" s="1" t="e">
        <f>INT(MID($B105,MIN(FIND({0,1,2,3,4,5,6,7,8,9},$B105&amp;"0123456789")),LEN($B105)*2-LENB($B105)))</f>
        <v>#VALUE!</v>
      </c>
      <c r="V105" s="1" t="str">
        <f t="shared" si="3"/>
        <v>今日累计充值 [00821cff]25[-] 元</v>
      </c>
    </row>
    <row r="106" spans="1:22">
      <c r="A106" s="16">
        <v>5043</v>
      </c>
      <c r="B106" s="16" t="s">
        <v>261</v>
      </c>
      <c r="C106" s="17">
        <v>1</v>
      </c>
      <c r="D106" s="17">
        <v>1</v>
      </c>
      <c r="E106" s="16">
        <v>2</v>
      </c>
      <c r="F106" s="16" t="s">
        <v>14</v>
      </c>
      <c r="G106" s="16">
        <v>4</v>
      </c>
      <c r="H106" s="16">
        <v>1</v>
      </c>
      <c r="I106" s="16">
        <v>500</v>
      </c>
      <c r="J106" s="16">
        <v>34</v>
      </c>
      <c r="K106" s="16">
        <v>0</v>
      </c>
      <c r="L106" s="16" t="s">
        <v>116</v>
      </c>
      <c r="M106" s="1" t="e">
        <f>VLOOKUP(FindStrFirstNum($A106,[1]Sheet1!$I$3:$I$43,[1]Sheet1!$A$3:$A$43),[1]Sheet1!$A:$I,7,0)</f>
        <v>#N/A</v>
      </c>
      <c r="U106" s="1" t="e">
        <f>INT(MID($B106,MIN(FIND({0,1,2,3,4,5,6,7,8,9},$B106&amp;"0123456789")),LEN($B106)*2-LENB($B106)))</f>
        <v>#VALUE!</v>
      </c>
      <c r="V106" s="1" t="str">
        <f t="shared" si="3"/>
        <v>今日累计充值 [00821cff]50[-] 元</v>
      </c>
    </row>
    <row r="107" spans="1:22">
      <c r="A107" s="16">
        <v>5044</v>
      </c>
      <c r="B107" s="16" t="s">
        <v>262</v>
      </c>
      <c r="C107" s="17">
        <v>1</v>
      </c>
      <c r="D107" s="17">
        <v>1</v>
      </c>
      <c r="E107" s="16">
        <v>2</v>
      </c>
      <c r="F107" s="16" t="s">
        <v>14</v>
      </c>
      <c r="G107" s="16">
        <v>4</v>
      </c>
      <c r="H107" s="16">
        <v>1</v>
      </c>
      <c r="I107" s="16">
        <v>1000</v>
      </c>
      <c r="J107" s="16">
        <v>34</v>
      </c>
      <c r="K107" s="16">
        <v>0</v>
      </c>
      <c r="L107" s="16" t="s">
        <v>117</v>
      </c>
      <c r="M107" s="1" t="e">
        <f>VLOOKUP(FindStrFirstNum($A107,[1]Sheet1!$I$3:$I$43,[1]Sheet1!$A$3:$A$43),[1]Sheet1!$A:$I,7,0)</f>
        <v>#N/A</v>
      </c>
      <c r="U107" s="1" t="e">
        <f>INT(MID($B107,MIN(FIND({0,1,2,3,4,5,6,7,8,9},$B107&amp;"0123456789")),LEN($B107)*2-LENB($B107)))</f>
        <v>#VALUE!</v>
      </c>
      <c r="V107" s="1" t="str">
        <f t="shared" si="3"/>
        <v>今日累计充值 [00821cff]100[-] 元</v>
      </c>
    </row>
    <row r="108" spans="1:22">
      <c r="A108" s="16">
        <v>5045</v>
      </c>
      <c r="B108" s="16" t="s">
        <v>264</v>
      </c>
      <c r="C108" s="17">
        <v>1</v>
      </c>
      <c r="D108" s="17">
        <v>1</v>
      </c>
      <c r="E108" s="16">
        <v>2</v>
      </c>
      <c r="F108" s="16" t="s">
        <v>14</v>
      </c>
      <c r="G108" s="16">
        <v>4</v>
      </c>
      <c r="H108" s="16">
        <v>1</v>
      </c>
      <c r="I108" s="16">
        <v>1680</v>
      </c>
      <c r="J108" s="16">
        <v>34</v>
      </c>
      <c r="K108" s="16">
        <v>1</v>
      </c>
      <c r="L108" s="16" t="s">
        <v>124</v>
      </c>
      <c r="M108" s="1" t="e">
        <f>VLOOKUP(FindStrFirstNum($A108,[1]Sheet1!$I$3:$I$43,[1]Sheet1!$A$3:$A$43),[1]Sheet1!$A:$I,7,0)</f>
        <v>#N/A</v>
      </c>
      <c r="U108" s="1" t="e">
        <f>INT(MID($B108,MIN(FIND({0,1,2,3,4,5,6,7,8,9},$B108&amp;"0123456789")),LEN($B108)*2-LENB($B108)))</f>
        <v>#VALUE!</v>
      </c>
      <c r="V108" s="1" t="str">
        <f t="shared" si="3"/>
        <v>今日累计充值 [00821cff]168[-] 元（四选一）</v>
      </c>
    </row>
    <row r="109" spans="1:22">
      <c r="A109" s="12">
        <v>5051</v>
      </c>
      <c r="B109" s="12" t="s">
        <v>259</v>
      </c>
      <c r="C109" s="13">
        <v>1</v>
      </c>
      <c r="D109" s="13">
        <v>1</v>
      </c>
      <c r="E109" s="12">
        <v>2</v>
      </c>
      <c r="F109" s="12" t="s">
        <v>14</v>
      </c>
      <c r="G109" s="12">
        <v>4</v>
      </c>
      <c r="H109" s="12">
        <v>1</v>
      </c>
      <c r="I109" s="12">
        <v>60</v>
      </c>
      <c r="J109" s="12">
        <v>34</v>
      </c>
      <c r="K109" s="12">
        <v>0</v>
      </c>
      <c r="L109" s="12" t="s">
        <v>105</v>
      </c>
      <c r="M109" s="1" t="e">
        <f>VLOOKUP(FindStrFirstNum($A109,[1]Sheet1!$I$3:$I$43,[1]Sheet1!$A$3:$A$43),[1]Sheet1!$A:$I,7,0)</f>
        <v>#N/A</v>
      </c>
      <c r="U109" s="1" t="e">
        <f>INT(MID($B109,MIN(FIND({0,1,2,3,4,5,6,7,8,9},$B109&amp;"0123456789")),LEN($B109)*2-LENB($B109)))</f>
        <v>#VALUE!</v>
      </c>
      <c r="V109" s="1" t="str">
        <f t="shared" si="3"/>
        <v>今日累计充值 [00821cff]6[-] 元</v>
      </c>
    </row>
    <row r="110" spans="1:22">
      <c r="A110" s="12">
        <v>5052</v>
      </c>
      <c r="B110" s="12" t="s">
        <v>260</v>
      </c>
      <c r="C110" s="13">
        <v>1</v>
      </c>
      <c r="D110" s="13">
        <v>1</v>
      </c>
      <c r="E110" s="12">
        <v>2</v>
      </c>
      <c r="F110" s="12" t="s">
        <v>14</v>
      </c>
      <c r="G110" s="12">
        <v>4</v>
      </c>
      <c r="H110" s="12">
        <v>1</v>
      </c>
      <c r="I110" s="12">
        <v>250</v>
      </c>
      <c r="J110" s="12">
        <v>34</v>
      </c>
      <c r="K110" s="12">
        <v>0</v>
      </c>
      <c r="L110" s="12" t="s">
        <v>118</v>
      </c>
      <c r="M110" s="1" t="e">
        <f>VLOOKUP(FindStrFirstNum($A110,[1]Sheet1!$I$3:$I$43,[1]Sheet1!$A$3:$A$43),[1]Sheet1!$A:$I,7,0)</f>
        <v>#N/A</v>
      </c>
      <c r="U110" s="1" t="e">
        <f>INT(MID($B110,MIN(FIND({0,1,2,3,4,5,6,7,8,9},$B110&amp;"0123456789")),LEN($B110)*2-LENB($B110)))</f>
        <v>#VALUE!</v>
      </c>
      <c r="V110" s="1" t="str">
        <f t="shared" si="3"/>
        <v>今日累计充值 [00821cff]25[-] 元</v>
      </c>
    </row>
    <row r="111" spans="1:22">
      <c r="A111" s="12">
        <v>5053</v>
      </c>
      <c r="B111" s="12" t="s">
        <v>261</v>
      </c>
      <c r="C111" s="13">
        <v>1</v>
      </c>
      <c r="D111" s="13">
        <v>1</v>
      </c>
      <c r="E111" s="12">
        <v>2</v>
      </c>
      <c r="F111" s="12" t="s">
        <v>14</v>
      </c>
      <c r="G111" s="12">
        <v>4</v>
      </c>
      <c r="H111" s="12">
        <v>1</v>
      </c>
      <c r="I111" s="12">
        <v>500</v>
      </c>
      <c r="J111" s="12">
        <v>34</v>
      </c>
      <c r="K111" s="12">
        <v>0</v>
      </c>
      <c r="L111" s="12" t="s">
        <v>119</v>
      </c>
      <c r="M111" s="1" t="e">
        <f>VLOOKUP(FindStrFirstNum($A111,[1]Sheet1!$I$3:$I$43,[1]Sheet1!$A$3:$A$43),[1]Sheet1!$A:$I,7,0)</f>
        <v>#N/A</v>
      </c>
      <c r="U111" s="1" t="e">
        <f>INT(MID($B111,MIN(FIND({0,1,2,3,4,5,6,7,8,9},$B111&amp;"0123456789")),LEN($B111)*2-LENB($B111)))</f>
        <v>#VALUE!</v>
      </c>
      <c r="V111" s="1" t="str">
        <f t="shared" si="3"/>
        <v>今日累计充值 [00821cff]50[-] 元</v>
      </c>
    </row>
    <row r="112" spans="1:22">
      <c r="A112" s="12">
        <v>5054</v>
      </c>
      <c r="B112" s="12" t="s">
        <v>262</v>
      </c>
      <c r="C112" s="13">
        <v>1</v>
      </c>
      <c r="D112" s="13">
        <v>1</v>
      </c>
      <c r="E112" s="12">
        <v>2</v>
      </c>
      <c r="F112" s="12" t="s">
        <v>14</v>
      </c>
      <c r="G112" s="12">
        <v>4</v>
      </c>
      <c r="H112" s="12">
        <v>1</v>
      </c>
      <c r="I112" s="12">
        <v>1000</v>
      </c>
      <c r="J112" s="12">
        <v>34</v>
      </c>
      <c r="K112" s="12">
        <v>0</v>
      </c>
      <c r="L112" s="12" t="s">
        <v>120</v>
      </c>
      <c r="M112" s="1" t="e">
        <f>VLOOKUP(FindStrFirstNum($A112,[1]Sheet1!$I$3:$I$43,[1]Sheet1!$A$3:$A$43),[1]Sheet1!$A:$I,7,0)</f>
        <v>#N/A</v>
      </c>
      <c r="U112" s="1" t="e">
        <f>INT(MID($B112,MIN(FIND({0,1,2,3,4,5,6,7,8,9},$B112&amp;"0123456789")),LEN($B112)*2-LENB($B112)))</f>
        <v>#VALUE!</v>
      </c>
      <c r="V112" s="1" t="str">
        <f t="shared" si="3"/>
        <v>今日累计充值 [00821cff]100[-] 元</v>
      </c>
    </row>
    <row r="113" spans="1:22">
      <c r="A113" s="12">
        <v>5055</v>
      </c>
      <c r="B113" s="12" t="s">
        <v>264</v>
      </c>
      <c r="C113" s="13">
        <v>1</v>
      </c>
      <c r="D113" s="13">
        <v>1</v>
      </c>
      <c r="E113" s="12">
        <v>2</v>
      </c>
      <c r="F113" s="12" t="s">
        <v>14</v>
      </c>
      <c r="G113" s="12">
        <v>4</v>
      </c>
      <c r="H113" s="12">
        <v>1</v>
      </c>
      <c r="I113" s="12">
        <v>1680</v>
      </c>
      <c r="J113" s="12">
        <v>34</v>
      </c>
      <c r="K113" s="12">
        <v>1</v>
      </c>
      <c r="L113" s="12" t="s">
        <v>124</v>
      </c>
      <c r="M113" s="1" t="e">
        <f>VLOOKUP(FindStrFirstNum($A113,[1]Sheet1!$I$3:$I$43,[1]Sheet1!$A$3:$A$43),[1]Sheet1!$A:$I,7,0)</f>
        <v>#N/A</v>
      </c>
      <c r="U113" s="1" t="e">
        <f>INT(MID($B113,MIN(FIND({0,1,2,3,4,5,6,7,8,9},$B113&amp;"0123456789")),LEN($B113)*2-LENB($B113)))</f>
        <v>#VALUE!</v>
      </c>
      <c r="V113" s="1" t="str">
        <f t="shared" si="3"/>
        <v>今日累计充值 [00821cff]168[-] 元（四选一）</v>
      </c>
    </row>
    <row r="114" spans="1:22">
      <c r="A114" s="16">
        <v>5061</v>
      </c>
      <c r="B114" s="16" t="s">
        <v>259</v>
      </c>
      <c r="C114" s="17">
        <v>1</v>
      </c>
      <c r="D114" s="17">
        <v>1</v>
      </c>
      <c r="E114" s="16">
        <v>2</v>
      </c>
      <c r="F114" s="16" t="s">
        <v>14</v>
      </c>
      <c r="G114" s="16">
        <v>4</v>
      </c>
      <c r="H114" s="16">
        <v>1</v>
      </c>
      <c r="I114" s="16">
        <v>60</v>
      </c>
      <c r="J114" s="16">
        <v>34</v>
      </c>
      <c r="K114" s="16">
        <v>0</v>
      </c>
      <c r="L114" s="16" t="s">
        <v>105</v>
      </c>
      <c r="M114" s="1" t="e">
        <f>VLOOKUP(FindStrFirstNum($A114,[1]Sheet1!$I$3:$I$43,[1]Sheet1!$A$3:$A$43),[1]Sheet1!$A:$I,7,0)</f>
        <v>#N/A</v>
      </c>
      <c r="U114" s="1" t="e">
        <f>INT(MID($B114,MIN(FIND({0,1,2,3,4,5,6,7,8,9},$B114&amp;"0123456789")),LEN($B114)*2-LENB($B114)))</f>
        <v>#VALUE!</v>
      </c>
      <c r="V114" s="1" t="str">
        <f t="shared" si="3"/>
        <v>今日累计充值 [00821cff]6[-] 元</v>
      </c>
    </row>
    <row r="115" spans="1:22">
      <c r="A115" s="16">
        <v>5062</v>
      </c>
      <c r="B115" s="16" t="s">
        <v>260</v>
      </c>
      <c r="C115" s="17">
        <v>1</v>
      </c>
      <c r="D115" s="17">
        <v>1</v>
      </c>
      <c r="E115" s="16">
        <v>2</v>
      </c>
      <c r="F115" s="16" t="s">
        <v>14</v>
      </c>
      <c r="G115" s="16">
        <v>4</v>
      </c>
      <c r="H115" s="16">
        <v>1</v>
      </c>
      <c r="I115" s="16">
        <v>250</v>
      </c>
      <c r="J115" s="16">
        <v>34</v>
      </c>
      <c r="K115" s="16">
        <v>0</v>
      </c>
      <c r="L115" s="16" t="s">
        <v>115</v>
      </c>
      <c r="M115" s="1" t="e">
        <f>VLOOKUP(FindStrFirstNum($A115,[1]Sheet1!$I$3:$I$43,[1]Sheet1!$A$3:$A$43),[1]Sheet1!$A:$I,7,0)</f>
        <v>#N/A</v>
      </c>
      <c r="U115" s="1" t="e">
        <f>INT(MID($B115,MIN(FIND({0,1,2,3,4,5,6,7,8,9},$B115&amp;"0123456789")),LEN($B115)*2-LENB($B115)))</f>
        <v>#VALUE!</v>
      </c>
      <c r="V115" s="1" t="str">
        <f t="shared" si="3"/>
        <v>今日累计充值 [00821cff]25[-] 元</v>
      </c>
    </row>
    <row r="116" spans="1:22">
      <c r="A116" s="16">
        <v>5063</v>
      </c>
      <c r="B116" s="16" t="s">
        <v>261</v>
      </c>
      <c r="C116" s="17">
        <v>1</v>
      </c>
      <c r="D116" s="17">
        <v>1</v>
      </c>
      <c r="E116" s="16">
        <v>2</v>
      </c>
      <c r="F116" s="16" t="s">
        <v>14</v>
      </c>
      <c r="G116" s="16">
        <v>4</v>
      </c>
      <c r="H116" s="16">
        <v>1</v>
      </c>
      <c r="I116" s="16">
        <v>500</v>
      </c>
      <c r="J116" s="16">
        <v>34</v>
      </c>
      <c r="K116" s="16">
        <v>0</v>
      </c>
      <c r="L116" s="16" t="s">
        <v>121</v>
      </c>
      <c r="M116" s="1" t="e">
        <f>VLOOKUP(FindStrFirstNum($A116,[1]Sheet1!$I$3:$I$43,[1]Sheet1!$A$3:$A$43),[1]Sheet1!$A:$I,7,0)</f>
        <v>#N/A</v>
      </c>
      <c r="U116" s="1" t="e">
        <f>INT(MID($B116,MIN(FIND({0,1,2,3,4,5,6,7,8,9},$B116&amp;"0123456789")),LEN($B116)*2-LENB($B116)))</f>
        <v>#VALUE!</v>
      </c>
      <c r="V116" s="1" t="str">
        <f t="shared" si="3"/>
        <v>今日累计充值 [00821cff]50[-] 元</v>
      </c>
    </row>
    <row r="117" spans="1:22">
      <c r="A117" s="16">
        <v>5064</v>
      </c>
      <c r="B117" s="16" t="s">
        <v>262</v>
      </c>
      <c r="C117" s="17">
        <v>1</v>
      </c>
      <c r="D117" s="17">
        <v>1</v>
      </c>
      <c r="E117" s="16">
        <v>2</v>
      </c>
      <c r="F117" s="16" t="s">
        <v>14</v>
      </c>
      <c r="G117" s="16">
        <v>4</v>
      </c>
      <c r="H117" s="16">
        <v>1</v>
      </c>
      <c r="I117" s="16">
        <v>1000</v>
      </c>
      <c r="J117" s="16">
        <v>34</v>
      </c>
      <c r="K117" s="16">
        <v>0</v>
      </c>
      <c r="L117" s="16" t="s">
        <v>120</v>
      </c>
      <c r="M117" s="1" t="e">
        <f>VLOOKUP(FindStrFirstNum($A117,[1]Sheet1!$I$3:$I$43,[1]Sheet1!$A$3:$A$43),[1]Sheet1!$A:$I,7,0)</f>
        <v>#N/A</v>
      </c>
      <c r="U117" s="1" t="e">
        <f>INT(MID($B117,MIN(FIND({0,1,2,3,4,5,6,7,8,9},$B117&amp;"0123456789")),LEN($B117)*2-LENB($B117)))</f>
        <v>#VALUE!</v>
      </c>
      <c r="V117" s="1" t="str">
        <f t="shared" si="3"/>
        <v>今日累计充值 [00821cff]100[-] 元</v>
      </c>
    </row>
    <row r="118" spans="1:22">
      <c r="A118" s="16">
        <v>5065</v>
      </c>
      <c r="B118" s="16" t="s">
        <v>265</v>
      </c>
      <c r="C118" s="17">
        <v>1</v>
      </c>
      <c r="D118" s="17">
        <v>1</v>
      </c>
      <c r="E118" s="16">
        <v>2</v>
      </c>
      <c r="F118" s="16" t="s">
        <v>14</v>
      </c>
      <c r="G118" s="16">
        <v>4</v>
      </c>
      <c r="H118" s="16">
        <v>1</v>
      </c>
      <c r="I118" s="16">
        <v>1680</v>
      </c>
      <c r="J118" s="16">
        <v>34</v>
      </c>
      <c r="K118" s="16">
        <v>1</v>
      </c>
      <c r="L118" s="16" t="s">
        <v>122</v>
      </c>
      <c r="M118" s="1" t="e">
        <f>VLOOKUP(FindStrFirstNum($A118,[1]Sheet1!$I$3:$I$43,[1]Sheet1!$A$3:$A$43),[1]Sheet1!$A:$I,7,0)</f>
        <v>#N/A</v>
      </c>
      <c r="U118" s="1" t="e">
        <f>INT(MID($B118,MIN(FIND({0,1,2,3,4,5,6,7,8,9},$B118&amp;"0123456789")),LEN($B118)*2-LENB($B118)))</f>
        <v>#VALUE!</v>
      </c>
      <c r="V118" s="1" t="str">
        <f t="shared" si="3"/>
        <v>今日累计充值 [00821cff]168[-] 元（二选一）</v>
      </c>
    </row>
    <row r="119" spans="1:22">
      <c r="A119" s="12">
        <v>5071</v>
      </c>
      <c r="B119" s="12" t="s">
        <v>259</v>
      </c>
      <c r="C119" s="13">
        <v>1</v>
      </c>
      <c r="D119" s="13">
        <v>1</v>
      </c>
      <c r="E119" s="12">
        <v>2</v>
      </c>
      <c r="F119" s="12" t="s">
        <v>14</v>
      </c>
      <c r="G119" s="12">
        <v>4</v>
      </c>
      <c r="H119" s="12">
        <v>1</v>
      </c>
      <c r="I119" s="12">
        <v>60</v>
      </c>
      <c r="J119" s="12">
        <v>34</v>
      </c>
      <c r="K119" s="12">
        <v>0</v>
      </c>
      <c r="L119" s="12" t="s">
        <v>105</v>
      </c>
      <c r="M119" s="1" t="e">
        <f>VLOOKUP(FindStrFirstNum($A119,[1]Sheet1!$I$3:$I$43,[1]Sheet1!$A$3:$A$43),[1]Sheet1!$A:$I,7,0)</f>
        <v>#N/A</v>
      </c>
      <c r="U119" s="1" t="e">
        <f>INT(MID($B119,MIN(FIND({0,1,2,3,4,5,6,7,8,9},$B119&amp;"0123456789")),LEN($B119)*2-LENB($B119)))</f>
        <v>#VALUE!</v>
      </c>
      <c r="V119" s="1" t="str">
        <f t="shared" si="3"/>
        <v>今日累计充值 [00821cff]6[-] 元</v>
      </c>
    </row>
    <row r="120" spans="1:22">
      <c r="A120" s="12">
        <v>5072</v>
      </c>
      <c r="B120" s="12" t="s">
        <v>260</v>
      </c>
      <c r="C120" s="13">
        <v>1</v>
      </c>
      <c r="D120" s="13">
        <v>1</v>
      </c>
      <c r="E120" s="12">
        <v>2</v>
      </c>
      <c r="F120" s="12" t="s">
        <v>14</v>
      </c>
      <c r="G120" s="12">
        <v>4</v>
      </c>
      <c r="H120" s="12">
        <v>1</v>
      </c>
      <c r="I120" s="12">
        <v>250</v>
      </c>
      <c r="J120" s="12">
        <v>34</v>
      </c>
      <c r="K120" s="12">
        <v>0</v>
      </c>
      <c r="L120" s="12" t="s">
        <v>123</v>
      </c>
      <c r="M120" s="1" t="e">
        <f>VLOOKUP(FindStrFirstNum($A120,[1]Sheet1!$I$3:$I$43,[1]Sheet1!$A$3:$A$43),[1]Sheet1!$A:$I,7,0)</f>
        <v>#N/A</v>
      </c>
      <c r="U120" s="1" t="e">
        <f>INT(MID($B120,MIN(FIND({0,1,2,3,4,5,6,7,8,9},$B120&amp;"0123456789")),LEN($B120)*2-LENB($B120)))</f>
        <v>#VALUE!</v>
      </c>
      <c r="V120" s="1" t="str">
        <f t="shared" si="3"/>
        <v>今日累计充值 [00821cff]25[-] 元</v>
      </c>
    </row>
    <row r="121" spans="1:22">
      <c r="A121" s="12">
        <v>5073</v>
      </c>
      <c r="B121" s="12" t="s">
        <v>261</v>
      </c>
      <c r="C121" s="13">
        <v>1</v>
      </c>
      <c r="D121" s="13">
        <v>1</v>
      </c>
      <c r="E121" s="12">
        <v>2</v>
      </c>
      <c r="F121" s="12" t="s">
        <v>14</v>
      </c>
      <c r="G121" s="12">
        <v>4</v>
      </c>
      <c r="H121" s="12">
        <v>1</v>
      </c>
      <c r="I121" s="12">
        <v>500</v>
      </c>
      <c r="J121" s="12">
        <v>34</v>
      </c>
      <c r="K121" s="12">
        <v>0</v>
      </c>
      <c r="L121" s="12" t="s">
        <v>116</v>
      </c>
      <c r="M121" s="1" t="e">
        <f>VLOOKUP(FindStrFirstNum($A121,[1]Sheet1!$I$3:$I$43,[1]Sheet1!$A$3:$A$43),[1]Sheet1!$A:$I,7,0)</f>
        <v>#N/A</v>
      </c>
      <c r="U121" s="1" t="e">
        <f>INT(MID($B121,MIN(FIND({0,1,2,3,4,5,6,7,8,9},$B121&amp;"0123456789")),LEN($B121)*2-LENB($B121)))</f>
        <v>#VALUE!</v>
      </c>
      <c r="V121" s="1" t="str">
        <f t="shared" si="3"/>
        <v>今日累计充值 [00821cff]50[-] 元</v>
      </c>
    </row>
    <row r="122" spans="1:22">
      <c r="A122" s="12">
        <v>5074</v>
      </c>
      <c r="B122" s="12" t="s">
        <v>262</v>
      </c>
      <c r="C122" s="13">
        <v>1</v>
      </c>
      <c r="D122" s="13">
        <v>1</v>
      </c>
      <c r="E122" s="12">
        <v>2</v>
      </c>
      <c r="F122" s="12" t="s">
        <v>14</v>
      </c>
      <c r="G122" s="12">
        <v>4</v>
      </c>
      <c r="H122" s="12">
        <v>1</v>
      </c>
      <c r="I122" s="12">
        <v>1000</v>
      </c>
      <c r="J122" s="12">
        <v>34</v>
      </c>
      <c r="K122" s="12">
        <v>0</v>
      </c>
      <c r="L122" s="12" t="s">
        <v>120</v>
      </c>
      <c r="M122" s="1" t="e">
        <f>VLOOKUP(FindStrFirstNum($A122,[1]Sheet1!$I$3:$I$43,[1]Sheet1!$A$3:$A$43),[1]Sheet1!$A:$I,7,0)</f>
        <v>#N/A</v>
      </c>
      <c r="U122" s="1" t="e">
        <f>INT(MID($B122,MIN(FIND({0,1,2,3,4,5,6,7,8,9},$B122&amp;"0123456789")),LEN($B122)*2-LENB($B122)))</f>
        <v>#VALUE!</v>
      </c>
      <c r="V122" s="1" t="str">
        <f t="shared" si="3"/>
        <v>今日累计充值 [00821cff]100[-] 元</v>
      </c>
    </row>
    <row r="123" spans="1:22">
      <c r="A123" s="12">
        <v>5075</v>
      </c>
      <c r="B123" s="12" t="s">
        <v>265</v>
      </c>
      <c r="C123" s="13">
        <v>1</v>
      </c>
      <c r="D123" s="13">
        <v>1</v>
      </c>
      <c r="E123" s="12">
        <v>2</v>
      </c>
      <c r="F123" s="12" t="s">
        <v>14</v>
      </c>
      <c r="G123" s="12">
        <v>4</v>
      </c>
      <c r="H123" s="12">
        <v>1</v>
      </c>
      <c r="I123" s="12">
        <v>1680</v>
      </c>
      <c r="J123" s="12">
        <v>34</v>
      </c>
      <c r="K123" s="12">
        <v>1</v>
      </c>
      <c r="L123" s="12" t="s">
        <v>122</v>
      </c>
      <c r="M123" s="1" t="e">
        <f>VLOOKUP(FindStrFirstNum($A123,[1]Sheet1!$I$3:$I$43,[1]Sheet1!$A$3:$A$43),[1]Sheet1!$A:$I,7,0)</f>
        <v>#N/A</v>
      </c>
      <c r="U123" s="1" t="e">
        <f>INT(MID($B123,MIN(FIND({0,1,2,3,4,5,6,7,8,9},$B123&amp;"0123456789")),LEN($B123)*2-LENB($B123)))</f>
        <v>#VALUE!</v>
      </c>
      <c r="V123" s="1" t="str">
        <f t="shared" si="3"/>
        <v>今日累计充值 [00821cff]168[-] 元（二选一）</v>
      </c>
    </row>
    <row r="124" spans="1:22">
      <c r="A124" s="37">
        <v>10001</v>
      </c>
      <c r="B124" s="37" t="s">
        <v>266</v>
      </c>
      <c r="C124" s="38">
        <v>1</v>
      </c>
      <c r="D124" s="38">
        <v>0</v>
      </c>
      <c r="E124" s="37">
        <v>2</v>
      </c>
      <c r="F124" s="37" t="s">
        <v>14</v>
      </c>
      <c r="G124" s="37">
        <v>4</v>
      </c>
      <c r="H124" s="37">
        <v>1</v>
      </c>
      <c r="I124" s="37">
        <v>60</v>
      </c>
      <c r="J124" s="37">
        <v>34</v>
      </c>
      <c r="K124" s="37">
        <v>1</v>
      </c>
      <c r="L124" s="37" t="s">
        <v>203</v>
      </c>
      <c r="M124" s="1">
        <f>VLOOKUP(FindStrFirstNum($A124,[1]Sheet1!$I$3:$I$43,[1]Sheet1!$A$3:$A$43),[1]Sheet1!$A:$I,7,0)</f>
        <v>4</v>
      </c>
      <c r="U124" s="1" t="e">
        <f>INT(MID($B124,MIN(FIND({0,1,2,3,4,5,6,7,8,9},$B124&amp;"0123456789")),LEN($B124)*2-LENB($B124)))</f>
        <v>#VALUE!</v>
      </c>
      <c r="V124" s="1" t="str">
        <f t="shared" si="3"/>
        <v>活动期间总共充值 [00821cff]6[-] 元（四选一）</v>
      </c>
    </row>
    <row r="125" spans="1:22">
      <c r="A125" s="37">
        <v>10002</v>
      </c>
      <c r="B125" s="37" t="s">
        <v>267</v>
      </c>
      <c r="C125" s="38">
        <v>1</v>
      </c>
      <c r="D125" s="38">
        <v>0</v>
      </c>
      <c r="E125" s="37">
        <v>2</v>
      </c>
      <c r="F125" s="37" t="s">
        <v>14</v>
      </c>
      <c r="G125" s="37">
        <v>4</v>
      </c>
      <c r="H125" s="37">
        <v>1</v>
      </c>
      <c r="I125" s="37">
        <v>250</v>
      </c>
      <c r="J125" s="37">
        <v>34</v>
      </c>
      <c r="K125" s="37">
        <v>1</v>
      </c>
      <c r="L125" s="37" t="s">
        <v>204</v>
      </c>
      <c r="M125" s="1">
        <f>VLOOKUP(FindStrFirstNum($A125,[1]Sheet1!$I$3:$I$43,[1]Sheet1!$A$3:$A$43),[1]Sheet1!$A:$I,7,0)</f>
        <v>4</v>
      </c>
      <c r="U125" s="1" t="e">
        <f>INT(MID($B125,MIN(FIND({0,1,2,3,4,5,6,7,8,9},$B125&amp;"0123456789")),LEN($B125)*2-LENB($B125)))</f>
        <v>#VALUE!</v>
      </c>
      <c r="V125" s="1" t="str">
        <f t="shared" si="3"/>
        <v>活动期间总共充值 [00821cff]25[-] 元（四选一）</v>
      </c>
    </row>
    <row r="126" spans="1:22">
      <c r="A126" s="37">
        <v>10003</v>
      </c>
      <c r="B126" s="37" t="s">
        <v>268</v>
      </c>
      <c r="C126" s="38">
        <v>1</v>
      </c>
      <c r="D126" s="38">
        <v>0</v>
      </c>
      <c r="E126" s="37">
        <v>2</v>
      </c>
      <c r="F126" s="37" t="s">
        <v>14</v>
      </c>
      <c r="G126" s="37">
        <v>4</v>
      </c>
      <c r="H126" s="37">
        <v>1</v>
      </c>
      <c r="I126" s="37">
        <v>500</v>
      </c>
      <c r="J126" s="37">
        <v>34</v>
      </c>
      <c r="K126" s="37">
        <v>1</v>
      </c>
      <c r="L126" s="37" t="s">
        <v>205</v>
      </c>
      <c r="M126" s="1">
        <f>VLOOKUP(FindStrFirstNum($A126,[1]Sheet1!$I$3:$I$43,[1]Sheet1!$A$3:$A$43),[1]Sheet1!$A:$I,7,0)</f>
        <v>4</v>
      </c>
      <c r="U126" s="1" t="e">
        <f>INT(MID($B126,MIN(FIND({0,1,2,3,4,5,6,7,8,9},$B126&amp;"0123456789")),LEN($B126)*2-LENB($B126)))</f>
        <v>#VALUE!</v>
      </c>
      <c r="V126" s="1" t="str">
        <f t="shared" si="3"/>
        <v>活动期间总共充值 [00821cff]50[-] 元（四选一）</v>
      </c>
    </row>
    <row r="127" spans="1:22">
      <c r="A127" s="37">
        <v>10004</v>
      </c>
      <c r="B127" s="37" t="s">
        <v>269</v>
      </c>
      <c r="C127" s="38">
        <v>1</v>
      </c>
      <c r="D127" s="38">
        <v>0</v>
      </c>
      <c r="E127" s="37">
        <v>2</v>
      </c>
      <c r="F127" s="37" t="s">
        <v>14</v>
      </c>
      <c r="G127" s="37">
        <v>4</v>
      </c>
      <c r="H127" s="37">
        <v>1</v>
      </c>
      <c r="I127" s="37">
        <v>1500</v>
      </c>
      <c r="J127" s="37">
        <v>34</v>
      </c>
      <c r="K127" s="37">
        <v>1</v>
      </c>
      <c r="L127" s="37" t="s">
        <v>206</v>
      </c>
      <c r="M127" s="1">
        <f>VLOOKUP(FindStrFirstNum($A127,[1]Sheet1!$I$3:$I$43,[1]Sheet1!$A$3:$A$43),[1]Sheet1!$A:$I,7,0)</f>
        <v>4</v>
      </c>
      <c r="U127" s="1" t="e">
        <f>INT(MID($B127,MIN(FIND({0,1,2,3,4,5,6,7,8,9},$B127&amp;"0123456789")),LEN($B127)*2-LENB($B127)))</f>
        <v>#VALUE!</v>
      </c>
      <c r="V127" s="1" t="str">
        <f t="shared" si="3"/>
        <v>活动期间总共充值 [00821cff]150[-] 元（四选一）</v>
      </c>
    </row>
    <row r="128" spans="1:22">
      <c r="A128" s="37">
        <v>10005</v>
      </c>
      <c r="B128" s="37" t="s">
        <v>270</v>
      </c>
      <c r="C128" s="38">
        <v>1</v>
      </c>
      <c r="D128" s="38">
        <v>0</v>
      </c>
      <c r="E128" s="37">
        <v>2</v>
      </c>
      <c r="F128" s="37" t="s">
        <v>14</v>
      </c>
      <c r="G128" s="37">
        <v>4</v>
      </c>
      <c r="H128" s="37">
        <v>1</v>
      </c>
      <c r="I128" s="37">
        <v>3000</v>
      </c>
      <c r="J128" s="37">
        <v>34</v>
      </c>
      <c r="K128" s="37">
        <v>1</v>
      </c>
      <c r="L128" s="37" t="s">
        <v>207</v>
      </c>
      <c r="M128" s="1">
        <f>VLOOKUP(FindStrFirstNum($A128,[1]Sheet1!$I$3:$I$43,[1]Sheet1!$A$3:$A$43),[1]Sheet1!$A:$I,7,0)</f>
        <v>4</v>
      </c>
      <c r="U128" s="1" t="e">
        <f>INT(MID($B128,MIN(FIND({0,1,2,3,4,5,6,7,8,9},$B128&amp;"0123456789")),LEN($B128)*2-LENB($B128)))</f>
        <v>#VALUE!</v>
      </c>
      <c r="V128" s="1" t="str">
        <f t="shared" si="3"/>
        <v>活动期间总共充值 [00821cff]300[-] 元（四选一）</v>
      </c>
    </row>
    <row r="129" spans="1:22">
      <c r="A129" s="37">
        <v>10006</v>
      </c>
      <c r="B129" s="37" t="s">
        <v>271</v>
      </c>
      <c r="C129" s="38">
        <v>1</v>
      </c>
      <c r="D129" s="38">
        <v>0</v>
      </c>
      <c r="E129" s="37">
        <v>2</v>
      </c>
      <c r="F129" s="37" t="s">
        <v>14</v>
      </c>
      <c r="G129" s="37">
        <v>4</v>
      </c>
      <c r="H129" s="37">
        <v>1</v>
      </c>
      <c r="I129" s="37">
        <v>5000</v>
      </c>
      <c r="J129" s="37">
        <v>34</v>
      </c>
      <c r="K129" s="37">
        <v>1</v>
      </c>
      <c r="L129" s="37" t="s">
        <v>207</v>
      </c>
      <c r="M129" s="1">
        <f>VLOOKUP(FindStrFirstNum($A129,[1]Sheet1!$I$3:$I$43,[1]Sheet1!$A$3:$A$43),[1]Sheet1!$A:$I,7,0)</f>
        <v>4</v>
      </c>
      <c r="U129" s="1" t="e">
        <f>INT(MID($B129,MIN(FIND({0,1,2,3,4,5,6,7,8,9},$B129&amp;"0123456789")),LEN($B129)*2-LENB($B129)))</f>
        <v>#VALUE!</v>
      </c>
      <c r="V129" s="1" t="str">
        <f t="shared" si="3"/>
        <v>活动期间总共充值 [00821cff]500[-] 元（四选一）</v>
      </c>
    </row>
    <row r="130" spans="1:22">
      <c r="A130" s="37">
        <v>10007</v>
      </c>
      <c r="B130" s="37" t="s">
        <v>272</v>
      </c>
      <c r="C130" s="38">
        <v>1</v>
      </c>
      <c r="D130" s="38">
        <v>0</v>
      </c>
      <c r="E130" s="37">
        <v>2</v>
      </c>
      <c r="F130" s="37" t="s">
        <v>14</v>
      </c>
      <c r="G130" s="37">
        <v>4</v>
      </c>
      <c r="H130" s="37">
        <v>1</v>
      </c>
      <c r="I130" s="37">
        <v>7500</v>
      </c>
      <c r="J130" s="37">
        <v>34</v>
      </c>
      <c r="K130" s="37">
        <v>1</v>
      </c>
      <c r="L130" s="37" t="s">
        <v>208</v>
      </c>
      <c r="M130" s="1">
        <f>VLOOKUP(FindStrFirstNum($A130,[1]Sheet1!$I$3:$I$43,[1]Sheet1!$A$3:$A$43),[1]Sheet1!$A:$I,7,0)</f>
        <v>4</v>
      </c>
      <c r="U130" s="1" t="e">
        <f>INT(MID($B130,MIN(FIND({0,1,2,3,4,5,6,7,8,9},$B130&amp;"0123456789")),LEN($B130)*2-LENB($B130)))</f>
        <v>#VALUE!</v>
      </c>
      <c r="V130" s="1" t="str">
        <f t="shared" si="3"/>
        <v>活动期间总共充值 [00821cff]750[-] 元（四选一）</v>
      </c>
    </row>
    <row r="131" spans="1:22">
      <c r="A131" s="37">
        <v>10008</v>
      </c>
      <c r="B131" s="37" t="s">
        <v>273</v>
      </c>
      <c r="C131" s="38">
        <v>1</v>
      </c>
      <c r="D131" s="38">
        <v>0</v>
      </c>
      <c r="E131" s="37">
        <v>2</v>
      </c>
      <c r="F131" s="37" t="s">
        <v>14</v>
      </c>
      <c r="G131" s="37">
        <v>4</v>
      </c>
      <c r="H131" s="37">
        <v>1</v>
      </c>
      <c r="I131" s="37">
        <v>10000</v>
      </c>
      <c r="J131" s="37">
        <v>34</v>
      </c>
      <c r="K131" s="37">
        <v>1</v>
      </c>
      <c r="L131" s="37" t="s">
        <v>208</v>
      </c>
      <c r="M131" s="1" t="e">
        <f>VLOOKUP(FindStrFirstNum($A131,[1]Sheet1!$I$3:$I$43,[1]Sheet1!$A$3:$A$43),[1]Sheet1!$A:$I,7,0)</f>
        <v>#N/A</v>
      </c>
      <c r="U131" s="1" t="e">
        <f>INT(MID($B131,MIN(FIND({0,1,2,3,4,5,6,7,8,9},$B131&amp;"0123456789")),LEN($B131)*2-LENB($B131)))</f>
        <v>#VALUE!</v>
      </c>
      <c r="V131" s="1" t="str">
        <f t="shared" si="3"/>
        <v>活动期间总共充值 [00821cff]1000[-] 元（四选一）</v>
      </c>
    </row>
    <row r="132" spans="1:22">
      <c r="A132" s="37">
        <v>10009</v>
      </c>
      <c r="B132" s="37" t="s">
        <v>274</v>
      </c>
      <c r="C132" s="38">
        <v>1</v>
      </c>
      <c r="D132" s="38">
        <v>0</v>
      </c>
      <c r="E132" s="37">
        <v>2</v>
      </c>
      <c r="F132" s="37" t="s">
        <v>14</v>
      </c>
      <c r="G132" s="37">
        <v>4</v>
      </c>
      <c r="H132" s="37">
        <v>1</v>
      </c>
      <c r="I132" s="37">
        <v>15000</v>
      </c>
      <c r="J132" s="37">
        <v>34</v>
      </c>
      <c r="K132" s="37">
        <v>1</v>
      </c>
      <c r="L132" s="37" t="s">
        <v>209</v>
      </c>
      <c r="M132" s="1" t="e">
        <f>VLOOKUP(FindStrFirstNum($A132,[1]Sheet1!$I$3:$I$43,[1]Sheet1!$A$3:$A$43),[1]Sheet1!$A:$I,7,0)</f>
        <v>#N/A</v>
      </c>
      <c r="U132" s="1" t="e">
        <f>INT(MID($B132,MIN(FIND({0,1,2,3,4,5,6,7,8,9},$B132&amp;"0123456789")),LEN($B132)*2-LENB($B132)))</f>
        <v>#VALUE!</v>
      </c>
      <c r="V132" s="1" t="str">
        <f t="shared" ref="V132:V163" si="4">IF(ISERROR($U132),$B132,LEFT($B132,FIND($U132,$B132)-1)&amp;"[FF7400]"&amp;U132&amp;"[-]"&amp;IFERROR(RIGHT($B132,LEN($B132)-FIND($U132,$B132)-LEN($U132)+1),""))</f>
        <v>活动期间总共充值 [00821cff]1500[-] 元（四选一）</v>
      </c>
    </row>
    <row r="133" spans="1:22">
      <c r="A133" s="37">
        <v>10010</v>
      </c>
      <c r="B133" s="37" t="s">
        <v>275</v>
      </c>
      <c r="C133" s="38">
        <v>1</v>
      </c>
      <c r="D133" s="38">
        <v>0</v>
      </c>
      <c r="E133" s="37">
        <v>2</v>
      </c>
      <c r="F133" s="37" t="s">
        <v>14</v>
      </c>
      <c r="G133" s="37">
        <v>4</v>
      </c>
      <c r="H133" s="37">
        <v>1</v>
      </c>
      <c r="I133" s="37">
        <v>20000</v>
      </c>
      <c r="J133" s="37">
        <v>34</v>
      </c>
      <c r="K133" s="37">
        <v>1</v>
      </c>
      <c r="L133" s="37" t="s">
        <v>210</v>
      </c>
      <c r="M133" s="1">
        <f>VLOOKUP(FindStrFirstNum($A133,[1]Sheet1!$I$3:$I$43,[1]Sheet1!$A$3:$A$43),[1]Sheet1!$A:$I,7,0)</f>
        <v>4</v>
      </c>
      <c r="U133" s="1" t="e">
        <f>INT(MID($B133,MIN(FIND({0,1,2,3,4,5,6,7,8,9},$B133&amp;"0123456789")),LEN($B133)*2-LENB($B133)))</f>
        <v>#VALUE!</v>
      </c>
      <c r="V133" s="1" t="str">
        <f t="shared" si="4"/>
        <v>活动期间总共充值 [00821cff]2000[-] 元（四选一）</v>
      </c>
    </row>
    <row r="134" spans="1:22">
      <c r="A134" s="39">
        <v>10011</v>
      </c>
      <c r="B134" s="39" t="s">
        <v>266</v>
      </c>
      <c r="C134" s="40">
        <v>1</v>
      </c>
      <c r="D134" s="40">
        <v>0</v>
      </c>
      <c r="E134" s="39">
        <v>2</v>
      </c>
      <c r="F134" s="39" t="s">
        <v>14</v>
      </c>
      <c r="G134" s="39">
        <v>4</v>
      </c>
      <c r="H134" s="39">
        <v>1</v>
      </c>
      <c r="I134" s="39">
        <v>60</v>
      </c>
      <c r="J134" s="39">
        <v>34</v>
      </c>
      <c r="K134" s="39">
        <v>1</v>
      </c>
      <c r="L134" s="39" t="s">
        <v>203</v>
      </c>
      <c r="M134" s="1">
        <f>VLOOKUP(FindStrFirstNum($A134,[1]Sheet1!$I$3:$I$43,[1]Sheet1!$A$3:$A$43),[1]Sheet1!$A:$I,7,0)</f>
        <v>4</v>
      </c>
      <c r="U134" s="1" t="e">
        <f>INT(MID($B134,MIN(FIND({0,1,2,3,4,5,6,7,8,9},$B134&amp;"0123456789")),LEN($B134)*2-LENB($B134)))</f>
        <v>#VALUE!</v>
      </c>
      <c r="V134" s="1" t="str">
        <f t="shared" si="4"/>
        <v>活动期间总共充值 [00821cff]6[-] 元（四选一）</v>
      </c>
    </row>
    <row r="135" spans="1:22">
      <c r="A135" s="39">
        <v>10012</v>
      </c>
      <c r="B135" s="39" t="s">
        <v>267</v>
      </c>
      <c r="C135" s="40">
        <v>1</v>
      </c>
      <c r="D135" s="40">
        <v>0</v>
      </c>
      <c r="E135" s="39">
        <v>2</v>
      </c>
      <c r="F135" s="39" t="s">
        <v>14</v>
      </c>
      <c r="G135" s="39">
        <v>4</v>
      </c>
      <c r="H135" s="39">
        <v>1</v>
      </c>
      <c r="I135" s="39">
        <v>250</v>
      </c>
      <c r="J135" s="39">
        <v>34</v>
      </c>
      <c r="K135" s="39">
        <v>1</v>
      </c>
      <c r="L135" s="39" t="s">
        <v>204</v>
      </c>
      <c r="M135" s="1">
        <f>VLOOKUP(FindStrFirstNum($A135,[1]Sheet1!$I$3:$I$43,[1]Sheet1!$A$3:$A$43),[1]Sheet1!$A:$I,7,0)</f>
        <v>4</v>
      </c>
      <c r="U135" s="1" t="e">
        <f>INT(MID($B135,MIN(FIND({0,1,2,3,4,5,6,7,8,9},$B135&amp;"0123456789")),LEN($B135)*2-LENB($B135)))</f>
        <v>#VALUE!</v>
      </c>
      <c r="V135" s="1" t="str">
        <f t="shared" si="4"/>
        <v>活动期间总共充值 [00821cff]25[-] 元（四选一）</v>
      </c>
    </row>
    <row r="136" spans="1:22">
      <c r="A136" s="39">
        <v>10013</v>
      </c>
      <c r="B136" s="39" t="s">
        <v>268</v>
      </c>
      <c r="C136" s="40">
        <v>1</v>
      </c>
      <c r="D136" s="40">
        <v>0</v>
      </c>
      <c r="E136" s="39">
        <v>2</v>
      </c>
      <c r="F136" s="39" t="s">
        <v>14</v>
      </c>
      <c r="G136" s="39">
        <v>4</v>
      </c>
      <c r="H136" s="39">
        <v>1</v>
      </c>
      <c r="I136" s="39">
        <v>500</v>
      </c>
      <c r="J136" s="39">
        <v>34</v>
      </c>
      <c r="K136" s="39">
        <v>1</v>
      </c>
      <c r="L136" s="39" t="s">
        <v>205</v>
      </c>
      <c r="M136" s="1">
        <f>VLOOKUP(FindStrFirstNum($A136,[1]Sheet1!$I$3:$I$43,[1]Sheet1!$A$3:$A$43),[1]Sheet1!$A:$I,7,0)</f>
        <v>4</v>
      </c>
      <c r="U136" s="1" t="e">
        <f>INT(MID($B136,MIN(FIND({0,1,2,3,4,5,6,7,8,9},$B136&amp;"0123456789")),LEN($B136)*2-LENB($B136)))</f>
        <v>#VALUE!</v>
      </c>
      <c r="V136" s="1" t="str">
        <f t="shared" si="4"/>
        <v>活动期间总共充值 [00821cff]50[-] 元（四选一）</v>
      </c>
    </row>
    <row r="137" spans="1:22">
      <c r="A137" s="39">
        <v>10014</v>
      </c>
      <c r="B137" s="39" t="s">
        <v>269</v>
      </c>
      <c r="C137" s="40">
        <v>1</v>
      </c>
      <c r="D137" s="40">
        <v>0</v>
      </c>
      <c r="E137" s="39">
        <v>2</v>
      </c>
      <c r="F137" s="39" t="s">
        <v>14</v>
      </c>
      <c r="G137" s="39">
        <v>4</v>
      </c>
      <c r="H137" s="39">
        <v>1</v>
      </c>
      <c r="I137" s="39">
        <v>1500</v>
      </c>
      <c r="J137" s="39">
        <v>34</v>
      </c>
      <c r="K137" s="39">
        <v>1</v>
      </c>
      <c r="L137" s="39" t="s">
        <v>206</v>
      </c>
      <c r="M137" s="1">
        <f>VLOOKUP(FindStrFirstNum($A137,[1]Sheet1!$I$3:$I$43,[1]Sheet1!$A$3:$A$43),[1]Sheet1!$A:$I,7,0)</f>
        <v>4</v>
      </c>
      <c r="U137" s="1" t="e">
        <f>INT(MID($B137,MIN(FIND({0,1,2,3,4,5,6,7,8,9},$B137&amp;"0123456789")),LEN($B137)*2-LENB($B137)))</f>
        <v>#VALUE!</v>
      </c>
      <c r="V137" s="1" t="str">
        <f t="shared" si="4"/>
        <v>活动期间总共充值 [00821cff]150[-] 元（四选一）</v>
      </c>
    </row>
    <row r="138" spans="1:22">
      <c r="A138" s="39">
        <v>10015</v>
      </c>
      <c r="B138" s="39" t="s">
        <v>270</v>
      </c>
      <c r="C138" s="40">
        <v>1</v>
      </c>
      <c r="D138" s="40">
        <v>0</v>
      </c>
      <c r="E138" s="39">
        <v>2</v>
      </c>
      <c r="F138" s="39" t="s">
        <v>14</v>
      </c>
      <c r="G138" s="39">
        <v>4</v>
      </c>
      <c r="H138" s="39">
        <v>1</v>
      </c>
      <c r="I138" s="39">
        <v>3000</v>
      </c>
      <c r="J138" s="39">
        <v>34</v>
      </c>
      <c r="K138" s="39">
        <v>1</v>
      </c>
      <c r="L138" s="39" t="s">
        <v>207</v>
      </c>
      <c r="M138" s="1">
        <f>VLOOKUP(FindStrFirstNum($A138,[1]Sheet1!$I$3:$I$43,[1]Sheet1!$A$3:$A$43),[1]Sheet1!$A:$I,7,0)</f>
        <v>4</v>
      </c>
      <c r="U138" s="1" t="e">
        <f>INT(MID($B138,MIN(FIND({0,1,2,3,4,5,6,7,8,9},$B138&amp;"0123456789")),LEN($B138)*2-LENB($B138)))</f>
        <v>#VALUE!</v>
      </c>
      <c r="V138" s="1" t="str">
        <f t="shared" si="4"/>
        <v>活动期间总共充值 [00821cff]300[-] 元（四选一）</v>
      </c>
    </row>
    <row r="139" spans="1:22">
      <c r="A139" s="39">
        <v>10016</v>
      </c>
      <c r="B139" s="39" t="s">
        <v>271</v>
      </c>
      <c r="C139" s="40">
        <v>1</v>
      </c>
      <c r="D139" s="40">
        <v>0</v>
      </c>
      <c r="E139" s="39">
        <v>2</v>
      </c>
      <c r="F139" s="39" t="s">
        <v>14</v>
      </c>
      <c r="G139" s="39">
        <v>4</v>
      </c>
      <c r="H139" s="39">
        <v>1</v>
      </c>
      <c r="I139" s="39">
        <v>5000</v>
      </c>
      <c r="J139" s="39">
        <v>34</v>
      </c>
      <c r="K139" s="39">
        <v>1</v>
      </c>
      <c r="L139" s="39" t="s">
        <v>207</v>
      </c>
      <c r="M139" s="1">
        <f>VLOOKUP(FindStrFirstNum($A139,[1]Sheet1!$I$3:$I$43,[1]Sheet1!$A$3:$A$43),[1]Sheet1!$A:$I,7,0)</f>
        <v>4</v>
      </c>
      <c r="U139" s="1" t="e">
        <f>INT(MID($B139,MIN(FIND({0,1,2,3,4,5,6,7,8,9},$B139&amp;"0123456789")),LEN($B139)*2-LENB($B139)))</f>
        <v>#VALUE!</v>
      </c>
      <c r="V139" s="1" t="str">
        <f t="shared" si="4"/>
        <v>活动期间总共充值 [00821cff]500[-] 元（四选一）</v>
      </c>
    </row>
    <row r="140" spans="1:22">
      <c r="A140" s="39">
        <v>10017</v>
      </c>
      <c r="B140" s="39" t="s">
        <v>272</v>
      </c>
      <c r="C140" s="40">
        <v>1</v>
      </c>
      <c r="D140" s="40">
        <v>0</v>
      </c>
      <c r="E140" s="39">
        <v>2</v>
      </c>
      <c r="F140" s="39" t="s">
        <v>14</v>
      </c>
      <c r="G140" s="39">
        <v>4</v>
      </c>
      <c r="H140" s="39">
        <v>1</v>
      </c>
      <c r="I140" s="39">
        <v>7500</v>
      </c>
      <c r="J140" s="39">
        <v>34</v>
      </c>
      <c r="K140" s="39">
        <v>1</v>
      </c>
      <c r="L140" s="39" t="s">
        <v>208</v>
      </c>
      <c r="M140" s="1" t="e">
        <f>VLOOKUP(FindStrFirstNum($A140,[1]Sheet1!$I$3:$I$43,[1]Sheet1!$A$3:$A$43),[1]Sheet1!$A:$I,7,0)</f>
        <v>#N/A</v>
      </c>
      <c r="U140" s="1" t="e">
        <f>INT(MID($B140,MIN(FIND({0,1,2,3,4,5,6,7,8,9},$B140&amp;"0123456789")),LEN($B140)*2-LENB($B140)))</f>
        <v>#VALUE!</v>
      </c>
      <c r="V140" s="1" t="str">
        <f t="shared" si="4"/>
        <v>活动期间总共充值 [00821cff]750[-] 元（四选一）</v>
      </c>
    </row>
    <row r="141" spans="1:22">
      <c r="A141" s="39">
        <v>10018</v>
      </c>
      <c r="B141" s="39" t="s">
        <v>273</v>
      </c>
      <c r="C141" s="40">
        <v>1</v>
      </c>
      <c r="D141" s="40">
        <v>0</v>
      </c>
      <c r="E141" s="39">
        <v>2</v>
      </c>
      <c r="F141" s="39" t="s">
        <v>14</v>
      </c>
      <c r="G141" s="39">
        <v>4</v>
      </c>
      <c r="H141" s="39">
        <v>1</v>
      </c>
      <c r="I141" s="39">
        <v>10000</v>
      </c>
      <c r="J141" s="39">
        <v>34</v>
      </c>
      <c r="K141" s="39">
        <v>1</v>
      </c>
      <c r="L141" s="39" t="s">
        <v>208</v>
      </c>
      <c r="M141" s="1" t="e">
        <f>VLOOKUP(FindStrFirstNum($A141,[1]Sheet1!$I$3:$I$43,[1]Sheet1!$A$3:$A$43),[1]Sheet1!$A:$I,7,0)</f>
        <v>#N/A</v>
      </c>
      <c r="U141" s="1" t="e">
        <f>INT(MID($B141,MIN(FIND({0,1,2,3,4,5,6,7,8,9},$B141&amp;"0123456789")),LEN($B141)*2-LENB($B141)))</f>
        <v>#VALUE!</v>
      </c>
      <c r="V141" s="1" t="str">
        <f t="shared" si="4"/>
        <v>活动期间总共充值 [00821cff]1000[-] 元（四选一）</v>
      </c>
    </row>
    <row r="142" spans="1:22">
      <c r="A142" s="39">
        <v>10019</v>
      </c>
      <c r="B142" s="39" t="s">
        <v>274</v>
      </c>
      <c r="C142" s="40">
        <v>1</v>
      </c>
      <c r="D142" s="40">
        <v>0</v>
      </c>
      <c r="E142" s="39">
        <v>2</v>
      </c>
      <c r="F142" s="39" t="s">
        <v>14</v>
      </c>
      <c r="G142" s="39">
        <v>4</v>
      </c>
      <c r="H142" s="39">
        <v>1</v>
      </c>
      <c r="I142" s="39">
        <v>15000</v>
      </c>
      <c r="J142" s="39">
        <v>34</v>
      </c>
      <c r="K142" s="39">
        <v>1</v>
      </c>
      <c r="L142" s="39" t="s">
        <v>209</v>
      </c>
      <c r="M142" s="1" t="e">
        <f>VLOOKUP(FindStrFirstNum($A142,[1]Sheet1!$I$3:$I$43,[1]Sheet1!$A$3:$A$43),[1]Sheet1!$A:$I,7,0)</f>
        <v>#N/A</v>
      </c>
      <c r="U142" s="1" t="e">
        <f>INT(MID($B142,MIN(FIND({0,1,2,3,4,5,6,7,8,9},$B142&amp;"0123456789")),LEN($B142)*2-LENB($B142)))</f>
        <v>#VALUE!</v>
      </c>
      <c r="V142" s="1" t="str">
        <f t="shared" si="4"/>
        <v>活动期间总共充值 [00821cff]1500[-] 元（四选一）</v>
      </c>
    </row>
    <row r="143" spans="1:22">
      <c r="A143" s="39">
        <v>10020</v>
      </c>
      <c r="B143" s="39" t="s">
        <v>275</v>
      </c>
      <c r="C143" s="40">
        <v>1</v>
      </c>
      <c r="D143" s="40">
        <v>0</v>
      </c>
      <c r="E143" s="39">
        <v>2</v>
      </c>
      <c r="F143" s="39" t="s">
        <v>14</v>
      </c>
      <c r="G143" s="39">
        <v>4</v>
      </c>
      <c r="H143" s="39">
        <v>1</v>
      </c>
      <c r="I143" s="39">
        <v>20000</v>
      </c>
      <c r="J143" s="39">
        <v>34</v>
      </c>
      <c r="K143" s="39">
        <v>1</v>
      </c>
      <c r="L143" s="39" t="s">
        <v>210</v>
      </c>
      <c r="M143" s="1" t="e">
        <f>VLOOKUP(FindStrFirstNum($A143,[1]Sheet1!$I$3:$I$43,[1]Sheet1!$A$3:$A$43),[1]Sheet1!$A:$I,7,0)</f>
        <v>#N/A</v>
      </c>
      <c r="U143" s="1" t="e">
        <f>INT(MID($B143,MIN(FIND({0,1,2,3,4,5,6,7,8,9},$B143&amp;"0123456789")),LEN($B143)*2-LENB($B143)))</f>
        <v>#VALUE!</v>
      </c>
      <c r="V143" s="1" t="str">
        <f t="shared" si="4"/>
        <v>活动期间总共充值 [00821cff]2000[-] 元（四选一）</v>
      </c>
    </row>
    <row r="144" spans="1:22">
      <c r="A144" s="34">
        <v>100001</v>
      </c>
      <c r="B144" s="34" t="s">
        <v>276</v>
      </c>
      <c r="C144" s="35">
        <v>1</v>
      </c>
      <c r="D144" s="35">
        <v>0</v>
      </c>
      <c r="E144" s="34">
        <v>2</v>
      </c>
      <c r="F144" s="34" t="s">
        <v>14</v>
      </c>
      <c r="G144" s="34">
        <v>5</v>
      </c>
      <c r="H144" s="34">
        <v>1</v>
      </c>
      <c r="I144" s="34">
        <v>1</v>
      </c>
      <c r="J144" s="34" t="s">
        <v>103</v>
      </c>
      <c r="K144" s="34">
        <v>0</v>
      </c>
      <c r="L144" s="34" t="s">
        <v>189</v>
      </c>
      <c r="M144" s="1">
        <f>VLOOKUP(FindStrFirstNum($A144,[1]Sheet1!$I$3:$I$43,[1]Sheet1!$A$3:$A$43),[1]Sheet1!$A:$I,7,0)</f>
        <v>4</v>
      </c>
      <c r="O144" s="36">
        <f>A144</f>
        <v>100001</v>
      </c>
      <c r="U144" s="1" t="e">
        <f>INT(MID($B144,MIN(FIND({0,1,2,3,4,5,6,7,8,9},$B144&amp;"0123456789")),LEN($B144)*2-LENB($B144)))</f>
        <v>#VALUE!</v>
      </c>
      <c r="V144" s="1" t="str">
        <f t="shared" si="4"/>
        <v>新年送壕礼-累计登陆 [00821cff]1[-] 天奖励</v>
      </c>
    </row>
    <row r="145" spans="1:22">
      <c r="A145" s="34">
        <v>100002</v>
      </c>
      <c r="B145" s="34" t="s">
        <v>277</v>
      </c>
      <c r="C145" s="35">
        <v>1</v>
      </c>
      <c r="D145" s="35">
        <v>0</v>
      </c>
      <c r="E145" s="34">
        <v>2</v>
      </c>
      <c r="F145" s="34" t="s">
        <v>14</v>
      </c>
      <c r="G145" s="34">
        <v>5</v>
      </c>
      <c r="H145" s="34">
        <v>1</v>
      </c>
      <c r="I145" s="34">
        <v>2</v>
      </c>
      <c r="J145" s="34" t="s">
        <v>103</v>
      </c>
      <c r="K145" s="34">
        <v>0</v>
      </c>
      <c r="L145" s="34" t="s">
        <v>191</v>
      </c>
      <c r="M145" s="1">
        <f>VLOOKUP(FindStrFirstNum($A145,[1]Sheet1!$I$3:$I$43,[1]Sheet1!$A$3:$A$43),[1]Sheet1!$A:$I,7,0)</f>
        <v>4</v>
      </c>
      <c r="O145" s="36" t="str">
        <f>O144&amp;","&amp;A145</f>
        <v>100001,100002</v>
      </c>
      <c r="U145" s="1" t="e">
        <f>INT(MID($B145,MIN(FIND({0,1,2,3,4,5,6,7,8,9},$B145&amp;"0123456789")),LEN($B145)*2-LENB($B145)))</f>
        <v>#VALUE!</v>
      </c>
      <c r="V145" s="1" t="str">
        <f t="shared" si="4"/>
        <v>新年送壕礼-累计登陆 [00821cff]2[-] 天奖励</v>
      </c>
    </row>
    <row r="146" spans="1:22">
      <c r="A146" s="34">
        <v>100003</v>
      </c>
      <c r="B146" s="34" t="s">
        <v>278</v>
      </c>
      <c r="C146" s="35">
        <v>1</v>
      </c>
      <c r="D146" s="35">
        <v>0</v>
      </c>
      <c r="E146" s="34">
        <v>2</v>
      </c>
      <c r="F146" s="34" t="s">
        <v>14</v>
      </c>
      <c r="G146" s="34">
        <v>5</v>
      </c>
      <c r="H146" s="34">
        <v>1</v>
      </c>
      <c r="I146" s="34">
        <v>3</v>
      </c>
      <c r="J146" s="34" t="s">
        <v>103</v>
      </c>
      <c r="K146" s="34">
        <v>0</v>
      </c>
      <c r="L146" s="34" t="s">
        <v>191</v>
      </c>
      <c r="M146" s="1">
        <f>VLOOKUP(FindStrFirstNum($A146,[1]Sheet1!$I$3:$I$43,[1]Sheet1!$A$3:$A$43),[1]Sheet1!$A:$I,7,0)</f>
        <v>4</v>
      </c>
      <c r="O146" s="36" t="str">
        <f>O145&amp;","&amp;A146</f>
        <v>100001,100002,100003</v>
      </c>
      <c r="U146" s="1" t="e">
        <f>INT(MID($B146,MIN(FIND({0,1,2,3,4,5,6,7,8,9},$B146&amp;"0123456789")),LEN($B146)*2-LENB($B146)))</f>
        <v>#VALUE!</v>
      </c>
      <c r="V146" s="1" t="str">
        <f t="shared" si="4"/>
        <v>新年送壕礼-累计登陆 [00821cff]3[-] 天奖励</v>
      </c>
    </row>
    <row r="147" spans="1:22">
      <c r="A147" s="34">
        <v>100004</v>
      </c>
      <c r="B147" s="34" t="s">
        <v>279</v>
      </c>
      <c r="C147" s="35">
        <v>1</v>
      </c>
      <c r="D147" s="35">
        <v>0</v>
      </c>
      <c r="E147" s="34">
        <v>2</v>
      </c>
      <c r="F147" s="34" t="s">
        <v>14</v>
      </c>
      <c r="G147" s="34">
        <v>5</v>
      </c>
      <c r="H147" s="34">
        <v>1</v>
      </c>
      <c r="I147" s="34">
        <v>4</v>
      </c>
      <c r="J147" s="34" t="s">
        <v>103</v>
      </c>
      <c r="K147" s="34">
        <v>0</v>
      </c>
      <c r="L147" s="34" t="s">
        <v>192</v>
      </c>
      <c r="M147" s="1">
        <f>VLOOKUP(FindStrFirstNum($A147,[1]Sheet1!$I$3:$I$43,[1]Sheet1!$A$3:$A$43),[1]Sheet1!$A:$I,7,0)</f>
        <v>4</v>
      </c>
      <c r="O147" s="36" t="str">
        <f>O146&amp;","&amp;A147</f>
        <v>100001,100002,100003,100004</v>
      </c>
      <c r="U147" s="1" t="e">
        <f>INT(MID($B147,MIN(FIND({0,1,2,3,4,5,6,7,8,9},$B147&amp;"0123456789")),LEN($B147)*2-LENB($B147)))</f>
        <v>#VALUE!</v>
      </c>
      <c r="V147" s="1" t="str">
        <f t="shared" si="4"/>
        <v>新年送壕礼-累计登陆 [00821cff]4[-] 天奖励</v>
      </c>
    </row>
    <row r="148" spans="1:22">
      <c r="A148" s="34">
        <v>100005</v>
      </c>
      <c r="B148" s="34" t="s">
        <v>280</v>
      </c>
      <c r="C148" s="35">
        <v>1</v>
      </c>
      <c r="D148" s="35">
        <v>0</v>
      </c>
      <c r="E148" s="34">
        <v>2</v>
      </c>
      <c r="F148" s="34" t="s">
        <v>14</v>
      </c>
      <c r="G148" s="34">
        <v>5</v>
      </c>
      <c r="H148" s="34">
        <v>1</v>
      </c>
      <c r="I148" s="34">
        <v>5</v>
      </c>
      <c r="J148" s="34" t="s">
        <v>103</v>
      </c>
      <c r="K148" s="34">
        <v>0</v>
      </c>
      <c r="L148" s="34" t="s">
        <v>191</v>
      </c>
      <c r="M148" s="1">
        <f>VLOOKUP(FindStrFirstNum($A148,[1]Sheet1!$I$3:$I$43,[1]Sheet1!$A$3:$A$43),[1]Sheet1!$A:$I,7,0)</f>
        <v>4</v>
      </c>
      <c r="O148" s="36" t="str">
        <f>O147&amp;","&amp;A148</f>
        <v>100001,100002,100003,100004,100005</v>
      </c>
      <c r="U148" s="1" t="e">
        <f>INT(MID($B148,MIN(FIND({0,1,2,3,4,5,6,7,8,9},$B148&amp;"0123456789")),LEN($B148)*2-LENB($B148)))</f>
        <v>#VALUE!</v>
      </c>
      <c r="V148" s="1" t="str">
        <f t="shared" si="4"/>
        <v>新年送壕礼-累计登陆 [00821cff]5[-] 天奖励</v>
      </c>
    </row>
    <row r="149" spans="1:22" s="45" customFormat="1">
      <c r="A149" s="37">
        <v>100006</v>
      </c>
      <c r="B149" s="37" t="s">
        <v>276</v>
      </c>
      <c r="C149" s="38">
        <v>1</v>
      </c>
      <c r="D149" s="38">
        <v>0</v>
      </c>
      <c r="E149" s="37">
        <v>2</v>
      </c>
      <c r="F149" s="37" t="s">
        <v>14</v>
      </c>
      <c r="G149" s="37">
        <v>5</v>
      </c>
      <c r="H149" s="37">
        <v>1</v>
      </c>
      <c r="I149" s="37">
        <v>1</v>
      </c>
      <c r="J149" s="37" t="s">
        <v>103</v>
      </c>
      <c r="K149" s="37">
        <v>0</v>
      </c>
      <c r="L149" s="37" t="s">
        <v>221</v>
      </c>
      <c r="M149" s="45">
        <f>VLOOKUP(FindStrFirstNum($A149,[1]Sheet1!$I$3:$I$43,[1]Sheet1!$A$3:$A$43),[1]Sheet1!$A:$I,7,0)</f>
        <v>4</v>
      </c>
      <c r="N149" s="46"/>
      <c r="O149" s="46">
        <f>A149</f>
        <v>100006</v>
      </c>
      <c r="P149" s="46"/>
      <c r="U149" s="45" t="e">
        <f>INT(MID($B149,MIN(FIND({0,1,2,3,4,5,6,7,8,9},$B149&amp;"0123456789")),LEN($B149)*2-LENB($B149)))</f>
        <v>#VALUE!</v>
      </c>
      <c r="V149" s="45" t="str">
        <f t="shared" si="4"/>
        <v>新年送壕礼-累计登陆 [00821cff]1[-] 天奖励</v>
      </c>
    </row>
    <row r="150" spans="1:22" s="45" customFormat="1">
      <c r="A150" s="37">
        <v>100007</v>
      </c>
      <c r="B150" s="37" t="s">
        <v>277</v>
      </c>
      <c r="C150" s="38">
        <v>1</v>
      </c>
      <c r="D150" s="38">
        <v>0</v>
      </c>
      <c r="E150" s="37">
        <v>2</v>
      </c>
      <c r="F150" s="37" t="s">
        <v>14</v>
      </c>
      <c r="G150" s="37">
        <v>5</v>
      </c>
      <c r="H150" s="37">
        <v>1</v>
      </c>
      <c r="I150" s="37">
        <v>2</v>
      </c>
      <c r="J150" s="37" t="s">
        <v>103</v>
      </c>
      <c r="K150" s="37">
        <v>0</v>
      </c>
      <c r="L150" s="37" t="s">
        <v>222</v>
      </c>
      <c r="M150" s="45" t="e">
        <f>VLOOKUP(FindStrFirstNum($A150,[1]Sheet1!$I$3:$I$43,[1]Sheet1!$A$3:$A$43),[1]Sheet1!$A:$I,7,0)</f>
        <v>#N/A</v>
      </c>
      <c r="N150" s="46"/>
      <c r="O150" s="46" t="str">
        <f>O149&amp;","&amp;A150</f>
        <v>100006,100007</v>
      </c>
      <c r="P150" s="46"/>
      <c r="U150" s="45" t="e">
        <f>INT(MID($B150,MIN(FIND({0,1,2,3,4,5,6,7,8,9},$B150&amp;"0123456789")),LEN($B150)*2-LENB($B150)))</f>
        <v>#VALUE!</v>
      </c>
      <c r="V150" s="45" t="str">
        <f t="shared" si="4"/>
        <v>新年送壕礼-累计登陆 [00821cff]2[-] 天奖励</v>
      </c>
    </row>
    <row r="151" spans="1:22" s="45" customFormat="1">
      <c r="A151" s="37">
        <v>100008</v>
      </c>
      <c r="B151" s="37" t="s">
        <v>278</v>
      </c>
      <c r="C151" s="38">
        <v>1</v>
      </c>
      <c r="D151" s="38">
        <v>0</v>
      </c>
      <c r="E151" s="37">
        <v>2</v>
      </c>
      <c r="F151" s="37" t="s">
        <v>14</v>
      </c>
      <c r="G151" s="37">
        <v>5</v>
      </c>
      <c r="H151" s="37">
        <v>1</v>
      </c>
      <c r="I151" s="37">
        <v>3</v>
      </c>
      <c r="J151" s="37" t="s">
        <v>103</v>
      </c>
      <c r="K151" s="37">
        <v>0</v>
      </c>
      <c r="L151" s="37" t="s">
        <v>223</v>
      </c>
      <c r="M151" s="45" t="e">
        <f>VLOOKUP(FindStrFirstNum($A151,[1]Sheet1!$I$3:$I$43,[1]Sheet1!$A$3:$A$43),[1]Sheet1!$A:$I,7,0)</f>
        <v>#N/A</v>
      </c>
      <c r="N151" s="46"/>
      <c r="O151" s="46" t="str">
        <f>O150&amp;","&amp;A151</f>
        <v>100006,100007,100008</v>
      </c>
      <c r="P151" s="46"/>
      <c r="U151" s="45" t="e">
        <f>INT(MID($B151,MIN(FIND({0,1,2,3,4,5,6,7,8,9},$B151&amp;"0123456789")),LEN($B151)*2-LENB($B151)))</f>
        <v>#VALUE!</v>
      </c>
      <c r="V151" s="45" t="str">
        <f t="shared" si="4"/>
        <v>新年送壕礼-累计登陆 [00821cff]3[-] 天奖励</v>
      </c>
    </row>
    <row r="152" spans="1:22">
      <c r="A152" s="39">
        <v>100011</v>
      </c>
      <c r="B152" s="39" t="s">
        <v>281</v>
      </c>
      <c r="C152" s="40">
        <v>1</v>
      </c>
      <c r="D152" s="40">
        <v>0</v>
      </c>
      <c r="E152" s="39">
        <v>2</v>
      </c>
      <c r="F152" s="39" t="s">
        <v>14</v>
      </c>
      <c r="G152" s="39">
        <v>5</v>
      </c>
      <c r="H152" s="39">
        <v>1</v>
      </c>
      <c r="I152" s="39">
        <v>1</v>
      </c>
      <c r="J152" s="39" t="s">
        <v>103</v>
      </c>
      <c r="K152" s="39">
        <v>0</v>
      </c>
      <c r="L152" s="39" t="s">
        <v>211</v>
      </c>
      <c r="M152" s="1" t="e">
        <f>VLOOKUP(FindStrFirstNum($A152,[1]Sheet1!$I$3:$I$43,[1]Sheet1!$A$3:$A$43),[1]Sheet1!$A:$I,7,0)</f>
        <v>#N/A</v>
      </c>
      <c r="O152" s="36">
        <f>A152</f>
        <v>100011</v>
      </c>
      <c r="U152" s="1" t="e">
        <f>INT(MID($B152,MIN(FIND({0,1,2,3,4,5,6,7,8,9},$B152&amp;"0123456789")),LEN($B152)*2-LENB($B152)))</f>
        <v>#VALUE!</v>
      </c>
      <c r="V152" s="1" t="str">
        <f t="shared" si="4"/>
        <v>累计登陆 [00821cff]1[-] 天</v>
      </c>
    </row>
    <row r="153" spans="1:22">
      <c r="A153" s="39">
        <v>100012</v>
      </c>
      <c r="B153" s="39" t="s">
        <v>282</v>
      </c>
      <c r="C153" s="40">
        <v>1</v>
      </c>
      <c r="D153" s="40">
        <v>0</v>
      </c>
      <c r="E153" s="39">
        <v>2</v>
      </c>
      <c r="F153" s="39" t="s">
        <v>14</v>
      </c>
      <c r="G153" s="39">
        <v>5</v>
      </c>
      <c r="H153" s="39">
        <v>1</v>
      </c>
      <c r="I153" s="39">
        <v>2</v>
      </c>
      <c r="J153" s="39" t="s">
        <v>103</v>
      </c>
      <c r="K153" s="39">
        <v>0</v>
      </c>
      <c r="L153" s="39" t="s">
        <v>212</v>
      </c>
      <c r="M153" s="1" t="e">
        <f>VLOOKUP(FindStrFirstNum($A153,[1]Sheet1!$I$3:$I$43,[1]Sheet1!$A$3:$A$43),[1]Sheet1!$A:$I,7,0)</f>
        <v>#N/A</v>
      </c>
      <c r="O153" s="36" t="str">
        <f t="shared" ref="O153:O158" si="5">O152&amp;","&amp;A153</f>
        <v>100011,100012</v>
      </c>
      <c r="U153" s="1" t="e">
        <f>INT(MID($B153,MIN(FIND({0,1,2,3,4,5,6,7,8,9},$B153&amp;"0123456789")),LEN($B153)*2-LENB($B153)))</f>
        <v>#VALUE!</v>
      </c>
      <c r="V153" s="1" t="str">
        <f t="shared" si="4"/>
        <v>累计登陆 [00821cff]2[-] 天</v>
      </c>
    </row>
    <row r="154" spans="1:22">
      <c r="A154" s="39">
        <v>100013</v>
      </c>
      <c r="B154" s="39" t="s">
        <v>283</v>
      </c>
      <c r="C154" s="40">
        <v>1</v>
      </c>
      <c r="D154" s="40">
        <v>0</v>
      </c>
      <c r="E154" s="39">
        <v>2</v>
      </c>
      <c r="F154" s="39" t="s">
        <v>14</v>
      </c>
      <c r="G154" s="39">
        <v>5</v>
      </c>
      <c r="H154" s="39">
        <v>1</v>
      </c>
      <c r="I154" s="39">
        <v>3</v>
      </c>
      <c r="J154" s="39" t="s">
        <v>103</v>
      </c>
      <c r="K154" s="39">
        <v>1</v>
      </c>
      <c r="L154" s="39" t="s">
        <v>213</v>
      </c>
      <c r="M154" s="1" t="e">
        <f>VLOOKUP(FindStrFirstNum($A154,[1]Sheet1!$I$3:$I$43,[1]Sheet1!$A$3:$A$43),[1]Sheet1!$A:$I,7,0)</f>
        <v>#N/A</v>
      </c>
      <c r="O154" s="36" t="str">
        <f t="shared" si="5"/>
        <v>100011,100012,100013</v>
      </c>
      <c r="U154" s="1" t="e">
        <f>INT(MID($B154,MIN(FIND({0,1,2,3,4,5,6,7,8,9},$B154&amp;"0123456789")),LEN($B154)*2-LENB($B154)))</f>
        <v>#VALUE!</v>
      </c>
      <c r="V154" s="1" t="str">
        <f t="shared" si="4"/>
        <v>累计登陆 [00821cff]3[-] 天</v>
      </c>
    </row>
    <row r="155" spans="1:22">
      <c r="A155" s="39">
        <v>100014</v>
      </c>
      <c r="B155" s="39" t="s">
        <v>284</v>
      </c>
      <c r="C155" s="40">
        <v>1</v>
      </c>
      <c r="D155" s="40">
        <v>0</v>
      </c>
      <c r="E155" s="39">
        <v>2</v>
      </c>
      <c r="F155" s="39" t="s">
        <v>14</v>
      </c>
      <c r="G155" s="39">
        <v>5</v>
      </c>
      <c r="H155" s="39">
        <v>1</v>
      </c>
      <c r="I155" s="39">
        <v>4</v>
      </c>
      <c r="J155" s="39" t="s">
        <v>103</v>
      </c>
      <c r="K155" s="39">
        <v>0</v>
      </c>
      <c r="L155" s="39" t="s">
        <v>214</v>
      </c>
      <c r="M155" s="1" t="e">
        <f>VLOOKUP(FindStrFirstNum($A155,[1]Sheet1!$I$3:$I$43,[1]Sheet1!$A$3:$A$43),[1]Sheet1!$A:$I,7,0)</f>
        <v>#N/A</v>
      </c>
      <c r="O155" s="36" t="str">
        <f t="shared" si="5"/>
        <v>100011,100012,100013,100014</v>
      </c>
      <c r="U155" s="1" t="e">
        <f>INT(MID($B155,MIN(FIND({0,1,2,3,4,5,6,7,8,9},$B155&amp;"0123456789")),LEN($B155)*2-LENB($B155)))</f>
        <v>#VALUE!</v>
      </c>
      <c r="V155" s="1" t="str">
        <f t="shared" si="4"/>
        <v>累计登陆 [00821cff]4[-] 天</v>
      </c>
    </row>
    <row r="156" spans="1:22">
      <c r="A156" s="39">
        <v>100015</v>
      </c>
      <c r="B156" s="39" t="s">
        <v>285</v>
      </c>
      <c r="C156" s="40">
        <v>1</v>
      </c>
      <c r="D156" s="40">
        <v>0</v>
      </c>
      <c r="E156" s="39">
        <v>2</v>
      </c>
      <c r="F156" s="39" t="s">
        <v>14</v>
      </c>
      <c r="G156" s="39">
        <v>5</v>
      </c>
      <c r="H156" s="39">
        <v>1</v>
      </c>
      <c r="I156" s="39">
        <v>5</v>
      </c>
      <c r="J156" s="39" t="s">
        <v>103</v>
      </c>
      <c r="K156" s="39">
        <v>0</v>
      </c>
      <c r="L156" s="39" t="s">
        <v>215</v>
      </c>
      <c r="M156" s="1" t="e">
        <f>VLOOKUP(FindStrFirstNum($A156,[1]Sheet1!$I$3:$I$43,[1]Sheet1!$A$3:$A$43),[1]Sheet1!$A:$I,7,0)</f>
        <v>#N/A</v>
      </c>
      <c r="O156" s="36" t="str">
        <f t="shared" si="5"/>
        <v>100011,100012,100013,100014,100015</v>
      </c>
      <c r="U156" s="1" t="e">
        <f>INT(MID($B156,MIN(FIND({0,1,2,3,4,5,6,7,8,9},$B156&amp;"0123456789")),LEN($B156)*2-LENB($B156)))</f>
        <v>#VALUE!</v>
      </c>
      <c r="V156" s="1" t="str">
        <f t="shared" si="4"/>
        <v>累计登陆 [00821cff]5[-] 天</v>
      </c>
    </row>
    <row r="157" spans="1:22">
      <c r="A157" s="39">
        <v>100016</v>
      </c>
      <c r="B157" s="39" t="s">
        <v>286</v>
      </c>
      <c r="C157" s="40">
        <v>1</v>
      </c>
      <c r="D157" s="40">
        <v>0</v>
      </c>
      <c r="E157" s="39">
        <v>2</v>
      </c>
      <c r="F157" s="39" t="s">
        <v>14</v>
      </c>
      <c r="G157" s="39">
        <v>5</v>
      </c>
      <c r="H157" s="39">
        <v>1</v>
      </c>
      <c r="I157" s="39">
        <v>6</v>
      </c>
      <c r="J157" s="39" t="s">
        <v>103</v>
      </c>
      <c r="K157" s="39">
        <v>0</v>
      </c>
      <c r="L157" s="39" t="s">
        <v>216</v>
      </c>
      <c r="M157" s="1" t="e">
        <f>VLOOKUP(FindStrFirstNum($A157,[1]Sheet1!$I$3:$I$43,[1]Sheet1!$A$3:$A$43),[1]Sheet1!$A:$I,7,0)</f>
        <v>#N/A</v>
      </c>
      <c r="O157" s="36" t="str">
        <f t="shared" si="5"/>
        <v>100011,100012,100013,100014,100015,100016</v>
      </c>
      <c r="U157" s="1" t="e">
        <f>INT(MID($B157,MIN(FIND({0,1,2,3,4,5,6,7,8,9},$B157&amp;"0123456789")),LEN($B157)*2-LENB($B157)))</f>
        <v>#VALUE!</v>
      </c>
      <c r="V157" s="1" t="str">
        <f t="shared" si="4"/>
        <v>累计登陆 [00821cff]6[-] 天</v>
      </c>
    </row>
    <row r="158" spans="1:22">
      <c r="A158" s="39">
        <v>100017</v>
      </c>
      <c r="B158" s="39" t="s">
        <v>287</v>
      </c>
      <c r="C158" s="40">
        <v>1</v>
      </c>
      <c r="D158" s="40">
        <v>0</v>
      </c>
      <c r="E158" s="39">
        <v>2</v>
      </c>
      <c r="F158" s="39" t="s">
        <v>14</v>
      </c>
      <c r="G158" s="39">
        <v>5</v>
      </c>
      <c r="H158" s="39">
        <v>1</v>
      </c>
      <c r="I158" s="39">
        <v>7</v>
      </c>
      <c r="J158" s="39" t="s">
        <v>103</v>
      </c>
      <c r="K158" s="39">
        <v>1</v>
      </c>
      <c r="L158" s="39" t="s">
        <v>217</v>
      </c>
      <c r="M158" s="1" t="e">
        <f>VLOOKUP(FindStrFirstNum($A158,[1]Sheet1!$I$3:$I$43,[1]Sheet1!$A$3:$A$43),[1]Sheet1!$A:$I,7,0)</f>
        <v>#N/A</v>
      </c>
      <c r="O158" s="36" t="str">
        <f t="shared" si="5"/>
        <v>100011,100012,100013,100014,100015,100016,100017</v>
      </c>
      <c r="U158" s="1" t="e">
        <f>INT(MID($B158,MIN(FIND({0,1,2,3,4,5,6,7,8,9},$B158&amp;"0123456789")),LEN($B158)*2-LENB($B158)))</f>
        <v>#VALUE!</v>
      </c>
      <c r="V158" s="1" t="str">
        <f t="shared" si="4"/>
        <v>累计登陆 [00821cff]7[-] 天</v>
      </c>
    </row>
    <row r="159" spans="1:22">
      <c r="A159" s="41">
        <v>100021</v>
      </c>
      <c r="B159" s="41" t="s">
        <v>281</v>
      </c>
      <c r="C159" s="42">
        <v>1</v>
      </c>
      <c r="D159" s="42">
        <v>0</v>
      </c>
      <c r="E159" s="41">
        <v>2</v>
      </c>
      <c r="F159" s="41" t="s">
        <v>14</v>
      </c>
      <c r="G159" s="41">
        <v>5</v>
      </c>
      <c r="H159" s="41">
        <v>1</v>
      </c>
      <c r="I159" s="41">
        <v>1</v>
      </c>
      <c r="J159" s="41" t="s">
        <v>103</v>
      </c>
      <c r="K159" s="41">
        <v>0</v>
      </c>
      <c r="L159" s="41" t="s">
        <v>211</v>
      </c>
      <c r="M159" s="1" t="e">
        <f>VLOOKUP(FindStrFirstNum($A159,[1]Sheet1!$I$3:$I$43,[1]Sheet1!$A$3:$A$43),[1]Sheet1!$A:$I,7,0)</f>
        <v>#N/A</v>
      </c>
      <c r="O159" s="36">
        <f>A159</f>
        <v>100021</v>
      </c>
      <c r="U159" s="1" t="e">
        <f>INT(MID($B159,MIN(FIND({0,1,2,3,4,5,6,7,8,9},$B159&amp;"0123456789")),LEN($B159)*2-LENB($B159)))</f>
        <v>#VALUE!</v>
      </c>
      <c r="V159" s="1" t="str">
        <f t="shared" si="4"/>
        <v>累计登陆 [00821cff]1[-] 天</v>
      </c>
    </row>
    <row r="160" spans="1:22">
      <c r="A160" s="41">
        <v>100022</v>
      </c>
      <c r="B160" s="41" t="s">
        <v>282</v>
      </c>
      <c r="C160" s="42">
        <v>1</v>
      </c>
      <c r="D160" s="42">
        <v>0</v>
      </c>
      <c r="E160" s="41">
        <v>2</v>
      </c>
      <c r="F160" s="41" t="s">
        <v>14</v>
      </c>
      <c r="G160" s="41">
        <v>5</v>
      </c>
      <c r="H160" s="41">
        <v>1</v>
      </c>
      <c r="I160" s="41">
        <v>2</v>
      </c>
      <c r="J160" s="41" t="s">
        <v>103</v>
      </c>
      <c r="K160" s="41">
        <v>0</v>
      </c>
      <c r="L160" s="41" t="s">
        <v>212</v>
      </c>
      <c r="M160" s="1" t="e">
        <f>VLOOKUP(FindStrFirstNum($A160,[1]Sheet1!$I$3:$I$43,[1]Sheet1!$A$3:$A$43),[1]Sheet1!$A:$I,7,0)</f>
        <v>#N/A</v>
      </c>
      <c r="O160" s="36" t="str">
        <f t="shared" ref="O160:O165" si="6">O159&amp;","&amp;A160</f>
        <v>100021,100022</v>
      </c>
      <c r="U160" s="1" t="e">
        <f>INT(MID($B160,MIN(FIND({0,1,2,3,4,5,6,7,8,9},$B160&amp;"0123456789")),LEN($B160)*2-LENB($B160)))</f>
        <v>#VALUE!</v>
      </c>
      <c r="V160" s="1" t="str">
        <f t="shared" si="4"/>
        <v>累计登陆 [00821cff]2[-] 天</v>
      </c>
    </row>
    <row r="161" spans="1:22">
      <c r="A161" s="41">
        <v>100023</v>
      </c>
      <c r="B161" s="41" t="s">
        <v>283</v>
      </c>
      <c r="C161" s="42">
        <v>1</v>
      </c>
      <c r="D161" s="42">
        <v>0</v>
      </c>
      <c r="E161" s="41">
        <v>2</v>
      </c>
      <c r="F161" s="41" t="s">
        <v>14</v>
      </c>
      <c r="G161" s="41">
        <v>5</v>
      </c>
      <c r="H161" s="41">
        <v>1</v>
      </c>
      <c r="I161" s="41">
        <v>3</v>
      </c>
      <c r="J161" s="41" t="s">
        <v>103</v>
      </c>
      <c r="K161" s="41">
        <v>1</v>
      </c>
      <c r="L161" s="41" t="s">
        <v>213</v>
      </c>
      <c r="M161" s="1" t="e">
        <f>VLOOKUP(FindStrFirstNum($A161,[1]Sheet1!$I$3:$I$43,[1]Sheet1!$A$3:$A$43),[1]Sheet1!$A:$I,7,0)</f>
        <v>#N/A</v>
      </c>
      <c r="O161" s="36" t="str">
        <f t="shared" si="6"/>
        <v>100021,100022,100023</v>
      </c>
      <c r="U161" s="1" t="e">
        <f>INT(MID($B161,MIN(FIND({0,1,2,3,4,5,6,7,8,9},$B161&amp;"0123456789")),LEN($B161)*2-LENB($B161)))</f>
        <v>#VALUE!</v>
      </c>
      <c r="V161" s="1" t="str">
        <f t="shared" si="4"/>
        <v>累计登陆 [00821cff]3[-] 天</v>
      </c>
    </row>
    <row r="162" spans="1:22">
      <c r="A162" s="41">
        <v>100024</v>
      </c>
      <c r="B162" s="41" t="s">
        <v>284</v>
      </c>
      <c r="C162" s="42">
        <v>1</v>
      </c>
      <c r="D162" s="42">
        <v>0</v>
      </c>
      <c r="E162" s="41">
        <v>2</v>
      </c>
      <c r="F162" s="41" t="s">
        <v>14</v>
      </c>
      <c r="G162" s="41">
        <v>5</v>
      </c>
      <c r="H162" s="41">
        <v>1</v>
      </c>
      <c r="I162" s="41">
        <v>4</v>
      </c>
      <c r="J162" s="41" t="s">
        <v>103</v>
      </c>
      <c r="K162" s="41">
        <v>0</v>
      </c>
      <c r="L162" s="41" t="s">
        <v>214</v>
      </c>
      <c r="M162" s="1" t="e">
        <f>VLOOKUP(FindStrFirstNum($A162,[1]Sheet1!$I$3:$I$43,[1]Sheet1!$A$3:$A$43),[1]Sheet1!$A:$I,7,0)</f>
        <v>#N/A</v>
      </c>
      <c r="O162" s="36" t="str">
        <f t="shared" si="6"/>
        <v>100021,100022,100023,100024</v>
      </c>
      <c r="U162" s="1" t="e">
        <f>INT(MID($B162,MIN(FIND({0,1,2,3,4,5,6,7,8,9},$B162&amp;"0123456789")),LEN($B162)*2-LENB($B162)))</f>
        <v>#VALUE!</v>
      </c>
      <c r="V162" s="1" t="str">
        <f t="shared" si="4"/>
        <v>累计登陆 [00821cff]4[-] 天</v>
      </c>
    </row>
    <row r="163" spans="1:22">
      <c r="A163" s="41">
        <v>100025</v>
      </c>
      <c r="B163" s="41" t="s">
        <v>285</v>
      </c>
      <c r="C163" s="42">
        <v>1</v>
      </c>
      <c r="D163" s="42">
        <v>0</v>
      </c>
      <c r="E163" s="41">
        <v>2</v>
      </c>
      <c r="F163" s="41" t="s">
        <v>14</v>
      </c>
      <c r="G163" s="41">
        <v>5</v>
      </c>
      <c r="H163" s="41">
        <v>1</v>
      </c>
      <c r="I163" s="41">
        <v>5</v>
      </c>
      <c r="J163" s="41" t="s">
        <v>103</v>
      </c>
      <c r="K163" s="41">
        <v>0</v>
      </c>
      <c r="L163" s="41" t="s">
        <v>218</v>
      </c>
      <c r="M163" s="1" t="e">
        <f>VLOOKUP(FindStrFirstNum($A163,[1]Sheet1!$I$3:$I$43,[1]Sheet1!$A$3:$A$43),[1]Sheet1!$A:$I,7,0)</f>
        <v>#N/A</v>
      </c>
      <c r="O163" s="36" t="str">
        <f t="shared" si="6"/>
        <v>100021,100022,100023,100024,100025</v>
      </c>
      <c r="U163" s="1" t="e">
        <f>INT(MID($B163,MIN(FIND({0,1,2,3,4,5,6,7,8,9},$B163&amp;"0123456789")),LEN($B163)*2-LENB($B163)))</f>
        <v>#VALUE!</v>
      </c>
      <c r="V163" s="1" t="str">
        <f t="shared" si="4"/>
        <v>累计登陆 [00821cff]5[-] 天</v>
      </c>
    </row>
    <row r="164" spans="1:22">
      <c r="A164" s="41">
        <v>100026</v>
      </c>
      <c r="B164" s="41" t="s">
        <v>286</v>
      </c>
      <c r="C164" s="42">
        <v>1</v>
      </c>
      <c r="D164" s="42">
        <v>0</v>
      </c>
      <c r="E164" s="41">
        <v>2</v>
      </c>
      <c r="F164" s="41" t="s">
        <v>14</v>
      </c>
      <c r="G164" s="41">
        <v>5</v>
      </c>
      <c r="H164" s="41">
        <v>1</v>
      </c>
      <c r="I164" s="41">
        <v>6</v>
      </c>
      <c r="J164" s="41" t="s">
        <v>103</v>
      </c>
      <c r="K164" s="41">
        <v>0</v>
      </c>
      <c r="L164" s="41" t="s">
        <v>216</v>
      </c>
      <c r="M164" s="1" t="e">
        <f>VLOOKUP(FindStrFirstNum($A164,[1]Sheet1!$I$3:$I$43,[1]Sheet1!$A$3:$A$43),[1]Sheet1!$A:$I,7,0)</f>
        <v>#N/A</v>
      </c>
      <c r="O164" s="36" t="str">
        <f t="shared" si="6"/>
        <v>100021,100022,100023,100024,100025,100026</v>
      </c>
      <c r="U164" s="1" t="e">
        <f>INT(MID($B164,MIN(FIND({0,1,2,3,4,5,6,7,8,9},$B164&amp;"0123456789")),LEN($B164)*2-LENB($B164)))</f>
        <v>#VALUE!</v>
      </c>
      <c r="V164" s="1" t="str">
        <f t="shared" ref="V164:V173" si="7">IF(ISERROR($U164),$B164,LEFT($B164,FIND($U164,$B164)-1)&amp;"[FF7400]"&amp;U164&amp;"[-]"&amp;IFERROR(RIGHT($B164,LEN($B164)-FIND($U164,$B164)-LEN($U164)+1),""))</f>
        <v>累计登陆 [00821cff]6[-] 天</v>
      </c>
    </row>
    <row r="165" spans="1:22">
      <c r="A165" s="41">
        <v>100027</v>
      </c>
      <c r="B165" s="41" t="s">
        <v>287</v>
      </c>
      <c r="C165" s="42">
        <v>1</v>
      </c>
      <c r="D165" s="42">
        <v>0</v>
      </c>
      <c r="E165" s="41">
        <v>2</v>
      </c>
      <c r="F165" s="41" t="s">
        <v>14</v>
      </c>
      <c r="G165" s="41">
        <v>5</v>
      </c>
      <c r="H165" s="41">
        <v>1</v>
      </c>
      <c r="I165" s="41">
        <v>7</v>
      </c>
      <c r="J165" s="41" t="s">
        <v>103</v>
      </c>
      <c r="K165" s="41">
        <v>1</v>
      </c>
      <c r="L165" s="41" t="s">
        <v>217</v>
      </c>
      <c r="M165" s="1" t="e">
        <f>VLOOKUP(FindStrFirstNum($A165,[1]Sheet1!$I$3:$I$43,[1]Sheet1!$A$3:$A$43),[1]Sheet1!$A:$I,7,0)</f>
        <v>#N/A</v>
      </c>
      <c r="O165" s="36" t="str">
        <f t="shared" si="6"/>
        <v>100021,100022,100023,100024,100025,100026,100027</v>
      </c>
      <c r="U165" s="1" t="e">
        <f>INT(MID($B165,MIN(FIND({0,1,2,3,4,5,6,7,8,9},$B165&amp;"0123456789")),LEN($B165)*2-LENB($B165)))</f>
        <v>#VALUE!</v>
      </c>
      <c r="V165" s="1" t="str">
        <f t="shared" si="7"/>
        <v>累计登陆 [00821cff]7[-] 天</v>
      </c>
    </row>
    <row r="166" spans="1:22" s="45" customFormat="1">
      <c r="A166" s="37">
        <v>100031</v>
      </c>
      <c r="B166" s="37" t="s">
        <v>288</v>
      </c>
      <c r="C166" s="38">
        <v>1</v>
      </c>
      <c r="D166" s="38">
        <v>0</v>
      </c>
      <c r="E166" s="37">
        <v>2</v>
      </c>
      <c r="F166" s="37" t="s">
        <v>14</v>
      </c>
      <c r="G166" s="37">
        <v>5</v>
      </c>
      <c r="H166" s="37">
        <v>1</v>
      </c>
      <c r="I166" s="37">
        <v>1</v>
      </c>
      <c r="J166" s="37" t="s">
        <v>103</v>
      </c>
      <c r="K166" s="37">
        <v>0</v>
      </c>
      <c r="L166" s="37" t="s">
        <v>224</v>
      </c>
      <c r="M166" s="45" t="e">
        <f>VLOOKUP(FindStrFirstNum($A166,[1]Sheet1!$I$3:$I$43,[1]Sheet1!$A$3:$A$43),[1]Sheet1!$A:$I,7,0)</f>
        <v>#N/A</v>
      </c>
      <c r="N166" s="46"/>
      <c r="O166" s="46">
        <f>A166</f>
        <v>100031</v>
      </c>
      <c r="P166" s="46"/>
      <c r="U166" s="45" t="e">
        <f>INT(MID($B166,MIN(FIND({0,1,2,3,4,5,6,7,8,9},$B166&amp;"0123456789")),LEN($B166)*2-LENB($B166)))</f>
        <v>#VALUE!</v>
      </c>
      <c r="V166" s="45" t="str">
        <f t="shared" si="7"/>
        <v>腊八送壕礼-累计登陆 [00821cff]1[-] 天奖励</v>
      </c>
    </row>
    <row r="167" spans="1:22" s="45" customFormat="1">
      <c r="A167" s="37">
        <v>100032</v>
      </c>
      <c r="B167" s="37" t="s">
        <v>289</v>
      </c>
      <c r="C167" s="38">
        <v>1</v>
      </c>
      <c r="D167" s="38">
        <v>0</v>
      </c>
      <c r="E167" s="37">
        <v>2</v>
      </c>
      <c r="F167" s="37" t="s">
        <v>14</v>
      </c>
      <c r="G167" s="37">
        <v>5</v>
      </c>
      <c r="H167" s="37">
        <v>1</v>
      </c>
      <c r="I167" s="37">
        <v>2</v>
      </c>
      <c r="J167" s="37" t="s">
        <v>103</v>
      </c>
      <c r="K167" s="37">
        <v>0</v>
      </c>
      <c r="L167" s="37" t="s">
        <v>224</v>
      </c>
      <c r="M167" s="45" t="e">
        <f>VLOOKUP(FindStrFirstNum($A167,[1]Sheet1!$I$3:$I$43,[1]Sheet1!$A$3:$A$43),[1]Sheet1!$A:$I,7,0)</f>
        <v>#N/A</v>
      </c>
      <c r="N167" s="46"/>
      <c r="O167" s="46" t="str">
        <f>O166&amp;","&amp;A167</f>
        <v>100031,100032</v>
      </c>
      <c r="P167" s="46"/>
      <c r="U167" s="45" t="e">
        <f>INT(MID($B167,MIN(FIND({0,1,2,3,4,5,6,7,8,9},$B167&amp;"0123456789")),LEN($B167)*2-LENB($B167)))</f>
        <v>#VALUE!</v>
      </c>
      <c r="V167" s="45" t="str">
        <f t="shared" si="7"/>
        <v>腊八送壕礼-累计登陆 [00821cff]2[-] 天奖励</v>
      </c>
    </row>
    <row r="168" spans="1:22" s="45" customFormat="1">
      <c r="A168" s="37">
        <v>100033</v>
      </c>
      <c r="B168" s="37" t="s">
        <v>290</v>
      </c>
      <c r="C168" s="38">
        <v>1</v>
      </c>
      <c r="D168" s="38">
        <v>0</v>
      </c>
      <c r="E168" s="37">
        <v>2</v>
      </c>
      <c r="F168" s="37" t="s">
        <v>14</v>
      </c>
      <c r="G168" s="37">
        <v>5</v>
      </c>
      <c r="H168" s="37">
        <v>1</v>
      </c>
      <c r="I168" s="37">
        <v>3</v>
      </c>
      <c r="J168" s="37" t="s">
        <v>103</v>
      </c>
      <c r="K168" s="37">
        <v>0</v>
      </c>
      <c r="L168" s="37" t="s">
        <v>224</v>
      </c>
      <c r="M168" s="45" t="e">
        <f>VLOOKUP(FindStrFirstNum($A168,[1]Sheet1!$I$3:$I$43,[1]Sheet1!$A$3:$A$43),[1]Sheet1!$A:$I,7,0)</f>
        <v>#N/A</v>
      </c>
      <c r="N168" s="46"/>
      <c r="O168" s="46" t="str">
        <f>O167&amp;","&amp;A168</f>
        <v>100031,100032,100033</v>
      </c>
      <c r="P168" s="46"/>
      <c r="U168" s="45" t="e">
        <f>INT(MID($B168,MIN(FIND({0,1,2,3,4,5,6,7,8,9},$B168&amp;"0123456789")),LEN($B168)*2-LENB($B168)))</f>
        <v>#VALUE!</v>
      </c>
      <c r="V168" s="45" t="str">
        <f t="shared" si="7"/>
        <v>腊八送壕礼-累计登陆 [00821cff]3[-] 天奖励</v>
      </c>
    </row>
    <row r="169" spans="1:22">
      <c r="A169" s="41">
        <v>100041</v>
      </c>
      <c r="B169" s="41" t="s">
        <v>291</v>
      </c>
      <c r="C169" s="42">
        <v>1</v>
      </c>
      <c r="D169" s="42">
        <v>0</v>
      </c>
      <c r="E169" s="41">
        <v>2</v>
      </c>
      <c r="F169" s="41" t="s">
        <v>14</v>
      </c>
      <c r="G169" s="41">
        <v>5</v>
      </c>
      <c r="H169" s="41">
        <v>2</v>
      </c>
      <c r="I169" s="41">
        <v>60</v>
      </c>
      <c r="J169" s="41" t="s">
        <v>103</v>
      </c>
      <c r="K169" s="41">
        <v>0</v>
      </c>
      <c r="L169" s="41" t="s">
        <v>225</v>
      </c>
      <c r="M169" s="1" t="e">
        <f>VLOOKUP(FindStrFirstNum($A169,[1]Sheet1!$I$3:$I$43,[1]Sheet1!$A$3:$A$43),[1]Sheet1!$A:$I,7,0)</f>
        <v>#N/A</v>
      </c>
      <c r="O169" s="36">
        <f>A169</f>
        <v>100041</v>
      </c>
      <c r="U169" s="1" t="e">
        <f>INT(MID($B169,MIN(FIND({0,1,2,3,4,5,6,7,8,9},$B169&amp;"0123456789")),LEN($B169)*2-LENB($B169)))</f>
        <v>#VALUE!</v>
      </c>
      <c r="V169" s="1" t="str">
        <f t="shared" si="7"/>
        <v>单笔充值 [00821cff]6[-] 元可领取</v>
      </c>
    </row>
    <row r="170" spans="1:22">
      <c r="A170" s="41">
        <v>100042</v>
      </c>
      <c r="B170" s="41" t="s">
        <v>292</v>
      </c>
      <c r="C170" s="42">
        <v>1</v>
      </c>
      <c r="D170" s="42">
        <v>0</v>
      </c>
      <c r="E170" s="41">
        <v>2</v>
      </c>
      <c r="F170" s="41" t="s">
        <v>14</v>
      </c>
      <c r="G170" s="41">
        <v>5</v>
      </c>
      <c r="H170" s="41">
        <v>2</v>
      </c>
      <c r="I170" s="41">
        <v>680</v>
      </c>
      <c r="J170" s="41" t="s">
        <v>103</v>
      </c>
      <c r="K170" s="41">
        <v>0</v>
      </c>
      <c r="L170" s="41" t="s">
        <v>226</v>
      </c>
      <c r="M170" s="1" t="e">
        <f>VLOOKUP(FindStrFirstNum($A170,[1]Sheet1!$I$3:$I$43,[1]Sheet1!$A$3:$A$43),[1]Sheet1!$A:$I,7,0)</f>
        <v>#N/A</v>
      </c>
      <c r="O170" s="36" t="str">
        <f>O169&amp;","&amp;A170</f>
        <v>100041,100042</v>
      </c>
      <c r="U170" s="1" t="e">
        <f>INT(MID($B170,MIN(FIND({0,1,2,3,4,5,6,7,8,9},$B170&amp;"0123456789")),LEN($B170)*2-LENB($B170)))</f>
        <v>#VALUE!</v>
      </c>
      <c r="V170" s="1" t="str">
        <f t="shared" si="7"/>
        <v>单笔充值 [00821cff]68[-] 元可领取</v>
      </c>
    </row>
    <row r="171" spans="1:22">
      <c r="A171" s="41">
        <v>100043</v>
      </c>
      <c r="B171" s="41" t="s">
        <v>293</v>
      </c>
      <c r="C171" s="42">
        <v>3</v>
      </c>
      <c r="D171" s="42">
        <v>0</v>
      </c>
      <c r="E171" s="41">
        <v>2</v>
      </c>
      <c r="F171" s="41" t="s">
        <v>14</v>
      </c>
      <c r="G171" s="41">
        <v>5</v>
      </c>
      <c r="H171" s="41">
        <v>2</v>
      </c>
      <c r="I171" s="41">
        <v>1680</v>
      </c>
      <c r="J171" s="41" t="s">
        <v>103</v>
      </c>
      <c r="K171" s="41">
        <v>0</v>
      </c>
      <c r="L171" s="41" t="s">
        <v>227</v>
      </c>
      <c r="M171" s="1" t="e">
        <f>VLOOKUP(FindStrFirstNum($A171,[1]Sheet1!$I$3:$I$43,[1]Sheet1!$A$3:$A$43),[1]Sheet1!$A:$I,7,0)</f>
        <v>#N/A</v>
      </c>
      <c r="O171" s="36" t="str">
        <f>O170&amp;","&amp;A171</f>
        <v>100041,100042,100043</v>
      </c>
      <c r="U171" s="1" t="e">
        <f>INT(MID($B171,MIN(FIND({0,1,2,3,4,5,6,7,8,9},$B171&amp;"0123456789")),LEN($B171)*2-LENB($B171)))</f>
        <v>#VALUE!</v>
      </c>
      <c r="V171" s="1" t="str">
        <f t="shared" si="7"/>
        <v>单笔充值 [00821cff]168[-] 元可领取</v>
      </c>
    </row>
    <row r="172" spans="1:22">
      <c r="A172" s="41">
        <v>100044</v>
      </c>
      <c r="B172" s="41" t="s">
        <v>294</v>
      </c>
      <c r="C172" s="42">
        <v>3</v>
      </c>
      <c r="D172" s="42">
        <v>0</v>
      </c>
      <c r="E172" s="41">
        <v>2</v>
      </c>
      <c r="F172" s="41" t="s">
        <v>14</v>
      </c>
      <c r="G172" s="41">
        <v>5</v>
      </c>
      <c r="H172" s="41">
        <v>2</v>
      </c>
      <c r="I172" s="41">
        <v>4180</v>
      </c>
      <c r="J172" s="41" t="s">
        <v>103</v>
      </c>
      <c r="K172" s="41">
        <v>0</v>
      </c>
      <c r="L172" s="41" t="s">
        <v>228</v>
      </c>
      <c r="M172" s="1" t="e">
        <f>VLOOKUP(FindStrFirstNum($A172,[1]Sheet1!$I$3:$I$43,[1]Sheet1!$A$3:$A$43),[1]Sheet1!$A:$I,7,0)</f>
        <v>#N/A</v>
      </c>
      <c r="O172" s="36" t="str">
        <f>O171&amp;","&amp;A172</f>
        <v>100041,100042,100043,100044</v>
      </c>
      <c r="U172" s="1" t="e">
        <f>INT(MID($B172,MIN(FIND({0,1,2,3,4,5,6,7,8,9},$B172&amp;"0123456789")),LEN($B172)*2-LENB($B172)))</f>
        <v>#VALUE!</v>
      </c>
      <c r="V172" s="1" t="str">
        <f t="shared" si="7"/>
        <v>单笔充值 [00821cff]418[-] 元可领取</v>
      </c>
    </row>
    <row r="173" spans="1:22">
      <c r="A173" s="41">
        <v>100045</v>
      </c>
      <c r="B173" s="41" t="s">
        <v>295</v>
      </c>
      <c r="C173" s="42">
        <v>3</v>
      </c>
      <c r="D173" s="42">
        <v>0</v>
      </c>
      <c r="E173" s="41">
        <v>2</v>
      </c>
      <c r="F173" s="41" t="s">
        <v>14</v>
      </c>
      <c r="G173" s="41">
        <v>5</v>
      </c>
      <c r="H173" s="41">
        <v>2</v>
      </c>
      <c r="I173" s="41">
        <v>6480</v>
      </c>
      <c r="J173" s="41" t="s">
        <v>103</v>
      </c>
      <c r="K173" s="41">
        <v>0</v>
      </c>
      <c r="L173" s="41" t="s">
        <v>229</v>
      </c>
      <c r="M173" s="1" t="e">
        <f>VLOOKUP(FindStrFirstNum($A173,[1]Sheet1!$I$3:$I$43,[1]Sheet1!$A$3:$A$43),[1]Sheet1!$A:$I,7,0)</f>
        <v>#N/A</v>
      </c>
      <c r="O173" s="36" t="str">
        <f>O172&amp;","&amp;A173</f>
        <v>100041,100042,100043,100044,100045</v>
      </c>
      <c r="U173" s="1" t="e">
        <f>INT(MID($B173,MIN(FIND({0,1,2,3,4,5,6,7,8,9},$B173&amp;"0123456789")),LEN($B173)*2-LENB($B173)))</f>
        <v>#VALUE!</v>
      </c>
      <c r="V173" s="1" t="str">
        <f t="shared" si="7"/>
        <v>单笔充值 [00821cff]648[-] 元可领取</v>
      </c>
    </row>
    <row r="174" spans="1:22" s="45" customFormat="1">
      <c r="A174" s="37">
        <v>100051</v>
      </c>
      <c r="B174" s="37" t="s">
        <v>296</v>
      </c>
      <c r="C174" s="38">
        <v>1</v>
      </c>
      <c r="D174" s="38">
        <v>0</v>
      </c>
      <c r="E174" s="37">
        <v>2</v>
      </c>
      <c r="F174" s="37" t="s">
        <v>14</v>
      </c>
      <c r="G174" s="37">
        <v>5</v>
      </c>
      <c r="H174" s="37">
        <v>1</v>
      </c>
      <c r="I174" s="37">
        <v>1</v>
      </c>
      <c r="J174" s="37" t="s">
        <v>103</v>
      </c>
      <c r="K174" s="37">
        <v>0</v>
      </c>
      <c r="L174" s="37" t="s">
        <v>299</v>
      </c>
      <c r="M174" s="45" t="e">
        <f>VLOOKUP(FindStrFirstNum($A174,[1]Sheet1!$I$3:$I$43,[1]Sheet1!$A$3:$A$43),[1]Sheet1!$A:$I,7,0)</f>
        <v>#N/A</v>
      </c>
      <c r="N174" s="46"/>
      <c r="O174" s="46">
        <f>A174</f>
        <v>100051</v>
      </c>
      <c r="P174" s="46"/>
      <c r="U174" s="45" t="e">
        <f>INT(MID($B174,MIN(FIND({0,1,2,3,4,5,6,7,8,9},$B174&amp;"0123456789")),LEN($B174)*2-LENB($B174)))</f>
        <v>#VALUE!</v>
      </c>
      <c r="V174" s="45" t="str">
        <f t="shared" ref="V174:V181" si="8">IF(ISERROR($U174),$B174,LEFT($B174,FIND($U174,$B174)-1)&amp;"[FF7400]"&amp;U174&amp;"[-]"&amp;IFERROR(RIGHT($B174,LEN($B174)-FIND($U174,$B174)-LEN($U174)+1),""))</f>
        <v>情人节送礼-累计登陆 [00821cff]1[-] 天奖励</v>
      </c>
    </row>
    <row r="175" spans="1:22" s="45" customFormat="1">
      <c r="A175" s="37">
        <v>100052</v>
      </c>
      <c r="B175" s="37" t="s">
        <v>297</v>
      </c>
      <c r="C175" s="38">
        <v>1</v>
      </c>
      <c r="D175" s="38">
        <v>0</v>
      </c>
      <c r="E175" s="37">
        <v>2</v>
      </c>
      <c r="F175" s="37" t="s">
        <v>14</v>
      </c>
      <c r="G175" s="37">
        <v>5</v>
      </c>
      <c r="H175" s="37">
        <v>1</v>
      </c>
      <c r="I175" s="37">
        <v>2</v>
      </c>
      <c r="J175" s="37" t="s">
        <v>103</v>
      </c>
      <c r="K175" s="37">
        <v>0</v>
      </c>
      <c r="L175" s="37" t="s">
        <v>299</v>
      </c>
      <c r="M175" s="45" t="e">
        <f>VLOOKUP(FindStrFirstNum($A175,[1]Sheet1!$I$3:$I$43,[1]Sheet1!$A$3:$A$43),[1]Sheet1!$A:$I,7,0)</f>
        <v>#N/A</v>
      </c>
      <c r="N175" s="46"/>
      <c r="O175" s="46" t="str">
        <f>O174&amp;","&amp;A175</f>
        <v>100051,100052</v>
      </c>
      <c r="P175" s="46"/>
      <c r="U175" s="45" t="e">
        <f>INT(MID($B175,MIN(FIND({0,1,2,3,4,5,6,7,8,9},$B175&amp;"0123456789")),LEN($B175)*2-LENB($B175)))</f>
        <v>#VALUE!</v>
      </c>
      <c r="V175" s="45" t="str">
        <f t="shared" si="8"/>
        <v>情人节送礼-累计登陆 [00821cff]2[-] 天奖励</v>
      </c>
    </row>
    <row r="176" spans="1:22" s="45" customFormat="1">
      <c r="A176" s="37">
        <v>100053</v>
      </c>
      <c r="B176" s="37" t="s">
        <v>298</v>
      </c>
      <c r="C176" s="38">
        <v>1</v>
      </c>
      <c r="D176" s="38">
        <v>0</v>
      </c>
      <c r="E176" s="37">
        <v>2</v>
      </c>
      <c r="F176" s="37" t="s">
        <v>14</v>
      </c>
      <c r="G176" s="37">
        <v>5</v>
      </c>
      <c r="H176" s="37">
        <v>1</v>
      </c>
      <c r="I176" s="37">
        <v>3</v>
      </c>
      <c r="J176" s="37" t="s">
        <v>103</v>
      </c>
      <c r="K176" s="37">
        <v>0</v>
      </c>
      <c r="L176" s="37" t="s">
        <v>299</v>
      </c>
      <c r="M176" s="45" t="e">
        <f>VLOOKUP(FindStrFirstNum($A176,[1]Sheet1!$I$3:$I$43,[1]Sheet1!$A$3:$A$43),[1]Sheet1!$A:$I,7,0)</f>
        <v>#N/A</v>
      </c>
      <c r="N176" s="46"/>
      <c r="O176" s="46" t="str">
        <f>O175&amp;","&amp;A176</f>
        <v>100051,100052,100053</v>
      </c>
      <c r="P176" s="46"/>
      <c r="U176" s="45" t="e">
        <f>INT(MID($B176,MIN(FIND({0,1,2,3,4,5,6,7,8,9},$B176&amp;"0123456789")),LEN($B176)*2-LENB($B176)))</f>
        <v>#VALUE!</v>
      </c>
      <c r="V176" s="45" t="str">
        <f t="shared" si="8"/>
        <v>情人节送礼-累计登陆 [00821cff]3[-] 天奖励</v>
      </c>
    </row>
    <row r="177" spans="1:22">
      <c r="A177" s="41">
        <v>100061</v>
      </c>
      <c r="B177" s="41" t="s">
        <v>291</v>
      </c>
      <c r="C177" s="42">
        <v>1</v>
      </c>
      <c r="D177" s="42">
        <v>0</v>
      </c>
      <c r="E177" s="41">
        <v>2</v>
      </c>
      <c r="F177" s="41" t="s">
        <v>14</v>
      </c>
      <c r="G177" s="41">
        <v>5</v>
      </c>
      <c r="H177" s="41">
        <v>2</v>
      </c>
      <c r="I177" s="41">
        <v>60</v>
      </c>
      <c r="J177" s="41" t="s">
        <v>103</v>
      </c>
      <c r="K177" s="41">
        <v>0</v>
      </c>
      <c r="L177" s="41" t="s">
        <v>310</v>
      </c>
      <c r="M177" s="1" t="e">
        <f>VLOOKUP(FindStrFirstNum($A177,[1]Sheet1!$I$3:$I$43,[1]Sheet1!$A$3:$A$43),[1]Sheet1!$A:$I,7,0)</f>
        <v>#N/A</v>
      </c>
      <c r="O177" s="36">
        <f>A177</f>
        <v>100061</v>
      </c>
      <c r="U177" s="1" t="e">
        <f>INT(MID($B177,MIN(FIND({0,1,2,3,4,5,6,7,8,9},$B177&amp;"0123456789")),LEN($B177)*2-LENB($B177)))</f>
        <v>#VALUE!</v>
      </c>
      <c r="V177" s="1" t="str">
        <f t="shared" si="8"/>
        <v>单笔充值 [00821cff]6[-] 元可领取</v>
      </c>
    </row>
    <row r="178" spans="1:22">
      <c r="A178" s="41">
        <v>100062</v>
      </c>
      <c r="B178" s="41" t="s">
        <v>292</v>
      </c>
      <c r="C178" s="42">
        <v>1</v>
      </c>
      <c r="D178" s="42">
        <v>0</v>
      </c>
      <c r="E178" s="41">
        <v>2</v>
      </c>
      <c r="F178" s="41" t="s">
        <v>14</v>
      </c>
      <c r="G178" s="41">
        <v>5</v>
      </c>
      <c r="H178" s="41">
        <v>2</v>
      </c>
      <c r="I178" s="41">
        <v>680</v>
      </c>
      <c r="J178" s="41" t="s">
        <v>103</v>
      </c>
      <c r="K178" s="41">
        <v>0</v>
      </c>
      <c r="L178" s="41" t="s">
        <v>311</v>
      </c>
      <c r="M178" s="1" t="e">
        <f>VLOOKUP(FindStrFirstNum($A178,[1]Sheet1!$I$3:$I$43,[1]Sheet1!$A$3:$A$43),[1]Sheet1!$A:$I,7,0)</f>
        <v>#N/A</v>
      </c>
      <c r="O178" s="36" t="str">
        <f>O177&amp;","&amp;A178</f>
        <v>100061,100062</v>
      </c>
      <c r="U178" s="1" t="e">
        <f>INT(MID($B178,MIN(FIND({0,1,2,3,4,5,6,7,8,9},$B178&amp;"0123456789")),LEN($B178)*2-LENB($B178)))</f>
        <v>#VALUE!</v>
      </c>
      <c r="V178" s="1" t="str">
        <f t="shared" si="8"/>
        <v>单笔充值 [00821cff]68[-] 元可领取</v>
      </c>
    </row>
    <row r="179" spans="1:22">
      <c r="A179" s="41">
        <v>100063</v>
      </c>
      <c r="B179" s="41" t="s">
        <v>293</v>
      </c>
      <c r="C179" s="42">
        <v>3</v>
      </c>
      <c r="D179" s="42">
        <v>0</v>
      </c>
      <c r="E179" s="41">
        <v>2</v>
      </c>
      <c r="F179" s="41" t="s">
        <v>14</v>
      </c>
      <c r="G179" s="41">
        <v>5</v>
      </c>
      <c r="H179" s="41">
        <v>2</v>
      </c>
      <c r="I179" s="41">
        <v>1680</v>
      </c>
      <c r="J179" s="41" t="s">
        <v>103</v>
      </c>
      <c r="K179" s="41">
        <v>0</v>
      </c>
      <c r="L179" s="41" t="s">
        <v>312</v>
      </c>
      <c r="M179" s="1" t="e">
        <f>VLOOKUP(FindStrFirstNum($A179,[1]Sheet1!$I$3:$I$43,[1]Sheet1!$A$3:$A$43),[1]Sheet1!$A:$I,7,0)</f>
        <v>#N/A</v>
      </c>
      <c r="O179" s="36" t="str">
        <f>O178&amp;","&amp;A179</f>
        <v>100061,100062,100063</v>
      </c>
      <c r="U179" s="1" t="e">
        <f>INT(MID($B179,MIN(FIND({0,1,2,3,4,5,6,7,8,9},$B179&amp;"0123456789")),LEN($B179)*2-LENB($B179)))</f>
        <v>#VALUE!</v>
      </c>
      <c r="V179" s="1" t="str">
        <f t="shared" si="8"/>
        <v>单笔充值 [00821cff]168[-] 元可领取</v>
      </c>
    </row>
    <row r="180" spans="1:22">
      <c r="A180" s="41">
        <v>100064</v>
      </c>
      <c r="B180" s="41" t="s">
        <v>294</v>
      </c>
      <c r="C180" s="42">
        <v>3</v>
      </c>
      <c r="D180" s="42">
        <v>0</v>
      </c>
      <c r="E180" s="41">
        <v>2</v>
      </c>
      <c r="F180" s="41" t="s">
        <v>14</v>
      </c>
      <c r="G180" s="41">
        <v>5</v>
      </c>
      <c r="H180" s="41">
        <v>2</v>
      </c>
      <c r="I180" s="41">
        <v>4180</v>
      </c>
      <c r="J180" s="41" t="s">
        <v>103</v>
      </c>
      <c r="K180" s="41">
        <v>0</v>
      </c>
      <c r="L180" s="41" t="s">
        <v>313</v>
      </c>
      <c r="M180" s="1" t="e">
        <f>VLOOKUP(FindStrFirstNum($A180,[1]Sheet1!$I$3:$I$43,[1]Sheet1!$A$3:$A$43),[1]Sheet1!$A:$I,7,0)</f>
        <v>#N/A</v>
      </c>
      <c r="O180" s="36" t="str">
        <f>O179&amp;","&amp;A180</f>
        <v>100061,100062,100063,100064</v>
      </c>
      <c r="U180" s="1" t="e">
        <f>INT(MID($B180,MIN(FIND({0,1,2,3,4,5,6,7,8,9},$B180&amp;"0123456789")),LEN($B180)*2-LENB($B180)))</f>
        <v>#VALUE!</v>
      </c>
      <c r="V180" s="1" t="str">
        <f t="shared" si="8"/>
        <v>单笔充值 [00821cff]418[-] 元可领取</v>
      </c>
    </row>
    <row r="181" spans="1:22">
      <c r="A181" s="41">
        <v>100065</v>
      </c>
      <c r="B181" s="41" t="s">
        <v>295</v>
      </c>
      <c r="C181" s="42">
        <v>3</v>
      </c>
      <c r="D181" s="42">
        <v>0</v>
      </c>
      <c r="E181" s="41">
        <v>2</v>
      </c>
      <c r="F181" s="41" t="s">
        <v>14</v>
      </c>
      <c r="G181" s="41">
        <v>5</v>
      </c>
      <c r="H181" s="41">
        <v>2</v>
      </c>
      <c r="I181" s="41">
        <v>6480</v>
      </c>
      <c r="J181" s="41" t="s">
        <v>103</v>
      </c>
      <c r="K181" s="41">
        <v>0</v>
      </c>
      <c r="L181" s="41" t="s">
        <v>314</v>
      </c>
      <c r="M181" s="1" t="e">
        <f>VLOOKUP(FindStrFirstNum($A181,[1]Sheet1!$I$3:$I$43,[1]Sheet1!$A$3:$A$43),[1]Sheet1!$A:$I,7,0)</f>
        <v>#N/A</v>
      </c>
      <c r="O181" s="36" t="str">
        <f>O180&amp;","&amp;A181</f>
        <v>100061,100062,100063,100064,100065</v>
      </c>
      <c r="U181" s="1" t="e">
        <f>INT(MID($B181,MIN(FIND({0,1,2,3,4,5,6,7,8,9},$B181&amp;"0123456789")),LEN($B181)*2-LENB($B181)))</f>
        <v>#VALUE!</v>
      </c>
      <c r="V181" s="1" t="str">
        <f t="shared" si="8"/>
        <v>单笔充值 [00821cff]648[-] 元可领取</v>
      </c>
    </row>
    <row r="182" spans="1:22" s="47" customFormat="1">
      <c r="A182" s="34">
        <v>100071</v>
      </c>
      <c r="B182" s="34" t="s">
        <v>291</v>
      </c>
      <c r="C182" s="35">
        <v>1</v>
      </c>
      <c r="D182" s="35">
        <v>0</v>
      </c>
      <c r="E182" s="34">
        <v>2</v>
      </c>
      <c r="F182" s="34" t="s">
        <v>14</v>
      </c>
      <c r="G182" s="34">
        <v>5</v>
      </c>
      <c r="H182" s="34">
        <v>2</v>
      </c>
      <c r="I182" s="34">
        <v>60</v>
      </c>
      <c r="J182" s="34" t="s">
        <v>103</v>
      </c>
      <c r="K182" s="34">
        <v>0</v>
      </c>
      <c r="L182" s="34" t="s">
        <v>305</v>
      </c>
      <c r="M182" s="47" t="e">
        <f>VLOOKUP(FindStrFirstNum($A182,[1]Sheet1!$I$3:$I$43,[1]Sheet1!$A$3:$A$43),[1]Sheet1!$A:$I,7,0)</f>
        <v>#N/A</v>
      </c>
      <c r="N182" s="48"/>
      <c r="O182" s="48">
        <f>A182</f>
        <v>100071</v>
      </c>
      <c r="P182" s="48"/>
      <c r="U182" s="47" t="e">
        <f>INT(MID($B182,MIN(FIND({0,1,2,3,4,5,6,7,8,9},$B182&amp;"0123456789")),LEN($B182)*2-LENB($B182)))</f>
        <v>#VALUE!</v>
      </c>
      <c r="V182" s="47" t="str">
        <f t="shared" ref="V182:V198" si="9">IF(ISERROR($U182),$B182,LEFT($B182,FIND($U182,$B182)-1)&amp;"[FF7400]"&amp;U182&amp;"[-]"&amp;IFERROR(RIGHT($B182,LEN($B182)-FIND($U182,$B182)-LEN($U182)+1),""))</f>
        <v>单笔充值 [00821cff]6[-] 元可领取</v>
      </c>
    </row>
    <row r="183" spans="1:22" s="47" customFormat="1">
      <c r="A183" s="34">
        <v>100072</v>
      </c>
      <c r="B183" s="34" t="s">
        <v>292</v>
      </c>
      <c r="C183" s="35">
        <v>1</v>
      </c>
      <c r="D183" s="35">
        <v>0</v>
      </c>
      <c r="E183" s="34">
        <v>2</v>
      </c>
      <c r="F183" s="34" t="s">
        <v>14</v>
      </c>
      <c r="G183" s="34">
        <v>5</v>
      </c>
      <c r="H183" s="34">
        <v>2</v>
      </c>
      <c r="I183" s="34">
        <v>680</v>
      </c>
      <c r="J183" s="34" t="s">
        <v>103</v>
      </c>
      <c r="K183" s="34">
        <v>0</v>
      </c>
      <c r="L183" s="34" t="s">
        <v>306</v>
      </c>
      <c r="M183" s="47" t="e">
        <f>VLOOKUP(FindStrFirstNum($A183,[1]Sheet1!$I$3:$I$43,[1]Sheet1!$A$3:$A$43),[1]Sheet1!$A:$I,7,0)</f>
        <v>#N/A</v>
      </c>
      <c r="N183" s="48"/>
      <c r="O183" s="48" t="str">
        <f>O182&amp;","&amp;A183</f>
        <v>100071,100072</v>
      </c>
      <c r="P183" s="48"/>
      <c r="U183" s="47" t="e">
        <f>INT(MID($B183,MIN(FIND({0,1,2,3,4,5,6,7,8,9},$B183&amp;"0123456789")),LEN($B183)*2-LENB($B183)))</f>
        <v>#VALUE!</v>
      </c>
      <c r="V183" s="47" t="str">
        <f t="shared" si="9"/>
        <v>单笔充值 [00821cff]68[-] 元可领取</v>
      </c>
    </row>
    <row r="184" spans="1:22" s="47" customFormat="1">
      <c r="A184" s="34">
        <v>100073</v>
      </c>
      <c r="B184" s="34" t="s">
        <v>293</v>
      </c>
      <c r="C184" s="35">
        <v>3</v>
      </c>
      <c r="D184" s="35">
        <v>0</v>
      </c>
      <c r="E184" s="34">
        <v>2</v>
      </c>
      <c r="F184" s="34" t="s">
        <v>14</v>
      </c>
      <c r="G184" s="34">
        <v>5</v>
      </c>
      <c r="H184" s="34">
        <v>2</v>
      </c>
      <c r="I184" s="34">
        <v>1680</v>
      </c>
      <c r="J184" s="34" t="s">
        <v>103</v>
      </c>
      <c r="K184" s="34">
        <v>0</v>
      </c>
      <c r="L184" s="34" t="s">
        <v>307</v>
      </c>
      <c r="M184" s="47" t="e">
        <f>VLOOKUP(FindStrFirstNum($A184,[1]Sheet1!$I$3:$I$43,[1]Sheet1!$A$3:$A$43),[1]Sheet1!$A:$I,7,0)</f>
        <v>#N/A</v>
      </c>
      <c r="N184" s="48"/>
      <c r="O184" s="48" t="str">
        <f>O183&amp;","&amp;A184</f>
        <v>100071,100072,100073</v>
      </c>
      <c r="P184" s="48"/>
      <c r="U184" s="47" t="e">
        <f>INT(MID($B184,MIN(FIND({0,1,2,3,4,5,6,7,8,9},$B184&amp;"0123456789")),LEN($B184)*2-LENB($B184)))</f>
        <v>#VALUE!</v>
      </c>
      <c r="V184" s="47" t="str">
        <f t="shared" si="9"/>
        <v>单笔充值 [00821cff]168[-] 元可领取</v>
      </c>
    </row>
    <row r="185" spans="1:22" s="47" customFormat="1">
      <c r="A185" s="34">
        <v>100074</v>
      </c>
      <c r="B185" s="34" t="s">
        <v>294</v>
      </c>
      <c r="C185" s="35">
        <v>3</v>
      </c>
      <c r="D185" s="35">
        <v>0</v>
      </c>
      <c r="E185" s="34">
        <v>2</v>
      </c>
      <c r="F185" s="34" t="s">
        <v>14</v>
      </c>
      <c r="G185" s="34">
        <v>5</v>
      </c>
      <c r="H185" s="34">
        <v>2</v>
      </c>
      <c r="I185" s="34">
        <v>4180</v>
      </c>
      <c r="J185" s="34" t="s">
        <v>103</v>
      </c>
      <c r="K185" s="34">
        <v>0</v>
      </c>
      <c r="L185" s="34" t="s">
        <v>308</v>
      </c>
      <c r="M185" s="47" t="e">
        <f>VLOOKUP(FindStrFirstNum($A185,[1]Sheet1!$I$3:$I$43,[1]Sheet1!$A$3:$A$43),[1]Sheet1!$A:$I,7,0)</f>
        <v>#N/A</v>
      </c>
      <c r="N185" s="48"/>
      <c r="O185" s="48" t="str">
        <f>O184&amp;","&amp;A185</f>
        <v>100071,100072,100073,100074</v>
      </c>
      <c r="P185" s="48"/>
      <c r="U185" s="47" t="e">
        <f>INT(MID($B185,MIN(FIND({0,1,2,3,4,5,6,7,8,9},$B185&amp;"0123456789")),LEN($B185)*2-LENB($B185)))</f>
        <v>#VALUE!</v>
      </c>
      <c r="V185" s="47" t="str">
        <f t="shared" si="9"/>
        <v>单笔充值 [00821cff]418[-] 元可领取</v>
      </c>
    </row>
    <row r="186" spans="1:22" s="47" customFormat="1">
      <c r="A186" s="34">
        <v>100075</v>
      </c>
      <c r="B186" s="34" t="s">
        <v>295</v>
      </c>
      <c r="C186" s="35">
        <v>3</v>
      </c>
      <c r="D186" s="35">
        <v>0</v>
      </c>
      <c r="E186" s="34">
        <v>2</v>
      </c>
      <c r="F186" s="34" t="s">
        <v>14</v>
      </c>
      <c r="G186" s="34">
        <v>5</v>
      </c>
      <c r="H186" s="34">
        <v>2</v>
      </c>
      <c r="I186" s="34">
        <v>6480</v>
      </c>
      <c r="J186" s="34" t="s">
        <v>103</v>
      </c>
      <c r="K186" s="34">
        <v>0</v>
      </c>
      <c r="L186" s="34" t="s">
        <v>309</v>
      </c>
      <c r="M186" s="47" t="e">
        <f>VLOOKUP(FindStrFirstNum($A186,[1]Sheet1!$I$3:$I$43,[1]Sheet1!$A$3:$A$43),[1]Sheet1!$A:$I,7,0)</f>
        <v>#N/A</v>
      </c>
      <c r="N186" s="48"/>
      <c r="O186" s="48" t="str">
        <f>O185&amp;","&amp;A186</f>
        <v>100071,100072,100073,100074,100075</v>
      </c>
      <c r="P186" s="48"/>
      <c r="U186" s="47" t="e">
        <f>INT(MID($B186,MIN(FIND({0,1,2,3,4,5,6,7,8,9},$B186&amp;"0123456789")),LEN($B186)*2-LENB($B186)))</f>
        <v>#VALUE!</v>
      </c>
      <c r="V186" s="47" t="str">
        <f t="shared" si="9"/>
        <v>单笔充值 [00821cff]648[-] 元可领取</v>
      </c>
    </row>
    <row r="187" spans="1:22">
      <c r="A187" s="41">
        <v>100081</v>
      </c>
      <c r="B187" s="41" t="s">
        <v>291</v>
      </c>
      <c r="C187" s="42">
        <v>1</v>
      </c>
      <c r="D187" s="42">
        <v>0</v>
      </c>
      <c r="E187" s="41">
        <v>2</v>
      </c>
      <c r="F187" s="41" t="s">
        <v>14</v>
      </c>
      <c r="G187" s="41">
        <v>5</v>
      </c>
      <c r="H187" s="41">
        <v>2</v>
      </c>
      <c r="I187" s="41">
        <v>60</v>
      </c>
      <c r="J187" s="41" t="s">
        <v>103</v>
      </c>
      <c r="K187" s="41">
        <v>0</v>
      </c>
      <c r="L187" s="41" t="s">
        <v>300</v>
      </c>
      <c r="M187" s="1" t="e">
        <f>VLOOKUP(FindStrFirstNum($A187,[1]Sheet1!$I$3:$I$43,[1]Sheet1!$A$3:$A$43),[1]Sheet1!$A:$I,7,0)</f>
        <v>#N/A</v>
      </c>
      <c r="O187" s="36">
        <f>A187</f>
        <v>100081</v>
      </c>
      <c r="U187" s="1" t="e">
        <f>INT(MID($B187,MIN(FIND({0,1,2,3,4,5,6,7,8,9},$B187&amp;"0123456789")),LEN($B187)*2-LENB($B187)))</f>
        <v>#VALUE!</v>
      </c>
      <c r="V187" s="1" t="str">
        <f t="shared" si="9"/>
        <v>单笔充值 [00821cff]6[-] 元可领取</v>
      </c>
    </row>
    <row r="188" spans="1:22">
      <c r="A188" s="41">
        <v>100082</v>
      </c>
      <c r="B188" s="41" t="s">
        <v>292</v>
      </c>
      <c r="C188" s="42">
        <v>1</v>
      </c>
      <c r="D188" s="42">
        <v>0</v>
      </c>
      <c r="E188" s="41">
        <v>2</v>
      </c>
      <c r="F188" s="41" t="s">
        <v>14</v>
      </c>
      <c r="G188" s="41">
        <v>5</v>
      </c>
      <c r="H188" s="41">
        <v>2</v>
      </c>
      <c r="I188" s="41">
        <v>680</v>
      </c>
      <c r="J188" s="41" t="s">
        <v>103</v>
      </c>
      <c r="K188" s="41">
        <v>0</v>
      </c>
      <c r="L188" s="41" t="s">
        <v>301</v>
      </c>
      <c r="M188" s="1" t="e">
        <f>VLOOKUP(FindStrFirstNum($A188,[1]Sheet1!$I$3:$I$43,[1]Sheet1!$A$3:$A$43),[1]Sheet1!$A:$I,7,0)</f>
        <v>#N/A</v>
      </c>
      <c r="O188" s="36" t="str">
        <f>O187&amp;","&amp;A188</f>
        <v>100081,100082</v>
      </c>
      <c r="U188" s="1" t="e">
        <f>INT(MID($B188,MIN(FIND({0,1,2,3,4,5,6,7,8,9},$B188&amp;"0123456789")),LEN($B188)*2-LENB($B188)))</f>
        <v>#VALUE!</v>
      </c>
      <c r="V188" s="1" t="str">
        <f t="shared" si="9"/>
        <v>单笔充值 [00821cff]68[-] 元可领取</v>
      </c>
    </row>
    <row r="189" spans="1:22">
      <c r="A189" s="41">
        <v>100083</v>
      </c>
      <c r="B189" s="41" t="s">
        <v>293</v>
      </c>
      <c r="C189" s="42">
        <v>3</v>
      </c>
      <c r="D189" s="42">
        <v>0</v>
      </c>
      <c r="E189" s="41">
        <v>2</v>
      </c>
      <c r="F189" s="41" t="s">
        <v>14</v>
      </c>
      <c r="G189" s="41">
        <v>5</v>
      </c>
      <c r="H189" s="41">
        <v>2</v>
      </c>
      <c r="I189" s="41">
        <v>1680</v>
      </c>
      <c r="J189" s="41" t="s">
        <v>103</v>
      </c>
      <c r="K189" s="41">
        <v>0</v>
      </c>
      <c r="L189" s="41" t="s">
        <v>302</v>
      </c>
      <c r="M189" s="1" t="e">
        <f>VLOOKUP(FindStrFirstNum($A189,[1]Sheet1!$I$3:$I$43,[1]Sheet1!$A$3:$A$43),[1]Sheet1!$A:$I,7,0)</f>
        <v>#N/A</v>
      </c>
      <c r="O189" s="36" t="str">
        <f>O188&amp;","&amp;A189</f>
        <v>100081,100082,100083</v>
      </c>
      <c r="U189" s="1" t="e">
        <f>INT(MID($B189,MIN(FIND({0,1,2,3,4,5,6,7,8,9},$B189&amp;"0123456789")),LEN($B189)*2-LENB($B189)))</f>
        <v>#VALUE!</v>
      </c>
      <c r="V189" s="1" t="str">
        <f t="shared" si="9"/>
        <v>单笔充值 [00821cff]168[-] 元可领取</v>
      </c>
    </row>
    <row r="190" spans="1:22">
      <c r="A190" s="41">
        <v>100084</v>
      </c>
      <c r="B190" s="41" t="s">
        <v>294</v>
      </c>
      <c r="C190" s="42">
        <v>3</v>
      </c>
      <c r="D190" s="42">
        <v>0</v>
      </c>
      <c r="E190" s="41">
        <v>2</v>
      </c>
      <c r="F190" s="41" t="s">
        <v>14</v>
      </c>
      <c r="G190" s="41">
        <v>5</v>
      </c>
      <c r="H190" s="41">
        <v>2</v>
      </c>
      <c r="I190" s="41">
        <v>4180</v>
      </c>
      <c r="J190" s="41" t="s">
        <v>103</v>
      </c>
      <c r="K190" s="41">
        <v>0</v>
      </c>
      <c r="L190" s="41" t="s">
        <v>303</v>
      </c>
      <c r="M190" s="1" t="e">
        <f>VLOOKUP(FindStrFirstNum($A190,[1]Sheet1!$I$3:$I$43,[1]Sheet1!$A$3:$A$43),[1]Sheet1!$A:$I,7,0)</f>
        <v>#N/A</v>
      </c>
      <c r="O190" s="36" t="str">
        <f>O189&amp;","&amp;A190</f>
        <v>100081,100082,100083,100084</v>
      </c>
      <c r="U190" s="1" t="e">
        <f>INT(MID($B190,MIN(FIND({0,1,2,3,4,5,6,7,8,9},$B190&amp;"0123456789")),LEN($B190)*2-LENB($B190)))</f>
        <v>#VALUE!</v>
      </c>
      <c r="V190" s="1" t="str">
        <f t="shared" si="9"/>
        <v>单笔充值 [00821cff]418[-] 元可领取</v>
      </c>
    </row>
    <row r="191" spans="1:22">
      <c r="A191" s="41">
        <v>100085</v>
      </c>
      <c r="B191" s="41" t="s">
        <v>295</v>
      </c>
      <c r="C191" s="42">
        <v>3</v>
      </c>
      <c r="D191" s="42">
        <v>0</v>
      </c>
      <c r="E191" s="41">
        <v>2</v>
      </c>
      <c r="F191" s="41" t="s">
        <v>14</v>
      </c>
      <c r="G191" s="41">
        <v>5</v>
      </c>
      <c r="H191" s="41">
        <v>2</v>
      </c>
      <c r="I191" s="41">
        <v>6480</v>
      </c>
      <c r="J191" s="41" t="s">
        <v>103</v>
      </c>
      <c r="K191" s="41">
        <v>0</v>
      </c>
      <c r="L191" s="41" t="s">
        <v>304</v>
      </c>
      <c r="M191" s="1" t="e">
        <f>VLOOKUP(FindStrFirstNum($A191,[1]Sheet1!$I$3:$I$43,[1]Sheet1!$A$3:$A$43),[1]Sheet1!$A:$I,7,0)</f>
        <v>#N/A</v>
      </c>
      <c r="O191" s="36" t="str">
        <f>O190&amp;","&amp;A191</f>
        <v>100081,100082,100083,100084,100085</v>
      </c>
      <c r="U191" s="1" t="e">
        <f>INT(MID($B191,MIN(FIND({0,1,2,3,4,5,6,7,8,9},$B191&amp;"0123456789")),LEN($B191)*2-LENB($B191)))</f>
        <v>#VALUE!</v>
      </c>
      <c r="V191" s="1" t="str">
        <f t="shared" si="9"/>
        <v>单笔充值 [00821cff]648[-] 元可领取</v>
      </c>
    </row>
    <row r="192" spans="1:22" s="47" customFormat="1">
      <c r="A192" s="34">
        <v>100091</v>
      </c>
      <c r="B192" s="34" t="s">
        <v>315</v>
      </c>
      <c r="C192" s="35">
        <v>1</v>
      </c>
      <c r="D192" s="35">
        <v>0</v>
      </c>
      <c r="E192" s="34">
        <v>2</v>
      </c>
      <c r="F192" s="34" t="s">
        <v>14</v>
      </c>
      <c r="G192" s="34">
        <v>5</v>
      </c>
      <c r="H192" s="34">
        <v>1</v>
      </c>
      <c r="I192" s="34">
        <v>1</v>
      </c>
      <c r="J192" s="34" t="s">
        <v>103</v>
      </c>
      <c r="K192" s="34">
        <v>0</v>
      </c>
      <c r="L192" s="34" t="s">
        <v>324</v>
      </c>
      <c r="M192" s="47" t="e">
        <f>VLOOKUP(FindStrFirstNum($A192,[1]Sheet1!$I$3:$I$43,[1]Sheet1!$A$3:$A$43),[1]Sheet1!$A:$I,7,0)</f>
        <v>#N/A</v>
      </c>
      <c r="N192" s="48"/>
      <c r="O192" s="48">
        <f>A192</f>
        <v>100091</v>
      </c>
      <c r="P192" s="48"/>
      <c r="U192" s="47" t="e">
        <f>INT(MID($B192,MIN(FIND({0,1,2,3,4,5,6,7,8,9},$B192&amp;"0123456789")),LEN($B192)*2-LENB($B192)))</f>
        <v>#VALUE!</v>
      </c>
      <c r="V192" s="47" t="str">
        <f t="shared" si="9"/>
        <v>欢度春节-累计登陆 [00821cff]1[-] 天</v>
      </c>
    </row>
    <row r="193" spans="1:22" s="47" customFormat="1">
      <c r="A193" s="34">
        <v>100092</v>
      </c>
      <c r="B193" s="34" t="s">
        <v>316</v>
      </c>
      <c r="C193" s="35">
        <v>1</v>
      </c>
      <c r="D193" s="35">
        <v>0</v>
      </c>
      <c r="E193" s="34">
        <v>2</v>
      </c>
      <c r="F193" s="34" t="s">
        <v>14</v>
      </c>
      <c r="G193" s="34">
        <v>5</v>
      </c>
      <c r="H193" s="34">
        <v>1</v>
      </c>
      <c r="I193" s="34">
        <v>2</v>
      </c>
      <c r="J193" s="34" t="s">
        <v>103</v>
      </c>
      <c r="K193" s="34">
        <v>0</v>
      </c>
      <c r="L193" s="34" t="s">
        <v>324</v>
      </c>
      <c r="M193" s="47" t="e">
        <f>VLOOKUP(FindStrFirstNum($A193,[1]Sheet1!$I$3:$I$43,[1]Sheet1!$A$3:$A$43),[1]Sheet1!$A:$I,7,0)</f>
        <v>#N/A</v>
      </c>
      <c r="N193" s="48"/>
      <c r="O193" s="48" t="str">
        <f t="shared" ref="O193:O200" si="10">O192&amp;","&amp;A193</f>
        <v>100091,100092</v>
      </c>
      <c r="P193" s="48"/>
      <c r="U193" s="47" t="e">
        <f>INT(MID($B193,MIN(FIND({0,1,2,3,4,5,6,7,8,9},$B193&amp;"0123456789")),LEN($B193)*2-LENB($B193)))</f>
        <v>#VALUE!</v>
      </c>
      <c r="V193" s="47" t="str">
        <f t="shared" si="9"/>
        <v>欢度春节-累计登陆 [00821cff]2[-] 天</v>
      </c>
    </row>
    <row r="194" spans="1:22" s="47" customFormat="1">
      <c r="A194" s="34">
        <v>100093</v>
      </c>
      <c r="B194" s="34" t="s">
        <v>317</v>
      </c>
      <c r="C194" s="35">
        <v>1</v>
      </c>
      <c r="D194" s="35">
        <v>0</v>
      </c>
      <c r="E194" s="34">
        <v>2</v>
      </c>
      <c r="F194" s="34" t="s">
        <v>14</v>
      </c>
      <c r="G194" s="34">
        <v>5</v>
      </c>
      <c r="H194" s="34">
        <v>1</v>
      </c>
      <c r="I194" s="34">
        <v>3</v>
      </c>
      <c r="J194" s="34" t="s">
        <v>103</v>
      </c>
      <c r="K194" s="34">
        <v>0</v>
      </c>
      <c r="L194" s="34" t="s">
        <v>324</v>
      </c>
      <c r="M194" s="47" t="e">
        <f>VLOOKUP(FindStrFirstNum($A194,[1]Sheet1!$I$3:$I$43,[1]Sheet1!$A$3:$A$43),[1]Sheet1!$A:$I,7,0)</f>
        <v>#N/A</v>
      </c>
      <c r="N194" s="48"/>
      <c r="O194" s="48" t="str">
        <f t="shared" si="10"/>
        <v>100091,100092,100093</v>
      </c>
      <c r="P194" s="48"/>
      <c r="U194" s="47" t="e">
        <f>INT(MID($B194,MIN(FIND({0,1,2,3,4,5,6,7,8,9},$B194&amp;"0123456789")),LEN($B194)*2-LENB($B194)))</f>
        <v>#VALUE!</v>
      </c>
      <c r="V194" s="47" t="str">
        <f t="shared" si="9"/>
        <v>欢度春节-累计登陆 [00821cff]3[-] 天</v>
      </c>
    </row>
    <row r="195" spans="1:22" s="47" customFormat="1">
      <c r="A195" s="34">
        <v>100094</v>
      </c>
      <c r="B195" s="34" t="s">
        <v>318</v>
      </c>
      <c r="C195" s="35">
        <v>1</v>
      </c>
      <c r="D195" s="35">
        <v>0</v>
      </c>
      <c r="E195" s="34">
        <v>2</v>
      </c>
      <c r="F195" s="34" t="s">
        <v>14</v>
      </c>
      <c r="G195" s="34">
        <v>5</v>
      </c>
      <c r="H195" s="34">
        <v>1</v>
      </c>
      <c r="I195" s="34">
        <v>4</v>
      </c>
      <c r="J195" s="34" t="s">
        <v>103</v>
      </c>
      <c r="K195" s="34">
        <v>0</v>
      </c>
      <c r="L195" s="34" t="s">
        <v>324</v>
      </c>
      <c r="M195" s="47" t="e">
        <f>VLOOKUP(FindStrFirstNum($A195,[1]Sheet1!$I$3:$I$43,[1]Sheet1!$A$3:$A$43),[1]Sheet1!$A:$I,7,0)</f>
        <v>#N/A</v>
      </c>
      <c r="N195" s="48"/>
      <c r="O195" s="48" t="str">
        <f t="shared" si="10"/>
        <v>100091,100092,100093,100094</v>
      </c>
      <c r="P195" s="48"/>
      <c r="U195" s="47" t="e">
        <f>INT(MID($B195,MIN(FIND({0,1,2,3,4,5,6,7,8,9},$B195&amp;"0123456789")),LEN($B195)*2-LENB($B195)))</f>
        <v>#VALUE!</v>
      </c>
      <c r="V195" s="47" t="str">
        <f t="shared" si="9"/>
        <v>欢度春节-累计登陆 [00821cff]4[-] 天</v>
      </c>
    </row>
    <row r="196" spans="1:22" s="47" customFormat="1">
      <c r="A196" s="34">
        <v>100095</v>
      </c>
      <c r="B196" s="34" t="s">
        <v>319</v>
      </c>
      <c r="C196" s="35">
        <v>1</v>
      </c>
      <c r="D196" s="35">
        <v>0</v>
      </c>
      <c r="E196" s="34">
        <v>2</v>
      </c>
      <c r="F196" s="34" t="s">
        <v>14</v>
      </c>
      <c r="G196" s="34">
        <v>5</v>
      </c>
      <c r="H196" s="34">
        <v>1</v>
      </c>
      <c r="I196" s="34">
        <v>5</v>
      </c>
      <c r="J196" s="34" t="s">
        <v>103</v>
      </c>
      <c r="K196" s="34">
        <v>0</v>
      </c>
      <c r="L196" s="34" t="s">
        <v>324</v>
      </c>
      <c r="M196" s="47" t="e">
        <f>VLOOKUP(FindStrFirstNum($A196,[1]Sheet1!$I$3:$I$43,[1]Sheet1!$A$3:$A$43),[1]Sheet1!$A:$I,7,0)</f>
        <v>#N/A</v>
      </c>
      <c r="N196" s="48"/>
      <c r="O196" s="48" t="str">
        <f t="shared" si="10"/>
        <v>100091,100092,100093,100094,100095</v>
      </c>
      <c r="P196" s="48"/>
      <c r="U196" s="47" t="e">
        <f>INT(MID($B196,MIN(FIND({0,1,2,3,4,5,6,7,8,9},$B196&amp;"0123456789")),LEN($B196)*2-LENB($B196)))</f>
        <v>#VALUE!</v>
      </c>
      <c r="V196" s="47" t="str">
        <f t="shared" si="9"/>
        <v>欢度春节-累计登陆 [00821cff]5[-] 天</v>
      </c>
    </row>
    <row r="197" spans="1:22" s="47" customFormat="1">
      <c r="A197" s="34">
        <v>100096</v>
      </c>
      <c r="B197" s="34" t="s">
        <v>320</v>
      </c>
      <c r="C197" s="35">
        <v>1</v>
      </c>
      <c r="D197" s="35">
        <v>0</v>
      </c>
      <c r="E197" s="34">
        <v>2</v>
      </c>
      <c r="F197" s="34" t="s">
        <v>14</v>
      </c>
      <c r="G197" s="34">
        <v>5</v>
      </c>
      <c r="H197" s="34">
        <v>1</v>
      </c>
      <c r="I197" s="34">
        <v>6</v>
      </c>
      <c r="J197" s="34" t="s">
        <v>103</v>
      </c>
      <c r="K197" s="34">
        <v>0</v>
      </c>
      <c r="L197" s="34" t="s">
        <v>324</v>
      </c>
      <c r="M197" s="47" t="e">
        <f>VLOOKUP(FindStrFirstNum($A197,[1]Sheet1!$I$3:$I$43,[1]Sheet1!$A$3:$A$43),[1]Sheet1!$A:$I,7,0)</f>
        <v>#N/A</v>
      </c>
      <c r="N197" s="48"/>
      <c r="O197" s="48" t="str">
        <f t="shared" si="10"/>
        <v>100091,100092,100093,100094,100095,100096</v>
      </c>
      <c r="P197" s="48"/>
      <c r="U197" s="47" t="e">
        <f>INT(MID($B197,MIN(FIND({0,1,2,3,4,5,6,7,8,9},$B197&amp;"0123456789")),LEN($B197)*2-LENB($B197)))</f>
        <v>#VALUE!</v>
      </c>
      <c r="V197" s="47" t="str">
        <f t="shared" si="9"/>
        <v>欢度春节-累计登陆 [00821cff]6[-] 天</v>
      </c>
    </row>
    <row r="198" spans="1:22" s="47" customFormat="1">
      <c r="A198" s="34">
        <v>100097</v>
      </c>
      <c r="B198" s="34" t="s">
        <v>321</v>
      </c>
      <c r="C198" s="35">
        <v>1</v>
      </c>
      <c r="D198" s="35">
        <v>0</v>
      </c>
      <c r="E198" s="34">
        <v>2</v>
      </c>
      <c r="F198" s="34" t="s">
        <v>14</v>
      </c>
      <c r="G198" s="34">
        <v>5</v>
      </c>
      <c r="H198" s="34">
        <v>1</v>
      </c>
      <c r="I198" s="34">
        <v>7</v>
      </c>
      <c r="J198" s="34" t="s">
        <v>103</v>
      </c>
      <c r="K198" s="34">
        <v>0</v>
      </c>
      <c r="L198" s="34" t="s">
        <v>324</v>
      </c>
      <c r="M198" s="47" t="e">
        <f>VLOOKUP(FindStrFirstNum($A198,[1]Sheet1!$I$3:$I$43,[1]Sheet1!$A$3:$A$43),[1]Sheet1!$A:$I,7,0)</f>
        <v>#N/A</v>
      </c>
      <c r="N198" s="48"/>
      <c r="O198" s="48" t="str">
        <f t="shared" si="10"/>
        <v>100091,100092,100093,100094,100095,100096,100097</v>
      </c>
      <c r="P198" s="48"/>
      <c r="U198" s="47" t="e">
        <f>INT(MID($B198,MIN(FIND({0,1,2,3,4,5,6,7,8,9},$B198&amp;"0123456789")),LEN($B198)*2-LENB($B198)))</f>
        <v>#VALUE!</v>
      </c>
      <c r="V198" s="47" t="str">
        <f t="shared" si="9"/>
        <v>欢度春节-累计登陆 [00821cff]7[-] 天</v>
      </c>
    </row>
    <row r="199" spans="1:22" s="47" customFormat="1">
      <c r="A199" s="34">
        <v>100098</v>
      </c>
      <c r="B199" s="34" t="s">
        <v>322</v>
      </c>
      <c r="C199" s="35">
        <v>1</v>
      </c>
      <c r="D199" s="35">
        <v>0</v>
      </c>
      <c r="E199" s="34">
        <v>2</v>
      </c>
      <c r="F199" s="34" t="s">
        <v>14</v>
      </c>
      <c r="G199" s="34">
        <v>5</v>
      </c>
      <c r="H199" s="34">
        <v>1</v>
      </c>
      <c r="I199" s="34">
        <v>8</v>
      </c>
      <c r="J199" s="34" t="s">
        <v>103</v>
      </c>
      <c r="K199" s="34">
        <v>0</v>
      </c>
      <c r="L199" s="34" t="s">
        <v>324</v>
      </c>
      <c r="M199" s="47" t="e">
        <f>VLOOKUP(FindStrFirstNum($A199,[1]Sheet1!$I$3:$I$43,[1]Sheet1!$A$3:$A$43),[1]Sheet1!$A:$I,7,0)</f>
        <v>#N/A</v>
      </c>
      <c r="N199" s="48"/>
      <c r="O199" s="48" t="str">
        <f t="shared" si="10"/>
        <v>100091,100092,100093,100094,100095,100096,100097,100098</v>
      </c>
      <c r="P199" s="48"/>
      <c r="U199" s="47" t="e">
        <f>INT(MID($B199,MIN(FIND({0,1,2,3,4,5,6,7,8,9},$B199&amp;"0123456789")),LEN($B199)*2-LENB($B199)))</f>
        <v>#VALUE!</v>
      </c>
      <c r="V199" s="47" t="str">
        <f t="shared" ref="V199:V203" si="11">IF(ISERROR($U199),$B199,LEFT($B199,FIND($U199,$B199)-1)&amp;"[FF7400]"&amp;U199&amp;"[-]"&amp;IFERROR(RIGHT($B199,LEN($B199)-FIND($U199,$B199)-LEN($U199)+1),""))</f>
        <v>欢度春节-累计登陆 [00821cff]8[-] 天</v>
      </c>
    </row>
    <row r="200" spans="1:22" s="47" customFormat="1">
      <c r="A200" s="34">
        <v>100099</v>
      </c>
      <c r="B200" s="34" t="s">
        <v>323</v>
      </c>
      <c r="C200" s="35">
        <v>1</v>
      </c>
      <c r="D200" s="35">
        <v>0</v>
      </c>
      <c r="E200" s="34">
        <v>2</v>
      </c>
      <c r="F200" s="34" t="s">
        <v>14</v>
      </c>
      <c r="G200" s="34">
        <v>5</v>
      </c>
      <c r="H200" s="34">
        <v>1</v>
      </c>
      <c r="I200" s="34">
        <v>9</v>
      </c>
      <c r="J200" s="34" t="s">
        <v>103</v>
      </c>
      <c r="K200" s="34">
        <v>0</v>
      </c>
      <c r="L200" s="34" t="s">
        <v>324</v>
      </c>
      <c r="M200" s="47" t="e">
        <f>VLOOKUP(FindStrFirstNum($A200,[1]Sheet1!$I$3:$I$43,[1]Sheet1!$A$3:$A$43),[1]Sheet1!$A:$I,7,0)</f>
        <v>#N/A</v>
      </c>
      <c r="N200" s="48"/>
      <c r="O200" s="48" t="str">
        <f t="shared" si="10"/>
        <v>100091,100092,100093,100094,100095,100096,100097,100098,100099</v>
      </c>
      <c r="P200" s="48"/>
      <c r="U200" s="47" t="e">
        <f>INT(MID($B200,MIN(FIND({0,1,2,3,4,5,6,7,8,9},$B200&amp;"0123456789")),LEN($B200)*2-LENB($B200)))</f>
        <v>#VALUE!</v>
      </c>
      <c r="V200" s="47" t="str">
        <f t="shared" si="11"/>
        <v>欢度春节-累计登陆 [00821cff]9[-] 天</v>
      </c>
    </row>
    <row r="201" spans="1:22" s="45" customFormat="1">
      <c r="A201" s="37">
        <v>100101</v>
      </c>
      <c r="B201" s="37" t="s">
        <v>325</v>
      </c>
      <c r="C201" s="38">
        <v>1</v>
      </c>
      <c r="D201" s="38">
        <v>0</v>
      </c>
      <c r="E201" s="37">
        <v>2</v>
      </c>
      <c r="F201" s="37" t="s">
        <v>14</v>
      </c>
      <c r="G201" s="37">
        <v>5</v>
      </c>
      <c r="H201" s="37">
        <v>1</v>
      </c>
      <c r="I201" s="37">
        <v>1</v>
      </c>
      <c r="J201" s="37" t="s">
        <v>103</v>
      </c>
      <c r="K201" s="37">
        <v>0</v>
      </c>
      <c r="L201" s="37" t="s">
        <v>328</v>
      </c>
      <c r="M201" s="45" t="e">
        <f>VLOOKUP(FindStrFirstNum($A201,[1]Sheet1!$I$3:$I$43,[1]Sheet1!$A$3:$A$43),[1]Sheet1!$A:$I,7,0)</f>
        <v>#N/A</v>
      </c>
      <c r="N201" s="46"/>
      <c r="O201" s="46">
        <f>A201</f>
        <v>100101</v>
      </c>
      <c r="P201" s="46"/>
      <c r="U201" s="45" t="e">
        <f>INT(MID($B201,MIN(FIND({0,1,2,3,4,5,6,7,8,9},$B201&amp;"0123456789")),LEN($B201)*2-LENB($B201)))</f>
        <v>#VALUE!</v>
      </c>
      <c r="V201" s="45" t="str">
        <f t="shared" si="11"/>
        <v>更新送壕礼-累计登陆 [00821cff]1[-] 天奖励</v>
      </c>
    </row>
    <row r="202" spans="1:22" s="45" customFormat="1">
      <c r="A202" s="37">
        <v>100102</v>
      </c>
      <c r="B202" s="37" t="s">
        <v>326</v>
      </c>
      <c r="C202" s="38">
        <v>1</v>
      </c>
      <c r="D202" s="38">
        <v>0</v>
      </c>
      <c r="E202" s="37">
        <v>2</v>
      </c>
      <c r="F202" s="37" t="s">
        <v>14</v>
      </c>
      <c r="G202" s="37">
        <v>5</v>
      </c>
      <c r="H202" s="37">
        <v>1</v>
      </c>
      <c r="I202" s="37">
        <v>2</v>
      </c>
      <c r="J202" s="37" t="s">
        <v>103</v>
      </c>
      <c r="K202" s="37">
        <v>0</v>
      </c>
      <c r="L202" s="37" t="s">
        <v>328</v>
      </c>
      <c r="M202" s="45" t="e">
        <f>VLOOKUP(FindStrFirstNum($A202,[1]Sheet1!$I$3:$I$43,[1]Sheet1!$A$3:$A$43),[1]Sheet1!$A:$I,7,0)</f>
        <v>#N/A</v>
      </c>
      <c r="N202" s="46"/>
      <c r="O202" s="46" t="str">
        <f>O201&amp;","&amp;A202</f>
        <v>100101,100102</v>
      </c>
      <c r="P202" s="46"/>
      <c r="U202" s="45" t="e">
        <f>INT(MID($B202,MIN(FIND({0,1,2,3,4,5,6,7,8,9},$B202&amp;"0123456789")),LEN($B202)*2-LENB($B202)))</f>
        <v>#VALUE!</v>
      </c>
      <c r="V202" s="45" t="str">
        <f t="shared" si="11"/>
        <v>更新送壕礼-累计登陆 [00821cff]2[-] 天奖励</v>
      </c>
    </row>
    <row r="203" spans="1:22" s="45" customFormat="1">
      <c r="A203" s="37">
        <v>100103</v>
      </c>
      <c r="B203" s="37" t="s">
        <v>327</v>
      </c>
      <c r="C203" s="38">
        <v>1</v>
      </c>
      <c r="D203" s="38">
        <v>0</v>
      </c>
      <c r="E203" s="37">
        <v>2</v>
      </c>
      <c r="F203" s="37" t="s">
        <v>14</v>
      </c>
      <c r="G203" s="37">
        <v>5</v>
      </c>
      <c r="H203" s="37">
        <v>1</v>
      </c>
      <c r="I203" s="37">
        <v>3</v>
      </c>
      <c r="J203" s="37" t="s">
        <v>103</v>
      </c>
      <c r="K203" s="37">
        <v>0</v>
      </c>
      <c r="L203" s="37" t="s">
        <v>328</v>
      </c>
      <c r="M203" s="45" t="e">
        <f>VLOOKUP(FindStrFirstNum($A203,[1]Sheet1!$I$3:$I$43,[1]Sheet1!$A$3:$A$43),[1]Sheet1!$A:$I,7,0)</f>
        <v>#N/A</v>
      </c>
      <c r="N203" s="46"/>
      <c r="O203" s="46" t="str">
        <f>O202&amp;","&amp;A203</f>
        <v>100101,100102,100103</v>
      </c>
      <c r="P203" s="46"/>
      <c r="U203" s="45" t="e">
        <f>INT(MID($B203,MIN(FIND({0,1,2,3,4,5,6,7,8,9},$B203&amp;"0123456789")),LEN($B203)*2-LENB($B203)))</f>
        <v>#VALUE!</v>
      </c>
      <c r="V203" s="45" t="str">
        <f t="shared" si="11"/>
        <v>更新送壕礼-累计登陆 [00821cff]3[-] 天奖励</v>
      </c>
    </row>
    <row r="204" spans="1:22" s="45" customFormat="1">
      <c r="A204" s="37">
        <v>100111</v>
      </c>
      <c r="B204" s="37" t="s">
        <v>329</v>
      </c>
      <c r="C204" s="38">
        <v>1</v>
      </c>
      <c r="D204" s="38">
        <v>0</v>
      </c>
      <c r="E204" s="37">
        <v>2</v>
      </c>
      <c r="F204" s="37" t="s">
        <v>14</v>
      </c>
      <c r="G204" s="37">
        <v>5</v>
      </c>
      <c r="H204" s="37">
        <v>1</v>
      </c>
      <c r="I204" s="37">
        <v>1</v>
      </c>
      <c r="J204" s="37" t="s">
        <v>103</v>
      </c>
      <c r="K204" s="37">
        <v>0</v>
      </c>
      <c r="L204" s="37" t="s">
        <v>332</v>
      </c>
      <c r="M204" s="45" t="e">
        <f>VLOOKUP(FindStrFirstNum($A204,[1]Sheet1!$I$3:$I$43,[1]Sheet1!$A$3:$A$43),[1]Sheet1!$A:$I,7,0)</f>
        <v>#N/A</v>
      </c>
      <c r="N204" s="46"/>
      <c r="O204" s="46">
        <f>A204</f>
        <v>100111</v>
      </c>
      <c r="P204" s="46"/>
      <c r="U204" s="45" t="e">
        <f>INT(MID($B204,MIN(FIND({0,1,2,3,4,5,6,7,8,9},$B204&amp;"0123456789")),LEN($B204)*2-LENB($B204)))</f>
        <v>#VALUE!</v>
      </c>
      <c r="V204" s="45" t="str">
        <f t="shared" ref="V204:V214" si="12">IF(ISERROR($U204),$B204,LEFT($B204,FIND($U204,$B204)-1)&amp;"[FF7400]"&amp;U204&amp;"[-]"&amp;IFERROR(RIGHT($B204,LEN($B204)-FIND($U204,$B204)-LEN($U204)+1),""))</f>
        <v>欢庆佳节-累计登陆 [00821cff]1[-] 天奖励</v>
      </c>
    </row>
    <row r="205" spans="1:22" s="45" customFormat="1">
      <c r="A205" s="37">
        <v>100112</v>
      </c>
      <c r="B205" s="37" t="s">
        <v>330</v>
      </c>
      <c r="C205" s="38">
        <v>1</v>
      </c>
      <c r="D205" s="38">
        <v>0</v>
      </c>
      <c r="E205" s="37">
        <v>2</v>
      </c>
      <c r="F205" s="37" t="s">
        <v>14</v>
      </c>
      <c r="G205" s="37">
        <v>5</v>
      </c>
      <c r="H205" s="37">
        <v>1</v>
      </c>
      <c r="I205" s="37">
        <v>2</v>
      </c>
      <c r="J205" s="37" t="s">
        <v>103</v>
      </c>
      <c r="K205" s="37">
        <v>0</v>
      </c>
      <c r="L205" s="37" t="s">
        <v>332</v>
      </c>
      <c r="M205" s="45" t="e">
        <f>VLOOKUP(FindStrFirstNum($A205,[1]Sheet1!$I$3:$I$43,[1]Sheet1!$A$3:$A$43),[1]Sheet1!$A:$I,7,0)</f>
        <v>#N/A</v>
      </c>
      <c r="N205" s="46"/>
      <c r="O205" s="46" t="str">
        <f>O204&amp;","&amp;A205</f>
        <v>100111,100112</v>
      </c>
      <c r="P205" s="46"/>
      <c r="U205" s="45" t="e">
        <f>INT(MID($B205,MIN(FIND({0,1,2,3,4,5,6,7,8,9},$B205&amp;"0123456789")),LEN($B205)*2-LENB($B205)))</f>
        <v>#VALUE!</v>
      </c>
      <c r="V205" s="45" t="str">
        <f t="shared" si="12"/>
        <v>欢庆佳节-累计登陆 [00821cff]2[-] 天奖励</v>
      </c>
    </row>
    <row r="206" spans="1:22" s="45" customFormat="1">
      <c r="A206" s="37">
        <v>100113</v>
      </c>
      <c r="B206" s="37" t="s">
        <v>331</v>
      </c>
      <c r="C206" s="38">
        <v>1</v>
      </c>
      <c r="D206" s="38">
        <v>0</v>
      </c>
      <c r="E206" s="37">
        <v>2</v>
      </c>
      <c r="F206" s="37" t="s">
        <v>14</v>
      </c>
      <c r="G206" s="37">
        <v>5</v>
      </c>
      <c r="H206" s="37">
        <v>1</v>
      </c>
      <c r="I206" s="37">
        <v>3</v>
      </c>
      <c r="J206" s="37" t="s">
        <v>103</v>
      </c>
      <c r="K206" s="37">
        <v>0</v>
      </c>
      <c r="L206" s="37" t="s">
        <v>332</v>
      </c>
      <c r="M206" s="45" t="e">
        <f>VLOOKUP(FindStrFirstNum($A206,[1]Sheet1!$I$3:$I$43,[1]Sheet1!$A$3:$A$43),[1]Sheet1!$A:$I,7,0)</f>
        <v>#N/A</v>
      </c>
      <c r="N206" s="46"/>
      <c r="O206" s="46" t="str">
        <f>O205&amp;","&amp;A206</f>
        <v>100111,100112,100113</v>
      </c>
      <c r="P206" s="46"/>
      <c r="U206" s="45" t="e">
        <f>INT(MID($B206,MIN(FIND({0,1,2,3,4,5,6,7,8,9},$B206&amp;"0123456789")),LEN($B206)*2-LENB($B206)))</f>
        <v>#VALUE!</v>
      </c>
      <c r="V206" s="45" t="str">
        <f t="shared" si="12"/>
        <v>欢庆佳节-累计登陆 [00821cff]3[-] 天奖励</v>
      </c>
    </row>
    <row r="207" spans="1:22" s="47" customFormat="1">
      <c r="A207" s="34">
        <v>100121</v>
      </c>
      <c r="B207" s="34" t="s">
        <v>291</v>
      </c>
      <c r="C207" s="35">
        <v>1</v>
      </c>
      <c r="D207" s="35">
        <v>0</v>
      </c>
      <c r="E207" s="34">
        <v>2</v>
      </c>
      <c r="F207" s="34" t="s">
        <v>14</v>
      </c>
      <c r="G207" s="34">
        <v>5</v>
      </c>
      <c r="H207" s="34">
        <v>2</v>
      </c>
      <c r="I207" s="34">
        <v>60</v>
      </c>
      <c r="J207" s="34" t="s">
        <v>103</v>
      </c>
      <c r="K207" s="34">
        <v>0</v>
      </c>
      <c r="L207" s="34" t="s">
        <v>333</v>
      </c>
      <c r="M207" s="47" t="e">
        <f>VLOOKUP(FindStrFirstNum($A207,[1]Sheet1!$I$3:$I$43,[1]Sheet1!$A$3:$A$43),[1]Sheet1!$A:$I,7,0)</f>
        <v>#N/A</v>
      </c>
      <c r="N207" s="48"/>
      <c r="O207" s="48">
        <f>A207</f>
        <v>100121</v>
      </c>
      <c r="P207" s="48"/>
      <c r="U207" s="47" t="e">
        <f>INT(MID($B207,MIN(FIND({0,1,2,3,4,5,6,7,8,9},$B207&amp;"0123456789")),LEN($B207)*2-LENB($B207)))</f>
        <v>#VALUE!</v>
      </c>
      <c r="V207" s="47" t="str">
        <f t="shared" si="12"/>
        <v>单笔充值 [00821cff]6[-] 元可领取</v>
      </c>
    </row>
    <row r="208" spans="1:22" s="47" customFormat="1">
      <c r="A208" s="34">
        <v>100122</v>
      </c>
      <c r="B208" s="34" t="s">
        <v>292</v>
      </c>
      <c r="C208" s="35">
        <v>1</v>
      </c>
      <c r="D208" s="35">
        <v>0</v>
      </c>
      <c r="E208" s="34">
        <v>2</v>
      </c>
      <c r="F208" s="34" t="s">
        <v>14</v>
      </c>
      <c r="G208" s="34">
        <v>5</v>
      </c>
      <c r="H208" s="34">
        <v>2</v>
      </c>
      <c r="I208" s="34">
        <v>680</v>
      </c>
      <c r="J208" s="34" t="s">
        <v>103</v>
      </c>
      <c r="K208" s="34">
        <v>0</v>
      </c>
      <c r="L208" s="34" t="s">
        <v>306</v>
      </c>
      <c r="M208" s="47" t="e">
        <f>VLOOKUP(FindStrFirstNum($A208,[1]Sheet1!$I$3:$I$43,[1]Sheet1!$A$3:$A$43),[1]Sheet1!$A:$I,7,0)</f>
        <v>#N/A</v>
      </c>
      <c r="N208" s="48"/>
      <c r="O208" s="48" t="str">
        <f>O207&amp;","&amp;A208</f>
        <v>100121,100122</v>
      </c>
      <c r="P208" s="48"/>
      <c r="U208" s="47" t="e">
        <f>INT(MID($B208,MIN(FIND({0,1,2,3,4,5,6,7,8,9},$B208&amp;"0123456789")),LEN($B208)*2-LENB($B208)))</f>
        <v>#VALUE!</v>
      </c>
      <c r="V208" s="47" t="str">
        <f t="shared" si="12"/>
        <v>单笔充值 [00821cff]68[-] 元可领取</v>
      </c>
    </row>
    <row r="209" spans="1:22" s="47" customFormat="1">
      <c r="A209" s="34">
        <v>100123</v>
      </c>
      <c r="B209" s="34" t="s">
        <v>293</v>
      </c>
      <c r="C209" s="35">
        <v>3</v>
      </c>
      <c r="D209" s="35">
        <v>0</v>
      </c>
      <c r="E209" s="34">
        <v>2</v>
      </c>
      <c r="F209" s="34" t="s">
        <v>14</v>
      </c>
      <c r="G209" s="34">
        <v>5</v>
      </c>
      <c r="H209" s="34">
        <v>2</v>
      </c>
      <c r="I209" s="34">
        <v>1680</v>
      </c>
      <c r="J209" s="34" t="s">
        <v>103</v>
      </c>
      <c r="K209" s="34">
        <v>0</v>
      </c>
      <c r="L209" s="34" t="s">
        <v>307</v>
      </c>
      <c r="M209" s="47" t="e">
        <f>VLOOKUP(FindStrFirstNum($A209,[1]Sheet1!$I$3:$I$43,[1]Sheet1!$A$3:$A$43),[1]Sheet1!$A:$I,7,0)</f>
        <v>#N/A</v>
      </c>
      <c r="N209" s="48"/>
      <c r="O209" s="48" t="str">
        <f>O208&amp;","&amp;A209</f>
        <v>100121,100122,100123</v>
      </c>
      <c r="P209" s="48"/>
      <c r="U209" s="47" t="e">
        <f>INT(MID($B209,MIN(FIND({0,1,2,3,4,5,6,7,8,9},$B209&amp;"0123456789")),LEN($B209)*2-LENB($B209)))</f>
        <v>#VALUE!</v>
      </c>
      <c r="V209" s="47" t="str">
        <f t="shared" si="12"/>
        <v>单笔充值 [00821cff]168[-] 元可领取</v>
      </c>
    </row>
    <row r="210" spans="1:22" s="47" customFormat="1">
      <c r="A210" s="34">
        <v>100124</v>
      </c>
      <c r="B210" s="34" t="s">
        <v>294</v>
      </c>
      <c r="C210" s="35">
        <v>3</v>
      </c>
      <c r="D210" s="35">
        <v>0</v>
      </c>
      <c r="E210" s="34">
        <v>2</v>
      </c>
      <c r="F210" s="34" t="s">
        <v>14</v>
      </c>
      <c r="G210" s="34">
        <v>5</v>
      </c>
      <c r="H210" s="34">
        <v>2</v>
      </c>
      <c r="I210" s="34">
        <v>4180</v>
      </c>
      <c r="J210" s="34" t="s">
        <v>103</v>
      </c>
      <c r="K210" s="34">
        <v>0</v>
      </c>
      <c r="L210" s="34" t="s">
        <v>308</v>
      </c>
      <c r="M210" s="47" t="e">
        <f>VLOOKUP(FindStrFirstNum($A210,[1]Sheet1!$I$3:$I$43,[1]Sheet1!$A$3:$A$43),[1]Sheet1!$A:$I,7,0)</f>
        <v>#N/A</v>
      </c>
      <c r="N210" s="48"/>
      <c r="O210" s="48" t="str">
        <f>O209&amp;","&amp;A210</f>
        <v>100121,100122,100123,100124</v>
      </c>
      <c r="P210" s="48"/>
      <c r="U210" s="47" t="e">
        <f>INT(MID($B210,MIN(FIND({0,1,2,3,4,5,6,7,8,9},$B210&amp;"0123456789")),LEN($B210)*2-LENB($B210)))</f>
        <v>#VALUE!</v>
      </c>
      <c r="V210" s="47" t="str">
        <f t="shared" si="12"/>
        <v>单笔充值 [00821cff]418[-] 元可领取</v>
      </c>
    </row>
    <row r="211" spans="1:22" s="47" customFormat="1">
      <c r="A211" s="34">
        <v>100125</v>
      </c>
      <c r="B211" s="34" t="s">
        <v>295</v>
      </c>
      <c r="C211" s="35">
        <v>3</v>
      </c>
      <c r="D211" s="35">
        <v>0</v>
      </c>
      <c r="E211" s="34">
        <v>2</v>
      </c>
      <c r="F211" s="34" t="s">
        <v>14</v>
      </c>
      <c r="G211" s="34">
        <v>5</v>
      </c>
      <c r="H211" s="34">
        <v>2</v>
      </c>
      <c r="I211" s="34">
        <v>6480</v>
      </c>
      <c r="J211" s="34" t="s">
        <v>103</v>
      </c>
      <c r="K211" s="34">
        <v>0</v>
      </c>
      <c r="L211" s="34" t="s">
        <v>309</v>
      </c>
      <c r="M211" s="47" t="e">
        <f>VLOOKUP(FindStrFirstNum($A211,[1]Sheet1!$I$3:$I$43,[1]Sheet1!$A$3:$A$43),[1]Sheet1!$A:$I,7,0)</f>
        <v>#N/A</v>
      </c>
      <c r="N211" s="48"/>
      <c r="O211" s="48" t="str">
        <f>O210&amp;","&amp;A211</f>
        <v>100121,100122,100123,100124,100125</v>
      </c>
      <c r="P211" s="48"/>
      <c r="U211" s="47" t="e">
        <f>INT(MID($B211,MIN(FIND({0,1,2,3,4,5,6,7,8,9},$B211&amp;"0123456789")),LEN($B211)*2-LENB($B211)))</f>
        <v>#VALUE!</v>
      </c>
      <c r="V211" s="47" t="str">
        <f t="shared" si="12"/>
        <v>单笔充值 [00821cff]648[-] 元可领取</v>
      </c>
    </row>
    <row r="212" spans="1:22" s="45" customFormat="1">
      <c r="A212" s="37">
        <v>100131</v>
      </c>
      <c r="B212" s="37" t="s">
        <v>334</v>
      </c>
      <c r="C212" s="38">
        <v>1</v>
      </c>
      <c r="D212" s="38">
        <v>0</v>
      </c>
      <c r="E212" s="37">
        <v>2</v>
      </c>
      <c r="F212" s="37" t="s">
        <v>14</v>
      </c>
      <c r="G212" s="37">
        <v>5</v>
      </c>
      <c r="H212" s="37">
        <v>1</v>
      </c>
      <c r="I212" s="37">
        <v>1</v>
      </c>
      <c r="J212" s="37" t="s">
        <v>103</v>
      </c>
      <c r="K212" s="37">
        <v>0</v>
      </c>
      <c r="L212" s="37" t="s">
        <v>299</v>
      </c>
      <c r="M212" s="45" t="e">
        <f>VLOOKUP(FindStrFirstNum($A212,[1]Sheet1!$I$3:$I$43,[1]Sheet1!$A$3:$A$43),[1]Sheet1!$A:$I,7,0)</f>
        <v>#N/A</v>
      </c>
      <c r="N212" s="46"/>
      <c r="O212" s="46">
        <f>A212</f>
        <v>100131</v>
      </c>
      <c r="P212" s="46"/>
      <c r="U212" s="45" t="e">
        <f>INT(MID($B212,MIN(FIND({0,1,2,3,4,5,6,7,8,9},$B212&amp;"0123456789")),LEN($B212)*2-LENB($B212)))</f>
        <v>#VALUE!</v>
      </c>
      <c r="V212" s="45" t="str">
        <f t="shared" si="12"/>
        <v>女神节送礼-累计登陆 [00821cff]1[-] 天奖励</v>
      </c>
    </row>
    <row r="213" spans="1:22" s="45" customFormat="1">
      <c r="A213" s="37">
        <v>100132</v>
      </c>
      <c r="B213" s="37" t="s">
        <v>335</v>
      </c>
      <c r="C213" s="38">
        <v>1</v>
      </c>
      <c r="D213" s="38">
        <v>0</v>
      </c>
      <c r="E213" s="37">
        <v>2</v>
      </c>
      <c r="F213" s="37" t="s">
        <v>14</v>
      </c>
      <c r="G213" s="37">
        <v>5</v>
      </c>
      <c r="H213" s="37">
        <v>1</v>
      </c>
      <c r="I213" s="37">
        <v>2</v>
      </c>
      <c r="J213" s="37" t="s">
        <v>103</v>
      </c>
      <c r="K213" s="37">
        <v>0</v>
      </c>
      <c r="L213" s="37" t="s">
        <v>299</v>
      </c>
      <c r="M213" s="45" t="e">
        <f>VLOOKUP(FindStrFirstNum($A213,[1]Sheet1!$I$3:$I$43,[1]Sheet1!$A$3:$A$43),[1]Sheet1!$A:$I,7,0)</f>
        <v>#N/A</v>
      </c>
      <c r="N213" s="46"/>
      <c r="O213" s="46" t="str">
        <f>O212&amp;","&amp;A213</f>
        <v>100131,100132</v>
      </c>
      <c r="P213" s="46"/>
      <c r="U213" s="45" t="e">
        <f>INT(MID($B213,MIN(FIND({0,1,2,3,4,5,6,7,8,9},$B213&amp;"0123456789")),LEN($B213)*2-LENB($B213)))</f>
        <v>#VALUE!</v>
      </c>
      <c r="V213" s="45" t="str">
        <f t="shared" si="12"/>
        <v>女神节送礼-累计登陆 [00821cff]2[-] 天奖励</v>
      </c>
    </row>
    <row r="214" spans="1:22" s="45" customFormat="1">
      <c r="A214" s="37">
        <v>100133</v>
      </c>
      <c r="B214" s="37" t="s">
        <v>336</v>
      </c>
      <c r="C214" s="38">
        <v>1</v>
      </c>
      <c r="D214" s="38">
        <v>0</v>
      </c>
      <c r="E214" s="37">
        <v>2</v>
      </c>
      <c r="F214" s="37" t="s">
        <v>14</v>
      </c>
      <c r="G214" s="37">
        <v>5</v>
      </c>
      <c r="H214" s="37">
        <v>1</v>
      </c>
      <c r="I214" s="37">
        <v>3</v>
      </c>
      <c r="J214" s="37" t="s">
        <v>103</v>
      </c>
      <c r="K214" s="37">
        <v>0</v>
      </c>
      <c r="L214" s="37" t="s">
        <v>299</v>
      </c>
      <c r="M214" s="45" t="e">
        <f>VLOOKUP(FindStrFirstNum($A214,[1]Sheet1!$I$3:$I$43,[1]Sheet1!$A$3:$A$43),[1]Sheet1!$A:$I,7,0)</f>
        <v>#N/A</v>
      </c>
      <c r="N214" s="46"/>
      <c r="O214" s="46" t="str">
        <f>O213&amp;","&amp;A214</f>
        <v>100131,100132,100133</v>
      </c>
      <c r="P214" s="46"/>
      <c r="U214" s="45" t="e">
        <f>INT(MID($B214,MIN(FIND({0,1,2,3,4,5,6,7,8,9},$B214&amp;"0123456789")),LEN($B214)*2-LENB($B214)))</f>
        <v>#VALUE!</v>
      </c>
      <c r="V214" s="45" t="str">
        <f t="shared" si="12"/>
        <v>女神节送礼-累计登陆 [00821cff]3[-] 天奖励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E178"/>
  <sheetViews>
    <sheetView topLeftCell="A16" workbookViewId="0">
      <selection sqref="A1:XFD1048576"/>
    </sheetView>
  </sheetViews>
  <sheetFormatPr defaultRowHeight="13.5"/>
  <cols>
    <col min="1" max="2" width="9" style="18"/>
    <col min="3" max="3" width="66.75" style="18" bestFit="1" customWidth="1"/>
    <col min="4" max="4" width="10.5" style="19" bestFit="1" customWidth="1"/>
    <col min="5" max="5" width="25.125" style="18" customWidth="1"/>
    <col min="6" max="16384" width="9" style="18"/>
  </cols>
  <sheetData>
    <row r="1" spans="2:5" ht="40.5">
      <c r="B1" s="18" t="s">
        <v>125</v>
      </c>
      <c r="C1" s="18" t="s">
        <v>126</v>
      </c>
      <c r="D1" s="19" t="s">
        <v>127</v>
      </c>
      <c r="E1" s="20" t="s">
        <v>128</v>
      </c>
    </row>
    <row r="2" spans="2:5">
      <c r="B2" s="18">
        <v>1</v>
      </c>
      <c r="C2" s="18" t="s">
        <v>129</v>
      </c>
      <c r="D2" s="19">
        <v>46</v>
      </c>
      <c r="E2" s="18">
        <v>0</v>
      </c>
    </row>
    <row r="3" spans="2:5">
      <c r="B3" s="18">
        <v>2</v>
      </c>
      <c r="C3" s="18" t="s">
        <v>130</v>
      </c>
      <c r="D3" s="19">
        <v>64</v>
      </c>
      <c r="E3" s="18">
        <v>0</v>
      </c>
    </row>
    <row r="4" spans="2:5">
      <c r="B4" s="18">
        <v>3</v>
      </c>
      <c r="C4" s="18" t="s">
        <v>131</v>
      </c>
      <c r="D4" s="19" t="s">
        <v>132</v>
      </c>
      <c r="E4" s="18">
        <v>0</v>
      </c>
    </row>
    <row r="5" spans="2:5">
      <c r="B5" s="18">
        <v>4</v>
      </c>
      <c r="C5" s="18" t="s">
        <v>133</v>
      </c>
      <c r="D5" s="19">
        <v>10</v>
      </c>
      <c r="E5" s="18">
        <v>1</v>
      </c>
    </row>
    <row r="6" spans="2:5">
      <c r="B6" s="18">
        <v>5</v>
      </c>
      <c r="C6" s="18" t="s">
        <v>134</v>
      </c>
      <c r="D6" s="19" t="s">
        <v>132</v>
      </c>
      <c r="E6" s="18">
        <v>0</v>
      </c>
    </row>
    <row r="7" spans="2:5">
      <c r="B7" s="18">
        <v>6</v>
      </c>
      <c r="C7" s="18" t="s">
        <v>135</v>
      </c>
      <c r="D7" s="19">
        <v>28</v>
      </c>
      <c r="E7" s="18">
        <v>1</v>
      </c>
    </row>
    <row r="8" spans="2:5">
      <c r="B8" s="18">
        <v>7</v>
      </c>
      <c r="C8" s="18" t="s">
        <v>136</v>
      </c>
      <c r="D8" s="19">
        <v>12</v>
      </c>
      <c r="E8" s="18">
        <v>1</v>
      </c>
    </row>
    <row r="9" spans="2:5">
      <c r="B9" s="18">
        <v>8</v>
      </c>
      <c r="C9" s="18" t="s">
        <v>137</v>
      </c>
      <c r="D9" s="19">
        <v>45</v>
      </c>
      <c r="E9" s="18">
        <v>1</v>
      </c>
    </row>
    <row r="10" spans="2:5">
      <c r="B10" s="18">
        <v>9</v>
      </c>
      <c r="C10" s="18" t="s">
        <v>138</v>
      </c>
      <c r="D10" s="19">
        <v>45</v>
      </c>
      <c r="E10" s="18">
        <v>1</v>
      </c>
    </row>
    <row r="11" spans="2:5">
      <c r="B11" s="18">
        <v>10</v>
      </c>
      <c r="C11" s="18" t="s">
        <v>139</v>
      </c>
      <c r="D11" s="19">
        <v>47</v>
      </c>
      <c r="E11" s="18">
        <v>1</v>
      </c>
    </row>
    <row r="12" spans="2:5">
      <c r="B12" s="18">
        <v>11</v>
      </c>
      <c r="C12" s="18" t="s">
        <v>140</v>
      </c>
      <c r="D12" s="19">
        <v>47</v>
      </c>
      <c r="E12" s="18">
        <v>1</v>
      </c>
    </row>
    <row r="13" spans="2:5">
      <c r="B13" s="18">
        <v>12</v>
      </c>
      <c r="C13" s="18" t="s">
        <v>141</v>
      </c>
      <c r="D13" s="19">
        <v>34</v>
      </c>
      <c r="E13" s="18">
        <v>0</v>
      </c>
    </row>
    <row r="14" spans="2:5">
      <c r="B14" s="18">
        <v>13</v>
      </c>
      <c r="C14" s="18" t="s">
        <v>142</v>
      </c>
      <c r="D14" s="19" t="s">
        <v>132</v>
      </c>
      <c r="E14" s="18">
        <v>1</v>
      </c>
    </row>
    <row r="15" spans="2:5">
      <c r="B15" s="18">
        <v>14</v>
      </c>
      <c r="C15" s="18" t="s">
        <v>143</v>
      </c>
      <c r="D15" s="19">
        <v>46</v>
      </c>
      <c r="E15" s="18">
        <v>1</v>
      </c>
    </row>
    <row r="16" spans="2:5">
      <c r="B16" s="18">
        <v>15</v>
      </c>
      <c r="C16" s="18" t="s">
        <v>144</v>
      </c>
      <c r="D16" s="19">
        <v>46</v>
      </c>
      <c r="E16" s="18">
        <v>1</v>
      </c>
    </row>
    <row r="17" spans="2:5">
      <c r="B17" s="18">
        <v>16</v>
      </c>
      <c r="C17" s="18" t="s">
        <v>145</v>
      </c>
      <c r="D17" s="19">
        <v>64</v>
      </c>
      <c r="E17" s="18">
        <v>1</v>
      </c>
    </row>
    <row r="18" spans="2:5">
      <c r="B18" s="18">
        <v>17</v>
      </c>
      <c r="C18" s="18" t="s">
        <v>146</v>
      </c>
      <c r="D18" s="19" t="s">
        <v>132</v>
      </c>
      <c r="E18" s="18">
        <v>1</v>
      </c>
    </row>
    <row r="19" spans="2:5">
      <c r="B19" s="18">
        <v>18</v>
      </c>
      <c r="C19" s="18" t="s">
        <v>147</v>
      </c>
      <c r="D19" s="19">
        <v>41</v>
      </c>
      <c r="E19" s="18">
        <v>1</v>
      </c>
    </row>
    <row r="20" spans="2:5">
      <c r="B20" s="18">
        <v>19</v>
      </c>
      <c r="C20" s="18" t="s">
        <v>148</v>
      </c>
      <c r="D20" s="19">
        <v>34</v>
      </c>
      <c r="E20" s="18">
        <v>1</v>
      </c>
    </row>
    <row r="21" spans="2:5">
      <c r="B21" s="18">
        <v>20</v>
      </c>
      <c r="C21" s="18" t="s">
        <v>149</v>
      </c>
      <c r="D21" s="19">
        <v>12</v>
      </c>
      <c r="E21" s="18">
        <v>1</v>
      </c>
    </row>
    <row r="22" spans="2:5">
      <c r="B22" s="18">
        <v>21</v>
      </c>
      <c r="C22" s="18" t="s">
        <v>150</v>
      </c>
      <c r="D22" s="19" t="s">
        <v>132</v>
      </c>
      <c r="E22" s="18">
        <v>1</v>
      </c>
    </row>
    <row r="23" spans="2:5">
      <c r="B23" s="18">
        <v>22</v>
      </c>
      <c r="C23" s="18" t="s">
        <v>151</v>
      </c>
      <c r="D23" s="19" t="s">
        <v>132</v>
      </c>
      <c r="E23" s="18">
        <v>1</v>
      </c>
    </row>
    <row r="24" spans="2:5">
      <c r="B24" s="18">
        <v>23</v>
      </c>
      <c r="C24" s="18" t="s">
        <v>152</v>
      </c>
      <c r="D24" s="19">
        <v>10</v>
      </c>
      <c r="E24" s="18">
        <v>1</v>
      </c>
    </row>
    <row r="25" spans="2:5">
      <c r="B25" s="21">
        <v>24</v>
      </c>
      <c r="C25" s="18" t="s">
        <v>153</v>
      </c>
      <c r="D25" s="19">
        <v>41</v>
      </c>
      <c r="E25" s="18">
        <v>1</v>
      </c>
    </row>
    <row r="26" spans="2:5">
      <c r="B26" s="21">
        <v>25</v>
      </c>
      <c r="C26" s="18" t="s">
        <v>154</v>
      </c>
      <c r="D26" s="19">
        <v>34</v>
      </c>
      <c r="E26" s="18">
        <v>1</v>
      </c>
    </row>
    <row r="27" spans="2:5">
      <c r="B27" s="21">
        <v>26</v>
      </c>
      <c r="C27" s="18" t="s">
        <v>155</v>
      </c>
      <c r="D27" s="19">
        <v>15</v>
      </c>
      <c r="E27" s="18">
        <v>1</v>
      </c>
    </row>
    <row r="28" spans="2:5">
      <c r="B28" s="21">
        <v>27</v>
      </c>
      <c r="C28" s="18" t="s">
        <v>156</v>
      </c>
      <c r="D28" s="19">
        <v>15</v>
      </c>
      <c r="E28" s="18">
        <v>1</v>
      </c>
    </row>
    <row r="29" spans="2:5">
      <c r="B29" s="21">
        <v>28</v>
      </c>
      <c r="C29" s="18" t="s">
        <v>157</v>
      </c>
      <c r="D29" s="19">
        <v>53</v>
      </c>
      <c r="E29" s="18">
        <v>1</v>
      </c>
    </row>
    <row r="30" spans="2:5">
      <c r="B30" s="21">
        <v>29</v>
      </c>
      <c r="C30" s="18" t="s">
        <v>158</v>
      </c>
      <c r="D30" s="19">
        <v>53</v>
      </c>
      <c r="E30" s="18">
        <v>1</v>
      </c>
    </row>
    <row r="31" spans="2:5">
      <c r="B31" s="22">
        <v>30</v>
      </c>
      <c r="C31" s="18" t="s">
        <v>159</v>
      </c>
      <c r="D31" s="19">
        <v>45</v>
      </c>
      <c r="E31" s="18">
        <v>1</v>
      </c>
    </row>
    <row r="32" spans="2:5">
      <c r="B32" s="23">
        <v>31</v>
      </c>
      <c r="C32" s="18" t="s">
        <v>160</v>
      </c>
      <c r="D32" s="19">
        <v>45</v>
      </c>
      <c r="E32" s="18">
        <v>1</v>
      </c>
    </row>
    <row r="33" spans="2:5">
      <c r="B33" s="23">
        <v>32</v>
      </c>
      <c r="C33" s="18" t="s">
        <v>161</v>
      </c>
      <c r="D33" s="19">
        <v>28</v>
      </c>
      <c r="E33" s="18">
        <v>1</v>
      </c>
    </row>
    <row r="34" spans="2:5">
      <c r="B34" s="23">
        <v>33</v>
      </c>
      <c r="C34" s="18" t="s">
        <v>162</v>
      </c>
      <c r="D34" s="19">
        <v>28</v>
      </c>
      <c r="E34" s="18">
        <v>1</v>
      </c>
    </row>
    <row r="35" spans="2:5">
      <c r="B35" s="23">
        <v>34</v>
      </c>
      <c r="C35" s="18" t="s">
        <v>163</v>
      </c>
      <c r="D35" s="19" t="s">
        <v>132</v>
      </c>
      <c r="E35" s="18">
        <v>0</v>
      </c>
    </row>
    <row r="36" spans="2:5">
      <c r="B36" s="18">
        <v>35</v>
      </c>
      <c r="C36" s="18" t="s">
        <v>164</v>
      </c>
      <c r="D36" s="19">
        <v>58</v>
      </c>
      <c r="E36" s="18">
        <v>1</v>
      </c>
    </row>
    <row r="37" spans="2:5">
      <c r="B37" s="18">
        <v>36</v>
      </c>
      <c r="C37" s="18" t="s">
        <v>165</v>
      </c>
      <c r="D37" s="19">
        <v>54</v>
      </c>
      <c r="E37" s="18">
        <v>1</v>
      </c>
    </row>
    <row r="38" spans="2:5">
      <c r="B38" s="18">
        <v>37</v>
      </c>
      <c r="C38" s="18" t="s">
        <v>166</v>
      </c>
      <c r="D38" s="19">
        <v>52</v>
      </c>
      <c r="E38" s="18">
        <v>1</v>
      </c>
    </row>
    <row r="39" spans="2:5">
      <c r="B39" s="18">
        <v>38</v>
      </c>
      <c r="C39" s="18" t="s">
        <v>167</v>
      </c>
      <c r="D39" s="19">
        <v>52</v>
      </c>
      <c r="E39" s="18">
        <v>1</v>
      </c>
    </row>
    <row r="40" spans="2:5">
      <c r="B40" s="24">
        <v>39</v>
      </c>
      <c r="C40" s="18" t="s">
        <v>168</v>
      </c>
      <c r="D40" s="19">
        <v>41</v>
      </c>
      <c r="E40" s="18">
        <v>1</v>
      </c>
    </row>
    <row r="41" spans="2:5">
      <c r="B41" s="24">
        <v>40</v>
      </c>
      <c r="C41" s="18" t="s">
        <v>169</v>
      </c>
      <c r="D41" s="19">
        <v>41</v>
      </c>
      <c r="E41" s="18">
        <v>1</v>
      </c>
    </row>
    <row r="42" spans="2:5">
      <c r="B42" s="18">
        <v>41</v>
      </c>
      <c r="C42" s="18" t="s">
        <v>170</v>
      </c>
      <c r="D42" s="19">
        <v>14</v>
      </c>
      <c r="E42" s="18">
        <v>1</v>
      </c>
    </row>
    <row r="43" spans="2:5">
      <c r="B43" s="18">
        <v>42</v>
      </c>
      <c r="C43" s="18" t="s">
        <v>171</v>
      </c>
      <c r="D43" s="19">
        <v>54</v>
      </c>
      <c r="E43" s="18">
        <v>1</v>
      </c>
    </row>
    <row r="44" spans="2:5">
      <c r="B44" s="25">
        <v>43</v>
      </c>
      <c r="C44" s="18" t="s">
        <v>172</v>
      </c>
      <c r="D44" s="19">
        <v>41</v>
      </c>
      <c r="E44" s="18">
        <v>1</v>
      </c>
    </row>
    <row r="45" spans="2:5">
      <c r="B45" s="25">
        <v>44</v>
      </c>
      <c r="C45" s="18" t="s">
        <v>173</v>
      </c>
      <c r="D45" s="19">
        <v>41</v>
      </c>
      <c r="E45" s="18">
        <v>1</v>
      </c>
    </row>
    <row r="46" spans="2:5">
      <c r="B46" s="26">
        <v>45</v>
      </c>
      <c r="C46" s="18" t="s">
        <v>174</v>
      </c>
      <c r="D46" s="19">
        <v>58</v>
      </c>
      <c r="E46" s="18">
        <v>1</v>
      </c>
    </row>
    <row r="47" spans="2:5">
      <c r="B47" s="27">
        <v>46</v>
      </c>
      <c r="C47" s="18" t="s">
        <v>175</v>
      </c>
      <c r="D47" s="19">
        <v>45</v>
      </c>
      <c r="E47" s="18">
        <v>1</v>
      </c>
    </row>
    <row r="48" spans="2:5">
      <c r="B48" s="27">
        <v>47</v>
      </c>
      <c r="C48" s="18" t="s">
        <v>176</v>
      </c>
      <c r="D48" s="19">
        <v>45</v>
      </c>
      <c r="E48" s="18">
        <v>1</v>
      </c>
    </row>
    <row r="49" spans="2:5">
      <c r="B49" s="27">
        <v>48</v>
      </c>
      <c r="C49" s="18" t="s">
        <v>177</v>
      </c>
      <c r="D49" s="19">
        <v>28</v>
      </c>
      <c r="E49" s="18">
        <v>1</v>
      </c>
    </row>
    <row r="50" spans="2:5">
      <c r="B50" s="27">
        <v>49</v>
      </c>
      <c r="C50" s="18" t="s">
        <v>178</v>
      </c>
      <c r="D50" s="19">
        <v>28</v>
      </c>
      <c r="E50" s="18">
        <v>1</v>
      </c>
    </row>
    <row r="51" spans="2:5">
      <c r="B51" s="27">
        <v>50</v>
      </c>
      <c r="C51" s="18" t="s">
        <v>179</v>
      </c>
      <c r="D51" s="19">
        <v>41</v>
      </c>
      <c r="E51" s="18">
        <v>1</v>
      </c>
    </row>
    <row r="52" spans="2:5">
      <c r="B52" s="27">
        <v>51</v>
      </c>
      <c r="C52" s="18" t="s">
        <v>180</v>
      </c>
      <c r="D52" s="19">
        <v>41</v>
      </c>
      <c r="E52" s="18">
        <v>1</v>
      </c>
    </row>
    <row r="53" spans="2:5">
      <c r="B53" s="27">
        <v>52</v>
      </c>
      <c r="C53" s="18" t="s">
        <v>181</v>
      </c>
      <c r="D53" s="19">
        <v>41</v>
      </c>
      <c r="E53" s="18">
        <v>1</v>
      </c>
    </row>
    <row r="54" spans="2:5">
      <c r="B54" s="27">
        <v>53</v>
      </c>
      <c r="C54" s="18" t="s">
        <v>182</v>
      </c>
      <c r="D54" s="19">
        <v>41</v>
      </c>
      <c r="E54" s="18">
        <v>1</v>
      </c>
    </row>
    <row r="55" spans="2:5">
      <c r="B55" s="27">
        <v>54</v>
      </c>
      <c r="C55" s="18" t="s">
        <v>183</v>
      </c>
      <c r="D55" s="19">
        <v>41</v>
      </c>
      <c r="E55" s="18">
        <v>1</v>
      </c>
    </row>
    <row r="56" spans="2:5">
      <c r="B56" s="27">
        <v>55</v>
      </c>
      <c r="C56" s="18" t="s">
        <v>184</v>
      </c>
      <c r="D56" s="19">
        <v>14</v>
      </c>
      <c r="E56" s="18">
        <v>1</v>
      </c>
    </row>
    <row r="57" spans="2:5">
      <c r="B57" s="28">
        <v>56</v>
      </c>
      <c r="C57" s="18" t="s">
        <v>185</v>
      </c>
      <c r="D57" s="19">
        <v>36</v>
      </c>
      <c r="E57" s="18">
        <v>1</v>
      </c>
    </row>
    <row r="58" spans="2:5">
      <c r="B58" s="27">
        <v>57</v>
      </c>
      <c r="C58" s="18" t="s">
        <v>186</v>
      </c>
      <c r="D58" s="19">
        <v>14</v>
      </c>
      <c r="E58" s="18">
        <v>1</v>
      </c>
    </row>
    <row r="59" spans="2:5">
      <c r="B59" s="28">
        <v>58</v>
      </c>
      <c r="C59" s="18" t="s">
        <v>187</v>
      </c>
      <c r="D59" s="19">
        <v>15</v>
      </c>
      <c r="E59" s="18">
        <v>1</v>
      </c>
    </row>
    <row r="60" spans="2:5">
      <c r="B60" s="21"/>
    </row>
    <row r="61" spans="2:5">
      <c r="B61" s="21"/>
    </row>
    <row r="62" spans="2:5">
      <c r="B62" s="21"/>
    </row>
    <row r="63" spans="2:5">
      <c r="B63" s="21"/>
    </row>
    <row r="64" spans="2:5">
      <c r="B64" s="21"/>
    </row>
    <row r="65" spans="2:2" s="18" customFormat="1">
      <c r="B65" s="21"/>
    </row>
    <row r="66" spans="2:2" s="18" customFormat="1">
      <c r="B66" s="21"/>
    </row>
    <row r="67" spans="2:2" s="18" customFormat="1">
      <c r="B67" s="21"/>
    </row>
    <row r="68" spans="2:2" s="18" customFormat="1">
      <c r="B68" s="21"/>
    </row>
    <row r="69" spans="2:2" s="18" customFormat="1">
      <c r="B69" s="21"/>
    </row>
    <row r="70" spans="2:2" s="18" customFormat="1">
      <c r="B70" s="21"/>
    </row>
    <row r="71" spans="2:2" s="18" customFormat="1">
      <c r="B71" s="21"/>
    </row>
    <row r="72" spans="2:2" s="18" customFormat="1">
      <c r="B72" s="21"/>
    </row>
    <row r="73" spans="2:2" s="18" customFormat="1">
      <c r="B73" s="21"/>
    </row>
    <row r="74" spans="2:2" s="18" customFormat="1">
      <c r="B74" s="21"/>
    </row>
    <row r="75" spans="2:2" s="18" customFormat="1">
      <c r="B75" s="21"/>
    </row>
    <row r="76" spans="2:2" s="18" customFormat="1">
      <c r="B76" s="21"/>
    </row>
    <row r="77" spans="2:2" s="18" customFormat="1">
      <c r="B77" s="21"/>
    </row>
    <row r="78" spans="2:2" s="18" customFormat="1">
      <c r="B78" s="21"/>
    </row>
    <row r="79" spans="2:2" s="18" customFormat="1">
      <c r="B79" s="21"/>
    </row>
    <row r="80" spans="2:2" s="18" customFormat="1">
      <c r="B80" s="21"/>
    </row>
    <row r="81" spans="2:2" s="18" customFormat="1">
      <c r="B81" s="21"/>
    </row>
    <row r="82" spans="2:2" s="18" customFormat="1">
      <c r="B82" s="21"/>
    </row>
    <row r="83" spans="2:2" s="18" customFormat="1">
      <c r="B83" s="21"/>
    </row>
    <row r="84" spans="2:2" s="18" customFormat="1">
      <c r="B84" s="29"/>
    </row>
    <row r="85" spans="2:2" s="18" customFormat="1">
      <c r="B85" s="29"/>
    </row>
    <row r="86" spans="2:2" s="18" customFormat="1">
      <c r="B86" s="29"/>
    </row>
    <row r="87" spans="2:2" s="18" customFormat="1">
      <c r="B87" s="29"/>
    </row>
    <row r="88" spans="2:2" s="18" customFormat="1">
      <c r="B88" s="29"/>
    </row>
    <row r="89" spans="2:2" s="18" customFormat="1">
      <c r="B89" s="29"/>
    </row>
    <row r="90" spans="2:2" s="18" customFormat="1">
      <c r="B90" s="29"/>
    </row>
    <row r="91" spans="2:2" s="18" customFormat="1">
      <c r="B91" s="29"/>
    </row>
    <row r="92" spans="2:2" s="18" customFormat="1">
      <c r="B92" s="29"/>
    </row>
    <row r="93" spans="2:2" s="18" customFormat="1">
      <c r="B93" s="29"/>
    </row>
    <row r="94" spans="2:2" s="18" customFormat="1">
      <c r="B94" s="29"/>
    </row>
    <row r="95" spans="2:2" s="18" customFormat="1">
      <c r="B95" s="29"/>
    </row>
    <row r="96" spans="2:2" s="18" customFormat="1">
      <c r="B96" s="29"/>
    </row>
    <row r="97" spans="2:2" s="18" customFormat="1">
      <c r="B97" s="29"/>
    </row>
    <row r="98" spans="2:2" s="18" customFormat="1">
      <c r="B98" s="29"/>
    </row>
    <row r="99" spans="2:2" s="18" customFormat="1">
      <c r="B99" s="29"/>
    </row>
    <row r="100" spans="2:2" s="18" customFormat="1">
      <c r="B100" s="29"/>
    </row>
    <row r="101" spans="2:2" s="18" customFormat="1">
      <c r="B101" s="29"/>
    </row>
    <row r="102" spans="2:2" s="18" customFormat="1">
      <c r="B102" s="29"/>
    </row>
    <row r="103" spans="2:2" s="18" customFormat="1">
      <c r="B103" s="29"/>
    </row>
    <row r="104" spans="2:2" s="18" customFormat="1">
      <c r="B104" s="29"/>
    </row>
    <row r="105" spans="2:2" s="18" customFormat="1">
      <c r="B105" s="29"/>
    </row>
    <row r="106" spans="2:2" s="18" customFormat="1">
      <c r="B106" s="29"/>
    </row>
    <row r="107" spans="2:2" s="18" customFormat="1">
      <c r="B107" s="26"/>
    </row>
    <row r="108" spans="2:2" s="18" customFormat="1">
      <c r="B108" s="26"/>
    </row>
    <row r="109" spans="2:2" s="18" customFormat="1">
      <c r="B109" s="26"/>
    </row>
    <row r="110" spans="2:2" s="18" customFormat="1">
      <c r="B110" s="26"/>
    </row>
    <row r="111" spans="2:2" s="18" customFormat="1">
      <c r="B111" s="26"/>
    </row>
    <row r="112" spans="2:2" s="18" customFormat="1">
      <c r="B112" s="26"/>
    </row>
    <row r="113" spans="2:2" s="18" customFormat="1">
      <c r="B113" s="26"/>
    </row>
    <row r="114" spans="2:2" s="18" customFormat="1">
      <c r="B114" s="26"/>
    </row>
    <row r="115" spans="2:2" s="18" customFormat="1">
      <c r="B115" s="26"/>
    </row>
    <row r="116" spans="2:2" s="18" customFormat="1">
      <c r="B116" s="26"/>
    </row>
    <row r="117" spans="2:2" s="18" customFormat="1">
      <c r="B117" s="30"/>
    </row>
    <row r="118" spans="2:2" s="18" customFormat="1">
      <c r="B118" s="30"/>
    </row>
    <row r="119" spans="2:2" s="18" customFormat="1">
      <c r="B119" s="30"/>
    </row>
    <row r="120" spans="2:2" s="18" customFormat="1">
      <c r="B120" s="30"/>
    </row>
    <row r="121" spans="2:2" s="18" customFormat="1">
      <c r="B121" s="30"/>
    </row>
    <row r="122" spans="2:2" s="18" customFormat="1">
      <c r="B122" s="30"/>
    </row>
    <row r="123" spans="2:2" s="18" customFormat="1">
      <c r="B123" s="26"/>
    </row>
    <row r="124" spans="2:2" s="18" customFormat="1">
      <c r="B124" s="26"/>
    </row>
    <row r="125" spans="2:2" s="18" customFormat="1">
      <c r="B125" s="26"/>
    </row>
    <row r="126" spans="2:2" s="18" customFormat="1">
      <c r="B126" s="26"/>
    </row>
    <row r="127" spans="2:2" s="18" customFormat="1">
      <c r="B127" s="26"/>
    </row>
    <row r="128" spans="2:2" s="18" customFormat="1">
      <c r="B128" s="26"/>
    </row>
    <row r="129" spans="2:2" s="18" customFormat="1">
      <c r="B129" s="26"/>
    </row>
    <row r="130" spans="2:2" s="18" customFormat="1">
      <c r="B130" s="26"/>
    </row>
    <row r="131" spans="2:2" s="18" customFormat="1">
      <c r="B131" s="26"/>
    </row>
    <row r="132" spans="2:2" s="18" customFormat="1">
      <c r="B132" s="26"/>
    </row>
    <row r="133" spans="2:2" s="18" customFormat="1">
      <c r="B133" s="26"/>
    </row>
    <row r="134" spans="2:2" s="18" customFormat="1">
      <c r="B134" s="21"/>
    </row>
    <row r="135" spans="2:2" s="18" customFormat="1">
      <c r="B135" s="21"/>
    </row>
    <row r="136" spans="2:2" s="18" customFormat="1">
      <c r="B136" s="21"/>
    </row>
    <row r="137" spans="2:2" s="18" customFormat="1">
      <c r="B137" s="21"/>
    </row>
    <row r="138" spans="2:2" s="18" customFormat="1">
      <c r="B138" s="21"/>
    </row>
    <row r="139" spans="2:2" s="18" customFormat="1">
      <c r="B139" s="21"/>
    </row>
    <row r="140" spans="2:2" s="18" customFormat="1">
      <c r="B140" s="21"/>
    </row>
    <row r="141" spans="2:2" s="18" customFormat="1">
      <c r="B141" s="21"/>
    </row>
    <row r="142" spans="2:2" s="18" customFormat="1">
      <c r="B142" s="21"/>
    </row>
    <row r="143" spans="2:2" s="18" customFormat="1">
      <c r="B143" s="21"/>
    </row>
    <row r="144" spans="2:2" s="18" customFormat="1">
      <c r="B144" s="21"/>
    </row>
    <row r="145" spans="2:2" s="18" customFormat="1">
      <c r="B145" s="21"/>
    </row>
    <row r="146" spans="2:2" s="18" customFormat="1">
      <c r="B146" s="21"/>
    </row>
    <row r="147" spans="2:2" s="18" customFormat="1">
      <c r="B147" s="21"/>
    </row>
    <row r="148" spans="2:2" s="18" customFormat="1">
      <c r="B148" s="21"/>
    </row>
    <row r="149" spans="2:2" s="18" customFormat="1">
      <c r="B149" s="21"/>
    </row>
    <row r="150" spans="2:2" s="18" customFormat="1">
      <c r="B150" s="21"/>
    </row>
    <row r="151" spans="2:2" s="18" customFormat="1">
      <c r="B151" s="21"/>
    </row>
    <row r="152" spans="2:2" s="18" customFormat="1">
      <c r="B152" s="21"/>
    </row>
    <row r="153" spans="2:2" s="18" customFormat="1">
      <c r="B153" s="21"/>
    </row>
    <row r="154" spans="2:2" s="18" customFormat="1">
      <c r="B154" s="21"/>
    </row>
    <row r="155" spans="2:2" s="18" customFormat="1">
      <c r="B155" s="21"/>
    </row>
    <row r="156" spans="2:2" s="18" customFormat="1">
      <c r="B156" s="21"/>
    </row>
    <row r="157" spans="2:2" s="18" customFormat="1">
      <c r="B157" s="21"/>
    </row>
    <row r="158" spans="2:2" s="18" customFormat="1">
      <c r="B158" s="21"/>
    </row>
    <row r="159" spans="2:2" s="18" customFormat="1">
      <c r="B159" s="21"/>
    </row>
    <row r="160" spans="2:2" s="18" customFormat="1">
      <c r="B160" s="21"/>
    </row>
    <row r="161" spans="2:2" s="18" customFormat="1">
      <c r="B161" s="21"/>
    </row>
    <row r="162" spans="2:2" s="18" customFormat="1">
      <c r="B162" s="21"/>
    </row>
    <row r="163" spans="2:2" s="18" customFormat="1">
      <c r="B163" s="21"/>
    </row>
    <row r="164" spans="2:2" s="18" customFormat="1">
      <c r="B164" s="21"/>
    </row>
    <row r="165" spans="2:2" s="18" customFormat="1">
      <c r="B165" s="31"/>
    </row>
    <row r="166" spans="2:2" s="18" customFormat="1">
      <c r="B166" s="31"/>
    </row>
    <row r="167" spans="2:2" s="18" customFormat="1">
      <c r="B167" s="31"/>
    </row>
    <row r="168" spans="2:2" s="18" customFormat="1">
      <c r="B168" s="31"/>
    </row>
    <row r="169" spans="2:2" s="18" customFormat="1">
      <c r="B169" s="31"/>
    </row>
    <row r="170" spans="2:2" s="18" customFormat="1">
      <c r="B170" s="31"/>
    </row>
    <row r="171" spans="2:2" s="18" customFormat="1">
      <c r="B171" s="31"/>
    </row>
    <row r="172" spans="2:2" s="18" customFormat="1">
      <c r="B172" s="31"/>
    </row>
    <row r="173" spans="2:2" s="18" customFormat="1">
      <c r="B173" s="31"/>
    </row>
    <row r="174" spans="2:2" s="18" customFormat="1">
      <c r="B174" s="31"/>
    </row>
    <row r="175" spans="2:2" s="18" customFormat="1">
      <c r="B175" s="31"/>
    </row>
    <row r="176" spans="2:2" s="18" customFormat="1">
      <c r="B176" s="31"/>
    </row>
    <row r="177" spans="2:2" s="18" customFormat="1">
      <c r="B177" s="31"/>
    </row>
    <row r="178" spans="2:2" s="18" customFormat="1">
      <c r="B178" s="3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获取途径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2006-09-13T11:21:00Z</dcterms:created>
  <dcterms:modified xsi:type="dcterms:W3CDTF">2018-03-07T07:09:06Z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