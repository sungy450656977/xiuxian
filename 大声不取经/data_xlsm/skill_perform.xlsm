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1950" windowWidth="19410" windowHeight="9240"/>
  </bookViews>
  <sheets>
    <sheet name="Sheet1" sheetId="1" r:id="rId1"/>
    <sheet name="引用表" sheetId="3" r:id="rId2"/>
    <sheet name="起手特效" sheetId="5" r:id="rId3"/>
    <sheet name="主要特效" sheetId="6" r:id="rId4"/>
    <sheet name="辅助特效" sheetId="7" r:id="rId5"/>
    <sheet name="命中特效" sheetId="8" r:id="rId6"/>
    <sheet name="buff特效" sheetId="9" r:id="rId7"/>
    <sheet name="特效配置" sheetId="4" r:id="rId8"/>
    <sheet name="Sheet2" sheetId="10" r:id="rId9"/>
  </sheets>
  <functionGroups builtInGroupCount="17"/>
  <externalReferences>
    <externalReference r:id="rId10"/>
  </externalReferences>
  <definedNames>
    <definedName name="_xlnm._FilterDatabase" localSheetId="0" hidden="1">Sheet1!$A$1:$X$532</definedName>
  </definedNames>
  <calcPr calcId="144525"/>
</workbook>
</file>

<file path=xl/calcChain.xml><?xml version="1.0" encoding="utf-8"?>
<calcChain xmlns="http://schemas.openxmlformats.org/spreadsheetml/2006/main">
  <c r="A6" i="5" l="1"/>
  <c r="K5" i="8"/>
  <c r="N7" i="3" s="1"/>
  <c r="C4" i="3"/>
  <c r="C5" i="3"/>
  <c r="C6" i="3"/>
  <c r="C7" i="3"/>
  <c r="B4" i="3"/>
  <c r="B5" i="3"/>
  <c r="B6" i="3"/>
  <c r="B7" i="3"/>
  <c r="E3" i="3"/>
  <c r="F3" i="3"/>
  <c r="G3" i="3"/>
  <c r="H3" i="3"/>
  <c r="I3" i="3"/>
  <c r="J3" i="3"/>
  <c r="K3" i="3"/>
  <c r="L3" i="3"/>
  <c r="M3" i="3"/>
  <c r="N3" i="3"/>
  <c r="K4" i="8"/>
  <c r="K5" i="7"/>
  <c r="N6" i="3" s="1"/>
  <c r="K11" i="7"/>
  <c r="K12" i="7"/>
  <c r="K13" i="7"/>
  <c r="K14" i="7"/>
  <c r="K15" i="7"/>
  <c r="K16" i="7"/>
  <c r="K17" i="7"/>
  <c r="K18" i="7"/>
  <c r="K19" i="7"/>
  <c r="K4" i="7"/>
  <c r="K5" i="5"/>
  <c r="N4" i="3" s="1"/>
  <c r="K11" i="5"/>
  <c r="K12" i="5"/>
  <c r="K13" i="5"/>
  <c r="K14" i="5"/>
  <c r="K15" i="5"/>
  <c r="K5" i="6"/>
  <c r="N5" i="3" s="1"/>
  <c r="K4" i="6"/>
  <c r="K4" i="5"/>
  <c r="D5" i="7"/>
  <c r="D4" i="7"/>
  <c r="B3" i="7"/>
  <c r="C3" i="7"/>
  <c r="D3" i="7"/>
  <c r="D5" i="6"/>
  <c r="D4" i="6"/>
  <c r="B3" i="6"/>
  <c r="C3" i="6"/>
  <c r="D3" i="6"/>
  <c r="D4" i="5"/>
  <c r="D5" i="5"/>
  <c r="A10" i="9"/>
  <c r="K10" i="9"/>
  <c r="A9" i="9"/>
  <c r="A8" i="9"/>
  <c r="K8" i="9"/>
  <c r="N23" i="3" s="1"/>
  <c r="A7" i="9"/>
  <c r="A6" i="9"/>
  <c r="K6" i="9"/>
  <c r="A10" i="8"/>
  <c r="K10" i="8"/>
  <c r="A9" i="8"/>
  <c r="K9" i="8"/>
  <c r="A8" i="8"/>
  <c r="K8" i="8"/>
  <c r="A7" i="8"/>
  <c r="K7" i="8"/>
  <c r="A6" i="8"/>
  <c r="K6" i="8"/>
  <c r="A10" i="7"/>
  <c r="A9" i="7"/>
  <c r="A8" i="7"/>
  <c r="A7" i="7"/>
  <c r="A6" i="7"/>
  <c r="A10" i="6"/>
  <c r="E10" i="6"/>
  <c r="H30" i="3" s="1"/>
  <c r="K10" i="6"/>
  <c r="A9" i="6"/>
  <c r="A8" i="6"/>
  <c r="K8" i="6"/>
  <c r="N20" i="3" s="1"/>
  <c r="A7" i="6"/>
  <c r="A6" i="6"/>
  <c r="A10" i="5"/>
  <c r="A9" i="5"/>
  <c r="A8" i="5"/>
  <c r="E8" i="5"/>
  <c r="A7" i="5"/>
  <c r="K7" i="5"/>
  <c r="N14" i="3" s="1"/>
  <c r="K8" i="5"/>
  <c r="D6" i="7"/>
  <c r="K6" i="7"/>
  <c r="D10" i="7"/>
  <c r="K10" i="7"/>
  <c r="D6" i="5"/>
  <c r="K6" i="5"/>
  <c r="D10" i="5"/>
  <c r="K10" i="5"/>
  <c r="D9" i="6"/>
  <c r="K9" i="6"/>
  <c r="G3" i="4"/>
  <c r="B5" i="9" s="1"/>
  <c r="G4" i="4"/>
  <c r="B4" i="9" s="1"/>
  <c r="C4" i="9" s="1"/>
  <c r="A9" i="4"/>
  <c r="F9" i="4"/>
  <c r="A8" i="4"/>
  <c r="G8" i="4"/>
  <c r="A5" i="4"/>
  <c r="A6" i="4"/>
  <c r="A7" i="4"/>
  <c r="B9" i="9"/>
  <c r="F7" i="4"/>
  <c r="B8" i="8" s="1"/>
  <c r="G6" i="4"/>
  <c r="B7" i="9" s="1"/>
  <c r="F5" i="4"/>
  <c r="B6" i="8" s="1"/>
  <c r="D10" i="3"/>
  <c r="D11" i="3"/>
  <c r="D12" i="3"/>
  <c r="D13" i="3"/>
  <c r="D16" i="3"/>
  <c r="D21" i="3"/>
  <c r="D26" i="3"/>
  <c r="D17" i="3"/>
  <c r="D18" i="3"/>
  <c r="D9" i="3"/>
  <c r="C9" i="3"/>
  <c r="B9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E4" i="5"/>
  <c r="F4" i="5"/>
  <c r="G4" i="5"/>
  <c r="H4" i="5"/>
  <c r="I4" i="5"/>
  <c r="J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E5" i="5"/>
  <c r="H4" i="3" s="1"/>
  <c r="F5" i="5"/>
  <c r="G5" i="5"/>
  <c r="H5" i="5"/>
  <c r="I5" i="5"/>
  <c r="J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E6" i="5"/>
  <c r="F6" i="5"/>
  <c r="G6" i="5"/>
  <c r="H6" i="5"/>
  <c r="I6" i="5"/>
  <c r="J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F7" i="5"/>
  <c r="G7" i="5"/>
  <c r="H7" i="5"/>
  <c r="I7" i="5"/>
  <c r="J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F8" i="5"/>
  <c r="G8" i="5"/>
  <c r="H8" i="5"/>
  <c r="I8" i="5"/>
  <c r="J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F9" i="5"/>
  <c r="G9" i="5"/>
  <c r="H9" i="5"/>
  <c r="I9" i="5"/>
  <c r="J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E10" i="5"/>
  <c r="F10" i="5"/>
  <c r="G10" i="5"/>
  <c r="H10" i="5"/>
  <c r="I10" i="5"/>
  <c r="J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E4" i="6"/>
  <c r="F4" i="6"/>
  <c r="G4" i="6"/>
  <c r="H4" i="6" s="1"/>
  <c r="I4" i="6"/>
  <c r="J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E5" i="6"/>
  <c r="H5" i="3" s="1"/>
  <c r="F5" i="6"/>
  <c r="I5" i="3" s="1"/>
  <c r="G5" i="6"/>
  <c r="J5" i="3" s="1"/>
  <c r="I5" i="6"/>
  <c r="J5" i="6"/>
  <c r="L5" i="6"/>
  <c r="O5" i="3" s="1"/>
  <c r="M5" i="6"/>
  <c r="N5" i="6"/>
  <c r="Q5" i="3" s="1"/>
  <c r="O5" i="6"/>
  <c r="P5" i="6"/>
  <c r="Q5" i="6"/>
  <c r="R5" i="6"/>
  <c r="S5" i="6"/>
  <c r="T5" i="6"/>
  <c r="U5" i="6"/>
  <c r="V5" i="6"/>
  <c r="W5" i="6"/>
  <c r="X5" i="6"/>
  <c r="Y5" i="6"/>
  <c r="F6" i="6"/>
  <c r="I10" i="3" s="1"/>
  <c r="I6" i="6"/>
  <c r="J6" i="6"/>
  <c r="L6" i="6"/>
  <c r="M6" i="6"/>
  <c r="O6" i="6"/>
  <c r="P6" i="6"/>
  <c r="Q6" i="6"/>
  <c r="R6" i="6"/>
  <c r="S6" i="6"/>
  <c r="T6" i="6"/>
  <c r="U6" i="6"/>
  <c r="V6" i="6"/>
  <c r="W6" i="6"/>
  <c r="X6" i="6"/>
  <c r="Y6" i="6"/>
  <c r="F7" i="6"/>
  <c r="I15" i="3" s="1"/>
  <c r="I7" i="6"/>
  <c r="J7" i="6"/>
  <c r="L7" i="6"/>
  <c r="M7" i="6"/>
  <c r="O7" i="6"/>
  <c r="P7" i="6"/>
  <c r="Q7" i="6"/>
  <c r="R7" i="6"/>
  <c r="S7" i="6"/>
  <c r="T7" i="6"/>
  <c r="U7" i="6"/>
  <c r="V7" i="6"/>
  <c r="W7" i="6"/>
  <c r="X7" i="6"/>
  <c r="Y7" i="6"/>
  <c r="F8" i="6"/>
  <c r="I20" i="3" s="1"/>
  <c r="I8" i="6"/>
  <c r="J8" i="6"/>
  <c r="L8" i="6"/>
  <c r="M8" i="6"/>
  <c r="O8" i="6"/>
  <c r="P8" i="6"/>
  <c r="Q8" i="6"/>
  <c r="R8" i="6"/>
  <c r="S8" i="6"/>
  <c r="T8" i="6"/>
  <c r="U8" i="6"/>
  <c r="V8" i="6"/>
  <c r="W8" i="6"/>
  <c r="X8" i="6"/>
  <c r="Y8" i="6"/>
  <c r="E9" i="6"/>
  <c r="H25" i="3" s="1"/>
  <c r="F9" i="6"/>
  <c r="G9" i="6"/>
  <c r="I9" i="6"/>
  <c r="J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F10" i="6"/>
  <c r="I10" i="6"/>
  <c r="J10" i="6"/>
  <c r="L10" i="6"/>
  <c r="M10" i="6"/>
  <c r="O10" i="6"/>
  <c r="P10" i="6"/>
  <c r="Q10" i="6"/>
  <c r="R10" i="6"/>
  <c r="S10" i="6"/>
  <c r="T10" i="6"/>
  <c r="U10" i="6"/>
  <c r="V10" i="6"/>
  <c r="W10" i="6"/>
  <c r="X10" i="6"/>
  <c r="Y10" i="6"/>
  <c r="E4" i="7"/>
  <c r="F4" i="7"/>
  <c r="G4" i="7"/>
  <c r="H4" i="7" s="1"/>
  <c r="I4" i="7"/>
  <c r="J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E5" i="7"/>
  <c r="H6" i="3" s="1"/>
  <c r="F5" i="7"/>
  <c r="I6" i="3"/>
  <c r="G5" i="7"/>
  <c r="J6" i="3" s="1"/>
  <c r="I5" i="7"/>
  <c r="J5" i="7"/>
  <c r="L5" i="7"/>
  <c r="O6" i="3" s="1"/>
  <c r="M5" i="7"/>
  <c r="N5" i="7"/>
  <c r="Q6" i="3" s="1"/>
  <c r="O5" i="7"/>
  <c r="P5" i="7"/>
  <c r="Q5" i="7"/>
  <c r="R5" i="7"/>
  <c r="S5" i="7"/>
  <c r="T5" i="7"/>
  <c r="U5" i="7"/>
  <c r="V5" i="7"/>
  <c r="W5" i="7"/>
  <c r="X5" i="7"/>
  <c r="Y5" i="7"/>
  <c r="E6" i="7"/>
  <c r="F6" i="7"/>
  <c r="G6" i="7"/>
  <c r="H6" i="7" s="1"/>
  <c r="K11" i="3" s="1"/>
  <c r="C10" i="3"/>
  <c r="C11" i="3"/>
  <c r="B10" i="3"/>
  <c r="B11" i="3"/>
  <c r="I6" i="7"/>
  <c r="J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F7" i="7"/>
  <c r="I7" i="7"/>
  <c r="J7" i="7"/>
  <c r="L7" i="7"/>
  <c r="M7" i="7"/>
  <c r="O7" i="7"/>
  <c r="P7" i="7"/>
  <c r="Q7" i="7"/>
  <c r="R7" i="7"/>
  <c r="S7" i="7"/>
  <c r="T7" i="7"/>
  <c r="U7" i="7"/>
  <c r="V7" i="7"/>
  <c r="W7" i="7"/>
  <c r="X7" i="7"/>
  <c r="Y7" i="7"/>
  <c r="F8" i="7"/>
  <c r="I8" i="7"/>
  <c r="J8" i="7"/>
  <c r="L8" i="7"/>
  <c r="O21" i="3" s="1"/>
  <c r="M8" i="7"/>
  <c r="O8" i="7"/>
  <c r="P8" i="7"/>
  <c r="Q8" i="7"/>
  <c r="R8" i="7"/>
  <c r="S8" i="7"/>
  <c r="T8" i="7"/>
  <c r="U8" i="7"/>
  <c r="V8" i="7"/>
  <c r="W8" i="7"/>
  <c r="X8" i="7"/>
  <c r="Y8" i="7"/>
  <c r="F9" i="7"/>
  <c r="I9" i="7"/>
  <c r="J9" i="7"/>
  <c r="L9" i="7"/>
  <c r="O26" i="3" s="1"/>
  <c r="M9" i="7"/>
  <c r="O9" i="7"/>
  <c r="P9" i="7"/>
  <c r="Q9" i="7"/>
  <c r="R9" i="7"/>
  <c r="S9" i="7"/>
  <c r="T9" i="7"/>
  <c r="U9" i="7"/>
  <c r="V9" i="7"/>
  <c r="W9" i="7"/>
  <c r="X9" i="7"/>
  <c r="Y9" i="7"/>
  <c r="E10" i="7"/>
  <c r="F10" i="7"/>
  <c r="G10" i="7"/>
  <c r="H10" i="7" s="1"/>
  <c r="K31" i="3" s="1"/>
  <c r="D31" i="3"/>
  <c r="D15" i="3"/>
  <c r="D20" i="3"/>
  <c r="D25" i="3"/>
  <c r="D30" i="3"/>
  <c r="D14" i="3"/>
  <c r="D19" i="3"/>
  <c r="D24" i="3"/>
  <c r="D29" i="3"/>
  <c r="D23" i="3"/>
  <c r="D28" i="3"/>
  <c r="D22" i="3"/>
  <c r="D27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I10" i="7"/>
  <c r="J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E12" i="7"/>
  <c r="F12" i="7"/>
  <c r="G12" i="7"/>
  <c r="H12" i="7" s="1"/>
  <c r="I12" i="7"/>
  <c r="J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E13" i="7"/>
  <c r="F13" i="7"/>
  <c r="G13" i="7"/>
  <c r="H13" i="7" s="1"/>
  <c r="I13" i="7"/>
  <c r="J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E14" i="7"/>
  <c r="F14" i="7"/>
  <c r="G14" i="7"/>
  <c r="H14" i="7" s="1"/>
  <c r="I14" i="7"/>
  <c r="J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E15" i="7"/>
  <c r="F15" i="7"/>
  <c r="G15" i="7"/>
  <c r="H15" i="7" s="1"/>
  <c r="I15" i="7"/>
  <c r="J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E16" i="7"/>
  <c r="F16" i="7"/>
  <c r="G16" i="7"/>
  <c r="H16" i="7" s="1"/>
  <c r="I16" i="7"/>
  <c r="J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E17" i="7"/>
  <c r="F17" i="7"/>
  <c r="G17" i="7"/>
  <c r="H17" i="7" s="1"/>
  <c r="I17" i="7"/>
  <c r="J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D4" i="8"/>
  <c r="E4" i="8"/>
  <c r="F4" i="8"/>
  <c r="G4" i="8"/>
  <c r="H4" i="8"/>
  <c r="I4" i="8"/>
  <c r="J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D5" i="8"/>
  <c r="E5" i="8"/>
  <c r="F5" i="8"/>
  <c r="G5" i="8"/>
  <c r="H5" i="8"/>
  <c r="I5" i="8"/>
  <c r="J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D6" i="8"/>
  <c r="E6" i="8"/>
  <c r="F6" i="8"/>
  <c r="G6" i="8"/>
  <c r="H6" i="8"/>
  <c r="I6" i="8"/>
  <c r="J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D7" i="8"/>
  <c r="E7" i="8"/>
  <c r="F7" i="8"/>
  <c r="G7" i="8"/>
  <c r="H7" i="8"/>
  <c r="I7" i="8"/>
  <c r="J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D8" i="8"/>
  <c r="E8" i="8"/>
  <c r="F8" i="8"/>
  <c r="G8" i="8"/>
  <c r="H8" i="8"/>
  <c r="I8" i="8"/>
  <c r="J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D9" i="8"/>
  <c r="E9" i="8"/>
  <c r="F9" i="8"/>
  <c r="G9" i="8"/>
  <c r="H9" i="8"/>
  <c r="I9" i="8"/>
  <c r="J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D10" i="8"/>
  <c r="E10" i="8"/>
  <c r="F10" i="8"/>
  <c r="G10" i="8"/>
  <c r="H10" i="8"/>
  <c r="I10" i="8"/>
  <c r="J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C8" i="3"/>
  <c r="D33" i="3"/>
  <c r="D32" i="3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D5" i="9"/>
  <c r="E5" i="9"/>
  <c r="F5" i="9"/>
  <c r="G5" i="9"/>
  <c r="H5" i="9"/>
  <c r="I5" i="9"/>
  <c r="J5" i="9"/>
  <c r="K5" i="9"/>
  <c r="B8" i="3"/>
  <c r="N8" i="3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D6" i="9"/>
  <c r="E6" i="9"/>
  <c r="F6" i="9"/>
  <c r="G6" i="9"/>
  <c r="H6" i="9"/>
  <c r="I6" i="9"/>
  <c r="J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D8" i="9"/>
  <c r="E8" i="9"/>
  <c r="F8" i="9"/>
  <c r="G8" i="9"/>
  <c r="H8" i="9"/>
  <c r="I8" i="9"/>
  <c r="J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D10" i="9"/>
  <c r="E10" i="9"/>
  <c r="F10" i="9"/>
  <c r="G10" i="9"/>
  <c r="H10" i="9"/>
  <c r="I10" i="9"/>
  <c r="J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M4" i="3"/>
  <c r="U4" i="3"/>
  <c r="V4" i="3"/>
  <c r="G4" i="3"/>
  <c r="O4" i="3"/>
  <c r="W4" i="3"/>
  <c r="K4" i="3"/>
  <c r="S4" i="3"/>
  <c r="AA4" i="3"/>
  <c r="X4" i="3"/>
  <c r="AB4" i="3"/>
  <c r="I4" i="3"/>
  <c r="Y4" i="3"/>
  <c r="L4" i="3"/>
  <c r="J4" i="3"/>
  <c r="Z4" i="3"/>
  <c r="Q4" i="3"/>
  <c r="R4" i="3"/>
  <c r="T4" i="3"/>
  <c r="P4" i="3"/>
  <c r="M6" i="3"/>
  <c r="U6" i="3"/>
  <c r="V6" i="3"/>
  <c r="G6" i="3"/>
  <c r="W6" i="3"/>
  <c r="S6" i="3"/>
  <c r="AA6" i="3"/>
  <c r="X6" i="3"/>
  <c r="L6" i="3"/>
  <c r="Y6" i="3"/>
  <c r="AB6" i="3"/>
  <c r="Z6" i="3"/>
  <c r="R6" i="3"/>
  <c r="P6" i="3"/>
  <c r="T6" i="3"/>
  <c r="M5" i="3"/>
  <c r="U5" i="3"/>
  <c r="V5" i="3"/>
  <c r="G5" i="3"/>
  <c r="W5" i="3"/>
  <c r="S5" i="3"/>
  <c r="AA5" i="3"/>
  <c r="P5" i="3"/>
  <c r="T5" i="3"/>
  <c r="R5" i="3"/>
  <c r="Y5" i="3"/>
  <c r="Z5" i="3"/>
  <c r="L5" i="3"/>
  <c r="X5" i="3"/>
  <c r="AB5" i="3"/>
  <c r="O11" i="7"/>
  <c r="P11" i="7"/>
  <c r="M7" i="3"/>
  <c r="U7" i="3"/>
  <c r="V7" i="3"/>
  <c r="G7" i="3"/>
  <c r="O7" i="3"/>
  <c r="W7" i="3"/>
  <c r="K7" i="3"/>
  <c r="S7" i="3"/>
  <c r="AA7" i="3"/>
  <c r="P7" i="3"/>
  <c r="Q7" i="3"/>
  <c r="R7" i="3"/>
  <c r="T7" i="3"/>
  <c r="I7" i="3"/>
  <c r="Y7" i="3"/>
  <c r="J7" i="3"/>
  <c r="Z7" i="3"/>
  <c r="X7" i="3"/>
  <c r="AB7" i="3"/>
  <c r="H7" i="3"/>
  <c r="L7" i="3"/>
  <c r="Y11" i="7"/>
  <c r="X11" i="7"/>
  <c r="W11" i="7"/>
  <c r="V11" i="7"/>
  <c r="U11" i="7"/>
  <c r="T11" i="7"/>
  <c r="S11" i="7"/>
  <c r="R11" i="7"/>
  <c r="Q11" i="7"/>
  <c r="N11" i="7"/>
  <c r="M11" i="7"/>
  <c r="L11" i="7"/>
  <c r="J11" i="7"/>
  <c r="I11" i="7"/>
  <c r="G11" i="7"/>
  <c r="H11" i="7" s="1"/>
  <c r="F11" i="7"/>
  <c r="E11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C4" i="4"/>
  <c r="B4" i="5" s="1"/>
  <c r="C4" i="5" s="1"/>
  <c r="D4" i="4"/>
  <c r="B4" i="6" s="1"/>
  <c r="C4" i="6" s="1"/>
  <c r="E4" i="4"/>
  <c r="B4" i="7" s="1"/>
  <c r="C4" i="7" s="1"/>
  <c r="F4" i="4"/>
  <c r="B4" i="8" s="1"/>
  <c r="C4" i="8" s="1"/>
  <c r="C5" i="4"/>
  <c r="B6" i="5" s="1"/>
  <c r="E5" i="4"/>
  <c r="B6" i="7" s="1"/>
  <c r="C6" i="4"/>
  <c r="B7" i="5" s="1"/>
  <c r="E6" i="4"/>
  <c r="B7" i="7" s="1"/>
  <c r="C7" i="4"/>
  <c r="E7" i="4"/>
  <c r="C8" i="4"/>
  <c r="B9" i="5" s="1"/>
  <c r="E8" i="4"/>
  <c r="B9" i="7" s="1"/>
  <c r="C9" i="4"/>
  <c r="E9" i="4"/>
  <c r="B9" i="4"/>
  <c r="B7" i="4"/>
  <c r="B5" i="4"/>
  <c r="F3" i="4"/>
  <c r="B5" i="8" s="1"/>
  <c r="E3" i="4"/>
  <c r="B5" i="7" s="1"/>
  <c r="D3" i="4"/>
  <c r="B5" i="6" s="1"/>
  <c r="C3" i="4"/>
  <c r="B5" i="5" s="1"/>
  <c r="B4" i="4"/>
  <c r="B3" i="4"/>
  <c r="B16" i="7"/>
  <c r="C16" i="7" s="1"/>
  <c r="M8" i="3"/>
  <c r="U8" i="3"/>
  <c r="V8" i="3"/>
  <c r="G8" i="3"/>
  <c r="O8" i="3"/>
  <c r="W8" i="3"/>
  <c r="K8" i="3"/>
  <c r="S8" i="3"/>
  <c r="AA8" i="3"/>
  <c r="H8" i="3"/>
  <c r="X8" i="3"/>
  <c r="L8" i="3"/>
  <c r="I8" i="3"/>
  <c r="Y8" i="3"/>
  <c r="AB8" i="3"/>
  <c r="J8" i="3"/>
  <c r="Z8" i="3"/>
  <c r="Q8" i="3"/>
  <c r="R8" i="3"/>
  <c r="P8" i="3"/>
  <c r="T8" i="3"/>
  <c r="B13" i="7"/>
  <c r="C13" i="7" s="1"/>
  <c r="B11" i="7"/>
  <c r="C11" i="7" s="1"/>
  <c r="T9" i="3"/>
  <c r="G9" i="3"/>
  <c r="L9" i="3"/>
  <c r="J9" i="3"/>
  <c r="AB9" i="3"/>
  <c r="R9" i="3"/>
  <c r="U9" i="3"/>
  <c r="D9" i="4"/>
  <c r="B10" i="6" s="1"/>
  <c r="D8" i="4"/>
  <c r="B9" i="6" s="1"/>
  <c r="D7" i="4"/>
  <c r="D5" i="4"/>
  <c r="B6" i="6" s="1"/>
  <c r="G5" i="4"/>
  <c r="B6" i="9" s="1"/>
  <c r="G7" i="4"/>
  <c r="G9" i="4"/>
  <c r="B10" i="9" s="1"/>
  <c r="B14" i="7"/>
  <c r="C14" i="7" s="1"/>
  <c r="B17" i="7"/>
  <c r="C17" i="7" s="1"/>
  <c r="F6" i="4"/>
  <c r="B7" i="8" s="1"/>
  <c r="M10" i="3"/>
  <c r="AA10" i="3"/>
  <c r="L10" i="3"/>
  <c r="X10" i="3"/>
  <c r="E8" i="6"/>
  <c r="D8" i="6"/>
  <c r="G8" i="6"/>
  <c r="H8" i="6" s="1"/>
  <c r="K20" i="3" s="1"/>
  <c r="N8" i="6"/>
  <c r="D7" i="7"/>
  <c r="E7" i="7"/>
  <c r="H16" i="3" s="1"/>
  <c r="G7" i="7"/>
  <c r="J16" i="3" s="1"/>
  <c r="K7" i="7"/>
  <c r="N7" i="7"/>
  <c r="E7" i="5"/>
  <c r="H14" i="3" s="1"/>
  <c r="D7" i="5"/>
  <c r="D6" i="6"/>
  <c r="G10" i="3"/>
  <c r="G6" i="6"/>
  <c r="H6" i="6" s="1"/>
  <c r="K10" i="3" s="1"/>
  <c r="E6" i="6"/>
  <c r="H10" i="3" s="1"/>
  <c r="D10" i="6"/>
  <c r="G9" i="7"/>
  <c r="H9" i="7" s="1"/>
  <c r="K26" i="3" s="1"/>
  <c r="N6" i="6"/>
  <c r="Q10" i="3" s="1"/>
  <c r="W9" i="3"/>
  <c r="X9" i="3"/>
  <c r="K6" i="6"/>
  <c r="N10" i="3" s="1"/>
  <c r="AB10" i="3"/>
  <c r="P10" i="3"/>
  <c r="D7" i="6"/>
  <c r="N7" i="6"/>
  <c r="K7" i="6"/>
  <c r="N15" i="3" s="1"/>
  <c r="E7" i="6"/>
  <c r="D8" i="7"/>
  <c r="E8" i="7"/>
  <c r="K8" i="7"/>
  <c r="N21" i="3" s="1"/>
  <c r="N8" i="7"/>
  <c r="D8" i="5"/>
  <c r="E9" i="5"/>
  <c r="K9" i="5"/>
  <c r="N24" i="3" s="1"/>
  <c r="D9" i="5"/>
  <c r="D9" i="7"/>
  <c r="N9" i="7"/>
  <c r="E9" i="7"/>
  <c r="H26" i="3" s="1"/>
  <c r="K9" i="7"/>
  <c r="G10" i="6"/>
  <c r="J30" i="3" s="1"/>
  <c r="G7" i="6"/>
  <c r="H7" i="6" s="1"/>
  <c r="K15" i="3" s="1"/>
  <c r="G8" i="7"/>
  <c r="H8" i="7" s="1"/>
  <c r="K21" i="3" s="1"/>
  <c r="N10" i="6"/>
  <c r="I9" i="3"/>
  <c r="Q9" i="3"/>
  <c r="AA9" i="3"/>
  <c r="O9" i="3"/>
  <c r="Y9" i="3"/>
  <c r="P9" i="3"/>
  <c r="Z9" i="3"/>
  <c r="S9" i="3"/>
  <c r="V9" i="3"/>
  <c r="M9" i="3"/>
  <c r="K9" i="3"/>
  <c r="B8" i="4"/>
  <c r="F8" i="4"/>
  <c r="B9" i="8" s="1"/>
  <c r="N9" i="3"/>
  <c r="S10" i="3"/>
  <c r="V10" i="3"/>
  <c r="U10" i="3"/>
  <c r="R10" i="3"/>
  <c r="Z10" i="3"/>
  <c r="T10" i="3"/>
  <c r="Y10" i="3"/>
  <c r="W10" i="3"/>
  <c r="N11" i="3"/>
  <c r="B12" i="7"/>
  <c r="C12" i="7" s="1"/>
  <c r="B6" i="4"/>
  <c r="B15" i="7"/>
  <c r="C15" i="7" s="1"/>
  <c r="D6" i="4"/>
  <c r="B7" i="6" s="1"/>
  <c r="B10" i="8"/>
  <c r="C10" i="8" s="1"/>
  <c r="F32" i="3" s="1"/>
  <c r="B10" i="7"/>
  <c r="E31" i="3" s="1"/>
  <c r="B8" i="7"/>
  <c r="C8" i="7" s="1"/>
  <c r="F21" i="3" s="1"/>
  <c r="H11" i="3"/>
  <c r="B8" i="9"/>
  <c r="E23" i="3" s="1"/>
  <c r="B8" i="6"/>
  <c r="C8" i="6" s="1"/>
  <c r="F20" i="3" s="1"/>
  <c r="B10" i="5"/>
  <c r="C10" i="5" s="1"/>
  <c r="F29" i="3" s="1"/>
  <c r="B8" i="5"/>
  <c r="C8" i="5" s="1"/>
  <c r="F19" i="3" s="1"/>
  <c r="Q11" i="3"/>
  <c r="O10" i="3"/>
  <c r="H9" i="3"/>
  <c r="H5" i="7"/>
  <c r="K6" i="3" s="1"/>
  <c r="H9" i="6"/>
  <c r="K25" i="3" s="1"/>
  <c r="J11" i="3"/>
  <c r="H5" i="6"/>
  <c r="K5" i="3" s="1"/>
  <c r="C10" i="7"/>
  <c r="F31" i="3" s="1"/>
  <c r="P11" i="3"/>
  <c r="T11" i="3"/>
  <c r="M11" i="3"/>
  <c r="X11" i="3"/>
  <c r="Y11" i="3"/>
  <c r="R11" i="3"/>
  <c r="AB11" i="3"/>
  <c r="S11" i="3"/>
  <c r="V11" i="3"/>
  <c r="W11" i="3"/>
  <c r="Z11" i="3"/>
  <c r="U11" i="3"/>
  <c r="O11" i="3"/>
  <c r="L11" i="3"/>
  <c r="AA11" i="3"/>
  <c r="G11" i="3"/>
  <c r="I11" i="3"/>
  <c r="Y12" i="3"/>
  <c r="I12" i="3"/>
  <c r="Z12" i="3"/>
  <c r="K12" i="3"/>
  <c r="AB12" i="3"/>
  <c r="U12" i="3"/>
  <c r="Q12" i="3"/>
  <c r="G12" i="3"/>
  <c r="P12" i="3"/>
  <c r="L12" i="3"/>
  <c r="W12" i="3"/>
  <c r="O12" i="3"/>
  <c r="AA12" i="3"/>
  <c r="H12" i="3"/>
  <c r="M12" i="3"/>
  <c r="X12" i="3"/>
  <c r="V12" i="3"/>
  <c r="T12" i="3"/>
  <c r="J12" i="3"/>
  <c r="S12" i="3"/>
  <c r="R12" i="3"/>
  <c r="N12" i="3"/>
  <c r="R13" i="3"/>
  <c r="J13" i="3"/>
  <c r="Y13" i="3"/>
  <c r="I13" i="3"/>
  <c r="Z13" i="3"/>
  <c r="AA13" i="3"/>
  <c r="O13" i="3"/>
  <c r="K13" i="3"/>
  <c r="W13" i="3"/>
  <c r="M13" i="3"/>
  <c r="U13" i="3"/>
  <c r="T13" i="3"/>
  <c r="S13" i="3"/>
  <c r="L13" i="3"/>
  <c r="P13" i="3"/>
  <c r="Q13" i="3"/>
  <c r="G13" i="3"/>
  <c r="AB13" i="3"/>
  <c r="H13" i="3"/>
  <c r="V13" i="3"/>
  <c r="X13" i="3"/>
  <c r="N13" i="3"/>
  <c r="G14" i="3"/>
  <c r="P14" i="3"/>
  <c r="K14" i="3"/>
  <c r="U14" i="3"/>
  <c r="AA14" i="3"/>
  <c r="Y14" i="3"/>
  <c r="I14" i="3"/>
  <c r="R14" i="3"/>
  <c r="T14" i="3"/>
  <c r="L14" i="3"/>
  <c r="X14" i="3"/>
  <c r="Z14" i="3"/>
  <c r="AB14" i="3"/>
  <c r="J14" i="3"/>
  <c r="O14" i="3"/>
  <c r="V14" i="3"/>
  <c r="M14" i="3"/>
  <c r="S14" i="3"/>
  <c r="Q14" i="3"/>
  <c r="W14" i="3"/>
  <c r="X15" i="3"/>
  <c r="AA15" i="3"/>
  <c r="Y15" i="3"/>
  <c r="S15" i="3"/>
  <c r="R15" i="3"/>
  <c r="M15" i="3"/>
  <c r="Z15" i="3"/>
  <c r="L15" i="3"/>
  <c r="V15" i="3"/>
  <c r="U15" i="3"/>
  <c r="P15" i="3"/>
  <c r="W15" i="3"/>
  <c r="T15" i="3"/>
  <c r="AB15" i="3"/>
  <c r="G15" i="3"/>
  <c r="O15" i="3"/>
  <c r="J15" i="3"/>
  <c r="Q15" i="3"/>
  <c r="H15" i="3"/>
  <c r="S16" i="3"/>
  <c r="Z16" i="3"/>
  <c r="G16" i="3"/>
  <c r="T16" i="3"/>
  <c r="AB16" i="3"/>
  <c r="P16" i="3"/>
  <c r="M16" i="3"/>
  <c r="AA16" i="3"/>
  <c r="R16" i="3"/>
  <c r="L16" i="3"/>
  <c r="X16" i="3"/>
  <c r="U16" i="3"/>
  <c r="O16" i="3"/>
  <c r="W16" i="3"/>
  <c r="Y16" i="3"/>
  <c r="V16" i="3"/>
  <c r="N16" i="3"/>
  <c r="Q16" i="3"/>
  <c r="I16" i="3"/>
  <c r="J17" i="3"/>
  <c r="AB17" i="3"/>
  <c r="P17" i="3"/>
  <c r="M17" i="3"/>
  <c r="L17" i="3"/>
  <c r="X17" i="3"/>
  <c r="S17" i="3"/>
  <c r="Y17" i="3"/>
  <c r="I17" i="3"/>
  <c r="R17" i="3"/>
  <c r="O17" i="3"/>
  <c r="T17" i="3"/>
  <c r="Z17" i="3"/>
  <c r="G17" i="3"/>
  <c r="H17" i="3"/>
  <c r="V17" i="3"/>
  <c r="U17" i="3"/>
  <c r="AA17" i="3"/>
  <c r="K17" i="3"/>
  <c r="Q17" i="3"/>
  <c r="W17" i="3"/>
  <c r="N17" i="3"/>
  <c r="O18" i="3"/>
  <c r="L18" i="3"/>
  <c r="J18" i="3"/>
  <c r="X18" i="3"/>
  <c r="I18" i="3"/>
  <c r="AB18" i="3"/>
  <c r="AA18" i="3"/>
  <c r="M18" i="3"/>
  <c r="V18" i="3"/>
  <c r="U18" i="3"/>
  <c r="S18" i="3"/>
  <c r="H18" i="3"/>
  <c r="P18" i="3"/>
  <c r="Q18" i="3"/>
  <c r="T18" i="3"/>
  <c r="K18" i="3"/>
  <c r="Z18" i="3"/>
  <c r="Y18" i="3"/>
  <c r="R18" i="3"/>
  <c r="W18" i="3"/>
  <c r="G18" i="3"/>
  <c r="N18" i="3"/>
  <c r="X19" i="3"/>
  <c r="L19" i="3"/>
  <c r="K19" i="3"/>
  <c r="Y19" i="3"/>
  <c r="AA19" i="3"/>
  <c r="G19" i="3"/>
  <c r="U19" i="3"/>
  <c r="AB19" i="3"/>
  <c r="I19" i="3"/>
  <c r="J19" i="3"/>
  <c r="W19" i="3"/>
  <c r="T19" i="3"/>
  <c r="S19" i="3"/>
  <c r="R19" i="3"/>
  <c r="P19" i="3"/>
  <c r="O19" i="3"/>
  <c r="Q19" i="3"/>
  <c r="V19" i="3"/>
  <c r="M19" i="3"/>
  <c r="Z19" i="3"/>
  <c r="H19" i="3"/>
  <c r="N19" i="3"/>
  <c r="P20" i="3"/>
  <c r="W20" i="3"/>
  <c r="G20" i="3"/>
  <c r="Y20" i="3"/>
  <c r="Z20" i="3"/>
  <c r="X20" i="3"/>
  <c r="T20" i="3"/>
  <c r="AB20" i="3"/>
  <c r="R20" i="3"/>
  <c r="V20" i="3"/>
  <c r="S20" i="3"/>
  <c r="AA20" i="3"/>
  <c r="U20" i="3"/>
  <c r="M20" i="3"/>
  <c r="L20" i="3"/>
  <c r="O20" i="3"/>
  <c r="J20" i="3"/>
  <c r="H20" i="3"/>
  <c r="E20" i="3"/>
  <c r="Q20" i="3"/>
  <c r="G21" i="3"/>
  <c r="Y21" i="3"/>
  <c r="Z21" i="3"/>
  <c r="X21" i="3"/>
  <c r="L21" i="3"/>
  <c r="W21" i="3"/>
  <c r="R21" i="3"/>
  <c r="AB21" i="3"/>
  <c r="T21" i="3"/>
  <c r="S21" i="3"/>
  <c r="P21" i="3"/>
  <c r="AA21" i="3"/>
  <c r="M21" i="3"/>
  <c r="I21" i="3"/>
  <c r="V21" i="3"/>
  <c r="U21" i="3"/>
  <c r="H21" i="3"/>
  <c r="Q21" i="3"/>
  <c r="R22" i="3"/>
  <c r="J22" i="3"/>
  <c r="I22" i="3"/>
  <c r="P22" i="3"/>
  <c r="U22" i="3"/>
  <c r="K22" i="3"/>
  <c r="W22" i="3"/>
  <c r="X22" i="3"/>
  <c r="AB22" i="3"/>
  <c r="O22" i="3"/>
  <c r="Z22" i="3"/>
  <c r="T22" i="3"/>
  <c r="Y22" i="3"/>
  <c r="M22" i="3"/>
  <c r="V22" i="3"/>
  <c r="G22" i="3"/>
  <c r="L22" i="3"/>
  <c r="AA22" i="3"/>
  <c r="S22" i="3"/>
  <c r="Q22" i="3"/>
  <c r="H22" i="3"/>
  <c r="N22" i="3"/>
  <c r="K23" i="3"/>
  <c r="I23" i="3"/>
  <c r="X23" i="3"/>
  <c r="Q23" i="3"/>
  <c r="M23" i="3"/>
  <c r="L23" i="3"/>
  <c r="G23" i="3"/>
  <c r="H23" i="3"/>
  <c r="J23" i="3"/>
  <c r="Y23" i="3"/>
  <c r="S23" i="3"/>
  <c r="AA23" i="3"/>
  <c r="V23" i="3"/>
  <c r="P23" i="3"/>
  <c r="AB23" i="3"/>
  <c r="O23" i="3"/>
  <c r="T23" i="3"/>
  <c r="R23" i="3"/>
  <c r="Z23" i="3"/>
  <c r="U23" i="3"/>
  <c r="W23" i="3"/>
  <c r="O24" i="3"/>
  <c r="V24" i="3"/>
  <c r="P24" i="3"/>
  <c r="G24" i="3"/>
  <c r="W24" i="3"/>
  <c r="M24" i="3"/>
  <c r="K24" i="3"/>
  <c r="X24" i="3"/>
  <c r="Z24" i="3"/>
  <c r="AB24" i="3"/>
  <c r="Q24" i="3"/>
  <c r="T24" i="3"/>
  <c r="AA24" i="3"/>
  <c r="L24" i="3"/>
  <c r="R24" i="3"/>
  <c r="S24" i="3"/>
  <c r="Y24" i="3"/>
  <c r="J24" i="3"/>
  <c r="I24" i="3"/>
  <c r="U24" i="3"/>
  <c r="H24" i="3"/>
  <c r="V25" i="3"/>
  <c r="M25" i="3"/>
  <c r="T25" i="3"/>
  <c r="U25" i="3"/>
  <c r="S25" i="3"/>
  <c r="L25" i="3"/>
  <c r="X25" i="3"/>
  <c r="W25" i="3"/>
  <c r="P25" i="3"/>
  <c r="R25" i="3"/>
  <c r="G25" i="3"/>
  <c r="AB25" i="3"/>
  <c r="Z25" i="3"/>
  <c r="AA25" i="3"/>
  <c r="Y25" i="3"/>
  <c r="J25" i="3"/>
  <c r="I25" i="3"/>
  <c r="Q25" i="3"/>
  <c r="N25" i="3"/>
  <c r="O25" i="3"/>
  <c r="L26" i="3"/>
  <c r="T26" i="3"/>
  <c r="P26" i="3"/>
  <c r="Z26" i="3"/>
  <c r="G26" i="3"/>
  <c r="V26" i="3"/>
  <c r="W26" i="3"/>
  <c r="X26" i="3"/>
  <c r="AB26" i="3"/>
  <c r="U26" i="3"/>
  <c r="M26" i="3"/>
  <c r="Y26" i="3"/>
  <c r="AA26" i="3"/>
  <c r="S26" i="3"/>
  <c r="R26" i="3"/>
  <c r="J26" i="3"/>
  <c r="I26" i="3"/>
  <c r="N26" i="3"/>
  <c r="Q26" i="3"/>
  <c r="Q27" i="3"/>
  <c r="AA27" i="3"/>
  <c r="P27" i="3"/>
  <c r="H27" i="3"/>
  <c r="R27" i="3"/>
  <c r="X27" i="3"/>
  <c r="O27" i="3"/>
  <c r="M27" i="3"/>
  <c r="Z27" i="3"/>
  <c r="I27" i="3"/>
  <c r="U27" i="3"/>
  <c r="L27" i="3"/>
  <c r="W27" i="3"/>
  <c r="G27" i="3"/>
  <c r="V27" i="3"/>
  <c r="Y27" i="3"/>
  <c r="T27" i="3"/>
  <c r="S27" i="3"/>
  <c r="AB27" i="3"/>
  <c r="J27" i="3"/>
  <c r="K27" i="3"/>
  <c r="N27" i="3"/>
  <c r="H28" i="3"/>
  <c r="S28" i="3"/>
  <c r="AA28" i="3"/>
  <c r="Z28" i="3"/>
  <c r="AB28" i="3"/>
  <c r="W28" i="3"/>
  <c r="I28" i="3"/>
  <c r="P28" i="3"/>
  <c r="M28" i="3"/>
  <c r="Q28" i="3"/>
  <c r="X28" i="3"/>
  <c r="V28" i="3"/>
  <c r="Y28" i="3"/>
  <c r="R28" i="3"/>
  <c r="K28" i="3"/>
  <c r="O28" i="3"/>
  <c r="G28" i="3"/>
  <c r="J28" i="3"/>
  <c r="U28" i="3"/>
  <c r="T28" i="3"/>
  <c r="L28" i="3"/>
  <c r="N28" i="3"/>
  <c r="G29" i="3"/>
  <c r="L29" i="3"/>
  <c r="X29" i="3"/>
  <c r="AB29" i="3"/>
  <c r="S29" i="3"/>
  <c r="K29" i="3"/>
  <c r="I29" i="3"/>
  <c r="M29" i="3"/>
  <c r="J29" i="3"/>
  <c r="V29" i="3"/>
  <c r="O29" i="3"/>
  <c r="T29" i="3"/>
  <c r="R29" i="3"/>
  <c r="W29" i="3"/>
  <c r="Q29" i="3"/>
  <c r="Z29" i="3"/>
  <c r="P29" i="3"/>
  <c r="Y29" i="3"/>
  <c r="U29" i="3"/>
  <c r="AA29" i="3"/>
  <c r="N29" i="3"/>
  <c r="E29" i="3"/>
  <c r="H29" i="3"/>
  <c r="P30" i="3"/>
  <c r="V30" i="3"/>
  <c r="AB30" i="3"/>
  <c r="I30" i="3"/>
  <c r="S30" i="3"/>
  <c r="R30" i="3"/>
  <c r="U30" i="3"/>
  <c r="M30" i="3"/>
  <c r="X30" i="3"/>
  <c r="L30" i="3"/>
  <c r="O30" i="3"/>
  <c r="AA30" i="3"/>
  <c r="G30" i="3"/>
  <c r="W30" i="3"/>
  <c r="T30" i="3"/>
  <c r="Y30" i="3"/>
  <c r="Z30" i="3"/>
  <c r="N30" i="3"/>
  <c r="Q30" i="3"/>
  <c r="C32" i="3"/>
  <c r="W31" i="3"/>
  <c r="S31" i="3"/>
  <c r="Y31" i="3"/>
  <c r="G31" i="3"/>
  <c r="X31" i="3"/>
  <c r="P31" i="3"/>
  <c r="T31" i="3"/>
  <c r="I31" i="3"/>
  <c r="R31" i="3"/>
  <c r="L31" i="3"/>
  <c r="Z31" i="3"/>
  <c r="V31" i="3"/>
  <c r="AA31" i="3"/>
  <c r="AB31" i="3"/>
  <c r="U31" i="3"/>
  <c r="O31" i="3"/>
  <c r="M31" i="3"/>
  <c r="N31" i="3"/>
  <c r="J31" i="3"/>
  <c r="H31" i="3"/>
  <c r="Q31" i="3"/>
  <c r="B32" i="3"/>
  <c r="C33" i="3"/>
  <c r="B33" i="3"/>
  <c r="W33" i="3"/>
  <c r="G33" i="3"/>
  <c r="O33" i="3"/>
  <c r="V33" i="3"/>
  <c r="S33" i="3"/>
  <c r="Y33" i="3"/>
  <c r="K33" i="3"/>
  <c r="P33" i="3"/>
  <c r="AA33" i="3"/>
  <c r="T33" i="3"/>
  <c r="R33" i="3"/>
  <c r="X33" i="3"/>
  <c r="I33" i="3"/>
  <c r="J33" i="3"/>
  <c r="M33" i="3"/>
  <c r="U33" i="3"/>
  <c r="Z33" i="3"/>
  <c r="H33" i="3"/>
  <c r="Q33" i="3"/>
  <c r="L33" i="3"/>
  <c r="AB33" i="3"/>
  <c r="N33" i="3"/>
  <c r="J32" i="3"/>
  <c r="AB32" i="3"/>
  <c r="X32" i="3"/>
  <c r="K32" i="3"/>
  <c r="U32" i="3"/>
  <c r="O32" i="3"/>
  <c r="V32" i="3"/>
  <c r="G32" i="3"/>
  <c r="P32" i="3"/>
  <c r="T32" i="3"/>
  <c r="Z32" i="3"/>
  <c r="Q32" i="3"/>
  <c r="I32" i="3"/>
  <c r="S32" i="3"/>
  <c r="M32" i="3"/>
  <c r="AA32" i="3"/>
  <c r="H32" i="3"/>
  <c r="W32" i="3"/>
  <c r="Y32" i="3"/>
  <c r="L32" i="3"/>
  <c r="R32" i="3"/>
  <c r="N32" i="3"/>
  <c r="E32" i="3"/>
  <c r="E28" i="3"/>
  <c r="C9" i="9"/>
  <c r="F28" i="3" s="1"/>
  <c r="H10" i="6"/>
  <c r="K30" i="3" s="1"/>
  <c r="H7" i="7"/>
  <c r="K16" i="3" s="1"/>
  <c r="E21" i="3"/>
  <c r="C7" i="6" l="1"/>
  <c r="F15" i="3" s="1"/>
  <c r="E15" i="3"/>
  <c r="E26" i="3"/>
  <c r="C9" i="7"/>
  <c r="F26" i="3" s="1"/>
  <c r="E8" i="3"/>
  <c r="C5" i="9"/>
  <c r="F8" i="3" s="1"/>
  <c r="C9" i="5"/>
  <c r="F24" i="3" s="1"/>
  <c r="E24" i="3"/>
  <c r="E19" i="3"/>
  <c r="J10" i="3"/>
  <c r="J21" i="3"/>
  <c r="C8" i="9"/>
  <c r="F23" i="3" s="1"/>
  <c r="C5" i="8"/>
  <c r="F7" i="3" s="1"/>
  <c r="E7" i="3"/>
  <c r="C6" i="9"/>
  <c r="F13" i="3" s="1"/>
  <c r="E13" i="3"/>
  <c r="E10" i="3"/>
  <c r="C6" i="6"/>
  <c r="F10" i="3" s="1"/>
  <c r="C7" i="9"/>
  <c r="F18" i="3" s="1"/>
  <c r="E18" i="3"/>
  <c r="C10" i="6"/>
  <c r="F30" i="3" s="1"/>
  <c r="E30" i="3"/>
  <c r="E4" i="3"/>
  <c r="C5" i="5"/>
  <c r="F4" i="3" s="1"/>
  <c r="C7" i="5"/>
  <c r="F14" i="3" s="1"/>
  <c r="E14" i="3"/>
  <c r="C7" i="8"/>
  <c r="F17" i="3" s="1"/>
  <c r="E17" i="3"/>
  <c r="E5" i="3"/>
  <c r="C5" i="6"/>
  <c r="F5" i="3" s="1"/>
  <c r="E11" i="3"/>
  <c r="C6" i="7"/>
  <c r="F11" i="3" s="1"/>
  <c r="C10" i="9"/>
  <c r="F33" i="3" s="1"/>
  <c r="E33" i="3"/>
  <c r="E27" i="3"/>
  <c r="C9" i="8"/>
  <c r="F27" i="3" s="1"/>
  <c r="C5" i="7"/>
  <c r="F6" i="3" s="1"/>
  <c r="E6" i="3"/>
  <c r="E9" i="3"/>
  <c r="C6" i="5"/>
  <c r="F9" i="3" s="1"/>
  <c r="E22" i="3"/>
  <c r="C8" i="8"/>
  <c r="F22" i="3" s="1"/>
  <c r="C9" i="6"/>
  <c r="F25" i="3" s="1"/>
  <c r="E25" i="3"/>
  <c r="E16" i="3"/>
  <c r="C7" i="7"/>
  <c r="F16" i="3" s="1"/>
  <c r="E12" i="3"/>
  <c r="C6" i="8"/>
  <c r="F12" i="3" s="1"/>
</calcChain>
</file>

<file path=xl/comments1.xml><?xml version="1.0" encoding="utf-8"?>
<comments xmlns="http://schemas.openxmlformats.org/spreadsheetml/2006/main">
  <authors>
    <author>user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user:</t>
        </r>
        <r>
          <rPr>
            <sz val="9"/>
            <color indexed="81"/>
            <rFont val="宋体"/>
            <family val="3"/>
            <charset val="134"/>
          </rPr>
          <t xml:space="preserve">
在对应阶段，动作的时长。</t>
        </r>
      </text>
    </comment>
  </commentList>
</comments>
</file>

<file path=xl/sharedStrings.xml><?xml version="1.0" encoding="utf-8"?>
<sst xmlns="http://schemas.openxmlformats.org/spreadsheetml/2006/main" count="5490" uniqueCount="1926">
  <si>
    <t>音效持续时间[浮点]</t>
  </si>
  <si>
    <t>音效播放延迟时间[浮点]</t>
  </si>
  <si>
    <t>音量[整数]</t>
  </si>
  <si>
    <t>播放特效时是否隐藏角色（但不删除角色）[整型]0=false1=true</t>
  </si>
  <si>
    <t>播放特效时是否伴随角色溶解效果，同时删除角色[整型]0=false1=true</t>
  </si>
  <si>
    <t>特效播放完毕后是否删除角色[整型]0=false1=true</t>
  </si>
  <si>
    <t>慢动作控制[浮点]播放特效的同时调整时间速率0=不调整&gt;0具体速率（1=100%）</t>
  </si>
  <si>
    <t>perform_id</t>
  </si>
  <si>
    <t>perform_name</t>
  </si>
  <si>
    <t>effect_id</t>
  </si>
  <si>
    <t>effect_time</t>
  </si>
  <si>
    <t>effect_delay</t>
  </si>
  <si>
    <t>effect_pos_type</t>
  </si>
  <si>
    <t>effect_anchor</t>
  </si>
  <si>
    <t>effect_pos_offset</t>
  </si>
  <si>
    <t>effect_rotation_offset</t>
  </si>
  <si>
    <t>sound_id</t>
  </si>
  <si>
    <t>sound_time</t>
  </si>
  <si>
    <t>sound_delay</t>
  </si>
  <si>
    <t>sound_volume</t>
  </si>
  <si>
    <t>body_dispear</t>
  </si>
  <si>
    <t>body_dissolve</t>
  </si>
  <si>
    <t>body_destroy</t>
  </si>
  <si>
    <t>time_scale</t>
  </si>
  <si>
    <t>s</t>
  </si>
  <si>
    <t>n</t>
  </si>
  <si>
    <t>i</t>
  </si>
  <si>
    <t>[]</t>
  </si>
  <si>
    <t>attack_1</t>
    <phoneticPr fontId="4" type="noConversion"/>
  </si>
  <si>
    <t>skill_2</t>
    <phoneticPr fontId="4" type="noConversion"/>
  </si>
  <si>
    <t>skill_4</t>
    <phoneticPr fontId="4" type="noConversion"/>
  </si>
  <si>
    <t>honghaier_skill02</t>
  </si>
  <si>
    <t>honghaier_attack</t>
  </si>
  <si>
    <t>honghaier_skill03</t>
  </si>
  <si>
    <t>honghaier_skill04</t>
  </si>
  <si>
    <t>niumowang_attack</t>
  </si>
  <si>
    <t>niumowang_skill02</t>
  </si>
  <si>
    <t>niumowang_skill03</t>
  </si>
  <si>
    <t>niumowang_skill04</t>
  </si>
  <si>
    <t>tieshangongzhu_attack</t>
  </si>
  <si>
    <t>红孩儿普攻1</t>
  </si>
  <si>
    <t>红孩儿技能2</t>
  </si>
  <si>
    <t>红孩儿被动技能</t>
  </si>
  <si>
    <t>红孩儿技能4</t>
  </si>
  <si>
    <t>牛魔王普攻1</t>
  </si>
  <si>
    <t>牛魔王技能2</t>
  </si>
  <si>
    <t>牛魔王被动技能</t>
  </si>
  <si>
    <t>牛魔王技能4</t>
  </si>
  <si>
    <t>铁扇公主普攻1</t>
  </si>
  <si>
    <t>铁扇公主核心技能</t>
  </si>
  <si>
    <t>[]</t>
    <phoneticPr fontId="4" type="noConversion"/>
  </si>
  <si>
    <t>action_time</t>
    <phoneticPr fontId="4" type="noConversion"/>
  </si>
  <si>
    <t>[]</t>
    <phoneticPr fontId="4" type="noConversion"/>
  </si>
  <si>
    <t>bailonggongzhu_effect2</t>
  </si>
  <si>
    <t>bailonggongzhu_effect4</t>
  </si>
  <si>
    <t>honghaier_effect2</t>
  </si>
  <si>
    <t>honghaier_effect4</t>
  </si>
  <si>
    <t>tieshangongzhu_effect1</t>
  </si>
  <si>
    <t>erlangshen_skill01</t>
    <phoneticPr fontId="4" type="noConversion"/>
  </si>
  <si>
    <t>hulidaxian_attack</t>
    <phoneticPr fontId="4" type="noConversion"/>
  </si>
  <si>
    <t>hulidaxian_skill01</t>
    <phoneticPr fontId="4" type="noConversion"/>
  </si>
  <si>
    <t>hulidaxian_skill02</t>
    <phoneticPr fontId="4" type="noConversion"/>
  </si>
  <si>
    <t>hulidaxian_skill03</t>
    <phoneticPr fontId="4" type="noConversion"/>
  </si>
  <si>
    <t>huoshen_attack</t>
    <phoneticPr fontId="4" type="noConversion"/>
  </si>
  <si>
    <t>yinjiaodawang_attack</t>
    <phoneticPr fontId="4" type="noConversion"/>
  </si>
  <si>
    <t>moyujing_attack</t>
    <phoneticPr fontId="4" type="noConversion"/>
  </si>
  <si>
    <t>moyujing_skill01</t>
    <phoneticPr fontId="4" type="noConversion"/>
  </si>
  <si>
    <t>moyujing_skill02</t>
    <phoneticPr fontId="4" type="noConversion"/>
  </si>
  <si>
    <t>moyujing_skill03</t>
    <phoneticPr fontId="4" type="noConversion"/>
  </si>
  <si>
    <t>moyujing_skill04</t>
    <phoneticPr fontId="4" type="noConversion"/>
  </si>
  <si>
    <t>moyujing_skill04_bip</t>
    <phoneticPr fontId="4" type="noConversion"/>
  </si>
  <si>
    <t>attack_1</t>
  </si>
  <si>
    <t>skill_2</t>
  </si>
  <si>
    <t>skill_4</t>
  </si>
  <si>
    <t>tieshangongzhu_skill01</t>
  </si>
  <si>
    <t>player_attack</t>
    <phoneticPr fontId="4" type="noConversion"/>
  </si>
  <si>
    <t>player2_attack</t>
    <phoneticPr fontId="4" type="noConversion"/>
  </si>
  <si>
    <t>yinjiaodawang_skill01</t>
    <phoneticPr fontId="4" type="noConversion"/>
  </si>
  <si>
    <t>yinjiaodawang_skill02_f</t>
    <phoneticPr fontId="4" type="noConversion"/>
  </si>
  <si>
    <t>yinjiaodawang_skill03</t>
    <phoneticPr fontId="4" type="noConversion"/>
  </si>
  <si>
    <t>hunshimowang_attack</t>
    <phoneticPr fontId="4" type="noConversion"/>
  </si>
  <si>
    <t>hunshimowang_skill01</t>
    <phoneticPr fontId="4" type="noConversion"/>
  </si>
  <si>
    <t>hunshimowang_skill02</t>
    <phoneticPr fontId="4" type="noConversion"/>
  </si>
  <si>
    <t>hunshimowang_skill03</t>
    <phoneticPr fontId="4" type="noConversion"/>
  </si>
  <si>
    <t>hunshimowang_skill04</t>
    <phoneticPr fontId="4" type="noConversion"/>
  </si>
  <si>
    <t>jinqianbaowang_skill02</t>
    <phoneticPr fontId="4" type="noConversion"/>
  </si>
  <si>
    <t>jinqianbaowang_skill02_bip</t>
    <phoneticPr fontId="4" type="noConversion"/>
  </si>
  <si>
    <t>jinqianbaowang_skill03</t>
    <phoneticPr fontId="4" type="noConversion"/>
  </si>
  <si>
    <t>jinqianbaowang_skill04</t>
    <phoneticPr fontId="4" type="noConversion"/>
  </si>
  <si>
    <t>jinqianbaowang_skill04_bip</t>
    <phoneticPr fontId="4" type="noConversion"/>
  </si>
  <si>
    <t>jinghelongwang_attack</t>
    <phoneticPr fontId="4" type="noConversion"/>
  </si>
  <si>
    <t>jinghelongwang_skill02</t>
    <phoneticPr fontId="4" type="noConversion"/>
  </si>
  <si>
    <t>jinghelongwang_skill03</t>
    <phoneticPr fontId="4" type="noConversion"/>
  </si>
  <si>
    <t>jinghelongwang_skill04</t>
    <phoneticPr fontId="4" type="noConversion"/>
  </si>
  <si>
    <t>yinjiaodawang_skill04</t>
    <phoneticPr fontId="4" type="noConversion"/>
  </si>
  <si>
    <t>yinjiaodawang_skill04_q</t>
    <phoneticPr fontId="4" type="noConversion"/>
  </si>
  <si>
    <t>yinjiaodawang_skill02_b</t>
    <phoneticPr fontId="4" type="noConversion"/>
  </si>
  <si>
    <t>niumowang_skill01</t>
    <phoneticPr fontId="4" type="noConversion"/>
  </si>
  <si>
    <t>jinghelongwang_skill01</t>
    <phoneticPr fontId="4" type="noConversion"/>
  </si>
  <si>
    <t>huoshen_skill02</t>
    <phoneticPr fontId="4" type="noConversion"/>
  </si>
  <si>
    <t>xiaoyao_attack</t>
    <phoneticPr fontId="4" type="noConversion"/>
  </si>
  <si>
    <t>xiaoyao_skill02</t>
    <phoneticPr fontId="4" type="noConversion"/>
  </si>
  <si>
    <t>huo_humeiren_attack</t>
    <phoneticPr fontId="4" type="noConversion"/>
  </si>
  <si>
    <t>huo_humeiren_skill02</t>
    <phoneticPr fontId="4" type="noConversion"/>
  </si>
  <si>
    <t>huo_humeiren_skill02_jiaoxia</t>
    <phoneticPr fontId="4" type="noConversion"/>
  </si>
  <si>
    <t>nvgui_attack</t>
    <phoneticPr fontId="4" type="noConversion"/>
  </si>
  <si>
    <t>fire04_skill01</t>
    <phoneticPr fontId="4" type="noConversion"/>
  </si>
  <si>
    <t>common_hit</t>
    <phoneticPr fontId="4" type="noConversion"/>
  </si>
  <si>
    <t>common_yunxuan</t>
    <phoneticPr fontId="4" type="noConversion"/>
  </si>
  <si>
    <t>common_chaofeng</t>
    <phoneticPr fontId="4" type="noConversion"/>
  </si>
  <si>
    <t>common_xuruo</t>
    <phoneticPr fontId="4" type="noConversion"/>
  </si>
  <si>
    <t>common_frozen</t>
    <phoneticPr fontId="4" type="noConversion"/>
  </si>
  <si>
    <t>skill_2</t>
    <phoneticPr fontId="4" type="noConversion"/>
  </si>
  <si>
    <t>jinqianbaowang_skill01</t>
    <phoneticPr fontId="4" type="noConversion"/>
  </si>
  <si>
    <t>[]</t>
    <phoneticPr fontId="4" type="noConversion"/>
  </si>
  <si>
    <t>jinqianbaowang_attack</t>
    <phoneticPr fontId="4" type="noConversion"/>
  </si>
  <si>
    <t>[]</t>
    <phoneticPr fontId="4" type="noConversion"/>
  </si>
  <si>
    <t>fire01_skill01_b</t>
    <phoneticPr fontId="4" type="noConversion"/>
  </si>
  <si>
    <t>bailonggongzhu_attack01</t>
    <phoneticPr fontId="4" type="noConversion"/>
  </si>
  <si>
    <t>bailonggongzhu_attack02</t>
    <phoneticPr fontId="4" type="noConversion"/>
  </si>
  <si>
    <t>bailonggongzhu_attack03</t>
    <phoneticPr fontId="4" type="noConversion"/>
  </si>
  <si>
    <t>dizangwang_attack01</t>
    <phoneticPr fontId="4" type="noConversion"/>
  </si>
  <si>
    <t>dizangwang_attack02</t>
    <phoneticPr fontId="4" type="noConversion"/>
  </si>
  <si>
    <t>dizangwang_attack03</t>
    <phoneticPr fontId="4" type="noConversion"/>
  </si>
  <si>
    <t>yuhuangdadi_skill02</t>
    <phoneticPr fontId="4" type="noConversion"/>
  </si>
  <si>
    <t>yuhuangdadi_skill04_q</t>
    <phoneticPr fontId="4" type="noConversion"/>
  </si>
  <si>
    <t>shihoumowang_attack</t>
    <phoneticPr fontId="4" type="noConversion"/>
  </si>
  <si>
    <t>shihoumowang_skill01_q</t>
    <phoneticPr fontId="4" type="noConversion"/>
  </si>
  <si>
    <t>shihoumowang_skill02</t>
    <phoneticPr fontId="4" type="noConversion"/>
  </si>
  <si>
    <t>shihoumowang_skill04</t>
    <phoneticPr fontId="4" type="noConversion"/>
  </si>
  <si>
    <t>[]</t>
    <phoneticPr fontId="4" type="noConversion"/>
  </si>
  <si>
    <t>[]</t>
    <phoneticPr fontId="4" type="noConversion"/>
  </si>
  <si>
    <t>shui_furongxianzi_skill02_buff</t>
    <phoneticPr fontId="4" type="noConversion"/>
  </si>
  <si>
    <t>jin_damangjing_attack</t>
    <phoneticPr fontId="4" type="noConversion"/>
  </si>
  <si>
    <t>jin_damangjing_skill02_wq</t>
    <phoneticPr fontId="4" type="noConversion"/>
  </si>
  <si>
    <t>jin_damangjing_skill02</t>
    <phoneticPr fontId="4" type="noConversion"/>
  </si>
  <si>
    <t>shui_furongxianzi_attack</t>
    <phoneticPr fontId="4" type="noConversion"/>
  </si>
  <si>
    <t>shui_furongxianzi_skill02_q</t>
    <phoneticPr fontId="4" type="noConversion"/>
  </si>
  <si>
    <t>erlangshen_attack</t>
    <phoneticPr fontId="4" type="noConversion"/>
  </si>
  <si>
    <t>common_fangyu</t>
    <phoneticPr fontId="4" type="noConversion"/>
  </si>
  <si>
    <t>respond_sp</t>
    <phoneticPr fontId="4" type="noConversion"/>
  </si>
  <si>
    <t>yuhuangdadi_skill04</t>
    <phoneticPr fontId="4" type="noConversion"/>
  </si>
  <si>
    <t>shihoumowang_skill01_buff</t>
    <phoneticPr fontId="4" type="noConversion"/>
  </si>
  <si>
    <t>[]</t>
    <phoneticPr fontId="4" type="noConversion"/>
  </si>
  <si>
    <t>attack_1</t>
    <phoneticPr fontId="4" type="noConversion"/>
  </si>
  <si>
    <t>action_id</t>
    <phoneticPr fontId="4" type="noConversion"/>
  </si>
  <si>
    <t>moyujing_skill02_bip</t>
    <phoneticPr fontId="4" type="noConversion"/>
  </si>
  <si>
    <t>jinqianbaowang_skill01_act</t>
    <phoneticPr fontId="4" type="noConversion"/>
  </si>
  <si>
    <t>[]</t>
    <phoneticPr fontId="4" type="noConversion"/>
  </si>
  <si>
    <t>主角普攻</t>
    <phoneticPr fontId="4" type="noConversion"/>
  </si>
  <si>
    <t>attack_1</t>
    <phoneticPr fontId="4" type="noConversion"/>
  </si>
  <si>
    <t>[]</t>
    <phoneticPr fontId="4" type="noConversion"/>
  </si>
  <si>
    <t>bailonggongzhu_attack</t>
    <phoneticPr fontId="4" type="noConversion"/>
  </si>
  <si>
    <t>dizhang_attack</t>
    <phoneticPr fontId="4" type="noConversion"/>
  </si>
  <si>
    <t>地藏王普攻01</t>
    <phoneticPr fontId="4" type="noConversion"/>
  </si>
  <si>
    <t>地藏王普攻02</t>
    <phoneticPr fontId="4" type="noConversion"/>
  </si>
  <si>
    <t>地藏王普攻03</t>
    <phoneticPr fontId="4" type="noConversion"/>
  </si>
  <si>
    <t>白龙公主普攻01</t>
    <phoneticPr fontId="4" type="noConversion"/>
  </si>
  <si>
    <t>白龙公主普攻02</t>
    <phoneticPr fontId="4" type="noConversion"/>
  </si>
  <si>
    <t>白龙公主普攻03</t>
    <phoneticPr fontId="4" type="noConversion"/>
  </si>
  <si>
    <t>skill_2</t>
    <phoneticPr fontId="4" type="noConversion"/>
  </si>
  <si>
    <t>牛魔王核心技能</t>
    <phoneticPr fontId="4" type="noConversion"/>
  </si>
  <si>
    <t>niumowang_effect1</t>
    <phoneticPr fontId="4" type="noConversion"/>
  </si>
  <si>
    <t>common_xuruo</t>
    <phoneticPr fontId="4" type="noConversion"/>
  </si>
  <si>
    <t>火神普攻</t>
    <phoneticPr fontId="4" type="noConversion"/>
  </si>
  <si>
    <t>火神技能2</t>
    <phoneticPr fontId="4" type="noConversion"/>
  </si>
  <si>
    <t>huoshen_effect2</t>
    <phoneticPr fontId="4" type="noConversion"/>
  </si>
  <si>
    <t>skill_4</t>
    <phoneticPr fontId="4" type="noConversion"/>
  </si>
  <si>
    <t>xiaoyao_effect2</t>
    <phoneticPr fontId="4" type="noConversion"/>
  </si>
  <si>
    <t>二郎神普攻1</t>
    <phoneticPr fontId="4" type="noConversion"/>
  </si>
  <si>
    <t>二郎神核心技能</t>
    <phoneticPr fontId="4" type="noConversion"/>
  </si>
  <si>
    <t>erlangshen_effect1</t>
    <phoneticPr fontId="4" type="noConversion"/>
  </si>
  <si>
    <t>二郎神技能2</t>
    <phoneticPr fontId="4" type="noConversion"/>
  </si>
  <si>
    <t>erlangshen_effect2</t>
    <phoneticPr fontId="4" type="noConversion"/>
  </si>
  <si>
    <t>虎力大仙普攻</t>
    <phoneticPr fontId="4" type="noConversion"/>
  </si>
  <si>
    <t>hulidaxian_attack</t>
    <phoneticPr fontId="4" type="noConversion"/>
  </si>
  <si>
    <t>虎力大仙普攻_右手</t>
    <phoneticPr fontId="4" type="noConversion"/>
  </si>
  <si>
    <t>hulidaxian_attack_hand_R</t>
    <phoneticPr fontId="4" type="noConversion"/>
  </si>
  <si>
    <t>虎力大仙核心技能</t>
    <phoneticPr fontId="4" type="noConversion"/>
  </si>
  <si>
    <t>hulidaxian_effect1</t>
    <phoneticPr fontId="4" type="noConversion"/>
  </si>
  <si>
    <t>虎力大仙技能2</t>
    <phoneticPr fontId="4" type="noConversion"/>
  </si>
  <si>
    <t>虎力大仙被动技能</t>
    <phoneticPr fontId="4" type="noConversion"/>
  </si>
  <si>
    <t>虎力大仙技能4</t>
    <phoneticPr fontId="4" type="noConversion"/>
  </si>
  <si>
    <t>hulidaxian_effect4</t>
    <phoneticPr fontId="4" type="noConversion"/>
  </si>
  <si>
    <t>银角大王普攻</t>
    <phoneticPr fontId="4" type="noConversion"/>
  </si>
  <si>
    <t>yinjiaodawang_attack</t>
    <phoneticPr fontId="4" type="noConversion"/>
  </si>
  <si>
    <t>银角大王核心技能</t>
    <phoneticPr fontId="4" type="noConversion"/>
  </si>
  <si>
    <t>4|1</t>
    <phoneticPr fontId="4" type="noConversion"/>
  </si>
  <si>
    <t>yinjiaodawang_effect1</t>
    <phoneticPr fontId="4" type="noConversion"/>
  </si>
  <si>
    <t>银角大王技能2_骨骼</t>
    <phoneticPr fontId="4" type="noConversion"/>
  </si>
  <si>
    <t>yinjiaodawang_effect2</t>
    <phoneticPr fontId="4" type="noConversion"/>
  </si>
  <si>
    <t>银角大王技能2飞行</t>
    <phoneticPr fontId="4" type="noConversion"/>
  </si>
  <si>
    <t>yinjiaodawang_effect2_f</t>
    <phoneticPr fontId="4" type="noConversion"/>
  </si>
  <si>
    <t>银角大王被动技能</t>
    <phoneticPr fontId="4" type="noConversion"/>
  </si>
  <si>
    <t>银角大王技能4</t>
    <phoneticPr fontId="4" type="noConversion"/>
  </si>
  <si>
    <t>yinjiaodawang_effect4</t>
    <phoneticPr fontId="4" type="noConversion"/>
  </si>
  <si>
    <t>银角大王技能4起手</t>
    <phoneticPr fontId="4" type="noConversion"/>
  </si>
  <si>
    <t>yinjiaodawang_effect4_q</t>
    <phoneticPr fontId="4" type="noConversion"/>
  </si>
  <si>
    <t>混世魔王普攻</t>
    <phoneticPr fontId="4" type="noConversion"/>
  </si>
  <si>
    <t>hunshimowang_attack</t>
    <phoneticPr fontId="4" type="noConversion"/>
  </si>
  <si>
    <t>混世魔王核心技能</t>
    <phoneticPr fontId="4" type="noConversion"/>
  </si>
  <si>
    <t>soil03@skill01</t>
    <phoneticPr fontId="4" type="noConversion"/>
  </si>
  <si>
    <t>混世魔王技能2</t>
    <phoneticPr fontId="4" type="noConversion"/>
  </si>
  <si>
    <t>hunshimowang_effect2</t>
    <phoneticPr fontId="4" type="noConversion"/>
  </si>
  <si>
    <t>混世魔王被动技能</t>
    <phoneticPr fontId="4" type="noConversion"/>
  </si>
  <si>
    <t>混世魔王技能4</t>
    <phoneticPr fontId="4" type="noConversion"/>
  </si>
  <si>
    <t>hunshimowang_effect4</t>
    <phoneticPr fontId="4" type="noConversion"/>
  </si>
  <si>
    <t>金钱豹王普攻</t>
    <phoneticPr fontId="4" type="noConversion"/>
  </si>
  <si>
    <t>jinqianbaowang_attack</t>
    <phoneticPr fontId="4" type="noConversion"/>
  </si>
  <si>
    <t>金钱豹王核心技能</t>
    <phoneticPr fontId="4" type="noConversion"/>
  </si>
  <si>
    <t>金钱豹王核心技能_动作</t>
    <phoneticPr fontId="4" type="noConversion"/>
  </si>
  <si>
    <t>金钱豹王技能2</t>
    <phoneticPr fontId="4" type="noConversion"/>
  </si>
  <si>
    <t>jinqianbaowang_effect4</t>
    <phoneticPr fontId="4" type="noConversion"/>
  </si>
  <si>
    <t>金钱豹王技能2_骨骼</t>
    <phoneticPr fontId="4" type="noConversion"/>
  </si>
  <si>
    <t>jinqianbaowang_effect4_bip</t>
    <phoneticPr fontId="4" type="noConversion"/>
  </si>
  <si>
    <t>金钱豹王被动技能</t>
    <phoneticPr fontId="4" type="noConversion"/>
  </si>
  <si>
    <t>金钱豹王技能4</t>
    <phoneticPr fontId="4" type="noConversion"/>
  </si>
  <si>
    <t>jinqianbaowang_effect2</t>
    <phoneticPr fontId="4" type="noConversion"/>
  </si>
  <si>
    <t>金钱豹王技能4_骨骼</t>
    <phoneticPr fontId="4" type="noConversion"/>
  </si>
  <si>
    <t>jinqianbaowang_effect2_bip</t>
    <phoneticPr fontId="4" type="noConversion"/>
  </si>
  <si>
    <t>泾河龙王普攻</t>
    <phoneticPr fontId="4" type="noConversion"/>
  </si>
  <si>
    <t>泾河龙王核心技能</t>
    <phoneticPr fontId="4" type="noConversion"/>
  </si>
  <si>
    <t>water02@skill01</t>
    <phoneticPr fontId="4" type="noConversion"/>
  </si>
  <si>
    <t>泾河龙王技能2</t>
    <phoneticPr fontId="4" type="noConversion"/>
  </si>
  <si>
    <t>泾河龙王被动技能</t>
    <phoneticPr fontId="4" type="noConversion"/>
  </si>
  <si>
    <t>泾河龙王技能4</t>
    <phoneticPr fontId="4" type="noConversion"/>
  </si>
  <si>
    <t>墨鱼精普攻</t>
    <phoneticPr fontId="4" type="noConversion"/>
  </si>
  <si>
    <t>moyujing_attack</t>
    <phoneticPr fontId="4" type="noConversion"/>
  </si>
  <si>
    <t>墨鱼精核心技能-水雾侵袭</t>
    <phoneticPr fontId="4" type="noConversion"/>
  </si>
  <si>
    <t>water05@skill01</t>
    <phoneticPr fontId="4" type="noConversion"/>
  </si>
  <si>
    <t>墨鱼精技能2</t>
    <phoneticPr fontId="4" type="noConversion"/>
  </si>
  <si>
    <t>moyujing_effect2</t>
    <phoneticPr fontId="4" type="noConversion"/>
  </si>
  <si>
    <t>墨鱼精技能2_骨骼</t>
    <phoneticPr fontId="4" type="noConversion"/>
  </si>
  <si>
    <t>moyujing_effect2_bip</t>
    <phoneticPr fontId="4" type="noConversion"/>
  </si>
  <si>
    <t>墨鱼精被动技能</t>
    <phoneticPr fontId="4" type="noConversion"/>
  </si>
  <si>
    <t>墨鱼精技能4</t>
    <phoneticPr fontId="4" type="noConversion"/>
  </si>
  <si>
    <t>moyujing_effect4</t>
    <phoneticPr fontId="4" type="noConversion"/>
  </si>
  <si>
    <t>墨鱼精技能4_骨骼</t>
    <phoneticPr fontId="4" type="noConversion"/>
  </si>
  <si>
    <t>moyujing_effect4_bip</t>
    <phoneticPr fontId="4" type="noConversion"/>
  </si>
  <si>
    <t>金大蟒精普攻</t>
    <phoneticPr fontId="4" type="noConversion"/>
  </si>
  <si>
    <t>jindamangjing_attack</t>
    <phoneticPr fontId="4" type="noConversion"/>
  </si>
  <si>
    <t>金大蟒精技能2起手</t>
    <phoneticPr fontId="4" type="noConversion"/>
  </si>
  <si>
    <t>jindamangjing_effect2_wq</t>
    <phoneticPr fontId="4" type="noConversion"/>
  </si>
  <si>
    <t>金大蟒精技能2飞行</t>
    <phoneticPr fontId="4" type="noConversion"/>
  </si>
  <si>
    <t>jindamangjing_effect2</t>
    <phoneticPr fontId="4" type="noConversion"/>
  </si>
  <si>
    <t>水芙蓉仙子普攻</t>
    <phoneticPr fontId="4" type="noConversion"/>
  </si>
  <si>
    <t>furongxianzi_attack</t>
    <phoneticPr fontId="4" type="noConversion"/>
  </si>
  <si>
    <t>水芙蓉仙子技能2_前摇动作</t>
    <phoneticPr fontId="4" type="noConversion"/>
  </si>
  <si>
    <t>水芙蓉仙子技能2_buff特效</t>
    <phoneticPr fontId="4" type="noConversion"/>
  </si>
  <si>
    <t>furongxianzi_effect2</t>
    <phoneticPr fontId="4" type="noConversion"/>
  </si>
  <si>
    <t>火狐美人普攻</t>
    <phoneticPr fontId="4" type="noConversion"/>
  </si>
  <si>
    <t>huohumeiren_attack</t>
    <phoneticPr fontId="4" type="noConversion"/>
  </si>
  <si>
    <t>火狐美人技能2刀光</t>
    <phoneticPr fontId="4" type="noConversion"/>
  </si>
  <si>
    <t>huohumeiren_effect2_1</t>
    <phoneticPr fontId="4" type="noConversion"/>
  </si>
  <si>
    <t>火狐美人技能2脚下</t>
    <phoneticPr fontId="4" type="noConversion"/>
  </si>
  <si>
    <t>huohumeiren_effect2_1_jiaoxia</t>
    <phoneticPr fontId="4" type="noConversion"/>
  </si>
  <si>
    <t>nvgui_attack</t>
    <phoneticPr fontId="4" type="noConversion"/>
  </si>
  <si>
    <t>热血爆发-火系核心技能通用02</t>
    <phoneticPr fontId="4" type="noConversion"/>
  </si>
  <si>
    <t>fire04@skill01</t>
    <phoneticPr fontId="4" type="noConversion"/>
  </si>
  <si>
    <t>地狱火海-火系核心技能通用02</t>
    <phoneticPr fontId="4" type="noConversion"/>
  </si>
  <si>
    <t>fire02@skill01</t>
    <phoneticPr fontId="4" type="noConversion"/>
  </si>
  <si>
    <t>火光驱散-火系核心技能通用05</t>
    <phoneticPr fontId="4" type="noConversion"/>
  </si>
  <si>
    <t>急速飞箭-金系核心技能通用01</t>
    <phoneticPr fontId="4" type="noConversion"/>
  </si>
  <si>
    <t>metal01@skill01</t>
    <phoneticPr fontId="4" type="noConversion"/>
  </si>
  <si>
    <t>fire01@skill01</t>
    <phoneticPr fontId="4" type="noConversion"/>
  </si>
  <si>
    <t>火球炸弹命中-火系核心技能通用01</t>
    <phoneticPr fontId="4" type="noConversion"/>
  </si>
  <si>
    <t>fire01@skill01_b</t>
    <phoneticPr fontId="4" type="noConversion"/>
  </si>
  <si>
    <t>圣光水域-水系核心技能通用04</t>
    <phoneticPr fontId="4" type="noConversion"/>
  </si>
  <si>
    <t>water04@skill01</t>
    <phoneticPr fontId="4" type="noConversion"/>
  </si>
  <si>
    <t>water03@skill01</t>
    <phoneticPr fontId="4" type="noConversion"/>
  </si>
  <si>
    <t>physical_crit</t>
    <phoneticPr fontId="4" type="noConversion"/>
  </si>
  <si>
    <t>晕眩效果</t>
    <phoneticPr fontId="4" type="noConversion"/>
  </si>
  <si>
    <t>stun</t>
    <phoneticPr fontId="4" type="noConversion"/>
  </si>
  <si>
    <t>common_yunxuan</t>
    <phoneticPr fontId="4" type="noConversion"/>
  </si>
  <si>
    <t>防御效果</t>
    <phoneticPr fontId="4" type="noConversion"/>
  </si>
  <si>
    <t>common_fangyu</t>
    <phoneticPr fontId="4" type="noConversion"/>
  </si>
  <si>
    <t>嘲讽效果</t>
    <phoneticPr fontId="4" type="noConversion"/>
  </si>
  <si>
    <t>common_chaofeng</t>
    <phoneticPr fontId="4" type="noConversion"/>
  </si>
  <si>
    <t>boss召出小怪</t>
    <phoneticPr fontId="4" type="noConversion"/>
  </si>
  <si>
    <t>通用虚弱</t>
    <phoneticPr fontId="4" type="noConversion"/>
  </si>
  <si>
    <t>通用冰冻</t>
    <phoneticPr fontId="4" type="noConversion"/>
  </si>
  <si>
    <t>魔力回复</t>
    <phoneticPr fontId="4" type="noConversion"/>
  </si>
  <si>
    <t>respond_sp</t>
    <phoneticPr fontId="4" type="noConversion"/>
  </si>
  <si>
    <t>生命回复</t>
    <phoneticPr fontId="4" type="noConversion"/>
  </si>
  <si>
    <t>respond_hp</t>
    <phoneticPr fontId="4" type="noConversion"/>
  </si>
  <si>
    <t>玉皇大帝普攻01</t>
    <phoneticPr fontId="4" type="noConversion"/>
  </si>
  <si>
    <t>玉皇大帝技能4起手</t>
    <phoneticPr fontId="4" type="noConversion"/>
  </si>
  <si>
    <t>玉皇大帝技能4</t>
    <phoneticPr fontId="4" type="noConversion"/>
  </si>
  <si>
    <t>狮吼魔王普攻01</t>
    <phoneticPr fontId="4" type="noConversion"/>
  </si>
  <si>
    <t>shihoumowang_attack</t>
    <phoneticPr fontId="4" type="noConversion"/>
  </si>
  <si>
    <t>狮吼魔王核心技能</t>
    <phoneticPr fontId="4" type="noConversion"/>
  </si>
  <si>
    <t>shihoumowang_effect1_q</t>
    <phoneticPr fontId="4" type="noConversion"/>
  </si>
  <si>
    <t>shihoumowang_effect1_buff</t>
    <phoneticPr fontId="4" type="noConversion"/>
  </si>
  <si>
    <t>狮吼魔王AI技能1</t>
    <phoneticPr fontId="4" type="noConversion"/>
  </si>
  <si>
    <t>shihoumowang_effect2</t>
    <phoneticPr fontId="4" type="noConversion"/>
  </si>
  <si>
    <t>狮吼魔王AI技能2</t>
    <phoneticPr fontId="4" type="noConversion"/>
  </si>
  <si>
    <t>shihoumowang_effect4</t>
    <phoneticPr fontId="4" type="noConversion"/>
  </si>
  <si>
    <t>action_delay</t>
    <phoneticPr fontId="4" type="noConversion"/>
  </si>
  <si>
    <t>effect_type</t>
    <phoneticPr fontId="4" type="noConversion"/>
  </si>
  <si>
    <t>effect_speed</t>
    <phoneticPr fontId="4" type="noConversion"/>
  </si>
  <si>
    <t>use_collider</t>
    <phoneticPr fontId="4" type="noConversion"/>
  </si>
  <si>
    <t>extra_param</t>
    <phoneticPr fontId="4" type="noConversion"/>
  </si>
  <si>
    <t>baixiangmowang_attack</t>
    <phoneticPr fontId="4" type="noConversion"/>
  </si>
  <si>
    <t>白象魔王普攻01</t>
    <phoneticPr fontId="4" type="noConversion"/>
  </si>
  <si>
    <t>baixiangmowang_skill02</t>
    <phoneticPr fontId="4" type="noConversion"/>
  </si>
  <si>
    <t>baixiangmowang_skill04_q</t>
    <phoneticPr fontId="4" type="noConversion"/>
  </si>
  <si>
    <t>白象魔王AI技能1</t>
    <phoneticPr fontId="4" type="noConversion"/>
  </si>
  <si>
    <t>白象魔王AI技能2_起手</t>
    <phoneticPr fontId="4" type="noConversion"/>
  </si>
  <si>
    <t>baixiangmowang_skill04_b</t>
    <phoneticPr fontId="4" type="noConversion"/>
  </si>
  <si>
    <t>白象魔王AI技能2_命中</t>
    <phoneticPr fontId="4" type="noConversion"/>
  </si>
  <si>
    <t>baixiangmowang_effect4_b</t>
    <phoneticPr fontId="4" type="noConversion"/>
  </si>
  <si>
    <t>白象魔王核心技能</t>
    <phoneticPr fontId="4" type="noConversion"/>
  </si>
  <si>
    <t>baixiangmowang_skill01</t>
    <phoneticPr fontId="4" type="noConversion"/>
  </si>
  <si>
    <t>baixiangmowang_effect1</t>
    <phoneticPr fontId="4" type="noConversion"/>
  </si>
  <si>
    <t>baixiangmowang_effect2</t>
    <phoneticPr fontId="4" type="noConversion"/>
  </si>
  <si>
    <t>baixiangmowang_effect4_q</t>
    <phoneticPr fontId="4" type="noConversion"/>
  </si>
  <si>
    <t>baixiangmowang_effect1_buff</t>
    <phoneticPr fontId="4" type="noConversion"/>
  </si>
  <si>
    <t>白象魔王核心技能_buff</t>
    <phoneticPr fontId="4" type="noConversion"/>
  </si>
  <si>
    <t>baixiangmowang_skill01_buff</t>
    <phoneticPr fontId="4" type="noConversion"/>
  </si>
  <si>
    <t>金女鬼普攻</t>
    <phoneticPr fontId="4" type="noConversion"/>
  </si>
  <si>
    <t>jin_nvgui_attack</t>
    <phoneticPr fontId="4" type="noConversion"/>
  </si>
  <si>
    <t>shui_nvgui_attack</t>
    <phoneticPr fontId="4" type="noConversion"/>
  </si>
  <si>
    <t>mu_nvgui_attack</t>
    <phoneticPr fontId="4" type="noConversion"/>
  </si>
  <si>
    <t>水女鬼普攻</t>
    <phoneticPr fontId="4" type="noConversion"/>
  </si>
  <si>
    <t>木女鬼普攻</t>
    <phoneticPr fontId="4" type="noConversion"/>
  </si>
  <si>
    <t>火女鬼普攻</t>
    <phoneticPr fontId="4" type="noConversion"/>
  </si>
  <si>
    <t>jin_tianbing_attack</t>
    <phoneticPr fontId="4" type="noConversion"/>
  </si>
  <si>
    <t>tianbing_attack</t>
    <phoneticPr fontId="4" type="noConversion"/>
  </si>
  <si>
    <t>火天兵普攻</t>
    <phoneticPr fontId="4" type="noConversion"/>
  </si>
  <si>
    <t>attack_1</t>
    <phoneticPr fontId="4" type="noConversion"/>
  </si>
  <si>
    <t>[]</t>
    <phoneticPr fontId="4" type="noConversion"/>
  </si>
  <si>
    <t>金天兵普攻</t>
    <phoneticPr fontId="4" type="noConversion"/>
  </si>
  <si>
    <t>langren_attack</t>
    <phoneticPr fontId="4" type="noConversion"/>
  </si>
  <si>
    <t>水狼人普攻</t>
    <phoneticPr fontId="4" type="noConversion"/>
  </si>
  <si>
    <t>attack_1</t>
    <phoneticPr fontId="4" type="noConversion"/>
  </si>
  <si>
    <t>[]</t>
    <phoneticPr fontId="4" type="noConversion"/>
  </si>
  <si>
    <t>jin_langren_attack</t>
    <phoneticPr fontId="4" type="noConversion"/>
  </si>
  <si>
    <t>金狼人普攻</t>
    <phoneticPr fontId="4" type="noConversion"/>
  </si>
  <si>
    <t>mu_langren_attack</t>
    <phoneticPr fontId="4" type="noConversion"/>
  </si>
  <si>
    <t>木狼人普攻</t>
    <phoneticPr fontId="4" type="noConversion"/>
  </si>
  <si>
    <t>tu_langren_attack</t>
    <phoneticPr fontId="4" type="noConversion"/>
  </si>
  <si>
    <t>土狼人普攻</t>
    <phoneticPr fontId="4" type="noConversion"/>
  </si>
  <si>
    <t>huo_langren_attack</t>
    <phoneticPr fontId="4" type="noConversion"/>
  </si>
  <si>
    <t>火狼人普攻</t>
    <phoneticPr fontId="4" type="noConversion"/>
  </si>
  <si>
    <t>0|1|0</t>
    <phoneticPr fontId="4" type="noConversion"/>
  </si>
  <si>
    <t>huo_kuloubing_attack</t>
    <phoneticPr fontId="4" type="noConversion"/>
  </si>
  <si>
    <t>火骷髅兵普通</t>
    <phoneticPr fontId="4" type="noConversion"/>
  </si>
  <si>
    <t>attack_1</t>
    <phoneticPr fontId="4" type="noConversion"/>
  </si>
  <si>
    <t>[]</t>
    <phoneticPr fontId="4" type="noConversion"/>
  </si>
  <si>
    <t>kuloubing_attack</t>
    <phoneticPr fontId="4" type="noConversion"/>
  </si>
  <si>
    <t>huo_kuloubing_skill01</t>
    <phoneticPr fontId="4" type="noConversion"/>
  </si>
  <si>
    <t>火骷髅核心技能</t>
    <phoneticPr fontId="4" type="noConversion"/>
  </si>
  <si>
    <t>skill_2</t>
    <phoneticPr fontId="4" type="noConversion"/>
  </si>
  <si>
    <t>fire04@skill01</t>
    <phoneticPr fontId="4" type="noConversion"/>
  </si>
  <si>
    <t>huo_kuloubing_skill01_act</t>
    <phoneticPr fontId="4" type="noConversion"/>
  </si>
  <si>
    <t>火骷髅核心技能_act</t>
    <phoneticPr fontId="4" type="noConversion"/>
  </si>
  <si>
    <t>fire04@skill01_buff_Bip01 Head</t>
    <phoneticPr fontId="4" type="noConversion"/>
  </si>
  <si>
    <t>mu_kuloubing_attack</t>
    <phoneticPr fontId="4" type="noConversion"/>
  </si>
  <si>
    <t>木骷髅兵普通</t>
    <phoneticPr fontId="4" type="noConversion"/>
  </si>
  <si>
    <t>木骷髅兵核心技能</t>
    <phoneticPr fontId="4" type="noConversion"/>
  </si>
  <si>
    <t>shui_kuloubing_attack</t>
    <phoneticPr fontId="4" type="noConversion"/>
  </si>
  <si>
    <t>水骷髅兵普通</t>
    <phoneticPr fontId="4" type="noConversion"/>
  </si>
  <si>
    <t>attack_1</t>
    <phoneticPr fontId="4" type="noConversion"/>
  </si>
  <si>
    <t>[]</t>
    <phoneticPr fontId="4" type="noConversion"/>
  </si>
  <si>
    <t>kuloubing_attack</t>
    <phoneticPr fontId="4" type="noConversion"/>
  </si>
  <si>
    <t>tu_kuloubing_attack</t>
    <phoneticPr fontId="4" type="noConversion"/>
  </si>
  <si>
    <t>土骷髅兵普通</t>
    <phoneticPr fontId="4" type="noConversion"/>
  </si>
  <si>
    <t>wood01@skill01</t>
    <phoneticPr fontId="4" type="noConversion"/>
  </si>
  <si>
    <t>mu_kuloubing_skill01_act</t>
    <phoneticPr fontId="4" type="noConversion"/>
  </si>
  <si>
    <t>木骷髅核心技能_act</t>
    <phoneticPr fontId="4" type="noConversion"/>
  </si>
  <si>
    <t>water05@skill01</t>
  </si>
  <si>
    <t>水女鬼核心技能</t>
    <phoneticPr fontId="4" type="noConversion"/>
  </si>
  <si>
    <t>water01@skill01</t>
    <phoneticPr fontId="4" type="noConversion"/>
  </si>
  <si>
    <t>jin_nvgui_skill01</t>
    <phoneticPr fontId="4" type="noConversion"/>
  </si>
  <si>
    <t>金女鬼核心技能</t>
    <phoneticPr fontId="4" type="noConversion"/>
  </si>
  <si>
    <t>[]</t>
    <phoneticPr fontId="4" type="noConversion"/>
  </si>
  <si>
    <t>metal03@skill01</t>
    <phoneticPr fontId="4" type="noConversion"/>
  </si>
  <si>
    <t>jin_nvgui_skill01_act</t>
    <phoneticPr fontId="4" type="noConversion"/>
  </si>
  <si>
    <t>金女鬼核心技能_动作</t>
    <phoneticPr fontId="4" type="noConversion"/>
  </si>
  <si>
    <t>heixiongjing_attack</t>
    <phoneticPr fontId="4" type="noConversion"/>
  </si>
  <si>
    <t>黑熊精普攻</t>
    <phoneticPr fontId="4" type="noConversion"/>
  </si>
  <si>
    <t>attack_1</t>
    <phoneticPr fontId="4" type="noConversion"/>
  </si>
  <si>
    <t>shuilangren_attack</t>
  </si>
  <si>
    <t>木狼人核心技能</t>
    <phoneticPr fontId="4" type="noConversion"/>
  </si>
  <si>
    <t>wood05@skill01</t>
    <phoneticPr fontId="4" type="noConversion"/>
  </si>
  <si>
    <t>skill_2</t>
    <phoneticPr fontId="4" type="noConversion"/>
  </si>
  <si>
    <t>[]</t>
    <phoneticPr fontId="4" type="noConversion"/>
  </si>
  <si>
    <t>soil02@skill01</t>
    <phoneticPr fontId="4" type="noConversion"/>
  </si>
  <si>
    <t>wood03@skill01</t>
    <phoneticPr fontId="4" type="noConversion"/>
  </si>
  <si>
    <t>huayao_attack</t>
    <phoneticPr fontId="4" type="noConversion"/>
  </si>
  <si>
    <t>huayao_attack</t>
    <phoneticPr fontId="4" type="noConversion"/>
  </si>
  <si>
    <t>花妖普通</t>
    <phoneticPr fontId="4" type="noConversion"/>
  </si>
  <si>
    <t>heixiongjing_attack</t>
    <phoneticPr fontId="4" type="noConversion"/>
  </si>
  <si>
    <t>黑熊精技能</t>
    <phoneticPr fontId="4" type="noConversion"/>
  </si>
  <si>
    <t>heixiongjing_effect2</t>
    <phoneticPr fontId="4" type="noConversion"/>
  </si>
  <si>
    <t>山贼普攻</t>
    <phoneticPr fontId="4" type="noConversion"/>
  </si>
  <si>
    <t>shanzei_attack</t>
    <phoneticPr fontId="4" type="noConversion"/>
  </si>
  <si>
    <t>剑气_金系核心技能</t>
    <phoneticPr fontId="4" type="noConversion"/>
  </si>
  <si>
    <t>attack_1</t>
    <phoneticPr fontId="4" type="noConversion"/>
  </si>
  <si>
    <t>[]</t>
    <phoneticPr fontId="4" type="noConversion"/>
  </si>
  <si>
    <t>metal05@skill01</t>
    <phoneticPr fontId="4" type="noConversion"/>
  </si>
  <si>
    <t>毒箭雨_木系核心技能</t>
    <phoneticPr fontId="4" type="noConversion"/>
  </si>
  <si>
    <t>wood02@skill01</t>
  </si>
  <si>
    <t>heixiongjing_skill02</t>
    <phoneticPr fontId="4" type="noConversion"/>
  </si>
  <si>
    <t>soil05@skill01</t>
  </si>
  <si>
    <t>soil04@skill01</t>
  </si>
  <si>
    <t>夜叉普攻</t>
    <phoneticPr fontId="4" type="noConversion"/>
  </si>
  <si>
    <t>yecha_attack</t>
    <phoneticPr fontId="4" type="noConversion"/>
  </si>
  <si>
    <t>重锤-金系核心技能</t>
    <phoneticPr fontId="4" type="noConversion"/>
  </si>
  <si>
    <t>metal02@skill01</t>
  </si>
  <si>
    <t>yecha_attack</t>
    <phoneticPr fontId="4" type="noConversion"/>
  </si>
  <si>
    <t>attack_1</t>
    <phoneticPr fontId="4" type="noConversion"/>
  </si>
  <si>
    <t>[]</t>
    <phoneticPr fontId="4" type="noConversion"/>
  </si>
  <si>
    <t>zhizhu_attack</t>
    <phoneticPr fontId="4" type="noConversion"/>
  </si>
  <si>
    <t>蜘蛛普攻</t>
    <phoneticPr fontId="4" type="noConversion"/>
  </si>
  <si>
    <t>zhizhu_attack</t>
    <phoneticPr fontId="4" type="noConversion"/>
  </si>
  <si>
    <t>metal04@skill01</t>
  </si>
  <si>
    <t>shiren_attack</t>
    <phoneticPr fontId="4" type="noConversion"/>
  </si>
  <si>
    <t>shiren_attack</t>
    <phoneticPr fontId="4" type="noConversion"/>
  </si>
  <si>
    <t>huo_shiren_skill02</t>
    <phoneticPr fontId="4" type="noConversion"/>
  </si>
  <si>
    <t>火狮人技能</t>
    <phoneticPr fontId="4" type="noConversion"/>
  </si>
  <si>
    <t>shiren_effect2</t>
    <phoneticPr fontId="4" type="noConversion"/>
  </si>
  <si>
    <t>水狐美人普攻</t>
    <phoneticPr fontId="4" type="noConversion"/>
  </si>
  <si>
    <t>attack_1</t>
    <phoneticPr fontId="4" type="noConversion"/>
  </si>
  <si>
    <t>[]</t>
    <phoneticPr fontId="4" type="noConversion"/>
  </si>
  <si>
    <t>水狐美人技能2刀光</t>
    <phoneticPr fontId="4" type="noConversion"/>
  </si>
  <si>
    <t>skill_2</t>
    <phoneticPr fontId="4" type="noConversion"/>
  </si>
  <si>
    <t>shuihumeiren_effect2_3</t>
    <phoneticPr fontId="4" type="noConversion"/>
  </si>
  <si>
    <t>水狐美人技能2脚下</t>
    <phoneticPr fontId="4" type="noConversion"/>
  </si>
  <si>
    <t>shuihumeiren_effect2_3_jiaoxia</t>
    <phoneticPr fontId="4" type="noConversion"/>
  </si>
  <si>
    <t>shuihumeiren_skill02</t>
    <phoneticPr fontId="4" type="noConversion"/>
  </si>
  <si>
    <t>shuihumeiren_skill02_jiaoxia</t>
    <phoneticPr fontId="4" type="noConversion"/>
  </si>
  <si>
    <t>huohumeiren_attack</t>
    <phoneticPr fontId="4" type="noConversion"/>
  </si>
  <si>
    <t>huohumeiren_attack</t>
    <phoneticPr fontId="4" type="noConversion"/>
  </si>
  <si>
    <t>caohumeiren_skill02</t>
    <phoneticPr fontId="4" type="noConversion"/>
  </si>
  <si>
    <t>caohumeiren_skill02_jiaoxia</t>
    <phoneticPr fontId="4" type="noConversion"/>
  </si>
  <si>
    <t>木狐美人技能2刀光</t>
    <phoneticPr fontId="4" type="noConversion"/>
  </si>
  <si>
    <t>木狐美人技能2脚下</t>
    <phoneticPr fontId="4" type="noConversion"/>
  </si>
  <si>
    <t>caohumeiren_effect2_2</t>
    <phoneticPr fontId="4" type="noConversion"/>
  </si>
  <si>
    <t>caohumeiren_effect2_2_jiaoxia</t>
    <phoneticPr fontId="4" type="noConversion"/>
  </si>
  <si>
    <t>sunwukong_attack</t>
    <phoneticPr fontId="4" type="noConversion"/>
  </si>
  <si>
    <t>孙悟空普攻</t>
    <phoneticPr fontId="4" type="noConversion"/>
  </si>
  <si>
    <t>仙灵祝福</t>
    <phoneticPr fontId="4" type="noConversion"/>
  </si>
  <si>
    <t>wood04@skill01</t>
    <phoneticPr fontId="4" type="noConversion"/>
  </si>
  <si>
    <t>jingbingxiaoyao_attack</t>
    <phoneticPr fontId="4" type="noConversion"/>
  </si>
  <si>
    <t>精兵小妖普攻</t>
    <phoneticPr fontId="4" type="noConversion"/>
  </si>
  <si>
    <t>jingbingxiaoyao_attack</t>
    <phoneticPr fontId="4" type="noConversion"/>
  </si>
  <si>
    <t>精兵小妖技能</t>
    <phoneticPr fontId="4" type="noConversion"/>
  </si>
  <si>
    <t>jingbingxiaoyao_effect2</t>
    <phoneticPr fontId="4" type="noConversion"/>
  </si>
  <si>
    <t>jingbingxiaoyao_skill02</t>
    <phoneticPr fontId="4" type="noConversion"/>
  </si>
  <si>
    <t>soil01@skill01</t>
  </si>
  <si>
    <t>石头人普攻</t>
    <phoneticPr fontId="4" type="noConversion"/>
  </si>
  <si>
    <t>shitouren_skill02</t>
    <phoneticPr fontId="4" type="noConversion"/>
  </si>
  <si>
    <t>石头人技能</t>
    <phoneticPr fontId="4" type="noConversion"/>
  </si>
  <si>
    <t>skill_2</t>
    <phoneticPr fontId="4" type="noConversion"/>
  </si>
  <si>
    <t>shitouren_effect2</t>
    <phoneticPr fontId="4" type="noConversion"/>
  </si>
  <si>
    <t>shitouren_attack</t>
    <phoneticPr fontId="4" type="noConversion"/>
  </si>
  <si>
    <t>jiaoren_attack</t>
    <phoneticPr fontId="4" type="noConversion"/>
  </si>
  <si>
    <t>鲛人普攻</t>
    <phoneticPr fontId="4" type="noConversion"/>
  </si>
  <si>
    <t>jiaoren_attack</t>
    <phoneticPr fontId="4" type="noConversion"/>
  </si>
  <si>
    <t>jiaoren_skill02</t>
    <phoneticPr fontId="4" type="noConversion"/>
  </si>
  <si>
    <t>鲛人技能</t>
    <phoneticPr fontId="4" type="noConversion"/>
  </si>
  <si>
    <t>jiaoren_effect2</t>
    <phoneticPr fontId="4" type="noConversion"/>
  </si>
  <si>
    <t>xunshantongling_attack</t>
    <phoneticPr fontId="4" type="noConversion"/>
  </si>
  <si>
    <t>巡山统领普攻</t>
    <phoneticPr fontId="4" type="noConversion"/>
  </si>
  <si>
    <t>xunshantongling_skill02</t>
    <phoneticPr fontId="4" type="noConversion"/>
  </si>
  <si>
    <t>巡山统领技能2</t>
    <phoneticPr fontId="4" type="noConversion"/>
  </si>
  <si>
    <t>xunshantongling_effect1</t>
    <phoneticPr fontId="4" type="noConversion"/>
  </si>
  <si>
    <t>donghailongwang_attack</t>
    <phoneticPr fontId="4" type="noConversion"/>
  </si>
  <si>
    <t>东海龙王普攻</t>
    <phoneticPr fontId="4" type="noConversion"/>
  </si>
  <si>
    <t>donghailongwang_skill02</t>
    <phoneticPr fontId="4" type="noConversion"/>
  </si>
  <si>
    <t>东海龙王技能</t>
    <phoneticPr fontId="4" type="noConversion"/>
  </si>
  <si>
    <t>donghailongwang_effect2</t>
    <phoneticPr fontId="4" type="noConversion"/>
  </si>
  <si>
    <t>donghailongwang_skill04</t>
    <phoneticPr fontId="4" type="noConversion"/>
  </si>
  <si>
    <t>donghailongwang_effect4</t>
  </si>
  <si>
    <t>donghailongwang_skill03</t>
    <phoneticPr fontId="4" type="noConversion"/>
  </si>
  <si>
    <t>东海龙王被动技能</t>
    <phoneticPr fontId="4" type="noConversion"/>
  </si>
  <si>
    <t>玉兔精技能</t>
    <phoneticPr fontId="4" type="noConversion"/>
  </si>
  <si>
    <t>skill_4</t>
    <phoneticPr fontId="4" type="noConversion"/>
  </si>
  <si>
    <t>玉兔精被动技能</t>
    <phoneticPr fontId="4" type="noConversion"/>
  </si>
  <si>
    <t>skill_2</t>
    <phoneticPr fontId="4" type="noConversion"/>
  </si>
  <si>
    <t>xiaobailong_attack</t>
    <phoneticPr fontId="4" type="noConversion"/>
  </si>
  <si>
    <t>小白龙普攻</t>
    <phoneticPr fontId="4" type="noConversion"/>
  </si>
  <si>
    <t>xiaobailong_attack</t>
    <phoneticPr fontId="4" type="noConversion"/>
  </si>
  <si>
    <t>xiaobailong_skill01</t>
    <phoneticPr fontId="4" type="noConversion"/>
  </si>
  <si>
    <t>小白龙核心技能</t>
    <phoneticPr fontId="4" type="noConversion"/>
  </si>
  <si>
    <t>xiaobailong_effect1</t>
  </si>
  <si>
    <t>xiaobailong_skill02</t>
    <phoneticPr fontId="4" type="noConversion"/>
  </si>
  <si>
    <t>小白龙技能2</t>
    <phoneticPr fontId="4" type="noConversion"/>
  </si>
  <si>
    <t>xiaobailong_effect2</t>
    <phoneticPr fontId="4" type="noConversion"/>
  </si>
  <si>
    <t>xiaobailong_skill04</t>
    <phoneticPr fontId="4" type="noConversion"/>
  </si>
  <si>
    <t>小白龙技能4</t>
    <phoneticPr fontId="4" type="noConversion"/>
  </si>
  <si>
    <t>xiaobailong_effect4</t>
    <phoneticPr fontId="4" type="noConversion"/>
  </si>
  <si>
    <t>xiaobailong_skill03</t>
    <phoneticPr fontId="4" type="noConversion"/>
  </si>
  <si>
    <t>小白龙被动技能</t>
    <phoneticPr fontId="4" type="noConversion"/>
  </si>
  <si>
    <t>蝎子精普攻</t>
    <phoneticPr fontId="4" type="noConversion"/>
  </si>
  <si>
    <t>xiezijing_skill02</t>
    <phoneticPr fontId="4" type="noConversion"/>
  </si>
  <si>
    <t>蝎子精技能2</t>
    <phoneticPr fontId="4" type="noConversion"/>
  </si>
  <si>
    <t>xiezijing_effect2</t>
  </si>
  <si>
    <t>xiezijing_skill04</t>
    <phoneticPr fontId="4" type="noConversion"/>
  </si>
  <si>
    <t>蝎子精技能4</t>
    <phoneticPr fontId="4" type="noConversion"/>
  </si>
  <si>
    <t>liuermihou_attack</t>
    <phoneticPr fontId="4" type="noConversion"/>
  </si>
  <si>
    <t>猕猴普攻</t>
    <phoneticPr fontId="4" type="noConversion"/>
  </si>
  <si>
    <t>liuermihou_skill02</t>
    <phoneticPr fontId="4" type="noConversion"/>
  </si>
  <si>
    <t>猕猴技能2</t>
    <phoneticPr fontId="4" type="noConversion"/>
  </si>
  <si>
    <t>liuermihou_effect2</t>
    <phoneticPr fontId="4" type="noConversion"/>
  </si>
  <si>
    <t>liuermihou_skill02_wq</t>
    <phoneticPr fontId="4" type="noConversion"/>
  </si>
  <si>
    <t>猕猴技能2_武器</t>
    <phoneticPr fontId="4" type="noConversion"/>
  </si>
  <si>
    <t>liuermihou_effect2_Bip001 Prop1</t>
    <phoneticPr fontId="4" type="noConversion"/>
  </si>
  <si>
    <t>liuermihou_skill04</t>
    <phoneticPr fontId="4" type="noConversion"/>
  </si>
  <si>
    <t>猕猴技能4</t>
    <phoneticPr fontId="4" type="noConversion"/>
  </si>
  <si>
    <t>skill_4</t>
    <phoneticPr fontId="4" type="noConversion"/>
  </si>
  <si>
    <t>liuermihou_effect4</t>
    <phoneticPr fontId="4" type="noConversion"/>
  </si>
  <si>
    <t>dizangwang_effect2</t>
  </si>
  <si>
    <t>dizangwang_skill03</t>
  </si>
  <si>
    <t>dizangwang_skill04</t>
  </si>
  <si>
    <t>hundun_attack</t>
    <phoneticPr fontId="4" type="noConversion"/>
  </si>
  <si>
    <t>混沌普攻</t>
    <phoneticPr fontId="4" type="noConversion"/>
  </si>
  <si>
    <t>hundun_skill01</t>
    <phoneticPr fontId="4" type="noConversion"/>
  </si>
  <si>
    <t>混沌核心技能</t>
    <phoneticPr fontId="4" type="noConversion"/>
  </si>
  <si>
    <t>hundun_effect1</t>
    <phoneticPr fontId="4" type="noConversion"/>
  </si>
  <si>
    <t>hundun_skill02_f</t>
    <phoneticPr fontId="4" type="noConversion"/>
  </si>
  <si>
    <t>hundun_skill02_b</t>
    <phoneticPr fontId="4" type="noConversion"/>
  </si>
  <si>
    <t>混沌技能2_飞行</t>
    <phoneticPr fontId="4" type="noConversion"/>
  </si>
  <si>
    <t>混沌技能2_命中</t>
    <phoneticPr fontId="4" type="noConversion"/>
  </si>
  <si>
    <t>hundun_effect2_f</t>
    <phoneticPr fontId="4" type="noConversion"/>
  </si>
  <si>
    <t>hundun_effect2_b</t>
    <phoneticPr fontId="4" type="noConversion"/>
  </si>
  <si>
    <t>hundun_skill04</t>
    <phoneticPr fontId="4" type="noConversion"/>
  </si>
  <si>
    <t>混沌技能4</t>
    <phoneticPr fontId="4" type="noConversion"/>
  </si>
  <si>
    <t>skill_4</t>
    <phoneticPr fontId="4" type="noConversion"/>
  </si>
  <si>
    <t>hundun_effect4</t>
    <phoneticPr fontId="4" type="noConversion"/>
  </si>
  <si>
    <t>jinjiaodawang_attack</t>
    <phoneticPr fontId="4" type="noConversion"/>
  </si>
  <si>
    <t>金角大王普攻</t>
    <phoneticPr fontId="4" type="noConversion"/>
  </si>
  <si>
    <t>jinjiaodawang_skill04_q</t>
    <phoneticPr fontId="4" type="noConversion"/>
  </si>
  <si>
    <t>jinjiaodawang_skill01</t>
    <phoneticPr fontId="4" type="noConversion"/>
  </si>
  <si>
    <t>金角大王核心技能</t>
    <phoneticPr fontId="4" type="noConversion"/>
  </si>
  <si>
    <t>jinjiaodawang_effect1</t>
  </si>
  <si>
    <t>jinjiaodawang_skill02</t>
    <phoneticPr fontId="4" type="noConversion"/>
  </si>
  <si>
    <t>jinjiaodawang_skill02_q</t>
    <phoneticPr fontId="4" type="noConversion"/>
  </si>
  <si>
    <t>金角大王技能2</t>
    <phoneticPr fontId="4" type="noConversion"/>
  </si>
  <si>
    <t>金角大王技能2起手</t>
    <phoneticPr fontId="4" type="noConversion"/>
  </si>
  <si>
    <t>jinjiaodawang_effect2</t>
  </si>
  <si>
    <t>jinjiaodawang_effect2_q</t>
  </si>
  <si>
    <t>jinjiaodawang_skill03</t>
    <phoneticPr fontId="4" type="noConversion"/>
  </si>
  <si>
    <t>金角大王被动技能</t>
    <phoneticPr fontId="4" type="noConversion"/>
  </si>
  <si>
    <t>jinjiaodawang_skill04_f</t>
    <phoneticPr fontId="4" type="noConversion"/>
  </si>
  <si>
    <t>金角大王技能4_起手</t>
    <phoneticPr fontId="4" type="noConversion"/>
  </si>
  <si>
    <t>金角大王技能4_飞行</t>
    <phoneticPr fontId="4" type="noConversion"/>
  </si>
  <si>
    <t>skill_2</t>
    <phoneticPr fontId="4" type="noConversion"/>
  </si>
  <si>
    <t>skill_4</t>
    <phoneticPr fontId="4" type="noConversion"/>
  </si>
  <si>
    <t>skill_4</t>
    <phoneticPr fontId="4" type="noConversion"/>
  </si>
  <si>
    <t>jinjiaodawang_effect4_q</t>
  </si>
  <si>
    <t>jinjiaodawang_effect4_f</t>
  </si>
  <si>
    <t>4|1</t>
    <phoneticPr fontId="4" type="noConversion"/>
  </si>
  <si>
    <t>yumianfuren_attack</t>
    <phoneticPr fontId="4" type="noConversion"/>
  </si>
  <si>
    <t>玉面夫人普攻</t>
    <phoneticPr fontId="4" type="noConversion"/>
  </si>
  <si>
    <t>yumianfuren_skill01</t>
    <phoneticPr fontId="4" type="noConversion"/>
  </si>
  <si>
    <t>玉面夫人核心技能</t>
    <phoneticPr fontId="4" type="noConversion"/>
  </si>
  <si>
    <t>yumianfuren_skill02</t>
    <phoneticPr fontId="4" type="noConversion"/>
  </si>
  <si>
    <t>yumianfuren_skill02_f</t>
    <phoneticPr fontId="4" type="noConversion"/>
  </si>
  <si>
    <t>yumianfuren_skill02_b</t>
    <phoneticPr fontId="4" type="noConversion"/>
  </si>
  <si>
    <t>玉面夫人技能2</t>
    <phoneticPr fontId="4" type="noConversion"/>
  </si>
  <si>
    <t>玉面夫人技能2飞行</t>
    <phoneticPr fontId="4" type="noConversion"/>
  </si>
  <si>
    <t>玉面夫人技能2命中</t>
    <phoneticPr fontId="4" type="noConversion"/>
  </si>
  <si>
    <t>skill_2</t>
    <phoneticPr fontId="4" type="noConversion"/>
  </si>
  <si>
    <t>yumianfuren_effect2</t>
  </si>
  <si>
    <t>yumianfuren_effect2_f</t>
  </si>
  <si>
    <t>yumianfuren_effect2_b</t>
  </si>
  <si>
    <t>yumianfuren_skill03</t>
    <phoneticPr fontId="4" type="noConversion"/>
  </si>
  <si>
    <t>玉面夫人被动技能</t>
    <phoneticPr fontId="4" type="noConversion"/>
  </si>
  <si>
    <t>yumianfuren_skill04</t>
    <phoneticPr fontId="4" type="noConversion"/>
  </si>
  <si>
    <t>yumianfuren_skill04_f</t>
    <phoneticPr fontId="4" type="noConversion"/>
  </si>
  <si>
    <t>玉面夫人技能4</t>
    <phoneticPr fontId="4" type="noConversion"/>
  </si>
  <si>
    <t>玉面夫人技能4飞行</t>
    <phoneticPr fontId="4" type="noConversion"/>
  </si>
  <si>
    <t>skill_4</t>
    <phoneticPr fontId="4" type="noConversion"/>
  </si>
  <si>
    <t>skill_4</t>
    <phoneticPr fontId="4" type="noConversion"/>
  </si>
  <si>
    <t>yumianfuren_skill04_f_tuowei</t>
    <phoneticPr fontId="4" type="noConversion"/>
  </si>
  <si>
    <t>玉面夫人技能4飞行特效</t>
    <phoneticPr fontId="4" type="noConversion"/>
  </si>
  <si>
    <t>yumianfuren_effect4</t>
  </si>
  <si>
    <t>yumianfuren_effect4_f</t>
  </si>
  <si>
    <t>yumianfuren_effect4_f_tuowei</t>
  </si>
  <si>
    <t>4|1</t>
    <phoneticPr fontId="4" type="noConversion"/>
  </si>
  <si>
    <t>4|1</t>
    <phoneticPr fontId="4" type="noConversion"/>
  </si>
  <si>
    <t>change_attack</t>
    <phoneticPr fontId="4" type="noConversion"/>
  </si>
  <si>
    <t>change_skill01_q</t>
    <phoneticPr fontId="4" type="noConversion"/>
  </si>
  <si>
    <t>change_skill03</t>
    <phoneticPr fontId="4" type="noConversion"/>
  </si>
  <si>
    <t>嫦娥被动技能</t>
    <phoneticPr fontId="4" type="noConversion"/>
  </si>
  <si>
    <t>baigufuren_attack</t>
  </si>
  <si>
    <t>白骨夫人普攻</t>
  </si>
  <si>
    <t>baigufuren_skill01</t>
  </si>
  <si>
    <t>白骨夫人核心技能</t>
  </si>
  <si>
    <t>baigufuren_skill02</t>
  </si>
  <si>
    <t>白骨夫人技能2</t>
  </si>
  <si>
    <t>baigufuren_skill03</t>
  </si>
  <si>
    <t>白骨夫人被动技能</t>
  </si>
  <si>
    <t>白骨夫人技能4</t>
  </si>
  <si>
    <t>nezha_attack</t>
    <phoneticPr fontId="4" type="noConversion"/>
  </si>
  <si>
    <t>nezha_skill01</t>
    <phoneticPr fontId="4" type="noConversion"/>
  </si>
  <si>
    <t>nezha_skill01_q</t>
    <phoneticPr fontId="4" type="noConversion"/>
  </si>
  <si>
    <t>哪吒核心技能</t>
    <phoneticPr fontId="4" type="noConversion"/>
  </si>
  <si>
    <t>哪吒核心技能起手</t>
    <phoneticPr fontId="4" type="noConversion"/>
  </si>
  <si>
    <t>nezha_effect1</t>
  </si>
  <si>
    <t>nezha_effect1_q</t>
  </si>
  <si>
    <t>nezha_skill02</t>
    <phoneticPr fontId="4" type="noConversion"/>
  </si>
  <si>
    <t>哪吒技能2</t>
    <phoneticPr fontId="4" type="noConversion"/>
  </si>
  <si>
    <t>nezha_effect2</t>
  </si>
  <si>
    <t>nezha_skill03</t>
    <phoneticPr fontId="4" type="noConversion"/>
  </si>
  <si>
    <t>哪吒被动技能</t>
    <phoneticPr fontId="4" type="noConversion"/>
  </si>
  <si>
    <t>nezha_skill04</t>
    <phoneticPr fontId="4" type="noConversion"/>
  </si>
  <si>
    <t>哪吒技能4</t>
    <phoneticPr fontId="4" type="noConversion"/>
  </si>
  <si>
    <t>nezha_effect4</t>
  </si>
  <si>
    <t>白龙公主普攻</t>
    <phoneticPr fontId="4" type="noConversion"/>
  </si>
  <si>
    <t>bailonggongzhu_skill01</t>
    <phoneticPr fontId="4" type="noConversion"/>
  </si>
  <si>
    <t>白龙公主核心技能</t>
    <phoneticPr fontId="4" type="noConversion"/>
  </si>
  <si>
    <t>白龙公主技能2</t>
    <phoneticPr fontId="4" type="noConversion"/>
  </si>
  <si>
    <t>bailonggongzhu_skill03</t>
    <phoneticPr fontId="4" type="noConversion"/>
  </si>
  <si>
    <t>白龙公主被动技能</t>
    <phoneticPr fontId="4" type="noConversion"/>
  </si>
  <si>
    <t>bailonggongzhu_skill04</t>
    <phoneticPr fontId="4" type="noConversion"/>
  </si>
  <si>
    <t>白龙公主技能4</t>
    <phoneticPr fontId="4" type="noConversion"/>
  </si>
  <si>
    <t>skill_4</t>
    <phoneticPr fontId="4" type="noConversion"/>
  </si>
  <si>
    <t>哪吒</t>
    <phoneticPr fontId="4" type="noConversion"/>
  </si>
  <si>
    <t>nezha_attack_wq</t>
    <phoneticPr fontId="4" type="noConversion"/>
  </si>
  <si>
    <t>nanzhujue_attack_f02</t>
    <phoneticPr fontId="4" type="noConversion"/>
  </si>
  <si>
    <t>nanzhujue_attack_f03</t>
    <phoneticPr fontId="4" type="noConversion"/>
  </si>
  <si>
    <t>lulidaxian_attack</t>
    <phoneticPr fontId="4" type="noConversion"/>
  </si>
  <si>
    <t>鹿力大仙普攻</t>
    <phoneticPr fontId="4" type="noConversion"/>
  </si>
  <si>
    <t>玉兔精技能2</t>
    <phoneticPr fontId="4" type="noConversion"/>
  </si>
  <si>
    <t>玉兔精普攻</t>
  </si>
  <si>
    <t>yanglidaxian_attack</t>
    <phoneticPr fontId="4" type="noConversion"/>
  </si>
  <si>
    <t>yanglidaxian_skill01</t>
    <phoneticPr fontId="4" type="noConversion"/>
  </si>
  <si>
    <t>yanglidaxian_skill02</t>
    <phoneticPr fontId="4" type="noConversion"/>
  </si>
  <si>
    <t>yanglidaxian_skill03</t>
    <phoneticPr fontId="4" type="noConversion"/>
  </si>
  <si>
    <t>yanglidaxian_skill04_f</t>
    <phoneticPr fontId="4" type="noConversion"/>
  </si>
  <si>
    <t>yanglidaxian_skill04_b</t>
    <phoneticPr fontId="4" type="noConversion"/>
  </si>
  <si>
    <t>羊力大仙普攻</t>
    <phoneticPr fontId="4" type="noConversion"/>
  </si>
  <si>
    <t>羊力大仙核心技能</t>
    <phoneticPr fontId="4" type="noConversion"/>
  </si>
  <si>
    <t>羊力大仙技能2</t>
    <phoneticPr fontId="4" type="noConversion"/>
  </si>
  <si>
    <t>羊力大仙被动技能</t>
    <phoneticPr fontId="4" type="noConversion"/>
  </si>
  <si>
    <t>羊力大仙技能4飞行</t>
    <phoneticPr fontId="4" type="noConversion"/>
  </si>
  <si>
    <t>羊力大仙技能4命中</t>
    <phoneticPr fontId="4" type="noConversion"/>
  </si>
  <si>
    <t>yanglidaxian_attack</t>
    <phoneticPr fontId="4" type="noConversion"/>
  </si>
  <si>
    <t>yanglidaxian_effect1</t>
    <phoneticPr fontId="4" type="noConversion"/>
  </si>
  <si>
    <t>yanglidaxian_effect2</t>
    <phoneticPr fontId="4" type="noConversion"/>
  </si>
  <si>
    <t>huoshen_appear01</t>
    <phoneticPr fontId="4" type="noConversion"/>
  </si>
  <si>
    <t>huoshen_appear02</t>
    <phoneticPr fontId="4" type="noConversion"/>
  </si>
  <si>
    <t>火神变身1</t>
    <phoneticPr fontId="4" type="noConversion"/>
  </si>
  <si>
    <t>火神变身2</t>
    <phoneticPr fontId="4" type="noConversion"/>
  </si>
  <si>
    <t>huoshen_appear02</t>
  </si>
  <si>
    <t>xiaoyao_attack</t>
    <phoneticPr fontId="4" type="noConversion"/>
  </si>
  <si>
    <t>huoshen_attack</t>
    <phoneticPr fontId="4" type="noConversion"/>
  </si>
  <si>
    <t>小妖普攻</t>
    <phoneticPr fontId="4" type="noConversion"/>
  </si>
  <si>
    <t>小妖技能2</t>
    <phoneticPr fontId="4" type="noConversion"/>
  </si>
  <si>
    <t>[]</t>
    <phoneticPr fontId="4" type="noConversion"/>
  </si>
  <si>
    <t>[]</t>
    <phoneticPr fontId="4" type="noConversion"/>
  </si>
  <si>
    <t>huoshen_appear_bip</t>
    <phoneticPr fontId="4" type="noConversion"/>
  </si>
  <si>
    <t>紫霞仙子普攻</t>
    <phoneticPr fontId="4" type="noConversion"/>
  </si>
  <si>
    <t>zixiaxianzi_skill01</t>
    <phoneticPr fontId="4" type="noConversion"/>
  </si>
  <si>
    <t>紫霞仙子核心技能</t>
    <phoneticPr fontId="4" type="noConversion"/>
  </si>
  <si>
    <t>zixiaxianzi_effect1</t>
    <phoneticPr fontId="4" type="noConversion"/>
  </si>
  <si>
    <t>zixiaxianzi_skill02</t>
    <phoneticPr fontId="4" type="noConversion"/>
  </si>
  <si>
    <t>紫霞仙子技能2</t>
    <phoneticPr fontId="4" type="noConversion"/>
  </si>
  <si>
    <t>zixiaxianzi_effect2</t>
    <phoneticPr fontId="4" type="noConversion"/>
  </si>
  <si>
    <t>zixiaxianzi_skill03</t>
    <phoneticPr fontId="4" type="noConversion"/>
  </si>
  <si>
    <t>紫霞仙子被动技能</t>
    <phoneticPr fontId="4" type="noConversion"/>
  </si>
  <si>
    <t>zixiaxianzi_skill04</t>
    <phoneticPr fontId="4" type="noConversion"/>
  </si>
  <si>
    <t>紫霞仙子技能4</t>
    <phoneticPr fontId="4" type="noConversion"/>
  </si>
  <si>
    <t>zixiaxianzi_effect4</t>
    <phoneticPr fontId="4" type="noConversion"/>
  </si>
  <si>
    <t>hulidaxian_attack_R</t>
    <phoneticPr fontId="4" type="noConversion"/>
  </si>
  <si>
    <t>nvzhujue_attack_f01</t>
    <phoneticPr fontId="4" type="noConversion"/>
  </si>
  <si>
    <t>nvzhujue_attack_f02</t>
    <phoneticPr fontId="4" type="noConversion"/>
  </si>
  <si>
    <t>nvzhujue_attack_f03</t>
    <phoneticPr fontId="4" type="noConversion"/>
  </si>
  <si>
    <t>女主角普攻</t>
  </si>
  <si>
    <t>女主角普攻</t>
    <phoneticPr fontId="4" type="noConversion"/>
  </si>
  <si>
    <t>nvzhujue_attack</t>
  </si>
  <si>
    <t>nvzhujue_attack</t>
    <phoneticPr fontId="4" type="noConversion"/>
  </si>
  <si>
    <t>def</t>
    <phoneticPr fontId="4" type="noConversion"/>
  </si>
  <si>
    <t>fire05@skill01</t>
    <phoneticPr fontId="4" type="noConversion"/>
  </si>
  <si>
    <t>fire03@skill01</t>
    <phoneticPr fontId="4" type="noConversion"/>
  </si>
  <si>
    <t>nanzhujue_attack_f01</t>
    <phoneticPr fontId="4" type="noConversion"/>
  </si>
  <si>
    <t>男主角普攻</t>
    <phoneticPr fontId="4" type="noConversion"/>
  </si>
  <si>
    <t>男主角普攻</t>
    <phoneticPr fontId="4" type="noConversion"/>
  </si>
  <si>
    <t>nanzhujue_attack</t>
    <phoneticPr fontId="4" type="noConversion"/>
  </si>
  <si>
    <t>nanzhujue_attack</t>
    <phoneticPr fontId="4" type="noConversion"/>
  </si>
  <si>
    <t>zhubajie_attack</t>
    <phoneticPr fontId="4" type="noConversion"/>
  </si>
  <si>
    <t>猪八戒普攻</t>
    <phoneticPr fontId="4" type="noConversion"/>
  </si>
  <si>
    <t>猪八戒核心技能</t>
    <phoneticPr fontId="4" type="noConversion"/>
  </si>
  <si>
    <t>zhubajie_skill03</t>
    <phoneticPr fontId="4" type="noConversion"/>
  </si>
  <si>
    <t>猪八戒被动技能</t>
    <phoneticPr fontId="4" type="noConversion"/>
  </si>
  <si>
    <t>zhubajie_skill04</t>
    <phoneticPr fontId="4" type="noConversion"/>
  </si>
  <si>
    <t>猪八戒技能4</t>
    <phoneticPr fontId="4" type="noConversion"/>
  </si>
  <si>
    <t>zhubajie_effect4</t>
  </si>
  <si>
    <t>change_skill01_b</t>
    <phoneticPr fontId="4" type="noConversion"/>
  </si>
  <si>
    <t>嫦娥核心技能起手</t>
    <phoneticPr fontId="4" type="noConversion"/>
  </si>
  <si>
    <t>嫦娥核心技能命中</t>
    <phoneticPr fontId="4" type="noConversion"/>
  </si>
  <si>
    <t>change_skill02</t>
    <phoneticPr fontId="4" type="noConversion"/>
  </si>
  <si>
    <t>嫦娥技能2</t>
    <phoneticPr fontId="4" type="noConversion"/>
  </si>
  <si>
    <t>change_skill04</t>
    <phoneticPr fontId="4" type="noConversion"/>
  </si>
  <si>
    <t>嫦娥技能4</t>
    <phoneticPr fontId="4" type="noConversion"/>
  </si>
  <si>
    <t>huoshen_skill04</t>
    <phoneticPr fontId="4" type="noConversion"/>
  </si>
  <si>
    <t>火神技能4</t>
    <phoneticPr fontId="4" type="noConversion"/>
  </si>
  <si>
    <t>skill_4</t>
    <phoneticPr fontId="4" type="noConversion"/>
  </si>
  <si>
    <t>huoshen_effect4</t>
    <phoneticPr fontId="4" type="noConversion"/>
  </si>
  <si>
    <t>leigong_attack</t>
    <phoneticPr fontId="4" type="noConversion"/>
  </si>
  <si>
    <t>雷公普攻</t>
    <phoneticPr fontId="4" type="noConversion"/>
  </si>
  <si>
    <t>leigong_skill01</t>
    <phoneticPr fontId="4" type="noConversion"/>
  </si>
  <si>
    <t>雷公核心技能</t>
    <phoneticPr fontId="4" type="noConversion"/>
  </si>
  <si>
    <t>leigong_skill02</t>
    <phoneticPr fontId="4" type="noConversion"/>
  </si>
  <si>
    <t>雷公技能2</t>
    <phoneticPr fontId="4" type="noConversion"/>
  </si>
  <si>
    <t>leigong_effect2</t>
    <phoneticPr fontId="4" type="noConversion"/>
  </si>
  <si>
    <t>leigong_skill04</t>
    <phoneticPr fontId="4" type="noConversion"/>
  </si>
  <si>
    <t>雷公技能4</t>
    <phoneticPr fontId="4" type="noConversion"/>
  </si>
  <si>
    <t>leigong_effect4</t>
    <phoneticPr fontId="4" type="noConversion"/>
  </si>
  <si>
    <t>4|1</t>
    <phoneticPr fontId="4" type="noConversion"/>
  </si>
  <si>
    <t>erlangshen_skill02</t>
    <phoneticPr fontId="4" type="noConversion"/>
  </si>
  <si>
    <t>仙灵祝福</t>
  </si>
  <si>
    <t>mu_furongxianzi_skill01</t>
    <phoneticPr fontId="4" type="noConversion"/>
  </si>
  <si>
    <t>nvzhujue_hit</t>
    <phoneticPr fontId="4" type="noConversion"/>
  </si>
  <si>
    <t>女主角命中</t>
    <phoneticPr fontId="4" type="noConversion"/>
  </si>
  <si>
    <t>sunwukong_hit</t>
    <phoneticPr fontId="4" type="noConversion"/>
  </si>
  <si>
    <t>zhubajie_hit</t>
  </si>
  <si>
    <t>zhubajie_hit</t>
    <phoneticPr fontId="4" type="noConversion"/>
  </si>
  <si>
    <t>zixiaxianzi_hit</t>
  </si>
  <si>
    <t>zixiaxianzi_hit</t>
    <phoneticPr fontId="4" type="noConversion"/>
  </si>
  <si>
    <t>erlangshen_hit</t>
    <phoneticPr fontId="4" type="noConversion"/>
  </si>
  <si>
    <t>猪八戒命中</t>
    <phoneticPr fontId="4" type="noConversion"/>
  </si>
  <si>
    <t>紫霞仙子命中</t>
    <phoneticPr fontId="4" type="noConversion"/>
  </si>
  <si>
    <t>孙悟空命中</t>
    <phoneticPr fontId="4" type="noConversion"/>
  </si>
  <si>
    <t>鹿力大仙核心技能_act</t>
    <phoneticPr fontId="4" type="noConversion"/>
  </si>
  <si>
    <t>lulidaxian_skill01_atc</t>
    <phoneticPr fontId="4" type="noConversion"/>
  </si>
  <si>
    <t>zixiaxianzi_attack</t>
    <phoneticPr fontId="4" type="noConversion"/>
  </si>
  <si>
    <t>特效偏移位置点(x,y,z)[字符串]
（右，上，前）</t>
    <phoneticPr fontId="4" type="noConversion"/>
  </si>
  <si>
    <t>taibaijinxing_attack</t>
  </si>
  <si>
    <t>太白金星普攻01</t>
    <phoneticPr fontId="4" type="noConversion"/>
  </si>
  <si>
    <t>attack_1</t>
    <phoneticPr fontId="4" type="noConversion"/>
  </si>
  <si>
    <t>taibaijinxing_effect1</t>
  </si>
  <si>
    <t>taibaijinxing_effect2_hit</t>
  </si>
  <si>
    <t>太白金星核心技能</t>
    <phoneticPr fontId="4" type="noConversion"/>
  </si>
  <si>
    <t>太白金星技能2命中</t>
    <phoneticPr fontId="4" type="noConversion"/>
  </si>
  <si>
    <t>太白金星技能4</t>
    <phoneticPr fontId="4" type="noConversion"/>
  </si>
  <si>
    <t>[]</t>
    <phoneticPr fontId="4" type="noConversion"/>
  </si>
  <si>
    <t>wangmuniangniang_attack</t>
  </si>
  <si>
    <t>wangmuniangniang_effect1</t>
  </si>
  <si>
    <t>wangmuniangniang_effect4</t>
  </si>
  <si>
    <t>0|0.1|0</t>
    <phoneticPr fontId="4" type="noConversion"/>
  </si>
  <si>
    <t>wangmuniangniang_effect1_dun</t>
  </si>
  <si>
    <t>wangmuniangniang_effect2</t>
  </si>
  <si>
    <t>wangmuniangniang_effect2_b</t>
  </si>
  <si>
    <t>王母娘娘普攻01</t>
  </si>
  <si>
    <t>王母娘娘技能2命中</t>
  </si>
  <si>
    <t>王母娘娘技能4</t>
  </si>
  <si>
    <t>王母娘娘核心技能</t>
    <phoneticPr fontId="4" type="noConversion"/>
  </si>
  <si>
    <t>金刚护体_金系核心技能</t>
    <phoneticPr fontId="4" type="noConversion"/>
  </si>
  <si>
    <t>zhangqidutan</t>
  </si>
  <si>
    <t>泾河龙王命中</t>
    <phoneticPr fontId="4" type="noConversion"/>
  </si>
  <si>
    <t>jinghelongwang_hit</t>
    <phoneticPr fontId="4" type="noConversion"/>
  </si>
  <si>
    <t>jinghelongwang_hit</t>
    <phoneticPr fontId="4" type="noConversion"/>
  </si>
  <si>
    <t>0|0|0.5</t>
    <phoneticPr fontId="4" type="noConversion"/>
  </si>
  <si>
    <t>土墙防护</t>
    <phoneticPr fontId="4" type="noConversion"/>
  </si>
  <si>
    <t>feishazoushi</t>
    <phoneticPr fontId="4" type="noConversion"/>
  </si>
  <si>
    <t>tuqiangfanghu</t>
    <phoneticPr fontId="4" type="noConversion"/>
  </si>
  <si>
    <t>leiji</t>
    <phoneticPr fontId="4" type="noConversion"/>
  </si>
  <si>
    <t>taishangyading</t>
    <phoneticPr fontId="4" type="noConversion"/>
  </si>
  <si>
    <t>dicituji</t>
  </si>
  <si>
    <t>地刺突击</t>
    <phoneticPr fontId="4" type="noConversion"/>
  </si>
  <si>
    <t>瘴气毒潭</t>
    <phoneticPr fontId="4" type="noConversion"/>
  </si>
  <si>
    <t>雷击</t>
    <phoneticPr fontId="4" type="noConversion"/>
  </si>
  <si>
    <t>飞沙走石</t>
    <phoneticPr fontId="4" type="noConversion"/>
  </si>
  <si>
    <t>泰上压顶</t>
    <phoneticPr fontId="4" type="noConversion"/>
  </si>
  <si>
    <t>rexuebaofa</t>
  </si>
  <si>
    <t>热血爆发</t>
    <phoneticPr fontId="4" type="noConversion"/>
  </si>
  <si>
    <t>huoqiuzhadan</t>
  </si>
  <si>
    <t>火球炸弹</t>
    <phoneticPr fontId="4" type="noConversion"/>
  </si>
  <si>
    <t>huimiao</t>
  </si>
  <si>
    <t>火鸟</t>
    <phoneticPr fontId="4" type="noConversion"/>
  </si>
  <si>
    <t>shuiwuqinshi</t>
  </si>
  <si>
    <t>水务侵蚀</t>
    <phoneticPr fontId="4" type="noConversion"/>
  </si>
  <si>
    <t>bingbao</t>
  </si>
  <si>
    <t>冰爆</t>
    <phoneticPr fontId="4" type="noConversion"/>
  </si>
  <si>
    <t>shengguangshuiyu</t>
  </si>
  <si>
    <t>huoguang</t>
  </si>
  <si>
    <t>baofengxue</t>
  </si>
  <si>
    <t>duci</t>
  </si>
  <si>
    <t>yingyan</t>
  </si>
  <si>
    <t>dujianyu</t>
  </si>
  <si>
    <t>zhongchui</t>
  </si>
  <si>
    <t>jinganghuti</t>
  </si>
  <si>
    <t>jianqi</t>
  </si>
  <si>
    <t>jisufeijian</t>
  </si>
  <si>
    <t>qinxian_skill02</t>
  </si>
  <si>
    <t>qinxian_attack</t>
  </si>
  <si>
    <t>houbing_attack</t>
  </si>
  <si>
    <t>shanzei2_attack</t>
  </si>
  <si>
    <t>0|0.1|0</t>
  </si>
  <si>
    <t>琴仙普攻</t>
  </si>
  <si>
    <t>琴仙技能2</t>
  </si>
  <si>
    <t>猴兵普攻</t>
  </si>
  <si>
    <t>山贼普攻</t>
  </si>
  <si>
    <t>qinxian_effect2</t>
  </si>
  <si>
    <t>tangsanzang_attack</t>
  </si>
  <si>
    <t>唐三藏普攻01</t>
  </si>
  <si>
    <t>tangsanzang_skill02</t>
  </si>
  <si>
    <t>tangsanzang_skill04_ack</t>
  </si>
  <si>
    <t>0|-0.35|0</t>
    <phoneticPr fontId="4" type="noConversion"/>
  </si>
  <si>
    <t>shaheshang_skill02</t>
  </si>
  <si>
    <t>shaheshang_effect2</t>
  </si>
  <si>
    <t>shaheshang_skill04_ack</t>
  </si>
  <si>
    <t>shaheshang_skill04</t>
  </si>
  <si>
    <t>shaheshang_effect4</t>
  </si>
  <si>
    <t>沙和尚普攻01</t>
  </si>
  <si>
    <t>沙和尚技能2</t>
  </si>
  <si>
    <t>沙和尚技能4动作</t>
  </si>
  <si>
    <t>沙和尚技能4</t>
  </si>
  <si>
    <t>leigong_hit</t>
    <phoneticPr fontId="4" type="noConversion"/>
  </si>
  <si>
    <t>physical_crit1</t>
    <phoneticPr fontId="4" type="noConversion"/>
  </si>
  <si>
    <t>physical_crit2</t>
    <phoneticPr fontId="4" type="noConversion"/>
  </si>
  <si>
    <t>通用命中钝器</t>
    <phoneticPr fontId="4" type="noConversion"/>
  </si>
  <si>
    <t>通用命中轻武器</t>
    <phoneticPr fontId="4" type="noConversion"/>
  </si>
  <si>
    <t>通用命中重武器</t>
    <phoneticPr fontId="4" type="noConversion"/>
  </si>
  <si>
    <t>通用命中法术</t>
    <phoneticPr fontId="4" type="noConversion"/>
  </si>
  <si>
    <t>通用命中常规</t>
    <phoneticPr fontId="4" type="noConversion"/>
  </si>
  <si>
    <t>common_hit_dunqi</t>
    <phoneticPr fontId="4" type="noConversion"/>
  </si>
  <si>
    <t>common_hit_qinwuqi</t>
    <phoneticPr fontId="4" type="noConversion"/>
  </si>
  <si>
    <t>common_hit_zhongwuqi</t>
    <phoneticPr fontId="4" type="noConversion"/>
  </si>
  <si>
    <t>common_hit_fashu</t>
    <phoneticPr fontId="4" type="noConversion"/>
  </si>
  <si>
    <t>physical_crit3</t>
    <phoneticPr fontId="4" type="noConversion"/>
  </si>
  <si>
    <t>physical_crit4</t>
    <phoneticPr fontId="4" type="noConversion"/>
  </si>
  <si>
    <t>shaheshang_skill01</t>
    <phoneticPr fontId="4" type="noConversion"/>
  </si>
  <si>
    <t>沙和尚核心技能</t>
    <phoneticPr fontId="4" type="noConversion"/>
  </si>
  <si>
    <t>shaheshang_effect1</t>
    <phoneticPr fontId="4" type="noConversion"/>
  </si>
  <si>
    <t>0|0|0</t>
    <phoneticPr fontId="4" type="noConversion"/>
  </si>
  <si>
    <t>wangmuniangniang_effect1_z</t>
    <phoneticPr fontId="4" type="noConversion"/>
  </si>
  <si>
    <t>zhujue_skill05</t>
    <phoneticPr fontId="4" type="noConversion"/>
  </si>
  <si>
    <t>预警</t>
    <phoneticPr fontId="4" type="noConversion"/>
  </si>
  <si>
    <t>[]</t>
    <phoneticPr fontId="4" type="noConversion"/>
  </si>
  <si>
    <t>boss_warning_cri</t>
  </si>
  <si>
    <t>skill_4</t>
    <phoneticPr fontId="4" type="noConversion"/>
  </si>
  <si>
    <t>skill_4</t>
    <phoneticPr fontId="4" type="noConversion"/>
  </si>
  <si>
    <t>attack_1</t>
    <phoneticPr fontId="4" type="noConversion"/>
  </si>
  <si>
    <t>bailonggongzhu_attack</t>
    <phoneticPr fontId="4" type="noConversion"/>
  </si>
  <si>
    <t>[]</t>
    <phoneticPr fontId="4" type="noConversion"/>
  </si>
  <si>
    <t>[]</t>
    <phoneticPr fontId="4" type="noConversion"/>
  </si>
  <si>
    <t>[]</t>
    <phoneticPr fontId="4" type="noConversion"/>
  </si>
  <si>
    <t>shanzei_attack</t>
    <phoneticPr fontId="4" type="noConversion"/>
  </si>
  <si>
    <t>null</t>
    <phoneticPr fontId="4" type="noConversion"/>
  </si>
  <si>
    <t>boss_zhaohuan_effect</t>
  </si>
  <si>
    <t>boss_spawn_monster</t>
    <phoneticPr fontId="4" type="noConversion"/>
  </si>
  <si>
    <t>14|1</t>
    <phoneticPr fontId="4" type="noConversion"/>
  </si>
  <si>
    <t>太白金星技能2飞行</t>
    <phoneticPr fontId="4" type="noConversion"/>
  </si>
  <si>
    <t>[]</t>
    <phoneticPr fontId="4" type="noConversion"/>
  </si>
  <si>
    <t>taibaijinxing_effect4</t>
    <phoneticPr fontId="4" type="noConversion"/>
  </si>
  <si>
    <t>孙悟空核心技能</t>
  </si>
  <si>
    <t>sunwukong_effect1</t>
  </si>
  <si>
    <t>sunwukong_skill02</t>
  </si>
  <si>
    <t>sunwukong_skill03</t>
  </si>
  <si>
    <t>孙悟空被动技能</t>
  </si>
  <si>
    <t>sunwukong_skill04</t>
  </si>
  <si>
    <t>孙悟空技能4</t>
  </si>
  <si>
    <t>sunwukong_skill01_atc</t>
    <phoneticPr fontId="4" type="noConversion"/>
  </si>
  <si>
    <t>孙悟空技能2</t>
    <phoneticPr fontId="4" type="noConversion"/>
  </si>
  <si>
    <t>0|1|0</t>
  </si>
  <si>
    <t>lulidaxian_skill01</t>
  </si>
  <si>
    <t>鹿力大仙核心技能</t>
  </si>
  <si>
    <t>鹿力大仙技能2</t>
  </si>
  <si>
    <t>lulidaxian_skill03</t>
  </si>
  <si>
    <t>鹿力大仙被动技能</t>
  </si>
  <si>
    <t>lulidaxian_skill04</t>
  </si>
  <si>
    <t>鹿力大仙技能4</t>
  </si>
  <si>
    <t>lulidaxian_effect4</t>
  </si>
  <si>
    <t>鹿力大仙技能2_武器骨骼1</t>
  </si>
  <si>
    <t>lulidaxian_effect2_Bip001 Prop1</t>
  </si>
  <si>
    <t>lulidaxian_skill02_bip2</t>
  </si>
  <si>
    <t>鹿力大仙技能2_武器骨骼2</t>
  </si>
  <si>
    <t>lulidaxian_effect2_Bip001 Prop2</t>
  </si>
  <si>
    <t>zhubajie_skill02_q</t>
  </si>
  <si>
    <t>猪八戒技能2起手</t>
  </si>
  <si>
    <t>猪八戒技能2命中</t>
  </si>
  <si>
    <t>tangsanzang_skill01_ack</t>
  </si>
  <si>
    <t>唐三藏核心技能动作</t>
  </si>
  <si>
    <t>tangsanzang_skill01</t>
  </si>
  <si>
    <t>唐三藏核心技能命中特效</t>
  </si>
  <si>
    <t>tangsanzang_effect4</t>
  </si>
  <si>
    <t>唐三藏技能2</t>
  </si>
  <si>
    <t>tangsanzang_effect2</t>
  </si>
  <si>
    <t>唐三藏技能4动作</t>
  </si>
  <si>
    <t>唐三藏技能4</t>
  </si>
  <si>
    <t>-0.5|0.5|2</t>
  </si>
  <si>
    <t>honghaier_skill01</t>
    <phoneticPr fontId="4" type="noConversion"/>
  </si>
  <si>
    <t>红孩儿核心技能</t>
    <phoneticPr fontId="4" type="noConversion"/>
  </si>
  <si>
    <t>skill_4</t>
    <phoneticPr fontId="4" type="noConversion"/>
  </si>
  <si>
    <t>[]</t>
    <phoneticPr fontId="4" type="noConversion"/>
  </si>
  <si>
    <t>lijianxueren_ack</t>
  </si>
  <si>
    <t>砺剑血刃动作</t>
  </si>
  <si>
    <t>lijianxueren_perf</t>
  </si>
  <si>
    <t>砺剑血刃buff特效</t>
  </si>
  <si>
    <t>metal03@skill01</t>
  </si>
  <si>
    <t>-0.3|0.1|1</t>
  </si>
  <si>
    <t>0|0.1|1</t>
  </si>
  <si>
    <t>qinxian_skill02_hit</t>
  </si>
  <si>
    <t>琴仙技能命中</t>
  </si>
  <si>
    <t>qinxian_effect2_b</t>
  </si>
  <si>
    <t>0|180|0</t>
    <phoneticPr fontId="4" type="noConversion"/>
  </si>
  <si>
    <t>honghaier_skill01_f</t>
    <phoneticPr fontId="4" type="noConversion"/>
  </si>
  <si>
    <t>honghaier_effect1</t>
    <phoneticPr fontId="4" type="noConversion"/>
  </si>
  <si>
    <t>honghaier_effect1_f</t>
  </si>
  <si>
    <t>4|1</t>
    <phoneticPr fontId="4" type="noConversion"/>
  </si>
  <si>
    <t>0|0|1.64</t>
    <phoneticPr fontId="4" type="noConversion"/>
  </si>
  <si>
    <t>0|0|-2.0</t>
  </si>
  <si>
    <t>[]</t>
    <phoneticPr fontId="4" type="noConversion"/>
  </si>
  <si>
    <t>xiabing_attack</t>
    <phoneticPr fontId="4" type="noConversion"/>
  </si>
  <si>
    <t>虾兵</t>
    <phoneticPr fontId="4" type="noConversion"/>
  </si>
  <si>
    <t>xiabing_attack</t>
    <phoneticPr fontId="4" type="noConversion"/>
  </si>
  <si>
    <t>太白金星技能4</t>
  </si>
  <si>
    <t>taibaijinxing_effect4_b</t>
  </si>
  <si>
    <t>taibaijinxing_effect4_b</t>
    <phoneticPr fontId="4" type="noConversion"/>
  </si>
  <si>
    <t>douzhanshengfo_skill01</t>
  </si>
  <si>
    <t>斗战胜佛核心技能</t>
    <phoneticPr fontId="4" type="noConversion"/>
  </si>
  <si>
    <t>douzhanshengfo_effect1</t>
    <phoneticPr fontId="4" type="noConversion"/>
  </si>
  <si>
    <t>yanglidaxian_skill02_atk</t>
    <phoneticPr fontId="4" type="noConversion"/>
  </si>
  <si>
    <t>[]</t>
    <phoneticPr fontId="4" type="noConversion"/>
  </si>
  <si>
    <t>桃子普攻</t>
    <phoneticPr fontId="4" type="noConversion"/>
  </si>
  <si>
    <t>[]</t>
    <phoneticPr fontId="4" type="noConversion"/>
  </si>
  <si>
    <t>taozi_attack</t>
    <phoneticPr fontId="4" type="noConversion"/>
  </si>
  <si>
    <t>yuhuangdadi_effect2</t>
  </si>
  <si>
    <t>yuhuangdadi_effect4</t>
  </si>
  <si>
    <t>yuhuangdadi_effect4_q</t>
  </si>
  <si>
    <t>attack_2</t>
    <phoneticPr fontId="4" type="noConversion"/>
  </si>
  <si>
    <t>attack_3</t>
    <phoneticPr fontId="4" type="noConversion"/>
  </si>
  <si>
    <t>yuhuangdadi_attack1</t>
  </si>
  <si>
    <t>yuhuangdadi_attack2</t>
  </si>
  <si>
    <t>yuhuangdadi_attack3</t>
    <phoneticPr fontId="4" type="noConversion"/>
  </si>
  <si>
    <t>yuhuangdadi_skill02_act</t>
    <phoneticPr fontId="4" type="noConversion"/>
  </si>
  <si>
    <t>yuhuangdadi_attack</t>
    <phoneticPr fontId="4" type="noConversion"/>
  </si>
  <si>
    <t>donghailongwang_attack1</t>
  </si>
  <si>
    <t>donghailongwang_attack2</t>
    <phoneticPr fontId="4" type="noConversion"/>
  </si>
  <si>
    <t>donghailongwang_attack3</t>
    <phoneticPr fontId="4" type="noConversion"/>
  </si>
  <si>
    <t>donghailongwang_skill01</t>
    <phoneticPr fontId="4" type="noConversion"/>
  </si>
  <si>
    <t>donghailongwang_skill01_atk</t>
    <phoneticPr fontId="4" type="noConversion"/>
  </si>
  <si>
    <t>东海龙王核心技能动作</t>
    <phoneticPr fontId="4" type="noConversion"/>
  </si>
  <si>
    <t>东海龙王核心技能命中效果</t>
    <phoneticPr fontId="4" type="noConversion"/>
  </si>
  <si>
    <t>[]</t>
    <phoneticPr fontId="4" type="noConversion"/>
  </si>
  <si>
    <t>donghailongwang_effect1</t>
    <phoneticPr fontId="4" type="noConversion"/>
  </si>
  <si>
    <t>skill_2</t>
    <phoneticPr fontId="4" type="noConversion"/>
  </si>
  <si>
    <t>0|-0.4|1.64</t>
  </si>
  <si>
    <t>白无常普攻</t>
  </si>
  <si>
    <t>白无常核心技能</t>
    <phoneticPr fontId="4" type="noConversion"/>
  </si>
  <si>
    <t>白无常技能2起手</t>
    <phoneticPr fontId="4" type="noConversion"/>
  </si>
  <si>
    <t>白无常技能2飞行</t>
    <phoneticPr fontId="4" type="noConversion"/>
  </si>
  <si>
    <t>白无常技能2爆炸</t>
    <phoneticPr fontId="4" type="noConversion"/>
  </si>
  <si>
    <t>白无常技能4起手</t>
  </si>
  <si>
    <t>白无常技能4飞行</t>
  </si>
  <si>
    <t>白无常技能4爆炸</t>
  </si>
  <si>
    <t>skill_4</t>
    <phoneticPr fontId="4" type="noConversion"/>
  </si>
  <si>
    <t>[]</t>
    <phoneticPr fontId="4" type="noConversion"/>
  </si>
  <si>
    <t>[]</t>
    <phoneticPr fontId="4" type="noConversion"/>
  </si>
  <si>
    <t>4|1</t>
    <phoneticPr fontId="4" type="noConversion"/>
  </si>
  <si>
    <t>0|0.01|1</t>
    <phoneticPr fontId="4" type="noConversion"/>
  </si>
  <si>
    <t>白无常技能4定身</t>
    <phoneticPr fontId="4" type="noConversion"/>
  </si>
  <si>
    <t>[]</t>
    <phoneticPr fontId="4" type="noConversion"/>
  </si>
  <si>
    <t>niutou_attack</t>
  </si>
  <si>
    <t>niutou_skill01</t>
  </si>
  <si>
    <t>niutou_skill02</t>
  </si>
  <si>
    <t>niutou_skill04</t>
  </si>
  <si>
    <t>niutou_effect2</t>
  </si>
  <si>
    <t>niutou_effect4</t>
  </si>
  <si>
    <t>niutou_effect1</t>
    <phoneticPr fontId="4" type="noConversion"/>
  </si>
  <si>
    <t>niutou_attack1</t>
    <phoneticPr fontId="4" type="noConversion"/>
  </si>
  <si>
    <t>牛头普攻</t>
  </si>
  <si>
    <t>牛头技能2</t>
  </si>
  <si>
    <t>牛头核心技能</t>
    <phoneticPr fontId="4" type="noConversion"/>
  </si>
  <si>
    <t>牛头技能4</t>
    <phoneticPr fontId="4" type="noConversion"/>
  </si>
  <si>
    <t>niutou_skill04_l</t>
    <phoneticPr fontId="4" type="noConversion"/>
  </si>
  <si>
    <t>niutou_skill04_r</t>
    <phoneticPr fontId="4" type="noConversion"/>
  </si>
  <si>
    <t>牛头技能4左手</t>
    <phoneticPr fontId="4" type="noConversion"/>
  </si>
  <si>
    <t>牛头技能4右手</t>
    <phoneticPr fontId="4" type="noConversion"/>
  </si>
  <si>
    <t>niutou_effect4_Bip001 L Hand</t>
  </si>
  <si>
    <t>niutou_effect4_Bip001 R Hand</t>
  </si>
  <si>
    <t>niutou_skill01_f</t>
    <phoneticPr fontId="4" type="noConversion"/>
  </si>
  <si>
    <t>niutou_effect1_f</t>
  </si>
  <si>
    <t>[]</t>
    <phoneticPr fontId="4" type="noConversion"/>
  </si>
  <si>
    <t>牛头核心技能_飞行伤害</t>
    <phoneticPr fontId="4" type="noConversion"/>
  </si>
  <si>
    <t>4|1</t>
    <phoneticPr fontId="4" type="noConversion"/>
  </si>
  <si>
    <t>牛头核心技能</t>
  </si>
  <si>
    <t>牛头技能4</t>
  </si>
  <si>
    <t>mamian_attack</t>
  </si>
  <si>
    <t>mamian_skill01</t>
  </si>
  <si>
    <t>mamian_effect1</t>
  </si>
  <si>
    <t>mamian_skill02</t>
  </si>
  <si>
    <t>mamian_effect2</t>
  </si>
  <si>
    <t>mamian_skill04</t>
  </si>
  <si>
    <t>mamian_effect4</t>
  </si>
  <si>
    <t>mamian_attack1</t>
    <phoneticPr fontId="4" type="noConversion"/>
  </si>
  <si>
    <t>yanluowang_attack</t>
  </si>
  <si>
    <t>阎罗王普攻</t>
  </si>
  <si>
    <t>4|2</t>
  </si>
  <si>
    <t>yanluowang_skill01</t>
  </si>
  <si>
    <t>阎罗王核心技能</t>
  </si>
  <si>
    <t>yanluowang_effect1</t>
  </si>
  <si>
    <t>yanluowang_skill01_atk</t>
  </si>
  <si>
    <t>阎罗王核心技能_动作</t>
  </si>
  <si>
    <t>yanluowang_skill02</t>
  </si>
  <si>
    <t>阎罗王技能2</t>
  </si>
  <si>
    <t>yanluowang_effect4</t>
  </si>
  <si>
    <t>yanluowang_skill04</t>
  </si>
  <si>
    <t>阎罗王技能4</t>
  </si>
  <si>
    <t>yanluowang_effect2</t>
  </si>
  <si>
    <t>yanluowang_skill04_f</t>
  </si>
  <si>
    <t>yanluowang_effect2_f</t>
  </si>
  <si>
    <t>0.03|0.78|1.7</t>
  </si>
  <si>
    <t>yanluowang_skill04_b</t>
  </si>
  <si>
    <t>yanluowang_effect2_b</t>
  </si>
  <si>
    <t>yanluowang_effect2_b_buff</t>
  </si>
  <si>
    <t>0|0|2</t>
    <phoneticPr fontId="4" type="noConversion"/>
  </si>
  <si>
    <t>douzhanshengfo_attack</t>
    <phoneticPr fontId="4" type="noConversion"/>
  </si>
  <si>
    <t>douzhanshengfo_skill02</t>
    <phoneticPr fontId="4" type="noConversion"/>
  </si>
  <si>
    <t>斗战胜佛技能2</t>
    <phoneticPr fontId="4" type="noConversion"/>
  </si>
  <si>
    <t>斗战胜佛技能4_qishou</t>
    <phoneticPr fontId="4" type="noConversion"/>
  </si>
  <si>
    <t>斗战胜佛技能4</t>
    <phoneticPr fontId="4" type="noConversion"/>
  </si>
  <si>
    <t>douzhanshengfo_skill04_wq</t>
    <phoneticPr fontId="4" type="noConversion"/>
  </si>
  <si>
    <t>douzhanshengfo_attack1</t>
    <phoneticPr fontId="4" type="noConversion"/>
  </si>
  <si>
    <t>斗战胜佛普攻</t>
    <phoneticPr fontId="4" type="noConversion"/>
  </si>
  <si>
    <t>[]</t>
    <phoneticPr fontId="4" type="noConversion"/>
  </si>
  <si>
    <t>skill_2</t>
    <phoneticPr fontId="4" type="noConversion"/>
  </si>
  <si>
    <t>0|0|1.5</t>
    <phoneticPr fontId="4" type="noConversion"/>
  </si>
  <si>
    <t>tianjiang_skill02</t>
    <phoneticPr fontId="4" type="noConversion"/>
  </si>
  <si>
    <t>天将技能2</t>
    <phoneticPr fontId="4" type="noConversion"/>
  </si>
  <si>
    <t>tianjiang_effect2</t>
    <phoneticPr fontId="4" type="noConversion"/>
  </si>
  <si>
    <t>jiutianxuannv_attack</t>
  </si>
  <si>
    <t>jiutianxuannv_skill01</t>
  </si>
  <si>
    <t>jiutianxuannv_skill02</t>
  </si>
  <si>
    <t>jiutianxuannv_skill04</t>
  </si>
  <si>
    <t>jiaye_attack</t>
  </si>
  <si>
    <t>jiaye_skill01</t>
  </si>
  <si>
    <t>jiaye_skill02</t>
  </si>
  <si>
    <t>九天玄女普攻</t>
    <phoneticPr fontId="4" type="noConversion"/>
  </si>
  <si>
    <t>九天玄女核心技能</t>
    <phoneticPr fontId="4" type="noConversion"/>
  </si>
  <si>
    <t>九天玄女技能2</t>
    <phoneticPr fontId="4" type="noConversion"/>
  </si>
  <si>
    <t>九天玄女技能2命中</t>
    <phoneticPr fontId="4" type="noConversion"/>
  </si>
  <si>
    <t>九天玄女技能4</t>
    <phoneticPr fontId="4" type="noConversion"/>
  </si>
  <si>
    <t>九天玄女技能4起手</t>
    <phoneticPr fontId="4" type="noConversion"/>
  </si>
  <si>
    <t>迦叶普攻</t>
    <phoneticPr fontId="4" type="noConversion"/>
  </si>
  <si>
    <t>迦叶核心技能命中</t>
    <phoneticPr fontId="4" type="noConversion"/>
  </si>
  <si>
    <t>迦叶技能2</t>
    <phoneticPr fontId="4" type="noConversion"/>
  </si>
  <si>
    <t>迦叶技能4</t>
    <phoneticPr fontId="4" type="noConversion"/>
  </si>
  <si>
    <t>迦叶核心技能</t>
    <phoneticPr fontId="4" type="noConversion"/>
  </si>
  <si>
    <t>skill_4</t>
    <phoneticPr fontId="4" type="noConversion"/>
  </si>
  <si>
    <t>skill_2</t>
    <phoneticPr fontId="4" type="noConversion"/>
  </si>
  <si>
    <t>[]</t>
    <phoneticPr fontId="4" type="noConversion"/>
  </si>
  <si>
    <t>特效偏移角度
(x,y,z)[字符串]
（垂直，水平，垂直）</t>
    <phoneticPr fontId="4" type="noConversion"/>
  </si>
  <si>
    <t>jiaye_effect1</t>
  </si>
  <si>
    <t>jiaye_effect2</t>
  </si>
  <si>
    <t>jiaye_effect4</t>
  </si>
  <si>
    <t>jiaye_effect1_dun</t>
  </si>
  <si>
    <t>玉皇大帝AI技能2_动作</t>
    <phoneticPr fontId="4" type="noConversion"/>
  </si>
  <si>
    <t>玉皇大帝AI技能2_特效</t>
    <phoneticPr fontId="4" type="noConversion"/>
  </si>
  <si>
    <t>yudi_effect5</t>
  </si>
  <si>
    <t>xiezijing_attack</t>
    <phoneticPr fontId="4" type="noConversion"/>
  </si>
  <si>
    <t>xiezijing_skill01</t>
    <phoneticPr fontId="4" type="noConversion"/>
  </si>
  <si>
    <t>蝎子精核心技能</t>
    <phoneticPr fontId="4" type="noConversion"/>
  </si>
  <si>
    <t>xiezijing_effect1</t>
    <phoneticPr fontId="4" type="noConversion"/>
  </si>
  <si>
    <t>xiezijing_skill01_1</t>
    <phoneticPr fontId="4" type="noConversion"/>
  </si>
  <si>
    <t>xiezijing_effect1_b</t>
  </si>
  <si>
    <t>xiezijing_effect4_f</t>
    <phoneticPr fontId="4" type="noConversion"/>
  </si>
  <si>
    <t>0|0|2.35</t>
    <phoneticPr fontId="4" type="noConversion"/>
  </si>
  <si>
    <t>buff_xiezijing_skill04</t>
  </si>
  <si>
    <t>蝎子精技能4_中毒BUFF</t>
    <phoneticPr fontId="4" type="noConversion"/>
  </si>
  <si>
    <t>common_xuruo</t>
  </si>
  <si>
    <t>[]</t>
    <phoneticPr fontId="4" type="noConversion"/>
  </si>
  <si>
    <t>zhizhujing_attack</t>
  </si>
  <si>
    <t>蜘蛛精普攻</t>
  </si>
  <si>
    <t>zhizhujing_attack1</t>
  </si>
  <si>
    <t>0.118|0.276|0.863</t>
  </si>
  <si>
    <t>zhizhujing_skill01</t>
  </si>
  <si>
    <t>蜘蛛精核心技能</t>
  </si>
  <si>
    <t>蜘蛛精技能2</t>
  </si>
  <si>
    <t>zhizhujing_effect2</t>
  </si>
  <si>
    <t>zhizhujing_skill04</t>
  </si>
  <si>
    <t>蜘蛛精技能4</t>
  </si>
  <si>
    <t>zhizhujing_effect4</t>
  </si>
  <si>
    <t>zhizhujing_skill04_b</t>
  </si>
  <si>
    <t>蜘蛛精技能4—buff</t>
  </si>
  <si>
    <t>zhizhujing_effect4_buff</t>
  </si>
  <si>
    <t>[]</t>
    <phoneticPr fontId="4" type="noConversion"/>
  </si>
  <si>
    <t>bailonggongzhu_skill02_q</t>
    <phoneticPr fontId="4" type="noConversion"/>
  </si>
  <si>
    <t>bailonggongzhu_skill02</t>
    <phoneticPr fontId="4" type="noConversion"/>
  </si>
  <si>
    <t>tuqiangfanghu_1</t>
    <phoneticPr fontId="4" type="noConversion"/>
  </si>
  <si>
    <t>[]</t>
    <phoneticPr fontId="4" type="noConversion"/>
  </si>
  <si>
    <t>[]</t>
    <phoneticPr fontId="4" type="noConversion"/>
  </si>
  <si>
    <t>bingdong_effect</t>
    <phoneticPr fontId="4" type="noConversion"/>
  </si>
  <si>
    <t>0|0|1</t>
    <phoneticPr fontId="4" type="noConversion"/>
  </si>
  <si>
    <t>0|0|1</t>
    <phoneticPr fontId="4" type="noConversion"/>
  </si>
  <si>
    <t>0|0|2</t>
    <phoneticPr fontId="4" type="noConversion"/>
  </si>
  <si>
    <t>[]</t>
    <phoneticPr fontId="4" type="noConversion"/>
  </si>
  <si>
    <t>liuermihou_skill01</t>
    <phoneticPr fontId="4" type="noConversion"/>
  </si>
  <si>
    <t>六耳猕猴核心技能</t>
    <phoneticPr fontId="4" type="noConversion"/>
  </si>
  <si>
    <t>liuermihou_effect1</t>
    <phoneticPr fontId="4" type="noConversion"/>
  </si>
  <si>
    <t>guishibai_attack</t>
  </si>
  <si>
    <t>guishibai_skill01</t>
  </si>
  <si>
    <t>guishibai_skill02</t>
  </si>
  <si>
    <t>guishibai_skill02_f</t>
  </si>
  <si>
    <t>guishibai_skill02_b</t>
  </si>
  <si>
    <t>guishibai_skill04</t>
  </si>
  <si>
    <t>guishibai_skill04_f</t>
  </si>
  <si>
    <t>guishibai_skill04_b</t>
  </si>
  <si>
    <t>guishibai_skill04_d</t>
  </si>
  <si>
    <t>guishibai_effect1</t>
  </si>
  <si>
    <t>guishibai_effect2</t>
  </si>
  <si>
    <t>guishibai_effect2_f</t>
  </si>
  <si>
    <t>guishibai_effect2_b</t>
  </si>
  <si>
    <t>guishibai_effect4</t>
  </si>
  <si>
    <t>guishibai_effect4_f</t>
  </si>
  <si>
    <t>guishibai_effect4_b</t>
  </si>
  <si>
    <t>guishibai_effect4_b_buff</t>
  </si>
  <si>
    <t>guishihei_attack</t>
  </si>
  <si>
    <t>guishihei_attack1</t>
    <phoneticPr fontId="4" type="noConversion"/>
  </si>
  <si>
    <t>guishihei_attack2</t>
    <phoneticPr fontId="4" type="noConversion"/>
  </si>
  <si>
    <t>attack_2</t>
    <phoneticPr fontId="4" type="noConversion"/>
  </si>
  <si>
    <t>guishihei_attack2</t>
    <phoneticPr fontId="4" type="noConversion"/>
  </si>
  <si>
    <t>guishihei_skill01</t>
  </si>
  <si>
    <t>白无常核心技能</t>
  </si>
  <si>
    <t>guishihei_skill02</t>
  </si>
  <si>
    <t>guishihei_effect2</t>
  </si>
  <si>
    <t>guishihei_skill04_q</t>
    <phoneticPr fontId="4" type="noConversion"/>
  </si>
  <si>
    <t>[]</t>
    <phoneticPr fontId="4" type="noConversion"/>
  </si>
  <si>
    <t>guishihei_effect4</t>
  </si>
  <si>
    <t>guishihei_skill04</t>
  </si>
  <si>
    <t>金蝉子普攻</t>
  </si>
  <si>
    <t>金蝉子核心技能</t>
  </si>
  <si>
    <t>jinchanzi_attack</t>
  </si>
  <si>
    <t>jinchanzi_skill01</t>
  </si>
  <si>
    <t>jinchanzi_effect1</t>
  </si>
  <si>
    <t>jinchanzi_skill02</t>
  </si>
  <si>
    <t>jinchanzi_effect2</t>
  </si>
  <si>
    <t>jinchanzi_effect4</t>
  </si>
  <si>
    <t>common_chenmo</t>
    <phoneticPr fontId="4" type="noConversion"/>
  </si>
  <si>
    <t>common_chenmo</t>
    <phoneticPr fontId="4" type="noConversion"/>
  </si>
  <si>
    <t>沉默效果</t>
    <phoneticPr fontId="4" type="noConversion"/>
  </si>
  <si>
    <t>[]</t>
    <phoneticPr fontId="4" type="noConversion"/>
  </si>
  <si>
    <t>baiwuchang_attack</t>
  </si>
  <si>
    <t>baiwuchang_skill01</t>
  </si>
  <si>
    <t>baiwuchang_effect1</t>
  </si>
  <si>
    <t>白无常技能2</t>
  </si>
  <si>
    <t>白无常技能4</t>
  </si>
  <si>
    <t>baiwuchang_effect4</t>
  </si>
  <si>
    <t>baiwuchang_attack</t>
    <phoneticPr fontId="4" type="noConversion"/>
  </si>
  <si>
    <t>[]</t>
    <phoneticPr fontId="4" type="noConversion"/>
  </si>
  <si>
    <t>白无常核心技能_buff</t>
    <phoneticPr fontId="4" type="noConversion"/>
  </si>
  <si>
    <t>baiwuchang_effect1_buff</t>
    <phoneticPr fontId="4" type="noConversion"/>
  </si>
  <si>
    <t>白无常技能4_爆炸</t>
    <phoneticPr fontId="4" type="noConversion"/>
  </si>
  <si>
    <t>[]</t>
    <phoneticPr fontId="4" type="noConversion"/>
  </si>
  <si>
    <t>白无常技能4_buff</t>
    <phoneticPr fontId="4" type="noConversion"/>
  </si>
  <si>
    <t>baiwuchang_effect4_buff</t>
    <phoneticPr fontId="4" type="noConversion"/>
  </si>
  <si>
    <t>baiwuchang_effect4_b</t>
  </si>
  <si>
    <t>heiwuchang_attack</t>
  </si>
  <si>
    <t>heiwuchang_skill04</t>
  </si>
  <si>
    <t>heiwuchang_skill02_b</t>
    <phoneticPr fontId="4" type="noConversion"/>
  </si>
  <si>
    <t>heiwuchang_skill04_bip</t>
    <phoneticPr fontId="4" type="noConversion"/>
  </si>
  <si>
    <t>黑无常普攻</t>
  </si>
  <si>
    <t>黑无常核心技能</t>
  </si>
  <si>
    <t>黑无常核心技能_buff</t>
  </si>
  <si>
    <t>黑无常技能2</t>
  </si>
  <si>
    <t>黑无常技能4</t>
  </si>
  <si>
    <t>黑无常技能4_爆炸</t>
  </si>
  <si>
    <t>heiwuchang_effect4_Bip001 Footsteps</t>
  </si>
  <si>
    <t>heiwuchang_effect2_b</t>
  </si>
  <si>
    <t>heiwuchang_effect1_q</t>
  </si>
  <si>
    <t>heiwuchang_effect1_b</t>
  </si>
  <si>
    <t>heiwuchang_skill01_buff</t>
    <phoneticPr fontId="4" type="noConversion"/>
  </si>
  <si>
    <t>milefo_attack</t>
    <phoneticPr fontId="4" type="noConversion"/>
  </si>
  <si>
    <t>弥勒佛普攻</t>
    <phoneticPr fontId="4" type="noConversion"/>
  </si>
  <si>
    <t>0|1|0</t>
    <phoneticPr fontId="4" type="noConversion"/>
  </si>
  <si>
    <t>弥勒佛核心技能</t>
    <phoneticPr fontId="4" type="noConversion"/>
  </si>
  <si>
    <t>milefo_skill01</t>
    <phoneticPr fontId="4" type="noConversion"/>
  </si>
  <si>
    <t>[]</t>
    <phoneticPr fontId="4" type="noConversion"/>
  </si>
  <si>
    <t>milefo_effect1</t>
    <phoneticPr fontId="4" type="noConversion"/>
  </si>
  <si>
    <t>milefo_skill02</t>
    <phoneticPr fontId="4" type="noConversion"/>
  </si>
  <si>
    <t>弥勒佛技能2</t>
    <phoneticPr fontId="4" type="noConversion"/>
  </si>
  <si>
    <t>milefo_effect2</t>
    <phoneticPr fontId="4" type="noConversion"/>
  </si>
  <si>
    <t>milefo_skill02_f</t>
    <phoneticPr fontId="4" type="noConversion"/>
  </si>
  <si>
    <t>弥勒佛技能2命中</t>
    <phoneticPr fontId="4" type="noConversion"/>
  </si>
  <si>
    <t>milefo_skill04</t>
    <phoneticPr fontId="4" type="noConversion"/>
  </si>
  <si>
    <t>弥勒佛技能4</t>
    <phoneticPr fontId="4" type="noConversion"/>
  </si>
  <si>
    <t>milefo_effect4</t>
    <phoneticPr fontId="4" type="noConversion"/>
  </si>
  <si>
    <t>milefo_skill04_f</t>
    <phoneticPr fontId="4" type="noConversion"/>
  </si>
  <si>
    <t>弥勒佛技能4命中</t>
    <phoneticPr fontId="4" type="noConversion"/>
  </si>
  <si>
    <t>wenshupusa_attack_f</t>
  </si>
  <si>
    <t>wenshupusa_effect2</t>
  </si>
  <si>
    <t>wenshupusa_effect2_b</t>
  </si>
  <si>
    <t>wenshupusa_effect4</t>
  </si>
  <si>
    <t>sunwukong_effect2_zhanshi</t>
    <phoneticPr fontId="4" type="noConversion"/>
  </si>
  <si>
    <t>sunwukong_effect4_zhanshi</t>
    <phoneticPr fontId="4" type="noConversion"/>
  </si>
  <si>
    <t>babutianlong_skill01</t>
    <phoneticPr fontId="4" type="noConversion"/>
  </si>
  <si>
    <t>babutianlong_skill02</t>
    <phoneticPr fontId="4" type="noConversion"/>
  </si>
  <si>
    <t>babutianlong_skill04</t>
    <phoneticPr fontId="4" type="noConversion"/>
  </si>
  <si>
    <t>八部天龙普攻</t>
  </si>
  <si>
    <t>八部天龙核心技能起手</t>
  </si>
  <si>
    <t>八部天龙技能2</t>
  </si>
  <si>
    <t>niumowang_effect2_zhanshi</t>
    <phoneticPr fontId="4" type="noConversion"/>
  </si>
  <si>
    <t>niumowang_effect4_zhanshi</t>
    <phoneticPr fontId="4" type="noConversion"/>
  </si>
  <si>
    <t>babutianlong_effect1</t>
    <phoneticPr fontId="4" type="noConversion"/>
  </si>
  <si>
    <t>babutianlong_effect2</t>
    <phoneticPr fontId="4" type="noConversion"/>
  </si>
  <si>
    <t>babutianlong_attack1</t>
    <phoneticPr fontId="4" type="noConversion"/>
  </si>
  <si>
    <t>babutianlong_attack1</t>
    <phoneticPr fontId="4" type="noConversion"/>
  </si>
  <si>
    <t>babutianlong_attack_f</t>
  </si>
  <si>
    <t>八部天龙技能4</t>
    <phoneticPr fontId="4" type="noConversion"/>
  </si>
  <si>
    <t>八部天龙技能4飞行</t>
    <phoneticPr fontId="4" type="noConversion"/>
  </si>
  <si>
    <t>longdi_attack</t>
    <phoneticPr fontId="4" type="noConversion"/>
  </si>
  <si>
    <t>龙帝普攻</t>
    <phoneticPr fontId="4" type="noConversion"/>
  </si>
  <si>
    <t>attack_1</t>
    <phoneticPr fontId="4" type="noConversion"/>
  </si>
  <si>
    <t>[]</t>
    <phoneticPr fontId="4" type="noConversion"/>
  </si>
  <si>
    <t>龙帝技能2</t>
    <phoneticPr fontId="4" type="noConversion"/>
  </si>
  <si>
    <t>skill_4</t>
    <phoneticPr fontId="4" type="noConversion"/>
  </si>
  <si>
    <t>龙帝技能4</t>
    <phoneticPr fontId="4" type="noConversion"/>
  </si>
  <si>
    <t>skill_2</t>
    <phoneticPr fontId="4" type="noConversion"/>
  </si>
  <si>
    <t>wenshupusa_attack</t>
    <phoneticPr fontId="4" type="noConversion"/>
  </si>
  <si>
    <t>文殊普通</t>
    <phoneticPr fontId="4" type="noConversion"/>
  </si>
  <si>
    <t>attack_1</t>
    <phoneticPr fontId="4" type="noConversion"/>
  </si>
  <si>
    <t>[]</t>
    <phoneticPr fontId="4" type="noConversion"/>
  </si>
  <si>
    <t>wenshupusa_attack_f</t>
    <phoneticPr fontId="4" type="noConversion"/>
  </si>
  <si>
    <t>文殊菩萨普攻</t>
    <phoneticPr fontId="4" type="noConversion"/>
  </si>
  <si>
    <t>wenshupusa_skill01</t>
    <phoneticPr fontId="4" type="noConversion"/>
  </si>
  <si>
    <t>文殊菩萨核心技能</t>
    <phoneticPr fontId="4" type="noConversion"/>
  </si>
  <si>
    <t>wenshupusa_skill02</t>
    <phoneticPr fontId="4" type="noConversion"/>
  </si>
  <si>
    <t>文殊菩萨技能2</t>
    <phoneticPr fontId="4" type="noConversion"/>
  </si>
  <si>
    <t>wenshupusa_skill02_b</t>
    <phoneticPr fontId="4" type="noConversion"/>
  </si>
  <si>
    <t>wenshupusa_skill04</t>
    <phoneticPr fontId="4" type="noConversion"/>
  </si>
  <si>
    <t>文殊菩萨技能4</t>
    <phoneticPr fontId="4" type="noConversion"/>
  </si>
  <si>
    <r>
      <t>w</t>
    </r>
    <r>
      <rPr>
        <sz val="10"/>
        <color theme="1"/>
        <rFont val="微软雅黑"/>
        <family val="2"/>
        <charset val="134"/>
      </rPr>
      <t>enshupusa</t>
    </r>
    <r>
      <rPr>
        <sz val="10"/>
        <color theme="1"/>
        <rFont val="微软雅黑"/>
        <family val="2"/>
        <charset val="134"/>
      </rPr>
      <t>_skill04_d</t>
    </r>
    <phoneticPr fontId="4" type="noConversion"/>
  </si>
  <si>
    <t>借用白无常技能4定身</t>
    <phoneticPr fontId="4" type="noConversion"/>
  </si>
  <si>
    <t>guishibai_effect4_b_buff</t>
    <phoneticPr fontId="4" type="noConversion"/>
  </si>
  <si>
    <t>babutianlong_attack_f</t>
    <phoneticPr fontId="4" type="noConversion"/>
  </si>
  <si>
    <t>-0.080|0.72|3</t>
  </si>
  <si>
    <t>-0.080|0.72|3</t>
    <phoneticPr fontId="4" type="noConversion"/>
  </si>
  <si>
    <t>八部天龙技能4飞行</t>
  </si>
  <si>
    <t>babutianlong_skill02_f</t>
    <phoneticPr fontId="4" type="noConversion"/>
  </si>
  <si>
    <t>longdi_skill04</t>
    <phoneticPr fontId="4" type="noConversion"/>
  </si>
  <si>
    <t>longdi_skill02</t>
    <phoneticPr fontId="4" type="noConversion"/>
  </si>
  <si>
    <t>shinv_attack</t>
    <phoneticPr fontId="4" type="noConversion"/>
  </si>
  <si>
    <t>侍女普攻</t>
    <phoneticPr fontId="4" type="noConversion"/>
  </si>
  <si>
    <t>attack_1</t>
    <phoneticPr fontId="4" type="noConversion"/>
  </si>
  <si>
    <t>qiangdao_attack</t>
    <phoneticPr fontId="4" type="noConversion"/>
  </si>
  <si>
    <t>强盗普攻</t>
    <phoneticPr fontId="4" type="noConversion"/>
  </si>
  <si>
    <t>[]</t>
    <phoneticPr fontId="4" type="noConversion"/>
  </si>
  <si>
    <t>yezhuguai_attack</t>
    <phoneticPr fontId="4" type="noConversion"/>
  </si>
  <si>
    <t>野猪怪普攻</t>
    <phoneticPr fontId="4" type="noConversion"/>
  </si>
  <si>
    <t>0|-1|-1</t>
    <phoneticPr fontId="4" type="noConversion"/>
  </si>
  <si>
    <t>xiejiang_attack_l</t>
    <phoneticPr fontId="4" type="noConversion"/>
  </si>
  <si>
    <t>蟹将普攻左手</t>
    <phoneticPr fontId="4" type="noConversion"/>
  </si>
  <si>
    <t>xiejiang_attack2_Bip001 L Finger1</t>
    <phoneticPr fontId="4" type="noConversion"/>
  </si>
  <si>
    <t>xiejiang_attack_r</t>
    <phoneticPr fontId="4" type="noConversion"/>
  </si>
  <si>
    <t>蟹将普攻右手</t>
    <phoneticPr fontId="4" type="noConversion"/>
  </si>
  <si>
    <t>attack_2</t>
    <phoneticPr fontId="4" type="noConversion"/>
  </si>
  <si>
    <t>xiejiang_attack1_Bip001 R Finger1</t>
    <phoneticPr fontId="4" type="noConversion"/>
  </si>
  <si>
    <t>kuangbao_attack</t>
    <phoneticPr fontId="4" type="noConversion"/>
  </si>
  <si>
    <t>狂豹普攻</t>
    <phoneticPr fontId="4" type="noConversion"/>
  </si>
  <si>
    <t>huwei_attack</t>
    <phoneticPr fontId="4" type="noConversion"/>
  </si>
  <si>
    <t>护卫普攻</t>
    <phoneticPr fontId="4" type="noConversion"/>
  </si>
  <si>
    <t>guichengxiang_attack</t>
    <phoneticPr fontId="4" type="noConversion"/>
  </si>
  <si>
    <t>龟丞相普攻飞行</t>
    <phoneticPr fontId="4" type="noConversion"/>
  </si>
  <si>
    <t>yanmo_attack</t>
    <phoneticPr fontId="4" type="noConversion"/>
  </si>
  <si>
    <t>炎魔普攻</t>
    <phoneticPr fontId="4" type="noConversion"/>
  </si>
  <si>
    <t>tianjiang_attack</t>
    <phoneticPr fontId="4" type="noConversion"/>
  </si>
  <si>
    <t>天将普攻</t>
    <phoneticPr fontId="4" type="noConversion"/>
  </si>
  <si>
    <t>tianjiang_attack1</t>
    <phoneticPr fontId="4" type="noConversion"/>
  </si>
  <si>
    <t>renshenwa_attack</t>
    <phoneticPr fontId="4" type="noConversion"/>
  </si>
  <si>
    <t>人参娃普攻</t>
    <phoneticPr fontId="4" type="noConversion"/>
  </si>
  <si>
    <t>attack_1</t>
    <phoneticPr fontId="4" type="noConversion"/>
  </si>
  <si>
    <t>[]</t>
    <phoneticPr fontId="4" type="noConversion"/>
  </si>
  <si>
    <t>renshenwa_attack1</t>
    <phoneticPr fontId="4" type="noConversion"/>
  </si>
  <si>
    <t>renshenwa_skill01</t>
    <phoneticPr fontId="4" type="noConversion"/>
  </si>
  <si>
    <t>人参娃核心技能</t>
    <phoneticPr fontId="4" type="noConversion"/>
  </si>
  <si>
    <t>skill_4</t>
    <phoneticPr fontId="4" type="noConversion"/>
  </si>
  <si>
    <t>[]</t>
    <phoneticPr fontId="4" type="noConversion"/>
  </si>
  <si>
    <t>renshenwa_skill01_effect</t>
    <phoneticPr fontId="4" type="noConversion"/>
  </si>
  <si>
    <t>人参娃核心技能_加血效果</t>
    <phoneticPr fontId="4" type="noConversion"/>
  </si>
  <si>
    <t>renshenwa_effect1</t>
    <phoneticPr fontId="4" type="noConversion"/>
  </si>
  <si>
    <t>人参娃技能2</t>
    <phoneticPr fontId="4" type="noConversion"/>
  </si>
  <si>
    <t>[]</t>
    <phoneticPr fontId="4" type="noConversion"/>
  </si>
  <si>
    <t>人参娃技能2武器</t>
    <phoneticPr fontId="4" type="noConversion"/>
  </si>
  <si>
    <t>skill_2</t>
    <phoneticPr fontId="4" type="noConversion"/>
  </si>
  <si>
    <t>renshenwa_skill02_b</t>
    <phoneticPr fontId="4" type="noConversion"/>
  </si>
  <si>
    <t>人参娃技能2命中</t>
    <phoneticPr fontId="4" type="noConversion"/>
  </si>
  <si>
    <t>renshenwa_effect2_b</t>
    <phoneticPr fontId="4" type="noConversion"/>
  </si>
  <si>
    <t>renshenwa_skill04</t>
    <phoneticPr fontId="4" type="noConversion"/>
  </si>
  <si>
    <t>人参娃技能4</t>
    <phoneticPr fontId="4" type="noConversion"/>
  </si>
  <si>
    <t>skill_4</t>
    <phoneticPr fontId="4" type="noConversion"/>
  </si>
  <si>
    <t>0|0|3</t>
    <phoneticPr fontId="4" type="noConversion"/>
  </si>
  <si>
    <t>nverguoguowang_attack</t>
  </si>
  <si>
    <t>女儿国国王普攻</t>
  </si>
  <si>
    <t>nverguoguowang_attack1</t>
  </si>
  <si>
    <t>nverguoguowang_skill01</t>
  </si>
  <si>
    <t>nverguoguowang_effect1</t>
  </si>
  <si>
    <t>nverguoguowang_effect1_b</t>
  </si>
  <si>
    <t>nverguoguowang_skill02</t>
  </si>
  <si>
    <t>nverguoguowang_effect2</t>
  </si>
  <si>
    <t>nverguoguowang_effect2_b</t>
  </si>
  <si>
    <t>nverguoguowang_skill04</t>
  </si>
  <si>
    <t>nverguoguowang_effect4_b</t>
  </si>
  <si>
    <t>skill_4</t>
    <phoneticPr fontId="4" type="noConversion"/>
  </si>
  <si>
    <t>skill_4</t>
    <phoneticPr fontId="4" type="noConversion"/>
  </si>
  <si>
    <t>skill_4</t>
    <phoneticPr fontId="4" type="noConversion"/>
  </si>
  <si>
    <t>[]</t>
    <phoneticPr fontId="4" type="noConversion"/>
  </si>
  <si>
    <t>saitaisui_attack</t>
    <phoneticPr fontId="4" type="noConversion"/>
  </si>
  <si>
    <t>saitaisui_skill02</t>
    <phoneticPr fontId="4" type="noConversion"/>
  </si>
  <si>
    <t>saitaisui_skill04</t>
    <phoneticPr fontId="4" type="noConversion"/>
  </si>
  <si>
    <t>赛太岁普攻</t>
    <phoneticPr fontId="4" type="noConversion"/>
  </si>
  <si>
    <t>attack_1</t>
    <phoneticPr fontId="4" type="noConversion"/>
  </si>
  <si>
    <t>[]</t>
    <phoneticPr fontId="4" type="noConversion"/>
  </si>
  <si>
    <t>saitaisui_attack</t>
    <phoneticPr fontId="4" type="noConversion"/>
  </si>
  <si>
    <t>赛太岁技能2</t>
    <phoneticPr fontId="4" type="noConversion"/>
  </si>
  <si>
    <t>skill_2</t>
    <phoneticPr fontId="4" type="noConversion"/>
  </si>
  <si>
    <t>[]</t>
    <phoneticPr fontId="4" type="noConversion"/>
  </si>
  <si>
    <t>赛太岁技能4</t>
    <phoneticPr fontId="4" type="noConversion"/>
  </si>
  <si>
    <t>skill_4</t>
    <phoneticPr fontId="4" type="noConversion"/>
  </si>
  <si>
    <t>saitaisui_effect2</t>
    <phoneticPr fontId="4" type="noConversion"/>
  </si>
  <si>
    <t>saitaisui_effect4</t>
    <phoneticPr fontId="4" type="noConversion"/>
  </si>
  <si>
    <t>guishihei_effect1</t>
    <phoneticPr fontId="4" type="noConversion"/>
  </si>
  <si>
    <t>metal03@skill01</t>
    <phoneticPr fontId="4" type="noConversion"/>
  </si>
  <si>
    <t>diyuhuohai</t>
    <phoneticPr fontId="4" type="noConversion"/>
  </si>
  <si>
    <t>0|0|5</t>
    <phoneticPr fontId="4" type="noConversion"/>
  </si>
  <si>
    <t>tuotatianwang_attack</t>
  </si>
  <si>
    <t>托塔天王普攻</t>
    <phoneticPr fontId="4" type="noConversion"/>
  </si>
  <si>
    <t>attack_1</t>
    <phoneticPr fontId="4" type="noConversion"/>
  </si>
  <si>
    <t>托塔天王核心技能</t>
    <phoneticPr fontId="4" type="noConversion"/>
  </si>
  <si>
    <t>tuotatianwang_effect1</t>
  </si>
  <si>
    <t>tuotatianwang_skill02</t>
  </si>
  <si>
    <t>托塔天王技能2</t>
    <phoneticPr fontId="4" type="noConversion"/>
  </si>
  <si>
    <t>skill_2</t>
    <phoneticPr fontId="4" type="noConversion"/>
  </si>
  <si>
    <t>tuotatianwang_effect2</t>
  </si>
  <si>
    <t>tuotatianwang_skill04</t>
  </si>
  <si>
    <t>托塔天王技能4</t>
    <phoneticPr fontId="4" type="noConversion"/>
  </si>
  <si>
    <t>skill_4</t>
    <phoneticPr fontId="4" type="noConversion"/>
  </si>
  <si>
    <t>[]</t>
    <phoneticPr fontId="4" type="noConversion"/>
  </si>
  <si>
    <t>dizangwang_attack_f</t>
    <phoneticPr fontId="4" type="noConversion"/>
  </si>
  <si>
    <t>地藏王普攻飞行</t>
    <phoneticPr fontId="4" type="noConversion"/>
  </si>
  <si>
    <t>attack_1</t>
    <phoneticPr fontId="4" type="noConversion"/>
  </si>
  <si>
    <t>dizangwang_attack_b</t>
    <phoneticPr fontId="4" type="noConversion"/>
  </si>
  <si>
    <t>地藏王普攻爆炸</t>
    <phoneticPr fontId="4" type="noConversion"/>
  </si>
  <si>
    <t>[]</t>
    <phoneticPr fontId="4" type="noConversion"/>
  </si>
  <si>
    <t>dizangwang_skill01</t>
    <phoneticPr fontId="4" type="noConversion"/>
  </si>
  <si>
    <t>地藏王核心技能</t>
    <phoneticPr fontId="4" type="noConversion"/>
  </si>
  <si>
    <t>dizangwang_effect1</t>
    <phoneticPr fontId="4" type="noConversion"/>
  </si>
  <si>
    <t>dizangwang_skill01_q</t>
    <phoneticPr fontId="4" type="noConversion"/>
  </si>
  <si>
    <t>地藏王核心技能起手</t>
    <phoneticPr fontId="4" type="noConversion"/>
  </si>
  <si>
    <t>dizangwang_effect1_q</t>
    <phoneticPr fontId="4" type="noConversion"/>
  </si>
  <si>
    <t>dizangwang_skill02</t>
    <phoneticPr fontId="4" type="noConversion"/>
  </si>
  <si>
    <t>地藏王技能2</t>
    <phoneticPr fontId="4" type="noConversion"/>
  </si>
  <si>
    <t>skill_2</t>
    <phoneticPr fontId="4" type="noConversion"/>
  </si>
  <si>
    <t>地藏王被动技能</t>
    <phoneticPr fontId="4" type="noConversion"/>
  </si>
  <si>
    <t>地藏王技能4</t>
    <phoneticPr fontId="4" type="noConversion"/>
  </si>
  <si>
    <t>skill_4</t>
    <phoneticPr fontId="4" type="noConversion"/>
  </si>
  <si>
    <t>dizangwang_effect4</t>
    <phoneticPr fontId="4" type="noConversion"/>
  </si>
  <si>
    <t>0|2|5</t>
    <phoneticPr fontId="4" type="noConversion"/>
  </si>
  <si>
    <t>描述
[字符串]
不生效</t>
    <phoneticPr fontId="4" type="noConversion"/>
  </si>
  <si>
    <t>动作ID
[字符串]
（只需要配置攻击动作、施法动作，其余动作如受击、死亡动作只有一个且固定）</t>
    <phoneticPr fontId="4" type="noConversion"/>
  </si>
  <si>
    <t>动作播放持续时间（秒）
[浮点] 
0=永久
（对动作ID不为[]的情况下生效,循环播放动作）</t>
    <phoneticPr fontId="4" type="noConversion"/>
  </si>
  <si>
    <t>动作开始播放延迟时间（秒）
[浮点]
从技能释放开始计算</t>
    <phoneticPr fontId="4" type="noConversion"/>
  </si>
  <si>
    <t>特效飞行速度
[浮点]
进度类型为飞行类的特效有效
其他类型则填0</t>
    <phoneticPr fontId="4" type="noConversion"/>
  </si>
  <si>
    <r>
      <t xml:space="preserve">特效资源调用ID
[字符串]
[]=只播放动画,
Null=生成空特效                                            </t>
    </r>
    <r>
      <rPr>
        <sz val="10"/>
        <color rgb="FFC00000"/>
        <rFont val="微软雅黑"/>
        <family val="2"/>
        <charset val="134"/>
      </rPr>
      <t>调用game_res里面的资源</t>
    </r>
    <phoneticPr fontId="4" type="noConversion"/>
  </si>
  <si>
    <t>特效持续时间
 0=永久
仅对有特效的情况下生效</t>
    <phoneticPr fontId="4" type="noConversion"/>
  </si>
  <si>
    <t>特效播放延迟时间,
起始点为每个施法阶段的开始点</t>
    <phoneticPr fontId="4" type="noConversion"/>
  </si>
  <si>
    <t>音效资源ID
[字符串]
音效相关暂未用到</t>
    <phoneticPr fontId="4" type="noConversion"/>
  </si>
  <si>
    <t>tuotatianwang_skill01</t>
    <phoneticPr fontId="4" type="noConversion"/>
  </si>
  <si>
    <t>[]</t>
    <phoneticPr fontId="4" type="noConversion"/>
  </si>
  <si>
    <t>skill_2</t>
    <phoneticPr fontId="4" type="noConversion"/>
  </si>
  <si>
    <t>0|-3|0</t>
    <phoneticPr fontId="4" type="noConversion"/>
  </si>
  <si>
    <t>milefo_effect2_buff</t>
    <phoneticPr fontId="4" type="noConversion"/>
  </si>
  <si>
    <t>renshenwa_effect4</t>
    <phoneticPr fontId="4" type="noConversion"/>
  </si>
  <si>
    <t>milefo_effect4_buff</t>
    <phoneticPr fontId="4" type="noConversion"/>
  </si>
  <si>
    <t>[]</t>
    <phoneticPr fontId="4" type="noConversion"/>
  </si>
  <si>
    <t>[]</t>
    <phoneticPr fontId="4" type="noConversion"/>
  </si>
  <si>
    <t>0|1.5|0</t>
    <phoneticPr fontId="4" type="noConversion"/>
  </si>
  <si>
    <t>赤脚大仙普攻</t>
    <phoneticPr fontId="4" type="noConversion"/>
  </si>
  <si>
    <t>attack_1</t>
    <phoneticPr fontId="4" type="noConversion"/>
  </si>
  <si>
    <t>赤脚大仙核心技能</t>
    <phoneticPr fontId="4" type="noConversion"/>
  </si>
  <si>
    <t>赤脚大仙技能2</t>
    <phoneticPr fontId="4" type="noConversion"/>
  </si>
  <si>
    <t>skill_2</t>
    <phoneticPr fontId="4" type="noConversion"/>
  </si>
  <si>
    <t>赤脚大仙技能4</t>
    <phoneticPr fontId="4" type="noConversion"/>
  </si>
  <si>
    <t>赤脚大仙技能4buff</t>
    <phoneticPr fontId="4" type="noConversion"/>
  </si>
  <si>
    <t>[]</t>
    <phoneticPr fontId="4" type="noConversion"/>
  </si>
  <si>
    <t>chijiaodaxian_attack1</t>
    <phoneticPr fontId="4" type="noConversion"/>
  </si>
  <si>
    <t>chijiaodaxian_effect1</t>
    <phoneticPr fontId="4" type="noConversion"/>
  </si>
  <si>
    <t>chijiaodaxian_effect2</t>
  </si>
  <si>
    <t>chijiaodaxian_effect4</t>
    <phoneticPr fontId="4" type="noConversion"/>
  </si>
  <si>
    <t>chijiaodaxian_effect4_Bip001 Pelvis</t>
    <phoneticPr fontId="4" type="noConversion"/>
  </si>
  <si>
    <t>chijiaodaxian_skill01</t>
    <phoneticPr fontId="4" type="noConversion"/>
  </si>
  <si>
    <t>chijiaodaxian_attack</t>
    <phoneticPr fontId="4" type="noConversion"/>
  </si>
  <si>
    <t>chijiaodaxian_skill02</t>
    <phoneticPr fontId="4" type="noConversion"/>
  </si>
  <si>
    <t>chijiaodaxian_skill04</t>
    <phoneticPr fontId="4" type="noConversion"/>
  </si>
  <si>
    <t>chijiaodaxian_skill04_Bip</t>
    <phoneticPr fontId="4" type="noConversion"/>
  </si>
  <si>
    <t>0</t>
    <phoneticPr fontId="4" type="noConversion"/>
  </si>
  <si>
    <t>skill_4</t>
    <phoneticPr fontId="4" type="noConversion"/>
  </si>
  <si>
    <t>skill_4</t>
    <phoneticPr fontId="4" type="noConversion"/>
  </si>
  <si>
    <t>change_effect4</t>
    <phoneticPr fontId="4" type="noConversion"/>
  </si>
  <si>
    <t>王母娘娘技能2</t>
    <phoneticPr fontId="4" type="noConversion"/>
  </si>
  <si>
    <t>[]</t>
    <phoneticPr fontId="4" type="noConversion"/>
  </si>
  <si>
    <t>wangmuniangniang_effect2_f</t>
    <phoneticPr fontId="4" type="noConversion"/>
  </si>
  <si>
    <t>4|1</t>
    <phoneticPr fontId="4" type="noConversion"/>
  </si>
  <si>
    <t>王母娘娘技能2飞行</t>
    <phoneticPr fontId="4" type="noConversion"/>
  </si>
  <si>
    <t>nezha_attack_effect2_3_Bip001 Prop1</t>
    <phoneticPr fontId="4" type="noConversion"/>
  </si>
  <si>
    <t>yutu_attack</t>
  </si>
  <si>
    <t>yutu_skill01</t>
  </si>
  <si>
    <t>yutu_skill02</t>
  </si>
  <si>
    <t>yutu_effect2</t>
  </si>
  <si>
    <t>yutu_skill04</t>
  </si>
  <si>
    <t>yutu_effect4</t>
  </si>
  <si>
    <t>yutu_skill03</t>
  </si>
  <si>
    <t>longdi_effect2</t>
    <phoneticPr fontId="4" type="noConversion"/>
  </si>
  <si>
    <t>longdi_effect4</t>
    <phoneticPr fontId="4" type="noConversion"/>
  </si>
  <si>
    <t>change_attack</t>
    <phoneticPr fontId="4" type="noConversion"/>
  </si>
  <si>
    <t>嫦娥普攻</t>
    <phoneticPr fontId="4" type="noConversion"/>
  </si>
  <si>
    <t>skill_4</t>
    <phoneticPr fontId="4" type="noConversion"/>
  </si>
  <si>
    <t>0|0.2|0</t>
    <phoneticPr fontId="4" type="noConversion"/>
  </si>
  <si>
    <t>龙帝核心技能</t>
    <phoneticPr fontId="4" type="noConversion"/>
  </si>
  <si>
    <t>longdi_effect1</t>
    <phoneticPr fontId="4" type="noConversion"/>
  </si>
  <si>
    <t>longdi_skill01</t>
    <phoneticPr fontId="4" type="noConversion"/>
  </si>
  <si>
    <t>change_effect2</t>
    <phoneticPr fontId="4" type="noConversion"/>
  </si>
  <si>
    <t>shinv_attack</t>
    <phoneticPr fontId="4" type="noConversion"/>
  </si>
  <si>
    <t>shanzijing_attack</t>
    <phoneticPr fontId="4" type="noConversion"/>
  </si>
  <si>
    <t>shanzijing_skill01</t>
    <phoneticPr fontId="4" type="noConversion"/>
  </si>
  <si>
    <t>shanzijing_skill02_q</t>
    <phoneticPr fontId="4" type="noConversion"/>
  </si>
  <si>
    <t>shanzijing_skill02_f</t>
    <phoneticPr fontId="4" type="noConversion"/>
  </si>
  <si>
    <t>shanzijing_skill02_b</t>
    <phoneticPr fontId="4" type="noConversion"/>
  </si>
  <si>
    <t>shanzijing_weaken</t>
    <phoneticPr fontId="4" type="noConversion"/>
  </si>
  <si>
    <t>shanzijing_skill03</t>
    <phoneticPr fontId="4" type="noConversion"/>
  </si>
  <si>
    <t>shanzijing_skill04_q</t>
    <phoneticPr fontId="4" type="noConversion"/>
  </si>
  <si>
    <t>shanzijing_skill04_f</t>
    <phoneticPr fontId="4" type="noConversion"/>
  </si>
  <si>
    <t>shanzijing_skill04_b</t>
    <phoneticPr fontId="4" type="noConversion"/>
  </si>
  <si>
    <t>shanzijing_attack</t>
    <phoneticPr fontId="4" type="noConversion"/>
  </si>
  <si>
    <t>shanzijing_effect1</t>
    <phoneticPr fontId="4" type="noConversion"/>
  </si>
  <si>
    <t>shanzijing_effect2_f</t>
    <phoneticPr fontId="4" type="noConversion"/>
  </si>
  <si>
    <t>shanzijing_effect4_q</t>
    <phoneticPr fontId="4" type="noConversion"/>
  </si>
  <si>
    <t>shanzijing_effect4_f</t>
    <phoneticPr fontId="4" type="noConversion"/>
  </si>
  <si>
    <t>shanzijing_effect4_b</t>
    <phoneticPr fontId="4" type="noConversion"/>
  </si>
  <si>
    <t>扇子精普攻1</t>
    <phoneticPr fontId="4" type="noConversion"/>
  </si>
  <si>
    <t>扇子精核心技能</t>
    <phoneticPr fontId="4" type="noConversion"/>
  </si>
  <si>
    <t>扇子精技能2_起手</t>
    <phoneticPr fontId="4" type="noConversion"/>
  </si>
  <si>
    <t>扇子精技能2_飞行</t>
    <phoneticPr fontId="4" type="noConversion"/>
  </si>
  <si>
    <t>扇子精技能2_命中</t>
    <phoneticPr fontId="4" type="noConversion"/>
  </si>
  <si>
    <t>扇子精技能2_削弱buff</t>
    <phoneticPr fontId="4" type="noConversion"/>
  </si>
  <si>
    <t>扇子精被动技能</t>
    <phoneticPr fontId="4" type="noConversion"/>
  </si>
  <si>
    <t>扇子精技能4起手</t>
    <phoneticPr fontId="4" type="noConversion"/>
  </si>
  <si>
    <t>扇子精技能4飞行</t>
    <phoneticPr fontId="4" type="noConversion"/>
  </si>
  <si>
    <t>扇子精技能4命中</t>
    <phoneticPr fontId="4" type="noConversion"/>
  </si>
  <si>
    <t>skill_4</t>
    <phoneticPr fontId="4" type="noConversion"/>
  </si>
  <si>
    <t>蜘蛛精技能2—buff</t>
    <phoneticPr fontId="4" type="noConversion"/>
  </si>
  <si>
    <t>蜘蛛精核心技能—buff</t>
    <phoneticPr fontId="4" type="noConversion"/>
  </si>
  <si>
    <t>[]</t>
    <phoneticPr fontId="4" type="noConversion"/>
  </si>
  <si>
    <t>zhizhujing_effect1_buff</t>
    <phoneticPr fontId="4" type="noConversion"/>
  </si>
  <si>
    <t>[]</t>
    <phoneticPr fontId="4" type="noConversion"/>
  </si>
  <si>
    <t>zhubajie_effect2</t>
    <phoneticPr fontId="4" type="noConversion"/>
  </si>
  <si>
    <t>zhubajie_skill01</t>
    <phoneticPr fontId="4" type="noConversion"/>
  </si>
  <si>
    <t>猪八戒核心技能命中</t>
    <phoneticPr fontId="4" type="noConversion"/>
  </si>
  <si>
    <t>zhubajie_skill01_b</t>
    <phoneticPr fontId="4" type="noConversion"/>
  </si>
  <si>
    <t>skill_2</t>
    <phoneticPr fontId="4" type="noConversion"/>
  </si>
  <si>
    <t>0|-2|6</t>
    <phoneticPr fontId="4" type="noConversion"/>
  </si>
  <si>
    <t>0|-2|1</t>
    <phoneticPr fontId="4" type="noConversion"/>
  </si>
  <si>
    <t>zhubajie_effect1</t>
    <phoneticPr fontId="4" type="noConversion"/>
  </si>
  <si>
    <t>zhubajie_effect1_h</t>
    <phoneticPr fontId="4" type="noConversion"/>
  </si>
  <si>
    <t>douzhanshengfo_effect2</t>
    <phoneticPr fontId="4" type="noConversion"/>
  </si>
  <si>
    <t>douzhanshengfo_effect4_Bip001 Prop1</t>
    <phoneticPr fontId="4" type="noConversion"/>
  </si>
  <si>
    <t>动作ID
[字符串]
（只需要配置攻击动作、施法动作，其余动作如受击、死亡动作只有一个且固定）</t>
  </si>
  <si>
    <t>动作播放持续时间（秒）
[浮点] 
0=永久
（对动作ID不为[]的情况下生效,循环播放动作）</t>
  </si>
  <si>
    <t>动作开始播放延迟时间（秒）
[浮点]
从技能释放开始计算</t>
  </si>
  <si>
    <t>特效类型[整数]
1=普通（原地释放，起始点为锚点）
2追踪飞行 
3(链接)|1=普通|2=链接自己|3=链接攻击目标 
4(子弹)1=穿透子弹,2=碰撞子弹|延时 
5(溅射)1=飞行溅射,2=链接溅射 
6=游龙（秘术异蛇）
7=吸取 
8(抛物线飞行)|起始角度(60) 
9=(炸弹)|1=穿透炸弹,2=触碰炸弹|起始角度(60)|爆炸半径(2) 
10=炸弹|是否跟随目标|目标挂载点 
11=受击特效|是否链接攻击者 
12=分裂箭 
13=滚屏/冲撞|持续时间|持续距离,
14=回旋镖|正向飞行时间</t>
  </si>
  <si>
    <t>特效飞行速度
[浮点]
进度类型为飞行类的特效有效
其他类型则填0</t>
  </si>
  <si>
    <t>是否碰撞/命中| 碰撞体大小
（填1则默认为skill_main中的生效范围）
1=矩形|长|宽 2=圆形|半径|Z轴偏移 3=扇形|半径|角度(20,30,45,60) 4=单体|半径 5=null 6=自带碰撞体</t>
  </si>
  <si>
    <t>额外参数
[字符串]
1结束特效|特效ID
2打断后删除[否|是]
3使用载体角度[否|是]
4载体死亡销毁[否|是]
5是否使用对象池[否|是]
6关闭粒子发射器时间
7是否使用碰撞和[否|是]
8是否克隆伤害体[否|是]
9是否结束动作[否|是]
10是否循环音效[否|是] 
11碰撞体跟随特效[否|是]</t>
  </si>
  <si>
    <t>特效资源调用ID
[字符串]
[]=只播放动画,
Null=生成空特效                                            调用game_res里面的资源</t>
  </si>
  <si>
    <t>特效持续时间
 0=永久
仅对有特效的情况下生效</t>
  </si>
  <si>
    <t>特效播放延迟时间,
起始点为每个施法阶段的开始点</t>
  </si>
  <si>
    <t>action_id</t>
  </si>
  <si>
    <t>action_time</t>
  </si>
  <si>
    <t>action_delay</t>
  </si>
  <si>
    <t>effect_type</t>
  </si>
  <si>
    <t>effect_speed</t>
  </si>
  <si>
    <t>use_collider</t>
  </si>
  <si>
    <t>extra_param</t>
  </si>
  <si>
    <t>表现包ID
[字符串]</t>
    <phoneticPr fontId="4" type="noConversion"/>
  </si>
  <si>
    <t>描述
[字符串]
不生效</t>
    <phoneticPr fontId="4" type="noConversion"/>
  </si>
  <si>
    <t>特效挂载类型[字符串]
0=不生成 
1=不跟随角色，但初始方向随角色旋转 
2=始终跟随角色，方向也随角色旋转 
3=拖拽点位置，不随角色方向旋转 
5= 始终跟随目标，但不随角色旋转</t>
    <phoneticPr fontId="4" type="noConversion"/>
  </si>
  <si>
    <t>特效偏移位置点(x,y,z)[字符串]
（右，上，前）</t>
    <phoneticPr fontId="4" type="noConversion"/>
  </si>
  <si>
    <t>特效挂载骨骼[字符串]
仅对挂载类型为1,2,4的有效 
0=原点（默认）
1=中心（偏移）
2=顶部（偏移）
3=脚底（骨骼）
4=胸口（骨骼）
5=头部（骨骼）
6=左手（骨骼）
7=右手（骨骼）
8=武器（骨骼）
9=左脚(骨骼)  
10=右脚(骨骼) 
11=左前臂(骨骼)   
12=右前臂(骨骼) 
13=质心(骨骼) 
14=颈部(骨骼) 
15=武器(骨骼)</t>
    <phoneticPr fontId="4" type="noConversion"/>
  </si>
  <si>
    <t>音效资源ID
[字符串]
音效相关暂未用到</t>
    <phoneticPr fontId="4" type="noConversion"/>
  </si>
  <si>
    <t>特效偏移角度
(x,y,z)[字符串]
（垂直，水平，垂直）</t>
    <phoneticPr fontId="4" type="noConversion"/>
  </si>
  <si>
    <t>音效持续时间[浮点]</t>
    <phoneticPr fontId="4" type="noConversion"/>
  </si>
  <si>
    <t>音量[整数]</t>
    <phoneticPr fontId="4" type="noConversion"/>
  </si>
  <si>
    <t>音效播放延迟时间[浮点]</t>
    <phoneticPr fontId="4" type="noConversion"/>
  </si>
  <si>
    <t>播放特效时是否隐藏角色（但不删除角色）[整型]0=false1=true</t>
    <phoneticPr fontId="4" type="noConversion"/>
  </si>
  <si>
    <t>nanzhujue_0</t>
  </si>
  <si>
    <t>nvzhujue_0</t>
  </si>
  <si>
    <t>特效数量</t>
    <phoneticPr fontId="4" type="noConversion"/>
  </si>
  <si>
    <t>起手特效</t>
  </si>
  <si>
    <t>辅特效
不造成伤害
辅助主特效用做表现的</t>
    <phoneticPr fontId="4" type="noConversion"/>
  </si>
  <si>
    <t>主特效
造成伤害的部分。</t>
    <phoneticPr fontId="4" type="noConversion"/>
  </si>
  <si>
    <t>命中特效</t>
    <phoneticPr fontId="4" type="noConversion"/>
  </si>
  <si>
    <t>buff特效</t>
    <phoneticPr fontId="4" type="noConversion"/>
  </si>
  <si>
    <t>特效类型[整数]
1=普通（原地释放，起始点为锚点）
2追踪飞行 
3(链接)|1=普通|2=链接自己|3=链接攻击目标 
4(子弹)1=穿透子弹,2=碰撞子弹|延时 
5(溅射)1=飞行溅射,2=链接溅射 
6=游龙（秘术异蛇）
7=吸取 
8(抛物线飞行)|起始角度(60) 
9=(炸弹)|1=穿透炸弹,2=触碰炸弹|起始角度(60)|爆炸半径(2) 
10=炸弹|是否跟随目标|目标挂载点 
11=受击特效|是否链接攻击者 
12=分裂箭 
13=滚屏/冲撞|持续时间|持续距离,
14=回旋镖|正向飞行时间</t>
    <phoneticPr fontId="4" type="noConversion"/>
  </si>
  <si>
    <t>特效偏移位置点(x,y,z)
[字符串]
（右，上，前）</t>
    <phoneticPr fontId="4" type="noConversion"/>
  </si>
  <si>
    <t>特效挂载骨骼
[字符串]
仅对挂载类型为1,2,4的有效 
0=原点（默认）
1=中心（偏移）
2=顶部（偏移）
3=脚底（骨骼）
4=胸口（骨骼）
5=头部（骨骼）
6=左手（骨骼）
7=右手（骨骼）
8=武器（骨骼）
9=左脚(骨骼)  
10=右脚(骨骼) 
11=左前臂(骨骼)   
12=右前臂(骨骼) 
13=质心(骨骼) 
14=颈部(骨骼) 
15=武器(骨骼)</t>
    <phoneticPr fontId="4" type="noConversion"/>
  </si>
  <si>
    <t>特效偏移角度
(x,y,z)
[字符串]
（垂直，水平，垂直）</t>
    <phoneticPr fontId="4" type="noConversion"/>
  </si>
  <si>
    <t>特效顺序</t>
    <phoneticPr fontId="4" type="noConversion"/>
  </si>
  <si>
    <t>技能顺序</t>
    <phoneticPr fontId="4" type="noConversion"/>
  </si>
  <si>
    <t>技能id</t>
    <phoneticPr fontId="4" type="noConversion"/>
  </si>
  <si>
    <t>nanzhujue</t>
    <phoneticPr fontId="4" type="noConversion"/>
  </si>
  <si>
    <t>手填</t>
  </si>
  <si>
    <t>nezha_attack</t>
  </si>
  <si>
    <t>nezha-普攻</t>
  </si>
  <si>
    <t>nezha_skill01</t>
  </si>
  <si>
    <t>nezha-核心技能</t>
  </si>
  <si>
    <t>nezha_skill02_q</t>
  </si>
  <si>
    <t>nezha-ai1</t>
  </si>
  <si>
    <t>nezha_effect233</t>
  </si>
  <si>
    <t>nezha_skill02</t>
  </si>
  <si>
    <t>nezha_skill02_f</t>
  </si>
  <si>
    <t>nezha_attack_effect2_3_Bip001 Prop1</t>
  </si>
  <si>
    <t>nezha_skill02_b</t>
  </si>
  <si>
    <t>nezha_effect266</t>
  </si>
  <si>
    <t>nezha_effect277</t>
  </si>
  <si>
    <t>nezha_skill04</t>
  </si>
  <si>
    <t>nezha-ai2</t>
  </si>
  <si>
    <t>0|0.02|0</t>
  </si>
  <si>
    <t>yuhuangdadi_skill01</t>
  </si>
  <si>
    <t>玉皇大帝核心技能</t>
    <phoneticPr fontId="4" type="noConversion"/>
  </si>
  <si>
    <t>erlangshen_attack1</t>
    <phoneticPr fontId="4" type="noConversion"/>
  </si>
  <si>
    <t>zixiaxianzi_attack02</t>
    <phoneticPr fontId="4" type="noConversion"/>
  </si>
  <si>
    <t>紫霞仙子普攻2</t>
    <phoneticPr fontId="4" type="noConversion"/>
  </si>
  <si>
    <t>zixiaxianzi_attack2</t>
    <phoneticPr fontId="4" type="noConversion"/>
  </si>
  <si>
    <t>zixiaxianzi_attack03</t>
    <phoneticPr fontId="4" type="noConversion"/>
  </si>
  <si>
    <t>紫霞仙子普攻3</t>
    <phoneticPr fontId="4" type="noConversion"/>
  </si>
  <si>
    <t>attack_2</t>
    <phoneticPr fontId="4" type="noConversion"/>
  </si>
  <si>
    <t>attack_3</t>
    <phoneticPr fontId="4" type="noConversion"/>
  </si>
  <si>
    <t>0|0|0</t>
    <phoneticPr fontId="4" type="noConversion"/>
  </si>
  <si>
    <t>attack_1</t>
    <phoneticPr fontId="4" type="noConversion"/>
  </si>
  <si>
    <t>attack_1</t>
    <phoneticPr fontId="4" type="noConversion"/>
  </si>
  <si>
    <t>zhubajie_attack02</t>
    <phoneticPr fontId="4" type="noConversion"/>
  </si>
  <si>
    <t>zhubajie_attack03</t>
    <phoneticPr fontId="4" type="noConversion"/>
  </si>
  <si>
    <t>猪八戒普攻</t>
    <phoneticPr fontId="4" type="noConversion"/>
  </si>
  <si>
    <t>hulidaxian_attack02</t>
    <phoneticPr fontId="4" type="noConversion"/>
  </si>
  <si>
    <t>hulidaxian_attack03</t>
    <phoneticPr fontId="4" type="noConversion"/>
  </si>
  <si>
    <t>虎力大仙普攻2</t>
    <phoneticPr fontId="4" type="noConversion"/>
  </si>
  <si>
    <t>虎力大仙普攻3</t>
    <phoneticPr fontId="4" type="noConversion"/>
  </si>
  <si>
    <t>douzhanshengfo_attack02</t>
    <phoneticPr fontId="4" type="noConversion"/>
  </si>
  <si>
    <t>douzhanshengfo_attack03</t>
    <phoneticPr fontId="4" type="noConversion"/>
  </si>
  <si>
    <t>斗战胜佛普攻2</t>
    <phoneticPr fontId="4" type="noConversion"/>
  </si>
  <si>
    <t>斗战胜佛普攻3</t>
    <phoneticPr fontId="4" type="noConversion"/>
  </si>
  <si>
    <t>attack_2</t>
    <phoneticPr fontId="4" type="noConversion"/>
  </si>
  <si>
    <t>attack_3</t>
    <phoneticPr fontId="4" type="noConversion"/>
  </si>
  <si>
    <t>douzhanshengfo_attack2</t>
    <phoneticPr fontId="4" type="noConversion"/>
  </si>
  <si>
    <t>douzhanshengfo_attack3</t>
    <phoneticPr fontId="4" type="noConversion"/>
  </si>
  <si>
    <t>babutianlong_attack02</t>
    <phoneticPr fontId="4" type="noConversion"/>
  </si>
  <si>
    <t>babutianlong_attack03</t>
    <phoneticPr fontId="4" type="noConversion"/>
  </si>
  <si>
    <t>yuhuangdadi_attack02</t>
    <phoneticPr fontId="4" type="noConversion"/>
  </si>
  <si>
    <t>yuhuangdadi_attack03</t>
    <phoneticPr fontId="4" type="noConversion"/>
  </si>
  <si>
    <t>玉皇大帝普攻02</t>
    <phoneticPr fontId="4" type="noConversion"/>
  </si>
  <si>
    <t>玉皇大帝普攻03</t>
    <phoneticPr fontId="4" type="noConversion"/>
  </si>
  <si>
    <t>tuotatianwang_attack02</t>
    <phoneticPr fontId="4" type="noConversion"/>
  </si>
  <si>
    <t>tuotatianwang_attack03</t>
    <phoneticPr fontId="4" type="noConversion"/>
  </si>
  <si>
    <t>shanzijing_attack</t>
    <phoneticPr fontId="4" type="noConversion"/>
  </si>
  <si>
    <t>shanzijing_attack02</t>
    <phoneticPr fontId="4" type="noConversion"/>
  </si>
  <si>
    <t>shanzijing_attack03</t>
    <phoneticPr fontId="4" type="noConversion"/>
  </si>
  <si>
    <t>扇子精普攻2</t>
    <phoneticPr fontId="4" type="noConversion"/>
  </si>
  <si>
    <t>扇子精普攻3</t>
    <phoneticPr fontId="4" type="noConversion"/>
  </si>
  <si>
    <t>baiwuchang_attack02</t>
    <phoneticPr fontId="4" type="noConversion"/>
  </si>
  <si>
    <t>baiwuchang_attack03</t>
    <phoneticPr fontId="4" type="noConversion"/>
  </si>
  <si>
    <t>heiwuchang_attack02</t>
    <phoneticPr fontId="4" type="noConversion"/>
  </si>
  <si>
    <t>heiwuchang_attack03</t>
    <phoneticPr fontId="4" type="noConversion"/>
  </si>
  <si>
    <t>黑无常普攻2</t>
    <phoneticPr fontId="4" type="noConversion"/>
  </si>
  <si>
    <t>黑无常普攻3</t>
    <phoneticPr fontId="4" type="noConversion"/>
  </si>
  <si>
    <t>heiwuchang_attack2</t>
    <phoneticPr fontId="4" type="noConversion"/>
  </si>
  <si>
    <t>heiwuchang_attack3</t>
    <phoneticPr fontId="4" type="noConversion"/>
  </si>
  <si>
    <t>nverguoguowang_attack02</t>
    <phoneticPr fontId="4" type="noConversion"/>
  </si>
  <si>
    <t>nverguoguowang_attack03</t>
    <phoneticPr fontId="4" type="noConversion"/>
  </si>
  <si>
    <t>nverguoguowang_attack2</t>
    <phoneticPr fontId="4" type="noConversion"/>
  </si>
  <si>
    <t>xiaobailong_attack02</t>
    <phoneticPr fontId="4" type="noConversion"/>
  </si>
  <si>
    <t>xiaobailong_attack03</t>
    <phoneticPr fontId="4" type="noConversion"/>
  </si>
  <si>
    <t>erlangshen_attack02</t>
    <phoneticPr fontId="4" type="noConversion"/>
  </si>
  <si>
    <t>erlangshen_attack03</t>
    <phoneticPr fontId="4" type="noConversion"/>
  </si>
  <si>
    <t>二郎神普攻2</t>
    <phoneticPr fontId="4" type="noConversion"/>
  </si>
  <si>
    <t>二郎神普攻3</t>
    <phoneticPr fontId="4" type="noConversion"/>
  </si>
  <si>
    <t>erlangshen_attack2</t>
    <phoneticPr fontId="4" type="noConversion"/>
  </si>
  <si>
    <t>erlangshen_attack3</t>
    <phoneticPr fontId="4" type="noConversion"/>
  </si>
  <si>
    <t>sunwukong_attack02</t>
    <phoneticPr fontId="4" type="noConversion"/>
  </si>
  <si>
    <t>sunwukong_attack03</t>
    <phoneticPr fontId="4" type="noConversion"/>
  </si>
  <si>
    <t>nezha_attack02</t>
    <phoneticPr fontId="4" type="noConversion"/>
  </si>
  <si>
    <t>nezha_attack03</t>
    <phoneticPr fontId="4" type="noConversion"/>
  </si>
  <si>
    <t>哪吒普攻1</t>
    <phoneticPr fontId="4" type="noConversion"/>
  </si>
  <si>
    <t>哪吒普攻2</t>
    <phoneticPr fontId="4" type="noConversion"/>
  </si>
  <si>
    <t>哪吒普攻3</t>
    <phoneticPr fontId="4" type="noConversion"/>
  </si>
  <si>
    <t>milefo_attack02</t>
    <phoneticPr fontId="4" type="noConversion"/>
  </si>
  <si>
    <t>milefo_attack03</t>
    <phoneticPr fontId="4" type="noConversion"/>
  </si>
  <si>
    <t>longdi_attack02</t>
    <phoneticPr fontId="4" type="noConversion"/>
  </si>
  <si>
    <t>longdi_attack03</t>
    <phoneticPr fontId="4" type="noConversion"/>
  </si>
  <si>
    <t>erlangshen_skill04</t>
  </si>
  <si>
    <t>erlangshen-ai2</t>
  </si>
  <si>
    <t>erlangshen_effect4</t>
  </si>
  <si>
    <t>erlangshen_hit</t>
  </si>
  <si>
    <t>[]</t>
    <phoneticPr fontId="4" type="noConversion"/>
  </si>
  <si>
    <t>nverguoguowang-普攻</t>
  </si>
  <si>
    <t>nverguoguowang_attack_f</t>
  </si>
  <si>
    <t>nverguoguowang-核心技能</t>
  </si>
  <si>
    <t>nverguoguowang-ai1</t>
  </si>
  <si>
    <t>nverguoguowang_skill02_b</t>
  </si>
  <si>
    <t>nverguoguowang_skill04_q</t>
  </si>
  <si>
    <t>nverguoguowang-ai2</t>
  </si>
  <si>
    <t>[]</t>
    <phoneticPr fontId="4" type="noConversion"/>
  </si>
  <si>
    <t>nverguoguowang_attack_q</t>
    <phoneticPr fontId="4" type="noConversion"/>
  </si>
  <si>
    <t>baiwuchang_effect1_buff</t>
  </si>
  <si>
    <t>baiwuchang_skill04</t>
  </si>
  <si>
    <t>baiwuchang_skill04_b</t>
  </si>
  <si>
    <t>baiwuchang_skill04_buff</t>
  </si>
  <si>
    <t>baiwuchang_effect4_buff</t>
  </si>
  <si>
    <t>temp_baiwuchang_attack</t>
    <phoneticPr fontId="4" type="noConversion"/>
  </si>
  <si>
    <t>temp_baiwuchang_skill01</t>
    <phoneticPr fontId="4" type="noConversion"/>
  </si>
  <si>
    <t>temp_baiwuchang_skill01_buff</t>
    <phoneticPr fontId="4" type="noConversion"/>
  </si>
  <si>
    <t>temp_baiwuchang_skill02</t>
    <phoneticPr fontId="4" type="noConversion"/>
  </si>
  <si>
    <t>temp_baiwuchang_skill04</t>
    <phoneticPr fontId="4" type="noConversion"/>
  </si>
  <si>
    <t>temp_baiwuchang_skill04_b</t>
    <phoneticPr fontId="4" type="noConversion"/>
  </si>
  <si>
    <t>temp_baiwuchang_skill04_buff</t>
    <phoneticPr fontId="4" type="noConversion"/>
  </si>
  <si>
    <t>0|0.5|0</t>
    <phoneticPr fontId="4" type="noConversion"/>
  </si>
  <si>
    <t>0|1|-0.1</t>
    <phoneticPr fontId="4" type="noConversion"/>
  </si>
  <si>
    <t>jinchanzi-ai1</t>
  </si>
  <si>
    <t>jinchanzi_skill04</t>
  </si>
  <si>
    <t>jinchanzi-ai2</t>
  </si>
  <si>
    <t>0|2|0</t>
    <phoneticPr fontId="4" type="noConversion"/>
  </si>
  <si>
    <t>jiutianxuannv_effect1</t>
  </si>
  <si>
    <t>jiutianxuannv_effect2</t>
  </si>
  <si>
    <t>jiutianxuannv_effect4</t>
  </si>
  <si>
    <t>jiutianxuannv_skill04_b</t>
  </si>
  <si>
    <t>jiutianxuannv_effect4_b</t>
  </si>
  <si>
    <t>jiutianxuannv_effect4_f</t>
  </si>
  <si>
    <t>jiutianxuannv_skill02_b</t>
    <phoneticPr fontId="4" type="noConversion"/>
  </si>
  <si>
    <t>jiutianxuannv_effect2_dun</t>
    <phoneticPr fontId="4" type="noConversion"/>
  </si>
  <si>
    <t>jiutianxuannv_skill04_q</t>
    <phoneticPr fontId="4" type="noConversion"/>
  </si>
  <si>
    <t>sunwukong_skill01</t>
  </si>
  <si>
    <t>sunwukong_effect1_buff</t>
  </si>
  <si>
    <t>sunwukong_effect1_Bip001</t>
  </si>
  <si>
    <t>孙悟空核心技能buff</t>
    <phoneticPr fontId="4" type="noConversion"/>
  </si>
  <si>
    <t>sunwukong_skill01_buff</t>
    <phoneticPr fontId="4" type="noConversion"/>
  </si>
  <si>
    <t>[]</t>
    <phoneticPr fontId="4" type="noConversion"/>
  </si>
  <si>
    <t>[]</t>
    <phoneticPr fontId="4" type="noConversion"/>
  </si>
  <si>
    <t>sunwukong_skill01_blank</t>
    <phoneticPr fontId="4" type="noConversion"/>
  </si>
  <si>
    <t>孙悟空核心技能空白</t>
    <phoneticPr fontId="4" type="noConversion"/>
  </si>
  <si>
    <t>[]</t>
    <phoneticPr fontId="4" type="noConversion"/>
  </si>
  <si>
    <t>yinhunxianzi_attack</t>
  </si>
  <si>
    <t>yinhunxianzi_skill01</t>
  </si>
  <si>
    <t>yinhunxianzi_skill02_q</t>
  </si>
  <si>
    <t>yinhunxianzi_skill02</t>
  </si>
  <si>
    <t>yinhunxianzi_effect2_b</t>
  </si>
  <si>
    <t>yinhunxianzi_skill04</t>
  </si>
  <si>
    <t>yinhunxianzi_effect4</t>
  </si>
  <si>
    <t>引魂仙子普攻</t>
  </si>
  <si>
    <t>引魂仙子技能2-动作</t>
  </si>
  <si>
    <t>引魂仙子技能2</t>
  </si>
  <si>
    <t>引魂仙子技能4</t>
  </si>
  <si>
    <t>caidiexiantong_attack</t>
  </si>
  <si>
    <t>caidiexiantong_skill01</t>
  </si>
  <si>
    <t>caidiexiantong_effect1</t>
  </si>
  <si>
    <t>caidiexiantong_skill02</t>
  </si>
  <si>
    <t>caidiexiantong_effect2</t>
  </si>
  <si>
    <t>caidiexiantong_skill04</t>
  </si>
  <si>
    <t>caidiexiantong_effect4</t>
  </si>
  <si>
    <t>caidiexiantong_skill04_b</t>
  </si>
  <si>
    <t>caidiexiantong_effect4_b</t>
  </si>
  <si>
    <t>彩蝶仙童普攻</t>
  </si>
  <si>
    <t>彩蝶仙童核心技能</t>
  </si>
  <si>
    <t>彩蝶仙童技能2</t>
  </si>
  <si>
    <t>彩蝶仙童技能4</t>
  </si>
  <si>
    <t>彩蝶仙童技能4受击</t>
  </si>
  <si>
    <t>tieshangongzhu_skill01_q</t>
  </si>
  <si>
    <t>tieshangongzhu-核心技能</t>
  </si>
  <si>
    <t>tieshangongzhu_effect1_q</t>
  </si>
  <si>
    <t>tieshangongzhu_effect1_buff</t>
  </si>
  <si>
    <t>tieshangongzhu-ai1</t>
  </si>
  <si>
    <t>tieshangongzhu-ai2</t>
  </si>
  <si>
    <t>tieshangongzhu_skill04</t>
  </si>
  <si>
    <t>yinhunxianzi_effect2_q</t>
    <phoneticPr fontId="4" type="noConversion"/>
  </si>
  <si>
    <t>tieshangongzhu_skill01_buff</t>
    <phoneticPr fontId="4" type="noConversion"/>
  </si>
  <si>
    <t>牛魔王核心技能_buff</t>
    <phoneticPr fontId="4" type="noConversion"/>
  </si>
  <si>
    <t>[]</t>
    <phoneticPr fontId="4" type="noConversion"/>
  </si>
  <si>
    <t>niumowang_effect1_buff</t>
    <phoneticPr fontId="4" type="noConversion"/>
  </si>
  <si>
    <t>niumowang_skill01_buff</t>
    <phoneticPr fontId="4" type="noConversion"/>
  </si>
  <si>
    <t>0|0.02|3</t>
    <phoneticPr fontId="4" type="noConversion"/>
  </si>
  <si>
    <t>[]</t>
    <phoneticPr fontId="4" type="noConversion"/>
  </si>
  <si>
    <t>nverguoguowang_skill01_b</t>
    <phoneticPr fontId="4" type="noConversion"/>
  </si>
  <si>
    <t>xiezijing_skill04_b</t>
    <phoneticPr fontId="4" type="noConversion"/>
  </si>
  <si>
    <t>蝎子精技能4命中</t>
    <phoneticPr fontId="4" type="noConversion"/>
  </si>
  <si>
    <t>[]</t>
    <phoneticPr fontId="4" type="noConversion"/>
  </si>
  <si>
    <t>xiezijing_effect4_b</t>
    <phoneticPr fontId="4" type="noConversion"/>
  </si>
  <si>
    <t>4|2</t>
    <phoneticPr fontId="4" type="noConversion"/>
  </si>
  <si>
    <t>skill_2</t>
    <phoneticPr fontId="4" type="noConversion"/>
  </si>
  <si>
    <t>白骨夫人技能2 受击</t>
    <phoneticPr fontId="4" type="noConversion"/>
  </si>
  <si>
    <t>[]</t>
    <phoneticPr fontId="4" type="noConversion"/>
  </si>
  <si>
    <t>respond_hp</t>
    <phoneticPr fontId="4" type="noConversion"/>
  </si>
  <si>
    <t>skill_2</t>
    <phoneticPr fontId="4" type="noConversion"/>
  </si>
  <si>
    <t>skill_4</t>
    <phoneticPr fontId="4" type="noConversion"/>
  </si>
  <si>
    <t>jinghelongwang_attack1</t>
    <phoneticPr fontId="4" type="noConversion"/>
  </si>
  <si>
    <t>泾河龙王技能2 起手</t>
    <phoneticPr fontId="4" type="noConversion"/>
  </si>
  <si>
    <t>jinghelongwang_effect2</t>
    <phoneticPr fontId="4" type="noConversion"/>
  </si>
  <si>
    <t>jinghelongwang_effect2_dun</t>
    <phoneticPr fontId="4" type="noConversion"/>
  </si>
  <si>
    <t>jinghelongwang_skill02_q</t>
    <phoneticPr fontId="4" type="noConversion"/>
  </si>
  <si>
    <t>jinghelongwang_effect4</t>
    <phoneticPr fontId="4" type="noConversion"/>
  </si>
  <si>
    <t>[]</t>
    <phoneticPr fontId="4" type="noConversion"/>
  </si>
  <si>
    <t>temp_wangmuniangniang_attack</t>
    <phoneticPr fontId="4" type="noConversion"/>
  </si>
  <si>
    <t>temp_wangmuniangniang_effect1</t>
    <phoneticPr fontId="4" type="noConversion"/>
  </si>
  <si>
    <t>temp_wangmuniangniang_effect1_dun</t>
    <phoneticPr fontId="4" type="noConversion"/>
  </si>
  <si>
    <t>temp_wangmuniangniang_effect1_z</t>
    <phoneticPr fontId="4" type="noConversion"/>
  </si>
  <si>
    <t>temp_wangmuniangniang_effect2</t>
    <phoneticPr fontId="4" type="noConversion"/>
  </si>
  <si>
    <t>temp_wangmuniangniang_effect2_f</t>
    <phoneticPr fontId="4" type="noConversion"/>
  </si>
  <si>
    <t>temp_wangmuniangniang_effect2_b</t>
    <phoneticPr fontId="4" type="noConversion"/>
  </si>
  <si>
    <t>temp_wangmuniangniang_effect4</t>
    <phoneticPr fontId="4" type="noConversion"/>
  </si>
  <si>
    <t>wangmuniangniang-普攻</t>
  </si>
  <si>
    <t>wangmuniangniang_skill01</t>
  </si>
  <si>
    <t>wangmuniangniang-核心技能</t>
  </si>
  <si>
    <t>wangmuniangniang_skill02</t>
  </si>
  <si>
    <t>wangmuniangniang-ai1</t>
  </si>
  <si>
    <t>wangmuniangniang_skill04</t>
  </si>
  <si>
    <t>wangmuniangniang-ai2</t>
  </si>
  <si>
    <t>鬼使黑普攻</t>
    <phoneticPr fontId="4" type="noConversion"/>
  </si>
  <si>
    <t>鬼使黑核心技能</t>
    <phoneticPr fontId="4" type="noConversion"/>
  </si>
  <si>
    <t>鬼使黑技能2</t>
    <phoneticPr fontId="4" type="noConversion"/>
  </si>
  <si>
    <t>鬼使黑技能4起手</t>
    <phoneticPr fontId="4" type="noConversion"/>
  </si>
  <si>
    <t>鬼使黑技能4_伤害</t>
    <phoneticPr fontId="4" type="noConversion"/>
  </si>
  <si>
    <t>guanshiyin_attack</t>
  </si>
  <si>
    <t>guanshiyin-普攻</t>
  </si>
  <si>
    <t>guanshiyin-核心技能</t>
  </si>
  <si>
    <t>guanshiyin_effect1</t>
  </si>
  <si>
    <t>guanshiyin_skill02</t>
  </si>
  <si>
    <t>guanshiyin-ai1</t>
  </si>
  <si>
    <t>guanshiyin_skill04</t>
  </si>
  <si>
    <t>guanshiyin-ai2</t>
  </si>
  <si>
    <t>guanshiyin_skill01_blank</t>
    <phoneticPr fontId="4" type="noConversion"/>
  </si>
  <si>
    <t>guanshiyin-核心技能 盾</t>
    <phoneticPr fontId="4" type="noConversion"/>
  </si>
  <si>
    <t>guanshiyin_skill02_buff</t>
    <phoneticPr fontId="4" type="noConversion"/>
  </si>
  <si>
    <t>milefo_skill01_q</t>
    <phoneticPr fontId="4" type="noConversion"/>
  </si>
  <si>
    <t>baigufuren_effect1</t>
    <phoneticPr fontId="4" type="noConversion"/>
  </si>
  <si>
    <t>baigufuren_effect2</t>
    <phoneticPr fontId="4" type="noConversion"/>
  </si>
  <si>
    <t>baigufuren_effect2_buff</t>
    <phoneticPr fontId="4" type="noConversion"/>
  </si>
  <si>
    <t>baigufuren_skill04</t>
    <phoneticPr fontId="4" type="noConversion"/>
  </si>
  <si>
    <t>baigufuren_effect4</t>
    <phoneticPr fontId="4" type="noConversion"/>
  </si>
  <si>
    <t>guanshiyin_attack</t>
    <phoneticPr fontId="4" type="noConversion"/>
  </si>
  <si>
    <t>guanshiyin_effect4_buff</t>
    <phoneticPr fontId="4" type="noConversion"/>
  </si>
  <si>
    <t>baigufuren_skill02_blank</t>
    <phoneticPr fontId="4" type="noConversion"/>
  </si>
  <si>
    <t>skill_4</t>
    <phoneticPr fontId="4" type="noConversion"/>
  </si>
  <si>
    <t>guanshiyin_skill01</t>
    <phoneticPr fontId="4" type="noConversion"/>
  </si>
  <si>
    <t>[]</t>
    <phoneticPr fontId="4" type="noConversion"/>
  </si>
  <si>
    <t>guanshiyin_skill04_buff</t>
    <phoneticPr fontId="4" type="noConversion"/>
  </si>
  <si>
    <t>wenshupusa_effect1</t>
    <phoneticPr fontId="4" type="noConversion"/>
  </si>
  <si>
    <t>特效挂载类型[字符串]
0=不生成 
1=不跟随角色，但初始方向随角色旋转 
2=始终跟随角色，方向也随角色旋转 
3=拖拽点位置，不随角色方向旋转 
5= 始终跟随目标，但不随角色旋转</t>
    <phoneticPr fontId="4" type="noConversion"/>
  </si>
  <si>
    <t>babutianlong_effect4</t>
    <phoneticPr fontId="4" type="noConversion"/>
  </si>
  <si>
    <t>change_effect1</t>
    <phoneticPr fontId="4" type="noConversion"/>
  </si>
  <si>
    <t>change_effect1_b</t>
  </si>
  <si>
    <t>0|00.2|0</t>
    <phoneticPr fontId="4" type="noConversion"/>
  </si>
  <si>
    <t>change_skill04_buff</t>
    <phoneticPr fontId="4" type="noConversion"/>
  </si>
  <si>
    <t>0|0|0</t>
    <phoneticPr fontId="4" type="noConversion"/>
  </si>
  <si>
    <t>jinchanzi_skill01_buff</t>
    <phoneticPr fontId="4" type="noConversion"/>
  </si>
  <si>
    <t>shaheshang_skill04_buff</t>
    <phoneticPr fontId="4" type="noConversion"/>
  </si>
  <si>
    <t>shaheshang_effect4_buff</t>
    <phoneticPr fontId="4" type="noConversion"/>
  </si>
  <si>
    <t>zhubajie_effect2_d</t>
  </si>
  <si>
    <t>[]</t>
    <phoneticPr fontId="4" type="noConversion"/>
  </si>
  <si>
    <t>nverguoguowang_effect4</t>
    <phoneticPr fontId="4" type="noConversion"/>
  </si>
  <si>
    <t>tuotatianwang_attack</t>
    <phoneticPr fontId="4" type="noConversion"/>
  </si>
  <si>
    <t>[]</t>
    <phoneticPr fontId="4" type="noConversion"/>
  </si>
  <si>
    <t>tuotatianwang_effect2_dun</t>
    <phoneticPr fontId="4" type="noConversion"/>
  </si>
  <si>
    <t>tuotatianwang_skill02_b</t>
    <phoneticPr fontId="4" type="noConversion"/>
  </si>
  <si>
    <t>tuotatianwang_effect4</t>
    <phoneticPr fontId="4" type="noConversion"/>
  </si>
  <si>
    <t>sunwukong_attack1</t>
    <phoneticPr fontId="4" type="noConversion"/>
  </si>
  <si>
    <t>sunwukong_attack2</t>
    <phoneticPr fontId="4" type="noConversion"/>
  </si>
  <si>
    <t>sunwukong_attack3</t>
    <phoneticPr fontId="4" type="noConversion"/>
  </si>
  <si>
    <t>tuotatianwang</t>
    <phoneticPr fontId="4" type="noConversion"/>
  </si>
  <si>
    <t>0|0.02|4</t>
    <phoneticPr fontId="4" type="noConversion"/>
  </si>
  <si>
    <t>0|-0.02|0</t>
    <phoneticPr fontId="4" type="noConversion"/>
  </si>
  <si>
    <t>common_buff_jiashanbi</t>
  </si>
  <si>
    <t>加闪避</t>
    <phoneticPr fontId="4" type="noConversion"/>
  </si>
  <si>
    <t>[]</t>
    <phoneticPr fontId="4" type="noConversion"/>
  </si>
  <si>
    <t>common_buff_jiashanbi6</t>
    <phoneticPr fontId="4" type="noConversion"/>
  </si>
  <si>
    <t>common_buff_jianfang6</t>
    <phoneticPr fontId="4" type="noConversion"/>
  </si>
  <si>
    <t>加防御</t>
    <phoneticPr fontId="4" type="noConversion"/>
  </si>
  <si>
    <t>common_buff_jianfang</t>
  </si>
  <si>
    <t>减防御</t>
    <phoneticPr fontId="4" type="noConversion"/>
  </si>
  <si>
    <t>common_buff_jiangongji6</t>
  </si>
  <si>
    <t>common_buff_jiangongji</t>
  </si>
  <si>
    <t>减攻击</t>
    <phoneticPr fontId="4" type="noConversion"/>
  </si>
  <si>
    <t>common_buff_jiangongji3</t>
    <phoneticPr fontId="4" type="noConversion"/>
  </si>
  <si>
    <t>common_buff_jiagongji</t>
  </si>
  <si>
    <t>加攻击</t>
    <phoneticPr fontId="4" type="noConversion"/>
  </si>
  <si>
    <t>common_buff_jiafang3</t>
  </si>
  <si>
    <t>common_buff_jiafang</t>
  </si>
  <si>
    <t>common_buff_jiafang6</t>
  </si>
  <si>
    <t>common_buff_xuruo3</t>
  </si>
  <si>
    <t>common_buff_xuruo</t>
  </si>
  <si>
    <t>common_buff_xuruo6</t>
  </si>
  <si>
    <t>虚弱</t>
    <phoneticPr fontId="4" type="noConversion"/>
  </si>
  <si>
    <t>common_buff_baoji</t>
  </si>
  <si>
    <t>common_buff_baoji6</t>
  </si>
  <si>
    <t>加暴击</t>
    <phoneticPr fontId="4" type="noConversion"/>
  </si>
  <si>
    <t>common_buff_zhongdu3</t>
  </si>
  <si>
    <t>common_buff_zhongdu</t>
  </si>
  <si>
    <t>common_buff_zhongdu6</t>
  </si>
  <si>
    <t>中毒</t>
    <phoneticPr fontId="4" type="noConversion"/>
  </si>
  <si>
    <t>common_buff_liuxue3</t>
  </si>
  <si>
    <t>common_buff_liuxue</t>
  </si>
  <si>
    <t>common_buff_liuxue6</t>
  </si>
  <si>
    <t>common_buff_zhuoshao3</t>
  </si>
  <si>
    <t>common_buff_zhuoshao</t>
  </si>
  <si>
    <t>common_buff_zhuoshao6</t>
  </si>
  <si>
    <t>表现包ID
[字符串]</t>
    <phoneticPr fontId="4" type="noConversion"/>
  </si>
  <si>
    <t>common_buff_jiagongji3</t>
    <phoneticPr fontId="4" type="noConversion"/>
  </si>
  <si>
    <t>common_buff_jiagongji6</t>
    <phoneticPr fontId="4" type="noConversion"/>
  </si>
  <si>
    <t>common_buff_jiashanbi3</t>
    <phoneticPr fontId="4" type="noConversion"/>
  </si>
  <si>
    <t>0|1|0</t>
    <phoneticPr fontId="4" type="noConversion"/>
  </si>
  <si>
    <t>tieshangongzhu_effect2</t>
  </si>
  <si>
    <t>tieshangongzhu_skill02_buff</t>
    <phoneticPr fontId="4" type="noConversion"/>
  </si>
  <si>
    <t>tieshangongzhu_skill02</t>
    <phoneticPr fontId="4" type="noConversion"/>
  </si>
  <si>
    <t>tieshangongzhu_effect4_f</t>
  </si>
  <si>
    <t>4|1</t>
    <phoneticPr fontId="4" type="noConversion"/>
  </si>
  <si>
    <t>0|-1.5|0</t>
    <phoneticPr fontId="4" type="noConversion"/>
  </si>
  <si>
    <t>common_buff_baoji3</t>
    <phoneticPr fontId="4" type="noConversion"/>
  </si>
  <si>
    <t>taibaijinxing_effect2_d</t>
  </si>
  <si>
    <t>taibaijinxing_effect2</t>
    <phoneticPr fontId="4" type="noConversion"/>
  </si>
  <si>
    <t>taibaijinxing_attack</t>
    <phoneticPr fontId="4" type="noConversion"/>
  </si>
  <si>
    <t>0|0.02|0</t>
    <phoneticPr fontId="4" type="noConversion"/>
  </si>
  <si>
    <t>taibaijinxing_effect4_f</t>
  </si>
  <si>
    <t>douzhanshengfo_effect4</t>
    <phoneticPr fontId="4" type="noConversion"/>
  </si>
  <si>
    <t>douzhanshengfo_skill04</t>
    <phoneticPr fontId="4" type="noConversion"/>
  </si>
  <si>
    <t>[]</t>
    <phoneticPr fontId="4" type="noConversion"/>
  </si>
  <si>
    <t>skill_2</t>
    <phoneticPr fontId="4" type="noConversion"/>
  </si>
  <si>
    <t>zhizhujing_effect1</t>
    <phoneticPr fontId="4" type="noConversion"/>
  </si>
  <si>
    <t>zhizhujing_skill01_b</t>
    <phoneticPr fontId="4" type="noConversion"/>
  </si>
  <si>
    <t>4|1</t>
    <phoneticPr fontId="4" type="noConversion"/>
  </si>
  <si>
    <t>zhizhujing_skill02</t>
    <phoneticPr fontId="4" type="noConversion"/>
  </si>
  <si>
    <t>zhizhujing_skill02_b</t>
    <phoneticPr fontId="4" type="noConversion"/>
  </si>
  <si>
    <t>zhizhujing_effect2_buff</t>
    <phoneticPr fontId="4" type="noConversion"/>
  </si>
  <si>
    <t>baiwuchang_skill01_buff</t>
    <phoneticPr fontId="4" type="noConversion"/>
  </si>
  <si>
    <t>baiwuchang_effect2</t>
    <phoneticPr fontId="4" type="noConversion"/>
  </si>
  <si>
    <t>jiaye_skill04</t>
    <phoneticPr fontId="4" type="noConversion"/>
  </si>
  <si>
    <t>hulidaxian_effect4_d</t>
  </si>
  <si>
    <t>hulidaxian_skill04</t>
    <phoneticPr fontId="4" type="noConversion"/>
  </si>
  <si>
    <t>hulidaxian_skill04_b</t>
    <phoneticPr fontId="4" type="noConversion"/>
  </si>
  <si>
    <t>hulidaxian_effect2</t>
    <phoneticPr fontId="4" type="noConversion"/>
  </si>
  <si>
    <t>skill_4</t>
    <phoneticPr fontId="4" type="noConversion"/>
  </si>
  <si>
    <t>skill_2</t>
    <phoneticPr fontId="4" type="noConversion"/>
  </si>
  <si>
    <t>yanluowang_skill04_bb</t>
    <phoneticPr fontId="4" type="noConversion"/>
  </si>
  <si>
    <t>metal01@skill01</t>
    <phoneticPr fontId="4" type="noConversion"/>
  </si>
  <si>
    <t>0|0|0</t>
    <phoneticPr fontId="4" type="noConversion"/>
  </si>
  <si>
    <t>baiwuchang_effect2</t>
    <phoneticPr fontId="4" type="noConversion"/>
  </si>
  <si>
    <t>zixiaxianzi_skill04_q</t>
    <phoneticPr fontId="4" type="noConversion"/>
  </si>
  <si>
    <t>soil03@skill01</t>
    <phoneticPr fontId="4" type="noConversion"/>
  </si>
  <si>
    <t>是否碰撞/命中| 碰撞体大小
（填1则默认为skill_main中的生效范围）
1=矩形|长|宽 2=圆形|半径|Z轴偏移 3=扇形|半径|角度(20,30,45,60) 4=单体|半径 5=null 6=自带碰撞体</t>
    <phoneticPr fontId="4" type="noConversion"/>
  </si>
  <si>
    <t>0|0|0</t>
    <phoneticPr fontId="4" type="noConversion"/>
  </si>
  <si>
    <t>baiwuchang_effect1</t>
    <phoneticPr fontId="4" type="noConversion"/>
  </si>
  <si>
    <t>tangsanzang_attack1</t>
  </si>
  <si>
    <t>[]</t>
    <phoneticPr fontId="4" type="noConversion"/>
  </si>
  <si>
    <t>yanglidaxian_effect4</t>
  </si>
  <si>
    <t>baiwuchang_skill02</t>
    <phoneticPr fontId="4" type="noConversion"/>
  </si>
  <si>
    <t>baiwuchang_effect4</t>
    <phoneticPr fontId="4" type="noConversion"/>
  </si>
  <si>
    <t>skill_2</t>
    <phoneticPr fontId="4" type="noConversion"/>
  </si>
  <si>
    <t>taibaijinxing_effect4_Bip001</t>
  </si>
  <si>
    <t>taibaijinxing_effect4_q</t>
    <phoneticPr fontId="4" type="noConversion"/>
  </si>
  <si>
    <t>0|-0.1|0</t>
    <phoneticPr fontId="4" type="noConversion"/>
  </si>
  <si>
    <t>skill_4</t>
    <phoneticPr fontId="4" type="noConversion"/>
  </si>
  <si>
    <t>sunwukong_skill01_temp</t>
    <phoneticPr fontId="4" type="noConversion"/>
  </si>
  <si>
    <t>0|0.2|3</t>
    <phoneticPr fontId="4" type="noConversion"/>
  </si>
  <si>
    <t>honghaier_attack</t>
    <phoneticPr fontId="4" type="noConversion"/>
  </si>
  <si>
    <t>额外参数
[字符串]
1结束特效|特效ID
2打断后删除[否|是]
3使用载体角度[否|是]
4载体死亡销毁[否|是]
5是否使用对象池[否|是]
6关闭粒子发射器时间
7是否使用碰撞和[否|是]
8是否克隆伤害体[否|是]
9是否结束动作[否|是]
10是否循环音效[否|是] 
11碰撞体跟随特效[否|是]</t>
    <phoneticPr fontId="4" type="noConversion"/>
  </si>
  <si>
    <t>[]</t>
    <phoneticPr fontId="4" type="noConversion"/>
  </si>
  <si>
    <t>skill_4</t>
    <phoneticPr fontId="4" type="noConversion"/>
  </si>
  <si>
    <t>skill_2</t>
    <phoneticPr fontId="4" type="noConversion"/>
  </si>
  <si>
    <t>change_effect4</t>
    <phoneticPr fontId="4" type="noConversion"/>
  </si>
  <si>
    <t>0|0|0</t>
    <phoneticPr fontId="4" type="noConversion"/>
  </si>
  <si>
    <t>0|0|-5</t>
    <phoneticPr fontId="4" type="noConversion"/>
  </si>
  <si>
    <t>skill_4</t>
    <phoneticPr fontId="4" type="noConversion"/>
  </si>
  <si>
    <t>0|0.02|0</t>
    <phoneticPr fontId="4" type="noConversion"/>
  </si>
  <si>
    <t>zixiaxianzi_attack_f</t>
  </si>
  <si>
    <t>zixiaxianzi_skill02_q</t>
    <phoneticPr fontId="4" type="noConversion"/>
  </si>
  <si>
    <t>0.4|0|-5</t>
    <phoneticPr fontId="4" type="noConversion"/>
  </si>
  <si>
    <t>[]</t>
    <phoneticPr fontId="4" type="noConversion"/>
  </si>
  <si>
    <t>renshenwa_skill02</t>
    <phoneticPr fontId="4" type="noConversion"/>
  </si>
  <si>
    <t>0|1|0</t>
    <phoneticPr fontId="4" type="noConversion"/>
  </si>
  <si>
    <t>0|-1|1</t>
    <phoneticPr fontId="4" type="noConversion"/>
  </si>
  <si>
    <t>tangsanzang_effect1</t>
  </si>
  <si>
    <t>tangsanzang_skill04</t>
    <phoneticPr fontId="4" type="noConversion"/>
  </si>
  <si>
    <t>baigufuren_skill04_ack</t>
    <phoneticPr fontId="4" type="noConversion"/>
  </si>
  <si>
    <t>[]</t>
    <phoneticPr fontId="4" type="noConversion"/>
  </si>
  <si>
    <t>guanshiyin_effect2</t>
  </si>
  <si>
    <t>[]</t>
    <phoneticPr fontId="4" type="noConversion"/>
  </si>
  <si>
    <t>lulidaxian_effect1</t>
    <phoneticPr fontId="4" type="noConversion"/>
  </si>
  <si>
    <t>lulidaxian_skill02_bip1</t>
    <phoneticPr fontId="4" type="noConversion"/>
  </si>
  <si>
    <t>0|-1|0.5</t>
    <phoneticPr fontId="4" type="noConversion"/>
  </si>
  <si>
    <t>shaheshang_attack_f</t>
  </si>
  <si>
    <t>shaheshang_attack_f</t>
    <phoneticPr fontId="4" type="noConversion"/>
  </si>
  <si>
    <t>shaheshang_attack</t>
    <phoneticPr fontId="4" type="noConversion"/>
  </si>
  <si>
    <t>shaheshang_attack</t>
    <phoneticPr fontId="4" type="noConversion"/>
  </si>
  <si>
    <t>heiwuchang_skill01</t>
    <phoneticPr fontId="4" type="noConversion"/>
  </si>
  <si>
    <t>heiwuchang_skill02_q</t>
    <phoneticPr fontId="4" type="noConversion"/>
  </si>
  <si>
    <t>heiwuchang_effect2</t>
    <phoneticPr fontId="4" type="noConversion"/>
  </si>
  <si>
    <t>heiwuchang_effect4</t>
    <phoneticPr fontId="4" type="noConversion"/>
  </si>
  <si>
    <t>skill_4</t>
    <phoneticPr fontId="4" type="noConversion"/>
  </si>
  <si>
    <t>skill_2</t>
    <phoneticPr fontId="4" type="noConversion"/>
  </si>
  <si>
    <t>renshenwa_effect2_Bip001 Spine</t>
  </si>
  <si>
    <t>renshenwa_skill02_bip01</t>
    <phoneticPr fontId="4" type="noConversion"/>
  </si>
  <si>
    <t>4|1</t>
    <phoneticPr fontId="4" type="noConversion"/>
  </si>
  <si>
    <t>lulidaxian_effect2_f</t>
    <phoneticPr fontId="4" type="noConversion"/>
  </si>
  <si>
    <t>0|-1|-5</t>
    <phoneticPr fontId="4" type="noConversion"/>
  </si>
  <si>
    <t>lulidaxian_skill02</t>
    <phoneticPr fontId="4" type="noConversion"/>
  </si>
  <si>
    <t>tangsanzang_skill04_b</t>
    <phoneticPr fontId="4" type="noConversion"/>
  </si>
  <si>
    <t>tangsanzang_effect4_b</t>
  </si>
  <si>
    <t>common_buff_jianfang3</t>
    <phoneticPr fontId="4" type="noConversion"/>
  </si>
  <si>
    <t>longdi_attack</t>
  </si>
  <si>
    <t>0|0|0</t>
    <phoneticPr fontId="4" type="noConversion"/>
  </si>
  <si>
    <t>0|0.5|3</t>
    <phoneticPr fontId="4" type="noConversion"/>
  </si>
  <si>
    <t>0|0|0</t>
    <phoneticPr fontId="4" type="noConversion"/>
  </si>
  <si>
    <t>0|0|0</t>
    <phoneticPr fontId="4" type="noConversion"/>
  </si>
  <si>
    <t>zhubajie_skill02</t>
    <phoneticPr fontId="4" type="noConversion"/>
  </si>
  <si>
    <t>jiaye_skill01_d</t>
    <phoneticPr fontId="4" type="noConversion"/>
  </si>
  <si>
    <t>斗战胜佛技能3</t>
  </si>
  <si>
    <t>douzhanshengfo_skill03</t>
    <phoneticPr fontId="4" type="noConversion"/>
  </si>
  <si>
    <t>wudiT2</t>
    <phoneticPr fontId="4" type="noConversion"/>
  </si>
  <si>
    <t>yinhunxianzi_effect1</t>
    <phoneticPr fontId="4" type="noConversion"/>
  </si>
  <si>
    <t>skill_1</t>
    <phoneticPr fontId="4" type="noConversion"/>
  </si>
  <si>
    <t>特效类型[整数]
1=普通（原地释放，起始点为锚点）
2追踪飞行 
3(链接)|1=普通|2=链接自己|3=链接攻击目标 
4(子弹)1=穿透子弹,2=碰撞子弹|延时 
5(溅射)1=飞行溅射,2=链接溅射 
6=游龙（秘术异蛇）
7=吸取 
8(抛物线飞行)|起始角度(60) 
9=(炸弹)|1=穿透炸弹,2=触碰炸弹|起始角度(60)|爆炸半径(2) 
10=炸弹|是否跟随目标|目标挂载点 
11=受击特效|是否链接攻击者 
12=分裂箭 
13=滚屏/冲撞|持续时间|持续距离,
14=回旋镖|正向飞行时间</t>
    <phoneticPr fontId="4" type="noConversion"/>
  </si>
  <si>
    <t>[]</t>
    <phoneticPr fontId="4" type="noConversion"/>
  </si>
  <si>
    <t>erlangshenskill03b</t>
    <phoneticPr fontId="4" type="noConversion"/>
  </si>
  <si>
    <t>二郎神技能2命中</t>
    <phoneticPr fontId="4" type="noConversion"/>
  </si>
  <si>
    <t>babutianlong_effect4_q</t>
  </si>
  <si>
    <t>[]</t>
    <phoneticPr fontId="4" type="noConversion"/>
  </si>
  <si>
    <t>0|0.2|3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</si>
</sst>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name val="宋体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color indexed="0"/>
      <name val="微软雅黑"/>
      <family val="2"/>
      <charset val="134"/>
    </font>
    <font>
      <sz val="10"/>
      <color indexed="2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60"/>
      <name val="宋体"/>
      <family val="3"/>
      <charset val="134"/>
    </font>
    <font>
      <sz val="1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C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u/>
      <sz val="12"/>
      <color theme="10"/>
      <name val="宋体"/>
      <family val="3"/>
      <charset val="134"/>
    </font>
    <font>
      <sz val="12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9">
    <xf numFmtId="0" fontId="0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1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/>
  </cellStyleXfs>
  <cellXfs count="119">
    <xf numFmtId="0" fontId="0" fillId="0" borderId="0" xfId="0">
      <alignment vertical="center"/>
    </xf>
    <xf numFmtId="0" fontId="12" fillId="0" borderId="0" xfId="0" applyFont="1" applyFill="1" applyBorder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6" fillId="0" borderId="0" xfId="0" applyFont="1" applyFill="1" applyBorder="1">
      <alignment vertical="center"/>
    </xf>
    <xf numFmtId="0" fontId="12" fillId="0" borderId="0" xfId="0" applyFont="1" applyFill="1" applyBorder="1">
      <alignment vertical="center"/>
    </xf>
    <xf numFmtId="0" fontId="12" fillId="0" borderId="0" xfId="0" applyFont="1" applyFill="1">
      <alignment vertical="center"/>
    </xf>
    <xf numFmtId="0" fontId="16" fillId="0" borderId="0" xfId="0" applyFont="1" applyFill="1">
      <alignment vertical="center"/>
    </xf>
    <xf numFmtId="49" fontId="12" fillId="0" borderId="0" xfId="0" applyNumberFormat="1" applyFont="1">
      <alignment vertical="center"/>
    </xf>
    <xf numFmtId="0" fontId="12" fillId="4" borderId="0" xfId="0" applyFont="1" applyFill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12" fillId="6" borderId="1" xfId="0" applyFont="1" applyFill="1" applyBorder="1">
      <alignment vertical="center"/>
    </xf>
    <xf numFmtId="0" fontId="12" fillId="0" borderId="0" xfId="0" applyFont="1" applyFill="1" applyBorder="1" applyAlignment="1">
      <alignment vertical="center" wrapText="1"/>
    </xf>
    <xf numFmtId="0" fontId="12" fillId="8" borderId="0" xfId="0" applyFont="1" applyFill="1">
      <alignment vertical="center"/>
    </xf>
    <xf numFmtId="0" fontId="1" fillId="0" borderId="0" xfId="0" applyFont="1">
      <alignment vertical="center"/>
    </xf>
    <xf numFmtId="0" fontId="12" fillId="10" borderId="0" xfId="0" applyFont="1" applyFill="1" applyBorder="1">
      <alignment vertical="center"/>
    </xf>
    <xf numFmtId="0" fontId="12" fillId="10" borderId="0" xfId="0" applyFont="1" applyFill="1">
      <alignment vertical="center"/>
    </xf>
    <xf numFmtId="0" fontId="12" fillId="11" borderId="0" xfId="0" applyFont="1" applyFill="1" applyBorder="1">
      <alignment vertical="center"/>
    </xf>
    <xf numFmtId="0" fontId="12" fillId="4" borderId="0" xfId="0" applyFont="1" applyFill="1" applyAlignment="1">
      <alignment horizontal="left" vertical="center"/>
    </xf>
    <xf numFmtId="0" fontId="18" fillId="0" borderId="0" xfId="0" applyFont="1">
      <alignment vertical="center"/>
    </xf>
    <xf numFmtId="0" fontId="18" fillId="4" borderId="0" xfId="0" applyFont="1" applyFill="1" applyAlignment="1">
      <alignment vertical="top" wrapText="1"/>
    </xf>
    <xf numFmtId="0" fontId="18" fillId="3" borderId="0" xfId="0" applyFont="1" applyFill="1">
      <alignment vertical="center"/>
    </xf>
    <xf numFmtId="0" fontId="18" fillId="4" borderId="1" xfId="0" applyFont="1" applyFill="1" applyBorder="1" applyAlignment="1">
      <alignment vertical="top" wrapText="1"/>
    </xf>
    <xf numFmtId="0" fontId="18" fillId="3" borderId="1" xfId="0" applyFont="1" applyFill="1" applyBorder="1">
      <alignment vertical="center"/>
    </xf>
    <xf numFmtId="0" fontId="18" fillId="0" borderId="1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Fill="1">
      <alignment vertical="center"/>
    </xf>
    <xf numFmtId="0" fontId="0" fillId="12" borderId="0" xfId="0" applyFill="1">
      <alignment vertical="center"/>
    </xf>
    <xf numFmtId="0" fontId="18" fillId="12" borderId="0" xfId="0" applyFont="1" applyFill="1">
      <alignment vertical="center"/>
    </xf>
    <xf numFmtId="0" fontId="18" fillId="0" borderId="0" xfId="0" applyFont="1" applyFill="1">
      <alignment vertical="center"/>
    </xf>
    <xf numFmtId="0" fontId="18" fillId="13" borderId="0" xfId="0" applyFont="1" applyFill="1">
      <alignment vertical="center"/>
    </xf>
    <xf numFmtId="0" fontId="18" fillId="13" borderId="1" xfId="0" applyFont="1" applyFill="1" applyBorder="1">
      <alignment vertical="center"/>
    </xf>
    <xf numFmtId="0" fontId="18" fillId="0" borderId="3" xfId="0" applyFont="1" applyBorder="1">
      <alignment vertical="center"/>
    </xf>
    <xf numFmtId="0" fontId="3" fillId="0" borderId="0" xfId="0" applyFont="1" applyFill="1">
      <alignment vertical="center"/>
    </xf>
    <xf numFmtId="0" fontId="18" fillId="8" borderId="0" xfId="0" applyFont="1" applyFill="1">
      <alignment vertical="center"/>
    </xf>
    <xf numFmtId="49" fontId="5" fillId="3" borderId="1" xfId="0" applyNumberFormat="1" applyFont="1" applyFill="1" applyBorder="1" applyAlignment="1">
      <alignment vertical="top" wrapText="1"/>
    </xf>
    <xf numFmtId="49" fontId="5" fillId="4" borderId="1" xfId="0" applyNumberFormat="1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49" fontId="6" fillId="3" borderId="1" xfId="0" applyNumberFormat="1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/>
    </xf>
    <xf numFmtId="0" fontId="5" fillId="4" borderId="1" xfId="0" applyFont="1" applyFill="1" applyBorder="1" applyAlignment="1">
      <alignment vertical="top"/>
    </xf>
    <xf numFmtId="49" fontId="5" fillId="3" borderId="1" xfId="0" applyNumberFormat="1" applyFont="1" applyFill="1" applyBorder="1" applyAlignment="1">
      <alignment vertical="top"/>
    </xf>
    <xf numFmtId="0" fontId="12" fillId="0" borderId="1" xfId="2" applyFont="1" applyFill="1" applyBorder="1" applyAlignment="1">
      <alignment vertical="top"/>
    </xf>
    <xf numFmtId="49" fontId="12" fillId="0" borderId="1" xfId="2" applyNumberFormat="1" applyFont="1" applyFill="1" applyBorder="1" applyAlignment="1">
      <alignment vertical="top"/>
    </xf>
    <xf numFmtId="0" fontId="5" fillId="0" borderId="1" xfId="0" applyFont="1" applyFill="1" applyBorder="1" applyAlignment="1">
      <alignment vertical="top"/>
    </xf>
    <xf numFmtId="0" fontId="7" fillId="0" borderId="1" xfId="0" applyFont="1" applyFill="1" applyBorder="1" applyAlignment="1">
      <alignment vertical="top"/>
    </xf>
    <xf numFmtId="0" fontId="16" fillId="0" borderId="1" xfId="2" applyFont="1" applyFill="1" applyBorder="1" applyAlignment="1">
      <alignment vertical="top"/>
    </xf>
    <xf numFmtId="49" fontId="16" fillId="0" borderId="1" xfId="2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12" fillId="9" borderId="1" xfId="2" applyFont="1" applyFill="1" applyBorder="1" applyAlignment="1">
      <alignment vertical="top"/>
    </xf>
    <xf numFmtId="0" fontId="12" fillId="0" borderId="0" xfId="2" applyFont="1" applyFill="1" applyBorder="1" applyAlignment="1">
      <alignment vertical="top"/>
    </xf>
    <xf numFmtId="0" fontId="12" fillId="0" borderId="0" xfId="0" applyFont="1" applyAlignment="1">
      <alignment vertical="center"/>
    </xf>
    <xf numFmtId="49" fontId="12" fillId="0" borderId="0" xfId="2" applyNumberFormat="1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7" fillId="0" borderId="0" xfId="0" applyFont="1" applyFill="1" applyBorder="1" applyAlignment="1">
      <alignment vertical="top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7" fillId="0" borderId="1" xfId="47" applyFill="1" applyBorder="1" applyAlignment="1">
      <alignment vertical="top"/>
    </xf>
    <xf numFmtId="0" fontId="9" fillId="0" borderId="1" xfId="2" applyFill="1" applyBorder="1" applyAlignment="1">
      <alignment vertical="center"/>
    </xf>
    <xf numFmtId="0" fontId="12" fillId="4" borderId="1" xfId="2" applyFont="1" applyFill="1" applyBorder="1" applyAlignment="1">
      <alignment vertical="top"/>
    </xf>
    <xf numFmtId="49" fontId="12" fillId="4" borderId="1" xfId="2" applyNumberFormat="1" applyFont="1" applyFill="1" applyBorder="1" applyAlignment="1">
      <alignment vertical="top"/>
    </xf>
    <xf numFmtId="0" fontId="7" fillId="4" borderId="1" xfId="0" applyFont="1" applyFill="1" applyBorder="1" applyAlignment="1">
      <alignment vertical="top"/>
    </xf>
    <xf numFmtId="0" fontId="12" fillId="4" borderId="1" xfId="0" applyFont="1" applyFill="1" applyBorder="1" applyAlignment="1">
      <alignment vertical="center"/>
    </xf>
    <xf numFmtId="49" fontId="12" fillId="4" borderId="1" xfId="0" applyNumberFormat="1" applyFont="1" applyFill="1" applyBorder="1" applyAlignment="1">
      <alignment vertical="center"/>
    </xf>
    <xf numFmtId="0" fontId="12" fillId="11" borderId="1" xfId="2" applyFont="1" applyFill="1" applyBorder="1" applyAlignment="1">
      <alignment vertical="top"/>
    </xf>
    <xf numFmtId="49" fontId="12" fillId="11" borderId="1" xfId="2" applyNumberFormat="1" applyFont="1" applyFill="1" applyBorder="1" applyAlignment="1">
      <alignment vertical="top"/>
    </xf>
    <xf numFmtId="0" fontId="5" fillId="11" borderId="1" xfId="0" applyFont="1" applyFill="1" applyBorder="1" applyAlignment="1">
      <alignment vertical="top"/>
    </xf>
    <xf numFmtId="0" fontId="7" fillId="11" borderId="1" xfId="0" applyFont="1" applyFill="1" applyBorder="1" applyAlignment="1">
      <alignment vertical="top"/>
    </xf>
    <xf numFmtId="0" fontId="12" fillId="0" borderId="1" xfId="0" applyFont="1" applyFill="1" applyBorder="1" applyAlignment="1">
      <alignment vertical="top"/>
    </xf>
    <xf numFmtId="49" fontId="12" fillId="0" borderId="1" xfId="0" applyNumberFormat="1" applyFont="1" applyFill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0" fontId="12" fillId="10" borderId="1" xfId="0" applyFont="1" applyFill="1" applyBorder="1" applyAlignment="1">
      <alignment vertical="center"/>
    </xf>
    <xf numFmtId="49" fontId="12" fillId="10" borderId="1" xfId="0" applyNumberFormat="1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49" fontId="16" fillId="0" borderId="1" xfId="0" applyNumberFormat="1" applyFont="1" applyBorder="1" applyAlignment="1">
      <alignment vertical="center"/>
    </xf>
    <xf numFmtId="0" fontId="2" fillId="7" borderId="1" xfId="0" applyFont="1" applyFill="1" applyBorder="1" applyAlignment="1">
      <alignment vertical="top"/>
    </xf>
    <xf numFmtId="0" fontId="2" fillId="0" borderId="1" xfId="0" applyFont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49" fontId="12" fillId="0" borderId="1" xfId="0" applyNumberFormat="1" applyFont="1" applyBorder="1" applyAlignment="1">
      <alignment vertical="center"/>
    </xf>
    <xf numFmtId="0" fontId="12" fillId="6" borderId="1" xfId="0" applyFont="1" applyFill="1" applyBorder="1" applyAlignment="1">
      <alignment vertical="center"/>
    </xf>
    <xf numFmtId="49" fontId="12" fillId="6" borderId="1" xfId="0" applyNumberFormat="1" applyFont="1" applyFill="1" applyBorder="1" applyAlignment="1">
      <alignment vertical="center"/>
    </xf>
    <xf numFmtId="0" fontId="12" fillId="5" borderId="1" xfId="0" applyFont="1" applyFill="1" applyBorder="1" applyAlignment="1">
      <alignment vertical="center"/>
    </xf>
    <xf numFmtId="0" fontId="12" fillId="4" borderId="0" xfId="0" applyFont="1" applyFill="1" applyAlignment="1">
      <alignment vertical="center"/>
    </xf>
    <xf numFmtId="49" fontId="12" fillId="0" borderId="3" xfId="0" applyNumberFormat="1" applyFont="1" applyBorder="1" applyAlignment="1">
      <alignment vertical="center"/>
    </xf>
    <xf numFmtId="0" fontId="16" fillId="0" borderId="0" xfId="0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12" fillId="9" borderId="1" xfId="0" applyFont="1" applyFill="1" applyBorder="1" applyAlignment="1">
      <alignment vertical="top"/>
    </xf>
    <xf numFmtId="0" fontId="12" fillId="9" borderId="1" xfId="0" applyFont="1" applyFill="1" applyBorder="1" applyAlignment="1">
      <alignment vertical="center"/>
    </xf>
    <xf numFmtId="49" fontId="12" fillId="9" borderId="1" xfId="0" applyNumberFormat="1" applyFont="1" applyFill="1" applyBorder="1" applyAlignment="1">
      <alignment vertical="center"/>
    </xf>
    <xf numFmtId="0" fontId="1" fillId="7" borderId="1" xfId="0" applyFont="1" applyFill="1" applyBorder="1" applyAlignment="1">
      <alignment vertical="top"/>
    </xf>
    <xf numFmtId="0" fontId="1" fillId="0" borderId="1" xfId="0" applyFont="1" applyBorder="1" applyAlignment="1">
      <alignment vertical="center"/>
    </xf>
    <xf numFmtId="0" fontId="1" fillId="7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2" fillId="0" borderId="0" xfId="0" applyNumberFormat="1" applyFont="1" applyAlignment="1">
      <alignment vertical="center"/>
    </xf>
    <xf numFmtId="0" fontId="12" fillId="14" borderId="0" xfId="0" applyFont="1" applyFill="1">
      <alignment vertical="center"/>
    </xf>
    <xf numFmtId="49" fontId="12" fillId="14" borderId="0" xfId="0" applyNumberFormat="1" applyFont="1" applyFill="1">
      <alignment vertical="center"/>
    </xf>
    <xf numFmtId="0" fontId="12" fillId="14" borderId="1" xfId="0" applyFont="1" applyFill="1" applyBorder="1">
      <alignment vertical="center"/>
    </xf>
    <xf numFmtId="0" fontId="16" fillId="0" borderId="0" xfId="0" applyFont="1" applyFill="1" applyBorder="1" applyAlignment="1">
      <alignment vertical="center"/>
    </xf>
    <xf numFmtId="49" fontId="12" fillId="14" borderId="1" xfId="0" applyNumberFormat="1" applyFont="1" applyFill="1" applyBorder="1">
      <alignment vertical="center"/>
    </xf>
    <xf numFmtId="0" fontId="12" fillId="8" borderId="0" xfId="0" applyFont="1" applyFill="1" applyBorder="1" applyAlignment="1">
      <alignment vertical="center"/>
    </xf>
    <xf numFmtId="0" fontId="12" fillId="6" borderId="0" xfId="0" applyFont="1" applyFill="1" applyBorder="1" applyAlignment="1">
      <alignment vertical="center"/>
    </xf>
    <xf numFmtId="49" fontId="12" fillId="6" borderId="0" xfId="0" applyNumberFormat="1" applyFont="1" applyFill="1" applyBorder="1" applyAlignment="1">
      <alignment vertical="center"/>
    </xf>
    <xf numFmtId="0" fontId="12" fillId="0" borderId="2" xfId="0" applyFont="1" applyBorder="1">
      <alignment vertical="center"/>
    </xf>
    <xf numFmtId="0" fontId="12" fillId="0" borderId="1" xfId="0" applyFont="1" applyBorder="1">
      <alignment vertical="center"/>
    </xf>
    <xf numFmtId="0" fontId="12" fillId="5" borderId="0" xfId="0" applyFont="1" applyFill="1">
      <alignment vertical="center"/>
    </xf>
    <xf numFmtId="49" fontId="12" fillId="5" borderId="0" xfId="0" applyNumberFormat="1" applyFont="1" applyFill="1">
      <alignment vertical="center"/>
    </xf>
    <xf numFmtId="0" fontId="20" fillId="0" borderId="0" xfId="48" applyFont="1"/>
    <xf numFmtId="0" fontId="20" fillId="0" borderId="0" xfId="48" applyFont="1"/>
  </cellXfs>
  <cellStyles count="49">
    <cellStyle name="差 2" xfId="6"/>
    <cellStyle name="差 2 10" xfId="21"/>
    <cellStyle name="差 2 11" xfId="23"/>
    <cellStyle name="差 2 12" xfId="25"/>
    <cellStyle name="差 2 13" xfId="27"/>
    <cellStyle name="差 2 14" xfId="29"/>
    <cellStyle name="差 2 15" xfId="31"/>
    <cellStyle name="差 2 16" xfId="33"/>
    <cellStyle name="差 2 17" xfId="35"/>
    <cellStyle name="差 2 18" xfId="37"/>
    <cellStyle name="差 2 19" xfId="39"/>
    <cellStyle name="差 2 2" xfId="8"/>
    <cellStyle name="差 2 20" xfId="41"/>
    <cellStyle name="差 2 21" xfId="46"/>
    <cellStyle name="差 2 3" xfId="15"/>
    <cellStyle name="差 2 4" xfId="13"/>
    <cellStyle name="差 2 5" xfId="10"/>
    <cellStyle name="差 2 6" xfId="11"/>
    <cellStyle name="差 2 7" xfId="16"/>
    <cellStyle name="差 2 8" xfId="17"/>
    <cellStyle name="差 2 9" xfId="19"/>
    <cellStyle name="差 3" xfId="4"/>
    <cellStyle name="常规" xfId="0" builtinId="0"/>
    <cellStyle name="常规 2" xfId="1"/>
    <cellStyle name="常规 2 2" xfId="5"/>
    <cellStyle name="常规 2 3" xfId="3"/>
    <cellStyle name="常规 2 3 10" xfId="26"/>
    <cellStyle name="常规 2 3 11" xfId="28"/>
    <cellStyle name="常规 2 3 12" xfId="30"/>
    <cellStyle name="常规 2 3 13" xfId="32"/>
    <cellStyle name="常规 2 3 14" xfId="34"/>
    <cellStyle name="常规 2 3 15" xfId="36"/>
    <cellStyle name="常规 2 3 16" xfId="38"/>
    <cellStyle name="常规 2 3 17" xfId="40"/>
    <cellStyle name="常规 2 3 18" xfId="42"/>
    <cellStyle name="常规 2 3 19" xfId="43"/>
    <cellStyle name="常规 2 3 2" xfId="7"/>
    <cellStyle name="常规 2 3 20" xfId="44"/>
    <cellStyle name="常规 2 3 21" xfId="45"/>
    <cellStyle name="常规 2 3 3" xfId="12"/>
    <cellStyle name="常规 2 3 4" xfId="14"/>
    <cellStyle name="常规 2 3 5" xfId="9"/>
    <cellStyle name="常规 2 3 6" xfId="18"/>
    <cellStyle name="常规 2 3 7" xfId="20"/>
    <cellStyle name="常规 2 3 8" xfId="22"/>
    <cellStyle name="常规 2 3 9" xfId="24"/>
    <cellStyle name="常规 3" xfId="2"/>
    <cellStyle name="常规 4" xfId="48"/>
    <cellStyle name="超链接" xfId="47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ill_m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引用表"/>
      <sheetName val="技能配置"/>
      <sheetName val="技能范围"/>
      <sheetName val="buff对照表"/>
      <sheetName val="buff引用表"/>
      <sheetName val="高级效果表"/>
    </sheetNames>
    <sheetDataSet>
      <sheetData sheetId="0"/>
      <sheetData sheetId="1"/>
      <sheetData sheetId="2">
        <row r="1">
          <cell r="B1" t="str">
            <v>技能id</v>
          </cell>
          <cell r="C1" t="str">
            <v>技能名称</v>
          </cell>
          <cell r="D1" t="str">
            <v>起手特效</v>
          </cell>
          <cell r="E1" t="str">
            <v>主特效
造成伤害的部分。</v>
          </cell>
          <cell r="F1" t="str">
            <v>辅特效
不造成伤害
辅助主特效用做表现的</v>
          </cell>
          <cell r="G1" t="str">
            <v>命中特效</v>
          </cell>
          <cell r="H1" t="str">
            <v>buff特效</v>
          </cell>
          <cell r="I1" t="str">
            <v>动作总时长</v>
          </cell>
          <cell r="J1" t="str">
            <v>首次命中
时间点</v>
          </cell>
          <cell r="K1" t="str">
            <v>技能出现时位置
自己
目标
被动</v>
          </cell>
          <cell r="L1" t="str">
            <v xml:space="preserve">技能范围
挥砍=单体近战
子弹=单体远程
飞行宽3
圆形2
扇形10|60
矩形4|5
单体被动
全体被动
</v>
          </cell>
          <cell r="M1" t="str">
            <v>技能作用目标
自己
敌方
友军</v>
          </cell>
          <cell r="N1" t="str">
            <v>是否可被打断
0=不可打断
1=只能主动打断
2=只能被动打断
3=主动+被动打断（可填多个）</v>
          </cell>
          <cell r="O1" t="str">
            <v>被动技能
的汉字名
对于伙伴的被动必须填写</v>
          </cell>
          <cell r="P1" t="str">
            <v>技能类型
伤害
加血
buff</v>
          </cell>
          <cell r="R1" t="str">
            <v>全队0.8
自己0.7
辅助0.7
远程
近战
防御
刺客</v>
          </cell>
          <cell r="S1" t="str">
            <v>buff效果
2个字的效果
攻击|
命中|
物防
魔防
攻速
加伤
减伤
中毒
流血
灼烧</v>
          </cell>
          <cell r="T1" t="str">
            <v>buff作用目标
自己
敌方
友军</v>
          </cell>
          <cell r="U1" t="str">
            <v>高级效果
2个字的效果（高级效果前两个字）</v>
          </cell>
          <cell r="V1" t="str">
            <v>高级效果
自己
敌方
友军</v>
          </cell>
          <cell r="AC1" t="str">
            <v>自身buff1</v>
          </cell>
          <cell r="AD1" t="str">
            <v>自身buff2</v>
          </cell>
          <cell r="AE1" t="str">
            <v>自身buff3</v>
          </cell>
          <cell r="AF1" t="str">
            <v>自身buff4</v>
          </cell>
          <cell r="AG1" t="str">
            <v>自身buff5</v>
          </cell>
          <cell r="AH1" t="str">
            <v>命中buff1</v>
          </cell>
          <cell r="AI1" t="str">
            <v>命中buff2</v>
          </cell>
          <cell r="AJ1" t="str">
            <v>命中buff3</v>
          </cell>
          <cell r="AK1" t="str">
            <v>命中buff4</v>
          </cell>
          <cell r="AL1" t="str">
            <v>命中buff5</v>
          </cell>
          <cell r="AM1" t="str">
            <v>自身额外效果1</v>
          </cell>
          <cell r="AN1" t="str">
            <v>自身额外效果2</v>
          </cell>
          <cell r="AO1" t="str">
            <v>自身额外效果3</v>
          </cell>
          <cell r="AP1" t="str">
            <v>自身额外效果4</v>
          </cell>
          <cell r="AQ1" t="str">
            <v>自身额外效果5</v>
          </cell>
          <cell r="AR1" t="str">
            <v>命中额外效果1</v>
          </cell>
          <cell r="AS1" t="str">
            <v>命中额外效果2</v>
          </cell>
          <cell r="AT1" t="str">
            <v>命中额外效果3</v>
          </cell>
          <cell r="AU1" t="str">
            <v>命中额外效果4</v>
          </cell>
          <cell r="AV1" t="str">
            <v>命中额外效果5</v>
          </cell>
        </row>
        <row r="2"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</row>
        <row r="3">
          <cell r="B3" t="str">
            <v>nanzhujue_0</v>
          </cell>
          <cell r="C3" t="str">
            <v>男主角</v>
          </cell>
          <cell r="E3" t="str">
            <v>nanzhujue_attack_f01</v>
          </cell>
          <cell r="I3">
            <v>1.33</v>
          </cell>
          <cell r="J3">
            <v>0</v>
          </cell>
          <cell r="K3" t="str">
            <v>自己</v>
          </cell>
          <cell r="L3" t="str">
            <v>子弹</v>
          </cell>
          <cell r="M3" t="str">
            <v>敌方</v>
          </cell>
          <cell r="N3">
            <v>3</v>
          </cell>
          <cell r="P3" t="str">
            <v>伤害</v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</row>
        <row r="4">
          <cell r="B4" t="str">
            <v>nvzhujue_0</v>
          </cell>
          <cell r="C4" t="str">
            <v>女主角</v>
          </cell>
          <cell r="E4" t="str">
            <v>nvzhujie_attack</v>
          </cell>
          <cell r="I4">
            <v>1</v>
          </cell>
          <cell r="J4">
            <v>0</v>
          </cell>
          <cell r="K4" t="str">
            <v>自己</v>
          </cell>
          <cell r="L4" t="str">
            <v>子弹</v>
          </cell>
          <cell r="M4" t="str">
            <v>敌方</v>
          </cell>
          <cell r="N4">
            <v>3</v>
          </cell>
          <cell r="P4" t="str">
            <v>伤害</v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</row>
        <row r="5">
          <cell r="B5" t="str">
            <v>nezha_0</v>
          </cell>
          <cell r="C5" t="str">
            <v>哪吒</v>
          </cell>
          <cell r="E5" t="str">
            <v>nezha_attack</v>
          </cell>
          <cell r="I5">
            <v>0.73299999999999998</v>
          </cell>
          <cell r="J5">
            <v>0</v>
          </cell>
          <cell r="K5" t="str">
            <v>自己</v>
          </cell>
          <cell r="L5" t="str">
            <v>挥砍</v>
          </cell>
          <cell r="M5" t="str">
            <v>敌方</v>
          </cell>
          <cell r="N5">
            <v>3</v>
          </cell>
          <cell r="P5" t="str">
            <v>加血</v>
          </cell>
          <cell r="U5" t="str">
            <v>震屏</v>
          </cell>
          <cell r="V5" t="str">
            <v>自己</v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>震屏</v>
          </cell>
          <cell r="AN5" t="str">
            <v/>
          </cell>
          <cell r="AO5" t="str">
            <v/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</row>
        <row r="6">
          <cell r="B6" t="str">
            <v>nezha_1</v>
          </cell>
          <cell r="C6" t="str">
            <v>烈火莲心</v>
          </cell>
          <cell r="E6" t="str">
            <v>nezha_effect1</v>
          </cell>
          <cell r="I6">
            <v>1.667</v>
          </cell>
          <cell r="J6">
            <v>0</v>
          </cell>
          <cell r="K6" t="str">
            <v>敌方</v>
          </cell>
          <cell r="L6" t="str">
            <v>圆形6</v>
          </cell>
          <cell r="M6" t="str">
            <v>敌方</v>
          </cell>
          <cell r="N6">
            <v>0</v>
          </cell>
          <cell r="P6" t="str">
            <v>加血</v>
          </cell>
          <cell r="S6" t="str">
            <v>灼烧</v>
          </cell>
          <cell r="T6" t="str">
            <v>敌方</v>
          </cell>
          <cell r="U6" t="str">
            <v>震屏</v>
          </cell>
          <cell r="V6" t="str">
            <v>自己</v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>灼烧</v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>震屏</v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</row>
        <row r="7">
          <cell r="B7" t="str">
            <v>nezha_2</v>
          </cell>
          <cell r="C7" t="str">
            <v>聚能引爆</v>
          </cell>
          <cell r="D7" t="str">
            <v>nezha_effect2</v>
          </cell>
          <cell r="E7" t="str">
            <v>nezha_effect2</v>
          </cell>
          <cell r="F7" t="str">
            <v>nezha_effect2</v>
          </cell>
          <cell r="G7" t="str">
            <v>nezha_effect2</v>
          </cell>
          <cell r="H7" t="str">
            <v>nezha_effect2</v>
          </cell>
          <cell r="I7">
            <v>1.667</v>
          </cell>
          <cell r="J7">
            <v>0.27</v>
          </cell>
          <cell r="K7" t="str">
            <v>自己</v>
          </cell>
          <cell r="L7" t="str">
            <v>矩形4|2</v>
          </cell>
          <cell r="M7" t="str">
            <v>敌方</v>
          </cell>
          <cell r="N7">
            <v>3</v>
          </cell>
          <cell r="P7" t="str">
            <v>伤害</v>
          </cell>
          <cell r="U7" t="str">
            <v>震屏</v>
          </cell>
          <cell r="V7" t="str">
            <v>自己</v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>震屏</v>
          </cell>
          <cell r="AN7" t="str">
            <v/>
          </cell>
          <cell r="AO7" t="str">
            <v/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</row>
        <row r="8">
          <cell r="B8" t="str">
            <v>nezha_3</v>
          </cell>
          <cell r="C8" t="str">
            <v>被动技能</v>
          </cell>
          <cell r="I8">
            <v>0</v>
          </cell>
          <cell r="J8">
            <v>0</v>
          </cell>
          <cell r="K8" t="str">
            <v>被动</v>
          </cell>
          <cell r="L8" t="str">
            <v>单体被动</v>
          </cell>
          <cell r="M8" t="str">
            <v>自己</v>
          </cell>
          <cell r="N8">
            <v>0</v>
          </cell>
          <cell r="O8" t="str">
            <v>暴击</v>
          </cell>
          <cell r="P8" t="str">
            <v>buff</v>
          </cell>
          <cell r="S8" t="str">
            <v>暴击</v>
          </cell>
          <cell r="T8" t="str">
            <v>自己</v>
          </cell>
          <cell r="AC8" t="str">
            <v>暴击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</row>
        <row r="9">
          <cell r="B9" t="str">
            <v>nezha_4</v>
          </cell>
          <cell r="C9" t="str">
            <v>烈焰冲击</v>
          </cell>
          <cell r="E9" t="str">
            <v>nezha_effect4</v>
          </cell>
          <cell r="J9">
            <v>1.5</v>
          </cell>
          <cell r="K9" t="str">
            <v>自己</v>
          </cell>
          <cell r="L9" t="str">
            <v>矩形8|3</v>
          </cell>
          <cell r="M9" t="str">
            <v>敌方</v>
          </cell>
          <cell r="N9">
            <v>3</v>
          </cell>
          <cell r="P9" t="str">
            <v>伤害</v>
          </cell>
          <cell r="U9" t="str">
            <v>震屏</v>
          </cell>
          <cell r="V9" t="str">
            <v>自己</v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>震屏</v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</row>
        <row r="10">
          <cell r="B10" t="str">
            <v>tuotatianwang_0</v>
          </cell>
          <cell r="C10" t="str">
            <v>普攻</v>
          </cell>
          <cell r="E10" t="str">
            <v>tuotatianwang_attack</v>
          </cell>
          <cell r="I10">
            <v>0</v>
          </cell>
          <cell r="J10">
            <v>0</v>
          </cell>
          <cell r="K10" t="str">
            <v>自己</v>
          </cell>
          <cell r="L10" t="str">
            <v>子弹</v>
          </cell>
          <cell r="M10" t="str">
            <v>敌方</v>
          </cell>
          <cell r="N10">
            <v>3</v>
          </cell>
          <cell r="P10" t="str">
            <v>伤害</v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</row>
        <row r="11">
          <cell r="B11" t="str">
            <v>tuotatianwang_1</v>
          </cell>
          <cell r="C11" t="str">
            <v>天道庇护</v>
          </cell>
          <cell r="E11" t="str">
            <v>tuotatianwang_effect1</v>
          </cell>
          <cell r="I11">
            <v>1.667</v>
          </cell>
          <cell r="J11">
            <v>0</v>
          </cell>
          <cell r="K11" t="str">
            <v>目标</v>
          </cell>
          <cell r="L11" t="str">
            <v>圆形20</v>
          </cell>
          <cell r="M11" t="str">
            <v>友军</v>
          </cell>
          <cell r="N11">
            <v>0</v>
          </cell>
          <cell r="P11" t="str">
            <v>加血</v>
          </cell>
          <cell r="U11" t="str">
            <v>血盾</v>
          </cell>
          <cell r="V11" t="str">
            <v>友军</v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  <cell r="AP11" t="str">
            <v/>
          </cell>
          <cell r="AQ11" t="str">
            <v/>
          </cell>
          <cell r="AR11" t="str">
            <v>血盾</v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</row>
        <row r="12">
          <cell r="B12" t="str">
            <v>tuotatianwang_2</v>
          </cell>
          <cell r="C12" t="str">
            <v>众生平等</v>
          </cell>
          <cell r="E12" t="str">
            <v>tuotatianwang_effect2</v>
          </cell>
          <cell r="I12">
            <v>2.6669999999999998</v>
          </cell>
          <cell r="J12">
            <v>2.0460000000000003</v>
          </cell>
          <cell r="K12" t="str">
            <v>目标</v>
          </cell>
          <cell r="L12" t="str">
            <v>圆形20</v>
          </cell>
          <cell r="M12" t="str">
            <v>友军</v>
          </cell>
          <cell r="N12">
            <v>3</v>
          </cell>
          <cell r="P12" t="str">
            <v>加血</v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</row>
        <row r="13">
          <cell r="B13" t="str">
            <v>tuotatianwang_3</v>
          </cell>
          <cell r="C13" t="str">
            <v>被动技能</v>
          </cell>
          <cell r="I13">
            <v>0</v>
          </cell>
          <cell r="J13">
            <v>0</v>
          </cell>
          <cell r="K13" t="str">
            <v>被动</v>
          </cell>
          <cell r="L13" t="str">
            <v>全体被动</v>
          </cell>
          <cell r="M13" t="str">
            <v>友军</v>
          </cell>
          <cell r="N13">
            <v>0</v>
          </cell>
          <cell r="O13" t="str">
            <v>魔防</v>
          </cell>
          <cell r="P13" t="str">
            <v>buff</v>
          </cell>
          <cell r="S13" t="str">
            <v>魔防</v>
          </cell>
          <cell r="T13" t="str">
            <v>友军</v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>魔防</v>
          </cell>
          <cell r="AI13" t="str">
            <v/>
          </cell>
          <cell r="AJ13" t="str">
            <v/>
          </cell>
          <cell r="AK13" t="str">
            <v/>
          </cell>
          <cell r="AL13" t="str">
            <v/>
          </cell>
          <cell r="AM13" t="str">
            <v>魔防</v>
          </cell>
          <cell r="AN13" t="str">
            <v/>
          </cell>
          <cell r="AO13" t="str">
            <v/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</row>
        <row r="14">
          <cell r="B14" t="str">
            <v>tuotatianwang_4</v>
          </cell>
          <cell r="C14" t="str">
            <v>修罗无情</v>
          </cell>
          <cell r="E14" t="str">
            <v>tuotatianwang_effect4</v>
          </cell>
          <cell r="I14">
            <v>3.6669999999999998</v>
          </cell>
          <cell r="J14">
            <v>2.64</v>
          </cell>
          <cell r="K14" t="str">
            <v>目标</v>
          </cell>
          <cell r="L14" t="str">
            <v>扇形6|60</v>
          </cell>
          <cell r="M14" t="str">
            <v>敌方</v>
          </cell>
          <cell r="N14">
            <v>3</v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  <cell r="AJ14" t="str">
            <v/>
          </cell>
          <cell r="AK14" t="str">
            <v/>
          </cell>
          <cell r="AL14" t="str">
            <v/>
          </cell>
          <cell r="AM14" t="str">
            <v/>
          </cell>
          <cell r="AN14" t="str">
            <v/>
          </cell>
          <cell r="AO14" t="str">
            <v/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</row>
        <row r="15"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  <cell r="AJ15" t="str">
            <v/>
          </cell>
          <cell r="AK15" t="str">
            <v/>
          </cell>
          <cell r="AL15" t="str">
            <v/>
          </cell>
          <cell r="AM15" t="str">
            <v/>
          </cell>
          <cell r="AN15" t="str">
            <v/>
          </cell>
          <cell r="AO15" t="str">
            <v/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</row>
        <row r="16"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  <cell r="AJ16" t="str">
            <v/>
          </cell>
          <cell r="AK16" t="str">
            <v/>
          </cell>
          <cell r="AL16" t="str">
            <v/>
          </cell>
          <cell r="AM16" t="str">
            <v/>
          </cell>
          <cell r="AN16" t="str">
            <v/>
          </cell>
          <cell r="AO16" t="str">
            <v/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</row>
        <row r="17"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 t="str">
            <v/>
          </cell>
          <cell r="AO17" t="str">
            <v/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</row>
        <row r="18"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  <cell r="AJ18" t="str">
            <v/>
          </cell>
          <cell r="AK18" t="str">
            <v/>
          </cell>
          <cell r="AL18" t="str">
            <v/>
          </cell>
          <cell r="AM18" t="str">
            <v/>
          </cell>
          <cell r="AN18" t="str">
            <v/>
          </cell>
          <cell r="AO18" t="str">
            <v/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</row>
        <row r="19"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  <cell r="AJ19" t="str">
            <v/>
          </cell>
          <cell r="AK19" t="str">
            <v/>
          </cell>
          <cell r="AL19" t="str">
            <v/>
          </cell>
          <cell r="AM19" t="str">
            <v/>
          </cell>
          <cell r="AN19" t="str">
            <v/>
          </cell>
          <cell r="AO19" t="str">
            <v/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</row>
        <row r="20"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/>
          </cell>
          <cell r="AK20" t="str">
            <v/>
          </cell>
          <cell r="AL20" t="str">
            <v/>
          </cell>
          <cell r="AM20" t="str">
            <v/>
          </cell>
          <cell r="AN20" t="str">
            <v/>
          </cell>
          <cell r="AO20" t="str">
            <v/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</row>
        <row r="21"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  <cell r="AJ21" t="str">
            <v/>
          </cell>
          <cell r="AK21" t="str">
            <v/>
          </cell>
          <cell r="AL21" t="str">
            <v/>
          </cell>
          <cell r="AM21" t="str">
            <v/>
          </cell>
          <cell r="AN21" t="str">
            <v/>
          </cell>
          <cell r="AO21" t="str">
            <v/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</row>
        <row r="22"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  <cell r="AJ22" t="str">
            <v/>
          </cell>
          <cell r="AK22" t="str">
            <v/>
          </cell>
          <cell r="AL22" t="str">
            <v/>
          </cell>
          <cell r="AM22" t="str">
            <v/>
          </cell>
          <cell r="AN22" t="str">
            <v/>
          </cell>
          <cell r="AO22" t="str">
            <v/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</row>
        <row r="23"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  <cell r="AJ23" t="str">
            <v/>
          </cell>
          <cell r="AK23" t="str">
            <v/>
          </cell>
          <cell r="AL23" t="str">
            <v/>
          </cell>
          <cell r="AM23" t="str">
            <v/>
          </cell>
          <cell r="AN23" t="str">
            <v/>
          </cell>
          <cell r="AO23" t="str">
            <v/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</row>
        <row r="24"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  <cell r="AJ24" t="str">
            <v/>
          </cell>
          <cell r="AK24" t="str">
            <v/>
          </cell>
          <cell r="AL24" t="str">
            <v/>
          </cell>
          <cell r="AM24" t="str">
            <v/>
          </cell>
          <cell r="AN24" t="str">
            <v/>
          </cell>
          <cell r="AO24" t="str">
            <v/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</row>
        <row r="25"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  <cell r="AJ25" t="str">
            <v/>
          </cell>
          <cell r="AK25" t="str">
            <v/>
          </cell>
          <cell r="AL25" t="str">
            <v/>
          </cell>
          <cell r="AM25" t="str">
            <v/>
          </cell>
          <cell r="AN25" t="str">
            <v/>
          </cell>
          <cell r="AO25" t="str">
            <v/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</row>
        <row r="26"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 t="str">
            <v/>
          </cell>
          <cell r="AL26" t="str">
            <v/>
          </cell>
          <cell r="AM26" t="str">
            <v/>
          </cell>
          <cell r="AN26" t="str">
            <v/>
          </cell>
          <cell r="AO26" t="str">
            <v/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</row>
        <row r="27"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 t="str">
            <v/>
          </cell>
          <cell r="AL27" t="str">
            <v/>
          </cell>
          <cell r="AM27" t="str">
            <v/>
          </cell>
          <cell r="AN27" t="str">
            <v/>
          </cell>
          <cell r="AO27" t="str">
            <v/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</row>
        <row r="28"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  <cell r="AJ28" t="str">
            <v/>
          </cell>
          <cell r="AK28" t="str">
            <v/>
          </cell>
          <cell r="AL28" t="str">
            <v/>
          </cell>
          <cell r="AM28" t="str">
            <v/>
          </cell>
          <cell r="AN28" t="str">
            <v/>
          </cell>
          <cell r="AO28" t="str">
            <v/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</row>
        <row r="29"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  <cell r="AJ29" t="str">
            <v/>
          </cell>
          <cell r="AK29" t="str">
            <v/>
          </cell>
          <cell r="AL29" t="str">
            <v/>
          </cell>
          <cell r="AM29" t="str">
            <v/>
          </cell>
          <cell r="AN29" t="str">
            <v/>
          </cell>
          <cell r="AO29" t="str">
            <v/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</row>
        <row r="30"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 t="str">
            <v/>
          </cell>
          <cell r="AL30" t="str">
            <v/>
          </cell>
          <cell r="AM30" t="str">
            <v/>
          </cell>
          <cell r="AN30" t="str">
            <v/>
          </cell>
          <cell r="AO30" t="str">
            <v/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</row>
        <row r="31"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 t="str">
            <v/>
          </cell>
          <cell r="AO31" t="str">
            <v/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</row>
        <row r="32"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  <cell r="AJ32" t="str">
            <v/>
          </cell>
          <cell r="AK32" t="str">
            <v/>
          </cell>
          <cell r="AL32" t="str">
            <v/>
          </cell>
          <cell r="AM32" t="str">
            <v/>
          </cell>
          <cell r="AN32" t="str">
            <v/>
          </cell>
          <cell r="AO32" t="str">
            <v/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</row>
        <row r="33">
          <cell r="AC33" t="str">
            <v/>
          </cell>
          <cell r="AD33" t="str">
            <v/>
          </cell>
          <cell r="AE33" t="str">
            <v/>
          </cell>
          <cell r="AF33" t="str">
            <v/>
          </cell>
          <cell r="AG33" t="str">
            <v/>
          </cell>
          <cell r="AH33" t="str">
            <v/>
          </cell>
          <cell r="AI33" t="str">
            <v/>
          </cell>
          <cell r="AJ33" t="str">
            <v/>
          </cell>
          <cell r="AK33" t="str">
            <v/>
          </cell>
          <cell r="AL33" t="str">
            <v/>
          </cell>
          <cell r="AM33" t="str">
            <v/>
          </cell>
          <cell r="AN33" t="str">
            <v/>
          </cell>
          <cell r="AO33" t="str">
            <v/>
          </cell>
          <cell r="AP33" t="str">
            <v/>
          </cell>
          <cell r="AQ33" t="str">
            <v/>
          </cell>
          <cell r="AR33" t="str">
            <v/>
          </cell>
          <cell r="AS33" t="str">
            <v/>
          </cell>
          <cell r="AT33" t="str">
            <v/>
          </cell>
          <cell r="AU33" t="str">
            <v/>
          </cell>
          <cell r="AV33" t="str">
            <v/>
          </cell>
        </row>
        <row r="34">
          <cell r="AC34" t="str">
            <v/>
          </cell>
          <cell r="AD34" t="str">
            <v/>
          </cell>
          <cell r="AE34" t="str">
            <v/>
          </cell>
          <cell r="AF34" t="str">
            <v/>
          </cell>
          <cell r="AG34" t="str">
            <v/>
          </cell>
          <cell r="AH34" t="str">
            <v/>
          </cell>
          <cell r="AI34" t="str">
            <v/>
          </cell>
          <cell r="AJ34" t="str">
            <v/>
          </cell>
          <cell r="AK34" t="str">
            <v/>
          </cell>
          <cell r="AL34" t="str">
            <v/>
          </cell>
          <cell r="AM34" t="str">
            <v/>
          </cell>
          <cell r="AN34" t="str">
            <v/>
          </cell>
          <cell r="AO34" t="str">
            <v/>
          </cell>
          <cell r="AP34" t="str">
            <v/>
          </cell>
          <cell r="AQ34" t="str">
            <v/>
          </cell>
          <cell r="AR34" t="str">
            <v/>
          </cell>
          <cell r="AS34" t="str">
            <v/>
          </cell>
          <cell r="AT34" t="str">
            <v/>
          </cell>
          <cell r="AU34" t="str">
            <v/>
          </cell>
          <cell r="AV34" t="str">
            <v/>
          </cell>
        </row>
        <row r="35"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/>
          </cell>
          <cell r="AI35" t="str">
            <v/>
          </cell>
          <cell r="AJ35" t="str">
            <v/>
          </cell>
          <cell r="AK35" t="str">
            <v/>
          </cell>
          <cell r="AL35" t="str">
            <v/>
          </cell>
          <cell r="AM35" t="str">
            <v/>
          </cell>
          <cell r="AN35" t="str">
            <v/>
          </cell>
          <cell r="AO35" t="str">
            <v/>
          </cell>
          <cell r="AP35" t="str">
            <v/>
          </cell>
          <cell r="AQ35" t="str">
            <v/>
          </cell>
          <cell r="AR35" t="str">
            <v/>
          </cell>
          <cell r="AS35" t="str">
            <v/>
          </cell>
          <cell r="AT35" t="str">
            <v/>
          </cell>
          <cell r="AU35" t="str">
            <v/>
          </cell>
          <cell r="AV35" t="str">
            <v/>
          </cell>
        </row>
        <row r="36">
          <cell r="AC36" t="str">
            <v/>
          </cell>
          <cell r="AD36" t="str">
            <v/>
          </cell>
          <cell r="AE36" t="str">
            <v/>
          </cell>
          <cell r="AF36" t="str">
            <v/>
          </cell>
          <cell r="AG36" t="str">
            <v/>
          </cell>
          <cell r="AH36" t="str">
            <v/>
          </cell>
          <cell r="AI36" t="str">
            <v/>
          </cell>
          <cell r="AJ36" t="str">
            <v/>
          </cell>
          <cell r="AK36" t="str">
            <v/>
          </cell>
          <cell r="AL36" t="str">
            <v/>
          </cell>
          <cell r="AM36" t="str">
            <v/>
          </cell>
          <cell r="AN36" t="str">
            <v/>
          </cell>
          <cell r="AO36" t="str">
            <v/>
          </cell>
          <cell r="AP36" t="str">
            <v/>
          </cell>
          <cell r="AQ36" t="str">
            <v/>
          </cell>
          <cell r="AR36" t="str">
            <v/>
          </cell>
          <cell r="AS36" t="str">
            <v/>
          </cell>
          <cell r="AT36" t="str">
            <v/>
          </cell>
          <cell r="AU36" t="str">
            <v/>
          </cell>
          <cell r="AV36" t="str">
            <v/>
          </cell>
        </row>
        <row r="37">
          <cell r="AC37" t="str">
            <v/>
          </cell>
          <cell r="AD37" t="str">
            <v/>
          </cell>
          <cell r="AE37" t="str">
            <v/>
          </cell>
          <cell r="AF37" t="str">
            <v/>
          </cell>
          <cell r="AG37" t="str">
            <v/>
          </cell>
          <cell r="AH37" t="str">
            <v/>
          </cell>
          <cell r="AI37" t="str">
            <v/>
          </cell>
          <cell r="AJ37" t="str">
            <v/>
          </cell>
          <cell r="AK37" t="str">
            <v/>
          </cell>
          <cell r="AL37" t="str">
            <v/>
          </cell>
          <cell r="AM37" t="str">
            <v/>
          </cell>
          <cell r="AN37" t="str">
            <v/>
          </cell>
          <cell r="AO37" t="str">
            <v/>
          </cell>
          <cell r="AP37" t="str">
            <v/>
          </cell>
          <cell r="AQ37" t="str">
            <v/>
          </cell>
          <cell r="AR37" t="str">
            <v/>
          </cell>
          <cell r="AS37" t="str">
            <v/>
          </cell>
          <cell r="AT37" t="str">
            <v/>
          </cell>
          <cell r="AU37" t="str">
            <v/>
          </cell>
          <cell r="AV37" t="str">
            <v/>
          </cell>
        </row>
        <row r="38">
          <cell r="AC38" t="str">
            <v/>
          </cell>
          <cell r="AD38" t="str">
            <v/>
          </cell>
          <cell r="AE38" t="str">
            <v/>
          </cell>
          <cell r="AF38" t="str">
            <v/>
          </cell>
          <cell r="AG38" t="str">
            <v/>
          </cell>
          <cell r="AH38" t="str">
            <v/>
          </cell>
          <cell r="AI38" t="str">
            <v/>
          </cell>
          <cell r="AJ38" t="str">
            <v/>
          </cell>
          <cell r="AK38" t="str">
            <v/>
          </cell>
          <cell r="AL38" t="str">
            <v/>
          </cell>
          <cell r="AM38" t="str">
            <v/>
          </cell>
          <cell r="AN38" t="str">
            <v/>
          </cell>
          <cell r="AO38" t="str">
            <v/>
          </cell>
          <cell r="AP38" t="str">
            <v/>
          </cell>
          <cell r="AQ38" t="str">
            <v/>
          </cell>
          <cell r="AR38" t="str">
            <v/>
          </cell>
          <cell r="AS38" t="str">
            <v/>
          </cell>
          <cell r="AT38" t="str">
            <v/>
          </cell>
          <cell r="AU38" t="str">
            <v/>
          </cell>
          <cell r="AV38" t="str">
            <v/>
          </cell>
        </row>
        <row r="39">
          <cell r="AC39" t="str">
            <v/>
          </cell>
          <cell r="AD39" t="str">
            <v/>
          </cell>
          <cell r="AE39" t="str">
            <v/>
          </cell>
          <cell r="AF39" t="str">
            <v/>
          </cell>
          <cell r="AG39" t="str">
            <v/>
          </cell>
          <cell r="AH39" t="str">
            <v/>
          </cell>
          <cell r="AI39" t="str">
            <v/>
          </cell>
          <cell r="AJ39" t="str">
            <v/>
          </cell>
          <cell r="AK39" t="str">
            <v/>
          </cell>
          <cell r="AL39" t="str">
            <v/>
          </cell>
          <cell r="AM39" t="str">
            <v/>
          </cell>
          <cell r="AN39" t="str">
            <v/>
          </cell>
          <cell r="AO39" t="str">
            <v/>
          </cell>
          <cell r="AP39" t="str">
            <v/>
          </cell>
          <cell r="AQ39" t="str">
            <v/>
          </cell>
          <cell r="AR39" t="str">
            <v/>
          </cell>
          <cell r="AS39" t="str">
            <v/>
          </cell>
          <cell r="AT39" t="str">
            <v/>
          </cell>
          <cell r="AU39" t="str">
            <v/>
          </cell>
          <cell r="AV39" t="str">
            <v/>
          </cell>
        </row>
        <row r="40"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  <cell r="AH40" t="str">
            <v/>
          </cell>
          <cell r="AI40" t="str">
            <v/>
          </cell>
          <cell r="AJ40" t="str">
            <v/>
          </cell>
          <cell r="AK40" t="str">
            <v/>
          </cell>
          <cell r="AL40" t="str">
            <v/>
          </cell>
          <cell r="AM40" t="str">
            <v/>
          </cell>
          <cell r="AN40" t="str">
            <v/>
          </cell>
          <cell r="AO40" t="str">
            <v/>
          </cell>
          <cell r="AP40" t="str">
            <v/>
          </cell>
          <cell r="AQ40" t="str">
            <v/>
          </cell>
          <cell r="AR40" t="str">
            <v/>
          </cell>
          <cell r="AS40" t="str">
            <v/>
          </cell>
          <cell r="AT40" t="str">
            <v/>
          </cell>
          <cell r="AU40" t="str">
            <v/>
          </cell>
          <cell r="AV40" t="str">
            <v/>
          </cell>
        </row>
        <row r="41"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  <cell r="AH41" t="str">
            <v/>
          </cell>
          <cell r="AI41" t="str">
            <v/>
          </cell>
          <cell r="AJ41" t="str">
            <v/>
          </cell>
          <cell r="AK41" t="str">
            <v/>
          </cell>
          <cell r="AL41" t="str">
            <v/>
          </cell>
          <cell r="AM41" t="str">
            <v/>
          </cell>
          <cell r="AN41" t="str">
            <v/>
          </cell>
          <cell r="AO41" t="str">
            <v/>
          </cell>
          <cell r="AP41" t="str">
            <v/>
          </cell>
          <cell r="AQ41" t="str">
            <v/>
          </cell>
          <cell r="AR41" t="str">
            <v/>
          </cell>
          <cell r="AS41" t="str">
            <v/>
          </cell>
          <cell r="AT41" t="str">
            <v/>
          </cell>
          <cell r="AU41" t="str">
            <v/>
          </cell>
          <cell r="AV41" t="str">
            <v/>
          </cell>
        </row>
        <row r="42"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  <cell r="AH42" t="str">
            <v/>
          </cell>
          <cell r="AI42" t="str">
            <v/>
          </cell>
          <cell r="AJ42" t="str">
            <v/>
          </cell>
          <cell r="AK42" t="str">
            <v/>
          </cell>
          <cell r="AL42" t="str">
            <v/>
          </cell>
          <cell r="AM42" t="str">
            <v/>
          </cell>
          <cell r="AN42" t="str">
            <v/>
          </cell>
          <cell r="AO42" t="str">
            <v/>
          </cell>
          <cell r="AP42" t="str">
            <v/>
          </cell>
          <cell r="AQ42" t="str">
            <v/>
          </cell>
          <cell r="AR42" t="str">
            <v/>
          </cell>
          <cell r="AS42" t="str">
            <v/>
          </cell>
          <cell r="AT42" t="str">
            <v/>
          </cell>
          <cell r="AU42" t="str">
            <v/>
          </cell>
          <cell r="AV42" t="str">
            <v/>
          </cell>
        </row>
        <row r="43"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  <cell r="AH43" t="str">
            <v/>
          </cell>
          <cell r="AI43" t="str">
            <v/>
          </cell>
          <cell r="AJ43" t="str">
            <v/>
          </cell>
          <cell r="AK43" t="str">
            <v/>
          </cell>
          <cell r="AL43" t="str">
            <v/>
          </cell>
          <cell r="AM43" t="str">
            <v/>
          </cell>
          <cell r="AN43" t="str">
            <v/>
          </cell>
          <cell r="AO43" t="str">
            <v/>
          </cell>
          <cell r="AP43" t="str">
            <v/>
          </cell>
          <cell r="AQ43" t="str">
            <v/>
          </cell>
          <cell r="AR43" t="str">
            <v/>
          </cell>
          <cell r="AS43" t="str">
            <v/>
          </cell>
          <cell r="AT43" t="str">
            <v/>
          </cell>
          <cell r="AU43" t="str">
            <v/>
          </cell>
          <cell r="AV43" t="str">
            <v/>
          </cell>
        </row>
        <row r="44"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 t="str">
            <v/>
          </cell>
          <cell r="AH44" t="str">
            <v/>
          </cell>
          <cell r="AI44" t="str">
            <v/>
          </cell>
          <cell r="AJ44" t="str">
            <v/>
          </cell>
          <cell r="AK44" t="str">
            <v/>
          </cell>
          <cell r="AL44" t="str">
            <v/>
          </cell>
          <cell r="AM44" t="str">
            <v/>
          </cell>
          <cell r="AN44" t="str">
            <v/>
          </cell>
          <cell r="AO44" t="str">
            <v/>
          </cell>
          <cell r="AP44" t="str">
            <v/>
          </cell>
          <cell r="AQ44" t="str">
            <v/>
          </cell>
          <cell r="AR44" t="str">
            <v/>
          </cell>
          <cell r="AS44" t="str">
            <v/>
          </cell>
          <cell r="AT44" t="str">
            <v/>
          </cell>
          <cell r="AU44" t="str">
            <v/>
          </cell>
          <cell r="AV44" t="str">
            <v/>
          </cell>
        </row>
        <row r="45"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 t="str">
            <v/>
          </cell>
          <cell r="AH45" t="str">
            <v/>
          </cell>
          <cell r="AI45" t="str">
            <v/>
          </cell>
          <cell r="AJ45" t="str">
            <v/>
          </cell>
          <cell r="AK45" t="str">
            <v/>
          </cell>
          <cell r="AL45" t="str">
            <v/>
          </cell>
          <cell r="AM45" t="str">
            <v/>
          </cell>
          <cell r="AN45" t="str">
            <v/>
          </cell>
          <cell r="AO45" t="str">
            <v/>
          </cell>
          <cell r="AP45" t="str">
            <v/>
          </cell>
          <cell r="AQ45" t="str">
            <v/>
          </cell>
          <cell r="AR45" t="str">
            <v/>
          </cell>
          <cell r="AS45" t="str">
            <v/>
          </cell>
          <cell r="AT45" t="str">
            <v/>
          </cell>
          <cell r="AU45" t="str">
            <v/>
          </cell>
          <cell r="AV45" t="str">
            <v/>
          </cell>
        </row>
        <row r="46"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 t="str">
            <v/>
          </cell>
          <cell r="AH46" t="str">
            <v/>
          </cell>
          <cell r="AI46" t="str">
            <v/>
          </cell>
          <cell r="AJ46" t="str">
            <v/>
          </cell>
          <cell r="AK46" t="str">
            <v/>
          </cell>
          <cell r="AL46" t="str">
            <v/>
          </cell>
          <cell r="AM46" t="str">
            <v/>
          </cell>
          <cell r="AN46" t="str">
            <v/>
          </cell>
          <cell r="AO46" t="str">
            <v/>
          </cell>
          <cell r="AP46" t="str">
            <v/>
          </cell>
          <cell r="AQ46" t="str">
            <v/>
          </cell>
          <cell r="AR46" t="str">
            <v/>
          </cell>
          <cell r="AS46" t="str">
            <v/>
          </cell>
          <cell r="AT46" t="str">
            <v/>
          </cell>
          <cell r="AU46" t="str">
            <v/>
          </cell>
          <cell r="AV46" t="str">
            <v/>
          </cell>
        </row>
        <row r="47"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 t="str">
            <v/>
          </cell>
          <cell r="AH47" t="str">
            <v/>
          </cell>
          <cell r="AI47" t="str">
            <v/>
          </cell>
          <cell r="AJ47" t="str">
            <v/>
          </cell>
          <cell r="AK47" t="str">
            <v/>
          </cell>
          <cell r="AL47" t="str">
            <v/>
          </cell>
          <cell r="AM47" t="str">
            <v/>
          </cell>
          <cell r="AN47" t="str">
            <v/>
          </cell>
          <cell r="AO47" t="str">
            <v/>
          </cell>
          <cell r="AP47" t="str">
            <v/>
          </cell>
          <cell r="AQ47" t="str">
            <v/>
          </cell>
          <cell r="AR47" t="str">
            <v/>
          </cell>
          <cell r="AS47" t="str">
            <v/>
          </cell>
          <cell r="AT47" t="str">
            <v/>
          </cell>
          <cell r="AU47" t="str">
            <v/>
          </cell>
          <cell r="AV47" t="str">
            <v/>
          </cell>
        </row>
        <row r="48"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  <cell r="AI48" t="str">
            <v/>
          </cell>
          <cell r="AJ48" t="str">
            <v/>
          </cell>
          <cell r="AK48" t="str">
            <v/>
          </cell>
          <cell r="AL48" t="str">
            <v/>
          </cell>
          <cell r="AM48" t="str">
            <v/>
          </cell>
          <cell r="AN48" t="str">
            <v/>
          </cell>
          <cell r="AO48" t="str">
            <v/>
          </cell>
          <cell r="AP48" t="str">
            <v/>
          </cell>
          <cell r="AQ48" t="str">
            <v/>
          </cell>
          <cell r="AR48" t="str">
            <v/>
          </cell>
          <cell r="AS48" t="str">
            <v/>
          </cell>
          <cell r="AT48" t="str">
            <v/>
          </cell>
          <cell r="AU48" t="str">
            <v/>
          </cell>
          <cell r="AV48" t="str">
            <v/>
          </cell>
        </row>
        <row r="49"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  <cell r="AI49" t="str">
            <v/>
          </cell>
          <cell r="AJ49" t="str">
            <v/>
          </cell>
          <cell r="AK49" t="str">
            <v/>
          </cell>
          <cell r="AL49" t="str">
            <v/>
          </cell>
          <cell r="AM49" t="str">
            <v/>
          </cell>
          <cell r="AN49" t="str">
            <v/>
          </cell>
          <cell r="AO49" t="str">
            <v/>
          </cell>
          <cell r="AP49" t="str">
            <v/>
          </cell>
          <cell r="AQ49" t="str">
            <v/>
          </cell>
          <cell r="AR49" t="str">
            <v/>
          </cell>
          <cell r="AS49" t="str">
            <v/>
          </cell>
          <cell r="AT49" t="str">
            <v/>
          </cell>
          <cell r="AU49" t="str">
            <v/>
          </cell>
          <cell r="AV49" t="str">
            <v/>
          </cell>
        </row>
        <row r="50"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  <cell r="AI50" t="str">
            <v/>
          </cell>
          <cell r="AJ50" t="str">
            <v/>
          </cell>
          <cell r="AK50" t="str">
            <v/>
          </cell>
          <cell r="AL50" t="str">
            <v/>
          </cell>
          <cell r="AM50" t="str">
            <v/>
          </cell>
          <cell r="AN50" t="str">
            <v/>
          </cell>
          <cell r="AO50" t="str">
            <v/>
          </cell>
          <cell r="AP50" t="str">
            <v/>
          </cell>
          <cell r="AQ50" t="str">
            <v/>
          </cell>
          <cell r="AR50" t="str">
            <v/>
          </cell>
          <cell r="AS50" t="str">
            <v/>
          </cell>
          <cell r="AT50" t="str">
            <v/>
          </cell>
          <cell r="AU50" t="str">
            <v/>
          </cell>
          <cell r="AV50" t="str">
            <v/>
          </cell>
        </row>
        <row r="51"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  <cell r="AJ51" t="str">
            <v/>
          </cell>
          <cell r="AK51" t="str">
            <v/>
          </cell>
          <cell r="AL51" t="str">
            <v/>
          </cell>
          <cell r="AM51" t="str">
            <v/>
          </cell>
          <cell r="AN51" t="str">
            <v/>
          </cell>
          <cell r="AO51" t="str">
            <v/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</row>
        <row r="52"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  <cell r="AI52" t="str">
            <v/>
          </cell>
          <cell r="AJ52" t="str">
            <v/>
          </cell>
          <cell r="AK52" t="str">
            <v/>
          </cell>
          <cell r="AL52" t="str">
            <v/>
          </cell>
          <cell r="AM52" t="str">
            <v/>
          </cell>
          <cell r="AN52" t="str">
            <v/>
          </cell>
          <cell r="AO52" t="str">
            <v/>
          </cell>
          <cell r="AP52" t="str">
            <v/>
          </cell>
          <cell r="AQ52" t="str">
            <v/>
          </cell>
          <cell r="AR52" t="str">
            <v/>
          </cell>
          <cell r="AS52" t="str">
            <v/>
          </cell>
          <cell r="AT52" t="str">
            <v/>
          </cell>
          <cell r="AU52" t="str">
            <v/>
          </cell>
          <cell r="AV52" t="str">
            <v/>
          </cell>
        </row>
        <row r="53"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AG53" t="str">
            <v/>
          </cell>
          <cell r="AH53" t="str">
            <v/>
          </cell>
          <cell r="AI53" t="str">
            <v/>
          </cell>
          <cell r="AJ53" t="str">
            <v/>
          </cell>
          <cell r="AK53" t="str">
            <v/>
          </cell>
          <cell r="AL53" t="str">
            <v/>
          </cell>
          <cell r="AM53" t="str">
            <v/>
          </cell>
          <cell r="AN53" t="str">
            <v/>
          </cell>
          <cell r="AO53" t="str">
            <v/>
          </cell>
          <cell r="AP53" t="str">
            <v/>
          </cell>
          <cell r="AQ53" t="str">
            <v/>
          </cell>
          <cell r="AR53" t="str">
            <v/>
          </cell>
          <cell r="AS53" t="str">
            <v/>
          </cell>
          <cell r="AT53" t="str">
            <v/>
          </cell>
          <cell r="AU53" t="str">
            <v/>
          </cell>
          <cell r="AV53" t="str">
            <v/>
          </cell>
        </row>
        <row r="54"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 t="str">
            <v/>
          </cell>
          <cell r="AL54" t="str">
            <v/>
          </cell>
          <cell r="AM54" t="str">
            <v/>
          </cell>
          <cell r="AN54" t="str">
            <v/>
          </cell>
          <cell r="AO54" t="str">
            <v/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</row>
        <row r="55">
          <cell r="AC55" t="str">
            <v/>
          </cell>
          <cell r="AD55" t="str">
            <v/>
          </cell>
          <cell r="AE55" t="str">
            <v/>
          </cell>
          <cell r="AF55" t="str">
            <v/>
          </cell>
          <cell r="AG55" t="str">
            <v/>
          </cell>
          <cell r="AH55" t="str">
            <v/>
          </cell>
          <cell r="AI55" t="str">
            <v/>
          </cell>
          <cell r="AJ55" t="str">
            <v/>
          </cell>
          <cell r="AK55" t="str">
            <v/>
          </cell>
          <cell r="AL55" t="str">
            <v/>
          </cell>
          <cell r="AM55" t="str">
            <v/>
          </cell>
          <cell r="AN55" t="str">
            <v/>
          </cell>
          <cell r="AO55" t="str">
            <v/>
          </cell>
          <cell r="AP55" t="str">
            <v/>
          </cell>
          <cell r="AQ55" t="str">
            <v/>
          </cell>
          <cell r="AR55" t="str">
            <v/>
          </cell>
          <cell r="AS55" t="str">
            <v/>
          </cell>
          <cell r="AT55" t="str">
            <v/>
          </cell>
          <cell r="AU55" t="str">
            <v/>
          </cell>
          <cell r="AV55" t="str">
            <v/>
          </cell>
        </row>
        <row r="56"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 t="str">
            <v/>
          </cell>
          <cell r="AH56" t="str">
            <v/>
          </cell>
          <cell r="AI56" t="str">
            <v/>
          </cell>
          <cell r="AJ56" t="str">
            <v/>
          </cell>
          <cell r="AK56" t="str">
            <v/>
          </cell>
          <cell r="AL56" t="str">
            <v/>
          </cell>
          <cell r="AM56" t="str">
            <v/>
          </cell>
          <cell r="AN56" t="str">
            <v/>
          </cell>
          <cell r="AO56" t="str">
            <v/>
          </cell>
          <cell r="AP56" t="str">
            <v/>
          </cell>
          <cell r="AQ56" t="str">
            <v/>
          </cell>
          <cell r="AR56" t="str">
            <v/>
          </cell>
          <cell r="AS56" t="str">
            <v/>
          </cell>
          <cell r="AT56" t="str">
            <v/>
          </cell>
          <cell r="AU56" t="str">
            <v/>
          </cell>
          <cell r="AV56" t="str">
            <v/>
          </cell>
        </row>
        <row r="57">
          <cell r="AC57" t="str">
            <v/>
          </cell>
          <cell r="AD57" t="str">
            <v/>
          </cell>
          <cell r="AE57" t="str">
            <v/>
          </cell>
          <cell r="AF57" t="str">
            <v/>
          </cell>
          <cell r="AG57" t="str">
            <v/>
          </cell>
          <cell r="AH57" t="str">
            <v/>
          </cell>
          <cell r="AI57" t="str">
            <v/>
          </cell>
          <cell r="AJ57" t="str">
            <v/>
          </cell>
          <cell r="AK57" t="str">
            <v/>
          </cell>
          <cell r="AL57" t="str">
            <v/>
          </cell>
          <cell r="AM57" t="str">
            <v/>
          </cell>
          <cell r="AN57" t="str">
            <v/>
          </cell>
          <cell r="AO57" t="str">
            <v/>
          </cell>
          <cell r="AP57" t="str">
            <v/>
          </cell>
          <cell r="AQ57" t="str">
            <v/>
          </cell>
          <cell r="AR57" t="str">
            <v/>
          </cell>
          <cell r="AS57" t="str">
            <v/>
          </cell>
          <cell r="AT57" t="str">
            <v/>
          </cell>
          <cell r="AU57" t="str">
            <v/>
          </cell>
          <cell r="AV57" t="str">
            <v/>
          </cell>
        </row>
        <row r="58"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  <cell r="AJ58" t="str">
            <v/>
          </cell>
          <cell r="AK58" t="str">
            <v/>
          </cell>
          <cell r="AL58" t="str">
            <v/>
          </cell>
          <cell r="AM58" t="str">
            <v/>
          </cell>
          <cell r="AN58" t="str">
            <v/>
          </cell>
          <cell r="AO58" t="str">
            <v/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</row>
        <row r="59"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  <cell r="AJ59" t="str">
            <v/>
          </cell>
          <cell r="AK59" t="str">
            <v/>
          </cell>
          <cell r="AL59" t="str">
            <v/>
          </cell>
          <cell r="AM59" t="str">
            <v/>
          </cell>
          <cell r="AN59" t="str">
            <v/>
          </cell>
          <cell r="AO59" t="str">
            <v/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</row>
        <row r="60"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 t="str">
            <v/>
          </cell>
          <cell r="AH60" t="str">
            <v/>
          </cell>
          <cell r="AI60" t="str">
            <v/>
          </cell>
          <cell r="AJ60" t="str">
            <v/>
          </cell>
          <cell r="AK60" t="str">
            <v/>
          </cell>
          <cell r="AL60" t="str">
            <v/>
          </cell>
          <cell r="AM60" t="str">
            <v/>
          </cell>
          <cell r="AN60" t="str">
            <v/>
          </cell>
          <cell r="AO60" t="str">
            <v/>
          </cell>
          <cell r="AP60" t="str">
            <v/>
          </cell>
          <cell r="AQ60" t="str">
            <v/>
          </cell>
          <cell r="AR60" t="str">
            <v/>
          </cell>
          <cell r="AS60" t="str">
            <v/>
          </cell>
          <cell r="AT60" t="str">
            <v/>
          </cell>
          <cell r="AU60" t="str">
            <v/>
          </cell>
          <cell r="AV60" t="str">
            <v/>
          </cell>
        </row>
        <row r="61">
          <cell r="AC61" t="str">
            <v/>
          </cell>
          <cell r="AD61" t="str">
            <v/>
          </cell>
          <cell r="AE61" t="str">
            <v/>
          </cell>
          <cell r="AF61" t="str">
            <v/>
          </cell>
          <cell r="AG61" t="str">
            <v/>
          </cell>
          <cell r="AH61" t="str">
            <v/>
          </cell>
          <cell r="AI61" t="str">
            <v/>
          </cell>
          <cell r="AJ61" t="str">
            <v/>
          </cell>
          <cell r="AK61" t="str">
            <v/>
          </cell>
          <cell r="AL61" t="str">
            <v/>
          </cell>
          <cell r="AM61" t="str">
            <v/>
          </cell>
          <cell r="AN61" t="str">
            <v/>
          </cell>
          <cell r="AO61" t="str">
            <v/>
          </cell>
          <cell r="AP61" t="str">
            <v/>
          </cell>
          <cell r="AQ61" t="str">
            <v/>
          </cell>
          <cell r="AR61" t="str">
            <v/>
          </cell>
          <cell r="AS61" t="str">
            <v/>
          </cell>
          <cell r="AT61" t="str">
            <v/>
          </cell>
          <cell r="AU61" t="str">
            <v/>
          </cell>
          <cell r="AV61" t="str">
            <v/>
          </cell>
        </row>
        <row r="62">
          <cell r="AC62" t="str">
            <v/>
          </cell>
          <cell r="AD62" t="str">
            <v/>
          </cell>
          <cell r="AE62" t="str">
            <v/>
          </cell>
          <cell r="AF62" t="str">
            <v/>
          </cell>
          <cell r="AG62" t="str">
            <v/>
          </cell>
          <cell r="AH62" t="str">
            <v/>
          </cell>
          <cell r="AI62" t="str">
            <v/>
          </cell>
          <cell r="AJ62" t="str">
            <v/>
          </cell>
          <cell r="AK62" t="str">
            <v/>
          </cell>
          <cell r="AL62" t="str">
            <v/>
          </cell>
          <cell r="AM62" t="str">
            <v/>
          </cell>
          <cell r="AN62" t="str">
            <v/>
          </cell>
          <cell r="AO62" t="str">
            <v/>
          </cell>
          <cell r="AP62" t="str">
            <v/>
          </cell>
          <cell r="AQ62" t="str">
            <v/>
          </cell>
          <cell r="AR62" t="str">
            <v/>
          </cell>
          <cell r="AS62" t="str">
            <v/>
          </cell>
          <cell r="AT62" t="str">
            <v/>
          </cell>
          <cell r="AU62" t="str">
            <v/>
          </cell>
          <cell r="AV62" t="str">
            <v/>
          </cell>
        </row>
        <row r="63">
          <cell r="AC63" t="str">
            <v/>
          </cell>
          <cell r="AD63" t="str">
            <v/>
          </cell>
          <cell r="AE63" t="str">
            <v/>
          </cell>
          <cell r="AF63" t="str">
            <v/>
          </cell>
          <cell r="AG63" t="str">
            <v/>
          </cell>
          <cell r="AH63" t="str">
            <v/>
          </cell>
          <cell r="AI63" t="str">
            <v/>
          </cell>
          <cell r="AJ63" t="str">
            <v/>
          </cell>
          <cell r="AK63" t="str">
            <v/>
          </cell>
          <cell r="AL63" t="str">
            <v/>
          </cell>
          <cell r="AM63" t="str">
            <v/>
          </cell>
          <cell r="AN63" t="str">
            <v/>
          </cell>
          <cell r="AO63" t="str">
            <v/>
          </cell>
          <cell r="AP63" t="str">
            <v/>
          </cell>
          <cell r="AQ63" t="str">
            <v/>
          </cell>
          <cell r="AR63" t="str">
            <v/>
          </cell>
          <cell r="AS63" t="str">
            <v/>
          </cell>
          <cell r="AT63" t="str">
            <v/>
          </cell>
          <cell r="AU63" t="str">
            <v/>
          </cell>
          <cell r="AV63" t="str">
            <v/>
          </cell>
        </row>
        <row r="64">
          <cell r="AC64" t="str">
            <v/>
          </cell>
          <cell r="AD64" t="str">
            <v/>
          </cell>
          <cell r="AE64" t="str">
            <v/>
          </cell>
          <cell r="AF64" t="str">
            <v/>
          </cell>
          <cell r="AG64" t="str">
            <v/>
          </cell>
          <cell r="AH64" t="str">
            <v/>
          </cell>
          <cell r="AI64" t="str">
            <v/>
          </cell>
          <cell r="AJ64" t="str">
            <v/>
          </cell>
          <cell r="AK64" t="str">
            <v/>
          </cell>
          <cell r="AL64" t="str">
            <v/>
          </cell>
          <cell r="AM64" t="str">
            <v/>
          </cell>
          <cell r="AN64" t="str">
            <v/>
          </cell>
          <cell r="AO64" t="str">
            <v/>
          </cell>
          <cell r="AP64" t="str">
            <v/>
          </cell>
          <cell r="AQ64" t="str">
            <v/>
          </cell>
          <cell r="AR64" t="str">
            <v/>
          </cell>
          <cell r="AS64" t="str">
            <v/>
          </cell>
          <cell r="AT64" t="str">
            <v/>
          </cell>
          <cell r="AU64" t="str">
            <v/>
          </cell>
          <cell r="AV64" t="str">
            <v/>
          </cell>
        </row>
        <row r="65">
          <cell r="AC65" t="str">
            <v/>
          </cell>
          <cell r="AD65" t="str">
            <v/>
          </cell>
          <cell r="AE65" t="str">
            <v/>
          </cell>
          <cell r="AF65" t="str">
            <v/>
          </cell>
          <cell r="AG65" t="str">
            <v/>
          </cell>
          <cell r="AH65" t="str">
            <v/>
          </cell>
          <cell r="AI65" t="str">
            <v/>
          </cell>
          <cell r="AJ65" t="str">
            <v/>
          </cell>
          <cell r="AK65" t="str">
            <v/>
          </cell>
          <cell r="AL65" t="str">
            <v/>
          </cell>
          <cell r="AM65" t="str">
            <v/>
          </cell>
          <cell r="AN65" t="str">
            <v/>
          </cell>
          <cell r="AO65" t="str">
            <v/>
          </cell>
          <cell r="AP65" t="str">
            <v/>
          </cell>
          <cell r="AQ65" t="str">
            <v/>
          </cell>
          <cell r="AR65" t="str">
            <v/>
          </cell>
          <cell r="AS65" t="str">
            <v/>
          </cell>
          <cell r="AT65" t="str">
            <v/>
          </cell>
          <cell r="AU65" t="str">
            <v/>
          </cell>
          <cell r="AV65" t="str">
            <v/>
          </cell>
        </row>
        <row r="66">
          <cell r="AC66" t="str">
            <v/>
          </cell>
          <cell r="AD66" t="str">
            <v/>
          </cell>
          <cell r="AE66" t="str">
            <v/>
          </cell>
          <cell r="AF66" t="str">
            <v/>
          </cell>
          <cell r="AG66" t="str">
            <v/>
          </cell>
          <cell r="AH66" t="str">
            <v/>
          </cell>
          <cell r="AI66" t="str">
            <v/>
          </cell>
          <cell r="AJ66" t="str">
            <v/>
          </cell>
          <cell r="AK66" t="str">
            <v/>
          </cell>
          <cell r="AL66" t="str">
            <v/>
          </cell>
          <cell r="AM66" t="str">
            <v/>
          </cell>
          <cell r="AN66" t="str">
            <v/>
          </cell>
          <cell r="AO66" t="str">
            <v/>
          </cell>
          <cell r="AP66" t="str">
            <v/>
          </cell>
          <cell r="AQ66" t="str">
            <v/>
          </cell>
          <cell r="AR66" t="str">
            <v/>
          </cell>
          <cell r="AS66" t="str">
            <v/>
          </cell>
          <cell r="AT66" t="str">
            <v/>
          </cell>
          <cell r="AU66" t="str">
            <v/>
          </cell>
          <cell r="AV66" t="str">
            <v/>
          </cell>
        </row>
        <row r="67">
          <cell r="AC67" t="str">
            <v/>
          </cell>
          <cell r="AD67" t="str">
            <v/>
          </cell>
          <cell r="AE67" t="str">
            <v/>
          </cell>
          <cell r="AF67" t="str">
            <v/>
          </cell>
          <cell r="AG67" t="str">
            <v/>
          </cell>
          <cell r="AH67" t="str">
            <v/>
          </cell>
          <cell r="AI67" t="str">
            <v/>
          </cell>
          <cell r="AJ67" t="str">
            <v/>
          </cell>
          <cell r="AK67" t="str">
            <v/>
          </cell>
          <cell r="AL67" t="str">
            <v/>
          </cell>
          <cell r="AM67" t="str">
            <v/>
          </cell>
          <cell r="AN67" t="str">
            <v/>
          </cell>
          <cell r="AO67" t="str">
            <v/>
          </cell>
          <cell r="AP67" t="str">
            <v/>
          </cell>
          <cell r="AQ67" t="str">
            <v/>
          </cell>
          <cell r="AR67" t="str">
            <v/>
          </cell>
          <cell r="AS67" t="str">
            <v/>
          </cell>
          <cell r="AT67" t="str">
            <v/>
          </cell>
          <cell r="AU67" t="str">
            <v/>
          </cell>
          <cell r="AV67" t="str">
            <v/>
          </cell>
        </row>
        <row r="68">
          <cell r="AC68" t="str">
            <v/>
          </cell>
          <cell r="AD68" t="str">
            <v/>
          </cell>
          <cell r="AE68" t="str">
            <v/>
          </cell>
          <cell r="AF68" t="str">
            <v/>
          </cell>
          <cell r="AG68" t="str">
            <v/>
          </cell>
          <cell r="AH68" t="str">
            <v/>
          </cell>
          <cell r="AI68" t="str">
            <v/>
          </cell>
          <cell r="AJ68" t="str">
            <v/>
          </cell>
          <cell r="AK68" t="str">
            <v/>
          </cell>
          <cell r="AL68" t="str">
            <v/>
          </cell>
          <cell r="AM68" t="str">
            <v/>
          </cell>
          <cell r="AN68" t="str">
            <v/>
          </cell>
          <cell r="AO68" t="str">
            <v/>
          </cell>
          <cell r="AP68" t="str">
            <v/>
          </cell>
          <cell r="AQ68" t="str">
            <v/>
          </cell>
          <cell r="AR68" t="str">
            <v/>
          </cell>
          <cell r="AS68" t="str">
            <v/>
          </cell>
          <cell r="AT68" t="str">
            <v/>
          </cell>
          <cell r="AU68" t="str">
            <v/>
          </cell>
          <cell r="AV68" t="str">
            <v/>
          </cell>
        </row>
        <row r="69">
          <cell r="AC69" t="str">
            <v/>
          </cell>
          <cell r="AD69" t="str">
            <v/>
          </cell>
          <cell r="AE69" t="str">
            <v/>
          </cell>
          <cell r="AF69" t="str">
            <v/>
          </cell>
          <cell r="AG69" t="str">
            <v/>
          </cell>
          <cell r="AH69" t="str">
            <v/>
          </cell>
          <cell r="AI69" t="str">
            <v/>
          </cell>
          <cell r="AJ69" t="str">
            <v/>
          </cell>
          <cell r="AK69" t="str">
            <v/>
          </cell>
          <cell r="AL69" t="str">
            <v/>
          </cell>
          <cell r="AM69" t="str">
            <v/>
          </cell>
          <cell r="AN69" t="str">
            <v/>
          </cell>
          <cell r="AO69" t="str">
            <v/>
          </cell>
          <cell r="AP69" t="str">
            <v/>
          </cell>
          <cell r="AQ69" t="str">
            <v/>
          </cell>
          <cell r="AR69" t="str">
            <v/>
          </cell>
          <cell r="AS69" t="str">
            <v/>
          </cell>
          <cell r="AT69" t="str">
            <v/>
          </cell>
          <cell r="AU69" t="str">
            <v/>
          </cell>
          <cell r="AV69" t="str">
            <v/>
          </cell>
        </row>
        <row r="70">
          <cell r="AC70" t="str">
            <v/>
          </cell>
          <cell r="AD70" t="str">
            <v/>
          </cell>
          <cell r="AE70" t="str">
            <v/>
          </cell>
          <cell r="AF70" t="str">
            <v/>
          </cell>
          <cell r="AG70" t="str">
            <v/>
          </cell>
          <cell r="AH70" t="str">
            <v/>
          </cell>
          <cell r="AI70" t="str">
            <v/>
          </cell>
          <cell r="AJ70" t="str">
            <v/>
          </cell>
          <cell r="AK70" t="str">
            <v/>
          </cell>
          <cell r="AL70" t="str">
            <v/>
          </cell>
          <cell r="AM70" t="str">
            <v/>
          </cell>
          <cell r="AN70" t="str">
            <v/>
          </cell>
          <cell r="AO70" t="str">
            <v/>
          </cell>
          <cell r="AP70" t="str">
            <v/>
          </cell>
          <cell r="AQ70" t="str">
            <v/>
          </cell>
          <cell r="AR70" t="str">
            <v/>
          </cell>
          <cell r="AS70" t="str">
            <v/>
          </cell>
          <cell r="AT70" t="str">
            <v/>
          </cell>
          <cell r="AU70" t="str">
            <v/>
          </cell>
          <cell r="AV70" t="str">
            <v/>
          </cell>
        </row>
        <row r="71">
          <cell r="AC71" t="str">
            <v/>
          </cell>
          <cell r="AD71" t="str">
            <v/>
          </cell>
          <cell r="AE71" t="str">
            <v/>
          </cell>
          <cell r="AF71" t="str">
            <v/>
          </cell>
          <cell r="AG71" t="str">
            <v/>
          </cell>
          <cell r="AH71" t="str">
            <v/>
          </cell>
          <cell r="AI71" t="str">
            <v/>
          </cell>
          <cell r="AJ71" t="str">
            <v/>
          </cell>
          <cell r="AK71" t="str">
            <v/>
          </cell>
          <cell r="AL71" t="str">
            <v/>
          </cell>
          <cell r="AM71" t="str">
            <v/>
          </cell>
          <cell r="AN71" t="str">
            <v/>
          </cell>
          <cell r="AO71" t="str">
            <v/>
          </cell>
          <cell r="AP71" t="str">
            <v/>
          </cell>
          <cell r="AQ71" t="str">
            <v/>
          </cell>
          <cell r="AR71" t="str">
            <v/>
          </cell>
          <cell r="AS71" t="str">
            <v/>
          </cell>
          <cell r="AT71" t="str">
            <v/>
          </cell>
          <cell r="AU71" t="str">
            <v/>
          </cell>
          <cell r="AV71" t="str">
            <v/>
          </cell>
        </row>
        <row r="72">
          <cell r="AC72" t="str">
            <v/>
          </cell>
          <cell r="AD72" t="str">
            <v/>
          </cell>
          <cell r="AE72" t="str">
            <v/>
          </cell>
          <cell r="AF72" t="str">
            <v/>
          </cell>
          <cell r="AG72" t="str">
            <v/>
          </cell>
          <cell r="AH72" t="str">
            <v/>
          </cell>
          <cell r="AI72" t="str">
            <v/>
          </cell>
          <cell r="AJ72" t="str">
            <v/>
          </cell>
          <cell r="AK72" t="str">
            <v/>
          </cell>
          <cell r="AL72" t="str">
            <v/>
          </cell>
          <cell r="AM72" t="str">
            <v/>
          </cell>
          <cell r="AN72" t="str">
            <v/>
          </cell>
          <cell r="AO72" t="str">
            <v/>
          </cell>
          <cell r="AP72" t="str">
            <v/>
          </cell>
          <cell r="AQ72" t="str">
            <v/>
          </cell>
          <cell r="AR72" t="str">
            <v/>
          </cell>
          <cell r="AS72" t="str">
            <v/>
          </cell>
          <cell r="AT72" t="str">
            <v/>
          </cell>
          <cell r="AU72" t="str">
            <v/>
          </cell>
          <cell r="AV72" t="str">
            <v/>
          </cell>
        </row>
        <row r="73">
          <cell r="AC73" t="str">
            <v/>
          </cell>
          <cell r="AD73" t="str">
            <v/>
          </cell>
          <cell r="AE73" t="str">
            <v/>
          </cell>
          <cell r="AF73" t="str">
            <v/>
          </cell>
          <cell r="AG73" t="str">
            <v/>
          </cell>
          <cell r="AH73" t="str">
            <v/>
          </cell>
          <cell r="AI73" t="str">
            <v/>
          </cell>
          <cell r="AJ73" t="str">
            <v/>
          </cell>
          <cell r="AK73" t="str">
            <v/>
          </cell>
          <cell r="AL73" t="str">
            <v/>
          </cell>
          <cell r="AM73" t="str">
            <v/>
          </cell>
          <cell r="AN73" t="str">
            <v/>
          </cell>
          <cell r="AO73" t="str">
            <v/>
          </cell>
          <cell r="AP73" t="str">
            <v/>
          </cell>
          <cell r="AQ73" t="str">
            <v/>
          </cell>
          <cell r="AR73" t="str">
            <v/>
          </cell>
          <cell r="AS73" t="str">
            <v/>
          </cell>
          <cell r="AT73" t="str">
            <v/>
          </cell>
          <cell r="AU73" t="str">
            <v/>
          </cell>
          <cell r="AV73" t="str">
            <v/>
          </cell>
        </row>
        <row r="74">
          <cell r="AC74" t="str">
            <v/>
          </cell>
          <cell r="AD74" t="str">
            <v/>
          </cell>
          <cell r="AE74" t="str">
            <v/>
          </cell>
          <cell r="AF74" t="str">
            <v/>
          </cell>
          <cell r="AG74" t="str">
            <v/>
          </cell>
          <cell r="AH74" t="str">
            <v/>
          </cell>
          <cell r="AI74" t="str">
            <v/>
          </cell>
          <cell r="AJ74" t="str">
            <v/>
          </cell>
          <cell r="AK74" t="str">
            <v/>
          </cell>
          <cell r="AL74" t="str">
            <v/>
          </cell>
          <cell r="AM74" t="str">
            <v/>
          </cell>
          <cell r="AN74" t="str">
            <v/>
          </cell>
          <cell r="AO74" t="str">
            <v/>
          </cell>
          <cell r="AP74" t="str">
            <v/>
          </cell>
          <cell r="AQ74" t="str">
            <v/>
          </cell>
          <cell r="AR74" t="str">
            <v/>
          </cell>
          <cell r="AS74" t="str">
            <v/>
          </cell>
          <cell r="AT74" t="str">
            <v/>
          </cell>
          <cell r="AU74" t="str">
            <v/>
          </cell>
          <cell r="AV74" t="str">
            <v/>
          </cell>
        </row>
        <row r="75">
          <cell r="AC75" t="str">
            <v/>
          </cell>
          <cell r="AD75" t="str">
            <v/>
          </cell>
          <cell r="AE75" t="str">
            <v/>
          </cell>
          <cell r="AF75" t="str">
            <v/>
          </cell>
          <cell r="AG75" t="str">
            <v/>
          </cell>
          <cell r="AH75" t="str">
            <v/>
          </cell>
          <cell r="AI75" t="str">
            <v/>
          </cell>
          <cell r="AJ75" t="str">
            <v/>
          </cell>
          <cell r="AK75" t="str">
            <v/>
          </cell>
          <cell r="AL75" t="str">
            <v/>
          </cell>
          <cell r="AM75" t="str">
            <v/>
          </cell>
          <cell r="AN75" t="str">
            <v/>
          </cell>
          <cell r="AO75" t="str">
            <v/>
          </cell>
          <cell r="AP75" t="str">
            <v/>
          </cell>
          <cell r="AQ75" t="str">
            <v/>
          </cell>
          <cell r="AR75" t="str">
            <v/>
          </cell>
          <cell r="AS75" t="str">
            <v/>
          </cell>
          <cell r="AT75" t="str">
            <v/>
          </cell>
          <cell r="AU75" t="str">
            <v/>
          </cell>
          <cell r="AV75" t="str">
            <v/>
          </cell>
        </row>
        <row r="76">
          <cell r="AC76" t="str">
            <v/>
          </cell>
          <cell r="AD76" t="str">
            <v/>
          </cell>
          <cell r="AE76" t="str">
            <v/>
          </cell>
          <cell r="AF76" t="str">
            <v/>
          </cell>
          <cell r="AG76" t="str">
            <v/>
          </cell>
          <cell r="AH76" t="str">
            <v/>
          </cell>
          <cell r="AI76" t="str">
            <v/>
          </cell>
          <cell r="AJ76" t="str">
            <v/>
          </cell>
          <cell r="AK76" t="str">
            <v/>
          </cell>
          <cell r="AL76" t="str">
            <v/>
          </cell>
          <cell r="AM76" t="str">
            <v/>
          </cell>
          <cell r="AN76" t="str">
            <v/>
          </cell>
          <cell r="AO76" t="str">
            <v/>
          </cell>
          <cell r="AP76" t="str">
            <v/>
          </cell>
          <cell r="AQ76" t="str">
            <v/>
          </cell>
          <cell r="AR76" t="str">
            <v/>
          </cell>
          <cell r="AS76" t="str">
            <v/>
          </cell>
          <cell r="AT76" t="str">
            <v/>
          </cell>
          <cell r="AU76" t="str">
            <v/>
          </cell>
          <cell r="AV76" t="str">
            <v/>
          </cell>
        </row>
        <row r="77">
          <cell r="AC77" t="str">
            <v/>
          </cell>
          <cell r="AD77" t="str">
            <v/>
          </cell>
          <cell r="AE77" t="str">
            <v/>
          </cell>
          <cell r="AF77" t="str">
            <v/>
          </cell>
          <cell r="AG77" t="str">
            <v/>
          </cell>
          <cell r="AH77" t="str">
            <v/>
          </cell>
          <cell r="AI77" t="str">
            <v/>
          </cell>
          <cell r="AJ77" t="str">
            <v/>
          </cell>
          <cell r="AK77" t="str">
            <v/>
          </cell>
          <cell r="AL77" t="str">
            <v/>
          </cell>
          <cell r="AM77" t="str">
            <v/>
          </cell>
          <cell r="AN77" t="str">
            <v/>
          </cell>
          <cell r="AO77" t="str">
            <v/>
          </cell>
          <cell r="AP77" t="str">
            <v/>
          </cell>
          <cell r="AQ77" t="str">
            <v/>
          </cell>
          <cell r="AR77" t="str">
            <v/>
          </cell>
          <cell r="AS77" t="str">
            <v/>
          </cell>
          <cell r="AT77" t="str">
            <v/>
          </cell>
          <cell r="AU77" t="str">
            <v/>
          </cell>
          <cell r="AV77" t="str">
            <v/>
          </cell>
        </row>
        <row r="78">
          <cell r="AC78" t="str">
            <v/>
          </cell>
          <cell r="AD78" t="str">
            <v/>
          </cell>
          <cell r="AE78" t="str">
            <v/>
          </cell>
          <cell r="AF78" t="str">
            <v/>
          </cell>
          <cell r="AG78" t="str">
            <v/>
          </cell>
          <cell r="AH78" t="str">
            <v/>
          </cell>
          <cell r="AI78" t="str">
            <v/>
          </cell>
          <cell r="AJ78" t="str">
            <v/>
          </cell>
          <cell r="AK78" t="str">
            <v/>
          </cell>
          <cell r="AL78" t="str">
            <v/>
          </cell>
          <cell r="AM78" t="str">
            <v/>
          </cell>
          <cell r="AN78" t="str">
            <v/>
          </cell>
          <cell r="AO78" t="str">
            <v/>
          </cell>
          <cell r="AP78" t="str">
            <v/>
          </cell>
          <cell r="AQ78" t="str">
            <v/>
          </cell>
          <cell r="AR78" t="str">
            <v/>
          </cell>
          <cell r="AS78" t="str">
            <v/>
          </cell>
          <cell r="AT78" t="str">
            <v/>
          </cell>
          <cell r="AU78" t="str">
            <v/>
          </cell>
          <cell r="AV78" t="str">
            <v/>
          </cell>
        </row>
        <row r="79">
          <cell r="AC79" t="str">
            <v/>
          </cell>
          <cell r="AD79" t="str">
            <v/>
          </cell>
          <cell r="AE79" t="str">
            <v/>
          </cell>
          <cell r="AF79" t="str">
            <v/>
          </cell>
          <cell r="AG79" t="str">
            <v/>
          </cell>
          <cell r="AH79" t="str">
            <v/>
          </cell>
          <cell r="AI79" t="str">
            <v/>
          </cell>
          <cell r="AJ79" t="str">
            <v/>
          </cell>
          <cell r="AK79" t="str">
            <v/>
          </cell>
          <cell r="AL79" t="str">
            <v/>
          </cell>
          <cell r="AM79" t="str">
            <v/>
          </cell>
          <cell r="AN79" t="str">
            <v/>
          </cell>
          <cell r="AO79" t="str">
            <v/>
          </cell>
          <cell r="AP79" t="str">
            <v/>
          </cell>
          <cell r="AQ79" t="str">
            <v/>
          </cell>
          <cell r="AR79" t="str">
            <v/>
          </cell>
          <cell r="AS79" t="str">
            <v/>
          </cell>
          <cell r="AT79" t="str">
            <v/>
          </cell>
          <cell r="AU79" t="str">
            <v/>
          </cell>
          <cell r="AV79" t="str">
            <v/>
          </cell>
        </row>
        <row r="80">
          <cell r="AC80" t="str">
            <v/>
          </cell>
          <cell r="AD80" t="str">
            <v/>
          </cell>
          <cell r="AE80" t="str">
            <v/>
          </cell>
          <cell r="AF80" t="str">
            <v/>
          </cell>
          <cell r="AG80" t="str">
            <v/>
          </cell>
          <cell r="AH80" t="str">
            <v/>
          </cell>
          <cell r="AI80" t="str">
            <v/>
          </cell>
          <cell r="AJ80" t="str">
            <v/>
          </cell>
          <cell r="AK80" t="str">
            <v/>
          </cell>
          <cell r="AL80" t="str">
            <v/>
          </cell>
          <cell r="AM80" t="str">
            <v/>
          </cell>
          <cell r="AN80" t="str">
            <v/>
          </cell>
          <cell r="AO80" t="str">
            <v/>
          </cell>
          <cell r="AP80" t="str">
            <v/>
          </cell>
          <cell r="AQ80" t="str">
            <v/>
          </cell>
          <cell r="AR80" t="str">
            <v/>
          </cell>
          <cell r="AS80" t="str">
            <v/>
          </cell>
          <cell r="AT80" t="str">
            <v/>
          </cell>
          <cell r="AU80" t="str">
            <v/>
          </cell>
          <cell r="AV80" t="str">
            <v/>
          </cell>
        </row>
        <row r="81">
          <cell r="AC81" t="str">
            <v/>
          </cell>
          <cell r="AD81" t="str">
            <v/>
          </cell>
          <cell r="AE81" t="str">
            <v/>
          </cell>
          <cell r="AF81" t="str">
            <v/>
          </cell>
          <cell r="AG81" t="str">
            <v/>
          </cell>
          <cell r="AH81" t="str">
            <v/>
          </cell>
          <cell r="AI81" t="str">
            <v/>
          </cell>
          <cell r="AJ81" t="str">
            <v/>
          </cell>
          <cell r="AK81" t="str">
            <v/>
          </cell>
          <cell r="AL81" t="str">
            <v/>
          </cell>
          <cell r="AM81" t="str">
            <v/>
          </cell>
          <cell r="AN81" t="str">
            <v/>
          </cell>
          <cell r="AO81" t="str">
            <v/>
          </cell>
          <cell r="AP81" t="str">
            <v/>
          </cell>
          <cell r="AQ81" t="str">
            <v/>
          </cell>
          <cell r="AR81" t="str">
            <v/>
          </cell>
          <cell r="AS81" t="str">
            <v/>
          </cell>
          <cell r="AT81" t="str">
            <v/>
          </cell>
          <cell r="AU81" t="str">
            <v/>
          </cell>
          <cell r="AV81" t="str">
            <v/>
          </cell>
        </row>
        <row r="82">
          <cell r="AC82" t="str">
            <v/>
          </cell>
          <cell r="AD82" t="str">
            <v/>
          </cell>
          <cell r="AE82" t="str">
            <v/>
          </cell>
          <cell r="AF82" t="str">
            <v/>
          </cell>
          <cell r="AG82" t="str">
            <v/>
          </cell>
          <cell r="AH82" t="str">
            <v/>
          </cell>
          <cell r="AI82" t="str">
            <v/>
          </cell>
          <cell r="AJ82" t="str">
            <v/>
          </cell>
          <cell r="AK82" t="str">
            <v/>
          </cell>
          <cell r="AL82" t="str">
            <v/>
          </cell>
          <cell r="AM82" t="str">
            <v/>
          </cell>
          <cell r="AN82" t="str">
            <v/>
          </cell>
          <cell r="AO82" t="str">
            <v/>
          </cell>
          <cell r="AP82" t="str">
            <v/>
          </cell>
          <cell r="AQ82" t="str">
            <v/>
          </cell>
          <cell r="AR82" t="str">
            <v/>
          </cell>
          <cell r="AS82" t="str">
            <v/>
          </cell>
          <cell r="AT82" t="str">
            <v/>
          </cell>
          <cell r="AU82" t="str">
            <v/>
          </cell>
          <cell r="AV82" t="str">
            <v/>
          </cell>
        </row>
        <row r="83"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  <cell r="AJ83" t="str">
            <v/>
          </cell>
          <cell r="AK83" t="str">
            <v/>
          </cell>
          <cell r="AL83" t="str">
            <v/>
          </cell>
          <cell r="AM83" t="str">
            <v/>
          </cell>
          <cell r="AN83" t="str">
            <v/>
          </cell>
          <cell r="AO83" t="str">
            <v/>
          </cell>
          <cell r="AP83" t="str">
            <v/>
          </cell>
          <cell r="AQ83" t="str">
            <v/>
          </cell>
          <cell r="AR83" t="str">
            <v/>
          </cell>
          <cell r="AS83" t="str">
            <v/>
          </cell>
          <cell r="AT83" t="str">
            <v/>
          </cell>
          <cell r="AU83" t="str">
            <v/>
          </cell>
          <cell r="AV83" t="str">
            <v/>
          </cell>
        </row>
        <row r="84"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 t="str">
            <v/>
          </cell>
          <cell r="AH84" t="str">
            <v/>
          </cell>
          <cell r="AI84" t="str">
            <v/>
          </cell>
          <cell r="AJ84" t="str">
            <v/>
          </cell>
          <cell r="AK84" t="str">
            <v/>
          </cell>
          <cell r="AL84" t="str">
            <v/>
          </cell>
          <cell r="AM84" t="str">
            <v/>
          </cell>
          <cell r="AN84" t="str">
            <v/>
          </cell>
          <cell r="AO84" t="str">
            <v/>
          </cell>
          <cell r="AP84" t="str">
            <v/>
          </cell>
          <cell r="AQ84" t="str">
            <v/>
          </cell>
          <cell r="AR84" t="str">
            <v/>
          </cell>
          <cell r="AS84" t="str">
            <v/>
          </cell>
          <cell r="AT84" t="str">
            <v/>
          </cell>
          <cell r="AU84" t="str">
            <v/>
          </cell>
          <cell r="AV84" t="str">
            <v/>
          </cell>
        </row>
        <row r="85"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 t="str">
            <v/>
          </cell>
          <cell r="AH85" t="str">
            <v/>
          </cell>
          <cell r="AI85" t="str">
            <v/>
          </cell>
          <cell r="AJ85" t="str">
            <v/>
          </cell>
          <cell r="AK85" t="str">
            <v/>
          </cell>
          <cell r="AL85" t="str">
            <v/>
          </cell>
          <cell r="AM85" t="str">
            <v/>
          </cell>
          <cell r="AN85" t="str">
            <v/>
          </cell>
          <cell r="AO85" t="str">
            <v/>
          </cell>
          <cell r="AP85" t="str">
            <v/>
          </cell>
          <cell r="AQ85" t="str">
            <v/>
          </cell>
          <cell r="AR85" t="str">
            <v/>
          </cell>
          <cell r="AS85" t="str">
            <v/>
          </cell>
          <cell r="AT85" t="str">
            <v/>
          </cell>
          <cell r="AU85" t="str">
            <v/>
          </cell>
          <cell r="AV85" t="str">
            <v/>
          </cell>
        </row>
        <row r="86">
          <cell r="AC86" t="str">
            <v/>
          </cell>
          <cell r="AD86" t="str">
            <v/>
          </cell>
          <cell r="AE86" t="str">
            <v/>
          </cell>
          <cell r="AF86" t="str">
            <v/>
          </cell>
          <cell r="AG86" t="str">
            <v/>
          </cell>
          <cell r="AH86" t="str">
            <v/>
          </cell>
          <cell r="AI86" t="str">
            <v/>
          </cell>
          <cell r="AJ86" t="str">
            <v/>
          </cell>
          <cell r="AK86" t="str">
            <v/>
          </cell>
          <cell r="AL86" t="str">
            <v/>
          </cell>
          <cell r="AM86" t="str">
            <v/>
          </cell>
          <cell r="AN86" t="str">
            <v/>
          </cell>
          <cell r="AO86" t="str">
            <v/>
          </cell>
          <cell r="AP86" t="str">
            <v/>
          </cell>
          <cell r="AQ86" t="str">
            <v/>
          </cell>
          <cell r="AR86" t="str">
            <v/>
          </cell>
          <cell r="AS86" t="str">
            <v/>
          </cell>
          <cell r="AT86" t="str">
            <v/>
          </cell>
          <cell r="AU86" t="str">
            <v/>
          </cell>
          <cell r="AV86" t="str">
            <v/>
          </cell>
        </row>
        <row r="87">
          <cell r="AC87" t="str">
            <v/>
          </cell>
          <cell r="AD87" t="str">
            <v/>
          </cell>
          <cell r="AE87" t="str">
            <v/>
          </cell>
          <cell r="AF87" t="str">
            <v/>
          </cell>
          <cell r="AG87" t="str">
            <v/>
          </cell>
          <cell r="AH87" t="str">
            <v/>
          </cell>
          <cell r="AI87" t="str">
            <v/>
          </cell>
          <cell r="AJ87" t="str">
            <v/>
          </cell>
          <cell r="AK87" t="str">
            <v/>
          </cell>
          <cell r="AL87" t="str">
            <v/>
          </cell>
          <cell r="AM87" t="str">
            <v/>
          </cell>
          <cell r="AN87" t="str">
            <v/>
          </cell>
          <cell r="AO87" t="str">
            <v/>
          </cell>
          <cell r="AP87" t="str">
            <v/>
          </cell>
          <cell r="AQ87" t="str">
            <v/>
          </cell>
          <cell r="AR87" t="str">
            <v/>
          </cell>
          <cell r="AS87" t="str">
            <v/>
          </cell>
          <cell r="AT87" t="str">
            <v/>
          </cell>
          <cell r="AU87" t="str">
            <v/>
          </cell>
          <cell r="AV87" t="str">
            <v/>
          </cell>
        </row>
        <row r="88"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  <cell r="AJ88" t="str">
            <v/>
          </cell>
          <cell r="AK88" t="str">
            <v/>
          </cell>
          <cell r="AL88" t="str">
            <v/>
          </cell>
          <cell r="AM88" t="str">
            <v/>
          </cell>
          <cell r="AN88" t="str">
            <v/>
          </cell>
          <cell r="AO88" t="str">
            <v/>
          </cell>
          <cell r="AP88" t="str">
            <v/>
          </cell>
          <cell r="AQ88" t="str">
            <v/>
          </cell>
          <cell r="AR88" t="str">
            <v/>
          </cell>
          <cell r="AS88" t="str">
            <v/>
          </cell>
          <cell r="AT88" t="str">
            <v/>
          </cell>
          <cell r="AU88" t="str">
            <v/>
          </cell>
          <cell r="AV88" t="str">
            <v/>
          </cell>
        </row>
        <row r="89">
          <cell r="AC89" t="str">
            <v/>
          </cell>
          <cell r="AD89" t="str">
            <v/>
          </cell>
          <cell r="AE89" t="str">
            <v/>
          </cell>
          <cell r="AF89" t="str">
            <v/>
          </cell>
          <cell r="AG89" t="str">
            <v/>
          </cell>
          <cell r="AH89" t="str">
            <v/>
          </cell>
          <cell r="AI89" t="str">
            <v/>
          </cell>
          <cell r="AJ89" t="str">
            <v/>
          </cell>
          <cell r="AK89" t="str">
            <v/>
          </cell>
          <cell r="AL89" t="str">
            <v/>
          </cell>
          <cell r="AM89" t="str">
            <v/>
          </cell>
          <cell r="AN89" t="str">
            <v/>
          </cell>
          <cell r="AO89" t="str">
            <v/>
          </cell>
          <cell r="AP89" t="str">
            <v/>
          </cell>
          <cell r="AQ89" t="str">
            <v/>
          </cell>
          <cell r="AR89" t="str">
            <v/>
          </cell>
          <cell r="AS89" t="str">
            <v/>
          </cell>
          <cell r="AT89" t="str">
            <v/>
          </cell>
          <cell r="AU89" t="str">
            <v/>
          </cell>
          <cell r="AV89" t="str">
            <v/>
          </cell>
        </row>
        <row r="90"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 t="str">
            <v/>
          </cell>
          <cell r="AH90" t="str">
            <v/>
          </cell>
          <cell r="AI90" t="str">
            <v/>
          </cell>
          <cell r="AJ90" t="str">
            <v/>
          </cell>
          <cell r="AK90" t="str">
            <v/>
          </cell>
          <cell r="AL90" t="str">
            <v/>
          </cell>
          <cell r="AM90" t="str">
            <v/>
          </cell>
          <cell r="AN90" t="str">
            <v/>
          </cell>
          <cell r="AO90" t="str">
            <v/>
          </cell>
          <cell r="AP90" t="str">
            <v/>
          </cell>
          <cell r="AQ90" t="str">
            <v/>
          </cell>
          <cell r="AR90" t="str">
            <v/>
          </cell>
          <cell r="AS90" t="str">
            <v/>
          </cell>
          <cell r="AT90" t="str">
            <v/>
          </cell>
          <cell r="AU90" t="str">
            <v/>
          </cell>
          <cell r="AV90" t="str">
            <v/>
          </cell>
        </row>
        <row r="91"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 t="str">
            <v/>
          </cell>
          <cell r="AH91" t="str">
            <v/>
          </cell>
          <cell r="AI91" t="str">
            <v/>
          </cell>
          <cell r="AJ91" t="str">
            <v/>
          </cell>
          <cell r="AK91" t="str">
            <v/>
          </cell>
          <cell r="AL91" t="str">
            <v/>
          </cell>
          <cell r="AM91" t="str">
            <v/>
          </cell>
          <cell r="AN91" t="str">
            <v/>
          </cell>
          <cell r="AO91" t="str">
            <v/>
          </cell>
          <cell r="AP91" t="str">
            <v/>
          </cell>
          <cell r="AQ91" t="str">
            <v/>
          </cell>
          <cell r="AR91" t="str">
            <v/>
          </cell>
          <cell r="AS91" t="str">
            <v/>
          </cell>
          <cell r="AT91" t="str">
            <v/>
          </cell>
          <cell r="AU91" t="str">
            <v/>
          </cell>
          <cell r="AV91" t="str">
            <v/>
          </cell>
        </row>
        <row r="92"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  <cell r="AJ92" t="str">
            <v/>
          </cell>
          <cell r="AK92" t="str">
            <v/>
          </cell>
          <cell r="AL92" t="str">
            <v/>
          </cell>
          <cell r="AM92" t="str">
            <v/>
          </cell>
          <cell r="AN92" t="str">
            <v/>
          </cell>
          <cell r="AO92" t="str">
            <v/>
          </cell>
          <cell r="AP92" t="str">
            <v/>
          </cell>
          <cell r="AQ92" t="str">
            <v/>
          </cell>
          <cell r="AR92" t="str">
            <v/>
          </cell>
          <cell r="AS92" t="str">
            <v/>
          </cell>
          <cell r="AT92" t="str">
            <v/>
          </cell>
          <cell r="AU92" t="str">
            <v/>
          </cell>
          <cell r="AV92" t="str">
            <v/>
          </cell>
        </row>
        <row r="93"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 t="str">
            <v/>
          </cell>
          <cell r="AH93" t="str">
            <v/>
          </cell>
          <cell r="AI93" t="str">
            <v/>
          </cell>
          <cell r="AJ93" t="str">
            <v/>
          </cell>
          <cell r="AK93" t="str">
            <v/>
          </cell>
          <cell r="AL93" t="str">
            <v/>
          </cell>
          <cell r="AM93" t="str">
            <v/>
          </cell>
          <cell r="AN93" t="str">
            <v/>
          </cell>
          <cell r="AO93" t="str">
            <v/>
          </cell>
          <cell r="AP93" t="str">
            <v/>
          </cell>
          <cell r="AQ93" t="str">
            <v/>
          </cell>
          <cell r="AR93" t="str">
            <v/>
          </cell>
          <cell r="AS93" t="str">
            <v/>
          </cell>
          <cell r="AT93" t="str">
            <v/>
          </cell>
          <cell r="AU93" t="str">
            <v/>
          </cell>
          <cell r="AV93" t="str">
            <v/>
          </cell>
        </row>
        <row r="94">
          <cell r="AC94" t="str">
            <v/>
          </cell>
          <cell r="AD94" t="str">
            <v/>
          </cell>
          <cell r="AE94" t="str">
            <v/>
          </cell>
          <cell r="AF94" t="str">
            <v/>
          </cell>
          <cell r="AG94" t="str">
            <v/>
          </cell>
          <cell r="AH94" t="str">
            <v/>
          </cell>
          <cell r="AI94" t="str">
            <v/>
          </cell>
          <cell r="AJ94" t="str">
            <v/>
          </cell>
          <cell r="AK94" t="str">
            <v/>
          </cell>
          <cell r="AL94" t="str">
            <v/>
          </cell>
          <cell r="AM94" t="str">
            <v/>
          </cell>
          <cell r="AN94" t="str">
            <v/>
          </cell>
          <cell r="AO94" t="str">
            <v/>
          </cell>
          <cell r="AP94" t="str">
            <v/>
          </cell>
          <cell r="AQ94" t="str">
            <v/>
          </cell>
          <cell r="AR94" t="str">
            <v/>
          </cell>
          <cell r="AS94" t="str">
            <v/>
          </cell>
          <cell r="AT94" t="str">
            <v/>
          </cell>
          <cell r="AU94" t="str">
            <v/>
          </cell>
          <cell r="AV94" t="str">
            <v/>
          </cell>
        </row>
        <row r="95">
          <cell r="AC95" t="str">
            <v/>
          </cell>
          <cell r="AD95" t="str">
            <v/>
          </cell>
          <cell r="AE95" t="str">
            <v/>
          </cell>
          <cell r="AF95" t="str">
            <v/>
          </cell>
          <cell r="AG95" t="str">
            <v/>
          </cell>
          <cell r="AH95" t="str">
            <v/>
          </cell>
          <cell r="AI95" t="str">
            <v/>
          </cell>
          <cell r="AJ95" t="str">
            <v/>
          </cell>
          <cell r="AK95" t="str">
            <v/>
          </cell>
          <cell r="AL95" t="str">
            <v/>
          </cell>
          <cell r="AM95" t="str">
            <v/>
          </cell>
          <cell r="AN95" t="str">
            <v/>
          </cell>
          <cell r="AO95" t="str">
            <v/>
          </cell>
          <cell r="AP95" t="str">
            <v/>
          </cell>
          <cell r="AQ95" t="str">
            <v/>
          </cell>
          <cell r="AR95" t="str">
            <v/>
          </cell>
          <cell r="AS95" t="str">
            <v/>
          </cell>
          <cell r="AT95" t="str">
            <v/>
          </cell>
          <cell r="AU95" t="str">
            <v/>
          </cell>
          <cell r="AV95" t="str">
            <v/>
          </cell>
        </row>
        <row r="96"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 t="str">
            <v/>
          </cell>
          <cell r="AH96" t="str">
            <v/>
          </cell>
          <cell r="AI96" t="str">
            <v/>
          </cell>
          <cell r="AJ96" t="str">
            <v/>
          </cell>
          <cell r="AK96" t="str">
            <v/>
          </cell>
          <cell r="AL96" t="str">
            <v/>
          </cell>
          <cell r="AM96" t="str">
            <v/>
          </cell>
          <cell r="AN96" t="str">
            <v/>
          </cell>
          <cell r="AO96" t="str">
            <v/>
          </cell>
          <cell r="AP96" t="str">
            <v/>
          </cell>
          <cell r="AQ96" t="str">
            <v/>
          </cell>
          <cell r="AR96" t="str">
            <v/>
          </cell>
          <cell r="AS96" t="str">
            <v/>
          </cell>
          <cell r="AT96" t="str">
            <v/>
          </cell>
          <cell r="AU96" t="str">
            <v/>
          </cell>
          <cell r="AV96" t="str">
            <v/>
          </cell>
        </row>
        <row r="97"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 t="str">
            <v/>
          </cell>
          <cell r="AH97" t="str">
            <v/>
          </cell>
          <cell r="AI97" t="str">
            <v/>
          </cell>
          <cell r="AJ97" t="str">
            <v/>
          </cell>
          <cell r="AK97" t="str">
            <v/>
          </cell>
          <cell r="AL97" t="str">
            <v/>
          </cell>
          <cell r="AM97" t="str">
            <v/>
          </cell>
          <cell r="AN97" t="str">
            <v/>
          </cell>
          <cell r="AO97" t="str">
            <v/>
          </cell>
          <cell r="AP97" t="str">
            <v/>
          </cell>
          <cell r="AQ97" t="str">
            <v/>
          </cell>
          <cell r="AR97" t="str">
            <v/>
          </cell>
          <cell r="AS97" t="str">
            <v/>
          </cell>
          <cell r="AT97" t="str">
            <v/>
          </cell>
          <cell r="AU97" t="str">
            <v/>
          </cell>
          <cell r="AV97" t="str">
            <v/>
          </cell>
        </row>
        <row r="98"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 t="str">
            <v/>
          </cell>
          <cell r="AN98" t="str">
            <v/>
          </cell>
          <cell r="AO98" t="str">
            <v/>
          </cell>
          <cell r="AP98" t="str">
            <v/>
          </cell>
          <cell r="AQ98" t="str">
            <v/>
          </cell>
          <cell r="AR98" t="str">
            <v/>
          </cell>
          <cell r="AS98" t="str">
            <v/>
          </cell>
          <cell r="AT98" t="str">
            <v/>
          </cell>
          <cell r="AU98" t="str">
            <v/>
          </cell>
          <cell r="AV98" t="str">
            <v/>
          </cell>
        </row>
        <row r="99"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 t="str">
            <v/>
          </cell>
          <cell r="AN99" t="str">
            <v/>
          </cell>
          <cell r="AO99" t="str">
            <v/>
          </cell>
          <cell r="AP99" t="str">
            <v/>
          </cell>
          <cell r="AQ99" t="str">
            <v/>
          </cell>
          <cell r="AR99" t="str">
            <v/>
          </cell>
          <cell r="AS99" t="str">
            <v/>
          </cell>
          <cell r="AT99" t="str">
            <v/>
          </cell>
          <cell r="AU99" t="str">
            <v/>
          </cell>
          <cell r="AV99" t="str">
            <v/>
          </cell>
        </row>
        <row r="100"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 t="str">
            <v/>
          </cell>
          <cell r="AN100" t="str">
            <v/>
          </cell>
          <cell r="AO100" t="str">
            <v/>
          </cell>
          <cell r="AP100" t="str">
            <v/>
          </cell>
          <cell r="AQ100" t="str">
            <v/>
          </cell>
          <cell r="AR100" t="str">
            <v/>
          </cell>
          <cell r="AS100" t="str">
            <v/>
          </cell>
          <cell r="AT100" t="str">
            <v/>
          </cell>
          <cell r="AU100" t="str">
            <v/>
          </cell>
          <cell r="AV100" t="str">
            <v/>
          </cell>
        </row>
        <row r="101"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 t="str">
            <v/>
          </cell>
          <cell r="AH101" t="str">
            <v/>
          </cell>
          <cell r="AI101" t="str">
            <v/>
          </cell>
          <cell r="AJ101" t="str">
            <v/>
          </cell>
          <cell r="AK101" t="str">
            <v/>
          </cell>
          <cell r="AL101" t="str">
            <v/>
          </cell>
          <cell r="AM101" t="str">
            <v/>
          </cell>
          <cell r="AN101" t="str">
            <v/>
          </cell>
          <cell r="AO101" t="str">
            <v/>
          </cell>
          <cell r="AP101" t="str">
            <v/>
          </cell>
          <cell r="AQ101" t="str">
            <v/>
          </cell>
          <cell r="AR101" t="str">
            <v/>
          </cell>
          <cell r="AS101" t="str">
            <v/>
          </cell>
          <cell r="AT101" t="str">
            <v/>
          </cell>
          <cell r="AU101" t="str">
            <v/>
          </cell>
          <cell r="AV101" t="str">
            <v/>
          </cell>
        </row>
        <row r="102">
          <cell r="AC102" t="str">
            <v/>
          </cell>
          <cell r="AD102" t="str">
            <v/>
          </cell>
          <cell r="AE102" t="str">
            <v/>
          </cell>
          <cell r="AF102" t="str">
            <v/>
          </cell>
          <cell r="AG102" t="str">
            <v/>
          </cell>
          <cell r="AH102" t="str">
            <v/>
          </cell>
          <cell r="AI102" t="str">
            <v/>
          </cell>
          <cell r="AJ102" t="str">
            <v/>
          </cell>
          <cell r="AK102" t="str">
            <v/>
          </cell>
          <cell r="AL102" t="str">
            <v/>
          </cell>
          <cell r="AM102" t="str">
            <v/>
          </cell>
          <cell r="AN102" t="str">
            <v/>
          </cell>
          <cell r="AO102" t="str">
            <v/>
          </cell>
          <cell r="AP102" t="str">
            <v/>
          </cell>
          <cell r="AQ102" t="str">
            <v/>
          </cell>
          <cell r="AR102" t="str">
            <v/>
          </cell>
          <cell r="AS102" t="str">
            <v/>
          </cell>
          <cell r="AT102" t="str">
            <v/>
          </cell>
          <cell r="AU102" t="str">
            <v/>
          </cell>
          <cell r="AV102" t="str">
            <v/>
          </cell>
        </row>
        <row r="103">
          <cell r="AC103" t="str">
            <v/>
          </cell>
          <cell r="AD103" t="str">
            <v/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 t="str">
            <v/>
          </cell>
          <cell r="AL103" t="str">
            <v/>
          </cell>
          <cell r="AM103" t="str">
            <v/>
          </cell>
          <cell r="AN103" t="str">
            <v/>
          </cell>
          <cell r="AO103" t="str">
            <v/>
          </cell>
          <cell r="AP103" t="str">
            <v/>
          </cell>
          <cell r="AQ103" t="str">
            <v/>
          </cell>
          <cell r="AR103" t="str">
            <v/>
          </cell>
          <cell r="AS103" t="str">
            <v/>
          </cell>
          <cell r="AT103" t="str">
            <v/>
          </cell>
          <cell r="AU103" t="str">
            <v/>
          </cell>
          <cell r="AV103" t="str">
            <v/>
          </cell>
        </row>
        <row r="104">
          <cell r="AC104" t="str">
            <v/>
          </cell>
          <cell r="AD104" t="str">
            <v/>
          </cell>
          <cell r="AE104" t="str">
            <v/>
          </cell>
          <cell r="AF104" t="str">
            <v/>
          </cell>
          <cell r="AG104" t="str">
            <v/>
          </cell>
          <cell r="AH104" t="str">
            <v/>
          </cell>
          <cell r="AI104" t="str">
            <v/>
          </cell>
          <cell r="AJ104" t="str">
            <v/>
          </cell>
          <cell r="AK104" t="str">
            <v/>
          </cell>
          <cell r="AL104" t="str">
            <v/>
          </cell>
          <cell r="AM104" t="str">
            <v/>
          </cell>
          <cell r="AN104" t="str">
            <v/>
          </cell>
          <cell r="AO104" t="str">
            <v/>
          </cell>
          <cell r="AP104" t="str">
            <v/>
          </cell>
          <cell r="AQ104" t="str">
            <v/>
          </cell>
          <cell r="AR104" t="str">
            <v/>
          </cell>
          <cell r="AS104" t="str">
            <v/>
          </cell>
          <cell r="AT104" t="str">
            <v/>
          </cell>
          <cell r="AU104" t="str">
            <v/>
          </cell>
          <cell r="AV104" t="str">
            <v/>
          </cell>
        </row>
        <row r="105">
          <cell r="AC105" t="str">
            <v/>
          </cell>
          <cell r="AD105" t="str">
            <v/>
          </cell>
          <cell r="AE105" t="str">
            <v/>
          </cell>
          <cell r="AF105" t="str">
            <v/>
          </cell>
          <cell r="AG105" t="str">
            <v/>
          </cell>
          <cell r="AH105" t="str">
            <v/>
          </cell>
          <cell r="AI105" t="str">
            <v/>
          </cell>
          <cell r="AJ105" t="str">
            <v/>
          </cell>
          <cell r="AK105" t="str">
            <v/>
          </cell>
          <cell r="AL105" t="str">
            <v/>
          </cell>
          <cell r="AM105" t="str">
            <v/>
          </cell>
          <cell r="AN105" t="str">
            <v/>
          </cell>
          <cell r="AO105" t="str">
            <v/>
          </cell>
          <cell r="AP105" t="str">
            <v/>
          </cell>
          <cell r="AQ105" t="str">
            <v/>
          </cell>
          <cell r="AR105" t="str">
            <v/>
          </cell>
          <cell r="AS105" t="str">
            <v/>
          </cell>
          <cell r="AT105" t="str">
            <v/>
          </cell>
          <cell r="AU105" t="str">
            <v/>
          </cell>
          <cell r="AV105" t="str">
            <v/>
          </cell>
        </row>
        <row r="106">
          <cell r="AC106" t="str">
            <v/>
          </cell>
          <cell r="AD106" t="str">
            <v/>
          </cell>
          <cell r="AE106" t="str">
            <v/>
          </cell>
          <cell r="AF106" t="str">
            <v/>
          </cell>
          <cell r="AG106" t="str">
            <v/>
          </cell>
          <cell r="AH106" t="str">
            <v/>
          </cell>
          <cell r="AI106" t="str">
            <v/>
          </cell>
          <cell r="AJ106" t="str">
            <v/>
          </cell>
          <cell r="AK106" t="str">
            <v/>
          </cell>
          <cell r="AL106" t="str">
            <v/>
          </cell>
          <cell r="AM106" t="str">
            <v/>
          </cell>
          <cell r="AN106" t="str">
            <v/>
          </cell>
          <cell r="AO106" t="str">
            <v/>
          </cell>
          <cell r="AP106" t="str">
            <v/>
          </cell>
          <cell r="AQ106" t="str">
            <v/>
          </cell>
          <cell r="AR106" t="str">
            <v/>
          </cell>
          <cell r="AS106" t="str">
            <v/>
          </cell>
          <cell r="AT106" t="str">
            <v/>
          </cell>
          <cell r="AU106" t="str">
            <v/>
          </cell>
          <cell r="AV106" t="str">
            <v/>
          </cell>
        </row>
        <row r="107">
          <cell r="AC107" t="str">
            <v/>
          </cell>
          <cell r="AD107" t="str">
            <v/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 t="str">
            <v/>
          </cell>
          <cell r="AL107" t="str">
            <v/>
          </cell>
          <cell r="AM107" t="str">
            <v/>
          </cell>
          <cell r="AN107" t="str">
            <v/>
          </cell>
          <cell r="AO107" t="str">
            <v/>
          </cell>
          <cell r="AP107" t="str">
            <v/>
          </cell>
          <cell r="AQ107" t="str">
            <v/>
          </cell>
          <cell r="AR107" t="str">
            <v/>
          </cell>
          <cell r="AS107" t="str">
            <v/>
          </cell>
          <cell r="AT107" t="str">
            <v/>
          </cell>
          <cell r="AU107" t="str">
            <v/>
          </cell>
          <cell r="AV107" t="str">
            <v/>
          </cell>
        </row>
        <row r="108">
          <cell r="AC108" t="str">
            <v/>
          </cell>
          <cell r="AD108" t="str">
            <v/>
          </cell>
          <cell r="AE108" t="str">
            <v/>
          </cell>
          <cell r="AF108" t="str">
            <v/>
          </cell>
          <cell r="AG108" t="str">
            <v/>
          </cell>
          <cell r="AH108" t="str">
            <v/>
          </cell>
          <cell r="AI108" t="str">
            <v/>
          </cell>
          <cell r="AJ108" t="str">
            <v/>
          </cell>
          <cell r="AK108" t="str">
            <v/>
          </cell>
          <cell r="AL108" t="str">
            <v/>
          </cell>
          <cell r="AM108" t="str">
            <v/>
          </cell>
          <cell r="AN108" t="str">
            <v/>
          </cell>
          <cell r="AO108" t="str">
            <v/>
          </cell>
          <cell r="AP108" t="str">
            <v/>
          </cell>
          <cell r="AQ108" t="str">
            <v/>
          </cell>
          <cell r="AR108" t="str">
            <v/>
          </cell>
          <cell r="AS108" t="str">
            <v/>
          </cell>
          <cell r="AT108" t="str">
            <v/>
          </cell>
          <cell r="AU108" t="str">
            <v/>
          </cell>
          <cell r="AV108" t="str">
            <v/>
          </cell>
        </row>
        <row r="109">
          <cell r="AC109" t="str">
            <v/>
          </cell>
          <cell r="AD109" t="str">
            <v/>
          </cell>
          <cell r="AE109" t="str">
            <v/>
          </cell>
          <cell r="AF109" t="str">
            <v/>
          </cell>
          <cell r="AG109" t="str">
            <v/>
          </cell>
          <cell r="AH109" t="str">
            <v/>
          </cell>
          <cell r="AI109" t="str">
            <v/>
          </cell>
          <cell r="AJ109" t="str">
            <v/>
          </cell>
          <cell r="AK109" t="str">
            <v/>
          </cell>
          <cell r="AL109" t="str">
            <v/>
          </cell>
          <cell r="AM109" t="str">
            <v/>
          </cell>
          <cell r="AN109" t="str">
            <v/>
          </cell>
          <cell r="AO109" t="str">
            <v/>
          </cell>
          <cell r="AP109" t="str">
            <v/>
          </cell>
          <cell r="AQ109" t="str">
            <v/>
          </cell>
          <cell r="AR109" t="str">
            <v/>
          </cell>
          <cell r="AS109" t="str">
            <v/>
          </cell>
          <cell r="AT109" t="str">
            <v/>
          </cell>
          <cell r="AU109" t="str">
            <v/>
          </cell>
          <cell r="AV109" t="str">
            <v/>
          </cell>
        </row>
        <row r="110"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</row>
        <row r="111"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</row>
        <row r="112"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</row>
        <row r="113">
          <cell r="AC113" t="str">
            <v/>
          </cell>
          <cell r="AD113" t="str">
            <v/>
          </cell>
          <cell r="AE113" t="str">
            <v/>
          </cell>
          <cell r="AF113" t="str">
            <v/>
          </cell>
          <cell r="AG113" t="str">
            <v/>
          </cell>
          <cell r="AH113" t="str">
            <v/>
          </cell>
          <cell r="AI113" t="str">
            <v/>
          </cell>
          <cell r="AJ113" t="str">
            <v/>
          </cell>
          <cell r="AK113" t="str">
            <v/>
          </cell>
          <cell r="AL113" t="str">
            <v/>
          </cell>
          <cell r="AM113" t="str">
            <v/>
          </cell>
          <cell r="AN113" t="str">
            <v/>
          </cell>
          <cell r="AO113" t="str">
            <v/>
          </cell>
          <cell r="AP113" t="str">
            <v/>
          </cell>
          <cell r="AQ113" t="str">
            <v/>
          </cell>
          <cell r="AR113" t="str">
            <v/>
          </cell>
          <cell r="AS113" t="str">
            <v/>
          </cell>
          <cell r="AT113" t="str">
            <v/>
          </cell>
          <cell r="AU113" t="str">
            <v/>
          </cell>
          <cell r="AV113" t="str">
            <v/>
          </cell>
        </row>
        <row r="114"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 t="str">
            <v/>
          </cell>
          <cell r="AN114" t="str">
            <v/>
          </cell>
          <cell r="AO114" t="str">
            <v/>
          </cell>
          <cell r="AP114" t="str">
            <v/>
          </cell>
          <cell r="AQ114" t="str">
            <v/>
          </cell>
          <cell r="AR114" t="str">
            <v/>
          </cell>
          <cell r="AS114" t="str">
            <v/>
          </cell>
          <cell r="AT114" t="str">
            <v/>
          </cell>
          <cell r="AU114" t="str">
            <v/>
          </cell>
          <cell r="AV114" t="str">
            <v/>
          </cell>
        </row>
        <row r="115"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 t="str">
            <v/>
          </cell>
          <cell r="AN115" t="str">
            <v/>
          </cell>
          <cell r="AO115" t="str">
            <v/>
          </cell>
          <cell r="AP115" t="str">
            <v/>
          </cell>
          <cell r="AQ115" t="str">
            <v/>
          </cell>
          <cell r="AR115" t="str">
            <v/>
          </cell>
          <cell r="AS115" t="str">
            <v/>
          </cell>
          <cell r="AT115" t="str">
            <v/>
          </cell>
          <cell r="AU115" t="str">
            <v/>
          </cell>
          <cell r="AV115" t="str">
            <v/>
          </cell>
        </row>
        <row r="116"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 t="str">
            <v/>
          </cell>
          <cell r="AN116" t="str">
            <v/>
          </cell>
          <cell r="AO116" t="str">
            <v/>
          </cell>
          <cell r="AP116" t="str">
            <v/>
          </cell>
          <cell r="AQ116" t="str">
            <v/>
          </cell>
          <cell r="AR116" t="str">
            <v/>
          </cell>
          <cell r="AS116" t="str">
            <v/>
          </cell>
          <cell r="AT116" t="str">
            <v/>
          </cell>
          <cell r="AU116" t="str">
            <v/>
          </cell>
          <cell r="AV116" t="str">
            <v/>
          </cell>
        </row>
        <row r="117"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 t="str">
            <v/>
          </cell>
          <cell r="AS117" t="str">
            <v/>
          </cell>
          <cell r="AT117" t="str">
            <v/>
          </cell>
          <cell r="AU117" t="str">
            <v/>
          </cell>
          <cell r="AV117" t="str">
            <v/>
          </cell>
        </row>
        <row r="118"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</row>
        <row r="119"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</row>
        <row r="120"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</row>
        <row r="121">
          <cell r="AC121" t="str">
            <v/>
          </cell>
          <cell r="AD121" t="str">
            <v/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 t="str">
            <v/>
          </cell>
          <cell r="AL121" t="str">
            <v/>
          </cell>
          <cell r="AM121" t="str">
            <v/>
          </cell>
          <cell r="AN121" t="str">
            <v/>
          </cell>
          <cell r="AO121" t="str">
            <v/>
          </cell>
          <cell r="AP121" t="str">
            <v/>
          </cell>
          <cell r="AQ121" t="str">
            <v/>
          </cell>
          <cell r="AR121" t="str">
            <v/>
          </cell>
          <cell r="AS121" t="str">
            <v/>
          </cell>
          <cell r="AT121" t="str">
            <v/>
          </cell>
          <cell r="AU121" t="str">
            <v/>
          </cell>
          <cell r="AV121" t="str">
            <v/>
          </cell>
        </row>
        <row r="122">
          <cell r="AC122" t="str">
            <v/>
          </cell>
          <cell r="AD122" t="str">
            <v/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 t="str">
            <v/>
          </cell>
          <cell r="AL122" t="str">
            <v/>
          </cell>
          <cell r="AM122" t="str">
            <v/>
          </cell>
          <cell r="AN122" t="str">
            <v/>
          </cell>
          <cell r="AO122" t="str">
            <v/>
          </cell>
          <cell r="AP122" t="str">
            <v/>
          </cell>
          <cell r="AQ122" t="str">
            <v/>
          </cell>
          <cell r="AR122" t="str">
            <v/>
          </cell>
          <cell r="AS122" t="str">
            <v/>
          </cell>
          <cell r="AT122" t="str">
            <v/>
          </cell>
          <cell r="AU122" t="str">
            <v/>
          </cell>
          <cell r="AV122" t="str">
            <v/>
          </cell>
        </row>
        <row r="123">
          <cell r="AC123" t="str">
            <v/>
          </cell>
          <cell r="AD123" t="str">
            <v/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 t="str">
            <v/>
          </cell>
          <cell r="AL123" t="str">
            <v/>
          </cell>
          <cell r="AM123" t="str">
            <v/>
          </cell>
          <cell r="AN123" t="str">
            <v/>
          </cell>
          <cell r="AO123" t="str">
            <v/>
          </cell>
          <cell r="AP123" t="str">
            <v/>
          </cell>
          <cell r="AQ123" t="str">
            <v/>
          </cell>
          <cell r="AR123" t="str">
            <v/>
          </cell>
          <cell r="AS123" t="str">
            <v/>
          </cell>
          <cell r="AT123" t="str">
            <v/>
          </cell>
          <cell r="AU123" t="str">
            <v/>
          </cell>
          <cell r="AV123" t="str">
            <v/>
          </cell>
        </row>
        <row r="124">
          <cell r="AC124" t="str">
            <v/>
          </cell>
          <cell r="AD124" t="str">
            <v/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 t="str">
            <v/>
          </cell>
          <cell r="AL124" t="str">
            <v/>
          </cell>
          <cell r="AM124" t="str">
            <v/>
          </cell>
          <cell r="AN124" t="str">
            <v/>
          </cell>
          <cell r="AO124" t="str">
            <v/>
          </cell>
          <cell r="AP124" t="str">
            <v/>
          </cell>
          <cell r="AQ124" t="str">
            <v/>
          </cell>
          <cell r="AR124" t="str">
            <v/>
          </cell>
          <cell r="AS124" t="str">
            <v/>
          </cell>
          <cell r="AT124" t="str">
            <v/>
          </cell>
          <cell r="AU124" t="str">
            <v/>
          </cell>
          <cell r="AV124" t="str">
            <v/>
          </cell>
        </row>
        <row r="125">
          <cell r="AC125" t="str">
            <v/>
          </cell>
          <cell r="AD125" t="str">
            <v/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 t="str">
            <v/>
          </cell>
          <cell r="AL125" t="str">
            <v/>
          </cell>
          <cell r="AM125" t="str">
            <v/>
          </cell>
          <cell r="AN125" t="str">
            <v/>
          </cell>
          <cell r="AO125" t="str">
            <v/>
          </cell>
          <cell r="AP125" t="str">
            <v/>
          </cell>
          <cell r="AQ125" t="str">
            <v/>
          </cell>
          <cell r="AR125" t="str">
            <v/>
          </cell>
          <cell r="AS125" t="str">
            <v/>
          </cell>
          <cell r="AT125" t="str">
            <v/>
          </cell>
          <cell r="AU125" t="str">
            <v/>
          </cell>
          <cell r="AV125" t="str">
            <v/>
          </cell>
        </row>
        <row r="126">
          <cell r="AC126" t="str">
            <v/>
          </cell>
          <cell r="AD126" t="str">
            <v/>
          </cell>
          <cell r="AE126" t="str">
            <v/>
          </cell>
          <cell r="AF126" t="str">
            <v/>
          </cell>
          <cell r="AG126" t="str">
            <v/>
          </cell>
          <cell r="AH126" t="str">
            <v/>
          </cell>
          <cell r="AI126" t="str">
            <v/>
          </cell>
          <cell r="AJ126" t="str">
            <v/>
          </cell>
          <cell r="AK126" t="str">
            <v/>
          </cell>
          <cell r="AL126" t="str">
            <v/>
          </cell>
          <cell r="AM126" t="str">
            <v/>
          </cell>
          <cell r="AN126" t="str">
            <v/>
          </cell>
          <cell r="AO126" t="str">
            <v/>
          </cell>
          <cell r="AP126" t="str">
            <v/>
          </cell>
          <cell r="AQ126" t="str">
            <v/>
          </cell>
          <cell r="AR126" t="str">
            <v/>
          </cell>
          <cell r="AS126" t="str">
            <v/>
          </cell>
          <cell r="AT126" t="str">
            <v/>
          </cell>
          <cell r="AU126" t="str">
            <v/>
          </cell>
          <cell r="AV126" t="str">
            <v/>
          </cell>
        </row>
        <row r="127">
          <cell r="AC127" t="str">
            <v/>
          </cell>
          <cell r="AD127" t="str">
            <v/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 t="str">
            <v/>
          </cell>
          <cell r="AL127" t="str">
            <v/>
          </cell>
          <cell r="AM127" t="str">
            <v/>
          </cell>
          <cell r="AN127" t="str">
            <v/>
          </cell>
          <cell r="AO127" t="str">
            <v/>
          </cell>
          <cell r="AP127" t="str">
            <v/>
          </cell>
          <cell r="AQ127" t="str">
            <v/>
          </cell>
          <cell r="AR127" t="str">
            <v/>
          </cell>
          <cell r="AS127" t="str">
            <v/>
          </cell>
          <cell r="AT127" t="str">
            <v/>
          </cell>
          <cell r="AU127" t="str">
            <v/>
          </cell>
          <cell r="AV127" t="str">
            <v/>
          </cell>
        </row>
        <row r="128">
          <cell r="AC128" t="str">
            <v/>
          </cell>
          <cell r="AD128" t="str">
            <v/>
          </cell>
          <cell r="AE128" t="str">
            <v/>
          </cell>
          <cell r="AF128" t="str">
            <v/>
          </cell>
          <cell r="AG128" t="str">
            <v/>
          </cell>
          <cell r="AH128" t="str">
            <v/>
          </cell>
          <cell r="AI128" t="str">
            <v/>
          </cell>
          <cell r="AJ128" t="str">
            <v/>
          </cell>
          <cell r="AK128" t="str">
            <v/>
          </cell>
          <cell r="AL128" t="str">
            <v/>
          </cell>
          <cell r="AM128" t="str">
            <v/>
          </cell>
          <cell r="AN128" t="str">
            <v/>
          </cell>
          <cell r="AO128" t="str">
            <v/>
          </cell>
          <cell r="AP128" t="str">
            <v/>
          </cell>
          <cell r="AQ128" t="str">
            <v/>
          </cell>
          <cell r="AR128" t="str">
            <v/>
          </cell>
          <cell r="AS128" t="str">
            <v/>
          </cell>
          <cell r="AT128" t="str">
            <v/>
          </cell>
          <cell r="AU128" t="str">
            <v/>
          </cell>
          <cell r="AV128" t="str">
            <v/>
          </cell>
        </row>
        <row r="129">
          <cell r="AC129" t="str">
            <v/>
          </cell>
          <cell r="AD129" t="str">
            <v/>
          </cell>
          <cell r="AE129" t="str">
            <v/>
          </cell>
          <cell r="AF129" t="str">
            <v/>
          </cell>
          <cell r="AG129" t="str">
            <v/>
          </cell>
          <cell r="AH129" t="str">
            <v/>
          </cell>
          <cell r="AI129" t="str">
            <v/>
          </cell>
          <cell r="AJ129" t="str">
            <v/>
          </cell>
          <cell r="AK129" t="str">
            <v/>
          </cell>
          <cell r="AL129" t="str">
            <v/>
          </cell>
          <cell r="AM129" t="str">
            <v/>
          </cell>
          <cell r="AN129" t="str">
            <v/>
          </cell>
          <cell r="AO129" t="str">
            <v/>
          </cell>
          <cell r="AP129" t="str">
            <v/>
          </cell>
          <cell r="AQ129" t="str">
            <v/>
          </cell>
          <cell r="AR129" t="str">
            <v/>
          </cell>
          <cell r="AS129" t="str">
            <v/>
          </cell>
          <cell r="AT129" t="str">
            <v/>
          </cell>
          <cell r="AU129" t="str">
            <v/>
          </cell>
          <cell r="AV129" t="str">
            <v/>
          </cell>
        </row>
        <row r="130">
          <cell r="AC130" t="str">
            <v/>
          </cell>
          <cell r="AD130" t="str">
            <v/>
          </cell>
          <cell r="AE130" t="str">
            <v/>
          </cell>
          <cell r="AF130" t="str">
            <v/>
          </cell>
          <cell r="AG130" t="str">
            <v/>
          </cell>
          <cell r="AH130" t="str">
            <v/>
          </cell>
          <cell r="AI130" t="str">
            <v/>
          </cell>
          <cell r="AJ130" t="str">
            <v/>
          </cell>
          <cell r="AK130" t="str">
            <v/>
          </cell>
          <cell r="AL130" t="str">
            <v/>
          </cell>
          <cell r="AM130" t="str">
            <v/>
          </cell>
          <cell r="AN130" t="str">
            <v/>
          </cell>
          <cell r="AO130" t="str">
            <v/>
          </cell>
          <cell r="AP130" t="str">
            <v/>
          </cell>
          <cell r="AQ130" t="str">
            <v/>
          </cell>
          <cell r="AR130" t="str">
            <v/>
          </cell>
          <cell r="AS130" t="str">
            <v/>
          </cell>
          <cell r="AT130" t="str">
            <v/>
          </cell>
          <cell r="AU130" t="str">
            <v/>
          </cell>
          <cell r="AV130" t="str">
            <v/>
          </cell>
        </row>
        <row r="131">
          <cell r="AC131" t="str">
            <v/>
          </cell>
          <cell r="AD131" t="str">
            <v/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 t="str">
            <v/>
          </cell>
          <cell r="AL131" t="str">
            <v/>
          </cell>
          <cell r="AM131" t="str">
            <v/>
          </cell>
          <cell r="AN131" t="str">
            <v/>
          </cell>
          <cell r="AO131" t="str">
            <v/>
          </cell>
          <cell r="AP131" t="str">
            <v/>
          </cell>
          <cell r="AQ131" t="str">
            <v/>
          </cell>
          <cell r="AR131" t="str">
            <v/>
          </cell>
          <cell r="AS131" t="str">
            <v/>
          </cell>
          <cell r="AT131" t="str">
            <v/>
          </cell>
          <cell r="AU131" t="str">
            <v/>
          </cell>
          <cell r="AV131" t="str">
            <v/>
          </cell>
        </row>
        <row r="132">
          <cell r="AC132" t="str">
            <v/>
          </cell>
          <cell r="AD132" t="str">
            <v/>
          </cell>
          <cell r="AE132" t="str">
            <v/>
          </cell>
          <cell r="AF132" t="str">
            <v/>
          </cell>
          <cell r="AG132" t="str">
            <v/>
          </cell>
          <cell r="AH132" t="str">
            <v/>
          </cell>
          <cell r="AI132" t="str">
            <v/>
          </cell>
          <cell r="AJ132" t="str">
            <v/>
          </cell>
          <cell r="AK132" t="str">
            <v/>
          </cell>
          <cell r="AL132" t="str">
            <v/>
          </cell>
          <cell r="AM132" t="str">
            <v/>
          </cell>
          <cell r="AN132" t="str">
            <v/>
          </cell>
          <cell r="AO132" t="str">
            <v/>
          </cell>
          <cell r="AP132" t="str">
            <v/>
          </cell>
          <cell r="AQ132" t="str">
            <v/>
          </cell>
          <cell r="AR132" t="str">
            <v/>
          </cell>
          <cell r="AS132" t="str">
            <v/>
          </cell>
          <cell r="AT132" t="str">
            <v/>
          </cell>
          <cell r="AU132" t="str">
            <v/>
          </cell>
          <cell r="AV132" t="str">
            <v/>
          </cell>
        </row>
        <row r="133">
          <cell r="AC133" t="str">
            <v/>
          </cell>
          <cell r="AD133" t="str">
            <v/>
          </cell>
          <cell r="AE133" t="str">
            <v/>
          </cell>
          <cell r="AF133" t="str">
            <v/>
          </cell>
          <cell r="AG133" t="str">
            <v/>
          </cell>
          <cell r="AH133" t="str">
            <v/>
          </cell>
          <cell r="AI133" t="str">
            <v/>
          </cell>
          <cell r="AJ133" t="str">
            <v/>
          </cell>
          <cell r="AK133" t="str">
            <v/>
          </cell>
          <cell r="AL133" t="str">
            <v/>
          </cell>
          <cell r="AM133" t="str">
            <v/>
          </cell>
          <cell r="AN133" t="str">
            <v/>
          </cell>
          <cell r="AO133" t="str">
            <v/>
          </cell>
          <cell r="AP133" t="str">
            <v/>
          </cell>
          <cell r="AQ133" t="str">
            <v/>
          </cell>
          <cell r="AR133" t="str">
            <v/>
          </cell>
          <cell r="AS133" t="str">
            <v/>
          </cell>
          <cell r="AT133" t="str">
            <v/>
          </cell>
          <cell r="AU133" t="str">
            <v/>
          </cell>
          <cell r="AV133" t="str">
            <v/>
          </cell>
        </row>
        <row r="134">
          <cell r="AC134" t="str">
            <v/>
          </cell>
          <cell r="AD134" t="str">
            <v/>
          </cell>
          <cell r="AE134" t="str">
            <v/>
          </cell>
          <cell r="AF134" t="str">
            <v/>
          </cell>
          <cell r="AG134" t="str">
            <v/>
          </cell>
          <cell r="AH134" t="str">
            <v/>
          </cell>
          <cell r="AI134" t="str">
            <v/>
          </cell>
          <cell r="AJ134" t="str">
            <v/>
          </cell>
          <cell r="AK134" t="str">
            <v/>
          </cell>
          <cell r="AL134" t="str">
            <v/>
          </cell>
          <cell r="AM134" t="str">
            <v/>
          </cell>
          <cell r="AN134" t="str">
            <v/>
          </cell>
          <cell r="AO134" t="str">
            <v/>
          </cell>
          <cell r="AP134" t="str">
            <v/>
          </cell>
          <cell r="AQ134" t="str">
            <v/>
          </cell>
          <cell r="AR134" t="str">
            <v/>
          </cell>
          <cell r="AS134" t="str">
            <v/>
          </cell>
          <cell r="AT134" t="str">
            <v/>
          </cell>
          <cell r="AU134" t="str">
            <v/>
          </cell>
          <cell r="AV134" t="str">
            <v/>
          </cell>
        </row>
        <row r="135">
          <cell r="AC135" t="str">
            <v/>
          </cell>
          <cell r="AD135" t="str">
            <v/>
          </cell>
          <cell r="AE135" t="str">
            <v/>
          </cell>
          <cell r="AF135" t="str">
            <v/>
          </cell>
          <cell r="AG135" t="str">
            <v/>
          </cell>
          <cell r="AH135" t="str">
            <v/>
          </cell>
          <cell r="AI135" t="str">
            <v/>
          </cell>
          <cell r="AJ135" t="str">
            <v/>
          </cell>
          <cell r="AK135" t="str">
            <v/>
          </cell>
          <cell r="AL135" t="str">
            <v/>
          </cell>
          <cell r="AM135" t="str">
            <v/>
          </cell>
          <cell r="AN135" t="str">
            <v/>
          </cell>
          <cell r="AO135" t="str">
            <v/>
          </cell>
          <cell r="AP135" t="str">
            <v/>
          </cell>
          <cell r="AQ135" t="str">
            <v/>
          </cell>
          <cell r="AR135" t="str">
            <v/>
          </cell>
          <cell r="AS135" t="str">
            <v/>
          </cell>
          <cell r="AT135" t="str">
            <v/>
          </cell>
          <cell r="AU135" t="str">
            <v/>
          </cell>
          <cell r="AV135" t="str">
            <v/>
          </cell>
        </row>
        <row r="136"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</row>
        <row r="137"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AT137" t="str">
            <v/>
          </cell>
          <cell r="AU137" t="str">
            <v/>
          </cell>
          <cell r="AV137" t="str">
            <v/>
          </cell>
        </row>
        <row r="138">
          <cell r="AC138" t="str">
            <v/>
          </cell>
          <cell r="AD138" t="str">
            <v/>
          </cell>
          <cell r="AE138" t="str">
            <v/>
          </cell>
          <cell r="AF138" t="str">
            <v/>
          </cell>
          <cell r="AG138" t="str">
            <v/>
          </cell>
          <cell r="AH138" t="str">
            <v/>
          </cell>
          <cell r="AI138" t="str">
            <v/>
          </cell>
          <cell r="AJ138" t="str">
            <v/>
          </cell>
          <cell r="AK138" t="str">
            <v/>
          </cell>
          <cell r="AL138" t="str">
            <v/>
          </cell>
          <cell r="AM138" t="str">
            <v/>
          </cell>
          <cell r="AN138" t="str">
            <v/>
          </cell>
          <cell r="AO138" t="str">
            <v/>
          </cell>
          <cell r="AP138" t="str">
            <v/>
          </cell>
          <cell r="AQ138" t="str">
            <v/>
          </cell>
          <cell r="AR138" t="str">
            <v/>
          </cell>
          <cell r="AS138" t="str">
            <v/>
          </cell>
          <cell r="AT138" t="str">
            <v/>
          </cell>
          <cell r="AU138" t="str">
            <v/>
          </cell>
          <cell r="AV138" t="str">
            <v/>
          </cell>
        </row>
        <row r="139">
          <cell r="AC139" t="str">
            <v/>
          </cell>
          <cell r="AD139" t="str">
            <v/>
          </cell>
          <cell r="AE139" t="str">
            <v/>
          </cell>
          <cell r="AF139" t="str">
            <v/>
          </cell>
          <cell r="AG139" t="str">
            <v/>
          </cell>
          <cell r="AH139" t="str">
            <v/>
          </cell>
          <cell r="AI139" t="str">
            <v/>
          </cell>
          <cell r="AJ139" t="str">
            <v/>
          </cell>
          <cell r="AK139" t="str">
            <v/>
          </cell>
          <cell r="AL139" t="str">
            <v/>
          </cell>
          <cell r="AM139" t="str">
            <v/>
          </cell>
          <cell r="AN139" t="str">
            <v/>
          </cell>
          <cell r="AO139" t="str">
            <v/>
          </cell>
          <cell r="AP139" t="str">
            <v/>
          </cell>
          <cell r="AQ139" t="str">
            <v/>
          </cell>
          <cell r="AR139" t="str">
            <v/>
          </cell>
          <cell r="AS139" t="str">
            <v/>
          </cell>
          <cell r="AT139" t="str">
            <v/>
          </cell>
          <cell r="AU139" t="str">
            <v/>
          </cell>
          <cell r="AV139" t="str">
            <v/>
          </cell>
        </row>
        <row r="140">
          <cell r="AC140" t="str">
            <v/>
          </cell>
          <cell r="AD140" t="str">
            <v/>
          </cell>
          <cell r="AE140" t="str">
            <v/>
          </cell>
          <cell r="AF140" t="str">
            <v/>
          </cell>
          <cell r="AG140" t="str">
            <v/>
          </cell>
          <cell r="AH140" t="str">
            <v/>
          </cell>
          <cell r="AI140" t="str">
            <v/>
          </cell>
          <cell r="AJ140" t="str">
            <v/>
          </cell>
          <cell r="AK140" t="str">
            <v/>
          </cell>
          <cell r="AL140" t="str">
            <v/>
          </cell>
          <cell r="AM140" t="str">
            <v/>
          </cell>
          <cell r="AN140" t="str">
            <v/>
          </cell>
          <cell r="AO140" t="str">
            <v/>
          </cell>
          <cell r="AP140" t="str">
            <v/>
          </cell>
          <cell r="AQ140" t="str">
            <v/>
          </cell>
          <cell r="AR140" t="str">
            <v/>
          </cell>
          <cell r="AS140" t="str">
            <v/>
          </cell>
          <cell r="AT140" t="str">
            <v/>
          </cell>
          <cell r="AU140" t="str">
            <v/>
          </cell>
          <cell r="AV140" t="str">
            <v/>
          </cell>
        </row>
        <row r="141">
          <cell r="AC141" t="str">
            <v/>
          </cell>
          <cell r="AD141" t="str">
            <v/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 t="str">
            <v/>
          </cell>
          <cell r="AL141" t="str">
            <v/>
          </cell>
          <cell r="AM141" t="str">
            <v/>
          </cell>
          <cell r="AN141" t="str">
            <v/>
          </cell>
          <cell r="AO141" t="str">
            <v/>
          </cell>
          <cell r="AP141" t="str">
            <v/>
          </cell>
          <cell r="AQ141" t="str">
            <v/>
          </cell>
          <cell r="AR141" t="str">
            <v/>
          </cell>
          <cell r="AS141" t="str">
            <v/>
          </cell>
          <cell r="AT141" t="str">
            <v/>
          </cell>
          <cell r="AU141" t="str">
            <v/>
          </cell>
          <cell r="AV141" t="str">
            <v/>
          </cell>
        </row>
        <row r="142">
          <cell r="AC142" t="str">
            <v/>
          </cell>
          <cell r="AD142" t="str">
            <v/>
          </cell>
          <cell r="AE142" t="str">
            <v/>
          </cell>
          <cell r="AF142" t="str">
            <v/>
          </cell>
          <cell r="AG142" t="str">
            <v/>
          </cell>
          <cell r="AH142" t="str">
            <v/>
          </cell>
          <cell r="AI142" t="str">
            <v/>
          </cell>
          <cell r="AJ142" t="str">
            <v/>
          </cell>
          <cell r="AK142" t="str">
            <v/>
          </cell>
          <cell r="AL142" t="str">
            <v/>
          </cell>
          <cell r="AM142" t="str">
            <v/>
          </cell>
          <cell r="AN142" t="str">
            <v/>
          </cell>
          <cell r="AO142" t="str">
            <v/>
          </cell>
          <cell r="AP142" t="str">
            <v/>
          </cell>
          <cell r="AQ142" t="str">
            <v/>
          </cell>
          <cell r="AR142" t="str">
            <v/>
          </cell>
          <cell r="AS142" t="str">
            <v/>
          </cell>
          <cell r="AT142" t="str">
            <v/>
          </cell>
          <cell r="AU142" t="str">
            <v/>
          </cell>
          <cell r="AV142" t="str">
            <v/>
          </cell>
        </row>
        <row r="143">
          <cell r="AC143" t="str">
            <v/>
          </cell>
          <cell r="AD143" t="str">
            <v/>
          </cell>
          <cell r="AE143" t="str">
            <v/>
          </cell>
          <cell r="AF143" t="str">
            <v/>
          </cell>
          <cell r="AG143" t="str">
            <v/>
          </cell>
          <cell r="AH143" t="str">
            <v/>
          </cell>
          <cell r="AI143" t="str">
            <v/>
          </cell>
          <cell r="AJ143" t="str">
            <v/>
          </cell>
          <cell r="AK143" t="str">
            <v/>
          </cell>
          <cell r="AL143" t="str">
            <v/>
          </cell>
          <cell r="AM143" t="str">
            <v/>
          </cell>
          <cell r="AN143" t="str">
            <v/>
          </cell>
          <cell r="AO143" t="str">
            <v/>
          </cell>
          <cell r="AP143" t="str">
            <v/>
          </cell>
          <cell r="AQ143" t="str">
            <v/>
          </cell>
          <cell r="AR143" t="str">
            <v/>
          </cell>
          <cell r="AS143" t="str">
            <v/>
          </cell>
          <cell r="AT143" t="str">
            <v/>
          </cell>
          <cell r="AU143" t="str">
            <v/>
          </cell>
          <cell r="AV143" t="str">
            <v/>
          </cell>
        </row>
        <row r="144">
          <cell r="AC144" t="str">
            <v/>
          </cell>
          <cell r="AD144" t="str">
            <v/>
          </cell>
          <cell r="AE144" t="str">
            <v/>
          </cell>
          <cell r="AF144" t="str">
            <v/>
          </cell>
          <cell r="AG144" t="str">
            <v/>
          </cell>
          <cell r="AH144" t="str">
            <v/>
          </cell>
          <cell r="AI144" t="str">
            <v/>
          </cell>
          <cell r="AJ144" t="str">
            <v/>
          </cell>
          <cell r="AK144" t="str">
            <v/>
          </cell>
          <cell r="AL144" t="str">
            <v/>
          </cell>
          <cell r="AM144" t="str">
            <v/>
          </cell>
          <cell r="AN144" t="str">
            <v/>
          </cell>
          <cell r="AO144" t="str">
            <v/>
          </cell>
          <cell r="AP144" t="str">
            <v/>
          </cell>
          <cell r="AQ144" t="str">
            <v/>
          </cell>
          <cell r="AR144" t="str">
            <v/>
          </cell>
          <cell r="AS144" t="str">
            <v/>
          </cell>
          <cell r="AT144" t="str">
            <v/>
          </cell>
          <cell r="AU144" t="str">
            <v/>
          </cell>
          <cell r="AV144" t="str">
            <v/>
          </cell>
        </row>
        <row r="145">
          <cell r="AC145" t="str">
            <v/>
          </cell>
          <cell r="AD145" t="str">
            <v/>
          </cell>
          <cell r="AE145" t="str">
            <v/>
          </cell>
          <cell r="AF145" t="str">
            <v/>
          </cell>
          <cell r="AG145" t="str">
            <v/>
          </cell>
          <cell r="AH145" t="str">
            <v/>
          </cell>
          <cell r="AI145" t="str">
            <v/>
          </cell>
          <cell r="AJ145" t="str">
            <v/>
          </cell>
          <cell r="AK145" t="str">
            <v/>
          </cell>
          <cell r="AL145" t="str">
            <v/>
          </cell>
          <cell r="AM145" t="str">
            <v/>
          </cell>
          <cell r="AN145" t="str">
            <v/>
          </cell>
          <cell r="AO145" t="str">
            <v/>
          </cell>
          <cell r="AP145" t="str">
            <v/>
          </cell>
          <cell r="AQ145" t="str">
            <v/>
          </cell>
          <cell r="AR145" t="str">
            <v/>
          </cell>
          <cell r="AS145" t="str">
            <v/>
          </cell>
          <cell r="AT145" t="str">
            <v/>
          </cell>
          <cell r="AU145" t="str">
            <v/>
          </cell>
          <cell r="AV145" t="str">
            <v/>
          </cell>
        </row>
        <row r="146">
          <cell r="AC146" t="str">
            <v/>
          </cell>
          <cell r="AD146" t="str">
            <v/>
          </cell>
          <cell r="AE146" t="str">
            <v/>
          </cell>
          <cell r="AF146" t="str">
            <v/>
          </cell>
          <cell r="AG146" t="str">
            <v/>
          </cell>
          <cell r="AH146" t="str">
            <v/>
          </cell>
          <cell r="AI146" t="str">
            <v/>
          </cell>
          <cell r="AJ146" t="str">
            <v/>
          </cell>
          <cell r="AK146" t="str">
            <v/>
          </cell>
          <cell r="AL146" t="str">
            <v/>
          </cell>
          <cell r="AM146" t="str">
            <v/>
          </cell>
          <cell r="AN146" t="str">
            <v/>
          </cell>
          <cell r="AO146" t="str">
            <v/>
          </cell>
          <cell r="AP146" t="str">
            <v/>
          </cell>
          <cell r="AQ146" t="str">
            <v/>
          </cell>
          <cell r="AR146" t="str">
            <v/>
          </cell>
          <cell r="AS146" t="str">
            <v/>
          </cell>
          <cell r="AT146" t="str">
            <v/>
          </cell>
          <cell r="AU146" t="str">
            <v/>
          </cell>
          <cell r="AV146" t="str">
            <v/>
          </cell>
        </row>
        <row r="147">
          <cell r="AC147" t="str">
            <v/>
          </cell>
          <cell r="AD147" t="str">
            <v/>
          </cell>
          <cell r="AE147" t="str">
            <v/>
          </cell>
          <cell r="AF147" t="str">
            <v/>
          </cell>
          <cell r="AG147" t="str">
            <v/>
          </cell>
          <cell r="AH147" t="str">
            <v/>
          </cell>
          <cell r="AI147" t="str">
            <v/>
          </cell>
          <cell r="AJ147" t="str">
            <v/>
          </cell>
          <cell r="AK147" t="str">
            <v/>
          </cell>
          <cell r="AL147" t="str">
            <v/>
          </cell>
          <cell r="AM147" t="str">
            <v/>
          </cell>
          <cell r="AN147" t="str">
            <v/>
          </cell>
          <cell r="AO147" t="str">
            <v/>
          </cell>
          <cell r="AP147" t="str">
            <v/>
          </cell>
          <cell r="AQ147" t="str">
            <v/>
          </cell>
          <cell r="AR147" t="str">
            <v/>
          </cell>
          <cell r="AS147" t="str">
            <v/>
          </cell>
          <cell r="AT147" t="str">
            <v/>
          </cell>
          <cell r="AU147" t="str">
            <v/>
          </cell>
          <cell r="AV147" t="str">
            <v/>
          </cell>
        </row>
        <row r="148">
          <cell r="AC148" t="str">
            <v/>
          </cell>
          <cell r="AD148" t="str">
            <v/>
          </cell>
          <cell r="AE148" t="str">
            <v/>
          </cell>
          <cell r="AF148" t="str">
            <v/>
          </cell>
          <cell r="AG148" t="str">
            <v/>
          </cell>
          <cell r="AH148" t="str">
            <v/>
          </cell>
          <cell r="AI148" t="str">
            <v/>
          </cell>
          <cell r="AJ148" t="str">
            <v/>
          </cell>
          <cell r="AK148" t="str">
            <v/>
          </cell>
          <cell r="AL148" t="str">
            <v/>
          </cell>
          <cell r="AM148" t="str">
            <v/>
          </cell>
          <cell r="AN148" t="str">
            <v/>
          </cell>
          <cell r="AO148" t="str">
            <v/>
          </cell>
          <cell r="AP148" t="str">
            <v/>
          </cell>
          <cell r="AQ148" t="str">
            <v/>
          </cell>
          <cell r="AR148" t="str">
            <v/>
          </cell>
          <cell r="AS148" t="str">
            <v/>
          </cell>
          <cell r="AT148" t="str">
            <v/>
          </cell>
          <cell r="AU148" t="str">
            <v/>
          </cell>
          <cell r="AV148" t="str">
            <v/>
          </cell>
        </row>
        <row r="149">
          <cell r="AC149" t="str">
            <v/>
          </cell>
          <cell r="AD149" t="str">
            <v/>
          </cell>
          <cell r="AE149" t="str">
            <v/>
          </cell>
          <cell r="AF149" t="str">
            <v/>
          </cell>
          <cell r="AG149" t="str">
            <v/>
          </cell>
          <cell r="AH149" t="str">
            <v/>
          </cell>
          <cell r="AI149" t="str">
            <v/>
          </cell>
          <cell r="AJ149" t="str">
            <v/>
          </cell>
          <cell r="AK149" t="str">
            <v/>
          </cell>
          <cell r="AL149" t="str">
            <v/>
          </cell>
          <cell r="AM149" t="str">
            <v/>
          </cell>
          <cell r="AN149" t="str">
            <v/>
          </cell>
          <cell r="AO149" t="str">
            <v/>
          </cell>
          <cell r="AP149" t="str">
            <v/>
          </cell>
          <cell r="AQ149" t="str">
            <v/>
          </cell>
          <cell r="AR149" t="str">
            <v/>
          </cell>
          <cell r="AS149" t="str">
            <v/>
          </cell>
          <cell r="AT149" t="str">
            <v/>
          </cell>
          <cell r="AU149" t="str">
            <v/>
          </cell>
          <cell r="AV149" t="str">
            <v/>
          </cell>
        </row>
        <row r="150">
          <cell r="AC150" t="str">
            <v/>
          </cell>
          <cell r="AD150" t="str">
            <v/>
          </cell>
          <cell r="AE150" t="str">
            <v/>
          </cell>
          <cell r="AF150" t="str">
            <v/>
          </cell>
          <cell r="AG150" t="str">
            <v/>
          </cell>
          <cell r="AH150" t="str">
            <v/>
          </cell>
          <cell r="AI150" t="str">
            <v/>
          </cell>
          <cell r="AJ150" t="str">
            <v/>
          </cell>
          <cell r="AK150" t="str">
            <v/>
          </cell>
          <cell r="AL150" t="str">
            <v/>
          </cell>
          <cell r="AM150" t="str">
            <v/>
          </cell>
          <cell r="AN150" t="str">
            <v/>
          </cell>
          <cell r="AO150" t="str">
            <v/>
          </cell>
          <cell r="AP150" t="str">
            <v/>
          </cell>
          <cell r="AQ150" t="str">
            <v/>
          </cell>
          <cell r="AR150" t="str">
            <v/>
          </cell>
          <cell r="AS150" t="str">
            <v/>
          </cell>
          <cell r="AT150" t="str">
            <v/>
          </cell>
          <cell r="AU150" t="str">
            <v/>
          </cell>
          <cell r="AV150" t="str">
            <v/>
          </cell>
        </row>
        <row r="151">
          <cell r="AC151" t="str">
            <v/>
          </cell>
          <cell r="AD151" t="str">
            <v/>
          </cell>
          <cell r="AE151" t="str">
            <v/>
          </cell>
          <cell r="AF151" t="str">
            <v/>
          </cell>
          <cell r="AG151" t="str">
            <v/>
          </cell>
          <cell r="AH151" t="str">
            <v/>
          </cell>
          <cell r="AI151" t="str">
            <v/>
          </cell>
          <cell r="AJ151" t="str">
            <v/>
          </cell>
          <cell r="AK151" t="str">
            <v/>
          </cell>
          <cell r="AL151" t="str">
            <v/>
          </cell>
          <cell r="AM151" t="str">
            <v/>
          </cell>
          <cell r="AN151" t="str">
            <v/>
          </cell>
          <cell r="AO151" t="str">
            <v/>
          </cell>
          <cell r="AP151" t="str">
            <v/>
          </cell>
          <cell r="AQ151" t="str">
            <v/>
          </cell>
          <cell r="AR151" t="str">
            <v/>
          </cell>
          <cell r="AS151" t="str">
            <v/>
          </cell>
          <cell r="AT151" t="str">
            <v/>
          </cell>
          <cell r="AU151" t="str">
            <v/>
          </cell>
          <cell r="AV151" t="str">
            <v/>
          </cell>
        </row>
        <row r="152">
          <cell r="AC152" t="str">
            <v/>
          </cell>
          <cell r="AD152" t="str">
            <v/>
          </cell>
          <cell r="AE152" t="str">
            <v/>
          </cell>
          <cell r="AF152" t="str">
            <v/>
          </cell>
          <cell r="AG152" t="str">
            <v/>
          </cell>
          <cell r="AH152" t="str">
            <v/>
          </cell>
          <cell r="AI152" t="str">
            <v/>
          </cell>
          <cell r="AJ152" t="str">
            <v/>
          </cell>
          <cell r="AK152" t="str">
            <v/>
          </cell>
          <cell r="AL152" t="str">
            <v/>
          </cell>
          <cell r="AM152" t="str">
            <v/>
          </cell>
          <cell r="AN152" t="str">
            <v/>
          </cell>
          <cell r="AO152" t="str">
            <v/>
          </cell>
          <cell r="AP152" t="str">
            <v/>
          </cell>
          <cell r="AQ152" t="str">
            <v/>
          </cell>
          <cell r="AR152" t="str">
            <v/>
          </cell>
          <cell r="AS152" t="str">
            <v/>
          </cell>
          <cell r="AT152" t="str">
            <v/>
          </cell>
          <cell r="AU152" t="str">
            <v/>
          </cell>
          <cell r="AV152" t="str">
            <v/>
          </cell>
        </row>
        <row r="153">
          <cell r="AC153" t="str">
            <v/>
          </cell>
          <cell r="AD153" t="str">
            <v/>
          </cell>
          <cell r="AE153" t="str">
            <v/>
          </cell>
          <cell r="AF153" t="str">
            <v/>
          </cell>
          <cell r="AG153" t="str">
            <v/>
          </cell>
          <cell r="AH153" t="str">
            <v/>
          </cell>
          <cell r="AI153" t="str">
            <v/>
          </cell>
          <cell r="AJ153" t="str">
            <v/>
          </cell>
          <cell r="AK153" t="str">
            <v/>
          </cell>
          <cell r="AL153" t="str">
            <v/>
          </cell>
          <cell r="AM153" t="str">
            <v/>
          </cell>
          <cell r="AN153" t="str">
            <v/>
          </cell>
          <cell r="AO153" t="str">
            <v/>
          </cell>
          <cell r="AP153" t="str">
            <v/>
          </cell>
          <cell r="AQ153" t="str">
            <v/>
          </cell>
          <cell r="AR153" t="str">
            <v/>
          </cell>
          <cell r="AS153" t="str">
            <v/>
          </cell>
          <cell r="AT153" t="str">
            <v/>
          </cell>
          <cell r="AU153" t="str">
            <v/>
          </cell>
          <cell r="AV153" t="str">
            <v/>
          </cell>
        </row>
        <row r="154">
          <cell r="AC154" t="str">
            <v/>
          </cell>
          <cell r="AD154" t="str">
            <v/>
          </cell>
          <cell r="AE154" t="str">
            <v/>
          </cell>
          <cell r="AF154" t="str">
            <v/>
          </cell>
          <cell r="AG154" t="str">
            <v/>
          </cell>
          <cell r="AH154" t="str">
            <v/>
          </cell>
          <cell r="AI154" t="str">
            <v/>
          </cell>
          <cell r="AJ154" t="str">
            <v/>
          </cell>
          <cell r="AK154" t="str">
            <v/>
          </cell>
          <cell r="AL154" t="str">
            <v/>
          </cell>
          <cell r="AM154" t="str">
            <v/>
          </cell>
          <cell r="AN154" t="str">
            <v/>
          </cell>
          <cell r="AO154" t="str">
            <v/>
          </cell>
          <cell r="AP154" t="str">
            <v/>
          </cell>
          <cell r="AQ154" t="str">
            <v/>
          </cell>
          <cell r="AR154" t="str">
            <v/>
          </cell>
          <cell r="AS154" t="str">
            <v/>
          </cell>
          <cell r="AT154" t="str">
            <v/>
          </cell>
          <cell r="AU154" t="str">
            <v/>
          </cell>
          <cell r="AV154" t="str">
            <v/>
          </cell>
        </row>
        <row r="155">
          <cell r="AC155" t="str">
            <v/>
          </cell>
          <cell r="AD155" t="str">
            <v/>
          </cell>
          <cell r="AE155" t="str">
            <v/>
          </cell>
          <cell r="AF155" t="str">
            <v/>
          </cell>
          <cell r="AG155" t="str">
            <v/>
          </cell>
          <cell r="AH155" t="str">
            <v/>
          </cell>
          <cell r="AI155" t="str">
            <v/>
          </cell>
          <cell r="AJ155" t="str">
            <v/>
          </cell>
          <cell r="AK155" t="str">
            <v/>
          </cell>
          <cell r="AL155" t="str">
            <v/>
          </cell>
          <cell r="AM155" t="str">
            <v/>
          </cell>
          <cell r="AN155" t="str">
            <v/>
          </cell>
          <cell r="AO155" t="str">
            <v/>
          </cell>
          <cell r="AP155" t="str">
            <v/>
          </cell>
          <cell r="AQ155" t="str">
            <v/>
          </cell>
          <cell r="AR155" t="str">
            <v/>
          </cell>
          <cell r="AS155" t="str">
            <v/>
          </cell>
          <cell r="AT155" t="str">
            <v/>
          </cell>
          <cell r="AU155" t="str">
            <v/>
          </cell>
          <cell r="AV155" t="str">
            <v/>
          </cell>
        </row>
        <row r="156">
          <cell r="AC156" t="str">
            <v/>
          </cell>
          <cell r="AD156" t="str">
            <v/>
          </cell>
          <cell r="AE156" t="str">
            <v/>
          </cell>
          <cell r="AF156" t="str">
            <v/>
          </cell>
          <cell r="AG156" t="str">
            <v/>
          </cell>
          <cell r="AH156" t="str">
            <v/>
          </cell>
          <cell r="AI156" t="str">
            <v/>
          </cell>
          <cell r="AJ156" t="str">
            <v/>
          </cell>
          <cell r="AK156" t="str">
            <v/>
          </cell>
          <cell r="AL156" t="str">
            <v/>
          </cell>
          <cell r="AM156" t="str">
            <v/>
          </cell>
          <cell r="AN156" t="str">
            <v/>
          </cell>
          <cell r="AO156" t="str">
            <v/>
          </cell>
          <cell r="AP156" t="str">
            <v/>
          </cell>
          <cell r="AQ156" t="str">
            <v/>
          </cell>
          <cell r="AR156" t="str">
            <v/>
          </cell>
          <cell r="AS156" t="str">
            <v/>
          </cell>
          <cell r="AT156" t="str">
            <v/>
          </cell>
          <cell r="AU156" t="str">
            <v/>
          </cell>
          <cell r="AV156" t="str">
            <v/>
          </cell>
        </row>
        <row r="157">
          <cell r="AC157" t="str">
            <v/>
          </cell>
          <cell r="AD157" t="str">
            <v/>
          </cell>
          <cell r="AE157" t="str">
            <v/>
          </cell>
          <cell r="AF157" t="str">
            <v/>
          </cell>
          <cell r="AG157" t="str">
            <v/>
          </cell>
          <cell r="AH157" t="str">
            <v/>
          </cell>
          <cell r="AI157" t="str">
            <v/>
          </cell>
          <cell r="AJ157" t="str">
            <v/>
          </cell>
          <cell r="AK157" t="str">
            <v/>
          </cell>
          <cell r="AL157" t="str">
            <v/>
          </cell>
          <cell r="AM157" t="str">
            <v/>
          </cell>
          <cell r="AN157" t="str">
            <v/>
          </cell>
          <cell r="AO157" t="str">
            <v/>
          </cell>
          <cell r="AP157" t="str">
            <v/>
          </cell>
          <cell r="AQ157" t="str">
            <v/>
          </cell>
          <cell r="AR157" t="str">
            <v/>
          </cell>
          <cell r="AS157" t="str">
            <v/>
          </cell>
          <cell r="AT157" t="str">
            <v/>
          </cell>
          <cell r="AU157" t="str">
            <v/>
          </cell>
          <cell r="AV157" t="str">
            <v/>
          </cell>
        </row>
        <row r="158">
          <cell r="AC158" t="str">
            <v/>
          </cell>
          <cell r="AD158" t="str">
            <v/>
          </cell>
          <cell r="AE158" t="str">
            <v/>
          </cell>
          <cell r="AF158" t="str">
            <v/>
          </cell>
          <cell r="AG158" t="str">
            <v/>
          </cell>
          <cell r="AH158" t="str">
            <v/>
          </cell>
          <cell r="AI158" t="str">
            <v/>
          </cell>
          <cell r="AJ158" t="str">
            <v/>
          </cell>
          <cell r="AK158" t="str">
            <v/>
          </cell>
          <cell r="AL158" t="str">
            <v/>
          </cell>
          <cell r="AM158" t="str">
            <v/>
          </cell>
          <cell r="AN158" t="str">
            <v/>
          </cell>
          <cell r="AO158" t="str">
            <v/>
          </cell>
          <cell r="AP158" t="str">
            <v/>
          </cell>
          <cell r="AQ158" t="str">
            <v/>
          </cell>
          <cell r="AR158" t="str">
            <v/>
          </cell>
          <cell r="AS158" t="str">
            <v/>
          </cell>
          <cell r="AT158" t="str">
            <v/>
          </cell>
          <cell r="AU158" t="str">
            <v/>
          </cell>
          <cell r="AV158" t="str">
            <v/>
          </cell>
        </row>
        <row r="159">
          <cell r="AC159" t="str">
            <v/>
          </cell>
          <cell r="AD159" t="str">
            <v/>
          </cell>
          <cell r="AE159" t="str">
            <v/>
          </cell>
          <cell r="AF159" t="str">
            <v/>
          </cell>
          <cell r="AG159" t="str">
            <v/>
          </cell>
          <cell r="AH159" t="str">
            <v/>
          </cell>
          <cell r="AI159" t="str">
            <v/>
          </cell>
          <cell r="AJ159" t="str">
            <v/>
          </cell>
          <cell r="AK159" t="str">
            <v/>
          </cell>
          <cell r="AL159" t="str">
            <v/>
          </cell>
          <cell r="AM159" t="str">
            <v/>
          </cell>
          <cell r="AN159" t="str">
            <v/>
          </cell>
          <cell r="AO159" t="str">
            <v/>
          </cell>
          <cell r="AP159" t="str">
            <v/>
          </cell>
          <cell r="AQ159" t="str">
            <v/>
          </cell>
          <cell r="AR159" t="str">
            <v/>
          </cell>
          <cell r="AS159" t="str">
            <v/>
          </cell>
          <cell r="AT159" t="str">
            <v/>
          </cell>
          <cell r="AU159" t="str">
            <v/>
          </cell>
          <cell r="AV159" t="str">
            <v/>
          </cell>
        </row>
        <row r="160">
          <cell r="AC160" t="str">
            <v/>
          </cell>
          <cell r="AD160" t="str">
            <v/>
          </cell>
          <cell r="AE160" t="str">
            <v/>
          </cell>
          <cell r="AF160" t="str">
            <v/>
          </cell>
          <cell r="AG160" t="str">
            <v/>
          </cell>
          <cell r="AH160" t="str">
            <v/>
          </cell>
          <cell r="AI160" t="str">
            <v/>
          </cell>
          <cell r="AJ160" t="str">
            <v/>
          </cell>
          <cell r="AK160" t="str">
            <v/>
          </cell>
          <cell r="AL160" t="str">
            <v/>
          </cell>
          <cell r="AM160" t="str">
            <v/>
          </cell>
          <cell r="AN160" t="str">
            <v/>
          </cell>
          <cell r="AO160" t="str">
            <v/>
          </cell>
          <cell r="AP160" t="str">
            <v/>
          </cell>
          <cell r="AQ160" t="str">
            <v/>
          </cell>
          <cell r="AR160" t="str">
            <v/>
          </cell>
          <cell r="AS160" t="str">
            <v/>
          </cell>
          <cell r="AT160" t="str">
            <v/>
          </cell>
          <cell r="AU160" t="str">
            <v/>
          </cell>
          <cell r="AV160" t="str">
            <v/>
          </cell>
        </row>
        <row r="161">
          <cell r="AC161" t="str">
            <v/>
          </cell>
          <cell r="AD161" t="str">
            <v/>
          </cell>
          <cell r="AE161" t="str">
            <v/>
          </cell>
          <cell r="AF161" t="str">
            <v/>
          </cell>
          <cell r="AG161" t="str">
            <v/>
          </cell>
          <cell r="AH161" t="str">
            <v/>
          </cell>
          <cell r="AI161" t="str">
            <v/>
          </cell>
          <cell r="AJ161" t="str">
            <v/>
          </cell>
          <cell r="AK161" t="str">
            <v/>
          </cell>
          <cell r="AL161" t="str">
            <v/>
          </cell>
          <cell r="AM161" t="str">
            <v/>
          </cell>
          <cell r="AN161" t="str">
            <v/>
          </cell>
          <cell r="AO161" t="str">
            <v/>
          </cell>
          <cell r="AP161" t="str">
            <v/>
          </cell>
          <cell r="AQ161" t="str">
            <v/>
          </cell>
          <cell r="AR161" t="str">
            <v/>
          </cell>
          <cell r="AS161" t="str">
            <v/>
          </cell>
          <cell r="AT161" t="str">
            <v/>
          </cell>
          <cell r="AU161" t="str">
            <v/>
          </cell>
          <cell r="AV161" t="str">
            <v/>
          </cell>
        </row>
        <row r="162">
          <cell r="AC162" t="str">
            <v/>
          </cell>
          <cell r="AD162" t="str">
            <v/>
          </cell>
          <cell r="AE162" t="str">
            <v/>
          </cell>
          <cell r="AF162" t="str">
            <v/>
          </cell>
          <cell r="AG162" t="str">
            <v/>
          </cell>
          <cell r="AH162" t="str">
            <v/>
          </cell>
          <cell r="AI162" t="str">
            <v/>
          </cell>
          <cell r="AJ162" t="str">
            <v/>
          </cell>
          <cell r="AK162" t="str">
            <v/>
          </cell>
          <cell r="AL162" t="str">
            <v/>
          </cell>
          <cell r="AM162" t="str">
            <v/>
          </cell>
          <cell r="AN162" t="str">
            <v/>
          </cell>
          <cell r="AO162" t="str">
            <v/>
          </cell>
          <cell r="AP162" t="str">
            <v/>
          </cell>
          <cell r="AQ162" t="str">
            <v/>
          </cell>
          <cell r="AR162" t="str">
            <v/>
          </cell>
          <cell r="AS162" t="str">
            <v/>
          </cell>
          <cell r="AT162" t="str">
            <v/>
          </cell>
          <cell r="AU162" t="str">
            <v/>
          </cell>
          <cell r="AV162" t="str">
            <v/>
          </cell>
        </row>
        <row r="163">
          <cell r="AC163" t="str">
            <v/>
          </cell>
          <cell r="AD163" t="str">
            <v/>
          </cell>
          <cell r="AE163" t="str">
            <v/>
          </cell>
          <cell r="AF163" t="str">
            <v/>
          </cell>
          <cell r="AG163" t="str">
            <v/>
          </cell>
          <cell r="AH163" t="str">
            <v/>
          </cell>
          <cell r="AI163" t="str">
            <v/>
          </cell>
          <cell r="AJ163" t="str">
            <v/>
          </cell>
          <cell r="AK163" t="str">
            <v/>
          </cell>
          <cell r="AL163" t="str">
            <v/>
          </cell>
          <cell r="AM163" t="str">
            <v/>
          </cell>
          <cell r="AN163" t="str">
            <v/>
          </cell>
          <cell r="AO163" t="str">
            <v/>
          </cell>
          <cell r="AP163" t="str">
            <v/>
          </cell>
          <cell r="AQ163" t="str">
            <v/>
          </cell>
          <cell r="AR163" t="str">
            <v/>
          </cell>
          <cell r="AS163" t="str">
            <v/>
          </cell>
          <cell r="AT163" t="str">
            <v/>
          </cell>
          <cell r="AU163" t="str">
            <v/>
          </cell>
          <cell r="AV163" t="str">
            <v/>
          </cell>
        </row>
        <row r="164">
          <cell r="AC164" t="str">
            <v/>
          </cell>
          <cell r="AD164" t="str">
            <v/>
          </cell>
          <cell r="AE164" t="str">
            <v/>
          </cell>
          <cell r="AF164" t="str">
            <v/>
          </cell>
          <cell r="AG164" t="str">
            <v/>
          </cell>
          <cell r="AH164" t="str">
            <v/>
          </cell>
          <cell r="AI164" t="str">
            <v/>
          </cell>
          <cell r="AJ164" t="str">
            <v/>
          </cell>
          <cell r="AK164" t="str">
            <v/>
          </cell>
          <cell r="AL164" t="str">
            <v/>
          </cell>
          <cell r="AM164" t="str">
            <v/>
          </cell>
          <cell r="AN164" t="str">
            <v/>
          </cell>
          <cell r="AO164" t="str">
            <v/>
          </cell>
          <cell r="AP164" t="str">
            <v/>
          </cell>
          <cell r="AQ164" t="str">
            <v/>
          </cell>
          <cell r="AR164" t="str">
            <v/>
          </cell>
          <cell r="AS164" t="str">
            <v/>
          </cell>
          <cell r="AT164" t="str">
            <v/>
          </cell>
          <cell r="AU164" t="str">
            <v/>
          </cell>
          <cell r="AV164" t="str">
            <v/>
          </cell>
        </row>
        <row r="165"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</row>
        <row r="166"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</row>
        <row r="167">
          <cell r="AC167" t="str">
            <v/>
          </cell>
          <cell r="AD167" t="str">
            <v/>
          </cell>
          <cell r="AE167" t="str">
            <v/>
          </cell>
          <cell r="AF167" t="str">
            <v/>
          </cell>
          <cell r="AG167" t="str">
            <v/>
          </cell>
          <cell r="AH167" t="str">
            <v/>
          </cell>
          <cell r="AI167" t="str">
            <v/>
          </cell>
          <cell r="AJ167" t="str">
            <v/>
          </cell>
          <cell r="AK167" t="str">
            <v/>
          </cell>
          <cell r="AL167" t="str">
            <v/>
          </cell>
          <cell r="AM167" t="str">
            <v/>
          </cell>
          <cell r="AN167" t="str">
            <v/>
          </cell>
          <cell r="AO167" t="str">
            <v/>
          </cell>
          <cell r="AP167" t="str">
            <v/>
          </cell>
          <cell r="AQ167" t="str">
            <v/>
          </cell>
          <cell r="AR167" t="str">
            <v/>
          </cell>
          <cell r="AS167" t="str">
            <v/>
          </cell>
          <cell r="AT167" t="str">
            <v/>
          </cell>
          <cell r="AU167" t="str">
            <v/>
          </cell>
          <cell r="AV167" t="str">
            <v/>
          </cell>
        </row>
        <row r="168">
          <cell r="AC168" t="str">
            <v/>
          </cell>
          <cell r="AD168" t="str">
            <v/>
          </cell>
          <cell r="AE168" t="str">
            <v/>
          </cell>
          <cell r="AF168" t="str">
            <v/>
          </cell>
          <cell r="AG168" t="str">
            <v/>
          </cell>
          <cell r="AH168" t="str">
            <v/>
          </cell>
          <cell r="AI168" t="str">
            <v/>
          </cell>
          <cell r="AJ168" t="str">
            <v/>
          </cell>
          <cell r="AK168" t="str">
            <v/>
          </cell>
          <cell r="AL168" t="str">
            <v/>
          </cell>
          <cell r="AM168" t="str">
            <v/>
          </cell>
          <cell r="AN168" t="str">
            <v/>
          </cell>
          <cell r="AO168" t="str">
            <v/>
          </cell>
          <cell r="AP168" t="str">
            <v/>
          </cell>
          <cell r="AQ168" t="str">
            <v/>
          </cell>
          <cell r="AR168" t="str">
            <v/>
          </cell>
          <cell r="AS168" t="str">
            <v/>
          </cell>
          <cell r="AT168" t="str">
            <v/>
          </cell>
          <cell r="AU168" t="str">
            <v/>
          </cell>
          <cell r="AV168" t="str">
            <v/>
          </cell>
        </row>
        <row r="169">
          <cell r="AC169" t="str">
            <v/>
          </cell>
          <cell r="AD169" t="str">
            <v/>
          </cell>
          <cell r="AE169" t="str">
            <v/>
          </cell>
          <cell r="AF169" t="str">
            <v/>
          </cell>
          <cell r="AG169" t="str">
            <v/>
          </cell>
          <cell r="AH169" t="str">
            <v/>
          </cell>
          <cell r="AI169" t="str">
            <v/>
          </cell>
          <cell r="AJ169" t="str">
            <v/>
          </cell>
          <cell r="AK169" t="str">
            <v/>
          </cell>
          <cell r="AL169" t="str">
            <v/>
          </cell>
          <cell r="AM169" t="str">
            <v/>
          </cell>
          <cell r="AN169" t="str">
            <v/>
          </cell>
          <cell r="AO169" t="str">
            <v/>
          </cell>
          <cell r="AP169" t="str">
            <v/>
          </cell>
          <cell r="AQ169" t="str">
            <v/>
          </cell>
          <cell r="AR169" t="str">
            <v/>
          </cell>
          <cell r="AS169" t="str">
            <v/>
          </cell>
          <cell r="AT169" t="str">
            <v/>
          </cell>
          <cell r="AU169" t="str">
            <v/>
          </cell>
          <cell r="AV169" t="str">
            <v/>
          </cell>
        </row>
        <row r="170">
          <cell r="I170">
            <v>0</v>
          </cell>
          <cell r="J170">
            <v>0</v>
          </cell>
        </row>
      </sheetData>
      <sheetData sheetId="3">
        <row r="2">
          <cell r="A2" t="str">
            <v>挥砍</v>
          </cell>
          <cell r="B2" t="str">
            <v>挥砍=单体近战</v>
          </cell>
          <cell r="C2" t="str">
            <v>4|0.2</v>
          </cell>
          <cell r="D2">
            <v>1</v>
          </cell>
          <cell r="E2">
            <v>0</v>
          </cell>
          <cell r="F2" t="str">
            <v>手填</v>
          </cell>
          <cell r="G2">
            <v>1</v>
          </cell>
        </row>
        <row r="3">
          <cell r="A3" t="str">
            <v>子弹</v>
          </cell>
          <cell r="B3" t="str">
            <v>子弹=单体远程</v>
          </cell>
          <cell r="C3" t="str">
            <v>4|0.2</v>
          </cell>
          <cell r="D3">
            <v>1</v>
          </cell>
          <cell r="E3">
            <v>1</v>
          </cell>
          <cell r="F3">
            <v>-2</v>
          </cell>
          <cell r="G3">
            <v>2</v>
          </cell>
        </row>
        <row r="4">
          <cell r="A4" t="str">
            <v>飞行</v>
          </cell>
          <cell r="B4" t="str">
            <v>飞行3</v>
          </cell>
          <cell r="C4" t="str">
            <v>1|1|</v>
          </cell>
          <cell r="D4">
            <v>10</v>
          </cell>
          <cell r="E4">
            <v>0</v>
          </cell>
          <cell r="F4">
            <v>-4</v>
          </cell>
          <cell r="G4" t="str">
            <v>4|1</v>
          </cell>
        </row>
        <row r="5">
          <cell r="A5" t="str">
            <v>圆形</v>
          </cell>
          <cell r="B5" t="str">
            <v>圆形2</v>
          </cell>
          <cell r="C5" t="str">
            <v>2|</v>
          </cell>
          <cell r="D5">
            <v>10</v>
          </cell>
          <cell r="E5">
            <v>1</v>
          </cell>
          <cell r="F5" t="str">
            <v>手填</v>
          </cell>
          <cell r="G5">
            <v>1</v>
          </cell>
        </row>
        <row r="6">
          <cell r="A6" t="str">
            <v>扇形</v>
          </cell>
          <cell r="B6" t="str">
            <v>扇形10|60</v>
          </cell>
          <cell r="C6" t="str">
            <v>3|</v>
          </cell>
          <cell r="D6">
            <v>10</v>
          </cell>
          <cell r="E6">
            <v>0</v>
          </cell>
          <cell r="F6" t="str">
            <v>手填</v>
          </cell>
          <cell r="G6">
            <v>1</v>
          </cell>
        </row>
        <row r="7">
          <cell r="A7" t="str">
            <v>矩形</v>
          </cell>
          <cell r="B7" t="str">
            <v>矩形4|5</v>
          </cell>
          <cell r="C7" t="str">
            <v>1|</v>
          </cell>
          <cell r="D7">
            <v>10</v>
          </cell>
          <cell r="E7">
            <v>0</v>
          </cell>
          <cell r="F7" t="str">
            <v>手填</v>
          </cell>
          <cell r="G7">
            <v>1</v>
          </cell>
        </row>
        <row r="8">
          <cell r="A8" t="str">
            <v>单体</v>
          </cell>
          <cell r="B8" t="str">
            <v>单体被动</v>
          </cell>
          <cell r="C8" t="str">
            <v>4|0.2</v>
          </cell>
          <cell r="D8">
            <v>1</v>
          </cell>
          <cell r="E8">
            <v>0</v>
          </cell>
          <cell r="F8" t="str">
            <v>手填</v>
          </cell>
          <cell r="G8">
            <v>1</v>
          </cell>
        </row>
        <row r="9">
          <cell r="A9" t="str">
            <v>全体</v>
          </cell>
          <cell r="B9" t="str">
            <v>全体被动</v>
          </cell>
          <cell r="C9" t="str">
            <v>2|20</v>
          </cell>
          <cell r="D9">
            <v>10</v>
          </cell>
          <cell r="E9">
            <v>0</v>
          </cell>
          <cell r="F9" t="str">
            <v>手填</v>
          </cell>
          <cell r="G9">
            <v>1</v>
          </cell>
        </row>
      </sheetData>
      <sheetData sheetId="4">
        <row r="1">
          <cell r="I1" t="str">
            <v>技能位置</v>
          </cell>
          <cell r="J1" t="str">
            <v>说明</v>
          </cell>
          <cell r="K1" t="str">
            <v>冷却时间</v>
          </cell>
        </row>
        <row r="2">
          <cell r="I2">
            <v>0</v>
          </cell>
          <cell r="J2" t="str">
            <v>普攻</v>
          </cell>
          <cell r="K2">
            <v>0</v>
          </cell>
        </row>
        <row r="3">
          <cell r="I3">
            <v>1</v>
          </cell>
          <cell r="J3" t="str">
            <v>核心技能</v>
          </cell>
          <cell r="K3">
            <v>24</v>
          </cell>
        </row>
        <row r="4">
          <cell r="I4">
            <v>2</v>
          </cell>
          <cell r="J4" t="str">
            <v>ai1</v>
          </cell>
          <cell r="K4">
            <v>8</v>
          </cell>
        </row>
        <row r="5">
          <cell r="I5">
            <v>3</v>
          </cell>
          <cell r="J5" t="str">
            <v>被动</v>
          </cell>
          <cell r="K5">
            <v>0</v>
          </cell>
        </row>
        <row r="6">
          <cell r="I6">
            <v>4</v>
          </cell>
          <cell r="J6" t="str">
            <v>ai2</v>
          </cell>
          <cell r="K6">
            <v>12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fire02@skill01" TargetMode="External"/><Relationship Id="rId13" Type="http://schemas.openxmlformats.org/officeDocument/2006/relationships/hyperlink" Target="mailto:water04@skill01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mailto:fire01@skill01_b" TargetMode="External"/><Relationship Id="rId7" Type="http://schemas.openxmlformats.org/officeDocument/2006/relationships/hyperlink" Target="mailto:metal01@skill01" TargetMode="External"/><Relationship Id="rId12" Type="http://schemas.openxmlformats.org/officeDocument/2006/relationships/hyperlink" Target="mailto:metal01@skill01" TargetMode="External"/><Relationship Id="rId17" Type="http://schemas.openxmlformats.org/officeDocument/2006/relationships/hyperlink" Target="mailto:soil03@skill01" TargetMode="External"/><Relationship Id="rId2" Type="http://schemas.openxmlformats.org/officeDocument/2006/relationships/hyperlink" Target="mailto:fire04@skill01" TargetMode="External"/><Relationship Id="rId16" Type="http://schemas.openxmlformats.org/officeDocument/2006/relationships/hyperlink" Target="mailto:metal03@skill01" TargetMode="External"/><Relationship Id="rId20" Type="http://schemas.openxmlformats.org/officeDocument/2006/relationships/comments" Target="../comments1.xml"/><Relationship Id="rId1" Type="http://schemas.openxmlformats.org/officeDocument/2006/relationships/hyperlink" Target="mailto:water04@skill01" TargetMode="External"/><Relationship Id="rId6" Type="http://schemas.openxmlformats.org/officeDocument/2006/relationships/hyperlink" Target="mailto:fire02@skill01" TargetMode="External"/><Relationship Id="rId11" Type="http://schemas.openxmlformats.org/officeDocument/2006/relationships/hyperlink" Target="mailto:fire04@skill01" TargetMode="External"/><Relationship Id="rId5" Type="http://schemas.openxmlformats.org/officeDocument/2006/relationships/hyperlink" Target="mailto:fire01@skill01" TargetMode="External"/><Relationship Id="rId15" Type="http://schemas.openxmlformats.org/officeDocument/2006/relationships/hyperlink" Target="mailto:fire03@skill01" TargetMode="External"/><Relationship Id="rId10" Type="http://schemas.openxmlformats.org/officeDocument/2006/relationships/hyperlink" Target="mailto:fire02@skill01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mailto:water03@skill01" TargetMode="External"/><Relationship Id="rId9" Type="http://schemas.openxmlformats.org/officeDocument/2006/relationships/hyperlink" Target="mailto:water01@skill01" TargetMode="External"/><Relationship Id="rId14" Type="http://schemas.openxmlformats.org/officeDocument/2006/relationships/hyperlink" Target="mailto:fire05@skill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610"/>
  <sheetViews>
    <sheetView tabSelected="1" zoomScaleNormal="100" workbookViewId="0">
      <pane xSplit="2" ySplit="3" topLeftCell="C440" activePane="bottomRight" state="frozen"/>
      <selection pane="topRight" activeCell="C1" sqref="C1"/>
      <selection pane="bottomLeft" activeCell="A4" sqref="A4"/>
      <selection pane="bottomRight" activeCell="F453" sqref="F453"/>
    </sheetView>
  </sheetViews>
  <sheetFormatPr defaultRowHeight="16.5" x14ac:dyDescent="0.15"/>
  <cols>
    <col min="1" max="1" width="35.375" style="2" customWidth="1"/>
    <col min="2" max="2" width="19.875" style="2" customWidth="1"/>
    <col min="3" max="3" width="17.75" style="2" customWidth="1"/>
    <col min="4" max="4" width="23.875" style="2" customWidth="1"/>
    <col min="5" max="5" width="12.75" style="2" customWidth="1"/>
    <col min="6" max="6" width="44.25" style="2" customWidth="1"/>
    <col min="7" max="7" width="12.75" style="2" customWidth="1"/>
    <col min="8" max="8" width="15.75" style="2" customWidth="1"/>
    <col min="9" max="9" width="20.875" style="2" bestFit="1" customWidth="1"/>
    <col min="10" max="10" width="30.5" style="2" customWidth="1"/>
    <col min="11" max="11" width="21.75" style="2" customWidth="1"/>
    <col min="12" max="12" width="13.25" style="2" customWidth="1"/>
    <col min="13" max="13" width="32" style="3" bestFit="1" customWidth="1"/>
    <col min="14" max="14" width="22.75" style="2" bestFit="1" customWidth="1"/>
    <col min="15" max="15" width="15.375" style="8" bestFit="1" customWidth="1"/>
    <col min="16" max="16" width="19.25" style="2" bestFit="1" customWidth="1"/>
    <col min="17" max="17" width="21.75" style="2" customWidth="1"/>
    <col min="18" max="24" width="11.125" style="2" customWidth="1"/>
    <col min="25" max="16384" width="9" style="2"/>
  </cols>
  <sheetData>
    <row r="1" spans="1:24" s="13" customFormat="1" ht="192" customHeight="1" x14ac:dyDescent="0.15">
      <c r="A1" s="37" t="s">
        <v>1805</v>
      </c>
      <c r="B1" s="37" t="s">
        <v>1352</v>
      </c>
      <c r="C1" s="37" t="s">
        <v>1353</v>
      </c>
      <c r="D1" s="37" t="s">
        <v>1354</v>
      </c>
      <c r="E1" s="37" t="s">
        <v>1355</v>
      </c>
      <c r="F1" s="37" t="s">
        <v>1919</v>
      </c>
      <c r="G1" s="37" t="s">
        <v>1356</v>
      </c>
      <c r="H1" s="37" t="s">
        <v>1847</v>
      </c>
      <c r="I1" s="37" t="s">
        <v>1863</v>
      </c>
      <c r="J1" s="37" t="s">
        <v>1357</v>
      </c>
      <c r="K1" s="37" t="s">
        <v>1358</v>
      </c>
      <c r="L1" s="37" t="s">
        <v>1359</v>
      </c>
      <c r="M1" s="38" t="s">
        <v>1747</v>
      </c>
      <c r="N1" s="37" t="s">
        <v>1481</v>
      </c>
      <c r="O1" s="37" t="s">
        <v>730</v>
      </c>
      <c r="P1" s="39" t="s">
        <v>1047</v>
      </c>
      <c r="Q1" s="37" t="s">
        <v>1360</v>
      </c>
      <c r="R1" s="40" t="s">
        <v>0</v>
      </c>
      <c r="S1" s="40" t="s">
        <v>1</v>
      </c>
      <c r="T1" s="37" t="s">
        <v>2</v>
      </c>
      <c r="U1" s="39" t="s">
        <v>3</v>
      </c>
      <c r="V1" s="39" t="s">
        <v>4</v>
      </c>
      <c r="W1" s="39" t="s">
        <v>5</v>
      </c>
      <c r="X1" s="39" t="s">
        <v>6</v>
      </c>
    </row>
    <row r="2" spans="1:24" s="1" customFormat="1" x14ac:dyDescent="0.15">
      <c r="A2" s="41" t="s">
        <v>7</v>
      </c>
      <c r="B2" s="41" t="s">
        <v>8</v>
      </c>
      <c r="C2" s="41" t="s">
        <v>145</v>
      </c>
      <c r="D2" s="41" t="s">
        <v>51</v>
      </c>
      <c r="E2" s="41" t="s">
        <v>297</v>
      </c>
      <c r="F2" s="41" t="s">
        <v>298</v>
      </c>
      <c r="G2" s="41" t="s">
        <v>299</v>
      </c>
      <c r="H2" s="41" t="s">
        <v>300</v>
      </c>
      <c r="I2" s="41" t="s">
        <v>301</v>
      </c>
      <c r="J2" s="41" t="s">
        <v>9</v>
      </c>
      <c r="K2" s="41" t="s">
        <v>10</v>
      </c>
      <c r="L2" s="41" t="s">
        <v>11</v>
      </c>
      <c r="M2" s="42" t="s">
        <v>12</v>
      </c>
      <c r="N2" s="41" t="s">
        <v>13</v>
      </c>
      <c r="O2" s="43" t="s">
        <v>14</v>
      </c>
      <c r="P2" s="41" t="s">
        <v>15</v>
      </c>
      <c r="Q2" s="41" t="s">
        <v>16</v>
      </c>
      <c r="R2" s="41" t="s">
        <v>17</v>
      </c>
      <c r="S2" s="41" t="s">
        <v>18</v>
      </c>
      <c r="T2" s="41" t="s">
        <v>19</v>
      </c>
      <c r="U2" s="41" t="s">
        <v>20</v>
      </c>
      <c r="V2" s="41" t="s">
        <v>21</v>
      </c>
      <c r="W2" s="41" t="s">
        <v>22</v>
      </c>
      <c r="X2" s="41" t="s">
        <v>23</v>
      </c>
    </row>
    <row r="3" spans="1:24" s="1" customFormat="1" x14ac:dyDescent="0.15">
      <c r="A3" s="41" t="s">
        <v>24</v>
      </c>
      <c r="B3" s="41" t="s">
        <v>24</v>
      </c>
      <c r="C3" s="41" t="s">
        <v>24</v>
      </c>
      <c r="D3" s="41" t="s">
        <v>25</v>
      </c>
      <c r="E3" s="41" t="s">
        <v>25</v>
      </c>
      <c r="F3" s="41" t="s">
        <v>24</v>
      </c>
      <c r="G3" s="41" t="s">
        <v>25</v>
      </c>
      <c r="H3" s="41" t="s">
        <v>24</v>
      </c>
      <c r="I3" s="41" t="s">
        <v>24</v>
      </c>
      <c r="J3" s="41" t="s">
        <v>24</v>
      </c>
      <c r="K3" s="41" t="s">
        <v>25</v>
      </c>
      <c r="L3" s="41" t="s">
        <v>25</v>
      </c>
      <c r="M3" s="42" t="s">
        <v>26</v>
      </c>
      <c r="N3" s="41" t="s">
        <v>26</v>
      </c>
      <c r="O3" s="43" t="s">
        <v>24</v>
      </c>
      <c r="P3" s="41" t="s">
        <v>24</v>
      </c>
      <c r="Q3" s="41" t="s">
        <v>24</v>
      </c>
      <c r="R3" s="41" t="s">
        <v>25</v>
      </c>
      <c r="S3" s="41" t="s">
        <v>25</v>
      </c>
      <c r="T3" s="41" t="s">
        <v>26</v>
      </c>
      <c r="U3" s="41" t="s">
        <v>26</v>
      </c>
      <c r="V3" s="41" t="s">
        <v>26</v>
      </c>
      <c r="W3" s="41" t="s">
        <v>26</v>
      </c>
      <c r="X3" s="41" t="s">
        <v>25</v>
      </c>
    </row>
    <row r="4" spans="1:24" s="5" customFormat="1" x14ac:dyDescent="0.15">
      <c r="A4" s="44" t="s">
        <v>75</v>
      </c>
      <c r="B4" s="44" t="s">
        <v>149</v>
      </c>
      <c r="C4" s="44" t="s">
        <v>150</v>
      </c>
      <c r="D4" s="44">
        <v>1.667</v>
      </c>
      <c r="E4" s="44">
        <v>0</v>
      </c>
      <c r="F4" s="44">
        <v>2</v>
      </c>
      <c r="G4" s="44">
        <v>18</v>
      </c>
      <c r="H4" s="44">
        <v>1</v>
      </c>
      <c r="I4" s="44" t="s">
        <v>151</v>
      </c>
      <c r="J4" s="44" t="s">
        <v>152</v>
      </c>
      <c r="K4" s="44">
        <v>5</v>
      </c>
      <c r="L4" s="44">
        <v>0.15</v>
      </c>
      <c r="M4" s="44">
        <v>1</v>
      </c>
      <c r="N4" s="44">
        <v>1</v>
      </c>
      <c r="O4" s="45" t="s">
        <v>1520</v>
      </c>
      <c r="P4" s="46" t="s">
        <v>27</v>
      </c>
      <c r="Q4" s="46" t="s">
        <v>27</v>
      </c>
      <c r="R4" s="46">
        <v>0</v>
      </c>
      <c r="S4" s="46">
        <v>0</v>
      </c>
      <c r="T4" s="47">
        <v>0</v>
      </c>
      <c r="U4" s="46">
        <v>0</v>
      </c>
      <c r="V4" s="46">
        <v>0</v>
      </c>
      <c r="W4" s="46">
        <v>0</v>
      </c>
      <c r="X4" s="46">
        <v>0</v>
      </c>
    </row>
    <row r="5" spans="1:24" s="5" customFormat="1" x14ac:dyDescent="0.15">
      <c r="A5" s="44" t="s">
        <v>76</v>
      </c>
      <c r="B5" s="44" t="s">
        <v>149</v>
      </c>
      <c r="C5" s="44" t="s">
        <v>150</v>
      </c>
      <c r="D5" s="44">
        <v>1.667</v>
      </c>
      <c r="E5" s="44">
        <v>0</v>
      </c>
      <c r="F5" s="44">
        <v>2</v>
      </c>
      <c r="G5" s="44">
        <v>18</v>
      </c>
      <c r="H5" s="44">
        <v>1</v>
      </c>
      <c r="I5" s="44" t="s">
        <v>151</v>
      </c>
      <c r="J5" s="44" t="s">
        <v>153</v>
      </c>
      <c r="K5" s="44">
        <v>5</v>
      </c>
      <c r="L5" s="44">
        <v>0.15</v>
      </c>
      <c r="M5" s="44">
        <v>1</v>
      </c>
      <c r="N5" s="44">
        <v>1</v>
      </c>
      <c r="O5" s="45" t="s">
        <v>1520</v>
      </c>
      <c r="P5" s="46" t="s">
        <v>27</v>
      </c>
      <c r="Q5" s="46" t="s">
        <v>27</v>
      </c>
      <c r="R5" s="46">
        <v>0</v>
      </c>
      <c r="S5" s="46">
        <v>0</v>
      </c>
      <c r="T5" s="47">
        <v>0</v>
      </c>
      <c r="U5" s="46">
        <v>0</v>
      </c>
      <c r="V5" s="46">
        <v>0</v>
      </c>
      <c r="W5" s="46">
        <v>0</v>
      </c>
      <c r="X5" s="46">
        <v>0</v>
      </c>
    </row>
    <row r="6" spans="1:24" s="5" customFormat="1" x14ac:dyDescent="0.15">
      <c r="A6" s="44" t="s">
        <v>121</v>
      </c>
      <c r="B6" s="44" t="s">
        <v>154</v>
      </c>
      <c r="C6" s="44" t="s">
        <v>150</v>
      </c>
      <c r="D6" s="44">
        <v>1.667</v>
      </c>
      <c r="E6" s="44">
        <v>0</v>
      </c>
      <c r="F6" s="44">
        <v>2</v>
      </c>
      <c r="G6" s="44">
        <v>20</v>
      </c>
      <c r="H6" s="44">
        <v>1</v>
      </c>
      <c r="I6" s="44" t="s">
        <v>151</v>
      </c>
      <c r="J6" s="44" t="s">
        <v>153</v>
      </c>
      <c r="K6" s="44">
        <v>5</v>
      </c>
      <c r="L6" s="44">
        <v>0.1</v>
      </c>
      <c r="M6" s="44">
        <v>1</v>
      </c>
      <c r="N6" s="44">
        <v>1</v>
      </c>
      <c r="O6" s="45" t="s">
        <v>1520</v>
      </c>
      <c r="P6" s="46" t="s">
        <v>27</v>
      </c>
      <c r="Q6" s="46" t="s">
        <v>27</v>
      </c>
      <c r="R6" s="46">
        <v>0</v>
      </c>
      <c r="S6" s="46">
        <v>0</v>
      </c>
      <c r="T6" s="47">
        <v>0</v>
      </c>
      <c r="U6" s="46">
        <v>0</v>
      </c>
      <c r="V6" s="46">
        <v>0</v>
      </c>
      <c r="W6" s="46">
        <v>0</v>
      </c>
      <c r="X6" s="46">
        <v>0</v>
      </c>
    </row>
    <row r="7" spans="1:24" s="5" customFormat="1" x14ac:dyDescent="0.15">
      <c r="A7" s="44" t="s">
        <v>122</v>
      </c>
      <c r="B7" s="44" t="s">
        <v>155</v>
      </c>
      <c r="C7" s="44" t="s">
        <v>150</v>
      </c>
      <c r="D7" s="44">
        <v>1.667</v>
      </c>
      <c r="E7" s="44">
        <v>0</v>
      </c>
      <c r="F7" s="44">
        <v>2</v>
      </c>
      <c r="G7" s="44">
        <v>20</v>
      </c>
      <c r="H7" s="44">
        <v>1</v>
      </c>
      <c r="I7" s="44" t="s">
        <v>151</v>
      </c>
      <c r="J7" s="44" t="s">
        <v>153</v>
      </c>
      <c r="K7" s="44">
        <v>5</v>
      </c>
      <c r="L7" s="44">
        <v>0.4</v>
      </c>
      <c r="M7" s="44">
        <v>1</v>
      </c>
      <c r="N7" s="44">
        <v>1</v>
      </c>
      <c r="O7" s="45" t="s">
        <v>1520</v>
      </c>
      <c r="P7" s="46" t="s">
        <v>27</v>
      </c>
      <c r="Q7" s="46" t="s">
        <v>27</v>
      </c>
      <c r="R7" s="46">
        <v>0</v>
      </c>
      <c r="S7" s="46">
        <v>0</v>
      </c>
      <c r="T7" s="47">
        <v>0</v>
      </c>
      <c r="U7" s="46">
        <v>0</v>
      </c>
      <c r="V7" s="46">
        <v>0</v>
      </c>
      <c r="W7" s="46">
        <v>0</v>
      </c>
      <c r="X7" s="46">
        <v>0</v>
      </c>
    </row>
    <row r="8" spans="1:24" s="5" customFormat="1" x14ac:dyDescent="0.15">
      <c r="A8" s="44" t="s">
        <v>123</v>
      </c>
      <c r="B8" s="44" t="s">
        <v>156</v>
      </c>
      <c r="C8" s="44" t="s">
        <v>150</v>
      </c>
      <c r="D8" s="44">
        <v>1.667</v>
      </c>
      <c r="E8" s="44">
        <v>0</v>
      </c>
      <c r="F8" s="44">
        <v>2</v>
      </c>
      <c r="G8" s="44">
        <v>20</v>
      </c>
      <c r="H8" s="44">
        <v>1</v>
      </c>
      <c r="I8" s="44" t="s">
        <v>151</v>
      </c>
      <c r="J8" s="44" t="s">
        <v>153</v>
      </c>
      <c r="K8" s="44">
        <v>5</v>
      </c>
      <c r="L8" s="44">
        <v>1</v>
      </c>
      <c r="M8" s="44">
        <v>1</v>
      </c>
      <c r="N8" s="44">
        <v>1</v>
      </c>
      <c r="O8" s="45" t="s">
        <v>1520</v>
      </c>
      <c r="P8" s="46" t="s">
        <v>27</v>
      </c>
      <c r="Q8" s="46" t="s">
        <v>27</v>
      </c>
      <c r="R8" s="46">
        <v>0</v>
      </c>
      <c r="S8" s="46">
        <v>0</v>
      </c>
      <c r="T8" s="47">
        <v>0</v>
      </c>
      <c r="U8" s="46">
        <v>0</v>
      </c>
      <c r="V8" s="46">
        <v>0</v>
      </c>
      <c r="W8" s="46">
        <v>0</v>
      </c>
      <c r="X8" s="46">
        <v>0</v>
      </c>
    </row>
    <row r="9" spans="1:24" s="5" customFormat="1" x14ac:dyDescent="0.15">
      <c r="A9" s="44" t="s">
        <v>118</v>
      </c>
      <c r="B9" s="44" t="s">
        <v>157</v>
      </c>
      <c r="C9" s="44" t="s">
        <v>837</v>
      </c>
      <c r="D9" s="44">
        <v>1.667</v>
      </c>
      <c r="E9" s="44">
        <v>0</v>
      </c>
      <c r="F9" s="44">
        <v>2</v>
      </c>
      <c r="G9" s="44">
        <v>20</v>
      </c>
      <c r="H9" s="44">
        <v>1</v>
      </c>
      <c r="I9" s="44" t="s">
        <v>151</v>
      </c>
      <c r="J9" s="44" t="s">
        <v>838</v>
      </c>
      <c r="K9" s="44">
        <v>5</v>
      </c>
      <c r="L9" s="44">
        <v>0.1</v>
      </c>
      <c r="M9" s="44">
        <v>1</v>
      </c>
      <c r="N9" s="44">
        <v>1</v>
      </c>
      <c r="O9" s="45" t="s">
        <v>1520</v>
      </c>
      <c r="P9" s="46" t="s">
        <v>27</v>
      </c>
      <c r="Q9" s="46" t="s">
        <v>27</v>
      </c>
      <c r="R9" s="46">
        <v>0</v>
      </c>
      <c r="S9" s="46">
        <v>0</v>
      </c>
      <c r="T9" s="47">
        <v>0</v>
      </c>
      <c r="U9" s="46">
        <v>0</v>
      </c>
      <c r="V9" s="46">
        <v>0</v>
      </c>
      <c r="W9" s="46">
        <v>0</v>
      </c>
      <c r="X9" s="46">
        <v>0</v>
      </c>
    </row>
    <row r="10" spans="1:24" s="5" customFormat="1" x14ac:dyDescent="0.15">
      <c r="A10" s="44" t="s">
        <v>119</v>
      </c>
      <c r="B10" s="44" t="s">
        <v>158</v>
      </c>
      <c r="C10" s="44" t="s">
        <v>150</v>
      </c>
      <c r="D10" s="44">
        <v>1.667</v>
      </c>
      <c r="E10" s="44">
        <v>0</v>
      </c>
      <c r="F10" s="44">
        <v>2</v>
      </c>
      <c r="G10" s="44">
        <v>20</v>
      </c>
      <c r="H10" s="44">
        <v>1</v>
      </c>
      <c r="I10" s="44" t="s">
        <v>151</v>
      </c>
      <c r="J10" s="44" t="s">
        <v>152</v>
      </c>
      <c r="K10" s="44">
        <v>5</v>
      </c>
      <c r="L10" s="44">
        <v>0.4</v>
      </c>
      <c r="M10" s="44">
        <v>1</v>
      </c>
      <c r="N10" s="44">
        <v>1</v>
      </c>
      <c r="O10" s="45" t="s">
        <v>1520</v>
      </c>
      <c r="P10" s="46" t="s">
        <v>27</v>
      </c>
      <c r="Q10" s="46" t="s">
        <v>27</v>
      </c>
      <c r="R10" s="46">
        <v>0</v>
      </c>
      <c r="S10" s="46">
        <v>0</v>
      </c>
      <c r="T10" s="47">
        <v>0</v>
      </c>
      <c r="U10" s="46">
        <v>0</v>
      </c>
      <c r="V10" s="46">
        <v>0</v>
      </c>
      <c r="W10" s="46">
        <v>0</v>
      </c>
      <c r="X10" s="46">
        <v>0</v>
      </c>
    </row>
    <row r="11" spans="1:24" s="5" customFormat="1" x14ac:dyDescent="0.15">
      <c r="A11" s="44" t="s">
        <v>120</v>
      </c>
      <c r="B11" s="44" t="s">
        <v>159</v>
      </c>
      <c r="C11" s="44" t="s">
        <v>150</v>
      </c>
      <c r="D11" s="44">
        <v>1.667</v>
      </c>
      <c r="E11" s="44">
        <v>0</v>
      </c>
      <c r="F11" s="44">
        <v>2</v>
      </c>
      <c r="G11" s="44">
        <v>20</v>
      </c>
      <c r="H11" s="44">
        <v>1</v>
      </c>
      <c r="I11" s="44" t="s">
        <v>151</v>
      </c>
      <c r="J11" s="44" t="s">
        <v>152</v>
      </c>
      <c r="K11" s="44">
        <v>5</v>
      </c>
      <c r="L11" s="44">
        <v>0.8</v>
      </c>
      <c r="M11" s="44">
        <v>1</v>
      </c>
      <c r="N11" s="44">
        <v>1</v>
      </c>
      <c r="O11" s="45" t="s">
        <v>1520</v>
      </c>
      <c r="P11" s="46" t="s">
        <v>27</v>
      </c>
      <c r="Q11" s="46" t="s">
        <v>27</v>
      </c>
      <c r="R11" s="46">
        <v>0</v>
      </c>
      <c r="S11" s="46">
        <v>0</v>
      </c>
      <c r="T11" s="47">
        <v>0</v>
      </c>
      <c r="U11" s="46">
        <v>0</v>
      </c>
      <c r="V11" s="46">
        <v>0</v>
      </c>
      <c r="W11" s="46">
        <v>0</v>
      </c>
      <c r="X11" s="46">
        <v>0</v>
      </c>
    </row>
    <row r="12" spans="1:24" s="5" customFormat="1" x14ac:dyDescent="0.15">
      <c r="A12" s="44" t="s">
        <v>678</v>
      </c>
      <c r="B12" s="44" t="s">
        <v>679</v>
      </c>
      <c r="C12" s="44" t="s">
        <v>28</v>
      </c>
      <c r="D12" s="44">
        <v>0</v>
      </c>
      <c r="E12" s="44">
        <v>0</v>
      </c>
      <c r="F12" s="44">
        <v>2</v>
      </c>
      <c r="G12" s="44">
        <v>20</v>
      </c>
      <c r="H12" s="44">
        <v>1</v>
      </c>
      <c r="I12" s="44" t="s">
        <v>27</v>
      </c>
      <c r="J12" s="44" t="s">
        <v>681</v>
      </c>
      <c r="K12" s="44">
        <v>5</v>
      </c>
      <c r="L12" s="44">
        <v>0.27</v>
      </c>
      <c r="M12" s="44">
        <v>1</v>
      </c>
      <c r="N12" s="44">
        <v>1</v>
      </c>
      <c r="O12" s="45" t="s">
        <v>942</v>
      </c>
      <c r="P12" s="46" t="s">
        <v>27</v>
      </c>
      <c r="Q12" s="46" t="s">
        <v>27</v>
      </c>
      <c r="R12" s="46">
        <v>0</v>
      </c>
      <c r="S12" s="46">
        <v>0</v>
      </c>
      <c r="T12" s="47">
        <v>0</v>
      </c>
      <c r="U12" s="46">
        <v>0</v>
      </c>
      <c r="V12" s="46">
        <v>0</v>
      </c>
      <c r="W12" s="46">
        <v>0</v>
      </c>
      <c r="X12" s="46">
        <v>0</v>
      </c>
    </row>
    <row r="13" spans="1:24" s="5" customFormat="1" x14ac:dyDescent="0.15">
      <c r="A13" s="44" t="s">
        <v>622</v>
      </c>
      <c r="B13" s="44" t="s">
        <v>680</v>
      </c>
      <c r="C13" s="44" t="s">
        <v>1532</v>
      </c>
      <c r="D13" s="44">
        <v>0</v>
      </c>
      <c r="E13" s="44">
        <v>0</v>
      </c>
      <c r="F13" s="44">
        <v>2</v>
      </c>
      <c r="G13" s="44">
        <v>20</v>
      </c>
      <c r="H13" s="44">
        <v>1</v>
      </c>
      <c r="I13" s="44" t="s">
        <v>27</v>
      </c>
      <c r="J13" s="44" t="s">
        <v>682</v>
      </c>
      <c r="K13" s="44">
        <v>5</v>
      </c>
      <c r="L13" s="44">
        <v>0.5</v>
      </c>
      <c r="M13" s="44">
        <v>1</v>
      </c>
      <c r="N13" s="44">
        <v>1</v>
      </c>
      <c r="O13" s="45" t="s">
        <v>942</v>
      </c>
      <c r="P13" s="46" t="s">
        <v>27</v>
      </c>
      <c r="Q13" s="46" t="s">
        <v>27</v>
      </c>
      <c r="R13" s="46">
        <v>0</v>
      </c>
      <c r="S13" s="46">
        <v>0</v>
      </c>
      <c r="T13" s="47">
        <v>0</v>
      </c>
      <c r="U13" s="46">
        <v>0</v>
      </c>
      <c r="V13" s="46">
        <v>0</v>
      </c>
      <c r="W13" s="46">
        <v>0</v>
      </c>
      <c r="X13" s="46">
        <v>0</v>
      </c>
    </row>
    <row r="14" spans="1:24" s="5" customFormat="1" x14ac:dyDescent="0.15">
      <c r="A14" s="44" t="s">
        <v>623</v>
      </c>
      <c r="B14" s="44" t="s">
        <v>680</v>
      </c>
      <c r="C14" s="44" t="s">
        <v>28</v>
      </c>
      <c r="D14" s="44">
        <v>0</v>
      </c>
      <c r="E14" s="44">
        <v>0</v>
      </c>
      <c r="F14" s="44">
        <v>2</v>
      </c>
      <c r="G14" s="44">
        <v>20</v>
      </c>
      <c r="H14" s="44">
        <v>1</v>
      </c>
      <c r="I14" s="44" t="s">
        <v>27</v>
      </c>
      <c r="J14" s="44" t="s">
        <v>682</v>
      </c>
      <c r="K14" s="44">
        <v>5</v>
      </c>
      <c r="L14" s="44">
        <v>1.03</v>
      </c>
      <c r="M14" s="44">
        <v>1</v>
      </c>
      <c r="N14" s="44">
        <v>1</v>
      </c>
      <c r="O14" s="45" t="s">
        <v>942</v>
      </c>
      <c r="P14" s="46" t="s">
        <v>27</v>
      </c>
      <c r="Q14" s="46" t="s">
        <v>27</v>
      </c>
      <c r="R14" s="46">
        <v>0</v>
      </c>
      <c r="S14" s="46">
        <v>0</v>
      </c>
      <c r="T14" s="47">
        <v>0</v>
      </c>
      <c r="U14" s="46">
        <v>0</v>
      </c>
      <c r="V14" s="46">
        <v>0</v>
      </c>
      <c r="W14" s="46">
        <v>0</v>
      </c>
      <c r="X14" s="46">
        <v>0</v>
      </c>
    </row>
    <row r="15" spans="1:24" s="5" customFormat="1" x14ac:dyDescent="0.15">
      <c r="A15" s="44" t="s">
        <v>668</v>
      </c>
      <c r="B15" s="44" t="s">
        <v>672</v>
      </c>
      <c r="C15" s="44" t="s">
        <v>28</v>
      </c>
      <c r="D15" s="44">
        <v>0</v>
      </c>
      <c r="E15" s="44">
        <v>0</v>
      </c>
      <c r="F15" s="44">
        <v>2</v>
      </c>
      <c r="G15" s="44">
        <v>20</v>
      </c>
      <c r="H15" s="44">
        <v>1</v>
      </c>
      <c r="I15" s="44" t="s">
        <v>27</v>
      </c>
      <c r="J15" s="44" t="s">
        <v>674</v>
      </c>
      <c r="K15" s="44">
        <v>5</v>
      </c>
      <c r="L15" s="44">
        <v>0.12</v>
      </c>
      <c r="M15" s="44">
        <v>1</v>
      </c>
      <c r="N15" s="44">
        <v>1</v>
      </c>
      <c r="O15" s="45" t="s">
        <v>1520</v>
      </c>
      <c r="P15" s="46" t="s">
        <v>27</v>
      </c>
      <c r="Q15" s="46" t="s">
        <v>27</v>
      </c>
      <c r="R15" s="46">
        <v>0</v>
      </c>
      <c r="S15" s="46">
        <v>0</v>
      </c>
      <c r="T15" s="47">
        <v>0</v>
      </c>
      <c r="U15" s="46">
        <v>0</v>
      </c>
      <c r="V15" s="46">
        <v>0</v>
      </c>
      <c r="W15" s="46">
        <v>0</v>
      </c>
      <c r="X15" s="46">
        <v>0</v>
      </c>
    </row>
    <row r="16" spans="1:24" s="5" customFormat="1" x14ac:dyDescent="0.15">
      <c r="A16" s="44" t="s">
        <v>669</v>
      </c>
      <c r="B16" s="44" t="s">
        <v>671</v>
      </c>
      <c r="C16" s="44" t="s">
        <v>1533</v>
      </c>
      <c r="D16" s="44">
        <v>0</v>
      </c>
      <c r="E16" s="44">
        <v>0</v>
      </c>
      <c r="F16" s="44">
        <v>2</v>
      </c>
      <c r="G16" s="44">
        <v>20</v>
      </c>
      <c r="H16" s="44">
        <v>1</v>
      </c>
      <c r="I16" s="44" t="s">
        <v>27</v>
      </c>
      <c r="J16" s="44" t="s">
        <v>673</v>
      </c>
      <c r="K16" s="44">
        <v>5</v>
      </c>
      <c r="L16" s="44">
        <v>0.48</v>
      </c>
      <c r="M16" s="44">
        <v>1</v>
      </c>
      <c r="N16" s="44">
        <v>1</v>
      </c>
      <c r="O16" s="45" t="s">
        <v>1520</v>
      </c>
      <c r="P16" s="46" t="s">
        <v>27</v>
      </c>
      <c r="Q16" s="46" t="s">
        <v>27</v>
      </c>
      <c r="R16" s="46">
        <v>0</v>
      </c>
      <c r="S16" s="46">
        <v>0</v>
      </c>
      <c r="T16" s="47">
        <v>0</v>
      </c>
      <c r="U16" s="46">
        <v>0</v>
      </c>
      <c r="V16" s="46">
        <v>0</v>
      </c>
      <c r="W16" s="46">
        <v>0</v>
      </c>
      <c r="X16" s="46">
        <v>0</v>
      </c>
    </row>
    <row r="17" spans="1:24" s="5" customFormat="1" x14ac:dyDescent="0.15">
      <c r="A17" s="44" t="s">
        <v>670</v>
      </c>
      <c r="B17" s="44" t="s">
        <v>671</v>
      </c>
      <c r="C17" s="44" t="s">
        <v>1533</v>
      </c>
      <c r="D17" s="44">
        <v>0</v>
      </c>
      <c r="E17" s="44">
        <v>0</v>
      </c>
      <c r="F17" s="44">
        <v>2</v>
      </c>
      <c r="G17" s="44">
        <v>20</v>
      </c>
      <c r="H17" s="44">
        <v>1</v>
      </c>
      <c r="I17" s="44" t="s">
        <v>27</v>
      </c>
      <c r="J17" s="44" t="s">
        <v>673</v>
      </c>
      <c r="K17" s="44">
        <v>5</v>
      </c>
      <c r="L17" s="44">
        <v>1.05</v>
      </c>
      <c r="M17" s="44">
        <v>1</v>
      </c>
      <c r="N17" s="44">
        <v>1</v>
      </c>
      <c r="O17" s="45" t="s">
        <v>1520</v>
      </c>
      <c r="P17" s="46" t="s">
        <v>27</v>
      </c>
      <c r="Q17" s="46" t="s">
        <v>27</v>
      </c>
      <c r="R17" s="46">
        <v>0</v>
      </c>
      <c r="S17" s="46">
        <v>0</v>
      </c>
      <c r="T17" s="47">
        <v>0</v>
      </c>
      <c r="U17" s="46">
        <v>0</v>
      </c>
      <c r="V17" s="46">
        <v>0</v>
      </c>
      <c r="W17" s="46">
        <v>0</v>
      </c>
      <c r="X17" s="46">
        <v>0</v>
      </c>
    </row>
    <row r="18" spans="1:24" s="5" customFormat="1" x14ac:dyDescent="0.15">
      <c r="A18" s="44" t="s">
        <v>716</v>
      </c>
      <c r="B18" s="44" t="s">
        <v>717</v>
      </c>
      <c r="C18" s="44" t="s">
        <v>27</v>
      </c>
      <c r="D18" s="44">
        <v>0</v>
      </c>
      <c r="E18" s="44">
        <v>0</v>
      </c>
      <c r="F18" s="44">
        <v>11</v>
      </c>
      <c r="G18" s="44">
        <v>0</v>
      </c>
      <c r="H18" s="44" t="s">
        <v>839</v>
      </c>
      <c r="I18" s="44" t="s">
        <v>27</v>
      </c>
      <c r="J18" s="44" t="s">
        <v>716</v>
      </c>
      <c r="K18" s="44">
        <v>1</v>
      </c>
      <c r="L18" s="44">
        <v>0</v>
      </c>
      <c r="M18" s="44">
        <v>1</v>
      </c>
      <c r="N18" s="44">
        <v>4</v>
      </c>
      <c r="O18" s="45" t="s">
        <v>1520</v>
      </c>
      <c r="P18" s="46" t="s">
        <v>27</v>
      </c>
      <c r="Q18" s="46" t="s">
        <v>27</v>
      </c>
      <c r="R18" s="46">
        <v>0</v>
      </c>
      <c r="S18" s="46">
        <v>0</v>
      </c>
      <c r="T18" s="47">
        <v>0</v>
      </c>
      <c r="U18" s="46">
        <v>0</v>
      </c>
      <c r="V18" s="46">
        <v>0</v>
      </c>
      <c r="W18" s="46">
        <v>0</v>
      </c>
      <c r="X18" s="46">
        <v>0</v>
      </c>
    </row>
    <row r="19" spans="1:24" s="5" customFormat="1" x14ac:dyDescent="0.15">
      <c r="A19" s="44" t="s">
        <v>152</v>
      </c>
      <c r="B19" s="44" t="s">
        <v>611</v>
      </c>
      <c r="C19" s="44" t="s">
        <v>144</v>
      </c>
      <c r="D19" s="44">
        <v>0.73299999999999998</v>
      </c>
      <c r="E19" s="44">
        <v>0</v>
      </c>
      <c r="F19" s="44">
        <v>2</v>
      </c>
      <c r="G19" s="44">
        <v>17</v>
      </c>
      <c r="H19" s="44">
        <v>1</v>
      </c>
      <c r="I19" s="44" t="s">
        <v>116</v>
      </c>
      <c r="J19" s="44" t="s">
        <v>152</v>
      </c>
      <c r="K19" s="44">
        <v>5</v>
      </c>
      <c r="L19" s="44">
        <v>0.2</v>
      </c>
      <c r="M19" s="44">
        <v>1</v>
      </c>
      <c r="N19" s="44">
        <v>1</v>
      </c>
      <c r="O19" s="45" t="s">
        <v>1520</v>
      </c>
      <c r="P19" s="46" t="s">
        <v>27</v>
      </c>
      <c r="Q19" s="46" t="s">
        <v>27</v>
      </c>
      <c r="R19" s="46">
        <v>0</v>
      </c>
      <c r="S19" s="46">
        <v>0</v>
      </c>
      <c r="T19" s="47">
        <v>0</v>
      </c>
      <c r="U19" s="46">
        <v>0</v>
      </c>
      <c r="V19" s="46">
        <v>0</v>
      </c>
      <c r="W19" s="46">
        <v>0</v>
      </c>
      <c r="X19" s="46">
        <v>0</v>
      </c>
    </row>
    <row r="20" spans="1:24" s="5" customFormat="1" x14ac:dyDescent="0.15">
      <c r="A20" s="44" t="s">
        <v>612</v>
      </c>
      <c r="B20" s="44" t="s">
        <v>613</v>
      </c>
      <c r="C20" s="44" t="s">
        <v>836</v>
      </c>
      <c r="D20" s="44">
        <v>1.667</v>
      </c>
      <c r="E20" s="44">
        <v>0</v>
      </c>
      <c r="F20" s="44">
        <v>1</v>
      </c>
      <c r="G20" s="44">
        <v>0</v>
      </c>
      <c r="H20" s="44">
        <v>1</v>
      </c>
      <c r="I20" s="44" t="s">
        <v>151</v>
      </c>
      <c r="J20" s="44" t="s">
        <v>268</v>
      </c>
      <c r="K20" s="44">
        <v>3</v>
      </c>
      <c r="L20" s="44">
        <v>0.6</v>
      </c>
      <c r="M20" s="44">
        <v>2</v>
      </c>
      <c r="N20" s="44">
        <v>0</v>
      </c>
      <c r="O20" s="45" t="s">
        <v>1520</v>
      </c>
      <c r="P20" s="46" t="s">
        <v>27</v>
      </c>
      <c r="Q20" s="46" t="s">
        <v>27</v>
      </c>
      <c r="R20" s="46">
        <v>0</v>
      </c>
      <c r="S20" s="46">
        <v>0</v>
      </c>
      <c r="T20" s="47">
        <v>0</v>
      </c>
      <c r="U20" s="46">
        <v>0</v>
      </c>
      <c r="V20" s="46">
        <v>0</v>
      </c>
      <c r="W20" s="46">
        <v>0</v>
      </c>
      <c r="X20" s="46">
        <v>0</v>
      </c>
    </row>
    <row r="21" spans="1:24" s="5" customFormat="1" x14ac:dyDescent="0.15">
      <c r="A21" s="44" t="s">
        <v>1082</v>
      </c>
      <c r="B21" s="44" t="s">
        <v>614</v>
      </c>
      <c r="C21" s="44" t="s">
        <v>112</v>
      </c>
      <c r="D21" s="44">
        <v>0.8</v>
      </c>
      <c r="E21" s="44">
        <v>0</v>
      </c>
      <c r="F21" s="44">
        <v>1</v>
      </c>
      <c r="G21" s="44">
        <v>0</v>
      </c>
      <c r="H21" s="44">
        <v>1</v>
      </c>
      <c r="I21" s="44" t="s">
        <v>50</v>
      </c>
      <c r="J21" s="44" t="s">
        <v>1081</v>
      </c>
      <c r="K21" s="44">
        <v>5</v>
      </c>
      <c r="L21" s="44">
        <v>0</v>
      </c>
      <c r="M21" s="44">
        <v>1</v>
      </c>
      <c r="N21" s="44">
        <v>0</v>
      </c>
      <c r="O21" s="45" t="s">
        <v>1520</v>
      </c>
      <c r="P21" s="46" t="s">
        <v>27</v>
      </c>
      <c r="Q21" s="46" t="s">
        <v>27</v>
      </c>
      <c r="R21" s="46">
        <v>0</v>
      </c>
      <c r="S21" s="46">
        <v>0</v>
      </c>
      <c r="T21" s="47">
        <v>0</v>
      </c>
      <c r="U21" s="46">
        <v>0</v>
      </c>
      <c r="V21" s="46">
        <v>0</v>
      </c>
      <c r="W21" s="46">
        <v>0</v>
      </c>
      <c r="X21" s="46">
        <v>0</v>
      </c>
    </row>
    <row r="22" spans="1:24" s="5" customFormat="1" x14ac:dyDescent="0.15">
      <c r="A22" s="44" t="s">
        <v>1083</v>
      </c>
      <c r="B22" s="44" t="s">
        <v>614</v>
      </c>
      <c r="C22" s="44" t="s">
        <v>1081</v>
      </c>
      <c r="D22" s="44">
        <v>0</v>
      </c>
      <c r="E22" s="44">
        <v>0</v>
      </c>
      <c r="F22" s="44">
        <v>1</v>
      </c>
      <c r="G22" s="44">
        <v>0</v>
      </c>
      <c r="H22" s="44" t="s">
        <v>839</v>
      </c>
      <c r="I22" s="44" t="s">
        <v>50</v>
      </c>
      <c r="J22" s="44" t="s">
        <v>53</v>
      </c>
      <c r="K22" s="44">
        <v>5</v>
      </c>
      <c r="L22" s="44">
        <v>0</v>
      </c>
      <c r="M22" s="44">
        <v>1</v>
      </c>
      <c r="N22" s="44">
        <v>0</v>
      </c>
      <c r="O22" s="45" t="s">
        <v>1520</v>
      </c>
      <c r="P22" s="46" t="s">
        <v>27</v>
      </c>
      <c r="Q22" s="46" t="s">
        <v>27</v>
      </c>
      <c r="R22" s="46">
        <v>0</v>
      </c>
      <c r="S22" s="46">
        <v>0</v>
      </c>
      <c r="T22" s="47">
        <v>0</v>
      </c>
      <c r="U22" s="46">
        <v>0</v>
      </c>
      <c r="V22" s="46">
        <v>0</v>
      </c>
      <c r="W22" s="46">
        <v>0</v>
      </c>
      <c r="X22" s="46">
        <v>0</v>
      </c>
    </row>
    <row r="23" spans="1:24" s="5" customFormat="1" x14ac:dyDescent="0.15">
      <c r="A23" s="44" t="s">
        <v>615</v>
      </c>
      <c r="B23" s="44" t="s">
        <v>616</v>
      </c>
      <c r="C23" s="44" t="s">
        <v>151</v>
      </c>
      <c r="D23" s="44">
        <v>0</v>
      </c>
      <c r="E23" s="44">
        <v>0</v>
      </c>
      <c r="F23" s="44">
        <v>1</v>
      </c>
      <c r="G23" s="44">
        <v>0</v>
      </c>
      <c r="H23" s="44" t="s">
        <v>839</v>
      </c>
      <c r="I23" s="44" t="s">
        <v>151</v>
      </c>
      <c r="J23" s="44" t="s">
        <v>151</v>
      </c>
      <c r="K23" s="44">
        <v>5</v>
      </c>
      <c r="L23" s="44">
        <v>0</v>
      </c>
      <c r="M23" s="44">
        <v>1</v>
      </c>
      <c r="N23" s="44">
        <v>0</v>
      </c>
      <c r="O23" s="45" t="s">
        <v>1520</v>
      </c>
      <c r="P23" s="46" t="s">
        <v>27</v>
      </c>
      <c r="Q23" s="46" t="s">
        <v>27</v>
      </c>
      <c r="R23" s="46">
        <v>0</v>
      </c>
      <c r="S23" s="46">
        <v>0</v>
      </c>
      <c r="T23" s="47">
        <v>0</v>
      </c>
      <c r="U23" s="46">
        <v>0</v>
      </c>
      <c r="V23" s="46">
        <v>0</v>
      </c>
      <c r="W23" s="46">
        <v>0</v>
      </c>
      <c r="X23" s="46">
        <v>0</v>
      </c>
    </row>
    <row r="24" spans="1:24" s="5" customFormat="1" x14ac:dyDescent="0.15">
      <c r="A24" s="44" t="s">
        <v>617</v>
      </c>
      <c r="B24" s="44" t="s">
        <v>618</v>
      </c>
      <c r="C24" s="44" t="s">
        <v>619</v>
      </c>
      <c r="D24" s="44">
        <v>1.167</v>
      </c>
      <c r="E24" s="44">
        <v>0</v>
      </c>
      <c r="F24" s="44">
        <v>1</v>
      </c>
      <c r="G24" s="44">
        <v>0</v>
      </c>
      <c r="H24" s="44">
        <v>1</v>
      </c>
      <c r="I24" s="44" t="s">
        <v>386</v>
      </c>
      <c r="J24" s="44" t="s">
        <v>54</v>
      </c>
      <c r="K24" s="44">
        <v>2.5</v>
      </c>
      <c r="L24" s="44">
        <v>0.5</v>
      </c>
      <c r="M24" s="44">
        <v>3</v>
      </c>
      <c r="N24" s="44">
        <v>0</v>
      </c>
      <c r="O24" s="45" t="s">
        <v>1520</v>
      </c>
      <c r="P24" s="46" t="s">
        <v>27</v>
      </c>
      <c r="Q24" s="46" t="s">
        <v>27</v>
      </c>
      <c r="R24" s="46">
        <v>0</v>
      </c>
      <c r="S24" s="46">
        <v>0</v>
      </c>
      <c r="T24" s="47">
        <v>0</v>
      </c>
      <c r="U24" s="46">
        <v>0</v>
      </c>
      <c r="V24" s="46">
        <v>0</v>
      </c>
      <c r="W24" s="46">
        <v>0</v>
      </c>
      <c r="X24" s="46">
        <v>0</v>
      </c>
    </row>
    <row r="25" spans="1:24" s="5" customFormat="1" x14ac:dyDescent="0.15">
      <c r="A25" s="44" t="s">
        <v>32</v>
      </c>
      <c r="B25" s="44" t="s">
        <v>40</v>
      </c>
      <c r="C25" s="44" t="s">
        <v>28</v>
      </c>
      <c r="D25" s="44">
        <v>0.83299999999999996</v>
      </c>
      <c r="E25" s="44">
        <v>0</v>
      </c>
      <c r="F25" s="44">
        <v>1</v>
      </c>
      <c r="G25" s="44">
        <v>0</v>
      </c>
      <c r="H25" s="44">
        <v>1</v>
      </c>
      <c r="I25" s="44" t="s">
        <v>27</v>
      </c>
      <c r="J25" s="44" t="s">
        <v>1862</v>
      </c>
      <c r="K25" s="44">
        <v>1</v>
      </c>
      <c r="L25" s="44">
        <v>0.2</v>
      </c>
      <c r="M25" s="44">
        <v>1</v>
      </c>
      <c r="N25" s="44">
        <v>0</v>
      </c>
      <c r="O25" s="45" t="s">
        <v>1520</v>
      </c>
      <c r="P25" s="46" t="s">
        <v>27</v>
      </c>
      <c r="Q25" s="46" t="s">
        <v>27</v>
      </c>
      <c r="R25" s="46">
        <v>0</v>
      </c>
      <c r="S25" s="46">
        <v>0</v>
      </c>
      <c r="T25" s="47">
        <v>0</v>
      </c>
      <c r="U25" s="46">
        <v>0</v>
      </c>
      <c r="V25" s="46">
        <v>0</v>
      </c>
      <c r="W25" s="46">
        <v>0</v>
      </c>
      <c r="X25" s="46">
        <v>0</v>
      </c>
    </row>
    <row r="26" spans="1:24" s="4" customFormat="1" x14ac:dyDescent="0.15">
      <c r="A26" s="48" t="s">
        <v>886</v>
      </c>
      <c r="B26" s="48" t="s">
        <v>887</v>
      </c>
      <c r="C26" s="48" t="s">
        <v>888</v>
      </c>
      <c r="D26" s="48">
        <v>1.667</v>
      </c>
      <c r="E26" s="48">
        <v>0</v>
      </c>
      <c r="F26" s="48">
        <v>1</v>
      </c>
      <c r="G26" s="48">
        <v>0</v>
      </c>
      <c r="H26" s="48" t="s">
        <v>907</v>
      </c>
      <c r="I26" s="48" t="s">
        <v>889</v>
      </c>
      <c r="J26" s="48" t="s">
        <v>902</v>
      </c>
      <c r="K26" s="48">
        <v>2</v>
      </c>
      <c r="L26" s="48">
        <v>0</v>
      </c>
      <c r="M26" s="48">
        <v>1</v>
      </c>
      <c r="N26" s="48">
        <v>0</v>
      </c>
      <c r="O26" s="49" t="s">
        <v>906</v>
      </c>
      <c r="P26" s="50" t="s">
        <v>27</v>
      </c>
      <c r="Q26" s="50" t="s">
        <v>27</v>
      </c>
      <c r="R26" s="50">
        <v>0</v>
      </c>
      <c r="S26" s="50">
        <v>0</v>
      </c>
      <c r="T26" s="50">
        <v>0</v>
      </c>
      <c r="U26" s="50">
        <v>0</v>
      </c>
      <c r="V26" s="50">
        <v>0</v>
      </c>
      <c r="W26" s="50">
        <v>0</v>
      </c>
      <c r="X26" s="50">
        <v>0</v>
      </c>
    </row>
    <row r="27" spans="1:24" s="4" customFormat="1" x14ac:dyDescent="0.15">
      <c r="A27" s="48" t="s">
        <v>901</v>
      </c>
      <c r="B27" s="48" t="s">
        <v>887</v>
      </c>
      <c r="C27" s="48" t="s">
        <v>30</v>
      </c>
      <c r="D27" s="48">
        <v>1.667</v>
      </c>
      <c r="E27" s="48">
        <v>0</v>
      </c>
      <c r="F27" s="48" t="s">
        <v>904</v>
      </c>
      <c r="G27" s="48">
        <v>10</v>
      </c>
      <c r="H27" s="48">
        <v>1</v>
      </c>
      <c r="I27" s="48" t="s">
        <v>50</v>
      </c>
      <c r="J27" s="48" t="s">
        <v>903</v>
      </c>
      <c r="K27" s="48">
        <v>5</v>
      </c>
      <c r="L27" s="48">
        <v>0.6</v>
      </c>
      <c r="M27" s="48">
        <v>1</v>
      </c>
      <c r="N27" s="48">
        <v>0</v>
      </c>
      <c r="O27" s="49" t="s">
        <v>905</v>
      </c>
      <c r="P27" s="50" t="s">
        <v>27</v>
      </c>
      <c r="Q27" s="50" t="s">
        <v>27</v>
      </c>
      <c r="R27" s="50">
        <v>0</v>
      </c>
      <c r="S27" s="50">
        <v>0</v>
      </c>
      <c r="T27" s="50">
        <v>0</v>
      </c>
      <c r="U27" s="50">
        <v>0</v>
      </c>
      <c r="V27" s="50">
        <v>0</v>
      </c>
      <c r="W27" s="50">
        <v>0</v>
      </c>
      <c r="X27" s="50">
        <v>0</v>
      </c>
    </row>
    <row r="28" spans="1:24" s="5" customFormat="1" x14ac:dyDescent="0.15">
      <c r="A28" s="44" t="s">
        <v>31</v>
      </c>
      <c r="B28" s="44" t="s">
        <v>41</v>
      </c>
      <c r="C28" s="44" t="s">
        <v>29</v>
      </c>
      <c r="D28" s="44">
        <v>1.5</v>
      </c>
      <c r="E28" s="44">
        <v>0</v>
      </c>
      <c r="F28" s="44">
        <v>1</v>
      </c>
      <c r="G28" s="44">
        <v>0</v>
      </c>
      <c r="H28" s="44">
        <v>1</v>
      </c>
      <c r="I28" s="44" t="s">
        <v>27</v>
      </c>
      <c r="J28" s="44" t="s">
        <v>55</v>
      </c>
      <c r="K28" s="44">
        <v>5</v>
      </c>
      <c r="L28" s="44">
        <v>0</v>
      </c>
      <c r="M28" s="44">
        <v>1</v>
      </c>
      <c r="N28" s="44">
        <v>0</v>
      </c>
      <c r="O28" s="45" t="s">
        <v>1520</v>
      </c>
      <c r="P28" s="46" t="s">
        <v>27</v>
      </c>
      <c r="Q28" s="46" t="s">
        <v>27</v>
      </c>
      <c r="R28" s="46">
        <v>0</v>
      </c>
      <c r="S28" s="46">
        <v>0</v>
      </c>
      <c r="T28" s="47">
        <v>0</v>
      </c>
      <c r="U28" s="46">
        <v>0</v>
      </c>
      <c r="V28" s="46">
        <v>0</v>
      </c>
      <c r="W28" s="46">
        <v>0</v>
      </c>
      <c r="X28" s="46">
        <v>0</v>
      </c>
    </row>
    <row r="29" spans="1:24" s="5" customFormat="1" x14ac:dyDescent="0.15">
      <c r="A29" s="44" t="s">
        <v>33</v>
      </c>
      <c r="B29" s="44" t="s">
        <v>42</v>
      </c>
      <c r="C29" s="44" t="s">
        <v>50</v>
      </c>
      <c r="D29" s="44">
        <v>0</v>
      </c>
      <c r="E29" s="44">
        <v>0</v>
      </c>
      <c r="F29" s="44">
        <v>1</v>
      </c>
      <c r="G29" s="44">
        <v>0</v>
      </c>
      <c r="H29" s="44" t="s">
        <v>839</v>
      </c>
      <c r="I29" s="44" t="s">
        <v>27</v>
      </c>
      <c r="J29" s="44" t="s">
        <v>50</v>
      </c>
      <c r="K29" s="44">
        <v>5</v>
      </c>
      <c r="L29" s="44">
        <v>0</v>
      </c>
      <c r="M29" s="44">
        <v>1</v>
      </c>
      <c r="N29" s="44">
        <v>0</v>
      </c>
      <c r="O29" s="45" t="s">
        <v>1520</v>
      </c>
      <c r="P29" s="46" t="s">
        <v>27</v>
      </c>
      <c r="Q29" s="46" t="s">
        <v>27</v>
      </c>
      <c r="R29" s="46">
        <v>0</v>
      </c>
      <c r="S29" s="46">
        <v>0</v>
      </c>
      <c r="T29" s="47">
        <v>0</v>
      </c>
      <c r="U29" s="46">
        <v>0</v>
      </c>
      <c r="V29" s="46">
        <v>0</v>
      </c>
      <c r="W29" s="46">
        <v>0</v>
      </c>
      <c r="X29" s="46">
        <v>0</v>
      </c>
    </row>
    <row r="30" spans="1:24" s="5" customFormat="1" x14ac:dyDescent="0.15">
      <c r="A30" s="44" t="s">
        <v>34</v>
      </c>
      <c r="B30" s="44" t="s">
        <v>43</v>
      </c>
      <c r="C30" s="44" t="s">
        <v>30</v>
      </c>
      <c r="D30" s="44">
        <v>3.3330000000000002</v>
      </c>
      <c r="E30" s="44">
        <v>0</v>
      </c>
      <c r="F30" s="44">
        <v>1</v>
      </c>
      <c r="G30" s="44">
        <v>0</v>
      </c>
      <c r="H30" s="44">
        <v>1</v>
      </c>
      <c r="I30" s="44" t="s">
        <v>27</v>
      </c>
      <c r="J30" s="44" t="s">
        <v>56</v>
      </c>
      <c r="K30" s="44">
        <v>5</v>
      </c>
      <c r="L30" s="44">
        <v>0</v>
      </c>
      <c r="M30" s="44">
        <v>1</v>
      </c>
      <c r="N30" s="44">
        <v>0</v>
      </c>
      <c r="O30" s="45" t="s">
        <v>1520</v>
      </c>
      <c r="P30" s="46" t="s">
        <v>27</v>
      </c>
      <c r="Q30" s="46" t="s">
        <v>27</v>
      </c>
      <c r="R30" s="46">
        <v>0</v>
      </c>
      <c r="S30" s="46">
        <v>0</v>
      </c>
      <c r="T30" s="47">
        <v>0</v>
      </c>
      <c r="U30" s="46">
        <v>0</v>
      </c>
      <c r="V30" s="46">
        <v>0</v>
      </c>
      <c r="W30" s="46">
        <v>0</v>
      </c>
      <c r="X30" s="46">
        <v>0</v>
      </c>
    </row>
    <row r="31" spans="1:24" s="5" customFormat="1" x14ac:dyDescent="0.15">
      <c r="A31" s="44" t="s">
        <v>35</v>
      </c>
      <c r="B31" s="44" t="s">
        <v>44</v>
      </c>
      <c r="C31" s="44" t="s">
        <v>71</v>
      </c>
      <c r="D31" s="44">
        <v>0.83299999999999996</v>
      </c>
      <c r="E31" s="44">
        <v>0</v>
      </c>
      <c r="F31" s="44">
        <v>1</v>
      </c>
      <c r="G31" s="44">
        <v>0</v>
      </c>
      <c r="H31" s="44">
        <v>1</v>
      </c>
      <c r="I31" s="44" t="s">
        <v>27</v>
      </c>
      <c r="J31" s="44" t="s">
        <v>35</v>
      </c>
      <c r="K31" s="44">
        <v>1</v>
      </c>
      <c r="L31" s="48">
        <v>0.2</v>
      </c>
      <c r="M31" s="44">
        <v>1</v>
      </c>
      <c r="N31" s="44">
        <v>0</v>
      </c>
      <c r="O31" s="45" t="s">
        <v>1520</v>
      </c>
      <c r="P31" s="46" t="s">
        <v>27</v>
      </c>
      <c r="Q31" s="46" t="s">
        <v>27</v>
      </c>
      <c r="R31" s="46">
        <v>0</v>
      </c>
      <c r="S31" s="46">
        <v>0</v>
      </c>
      <c r="T31" s="47">
        <v>0</v>
      </c>
      <c r="U31" s="46">
        <v>0</v>
      </c>
      <c r="V31" s="46">
        <v>0</v>
      </c>
      <c r="W31" s="46">
        <v>0</v>
      </c>
      <c r="X31" s="46">
        <v>0</v>
      </c>
    </row>
    <row r="32" spans="1:24" s="5" customFormat="1" x14ac:dyDescent="0.15">
      <c r="A32" s="44" t="s">
        <v>97</v>
      </c>
      <c r="B32" s="44" t="s">
        <v>161</v>
      </c>
      <c r="C32" s="44" t="s">
        <v>835</v>
      </c>
      <c r="D32" s="44">
        <v>1.667</v>
      </c>
      <c r="E32" s="44">
        <v>0</v>
      </c>
      <c r="F32" s="44">
        <v>1</v>
      </c>
      <c r="G32" s="44">
        <v>0</v>
      </c>
      <c r="H32" s="44">
        <v>1</v>
      </c>
      <c r="I32" s="44" t="s">
        <v>151</v>
      </c>
      <c r="J32" s="44" t="s">
        <v>162</v>
      </c>
      <c r="K32" s="44">
        <v>5</v>
      </c>
      <c r="L32" s="48">
        <v>0</v>
      </c>
      <c r="M32" s="44">
        <v>3</v>
      </c>
      <c r="N32" s="44">
        <v>1</v>
      </c>
      <c r="O32" s="45" t="s">
        <v>1681</v>
      </c>
      <c r="P32" s="46" t="s">
        <v>27</v>
      </c>
      <c r="Q32" s="46" t="s">
        <v>27</v>
      </c>
      <c r="R32" s="46">
        <v>0</v>
      </c>
      <c r="S32" s="46">
        <v>0</v>
      </c>
      <c r="T32" s="47">
        <v>0</v>
      </c>
      <c r="U32" s="46">
        <v>0</v>
      </c>
      <c r="V32" s="46">
        <v>0</v>
      </c>
      <c r="W32" s="46">
        <v>0</v>
      </c>
      <c r="X32" s="46">
        <v>0</v>
      </c>
    </row>
    <row r="33" spans="1:46" s="5" customFormat="1" x14ac:dyDescent="0.15">
      <c r="A33" s="44" t="s">
        <v>1680</v>
      </c>
      <c r="B33" s="44" t="s">
        <v>1677</v>
      </c>
      <c r="C33" s="44" t="s">
        <v>1678</v>
      </c>
      <c r="D33" s="44">
        <v>1.667</v>
      </c>
      <c r="E33" s="44">
        <v>0</v>
      </c>
      <c r="F33" s="44">
        <v>1</v>
      </c>
      <c r="G33" s="44">
        <v>0</v>
      </c>
      <c r="H33" s="44">
        <v>1</v>
      </c>
      <c r="I33" s="44" t="s">
        <v>151</v>
      </c>
      <c r="J33" s="44" t="s">
        <v>1679</v>
      </c>
      <c r="K33" s="44">
        <v>5</v>
      </c>
      <c r="L33" s="48">
        <v>0</v>
      </c>
      <c r="M33" s="44">
        <v>2</v>
      </c>
      <c r="N33" s="44">
        <v>2</v>
      </c>
      <c r="O33" s="45" t="s">
        <v>1520</v>
      </c>
      <c r="P33" s="46" t="s">
        <v>27</v>
      </c>
      <c r="Q33" s="46" t="s">
        <v>27</v>
      </c>
      <c r="R33" s="46">
        <v>0</v>
      </c>
      <c r="S33" s="46">
        <v>0</v>
      </c>
      <c r="T33" s="47">
        <v>0</v>
      </c>
      <c r="U33" s="46">
        <v>0</v>
      </c>
      <c r="V33" s="46">
        <v>0</v>
      </c>
      <c r="W33" s="46">
        <v>0</v>
      </c>
      <c r="X33" s="46">
        <v>0</v>
      </c>
    </row>
    <row r="34" spans="1:46" s="5" customFormat="1" x14ac:dyDescent="0.15">
      <c r="A34" s="44" t="s">
        <v>36</v>
      </c>
      <c r="B34" s="44" t="s">
        <v>45</v>
      </c>
      <c r="C34" s="44" t="s">
        <v>72</v>
      </c>
      <c r="D34" s="44">
        <v>2.6669999999999998</v>
      </c>
      <c r="E34" s="44">
        <v>0</v>
      </c>
      <c r="F34" s="44">
        <v>1</v>
      </c>
      <c r="G34" s="44">
        <v>0</v>
      </c>
      <c r="H34" s="44">
        <v>1</v>
      </c>
      <c r="I34" s="44" t="s">
        <v>27</v>
      </c>
      <c r="J34" s="51" t="s">
        <v>1196</v>
      </c>
      <c r="K34" s="44">
        <v>5</v>
      </c>
      <c r="L34" s="48">
        <v>0.2</v>
      </c>
      <c r="M34" s="44">
        <v>1</v>
      </c>
      <c r="N34" s="44">
        <v>0</v>
      </c>
      <c r="O34" s="45" t="s">
        <v>1520</v>
      </c>
      <c r="P34" s="46" t="s">
        <v>27</v>
      </c>
      <c r="Q34" s="46" t="s">
        <v>27</v>
      </c>
      <c r="R34" s="46">
        <v>0</v>
      </c>
      <c r="S34" s="46">
        <v>0</v>
      </c>
      <c r="T34" s="47">
        <v>0</v>
      </c>
      <c r="U34" s="46">
        <v>0</v>
      </c>
      <c r="V34" s="46">
        <v>0</v>
      </c>
      <c r="W34" s="46">
        <v>0</v>
      </c>
      <c r="X34" s="46">
        <v>0</v>
      </c>
    </row>
    <row r="35" spans="1:46" s="5" customFormat="1" x14ac:dyDescent="0.15">
      <c r="A35" s="44" t="s">
        <v>37</v>
      </c>
      <c r="B35" s="44" t="s">
        <v>46</v>
      </c>
      <c r="C35" s="44" t="s">
        <v>27</v>
      </c>
      <c r="D35" s="44">
        <v>0</v>
      </c>
      <c r="E35" s="44">
        <v>0</v>
      </c>
      <c r="F35" s="44">
        <v>1</v>
      </c>
      <c r="G35" s="44">
        <v>0</v>
      </c>
      <c r="H35" s="44" t="s">
        <v>839</v>
      </c>
      <c r="I35" s="44" t="s">
        <v>27</v>
      </c>
      <c r="J35" s="44" t="s">
        <v>27</v>
      </c>
      <c r="K35" s="44">
        <v>5</v>
      </c>
      <c r="L35" s="48">
        <v>0</v>
      </c>
      <c r="M35" s="44">
        <v>1</v>
      </c>
      <c r="N35" s="44">
        <v>0</v>
      </c>
      <c r="O35" s="45" t="s">
        <v>1520</v>
      </c>
      <c r="P35" s="46" t="s">
        <v>27</v>
      </c>
      <c r="Q35" s="46" t="s">
        <v>27</v>
      </c>
      <c r="R35" s="46">
        <v>0</v>
      </c>
      <c r="S35" s="46">
        <v>0</v>
      </c>
      <c r="T35" s="47">
        <v>0</v>
      </c>
      <c r="U35" s="46">
        <v>0</v>
      </c>
      <c r="V35" s="46">
        <v>0</v>
      </c>
      <c r="W35" s="46">
        <v>0</v>
      </c>
      <c r="X35" s="46">
        <v>0</v>
      </c>
    </row>
    <row r="36" spans="1:46" s="5" customFormat="1" x14ac:dyDescent="0.15">
      <c r="A36" s="44" t="s">
        <v>38</v>
      </c>
      <c r="B36" s="44" t="s">
        <v>47</v>
      </c>
      <c r="C36" s="44" t="s">
        <v>73</v>
      </c>
      <c r="D36" s="44">
        <v>3</v>
      </c>
      <c r="E36" s="44">
        <v>0</v>
      </c>
      <c r="F36" s="44">
        <v>1</v>
      </c>
      <c r="G36" s="44">
        <v>0</v>
      </c>
      <c r="H36" s="44">
        <v>1</v>
      </c>
      <c r="I36" s="44" t="s">
        <v>27</v>
      </c>
      <c r="J36" s="44" t="s">
        <v>1197</v>
      </c>
      <c r="K36" s="44">
        <v>5</v>
      </c>
      <c r="L36" s="48">
        <v>0.1</v>
      </c>
      <c r="M36" s="44">
        <v>1</v>
      </c>
      <c r="N36" s="44">
        <v>0</v>
      </c>
      <c r="O36" s="45" t="s">
        <v>1520</v>
      </c>
      <c r="P36" s="46" t="s">
        <v>27</v>
      </c>
      <c r="Q36" s="46" t="s">
        <v>27</v>
      </c>
      <c r="R36" s="46">
        <v>0</v>
      </c>
      <c r="S36" s="46">
        <v>0</v>
      </c>
      <c r="T36" s="47">
        <v>0</v>
      </c>
      <c r="U36" s="46">
        <v>0</v>
      </c>
      <c r="V36" s="46">
        <v>0</v>
      </c>
      <c r="W36" s="46">
        <v>0</v>
      </c>
      <c r="X36" s="46">
        <v>0</v>
      </c>
    </row>
    <row r="37" spans="1:46" s="5" customFormat="1" x14ac:dyDescent="0.15">
      <c r="A37" s="44" t="s">
        <v>63</v>
      </c>
      <c r="B37" s="44" t="s">
        <v>164</v>
      </c>
      <c r="C37" s="44" t="s">
        <v>150</v>
      </c>
      <c r="D37" s="44">
        <v>1</v>
      </c>
      <c r="E37" s="44">
        <v>0</v>
      </c>
      <c r="F37" s="44">
        <v>1</v>
      </c>
      <c r="G37" s="44">
        <v>0</v>
      </c>
      <c r="H37" s="44">
        <v>1</v>
      </c>
      <c r="I37" s="44" t="s">
        <v>151</v>
      </c>
      <c r="J37" s="44" t="s">
        <v>649</v>
      </c>
      <c r="K37" s="44">
        <v>1</v>
      </c>
      <c r="L37" s="44">
        <v>0</v>
      </c>
      <c r="M37" s="44">
        <v>1</v>
      </c>
      <c r="N37" s="44">
        <v>12</v>
      </c>
      <c r="O37" s="45" t="s">
        <v>1520</v>
      </c>
      <c r="P37" s="46" t="s">
        <v>27</v>
      </c>
      <c r="Q37" s="46" t="s">
        <v>27</v>
      </c>
      <c r="R37" s="46">
        <v>0</v>
      </c>
      <c r="S37" s="46">
        <v>0</v>
      </c>
      <c r="T37" s="47">
        <v>0</v>
      </c>
      <c r="U37" s="46">
        <v>0</v>
      </c>
      <c r="V37" s="46">
        <v>0</v>
      </c>
      <c r="W37" s="46">
        <v>0</v>
      </c>
      <c r="X37" s="46">
        <v>0</v>
      </c>
    </row>
    <row r="38" spans="1:46" s="5" customFormat="1" x14ac:dyDescent="0.15">
      <c r="A38" s="44" t="s">
        <v>99</v>
      </c>
      <c r="B38" s="44" t="s">
        <v>165</v>
      </c>
      <c r="C38" s="44" t="s">
        <v>160</v>
      </c>
      <c r="D38" s="44">
        <v>2.8330000000000002</v>
      </c>
      <c r="E38" s="44">
        <v>0</v>
      </c>
      <c r="F38" s="44">
        <v>1</v>
      </c>
      <c r="G38" s="44">
        <v>0</v>
      </c>
      <c r="H38" s="44">
        <v>1</v>
      </c>
      <c r="I38" s="44" t="s">
        <v>151</v>
      </c>
      <c r="J38" s="44" t="s">
        <v>166</v>
      </c>
      <c r="K38" s="44">
        <v>5</v>
      </c>
      <c r="L38" s="44">
        <v>0.1</v>
      </c>
      <c r="M38" s="44">
        <v>1</v>
      </c>
      <c r="N38" s="44">
        <v>0</v>
      </c>
      <c r="O38" s="45" t="s">
        <v>1520</v>
      </c>
      <c r="P38" s="46" t="s">
        <v>27</v>
      </c>
      <c r="Q38" s="46" t="s">
        <v>27</v>
      </c>
      <c r="R38" s="46">
        <v>0</v>
      </c>
      <c r="S38" s="46">
        <v>0</v>
      </c>
      <c r="T38" s="47">
        <v>0</v>
      </c>
      <c r="U38" s="46">
        <v>0</v>
      </c>
      <c r="V38" s="46">
        <v>0</v>
      </c>
      <c r="W38" s="46">
        <v>0</v>
      </c>
      <c r="X38" s="46">
        <v>0</v>
      </c>
    </row>
    <row r="39" spans="1:46" s="5" customFormat="1" x14ac:dyDescent="0.15">
      <c r="A39" s="44" t="s">
        <v>643</v>
      </c>
      <c r="B39" s="44" t="s">
        <v>645</v>
      </c>
      <c r="C39" s="44" t="s">
        <v>652</v>
      </c>
      <c r="D39" s="44">
        <v>3</v>
      </c>
      <c r="E39" s="44">
        <v>0</v>
      </c>
      <c r="F39" s="44">
        <v>1</v>
      </c>
      <c r="G39" s="44">
        <v>0</v>
      </c>
      <c r="H39" s="44" t="s">
        <v>839</v>
      </c>
      <c r="I39" s="44" t="s">
        <v>151</v>
      </c>
      <c r="J39" s="44" t="s">
        <v>654</v>
      </c>
      <c r="K39" s="44">
        <v>5</v>
      </c>
      <c r="L39" s="44">
        <v>0</v>
      </c>
      <c r="M39" s="44">
        <v>1</v>
      </c>
      <c r="N39" s="44">
        <v>0</v>
      </c>
      <c r="O39" s="45" t="s">
        <v>1520</v>
      </c>
      <c r="P39" s="46" t="s">
        <v>27</v>
      </c>
      <c r="Q39" s="46" t="s">
        <v>27</v>
      </c>
      <c r="R39" s="46">
        <v>0</v>
      </c>
      <c r="S39" s="46">
        <v>0</v>
      </c>
      <c r="T39" s="47">
        <v>0</v>
      </c>
      <c r="U39" s="46">
        <v>0</v>
      </c>
      <c r="V39" s="46">
        <v>0</v>
      </c>
      <c r="W39" s="46">
        <v>0</v>
      </c>
      <c r="X39" s="46">
        <v>0</v>
      </c>
    </row>
    <row r="40" spans="1:46" s="5" customFormat="1" x14ac:dyDescent="0.15">
      <c r="A40" s="44" t="s">
        <v>644</v>
      </c>
      <c r="B40" s="44" t="s">
        <v>646</v>
      </c>
      <c r="C40" s="44" t="s">
        <v>653</v>
      </c>
      <c r="D40" s="44">
        <v>3</v>
      </c>
      <c r="E40" s="44">
        <v>0</v>
      </c>
      <c r="F40" s="44">
        <v>1</v>
      </c>
      <c r="G40" s="44">
        <v>0</v>
      </c>
      <c r="H40" s="44" t="s">
        <v>839</v>
      </c>
      <c r="I40" s="44" t="s">
        <v>50</v>
      </c>
      <c r="J40" s="44" t="s">
        <v>647</v>
      </c>
      <c r="K40" s="44">
        <v>5</v>
      </c>
      <c r="L40" s="44">
        <v>0</v>
      </c>
      <c r="M40" s="44">
        <v>1</v>
      </c>
      <c r="N40" s="44">
        <v>0</v>
      </c>
      <c r="O40" s="45" t="s">
        <v>1520</v>
      </c>
      <c r="P40" s="46" t="s">
        <v>27</v>
      </c>
      <c r="Q40" s="46" t="s">
        <v>27</v>
      </c>
      <c r="R40" s="46">
        <v>0</v>
      </c>
      <c r="S40" s="46">
        <v>0</v>
      </c>
      <c r="T40" s="47">
        <v>0</v>
      </c>
      <c r="U40" s="46">
        <v>0</v>
      </c>
      <c r="V40" s="46">
        <v>0</v>
      </c>
      <c r="W40" s="46">
        <v>0</v>
      </c>
      <c r="X40" s="46">
        <v>0</v>
      </c>
    </row>
    <row r="41" spans="1:46" s="5" customFormat="1" x14ac:dyDescent="0.15">
      <c r="A41" s="44" t="s">
        <v>698</v>
      </c>
      <c r="B41" s="44" t="s">
        <v>699</v>
      </c>
      <c r="C41" s="44" t="s">
        <v>700</v>
      </c>
      <c r="D41" s="44">
        <v>2.8330000000000002</v>
      </c>
      <c r="E41" s="44">
        <v>0</v>
      </c>
      <c r="F41" s="44">
        <v>1</v>
      </c>
      <c r="G41" s="44">
        <v>0</v>
      </c>
      <c r="H41" s="44">
        <v>1</v>
      </c>
      <c r="I41" s="44" t="s">
        <v>50</v>
      </c>
      <c r="J41" s="44" t="s">
        <v>701</v>
      </c>
      <c r="K41" s="44">
        <v>5</v>
      </c>
      <c r="L41" s="44">
        <v>0</v>
      </c>
      <c r="M41" s="44">
        <v>1</v>
      </c>
      <c r="N41" s="44">
        <v>0</v>
      </c>
      <c r="O41" s="45" t="s">
        <v>1520</v>
      </c>
      <c r="P41" s="46" t="s">
        <v>27</v>
      </c>
      <c r="Q41" s="46" t="s">
        <v>27</v>
      </c>
      <c r="R41" s="46">
        <v>0</v>
      </c>
      <c r="S41" s="46">
        <v>0</v>
      </c>
      <c r="T41" s="47">
        <v>0</v>
      </c>
      <c r="U41" s="46">
        <v>0</v>
      </c>
      <c r="V41" s="46">
        <v>0</v>
      </c>
      <c r="W41" s="46">
        <v>0</v>
      </c>
      <c r="X41" s="46">
        <v>0</v>
      </c>
    </row>
    <row r="42" spans="1:46" s="5" customFormat="1" x14ac:dyDescent="0.15">
      <c r="A42" s="44" t="s">
        <v>100</v>
      </c>
      <c r="B42" s="44" t="s">
        <v>650</v>
      </c>
      <c r="C42" s="44" t="s">
        <v>150</v>
      </c>
      <c r="D42" s="44">
        <v>0.66700000000000004</v>
      </c>
      <c r="E42" s="44">
        <v>0</v>
      </c>
      <c r="F42" s="44">
        <v>1</v>
      </c>
      <c r="G42" s="44">
        <v>0</v>
      </c>
      <c r="H42" s="44">
        <v>1</v>
      </c>
      <c r="I42" s="44" t="s">
        <v>151</v>
      </c>
      <c r="J42" s="44" t="s">
        <v>648</v>
      </c>
      <c r="K42" s="44">
        <v>1</v>
      </c>
      <c r="L42" s="44">
        <v>0</v>
      </c>
      <c r="M42" s="44">
        <v>1</v>
      </c>
      <c r="N42" s="44">
        <v>0</v>
      </c>
      <c r="O42" s="45" t="s">
        <v>1520</v>
      </c>
      <c r="P42" s="46" t="s">
        <v>27</v>
      </c>
      <c r="Q42" s="46" t="s">
        <v>27</v>
      </c>
      <c r="R42" s="46">
        <v>0</v>
      </c>
      <c r="S42" s="46">
        <v>0</v>
      </c>
      <c r="T42" s="47">
        <v>0</v>
      </c>
      <c r="U42" s="46">
        <v>0</v>
      </c>
      <c r="V42" s="46">
        <v>0</v>
      </c>
      <c r="W42" s="46">
        <v>0</v>
      </c>
      <c r="X42" s="46">
        <v>0</v>
      </c>
    </row>
    <row r="43" spans="1:46" s="5" customFormat="1" x14ac:dyDescent="0.15">
      <c r="A43" s="44" t="s">
        <v>101</v>
      </c>
      <c r="B43" s="44" t="s">
        <v>651</v>
      </c>
      <c r="C43" s="44" t="s">
        <v>160</v>
      </c>
      <c r="D43" s="44">
        <v>1.333</v>
      </c>
      <c r="E43" s="44">
        <v>0</v>
      </c>
      <c r="F43" s="44">
        <v>1</v>
      </c>
      <c r="G43" s="44">
        <v>0</v>
      </c>
      <c r="H43" s="44">
        <v>1</v>
      </c>
      <c r="I43" s="44" t="s">
        <v>151</v>
      </c>
      <c r="J43" s="44" t="s">
        <v>168</v>
      </c>
      <c r="K43" s="44">
        <v>5</v>
      </c>
      <c r="L43" s="44">
        <v>0</v>
      </c>
      <c r="M43" s="44">
        <v>1</v>
      </c>
      <c r="N43" s="44">
        <v>0</v>
      </c>
      <c r="O43" s="45" t="s">
        <v>1520</v>
      </c>
      <c r="P43" s="46" t="s">
        <v>27</v>
      </c>
      <c r="Q43" s="46" t="s">
        <v>27</v>
      </c>
      <c r="R43" s="46">
        <v>0</v>
      </c>
      <c r="S43" s="46">
        <v>0</v>
      </c>
      <c r="T43" s="47">
        <v>0</v>
      </c>
      <c r="U43" s="46">
        <v>0</v>
      </c>
      <c r="V43" s="46">
        <v>0</v>
      </c>
      <c r="W43" s="46">
        <v>0</v>
      </c>
      <c r="X43" s="46">
        <v>0</v>
      </c>
    </row>
    <row r="44" spans="1:46" s="5" customFormat="1" x14ac:dyDescent="0.15">
      <c r="A44" s="52" t="s">
        <v>138</v>
      </c>
      <c r="B44" s="52" t="s">
        <v>169</v>
      </c>
      <c r="C44" s="52" t="s">
        <v>150</v>
      </c>
      <c r="D44" s="53">
        <v>1.2669999999999999</v>
      </c>
      <c r="E44" s="52">
        <v>0</v>
      </c>
      <c r="F44" s="52">
        <v>1</v>
      </c>
      <c r="G44" s="52">
        <v>0</v>
      </c>
      <c r="H44" s="52">
        <v>1</v>
      </c>
      <c r="I44" s="52" t="s">
        <v>151</v>
      </c>
      <c r="J44" s="52" t="s">
        <v>1523</v>
      </c>
      <c r="K44" s="52">
        <v>5</v>
      </c>
      <c r="L44" s="52">
        <v>0</v>
      </c>
      <c r="M44" s="52">
        <v>1</v>
      </c>
      <c r="N44" s="52">
        <v>0</v>
      </c>
      <c r="O44" s="54" t="s">
        <v>1520</v>
      </c>
      <c r="P44" s="55" t="s">
        <v>27</v>
      </c>
      <c r="Q44" s="55" t="s">
        <v>27</v>
      </c>
      <c r="R44" s="55">
        <v>0</v>
      </c>
      <c r="S44" s="55">
        <v>0</v>
      </c>
      <c r="T44" s="56">
        <v>0</v>
      </c>
      <c r="U44" s="55">
        <v>0</v>
      </c>
      <c r="V44" s="55">
        <v>0</v>
      </c>
      <c r="W44" s="55">
        <v>0</v>
      </c>
      <c r="X44" s="55">
        <v>0</v>
      </c>
    </row>
    <row r="45" spans="1:46" s="5" customFormat="1" x14ac:dyDescent="0.15">
      <c r="A45" s="52" t="s">
        <v>1575</v>
      </c>
      <c r="B45" s="52" t="s">
        <v>1577</v>
      </c>
      <c r="C45" s="52" t="s">
        <v>1529</v>
      </c>
      <c r="D45" s="53">
        <v>1.2669999999999999</v>
      </c>
      <c r="E45" s="52">
        <v>0</v>
      </c>
      <c r="F45" s="52">
        <v>1</v>
      </c>
      <c r="G45" s="52">
        <v>0</v>
      </c>
      <c r="H45" s="52">
        <v>1</v>
      </c>
      <c r="I45" s="52" t="s">
        <v>151</v>
      </c>
      <c r="J45" s="52" t="s">
        <v>1579</v>
      </c>
      <c r="K45" s="52">
        <v>5</v>
      </c>
      <c r="L45" s="52">
        <v>0</v>
      </c>
      <c r="M45" s="52">
        <v>1</v>
      </c>
      <c r="N45" s="52">
        <v>0</v>
      </c>
      <c r="O45" s="54" t="s">
        <v>1520</v>
      </c>
      <c r="P45" s="55" t="s">
        <v>27</v>
      </c>
      <c r="Q45" s="55" t="s">
        <v>27</v>
      </c>
      <c r="R45" s="55">
        <v>0</v>
      </c>
      <c r="S45" s="55">
        <v>0</v>
      </c>
      <c r="T45" s="56">
        <v>0</v>
      </c>
      <c r="U45" s="55">
        <v>0</v>
      </c>
      <c r="V45" s="55">
        <v>0</v>
      </c>
      <c r="W45" s="55">
        <v>0</v>
      </c>
      <c r="X45" s="55">
        <v>0</v>
      </c>
    </row>
    <row r="46" spans="1:46" s="5" customFormat="1" x14ac:dyDescent="0.15">
      <c r="A46" s="52" t="s">
        <v>1576</v>
      </c>
      <c r="B46" s="52" t="s">
        <v>1578</v>
      </c>
      <c r="C46" s="52" t="s">
        <v>1530</v>
      </c>
      <c r="D46" s="53">
        <v>1.2669999999999999</v>
      </c>
      <c r="E46" s="52">
        <v>0</v>
      </c>
      <c r="F46" s="52">
        <v>1</v>
      </c>
      <c r="G46" s="52">
        <v>0</v>
      </c>
      <c r="H46" s="52">
        <v>1</v>
      </c>
      <c r="I46" s="52" t="s">
        <v>151</v>
      </c>
      <c r="J46" s="52" t="s">
        <v>1580</v>
      </c>
      <c r="K46" s="52">
        <v>5</v>
      </c>
      <c r="L46" s="52">
        <v>0</v>
      </c>
      <c r="M46" s="52">
        <v>1</v>
      </c>
      <c r="N46" s="52">
        <v>0</v>
      </c>
      <c r="O46" s="54" t="s">
        <v>1520</v>
      </c>
      <c r="P46" s="55" t="s">
        <v>27</v>
      </c>
      <c r="Q46" s="55" t="s">
        <v>27</v>
      </c>
      <c r="R46" s="55">
        <v>0</v>
      </c>
      <c r="S46" s="55">
        <v>0</v>
      </c>
      <c r="T46" s="56">
        <v>0</v>
      </c>
      <c r="U46" s="55">
        <v>0</v>
      </c>
      <c r="V46" s="55">
        <v>0</v>
      </c>
      <c r="W46" s="55">
        <v>0</v>
      </c>
      <c r="X46" s="55">
        <v>0</v>
      </c>
    </row>
    <row r="47" spans="1:46" s="5" customFormat="1" x14ac:dyDescent="0.15">
      <c r="A47" s="52" t="s">
        <v>723</v>
      </c>
      <c r="B47" s="57" t="s">
        <v>1593</v>
      </c>
      <c r="C47" s="57" t="s">
        <v>27</v>
      </c>
      <c r="D47" s="57">
        <v>0</v>
      </c>
      <c r="E47" s="57">
        <v>0</v>
      </c>
      <c r="F47" s="57">
        <v>11</v>
      </c>
      <c r="G47" s="57">
        <v>0</v>
      </c>
      <c r="H47" s="57" t="s">
        <v>1596</v>
      </c>
      <c r="I47" s="57" t="s">
        <v>27</v>
      </c>
      <c r="J47" s="57" t="s">
        <v>1595</v>
      </c>
      <c r="K47" s="57">
        <v>1</v>
      </c>
      <c r="L47" s="57">
        <v>0</v>
      </c>
      <c r="M47" s="58">
        <v>2</v>
      </c>
      <c r="N47" s="52">
        <v>4</v>
      </c>
      <c r="O47" s="54" t="s">
        <v>1520</v>
      </c>
      <c r="P47" s="57" t="s">
        <v>27</v>
      </c>
      <c r="Q47" s="57" t="s">
        <v>27</v>
      </c>
      <c r="R47" s="57">
        <v>0</v>
      </c>
      <c r="S47" s="57">
        <v>0</v>
      </c>
      <c r="T47" s="57">
        <v>0</v>
      </c>
      <c r="U47" s="57">
        <v>0</v>
      </c>
      <c r="V47" s="57">
        <v>0</v>
      </c>
      <c r="W47" s="57">
        <v>0</v>
      </c>
      <c r="X47" s="57">
        <v>0</v>
      </c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</row>
    <row r="48" spans="1:46" x14ac:dyDescent="0.15">
      <c r="A48" s="52" t="s">
        <v>58</v>
      </c>
      <c r="B48" s="52" t="s">
        <v>170</v>
      </c>
      <c r="C48" s="52" t="s">
        <v>73</v>
      </c>
      <c r="D48" s="52">
        <v>1.667</v>
      </c>
      <c r="E48" s="52">
        <v>0</v>
      </c>
      <c r="F48" s="52">
        <v>1</v>
      </c>
      <c r="G48" s="52">
        <v>0</v>
      </c>
      <c r="H48" s="52">
        <v>1</v>
      </c>
      <c r="I48" s="52" t="s">
        <v>114</v>
      </c>
      <c r="J48" s="52" t="s">
        <v>171</v>
      </c>
      <c r="K48" s="52">
        <v>5</v>
      </c>
      <c r="L48" s="52">
        <v>0.6</v>
      </c>
      <c r="M48" s="52">
        <v>3</v>
      </c>
      <c r="N48" s="52">
        <v>0</v>
      </c>
      <c r="O48" s="54" t="s">
        <v>1520</v>
      </c>
      <c r="P48" s="55" t="s">
        <v>27</v>
      </c>
      <c r="Q48" s="55" t="s">
        <v>27</v>
      </c>
      <c r="R48" s="55">
        <v>0</v>
      </c>
      <c r="S48" s="55">
        <v>0</v>
      </c>
      <c r="T48" s="56">
        <v>0</v>
      </c>
      <c r="U48" s="55">
        <v>0</v>
      </c>
      <c r="V48" s="55">
        <v>0</v>
      </c>
      <c r="W48" s="55">
        <v>0</v>
      </c>
      <c r="X48" s="55">
        <v>0</v>
      </c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</row>
    <row r="49" spans="1:46" x14ac:dyDescent="0.15">
      <c r="A49" s="52" t="s">
        <v>713</v>
      </c>
      <c r="B49" s="52" t="s">
        <v>172</v>
      </c>
      <c r="C49" s="52" t="s">
        <v>160</v>
      </c>
      <c r="D49" s="57">
        <v>3.6669999999999998</v>
      </c>
      <c r="E49" s="52">
        <v>0</v>
      </c>
      <c r="F49" s="52">
        <v>1</v>
      </c>
      <c r="G49" s="52">
        <v>0</v>
      </c>
      <c r="H49" s="52">
        <v>1</v>
      </c>
      <c r="I49" s="52" t="s">
        <v>151</v>
      </c>
      <c r="J49" s="52" t="s">
        <v>173</v>
      </c>
      <c r="K49" s="52">
        <v>5</v>
      </c>
      <c r="L49" s="52">
        <v>0</v>
      </c>
      <c r="M49" s="58">
        <v>1</v>
      </c>
      <c r="N49" s="52">
        <v>0</v>
      </c>
      <c r="O49" s="54" t="s">
        <v>1520</v>
      </c>
      <c r="P49" s="55" t="s">
        <v>27</v>
      </c>
      <c r="Q49" s="55" t="s">
        <v>27</v>
      </c>
      <c r="R49" s="55">
        <v>0</v>
      </c>
      <c r="S49" s="55">
        <v>0</v>
      </c>
      <c r="T49" s="56">
        <v>0</v>
      </c>
      <c r="U49" s="55">
        <v>0</v>
      </c>
      <c r="V49" s="55">
        <v>0</v>
      </c>
      <c r="W49" s="55">
        <v>0</v>
      </c>
      <c r="X49" s="55">
        <v>0</v>
      </c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</row>
    <row r="50" spans="1:46" x14ac:dyDescent="0.15">
      <c r="A50" s="57" t="s">
        <v>1592</v>
      </c>
      <c r="B50" s="57" t="s">
        <v>1593</v>
      </c>
      <c r="C50" s="57" t="s">
        <v>73</v>
      </c>
      <c r="D50" s="57">
        <v>1.867</v>
      </c>
      <c r="E50" s="57">
        <v>0</v>
      </c>
      <c r="F50" s="57">
        <v>1</v>
      </c>
      <c r="G50" s="57">
        <v>0</v>
      </c>
      <c r="H50" s="57">
        <v>1</v>
      </c>
      <c r="I50" s="57" t="s">
        <v>27</v>
      </c>
      <c r="J50" s="57" t="s">
        <v>1594</v>
      </c>
      <c r="K50" s="57">
        <v>5</v>
      </c>
      <c r="L50" s="57">
        <v>0</v>
      </c>
      <c r="M50" s="58">
        <v>1</v>
      </c>
      <c r="N50" s="57">
        <v>0</v>
      </c>
      <c r="O50" s="54" t="s">
        <v>1520</v>
      </c>
      <c r="P50" s="57" t="s">
        <v>27</v>
      </c>
      <c r="Q50" s="57" t="s">
        <v>27</v>
      </c>
      <c r="R50" s="57">
        <v>0</v>
      </c>
      <c r="S50" s="57">
        <v>0</v>
      </c>
      <c r="T50" s="57">
        <v>0</v>
      </c>
      <c r="U50" s="57">
        <v>0</v>
      </c>
      <c r="V50" s="57">
        <v>0</v>
      </c>
      <c r="W50" s="57">
        <v>0</v>
      </c>
      <c r="X50" s="57">
        <v>0</v>
      </c>
    </row>
    <row r="51" spans="1:46" s="6" customFormat="1" x14ac:dyDescent="0.15">
      <c r="A51" s="59" t="s">
        <v>1521</v>
      </c>
      <c r="B51" s="59" t="s">
        <v>1522</v>
      </c>
      <c r="C51" s="59" t="s">
        <v>1443</v>
      </c>
      <c r="D51" s="59">
        <v>1.0669999999999999</v>
      </c>
      <c r="E51" s="59">
        <v>0</v>
      </c>
      <c r="F51" s="59">
        <v>1</v>
      </c>
      <c r="G51" s="59">
        <v>0</v>
      </c>
      <c r="H51" s="59">
        <v>1</v>
      </c>
      <c r="I51" s="59" t="s">
        <v>27</v>
      </c>
      <c r="J51" s="59" t="s">
        <v>1054</v>
      </c>
      <c r="K51" s="59">
        <v>5</v>
      </c>
      <c r="L51" s="59">
        <v>0.2</v>
      </c>
      <c r="M51" s="59">
        <v>2</v>
      </c>
      <c r="N51" s="59">
        <v>0</v>
      </c>
      <c r="O51" s="45" t="s">
        <v>1520</v>
      </c>
      <c r="P51" s="59" t="s">
        <v>27</v>
      </c>
      <c r="Q51" s="59" t="s">
        <v>27</v>
      </c>
      <c r="R51" s="59">
        <v>0</v>
      </c>
      <c r="S51" s="59">
        <v>0</v>
      </c>
      <c r="T51" s="59">
        <v>0</v>
      </c>
      <c r="U51" s="59">
        <v>0</v>
      </c>
      <c r="V51" s="59">
        <v>0</v>
      </c>
      <c r="W51" s="59">
        <v>0</v>
      </c>
      <c r="X51" s="59">
        <v>0</v>
      </c>
      <c r="Y51" s="5"/>
    </row>
    <row r="52" spans="1:46" s="5" customFormat="1" x14ac:dyDescent="0.15">
      <c r="A52" s="44" t="s">
        <v>59</v>
      </c>
      <c r="B52" s="44" t="s">
        <v>174</v>
      </c>
      <c r="C52" s="44" t="s">
        <v>150</v>
      </c>
      <c r="D52" s="44">
        <v>1</v>
      </c>
      <c r="E52" s="44">
        <v>0</v>
      </c>
      <c r="F52" s="44">
        <v>1</v>
      </c>
      <c r="G52" s="44">
        <v>0</v>
      </c>
      <c r="H52" s="44">
        <v>1</v>
      </c>
      <c r="I52" s="44" t="s">
        <v>151</v>
      </c>
      <c r="J52" s="44" t="s">
        <v>175</v>
      </c>
      <c r="K52" s="44">
        <v>1</v>
      </c>
      <c r="L52" s="44">
        <v>0</v>
      </c>
      <c r="M52" s="44">
        <v>1</v>
      </c>
      <c r="N52" s="44">
        <v>0</v>
      </c>
      <c r="O52" s="45" t="s">
        <v>1520</v>
      </c>
      <c r="P52" s="46" t="s">
        <v>27</v>
      </c>
      <c r="Q52" s="46" t="s">
        <v>27</v>
      </c>
      <c r="R52" s="46">
        <v>0</v>
      </c>
      <c r="S52" s="46">
        <v>0</v>
      </c>
      <c r="T52" s="47">
        <v>0</v>
      </c>
      <c r="U52" s="46">
        <v>0</v>
      </c>
      <c r="V52" s="46">
        <v>0</v>
      </c>
      <c r="W52" s="46">
        <v>0</v>
      </c>
      <c r="X52" s="46">
        <v>0</v>
      </c>
    </row>
    <row r="53" spans="1:46" s="5" customFormat="1" x14ac:dyDescent="0.15">
      <c r="A53" s="44" t="s">
        <v>1537</v>
      </c>
      <c r="B53" s="44" t="s">
        <v>1539</v>
      </c>
      <c r="C53" s="44" t="s">
        <v>150</v>
      </c>
      <c r="D53" s="44">
        <v>1</v>
      </c>
      <c r="E53" s="44">
        <v>0</v>
      </c>
      <c r="F53" s="44">
        <v>1</v>
      </c>
      <c r="G53" s="44">
        <v>0</v>
      </c>
      <c r="H53" s="44">
        <v>1</v>
      </c>
      <c r="I53" s="44" t="s">
        <v>151</v>
      </c>
      <c r="J53" s="44" t="s">
        <v>175</v>
      </c>
      <c r="K53" s="44">
        <v>1</v>
      </c>
      <c r="L53" s="44">
        <v>0</v>
      </c>
      <c r="M53" s="44">
        <v>1</v>
      </c>
      <c r="N53" s="44">
        <v>0</v>
      </c>
      <c r="O53" s="45" t="s">
        <v>1520</v>
      </c>
      <c r="P53" s="46" t="s">
        <v>27</v>
      </c>
      <c r="Q53" s="46" t="s">
        <v>27</v>
      </c>
      <c r="R53" s="46">
        <v>0</v>
      </c>
      <c r="S53" s="46">
        <v>0</v>
      </c>
      <c r="T53" s="47">
        <v>0</v>
      </c>
      <c r="U53" s="46">
        <v>0</v>
      </c>
      <c r="V53" s="46">
        <v>0</v>
      </c>
      <c r="W53" s="46">
        <v>0</v>
      </c>
      <c r="X53" s="46">
        <v>0</v>
      </c>
    </row>
    <row r="54" spans="1:46" s="5" customFormat="1" x14ac:dyDescent="0.15">
      <c r="A54" s="44" t="s">
        <v>1538</v>
      </c>
      <c r="B54" s="44" t="s">
        <v>1540</v>
      </c>
      <c r="C54" s="44" t="s">
        <v>150</v>
      </c>
      <c r="D54" s="44">
        <v>1</v>
      </c>
      <c r="E54" s="44">
        <v>0</v>
      </c>
      <c r="F54" s="44">
        <v>1</v>
      </c>
      <c r="G54" s="44">
        <v>0</v>
      </c>
      <c r="H54" s="44">
        <v>1</v>
      </c>
      <c r="I54" s="44" t="s">
        <v>151</v>
      </c>
      <c r="J54" s="44" t="s">
        <v>175</v>
      </c>
      <c r="K54" s="44">
        <v>1</v>
      </c>
      <c r="L54" s="44">
        <v>0</v>
      </c>
      <c r="M54" s="44">
        <v>1</v>
      </c>
      <c r="N54" s="44">
        <v>0</v>
      </c>
      <c r="O54" s="45" t="s">
        <v>1520</v>
      </c>
      <c r="P54" s="46" t="s">
        <v>27</v>
      </c>
      <c r="Q54" s="46" t="s">
        <v>27</v>
      </c>
      <c r="R54" s="46">
        <v>0</v>
      </c>
      <c r="S54" s="46">
        <v>0</v>
      </c>
      <c r="T54" s="47">
        <v>0</v>
      </c>
      <c r="U54" s="46">
        <v>0</v>
      </c>
      <c r="V54" s="46">
        <v>0</v>
      </c>
      <c r="W54" s="46">
        <v>0</v>
      </c>
      <c r="X54" s="46">
        <v>0</v>
      </c>
    </row>
    <row r="55" spans="1:46" s="5" customFormat="1" x14ac:dyDescent="0.15">
      <c r="A55" s="44" t="s">
        <v>667</v>
      </c>
      <c r="B55" s="44" t="s">
        <v>176</v>
      </c>
      <c r="C55" s="44" t="s">
        <v>150</v>
      </c>
      <c r="D55" s="44">
        <v>0.8</v>
      </c>
      <c r="E55" s="44">
        <v>0</v>
      </c>
      <c r="F55" s="44">
        <v>1</v>
      </c>
      <c r="G55" s="44">
        <v>0</v>
      </c>
      <c r="H55" s="44" t="s">
        <v>839</v>
      </c>
      <c r="I55" s="44" t="s">
        <v>151</v>
      </c>
      <c r="J55" s="44" t="s">
        <v>177</v>
      </c>
      <c r="K55" s="44">
        <v>0.7</v>
      </c>
      <c r="L55" s="44">
        <v>0</v>
      </c>
      <c r="M55" s="44">
        <v>2</v>
      </c>
      <c r="N55" s="44">
        <v>7</v>
      </c>
      <c r="O55" s="45" t="s">
        <v>1520</v>
      </c>
      <c r="P55" s="46" t="s">
        <v>27</v>
      </c>
      <c r="Q55" s="46" t="s">
        <v>27</v>
      </c>
      <c r="R55" s="46">
        <v>0</v>
      </c>
      <c r="S55" s="46">
        <v>0</v>
      </c>
      <c r="T55" s="47">
        <v>0</v>
      </c>
      <c r="U55" s="46">
        <v>0</v>
      </c>
      <c r="V55" s="46">
        <v>0</v>
      </c>
      <c r="W55" s="46">
        <v>0</v>
      </c>
      <c r="X55" s="46">
        <v>0</v>
      </c>
    </row>
    <row r="56" spans="1:46" s="5" customFormat="1" x14ac:dyDescent="0.15">
      <c r="A56" s="44" t="s">
        <v>60</v>
      </c>
      <c r="B56" s="44" t="s">
        <v>178</v>
      </c>
      <c r="C56" s="44" t="s">
        <v>73</v>
      </c>
      <c r="D56" s="44">
        <v>1.667</v>
      </c>
      <c r="E56" s="44">
        <v>0</v>
      </c>
      <c r="F56" s="44">
        <v>1</v>
      </c>
      <c r="G56" s="44">
        <v>0</v>
      </c>
      <c r="H56" s="44">
        <v>1</v>
      </c>
      <c r="I56" s="44" t="s">
        <v>151</v>
      </c>
      <c r="J56" s="44" t="s">
        <v>179</v>
      </c>
      <c r="K56" s="44">
        <v>5</v>
      </c>
      <c r="L56" s="44">
        <v>0.6</v>
      </c>
      <c r="M56" s="44">
        <v>1</v>
      </c>
      <c r="N56" s="44">
        <v>0</v>
      </c>
      <c r="O56" s="45" t="s">
        <v>1520</v>
      </c>
      <c r="P56" s="46" t="s">
        <v>27</v>
      </c>
      <c r="Q56" s="46" t="s">
        <v>27</v>
      </c>
      <c r="R56" s="46">
        <v>0</v>
      </c>
      <c r="S56" s="46">
        <v>0</v>
      </c>
      <c r="T56" s="47">
        <v>0</v>
      </c>
      <c r="U56" s="46">
        <v>0</v>
      </c>
      <c r="V56" s="46">
        <v>0</v>
      </c>
      <c r="W56" s="46">
        <v>0</v>
      </c>
      <c r="X56" s="46">
        <v>0</v>
      </c>
    </row>
    <row r="57" spans="1:46" s="5" customFormat="1" x14ac:dyDescent="0.15">
      <c r="A57" s="44" t="s">
        <v>61</v>
      </c>
      <c r="B57" s="44" t="s">
        <v>180</v>
      </c>
      <c r="C57" s="44" t="s">
        <v>160</v>
      </c>
      <c r="D57" s="44">
        <v>1.6</v>
      </c>
      <c r="E57" s="44">
        <v>0</v>
      </c>
      <c r="F57" s="44">
        <v>1</v>
      </c>
      <c r="G57" s="44">
        <v>0</v>
      </c>
      <c r="H57" s="44">
        <v>1</v>
      </c>
      <c r="I57" s="44" t="s">
        <v>151</v>
      </c>
      <c r="J57" s="44" t="s">
        <v>1838</v>
      </c>
      <c r="K57" s="44">
        <v>5</v>
      </c>
      <c r="L57" s="44">
        <v>0.05</v>
      </c>
      <c r="M57" s="44">
        <v>1</v>
      </c>
      <c r="N57" s="44">
        <v>0</v>
      </c>
      <c r="O57" s="45" t="s">
        <v>1520</v>
      </c>
      <c r="P57" s="46" t="s">
        <v>27</v>
      </c>
      <c r="Q57" s="46" t="s">
        <v>27</v>
      </c>
      <c r="R57" s="46">
        <v>0</v>
      </c>
      <c r="S57" s="46">
        <v>0</v>
      </c>
      <c r="T57" s="47">
        <v>0</v>
      </c>
      <c r="U57" s="46">
        <v>0</v>
      </c>
      <c r="V57" s="46">
        <v>0</v>
      </c>
      <c r="W57" s="46">
        <v>0</v>
      </c>
      <c r="X57" s="46">
        <v>0</v>
      </c>
    </row>
    <row r="58" spans="1:46" s="5" customFormat="1" x14ac:dyDescent="0.15">
      <c r="A58" s="44" t="s">
        <v>62</v>
      </c>
      <c r="B58" s="44" t="s">
        <v>181</v>
      </c>
      <c r="C58" s="44" t="s">
        <v>151</v>
      </c>
      <c r="D58" s="44">
        <v>0</v>
      </c>
      <c r="E58" s="44">
        <v>0</v>
      </c>
      <c r="F58" s="44">
        <v>1</v>
      </c>
      <c r="G58" s="44">
        <v>0</v>
      </c>
      <c r="H58" s="44" t="s">
        <v>839</v>
      </c>
      <c r="I58" s="44" t="s">
        <v>151</v>
      </c>
      <c r="J58" s="44" t="s">
        <v>151</v>
      </c>
      <c r="K58" s="44">
        <v>5</v>
      </c>
      <c r="L58" s="44">
        <v>0</v>
      </c>
      <c r="M58" s="44">
        <v>1</v>
      </c>
      <c r="N58" s="44">
        <v>0</v>
      </c>
      <c r="O58" s="45" t="s">
        <v>1520</v>
      </c>
      <c r="P58" s="46" t="s">
        <v>27</v>
      </c>
      <c r="Q58" s="46" t="s">
        <v>27</v>
      </c>
      <c r="R58" s="46">
        <v>0</v>
      </c>
      <c r="S58" s="46">
        <v>0</v>
      </c>
      <c r="T58" s="47">
        <v>0</v>
      </c>
      <c r="U58" s="46">
        <v>0</v>
      </c>
      <c r="V58" s="46">
        <v>0</v>
      </c>
      <c r="W58" s="46">
        <v>0</v>
      </c>
      <c r="X58" s="46">
        <v>0</v>
      </c>
    </row>
    <row r="59" spans="1:46" s="5" customFormat="1" x14ac:dyDescent="0.15">
      <c r="A59" s="44" t="s">
        <v>1836</v>
      </c>
      <c r="B59" s="44" t="s">
        <v>182</v>
      </c>
      <c r="C59" s="44" t="s">
        <v>167</v>
      </c>
      <c r="D59" s="44">
        <v>2.35</v>
      </c>
      <c r="E59" s="44">
        <v>0</v>
      </c>
      <c r="F59" s="44">
        <v>1</v>
      </c>
      <c r="G59" s="44">
        <v>0</v>
      </c>
      <c r="H59" s="44">
        <v>1</v>
      </c>
      <c r="I59" s="44" t="s">
        <v>151</v>
      </c>
      <c r="J59" s="44" t="s">
        <v>183</v>
      </c>
      <c r="K59" s="44">
        <v>5</v>
      </c>
      <c r="L59" s="44">
        <v>0.1</v>
      </c>
      <c r="M59" s="44">
        <v>1</v>
      </c>
      <c r="N59" s="44">
        <v>0</v>
      </c>
      <c r="O59" s="45" t="s">
        <v>1520</v>
      </c>
      <c r="P59" s="46" t="s">
        <v>27</v>
      </c>
      <c r="Q59" s="46" t="s">
        <v>27</v>
      </c>
      <c r="R59" s="46">
        <v>0</v>
      </c>
      <c r="S59" s="46">
        <v>0</v>
      </c>
      <c r="T59" s="47">
        <v>0</v>
      </c>
      <c r="U59" s="46">
        <v>0</v>
      </c>
      <c r="V59" s="46">
        <v>0</v>
      </c>
      <c r="W59" s="46">
        <v>0</v>
      </c>
      <c r="X59" s="46">
        <v>0</v>
      </c>
    </row>
    <row r="60" spans="1:46" s="5" customFormat="1" x14ac:dyDescent="0.15">
      <c r="A60" s="44" t="s">
        <v>1837</v>
      </c>
      <c r="B60" s="44" t="s">
        <v>182</v>
      </c>
      <c r="C60" s="44" t="s">
        <v>167</v>
      </c>
      <c r="D60" s="44">
        <v>2.35</v>
      </c>
      <c r="E60" s="44">
        <v>0</v>
      </c>
      <c r="F60" s="44">
        <v>1</v>
      </c>
      <c r="G60" s="44">
        <v>0</v>
      </c>
      <c r="H60" s="44">
        <v>1</v>
      </c>
      <c r="I60" s="44" t="s">
        <v>151</v>
      </c>
      <c r="J60" s="44" t="s">
        <v>1835</v>
      </c>
      <c r="K60" s="44">
        <v>5</v>
      </c>
      <c r="L60" s="44">
        <v>0.1</v>
      </c>
      <c r="M60" s="44">
        <v>2</v>
      </c>
      <c r="N60" s="44">
        <v>0</v>
      </c>
      <c r="O60" s="45" t="s">
        <v>1520</v>
      </c>
      <c r="P60" s="46" t="s">
        <v>27</v>
      </c>
      <c r="Q60" s="46" t="s">
        <v>27</v>
      </c>
      <c r="R60" s="46">
        <v>0</v>
      </c>
      <c r="S60" s="46">
        <v>0</v>
      </c>
      <c r="T60" s="47">
        <v>0</v>
      </c>
      <c r="U60" s="46">
        <v>0</v>
      </c>
      <c r="V60" s="46">
        <v>0</v>
      </c>
      <c r="W60" s="46">
        <v>0</v>
      </c>
      <c r="X60" s="46">
        <v>0</v>
      </c>
    </row>
    <row r="61" spans="1:46" s="5" customFormat="1" x14ac:dyDescent="0.15">
      <c r="A61" s="44" t="s">
        <v>64</v>
      </c>
      <c r="B61" s="44" t="s">
        <v>184</v>
      </c>
      <c r="C61" s="44" t="s">
        <v>150</v>
      </c>
      <c r="D61" s="44">
        <v>1</v>
      </c>
      <c r="E61" s="44">
        <v>0</v>
      </c>
      <c r="F61" s="44">
        <v>2</v>
      </c>
      <c r="G61" s="44">
        <v>20</v>
      </c>
      <c r="H61" s="44">
        <v>1</v>
      </c>
      <c r="I61" s="44" t="s">
        <v>151</v>
      </c>
      <c r="J61" s="44" t="s">
        <v>185</v>
      </c>
      <c r="K61" s="44">
        <v>5</v>
      </c>
      <c r="L61" s="44">
        <v>0.25</v>
      </c>
      <c r="M61" s="44">
        <v>1</v>
      </c>
      <c r="N61" s="44">
        <v>1</v>
      </c>
      <c r="O61" s="45" t="s">
        <v>1520</v>
      </c>
      <c r="P61" s="46" t="s">
        <v>27</v>
      </c>
      <c r="Q61" s="46" t="s">
        <v>27</v>
      </c>
      <c r="R61" s="46">
        <v>0</v>
      </c>
      <c r="S61" s="46">
        <v>0</v>
      </c>
      <c r="T61" s="47">
        <v>0</v>
      </c>
      <c r="U61" s="46">
        <v>0</v>
      </c>
      <c r="V61" s="46">
        <v>0</v>
      </c>
      <c r="W61" s="46">
        <v>0</v>
      </c>
      <c r="X61" s="46">
        <v>0</v>
      </c>
    </row>
    <row r="62" spans="1:46" s="5" customFormat="1" x14ac:dyDescent="0.15">
      <c r="A62" s="44" t="s">
        <v>77</v>
      </c>
      <c r="B62" s="44" t="s">
        <v>186</v>
      </c>
      <c r="C62" s="44" t="s">
        <v>73</v>
      </c>
      <c r="D62" s="44">
        <v>1.667</v>
      </c>
      <c r="E62" s="44">
        <v>0</v>
      </c>
      <c r="F62" s="44" t="s">
        <v>187</v>
      </c>
      <c r="G62" s="44">
        <v>7</v>
      </c>
      <c r="H62" s="44">
        <v>1</v>
      </c>
      <c r="I62" s="44" t="s">
        <v>151</v>
      </c>
      <c r="J62" s="44" t="s">
        <v>188</v>
      </c>
      <c r="K62" s="44">
        <v>3</v>
      </c>
      <c r="L62" s="44">
        <v>0.4</v>
      </c>
      <c r="M62" s="44">
        <v>1</v>
      </c>
      <c r="N62" s="44">
        <v>0</v>
      </c>
      <c r="O62" s="45" t="s">
        <v>1089</v>
      </c>
      <c r="P62" s="46" t="s">
        <v>27</v>
      </c>
      <c r="Q62" s="46" t="s">
        <v>27</v>
      </c>
      <c r="R62" s="46">
        <v>0</v>
      </c>
      <c r="S62" s="46">
        <v>0</v>
      </c>
      <c r="T62" s="47">
        <v>0</v>
      </c>
      <c r="U62" s="46">
        <v>0</v>
      </c>
      <c r="V62" s="46">
        <v>0</v>
      </c>
      <c r="W62" s="46">
        <v>0</v>
      </c>
      <c r="X62" s="46">
        <v>0</v>
      </c>
    </row>
    <row r="63" spans="1:46" s="5" customFormat="1" x14ac:dyDescent="0.15">
      <c r="A63" s="44" t="s">
        <v>96</v>
      </c>
      <c r="B63" s="44" t="s">
        <v>189</v>
      </c>
      <c r="C63" s="44" t="s">
        <v>160</v>
      </c>
      <c r="D63" s="44">
        <v>1</v>
      </c>
      <c r="E63" s="44">
        <v>0</v>
      </c>
      <c r="F63" s="44">
        <v>11</v>
      </c>
      <c r="G63" s="44">
        <v>0</v>
      </c>
      <c r="H63" s="44">
        <v>1</v>
      </c>
      <c r="I63" s="44" t="s">
        <v>151</v>
      </c>
      <c r="J63" s="44" t="s">
        <v>190</v>
      </c>
      <c r="K63" s="44">
        <v>5</v>
      </c>
      <c r="L63" s="44">
        <v>0</v>
      </c>
      <c r="M63" s="44">
        <v>1</v>
      </c>
      <c r="N63" s="44">
        <v>0</v>
      </c>
      <c r="O63" s="45" t="s">
        <v>1520</v>
      </c>
      <c r="P63" s="46" t="s">
        <v>27</v>
      </c>
      <c r="Q63" s="46" t="s">
        <v>27</v>
      </c>
      <c r="R63" s="46">
        <v>0</v>
      </c>
      <c r="S63" s="46">
        <v>0</v>
      </c>
      <c r="T63" s="47">
        <v>0</v>
      </c>
      <c r="U63" s="46">
        <v>0</v>
      </c>
      <c r="V63" s="46">
        <v>0</v>
      </c>
      <c r="W63" s="46">
        <v>0</v>
      </c>
      <c r="X63" s="46">
        <v>0</v>
      </c>
    </row>
    <row r="64" spans="1:46" s="5" customFormat="1" x14ac:dyDescent="0.15">
      <c r="A64" s="44" t="s">
        <v>78</v>
      </c>
      <c r="B64" s="44" t="s">
        <v>191</v>
      </c>
      <c r="C64" s="44" t="s">
        <v>160</v>
      </c>
      <c r="D64" s="44">
        <v>1</v>
      </c>
      <c r="E64" s="44">
        <v>0</v>
      </c>
      <c r="F64" s="44">
        <v>2</v>
      </c>
      <c r="G64" s="44">
        <v>20</v>
      </c>
      <c r="H64" s="44">
        <v>1</v>
      </c>
      <c r="I64" s="44" t="s">
        <v>151</v>
      </c>
      <c r="J64" s="44" t="s">
        <v>192</v>
      </c>
      <c r="K64" s="44">
        <v>5</v>
      </c>
      <c r="L64" s="44">
        <v>0.2</v>
      </c>
      <c r="M64" s="44">
        <v>1</v>
      </c>
      <c r="N64" s="44">
        <v>1</v>
      </c>
      <c r="O64" s="45" t="s">
        <v>1520</v>
      </c>
      <c r="P64" s="46" t="s">
        <v>27</v>
      </c>
      <c r="Q64" s="46" t="s">
        <v>27</v>
      </c>
      <c r="R64" s="46">
        <v>0</v>
      </c>
      <c r="S64" s="46">
        <v>0</v>
      </c>
      <c r="T64" s="47">
        <v>0</v>
      </c>
      <c r="U64" s="46">
        <v>0</v>
      </c>
      <c r="V64" s="46">
        <v>0</v>
      </c>
      <c r="W64" s="46">
        <v>0</v>
      </c>
      <c r="X64" s="46">
        <v>0</v>
      </c>
    </row>
    <row r="65" spans="1:24" s="5" customFormat="1" x14ac:dyDescent="0.15">
      <c r="A65" s="44" t="s">
        <v>79</v>
      </c>
      <c r="B65" s="44" t="s">
        <v>193</v>
      </c>
      <c r="C65" s="44" t="s">
        <v>151</v>
      </c>
      <c r="D65" s="44">
        <v>0</v>
      </c>
      <c r="E65" s="44">
        <v>0</v>
      </c>
      <c r="F65" s="44">
        <v>1</v>
      </c>
      <c r="G65" s="44">
        <v>0</v>
      </c>
      <c r="H65" s="44" t="s">
        <v>839</v>
      </c>
      <c r="I65" s="44" t="s">
        <v>151</v>
      </c>
      <c r="J65" s="44" t="s">
        <v>151</v>
      </c>
      <c r="K65" s="44">
        <v>5</v>
      </c>
      <c r="L65" s="44">
        <v>0</v>
      </c>
      <c r="M65" s="44">
        <v>1</v>
      </c>
      <c r="N65" s="44">
        <v>0</v>
      </c>
      <c r="O65" s="45" t="s">
        <v>1520</v>
      </c>
      <c r="P65" s="46" t="s">
        <v>27</v>
      </c>
      <c r="Q65" s="46" t="s">
        <v>27</v>
      </c>
      <c r="R65" s="46">
        <v>0</v>
      </c>
      <c r="S65" s="46">
        <v>0</v>
      </c>
      <c r="T65" s="47">
        <v>0</v>
      </c>
      <c r="U65" s="46">
        <v>0</v>
      </c>
      <c r="V65" s="46">
        <v>0</v>
      </c>
      <c r="W65" s="46">
        <v>0</v>
      </c>
      <c r="X65" s="46">
        <v>0</v>
      </c>
    </row>
    <row r="66" spans="1:24" s="5" customFormat="1" x14ac:dyDescent="0.15">
      <c r="A66" s="44" t="s">
        <v>94</v>
      </c>
      <c r="B66" s="44" t="s">
        <v>194</v>
      </c>
      <c r="C66" s="44" t="s">
        <v>167</v>
      </c>
      <c r="D66" s="44">
        <v>0.8</v>
      </c>
      <c r="E66" s="44">
        <v>0</v>
      </c>
      <c r="F66" s="44">
        <v>1</v>
      </c>
      <c r="G66" s="44">
        <v>0</v>
      </c>
      <c r="H66" s="44">
        <v>1</v>
      </c>
      <c r="I66" s="44" t="s">
        <v>151</v>
      </c>
      <c r="J66" s="44" t="s">
        <v>195</v>
      </c>
      <c r="K66" s="44">
        <v>5</v>
      </c>
      <c r="L66" s="44">
        <v>0</v>
      </c>
      <c r="M66" s="44">
        <v>3</v>
      </c>
      <c r="N66" s="44">
        <v>0</v>
      </c>
      <c r="O66" s="45" t="s">
        <v>1520</v>
      </c>
      <c r="P66" s="46" t="s">
        <v>27</v>
      </c>
      <c r="Q66" s="46" t="s">
        <v>27</v>
      </c>
      <c r="R66" s="46">
        <v>0</v>
      </c>
      <c r="S66" s="46">
        <v>0</v>
      </c>
      <c r="T66" s="47">
        <v>0</v>
      </c>
      <c r="U66" s="46">
        <v>0</v>
      </c>
      <c r="V66" s="46">
        <v>0</v>
      </c>
      <c r="W66" s="46">
        <v>0</v>
      </c>
      <c r="X66" s="46">
        <v>0</v>
      </c>
    </row>
    <row r="67" spans="1:24" s="5" customFormat="1" x14ac:dyDescent="0.15">
      <c r="A67" s="44" t="s">
        <v>95</v>
      </c>
      <c r="B67" s="44" t="s">
        <v>196</v>
      </c>
      <c r="C67" s="44" t="s">
        <v>167</v>
      </c>
      <c r="D67" s="44">
        <v>0.8</v>
      </c>
      <c r="E67" s="44">
        <v>0</v>
      </c>
      <c r="F67" s="44">
        <v>1</v>
      </c>
      <c r="G67" s="44">
        <v>0</v>
      </c>
      <c r="H67" s="44" t="s">
        <v>839</v>
      </c>
      <c r="I67" s="44" t="s">
        <v>151</v>
      </c>
      <c r="J67" s="44" t="s">
        <v>197</v>
      </c>
      <c r="K67" s="44">
        <v>5</v>
      </c>
      <c r="L67" s="44">
        <v>0</v>
      </c>
      <c r="M67" s="44">
        <v>1</v>
      </c>
      <c r="N67" s="44">
        <v>0</v>
      </c>
      <c r="O67" s="45" t="s">
        <v>1520</v>
      </c>
      <c r="P67" s="46" t="s">
        <v>27</v>
      </c>
      <c r="Q67" s="46" t="s">
        <v>27</v>
      </c>
      <c r="R67" s="46">
        <v>0</v>
      </c>
      <c r="S67" s="46">
        <v>0</v>
      </c>
      <c r="T67" s="47">
        <v>0</v>
      </c>
      <c r="U67" s="46">
        <v>0</v>
      </c>
      <c r="V67" s="46">
        <v>0</v>
      </c>
      <c r="W67" s="46">
        <v>0</v>
      </c>
      <c r="X67" s="46">
        <v>0</v>
      </c>
    </row>
    <row r="68" spans="1:24" s="5" customFormat="1" x14ac:dyDescent="0.15">
      <c r="A68" s="44" t="s">
        <v>80</v>
      </c>
      <c r="B68" s="44" t="s">
        <v>198</v>
      </c>
      <c r="C68" s="44" t="s">
        <v>150</v>
      </c>
      <c r="D68" s="44">
        <v>0.8</v>
      </c>
      <c r="E68" s="44">
        <v>0</v>
      </c>
      <c r="F68" s="44">
        <v>1</v>
      </c>
      <c r="G68" s="44">
        <v>0</v>
      </c>
      <c r="H68" s="44">
        <v>1</v>
      </c>
      <c r="I68" s="44" t="s">
        <v>151</v>
      </c>
      <c r="J68" s="44" t="s">
        <v>199</v>
      </c>
      <c r="K68" s="44">
        <v>1</v>
      </c>
      <c r="L68" s="44">
        <v>0.17</v>
      </c>
      <c r="M68" s="44">
        <v>1</v>
      </c>
      <c r="N68" s="44">
        <v>0</v>
      </c>
      <c r="O68" s="45" t="s">
        <v>1520</v>
      </c>
      <c r="P68" s="46" t="s">
        <v>27</v>
      </c>
      <c r="Q68" s="46" t="s">
        <v>27</v>
      </c>
      <c r="R68" s="46">
        <v>0</v>
      </c>
      <c r="S68" s="46">
        <v>0</v>
      </c>
      <c r="T68" s="47">
        <v>0</v>
      </c>
      <c r="U68" s="46">
        <v>0</v>
      </c>
      <c r="V68" s="46">
        <v>0</v>
      </c>
      <c r="W68" s="46">
        <v>0</v>
      </c>
      <c r="X68" s="46">
        <v>0</v>
      </c>
    </row>
    <row r="69" spans="1:24" s="5" customFormat="1" x14ac:dyDescent="0.15">
      <c r="A69" s="44" t="s">
        <v>81</v>
      </c>
      <c r="B69" s="44" t="s">
        <v>200</v>
      </c>
      <c r="C69" s="44" t="s">
        <v>73</v>
      </c>
      <c r="D69" s="44">
        <v>1.667</v>
      </c>
      <c r="E69" s="44">
        <v>0</v>
      </c>
      <c r="F69" s="44">
        <v>1</v>
      </c>
      <c r="G69" s="44">
        <v>0</v>
      </c>
      <c r="H69" s="44">
        <v>1</v>
      </c>
      <c r="I69" s="44" t="s">
        <v>151</v>
      </c>
      <c r="J69" s="60" t="s">
        <v>1846</v>
      </c>
      <c r="K69" s="44">
        <v>3</v>
      </c>
      <c r="L69" s="44">
        <v>0</v>
      </c>
      <c r="M69" s="44">
        <v>3</v>
      </c>
      <c r="N69" s="44">
        <v>0</v>
      </c>
      <c r="O69" s="45" t="s">
        <v>1520</v>
      </c>
      <c r="P69" s="46" t="s">
        <v>27</v>
      </c>
      <c r="Q69" s="46" t="s">
        <v>27</v>
      </c>
      <c r="R69" s="46">
        <v>0</v>
      </c>
      <c r="S69" s="46">
        <v>0</v>
      </c>
      <c r="T69" s="47">
        <v>0</v>
      </c>
      <c r="U69" s="46">
        <v>0</v>
      </c>
      <c r="V69" s="46">
        <v>0</v>
      </c>
      <c r="W69" s="46">
        <v>0</v>
      </c>
      <c r="X69" s="46">
        <v>0</v>
      </c>
    </row>
    <row r="70" spans="1:24" s="5" customFormat="1" x14ac:dyDescent="0.15">
      <c r="A70" s="44" t="s">
        <v>82</v>
      </c>
      <c r="B70" s="44" t="s">
        <v>202</v>
      </c>
      <c r="C70" s="44" t="s">
        <v>160</v>
      </c>
      <c r="D70" s="44">
        <v>2.1669999999999998</v>
      </c>
      <c r="E70" s="44">
        <v>0</v>
      </c>
      <c r="F70" s="44">
        <v>1</v>
      </c>
      <c r="G70" s="44">
        <v>0</v>
      </c>
      <c r="H70" s="44">
        <v>1</v>
      </c>
      <c r="I70" s="44" t="s">
        <v>151</v>
      </c>
      <c r="J70" s="44" t="s">
        <v>203</v>
      </c>
      <c r="K70" s="44">
        <v>5</v>
      </c>
      <c r="L70" s="44">
        <v>0</v>
      </c>
      <c r="M70" s="44">
        <v>1</v>
      </c>
      <c r="N70" s="44">
        <v>0</v>
      </c>
      <c r="O70" s="45" t="s">
        <v>1520</v>
      </c>
      <c r="P70" s="46" t="s">
        <v>27</v>
      </c>
      <c r="Q70" s="46" t="s">
        <v>27</v>
      </c>
      <c r="R70" s="46">
        <v>0</v>
      </c>
      <c r="S70" s="46">
        <v>0</v>
      </c>
      <c r="T70" s="47">
        <v>0</v>
      </c>
      <c r="U70" s="46">
        <v>0</v>
      </c>
      <c r="V70" s="46">
        <v>0</v>
      </c>
      <c r="W70" s="46">
        <v>0</v>
      </c>
      <c r="X70" s="46">
        <v>0</v>
      </c>
    </row>
    <row r="71" spans="1:24" s="5" customFormat="1" x14ac:dyDescent="0.15">
      <c r="A71" s="44" t="s">
        <v>83</v>
      </c>
      <c r="B71" s="44" t="s">
        <v>204</v>
      </c>
      <c r="C71" s="44" t="s">
        <v>151</v>
      </c>
      <c r="D71" s="44">
        <v>0</v>
      </c>
      <c r="E71" s="44">
        <v>0</v>
      </c>
      <c r="F71" s="44">
        <v>1</v>
      </c>
      <c r="G71" s="44">
        <v>0</v>
      </c>
      <c r="H71" s="44" t="s">
        <v>839</v>
      </c>
      <c r="I71" s="44" t="s">
        <v>151</v>
      </c>
      <c r="J71" s="44" t="s">
        <v>151</v>
      </c>
      <c r="K71" s="44">
        <v>5</v>
      </c>
      <c r="L71" s="44">
        <v>0</v>
      </c>
      <c r="M71" s="44">
        <v>1</v>
      </c>
      <c r="N71" s="44">
        <v>0</v>
      </c>
      <c r="O71" s="45" t="s">
        <v>1520</v>
      </c>
      <c r="P71" s="46" t="s">
        <v>27</v>
      </c>
      <c r="Q71" s="46" t="s">
        <v>27</v>
      </c>
      <c r="R71" s="46">
        <v>0</v>
      </c>
      <c r="S71" s="46">
        <v>0</v>
      </c>
      <c r="T71" s="47">
        <v>0</v>
      </c>
      <c r="U71" s="46">
        <v>0</v>
      </c>
      <c r="V71" s="46">
        <v>0</v>
      </c>
      <c r="W71" s="46">
        <v>0</v>
      </c>
      <c r="X71" s="46">
        <v>0</v>
      </c>
    </row>
    <row r="72" spans="1:24" s="5" customFormat="1" x14ac:dyDescent="0.15">
      <c r="A72" s="44" t="s">
        <v>84</v>
      </c>
      <c r="B72" s="44" t="s">
        <v>205</v>
      </c>
      <c r="C72" s="44" t="s">
        <v>167</v>
      </c>
      <c r="D72" s="44">
        <v>0.8</v>
      </c>
      <c r="E72" s="44">
        <v>0</v>
      </c>
      <c r="F72" s="44">
        <v>1</v>
      </c>
      <c r="G72" s="44">
        <v>0</v>
      </c>
      <c r="H72" s="44">
        <v>1</v>
      </c>
      <c r="I72" s="44" t="s">
        <v>151</v>
      </c>
      <c r="J72" s="44" t="s">
        <v>206</v>
      </c>
      <c r="K72" s="44">
        <v>0.8</v>
      </c>
      <c r="L72" s="44">
        <v>0</v>
      </c>
      <c r="M72" s="44">
        <v>2</v>
      </c>
      <c r="N72" s="44">
        <v>0</v>
      </c>
      <c r="O72" s="45" t="s">
        <v>1520</v>
      </c>
      <c r="P72" s="46" t="s">
        <v>27</v>
      </c>
      <c r="Q72" s="46" t="s">
        <v>27</v>
      </c>
      <c r="R72" s="46">
        <v>0</v>
      </c>
      <c r="S72" s="46">
        <v>0</v>
      </c>
      <c r="T72" s="47">
        <v>0</v>
      </c>
      <c r="U72" s="46">
        <v>0</v>
      </c>
      <c r="V72" s="46">
        <v>0</v>
      </c>
      <c r="W72" s="46">
        <v>0</v>
      </c>
      <c r="X72" s="46">
        <v>0</v>
      </c>
    </row>
    <row r="73" spans="1:24" s="5" customFormat="1" x14ac:dyDescent="0.15">
      <c r="A73" s="44" t="s">
        <v>115</v>
      </c>
      <c r="B73" s="44" t="s">
        <v>207</v>
      </c>
      <c r="C73" s="44" t="s">
        <v>150</v>
      </c>
      <c r="D73" s="44">
        <v>0.66700000000000004</v>
      </c>
      <c r="E73" s="44">
        <v>0</v>
      </c>
      <c r="F73" s="44">
        <v>1</v>
      </c>
      <c r="G73" s="44">
        <v>0</v>
      </c>
      <c r="H73" s="44">
        <v>1</v>
      </c>
      <c r="I73" s="44" t="s">
        <v>151</v>
      </c>
      <c r="J73" s="44" t="s">
        <v>208</v>
      </c>
      <c r="K73" s="44">
        <v>1</v>
      </c>
      <c r="L73" s="44">
        <v>0</v>
      </c>
      <c r="M73" s="44">
        <v>1</v>
      </c>
      <c r="N73" s="44">
        <v>0</v>
      </c>
      <c r="O73" s="45" t="s">
        <v>1520</v>
      </c>
      <c r="P73" s="46" t="s">
        <v>116</v>
      </c>
      <c r="Q73" s="46" t="s">
        <v>27</v>
      </c>
      <c r="R73" s="46">
        <v>0</v>
      </c>
      <c r="S73" s="46">
        <v>0</v>
      </c>
      <c r="T73" s="47">
        <v>0</v>
      </c>
      <c r="U73" s="46">
        <v>0</v>
      </c>
      <c r="V73" s="46">
        <v>0</v>
      </c>
      <c r="W73" s="46">
        <v>0</v>
      </c>
      <c r="X73" s="46">
        <v>0</v>
      </c>
    </row>
    <row r="74" spans="1:24" s="5" customFormat="1" x14ac:dyDescent="0.15">
      <c r="A74" s="44" t="s">
        <v>113</v>
      </c>
      <c r="B74" s="44" t="s">
        <v>209</v>
      </c>
      <c r="C74" s="44" t="s">
        <v>73</v>
      </c>
      <c r="D74" s="44">
        <v>1.667</v>
      </c>
      <c r="E74" s="44">
        <v>0</v>
      </c>
      <c r="F74" s="44">
        <v>1</v>
      </c>
      <c r="G74" s="44">
        <v>0</v>
      </c>
      <c r="H74" s="44">
        <v>1</v>
      </c>
      <c r="I74" s="44" t="s">
        <v>151</v>
      </c>
      <c r="J74" s="60" t="s">
        <v>1316</v>
      </c>
      <c r="K74" s="44">
        <v>10</v>
      </c>
      <c r="L74" s="44">
        <v>0.6</v>
      </c>
      <c r="M74" s="44">
        <v>2</v>
      </c>
      <c r="N74" s="44">
        <v>2</v>
      </c>
      <c r="O74" s="45" t="s">
        <v>1520</v>
      </c>
      <c r="P74" s="46" t="s">
        <v>114</v>
      </c>
      <c r="Q74" s="46" t="s">
        <v>27</v>
      </c>
      <c r="R74" s="46">
        <v>0</v>
      </c>
      <c r="S74" s="46">
        <v>0</v>
      </c>
      <c r="T74" s="47">
        <v>0</v>
      </c>
      <c r="U74" s="46">
        <v>0</v>
      </c>
      <c r="V74" s="46">
        <v>0</v>
      </c>
      <c r="W74" s="46">
        <v>0</v>
      </c>
      <c r="X74" s="46">
        <v>0</v>
      </c>
    </row>
    <row r="75" spans="1:24" s="5" customFormat="1" x14ac:dyDescent="0.15">
      <c r="A75" s="44" t="s">
        <v>147</v>
      </c>
      <c r="B75" s="44" t="s">
        <v>210</v>
      </c>
      <c r="C75" s="44" t="s">
        <v>73</v>
      </c>
      <c r="D75" s="44">
        <v>1.667</v>
      </c>
      <c r="E75" s="44">
        <v>0</v>
      </c>
      <c r="F75" s="44">
        <v>1</v>
      </c>
      <c r="G75" s="44">
        <v>0</v>
      </c>
      <c r="H75" s="44" t="s">
        <v>839</v>
      </c>
      <c r="I75" s="44" t="s">
        <v>151</v>
      </c>
      <c r="J75" s="44" t="s">
        <v>151</v>
      </c>
      <c r="K75" s="44">
        <v>5</v>
      </c>
      <c r="L75" s="44">
        <v>0</v>
      </c>
      <c r="M75" s="44">
        <v>0</v>
      </c>
      <c r="N75" s="44">
        <v>0</v>
      </c>
      <c r="O75" s="45" t="s">
        <v>1520</v>
      </c>
      <c r="P75" s="46" t="s">
        <v>148</v>
      </c>
      <c r="Q75" s="46" t="s">
        <v>27</v>
      </c>
      <c r="R75" s="46">
        <v>0</v>
      </c>
      <c r="S75" s="46">
        <v>0</v>
      </c>
      <c r="T75" s="47">
        <v>0</v>
      </c>
      <c r="U75" s="46">
        <v>0</v>
      </c>
      <c r="V75" s="46">
        <v>0</v>
      </c>
      <c r="W75" s="46">
        <v>0</v>
      </c>
      <c r="X75" s="46">
        <v>0</v>
      </c>
    </row>
    <row r="76" spans="1:24" s="5" customFormat="1" x14ac:dyDescent="0.15">
      <c r="A76" s="44" t="s">
        <v>85</v>
      </c>
      <c r="B76" s="44" t="s">
        <v>211</v>
      </c>
      <c r="C76" s="44" t="s">
        <v>160</v>
      </c>
      <c r="D76" s="44">
        <v>1.667</v>
      </c>
      <c r="E76" s="44">
        <v>0</v>
      </c>
      <c r="F76" s="44">
        <v>1</v>
      </c>
      <c r="G76" s="44">
        <v>0</v>
      </c>
      <c r="H76" s="44">
        <v>1</v>
      </c>
      <c r="I76" s="44" t="s">
        <v>151</v>
      </c>
      <c r="J76" s="44" t="s">
        <v>212</v>
      </c>
      <c r="K76" s="44">
        <v>1.667</v>
      </c>
      <c r="L76" s="44">
        <v>0</v>
      </c>
      <c r="M76" s="44">
        <v>1</v>
      </c>
      <c r="N76" s="44">
        <v>0</v>
      </c>
      <c r="O76" s="45" t="s">
        <v>1520</v>
      </c>
      <c r="P76" s="46" t="s">
        <v>50</v>
      </c>
      <c r="Q76" s="46" t="s">
        <v>27</v>
      </c>
      <c r="R76" s="46">
        <v>0</v>
      </c>
      <c r="S76" s="46">
        <v>0</v>
      </c>
      <c r="T76" s="47">
        <v>0</v>
      </c>
      <c r="U76" s="46">
        <v>0</v>
      </c>
      <c r="V76" s="46">
        <v>0</v>
      </c>
      <c r="W76" s="46">
        <v>0</v>
      </c>
      <c r="X76" s="46">
        <v>0</v>
      </c>
    </row>
    <row r="77" spans="1:24" s="5" customFormat="1" x14ac:dyDescent="0.15">
      <c r="A77" s="44" t="s">
        <v>86</v>
      </c>
      <c r="B77" s="44" t="s">
        <v>213</v>
      </c>
      <c r="C77" s="44" t="s">
        <v>160</v>
      </c>
      <c r="D77" s="44">
        <v>1.667</v>
      </c>
      <c r="E77" s="44">
        <v>0</v>
      </c>
      <c r="F77" s="44">
        <v>1</v>
      </c>
      <c r="G77" s="44">
        <v>0</v>
      </c>
      <c r="H77" s="44">
        <v>1</v>
      </c>
      <c r="I77" s="44" t="s">
        <v>151</v>
      </c>
      <c r="J77" s="44" t="s">
        <v>214</v>
      </c>
      <c r="K77" s="44">
        <v>1.667</v>
      </c>
      <c r="L77" s="44">
        <v>0</v>
      </c>
      <c r="M77" s="44">
        <v>2</v>
      </c>
      <c r="N77" s="44">
        <v>0</v>
      </c>
      <c r="O77" s="45" t="s">
        <v>1520</v>
      </c>
      <c r="P77" s="46" t="s">
        <v>840</v>
      </c>
      <c r="Q77" s="46" t="s">
        <v>27</v>
      </c>
      <c r="R77" s="46">
        <v>0</v>
      </c>
      <c r="S77" s="46">
        <v>0</v>
      </c>
      <c r="T77" s="47">
        <v>0</v>
      </c>
      <c r="U77" s="46">
        <v>0</v>
      </c>
      <c r="V77" s="46">
        <v>0</v>
      </c>
      <c r="W77" s="46">
        <v>0</v>
      </c>
      <c r="X77" s="46">
        <v>0</v>
      </c>
    </row>
    <row r="78" spans="1:24" s="5" customFormat="1" x14ac:dyDescent="0.15">
      <c r="A78" s="44" t="s">
        <v>87</v>
      </c>
      <c r="B78" s="44" t="s">
        <v>215</v>
      </c>
      <c r="C78" s="44" t="s">
        <v>151</v>
      </c>
      <c r="D78" s="44">
        <v>0</v>
      </c>
      <c r="E78" s="44">
        <v>0</v>
      </c>
      <c r="F78" s="44">
        <v>1</v>
      </c>
      <c r="G78" s="44">
        <v>0</v>
      </c>
      <c r="H78" s="44" t="s">
        <v>839</v>
      </c>
      <c r="I78" s="44" t="s">
        <v>151</v>
      </c>
      <c r="J78" s="44" t="s">
        <v>151</v>
      </c>
      <c r="K78" s="44">
        <v>5</v>
      </c>
      <c r="L78" s="44">
        <v>0</v>
      </c>
      <c r="M78" s="44">
        <v>1</v>
      </c>
      <c r="N78" s="44">
        <v>0</v>
      </c>
      <c r="O78" s="45" t="s">
        <v>1520</v>
      </c>
      <c r="P78" s="46" t="s">
        <v>27</v>
      </c>
      <c r="Q78" s="46" t="s">
        <v>27</v>
      </c>
      <c r="R78" s="46">
        <v>0</v>
      </c>
      <c r="S78" s="46">
        <v>0</v>
      </c>
      <c r="T78" s="47">
        <v>0</v>
      </c>
      <c r="U78" s="46">
        <v>0</v>
      </c>
      <c r="V78" s="46">
        <v>0</v>
      </c>
      <c r="W78" s="46">
        <v>0</v>
      </c>
      <c r="X78" s="46">
        <v>0</v>
      </c>
    </row>
    <row r="79" spans="1:24" s="5" customFormat="1" x14ac:dyDescent="0.15">
      <c r="A79" s="44" t="s">
        <v>88</v>
      </c>
      <c r="B79" s="44" t="s">
        <v>216</v>
      </c>
      <c r="C79" s="44" t="s">
        <v>167</v>
      </c>
      <c r="D79" s="44">
        <v>3.1669999999999998</v>
      </c>
      <c r="E79" s="44">
        <v>0</v>
      </c>
      <c r="F79" s="44">
        <v>1</v>
      </c>
      <c r="G79" s="44">
        <v>0</v>
      </c>
      <c r="H79" s="44">
        <v>1</v>
      </c>
      <c r="I79" s="44" t="s">
        <v>151</v>
      </c>
      <c r="J79" s="44" t="s">
        <v>217</v>
      </c>
      <c r="K79" s="44">
        <v>3.5</v>
      </c>
      <c r="L79" s="44">
        <v>0.02</v>
      </c>
      <c r="M79" s="44">
        <v>1</v>
      </c>
      <c r="N79" s="44">
        <v>0</v>
      </c>
      <c r="O79" s="45" t="s">
        <v>1520</v>
      </c>
      <c r="P79" s="46" t="s">
        <v>27</v>
      </c>
      <c r="Q79" s="46" t="s">
        <v>27</v>
      </c>
      <c r="R79" s="46">
        <v>0</v>
      </c>
      <c r="S79" s="46">
        <v>0</v>
      </c>
      <c r="T79" s="47">
        <v>0</v>
      </c>
      <c r="U79" s="46">
        <v>0</v>
      </c>
      <c r="V79" s="46">
        <v>0</v>
      </c>
      <c r="W79" s="46">
        <v>0</v>
      </c>
      <c r="X79" s="46">
        <v>0</v>
      </c>
    </row>
    <row r="80" spans="1:24" s="5" customFormat="1" x14ac:dyDescent="0.15">
      <c r="A80" s="44" t="s">
        <v>89</v>
      </c>
      <c r="B80" s="44" t="s">
        <v>218</v>
      </c>
      <c r="C80" s="44" t="s">
        <v>167</v>
      </c>
      <c r="D80" s="44">
        <v>3.1669999999999998</v>
      </c>
      <c r="E80" s="44">
        <v>0</v>
      </c>
      <c r="F80" s="44">
        <v>1</v>
      </c>
      <c r="G80" s="44">
        <v>0</v>
      </c>
      <c r="H80" s="44">
        <v>1</v>
      </c>
      <c r="I80" s="44" t="s">
        <v>151</v>
      </c>
      <c r="J80" s="44" t="s">
        <v>219</v>
      </c>
      <c r="K80" s="44">
        <v>3.5</v>
      </c>
      <c r="L80" s="44">
        <v>0</v>
      </c>
      <c r="M80" s="44">
        <v>2</v>
      </c>
      <c r="N80" s="44">
        <v>0</v>
      </c>
      <c r="O80" s="45" t="s">
        <v>1520</v>
      </c>
      <c r="P80" s="46" t="s">
        <v>840</v>
      </c>
      <c r="Q80" s="46" t="s">
        <v>27</v>
      </c>
      <c r="R80" s="46">
        <v>0</v>
      </c>
      <c r="S80" s="46">
        <v>0</v>
      </c>
      <c r="T80" s="47">
        <v>0</v>
      </c>
      <c r="U80" s="46">
        <v>0</v>
      </c>
      <c r="V80" s="46">
        <v>0</v>
      </c>
      <c r="W80" s="46">
        <v>0</v>
      </c>
      <c r="X80" s="46">
        <v>0</v>
      </c>
    </row>
    <row r="81" spans="1:24" s="5" customFormat="1" x14ac:dyDescent="0.15">
      <c r="A81" s="44" t="s">
        <v>90</v>
      </c>
      <c r="B81" s="44" t="s">
        <v>220</v>
      </c>
      <c r="C81" s="44" t="s">
        <v>150</v>
      </c>
      <c r="D81" s="44">
        <v>1.667</v>
      </c>
      <c r="E81" s="44">
        <v>0</v>
      </c>
      <c r="F81" s="44">
        <v>1</v>
      </c>
      <c r="G81" s="44">
        <v>0</v>
      </c>
      <c r="H81" s="44">
        <v>1</v>
      </c>
      <c r="I81" s="44" t="s">
        <v>151</v>
      </c>
      <c r="J81" s="44" t="s">
        <v>1695</v>
      </c>
      <c r="K81" s="44">
        <v>5</v>
      </c>
      <c r="L81" s="44">
        <v>0.03</v>
      </c>
      <c r="M81" s="44">
        <v>1</v>
      </c>
      <c r="N81" s="44">
        <v>0</v>
      </c>
      <c r="O81" s="45" t="s">
        <v>1701</v>
      </c>
      <c r="P81" s="46" t="s">
        <v>27</v>
      </c>
      <c r="Q81" s="46" t="s">
        <v>27</v>
      </c>
      <c r="R81" s="46">
        <v>0</v>
      </c>
      <c r="S81" s="46">
        <v>0</v>
      </c>
      <c r="T81" s="47">
        <v>0</v>
      </c>
      <c r="U81" s="46">
        <v>0</v>
      </c>
      <c r="V81" s="46">
        <v>0</v>
      </c>
      <c r="W81" s="46">
        <v>0</v>
      </c>
      <c r="X81" s="46">
        <v>0</v>
      </c>
    </row>
    <row r="82" spans="1:24" s="5" customFormat="1" x14ac:dyDescent="0.15">
      <c r="A82" s="44" t="s">
        <v>98</v>
      </c>
      <c r="B82" s="44" t="s">
        <v>221</v>
      </c>
      <c r="C82" s="44" t="s">
        <v>73</v>
      </c>
      <c r="D82" s="44">
        <v>1.667</v>
      </c>
      <c r="E82" s="44">
        <v>0</v>
      </c>
      <c r="F82" s="44">
        <v>1</v>
      </c>
      <c r="G82" s="44">
        <v>0</v>
      </c>
      <c r="H82" s="44">
        <v>1</v>
      </c>
      <c r="I82" s="44" t="s">
        <v>151</v>
      </c>
      <c r="J82" s="44" t="s">
        <v>222</v>
      </c>
      <c r="K82" s="44">
        <v>3</v>
      </c>
      <c r="L82" s="44">
        <v>0.35</v>
      </c>
      <c r="M82" s="44">
        <v>1</v>
      </c>
      <c r="N82" s="44">
        <v>0</v>
      </c>
      <c r="O82" s="45" t="s">
        <v>1520</v>
      </c>
      <c r="P82" s="46" t="s">
        <v>27</v>
      </c>
      <c r="Q82" s="46" t="s">
        <v>27</v>
      </c>
      <c r="R82" s="46">
        <v>0</v>
      </c>
      <c r="S82" s="46">
        <v>0</v>
      </c>
      <c r="T82" s="47">
        <v>0</v>
      </c>
      <c r="U82" s="46">
        <v>0</v>
      </c>
      <c r="V82" s="46">
        <v>0</v>
      </c>
      <c r="W82" s="46">
        <v>0</v>
      </c>
      <c r="X82" s="46">
        <v>0</v>
      </c>
    </row>
    <row r="83" spans="1:24" s="5" customFormat="1" x14ac:dyDescent="0.15">
      <c r="A83" s="44" t="s">
        <v>1699</v>
      </c>
      <c r="B83" s="44" t="s">
        <v>1696</v>
      </c>
      <c r="C83" s="44" t="s">
        <v>29</v>
      </c>
      <c r="D83" s="44">
        <v>1.9</v>
      </c>
      <c r="E83" s="44">
        <v>0</v>
      </c>
      <c r="F83" s="44">
        <v>1</v>
      </c>
      <c r="G83" s="44">
        <v>0</v>
      </c>
      <c r="H83" s="44">
        <v>1</v>
      </c>
      <c r="I83" s="44" t="s">
        <v>50</v>
      </c>
      <c r="J83" s="44" t="s">
        <v>1697</v>
      </c>
      <c r="K83" s="44">
        <v>5</v>
      </c>
      <c r="L83" s="44">
        <v>0</v>
      </c>
      <c r="M83" s="44">
        <v>2</v>
      </c>
      <c r="N83" s="44">
        <v>0</v>
      </c>
      <c r="O83" s="45" t="s">
        <v>1520</v>
      </c>
      <c r="P83" s="46" t="s">
        <v>27</v>
      </c>
      <c r="Q83" s="46" t="s">
        <v>27</v>
      </c>
      <c r="R83" s="46">
        <v>0</v>
      </c>
      <c r="S83" s="46">
        <v>0</v>
      </c>
      <c r="T83" s="46">
        <v>0</v>
      </c>
      <c r="U83" s="46">
        <v>0</v>
      </c>
      <c r="V83" s="46">
        <v>0</v>
      </c>
      <c r="W83" s="46">
        <v>0</v>
      </c>
      <c r="X83" s="46">
        <v>0</v>
      </c>
    </row>
    <row r="84" spans="1:24" s="5" customFormat="1" x14ac:dyDescent="0.15">
      <c r="A84" s="44" t="s">
        <v>91</v>
      </c>
      <c r="B84" s="44" t="s">
        <v>223</v>
      </c>
      <c r="C84" s="44" t="s">
        <v>1693</v>
      </c>
      <c r="D84" s="44">
        <v>1.9</v>
      </c>
      <c r="E84" s="44">
        <v>0</v>
      </c>
      <c r="F84" s="44">
        <v>1</v>
      </c>
      <c r="G84" s="44">
        <v>0</v>
      </c>
      <c r="H84" s="44">
        <v>1</v>
      </c>
      <c r="I84" s="44" t="s">
        <v>151</v>
      </c>
      <c r="J84" s="44" t="s">
        <v>1698</v>
      </c>
      <c r="K84" s="44">
        <v>5</v>
      </c>
      <c r="L84" s="44">
        <v>0.5</v>
      </c>
      <c r="M84" s="44">
        <v>2</v>
      </c>
      <c r="N84" s="44">
        <v>0</v>
      </c>
      <c r="O84" s="45" t="s">
        <v>1520</v>
      </c>
      <c r="P84" s="46" t="s">
        <v>27</v>
      </c>
      <c r="Q84" s="46" t="s">
        <v>27</v>
      </c>
      <c r="R84" s="46">
        <v>0</v>
      </c>
      <c r="S84" s="46">
        <v>0</v>
      </c>
      <c r="T84" s="47">
        <v>0</v>
      </c>
      <c r="U84" s="46">
        <v>0</v>
      </c>
      <c r="V84" s="46">
        <v>0</v>
      </c>
      <c r="W84" s="46">
        <v>0</v>
      </c>
      <c r="X84" s="46">
        <v>0</v>
      </c>
    </row>
    <row r="85" spans="1:24" s="5" customFormat="1" x14ac:dyDescent="0.15">
      <c r="A85" s="44" t="s">
        <v>92</v>
      </c>
      <c r="B85" s="44" t="s">
        <v>224</v>
      </c>
      <c r="C85" s="44" t="s">
        <v>151</v>
      </c>
      <c r="D85" s="44">
        <v>0</v>
      </c>
      <c r="E85" s="44">
        <v>0</v>
      </c>
      <c r="F85" s="44">
        <v>1</v>
      </c>
      <c r="G85" s="44">
        <v>0</v>
      </c>
      <c r="H85" s="44" t="s">
        <v>839</v>
      </c>
      <c r="I85" s="44" t="s">
        <v>151</v>
      </c>
      <c r="J85" s="44" t="s">
        <v>151</v>
      </c>
      <c r="K85" s="44">
        <v>5</v>
      </c>
      <c r="L85" s="44">
        <v>0</v>
      </c>
      <c r="M85" s="44">
        <v>1</v>
      </c>
      <c r="N85" s="44">
        <v>0</v>
      </c>
      <c r="O85" s="45" t="s">
        <v>1520</v>
      </c>
      <c r="P85" s="46" t="s">
        <v>27</v>
      </c>
      <c r="Q85" s="46" t="s">
        <v>27</v>
      </c>
      <c r="R85" s="46">
        <v>0</v>
      </c>
      <c r="S85" s="46">
        <v>0</v>
      </c>
      <c r="T85" s="47">
        <v>0</v>
      </c>
      <c r="U85" s="46">
        <v>0</v>
      </c>
      <c r="V85" s="46">
        <v>0</v>
      </c>
      <c r="W85" s="46">
        <v>0</v>
      </c>
      <c r="X85" s="46">
        <v>0</v>
      </c>
    </row>
    <row r="86" spans="1:24" s="5" customFormat="1" x14ac:dyDescent="0.15">
      <c r="A86" s="44" t="s">
        <v>93</v>
      </c>
      <c r="B86" s="44" t="s">
        <v>225</v>
      </c>
      <c r="C86" s="44" t="s">
        <v>1694</v>
      </c>
      <c r="D86" s="44">
        <v>1.167</v>
      </c>
      <c r="E86" s="44">
        <v>0</v>
      </c>
      <c r="F86" s="44">
        <v>1</v>
      </c>
      <c r="G86" s="44">
        <v>0</v>
      </c>
      <c r="H86" s="44">
        <v>1</v>
      </c>
      <c r="I86" s="44" t="s">
        <v>151</v>
      </c>
      <c r="J86" s="44" t="s">
        <v>1700</v>
      </c>
      <c r="K86" s="44">
        <v>5</v>
      </c>
      <c r="L86" s="44">
        <v>0</v>
      </c>
      <c r="M86" s="44">
        <v>1</v>
      </c>
      <c r="N86" s="44">
        <v>0</v>
      </c>
      <c r="O86" s="45" t="s">
        <v>1520</v>
      </c>
      <c r="P86" s="46" t="s">
        <v>27</v>
      </c>
      <c r="Q86" s="46" t="s">
        <v>27</v>
      </c>
      <c r="R86" s="46">
        <v>0</v>
      </c>
      <c r="S86" s="46">
        <v>0</v>
      </c>
      <c r="T86" s="47">
        <v>0</v>
      </c>
      <c r="U86" s="46">
        <v>0</v>
      </c>
      <c r="V86" s="46">
        <v>0</v>
      </c>
      <c r="W86" s="46">
        <v>0</v>
      </c>
      <c r="X86" s="46">
        <v>0</v>
      </c>
    </row>
    <row r="87" spans="1:24" s="5" customFormat="1" x14ac:dyDescent="0.15">
      <c r="A87" s="44" t="s">
        <v>65</v>
      </c>
      <c r="B87" s="44" t="s">
        <v>226</v>
      </c>
      <c r="C87" s="44" t="s">
        <v>150</v>
      </c>
      <c r="D87" s="44">
        <v>0.8</v>
      </c>
      <c r="E87" s="44">
        <v>0</v>
      </c>
      <c r="F87" s="44">
        <v>1</v>
      </c>
      <c r="G87" s="44">
        <v>0</v>
      </c>
      <c r="H87" s="44">
        <v>1</v>
      </c>
      <c r="I87" s="44" t="s">
        <v>151</v>
      </c>
      <c r="J87" s="44" t="s">
        <v>227</v>
      </c>
      <c r="K87" s="44">
        <v>1</v>
      </c>
      <c r="L87" s="44">
        <v>0</v>
      </c>
      <c r="M87" s="44">
        <v>1</v>
      </c>
      <c r="N87" s="44">
        <v>0</v>
      </c>
      <c r="O87" s="45" t="s">
        <v>1520</v>
      </c>
      <c r="P87" s="46" t="s">
        <v>27</v>
      </c>
      <c r="Q87" s="46" t="s">
        <v>27</v>
      </c>
      <c r="R87" s="46">
        <v>0</v>
      </c>
      <c r="S87" s="46">
        <v>0</v>
      </c>
      <c r="T87" s="47">
        <v>0</v>
      </c>
      <c r="U87" s="46">
        <v>0</v>
      </c>
      <c r="V87" s="46">
        <v>0</v>
      </c>
      <c r="W87" s="46">
        <v>0</v>
      </c>
      <c r="X87" s="46">
        <v>0</v>
      </c>
    </row>
    <row r="88" spans="1:24" s="5" customFormat="1" x14ac:dyDescent="0.15">
      <c r="A88" s="44" t="s">
        <v>66</v>
      </c>
      <c r="B88" s="44" t="s">
        <v>228</v>
      </c>
      <c r="C88" s="44" t="s">
        <v>73</v>
      </c>
      <c r="D88" s="44">
        <v>1.667</v>
      </c>
      <c r="E88" s="44">
        <v>0</v>
      </c>
      <c r="F88" s="44">
        <v>1</v>
      </c>
      <c r="G88" s="44">
        <v>0</v>
      </c>
      <c r="H88" s="44">
        <v>1</v>
      </c>
      <c r="I88" s="44" t="s">
        <v>151</v>
      </c>
      <c r="J88" s="44" t="s">
        <v>229</v>
      </c>
      <c r="K88" s="44">
        <v>5</v>
      </c>
      <c r="L88" s="44">
        <v>0.3</v>
      </c>
      <c r="M88" s="44">
        <v>3</v>
      </c>
      <c r="N88" s="44">
        <v>0</v>
      </c>
      <c r="O88" s="45" t="s">
        <v>1520</v>
      </c>
      <c r="P88" s="46" t="s">
        <v>27</v>
      </c>
      <c r="Q88" s="46" t="s">
        <v>27</v>
      </c>
      <c r="R88" s="46">
        <v>0</v>
      </c>
      <c r="S88" s="46">
        <v>0</v>
      </c>
      <c r="T88" s="47">
        <v>0</v>
      </c>
      <c r="U88" s="46">
        <v>0</v>
      </c>
      <c r="V88" s="46">
        <v>0</v>
      </c>
      <c r="W88" s="46">
        <v>0</v>
      </c>
      <c r="X88" s="46">
        <v>0</v>
      </c>
    </row>
    <row r="89" spans="1:24" s="5" customFormat="1" x14ac:dyDescent="0.15">
      <c r="A89" s="44" t="s">
        <v>67</v>
      </c>
      <c r="B89" s="44" t="s">
        <v>230</v>
      </c>
      <c r="C89" s="44" t="s">
        <v>160</v>
      </c>
      <c r="D89" s="44">
        <v>1.5</v>
      </c>
      <c r="E89" s="44">
        <v>0</v>
      </c>
      <c r="F89" s="44">
        <v>1</v>
      </c>
      <c r="G89" s="44">
        <v>0</v>
      </c>
      <c r="H89" s="44">
        <v>1</v>
      </c>
      <c r="I89" s="44" t="s">
        <v>151</v>
      </c>
      <c r="J89" s="44" t="s">
        <v>231</v>
      </c>
      <c r="K89" s="44">
        <v>5</v>
      </c>
      <c r="L89" s="44">
        <v>0</v>
      </c>
      <c r="M89" s="44">
        <v>1</v>
      </c>
      <c r="N89" s="44">
        <v>0</v>
      </c>
      <c r="O89" s="45" t="s">
        <v>1520</v>
      </c>
      <c r="P89" s="46" t="s">
        <v>27</v>
      </c>
      <c r="Q89" s="46" t="s">
        <v>27</v>
      </c>
      <c r="R89" s="46">
        <v>0</v>
      </c>
      <c r="S89" s="46">
        <v>0</v>
      </c>
      <c r="T89" s="47">
        <v>0</v>
      </c>
      <c r="U89" s="46">
        <v>0</v>
      </c>
      <c r="V89" s="46">
        <v>0</v>
      </c>
      <c r="W89" s="46">
        <v>0</v>
      </c>
      <c r="X89" s="46">
        <v>0</v>
      </c>
    </row>
    <row r="90" spans="1:24" s="5" customFormat="1" x14ac:dyDescent="0.15">
      <c r="A90" s="44" t="s">
        <v>146</v>
      </c>
      <c r="B90" s="44" t="s">
        <v>232</v>
      </c>
      <c r="C90" s="44" t="s">
        <v>160</v>
      </c>
      <c r="D90" s="44">
        <v>1.5</v>
      </c>
      <c r="E90" s="44">
        <v>0</v>
      </c>
      <c r="F90" s="44">
        <v>1</v>
      </c>
      <c r="G90" s="44">
        <v>0</v>
      </c>
      <c r="H90" s="44">
        <v>1</v>
      </c>
      <c r="I90" s="44" t="s">
        <v>151</v>
      </c>
      <c r="J90" s="44" t="s">
        <v>233</v>
      </c>
      <c r="K90" s="44">
        <v>5</v>
      </c>
      <c r="L90" s="44">
        <v>0</v>
      </c>
      <c r="M90" s="44">
        <v>2</v>
      </c>
      <c r="N90" s="44">
        <v>0</v>
      </c>
      <c r="O90" s="45" t="s">
        <v>1520</v>
      </c>
      <c r="P90" s="46" t="s">
        <v>840</v>
      </c>
      <c r="Q90" s="46" t="s">
        <v>27</v>
      </c>
      <c r="R90" s="46">
        <v>0</v>
      </c>
      <c r="S90" s="46">
        <v>0</v>
      </c>
      <c r="T90" s="47">
        <v>0</v>
      </c>
      <c r="U90" s="46">
        <v>0</v>
      </c>
      <c r="V90" s="46">
        <v>0</v>
      </c>
      <c r="W90" s="46">
        <v>0</v>
      </c>
      <c r="X90" s="46">
        <v>0</v>
      </c>
    </row>
    <row r="91" spans="1:24" s="5" customFormat="1" x14ac:dyDescent="0.15">
      <c r="A91" s="44" t="s">
        <v>68</v>
      </c>
      <c r="B91" s="44" t="s">
        <v>234</v>
      </c>
      <c r="C91" s="44" t="s">
        <v>151</v>
      </c>
      <c r="D91" s="44">
        <v>0</v>
      </c>
      <c r="E91" s="44">
        <v>0</v>
      </c>
      <c r="F91" s="44">
        <v>1</v>
      </c>
      <c r="G91" s="44">
        <v>0</v>
      </c>
      <c r="H91" s="44" t="s">
        <v>839</v>
      </c>
      <c r="I91" s="44" t="s">
        <v>151</v>
      </c>
      <c r="J91" s="44" t="s">
        <v>151</v>
      </c>
      <c r="K91" s="44">
        <v>5</v>
      </c>
      <c r="L91" s="44">
        <v>0</v>
      </c>
      <c r="M91" s="44">
        <v>1</v>
      </c>
      <c r="N91" s="44">
        <v>0</v>
      </c>
      <c r="O91" s="45" t="s">
        <v>1520</v>
      </c>
      <c r="P91" s="46" t="s">
        <v>27</v>
      </c>
      <c r="Q91" s="46" t="s">
        <v>27</v>
      </c>
      <c r="R91" s="46">
        <v>0</v>
      </c>
      <c r="S91" s="46">
        <v>0</v>
      </c>
      <c r="T91" s="47">
        <v>0</v>
      </c>
      <c r="U91" s="46">
        <v>0</v>
      </c>
      <c r="V91" s="46">
        <v>0</v>
      </c>
      <c r="W91" s="46">
        <v>0</v>
      </c>
      <c r="X91" s="46">
        <v>0</v>
      </c>
    </row>
    <row r="92" spans="1:24" s="5" customFormat="1" x14ac:dyDescent="0.15">
      <c r="A92" s="44" t="s">
        <v>69</v>
      </c>
      <c r="B92" s="44" t="s">
        <v>235</v>
      </c>
      <c r="C92" s="44" t="s">
        <v>167</v>
      </c>
      <c r="D92" s="44">
        <v>3</v>
      </c>
      <c r="E92" s="44">
        <v>0</v>
      </c>
      <c r="F92" s="44">
        <v>1</v>
      </c>
      <c r="G92" s="44">
        <v>0</v>
      </c>
      <c r="H92" s="44">
        <v>1</v>
      </c>
      <c r="I92" s="44" t="s">
        <v>151</v>
      </c>
      <c r="J92" s="44" t="s">
        <v>236</v>
      </c>
      <c r="K92" s="44">
        <v>5</v>
      </c>
      <c r="L92" s="44">
        <v>0</v>
      </c>
      <c r="M92" s="44">
        <v>1</v>
      </c>
      <c r="N92" s="44">
        <v>0</v>
      </c>
      <c r="O92" s="45" t="s">
        <v>1520</v>
      </c>
      <c r="P92" s="46" t="s">
        <v>27</v>
      </c>
      <c r="Q92" s="46" t="s">
        <v>27</v>
      </c>
      <c r="R92" s="46">
        <v>0</v>
      </c>
      <c r="S92" s="46">
        <v>0</v>
      </c>
      <c r="T92" s="47">
        <v>0</v>
      </c>
      <c r="U92" s="46">
        <v>0</v>
      </c>
      <c r="V92" s="46">
        <v>0</v>
      </c>
      <c r="W92" s="46">
        <v>0</v>
      </c>
      <c r="X92" s="46">
        <v>0</v>
      </c>
    </row>
    <row r="93" spans="1:24" s="5" customFormat="1" x14ac:dyDescent="0.15">
      <c r="A93" s="44" t="s">
        <v>70</v>
      </c>
      <c r="B93" s="44" t="s">
        <v>237</v>
      </c>
      <c r="C93" s="44" t="s">
        <v>167</v>
      </c>
      <c r="D93" s="44">
        <v>3</v>
      </c>
      <c r="E93" s="44">
        <v>0</v>
      </c>
      <c r="F93" s="44">
        <v>1</v>
      </c>
      <c r="G93" s="44">
        <v>0</v>
      </c>
      <c r="H93" s="44">
        <v>1</v>
      </c>
      <c r="I93" s="44" t="s">
        <v>151</v>
      </c>
      <c r="J93" s="44" t="s">
        <v>238</v>
      </c>
      <c r="K93" s="44">
        <v>5</v>
      </c>
      <c r="L93" s="44">
        <v>0</v>
      </c>
      <c r="M93" s="44">
        <v>2</v>
      </c>
      <c r="N93" s="44">
        <v>0</v>
      </c>
      <c r="O93" s="45" t="s">
        <v>1520</v>
      </c>
      <c r="P93" s="46" t="s">
        <v>840</v>
      </c>
      <c r="Q93" s="46" t="s">
        <v>27</v>
      </c>
      <c r="R93" s="46">
        <v>0</v>
      </c>
      <c r="S93" s="46">
        <v>0</v>
      </c>
      <c r="T93" s="47">
        <v>0</v>
      </c>
      <c r="U93" s="46">
        <v>0</v>
      </c>
      <c r="V93" s="46">
        <v>0</v>
      </c>
      <c r="W93" s="46">
        <v>0</v>
      </c>
      <c r="X93" s="46">
        <v>0</v>
      </c>
    </row>
    <row r="94" spans="1:24" s="5" customFormat="1" x14ac:dyDescent="0.15">
      <c r="A94" s="44" t="s">
        <v>133</v>
      </c>
      <c r="B94" s="44" t="s">
        <v>239</v>
      </c>
      <c r="C94" s="44" t="s">
        <v>150</v>
      </c>
      <c r="D94" s="44">
        <v>0.83299999999999996</v>
      </c>
      <c r="E94" s="44">
        <v>0</v>
      </c>
      <c r="F94" s="44">
        <v>2</v>
      </c>
      <c r="G94" s="44">
        <v>30</v>
      </c>
      <c r="H94" s="44">
        <v>1</v>
      </c>
      <c r="I94" s="44" t="s">
        <v>151</v>
      </c>
      <c r="J94" s="44" t="s">
        <v>240</v>
      </c>
      <c r="K94" s="44">
        <v>5</v>
      </c>
      <c r="L94" s="44">
        <v>0.2</v>
      </c>
      <c r="M94" s="44">
        <v>1</v>
      </c>
      <c r="N94" s="44">
        <v>1</v>
      </c>
      <c r="O94" s="45" t="s">
        <v>1520</v>
      </c>
      <c r="P94" s="46" t="s">
        <v>27</v>
      </c>
      <c r="Q94" s="46" t="s">
        <v>27</v>
      </c>
      <c r="R94" s="46">
        <v>0</v>
      </c>
      <c r="S94" s="46">
        <v>0</v>
      </c>
      <c r="T94" s="47">
        <v>0</v>
      </c>
      <c r="U94" s="46">
        <v>0</v>
      </c>
      <c r="V94" s="46">
        <v>0</v>
      </c>
      <c r="W94" s="46">
        <v>0</v>
      </c>
      <c r="X94" s="46">
        <v>0</v>
      </c>
    </row>
    <row r="95" spans="1:24" s="5" customFormat="1" x14ac:dyDescent="0.15">
      <c r="A95" s="44" t="s">
        <v>134</v>
      </c>
      <c r="B95" s="44" t="s">
        <v>241</v>
      </c>
      <c r="C95" s="44" t="s">
        <v>160</v>
      </c>
      <c r="D95" s="44">
        <v>1.2</v>
      </c>
      <c r="E95" s="44">
        <v>0</v>
      </c>
      <c r="F95" s="44">
        <v>1</v>
      </c>
      <c r="G95" s="44">
        <v>0</v>
      </c>
      <c r="H95" s="44" t="s">
        <v>839</v>
      </c>
      <c r="I95" s="44" t="s">
        <v>151</v>
      </c>
      <c r="J95" s="44" t="s">
        <v>242</v>
      </c>
      <c r="K95" s="44">
        <v>3</v>
      </c>
      <c r="L95" s="44">
        <v>0</v>
      </c>
      <c r="M95" s="44">
        <v>1</v>
      </c>
      <c r="N95" s="44">
        <v>15</v>
      </c>
      <c r="O95" s="45" t="s">
        <v>1520</v>
      </c>
      <c r="P95" s="46" t="s">
        <v>27</v>
      </c>
      <c r="Q95" s="46" t="s">
        <v>27</v>
      </c>
      <c r="R95" s="46">
        <v>0</v>
      </c>
      <c r="S95" s="46">
        <v>0</v>
      </c>
      <c r="T95" s="47">
        <v>0</v>
      </c>
      <c r="U95" s="46">
        <v>0</v>
      </c>
      <c r="V95" s="46">
        <v>0</v>
      </c>
      <c r="W95" s="46">
        <v>0</v>
      </c>
      <c r="X95" s="46">
        <v>0</v>
      </c>
    </row>
    <row r="96" spans="1:24" s="5" customFormat="1" x14ac:dyDescent="0.15">
      <c r="A96" s="44" t="s">
        <v>135</v>
      </c>
      <c r="B96" s="44" t="s">
        <v>243</v>
      </c>
      <c r="C96" s="44" t="s">
        <v>160</v>
      </c>
      <c r="D96" s="44">
        <v>0</v>
      </c>
      <c r="E96" s="44">
        <v>0.75</v>
      </c>
      <c r="F96" s="44">
        <v>1</v>
      </c>
      <c r="G96" s="44">
        <v>0</v>
      </c>
      <c r="H96" s="44">
        <v>1</v>
      </c>
      <c r="I96" s="44" t="s">
        <v>151</v>
      </c>
      <c r="J96" s="44" t="s">
        <v>244</v>
      </c>
      <c r="K96" s="44">
        <v>1.5</v>
      </c>
      <c r="L96" s="44">
        <v>0.15</v>
      </c>
      <c r="M96" s="44">
        <v>1</v>
      </c>
      <c r="N96" s="44">
        <v>0</v>
      </c>
      <c r="O96" s="45" t="s">
        <v>1520</v>
      </c>
      <c r="P96" s="46" t="s">
        <v>27</v>
      </c>
      <c r="Q96" s="46" t="s">
        <v>27</v>
      </c>
      <c r="R96" s="46">
        <v>0</v>
      </c>
      <c r="S96" s="46">
        <v>0</v>
      </c>
      <c r="T96" s="47">
        <v>0</v>
      </c>
      <c r="U96" s="46">
        <v>0</v>
      </c>
      <c r="V96" s="46">
        <v>0</v>
      </c>
      <c r="W96" s="46">
        <v>0</v>
      </c>
      <c r="X96" s="46">
        <v>0</v>
      </c>
    </row>
    <row r="97" spans="1:24" s="5" customFormat="1" x14ac:dyDescent="0.15">
      <c r="A97" s="44" t="s">
        <v>136</v>
      </c>
      <c r="B97" s="44" t="s">
        <v>245</v>
      </c>
      <c r="C97" s="44" t="s">
        <v>150</v>
      </c>
      <c r="D97" s="44">
        <v>0.66700000000000004</v>
      </c>
      <c r="E97" s="44">
        <v>0</v>
      </c>
      <c r="F97" s="44">
        <v>2</v>
      </c>
      <c r="G97" s="44">
        <v>17</v>
      </c>
      <c r="H97" s="44">
        <v>1</v>
      </c>
      <c r="I97" s="44" t="s">
        <v>151</v>
      </c>
      <c r="J97" s="44" t="s">
        <v>246</v>
      </c>
      <c r="K97" s="44">
        <v>5</v>
      </c>
      <c r="L97" s="44">
        <v>0.15</v>
      </c>
      <c r="M97" s="44">
        <v>1</v>
      </c>
      <c r="N97" s="44">
        <v>1</v>
      </c>
      <c r="O97" s="45" t="s">
        <v>1520</v>
      </c>
      <c r="P97" s="46" t="s">
        <v>27</v>
      </c>
      <c r="Q97" s="46" t="s">
        <v>27</v>
      </c>
      <c r="R97" s="46">
        <v>0</v>
      </c>
      <c r="S97" s="46">
        <v>0</v>
      </c>
      <c r="T97" s="47">
        <v>0</v>
      </c>
      <c r="U97" s="46">
        <v>0</v>
      </c>
      <c r="V97" s="46">
        <v>0</v>
      </c>
      <c r="W97" s="46">
        <v>0</v>
      </c>
      <c r="X97" s="46">
        <v>0</v>
      </c>
    </row>
    <row r="98" spans="1:24" s="5" customFormat="1" x14ac:dyDescent="0.15">
      <c r="A98" s="44" t="s">
        <v>137</v>
      </c>
      <c r="B98" s="44" t="s">
        <v>247</v>
      </c>
      <c r="C98" s="44" t="s">
        <v>160</v>
      </c>
      <c r="D98" s="44">
        <v>1.333</v>
      </c>
      <c r="E98" s="44">
        <v>0</v>
      </c>
      <c r="F98" s="44">
        <v>1</v>
      </c>
      <c r="G98" s="44">
        <v>0</v>
      </c>
      <c r="H98" s="44">
        <v>1</v>
      </c>
      <c r="I98" s="44" t="s">
        <v>151</v>
      </c>
      <c r="J98" s="44" t="s">
        <v>151</v>
      </c>
      <c r="K98" s="44">
        <v>5</v>
      </c>
      <c r="L98" s="44">
        <v>0</v>
      </c>
      <c r="M98" s="44">
        <v>0</v>
      </c>
      <c r="N98" s="44">
        <v>0</v>
      </c>
      <c r="O98" s="45" t="s">
        <v>1520</v>
      </c>
      <c r="P98" s="46" t="s">
        <v>27</v>
      </c>
      <c r="Q98" s="46" t="s">
        <v>27</v>
      </c>
      <c r="R98" s="46">
        <v>0</v>
      </c>
      <c r="S98" s="46">
        <v>0</v>
      </c>
      <c r="T98" s="47">
        <v>0</v>
      </c>
      <c r="U98" s="46">
        <v>0</v>
      </c>
      <c r="V98" s="46">
        <v>0</v>
      </c>
      <c r="W98" s="46">
        <v>0</v>
      </c>
      <c r="X98" s="46">
        <v>0</v>
      </c>
    </row>
    <row r="99" spans="1:24" s="5" customFormat="1" x14ac:dyDescent="0.15">
      <c r="A99" s="44" t="s">
        <v>132</v>
      </c>
      <c r="B99" s="44" t="s">
        <v>248</v>
      </c>
      <c r="C99" s="44" t="s">
        <v>160</v>
      </c>
      <c r="D99" s="44">
        <v>1.333</v>
      </c>
      <c r="E99" s="44">
        <v>0</v>
      </c>
      <c r="F99" s="44">
        <v>1</v>
      </c>
      <c r="G99" s="44">
        <v>0</v>
      </c>
      <c r="H99" s="44">
        <v>1</v>
      </c>
      <c r="I99" s="44" t="s">
        <v>151</v>
      </c>
      <c r="J99" s="44" t="s">
        <v>249</v>
      </c>
      <c r="K99" s="44">
        <v>3</v>
      </c>
      <c r="L99" s="44">
        <v>0</v>
      </c>
      <c r="M99" s="44">
        <v>1</v>
      </c>
      <c r="N99" s="44">
        <v>0</v>
      </c>
      <c r="O99" s="45" t="s">
        <v>1520</v>
      </c>
      <c r="P99" s="46" t="s">
        <v>27</v>
      </c>
      <c r="Q99" s="46" t="s">
        <v>27</v>
      </c>
      <c r="R99" s="46">
        <v>0</v>
      </c>
      <c r="S99" s="46">
        <v>0</v>
      </c>
      <c r="T99" s="47">
        <v>0</v>
      </c>
      <c r="U99" s="46">
        <v>0</v>
      </c>
      <c r="V99" s="46">
        <v>0</v>
      </c>
      <c r="W99" s="46">
        <v>0</v>
      </c>
      <c r="X99" s="46">
        <v>0</v>
      </c>
    </row>
    <row r="100" spans="1:24" s="5" customFormat="1" x14ac:dyDescent="0.15">
      <c r="A100" s="44" t="s">
        <v>102</v>
      </c>
      <c r="B100" s="44" t="s">
        <v>250</v>
      </c>
      <c r="C100" s="44" t="s">
        <v>150</v>
      </c>
      <c r="D100" s="44">
        <v>0.73299999999999998</v>
      </c>
      <c r="E100" s="44">
        <v>0</v>
      </c>
      <c r="F100" s="44">
        <v>1</v>
      </c>
      <c r="G100" s="44">
        <v>0</v>
      </c>
      <c r="H100" s="44">
        <v>1</v>
      </c>
      <c r="I100" s="44" t="s">
        <v>151</v>
      </c>
      <c r="J100" s="44" t="s">
        <v>251</v>
      </c>
      <c r="K100" s="44">
        <v>1</v>
      </c>
      <c r="L100" s="44">
        <v>0</v>
      </c>
      <c r="M100" s="44">
        <v>1</v>
      </c>
      <c r="N100" s="44">
        <v>0</v>
      </c>
      <c r="O100" s="45" t="s">
        <v>1520</v>
      </c>
      <c r="P100" s="46" t="s">
        <v>27</v>
      </c>
      <c r="Q100" s="46" t="s">
        <v>27</v>
      </c>
      <c r="R100" s="46">
        <v>0</v>
      </c>
      <c r="S100" s="46">
        <v>0</v>
      </c>
      <c r="T100" s="47">
        <v>0</v>
      </c>
      <c r="U100" s="46">
        <v>0</v>
      </c>
      <c r="V100" s="46">
        <v>0</v>
      </c>
      <c r="W100" s="46">
        <v>0</v>
      </c>
      <c r="X100" s="46">
        <v>0</v>
      </c>
    </row>
    <row r="101" spans="1:24" s="5" customFormat="1" x14ac:dyDescent="0.15">
      <c r="A101" s="44" t="s">
        <v>103</v>
      </c>
      <c r="B101" s="44" t="s">
        <v>252</v>
      </c>
      <c r="C101" s="44" t="s">
        <v>160</v>
      </c>
      <c r="D101" s="44">
        <v>1.667</v>
      </c>
      <c r="E101" s="44">
        <v>0</v>
      </c>
      <c r="F101" s="44">
        <v>1</v>
      </c>
      <c r="G101" s="44">
        <v>0</v>
      </c>
      <c r="H101" s="44">
        <v>1</v>
      </c>
      <c r="I101" s="44" t="s">
        <v>151</v>
      </c>
      <c r="J101" s="44" t="s">
        <v>253</v>
      </c>
      <c r="K101" s="44">
        <v>1.667</v>
      </c>
      <c r="L101" s="44">
        <v>0</v>
      </c>
      <c r="M101" s="44">
        <v>2</v>
      </c>
      <c r="N101" s="44">
        <v>0</v>
      </c>
      <c r="O101" s="45" t="s">
        <v>1520</v>
      </c>
      <c r="P101" s="46" t="s">
        <v>840</v>
      </c>
      <c r="Q101" s="46" t="s">
        <v>27</v>
      </c>
      <c r="R101" s="46">
        <v>0</v>
      </c>
      <c r="S101" s="46">
        <v>0</v>
      </c>
      <c r="T101" s="47">
        <v>0</v>
      </c>
      <c r="U101" s="46">
        <v>0</v>
      </c>
      <c r="V101" s="46">
        <v>0</v>
      </c>
      <c r="W101" s="46">
        <v>0</v>
      </c>
      <c r="X101" s="46">
        <v>0</v>
      </c>
    </row>
    <row r="102" spans="1:24" s="5" customFormat="1" x14ac:dyDescent="0.15">
      <c r="A102" s="44" t="s">
        <v>104</v>
      </c>
      <c r="B102" s="44" t="s">
        <v>254</v>
      </c>
      <c r="C102" s="44" t="s">
        <v>160</v>
      </c>
      <c r="D102" s="44">
        <v>1.667</v>
      </c>
      <c r="E102" s="44">
        <v>0</v>
      </c>
      <c r="F102" s="44">
        <v>1</v>
      </c>
      <c r="G102" s="44">
        <v>0</v>
      </c>
      <c r="H102" s="44" t="s">
        <v>839</v>
      </c>
      <c r="I102" s="44" t="s">
        <v>151</v>
      </c>
      <c r="J102" s="44" t="s">
        <v>255</v>
      </c>
      <c r="K102" s="44">
        <v>1.667</v>
      </c>
      <c r="L102" s="44">
        <v>0</v>
      </c>
      <c r="M102" s="44">
        <v>5</v>
      </c>
      <c r="N102" s="44">
        <v>0</v>
      </c>
      <c r="O102" s="45" t="s">
        <v>1520</v>
      </c>
      <c r="P102" s="46" t="s">
        <v>27</v>
      </c>
      <c r="Q102" s="46" t="s">
        <v>27</v>
      </c>
      <c r="R102" s="46">
        <v>0</v>
      </c>
      <c r="S102" s="46">
        <v>0</v>
      </c>
      <c r="T102" s="47">
        <v>0</v>
      </c>
      <c r="U102" s="46">
        <v>0</v>
      </c>
      <c r="V102" s="46">
        <v>0</v>
      </c>
      <c r="W102" s="46">
        <v>0</v>
      </c>
      <c r="X102" s="46">
        <v>0</v>
      </c>
    </row>
    <row r="103" spans="1:24" s="5" customFormat="1" x14ac:dyDescent="0.15">
      <c r="A103" s="44" t="s">
        <v>327</v>
      </c>
      <c r="B103" s="44" t="s">
        <v>328</v>
      </c>
      <c r="C103" s="44" t="s">
        <v>329</v>
      </c>
      <c r="D103" s="44">
        <v>0.8</v>
      </c>
      <c r="E103" s="44">
        <v>0</v>
      </c>
      <c r="F103" s="44">
        <v>1</v>
      </c>
      <c r="G103" s="44">
        <v>0</v>
      </c>
      <c r="H103" s="44">
        <v>1</v>
      </c>
      <c r="I103" s="44" t="s">
        <v>330</v>
      </c>
      <c r="J103" s="44" t="s">
        <v>327</v>
      </c>
      <c r="K103" s="44">
        <v>1</v>
      </c>
      <c r="L103" s="44">
        <v>0.01</v>
      </c>
      <c r="M103" s="44">
        <v>1</v>
      </c>
      <c r="N103" s="44">
        <v>0</v>
      </c>
      <c r="O103" s="45" t="s">
        <v>1520</v>
      </c>
      <c r="P103" s="46" t="s">
        <v>27</v>
      </c>
      <c r="Q103" s="46" t="s">
        <v>27</v>
      </c>
      <c r="R103" s="46">
        <v>0</v>
      </c>
      <c r="S103" s="46">
        <v>0</v>
      </c>
      <c r="T103" s="47">
        <v>0</v>
      </c>
      <c r="U103" s="46">
        <v>0</v>
      </c>
      <c r="V103" s="46">
        <v>0</v>
      </c>
      <c r="W103" s="46">
        <v>0</v>
      </c>
      <c r="X103" s="46">
        <v>0</v>
      </c>
    </row>
    <row r="104" spans="1:24" s="5" customFormat="1" x14ac:dyDescent="0.15">
      <c r="A104" s="44" t="s">
        <v>326</v>
      </c>
      <c r="B104" s="44" t="s">
        <v>331</v>
      </c>
      <c r="C104" s="44" t="s">
        <v>329</v>
      </c>
      <c r="D104" s="44">
        <v>0.8</v>
      </c>
      <c r="E104" s="44">
        <v>0</v>
      </c>
      <c r="F104" s="44">
        <v>1</v>
      </c>
      <c r="G104" s="44">
        <v>0</v>
      </c>
      <c r="H104" s="44">
        <v>1</v>
      </c>
      <c r="I104" s="44" t="s">
        <v>330</v>
      </c>
      <c r="J104" s="44" t="s">
        <v>327</v>
      </c>
      <c r="K104" s="44">
        <v>1</v>
      </c>
      <c r="L104" s="44">
        <v>0.01</v>
      </c>
      <c r="M104" s="44">
        <v>1</v>
      </c>
      <c r="N104" s="44">
        <v>0</v>
      </c>
      <c r="O104" s="45" t="s">
        <v>1520</v>
      </c>
      <c r="P104" s="46" t="s">
        <v>27</v>
      </c>
      <c r="Q104" s="46" t="s">
        <v>27</v>
      </c>
      <c r="R104" s="46">
        <v>0</v>
      </c>
      <c r="S104" s="46">
        <v>0</v>
      </c>
      <c r="T104" s="47">
        <v>0</v>
      </c>
      <c r="U104" s="46">
        <v>0</v>
      </c>
      <c r="V104" s="46">
        <v>0</v>
      </c>
      <c r="W104" s="46">
        <v>0</v>
      </c>
      <c r="X104" s="46">
        <v>0</v>
      </c>
    </row>
    <row r="105" spans="1:24" s="5" customFormat="1" x14ac:dyDescent="0.15">
      <c r="A105" s="44" t="s">
        <v>105</v>
      </c>
      <c r="B105" s="44" t="s">
        <v>325</v>
      </c>
      <c r="C105" s="44" t="s">
        <v>150</v>
      </c>
      <c r="D105" s="44">
        <v>0.93300000000000005</v>
      </c>
      <c r="E105" s="44">
        <v>0</v>
      </c>
      <c r="F105" s="44">
        <v>1</v>
      </c>
      <c r="G105" s="44">
        <v>0</v>
      </c>
      <c r="H105" s="44">
        <v>1</v>
      </c>
      <c r="I105" s="44" t="s">
        <v>151</v>
      </c>
      <c r="J105" s="44" t="s">
        <v>256</v>
      </c>
      <c r="K105" s="44">
        <v>1</v>
      </c>
      <c r="L105" s="44">
        <v>0</v>
      </c>
      <c r="M105" s="44">
        <v>1</v>
      </c>
      <c r="N105" s="44">
        <v>0</v>
      </c>
      <c r="O105" s="45" t="s">
        <v>1520</v>
      </c>
      <c r="P105" s="46" t="s">
        <v>27</v>
      </c>
      <c r="Q105" s="46" t="s">
        <v>27</v>
      </c>
      <c r="R105" s="46">
        <v>0</v>
      </c>
      <c r="S105" s="46">
        <v>0</v>
      </c>
      <c r="T105" s="47">
        <v>0</v>
      </c>
      <c r="U105" s="46">
        <v>0</v>
      </c>
      <c r="V105" s="46">
        <v>0</v>
      </c>
      <c r="W105" s="46">
        <v>0</v>
      </c>
      <c r="X105" s="46">
        <v>0</v>
      </c>
    </row>
    <row r="106" spans="1:24" s="5" customFormat="1" x14ac:dyDescent="0.15">
      <c r="A106" s="44" t="s">
        <v>320</v>
      </c>
      <c r="B106" s="44" t="s">
        <v>319</v>
      </c>
      <c r="C106" s="44" t="s">
        <v>144</v>
      </c>
      <c r="D106" s="44">
        <v>0.93300000000000005</v>
      </c>
      <c r="E106" s="44">
        <v>0</v>
      </c>
      <c r="F106" s="44">
        <v>1</v>
      </c>
      <c r="G106" s="44">
        <v>0</v>
      </c>
      <c r="H106" s="44">
        <v>1</v>
      </c>
      <c r="I106" s="44" t="s">
        <v>50</v>
      </c>
      <c r="J106" s="44" t="s">
        <v>105</v>
      </c>
      <c r="K106" s="44">
        <v>1</v>
      </c>
      <c r="L106" s="44">
        <v>0</v>
      </c>
      <c r="M106" s="44">
        <v>1</v>
      </c>
      <c r="N106" s="44">
        <v>0</v>
      </c>
      <c r="O106" s="45" t="s">
        <v>1520</v>
      </c>
      <c r="P106" s="46" t="s">
        <v>27</v>
      </c>
      <c r="Q106" s="46" t="s">
        <v>27</v>
      </c>
      <c r="R106" s="46">
        <v>0</v>
      </c>
      <c r="S106" s="46">
        <v>0</v>
      </c>
      <c r="T106" s="47">
        <v>0</v>
      </c>
      <c r="U106" s="46">
        <v>0</v>
      </c>
      <c r="V106" s="46">
        <v>0</v>
      </c>
      <c r="W106" s="46">
        <v>0</v>
      </c>
      <c r="X106" s="46">
        <v>0</v>
      </c>
    </row>
    <row r="107" spans="1:24" s="5" customFormat="1" x14ac:dyDescent="0.15">
      <c r="A107" s="44" t="s">
        <v>321</v>
      </c>
      <c r="B107" s="44" t="s">
        <v>323</v>
      </c>
      <c r="C107" s="44" t="s">
        <v>144</v>
      </c>
      <c r="D107" s="44">
        <v>0.93300000000000005</v>
      </c>
      <c r="E107" s="44">
        <v>0</v>
      </c>
      <c r="F107" s="44">
        <v>1</v>
      </c>
      <c r="G107" s="44">
        <v>0</v>
      </c>
      <c r="H107" s="44">
        <v>1</v>
      </c>
      <c r="I107" s="44" t="s">
        <v>50</v>
      </c>
      <c r="J107" s="44" t="s">
        <v>105</v>
      </c>
      <c r="K107" s="44">
        <v>1</v>
      </c>
      <c r="L107" s="44">
        <v>0</v>
      </c>
      <c r="M107" s="44">
        <v>1</v>
      </c>
      <c r="N107" s="44">
        <v>0</v>
      </c>
      <c r="O107" s="45" t="s">
        <v>1520</v>
      </c>
      <c r="P107" s="46" t="s">
        <v>27</v>
      </c>
      <c r="Q107" s="46" t="s">
        <v>27</v>
      </c>
      <c r="R107" s="46">
        <v>0</v>
      </c>
      <c r="S107" s="46">
        <v>0</v>
      </c>
      <c r="T107" s="47">
        <v>0</v>
      </c>
      <c r="U107" s="46">
        <v>0</v>
      </c>
      <c r="V107" s="46">
        <v>0</v>
      </c>
      <c r="W107" s="46">
        <v>0</v>
      </c>
      <c r="X107" s="46">
        <v>0</v>
      </c>
    </row>
    <row r="108" spans="1:24" s="5" customFormat="1" x14ac:dyDescent="0.15">
      <c r="A108" s="44" t="s">
        <v>322</v>
      </c>
      <c r="B108" s="44" t="s">
        <v>324</v>
      </c>
      <c r="C108" s="44" t="s">
        <v>144</v>
      </c>
      <c r="D108" s="44">
        <v>0.93300000000000005</v>
      </c>
      <c r="E108" s="44">
        <v>0</v>
      </c>
      <c r="F108" s="44">
        <v>1</v>
      </c>
      <c r="G108" s="44">
        <v>0</v>
      </c>
      <c r="H108" s="44">
        <v>1</v>
      </c>
      <c r="I108" s="44" t="s">
        <v>50</v>
      </c>
      <c r="J108" s="44" t="s">
        <v>105</v>
      </c>
      <c r="K108" s="44">
        <v>1</v>
      </c>
      <c r="L108" s="44">
        <v>0</v>
      </c>
      <c r="M108" s="44">
        <v>1</v>
      </c>
      <c r="N108" s="44">
        <v>0</v>
      </c>
      <c r="O108" s="45" t="s">
        <v>1520</v>
      </c>
      <c r="P108" s="46" t="s">
        <v>27</v>
      </c>
      <c r="Q108" s="46" t="s">
        <v>27</v>
      </c>
      <c r="R108" s="46">
        <v>0</v>
      </c>
      <c r="S108" s="46">
        <v>0</v>
      </c>
      <c r="T108" s="47">
        <v>0</v>
      </c>
      <c r="U108" s="46">
        <v>0</v>
      </c>
      <c r="V108" s="46">
        <v>0</v>
      </c>
      <c r="W108" s="46">
        <v>0</v>
      </c>
      <c r="X108" s="46">
        <v>0</v>
      </c>
    </row>
    <row r="109" spans="1:24" s="5" customFormat="1" x14ac:dyDescent="0.15">
      <c r="A109" s="44" t="s">
        <v>332</v>
      </c>
      <c r="B109" s="44" t="s">
        <v>333</v>
      </c>
      <c r="C109" s="44" t="s">
        <v>334</v>
      </c>
      <c r="D109" s="44">
        <v>0.66700000000000004</v>
      </c>
      <c r="E109" s="44">
        <v>0</v>
      </c>
      <c r="F109" s="44">
        <v>1</v>
      </c>
      <c r="G109" s="44">
        <v>0</v>
      </c>
      <c r="H109" s="44">
        <v>1</v>
      </c>
      <c r="I109" s="44" t="s">
        <v>335</v>
      </c>
      <c r="J109" s="44" t="s">
        <v>382</v>
      </c>
      <c r="K109" s="44">
        <v>1</v>
      </c>
      <c r="L109" s="44">
        <v>0.05</v>
      </c>
      <c r="M109" s="44">
        <v>1</v>
      </c>
      <c r="N109" s="44">
        <v>0</v>
      </c>
      <c r="O109" s="45" t="s">
        <v>1520</v>
      </c>
      <c r="P109" s="46" t="s">
        <v>27</v>
      </c>
      <c r="Q109" s="46" t="s">
        <v>27</v>
      </c>
      <c r="R109" s="46">
        <v>0</v>
      </c>
      <c r="S109" s="46">
        <v>0</v>
      </c>
      <c r="T109" s="47">
        <v>0</v>
      </c>
      <c r="U109" s="46">
        <v>0</v>
      </c>
      <c r="V109" s="46">
        <v>0</v>
      </c>
      <c r="W109" s="46">
        <v>0</v>
      </c>
      <c r="X109" s="46">
        <v>0</v>
      </c>
    </row>
    <row r="110" spans="1:24" s="5" customFormat="1" x14ac:dyDescent="0.15">
      <c r="A110" s="44" t="s">
        <v>336</v>
      </c>
      <c r="B110" s="44" t="s">
        <v>337</v>
      </c>
      <c r="C110" s="44" t="s">
        <v>334</v>
      </c>
      <c r="D110" s="44">
        <v>0.66700000000000004</v>
      </c>
      <c r="E110" s="44">
        <v>0</v>
      </c>
      <c r="F110" s="44">
        <v>1</v>
      </c>
      <c r="G110" s="44">
        <v>0</v>
      </c>
      <c r="H110" s="44">
        <v>1</v>
      </c>
      <c r="I110" s="44" t="s">
        <v>335</v>
      </c>
      <c r="J110" s="44" t="s">
        <v>382</v>
      </c>
      <c r="K110" s="44">
        <v>1</v>
      </c>
      <c r="L110" s="44">
        <v>0.05</v>
      </c>
      <c r="M110" s="44">
        <v>1</v>
      </c>
      <c r="N110" s="44">
        <v>0</v>
      </c>
      <c r="O110" s="45" t="s">
        <v>1520</v>
      </c>
      <c r="P110" s="46" t="s">
        <v>27</v>
      </c>
      <c r="Q110" s="46" t="s">
        <v>27</v>
      </c>
      <c r="R110" s="46">
        <v>0</v>
      </c>
      <c r="S110" s="46">
        <v>0</v>
      </c>
      <c r="T110" s="47">
        <v>0</v>
      </c>
      <c r="U110" s="46">
        <v>0</v>
      </c>
      <c r="V110" s="46">
        <v>0</v>
      </c>
      <c r="W110" s="46">
        <v>0</v>
      </c>
      <c r="X110" s="46">
        <v>0</v>
      </c>
    </row>
    <row r="111" spans="1:24" s="5" customFormat="1" x14ac:dyDescent="0.15">
      <c r="A111" s="44" t="s">
        <v>338</v>
      </c>
      <c r="B111" s="44" t="s">
        <v>339</v>
      </c>
      <c r="C111" s="44" t="s">
        <v>334</v>
      </c>
      <c r="D111" s="44">
        <v>0.66700000000000004</v>
      </c>
      <c r="E111" s="44">
        <v>0</v>
      </c>
      <c r="F111" s="44">
        <v>1</v>
      </c>
      <c r="G111" s="44">
        <v>0</v>
      </c>
      <c r="H111" s="44">
        <v>1</v>
      </c>
      <c r="I111" s="44" t="s">
        <v>335</v>
      </c>
      <c r="J111" s="44" t="s">
        <v>382</v>
      </c>
      <c r="K111" s="44">
        <v>1</v>
      </c>
      <c r="L111" s="44">
        <v>0.05</v>
      </c>
      <c r="M111" s="44">
        <v>1</v>
      </c>
      <c r="N111" s="44">
        <v>0</v>
      </c>
      <c r="O111" s="45" t="s">
        <v>1520</v>
      </c>
      <c r="P111" s="46" t="s">
        <v>27</v>
      </c>
      <c r="Q111" s="46" t="s">
        <v>27</v>
      </c>
      <c r="R111" s="46">
        <v>0</v>
      </c>
      <c r="S111" s="46">
        <v>0</v>
      </c>
      <c r="T111" s="47">
        <v>0</v>
      </c>
      <c r="U111" s="46">
        <v>0</v>
      </c>
      <c r="V111" s="46">
        <v>0</v>
      </c>
      <c r="W111" s="46">
        <v>0</v>
      </c>
      <c r="X111" s="46">
        <v>0</v>
      </c>
    </row>
    <row r="112" spans="1:24" s="5" customFormat="1" x14ac:dyDescent="0.15">
      <c r="A112" s="44" t="s">
        <v>340</v>
      </c>
      <c r="B112" s="44" t="s">
        <v>341</v>
      </c>
      <c r="C112" s="44" t="s">
        <v>334</v>
      </c>
      <c r="D112" s="44">
        <v>0.66700000000000004</v>
      </c>
      <c r="E112" s="44">
        <v>0</v>
      </c>
      <c r="F112" s="44">
        <v>1</v>
      </c>
      <c r="G112" s="44">
        <v>0</v>
      </c>
      <c r="H112" s="44">
        <v>1</v>
      </c>
      <c r="I112" s="44" t="s">
        <v>335</v>
      </c>
      <c r="J112" s="44" t="s">
        <v>382</v>
      </c>
      <c r="K112" s="44">
        <v>1</v>
      </c>
      <c r="L112" s="44">
        <v>0.05</v>
      </c>
      <c r="M112" s="44">
        <v>1</v>
      </c>
      <c r="N112" s="44">
        <v>0</v>
      </c>
      <c r="O112" s="45" t="s">
        <v>1520</v>
      </c>
      <c r="P112" s="46" t="s">
        <v>27</v>
      </c>
      <c r="Q112" s="46" t="s">
        <v>27</v>
      </c>
      <c r="R112" s="46">
        <v>0</v>
      </c>
      <c r="S112" s="46">
        <v>0</v>
      </c>
      <c r="T112" s="47">
        <v>0</v>
      </c>
      <c r="U112" s="46">
        <v>0</v>
      </c>
      <c r="V112" s="46">
        <v>0</v>
      </c>
      <c r="W112" s="46">
        <v>0</v>
      </c>
      <c r="X112" s="46">
        <v>0</v>
      </c>
    </row>
    <row r="113" spans="1:24" s="5" customFormat="1" x14ac:dyDescent="0.15">
      <c r="A113" s="44" t="s">
        <v>342</v>
      </c>
      <c r="B113" s="44" t="s">
        <v>343</v>
      </c>
      <c r="C113" s="44" t="s">
        <v>144</v>
      </c>
      <c r="D113" s="44">
        <v>0.66700000000000004</v>
      </c>
      <c r="E113" s="44">
        <v>0</v>
      </c>
      <c r="F113" s="44">
        <v>1</v>
      </c>
      <c r="G113" s="44">
        <v>0</v>
      </c>
      <c r="H113" s="44">
        <v>1</v>
      </c>
      <c r="I113" s="44" t="s">
        <v>114</v>
      </c>
      <c r="J113" s="44" t="s">
        <v>382</v>
      </c>
      <c r="K113" s="44">
        <v>1</v>
      </c>
      <c r="L113" s="44">
        <v>0.05</v>
      </c>
      <c r="M113" s="44">
        <v>1</v>
      </c>
      <c r="N113" s="44">
        <v>0</v>
      </c>
      <c r="O113" s="45" t="s">
        <v>1520</v>
      </c>
      <c r="P113" s="46" t="s">
        <v>27</v>
      </c>
      <c r="Q113" s="46" t="s">
        <v>27</v>
      </c>
      <c r="R113" s="46">
        <v>0</v>
      </c>
      <c r="S113" s="46">
        <v>0</v>
      </c>
      <c r="T113" s="47">
        <v>0</v>
      </c>
      <c r="U113" s="46">
        <v>0</v>
      </c>
      <c r="V113" s="46">
        <v>0</v>
      </c>
      <c r="W113" s="46">
        <v>0</v>
      </c>
      <c r="X113" s="46">
        <v>0</v>
      </c>
    </row>
    <row r="114" spans="1:24" s="5" customFormat="1" x14ac:dyDescent="0.15">
      <c r="A114" s="44" t="s">
        <v>106</v>
      </c>
      <c r="B114" s="44" t="s">
        <v>257</v>
      </c>
      <c r="C114" s="44" t="s">
        <v>73</v>
      </c>
      <c r="D114" s="44">
        <v>1.667</v>
      </c>
      <c r="E114" s="44">
        <v>0</v>
      </c>
      <c r="F114" s="44">
        <v>1</v>
      </c>
      <c r="G114" s="44">
        <v>0</v>
      </c>
      <c r="H114" s="44">
        <v>1</v>
      </c>
      <c r="I114" s="44" t="s">
        <v>151</v>
      </c>
      <c r="J114" s="44" t="s">
        <v>258</v>
      </c>
      <c r="K114" s="44">
        <v>2</v>
      </c>
      <c r="L114" s="44">
        <v>0</v>
      </c>
      <c r="M114" s="44">
        <v>1</v>
      </c>
      <c r="N114" s="44">
        <v>0</v>
      </c>
      <c r="O114" s="45" t="s">
        <v>1520</v>
      </c>
      <c r="P114" s="46" t="s">
        <v>27</v>
      </c>
      <c r="Q114" s="46" t="s">
        <v>27</v>
      </c>
      <c r="R114" s="46">
        <v>0</v>
      </c>
      <c r="S114" s="46">
        <v>0</v>
      </c>
      <c r="T114" s="47">
        <v>0</v>
      </c>
      <c r="U114" s="46">
        <v>0</v>
      </c>
      <c r="V114" s="46">
        <v>0</v>
      </c>
      <c r="W114" s="46">
        <v>0</v>
      </c>
      <c r="X114" s="46">
        <v>0</v>
      </c>
    </row>
    <row r="115" spans="1:24" s="5" customFormat="1" x14ac:dyDescent="0.15">
      <c r="A115" s="44" t="s">
        <v>1317</v>
      </c>
      <c r="B115" s="44" t="s">
        <v>259</v>
      </c>
      <c r="C115" s="44" t="s">
        <v>73</v>
      </c>
      <c r="D115" s="44">
        <v>1.667</v>
      </c>
      <c r="E115" s="44">
        <v>0</v>
      </c>
      <c r="F115" s="44">
        <v>1</v>
      </c>
      <c r="G115" s="44">
        <v>0</v>
      </c>
      <c r="H115" s="44">
        <v>1</v>
      </c>
      <c r="I115" s="44" t="s">
        <v>151</v>
      </c>
      <c r="J115" s="44" t="s">
        <v>260</v>
      </c>
      <c r="K115" s="44">
        <v>3</v>
      </c>
      <c r="L115" s="44">
        <v>0.3</v>
      </c>
      <c r="M115" s="44">
        <v>3</v>
      </c>
      <c r="N115" s="44">
        <v>0</v>
      </c>
      <c r="O115" s="45" t="s">
        <v>1520</v>
      </c>
      <c r="P115" s="46" t="s">
        <v>27</v>
      </c>
      <c r="Q115" s="46" t="s">
        <v>27</v>
      </c>
      <c r="R115" s="46">
        <v>0</v>
      </c>
      <c r="S115" s="46">
        <v>0</v>
      </c>
      <c r="T115" s="47">
        <v>0</v>
      </c>
      <c r="U115" s="46">
        <v>0</v>
      </c>
      <c r="V115" s="46">
        <v>0</v>
      </c>
      <c r="W115" s="46">
        <v>0</v>
      </c>
      <c r="X115" s="46">
        <v>0</v>
      </c>
    </row>
    <row r="116" spans="1:24" s="5" customFormat="1" x14ac:dyDescent="0.15">
      <c r="A116" s="44" t="s">
        <v>779</v>
      </c>
      <c r="B116" s="44" t="s">
        <v>261</v>
      </c>
      <c r="C116" s="44" t="s">
        <v>73</v>
      </c>
      <c r="D116" s="44">
        <v>1.667</v>
      </c>
      <c r="E116" s="44">
        <v>0</v>
      </c>
      <c r="F116" s="44" t="s">
        <v>187</v>
      </c>
      <c r="G116" s="44">
        <v>0</v>
      </c>
      <c r="H116" s="44">
        <v>1</v>
      </c>
      <c r="I116" s="44" t="s">
        <v>151</v>
      </c>
      <c r="J116" s="61" t="s">
        <v>676</v>
      </c>
      <c r="K116" s="44">
        <v>15</v>
      </c>
      <c r="L116" s="44">
        <v>0.2</v>
      </c>
      <c r="M116" s="44">
        <v>1</v>
      </c>
      <c r="N116" s="44">
        <v>0</v>
      </c>
      <c r="O116" s="45" t="s">
        <v>1520</v>
      </c>
      <c r="P116" s="46" t="s">
        <v>27</v>
      </c>
      <c r="Q116" s="46" t="s">
        <v>27</v>
      </c>
      <c r="R116" s="46">
        <v>0</v>
      </c>
      <c r="S116" s="46">
        <v>0</v>
      </c>
      <c r="T116" s="47">
        <v>0</v>
      </c>
      <c r="U116" s="46">
        <v>0</v>
      </c>
      <c r="V116" s="46">
        <v>0</v>
      </c>
      <c r="W116" s="46">
        <v>0</v>
      </c>
      <c r="X116" s="46">
        <v>0</v>
      </c>
    </row>
    <row r="117" spans="1:24" s="5" customFormat="1" x14ac:dyDescent="0.15">
      <c r="A117" s="44" t="s">
        <v>772</v>
      </c>
      <c r="B117" s="44" t="s">
        <v>773</v>
      </c>
      <c r="C117" s="44" t="s">
        <v>29</v>
      </c>
      <c r="D117" s="44">
        <v>1.167</v>
      </c>
      <c r="E117" s="44">
        <v>0</v>
      </c>
      <c r="F117" s="44" t="s">
        <v>187</v>
      </c>
      <c r="G117" s="44">
        <v>0</v>
      </c>
      <c r="H117" s="44">
        <v>1</v>
      </c>
      <c r="I117" s="44" t="s">
        <v>50</v>
      </c>
      <c r="J117" s="61" t="s">
        <v>677</v>
      </c>
      <c r="K117" s="44">
        <v>15</v>
      </c>
      <c r="L117" s="44">
        <v>0.2</v>
      </c>
      <c r="M117" s="44">
        <v>1</v>
      </c>
      <c r="N117" s="44">
        <v>0</v>
      </c>
      <c r="O117" s="45" t="s">
        <v>1520</v>
      </c>
      <c r="P117" s="46" t="s">
        <v>27</v>
      </c>
      <c r="Q117" s="46" t="s">
        <v>27</v>
      </c>
      <c r="R117" s="46">
        <v>0</v>
      </c>
      <c r="S117" s="46">
        <v>0</v>
      </c>
      <c r="T117" s="47">
        <v>0</v>
      </c>
      <c r="U117" s="46">
        <v>0</v>
      </c>
      <c r="V117" s="46">
        <v>0</v>
      </c>
      <c r="W117" s="46">
        <v>0</v>
      </c>
      <c r="X117" s="46">
        <v>0</v>
      </c>
    </row>
    <row r="118" spans="1:24" s="5" customFormat="1" x14ac:dyDescent="0.15">
      <c r="A118" s="44" t="s">
        <v>787</v>
      </c>
      <c r="B118" s="44" t="s">
        <v>262</v>
      </c>
      <c r="C118" s="44" t="s">
        <v>73</v>
      </c>
      <c r="D118" s="44">
        <v>1.667</v>
      </c>
      <c r="E118" s="44">
        <v>0</v>
      </c>
      <c r="F118" s="44">
        <v>1</v>
      </c>
      <c r="G118" s="44">
        <v>0</v>
      </c>
      <c r="H118" s="44">
        <v>1</v>
      </c>
      <c r="I118" s="44" t="s">
        <v>151</v>
      </c>
      <c r="J118" s="44" t="s">
        <v>263</v>
      </c>
      <c r="K118" s="44">
        <v>3</v>
      </c>
      <c r="L118" s="44">
        <v>0.4</v>
      </c>
      <c r="M118" s="44">
        <v>1</v>
      </c>
      <c r="N118" s="44">
        <v>0</v>
      </c>
      <c r="O118" s="45" t="s">
        <v>1520</v>
      </c>
      <c r="P118" s="46" t="s">
        <v>27</v>
      </c>
      <c r="Q118" s="46" t="s">
        <v>27</v>
      </c>
      <c r="R118" s="46">
        <v>0</v>
      </c>
      <c r="S118" s="46">
        <v>0</v>
      </c>
      <c r="T118" s="47">
        <v>0</v>
      </c>
      <c r="U118" s="46">
        <v>0</v>
      </c>
      <c r="V118" s="46">
        <v>0</v>
      </c>
      <c r="W118" s="46">
        <v>0</v>
      </c>
      <c r="X118" s="46">
        <v>0</v>
      </c>
    </row>
    <row r="119" spans="1:24" s="5" customFormat="1" x14ac:dyDescent="0.15">
      <c r="A119" s="44" t="s">
        <v>770</v>
      </c>
      <c r="B119" s="44" t="s">
        <v>771</v>
      </c>
      <c r="C119" s="44" t="s">
        <v>160</v>
      </c>
      <c r="D119" s="44">
        <v>1.167</v>
      </c>
      <c r="E119" s="44">
        <v>0</v>
      </c>
      <c r="F119" s="44">
        <v>2</v>
      </c>
      <c r="G119" s="44">
        <v>15</v>
      </c>
      <c r="H119" s="44">
        <v>1</v>
      </c>
      <c r="I119" s="44" t="s">
        <v>151</v>
      </c>
      <c r="J119" s="44" t="s">
        <v>264</v>
      </c>
      <c r="K119" s="44">
        <v>1</v>
      </c>
      <c r="L119" s="44">
        <v>0.3</v>
      </c>
      <c r="M119" s="44">
        <v>1</v>
      </c>
      <c r="N119" s="44">
        <v>1</v>
      </c>
      <c r="O119" s="45" t="s">
        <v>1520</v>
      </c>
      <c r="P119" s="46" t="s">
        <v>27</v>
      </c>
      <c r="Q119" s="46" t="s">
        <v>27</v>
      </c>
      <c r="R119" s="46">
        <v>0</v>
      </c>
      <c r="S119" s="46">
        <v>0</v>
      </c>
      <c r="T119" s="47">
        <v>0</v>
      </c>
      <c r="U119" s="46">
        <v>0</v>
      </c>
      <c r="V119" s="46">
        <v>0</v>
      </c>
      <c r="W119" s="46">
        <v>0</v>
      </c>
      <c r="X119" s="46">
        <v>0</v>
      </c>
    </row>
    <row r="120" spans="1:24" s="5" customFormat="1" x14ac:dyDescent="0.15">
      <c r="A120" s="44" t="s">
        <v>117</v>
      </c>
      <c r="B120" s="44" t="s">
        <v>265</v>
      </c>
      <c r="C120" s="44" t="s">
        <v>73</v>
      </c>
      <c r="D120" s="44">
        <v>1.667</v>
      </c>
      <c r="E120" s="44">
        <v>0</v>
      </c>
      <c r="F120" s="44">
        <v>11</v>
      </c>
      <c r="G120" s="44">
        <v>0</v>
      </c>
      <c r="H120" s="44">
        <v>1</v>
      </c>
      <c r="I120" s="44" t="s">
        <v>151</v>
      </c>
      <c r="J120" s="44" t="s">
        <v>266</v>
      </c>
      <c r="K120" s="44">
        <v>1.5</v>
      </c>
      <c r="L120" s="44">
        <v>0</v>
      </c>
      <c r="M120" s="44">
        <v>2</v>
      </c>
      <c r="N120" s="44">
        <v>1</v>
      </c>
      <c r="O120" s="45" t="s">
        <v>1520</v>
      </c>
      <c r="P120" s="46" t="s">
        <v>27</v>
      </c>
      <c r="Q120" s="46" t="s">
        <v>27</v>
      </c>
      <c r="R120" s="46">
        <v>0</v>
      </c>
      <c r="S120" s="46">
        <v>0</v>
      </c>
      <c r="T120" s="47">
        <v>0</v>
      </c>
      <c r="U120" s="46">
        <v>0</v>
      </c>
      <c r="V120" s="46">
        <v>0</v>
      </c>
      <c r="W120" s="46">
        <v>0</v>
      </c>
      <c r="X120" s="46">
        <v>0</v>
      </c>
    </row>
    <row r="121" spans="1:24" s="5" customFormat="1" x14ac:dyDescent="0.15">
      <c r="A121" s="44" t="s">
        <v>778</v>
      </c>
      <c r="B121" s="44" t="s">
        <v>267</v>
      </c>
      <c r="C121" s="44" t="s">
        <v>73</v>
      </c>
      <c r="D121" s="44">
        <v>1.667</v>
      </c>
      <c r="E121" s="44">
        <v>0</v>
      </c>
      <c r="F121" s="44">
        <v>1</v>
      </c>
      <c r="G121" s="44">
        <v>0</v>
      </c>
      <c r="H121" s="44">
        <v>1</v>
      </c>
      <c r="I121" s="44" t="s">
        <v>151</v>
      </c>
      <c r="J121" s="44" t="s">
        <v>268</v>
      </c>
      <c r="K121" s="44">
        <v>3</v>
      </c>
      <c r="L121" s="44">
        <v>0.3</v>
      </c>
      <c r="M121" s="44">
        <v>3</v>
      </c>
      <c r="N121" s="44">
        <v>0</v>
      </c>
      <c r="O121" s="45" t="s">
        <v>1520</v>
      </c>
      <c r="P121" s="46" t="s">
        <v>27</v>
      </c>
      <c r="Q121" s="46" t="s">
        <v>27</v>
      </c>
      <c r="R121" s="46">
        <v>0</v>
      </c>
      <c r="S121" s="46">
        <v>0</v>
      </c>
      <c r="T121" s="47">
        <v>0</v>
      </c>
      <c r="U121" s="46">
        <v>0</v>
      </c>
      <c r="V121" s="46">
        <v>0</v>
      </c>
      <c r="W121" s="46">
        <v>0</v>
      </c>
      <c r="X121" s="46">
        <v>0</v>
      </c>
    </row>
    <row r="122" spans="1:24" s="5" customFormat="1" x14ac:dyDescent="0.15">
      <c r="A122" s="44" t="s">
        <v>776</v>
      </c>
      <c r="B122" s="44" t="s">
        <v>777</v>
      </c>
      <c r="C122" s="44" t="s">
        <v>160</v>
      </c>
      <c r="D122" s="44">
        <v>1.167</v>
      </c>
      <c r="E122" s="44">
        <v>0</v>
      </c>
      <c r="F122" s="44">
        <v>1</v>
      </c>
      <c r="G122" s="44">
        <v>0</v>
      </c>
      <c r="H122" s="44">
        <v>1</v>
      </c>
      <c r="I122" s="44" t="s">
        <v>151</v>
      </c>
      <c r="J122" s="44" t="s">
        <v>269</v>
      </c>
      <c r="K122" s="44">
        <v>5</v>
      </c>
      <c r="L122" s="44">
        <v>0.6</v>
      </c>
      <c r="M122" s="44">
        <v>3</v>
      </c>
      <c r="N122" s="44">
        <v>0</v>
      </c>
      <c r="O122" s="45" t="s">
        <v>1520</v>
      </c>
      <c r="P122" s="46" t="s">
        <v>27</v>
      </c>
      <c r="Q122" s="46" t="s">
        <v>27</v>
      </c>
      <c r="R122" s="46">
        <v>0</v>
      </c>
      <c r="S122" s="46">
        <v>0</v>
      </c>
      <c r="T122" s="47">
        <v>0</v>
      </c>
      <c r="U122" s="46">
        <v>0</v>
      </c>
      <c r="V122" s="46">
        <v>0</v>
      </c>
      <c r="W122" s="46">
        <v>0</v>
      </c>
      <c r="X122" s="46">
        <v>0</v>
      </c>
    </row>
    <row r="123" spans="1:24" s="5" customFormat="1" x14ac:dyDescent="0.15">
      <c r="A123" s="44" t="s">
        <v>108</v>
      </c>
      <c r="B123" s="44" t="s">
        <v>271</v>
      </c>
      <c r="C123" s="44" t="s">
        <v>272</v>
      </c>
      <c r="D123" s="44">
        <v>0</v>
      </c>
      <c r="E123" s="44">
        <v>0</v>
      </c>
      <c r="F123" s="44">
        <v>1</v>
      </c>
      <c r="G123" s="44">
        <v>0</v>
      </c>
      <c r="H123" s="44" t="s">
        <v>839</v>
      </c>
      <c r="I123" s="44" t="s">
        <v>151</v>
      </c>
      <c r="J123" s="44" t="s">
        <v>273</v>
      </c>
      <c r="K123" s="44">
        <v>0</v>
      </c>
      <c r="L123" s="44">
        <v>0</v>
      </c>
      <c r="M123" s="44">
        <v>2</v>
      </c>
      <c r="N123" s="44">
        <v>2</v>
      </c>
      <c r="O123" s="45" t="s">
        <v>1520</v>
      </c>
      <c r="P123" s="46" t="s">
        <v>27</v>
      </c>
      <c r="Q123" s="46" t="s">
        <v>27</v>
      </c>
      <c r="R123" s="46">
        <v>0</v>
      </c>
      <c r="S123" s="46">
        <v>0</v>
      </c>
      <c r="T123" s="47">
        <v>0</v>
      </c>
      <c r="U123" s="46">
        <v>0</v>
      </c>
      <c r="V123" s="46">
        <v>0</v>
      </c>
      <c r="W123" s="46">
        <v>0</v>
      </c>
      <c r="X123" s="46">
        <v>0</v>
      </c>
    </row>
    <row r="124" spans="1:24" s="5" customFormat="1" x14ac:dyDescent="0.15">
      <c r="A124" s="44" t="s">
        <v>1133</v>
      </c>
      <c r="B124" s="44" t="s">
        <v>1135</v>
      </c>
      <c r="C124" s="44" t="s">
        <v>1136</v>
      </c>
      <c r="D124" s="44">
        <v>0</v>
      </c>
      <c r="E124" s="44">
        <v>0</v>
      </c>
      <c r="F124" s="44">
        <v>1</v>
      </c>
      <c r="G124" s="44">
        <v>0</v>
      </c>
      <c r="H124" s="44" t="s">
        <v>27</v>
      </c>
      <c r="I124" s="44" t="s">
        <v>27</v>
      </c>
      <c r="J124" s="44" t="s">
        <v>1134</v>
      </c>
      <c r="K124" s="44">
        <v>0</v>
      </c>
      <c r="L124" s="44">
        <v>0</v>
      </c>
      <c r="M124" s="44">
        <v>2</v>
      </c>
      <c r="N124" s="44">
        <v>2</v>
      </c>
      <c r="O124" s="45" t="s">
        <v>1770</v>
      </c>
      <c r="P124" s="46" t="s">
        <v>27</v>
      </c>
      <c r="Q124" s="46" t="s">
        <v>27</v>
      </c>
      <c r="R124" s="46">
        <v>0</v>
      </c>
      <c r="S124" s="46">
        <v>0</v>
      </c>
      <c r="T124" s="47">
        <v>0</v>
      </c>
      <c r="U124" s="46">
        <v>0</v>
      </c>
      <c r="V124" s="46">
        <v>0</v>
      </c>
      <c r="W124" s="46">
        <v>0</v>
      </c>
      <c r="X124" s="46">
        <v>0</v>
      </c>
    </row>
    <row r="125" spans="1:24" s="5" customFormat="1" x14ac:dyDescent="0.15">
      <c r="A125" s="44" t="s">
        <v>139</v>
      </c>
      <c r="B125" s="44" t="s">
        <v>274</v>
      </c>
      <c r="C125" s="44" t="s">
        <v>675</v>
      </c>
      <c r="D125" s="44">
        <v>0</v>
      </c>
      <c r="E125" s="44">
        <v>0</v>
      </c>
      <c r="F125" s="44">
        <v>1</v>
      </c>
      <c r="G125" s="44">
        <v>0</v>
      </c>
      <c r="H125" s="44" t="s">
        <v>839</v>
      </c>
      <c r="I125" s="44" t="s">
        <v>151</v>
      </c>
      <c r="J125" s="44" t="s">
        <v>275</v>
      </c>
      <c r="K125" s="44">
        <v>0</v>
      </c>
      <c r="L125" s="44">
        <v>0</v>
      </c>
      <c r="M125" s="44">
        <v>2</v>
      </c>
      <c r="N125" s="44">
        <v>1</v>
      </c>
      <c r="O125" s="45" t="s">
        <v>1520</v>
      </c>
      <c r="P125" s="46" t="s">
        <v>27</v>
      </c>
      <c r="Q125" s="46" t="s">
        <v>27</v>
      </c>
      <c r="R125" s="46">
        <v>0</v>
      </c>
      <c r="S125" s="46">
        <v>0</v>
      </c>
      <c r="T125" s="47">
        <v>0</v>
      </c>
      <c r="U125" s="46">
        <v>0</v>
      </c>
      <c r="V125" s="46">
        <v>0</v>
      </c>
      <c r="W125" s="46">
        <v>0</v>
      </c>
      <c r="X125" s="46">
        <v>0</v>
      </c>
    </row>
    <row r="126" spans="1:24" s="5" customFormat="1" x14ac:dyDescent="0.15">
      <c r="A126" s="44" t="s">
        <v>109</v>
      </c>
      <c r="B126" s="44" t="s">
        <v>276</v>
      </c>
      <c r="C126" s="44" t="s">
        <v>151</v>
      </c>
      <c r="D126" s="44">
        <v>0</v>
      </c>
      <c r="E126" s="44">
        <v>0</v>
      </c>
      <c r="F126" s="44">
        <v>1</v>
      </c>
      <c r="G126" s="44">
        <v>0</v>
      </c>
      <c r="H126" s="44" t="s">
        <v>839</v>
      </c>
      <c r="I126" s="44" t="s">
        <v>151</v>
      </c>
      <c r="J126" s="44" t="s">
        <v>277</v>
      </c>
      <c r="K126" s="44">
        <v>0</v>
      </c>
      <c r="L126" s="44">
        <v>0</v>
      </c>
      <c r="M126" s="44">
        <v>2</v>
      </c>
      <c r="N126" s="44">
        <v>2</v>
      </c>
      <c r="O126" s="45" t="s">
        <v>1520</v>
      </c>
      <c r="P126" s="46" t="s">
        <v>27</v>
      </c>
      <c r="Q126" s="46" t="s">
        <v>27</v>
      </c>
      <c r="R126" s="46">
        <v>0</v>
      </c>
      <c r="S126" s="46">
        <v>0</v>
      </c>
      <c r="T126" s="47">
        <v>0</v>
      </c>
      <c r="U126" s="46">
        <v>0</v>
      </c>
      <c r="V126" s="46">
        <v>0</v>
      </c>
      <c r="W126" s="46">
        <v>0</v>
      </c>
      <c r="X126" s="46">
        <v>0</v>
      </c>
    </row>
    <row r="127" spans="1:24" s="5" customFormat="1" x14ac:dyDescent="0.15">
      <c r="A127" s="44" t="s">
        <v>845</v>
      </c>
      <c r="B127" s="44" t="s">
        <v>278</v>
      </c>
      <c r="C127" s="44" t="s">
        <v>151</v>
      </c>
      <c r="D127" s="44">
        <v>0</v>
      </c>
      <c r="E127" s="44">
        <v>0</v>
      </c>
      <c r="F127" s="44">
        <v>1</v>
      </c>
      <c r="G127" s="44">
        <v>0</v>
      </c>
      <c r="H127" s="44" t="s">
        <v>839</v>
      </c>
      <c r="I127" s="44" t="s">
        <v>151</v>
      </c>
      <c r="J127" s="44" t="s">
        <v>844</v>
      </c>
      <c r="K127" s="44">
        <v>0</v>
      </c>
      <c r="L127" s="44">
        <v>0</v>
      </c>
      <c r="M127" s="44">
        <v>2</v>
      </c>
      <c r="N127" s="44">
        <v>2</v>
      </c>
      <c r="O127" s="45" t="s">
        <v>1520</v>
      </c>
      <c r="P127" s="46" t="s">
        <v>27</v>
      </c>
      <c r="Q127" s="46" t="s">
        <v>27</v>
      </c>
      <c r="R127" s="46">
        <v>0</v>
      </c>
      <c r="S127" s="46">
        <v>0</v>
      </c>
      <c r="T127" s="47">
        <v>0</v>
      </c>
      <c r="U127" s="46">
        <v>0</v>
      </c>
      <c r="V127" s="46">
        <v>0</v>
      </c>
      <c r="W127" s="46">
        <v>0</v>
      </c>
      <c r="X127" s="46">
        <v>0</v>
      </c>
    </row>
    <row r="128" spans="1:24" s="5" customFormat="1" x14ac:dyDescent="0.15">
      <c r="A128" s="44" t="s">
        <v>110</v>
      </c>
      <c r="B128" s="44" t="s">
        <v>279</v>
      </c>
      <c r="C128" s="44" t="s">
        <v>151</v>
      </c>
      <c r="D128" s="44">
        <v>0</v>
      </c>
      <c r="E128" s="44">
        <v>0</v>
      </c>
      <c r="F128" s="44">
        <v>11</v>
      </c>
      <c r="G128" s="44">
        <v>0</v>
      </c>
      <c r="H128" s="44" t="s">
        <v>839</v>
      </c>
      <c r="I128" s="44" t="s">
        <v>151</v>
      </c>
      <c r="J128" s="44" t="s">
        <v>163</v>
      </c>
      <c r="K128" s="44">
        <v>5</v>
      </c>
      <c r="L128" s="44">
        <v>0</v>
      </c>
      <c r="M128" s="44">
        <v>2</v>
      </c>
      <c r="N128" s="44">
        <v>0</v>
      </c>
      <c r="O128" s="45" t="s">
        <v>1520</v>
      </c>
      <c r="P128" s="46" t="s">
        <v>27</v>
      </c>
      <c r="Q128" s="46" t="s">
        <v>27</v>
      </c>
      <c r="R128" s="46">
        <v>0</v>
      </c>
      <c r="S128" s="46">
        <v>0</v>
      </c>
      <c r="T128" s="47">
        <v>0</v>
      </c>
      <c r="U128" s="46">
        <v>0</v>
      </c>
      <c r="V128" s="46">
        <v>0</v>
      </c>
      <c r="W128" s="46">
        <v>0</v>
      </c>
      <c r="X128" s="46">
        <v>0</v>
      </c>
    </row>
    <row r="129" spans="1:24" s="5" customFormat="1" x14ac:dyDescent="0.15">
      <c r="A129" s="44" t="s">
        <v>111</v>
      </c>
      <c r="B129" s="44" t="s">
        <v>280</v>
      </c>
      <c r="C129" s="44" t="s">
        <v>160</v>
      </c>
      <c r="D129" s="44">
        <v>0</v>
      </c>
      <c r="E129" s="44">
        <v>0</v>
      </c>
      <c r="F129" s="44">
        <v>11</v>
      </c>
      <c r="G129" s="44">
        <v>0</v>
      </c>
      <c r="H129" s="44">
        <v>1</v>
      </c>
      <c r="I129" s="44" t="s">
        <v>151</v>
      </c>
      <c r="J129" s="44" t="s">
        <v>1087</v>
      </c>
      <c r="K129" s="44">
        <v>5</v>
      </c>
      <c r="L129" s="44">
        <v>0</v>
      </c>
      <c r="M129" s="44">
        <v>1</v>
      </c>
      <c r="N129" s="44">
        <v>0</v>
      </c>
      <c r="O129" s="45" t="s">
        <v>1520</v>
      </c>
      <c r="P129" s="46" t="s">
        <v>27</v>
      </c>
      <c r="Q129" s="46" t="s">
        <v>27</v>
      </c>
      <c r="R129" s="46">
        <v>0</v>
      </c>
      <c r="S129" s="46">
        <v>0</v>
      </c>
      <c r="T129" s="47">
        <v>0</v>
      </c>
      <c r="U129" s="46">
        <v>0</v>
      </c>
      <c r="V129" s="46">
        <v>0</v>
      </c>
      <c r="W129" s="46">
        <v>0</v>
      </c>
      <c r="X129" s="46">
        <v>0</v>
      </c>
    </row>
    <row r="130" spans="1:24" s="5" customFormat="1" x14ac:dyDescent="0.15">
      <c r="A130" s="44" t="s">
        <v>140</v>
      </c>
      <c r="B130" s="44" t="s">
        <v>281</v>
      </c>
      <c r="C130" s="44" t="s">
        <v>151</v>
      </c>
      <c r="D130" s="44">
        <v>0</v>
      </c>
      <c r="E130" s="44">
        <v>0</v>
      </c>
      <c r="F130" s="44">
        <v>1</v>
      </c>
      <c r="G130" s="44">
        <v>0</v>
      </c>
      <c r="H130" s="44" t="s">
        <v>839</v>
      </c>
      <c r="I130" s="44" t="s">
        <v>151</v>
      </c>
      <c r="J130" s="44" t="s">
        <v>282</v>
      </c>
      <c r="K130" s="44">
        <v>5</v>
      </c>
      <c r="L130" s="44">
        <v>0</v>
      </c>
      <c r="M130" s="44">
        <v>2</v>
      </c>
      <c r="N130" s="44">
        <v>1</v>
      </c>
      <c r="O130" s="45" t="s">
        <v>1520</v>
      </c>
      <c r="P130" s="46" t="s">
        <v>27</v>
      </c>
      <c r="Q130" s="46" t="s">
        <v>27</v>
      </c>
      <c r="R130" s="46">
        <v>0</v>
      </c>
      <c r="S130" s="46">
        <v>0</v>
      </c>
      <c r="T130" s="47">
        <v>0</v>
      </c>
      <c r="U130" s="46">
        <v>0</v>
      </c>
      <c r="V130" s="46">
        <v>0</v>
      </c>
      <c r="W130" s="46">
        <v>0</v>
      </c>
      <c r="X130" s="46">
        <v>0</v>
      </c>
    </row>
    <row r="131" spans="1:24" s="5" customFormat="1" x14ac:dyDescent="0.15">
      <c r="A131" s="44" t="s">
        <v>1692</v>
      </c>
      <c r="B131" s="44" t="s">
        <v>283</v>
      </c>
      <c r="C131" s="44" t="s">
        <v>151</v>
      </c>
      <c r="D131" s="44">
        <v>0</v>
      </c>
      <c r="E131" s="44">
        <v>0</v>
      </c>
      <c r="F131" s="44">
        <v>1</v>
      </c>
      <c r="G131" s="44">
        <v>0</v>
      </c>
      <c r="H131" s="44" t="s">
        <v>839</v>
      </c>
      <c r="I131" s="44" t="s">
        <v>151</v>
      </c>
      <c r="J131" s="44" t="s">
        <v>284</v>
      </c>
      <c r="K131" s="44">
        <v>5</v>
      </c>
      <c r="L131" s="44">
        <v>0</v>
      </c>
      <c r="M131" s="44">
        <v>2</v>
      </c>
      <c r="N131" s="44">
        <v>0</v>
      </c>
      <c r="O131" s="45" t="s">
        <v>1520</v>
      </c>
      <c r="P131" s="46" t="s">
        <v>27</v>
      </c>
      <c r="Q131" s="46" t="s">
        <v>27</v>
      </c>
      <c r="R131" s="46">
        <v>0</v>
      </c>
      <c r="S131" s="46">
        <v>0</v>
      </c>
      <c r="T131" s="47">
        <v>0</v>
      </c>
      <c r="U131" s="46">
        <v>0</v>
      </c>
      <c r="V131" s="46">
        <v>0</v>
      </c>
      <c r="W131" s="46">
        <v>0</v>
      </c>
      <c r="X131" s="46">
        <v>0</v>
      </c>
    </row>
    <row r="132" spans="1:24" s="5" customFormat="1" x14ac:dyDescent="0.15">
      <c r="A132" s="44" t="s">
        <v>931</v>
      </c>
      <c r="B132" s="44" t="s">
        <v>285</v>
      </c>
      <c r="C132" s="44" t="s">
        <v>150</v>
      </c>
      <c r="D132" s="44">
        <v>1.4</v>
      </c>
      <c r="E132" s="44">
        <v>0</v>
      </c>
      <c r="F132" s="44">
        <v>1</v>
      </c>
      <c r="G132" s="44">
        <v>0</v>
      </c>
      <c r="H132" s="44">
        <v>1</v>
      </c>
      <c r="I132" s="44" t="s">
        <v>151</v>
      </c>
      <c r="J132" s="44" t="s">
        <v>927</v>
      </c>
      <c r="K132" s="44">
        <v>1.4</v>
      </c>
      <c r="L132" s="44">
        <v>0</v>
      </c>
      <c r="M132" s="44">
        <v>1</v>
      </c>
      <c r="N132" s="44">
        <v>0</v>
      </c>
      <c r="O132" s="45" t="s">
        <v>1520</v>
      </c>
      <c r="P132" s="44" t="s">
        <v>143</v>
      </c>
      <c r="Q132" s="44" t="s">
        <v>27</v>
      </c>
      <c r="R132" s="46">
        <v>0</v>
      </c>
      <c r="S132" s="46">
        <v>0</v>
      </c>
      <c r="T132" s="47">
        <v>0</v>
      </c>
      <c r="U132" s="46">
        <v>0</v>
      </c>
      <c r="V132" s="46">
        <v>0</v>
      </c>
      <c r="W132" s="46">
        <v>0</v>
      </c>
      <c r="X132" s="46">
        <v>0</v>
      </c>
    </row>
    <row r="133" spans="1:24" s="5" customFormat="1" x14ac:dyDescent="0.15">
      <c r="A133" s="44" t="s">
        <v>1551</v>
      </c>
      <c r="B133" s="44" t="s">
        <v>1553</v>
      </c>
      <c r="C133" s="44" t="s">
        <v>925</v>
      </c>
      <c r="D133" s="44">
        <v>1.4</v>
      </c>
      <c r="E133" s="44">
        <v>0</v>
      </c>
      <c r="F133" s="44">
        <v>1</v>
      </c>
      <c r="G133" s="44">
        <v>0</v>
      </c>
      <c r="H133" s="44">
        <v>1</v>
      </c>
      <c r="I133" s="44" t="s">
        <v>116</v>
      </c>
      <c r="J133" s="44" t="s">
        <v>928</v>
      </c>
      <c r="K133" s="44">
        <v>1.4</v>
      </c>
      <c r="L133" s="44">
        <v>0</v>
      </c>
      <c r="M133" s="44">
        <v>1</v>
      </c>
      <c r="N133" s="44">
        <v>0</v>
      </c>
      <c r="O133" s="45" t="s">
        <v>1520</v>
      </c>
      <c r="P133" s="44" t="s">
        <v>116</v>
      </c>
      <c r="Q133" s="44" t="s">
        <v>27</v>
      </c>
      <c r="R133" s="46">
        <v>0</v>
      </c>
      <c r="S133" s="46">
        <v>0</v>
      </c>
      <c r="T133" s="47">
        <v>0</v>
      </c>
      <c r="U133" s="46">
        <v>0</v>
      </c>
      <c r="V133" s="46">
        <v>0</v>
      </c>
      <c r="W133" s="46">
        <v>0</v>
      </c>
      <c r="X133" s="46">
        <v>0</v>
      </c>
    </row>
    <row r="134" spans="1:24" s="5" customFormat="1" x14ac:dyDescent="0.15">
      <c r="A134" s="44" t="s">
        <v>1552</v>
      </c>
      <c r="B134" s="44" t="s">
        <v>1554</v>
      </c>
      <c r="C134" s="44" t="s">
        <v>926</v>
      </c>
      <c r="D134" s="44">
        <v>1.4</v>
      </c>
      <c r="E134" s="44">
        <v>0</v>
      </c>
      <c r="F134" s="44">
        <v>1</v>
      </c>
      <c r="G134" s="44">
        <v>0</v>
      </c>
      <c r="H134" s="44">
        <v>1</v>
      </c>
      <c r="I134" s="44" t="s">
        <v>116</v>
      </c>
      <c r="J134" s="44" t="s">
        <v>929</v>
      </c>
      <c r="K134" s="44">
        <v>1.4</v>
      </c>
      <c r="L134" s="44">
        <v>0</v>
      </c>
      <c r="M134" s="44">
        <v>1</v>
      </c>
      <c r="N134" s="44">
        <v>0</v>
      </c>
      <c r="O134" s="45" t="s">
        <v>1520</v>
      </c>
      <c r="P134" s="44" t="s">
        <v>116</v>
      </c>
      <c r="Q134" s="44" t="s">
        <v>27</v>
      </c>
      <c r="R134" s="46">
        <v>0</v>
      </c>
      <c r="S134" s="46">
        <v>0</v>
      </c>
      <c r="T134" s="47">
        <v>0</v>
      </c>
      <c r="U134" s="46">
        <v>0</v>
      </c>
      <c r="V134" s="46">
        <v>0</v>
      </c>
      <c r="W134" s="46">
        <v>0</v>
      </c>
      <c r="X134" s="46">
        <v>0</v>
      </c>
    </row>
    <row r="135" spans="1:24" s="9" customFormat="1" x14ac:dyDescent="0.15">
      <c r="A135" s="44" t="s">
        <v>1092</v>
      </c>
      <c r="B135" s="62" t="s">
        <v>1093</v>
      </c>
      <c r="C135" s="62" t="s">
        <v>73</v>
      </c>
      <c r="D135" s="62">
        <v>1.667</v>
      </c>
      <c r="E135" s="62">
        <v>0</v>
      </c>
      <c r="F135" s="62">
        <v>1</v>
      </c>
      <c r="G135" s="62">
        <v>0</v>
      </c>
      <c r="H135" s="62">
        <v>1</v>
      </c>
      <c r="I135" s="62" t="s">
        <v>151</v>
      </c>
      <c r="J135" s="62" t="s">
        <v>1094</v>
      </c>
      <c r="K135" s="62">
        <v>7</v>
      </c>
      <c r="L135" s="62">
        <v>0.6</v>
      </c>
      <c r="M135" s="62">
        <v>3</v>
      </c>
      <c r="N135" s="62">
        <v>0</v>
      </c>
      <c r="O135" s="63" t="s">
        <v>1520</v>
      </c>
      <c r="P135" s="42" t="s">
        <v>27</v>
      </c>
      <c r="Q135" s="42" t="s">
        <v>27</v>
      </c>
      <c r="R135" s="42">
        <v>0</v>
      </c>
      <c r="S135" s="42">
        <v>0</v>
      </c>
      <c r="T135" s="64">
        <v>0</v>
      </c>
      <c r="U135" s="42">
        <v>0</v>
      </c>
      <c r="V135" s="42">
        <v>0</v>
      </c>
      <c r="W135" s="42">
        <v>0</v>
      </c>
      <c r="X135" s="42">
        <v>0</v>
      </c>
    </row>
    <row r="136" spans="1:24" s="9" customFormat="1" x14ac:dyDescent="0.15">
      <c r="A136" s="44" t="s">
        <v>930</v>
      </c>
      <c r="B136" s="62" t="s">
        <v>1052</v>
      </c>
      <c r="C136" s="62" t="s">
        <v>160</v>
      </c>
      <c r="D136" s="62">
        <v>2.1760000000000002</v>
      </c>
      <c r="E136" s="62">
        <v>0</v>
      </c>
      <c r="F136" s="62">
        <v>1</v>
      </c>
      <c r="G136" s="62">
        <v>0</v>
      </c>
      <c r="H136" s="62" t="s">
        <v>839</v>
      </c>
      <c r="I136" s="62" t="s">
        <v>151</v>
      </c>
      <c r="J136" s="62" t="s">
        <v>151</v>
      </c>
      <c r="K136" s="62">
        <v>5</v>
      </c>
      <c r="L136" s="62">
        <v>0</v>
      </c>
      <c r="M136" s="62">
        <v>0</v>
      </c>
      <c r="N136" s="62">
        <v>0</v>
      </c>
      <c r="O136" s="63" t="s">
        <v>1520</v>
      </c>
      <c r="P136" s="42" t="s">
        <v>27</v>
      </c>
      <c r="Q136" s="42" t="s">
        <v>27</v>
      </c>
      <c r="R136" s="42">
        <v>0</v>
      </c>
      <c r="S136" s="42">
        <v>0</v>
      </c>
      <c r="T136" s="64">
        <v>0</v>
      </c>
      <c r="U136" s="42">
        <v>0</v>
      </c>
      <c r="V136" s="42">
        <v>0</v>
      </c>
      <c r="W136" s="42">
        <v>0</v>
      </c>
      <c r="X136" s="42">
        <v>0</v>
      </c>
    </row>
    <row r="137" spans="1:24" s="9" customFormat="1" x14ac:dyDescent="0.15">
      <c r="A137" s="44" t="s">
        <v>124</v>
      </c>
      <c r="B137" s="62" t="s">
        <v>1053</v>
      </c>
      <c r="C137" s="62" t="s">
        <v>160</v>
      </c>
      <c r="D137" s="62">
        <v>2.1760000000000002</v>
      </c>
      <c r="E137" s="62">
        <v>0</v>
      </c>
      <c r="F137" s="62">
        <v>1</v>
      </c>
      <c r="G137" s="62">
        <v>0</v>
      </c>
      <c r="H137" s="62">
        <v>1</v>
      </c>
      <c r="I137" s="62" t="s">
        <v>151</v>
      </c>
      <c r="J137" s="62" t="s">
        <v>922</v>
      </c>
      <c r="K137" s="62">
        <v>5</v>
      </c>
      <c r="L137" s="62">
        <v>0</v>
      </c>
      <c r="M137" s="62">
        <v>1</v>
      </c>
      <c r="N137" s="62">
        <v>0</v>
      </c>
      <c r="O137" s="63" t="s">
        <v>1520</v>
      </c>
      <c r="P137" s="42" t="s">
        <v>27</v>
      </c>
      <c r="Q137" s="42" t="s">
        <v>27</v>
      </c>
      <c r="R137" s="42">
        <v>0</v>
      </c>
      <c r="S137" s="42">
        <v>0</v>
      </c>
      <c r="T137" s="64">
        <v>0</v>
      </c>
      <c r="U137" s="42">
        <v>0</v>
      </c>
      <c r="V137" s="42">
        <v>0</v>
      </c>
      <c r="W137" s="42">
        <v>0</v>
      </c>
      <c r="X137" s="42">
        <v>0</v>
      </c>
    </row>
    <row r="138" spans="1:24" s="9" customFormat="1" x14ac:dyDescent="0.15">
      <c r="A138" s="44" t="s">
        <v>125</v>
      </c>
      <c r="B138" s="62" t="s">
        <v>286</v>
      </c>
      <c r="C138" s="62" t="s">
        <v>167</v>
      </c>
      <c r="D138" s="62">
        <v>2.4329999999999998</v>
      </c>
      <c r="E138" s="62">
        <v>0</v>
      </c>
      <c r="F138" s="62">
        <v>1</v>
      </c>
      <c r="G138" s="62">
        <v>0</v>
      </c>
      <c r="H138" s="62" t="s">
        <v>839</v>
      </c>
      <c r="I138" s="62" t="s">
        <v>151</v>
      </c>
      <c r="J138" s="62" t="s">
        <v>924</v>
      </c>
      <c r="K138" s="62">
        <v>5</v>
      </c>
      <c r="L138" s="62">
        <v>0</v>
      </c>
      <c r="M138" s="62">
        <v>1</v>
      </c>
      <c r="N138" s="62">
        <v>0</v>
      </c>
      <c r="O138" s="63" t="s">
        <v>1520</v>
      </c>
      <c r="P138" s="42" t="s">
        <v>27</v>
      </c>
      <c r="Q138" s="42" t="s">
        <v>27</v>
      </c>
      <c r="R138" s="42">
        <v>0</v>
      </c>
      <c r="S138" s="42">
        <v>0</v>
      </c>
      <c r="T138" s="64">
        <v>0</v>
      </c>
      <c r="U138" s="42">
        <v>0</v>
      </c>
      <c r="V138" s="42">
        <v>0</v>
      </c>
      <c r="W138" s="42">
        <v>0</v>
      </c>
      <c r="X138" s="42">
        <v>0</v>
      </c>
    </row>
    <row r="139" spans="1:24" s="9" customFormat="1" x14ac:dyDescent="0.15">
      <c r="A139" s="44" t="s">
        <v>141</v>
      </c>
      <c r="B139" s="62" t="s">
        <v>287</v>
      </c>
      <c r="C139" s="62" t="s">
        <v>167</v>
      </c>
      <c r="D139" s="62">
        <v>2.4329999999999998</v>
      </c>
      <c r="E139" s="62">
        <v>0</v>
      </c>
      <c r="F139" s="62">
        <v>1</v>
      </c>
      <c r="G139" s="62">
        <v>0</v>
      </c>
      <c r="H139" s="62">
        <v>1</v>
      </c>
      <c r="I139" s="62" t="s">
        <v>151</v>
      </c>
      <c r="J139" s="62" t="s">
        <v>923</v>
      </c>
      <c r="K139" s="62">
        <v>7</v>
      </c>
      <c r="L139" s="62">
        <v>1.6</v>
      </c>
      <c r="M139" s="62">
        <v>3</v>
      </c>
      <c r="N139" s="62">
        <v>0</v>
      </c>
      <c r="O139" s="63" t="s">
        <v>1520</v>
      </c>
      <c r="P139" s="42" t="s">
        <v>27</v>
      </c>
      <c r="Q139" s="42" t="s">
        <v>27</v>
      </c>
      <c r="R139" s="42">
        <v>0</v>
      </c>
      <c r="S139" s="42">
        <v>0</v>
      </c>
      <c r="T139" s="64">
        <v>0</v>
      </c>
      <c r="U139" s="42">
        <v>0</v>
      </c>
      <c r="V139" s="42">
        <v>0</v>
      </c>
      <c r="W139" s="42">
        <v>0</v>
      </c>
      <c r="X139" s="42">
        <v>0</v>
      </c>
    </row>
    <row r="140" spans="1:24" s="5" customFormat="1" x14ac:dyDescent="0.15">
      <c r="A140" s="44" t="s">
        <v>126</v>
      </c>
      <c r="B140" s="44" t="s">
        <v>288</v>
      </c>
      <c r="C140" s="44" t="s">
        <v>150</v>
      </c>
      <c r="D140" s="44">
        <v>0.93300000000000005</v>
      </c>
      <c r="E140" s="44">
        <v>0</v>
      </c>
      <c r="F140" s="44">
        <v>1</v>
      </c>
      <c r="G140" s="44">
        <v>0</v>
      </c>
      <c r="H140" s="44">
        <v>1</v>
      </c>
      <c r="I140" s="44" t="s">
        <v>151</v>
      </c>
      <c r="J140" s="44" t="s">
        <v>289</v>
      </c>
      <c r="K140" s="44">
        <v>1</v>
      </c>
      <c r="L140" s="44">
        <v>0.13</v>
      </c>
      <c r="M140" s="44">
        <v>1</v>
      </c>
      <c r="N140" s="44">
        <v>0</v>
      </c>
      <c r="O140" s="45" t="s">
        <v>1520</v>
      </c>
      <c r="P140" s="46" t="s">
        <v>27</v>
      </c>
      <c r="Q140" s="46" t="s">
        <v>27</v>
      </c>
      <c r="R140" s="46">
        <v>0</v>
      </c>
      <c r="S140" s="46">
        <v>0</v>
      </c>
      <c r="T140" s="47">
        <v>0</v>
      </c>
      <c r="U140" s="46">
        <v>0</v>
      </c>
      <c r="V140" s="46">
        <v>0</v>
      </c>
      <c r="W140" s="46">
        <v>0</v>
      </c>
      <c r="X140" s="46">
        <v>0</v>
      </c>
    </row>
    <row r="141" spans="1:24" s="5" customFormat="1" x14ac:dyDescent="0.15">
      <c r="A141" s="44" t="s">
        <v>127</v>
      </c>
      <c r="B141" s="44" t="s">
        <v>290</v>
      </c>
      <c r="C141" s="44" t="s">
        <v>73</v>
      </c>
      <c r="D141" s="44">
        <v>1.667</v>
      </c>
      <c r="E141" s="44">
        <v>0</v>
      </c>
      <c r="F141" s="44">
        <v>1</v>
      </c>
      <c r="G141" s="44">
        <v>0</v>
      </c>
      <c r="H141" s="44" t="s">
        <v>839</v>
      </c>
      <c r="I141" s="44" t="s">
        <v>151</v>
      </c>
      <c r="J141" s="44" t="s">
        <v>291</v>
      </c>
      <c r="K141" s="44">
        <v>5</v>
      </c>
      <c r="L141" s="44">
        <v>0</v>
      </c>
      <c r="M141" s="44">
        <v>2</v>
      </c>
      <c r="N141" s="44">
        <v>0</v>
      </c>
      <c r="O141" s="45" t="s">
        <v>1520</v>
      </c>
      <c r="P141" s="46" t="s">
        <v>27</v>
      </c>
      <c r="Q141" s="46" t="s">
        <v>27</v>
      </c>
      <c r="R141" s="46">
        <v>0</v>
      </c>
      <c r="S141" s="46">
        <v>0</v>
      </c>
      <c r="T141" s="47">
        <v>0</v>
      </c>
      <c r="U141" s="46">
        <v>0</v>
      </c>
      <c r="V141" s="46">
        <v>0</v>
      </c>
      <c r="W141" s="46">
        <v>0</v>
      </c>
      <c r="X141" s="46">
        <v>0</v>
      </c>
    </row>
    <row r="142" spans="1:24" s="5" customFormat="1" x14ac:dyDescent="0.15">
      <c r="A142" s="44" t="s">
        <v>142</v>
      </c>
      <c r="B142" s="44" t="s">
        <v>290</v>
      </c>
      <c r="C142" s="44" t="s">
        <v>73</v>
      </c>
      <c r="D142" s="44">
        <v>1.667</v>
      </c>
      <c r="E142" s="44">
        <v>0</v>
      </c>
      <c r="F142" s="44">
        <v>1</v>
      </c>
      <c r="G142" s="44">
        <v>0</v>
      </c>
      <c r="H142" s="44" t="s">
        <v>839</v>
      </c>
      <c r="I142" s="44" t="s">
        <v>151</v>
      </c>
      <c r="J142" s="44" t="s">
        <v>292</v>
      </c>
      <c r="K142" s="44">
        <v>5</v>
      </c>
      <c r="L142" s="44">
        <v>0</v>
      </c>
      <c r="M142" s="44">
        <v>2</v>
      </c>
      <c r="N142" s="44">
        <v>2</v>
      </c>
      <c r="O142" s="45" t="s">
        <v>1520</v>
      </c>
      <c r="P142" s="46" t="s">
        <v>27</v>
      </c>
      <c r="Q142" s="46" t="s">
        <v>27</v>
      </c>
      <c r="R142" s="46">
        <v>0</v>
      </c>
      <c r="S142" s="46">
        <v>0</v>
      </c>
      <c r="T142" s="47">
        <v>0</v>
      </c>
      <c r="U142" s="46">
        <v>0</v>
      </c>
      <c r="V142" s="46">
        <v>0</v>
      </c>
      <c r="W142" s="46">
        <v>0</v>
      </c>
      <c r="X142" s="46">
        <v>0</v>
      </c>
    </row>
    <row r="143" spans="1:24" s="5" customFormat="1" x14ac:dyDescent="0.15">
      <c r="A143" s="44" t="s">
        <v>128</v>
      </c>
      <c r="B143" s="44" t="s">
        <v>293</v>
      </c>
      <c r="C143" s="44" t="s">
        <v>160</v>
      </c>
      <c r="D143" s="44">
        <v>2.6669999999999998</v>
      </c>
      <c r="E143" s="44">
        <v>0</v>
      </c>
      <c r="F143" s="44">
        <v>1</v>
      </c>
      <c r="G143" s="44">
        <v>0</v>
      </c>
      <c r="H143" s="44">
        <v>1</v>
      </c>
      <c r="I143" s="44" t="s">
        <v>151</v>
      </c>
      <c r="J143" s="44" t="s">
        <v>294</v>
      </c>
      <c r="K143" s="44">
        <v>5</v>
      </c>
      <c r="L143" s="44">
        <v>0.05</v>
      </c>
      <c r="M143" s="44">
        <v>1</v>
      </c>
      <c r="N143" s="44">
        <v>0</v>
      </c>
      <c r="O143" s="45" t="s">
        <v>1520</v>
      </c>
      <c r="P143" s="46" t="s">
        <v>27</v>
      </c>
      <c r="Q143" s="46" t="s">
        <v>27</v>
      </c>
      <c r="R143" s="46">
        <v>0</v>
      </c>
      <c r="S143" s="46">
        <v>0</v>
      </c>
      <c r="T143" s="47">
        <v>0</v>
      </c>
      <c r="U143" s="46">
        <v>0</v>
      </c>
      <c r="V143" s="46">
        <v>0</v>
      </c>
      <c r="W143" s="46">
        <v>0</v>
      </c>
      <c r="X143" s="46">
        <v>0</v>
      </c>
    </row>
    <row r="144" spans="1:24" s="5" customFormat="1" x14ac:dyDescent="0.15">
      <c r="A144" s="44" t="s">
        <v>129</v>
      </c>
      <c r="B144" s="44" t="s">
        <v>295</v>
      </c>
      <c r="C144" s="44" t="s">
        <v>167</v>
      </c>
      <c r="D144" s="44">
        <v>1.833</v>
      </c>
      <c r="E144" s="44">
        <v>0</v>
      </c>
      <c r="F144" s="44">
        <v>1</v>
      </c>
      <c r="G144" s="44">
        <v>0</v>
      </c>
      <c r="H144" s="44">
        <v>1</v>
      </c>
      <c r="I144" s="44" t="s">
        <v>151</v>
      </c>
      <c r="J144" s="44" t="s">
        <v>296</v>
      </c>
      <c r="K144" s="44">
        <v>5</v>
      </c>
      <c r="L144" s="44">
        <v>0.05</v>
      </c>
      <c r="M144" s="44">
        <v>1</v>
      </c>
      <c r="N144" s="44">
        <v>0</v>
      </c>
      <c r="O144" s="45" t="s">
        <v>1520</v>
      </c>
      <c r="P144" s="46" t="s">
        <v>130</v>
      </c>
      <c r="Q144" s="46" t="s">
        <v>27</v>
      </c>
      <c r="R144" s="46">
        <v>0</v>
      </c>
      <c r="S144" s="46">
        <v>0</v>
      </c>
      <c r="T144" s="47">
        <v>0</v>
      </c>
      <c r="U144" s="46">
        <v>0</v>
      </c>
      <c r="V144" s="46">
        <v>0</v>
      </c>
      <c r="W144" s="46">
        <v>0</v>
      </c>
      <c r="X144" s="46">
        <v>0</v>
      </c>
    </row>
    <row r="145" spans="1:24" s="5" customFormat="1" x14ac:dyDescent="0.15">
      <c r="A145" s="44" t="s">
        <v>302</v>
      </c>
      <c r="B145" s="44" t="s">
        <v>303</v>
      </c>
      <c r="C145" s="44" t="s">
        <v>144</v>
      </c>
      <c r="D145" s="44">
        <v>0.83299999999999996</v>
      </c>
      <c r="E145" s="44">
        <v>0</v>
      </c>
      <c r="F145" s="44">
        <v>1</v>
      </c>
      <c r="G145" s="44">
        <v>0</v>
      </c>
      <c r="H145" s="44">
        <v>1</v>
      </c>
      <c r="I145" s="44" t="s">
        <v>114</v>
      </c>
      <c r="J145" s="44" t="s">
        <v>302</v>
      </c>
      <c r="K145" s="44">
        <v>1</v>
      </c>
      <c r="L145" s="44">
        <v>0</v>
      </c>
      <c r="M145" s="44">
        <v>1</v>
      </c>
      <c r="N145" s="44">
        <v>0</v>
      </c>
      <c r="O145" s="45" t="s">
        <v>1520</v>
      </c>
      <c r="P145" s="46" t="s">
        <v>27</v>
      </c>
      <c r="Q145" s="46" t="s">
        <v>27</v>
      </c>
      <c r="R145" s="46">
        <v>0</v>
      </c>
      <c r="S145" s="46">
        <v>0</v>
      </c>
      <c r="T145" s="47">
        <v>0</v>
      </c>
      <c r="U145" s="46">
        <v>0</v>
      </c>
      <c r="V145" s="46">
        <v>0</v>
      </c>
      <c r="W145" s="46">
        <v>0</v>
      </c>
      <c r="X145" s="46">
        <v>0</v>
      </c>
    </row>
    <row r="146" spans="1:24" s="5" customFormat="1" x14ac:dyDescent="0.15">
      <c r="A146" s="44" t="s">
        <v>312</v>
      </c>
      <c r="B146" s="44" t="s">
        <v>311</v>
      </c>
      <c r="C146" s="44" t="s">
        <v>73</v>
      </c>
      <c r="D146" s="44">
        <v>1.667</v>
      </c>
      <c r="E146" s="44">
        <v>0</v>
      </c>
      <c r="F146" s="44">
        <v>1</v>
      </c>
      <c r="G146" s="44">
        <v>0</v>
      </c>
      <c r="H146" s="44">
        <v>1</v>
      </c>
      <c r="I146" s="44" t="s">
        <v>114</v>
      </c>
      <c r="J146" s="44" t="s">
        <v>313</v>
      </c>
      <c r="K146" s="44">
        <v>2</v>
      </c>
      <c r="L146" s="44">
        <v>0</v>
      </c>
      <c r="M146" s="44">
        <v>3</v>
      </c>
      <c r="N146" s="44">
        <v>0</v>
      </c>
      <c r="O146" s="45" t="s">
        <v>1520</v>
      </c>
      <c r="P146" s="46" t="s">
        <v>27</v>
      </c>
      <c r="Q146" s="46" t="s">
        <v>27</v>
      </c>
      <c r="R146" s="46">
        <v>0</v>
      </c>
      <c r="S146" s="46">
        <v>0</v>
      </c>
      <c r="T146" s="47">
        <v>0</v>
      </c>
      <c r="U146" s="46">
        <v>0</v>
      </c>
      <c r="V146" s="46">
        <v>0</v>
      </c>
      <c r="W146" s="46">
        <v>0</v>
      </c>
      <c r="X146" s="46">
        <v>0</v>
      </c>
    </row>
    <row r="147" spans="1:24" s="5" customFormat="1" x14ac:dyDescent="0.15">
      <c r="A147" s="44" t="s">
        <v>318</v>
      </c>
      <c r="B147" s="44" t="s">
        <v>317</v>
      </c>
      <c r="C147" s="44" t="s">
        <v>73</v>
      </c>
      <c r="D147" s="44">
        <v>1.667</v>
      </c>
      <c r="E147" s="44">
        <v>0</v>
      </c>
      <c r="F147" s="44">
        <v>1</v>
      </c>
      <c r="G147" s="44">
        <v>0</v>
      </c>
      <c r="H147" s="44" t="s">
        <v>839</v>
      </c>
      <c r="I147" s="44" t="s">
        <v>114</v>
      </c>
      <c r="J147" s="44" t="s">
        <v>316</v>
      </c>
      <c r="K147" s="44">
        <v>10</v>
      </c>
      <c r="L147" s="44">
        <v>0</v>
      </c>
      <c r="M147" s="44">
        <v>2</v>
      </c>
      <c r="N147" s="44">
        <v>2</v>
      </c>
      <c r="O147" s="45" t="s">
        <v>1520</v>
      </c>
      <c r="P147" s="46" t="s">
        <v>27</v>
      </c>
      <c r="Q147" s="46" t="s">
        <v>27</v>
      </c>
      <c r="R147" s="46">
        <v>0</v>
      </c>
      <c r="S147" s="46">
        <v>0</v>
      </c>
      <c r="T147" s="47">
        <v>0</v>
      </c>
      <c r="U147" s="46">
        <v>0</v>
      </c>
      <c r="V147" s="46">
        <v>0</v>
      </c>
      <c r="W147" s="46">
        <v>0</v>
      </c>
      <c r="X147" s="46">
        <v>0</v>
      </c>
    </row>
    <row r="148" spans="1:24" s="5" customFormat="1" x14ac:dyDescent="0.15">
      <c r="A148" s="44" t="s">
        <v>304</v>
      </c>
      <c r="B148" s="44" t="s">
        <v>306</v>
      </c>
      <c r="C148" s="44" t="s">
        <v>112</v>
      </c>
      <c r="D148" s="44">
        <v>2</v>
      </c>
      <c r="E148" s="44">
        <v>0.1</v>
      </c>
      <c r="F148" s="44">
        <v>1</v>
      </c>
      <c r="G148" s="44">
        <v>0</v>
      </c>
      <c r="H148" s="44">
        <v>1</v>
      </c>
      <c r="I148" s="44" t="s">
        <v>114</v>
      </c>
      <c r="J148" s="44" t="s">
        <v>314</v>
      </c>
      <c r="K148" s="44">
        <v>5</v>
      </c>
      <c r="L148" s="44">
        <v>0</v>
      </c>
      <c r="M148" s="44">
        <v>1</v>
      </c>
      <c r="N148" s="44">
        <v>0</v>
      </c>
      <c r="O148" s="45" t="s">
        <v>1520</v>
      </c>
      <c r="P148" s="46" t="s">
        <v>27</v>
      </c>
      <c r="Q148" s="46" t="s">
        <v>27</v>
      </c>
      <c r="R148" s="46">
        <v>0</v>
      </c>
      <c r="S148" s="46">
        <v>0</v>
      </c>
      <c r="T148" s="47">
        <v>0</v>
      </c>
      <c r="U148" s="46">
        <v>0</v>
      </c>
      <c r="V148" s="46">
        <v>0</v>
      </c>
      <c r="W148" s="46">
        <v>0</v>
      </c>
      <c r="X148" s="46">
        <v>0</v>
      </c>
    </row>
    <row r="149" spans="1:24" s="5" customFormat="1" x14ac:dyDescent="0.15">
      <c r="A149" s="44" t="s">
        <v>305</v>
      </c>
      <c r="B149" s="44" t="s">
        <v>307</v>
      </c>
      <c r="C149" s="44" t="s">
        <v>30</v>
      </c>
      <c r="D149" s="44">
        <v>1.833</v>
      </c>
      <c r="E149" s="44">
        <v>0</v>
      </c>
      <c r="F149" s="44">
        <v>1</v>
      </c>
      <c r="G149" s="44">
        <v>0</v>
      </c>
      <c r="H149" s="44">
        <v>1</v>
      </c>
      <c r="I149" s="44" t="s">
        <v>114</v>
      </c>
      <c r="J149" s="44" t="s">
        <v>315</v>
      </c>
      <c r="K149" s="44">
        <v>1</v>
      </c>
      <c r="L149" s="44">
        <v>0</v>
      </c>
      <c r="M149" s="44">
        <v>2</v>
      </c>
      <c r="N149" s="44">
        <v>0</v>
      </c>
      <c r="O149" s="45" t="s">
        <v>1520</v>
      </c>
      <c r="P149" s="46" t="s">
        <v>27</v>
      </c>
      <c r="Q149" s="46" t="s">
        <v>27</v>
      </c>
      <c r="R149" s="46">
        <v>0</v>
      </c>
      <c r="S149" s="46">
        <v>0</v>
      </c>
      <c r="T149" s="47">
        <v>0</v>
      </c>
      <c r="U149" s="46">
        <v>0</v>
      </c>
      <c r="V149" s="46">
        <v>0</v>
      </c>
      <c r="W149" s="46">
        <v>0</v>
      </c>
      <c r="X149" s="46">
        <v>0</v>
      </c>
    </row>
    <row r="150" spans="1:24" s="5" customFormat="1" x14ac:dyDescent="0.15">
      <c r="A150" s="44" t="s">
        <v>308</v>
      </c>
      <c r="B150" s="44" t="s">
        <v>309</v>
      </c>
      <c r="C150" s="44" t="s">
        <v>167</v>
      </c>
      <c r="D150" s="44">
        <v>1.833</v>
      </c>
      <c r="E150" s="44">
        <v>0</v>
      </c>
      <c r="F150" s="44">
        <v>1</v>
      </c>
      <c r="G150" s="44">
        <v>0</v>
      </c>
      <c r="H150" s="44">
        <v>1</v>
      </c>
      <c r="I150" s="44" t="s">
        <v>114</v>
      </c>
      <c r="J150" s="44" t="s">
        <v>310</v>
      </c>
      <c r="K150" s="44">
        <v>2</v>
      </c>
      <c r="L150" s="44">
        <v>0</v>
      </c>
      <c r="M150" s="44">
        <v>1</v>
      </c>
      <c r="N150" s="44">
        <v>0</v>
      </c>
      <c r="O150" s="45" t="s">
        <v>1520</v>
      </c>
      <c r="P150" s="46" t="s">
        <v>27</v>
      </c>
      <c r="Q150" s="46" t="s">
        <v>27</v>
      </c>
      <c r="R150" s="46">
        <v>0</v>
      </c>
      <c r="S150" s="46">
        <v>0</v>
      </c>
      <c r="T150" s="47">
        <v>0</v>
      </c>
      <c r="U150" s="46">
        <v>0</v>
      </c>
      <c r="V150" s="46">
        <v>0</v>
      </c>
      <c r="W150" s="46">
        <v>0</v>
      </c>
      <c r="X150" s="46">
        <v>0</v>
      </c>
    </row>
    <row r="151" spans="1:24" s="5" customFormat="1" x14ac:dyDescent="0.15">
      <c r="A151" s="44" t="s">
        <v>345</v>
      </c>
      <c r="B151" s="44" t="s">
        <v>346</v>
      </c>
      <c r="C151" s="44" t="s">
        <v>347</v>
      </c>
      <c r="D151" s="44">
        <v>0.66700000000000004</v>
      </c>
      <c r="E151" s="44">
        <v>0</v>
      </c>
      <c r="F151" s="44">
        <v>1</v>
      </c>
      <c r="G151" s="44">
        <v>0</v>
      </c>
      <c r="H151" s="44">
        <v>1</v>
      </c>
      <c r="I151" s="44" t="s">
        <v>348</v>
      </c>
      <c r="J151" s="44" t="s">
        <v>349</v>
      </c>
      <c r="K151" s="44">
        <v>1</v>
      </c>
      <c r="L151" s="44">
        <v>0</v>
      </c>
      <c r="M151" s="44">
        <v>1</v>
      </c>
      <c r="N151" s="44">
        <v>0</v>
      </c>
      <c r="O151" s="45" t="s">
        <v>1520</v>
      </c>
      <c r="P151" s="46" t="s">
        <v>27</v>
      </c>
      <c r="Q151" s="46" t="s">
        <v>27</v>
      </c>
      <c r="R151" s="46">
        <v>0</v>
      </c>
      <c r="S151" s="46">
        <v>0</v>
      </c>
      <c r="T151" s="47">
        <v>0</v>
      </c>
      <c r="U151" s="46">
        <v>0</v>
      </c>
      <c r="V151" s="46">
        <v>0</v>
      </c>
      <c r="W151" s="46">
        <v>0</v>
      </c>
      <c r="X151" s="46">
        <v>0</v>
      </c>
    </row>
    <row r="152" spans="1:24" s="5" customFormat="1" x14ac:dyDescent="0.15">
      <c r="A152" s="44" t="s">
        <v>350</v>
      </c>
      <c r="B152" s="44" t="s">
        <v>351</v>
      </c>
      <c r="C152" s="44" t="s">
        <v>73</v>
      </c>
      <c r="D152" s="44">
        <v>1.667</v>
      </c>
      <c r="E152" s="44">
        <v>0</v>
      </c>
      <c r="F152" s="44">
        <v>1</v>
      </c>
      <c r="G152" s="44">
        <v>0</v>
      </c>
      <c r="H152" s="44">
        <v>1</v>
      </c>
      <c r="I152" s="44" t="s">
        <v>348</v>
      </c>
      <c r="J152" s="44" t="s">
        <v>353</v>
      </c>
      <c r="K152" s="44">
        <v>5</v>
      </c>
      <c r="L152" s="44">
        <v>0</v>
      </c>
      <c r="M152" s="44">
        <v>2</v>
      </c>
      <c r="N152" s="44">
        <v>0</v>
      </c>
      <c r="O152" s="45" t="s">
        <v>1520</v>
      </c>
      <c r="P152" s="46" t="s">
        <v>27</v>
      </c>
      <c r="Q152" s="46" t="s">
        <v>27</v>
      </c>
      <c r="R152" s="46">
        <v>0</v>
      </c>
      <c r="S152" s="46">
        <v>0</v>
      </c>
      <c r="T152" s="47">
        <v>0</v>
      </c>
      <c r="U152" s="46">
        <v>0</v>
      </c>
      <c r="V152" s="46">
        <v>0</v>
      </c>
      <c r="W152" s="46">
        <v>0</v>
      </c>
      <c r="X152" s="46">
        <v>0</v>
      </c>
    </row>
    <row r="153" spans="1:24" s="5" customFormat="1" x14ac:dyDescent="0.15">
      <c r="A153" s="44" t="s">
        <v>354</v>
      </c>
      <c r="B153" s="44" t="s">
        <v>355</v>
      </c>
      <c r="C153" s="44" t="s">
        <v>73</v>
      </c>
      <c r="D153" s="44">
        <v>1.667</v>
      </c>
      <c r="E153" s="44">
        <v>0</v>
      </c>
      <c r="F153" s="44">
        <v>1</v>
      </c>
      <c r="G153" s="44">
        <v>0</v>
      </c>
      <c r="H153" s="44">
        <v>1</v>
      </c>
      <c r="I153" s="44" t="s">
        <v>348</v>
      </c>
      <c r="J153" s="44" t="s">
        <v>348</v>
      </c>
      <c r="K153" s="44">
        <v>5</v>
      </c>
      <c r="L153" s="44">
        <v>0</v>
      </c>
      <c r="M153" s="44">
        <v>0</v>
      </c>
      <c r="N153" s="44">
        <v>0</v>
      </c>
      <c r="O153" s="45" t="s">
        <v>1520</v>
      </c>
      <c r="P153" s="46" t="s">
        <v>27</v>
      </c>
      <c r="Q153" s="46" t="s">
        <v>27</v>
      </c>
      <c r="R153" s="46">
        <v>0</v>
      </c>
      <c r="S153" s="46">
        <v>0</v>
      </c>
      <c r="T153" s="47">
        <v>0</v>
      </c>
      <c r="U153" s="46">
        <v>0</v>
      </c>
      <c r="V153" s="46">
        <v>0</v>
      </c>
      <c r="W153" s="46">
        <v>0</v>
      </c>
      <c r="X153" s="46">
        <v>0</v>
      </c>
    </row>
    <row r="154" spans="1:24" s="5" customFormat="1" x14ac:dyDescent="0.15">
      <c r="A154" s="44" t="s">
        <v>768</v>
      </c>
      <c r="B154" s="44" t="s">
        <v>769</v>
      </c>
      <c r="C154" s="44" t="s">
        <v>352</v>
      </c>
      <c r="D154" s="44">
        <v>1.167</v>
      </c>
      <c r="E154" s="44">
        <v>0</v>
      </c>
      <c r="F154" s="44">
        <v>1</v>
      </c>
      <c r="G154" s="44">
        <v>0</v>
      </c>
      <c r="H154" s="44">
        <v>1</v>
      </c>
      <c r="I154" s="44" t="s">
        <v>348</v>
      </c>
      <c r="J154" s="44" t="s">
        <v>356</v>
      </c>
      <c r="K154" s="44">
        <v>5</v>
      </c>
      <c r="L154" s="44">
        <v>0</v>
      </c>
      <c r="M154" s="44">
        <v>2</v>
      </c>
      <c r="N154" s="44">
        <v>2</v>
      </c>
      <c r="O154" s="45" t="s">
        <v>1520</v>
      </c>
      <c r="P154" s="46" t="s">
        <v>840</v>
      </c>
      <c r="Q154" s="46" t="s">
        <v>27</v>
      </c>
      <c r="R154" s="46">
        <v>0</v>
      </c>
      <c r="S154" s="46">
        <v>0</v>
      </c>
      <c r="T154" s="47">
        <v>0</v>
      </c>
      <c r="U154" s="46">
        <v>0</v>
      </c>
      <c r="V154" s="46">
        <v>0</v>
      </c>
      <c r="W154" s="46">
        <v>0</v>
      </c>
      <c r="X154" s="46">
        <v>0</v>
      </c>
    </row>
    <row r="155" spans="1:24" s="5" customFormat="1" x14ac:dyDescent="0.15">
      <c r="A155" s="44" t="s">
        <v>357</v>
      </c>
      <c r="B155" s="44" t="s">
        <v>358</v>
      </c>
      <c r="C155" s="44" t="s">
        <v>347</v>
      </c>
      <c r="D155" s="44">
        <v>0.66700000000000004</v>
      </c>
      <c r="E155" s="44">
        <v>0</v>
      </c>
      <c r="F155" s="44">
        <v>1</v>
      </c>
      <c r="G155" s="44">
        <v>0</v>
      </c>
      <c r="H155" s="44">
        <v>1</v>
      </c>
      <c r="I155" s="44" t="s">
        <v>348</v>
      </c>
      <c r="J155" s="44" t="s">
        <v>349</v>
      </c>
      <c r="K155" s="44">
        <v>1</v>
      </c>
      <c r="L155" s="44">
        <v>0</v>
      </c>
      <c r="M155" s="44">
        <v>1</v>
      </c>
      <c r="N155" s="44">
        <v>0</v>
      </c>
      <c r="O155" s="45" t="s">
        <v>1520</v>
      </c>
      <c r="P155" s="46" t="s">
        <v>27</v>
      </c>
      <c r="Q155" s="46" t="s">
        <v>27</v>
      </c>
      <c r="R155" s="46">
        <v>0</v>
      </c>
      <c r="S155" s="46">
        <v>0</v>
      </c>
      <c r="T155" s="47">
        <v>0</v>
      </c>
      <c r="U155" s="46">
        <v>0</v>
      </c>
      <c r="V155" s="46">
        <v>0</v>
      </c>
      <c r="W155" s="46">
        <v>0</v>
      </c>
      <c r="X155" s="46">
        <v>0</v>
      </c>
    </row>
    <row r="156" spans="1:24" s="5" customFormat="1" x14ac:dyDescent="0.15">
      <c r="A156" s="44" t="s">
        <v>781</v>
      </c>
      <c r="B156" s="44" t="s">
        <v>359</v>
      </c>
      <c r="C156" s="44" t="s">
        <v>73</v>
      </c>
      <c r="D156" s="44">
        <v>1.667</v>
      </c>
      <c r="E156" s="44">
        <v>0</v>
      </c>
      <c r="F156" s="44">
        <v>1</v>
      </c>
      <c r="G156" s="44">
        <v>0</v>
      </c>
      <c r="H156" s="44">
        <v>1</v>
      </c>
      <c r="I156" s="44" t="s">
        <v>151</v>
      </c>
      <c r="J156" s="44" t="s">
        <v>367</v>
      </c>
      <c r="K156" s="44">
        <v>3</v>
      </c>
      <c r="L156" s="44">
        <v>0</v>
      </c>
      <c r="M156" s="44">
        <v>3</v>
      </c>
      <c r="N156" s="44">
        <v>0</v>
      </c>
      <c r="O156" s="45" t="s">
        <v>1520</v>
      </c>
      <c r="P156" s="46" t="s">
        <v>27</v>
      </c>
      <c r="Q156" s="46" t="s">
        <v>27</v>
      </c>
      <c r="R156" s="46">
        <v>0</v>
      </c>
      <c r="S156" s="46">
        <v>0</v>
      </c>
      <c r="T156" s="47">
        <v>0</v>
      </c>
      <c r="U156" s="46">
        <v>0</v>
      </c>
      <c r="V156" s="46">
        <v>0</v>
      </c>
      <c r="W156" s="46">
        <v>0</v>
      </c>
      <c r="X156" s="46">
        <v>0</v>
      </c>
    </row>
    <row r="157" spans="1:24" s="5" customFormat="1" x14ac:dyDescent="0.15">
      <c r="A157" s="44" t="s">
        <v>368</v>
      </c>
      <c r="B157" s="44" t="s">
        <v>369</v>
      </c>
      <c r="C157" s="44" t="s">
        <v>73</v>
      </c>
      <c r="D157" s="44">
        <v>1.667</v>
      </c>
      <c r="E157" s="44">
        <v>0</v>
      </c>
      <c r="F157" s="44">
        <v>1</v>
      </c>
      <c r="G157" s="44">
        <v>0</v>
      </c>
      <c r="H157" s="44">
        <v>1</v>
      </c>
      <c r="I157" s="44" t="s">
        <v>52</v>
      </c>
      <c r="J157" s="44" t="s">
        <v>52</v>
      </c>
      <c r="K157" s="44">
        <v>0</v>
      </c>
      <c r="L157" s="44">
        <v>0</v>
      </c>
      <c r="M157" s="44">
        <v>0</v>
      </c>
      <c r="N157" s="44">
        <v>0</v>
      </c>
      <c r="O157" s="45" t="s">
        <v>1520</v>
      </c>
      <c r="P157" s="46" t="s">
        <v>27</v>
      </c>
      <c r="Q157" s="46" t="s">
        <v>27</v>
      </c>
      <c r="R157" s="46">
        <v>0</v>
      </c>
      <c r="S157" s="46">
        <v>0</v>
      </c>
      <c r="T157" s="47">
        <v>0</v>
      </c>
      <c r="U157" s="46">
        <v>0</v>
      </c>
      <c r="V157" s="46">
        <v>0</v>
      </c>
      <c r="W157" s="46">
        <v>0</v>
      </c>
      <c r="X157" s="46">
        <v>0</v>
      </c>
    </row>
    <row r="158" spans="1:24" s="5" customFormat="1" x14ac:dyDescent="0.15">
      <c r="A158" s="44" t="s">
        <v>360</v>
      </c>
      <c r="B158" s="44" t="s">
        <v>361</v>
      </c>
      <c r="C158" s="44" t="s">
        <v>362</v>
      </c>
      <c r="D158" s="44">
        <v>0.66700000000000004</v>
      </c>
      <c r="E158" s="44">
        <v>0</v>
      </c>
      <c r="F158" s="44">
        <v>1</v>
      </c>
      <c r="G158" s="44">
        <v>0</v>
      </c>
      <c r="H158" s="44">
        <v>1</v>
      </c>
      <c r="I158" s="44" t="s">
        <v>363</v>
      </c>
      <c r="J158" s="44" t="s">
        <v>364</v>
      </c>
      <c r="K158" s="44">
        <v>1</v>
      </c>
      <c r="L158" s="44">
        <v>0</v>
      </c>
      <c r="M158" s="44">
        <v>1</v>
      </c>
      <c r="N158" s="44">
        <v>0</v>
      </c>
      <c r="O158" s="45" t="s">
        <v>1520</v>
      </c>
      <c r="P158" s="46" t="s">
        <v>27</v>
      </c>
      <c r="Q158" s="46" t="s">
        <v>27</v>
      </c>
      <c r="R158" s="46">
        <v>0</v>
      </c>
      <c r="S158" s="46">
        <v>0</v>
      </c>
      <c r="T158" s="47">
        <v>0</v>
      </c>
      <c r="U158" s="46">
        <v>0</v>
      </c>
      <c r="V158" s="46">
        <v>0</v>
      </c>
      <c r="W158" s="46">
        <v>0</v>
      </c>
      <c r="X158" s="46">
        <v>0</v>
      </c>
    </row>
    <row r="159" spans="1:24" s="5" customFormat="1" x14ac:dyDescent="0.15">
      <c r="A159" s="44" t="s">
        <v>774</v>
      </c>
      <c r="B159" s="44" t="s">
        <v>775</v>
      </c>
      <c r="C159" s="44" t="s">
        <v>72</v>
      </c>
      <c r="D159" s="44">
        <v>1.167</v>
      </c>
      <c r="E159" s="44">
        <v>0</v>
      </c>
      <c r="F159" s="44">
        <v>1</v>
      </c>
      <c r="G159" s="44">
        <v>0</v>
      </c>
      <c r="H159" s="44">
        <v>1</v>
      </c>
      <c r="I159" s="44" t="s">
        <v>27</v>
      </c>
      <c r="J159" s="44" t="s">
        <v>370</v>
      </c>
      <c r="K159" s="44">
        <v>5</v>
      </c>
      <c r="L159" s="44">
        <v>0.3</v>
      </c>
      <c r="M159" s="44">
        <v>3</v>
      </c>
      <c r="N159" s="44">
        <v>0</v>
      </c>
      <c r="O159" s="45" t="s">
        <v>1520</v>
      </c>
      <c r="P159" s="46" t="s">
        <v>27</v>
      </c>
      <c r="Q159" s="46" t="s">
        <v>27</v>
      </c>
      <c r="R159" s="46">
        <v>0</v>
      </c>
      <c r="S159" s="46">
        <v>0</v>
      </c>
      <c r="T159" s="47">
        <v>0</v>
      </c>
      <c r="U159" s="46">
        <v>0</v>
      </c>
      <c r="V159" s="46">
        <v>0</v>
      </c>
      <c r="W159" s="46">
        <v>0</v>
      </c>
      <c r="X159" s="46">
        <v>0</v>
      </c>
    </row>
    <row r="160" spans="1:24" s="5" customFormat="1" x14ac:dyDescent="0.15">
      <c r="A160" s="44" t="s">
        <v>365</v>
      </c>
      <c r="B160" s="44" t="s">
        <v>366</v>
      </c>
      <c r="C160" s="44" t="s">
        <v>362</v>
      </c>
      <c r="D160" s="44">
        <v>0.66700000000000004</v>
      </c>
      <c r="E160" s="44">
        <v>0</v>
      </c>
      <c r="F160" s="44">
        <v>1</v>
      </c>
      <c r="G160" s="44">
        <v>0</v>
      </c>
      <c r="H160" s="44">
        <v>1</v>
      </c>
      <c r="I160" s="44" t="s">
        <v>363</v>
      </c>
      <c r="J160" s="44" t="s">
        <v>364</v>
      </c>
      <c r="K160" s="44">
        <v>1</v>
      </c>
      <c r="L160" s="44">
        <v>0</v>
      </c>
      <c r="M160" s="44">
        <v>1</v>
      </c>
      <c r="N160" s="44">
        <v>0</v>
      </c>
      <c r="O160" s="45" t="s">
        <v>1520</v>
      </c>
      <c r="P160" s="46" t="s">
        <v>27</v>
      </c>
      <c r="Q160" s="46" t="s">
        <v>27</v>
      </c>
      <c r="R160" s="46">
        <v>0</v>
      </c>
      <c r="S160" s="46">
        <v>0</v>
      </c>
      <c r="T160" s="47">
        <v>0</v>
      </c>
      <c r="U160" s="46">
        <v>0</v>
      </c>
      <c r="V160" s="46">
        <v>0</v>
      </c>
      <c r="W160" s="46">
        <v>0</v>
      </c>
      <c r="X160" s="46">
        <v>0</v>
      </c>
    </row>
    <row r="161" spans="1:24" s="5" customFormat="1" x14ac:dyDescent="0.15">
      <c r="A161" s="44" t="s">
        <v>758</v>
      </c>
      <c r="B161" s="44" t="s">
        <v>766</v>
      </c>
      <c r="C161" s="44" t="s">
        <v>160</v>
      </c>
      <c r="D161" s="44">
        <v>1.167</v>
      </c>
      <c r="E161" s="44">
        <v>0</v>
      </c>
      <c r="F161" s="44">
        <v>1</v>
      </c>
      <c r="G161" s="44">
        <v>0</v>
      </c>
      <c r="H161" s="44">
        <v>1</v>
      </c>
      <c r="I161" s="44" t="s">
        <v>151</v>
      </c>
      <c r="J161" s="44" t="s">
        <v>201</v>
      </c>
      <c r="K161" s="44">
        <v>3</v>
      </c>
      <c r="L161" s="44">
        <v>0</v>
      </c>
      <c r="M161" s="44">
        <v>3</v>
      </c>
      <c r="N161" s="44">
        <v>0</v>
      </c>
      <c r="O161" s="45" t="s">
        <v>1520</v>
      </c>
      <c r="P161" s="46" t="s">
        <v>27</v>
      </c>
      <c r="Q161" s="46" t="s">
        <v>27</v>
      </c>
      <c r="R161" s="46">
        <v>0</v>
      </c>
      <c r="S161" s="46">
        <v>0</v>
      </c>
      <c r="T161" s="47">
        <v>0</v>
      </c>
      <c r="U161" s="46">
        <v>0</v>
      </c>
      <c r="V161" s="46">
        <v>0</v>
      </c>
      <c r="W161" s="46">
        <v>0</v>
      </c>
      <c r="X161" s="46">
        <v>0</v>
      </c>
    </row>
    <row r="162" spans="1:24" s="5" customFormat="1" x14ac:dyDescent="0.15">
      <c r="A162" s="44" t="s">
        <v>373</v>
      </c>
      <c r="B162" s="44" t="s">
        <v>374</v>
      </c>
      <c r="C162" s="44" t="s">
        <v>73</v>
      </c>
      <c r="D162" s="44">
        <v>1.667</v>
      </c>
      <c r="E162" s="44">
        <v>0</v>
      </c>
      <c r="F162" s="44">
        <v>1</v>
      </c>
      <c r="G162" s="44">
        <v>0</v>
      </c>
      <c r="H162" s="44" t="s">
        <v>839</v>
      </c>
      <c r="I162" s="44" t="s">
        <v>375</v>
      </c>
      <c r="J162" s="44" t="s">
        <v>376</v>
      </c>
      <c r="K162" s="44">
        <v>10</v>
      </c>
      <c r="L162" s="44">
        <v>0</v>
      </c>
      <c r="M162" s="44">
        <v>2</v>
      </c>
      <c r="N162" s="44">
        <v>2</v>
      </c>
      <c r="O162" s="45" t="s">
        <v>1520</v>
      </c>
      <c r="P162" s="46" t="s">
        <v>50</v>
      </c>
      <c r="Q162" s="46" t="s">
        <v>27</v>
      </c>
      <c r="R162" s="46">
        <v>0</v>
      </c>
      <c r="S162" s="46">
        <v>0</v>
      </c>
      <c r="T162" s="47">
        <v>0</v>
      </c>
      <c r="U162" s="46">
        <v>0</v>
      </c>
      <c r="V162" s="46">
        <v>0</v>
      </c>
      <c r="W162" s="46">
        <v>0</v>
      </c>
      <c r="X162" s="46">
        <v>0</v>
      </c>
    </row>
    <row r="163" spans="1:24" s="5" customFormat="1" x14ac:dyDescent="0.15">
      <c r="A163" s="44" t="s">
        <v>377</v>
      </c>
      <c r="B163" s="44" t="s">
        <v>378</v>
      </c>
      <c r="C163" s="44" t="s">
        <v>73</v>
      </c>
      <c r="D163" s="44">
        <v>1.667</v>
      </c>
      <c r="E163" s="44">
        <v>0</v>
      </c>
      <c r="F163" s="44">
        <v>1</v>
      </c>
      <c r="G163" s="44">
        <v>0</v>
      </c>
      <c r="H163" s="44" t="s">
        <v>839</v>
      </c>
      <c r="I163" s="44" t="s">
        <v>375</v>
      </c>
      <c r="J163" s="44" t="s">
        <v>375</v>
      </c>
      <c r="K163" s="44">
        <v>5</v>
      </c>
      <c r="L163" s="44">
        <v>0</v>
      </c>
      <c r="M163" s="44">
        <v>0</v>
      </c>
      <c r="N163" s="44">
        <v>0</v>
      </c>
      <c r="O163" s="45" t="s">
        <v>1520</v>
      </c>
      <c r="P163" s="46" t="s">
        <v>50</v>
      </c>
      <c r="Q163" s="46" t="s">
        <v>27</v>
      </c>
      <c r="R163" s="46">
        <v>0</v>
      </c>
      <c r="S163" s="46">
        <v>0</v>
      </c>
      <c r="T163" s="47">
        <v>0</v>
      </c>
      <c r="U163" s="46">
        <v>0</v>
      </c>
      <c r="V163" s="46">
        <v>0</v>
      </c>
      <c r="W163" s="46">
        <v>0</v>
      </c>
      <c r="X163" s="46">
        <v>0</v>
      </c>
    </row>
    <row r="164" spans="1:24" s="5" customFormat="1" x14ac:dyDescent="0.15">
      <c r="A164" s="44" t="s">
        <v>379</v>
      </c>
      <c r="B164" s="44" t="s">
        <v>380</v>
      </c>
      <c r="C164" s="44" t="s">
        <v>381</v>
      </c>
      <c r="D164" s="44">
        <v>1</v>
      </c>
      <c r="E164" s="44">
        <v>0</v>
      </c>
      <c r="F164" s="44">
        <v>1</v>
      </c>
      <c r="G164" s="44">
        <v>0</v>
      </c>
      <c r="H164" s="44">
        <v>1</v>
      </c>
      <c r="I164" s="44" t="s">
        <v>375</v>
      </c>
      <c r="J164" s="44" t="s">
        <v>392</v>
      </c>
      <c r="K164" s="44">
        <v>1</v>
      </c>
      <c r="L164" s="44">
        <v>0</v>
      </c>
      <c r="M164" s="44">
        <v>1</v>
      </c>
      <c r="N164" s="44">
        <v>0</v>
      </c>
      <c r="O164" s="45" t="s">
        <v>1520</v>
      </c>
      <c r="P164" s="46" t="s">
        <v>50</v>
      </c>
      <c r="Q164" s="46" t="s">
        <v>27</v>
      </c>
      <c r="R164" s="46">
        <v>0</v>
      </c>
      <c r="S164" s="46">
        <v>0</v>
      </c>
      <c r="T164" s="47">
        <v>0</v>
      </c>
      <c r="U164" s="46">
        <v>0</v>
      </c>
      <c r="V164" s="46">
        <v>0</v>
      </c>
      <c r="W164" s="46">
        <v>0</v>
      </c>
      <c r="X164" s="46">
        <v>0</v>
      </c>
    </row>
    <row r="165" spans="1:24" s="5" customFormat="1" x14ac:dyDescent="0.15">
      <c r="A165" s="44" t="s">
        <v>1084</v>
      </c>
      <c r="B165" s="44" t="s">
        <v>757</v>
      </c>
      <c r="C165" s="44" t="s">
        <v>160</v>
      </c>
      <c r="D165" s="44">
        <v>1.167</v>
      </c>
      <c r="E165" s="44">
        <v>0</v>
      </c>
      <c r="F165" s="44">
        <v>1</v>
      </c>
      <c r="G165" s="44">
        <v>0</v>
      </c>
      <c r="H165" s="44">
        <v>1</v>
      </c>
      <c r="I165" s="44" t="s">
        <v>50</v>
      </c>
      <c r="J165" s="44" t="s">
        <v>1086</v>
      </c>
      <c r="K165" s="44">
        <v>5</v>
      </c>
      <c r="L165" s="44">
        <v>0.35</v>
      </c>
      <c r="M165" s="44">
        <v>2</v>
      </c>
      <c r="N165" s="44">
        <v>0</v>
      </c>
      <c r="O165" s="45" t="s">
        <v>1520</v>
      </c>
      <c r="P165" s="46" t="s">
        <v>27</v>
      </c>
      <c r="Q165" s="46" t="s">
        <v>27</v>
      </c>
      <c r="R165" s="46">
        <v>0</v>
      </c>
      <c r="S165" s="46">
        <v>0</v>
      </c>
      <c r="T165" s="47">
        <v>0</v>
      </c>
      <c r="U165" s="46">
        <v>0</v>
      </c>
      <c r="V165" s="46">
        <v>0</v>
      </c>
      <c r="W165" s="46">
        <v>0</v>
      </c>
      <c r="X165" s="46">
        <v>0</v>
      </c>
    </row>
    <row r="166" spans="1:24" s="5" customFormat="1" x14ac:dyDescent="0.15">
      <c r="A166" s="44" t="s">
        <v>759</v>
      </c>
      <c r="B166" s="44" t="s">
        <v>757</v>
      </c>
      <c r="C166" s="44" t="s">
        <v>1085</v>
      </c>
      <c r="D166" s="44">
        <v>0</v>
      </c>
      <c r="E166" s="44">
        <v>0</v>
      </c>
      <c r="F166" s="44">
        <v>1</v>
      </c>
      <c r="G166" s="44">
        <v>0</v>
      </c>
      <c r="H166" s="44">
        <v>1</v>
      </c>
      <c r="I166" s="44" t="s">
        <v>151</v>
      </c>
      <c r="J166" s="44" t="s">
        <v>404</v>
      </c>
      <c r="K166" s="44">
        <v>7</v>
      </c>
      <c r="L166" s="44">
        <v>0.35</v>
      </c>
      <c r="M166" s="44">
        <v>2</v>
      </c>
      <c r="N166" s="44">
        <v>0</v>
      </c>
      <c r="O166" s="45" t="s">
        <v>1520</v>
      </c>
      <c r="P166" s="46" t="s">
        <v>27</v>
      </c>
      <c r="Q166" s="46" t="s">
        <v>27</v>
      </c>
      <c r="R166" s="46">
        <v>0</v>
      </c>
      <c r="S166" s="46">
        <v>0</v>
      </c>
      <c r="T166" s="47">
        <v>0</v>
      </c>
      <c r="U166" s="46">
        <v>0</v>
      </c>
      <c r="V166" s="46">
        <v>0</v>
      </c>
      <c r="W166" s="46">
        <v>0</v>
      </c>
      <c r="X166" s="46">
        <v>0</v>
      </c>
    </row>
    <row r="167" spans="1:24" s="5" customFormat="1" x14ac:dyDescent="0.15">
      <c r="A167" s="44" t="s">
        <v>403</v>
      </c>
      <c r="B167" s="44" t="s">
        <v>393</v>
      </c>
      <c r="C167" s="44" t="s">
        <v>29</v>
      </c>
      <c r="D167" s="44">
        <v>1.167</v>
      </c>
      <c r="E167" s="44">
        <v>0</v>
      </c>
      <c r="F167" s="44">
        <v>1</v>
      </c>
      <c r="G167" s="44">
        <v>0</v>
      </c>
      <c r="H167" s="44">
        <v>1</v>
      </c>
      <c r="I167" s="44" t="s">
        <v>50</v>
      </c>
      <c r="J167" s="44" t="s">
        <v>394</v>
      </c>
      <c r="K167" s="44">
        <v>5</v>
      </c>
      <c r="L167" s="44">
        <v>0</v>
      </c>
      <c r="M167" s="44">
        <v>3</v>
      </c>
      <c r="N167" s="44">
        <v>0</v>
      </c>
      <c r="O167" s="45" t="s">
        <v>1520</v>
      </c>
      <c r="P167" s="46" t="s">
        <v>27</v>
      </c>
      <c r="Q167" s="46" t="s">
        <v>27</v>
      </c>
      <c r="R167" s="46">
        <v>0</v>
      </c>
      <c r="S167" s="46">
        <v>0</v>
      </c>
      <c r="T167" s="47">
        <v>0</v>
      </c>
      <c r="U167" s="46">
        <v>0</v>
      </c>
      <c r="V167" s="46">
        <v>0</v>
      </c>
      <c r="W167" s="46">
        <v>0</v>
      </c>
      <c r="X167" s="46">
        <v>0</v>
      </c>
    </row>
    <row r="168" spans="1:24" s="5" customFormat="1" x14ac:dyDescent="0.15">
      <c r="A168" s="44" t="s">
        <v>780</v>
      </c>
      <c r="B168" s="44" t="s">
        <v>371</v>
      </c>
      <c r="C168" s="44" t="s">
        <v>73</v>
      </c>
      <c r="D168" s="44">
        <v>1.667</v>
      </c>
      <c r="E168" s="44">
        <v>0</v>
      </c>
      <c r="F168" s="44">
        <v>1</v>
      </c>
      <c r="G168" s="44">
        <v>0</v>
      </c>
      <c r="H168" s="44">
        <v>1</v>
      </c>
      <c r="I168" s="44" t="s">
        <v>375</v>
      </c>
      <c r="J168" s="44" t="s">
        <v>372</v>
      </c>
      <c r="K168" s="44">
        <v>5</v>
      </c>
      <c r="L168" s="44">
        <v>0</v>
      </c>
      <c r="M168" s="44">
        <v>3</v>
      </c>
      <c r="N168" s="44">
        <v>0</v>
      </c>
      <c r="O168" s="45" t="s">
        <v>1520</v>
      </c>
      <c r="P168" s="46" t="s">
        <v>27</v>
      </c>
      <c r="Q168" s="46" t="s">
        <v>27</v>
      </c>
      <c r="R168" s="46">
        <v>0</v>
      </c>
      <c r="S168" s="46">
        <v>0</v>
      </c>
      <c r="T168" s="47">
        <v>0</v>
      </c>
      <c r="U168" s="46">
        <v>0</v>
      </c>
      <c r="V168" s="46">
        <v>0</v>
      </c>
      <c r="W168" s="46">
        <v>0</v>
      </c>
      <c r="X168" s="46">
        <v>0</v>
      </c>
    </row>
    <row r="169" spans="1:24" s="5" customFormat="1" x14ac:dyDescent="0.15">
      <c r="A169" s="44" t="s">
        <v>782</v>
      </c>
      <c r="B169" s="44" t="s">
        <v>383</v>
      </c>
      <c r="C169" s="44" t="s">
        <v>73</v>
      </c>
      <c r="D169" s="44">
        <v>1.667</v>
      </c>
      <c r="E169" s="44">
        <v>0</v>
      </c>
      <c r="F169" s="44">
        <v>1</v>
      </c>
      <c r="G169" s="44">
        <v>0</v>
      </c>
      <c r="H169" s="44">
        <v>1</v>
      </c>
      <c r="I169" s="44" t="s">
        <v>348</v>
      </c>
      <c r="J169" s="44" t="s">
        <v>384</v>
      </c>
      <c r="K169" s="44">
        <v>5</v>
      </c>
      <c r="L169" s="44">
        <v>0</v>
      </c>
      <c r="M169" s="44">
        <v>2</v>
      </c>
      <c r="N169" s="44">
        <v>2</v>
      </c>
      <c r="O169" s="45" t="s">
        <v>1520</v>
      </c>
      <c r="P169" s="46" t="s">
        <v>27</v>
      </c>
      <c r="Q169" s="46" t="s">
        <v>27</v>
      </c>
      <c r="R169" s="46">
        <v>0</v>
      </c>
      <c r="S169" s="46">
        <v>0</v>
      </c>
      <c r="T169" s="47">
        <v>0</v>
      </c>
      <c r="U169" s="46">
        <v>0</v>
      </c>
      <c r="V169" s="46">
        <v>0</v>
      </c>
      <c r="W169" s="46">
        <v>0</v>
      </c>
      <c r="X169" s="46">
        <v>0</v>
      </c>
    </row>
    <row r="170" spans="1:24" s="5" customFormat="1" x14ac:dyDescent="0.15">
      <c r="A170" s="44" t="s">
        <v>762</v>
      </c>
      <c r="B170" s="44" t="s">
        <v>763</v>
      </c>
      <c r="C170" s="44" t="s">
        <v>385</v>
      </c>
      <c r="D170" s="44">
        <v>1.167</v>
      </c>
      <c r="E170" s="44">
        <v>0</v>
      </c>
      <c r="F170" s="44">
        <v>1</v>
      </c>
      <c r="G170" s="44">
        <v>0</v>
      </c>
      <c r="H170" s="44">
        <v>1</v>
      </c>
      <c r="I170" s="44" t="s">
        <v>386</v>
      </c>
      <c r="J170" s="44" t="s">
        <v>387</v>
      </c>
      <c r="K170" s="44">
        <v>2.5</v>
      </c>
      <c r="L170" s="44">
        <v>0.9</v>
      </c>
      <c r="M170" s="44">
        <v>3</v>
      </c>
      <c r="N170" s="44">
        <v>0</v>
      </c>
      <c r="O170" s="45" t="s">
        <v>1520</v>
      </c>
      <c r="P170" s="46" t="s">
        <v>27</v>
      </c>
      <c r="Q170" s="46" t="s">
        <v>27</v>
      </c>
      <c r="R170" s="46">
        <v>0</v>
      </c>
      <c r="S170" s="46">
        <v>0</v>
      </c>
      <c r="T170" s="47">
        <v>0</v>
      </c>
      <c r="U170" s="46">
        <v>0</v>
      </c>
      <c r="V170" s="46">
        <v>0</v>
      </c>
      <c r="W170" s="46">
        <v>0</v>
      </c>
      <c r="X170" s="46">
        <v>0</v>
      </c>
    </row>
    <row r="171" spans="1:24" s="5" customFormat="1" x14ac:dyDescent="0.15">
      <c r="A171" s="44" t="s">
        <v>389</v>
      </c>
      <c r="B171" s="44" t="s">
        <v>391</v>
      </c>
      <c r="C171" s="44" t="s">
        <v>347</v>
      </c>
      <c r="D171" s="44">
        <v>0.66700000000000004</v>
      </c>
      <c r="E171" s="44">
        <v>0</v>
      </c>
      <c r="F171" s="44">
        <v>1</v>
      </c>
      <c r="G171" s="44">
        <v>0</v>
      </c>
      <c r="H171" s="44">
        <v>1</v>
      </c>
      <c r="I171" s="44" t="s">
        <v>348</v>
      </c>
      <c r="J171" s="44" t="s">
        <v>390</v>
      </c>
      <c r="K171" s="44">
        <v>1</v>
      </c>
      <c r="L171" s="44">
        <v>0</v>
      </c>
      <c r="M171" s="44">
        <v>1</v>
      </c>
      <c r="N171" s="44">
        <v>0</v>
      </c>
      <c r="O171" s="45" t="s">
        <v>1520</v>
      </c>
      <c r="P171" s="46" t="s">
        <v>27</v>
      </c>
      <c r="Q171" s="46" t="s">
        <v>27</v>
      </c>
      <c r="R171" s="46">
        <v>0</v>
      </c>
      <c r="S171" s="46">
        <v>0</v>
      </c>
      <c r="T171" s="47">
        <v>0</v>
      </c>
      <c r="U171" s="46">
        <v>0</v>
      </c>
      <c r="V171" s="46">
        <v>0</v>
      </c>
      <c r="W171" s="46">
        <v>0</v>
      </c>
      <c r="X171" s="46">
        <v>0</v>
      </c>
    </row>
    <row r="172" spans="1:24" s="5" customFormat="1" x14ac:dyDescent="0.15">
      <c r="A172" s="44" t="s">
        <v>752</v>
      </c>
      <c r="B172" s="44" t="s">
        <v>764</v>
      </c>
      <c r="C172" s="44" t="s">
        <v>160</v>
      </c>
      <c r="D172" s="44">
        <v>1.167</v>
      </c>
      <c r="E172" s="44">
        <v>0</v>
      </c>
      <c r="F172" s="44">
        <v>1</v>
      </c>
      <c r="G172" s="44">
        <v>0</v>
      </c>
      <c r="H172" s="44">
        <v>1</v>
      </c>
      <c r="I172" s="44" t="s">
        <v>151</v>
      </c>
      <c r="J172" s="44" t="s">
        <v>388</v>
      </c>
      <c r="K172" s="44">
        <v>3</v>
      </c>
      <c r="L172" s="44">
        <v>0.6</v>
      </c>
      <c r="M172" s="44">
        <v>3</v>
      </c>
      <c r="N172" s="44">
        <v>0</v>
      </c>
      <c r="O172" s="45" t="s">
        <v>1520</v>
      </c>
      <c r="P172" s="46" t="s">
        <v>27</v>
      </c>
      <c r="Q172" s="46" t="s">
        <v>27</v>
      </c>
      <c r="R172" s="46">
        <v>0</v>
      </c>
      <c r="S172" s="46">
        <v>0</v>
      </c>
      <c r="T172" s="47">
        <v>0</v>
      </c>
      <c r="U172" s="46">
        <v>0</v>
      </c>
      <c r="V172" s="46">
        <v>0</v>
      </c>
      <c r="W172" s="46">
        <v>0</v>
      </c>
      <c r="X172" s="46">
        <v>0</v>
      </c>
    </row>
    <row r="173" spans="1:24" s="5" customFormat="1" x14ac:dyDescent="0.15">
      <c r="A173" s="44" t="s">
        <v>396</v>
      </c>
      <c r="B173" s="44" t="s">
        <v>395</v>
      </c>
      <c r="C173" s="44" t="s">
        <v>398</v>
      </c>
      <c r="D173" s="44">
        <v>0.73299999999999998</v>
      </c>
      <c r="E173" s="44">
        <v>0</v>
      </c>
      <c r="F173" s="44">
        <v>2</v>
      </c>
      <c r="G173" s="44">
        <v>17</v>
      </c>
      <c r="H173" s="44">
        <v>1</v>
      </c>
      <c r="I173" s="44" t="s">
        <v>399</v>
      </c>
      <c r="J173" s="44" t="s">
        <v>396</v>
      </c>
      <c r="K173" s="44">
        <v>5</v>
      </c>
      <c r="L173" s="44">
        <v>0.15</v>
      </c>
      <c r="M173" s="44">
        <v>1</v>
      </c>
      <c r="N173" s="44">
        <v>1</v>
      </c>
      <c r="O173" s="45" t="s">
        <v>1520</v>
      </c>
      <c r="P173" s="46" t="s">
        <v>27</v>
      </c>
      <c r="Q173" s="46" t="s">
        <v>27</v>
      </c>
      <c r="R173" s="46">
        <v>0</v>
      </c>
      <c r="S173" s="46">
        <v>0</v>
      </c>
      <c r="T173" s="47">
        <v>0</v>
      </c>
      <c r="U173" s="46">
        <v>0</v>
      </c>
      <c r="V173" s="46">
        <v>0</v>
      </c>
      <c r="W173" s="46">
        <v>0</v>
      </c>
      <c r="X173" s="46">
        <v>0</v>
      </c>
    </row>
    <row r="174" spans="1:24" s="5" customFormat="1" x14ac:dyDescent="0.15">
      <c r="A174" s="44" t="s">
        <v>786</v>
      </c>
      <c r="B174" s="44" t="s">
        <v>397</v>
      </c>
      <c r="C174" s="44" t="s">
        <v>73</v>
      </c>
      <c r="D174" s="44">
        <v>1.667</v>
      </c>
      <c r="E174" s="44">
        <v>0</v>
      </c>
      <c r="F174" s="44">
        <v>1</v>
      </c>
      <c r="G174" s="44">
        <v>0</v>
      </c>
      <c r="H174" s="44">
        <v>1</v>
      </c>
      <c r="I174" s="44" t="s">
        <v>399</v>
      </c>
      <c r="J174" s="44" t="s">
        <v>400</v>
      </c>
      <c r="K174" s="44">
        <v>5</v>
      </c>
      <c r="L174" s="44">
        <v>0.6</v>
      </c>
      <c r="M174" s="44">
        <v>1</v>
      </c>
      <c r="N174" s="44">
        <v>0</v>
      </c>
      <c r="O174" s="45" t="s">
        <v>1090</v>
      </c>
      <c r="P174" s="46" t="s">
        <v>27</v>
      </c>
      <c r="Q174" s="46" t="s">
        <v>27</v>
      </c>
      <c r="R174" s="46">
        <v>0</v>
      </c>
      <c r="S174" s="46">
        <v>0</v>
      </c>
      <c r="T174" s="47">
        <v>0</v>
      </c>
      <c r="U174" s="46">
        <v>0</v>
      </c>
      <c r="V174" s="46">
        <v>0</v>
      </c>
      <c r="W174" s="46">
        <v>0</v>
      </c>
      <c r="X174" s="46">
        <v>0</v>
      </c>
    </row>
    <row r="175" spans="1:24" s="5" customFormat="1" x14ac:dyDescent="0.15">
      <c r="A175" s="44" t="s">
        <v>783</v>
      </c>
      <c r="B175" s="44" t="s">
        <v>401</v>
      </c>
      <c r="C175" s="44" t="s">
        <v>73</v>
      </c>
      <c r="D175" s="44">
        <v>1.667</v>
      </c>
      <c r="E175" s="44">
        <v>0</v>
      </c>
      <c r="F175" s="44">
        <v>1</v>
      </c>
      <c r="G175" s="44">
        <v>0</v>
      </c>
      <c r="H175" s="44">
        <v>1</v>
      </c>
      <c r="I175" s="44" t="s">
        <v>151</v>
      </c>
      <c r="J175" s="44" t="s">
        <v>402</v>
      </c>
      <c r="K175" s="44">
        <v>5</v>
      </c>
      <c r="L175" s="44">
        <v>0</v>
      </c>
      <c r="M175" s="44">
        <v>3</v>
      </c>
      <c r="N175" s="44">
        <v>0</v>
      </c>
      <c r="O175" s="45" t="s">
        <v>1520</v>
      </c>
      <c r="P175" s="46" t="s">
        <v>27</v>
      </c>
      <c r="Q175" s="46" t="s">
        <v>27</v>
      </c>
      <c r="R175" s="46">
        <v>0</v>
      </c>
      <c r="S175" s="46">
        <v>0</v>
      </c>
      <c r="T175" s="47">
        <v>0</v>
      </c>
      <c r="U175" s="46">
        <v>0</v>
      </c>
      <c r="V175" s="46">
        <v>0</v>
      </c>
      <c r="W175" s="46">
        <v>0</v>
      </c>
      <c r="X175" s="46">
        <v>0</v>
      </c>
    </row>
    <row r="176" spans="1:24" s="5" customFormat="1" x14ac:dyDescent="0.15">
      <c r="A176" s="44" t="s">
        <v>760</v>
      </c>
      <c r="B176" s="44" t="s">
        <v>765</v>
      </c>
      <c r="C176" s="44" t="s">
        <v>160</v>
      </c>
      <c r="D176" s="44">
        <v>2.1669999999999998</v>
      </c>
      <c r="E176" s="44">
        <v>0</v>
      </c>
      <c r="F176" s="44">
        <v>1</v>
      </c>
      <c r="G176" s="44">
        <v>0</v>
      </c>
      <c r="H176" s="44">
        <v>1</v>
      </c>
      <c r="I176" s="44" t="s">
        <v>151</v>
      </c>
      <c r="J176" s="44" t="s">
        <v>405</v>
      </c>
      <c r="K176" s="44">
        <v>5</v>
      </c>
      <c r="L176" s="44">
        <v>0</v>
      </c>
      <c r="M176" s="44">
        <v>3</v>
      </c>
      <c r="N176" s="44">
        <v>0</v>
      </c>
      <c r="O176" s="45" t="s">
        <v>1520</v>
      </c>
      <c r="P176" s="46" t="s">
        <v>27</v>
      </c>
      <c r="Q176" s="46" t="s">
        <v>27</v>
      </c>
      <c r="R176" s="46">
        <v>0</v>
      </c>
      <c r="S176" s="46">
        <v>0</v>
      </c>
      <c r="T176" s="47">
        <v>0</v>
      </c>
      <c r="U176" s="46">
        <v>0</v>
      </c>
      <c r="V176" s="46">
        <v>0</v>
      </c>
      <c r="W176" s="46">
        <v>0</v>
      </c>
      <c r="X176" s="46">
        <v>0</v>
      </c>
    </row>
    <row r="177" spans="1:24" s="5" customFormat="1" x14ac:dyDescent="0.15">
      <c r="A177" s="44" t="s">
        <v>410</v>
      </c>
      <c r="B177" s="44" t="s">
        <v>406</v>
      </c>
      <c r="C177" s="44" t="s">
        <v>411</v>
      </c>
      <c r="D177" s="44">
        <v>0.66700000000000004</v>
      </c>
      <c r="E177" s="44">
        <v>0</v>
      </c>
      <c r="F177" s="44">
        <v>1</v>
      </c>
      <c r="G177" s="44">
        <v>0</v>
      </c>
      <c r="H177" s="44">
        <v>1</v>
      </c>
      <c r="I177" s="44" t="s">
        <v>412</v>
      </c>
      <c r="J177" s="44" t="s">
        <v>407</v>
      </c>
      <c r="K177" s="44">
        <v>1</v>
      </c>
      <c r="L177" s="44">
        <v>0</v>
      </c>
      <c r="M177" s="44">
        <v>1</v>
      </c>
      <c r="N177" s="44">
        <v>0</v>
      </c>
      <c r="O177" s="45" t="s">
        <v>1520</v>
      </c>
      <c r="P177" s="46" t="s">
        <v>27</v>
      </c>
      <c r="Q177" s="46" t="s">
        <v>27</v>
      </c>
      <c r="R177" s="46">
        <v>0</v>
      </c>
      <c r="S177" s="46">
        <v>0</v>
      </c>
      <c r="T177" s="47">
        <v>0</v>
      </c>
      <c r="U177" s="46">
        <v>0</v>
      </c>
      <c r="V177" s="46">
        <v>0</v>
      </c>
      <c r="W177" s="46">
        <v>0</v>
      </c>
      <c r="X177" s="46">
        <v>0</v>
      </c>
    </row>
    <row r="178" spans="1:24" s="5" customFormat="1" x14ac:dyDescent="0.15">
      <c r="A178" s="44" t="s">
        <v>908</v>
      </c>
      <c r="B178" s="44" t="s">
        <v>909</v>
      </c>
      <c r="C178" s="44" t="s">
        <v>71</v>
      </c>
      <c r="D178" s="44">
        <v>0.83299999999999996</v>
      </c>
      <c r="E178" s="44">
        <v>0</v>
      </c>
      <c r="F178" s="44">
        <v>1</v>
      </c>
      <c r="G178" s="44">
        <v>0</v>
      </c>
      <c r="H178" s="44">
        <v>1</v>
      </c>
      <c r="I178" s="44" t="s">
        <v>27</v>
      </c>
      <c r="J178" s="44" t="s">
        <v>910</v>
      </c>
      <c r="K178" s="44">
        <v>1</v>
      </c>
      <c r="L178" s="44">
        <v>0</v>
      </c>
      <c r="M178" s="44">
        <v>1</v>
      </c>
      <c r="N178" s="44">
        <v>0</v>
      </c>
      <c r="O178" s="45" t="s">
        <v>1520</v>
      </c>
      <c r="P178" s="46" t="s">
        <v>27</v>
      </c>
      <c r="Q178" s="46" t="s">
        <v>27</v>
      </c>
      <c r="R178" s="46">
        <v>0</v>
      </c>
      <c r="S178" s="46">
        <v>0</v>
      </c>
      <c r="T178" s="47">
        <v>0</v>
      </c>
      <c r="U178" s="46">
        <v>0</v>
      </c>
      <c r="V178" s="46">
        <v>0</v>
      </c>
      <c r="W178" s="46">
        <v>0</v>
      </c>
      <c r="X178" s="46">
        <v>0</v>
      </c>
    </row>
    <row r="179" spans="1:24" s="5" customFormat="1" x14ac:dyDescent="0.15">
      <c r="A179" s="44" t="s">
        <v>784</v>
      </c>
      <c r="B179" s="44" t="s">
        <v>408</v>
      </c>
      <c r="C179" s="44" t="s">
        <v>73</v>
      </c>
      <c r="D179" s="44">
        <v>1.667</v>
      </c>
      <c r="E179" s="44">
        <v>0</v>
      </c>
      <c r="F179" s="44">
        <v>1</v>
      </c>
      <c r="G179" s="44">
        <v>0</v>
      </c>
      <c r="H179" s="44">
        <v>1</v>
      </c>
      <c r="I179" s="44" t="s">
        <v>412</v>
      </c>
      <c r="J179" s="44" t="s">
        <v>409</v>
      </c>
      <c r="K179" s="44">
        <v>5</v>
      </c>
      <c r="L179" s="44">
        <v>0</v>
      </c>
      <c r="M179" s="44">
        <v>3</v>
      </c>
      <c r="N179" s="44">
        <v>0</v>
      </c>
      <c r="O179" s="45" t="s">
        <v>1520</v>
      </c>
      <c r="P179" s="46" t="s">
        <v>900</v>
      </c>
      <c r="Q179" s="46" t="s">
        <v>27</v>
      </c>
      <c r="R179" s="46">
        <v>0</v>
      </c>
      <c r="S179" s="46">
        <v>0</v>
      </c>
      <c r="T179" s="47">
        <v>0</v>
      </c>
      <c r="U179" s="46">
        <v>0</v>
      </c>
      <c r="V179" s="46">
        <v>0</v>
      </c>
      <c r="W179" s="46">
        <v>0</v>
      </c>
      <c r="X179" s="46">
        <v>0</v>
      </c>
    </row>
    <row r="180" spans="1:24" s="5" customFormat="1" x14ac:dyDescent="0.15">
      <c r="A180" s="44" t="s">
        <v>413</v>
      </c>
      <c r="B180" s="44" t="s">
        <v>414</v>
      </c>
      <c r="C180" s="44" t="s">
        <v>398</v>
      </c>
      <c r="D180" s="44">
        <v>0.8</v>
      </c>
      <c r="E180" s="44">
        <v>0</v>
      </c>
      <c r="F180" s="44">
        <v>2</v>
      </c>
      <c r="G180" s="44">
        <v>17</v>
      </c>
      <c r="H180" s="44">
        <v>1</v>
      </c>
      <c r="I180" s="44" t="s">
        <v>116</v>
      </c>
      <c r="J180" s="44" t="s">
        <v>415</v>
      </c>
      <c r="K180" s="44">
        <v>5</v>
      </c>
      <c r="L180" s="44">
        <v>0.5</v>
      </c>
      <c r="M180" s="44">
        <v>1</v>
      </c>
      <c r="N180" s="44">
        <v>1</v>
      </c>
      <c r="O180" s="45" t="s">
        <v>1520</v>
      </c>
      <c r="P180" s="46" t="s">
        <v>27</v>
      </c>
      <c r="Q180" s="46" t="s">
        <v>27</v>
      </c>
      <c r="R180" s="46">
        <v>0</v>
      </c>
      <c r="S180" s="46">
        <v>0</v>
      </c>
      <c r="T180" s="47">
        <v>0</v>
      </c>
      <c r="U180" s="46">
        <v>0</v>
      </c>
      <c r="V180" s="46">
        <v>0</v>
      </c>
      <c r="W180" s="46">
        <v>0</v>
      </c>
      <c r="X180" s="46">
        <v>0</v>
      </c>
    </row>
    <row r="181" spans="1:24" s="5" customFormat="1" x14ac:dyDescent="0.15">
      <c r="A181" s="44" t="s">
        <v>785</v>
      </c>
      <c r="B181" s="44" t="s">
        <v>751</v>
      </c>
      <c r="C181" s="44" t="s">
        <v>73</v>
      </c>
      <c r="D181" s="44">
        <v>1.667</v>
      </c>
      <c r="E181" s="44">
        <v>0</v>
      </c>
      <c r="F181" s="44">
        <v>1</v>
      </c>
      <c r="G181" s="44">
        <v>0</v>
      </c>
      <c r="H181" s="44">
        <v>1</v>
      </c>
      <c r="I181" s="44" t="s">
        <v>151</v>
      </c>
      <c r="J181" s="44" t="s">
        <v>416</v>
      </c>
      <c r="K181" s="44">
        <v>5</v>
      </c>
      <c r="L181" s="44">
        <v>0</v>
      </c>
      <c r="M181" s="44">
        <v>2</v>
      </c>
      <c r="N181" s="44">
        <v>1</v>
      </c>
      <c r="O181" s="45" t="s">
        <v>344</v>
      </c>
      <c r="P181" s="46" t="s">
        <v>27</v>
      </c>
      <c r="Q181" s="46" t="s">
        <v>27</v>
      </c>
      <c r="R181" s="46">
        <v>0</v>
      </c>
      <c r="S181" s="46">
        <v>0</v>
      </c>
      <c r="T181" s="47">
        <v>0</v>
      </c>
      <c r="U181" s="46">
        <v>0</v>
      </c>
      <c r="V181" s="46">
        <v>0</v>
      </c>
      <c r="W181" s="46">
        <v>0</v>
      </c>
      <c r="X181" s="46">
        <v>0</v>
      </c>
    </row>
    <row r="182" spans="1:24" s="5" customFormat="1" x14ac:dyDescent="0.15">
      <c r="A182" s="44" t="s">
        <v>417</v>
      </c>
      <c r="B182" s="44" t="s">
        <v>406</v>
      </c>
      <c r="C182" s="44" t="s">
        <v>411</v>
      </c>
      <c r="D182" s="44">
        <v>0.66700000000000004</v>
      </c>
      <c r="E182" s="44">
        <v>0</v>
      </c>
      <c r="F182" s="44">
        <v>1</v>
      </c>
      <c r="G182" s="44">
        <v>0</v>
      </c>
      <c r="H182" s="44">
        <v>1</v>
      </c>
      <c r="I182" s="44" t="s">
        <v>50</v>
      </c>
      <c r="J182" s="44" t="s">
        <v>418</v>
      </c>
      <c r="K182" s="44">
        <v>1</v>
      </c>
      <c r="L182" s="44">
        <v>0</v>
      </c>
      <c r="M182" s="44">
        <v>1</v>
      </c>
      <c r="N182" s="44">
        <v>0</v>
      </c>
      <c r="O182" s="45" t="s">
        <v>1520</v>
      </c>
      <c r="P182" s="46" t="s">
        <v>27</v>
      </c>
      <c r="Q182" s="46" t="s">
        <v>27</v>
      </c>
      <c r="R182" s="46">
        <v>0</v>
      </c>
      <c r="S182" s="46">
        <v>0</v>
      </c>
      <c r="T182" s="47">
        <v>0</v>
      </c>
      <c r="U182" s="46">
        <v>0</v>
      </c>
      <c r="V182" s="46">
        <v>0</v>
      </c>
      <c r="W182" s="46">
        <v>0</v>
      </c>
      <c r="X182" s="46">
        <v>0</v>
      </c>
    </row>
    <row r="183" spans="1:24" s="5" customFormat="1" x14ac:dyDescent="0.15">
      <c r="A183" s="44" t="s">
        <v>419</v>
      </c>
      <c r="B183" s="44" t="s">
        <v>420</v>
      </c>
      <c r="C183" s="44" t="s">
        <v>29</v>
      </c>
      <c r="D183" s="44">
        <v>1.167</v>
      </c>
      <c r="E183" s="44">
        <v>0</v>
      </c>
      <c r="F183" s="44">
        <v>1</v>
      </c>
      <c r="G183" s="44">
        <v>0</v>
      </c>
      <c r="H183" s="44">
        <v>1</v>
      </c>
      <c r="I183" s="44" t="s">
        <v>50</v>
      </c>
      <c r="J183" s="44" t="s">
        <v>421</v>
      </c>
      <c r="K183" s="44">
        <v>5</v>
      </c>
      <c r="L183" s="44">
        <v>0</v>
      </c>
      <c r="M183" s="44">
        <v>3</v>
      </c>
      <c r="N183" s="44">
        <v>0</v>
      </c>
      <c r="O183" s="45" t="s">
        <v>1520</v>
      </c>
      <c r="P183" s="46" t="s">
        <v>27</v>
      </c>
      <c r="Q183" s="46" t="s">
        <v>27</v>
      </c>
      <c r="R183" s="46">
        <v>0</v>
      </c>
      <c r="S183" s="46">
        <v>0</v>
      </c>
      <c r="T183" s="47">
        <v>0</v>
      </c>
      <c r="U183" s="46">
        <v>0</v>
      </c>
      <c r="V183" s="46">
        <v>0</v>
      </c>
      <c r="W183" s="46">
        <v>0</v>
      </c>
      <c r="X183" s="46">
        <v>0</v>
      </c>
    </row>
    <row r="184" spans="1:24" s="5" customFormat="1" x14ac:dyDescent="0.15">
      <c r="A184" s="44" t="s">
        <v>432</v>
      </c>
      <c r="B184" s="44" t="s">
        <v>422</v>
      </c>
      <c r="C184" s="44" t="s">
        <v>423</v>
      </c>
      <c r="D184" s="44">
        <v>0.73299999999999998</v>
      </c>
      <c r="E184" s="44">
        <v>0</v>
      </c>
      <c r="F184" s="44">
        <v>1</v>
      </c>
      <c r="G184" s="44">
        <v>0</v>
      </c>
      <c r="H184" s="44">
        <v>1</v>
      </c>
      <c r="I184" s="44" t="s">
        <v>424</v>
      </c>
      <c r="J184" s="44" t="s">
        <v>433</v>
      </c>
      <c r="K184" s="44">
        <v>1</v>
      </c>
      <c r="L184" s="44">
        <v>0</v>
      </c>
      <c r="M184" s="44">
        <v>1</v>
      </c>
      <c r="N184" s="44">
        <v>0</v>
      </c>
      <c r="O184" s="45" t="s">
        <v>1520</v>
      </c>
      <c r="P184" s="46" t="s">
        <v>27</v>
      </c>
      <c r="Q184" s="46" t="s">
        <v>27</v>
      </c>
      <c r="R184" s="46">
        <v>0</v>
      </c>
      <c r="S184" s="46">
        <v>0</v>
      </c>
      <c r="T184" s="47">
        <v>0</v>
      </c>
      <c r="U184" s="46">
        <v>0</v>
      </c>
      <c r="V184" s="46">
        <v>0</v>
      </c>
      <c r="W184" s="46">
        <v>0</v>
      </c>
      <c r="X184" s="46">
        <v>0</v>
      </c>
    </row>
    <row r="185" spans="1:24" s="5" customFormat="1" x14ac:dyDescent="0.15">
      <c r="A185" s="44" t="s">
        <v>430</v>
      </c>
      <c r="B185" s="44" t="s">
        <v>425</v>
      </c>
      <c r="C185" s="44" t="s">
        <v>426</v>
      </c>
      <c r="D185" s="44">
        <v>1.667</v>
      </c>
      <c r="E185" s="44">
        <v>0</v>
      </c>
      <c r="F185" s="44">
        <v>1</v>
      </c>
      <c r="G185" s="44">
        <v>0</v>
      </c>
      <c r="H185" s="44">
        <v>1</v>
      </c>
      <c r="I185" s="44" t="s">
        <v>424</v>
      </c>
      <c r="J185" s="44" t="s">
        <v>427</v>
      </c>
      <c r="K185" s="44">
        <v>1.667</v>
      </c>
      <c r="L185" s="44">
        <v>0</v>
      </c>
      <c r="M185" s="44">
        <v>2</v>
      </c>
      <c r="N185" s="44">
        <v>0</v>
      </c>
      <c r="O185" s="45" t="s">
        <v>1520</v>
      </c>
      <c r="P185" s="46" t="s">
        <v>840</v>
      </c>
      <c r="Q185" s="46" t="s">
        <v>27</v>
      </c>
      <c r="R185" s="46">
        <v>0</v>
      </c>
      <c r="S185" s="46">
        <v>0</v>
      </c>
      <c r="T185" s="47">
        <v>0</v>
      </c>
      <c r="U185" s="46">
        <v>0</v>
      </c>
      <c r="V185" s="46">
        <v>0</v>
      </c>
      <c r="W185" s="46">
        <v>0</v>
      </c>
      <c r="X185" s="46">
        <v>0</v>
      </c>
    </row>
    <row r="186" spans="1:24" s="5" customFormat="1" x14ac:dyDescent="0.15">
      <c r="A186" s="44" t="s">
        <v>431</v>
      </c>
      <c r="B186" s="44" t="s">
        <v>428</v>
      </c>
      <c r="C186" s="44" t="s">
        <v>426</v>
      </c>
      <c r="D186" s="44">
        <v>1.667</v>
      </c>
      <c r="E186" s="44">
        <v>0</v>
      </c>
      <c r="F186" s="44">
        <v>1</v>
      </c>
      <c r="G186" s="44">
        <v>0</v>
      </c>
      <c r="H186" s="44" t="s">
        <v>839</v>
      </c>
      <c r="I186" s="44" t="s">
        <v>424</v>
      </c>
      <c r="J186" s="44" t="s">
        <v>429</v>
      </c>
      <c r="K186" s="44">
        <v>1.667</v>
      </c>
      <c r="L186" s="44">
        <v>0</v>
      </c>
      <c r="M186" s="44">
        <v>5</v>
      </c>
      <c r="N186" s="44">
        <v>0</v>
      </c>
      <c r="O186" s="45" t="s">
        <v>1520</v>
      </c>
      <c r="P186" s="46" t="s">
        <v>27</v>
      </c>
      <c r="Q186" s="46" t="s">
        <v>27</v>
      </c>
      <c r="R186" s="46">
        <v>0</v>
      </c>
      <c r="S186" s="46">
        <v>0</v>
      </c>
      <c r="T186" s="47">
        <v>0</v>
      </c>
      <c r="U186" s="46">
        <v>0</v>
      </c>
      <c r="V186" s="46">
        <v>0</v>
      </c>
      <c r="W186" s="46">
        <v>0</v>
      </c>
      <c r="X186" s="46">
        <v>0</v>
      </c>
    </row>
    <row r="187" spans="1:24" s="5" customFormat="1" x14ac:dyDescent="0.15">
      <c r="A187" s="44" t="s">
        <v>434</v>
      </c>
      <c r="B187" s="44" t="s">
        <v>436</v>
      </c>
      <c r="C187" s="44" t="s">
        <v>426</v>
      </c>
      <c r="D187" s="44">
        <v>1.667</v>
      </c>
      <c r="E187" s="44">
        <v>0</v>
      </c>
      <c r="F187" s="44">
        <v>1</v>
      </c>
      <c r="G187" s="44">
        <v>0</v>
      </c>
      <c r="H187" s="44">
        <v>1</v>
      </c>
      <c r="I187" s="44" t="s">
        <v>424</v>
      </c>
      <c r="J187" s="44" t="s">
        <v>438</v>
      </c>
      <c r="K187" s="44">
        <v>1.667</v>
      </c>
      <c r="L187" s="44">
        <v>0</v>
      </c>
      <c r="M187" s="44">
        <v>2</v>
      </c>
      <c r="N187" s="44">
        <v>0</v>
      </c>
      <c r="O187" s="45" t="s">
        <v>1520</v>
      </c>
      <c r="P187" s="46" t="s">
        <v>840</v>
      </c>
      <c r="Q187" s="46" t="s">
        <v>27</v>
      </c>
      <c r="R187" s="46">
        <v>0</v>
      </c>
      <c r="S187" s="46">
        <v>0</v>
      </c>
      <c r="T187" s="47">
        <v>0</v>
      </c>
      <c r="U187" s="46">
        <v>0</v>
      </c>
      <c r="V187" s="46">
        <v>0</v>
      </c>
      <c r="W187" s="46">
        <v>0</v>
      </c>
      <c r="X187" s="46">
        <v>0</v>
      </c>
    </row>
    <row r="188" spans="1:24" s="5" customFormat="1" x14ac:dyDescent="0.15">
      <c r="A188" s="44" t="s">
        <v>435</v>
      </c>
      <c r="B188" s="44" t="s">
        <v>437</v>
      </c>
      <c r="C188" s="44" t="s">
        <v>426</v>
      </c>
      <c r="D188" s="44">
        <v>1.667</v>
      </c>
      <c r="E188" s="44">
        <v>0</v>
      </c>
      <c r="F188" s="44">
        <v>1</v>
      </c>
      <c r="G188" s="44">
        <v>0</v>
      </c>
      <c r="H188" s="44" t="s">
        <v>839</v>
      </c>
      <c r="I188" s="44" t="s">
        <v>424</v>
      </c>
      <c r="J188" s="44" t="s">
        <v>439</v>
      </c>
      <c r="K188" s="44">
        <v>1.667</v>
      </c>
      <c r="L188" s="44">
        <v>0</v>
      </c>
      <c r="M188" s="44">
        <v>5</v>
      </c>
      <c r="N188" s="44">
        <v>0</v>
      </c>
      <c r="O188" s="45" t="s">
        <v>1520</v>
      </c>
      <c r="P188" s="46" t="s">
        <v>27</v>
      </c>
      <c r="Q188" s="46" t="s">
        <v>27</v>
      </c>
      <c r="R188" s="46">
        <v>0</v>
      </c>
      <c r="S188" s="46">
        <v>0</v>
      </c>
      <c r="T188" s="47">
        <v>0</v>
      </c>
      <c r="U188" s="46">
        <v>0</v>
      </c>
      <c r="V188" s="46">
        <v>0</v>
      </c>
      <c r="W188" s="46">
        <v>0</v>
      </c>
      <c r="X188" s="46">
        <v>0</v>
      </c>
    </row>
    <row r="189" spans="1:24" s="5" customFormat="1" x14ac:dyDescent="0.15">
      <c r="A189" s="44" t="s">
        <v>440</v>
      </c>
      <c r="B189" s="44" t="s">
        <v>441</v>
      </c>
      <c r="C189" s="44" t="s">
        <v>28</v>
      </c>
      <c r="D189" s="44">
        <v>0.93300000000000005</v>
      </c>
      <c r="E189" s="44">
        <v>0</v>
      </c>
      <c r="F189" s="44">
        <v>1</v>
      </c>
      <c r="G189" s="44">
        <v>0</v>
      </c>
      <c r="H189" s="44">
        <v>1</v>
      </c>
      <c r="I189" s="44" t="s">
        <v>27</v>
      </c>
      <c r="J189" s="44" t="s">
        <v>1765</v>
      </c>
      <c r="K189" s="44">
        <v>5</v>
      </c>
      <c r="L189" s="44">
        <v>0</v>
      </c>
      <c r="M189" s="44">
        <v>1</v>
      </c>
      <c r="N189" s="44">
        <v>0</v>
      </c>
      <c r="O189" s="45" t="s">
        <v>1520</v>
      </c>
      <c r="P189" s="46" t="s">
        <v>27</v>
      </c>
      <c r="Q189" s="46" t="s">
        <v>27</v>
      </c>
      <c r="R189" s="46">
        <v>0</v>
      </c>
      <c r="S189" s="46">
        <v>0</v>
      </c>
      <c r="T189" s="47">
        <v>0</v>
      </c>
      <c r="U189" s="46">
        <v>0</v>
      </c>
      <c r="V189" s="46">
        <v>0</v>
      </c>
      <c r="W189" s="46">
        <v>0</v>
      </c>
      <c r="X189" s="46">
        <v>0</v>
      </c>
    </row>
    <row r="190" spans="1:24" s="5" customFormat="1" x14ac:dyDescent="0.15">
      <c r="A190" s="44" t="s">
        <v>1581</v>
      </c>
      <c r="B190" s="44" t="s">
        <v>441</v>
      </c>
      <c r="C190" s="44" t="s">
        <v>1529</v>
      </c>
      <c r="D190" s="44">
        <v>1</v>
      </c>
      <c r="E190" s="44">
        <v>0</v>
      </c>
      <c r="F190" s="44">
        <v>1</v>
      </c>
      <c r="G190" s="44">
        <v>0</v>
      </c>
      <c r="H190" s="44">
        <v>1</v>
      </c>
      <c r="I190" s="44" t="s">
        <v>27</v>
      </c>
      <c r="J190" s="44" t="s">
        <v>1766</v>
      </c>
      <c r="K190" s="44">
        <v>5</v>
      </c>
      <c r="L190" s="44">
        <v>0</v>
      </c>
      <c r="M190" s="44">
        <v>1</v>
      </c>
      <c r="N190" s="44">
        <v>0</v>
      </c>
      <c r="O190" s="45" t="s">
        <v>1520</v>
      </c>
      <c r="P190" s="46" t="s">
        <v>27</v>
      </c>
      <c r="Q190" s="46" t="s">
        <v>27</v>
      </c>
      <c r="R190" s="46">
        <v>0</v>
      </c>
      <c r="S190" s="46">
        <v>0</v>
      </c>
      <c r="T190" s="47">
        <v>0</v>
      </c>
      <c r="U190" s="46">
        <v>0</v>
      </c>
      <c r="V190" s="46">
        <v>0</v>
      </c>
      <c r="W190" s="46">
        <v>0</v>
      </c>
      <c r="X190" s="46">
        <v>0</v>
      </c>
    </row>
    <row r="191" spans="1:24" s="5" customFormat="1" x14ac:dyDescent="0.15">
      <c r="A191" s="44" t="s">
        <v>1582</v>
      </c>
      <c r="B191" s="44" t="s">
        <v>441</v>
      </c>
      <c r="C191" s="44" t="s">
        <v>1530</v>
      </c>
      <c r="D191" s="44">
        <v>1</v>
      </c>
      <c r="E191" s="44">
        <v>0</v>
      </c>
      <c r="F191" s="44">
        <v>1</v>
      </c>
      <c r="G191" s="44">
        <v>0</v>
      </c>
      <c r="H191" s="44">
        <v>1</v>
      </c>
      <c r="I191" s="44" t="s">
        <v>27</v>
      </c>
      <c r="J191" s="44" t="s">
        <v>1767</v>
      </c>
      <c r="K191" s="44">
        <v>5</v>
      </c>
      <c r="L191" s="44">
        <v>0</v>
      </c>
      <c r="M191" s="44">
        <v>1</v>
      </c>
      <c r="N191" s="44">
        <v>0</v>
      </c>
      <c r="O191" s="45" t="s">
        <v>1520</v>
      </c>
      <c r="P191" s="46" t="s">
        <v>27</v>
      </c>
      <c r="Q191" s="46" t="s">
        <v>27</v>
      </c>
      <c r="R191" s="46">
        <v>0</v>
      </c>
      <c r="S191" s="46">
        <v>0</v>
      </c>
      <c r="T191" s="47">
        <v>0</v>
      </c>
      <c r="U191" s="46">
        <v>0</v>
      </c>
      <c r="V191" s="46">
        <v>0</v>
      </c>
      <c r="W191" s="46">
        <v>0</v>
      </c>
      <c r="X191" s="46">
        <v>0</v>
      </c>
    </row>
    <row r="192" spans="1:24" s="5" customFormat="1" x14ac:dyDescent="0.15">
      <c r="A192" s="44" t="s">
        <v>718</v>
      </c>
      <c r="B192" s="44" t="s">
        <v>726</v>
      </c>
      <c r="C192" s="44" t="s">
        <v>27</v>
      </c>
      <c r="D192" s="44">
        <v>0</v>
      </c>
      <c r="E192" s="44">
        <v>0</v>
      </c>
      <c r="F192" s="44">
        <v>11</v>
      </c>
      <c r="G192" s="44">
        <v>0</v>
      </c>
      <c r="H192" s="44" t="s">
        <v>839</v>
      </c>
      <c r="I192" s="44" t="s">
        <v>27</v>
      </c>
      <c r="J192" s="44" t="s">
        <v>718</v>
      </c>
      <c r="K192" s="44">
        <v>1</v>
      </c>
      <c r="L192" s="44">
        <v>0</v>
      </c>
      <c r="M192" s="44">
        <v>1</v>
      </c>
      <c r="N192" s="44">
        <v>4</v>
      </c>
      <c r="O192" s="45" t="s">
        <v>1520</v>
      </c>
      <c r="P192" s="46" t="s">
        <v>27</v>
      </c>
      <c r="Q192" s="46" t="s">
        <v>27</v>
      </c>
      <c r="R192" s="46">
        <v>0</v>
      </c>
      <c r="S192" s="46">
        <v>0</v>
      </c>
      <c r="T192" s="47">
        <v>0</v>
      </c>
      <c r="U192" s="46">
        <v>0</v>
      </c>
      <c r="V192" s="46">
        <v>0</v>
      </c>
      <c r="W192" s="46">
        <v>0</v>
      </c>
      <c r="X192" s="46">
        <v>0</v>
      </c>
    </row>
    <row r="193" spans="1:24" s="5" customFormat="1" x14ac:dyDescent="0.15">
      <c r="A193" s="44" t="s">
        <v>857</v>
      </c>
      <c r="B193" s="44" t="s">
        <v>850</v>
      </c>
      <c r="C193" s="44" t="s">
        <v>73</v>
      </c>
      <c r="D193" s="44">
        <v>1.667</v>
      </c>
      <c r="E193" s="44">
        <v>0</v>
      </c>
      <c r="F193" s="44">
        <v>1</v>
      </c>
      <c r="G193" s="44">
        <v>0</v>
      </c>
      <c r="H193" s="44">
        <v>1</v>
      </c>
      <c r="I193" s="44" t="s">
        <v>27</v>
      </c>
      <c r="J193" s="44" t="s">
        <v>1634</v>
      </c>
      <c r="K193" s="44">
        <v>5</v>
      </c>
      <c r="L193" s="44">
        <v>0</v>
      </c>
      <c r="M193" s="44">
        <v>2</v>
      </c>
      <c r="N193" s="44">
        <v>0</v>
      </c>
      <c r="O193" s="45" t="s">
        <v>1520</v>
      </c>
      <c r="P193" s="46" t="s">
        <v>27</v>
      </c>
      <c r="Q193" s="46" t="s">
        <v>27</v>
      </c>
      <c r="R193" s="46">
        <v>0</v>
      </c>
      <c r="S193" s="46">
        <v>0</v>
      </c>
      <c r="T193" s="47">
        <v>0</v>
      </c>
      <c r="U193" s="46">
        <v>0</v>
      </c>
      <c r="V193" s="46">
        <v>0</v>
      </c>
      <c r="W193" s="46">
        <v>0</v>
      </c>
      <c r="X193" s="46">
        <v>0</v>
      </c>
    </row>
    <row r="194" spans="1:24" s="5" customFormat="1" x14ac:dyDescent="0.15">
      <c r="A194" s="44" t="s">
        <v>1860</v>
      </c>
      <c r="B194" s="44" t="s">
        <v>850</v>
      </c>
      <c r="C194" s="44" t="s">
        <v>1859</v>
      </c>
      <c r="D194" s="44">
        <v>1.667</v>
      </c>
      <c r="E194" s="44">
        <v>0</v>
      </c>
      <c r="F194" s="44">
        <v>1</v>
      </c>
      <c r="G194" s="44">
        <v>0</v>
      </c>
      <c r="H194" s="44">
        <v>1</v>
      </c>
      <c r="I194" s="44" t="s">
        <v>27</v>
      </c>
      <c r="J194" s="44" t="s">
        <v>851</v>
      </c>
      <c r="K194" s="44">
        <v>5</v>
      </c>
      <c r="L194" s="44">
        <v>0.2</v>
      </c>
      <c r="M194" s="44">
        <v>1</v>
      </c>
      <c r="N194" s="44">
        <v>0</v>
      </c>
      <c r="O194" s="45" t="s">
        <v>1861</v>
      </c>
      <c r="P194" s="46" t="s">
        <v>27</v>
      </c>
      <c r="Q194" s="46" t="s">
        <v>27</v>
      </c>
      <c r="R194" s="46">
        <v>0</v>
      </c>
      <c r="S194" s="46">
        <v>0</v>
      </c>
      <c r="T194" s="47">
        <v>0</v>
      </c>
      <c r="U194" s="46">
        <v>0</v>
      </c>
      <c r="V194" s="46">
        <v>0</v>
      </c>
      <c r="W194" s="46">
        <v>0</v>
      </c>
      <c r="X194" s="46">
        <v>0</v>
      </c>
    </row>
    <row r="195" spans="1:24" x14ac:dyDescent="0.15">
      <c r="A195" s="105" t="s">
        <v>1633</v>
      </c>
      <c r="B195" s="44" t="s">
        <v>850</v>
      </c>
      <c r="C195" s="105" t="s">
        <v>73</v>
      </c>
      <c r="D195" s="105">
        <v>1.667</v>
      </c>
      <c r="E195" s="105">
        <v>0</v>
      </c>
      <c r="F195" s="105">
        <v>1</v>
      </c>
      <c r="G195" s="105">
        <v>0</v>
      </c>
      <c r="H195" s="105">
        <v>1</v>
      </c>
      <c r="I195" s="105" t="s">
        <v>27</v>
      </c>
      <c r="J195" s="105" t="s">
        <v>1634</v>
      </c>
      <c r="K195" s="105">
        <v>10</v>
      </c>
      <c r="L195" s="105">
        <v>0</v>
      </c>
      <c r="M195" s="105">
        <v>1</v>
      </c>
      <c r="N195" s="105">
        <v>0</v>
      </c>
      <c r="O195" s="106" t="s">
        <v>27</v>
      </c>
      <c r="P195" s="105" t="s">
        <v>27</v>
      </c>
      <c r="Q195" s="105" t="s">
        <v>27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</row>
    <row r="196" spans="1:24" x14ac:dyDescent="0.15">
      <c r="A196" s="105" t="s">
        <v>1637</v>
      </c>
      <c r="B196" s="44" t="s">
        <v>1636</v>
      </c>
      <c r="C196" s="105" t="s">
        <v>27</v>
      </c>
      <c r="D196" s="105">
        <v>0</v>
      </c>
      <c r="E196" s="105">
        <v>0</v>
      </c>
      <c r="F196" s="105">
        <v>1</v>
      </c>
      <c r="G196" s="105">
        <v>0</v>
      </c>
      <c r="H196" s="105">
        <v>0</v>
      </c>
      <c r="I196" s="105" t="s">
        <v>27</v>
      </c>
      <c r="J196" s="105" t="s">
        <v>1635</v>
      </c>
      <c r="K196" s="105">
        <v>10</v>
      </c>
      <c r="L196" s="105">
        <v>0</v>
      </c>
      <c r="M196" s="105">
        <v>2</v>
      </c>
      <c r="N196" s="105">
        <v>1</v>
      </c>
      <c r="O196" s="106" t="s">
        <v>27</v>
      </c>
      <c r="P196" s="105" t="s">
        <v>1639</v>
      </c>
      <c r="Q196" s="105" t="s">
        <v>27</v>
      </c>
      <c r="R196" s="105">
        <v>0</v>
      </c>
      <c r="S196" s="105">
        <v>0</v>
      </c>
      <c r="T196" s="105">
        <v>0</v>
      </c>
      <c r="U196" s="105">
        <v>0</v>
      </c>
      <c r="V196" s="105">
        <v>0</v>
      </c>
      <c r="W196" s="105">
        <v>0</v>
      </c>
      <c r="X196" s="105">
        <v>0</v>
      </c>
    </row>
    <row r="197" spans="1:24" x14ac:dyDescent="0.15">
      <c r="A197" s="105" t="s">
        <v>1640</v>
      </c>
      <c r="B197" s="44" t="s">
        <v>1641</v>
      </c>
      <c r="C197" s="105" t="s">
        <v>73</v>
      </c>
      <c r="D197" s="105">
        <v>1.667</v>
      </c>
      <c r="E197" s="105">
        <v>0</v>
      </c>
      <c r="F197" s="105">
        <v>1</v>
      </c>
      <c r="G197" s="105">
        <v>0</v>
      </c>
      <c r="H197" s="105">
        <v>1</v>
      </c>
      <c r="I197" s="105" t="s">
        <v>1638</v>
      </c>
      <c r="J197" s="105" t="s">
        <v>1642</v>
      </c>
      <c r="K197" s="105">
        <v>5</v>
      </c>
      <c r="L197" s="105">
        <v>0</v>
      </c>
      <c r="M197" s="105">
        <v>2</v>
      </c>
      <c r="N197" s="105">
        <v>0</v>
      </c>
      <c r="O197" s="106" t="s">
        <v>1638</v>
      </c>
      <c r="P197" s="105" t="s">
        <v>27</v>
      </c>
      <c r="Q197" s="105" t="s">
        <v>27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</row>
    <row r="198" spans="1:24" s="5" customFormat="1" x14ac:dyDescent="0.15">
      <c r="A198" s="44" t="s">
        <v>852</v>
      </c>
      <c r="B198" s="44" t="s">
        <v>858</v>
      </c>
      <c r="C198" s="44" t="s">
        <v>72</v>
      </c>
      <c r="D198" s="44">
        <v>2</v>
      </c>
      <c r="E198" s="44">
        <v>0</v>
      </c>
      <c r="F198" s="44">
        <v>1</v>
      </c>
      <c r="G198" s="44">
        <v>0</v>
      </c>
      <c r="H198" s="44">
        <v>1</v>
      </c>
      <c r="I198" s="44" t="s">
        <v>27</v>
      </c>
      <c r="J198" s="51" t="s">
        <v>1188</v>
      </c>
      <c r="K198" s="44">
        <v>5</v>
      </c>
      <c r="L198" s="44">
        <v>0.7</v>
      </c>
      <c r="M198" s="44">
        <v>1</v>
      </c>
      <c r="N198" s="44">
        <v>0</v>
      </c>
      <c r="O198" s="45" t="s">
        <v>1520</v>
      </c>
      <c r="P198" s="46" t="s">
        <v>27</v>
      </c>
      <c r="Q198" s="46" t="s">
        <v>27</v>
      </c>
      <c r="R198" s="46">
        <v>0</v>
      </c>
      <c r="S198" s="46">
        <v>0</v>
      </c>
      <c r="T198" s="47">
        <v>0</v>
      </c>
      <c r="U198" s="46">
        <v>0</v>
      </c>
      <c r="V198" s="46">
        <v>0</v>
      </c>
      <c r="W198" s="46">
        <v>0</v>
      </c>
      <c r="X198" s="46">
        <v>0</v>
      </c>
    </row>
    <row r="199" spans="1:24" s="5" customFormat="1" x14ac:dyDescent="0.15">
      <c r="A199" s="44" t="s">
        <v>853</v>
      </c>
      <c r="B199" s="44" t="s">
        <v>854</v>
      </c>
      <c r="C199" s="44" t="s">
        <v>27</v>
      </c>
      <c r="D199" s="44">
        <v>0</v>
      </c>
      <c r="E199" s="44">
        <v>0</v>
      </c>
      <c r="F199" s="44">
        <v>1</v>
      </c>
      <c r="G199" s="44">
        <v>0</v>
      </c>
      <c r="H199" s="44" t="s">
        <v>27</v>
      </c>
      <c r="I199" s="44" t="s">
        <v>27</v>
      </c>
      <c r="J199" s="44" t="s">
        <v>27</v>
      </c>
      <c r="K199" s="44">
        <v>5</v>
      </c>
      <c r="L199" s="44">
        <v>0</v>
      </c>
      <c r="M199" s="44">
        <v>1</v>
      </c>
      <c r="N199" s="44">
        <v>0</v>
      </c>
      <c r="O199" s="45" t="s">
        <v>1520</v>
      </c>
      <c r="P199" s="46" t="s">
        <v>27</v>
      </c>
      <c r="Q199" s="46" t="s">
        <v>27</v>
      </c>
      <c r="R199" s="46">
        <v>0</v>
      </c>
      <c r="S199" s="46">
        <v>0</v>
      </c>
      <c r="T199" s="47">
        <v>0</v>
      </c>
      <c r="U199" s="46">
        <v>0</v>
      </c>
      <c r="V199" s="46">
        <v>0</v>
      </c>
      <c r="W199" s="46">
        <v>0</v>
      </c>
      <c r="X199" s="46">
        <v>0</v>
      </c>
    </row>
    <row r="200" spans="1:24" s="5" customFormat="1" x14ac:dyDescent="0.15">
      <c r="A200" s="44" t="s">
        <v>855</v>
      </c>
      <c r="B200" s="44" t="s">
        <v>856</v>
      </c>
      <c r="C200" s="44" t="s">
        <v>73</v>
      </c>
      <c r="D200" s="44">
        <v>2.633</v>
      </c>
      <c r="E200" s="44">
        <v>0</v>
      </c>
      <c r="F200" s="44">
        <v>1</v>
      </c>
      <c r="G200" s="44">
        <v>0</v>
      </c>
      <c r="H200" s="44">
        <v>1</v>
      </c>
      <c r="I200" s="44" t="s">
        <v>27</v>
      </c>
      <c r="J200" s="51" t="s">
        <v>1189</v>
      </c>
      <c r="K200" s="44">
        <v>3</v>
      </c>
      <c r="L200" s="44">
        <v>0</v>
      </c>
      <c r="M200" s="44">
        <v>1</v>
      </c>
      <c r="N200" s="44">
        <v>0</v>
      </c>
      <c r="O200" s="45" t="s">
        <v>1520</v>
      </c>
      <c r="P200" s="46" t="s">
        <v>27</v>
      </c>
      <c r="Q200" s="46" t="s">
        <v>27</v>
      </c>
      <c r="R200" s="46">
        <v>0</v>
      </c>
      <c r="S200" s="46">
        <v>0</v>
      </c>
      <c r="T200" s="47">
        <v>0</v>
      </c>
      <c r="U200" s="46">
        <v>0</v>
      </c>
      <c r="V200" s="46">
        <v>0</v>
      </c>
      <c r="W200" s="46">
        <v>0</v>
      </c>
      <c r="X200" s="46">
        <v>0</v>
      </c>
    </row>
    <row r="201" spans="1:24" s="5" customFormat="1" x14ac:dyDescent="0.15">
      <c r="A201" s="44" t="s">
        <v>715</v>
      </c>
      <c r="B201" s="44" t="s">
        <v>442</v>
      </c>
      <c r="C201" s="44" t="s">
        <v>160</v>
      </c>
      <c r="D201" s="44">
        <v>1.167</v>
      </c>
      <c r="E201" s="44">
        <v>0</v>
      </c>
      <c r="F201" s="44">
        <v>1</v>
      </c>
      <c r="G201" s="44">
        <v>0</v>
      </c>
      <c r="H201" s="44">
        <v>1</v>
      </c>
      <c r="I201" s="44" t="s">
        <v>151</v>
      </c>
      <c r="J201" s="44" t="s">
        <v>443</v>
      </c>
      <c r="K201" s="44">
        <v>5</v>
      </c>
      <c r="L201" s="44">
        <v>0</v>
      </c>
      <c r="M201" s="44">
        <v>2</v>
      </c>
      <c r="N201" s="44">
        <v>3</v>
      </c>
      <c r="O201" s="45" t="s">
        <v>1520</v>
      </c>
      <c r="P201" s="46" t="s">
        <v>27</v>
      </c>
      <c r="Q201" s="46" t="s">
        <v>27</v>
      </c>
      <c r="R201" s="46">
        <v>0</v>
      </c>
      <c r="S201" s="46">
        <v>0</v>
      </c>
      <c r="T201" s="47">
        <v>0</v>
      </c>
      <c r="U201" s="46">
        <v>0</v>
      </c>
      <c r="V201" s="46">
        <v>0</v>
      </c>
      <c r="W201" s="46">
        <v>0</v>
      </c>
      <c r="X201" s="46">
        <v>0</v>
      </c>
    </row>
    <row r="202" spans="1:24" s="5" customFormat="1" x14ac:dyDescent="0.15">
      <c r="A202" s="44" t="s">
        <v>444</v>
      </c>
      <c r="B202" s="44" t="s">
        <v>445</v>
      </c>
      <c r="C202" s="44" t="s">
        <v>329</v>
      </c>
      <c r="D202" s="44">
        <v>0.66700000000000004</v>
      </c>
      <c r="E202" s="44">
        <v>0</v>
      </c>
      <c r="F202" s="44">
        <v>1</v>
      </c>
      <c r="G202" s="44">
        <v>0</v>
      </c>
      <c r="H202" s="44">
        <v>1</v>
      </c>
      <c r="I202" s="44" t="s">
        <v>330</v>
      </c>
      <c r="J202" s="44" t="s">
        <v>446</v>
      </c>
      <c r="K202" s="44">
        <v>1</v>
      </c>
      <c r="L202" s="44">
        <v>0.05</v>
      </c>
      <c r="M202" s="44">
        <v>1</v>
      </c>
      <c r="N202" s="44">
        <v>0</v>
      </c>
      <c r="O202" s="45" t="s">
        <v>1520</v>
      </c>
      <c r="P202" s="46" t="s">
        <v>27</v>
      </c>
      <c r="Q202" s="46" t="s">
        <v>27</v>
      </c>
      <c r="R202" s="46">
        <v>0</v>
      </c>
      <c r="S202" s="46">
        <v>0</v>
      </c>
      <c r="T202" s="47">
        <v>0</v>
      </c>
      <c r="U202" s="46">
        <v>0</v>
      </c>
      <c r="V202" s="46">
        <v>0</v>
      </c>
      <c r="W202" s="46">
        <v>0</v>
      </c>
      <c r="X202" s="46">
        <v>0</v>
      </c>
    </row>
    <row r="203" spans="1:24" s="5" customFormat="1" x14ac:dyDescent="0.15">
      <c r="A203" s="44" t="s">
        <v>449</v>
      </c>
      <c r="B203" s="44" t="s">
        <v>447</v>
      </c>
      <c r="C203" s="44" t="s">
        <v>50</v>
      </c>
      <c r="D203" s="44">
        <v>0</v>
      </c>
      <c r="E203" s="44">
        <v>0</v>
      </c>
      <c r="F203" s="44">
        <v>1</v>
      </c>
      <c r="G203" s="44">
        <v>0</v>
      </c>
      <c r="H203" s="44" t="s">
        <v>839</v>
      </c>
      <c r="I203" s="44" t="s">
        <v>50</v>
      </c>
      <c r="J203" s="44" t="s">
        <v>448</v>
      </c>
      <c r="K203" s="44">
        <v>5</v>
      </c>
      <c r="L203" s="44">
        <v>0</v>
      </c>
      <c r="M203" s="44">
        <v>1</v>
      </c>
      <c r="N203" s="44">
        <v>0</v>
      </c>
      <c r="O203" s="45" t="s">
        <v>1520</v>
      </c>
      <c r="P203" s="46" t="s">
        <v>27</v>
      </c>
      <c r="Q203" s="46" t="s">
        <v>27</v>
      </c>
      <c r="R203" s="46">
        <v>0</v>
      </c>
      <c r="S203" s="46">
        <v>0</v>
      </c>
      <c r="T203" s="47">
        <v>0</v>
      </c>
      <c r="U203" s="46">
        <v>0</v>
      </c>
      <c r="V203" s="46">
        <v>0</v>
      </c>
      <c r="W203" s="46">
        <v>0</v>
      </c>
      <c r="X203" s="46">
        <v>0</v>
      </c>
    </row>
    <row r="204" spans="1:24" s="5" customFormat="1" x14ac:dyDescent="0.15">
      <c r="A204" s="44" t="s">
        <v>761</v>
      </c>
      <c r="B204" s="44" t="s">
        <v>767</v>
      </c>
      <c r="C204" s="44" t="s">
        <v>29</v>
      </c>
      <c r="D204" s="44">
        <v>1.167</v>
      </c>
      <c r="E204" s="44">
        <v>0</v>
      </c>
      <c r="F204" s="44">
        <v>1</v>
      </c>
      <c r="G204" s="44">
        <v>0</v>
      </c>
      <c r="H204" s="44">
        <v>1</v>
      </c>
      <c r="I204" s="44" t="s">
        <v>50</v>
      </c>
      <c r="J204" s="44" t="s">
        <v>450</v>
      </c>
      <c r="K204" s="44">
        <v>5</v>
      </c>
      <c r="L204" s="44">
        <v>0</v>
      </c>
      <c r="M204" s="44">
        <v>3</v>
      </c>
      <c r="N204" s="44">
        <v>0</v>
      </c>
      <c r="O204" s="45" t="s">
        <v>1520</v>
      </c>
      <c r="P204" s="46" t="s">
        <v>27</v>
      </c>
      <c r="Q204" s="46" t="s">
        <v>27</v>
      </c>
      <c r="R204" s="46">
        <v>0</v>
      </c>
      <c r="S204" s="46">
        <v>0</v>
      </c>
      <c r="T204" s="47">
        <v>0</v>
      </c>
      <c r="U204" s="46">
        <v>0</v>
      </c>
      <c r="V204" s="46">
        <v>0</v>
      </c>
      <c r="W204" s="46">
        <v>0</v>
      </c>
      <c r="X204" s="46">
        <v>0</v>
      </c>
    </row>
    <row r="205" spans="1:24" s="5" customFormat="1" x14ac:dyDescent="0.15">
      <c r="A205" s="44" t="s">
        <v>456</v>
      </c>
      <c r="B205" s="44" t="s">
        <v>451</v>
      </c>
      <c r="C205" s="44" t="s">
        <v>150</v>
      </c>
      <c r="D205" s="44">
        <v>1</v>
      </c>
      <c r="E205" s="44">
        <v>0</v>
      </c>
      <c r="F205" s="44">
        <v>1</v>
      </c>
      <c r="G205" s="44">
        <v>0</v>
      </c>
      <c r="H205" s="44">
        <v>1</v>
      </c>
      <c r="I205" s="44" t="s">
        <v>151</v>
      </c>
      <c r="J205" s="44" t="s">
        <v>114</v>
      </c>
      <c r="K205" s="44">
        <v>1</v>
      </c>
      <c r="L205" s="44">
        <v>0</v>
      </c>
      <c r="M205" s="44">
        <v>1</v>
      </c>
      <c r="N205" s="44">
        <v>0</v>
      </c>
      <c r="O205" s="45" t="s">
        <v>1520</v>
      </c>
      <c r="P205" s="46" t="s">
        <v>27</v>
      </c>
      <c r="Q205" s="46" t="s">
        <v>27</v>
      </c>
      <c r="R205" s="46">
        <v>0</v>
      </c>
      <c r="S205" s="46">
        <v>0</v>
      </c>
      <c r="T205" s="47">
        <v>0</v>
      </c>
      <c r="U205" s="46">
        <v>0</v>
      </c>
      <c r="V205" s="46">
        <v>0</v>
      </c>
      <c r="W205" s="46">
        <v>0</v>
      </c>
      <c r="X205" s="46">
        <v>0</v>
      </c>
    </row>
    <row r="206" spans="1:24" s="5" customFormat="1" x14ac:dyDescent="0.15">
      <c r="A206" s="44" t="s">
        <v>452</v>
      </c>
      <c r="B206" s="44" t="s">
        <v>453</v>
      </c>
      <c r="C206" s="44" t="s">
        <v>454</v>
      </c>
      <c r="D206" s="44">
        <v>3</v>
      </c>
      <c r="E206" s="44">
        <v>0</v>
      </c>
      <c r="F206" s="44">
        <v>1</v>
      </c>
      <c r="G206" s="44">
        <v>0</v>
      </c>
      <c r="H206" s="44">
        <v>1</v>
      </c>
      <c r="I206" s="44" t="s">
        <v>27</v>
      </c>
      <c r="J206" s="44" t="s">
        <v>455</v>
      </c>
      <c r="K206" s="44">
        <v>5</v>
      </c>
      <c r="L206" s="44">
        <v>0</v>
      </c>
      <c r="M206" s="44">
        <v>1</v>
      </c>
      <c r="N206" s="44">
        <v>0</v>
      </c>
      <c r="O206" s="45" t="s">
        <v>1520</v>
      </c>
      <c r="P206" s="46" t="s">
        <v>27</v>
      </c>
      <c r="Q206" s="46" t="s">
        <v>27</v>
      </c>
      <c r="R206" s="46">
        <v>0</v>
      </c>
      <c r="S206" s="46">
        <v>0</v>
      </c>
      <c r="T206" s="47">
        <v>0</v>
      </c>
      <c r="U206" s="46">
        <v>0</v>
      </c>
      <c r="V206" s="46">
        <v>0</v>
      </c>
      <c r="W206" s="46">
        <v>0</v>
      </c>
      <c r="X206" s="46">
        <v>0</v>
      </c>
    </row>
    <row r="207" spans="1:24" s="5" customFormat="1" x14ac:dyDescent="0.15">
      <c r="A207" s="44" t="s">
        <v>457</v>
      </c>
      <c r="B207" s="44" t="s">
        <v>458</v>
      </c>
      <c r="C207" s="44" t="s">
        <v>150</v>
      </c>
      <c r="D207" s="44">
        <v>0.83299999999999996</v>
      </c>
      <c r="E207" s="44">
        <v>0</v>
      </c>
      <c r="F207" s="44">
        <v>2</v>
      </c>
      <c r="G207" s="44">
        <v>17</v>
      </c>
      <c r="H207" s="44">
        <v>1</v>
      </c>
      <c r="I207" s="44" t="s">
        <v>151</v>
      </c>
      <c r="J207" s="44" t="s">
        <v>459</v>
      </c>
      <c r="K207" s="44">
        <v>5</v>
      </c>
      <c r="L207" s="44">
        <v>0.15</v>
      </c>
      <c r="M207" s="44">
        <v>1</v>
      </c>
      <c r="N207" s="44">
        <v>1</v>
      </c>
      <c r="O207" s="45" t="s">
        <v>1520</v>
      </c>
      <c r="P207" s="46" t="s">
        <v>27</v>
      </c>
      <c r="Q207" s="46" t="s">
        <v>27</v>
      </c>
      <c r="R207" s="46">
        <v>0</v>
      </c>
      <c r="S207" s="46">
        <v>0</v>
      </c>
      <c r="T207" s="47">
        <v>0</v>
      </c>
      <c r="U207" s="46">
        <v>0</v>
      </c>
      <c r="V207" s="46">
        <v>0</v>
      </c>
      <c r="W207" s="46">
        <v>0</v>
      </c>
      <c r="X207" s="46">
        <v>0</v>
      </c>
    </row>
    <row r="208" spans="1:24" s="5" customFormat="1" x14ac:dyDescent="0.15">
      <c r="A208" s="44" t="s">
        <v>460</v>
      </c>
      <c r="B208" s="44" t="s">
        <v>461</v>
      </c>
      <c r="C208" s="44" t="s">
        <v>29</v>
      </c>
      <c r="D208" s="44">
        <v>1</v>
      </c>
      <c r="E208" s="44">
        <v>0</v>
      </c>
      <c r="F208" s="44">
        <v>1</v>
      </c>
      <c r="G208" s="44">
        <v>0</v>
      </c>
      <c r="H208" s="44" t="s">
        <v>839</v>
      </c>
      <c r="I208" s="44" t="s">
        <v>50</v>
      </c>
      <c r="J208" s="44" t="s">
        <v>462</v>
      </c>
      <c r="K208" s="44">
        <v>5</v>
      </c>
      <c r="L208" s="44">
        <v>0</v>
      </c>
      <c r="M208" s="44">
        <v>1</v>
      </c>
      <c r="N208" s="44">
        <v>0</v>
      </c>
      <c r="O208" s="45" t="s">
        <v>1520</v>
      </c>
      <c r="P208" s="46" t="s">
        <v>27</v>
      </c>
      <c r="Q208" s="46" t="s">
        <v>27</v>
      </c>
      <c r="R208" s="46">
        <v>0</v>
      </c>
      <c r="S208" s="46">
        <v>0</v>
      </c>
      <c r="T208" s="47">
        <v>0</v>
      </c>
      <c r="U208" s="46">
        <v>0</v>
      </c>
      <c r="V208" s="46">
        <v>0</v>
      </c>
      <c r="W208" s="46">
        <v>0</v>
      </c>
      <c r="X208" s="46">
        <v>0</v>
      </c>
    </row>
    <row r="209" spans="1:24" s="5" customFormat="1" x14ac:dyDescent="0.15">
      <c r="A209" s="44" t="s">
        <v>463</v>
      </c>
      <c r="B209" s="44" t="s">
        <v>464</v>
      </c>
      <c r="C209" s="44" t="s">
        <v>329</v>
      </c>
      <c r="D209" s="44">
        <v>0.66700000000000004</v>
      </c>
      <c r="E209" s="44">
        <v>0</v>
      </c>
      <c r="F209" s="44">
        <v>1</v>
      </c>
      <c r="G209" s="44">
        <v>0</v>
      </c>
      <c r="H209" s="44">
        <v>1</v>
      </c>
      <c r="I209" s="44" t="s">
        <v>114</v>
      </c>
      <c r="J209" s="44" t="s">
        <v>463</v>
      </c>
      <c r="K209" s="44">
        <v>1</v>
      </c>
      <c r="L209" s="44">
        <v>0.05</v>
      </c>
      <c r="M209" s="44">
        <v>1</v>
      </c>
      <c r="N209" s="44">
        <v>0</v>
      </c>
      <c r="O209" s="45" t="s">
        <v>1520</v>
      </c>
      <c r="P209" s="46" t="s">
        <v>27</v>
      </c>
      <c r="Q209" s="46" t="s">
        <v>27</v>
      </c>
      <c r="R209" s="46">
        <v>0</v>
      </c>
      <c r="S209" s="46">
        <v>0</v>
      </c>
      <c r="T209" s="47">
        <v>0</v>
      </c>
      <c r="U209" s="46">
        <v>0</v>
      </c>
      <c r="V209" s="46">
        <v>0</v>
      </c>
      <c r="W209" s="46">
        <v>0</v>
      </c>
      <c r="X209" s="46">
        <v>0</v>
      </c>
    </row>
    <row r="210" spans="1:24" s="5" customFormat="1" x14ac:dyDescent="0.15">
      <c r="A210" s="44" t="s">
        <v>465</v>
      </c>
      <c r="B210" s="44" t="s">
        <v>466</v>
      </c>
      <c r="C210" s="44" t="s">
        <v>160</v>
      </c>
      <c r="D210" s="44">
        <v>1.5</v>
      </c>
      <c r="E210" s="44">
        <v>0</v>
      </c>
      <c r="F210" s="44">
        <v>1</v>
      </c>
      <c r="G210" s="44">
        <v>0</v>
      </c>
      <c r="H210" s="44">
        <v>1</v>
      </c>
      <c r="I210" s="44" t="s">
        <v>131</v>
      </c>
      <c r="J210" s="44" t="s">
        <v>467</v>
      </c>
      <c r="K210" s="44">
        <v>5</v>
      </c>
      <c r="L210" s="44">
        <v>0</v>
      </c>
      <c r="M210" s="44">
        <v>1</v>
      </c>
      <c r="N210" s="44">
        <v>0</v>
      </c>
      <c r="O210" s="45" t="s">
        <v>1520</v>
      </c>
      <c r="P210" s="46" t="s">
        <v>27</v>
      </c>
      <c r="Q210" s="46" t="s">
        <v>27</v>
      </c>
      <c r="R210" s="46">
        <v>0</v>
      </c>
      <c r="S210" s="46">
        <v>0</v>
      </c>
      <c r="T210" s="47">
        <v>0</v>
      </c>
      <c r="U210" s="46">
        <v>0</v>
      </c>
      <c r="V210" s="46">
        <v>0</v>
      </c>
      <c r="W210" s="46">
        <v>0</v>
      </c>
      <c r="X210" s="46">
        <v>0</v>
      </c>
    </row>
    <row r="211" spans="1:24" s="4" customFormat="1" x14ac:dyDescent="0.15">
      <c r="A211" s="48" t="s">
        <v>468</v>
      </c>
      <c r="B211" s="48" t="s">
        <v>469</v>
      </c>
      <c r="C211" s="48" t="s">
        <v>144</v>
      </c>
      <c r="D211" s="48">
        <v>0.83299999999999996</v>
      </c>
      <c r="E211" s="48">
        <v>0</v>
      </c>
      <c r="F211" s="48">
        <v>1</v>
      </c>
      <c r="G211" s="48">
        <v>0</v>
      </c>
      <c r="H211" s="48">
        <v>1</v>
      </c>
      <c r="I211" s="48" t="s">
        <v>148</v>
      </c>
      <c r="J211" s="48" t="s">
        <v>932</v>
      </c>
      <c r="K211" s="48">
        <v>1</v>
      </c>
      <c r="L211" s="48">
        <v>0.06</v>
      </c>
      <c r="M211" s="48">
        <v>1</v>
      </c>
      <c r="N211" s="48">
        <v>0</v>
      </c>
      <c r="O211" s="49" t="s">
        <v>1520</v>
      </c>
      <c r="P211" s="50" t="s">
        <v>27</v>
      </c>
      <c r="Q211" s="50" t="s">
        <v>27</v>
      </c>
      <c r="R211" s="50">
        <v>0</v>
      </c>
      <c r="S211" s="50">
        <v>0</v>
      </c>
      <c r="T211" s="50">
        <v>0</v>
      </c>
      <c r="U211" s="50">
        <v>0</v>
      </c>
      <c r="V211" s="50">
        <v>0</v>
      </c>
      <c r="W211" s="50">
        <v>0</v>
      </c>
      <c r="X211" s="50">
        <v>0</v>
      </c>
    </row>
    <row r="212" spans="1:24" s="4" customFormat="1" x14ac:dyDescent="0.15">
      <c r="A212" s="48" t="s">
        <v>933</v>
      </c>
      <c r="B212" s="48" t="s">
        <v>469</v>
      </c>
      <c r="C212" s="48" t="s">
        <v>28</v>
      </c>
      <c r="D212" s="48">
        <v>0.83299999999999996</v>
      </c>
      <c r="E212" s="48">
        <v>0</v>
      </c>
      <c r="F212" s="48">
        <v>1</v>
      </c>
      <c r="G212" s="48">
        <v>0</v>
      </c>
      <c r="H212" s="48">
        <v>1</v>
      </c>
      <c r="I212" s="48" t="s">
        <v>50</v>
      </c>
      <c r="J212" s="48" t="s">
        <v>933</v>
      </c>
      <c r="K212" s="48">
        <v>1</v>
      </c>
      <c r="L212" s="48">
        <v>0</v>
      </c>
      <c r="M212" s="48">
        <v>1</v>
      </c>
      <c r="N212" s="48">
        <v>0</v>
      </c>
      <c r="O212" s="49" t="s">
        <v>1520</v>
      </c>
      <c r="P212" s="50" t="s">
        <v>27</v>
      </c>
      <c r="Q212" s="50" t="s">
        <v>27</v>
      </c>
      <c r="R212" s="50">
        <v>0</v>
      </c>
      <c r="S212" s="50">
        <v>0</v>
      </c>
      <c r="T212" s="50">
        <v>0</v>
      </c>
      <c r="U212" s="50">
        <v>0</v>
      </c>
      <c r="V212" s="50">
        <v>0</v>
      </c>
      <c r="W212" s="50">
        <v>0</v>
      </c>
      <c r="X212" s="50">
        <v>0</v>
      </c>
    </row>
    <row r="213" spans="1:24" s="4" customFormat="1" x14ac:dyDescent="0.15">
      <c r="A213" s="48" t="s">
        <v>934</v>
      </c>
      <c r="B213" s="48" t="s">
        <v>469</v>
      </c>
      <c r="C213" s="48" t="s">
        <v>28</v>
      </c>
      <c r="D213" s="48">
        <v>0.83299999999999996</v>
      </c>
      <c r="E213" s="48">
        <v>0</v>
      </c>
      <c r="F213" s="48">
        <v>1</v>
      </c>
      <c r="G213" s="48">
        <v>0</v>
      </c>
      <c r="H213" s="48">
        <v>1</v>
      </c>
      <c r="I213" s="48" t="s">
        <v>50</v>
      </c>
      <c r="J213" s="48" t="s">
        <v>934</v>
      </c>
      <c r="K213" s="48">
        <v>1</v>
      </c>
      <c r="L213" s="48">
        <v>0</v>
      </c>
      <c r="M213" s="48">
        <v>1</v>
      </c>
      <c r="N213" s="48">
        <v>0</v>
      </c>
      <c r="O213" s="49" t="s">
        <v>1520</v>
      </c>
      <c r="P213" s="50" t="s">
        <v>27</v>
      </c>
      <c r="Q213" s="50" t="s">
        <v>27</v>
      </c>
      <c r="R213" s="50">
        <v>0</v>
      </c>
      <c r="S213" s="50">
        <v>0</v>
      </c>
      <c r="T213" s="50">
        <v>0</v>
      </c>
      <c r="U213" s="50">
        <v>0</v>
      </c>
      <c r="V213" s="50">
        <v>0</v>
      </c>
      <c r="W213" s="50">
        <v>0</v>
      </c>
      <c r="X213" s="50">
        <v>0</v>
      </c>
    </row>
    <row r="214" spans="1:24" s="4" customFormat="1" x14ac:dyDescent="0.15">
      <c r="A214" s="48" t="s">
        <v>936</v>
      </c>
      <c r="B214" s="48" t="s">
        <v>937</v>
      </c>
      <c r="C214" s="48" t="s">
        <v>73</v>
      </c>
      <c r="D214" s="48">
        <v>1.667</v>
      </c>
      <c r="E214" s="48">
        <v>0</v>
      </c>
      <c r="F214" s="48">
        <v>1</v>
      </c>
      <c r="G214" s="48">
        <v>0</v>
      </c>
      <c r="H214" s="48">
        <v>1</v>
      </c>
      <c r="I214" s="48" t="s">
        <v>27</v>
      </c>
      <c r="J214" s="48" t="s">
        <v>939</v>
      </c>
      <c r="K214" s="48">
        <v>1</v>
      </c>
      <c r="L214" s="48">
        <v>0</v>
      </c>
      <c r="M214" s="48">
        <v>1</v>
      </c>
      <c r="N214" s="48">
        <v>0</v>
      </c>
      <c r="O214" s="49" t="s">
        <v>1520</v>
      </c>
      <c r="P214" s="50" t="s">
        <v>27</v>
      </c>
      <c r="Q214" s="50" t="s">
        <v>27</v>
      </c>
      <c r="R214" s="50">
        <v>0</v>
      </c>
      <c r="S214" s="50">
        <v>0</v>
      </c>
      <c r="T214" s="50">
        <v>0</v>
      </c>
      <c r="U214" s="50">
        <v>0</v>
      </c>
      <c r="V214" s="50">
        <v>0</v>
      </c>
      <c r="W214" s="50">
        <v>0</v>
      </c>
      <c r="X214" s="50">
        <v>0</v>
      </c>
    </row>
    <row r="215" spans="1:24" s="4" customFormat="1" x14ac:dyDescent="0.15">
      <c r="A215" s="48" t="s">
        <v>935</v>
      </c>
      <c r="B215" s="48" t="s">
        <v>938</v>
      </c>
      <c r="C215" s="48" t="s">
        <v>27</v>
      </c>
      <c r="D215" s="48">
        <v>1.667</v>
      </c>
      <c r="E215" s="48">
        <v>0</v>
      </c>
      <c r="F215" s="48">
        <v>1</v>
      </c>
      <c r="G215" s="48">
        <v>0</v>
      </c>
      <c r="H215" s="48" t="s">
        <v>939</v>
      </c>
      <c r="I215" s="48" t="s">
        <v>27</v>
      </c>
      <c r="J215" s="48" t="s">
        <v>940</v>
      </c>
      <c r="K215" s="48">
        <v>3</v>
      </c>
      <c r="L215" s="48">
        <v>0</v>
      </c>
      <c r="M215" s="48">
        <v>2</v>
      </c>
      <c r="N215" s="48">
        <v>0</v>
      </c>
      <c r="O215" s="49" t="s">
        <v>1520</v>
      </c>
      <c r="P215" s="50" t="s">
        <v>27</v>
      </c>
      <c r="Q215" s="50" t="s">
        <v>27</v>
      </c>
      <c r="R215" s="50">
        <v>0</v>
      </c>
      <c r="S215" s="50">
        <v>0</v>
      </c>
      <c r="T215" s="50">
        <v>0</v>
      </c>
      <c r="U215" s="50">
        <v>0</v>
      </c>
      <c r="V215" s="50">
        <v>0</v>
      </c>
      <c r="W215" s="50">
        <v>0</v>
      </c>
      <c r="X215" s="50">
        <v>0</v>
      </c>
    </row>
    <row r="216" spans="1:24" s="4" customFormat="1" x14ac:dyDescent="0.15">
      <c r="A216" s="48" t="s">
        <v>470</v>
      </c>
      <c r="B216" s="48" t="s">
        <v>471</v>
      </c>
      <c r="C216" s="48" t="s">
        <v>941</v>
      </c>
      <c r="D216" s="48">
        <v>1.4670000000000001</v>
      </c>
      <c r="E216" s="48">
        <v>0</v>
      </c>
      <c r="F216" s="48">
        <v>1</v>
      </c>
      <c r="G216" s="48">
        <v>0</v>
      </c>
      <c r="H216" s="48">
        <v>1</v>
      </c>
      <c r="I216" s="48" t="s">
        <v>50</v>
      </c>
      <c r="J216" s="48" t="s">
        <v>472</v>
      </c>
      <c r="K216" s="48">
        <v>5</v>
      </c>
      <c r="L216" s="48">
        <v>0</v>
      </c>
      <c r="M216" s="48">
        <v>1</v>
      </c>
      <c r="N216" s="48">
        <v>0</v>
      </c>
      <c r="O216" s="49" t="s">
        <v>1520</v>
      </c>
      <c r="P216" s="50" t="s">
        <v>27</v>
      </c>
      <c r="Q216" s="50" t="s">
        <v>27</v>
      </c>
      <c r="R216" s="50">
        <v>0</v>
      </c>
      <c r="S216" s="50">
        <v>0</v>
      </c>
      <c r="T216" s="50">
        <v>0</v>
      </c>
      <c r="U216" s="50">
        <v>0</v>
      </c>
      <c r="V216" s="50">
        <v>0</v>
      </c>
      <c r="W216" s="50">
        <v>0</v>
      </c>
      <c r="X216" s="50">
        <v>0</v>
      </c>
    </row>
    <row r="217" spans="1:24" s="4" customFormat="1" x14ac:dyDescent="0.15">
      <c r="A217" s="48" t="s">
        <v>473</v>
      </c>
      <c r="B217" s="48" t="s">
        <v>471</v>
      </c>
      <c r="C217" s="48" t="s">
        <v>73</v>
      </c>
      <c r="D217" s="48">
        <v>1.7669999999999999</v>
      </c>
      <c r="E217" s="48">
        <v>0</v>
      </c>
      <c r="F217" s="48">
        <v>1</v>
      </c>
      <c r="G217" s="48">
        <v>0</v>
      </c>
      <c r="H217" s="48">
        <v>1</v>
      </c>
      <c r="I217" s="48" t="s">
        <v>148</v>
      </c>
      <c r="J217" s="48" t="s">
        <v>474</v>
      </c>
      <c r="K217" s="48">
        <v>5</v>
      </c>
      <c r="L217" s="48">
        <v>0.1</v>
      </c>
      <c r="M217" s="48">
        <v>2</v>
      </c>
      <c r="N217" s="48">
        <v>0</v>
      </c>
      <c r="O217" s="49" t="s">
        <v>1520</v>
      </c>
      <c r="P217" s="50" t="s">
        <v>27</v>
      </c>
      <c r="Q217" s="50" t="s">
        <v>27</v>
      </c>
      <c r="R217" s="50">
        <v>0</v>
      </c>
      <c r="S217" s="50">
        <v>0</v>
      </c>
      <c r="T217" s="50">
        <v>0</v>
      </c>
      <c r="U217" s="50">
        <v>0</v>
      </c>
      <c r="V217" s="50">
        <v>0</v>
      </c>
      <c r="W217" s="50">
        <v>0</v>
      </c>
      <c r="X217" s="50">
        <v>0</v>
      </c>
    </row>
    <row r="218" spans="1:24" s="4" customFormat="1" x14ac:dyDescent="0.15">
      <c r="A218" s="48" t="s">
        <v>475</v>
      </c>
      <c r="B218" s="48" t="s">
        <v>476</v>
      </c>
      <c r="C218" s="48" t="s">
        <v>148</v>
      </c>
      <c r="D218" s="48">
        <v>0</v>
      </c>
      <c r="E218" s="48">
        <v>0</v>
      </c>
      <c r="F218" s="48">
        <v>1</v>
      </c>
      <c r="G218" s="48">
        <v>0</v>
      </c>
      <c r="H218" s="48" t="s">
        <v>839</v>
      </c>
      <c r="I218" s="48" t="s">
        <v>148</v>
      </c>
      <c r="J218" s="48" t="s">
        <v>148</v>
      </c>
      <c r="K218" s="48">
        <v>5</v>
      </c>
      <c r="L218" s="48">
        <v>0</v>
      </c>
      <c r="M218" s="48">
        <v>1</v>
      </c>
      <c r="N218" s="48">
        <v>0</v>
      </c>
      <c r="O218" s="49" t="s">
        <v>1520</v>
      </c>
      <c r="P218" s="50" t="s">
        <v>27</v>
      </c>
      <c r="Q218" s="50" t="s">
        <v>27</v>
      </c>
      <c r="R218" s="50">
        <v>0</v>
      </c>
      <c r="S218" s="50">
        <v>0</v>
      </c>
      <c r="T218" s="50">
        <v>0</v>
      </c>
      <c r="U218" s="50">
        <v>0</v>
      </c>
      <c r="V218" s="50">
        <v>0</v>
      </c>
      <c r="W218" s="50">
        <v>0</v>
      </c>
      <c r="X218" s="50">
        <v>0</v>
      </c>
    </row>
    <row r="219" spans="1:24" s="4" customFormat="1" x14ac:dyDescent="0.15">
      <c r="A219" s="48" t="s">
        <v>1067</v>
      </c>
      <c r="B219" s="48" t="s">
        <v>1068</v>
      </c>
      <c r="C219" s="48" t="s">
        <v>71</v>
      </c>
      <c r="D219" s="48">
        <v>1.167</v>
      </c>
      <c r="E219" s="48">
        <v>0</v>
      </c>
      <c r="F219" s="48">
        <v>2</v>
      </c>
      <c r="G219" s="48">
        <v>17</v>
      </c>
      <c r="H219" s="48">
        <v>1</v>
      </c>
      <c r="I219" s="48" t="s">
        <v>27</v>
      </c>
      <c r="J219" s="48" t="s">
        <v>1069</v>
      </c>
      <c r="K219" s="48">
        <v>5</v>
      </c>
      <c r="L219" s="48">
        <v>0.53300000000000003</v>
      </c>
      <c r="M219" s="48">
        <v>1</v>
      </c>
      <c r="N219" s="48">
        <v>1</v>
      </c>
      <c r="O219" s="49" t="s">
        <v>1070</v>
      </c>
      <c r="P219" s="50" t="s">
        <v>27</v>
      </c>
      <c r="Q219" s="50" t="s">
        <v>27</v>
      </c>
      <c r="R219" s="50">
        <v>0</v>
      </c>
      <c r="S219" s="50">
        <v>0</v>
      </c>
      <c r="T219" s="50">
        <v>0</v>
      </c>
      <c r="U219" s="50">
        <v>0</v>
      </c>
      <c r="V219" s="50">
        <v>0</v>
      </c>
      <c r="W219" s="50">
        <v>0</v>
      </c>
      <c r="X219" s="50">
        <v>0</v>
      </c>
    </row>
    <row r="220" spans="1:24" s="4" customFormat="1" x14ac:dyDescent="0.15">
      <c r="A220" s="48" t="s">
        <v>1071</v>
      </c>
      <c r="B220" s="48" t="s">
        <v>1072</v>
      </c>
      <c r="C220" s="48" t="s">
        <v>73</v>
      </c>
      <c r="D220" s="48">
        <v>1.667</v>
      </c>
      <c r="E220" s="48">
        <v>0</v>
      </c>
      <c r="F220" s="48" t="s">
        <v>1828</v>
      </c>
      <c r="G220" s="48">
        <v>14</v>
      </c>
      <c r="H220" s="48">
        <v>1</v>
      </c>
      <c r="I220" s="48" t="s">
        <v>27</v>
      </c>
      <c r="J220" s="48" t="s">
        <v>1826</v>
      </c>
      <c r="K220" s="48">
        <v>5</v>
      </c>
      <c r="L220" s="48">
        <v>0.3</v>
      </c>
      <c r="M220" s="48">
        <v>1</v>
      </c>
      <c r="N220" s="48">
        <v>0</v>
      </c>
      <c r="O220" s="49" t="s">
        <v>1520</v>
      </c>
      <c r="P220" s="50" t="s">
        <v>27</v>
      </c>
      <c r="Q220" s="50" t="s">
        <v>27</v>
      </c>
      <c r="R220" s="50">
        <v>0</v>
      </c>
      <c r="S220" s="50">
        <v>0</v>
      </c>
      <c r="T220" s="50">
        <v>0</v>
      </c>
      <c r="U220" s="50">
        <v>0</v>
      </c>
      <c r="V220" s="50">
        <v>0</v>
      </c>
      <c r="W220" s="50">
        <v>0</v>
      </c>
      <c r="X220" s="50">
        <v>0</v>
      </c>
    </row>
    <row r="221" spans="1:24" s="4" customFormat="1" x14ac:dyDescent="0.15">
      <c r="A221" s="48" t="s">
        <v>1827</v>
      </c>
      <c r="B221" s="48" t="s">
        <v>1445</v>
      </c>
      <c r="C221" s="48" t="s">
        <v>1446</v>
      </c>
      <c r="D221" s="48">
        <v>1.667</v>
      </c>
      <c r="E221" s="48">
        <v>0</v>
      </c>
      <c r="F221" s="48">
        <v>1</v>
      </c>
      <c r="G221" s="48">
        <v>0</v>
      </c>
      <c r="H221" s="48" t="s">
        <v>1446</v>
      </c>
      <c r="I221" s="48" t="s">
        <v>1446</v>
      </c>
      <c r="J221" s="48" t="s">
        <v>1447</v>
      </c>
      <c r="K221" s="48">
        <v>12</v>
      </c>
      <c r="L221" s="48">
        <v>0</v>
      </c>
      <c r="M221" s="48">
        <v>2</v>
      </c>
      <c r="N221" s="48">
        <v>0</v>
      </c>
      <c r="O221" s="49" t="s">
        <v>1520</v>
      </c>
      <c r="P221" s="50" t="s">
        <v>1446</v>
      </c>
      <c r="Q221" s="50" t="s">
        <v>1446</v>
      </c>
      <c r="R221" s="50">
        <v>0</v>
      </c>
      <c r="S221" s="50">
        <v>0</v>
      </c>
      <c r="T221" s="50">
        <v>0</v>
      </c>
      <c r="U221" s="50">
        <v>0</v>
      </c>
      <c r="V221" s="50">
        <v>0</v>
      </c>
      <c r="W221" s="50">
        <v>0</v>
      </c>
      <c r="X221" s="50">
        <v>0</v>
      </c>
    </row>
    <row r="222" spans="1:24" s="4" customFormat="1" x14ac:dyDescent="0.15">
      <c r="A222" s="48" t="s">
        <v>1829</v>
      </c>
      <c r="B222" s="48" t="s">
        <v>1073</v>
      </c>
      <c r="C222" s="48" t="s">
        <v>72</v>
      </c>
      <c r="D222" s="48">
        <v>1.5669999999999999</v>
      </c>
      <c r="E222" s="48">
        <v>0</v>
      </c>
      <c r="F222" s="48">
        <v>1</v>
      </c>
      <c r="G222" s="48">
        <v>0</v>
      </c>
      <c r="H222" s="48">
        <v>1</v>
      </c>
      <c r="I222" s="48" t="s">
        <v>27</v>
      </c>
      <c r="J222" s="48" t="s">
        <v>1074</v>
      </c>
      <c r="K222" s="48">
        <v>5</v>
      </c>
      <c r="L222" s="48">
        <v>0</v>
      </c>
      <c r="M222" s="48">
        <v>2</v>
      </c>
      <c r="N222" s="48">
        <v>0</v>
      </c>
      <c r="O222" s="49" t="s">
        <v>1520</v>
      </c>
      <c r="P222" s="50" t="s">
        <v>27</v>
      </c>
      <c r="Q222" s="50" t="s">
        <v>27</v>
      </c>
      <c r="R222" s="50">
        <v>0</v>
      </c>
      <c r="S222" s="50">
        <v>0</v>
      </c>
      <c r="T222" s="50">
        <v>0</v>
      </c>
      <c r="U222" s="50">
        <v>0</v>
      </c>
      <c r="V222" s="50">
        <v>0</v>
      </c>
      <c r="W222" s="50">
        <v>0</v>
      </c>
      <c r="X222" s="50">
        <v>0</v>
      </c>
    </row>
    <row r="223" spans="1:24" s="4" customFormat="1" x14ac:dyDescent="0.15">
      <c r="A223" s="48" t="s">
        <v>1830</v>
      </c>
      <c r="B223" s="48" t="s">
        <v>1444</v>
      </c>
      <c r="C223" s="48" t="s">
        <v>27</v>
      </c>
      <c r="D223" s="48">
        <v>1.5669999999999999</v>
      </c>
      <c r="E223" s="48">
        <v>0</v>
      </c>
      <c r="F223" s="48">
        <v>1</v>
      </c>
      <c r="G223" s="48">
        <v>0</v>
      </c>
      <c r="H223" s="48">
        <v>1</v>
      </c>
      <c r="I223" s="48" t="s">
        <v>27</v>
      </c>
      <c r="J223" s="48" t="s">
        <v>1831</v>
      </c>
      <c r="K223" s="48">
        <v>3</v>
      </c>
      <c r="L223" s="48">
        <v>0.2</v>
      </c>
      <c r="M223" s="48">
        <v>2</v>
      </c>
      <c r="N223" s="48">
        <v>1</v>
      </c>
      <c r="O223" s="49" t="s">
        <v>1520</v>
      </c>
      <c r="P223" s="50" t="s">
        <v>27</v>
      </c>
      <c r="Q223" s="50" t="s">
        <v>27</v>
      </c>
      <c r="R223" s="50">
        <v>0</v>
      </c>
      <c r="S223" s="50">
        <v>0</v>
      </c>
      <c r="T223" s="50">
        <v>0</v>
      </c>
      <c r="U223" s="50">
        <v>0</v>
      </c>
      <c r="V223" s="50">
        <v>0</v>
      </c>
      <c r="W223" s="50">
        <v>0</v>
      </c>
      <c r="X223" s="50">
        <v>0</v>
      </c>
    </row>
    <row r="224" spans="1:24" s="5" customFormat="1" x14ac:dyDescent="0.15">
      <c r="A224" s="44" t="s">
        <v>1075</v>
      </c>
      <c r="B224" s="44" t="s">
        <v>1076</v>
      </c>
      <c r="C224" s="44" t="s">
        <v>73</v>
      </c>
      <c r="D224" s="44">
        <v>1.5329999999999999</v>
      </c>
      <c r="E224" s="44">
        <v>0</v>
      </c>
      <c r="F224" s="44">
        <v>1</v>
      </c>
      <c r="G224" s="44">
        <v>0</v>
      </c>
      <c r="H224" s="44">
        <v>1</v>
      </c>
      <c r="I224" s="44" t="s">
        <v>27</v>
      </c>
      <c r="J224" s="44" t="s">
        <v>1077</v>
      </c>
      <c r="K224" s="44">
        <v>5</v>
      </c>
      <c r="L224" s="44">
        <v>0</v>
      </c>
      <c r="M224" s="44">
        <v>3</v>
      </c>
      <c r="N224" s="44">
        <v>0</v>
      </c>
      <c r="O224" s="45" t="s">
        <v>1520</v>
      </c>
      <c r="P224" s="46" t="s">
        <v>27</v>
      </c>
      <c r="Q224" s="46" t="s">
        <v>27</v>
      </c>
      <c r="R224" s="46">
        <v>0</v>
      </c>
      <c r="S224" s="46">
        <v>0</v>
      </c>
      <c r="T224" s="47">
        <v>0</v>
      </c>
      <c r="U224" s="46">
        <v>0</v>
      </c>
      <c r="V224" s="46">
        <v>0</v>
      </c>
      <c r="W224" s="46">
        <v>0</v>
      </c>
      <c r="X224" s="46">
        <v>0</v>
      </c>
    </row>
    <row r="225" spans="1:24" s="5" customFormat="1" x14ac:dyDescent="0.15">
      <c r="A225" s="44" t="s">
        <v>1078</v>
      </c>
      <c r="B225" s="44" t="s">
        <v>1079</v>
      </c>
      <c r="C225" s="44" t="s">
        <v>27</v>
      </c>
      <c r="D225" s="44">
        <v>0</v>
      </c>
      <c r="E225" s="44">
        <v>0</v>
      </c>
      <c r="F225" s="44">
        <v>1</v>
      </c>
      <c r="G225" s="44">
        <v>0</v>
      </c>
      <c r="H225" s="44" t="s">
        <v>27</v>
      </c>
      <c r="I225" s="44" t="s">
        <v>27</v>
      </c>
      <c r="J225" s="44" t="s">
        <v>1080</v>
      </c>
      <c r="K225" s="44">
        <v>0</v>
      </c>
      <c r="L225" s="44">
        <v>0</v>
      </c>
      <c r="M225" s="44">
        <v>2</v>
      </c>
      <c r="N225" s="44">
        <v>1</v>
      </c>
      <c r="O225" s="45" t="s">
        <v>1520</v>
      </c>
      <c r="P225" s="46" t="s">
        <v>27</v>
      </c>
      <c r="Q225" s="46" t="s">
        <v>27</v>
      </c>
      <c r="R225" s="46">
        <v>0</v>
      </c>
      <c r="S225" s="46">
        <v>0</v>
      </c>
      <c r="T225" s="47">
        <v>0</v>
      </c>
      <c r="U225" s="46">
        <v>0</v>
      </c>
      <c r="V225" s="46">
        <v>0</v>
      </c>
      <c r="W225" s="46">
        <v>0</v>
      </c>
      <c r="X225" s="46">
        <v>0</v>
      </c>
    </row>
    <row r="226" spans="1:24" s="5" customFormat="1" x14ac:dyDescent="0.15">
      <c r="A226" s="44" t="s">
        <v>1399</v>
      </c>
      <c r="B226" s="44" t="s">
        <v>627</v>
      </c>
      <c r="C226" s="44" t="s">
        <v>71</v>
      </c>
      <c r="D226" s="44">
        <v>1</v>
      </c>
      <c r="E226" s="44">
        <v>0</v>
      </c>
      <c r="F226" s="44">
        <v>2</v>
      </c>
      <c r="G226" s="44">
        <v>17</v>
      </c>
      <c r="H226" s="44">
        <v>1</v>
      </c>
      <c r="I226" s="44" t="s">
        <v>27</v>
      </c>
      <c r="J226" s="44" t="s">
        <v>1399</v>
      </c>
      <c r="K226" s="44">
        <v>5</v>
      </c>
      <c r="L226" s="44">
        <v>0.3</v>
      </c>
      <c r="M226" s="44">
        <v>1</v>
      </c>
      <c r="N226" s="44">
        <v>1</v>
      </c>
      <c r="O226" s="45" t="s">
        <v>802</v>
      </c>
      <c r="P226" s="46" t="s">
        <v>27</v>
      </c>
      <c r="Q226" s="46" t="s">
        <v>27</v>
      </c>
      <c r="R226" s="46">
        <v>0</v>
      </c>
      <c r="S226" s="46">
        <v>0</v>
      </c>
      <c r="T226" s="47">
        <v>0</v>
      </c>
      <c r="U226" s="46">
        <v>0</v>
      </c>
      <c r="V226" s="46">
        <v>0</v>
      </c>
      <c r="W226" s="46">
        <v>0</v>
      </c>
      <c r="X226" s="46">
        <v>0</v>
      </c>
    </row>
    <row r="227" spans="1:24" s="5" customFormat="1" x14ac:dyDescent="0.15">
      <c r="A227" s="44" t="s">
        <v>1400</v>
      </c>
      <c r="B227" s="44" t="s">
        <v>714</v>
      </c>
      <c r="C227" s="44" t="s">
        <v>1410</v>
      </c>
      <c r="D227" s="44">
        <v>1.167</v>
      </c>
      <c r="E227" s="44">
        <v>0</v>
      </c>
      <c r="F227" s="44">
        <v>1</v>
      </c>
      <c r="G227" s="44">
        <v>0</v>
      </c>
      <c r="H227" s="44">
        <v>1</v>
      </c>
      <c r="I227" s="44" t="s">
        <v>27</v>
      </c>
      <c r="J227" s="44" t="s">
        <v>843</v>
      </c>
      <c r="K227" s="44">
        <v>5</v>
      </c>
      <c r="L227" s="44">
        <v>0</v>
      </c>
      <c r="M227" s="44">
        <v>1</v>
      </c>
      <c r="N227" s="44">
        <v>2</v>
      </c>
      <c r="O227" s="45" t="s">
        <v>1520</v>
      </c>
      <c r="P227" s="46" t="s">
        <v>27</v>
      </c>
      <c r="Q227" s="46" t="s">
        <v>27</v>
      </c>
      <c r="R227" s="46">
        <v>0</v>
      </c>
      <c r="S227" s="46">
        <v>0</v>
      </c>
      <c r="T227" s="47">
        <v>0</v>
      </c>
      <c r="U227" s="46">
        <v>0</v>
      </c>
      <c r="V227" s="46">
        <v>0</v>
      </c>
      <c r="W227" s="46">
        <v>0</v>
      </c>
      <c r="X227" s="46">
        <v>0</v>
      </c>
    </row>
    <row r="228" spans="1:24" s="5" customFormat="1" x14ac:dyDescent="0.15">
      <c r="A228" s="44" t="s">
        <v>1401</v>
      </c>
      <c r="B228" s="44" t="s">
        <v>626</v>
      </c>
      <c r="C228" s="44" t="s">
        <v>480</v>
      </c>
      <c r="D228" s="44">
        <v>1.6</v>
      </c>
      <c r="E228" s="44">
        <v>0</v>
      </c>
      <c r="F228" s="44" t="s">
        <v>846</v>
      </c>
      <c r="G228" s="44">
        <v>16</v>
      </c>
      <c r="H228" s="44">
        <v>1</v>
      </c>
      <c r="I228" s="44" t="s">
        <v>27</v>
      </c>
      <c r="J228" s="44" t="s">
        <v>1402</v>
      </c>
      <c r="K228" s="44">
        <v>2.4</v>
      </c>
      <c r="L228" s="44">
        <v>0.6</v>
      </c>
      <c r="M228" s="44">
        <v>1</v>
      </c>
      <c r="N228" s="44">
        <v>4</v>
      </c>
      <c r="O228" s="45" t="s">
        <v>1520</v>
      </c>
      <c r="P228" s="46" t="s">
        <v>27</v>
      </c>
      <c r="Q228" s="46" t="s">
        <v>27</v>
      </c>
      <c r="R228" s="46">
        <v>0</v>
      </c>
      <c r="S228" s="46">
        <v>0</v>
      </c>
      <c r="T228" s="47">
        <v>0</v>
      </c>
      <c r="U228" s="46">
        <v>0</v>
      </c>
      <c r="V228" s="46">
        <v>0</v>
      </c>
      <c r="W228" s="46">
        <v>0</v>
      </c>
      <c r="X228" s="46">
        <v>0</v>
      </c>
    </row>
    <row r="229" spans="1:24" s="5" customFormat="1" x14ac:dyDescent="0.15">
      <c r="A229" s="44" t="s">
        <v>1403</v>
      </c>
      <c r="B229" s="44" t="s">
        <v>477</v>
      </c>
      <c r="C229" s="44" t="s">
        <v>478</v>
      </c>
      <c r="D229" s="44">
        <v>2</v>
      </c>
      <c r="E229" s="44">
        <v>0</v>
      </c>
      <c r="F229" s="44">
        <v>1</v>
      </c>
      <c r="G229" s="44">
        <v>0</v>
      </c>
      <c r="H229" s="44">
        <v>1</v>
      </c>
      <c r="I229" s="44" t="s">
        <v>399</v>
      </c>
      <c r="J229" s="44" t="s">
        <v>1404</v>
      </c>
      <c r="K229" s="44">
        <v>5</v>
      </c>
      <c r="L229" s="44">
        <v>0</v>
      </c>
      <c r="M229" s="44">
        <v>3</v>
      </c>
      <c r="N229" s="44">
        <v>1</v>
      </c>
      <c r="O229" s="45" t="s">
        <v>1411</v>
      </c>
      <c r="P229" s="46" t="s">
        <v>27</v>
      </c>
      <c r="Q229" s="46" t="s">
        <v>27</v>
      </c>
      <c r="R229" s="46">
        <v>0</v>
      </c>
      <c r="S229" s="46">
        <v>0</v>
      </c>
      <c r="T229" s="47">
        <v>0</v>
      </c>
      <c r="U229" s="46">
        <v>0</v>
      </c>
      <c r="V229" s="46">
        <v>0</v>
      </c>
      <c r="W229" s="46">
        <v>0</v>
      </c>
      <c r="X229" s="46">
        <v>0</v>
      </c>
    </row>
    <row r="230" spans="1:24" s="5" customFormat="1" x14ac:dyDescent="0.15">
      <c r="A230" s="44" t="s">
        <v>1405</v>
      </c>
      <c r="B230" s="44" t="s">
        <v>479</v>
      </c>
      <c r="C230" s="44" t="s">
        <v>151</v>
      </c>
      <c r="D230" s="44">
        <v>0</v>
      </c>
      <c r="E230" s="44">
        <v>0</v>
      </c>
      <c r="F230" s="44">
        <v>1</v>
      </c>
      <c r="G230" s="44">
        <v>0</v>
      </c>
      <c r="H230" s="44" t="s">
        <v>839</v>
      </c>
      <c r="I230" s="44" t="s">
        <v>151</v>
      </c>
      <c r="J230" s="44" t="s">
        <v>151</v>
      </c>
      <c r="K230" s="44">
        <v>5</v>
      </c>
      <c r="L230" s="44">
        <v>0</v>
      </c>
      <c r="M230" s="44">
        <v>1</v>
      </c>
      <c r="N230" s="44">
        <v>0</v>
      </c>
      <c r="O230" s="45" t="s">
        <v>1520</v>
      </c>
      <c r="P230" s="46" t="s">
        <v>27</v>
      </c>
      <c r="Q230" s="46" t="s">
        <v>27</v>
      </c>
      <c r="R230" s="46">
        <v>0</v>
      </c>
      <c r="S230" s="46">
        <v>0</v>
      </c>
      <c r="T230" s="47">
        <v>0</v>
      </c>
      <c r="U230" s="46">
        <v>0</v>
      </c>
      <c r="V230" s="46">
        <v>0</v>
      </c>
      <c r="W230" s="46">
        <v>0</v>
      </c>
      <c r="X230" s="46">
        <v>0</v>
      </c>
    </row>
    <row r="231" spans="1:24" s="5" customFormat="1" x14ac:dyDescent="0.15">
      <c r="A231" s="44" t="s">
        <v>481</v>
      </c>
      <c r="B231" s="44" t="s">
        <v>482</v>
      </c>
      <c r="C231" s="44" t="s">
        <v>28</v>
      </c>
      <c r="D231" s="44">
        <v>0.83299999999999996</v>
      </c>
      <c r="E231" s="44">
        <v>0</v>
      </c>
      <c r="F231" s="44">
        <v>1</v>
      </c>
      <c r="G231" s="44">
        <v>0</v>
      </c>
      <c r="H231" s="44">
        <v>1</v>
      </c>
      <c r="I231" s="44" t="s">
        <v>27</v>
      </c>
      <c r="J231" s="44" t="s">
        <v>483</v>
      </c>
      <c r="K231" s="44">
        <v>1</v>
      </c>
      <c r="L231" s="44">
        <v>0</v>
      </c>
      <c r="M231" s="44">
        <v>1</v>
      </c>
      <c r="N231" s="44">
        <v>0</v>
      </c>
      <c r="O231" s="45" t="s">
        <v>1520</v>
      </c>
      <c r="P231" s="46" t="s">
        <v>27</v>
      </c>
      <c r="Q231" s="46" t="s">
        <v>27</v>
      </c>
      <c r="R231" s="46">
        <v>0</v>
      </c>
      <c r="S231" s="46">
        <v>0</v>
      </c>
      <c r="T231" s="47">
        <v>0</v>
      </c>
      <c r="U231" s="46">
        <v>0</v>
      </c>
      <c r="V231" s="46">
        <v>0</v>
      </c>
      <c r="W231" s="46">
        <v>0</v>
      </c>
      <c r="X231" s="46">
        <v>0</v>
      </c>
    </row>
    <row r="232" spans="1:24" s="5" customFormat="1" x14ac:dyDescent="0.15">
      <c r="A232" s="44" t="s">
        <v>1573</v>
      </c>
      <c r="B232" s="44" t="s">
        <v>482</v>
      </c>
      <c r="C232" s="44" t="s">
        <v>28</v>
      </c>
      <c r="D232" s="44">
        <v>0.83299999999999996</v>
      </c>
      <c r="E232" s="44">
        <v>0</v>
      </c>
      <c r="F232" s="44">
        <v>1</v>
      </c>
      <c r="G232" s="44">
        <v>0</v>
      </c>
      <c r="H232" s="44">
        <v>1</v>
      </c>
      <c r="I232" s="44" t="s">
        <v>27</v>
      </c>
      <c r="J232" s="44" t="s">
        <v>481</v>
      </c>
      <c r="K232" s="44">
        <v>1</v>
      </c>
      <c r="L232" s="44">
        <v>0</v>
      </c>
      <c r="M232" s="44">
        <v>1</v>
      </c>
      <c r="N232" s="44">
        <v>0</v>
      </c>
      <c r="O232" s="45" t="s">
        <v>1520</v>
      </c>
      <c r="P232" s="46" t="s">
        <v>27</v>
      </c>
      <c r="Q232" s="46" t="s">
        <v>27</v>
      </c>
      <c r="R232" s="46">
        <v>0</v>
      </c>
      <c r="S232" s="46">
        <v>0</v>
      </c>
      <c r="T232" s="47">
        <v>0</v>
      </c>
      <c r="U232" s="46">
        <v>0</v>
      </c>
      <c r="V232" s="46">
        <v>0</v>
      </c>
      <c r="W232" s="46">
        <v>0</v>
      </c>
      <c r="X232" s="46">
        <v>0</v>
      </c>
    </row>
    <row r="233" spans="1:24" s="5" customFormat="1" x14ac:dyDescent="0.15">
      <c r="A233" s="44" t="s">
        <v>1574</v>
      </c>
      <c r="B233" s="44" t="s">
        <v>482</v>
      </c>
      <c r="C233" s="44" t="s">
        <v>28</v>
      </c>
      <c r="D233" s="44">
        <v>0.83299999999999996</v>
      </c>
      <c r="E233" s="44">
        <v>0</v>
      </c>
      <c r="F233" s="44">
        <v>1</v>
      </c>
      <c r="G233" s="44">
        <v>0</v>
      </c>
      <c r="H233" s="44">
        <v>1</v>
      </c>
      <c r="I233" s="44" t="s">
        <v>27</v>
      </c>
      <c r="J233" s="44" t="s">
        <v>481</v>
      </c>
      <c r="K233" s="44">
        <v>1</v>
      </c>
      <c r="L233" s="44">
        <v>0</v>
      </c>
      <c r="M233" s="44">
        <v>1</v>
      </c>
      <c r="N233" s="44">
        <v>0</v>
      </c>
      <c r="O233" s="45" t="s">
        <v>1520</v>
      </c>
      <c r="P233" s="46" t="s">
        <v>27</v>
      </c>
      <c r="Q233" s="46" t="s">
        <v>27</v>
      </c>
      <c r="R233" s="46">
        <v>0</v>
      </c>
      <c r="S233" s="46">
        <v>0</v>
      </c>
      <c r="T233" s="47">
        <v>0</v>
      </c>
      <c r="U233" s="46">
        <v>0</v>
      </c>
      <c r="V233" s="46">
        <v>0</v>
      </c>
      <c r="W233" s="46">
        <v>0</v>
      </c>
      <c r="X233" s="46">
        <v>0</v>
      </c>
    </row>
    <row r="234" spans="1:24" s="5" customFormat="1" x14ac:dyDescent="0.15">
      <c r="A234" s="44" t="s">
        <v>484</v>
      </c>
      <c r="B234" s="44" t="s">
        <v>485</v>
      </c>
      <c r="C234" s="44" t="s">
        <v>73</v>
      </c>
      <c r="D234" s="44">
        <v>1.667</v>
      </c>
      <c r="E234" s="44">
        <v>0</v>
      </c>
      <c r="F234" s="44">
        <v>1</v>
      </c>
      <c r="G234" s="44">
        <v>0</v>
      </c>
      <c r="H234" s="44">
        <v>1</v>
      </c>
      <c r="I234" s="44" t="s">
        <v>151</v>
      </c>
      <c r="J234" s="44" t="s">
        <v>486</v>
      </c>
      <c r="K234" s="44">
        <v>3.3</v>
      </c>
      <c r="L234" s="44">
        <v>0.6</v>
      </c>
      <c r="M234" s="44">
        <v>3</v>
      </c>
      <c r="N234" s="44">
        <v>0</v>
      </c>
      <c r="O234" s="45" t="s">
        <v>1520</v>
      </c>
      <c r="P234" s="46" t="s">
        <v>27</v>
      </c>
      <c r="Q234" s="46" t="s">
        <v>27</v>
      </c>
      <c r="R234" s="46">
        <v>0</v>
      </c>
      <c r="S234" s="46">
        <v>0</v>
      </c>
      <c r="T234" s="47">
        <v>0</v>
      </c>
      <c r="U234" s="46">
        <v>0</v>
      </c>
      <c r="V234" s="46">
        <v>0</v>
      </c>
      <c r="W234" s="46">
        <v>0</v>
      </c>
      <c r="X234" s="46">
        <v>0</v>
      </c>
    </row>
    <row r="235" spans="1:24" s="5" customFormat="1" x14ac:dyDescent="0.15">
      <c r="A235" s="44" t="s">
        <v>487</v>
      </c>
      <c r="B235" s="44" t="s">
        <v>488</v>
      </c>
      <c r="C235" s="44" t="s">
        <v>160</v>
      </c>
      <c r="D235" s="44">
        <v>1.667</v>
      </c>
      <c r="E235" s="44">
        <v>0</v>
      </c>
      <c r="F235" s="44">
        <v>1</v>
      </c>
      <c r="G235" s="44">
        <v>0</v>
      </c>
      <c r="H235" s="44">
        <v>1</v>
      </c>
      <c r="I235" s="44" t="s">
        <v>52</v>
      </c>
      <c r="J235" s="44" t="s">
        <v>489</v>
      </c>
      <c r="K235" s="44">
        <v>2</v>
      </c>
      <c r="L235" s="44">
        <v>0</v>
      </c>
      <c r="M235" s="44">
        <v>1</v>
      </c>
      <c r="N235" s="44">
        <v>0</v>
      </c>
      <c r="O235" s="45" t="s">
        <v>1520</v>
      </c>
      <c r="P235" s="46" t="s">
        <v>50</v>
      </c>
      <c r="Q235" s="46" t="s">
        <v>27</v>
      </c>
      <c r="R235" s="46">
        <v>0</v>
      </c>
      <c r="S235" s="46">
        <v>0</v>
      </c>
      <c r="T235" s="47">
        <v>0</v>
      </c>
      <c r="U235" s="46">
        <v>0</v>
      </c>
      <c r="V235" s="46">
        <v>0</v>
      </c>
      <c r="W235" s="46">
        <v>0</v>
      </c>
      <c r="X235" s="46">
        <v>0</v>
      </c>
    </row>
    <row r="236" spans="1:24" s="5" customFormat="1" x14ac:dyDescent="0.15">
      <c r="A236" s="44" t="s">
        <v>490</v>
      </c>
      <c r="B236" s="44" t="s">
        <v>491</v>
      </c>
      <c r="C236" s="44" t="s">
        <v>167</v>
      </c>
      <c r="D236" s="44">
        <v>2.35</v>
      </c>
      <c r="E236" s="44">
        <v>0</v>
      </c>
      <c r="F236" s="44">
        <v>1</v>
      </c>
      <c r="G236" s="44">
        <v>0</v>
      </c>
      <c r="H236" s="44">
        <v>1</v>
      </c>
      <c r="I236" s="44" t="s">
        <v>52</v>
      </c>
      <c r="J236" s="44" t="s">
        <v>492</v>
      </c>
      <c r="K236" s="44">
        <v>3</v>
      </c>
      <c r="L236" s="44">
        <v>0</v>
      </c>
      <c r="M236" s="44">
        <v>1</v>
      </c>
      <c r="N236" s="44">
        <v>0</v>
      </c>
      <c r="O236" s="45" t="s">
        <v>1520</v>
      </c>
      <c r="P236" s="46" t="s">
        <v>27</v>
      </c>
      <c r="Q236" s="46" t="s">
        <v>27</v>
      </c>
      <c r="R236" s="46">
        <v>0</v>
      </c>
      <c r="S236" s="46">
        <v>0</v>
      </c>
      <c r="T236" s="47">
        <v>0</v>
      </c>
      <c r="U236" s="46">
        <v>0</v>
      </c>
      <c r="V236" s="46">
        <v>0</v>
      </c>
      <c r="W236" s="46">
        <v>0</v>
      </c>
      <c r="X236" s="46">
        <v>0</v>
      </c>
    </row>
    <row r="237" spans="1:24" s="5" customFormat="1" x14ac:dyDescent="0.15">
      <c r="A237" s="44" t="s">
        <v>493</v>
      </c>
      <c r="B237" s="44" t="s">
        <v>494</v>
      </c>
      <c r="C237" s="44" t="s">
        <v>52</v>
      </c>
      <c r="D237" s="44">
        <v>0</v>
      </c>
      <c r="E237" s="44">
        <v>0</v>
      </c>
      <c r="F237" s="44">
        <v>1</v>
      </c>
      <c r="G237" s="44">
        <v>0</v>
      </c>
      <c r="H237" s="44" t="s">
        <v>839</v>
      </c>
      <c r="I237" s="44" t="s">
        <v>52</v>
      </c>
      <c r="J237" s="44" t="s">
        <v>52</v>
      </c>
      <c r="K237" s="44">
        <v>5</v>
      </c>
      <c r="L237" s="44">
        <v>0</v>
      </c>
      <c r="M237" s="44">
        <v>1</v>
      </c>
      <c r="N237" s="44">
        <v>0</v>
      </c>
      <c r="O237" s="45" t="s">
        <v>1520</v>
      </c>
      <c r="P237" s="46" t="s">
        <v>27</v>
      </c>
      <c r="Q237" s="46" t="s">
        <v>27</v>
      </c>
      <c r="R237" s="46">
        <v>0</v>
      </c>
      <c r="S237" s="46">
        <v>0</v>
      </c>
      <c r="T237" s="47">
        <v>0</v>
      </c>
      <c r="U237" s="46">
        <v>0</v>
      </c>
      <c r="V237" s="46">
        <v>0</v>
      </c>
      <c r="W237" s="46">
        <v>0</v>
      </c>
      <c r="X237" s="46">
        <v>0</v>
      </c>
    </row>
    <row r="238" spans="1:24" s="5" customFormat="1" x14ac:dyDescent="0.15">
      <c r="A238" s="44" t="s">
        <v>1055</v>
      </c>
      <c r="B238" s="44" t="s">
        <v>495</v>
      </c>
      <c r="C238" s="44" t="s">
        <v>144</v>
      </c>
      <c r="D238" s="44">
        <v>1</v>
      </c>
      <c r="E238" s="44">
        <v>0</v>
      </c>
      <c r="F238" s="44">
        <v>2</v>
      </c>
      <c r="G238" s="44">
        <v>17</v>
      </c>
      <c r="H238" s="44">
        <v>1</v>
      </c>
      <c r="I238" s="44" t="s">
        <v>114</v>
      </c>
      <c r="J238" s="44" t="s">
        <v>1055</v>
      </c>
      <c r="K238" s="44">
        <v>5</v>
      </c>
      <c r="L238" s="44">
        <v>0.5</v>
      </c>
      <c r="M238" s="44">
        <v>1</v>
      </c>
      <c r="N238" s="44">
        <v>1</v>
      </c>
      <c r="O238" s="45" t="s">
        <v>1520</v>
      </c>
      <c r="P238" s="46" t="s">
        <v>27</v>
      </c>
      <c r="Q238" s="46" t="s">
        <v>27</v>
      </c>
      <c r="R238" s="46">
        <v>0</v>
      </c>
      <c r="S238" s="46">
        <v>0</v>
      </c>
      <c r="T238" s="47">
        <v>0</v>
      </c>
      <c r="U238" s="46">
        <v>0</v>
      </c>
      <c r="V238" s="46">
        <v>0</v>
      </c>
      <c r="W238" s="46">
        <v>0</v>
      </c>
      <c r="X238" s="46">
        <v>0</v>
      </c>
    </row>
    <row r="239" spans="1:24" s="5" customFormat="1" x14ac:dyDescent="0.15">
      <c r="A239" s="44" t="s">
        <v>1056</v>
      </c>
      <c r="B239" s="44" t="s">
        <v>1057</v>
      </c>
      <c r="C239" s="44" t="s">
        <v>30</v>
      </c>
      <c r="D239" s="44">
        <v>1.667</v>
      </c>
      <c r="E239" s="44">
        <v>0</v>
      </c>
      <c r="F239" s="44">
        <v>1</v>
      </c>
      <c r="G239" s="44">
        <v>0</v>
      </c>
      <c r="H239" s="44">
        <v>1</v>
      </c>
      <c r="I239" s="44" t="s">
        <v>114</v>
      </c>
      <c r="J239" s="44" t="s">
        <v>1058</v>
      </c>
      <c r="K239" s="44">
        <v>2</v>
      </c>
      <c r="L239" s="44">
        <v>0.4</v>
      </c>
      <c r="M239" s="44">
        <v>1</v>
      </c>
      <c r="N239" s="44">
        <v>0</v>
      </c>
      <c r="O239" s="45" t="s">
        <v>1520</v>
      </c>
      <c r="P239" s="46" t="s">
        <v>27</v>
      </c>
      <c r="Q239" s="46" t="s">
        <v>27</v>
      </c>
      <c r="R239" s="46">
        <v>0</v>
      </c>
      <c r="S239" s="46">
        <v>0</v>
      </c>
      <c r="T239" s="47">
        <v>0</v>
      </c>
      <c r="U239" s="46">
        <v>0</v>
      </c>
      <c r="V239" s="46">
        <v>0</v>
      </c>
      <c r="W239" s="46">
        <v>0</v>
      </c>
      <c r="X239" s="46">
        <v>0</v>
      </c>
    </row>
    <row r="240" spans="1:24" s="5" customFormat="1" x14ac:dyDescent="0.15">
      <c r="A240" s="44" t="s">
        <v>1059</v>
      </c>
      <c r="B240" s="44" t="s">
        <v>1057</v>
      </c>
      <c r="C240" s="44" t="s">
        <v>114</v>
      </c>
      <c r="D240" s="44">
        <v>0</v>
      </c>
      <c r="E240" s="44">
        <v>0</v>
      </c>
      <c r="F240" s="44">
        <v>1</v>
      </c>
      <c r="G240" s="44">
        <v>0</v>
      </c>
      <c r="H240" s="44">
        <v>1</v>
      </c>
      <c r="I240" s="44" t="s">
        <v>114</v>
      </c>
      <c r="J240" s="44" t="s">
        <v>1060</v>
      </c>
      <c r="K240" s="44">
        <v>8</v>
      </c>
      <c r="L240" s="44">
        <v>0</v>
      </c>
      <c r="M240" s="44">
        <v>2</v>
      </c>
      <c r="N240" s="44">
        <v>1</v>
      </c>
      <c r="O240" s="45" t="s">
        <v>1520</v>
      </c>
      <c r="P240" s="46" t="s">
        <v>114</v>
      </c>
      <c r="Q240" s="46" t="s">
        <v>114</v>
      </c>
      <c r="R240" s="46">
        <v>0</v>
      </c>
      <c r="S240" s="46">
        <v>0</v>
      </c>
      <c r="T240" s="47">
        <v>0</v>
      </c>
      <c r="U240" s="46">
        <v>0</v>
      </c>
      <c r="V240" s="46">
        <v>0</v>
      </c>
      <c r="W240" s="46">
        <v>0</v>
      </c>
      <c r="X240" s="46">
        <v>0</v>
      </c>
    </row>
    <row r="241" spans="1:24" s="5" customFormat="1" x14ac:dyDescent="0.15">
      <c r="A241" s="44" t="s">
        <v>496</v>
      </c>
      <c r="B241" s="44" t="s">
        <v>497</v>
      </c>
      <c r="C241" s="44" t="s">
        <v>29</v>
      </c>
      <c r="D241" s="44">
        <v>1.167</v>
      </c>
      <c r="E241" s="44">
        <v>0</v>
      </c>
      <c r="F241" s="44" t="s">
        <v>187</v>
      </c>
      <c r="G241" s="44">
        <v>17</v>
      </c>
      <c r="H241" s="44">
        <v>1</v>
      </c>
      <c r="I241" s="44" t="s">
        <v>114</v>
      </c>
      <c r="J241" s="44" t="s">
        <v>498</v>
      </c>
      <c r="K241" s="44">
        <v>5</v>
      </c>
      <c r="L241" s="44">
        <v>0</v>
      </c>
      <c r="M241" s="44">
        <v>1</v>
      </c>
      <c r="N241" s="44">
        <v>0</v>
      </c>
      <c r="O241" s="45" t="s">
        <v>1520</v>
      </c>
      <c r="P241" s="46" t="s">
        <v>27</v>
      </c>
      <c r="Q241" s="46" t="s">
        <v>27</v>
      </c>
      <c r="R241" s="46">
        <v>0</v>
      </c>
      <c r="S241" s="46">
        <v>0</v>
      </c>
      <c r="T241" s="47">
        <v>0</v>
      </c>
      <c r="U241" s="46">
        <v>0</v>
      </c>
      <c r="V241" s="46">
        <v>0</v>
      </c>
      <c r="W241" s="46">
        <v>0</v>
      </c>
      <c r="X241" s="46">
        <v>0</v>
      </c>
    </row>
    <row r="242" spans="1:24" s="5" customFormat="1" x14ac:dyDescent="0.15">
      <c r="A242" s="44" t="s">
        <v>499</v>
      </c>
      <c r="B242" s="44" t="s">
        <v>500</v>
      </c>
      <c r="C242" s="44" t="s">
        <v>30</v>
      </c>
      <c r="D242" s="44">
        <v>1.167</v>
      </c>
      <c r="E242" s="44">
        <v>0</v>
      </c>
      <c r="F242" s="44" t="s">
        <v>1688</v>
      </c>
      <c r="G242" s="44">
        <v>17</v>
      </c>
      <c r="H242" s="44">
        <v>1</v>
      </c>
      <c r="I242" s="44" t="s">
        <v>114</v>
      </c>
      <c r="J242" s="44" t="s">
        <v>1061</v>
      </c>
      <c r="K242" s="44">
        <v>3</v>
      </c>
      <c r="L242" s="44">
        <v>0.7</v>
      </c>
      <c r="M242" s="44">
        <v>1</v>
      </c>
      <c r="N242" s="44">
        <v>1</v>
      </c>
      <c r="O242" s="45" t="s">
        <v>1062</v>
      </c>
      <c r="P242" s="46" t="s">
        <v>27</v>
      </c>
      <c r="Q242" s="46" t="s">
        <v>27</v>
      </c>
      <c r="R242" s="46">
        <v>0</v>
      </c>
      <c r="S242" s="46">
        <v>0</v>
      </c>
      <c r="T242" s="47">
        <v>0</v>
      </c>
      <c r="U242" s="46">
        <v>0</v>
      </c>
      <c r="V242" s="46">
        <v>0</v>
      </c>
      <c r="W242" s="46">
        <v>0</v>
      </c>
      <c r="X242" s="46">
        <v>0</v>
      </c>
    </row>
    <row r="243" spans="1:24" s="5" customFormat="1" x14ac:dyDescent="0.15">
      <c r="A243" s="44" t="s">
        <v>1684</v>
      </c>
      <c r="B243" s="44" t="s">
        <v>1685</v>
      </c>
      <c r="C243" s="44" t="s">
        <v>1686</v>
      </c>
      <c r="D243" s="44">
        <v>0</v>
      </c>
      <c r="E243" s="44">
        <v>0</v>
      </c>
      <c r="F243" s="44">
        <v>11</v>
      </c>
      <c r="G243" s="44">
        <v>0</v>
      </c>
      <c r="H243" s="44">
        <v>1</v>
      </c>
      <c r="I243" s="44" t="s">
        <v>1686</v>
      </c>
      <c r="J243" s="44" t="s">
        <v>1687</v>
      </c>
      <c r="K243" s="44">
        <v>3</v>
      </c>
      <c r="L243" s="44">
        <v>0</v>
      </c>
      <c r="M243" s="44">
        <v>2</v>
      </c>
      <c r="N243" s="44">
        <v>1</v>
      </c>
      <c r="O243" s="45" t="s">
        <v>1520</v>
      </c>
      <c r="P243" s="46" t="s">
        <v>1686</v>
      </c>
      <c r="Q243" s="46" t="s">
        <v>1686</v>
      </c>
      <c r="R243" s="46">
        <v>0</v>
      </c>
      <c r="S243" s="46">
        <v>0</v>
      </c>
      <c r="T243" s="47">
        <v>0</v>
      </c>
      <c r="U243" s="46">
        <v>0</v>
      </c>
      <c r="V243" s="46">
        <v>0</v>
      </c>
      <c r="W243" s="46">
        <v>0</v>
      </c>
      <c r="X243" s="46">
        <v>0</v>
      </c>
    </row>
    <row r="244" spans="1:24" s="5" customFormat="1" x14ac:dyDescent="0.15">
      <c r="A244" s="47" t="s">
        <v>1063</v>
      </c>
      <c r="B244" s="44" t="s">
        <v>1064</v>
      </c>
      <c r="C244" s="44" t="s">
        <v>114</v>
      </c>
      <c r="D244" s="44">
        <v>0</v>
      </c>
      <c r="E244" s="44">
        <v>0</v>
      </c>
      <c r="F244" s="44">
        <v>11</v>
      </c>
      <c r="G244" s="44">
        <v>0</v>
      </c>
      <c r="H244" s="44" t="s">
        <v>114</v>
      </c>
      <c r="I244" s="44" t="s">
        <v>114</v>
      </c>
      <c r="J244" s="44" t="s">
        <v>1065</v>
      </c>
      <c r="K244" s="44">
        <v>5</v>
      </c>
      <c r="L244" s="44">
        <v>0</v>
      </c>
      <c r="M244" s="44">
        <v>2</v>
      </c>
      <c r="N244" s="44">
        <v>1</v>
      </c>
      <c r="O244" s="45" t="s">
        <v>1520</v>
      </c>
      <c r="P244" s="46" t="s">
        <v>1066</v>
      </c>
      <c r="Q244" s="46" t="s">
        <v>1066</v>
      </c>
      <c r="R244" s="46">
        <v>0</v>
      </c>
      <c r="S244" s="46">
        <v>0</v>
      </c>
      <c r="T244" s="47">
        <v>0</v>
      </c>
      <c r="U244" s="46">
        <v>0</v>
      </c>
      <c r="V244" s="46">
        <v>0</v>
      </c>
      <c r="W244" s="46">
        <v>0</v>
      </c>
      <c r="X244" s="46">
        <v>0</v>
      </c>
    </row>
    <row r="245" spans="1:24" s="5" customFormat="1" x14ac:dyDescent="0.15">
      <c r="A245" s="44" t="s">
        <v>501</v>
      </c>
      <c r="B245" s="44" t="s">
        <v>502</v>
      </c>
      <c r="C245" s="44" t="s">
        <v>28</v>
      </c>
      <c r="D245" s="44">
        <v>0.9</v>
      </c>
      <c r="E245" s="44">
        <v>0</v>
      </c>
      <c r="F245" s="44">
        <v>1</v>
      </c>
      <c r="G245" s="44">
        <v>0</v>
      </c>
      <c r="H245" s="44">
        <v>1</v>
      </c>
      <c r="I245" s="44" t="s">
        <v>27</v>
      </c>
      <c r="J245" s="44" t="s">
        <v>481</v>
      </c>
      <c r="K245" s="44">
        <v>1</v>
      </c>
      <c r="L245" s="44">
        <v>0.2</v>
      </c>
      <c r="M245" s="44">
        <v>1</v>
      </c>
      <c r="N245" s="44">
        <v>0</v>
      </c>
      <c r="O245" s="45" t="s">
        <v>1520</v>
      </c>
      <c r="P245" s="46" t="s">
        <v>27</v>
      </c>
      <c r="Q245" s="46" t="s">
        <v>27</v>
      </c>
      <c r="R245" s="46">
        <v>0</v>
      </c>
      <c r="S245" s="46">
        <v>0</v>
      </c>
      <c r="T245" s="47">
        <v>0</v>
      </c>
      <c r="U245" s="46">
        <v>0</v>
      </c>
      <c r="V245" s="46">
        <v>0</v>
      </c>
      <c r="W245" s="46">
        <v>0</v>
      </c>
      <c r="X245" s="46">
        <v>0</v>
      </c>
    </row>
    <row r="246" spans="1:24" s="5" customFormat="1" x14ac:dyDescent="0.15">
      <c r="A246" s="44" t="s">
        <v>503</v>
      </c>
      <c r="B246" s="44" t="s">
        <v>504</v>
      </c>
      <c r="C246" s="44" t="s">
        <v>72</v>
      </c>
      <c r="D246" s="44">
        <v>2</v>
      </c>
      <c r="E246" s="44">
        <v>0</v>
      </c>
      <c r="F246" s="44">
        <v>1</v>
      </c>
      <c r="G246" s="44">
        <v>0</v>
      </c>
      <c r="H246" s="44">
        <v>1</v>
      </c>
      <c r="I246" s="44" t="s">
        <v>27</v>
      </c>
      <c r="J246" s="44" t="s">
        <v>505</v>
      </c>
      <c r="K246" s="44">
        <v>5</v>
      </c>
      <c r="L246" s="44">
        <v>0</v>
      </c>
      <c r="M246" s="44">
        <v>1</v>
      </c>
      <c r="N246" s="44">
        <v>0</v>
      </c>
      <c r="O246" s="45" t="s">
        <v>1520</v>
      </c>
      <c r="P246" s="46" t="s">
        <v>27</v>
      </c>
      <c r="Q246" s="46" t="s">
        <v>27</v>
      </c>
      <c r="R246" s="46">
        <v>0</v>
      </c>
      <c r="S246" s="46">
        <v>0</v>
      </c>
      <c r="T246" s="47">
        <v>0</v>
      </c>
      <c r="U246" s="46">
        <v>0</v>
      </c>
      <c r="V246" s="46">
        <v>0</v>
      </c>
      <c r="W246" s="46">
        <v>0</v>
      </c>
      <c r="X246" s="46">
        <v>0</v>
      </c>
    </row>
    <row r="247" spans="1:24" s="5" customFormat="1" x14ac:dyDescent="0.15">
      <c r="A247" s="44" t="s">
        <v>506</v>
      </c>
      <c r="B247" s="44" t="s">
        <v>507</v>
      </c>
      <c r="C247" s="44" t="s">
        <v>160</v>
      </c>
      <c r="D247" s="44">
        <v>2</v>
      </c>
      <c r="E247" s="44">
        <v>0</v>
      </c>
      <c r="F247" s="44">
        <v>1</v>
      </c>
      <c r="G247" s="44">
        <v>0</v>
      </c>
      <c r="H247" s="44">
        <v>1</v>
      </c>
      <c r="I247" s="44" t="s">
        <v>114</v>
      </c>
      <c r="J247" s="44" t="s">
        <v>508</v>
      </c>
      <c r="K247" s="44">
        <v>5</v>
      </c>
      <c r="L247" s="44">
        <v>0</v>
      </c>
      <c r="M247" s="44">
        <v>2</v>
      </c>
      <c r="N247" s="44">
        <v>8</v>
      </c>
      <c r="O247" s="45" t="s">
        <v>1520</v>
      </c>
      <c r="P247" s="46" t="s">
        <v>27</v>
      </c>
      <c r="Q247" s="46" t="s">
        <v>27</v>
      </c>
      <c r="R247" s="46">
        <v>0</v>
      </c>
      <c r="S247" s="46">
        <v>0</v>
      </c>
      <c r="T247" s="47">
        <v>0</v>
      </c>
      <c r="U247" s="46">
        <v>0</v>
      </c>
      <c r="V247" s="46">
        <v>0</v>
      </c>
      <c r="W247" s="46">
        <v>0</v>
      </c>
      <c r="X247" s="46">
        <v>0</v>
      </c>
    </row>
    <row r="248" spans="1:24" s="5" customFormat="1" x14ac:dyDescent="0.15">
      <c r="A248" s="44" t="s">
        <v>509</v>
      </c>
      <c r="B248" s="44" t="s">
        <v>510</v>
      </c>
      <c r="C248" s="44" t="s">
        <v>511</v>
      </c>
      <c r="D248" s="44">
        <v>2</v>
      </c>
      <c r="E248" s="44">
        <v>0</v>
      </c>
      <c r="F248" s="44">
        <v>1</v>
      </c>
      <c r="G248" s="44">
        <v>0</v>
      </c>
      <c r="H248" s="44">
        <v>1</v>
      </c>
      <c r="I248" s="44" t="s">
        <v>27</v>
      </c>
      <c r="J248" s="44" t="s">
        <v>512</v>
      </c>
      <c r="K248" s="44">
        <v>2.2999999999999998</v>
      </c>
      <c r="L248" s="44">
        <v>0</v>
      </c>
      <c r="M248" s="44">
        <v>1</v>
      </c>
      <c r="N248" s="44">
        <v>0</v>
      </c>
      <c r="O248" s="45" t="s">
        <v>1520</v>
      </c>
      <c r="P248" s="46" t="s">
        <v>27</v>
      </c>
      <c r="Q248" s="46" t="s">
        <v>27</v>
      </c>
      <c r="R248" s="46">
        <v>0</v>
      </c>
      <c r="S248" s="46">
        <v>0</v>
      </c>
      <c r="T248" s="47">
        <v>0</v>
      </c>
      <c r="U248" s="46">
        <v>0</v>
      </c>
      <c r="V248" s="46">
        <v>0</v>
      </c>
      <c r="W248" s="46">
        <v>0</v>
      </c>
      <c r="X248" s="46">
        <v>0</v>
      </c>
    </row>
    <row r="249" spans="1:24" s="19" customFormat="1" x14ac:dyDescent="0.15">
      <c r="A249" s="65" t="s">
        <v>1332</v>
      </c>
      <c r="B249" s="65" t="s">
        <v>1333</v>
      </c>
      <c r="C249" s="65" t="s">
        <v>1334</v>
      </c>
      <c r="D249" s="65">
        <v>2.0670000000000002</v>
      </c>
      <c r="E249" s="65">
        <v>0</v>
      </c>
      <c r="F249" s="65">
        <v>2</v>
      </c>
      <c r="G249" s="65">
        <v>17</v>
      </c>
      <c r="H249" s="65">
        <v>1</v>
      </c>
      <c r="I249" s="65" t="s">
        <v>27</v>
      </c>
      <c r="J249" s="65" t="s">
        <v>1332</v>
      </c>
      <c r="K249" s="65">
        <v>5</v>
      </c>
      <c r="L249" s="65">
        <v>0.5</v>
      </c>
      <c r="M249" s="65">
        <v>1</v>
      </c>
      <c r="N249" s="65">
        <v>6</v>
      </c>
      <c r="O249" s="66" t="s">
        <v>1520</v>
      </c>
      <c r="P249" s="65" t="s">
        <v>27</v>
      </c>
      <c r="Q249" s="65" t="s">
        <v>27</v>
      </c>
      <c r="R249" s="65">
        <v>0</v>
      </c>
      <c r="S249" s="65">
        <v>0</v>
      </c>
      <c r="T249" s="65">
        <v>0</v>
      </c>
      <c r="U249" s="65">
        <v>0</v>
      </c>
      <c r="V249" s="65">
        <v>0</v>
      </c>
      <c r="W249" s="65">
        <v>0</v>
      </c>
      <c r="X249" s="65">
        <v>0</v>
      </c>
    </row>
    <row r="250" spans="1:24" s="18" customFormat="1" x14ac:dyDescent="0.15">
      <c r="A250" s="67" t="s">
        <v>1335</v>
      </c>
      <c r="B250" s="67" t="s">
        <v>1336</v>
      </c>
      <c r="C250" s="67" t="s">
        <v>1334</v>
      </c>
      <c r="D250" s="67">
        <v>0.66700000000000004</v>
      </c>
      <c r="E250" s="67">
        <v>0</v>
      </c>
      <c r="F250" s="67">
        <v>1</v>
      </c>
      <c r="G250" s="67">
        <v>17</v>
      </c>
      <c r="H250" s="67">
        <v>1</v>
      </c>
      <c r="I250" s="67" t="s">
        <v>1337</v>
      </c>
      <c r="J250" s="67" t="s">
        <v>1335</v>
      </c>
      <c r="K250" s="67">
        <v>5</v>
      </c>
      <c r="L250" s="67">
        <v>0</v>
      </c>
      <c r="M250" s="67">
        <v>1</v>
      </c>
      <c r="N250" s="67">
        <v>1</v>
      </c>
      <c r="O250" s="68" t="s">
        <v>1520</v>
      </c>
      <c r="P250" s="69" t="s">
        <v>27</v>
      </c>
      <c r="Q250" s="69" t="s">
        <v>27</v>
      </c>
      <c r="R250" s="69">
        <v>0</v>
      </c>
      <c r="S250" s="69">
        <v>0</v>
      </c>
      <c r="T250" s="70">
        <v>0</v>
      </c>
      <c r="U250" s="69">
        <v>0</v>
      </c>
      <c r="V250" s="69">
        <v>0</v>
      </c>
      <c r="W250" s="69">
        <v>0</v>
      </c>
      <c r="X250" s="69">
        <v>0</v>
      </c>
    </row>
    <row r="251" spans="1:24" s="18" customFormat="1" x14ac:dyDescent="0.15">
      <c r="A251" s="67" t="s">
        <v>1338</v>
      </c>
      <c r="B251" s="67" t="s">
        <v>1339</v>
      </c>
      <c r="C251" s="67" t="s">
        <v>73</v>
      </c>
      <c r="D251" s="67">
        <v>1.667</v>
      </c>
      <c r="E251" s="67">
        <v>0</v>
      </c>
      <c r="F251" s="67">
        <v>1</v>
      </c>
      <c r="G251" s="67">
        <v>0</v>
      </c>
      <c r="H251" s="67" t="s">
        <v>1337</v>
      </c>
      <c r="I251" s="67" t="s">
        <v>1337</v>
      </c>
      <c r="J251" s="67" t="s">
        <v>1340</v>
      </c>
      <c r="K251" s="67">
        <v>5</v>
      </c>
      <c r="L251" s="67">
        <v>0</v>
      </c>
      <c r="M251" s="67">
        <v>2</v>
      </c>
      <c r="N251" s="67">
        <v>0</v>
      </c>
      <c r="O251" s="68" t="s">
        <v>1520</v>
      </c>
      <c r="P251" s="69" t="s">
        <v>27</v>
      </c>
      <c r="Q251" s="69" t="s">
        <v>27</v>
      </c>
      <c r="R251" s="69">
        <v>0</v>
      </c>
      <c r="S251" s="69">
        <v>0</v>
      </c>
      <c r="T251" s="70">
        <v>0</v>
      </c>
      <c r="U251" s="69">
        <v>0</v>
      </c>
      <c r="V251" s="69">
        <v>0</v>
      </c>
      <c r="W251" s="69">
        <v>0</v>
      </c>
      <c r="X251" s="69">
        <v>0</v>
      </c>
    </row>
    <row r="252" spans="1:24" s="18" customFormat="1" x14ac:dyDescent="0.15">
      <c r="A252" s="67" t="s">
        <v>1341</v>
      </c>
      <c r="B252" s="67" t="s">
        <v>1342</v>
      </c>
      <c r="C252" s="67" t="s">
        <v>73</v>
      </c>
      <c r="D252" s="67">
        <v>1.667</v>
      </c>
      <c r="E252" s="67">
        <v>0</v>
      </c>
      <c r="F252" s="67">
        <v>1</v>
      </c>
      <c r="G252" s="67">
        <v>0</v>
      </c>
      <c r="H252" s="67">
        <v>1</v>
      </c>
      <c r="I252" s="67" t="s">
        <v>1337</v>
      </c>
      <c r="J252" s="67" t="s">
        <v>1343</v>
      </c>
      <c r="K252" s="67">
        <v>5</v>
      </c>
      <c r="L252" s="67">
        <v>0</v>
      </c>
      <c r="M252" s="67">
        <v>2</v>
      </c>
      <c r="N252" s="67">
        <v>0</v>
      </c>
      <c r="O252" s="68" t="s">
        <v>1520</v>
      </c>
      <c r="P252" s="69" t="s">
        <v>27</v>
      </c>
      <c r="Q252" s="69" t="s">
        <v>27</v>
      </c>
      <c r="R252" s="69">
        <v>0</v>
      </c>
      <c r="S252" s="69">
        <v>0</v>
      </c>
      <c r="T252" s="70">
        <v>0</v>
      </c>
      <c r="U252" s="69">
        <v>0</v>
      </c>
      <c r="V252" s="69">
        <v>0</v>
      </c>
      <c r="W252" s="69">
        <v>0</v>
      </c>
      <c r="X252" s="69">
        <v>0</v>
      </c>
    </row>
    <row r="253" spans="1:24" s="5" customFormat="1" x14ac:dyDescent="0.15">
      <c r="A253" s="44" t="s">
        <v>1344</v>
      </c>
      <c r="B253" s="44" t="s">
        <v>1345</v>
      </c>
      <c r="C253" s="44" t="s">
        <v>1346</v>
      </c>
      <c r="D253" s="44">
        <v>1</v>
      </c>
      <c r="E253" s="44">
        <v>0</v>
      </c>
      <c r="F253" s="44">
        <v>1</v>
      </c>
      <c r="G253" s="44">
        <v>0</v>
      </c>
      <c r="H253" s="44">
        <v>1</v>
      </c>
      <c r="I253" s="44" t="s">
        <v>27</v>
      </c>
      <c r="J253" s="44" t="s">
        <v>513</v>
      </c>
      <c r="K253" s="44">
        <v>5</v>
      </c>
      <c r="L253" s="44">
        <v>0</v>
      </c>
      <c r="M253" s="44">
        <v>1</v>
      </c>
      <c r="N253" s="44">
        <v>0</v>
      </c>
      <c r="O253" s="45" t="s">
        <v>1520</v>
      </c>
      <c r="P253" s="46" t="s">
        <v>27</v>
      </c>
      <c r="Q253" s="46" t="s">
        <v>27</v>
      </c>
      <c r="R253" s="46">
        <v>0</v>
      </c>
      <c r="S253" s="46">
        <v>0</v>
      </c>
      <c r="T253" s="47">
        <v>0</v>
      </c>
      <c r="U253" s="46">
        <v>0</v>
      </c>
      <c r="V253" s="46">
        <v>0</v>
      </c>
      <c r="W253" s="46">
        <v>0</v>
      </c>
      <c r="X253" s="46">
        <v>0</v>
      </c>
    </row>
    <row r="254" spans="1:24" s="5" customFormat="1" x14ac:dyDescent="0.15">
      <c r="A254" s="44" t="s">
        <v>514</v>
      </c>
      <c r="B254" s="44" t="s">
        <v>1347</v>
      </c>
      <c r="C254" s="44" t="s">
        <v>1337</v>
      </c>
      <c r="D254" s="44">
        <v>0</v>
      </c>
      <c r="E254" s="44">
        <v>0</v>
      </c>
      <c r="F254" s="44">
        <v>1</v>
      </c>
      <c r="G254" s="44">
        <v>0</v>
      </c>
      <c r="H254" s="44" t="s">
        <v>1337</v>
      </c>
      <c r="I254" s="44" t="s">
        <v>1337</v>
      </c>
      <c r="J254" s="44" t="s">
        <v>1337</v>
      </c>
      <c r="K254" s="44">
        <v>5</v>
      </c>
      <c r="L254" s="44">
        <v>0</v>
      </c>
      <c r="M254" s="44">
        <v>1</v>
      </c>
      <c r="N254" s="44">
        <v>0</v>
      </c>
      <c r="O254" s="45" t="s">
        <v>1520</v>
      </c>
      <c r="P254" s="46" t="s">
        <v>27</v>
      </c>
      <c r="Q254" s="46" t="s">
        <v>27</v>
      </c>
      <c r="R254" s="46">
        <v>0</v>
      </c>
      <c r="S254" s="46">
        <v>0</v>
      </c>
      <c r="T254" s="47">
        <v>0</v>
      </c>
      <c r="U254" s="46">
        <v>0</v>
      </c>
      <c r="V254" s="46">
        <v>0</v>
      </c>
      <c r="W254" s="46">
        <v>0</v>
      </c>
      <c r="X254" s="46">
        <v>0</v>
      </c>
    </row>
    <row r="255" spans="1:24" s="5" customFormat="1" x14ac:dyDescent="0.15">
      <c r="A255" s="44" t="s">
        <v>515</v>
      </c>
      <c r="B255" s="44" t="s">
        <v>1348</v>
      </c>
      <c r="C255" s="44" t="s">
        <v>1349</v>
      </c>
      <c r="D255" s="44">
        <v>1.167</v>
      </c>
      <c r="E255" s="44">
        <v>0</v>
      </c>
      <c r="F255" s="44">
        <v>1</v>
      </c>
      <c r="G255" s="44">
        <v>8</v>
      </c>
      <c r="H255" s="44">
        <v>1</v>
      </c>
      <c r="I255" s="44" t="s">
        <v>1337</v>
      </c>
      <c r="J255" s="44" t="s">
        <v>1350</v>
      </c>
      <c r="K255" s="44">
        <v>15</v>
      </c>
      <c r="L255" s="44">
        <v>0</v>
      </c>
      <c r="M255" s="44">
        <v>2</v>
      </c>
      <c r="N255" s="44">
        <v>0</v>
      </c>
      <c r="O255" s="45" t="s">
        <v>1520</v>
      </c>
      <c r="P255" s="46" t="s">
        <v>27</v>
      </c>
      <c r="Q255" s="46" t="s">
        <v>27</v>
      </c>
      <c r="R255" s="46">
        <v>0</v>
      </c>
      <c r="S255" s="46">
        <v>0</v>
      </c>
      <c r="T255" s="47">
        <v>0</v>
      </c>
      <c r="U255" s="46">
        <v>0</v>
      </c>
      <c r="V255" s="46">
        <v>0</v>
      </c>
      <c r="W255" s="46">
        <v>0</v>
      </c>
      <c r="X255" s="46">
        <v>0</v>
      </c>
    </row>
    <row r="256" spans="1:24" s="5" customFormat="1" x14ac:dyDescent="0.15">
      <c r="A256" s="44" t="s">
        <v>516</v>
      </c>
      <c r="B256" s="44" t="s">
        <v>517</v>
      </c>
      <c r="C256" s="44" t="s">
        <v>398</v>
      </c>
      <c r="D256" s="44">
        <v>1.333</v>
      </c>
      <c r="E256" s="44">
        <v>0</v>
      </c>
      <c r="F256" s="44">
        <v>2</v>
      </c>
      <c r="G256" s="44">
        <v>17</v>
      </c>
      <c r="H256" s="44">
        <v>1</v>
      </c>
      <c r="I256" s="44" t="s">
        <v>50</v>
      </c>
      <c r="J256" s="44" t="s">
        <v>516</v>
      </c>
      <c r="K256" s="44">
        <v>5</v>
      </c>
      <c r="L256" s="44">
        <v>0.5</v>
      </c>
      <c r="M256" s="44">
        <v>1</v>
      </c>
      <c r="N256" s="44">
        <v>1</v>
      </c>
      <c r="O256" s="45" t="s">
        <v>1520</v>
      </c>
      <c r="P256" s="46" t="s">
        <v>27</v>
      </c>
      <c r="Q256" s="46" t="s">
        <v>27</v>
      </c>
      <c r="R256" s="46">
        <v>0</v>
      </c>
      <c r="S256" s="46">
        <v>0</v>
      </c>
      <c r="T256" s="47">
        <v>0</v>
      </c>
      <c r="U256" s="46">
        <v>0</v>
      </c>
      <c r="V256" s="46">
        <v>0</v>
      </c>
      <c r="W256" s="46">
        <v>0</v>
      </c>
      <c r="X256" s="46">
        <v>0</v>
      </c>
    </row>
    <row r="257" spans="1:24" s="5" customFormat="1" x14ac:dyDescent="0.15">
      <c r="A257" s="44" t="s">
        <v>518</v>
      </c>
      <c r="B257" s="44" t="s">
        <v>519</v>
      </c>
      <c r="C257" s="44" t="s">
        <v>73</v>
      </c>
      <c r="D257" s="44">
        <v>1.667</v>
      </c>
      <c r="E257" s="44">
        <v>0</v>
      </c>
      <c r="F257" s="44">
        <v>1</v>
      </c>
      <c r="G257" s="44">
        <v>0</v>
      </c>
      <c r="H257" s="44">
        <v>1</v>
      </c>
      <c r="I257" s="44" t="s">
        <v>151</v>
      </c>
      <c r="J257" s="44" t="s">
        <v>520</v>
      </c>
      <c r="K257" s="44">
        <v>7</v>
      </c>
      <c r="L257" s="44">
        <v>0.6</v>
      </c>
      <c r="M257" s="44">
        <v>3</v>
      </c>
      <c r="N257" s="44">
        <v>0</v>
      </c>
      <c r="O257" s="45" t="s">
        <v>1520</v>
      </c>
      <c r="P257" s="46" t="s">
        <v>27</v>
      </c>
      <c r="Q257" s="46" t="s">
        <v>27</v>
      </c>
      <c r="R257" s="46">
        <v>0</v>
      </c>
      <c r="S257" s="46">
        <v>0</v>
      </c>
      <c r="T257" s="47">
        <v>0</v>
      </c>
      <c r="U257" s="46">
        <v>0</v>
      </c>
      <c r="V257" s="46">
        <v>0</v>
      </c>
      <c r="W257" s="46">
        <v>0</v>
      </c>
      <c r="X257" s="46">
        <v>0</v>
      </c>
    </row>
    <row r="258" spans="1:24" s="5" customFormat="1" x14ac:dyDescent="0.15">
      <c r="A258" s="44" t="s">
        <v>521</v>
      </c>
      <c r="B258" s="44" t="s">
        <v>523</v>
      </c>
      <c r="C258" s="44" t="s">
        <v>72</v>
      </c>
      <c r="D258" s="44">
        <v>1.167</v>
      </c>
      <c r="E258" s="44">
        <v>0</v>
      </c>
      <c r="F258" s="44" t="s">
        <v>712</v>
      </c>
      <c r="G258" s="44">
        <v>20</v>
      </c>
      <c r="H258" s="44">
        <v>1</v>
      </c>
      <c r="I258" s="44" t="s">
        <v>27</v>
      </c>
      <c r="J258" s="44" t="s">
        <v>525</v>
      </c>
      <c r="K258" s="44">
        <v>5</v>
      </c>
      <c r="L258" s="44">
        <v>1</v>
      </c>
      <c r="M258" s="44">
        <v>1</v>
      </c>
      <c r="N258" s="44">
        <v>1</v>
      </c>
      <c r="O258" s="45" t="s">
        <v>1520</v>
      </c>
      <c r="P258" s="46" t="s">
        <v>27</v>
      </c>
      <c r="Q258" s="46" t="s">
        <v>27</v>
      </c>
      <c r="R258" s="46">
        <v>0</v>
      </c>
      <c r="S258" s="46">
        <v>0</v>
      </c>
      <c r="T258" s="47">
        <v>0</v>
      </c>
      <c r="U258" s="46">
        <v>0</v>
      </c>
      <c r="V258" s="46">
        <v>0</v>
      </c>
      <c r="W258" s="46">
        <v>0</v>
      </c>
      <c r="X258" s="46">
        <v>0</v>
      </c>
    </row>
    <row r="259" spans="1:24" s="5" customFormat="1" x14ac:dyDescent="0.15">
      <c r="A259" s="44" t="s">
        <v>522</v>
      </c>
      <c r="B259" s="44" t="s">
        <v>524</v>
      </c>
      <c r="C259" s="44" t="s">
        <v>112</v>
      </c>
      <c r="D259" s="44">
        <v>2.5</v>
      </c>
      <c r="E259" s="44">
        <v>0</v>
      </c>
      <c r="F259" s="44">
        <v>11</v>
      </c>
      <c r="G259" s="44">
        <v>0</v>
      </c>
      <c r="H259" s="44" t="s">
        <v>839</v>
      </c>
      <c r="I259" s="44" t="s">
        <v>27</v>
      </c>
      <c r="J259" s="44" t="s">
        <v>526</v>
      </c>
      <c r="K259" s="44">
        <v>5</v>
      </c>
      <c r="L259" s="44">
        <v>0</v>
      </c>
      <c r="M259" s="44">
        <v>1</v>
      </c>
      <c r="N259" s="44">
        <v>1</v>
      </c>
      <c r="O259" s="45" t="s">
        <v>1520</v>
      </c>
      <c r="P259" s="46" t="s">
        <v>27</v>
      </c>
      <c r="Q259" s="46" t="s">
        <v>27</v>
      </c>
      <c r="R259" s="46">
        <v>0</v>
      </c>
      <c r="S259" s="46">
        <v>0</v>
      </c>
      <c r="T259" s="47">
        <v>0</v>
      </c>
      <c r="U259" s="46">
        <v>0</v>
      </c>
      <c r="V259" s="46">
        <v>0</v>
      </c>
      <c r="W259" s="46">
        <v>0</v>
      </c>
      <c r="X259" s="46">
        <v>0</v>
      </c>
    </row>
    <row r="260" spans="1:24" s="5" customFormat="1" x14ac:dyDescent="0.15">
      <c r="A260" s="44" t="s">
        <v>527</v>
      </c>
      <c r="B260" s="44" t="s">
        <v>528</v>
      </c>
      <c r="C260" s="44" t="s">
        <v>529</v>
      </c>
      <c r="D260" s="44">
        <v>1.167</v>
      </c>
      <c r="E260" s="44">
        <v>0</v>
      </c>
      <c r="F260" s="44">
        <v>1</v>
      </c>
      <c r="G260" s="44">
        <v>0</v>
      </c>
      <c r="H260" s="44">
        <v>1</v>
      </c>
      <c r="I260" s="44" t="s">
        <v>130</v>
      </c>
      <c r="J260" s="44" t="s">
        <v>530</v>
      </c>
      <c r="K260" s="44">
        <v>5</v>
      </c>
      <c r="L260" s="44">
        <v>0.05</v>
      </c>
      <c r="M260" s="44">
        <v>1</v>
      </c>
      <c r="N260" s="44">
        <v>0</v>
      </c>
      <c r="O260" s="45" t="s">
        <v>1520</v>
      </c>
      <c r="P260" s="46" t="s">
        <v>27</v>
      </c>
      <c r="Q260" s="46" t="s">
        <v>27</v>
      </c>
      <c r="R260" s="46">
        <v>0</v>
      </c>
      <c r="S260" s="46">
        <v>0</v>
      </c>
      <c r="T260" s="47">
        <v>0</v>
      </c>
      <c r="U260" s="46">
        <v>0</v>
      </c>
      <c r="V260" s="46">
        <v>0</v>
      </c>
      <c r="W260" s="46">
        <v>0</v>
      </c>
      <c r="X260" s="46">
        <v>0</v>
      </c>
    </row>
    <row r="261" spans="1:24" s="5" customFormat="1" x14ac:dyDescent="0.15">
      <c r="A261" s="44" t="s">
        <v>531</v>
      </c>
      <c r="B261" s="44" t="s">
        <v>532</v>
      </c>
      <c r="C261" s="44" t="s">
        <v>334</v>
      </c>
      <c r="D261" s="44">
        <v>0.66700000000000004</v>
      </c>
      <c r="E261" s="44">
        <v>0</v>
      </c>
      <c r="F261" s="44">
        <v>2</v>
      </c>
      <c r="G261" s="44">
        <v>17</v>
      </c>
      <c r="H261" s="44">
        <v>1</v>
      </c>
      <c r="I261" s="44" t="s">
        <v>50</v>
      </c>
      <c r="J261" s="44" t="s">
        <v>531</v>
      </c>
      <c r="K261" s="44">
        <v>5</v>
      </c>
      <c r="L261" s="44">
        <v>0.4</v>
      </c>
      <c r="M261" s="44">
        <v>1</v>
      </c>
      <c r="N261" s="44">
        <v>6</v>
      </c>
      <c r="O261" s="45" t="s">
        <v>1520</v>
      </c>
      <c r="P261" s="46" t="s">
        <v>27</v>
      </c>
      <c r="Q261" s="46" t="s">
        <v>27</v>
      </c>
      <c r="R261" s="46">
        <v>0</v>
      </c>
      <c r="S261" s="46">
        <v>0</v>
      </c>
      <c r="T261" s="47">
        <v>0</v>
      </c>
      <c r="U261" s="46">
        <v>0</v>
      </c>
      <c r="V261" s="46">
        <v>0</v>
      </c>
      <c r="W261" s="46">
        <v>0</v>
      </c>
      <c r="X261" s="46">
        <v>0</v>
      </c>
    </row>
    <row r="262" spans="1:24" s="5" customFormat="1" x14ac:dyDescent="0.15">
      <c r="A262" s="44" t="s">
        <v>534</v>
      </c>
      <c r="B262" s="44" t="s">
        <v>535</v>
      </c>
      <c r="C262" s="44" t="s">
        <v>73</v>
      </c>
      <c r="D262" s="44">
        <v>1.667</v>
      </c>
      <c r="E262" s="44">
        <v>0</v>
      </c>
      <c r="F262" s="44">
        <v>1</v>
      </c>
      <c r="G262" s="44">
        <v>0</v>
      </c>
      <c r="H262" s="44">
        <v>1</v>
      </c>
      <c r="I262" s="44" t="s">
        <v>151</v>
      </c>
      <c r="J262" s="44" t="s">
        <v>536</v>
      </c>
      <c r="K262" s="44">
        <v>3</v>
      </c>
      <c r="L262" s="44">
        <v>0</v>
      </c>
      <c r="M262" s="44">
        <v>3</v>
      </c>
      <c r="N262" s="44">
        <v>0</v>
      </c>
      <c r="O262" s="45" t="s">
        <v>1520</v>
      </c>
      <c r="P262" s="46" t="s">
        <v>27</v>
      </c>
      <c r="Q262" s="46" t="s">
        <v>27</v>
      </c>
      <c r="R262" s="46">
        <v>0</v>
      </c>
      <c r="S262" s="46">
        <v>0</v>
      </c>
      <c r="T262" s="47">
        <v>0</v>
      </c>
      <c r="U262" s="46">
        <v>0</v>
      </c>
      <c r="V262" s="46">
        <v>0</v>
      </c>
      <c r="W262" s="46">
        <v>0</v>
      </c>
      <c r="X262" s="46">
        <v>0</v>
      </c>
    </row>
    <row r="263" spans="1:24" s="5" customFormat="1" x14ac:dyDescent="0.15">
      <c r="A263" s="44" t="s">
        <v>537</v>
      </c>
      <c r="B263" s="44" t="s">
        <v>539</v>
      </c>
      <c r="C263" s="44" t="s">
        <v>548</v>
      </c>
      <c r="D263" s="44">
        <v>0.8</v>
      </c>
      <c r="E263" s="44">
        <v>0</v>
      </c>
      <c r="F263" s="44">
        <v>1</v>
      </c>
      <c r="G263" s="44">
        <v>0</v>
      </c>
      <c r="H263" s="44">
        <v>1</v>
      </c>
      <c r="I263" s="44" t="s">
        <v>151</v>
      </c>
      <c r="J263" s="44" t="s">
        <v>541</v>
      </c>
      <c r="K263" s="44">
        <v>5</v>
      </c>
      <c r="L263" s="44">
        <v>0</v>
      </c>
      <c r="M263" s="44">
        <v>3</v>
      </c>
      <c r="N263" s="44">
        <v>0</v>
      </c>
      <c r="O263" s="45" t="s">
        <v>1520</v>
      </c>
      <c r="P263" s="46" t="s">
        <v>27</v>
      </c>
      <c r="Q263" s="46" t="s">
        <v>27</v>
      </c>
      <c r="R263" s="46">
        <v>0</v>
      </c>
      <c r="S263" s="46">
        <v>0</v>
      </c>
      <c r="T263" s="47">
        <v>0</v>
      </c>
      <c r="U263" s="46">
        <v>0</v>
      </c>
      <c r="V263" s="46">
        <v>0</v>
      </c>
      <c r="W263" s="46">
        <v>0</v>
      </c>
      <c r="X263" s="46">
        <v>0</v>
      </c>
    </row>
    <row r="264" spans="1:24" s="5" customFormat="1" x14ac:dyDescent="0.15">
      <c r="A264" s="44" t="s">
        <v>538</v>
      </c>
      <c r="B264" s="44" t="s">
        <v>540</v>
      </c>
      <c r="C264" s="44" t="s">
        <v>548</v>
      </c>
      <c r="D264" s="44">
        <v>0.8</v>
      </c>
      <c r="E264" s="44">
        <v>0</v>
      </c>
      <c r="F264" s="44">
        <v>1</v>
      </c>
      <c r="G264" s="44">
        <v>0</v>
      </c>
      <c r="H264" s="44" t="s">
        <v>839</v>
      </c>
      <c r="I264" s="44" t="s">
        <v>151</v>
      </c>
      <c r="J264" s="44" t="s">
        <v>542</v>
      </c>
      <c r="K264" s="44">
        <v>5</v>
      </c>
      <c r="L264" s="44">
        <v>0</v>
      </c>
      <c r="M264" s="44">
        <v>1</v>
      </c>
      <c r="N264" s="44">
        <v>0</v>
      </c>
      <c r="O264" s="45" t="s">
        <v>1520</v>
      </c>
      <c r="P264" s="46" t="s">
        <v>27</v>
      </c>
      <c r="Q264" s="46" t="s">
        <v>27</v>
      </c>
      <c r="R264" s="46">
        <v>0</v>
      </c>
      <c r="S264" s="46">
        <v>0</v>
      </c>
      <c r="T264" s="47">
        <v>0</v>
      </c>
      <c r="U264" s="46">
        <v>0</v>
      </c>
      <c r="V264" s="46">
        <v>0</v>
      </c>
      <c r="W264" s="46">
        <v>0</v>
      </c>
      <c r="X264" s="46">
        <v>0</v>
      </c>
    </row>
    <row r="265" spans="1:24" s="5" customFormat="1" x14ac:dyDescent="0.15">
      <c r="A265" s="44" t="s">
        <v>543</v>
      </c>
      <c r="B265" s="44" t="s">
        <v>544</v>
      </c>
      <c r="C265" s="44" t="s">
        <v>143</v>
      </c>
      <c r="D265" s="44">
        <v>0</v>
      </c>
      <c r="E265" s="44">
        <v>0</v>
      </c>
      <c r="F265" s="44">
        <v>1</v>
      </c>
      <c r="G265" s="44">
        <v>0</v>
      </c>
      <c r="H265" s="44" t="s">
        <v>839</v>
      </c>
      <c r="I265" s="44" t="s">
        <v>143</v>
      </c>
      <c r="J265" s="44" t="s">
        <v>143</v>
      </c>
      <c r="K265" s="44">
        <v>5</v>
      </c>
      <c r="L265" s="44">
        <v>0</v>
      </c>
      <c r="M265" s="44">
        <v>1</v>
      </c>
      <c r="N265" s="44">
        <v>0</v>
      </c>
      <c r="O265" s="45" t="s">
        <v>1520</v>
      </c>
      <c r="P265" s="46" t="s">
        <v>27</v>
      </c>
      <c r="Q265" s="46" t="s">
        <v>27</v>
      </c>
      <c r="R265" s="46">
        <v>0</v>
      </c>
      <c r="S265" s="46">
        <v>0</v>
      </c>
      <c r="T265" s="47">
        <v>0</v>
      </c>
      <c r="U265" s="46">
        <v>0</v>
      </c>
      <c r="V265" s="46">
        <v>0</v>
      </c>
      <c r="W265" s="46">
        <v>0</v>
      </c>
      <c r="X265" s="46">
        <v>0</v>
      </c>
    </row>
    <row r="266" spans="1:24" s="5" customFormat="1" x14ac:dyDescent="0.15">
      <c r="A266" s="44" t="s">
        <v>533</v>
      </c>
      <c r="B266" s="44" t="s">
        <v>546</v>
      </c>
      <c r="C266" s="44" t="s">
        <v>549</v>
      </c>
      <c r="D266" s="44">
        <v>2.5</v>
      </c>
      <c r="E266" s="44">
        <v>0</v>
      </c>
      <c r="F266" s="44">
        <v>1</v>
      </c>
      <c r="G266" s="44">
        <v>0</v>
      </c>
      <c r="H266" s="44" t="s">
        <v>839</v>
      </c>
      <c r="I266" s="44" t="s">
        <v>151</v>
      </c>
      <c r="J266" s="44" t="s">
        <v>551</v>
      </c>
      <c r="K266" s="44">
        <v>5</v>
      </c>
      <c r="L266" s="44">
        <v>0</v>
      </c>
      <c r="M266" s="44">
        <v>1</v>
      </c>
      <c r="N266" s="44">
        <v>0</v>
      </c>
      <c r="O266" s="45" t="s">
        <v>1520</v>
      </c>
      <c r="P266" s="46" t="s">
        <v>27</v>
      </c>
      <c r="Q266" s="46" t="s">
        <v>27</v>
      </c>
      <c r="R266" s="46">
        <v>0</v>
      </c>
      <c r="S266" s="46">
        <v>0</v>
      </c>
      <c r="T266" s="47">
        <v>0</v>
      </c>
      <c r="U266" s="46">
        <v>0</v>
      </c>
      <c r="V266" s="46">
        <v>0</v>
      </c>
      <c r="W266" s="46">
        <v>0</v>
      </c>
      <c r="X266" s="46">
        <v>0</v>
      </c>
    </row>
    <row r="267" spans="1:24" s="5" customFormat="1" x14ac:dyDescent="0.15">
      <c r="A267" s="44" t="s">
        <v>545</v>
      </c>
      <c r="B267" s="44" t="s">
        <v>547</v>
      </c>
      <c r="C267" s="44" t="s">
        <v>550</v>
      </c>
      <c r="D267" s="44">
        <v>0</v>
      </c>
      <c r="E267" s="44">
        <v>0</v>
      </c>
      <c r="F267" s="44" t="s">
        <v>553</v>
      </c>
      <c r="G267" s="44">
        <v>10</v>
      </c>
      <c r="H267" s="44">
        <v>1</v>
      </c>
      <c r="I267" s="44" t="s">
        <v>27</v>
      </c>
      <c r="J267" s="44" t="s">
        <v>552</v>
      </c>
      <c r="K267" s="44">
        <v>3</v>
      </c>
      <c r="L267" s="44">
        <v>0</v>
      </c>
      <c r="M267" s="44">
        <v>1</v>
      </c>
      <c r="N267" s="44">
        <v>0</v>
      </c>
      <c r="O267" s="45" t="s">
        <v>1520</v>
      </c>
      <c r="P267" s="46" t="s">
        <v>27</v>
      </c>
      <c r="Q267" s="46" t="s">
        <v>27</v>
      </c>
      <c r="R267" s="46">
        <v>0</v>
      </c>
      <c r="S267" s="46">
        <v>0</v>
      </c>
      <c r="T267" s="47">
        <v>0</v>
      </c>
      <c r="U267" s="46">
        <v>0</v>
      </c>
      <c r="V267" s="46">
        <v>0</v>
      </c>
      <c r="W267" s="46">
        <v>0</v>
      </c>
      <c r="X267" s="46">
        <v>0</v>
      </c>
    </row>
    <row r="268" spans="1:24" s="5" customFormat="1" x14ac:dyDescent="0.15">
      <c r="A268" s="44" t="s">
        <v>554</v>
      </c>
      <c r="B268" s="44" t="s">
        <v>555</v>
      </c>
      <c r="C268" s="44" t="s">
        <v>150</v>
      </c>
      <c r="D268" s="44">
        <v>0.83299999999999996</v>
      </c>
      <c r="E268" s="44">
        <v>0</v>
      </c>
      <c r="F268" s="44">
        <v>2</v>
      </c>
      <c r="G268" s="44">
        <v>30</v>
      </c>
      <c r="H268" s="44">
        <v>1</v>
      </c>
      <c r="I268" s="44" t="s">
        <v>151</v>
      </c>
      <c r="J268" s="44" t="s">
        <v>554</v>
      </c>
      <c r="K268" s="44">
        <v>5</v>
      </c>
      <c r="L268" s="44">
        <v>0.2</v>
      </c>
      <c r="M268" s="44">
        <v>1</v>
      </c>
      <c r="N268" s="44">
        <v>1</v>
      </c>
      <c r="O268" s="45" t="s">
        <v>1909</v>
      </c>
      <c r="P268" s="46" t="s">
        <v>27</v>
      </c>
      <c r="Q268" s="46" t="s">
        <v>27</v>
      </c>
      <c r="R268" s="46">
        <v>0</v>
      </c>
      <c r="S268" s="46">
        <v>0</v>
      </c>
      <c r="T268" s="47">
        <v>0</v>
      </c>
      <c r="U268" s="46">
        <v>0</v>
      </c>
      <c r="V268" s="46">
        <v>0</v>
      </c>
      <c r="W268" s="46">
        <v>0</v>
      </c>
      <c r="X268" s="46">
        <v>0</v>
      </c>
    </row>
    <row r="269" spans="1:24" s="5" customFormat="1" x14ac:dyDescent="0.15">
      <c r="A269" s="44" t="s">
        <v>556</v>
      </c>
      <c r="B269" s="44" t="s">
        <v>557</v>
      </c>
      <c r="C269" s="44" t="s">
        <v>73</v>
      </c>
      <c r="D269" s="44">
        <v>1.667</v>
      </c>
      <c r="E269" s="44">
        <v>0</v>
      </c>
      <c r="F269" s="44">
        <v>1</v>
      </c>
      <c r="G269" s="44">
        <v>0</v>
      </c>
      <c r="H269" s="44">
        <v>1</v>
      </c>
      <c r="I269" s="44" t="s">
        <v>151</v>
      </c>
      <c r="J269" s="60" t="s">
        <v>1842</v>
      </c>
      <c r="K269" s="44">
        <v>3</v>
      </c>
      <c r="L269" s="44">
        <v>0.4</v>
      </c>
      <c r="M269" s="44">
        <v>2</v>
      </c>
      <c r="N269" s="44">
        <v>0</v>
      </c>
      <c r="O269" s="45" t="s">
        <v>1843</v>
      </c>
      <c r="P269" s="46" t="s">
        <v>27</v>
      </c>
      <c r="Q269" s="46" t="s">
        <v>27</v>
      </c>
      <c r="R269" s="46">
        <v>0</v>
      </c>
      <c r="S269" s="46">
        <v>0</v>
      </c>
      <c r="T269" s="47">
        <v>0</v>
      </c>
      <c r="U269" s="46">
        <v>0</v>
      </c>
      <c r="V269" s="46">
        <v>0</v>
      </c>
      <c r="W269" s="46">
        <v>0</v>
      </c>
      <c r="X269" s="46">
        <v>0</v>
      </c>
    </row>
    <row r="270" spans="1:24" s="5" customFormat="1" x14ac:dyDescent="0.15">
      <c r="A270" s="44" t="s">
        <v>558</v>
      </c>
      <c r="B270" s="44" t="s">
        <v>561</v>
      </c>
      <c r="C270" s="44" t="s">
        <v>564</v>
      </c>
      <c r="D270" s="44">
        <v>1.667</v>
      </c>
      <c r="E270" s="44">
        <v>0</v>
      </c>
      <c r="F270" s="44">
        <v>1</v>
      </c>
      <c r="G270" s="44">
        <v>0</v>
      </c>
      <c r="H270" s="44" t="s">
        <v>839</v>
      </c>
      <c r="I270" s="44" t="s">
        <v>27</v>
      </c>
      <c r="J270" s="44" t="s">
        <v>565</v>
      </c>
      <c r="K270" s="44">
        <v>3</v>
      </c>
      <c r="L270" s="44">
        <v>0.35</v>
      </c>
      <c r="M270" s="44">
        <v>1</v>
      </c>
      <c r="N270" s="44">
        <v>0</v>
      </c>
      <c r="O270" s="45" t="s">
        <v>756</v>
      </c>
      <c r="P270" s="46" t="s">
        <v>27</v>
      </c>
      <c r="Q270" s="46" t="s">
        <v>27</v>
      </c>
      <c r="R270" s="46">
        <v>0</v>
      </c>
      <c r="S270" s="46">
        <v>0</v>
      </c>
      <c r="T270" s="47">
        <v>0</v>
      </c>
      <c r="U270" s="46">
        <v>0</v>
      </c>
      <c r="V270" s="46">
        <v>0</v>
      </c>
      <c r="W270" s="46">
        <v>0</v>
      </c>
      <c r="X270" s="46">
        <v>0</v>
      </c>
    </row>
    <row r="271" spans="1:24" s="5" customFormat="1" x14ac:dyDescent="0.15">
      <c r="A271" s="44" t="s">
        <v>559</v>
      </c>
      <c r="B271" s="44" t="s">
        <v>562</v>
      </c>
      <c r="C271" s="44" t="s">
        <v>564</v>
      </c>
      <c r="D271" s="44">
        <v>0</v>
      </c>
      <c r="E271" s="44">
        <v>0</v>
      </c>
      <c r="F271" s="44">
        <v>2</v>
      </c>
      <c r="G271" s="44">
        <v>30</v>
      </c>
      <c r="H271" s="44">
        <v>1</v>
      </c>
      <c r="I271" s="44" t="s">
        <v>27</v>
      </c>
      <c r="J271" s="44" t="s">
        <v>566</v>
      </c>
      <c r="K271" s="44">
        <v>3</v>
      </c>
      <c r="L271" s="44">
        <v>0</v>
      </c>
      <c r="M271" s="44">
        <v>1</v>
      </c>
      <c r="N271" s="44">
        <v>1</v>
      </c>
      <c r="O271" s="45" t="s">
        <v>1520</v>
      </c>
      <c r="P271" s="46" t="s">
        <v>27</v>
      </c>
      <c r="Q271" s="46" t="s">
        <v>27</v>
      </c>
      <c r="R271" s="46">
        <v>0</v>
      </c>
      <c r="S271" s="46">
        <v>0</v>
      </c>
      <c r="T271" s="47">
        <v>0</v>
      </c>
      <c r="U271" s="46">
        <v>0</v>
      </c>
      <c r="V271" s="46">
        <v>0</v>
      </c>
      <c r="W271" s="46">
        <v>0</v>
      </c>
      <c r="X271" s="46">
        <v>0</v>
      </c>
    </row>
    <row r="272" spans="1:24" s="5" customFormat="1" x14ac:dyDescent="0.15">
      <c r="A272" s="44" t="s">
        <v>560</v>
      </c>
      <c r="B272" s="44" t="s">
        <v>563</v>
      </c>
      <c r="C272" s="44" t="s">
        <v>564</v>
      </c>
      <c r="D272" s="44">
        <v>0</v>
      </c>
      <c r="E272" s="44">
        <v>0</v>
      </c>
      <c r="F272" s="44">
        <v>11</v>
      </c>
      <c r="G272" s="44">
        <v>0</v>
      </c>
      <c r="H272" s="44">
        <v>1</v>
      </c>
      <c r="I272" s="44" t="s">
        <v>27</v>
      </c>
      <c r="J272" s="44" t="s">
        <v>567</v>
      </c>
      <c r="K272" s="44">
        <v>1.5</v>
      </c>
      <c r="L272" s="44">
        <v>0</v>
      </c>
      <c r="M272" s="44">
        <v>1</v>
      </c>
      <c r="N272" s="44">
        <v>1</v>
      </c>
      <c r="O272" s="45" t="s">
        <v>1520</v>
      </c>
      <c r="P272" s="46" t="s">
        <v>27</v>
      </c>
      <c r="Q272" s="46" t="s">
        <v>27</v>
      </c>
      <c r="R272" s="46">
        <v>0</v>
      </c>
      <c r="S272" s="46">
        <v>0</v>
      </c>
      <c r="T272" s="47">
        <v>0</v>
      </c>
      <c r="U272" s="46">
        <v>0</v>
      </c>
      <c r="V272" s="46">
        <v>0</v>
      </c>
      <c r="W272" s="46">
        <v>0</v>
      </c>
      <c r="X272" s="46">
        <v>0</v>
      </c>
    </row>
    <row r="273" spans="1:24" s="5" customFormat="1" x14ac:dyDescent="0.15">
      <c r="A273" s="44" t="s">
        <v>568</v>
      </c>
      <c r="B273" s="44" t="s">
        <v>569</v>
      </c>
      <c r="C273" s="44" t="s">
        <v>27</v>
      </c>
      <c r="D273" s="44">
        <v>0</v>
      </c>
      <c r="E273" s="44">
        <v>0</v>
      </c>
      <c r="F273" s="44">
        <v>1</v>
      </c>
      <c r="G273" s="44">
        <v>0</v>
      </c>
      <c r="H273" s="44" t="s">
        <v>839</v>
      </c>
      <c r="I273" s="44" t="s">
        <v>27</v>
      </c>
      <c r="J273" s="44" t="s">
        <v>27</v>
      </c>
      <c r="K273" s="44">
        <v>5</v>
      </c>
      <c r="L273" s="44">
        <v>0</v>
      </c>
      <c r="M273" s="44">
        <v>1</v>
      </c>
      <c r="N273" s="44">
        <v>0</v>
      </c>
      <c r="O273" s="45" t="s">
        <v>1520</v>
      </c>
      <c r="P273" s="46" t="s">
        <v>27</v>
      </c>
      <c r="Q273" s="46" t="s">
        <v>27</v>
      </c>
      <c r="R273" s="46">
        <v>0</v>
      </c>
      <c r="S273" s="46">
        <v>0</v>
      </c>
      <c r="T273" s="47">
        <v>0</v>
      </c>
      <c r="U273" s="46">
        <v>0</v>
      </c>
      <c r="V273" s="46">
        <v>0</v>
      </c>
      <c r="W273" s="46">
        <v>0</v>
      </c>
      <c r="X273" s="46">
        <v>0</v>
      </c>
    </row>
    <row r="274" spans="1:24" s="5" customFormat="1" x14ac:dyDescent="0.15">
      <c r="A274" s="44" t="s">
        <v>570</v>
      </c>
      <c r="B274" s="44" t="s">
        <v>572</v>
      </c>
      <c r="C274" s="44" t="s">
        <v>574</v>
      </c>
      <c r="D274" s="44">
        <v>1.167</v>
      </c>
      <c r="E274" s="44">
        <v>0</v>
      </c>
      <c r="F274" s="44">
        <v>1</v>
      </c>
      <c r="G274" s="44">
        <v>0</v>
      </c>
      <c r="H274" s="44" t="s">
        <v>839</v>
      </c>
      <c r="I274" s="44" t="s">
        <v>151</v>
      </c>
      <c r="J274" s="44" t="s">
        <v>578</v>
      </c>
      <c r="K274" s="44">
        <v>5</v>
      </c>
      <c r="L274" s="44">
        <v>0.4</v>
      </c>
      <c r="M274" s="44">
        <v>1</v>
      </c>
      <c r="N274" s="44">
        <v>0</v>
      </c>
      <c r="O274" s="45" t="s">
        <v>1520</v>
      </c>
      <c r="P274" s="46" t="s">
        <v>27</v>
      </c>
      <c r="Q274" s="46" t="s">
        <v>27</v>
      </c>
      <c r="R274" s="46">
        <v>0</v>
      </c>
      <c r="S274" s="46">
        <v>0</v>
      </c>
      <c r="T274" s="47">
        <v>0</v>
      </c>
      <c r="U274" s="46">
        <v>0</v>
      </c>
      <c r="V274" s="46">
        <v>0</v>
      </c>
      <c r="W274" s="46">
        <v>0</v>
      </c>
      <c r="X274" s="46">
        <v>0</v>
      </c>
    </row>
    <row r="275" spans="1:24" s="5" customFormat="1" x14ac:dyDescent="0.15">
      <c r="A275" s="44" t="s">
        <v>571</v>
      </c>
      <c r="B275" s="44" t="s">
        <v>573</v>
      </c>
      <c r="C275" s="44" t="s">
        <v>575</v>
      </c>
      <c r="D275" s="44">
        <v>0</v>
      </c>
      <c r="E275" s="44">
        <v>0</v>
      </c>
      <c r="F275" s="44" t="s">
        <v>582</v>
      </c>
      <c r="G275" s="44">
        <v>30</v>
      </c>
      <c r="H275" s="44">
        <v>1</v>
      </c>
      <c r="I275" s="44" t="s">
        <v>27</v>
      </c>
      <c r="J275" s="44" t="s">
        <v>579</v>
      </c>
      <c r="K275" s="44">
        <v>5</v>
      </c>
      <c r="L275" s="44">
        <v>0</v>
      </c>
      <c r="M275" s="44">
        <v>1</v>
      </c>
      <c r="N275" s="44">
        <v>15</v>
      </c>
      <c r="O275" s="45" t="s">
        <v>1520</v>
      </c>
      <c r="P275" s="46" t="s">
        <v>27</v>
      </c>
      <c r="Q275" s="46" t="s">
        <v>27</v>
      </c>
      <c r="R275" s="46">
        <v>0</v>
      </c>
      <c r="S275" s="46">
        <v>0</v>
      </c>
      <c r="T275" s="47">
        <v>0</v>
      </c>
      <c r="U275" s="46">
        <v>0</v>
      </c>
      <c r="V275" s="46">
        <v>0</v>
      </c>
      <c r="W275" s="46">
        <v>0</v>
      </c>
      <c r="X275" s="46">
        <v>0</v>
      </c>
    </row>
    <row r="276" spans="1:24" s="5" customFormat="1" x14ac:dyDescent="0.15">
      <c r="A276" s="44" t="s">
        <v>576</v>
      </c>
      <c r="B276" s="44" t="s">
        <v>577</v>
      </c>
      <c r="C276" s="44" t="s">
        <v>575</v>
      </c>
      <c r="D276" s="44">
        <v>0</v>
      </c>
      <c r="E276" s="44">
        <v>0</v>
      </c>
      <c r="F276" s="44" t="s">
        <v>581</v>
      </c>
      <c r="G276" s="44">
        <v>30</v>
      </c>
      <c r="H276" s="44" t="s">
        <v>839</v>
      </c>
      <c r="I276" s="44" t="s">
        <v>27</v>
      </c>
      <c r="J276" s="44" t="s">
        <v>580</v>
      </c>
      <c r="K276" s="44">
        <v>5</v>
      </c>
      <c r="L276" s="44">
        <v>0.1</v>
      </c>
      <c r="M276" s="44">
        <v>1</v>
      </c>
      <c r="N276" s="44">
        <v>15</v>
      </c>
      <c r="O276" s="45" t="s">
        <v>1520</v>
      </c>
      <c r="P276" s="46" t="s">
        <v>27</v>
      </c>
      <c r="Q276" s="46" t="s">
        <v>27</v>
      </c>
      <c r="R276" s="46">
        <v>0</v>
      </c>
      <c r="S276" s="46">
        <v>0</v>
      </c>
      <c r="T276" s="47">
        <v>0</v>
      </c>
      <c r="U276" s="46">
        <v>0</v>
      </c>
      <c r="V276" s="46">
        <v>0</v>
      </c>
      <c r="W276" s="46">
        <v>0</v>
      </c>
      <c r="X276" s="46">
        <v>0</v>
      </c>
    </row>
    <row r="277" spans="1:24" s="5" customFormat="1" x14ac:dyDescent="0.15">
      <c r="A277" s="44" t="s">
        <v>1408</v>
      </c>
      <c r="B277" s="44" t="s">
        <v>1409</v>
      </c>
      <c r="C277" s="44" t="s">
        <v>144</v>
      </c>
      <c r="D277" s="44">
        <v>1.167</v>
      </c>
      <c r="E277" s="44">
        <v>0</v>
      </c>
      <c r="F277" s="44">
        <v>2</v>
      </c>
      <c r="G277" s="44">
        <v>17</v>
      </c>
      <c r="H277" s="44">
        <v>1</v>
      </c>
      <c r="I277" s="44" t="s">
        <v>50</v>
      </c>
      <c r="J277" s="44" t="s">
        <v>583</v>
      </c>
      <c r="K277" s="44">
        <v>5</v>
      </c>
      <c r="L277" s="44">
        <v>0.7</v>
      </c>
      <c r="M277" s="44">
        <v>1</v>
      </c>
      <c r="N277" s="44">
        <v>1</v>
      </c>
      <c r="O277" s="45" t="s">
        <v>1520</v>
      </c>
      <c r="P277" s="46" t="s">
        <v>27</v>
      </c>
      <c r="Q277" s="46" t="s">
        <v>27</v>
      </c>
      <c r="R277" s="46">
        <v>0</v>
      </c>
      <c r="S277" s="46">
        <v>0</v>
      </c>
      <c r="T277" s="47">
        <v>0</v>
      </c>
      <c r="U277" s="46">
        <v>0</v>
      </c>
      <c r="V277" s="46">
        <v>0</v>
      </c>
      <c r="W277" s="46">
        <v>0</v>
      </c>
      <c r="X277" s="46">
        <v>0</v>
      </c>
    </row>
    <row r="278" spans="1:24" s="5" customFormat="1" x14ac:dyDescent="0.15">
      <c r="A278" s="44" t="s">
        <v>584</v>
      </c>
      <c r="B278" s="44" t="s">
        <v>692</v>
      </c>
      <c r="C278" s="44" t="s">
        <v>1865</v>
      </c>
      <c r="D278" s="44">
        <v>1.667</v>
      </c>
      <c r="E278" s="44">
        <v>0</v>
      </c>
      <c r="F278" s="44">
        <v>1</v>
      </c>
      <c r="G278" s="44">
        <v>0</v>
      </c>
      <c r="H278" s="44">
        <v>1</v>
      </c>
      <c r="I278" s="44" t="s">
        <v>50</v>
      </c>
      <c r="J278" s="44" t="s">
        <v>1749</v>
      </c>
      <c r="K278" s="44">
        <v>5</v>
      </c>
      <c r="L278" s="44">
        <v>0</v>
      </c>
      <c r="M278" s="44">
        <v>1</v>
      </c>
      <c r="N278" s="44">
        <v>0</v>
      </c>
      <c r="O278" s="45" t="s">
        <v>1520</v>
      </c>
      <c r="P278" s="46" t="s">
        <v>27</v>
      </c>
      <c r="Q278" s="46" t="s">
        <v>27</v>
      </c>
      <c r="R278" s="46">
        <v>0</v>
      </c>
      <c r="S278" s="46">
        <v>0</v>
      </c>
      <c r="T278" s="47">
        <v>0</v>
      </c>
      <c r="U278" s="46">
        <v>0</v>
      </c>
      <c r="V278" s="46">
        <v>0</v>
      </c>
      <c r="W278" s="46">
        <v>0</v>
      </c>
      <c r="X278" s="46">
        <v>0</v>
      </c>
    </row>
    <row r="279" spans="1:24" s="5" customFormat="1" x14ac:dyDescent="0.15">
      <c r="A279" s="44" t="s">
        <v>691</v>
      </c>
      <c r="B279" s="44" t="s">
        <v>693</v>
      </c>
      <c r="C279" s="44" t="s">
        <v>1865</v>
      </c>
      <c r="D279" s="44">
        <v>1.667</v>
      </c>
      <c r="E279" s="44">
        <v>0</v>
      </c>
      <c r="F279" s="44">
        <v>1</v>
      </c>
      <c r="G279" s="44">
        <v>0</v>
      </c>
      <c r="H279" s="44">
        <v>1</v>
      </c>
      <c r="I279" s="44" t="s">
        <v>50</v>
      </c>
      <c r="J279" s="44" t="s">
        <v>1750</v>
      </c>
      <c r="K279" s="44">
        <v>5</v>
      </c>
      <c r="L279" s="44">
        <v>0.2</v>
      </c>
      <c r="M279" s="44">
        <v>2</v>
      </c>
      <c r="N279" s="44">
        <v>0</v>
      </c>
      <c r="O279" s="45" t="s">
        <v>1520</v>
      </c>
      <c r="P279" s="46" t="s">
        <v>27</v>
      </c>
      <c r="Q279" s="46" t="s">
        <v>27</v>
      </c>
      <c r="R279" s="46">
        <v>0</v>
      </c>
      <c r="S279" s="46">
        <v>0</v>
      </c>
      <c r="T279" s="47">
        <v>0</v>
      </c>
      <c r="U279" s="46">
        <v>0</v>
      </c>
      <c r="V279" s="46">
        <v>0</v>
      </c>
      <c r="W279" s="46">
        <v>0</v>
      </c>
      <c r="X279" s="46">
        <v>0</v>
      </c>
    </row>
    <row r="280" spans="1:24" s="5" customFormat="1" x14ac:dyDescent="0.15">
      <c r="A280" s="44" t="s">
        <v>694</v>
      </c>
      <c r="B280" s="44" t="s">
        <v>695</v>
      </c>
      <c r="C280" s="44" t="s">
        <v>1866</v>
      </c>
      <c r="D280" s="44">
        <v>0.8</v>
      </c>
      <c r="E280" s="44">
        <v>0</v>
      </c>
      <c r="F280" s="44">
        <v>1</v>
      </c>
      <c r="G280" s="44">
        <v>0</v>
      </c>
      <c r="H280" s="44">
        <v>1</v>
      </c>
      <c r="I280" s="44" t="s">
        <v>27</v>
      </c>
      <c r="J280" s="44" t="s">
        <v>1415</v>
      </c>
      <c r="K280" s="44">
        <v>5</v>
      </c>
      <c r="L280" s="44">
        <v>0</v>
      </c>
      <c r="M280" s="44">
        <v>1</v>
      </c>
      <c r="N280" s="44">
        <v>0</v>
      </c>
      <c r="O280" s="45" t="s">
        <v>1520</v>
      </c>
      <c r="P280" s="46" t="s">
        <v>27</v>
      </c>
      <c r="Q280" s="46" t="s">
        <v>27</v>
      </c>
      <c r="R280" s="46">
        <v>0</v>
      </c>
      <c r="S280" s="46">
        <v>0</v>
      </c>
      <c r="T280" s="47">
        <v>0</v>
      </c>
      <c r="U280" s="46">
        <v>0</v>
      </c>
      <c r="V280" s="46">
        <v>0</v>
      </c>
      <c r="W280" s="46">
        <v>0</v>
      </c>
      <c r="X280" s="46">
        <v>0</v>
      </c>
    </row>
    <row r="281" spans="1:24" s="5" customFormat="1" x14ac:dyDescent="0.15">
      <c r="A281" s="44" t="s">
        <v>585</v>
      </c>
      <c r="B281" s="44" t="s">
        <v>586</v>
      </c>
      <c r="C281" s="44" t="s">
        <v>27</v>
      </c>
      <c r="D281" s="44">
        <v>0</v>
      </c>
      <c r="E281" s="44">
        <v>0</v>
      </c>
      <c r="F281" s="44">
        <v>1</v>
      </c>
      <c r="G281" s="44">
        <v>0</v>
      </c>
      <c r="H281" s="44" t="s">
        <v>50</v>
      </c>
      <c r="I281" s="44" t="s">
        <v>27</v>
      </c>
      <c r="J281" s="44" t="s">
        <v>27</v>
      </c>
      <c r="K281" s="44">
        <v>5</v>
      </c>
      <c r="L281" s="44">
        <v>0</v>
      </c>
      <c r="M281" s="44">
        <v>1</v>
      </c>
      <c r="N281" s="44">
        <v>0</v>
      </c>
      <c r="O281" s="45" t="s">
        <v>1520</v>
      </c>
      <c r="P281" s="46" t="s">
        <v>27</v>
      </c>
      <c r="Q281" s="46" t="s">
        <v>27</v>
      </c>
      <c r="R281" s="46">
        <v>0</v>
      </c>
      <c r="S281" s="46">
        <v>0</v>
      </c>
      <c r="T281" s="47">
        <v>0</v>
      </c>
      <c r="U281" s="46">
        <v>0</v>
      </c>
      <c r="V281" s="46">
        <v>0</v>
      </c>
      <c r="W281" s="46">
        <v>0</v>
      </c>
      <c r="X281" s="46">
        <v>0</v>
      </c>
    </row>
    <row r="282" spans="1:24" s="5" customFormat="1" x14ac:dyDescent="0.15">
      <c r="A282" s="44" t="s">
        <v>1752</v>
      </c>
      <c r="B282" s="44" t="s">
        <v>697</v>
      </c>
      <c r="C282" s="44" t="s">
        <v>1865</v>
      </c>
      <c r="D282" s="44">
        <v>1</v>
      </c>
      <c r="E282" s="44">
        <v>0</v>
      </c>
      <c r="F282" s="44">
        <v>1</v>
      </c>
      <c r="G282" s="44">
        <v>0</v>
      </c>
      <c r="H282" s="44">
        <v>1</v>
      </c>
      <c r="I282" s="44" t="s">
        <v>50</v>
      </c>
      <c r="J282" s="44" t="s">
        <v>1392</v>
      </c>
      <c r="K282" s="44">
        <v>5</v>
      </c>
      <c r="L282" s="44">
        <v>1</v>
      </c>
      <c r="M282" s="44">
        <v>2</v>
      </c>
      <c r="N282" s="44">
        <v>3</v>
      </c>
      <c r="O282" s="45" t="s">
        <v>1751</v>
      </c>
      <c r="P282" s="46" t="s">
        <v>27</v>
      </c>
      <c r="Q282" s="46" t="s">
        <v>27</v>
      </c>
      <c r="R282" s="46">
        <v>0</v>
      </c>
      <c r="S282" s="46">
        <v>0</v>
      </c>
      <c r="T282" s="47">
        <v>0</v>
      </c>
      <c r="U282" s="46">
        <v>0</v>
      </c>
      <c r="V282" s="46">
        <v>0</v>
      </c>
      <c r="W282" s="46">
        <v>0</v>
      </c>
      <c r="X282" s="46">
        <v>0</v>
      </c>
    </row>
    <row r="283" spans="1:24" s="5" customFormat="1" x14ac:dyDescent="0.15">
      <c r="A283" s="44" t="s">
        <v>696</v>
      </c>
      <c r="B283" s="44" t="s">
        <v>697</v>
      </c>
      <c r="C283" s="44" t="s">
        <v>1865</v>
      </c>
      <c r="D283" s="44">
        <v>1</v>
      </c>
      <c r="E283" s="44">
        <v>0</v>
      </c>
      <c r="F283" s="44">
        <v>1</v>
      </c>
      <c r="G283" s="44">
        <v>0</v>
      </c>
      <c r="H283" s="44">
        <v>1</v>
      </c>
      <c r="I283" s="44" t="s">
        <v>50</v>
      </c>
      <c r="J283" s="44" t="s">
        <v>1867</v>
      </c>
      <c r="K283" s="44">
        <v>5</v>
      </c>
      <c r="L283" s="44">
        <v>1</v>
      </c>
      <c r="M283" s="44">
        <v>2</v>
      </c>
      <c r="N283" s="44">
        <v>3</v>
      </c>
      <c r="O283" s="45" t="s">
        <v>1751</v>
      </c>
      <c r="P283" s="46" t="s">
        <v>27</v>
      </c>
      <c r="Q283" s="46" t="s">
        <v>27</v>
      </c>
      <c r="R283" s="46">
        <v>0</v>
      </c>
      <c r="S283" s="46">
        <v>0</v>
      </c>
      <c r="T283" s="47">
        <v>0</v>
      </c>
      <c r="U283" s="46">
        <v>0</v>
      </c>
      <c r="V283" s="46">
        <v>0</v>
      </c>
      <c r="W283" s="46">
        <v>0</v>
      </c>
      <c r="X283" s="46">
        <v>0</v>
      </c>
    </row>
    <row r="284" spans="1:24" s="5" customFormat="1" x14ac:dyDescent="0.15">
      <c r="A284" s="44" t="s">
        <v>628</v>
      </c>
      <c r="B284" s="44" t="s">
        <v>634</v>
      </c>
      <c r="C284" s="44" t="s">
        <v>71</v>
      </c>
      <c r="D284" s="44">
        <v>0.73299999999999998</v>
      </c>
      <c r="E284" s="44">
        <v>0</v>
      </c>
      <c r="F284" s="44">
        <v>2</v>
      </c>
      <c r="G284" s="44">
        <v>17</v>
      </c>
      <c r="H284" s="44">
        <v>1</v>
      </c>
      <c r="I284" s="44" t="s">
        <v>27</v>
      </c>
      <c r="J284" s="44" t="s">
        <v>640</v>
      </c>
      <c r="K284" s="44">
        <v>5</v>
      </c>
      <c r="L284" s="44">
        <v>0.4</v>
      </c>
      <c r="M284" s="44">
        <v>1</v>
      </c>
      <c r="N284" s="44">
        <v>1</v>
      </c>
      <c r="O284" s="45" t="s">
        <v>1520</v>
      </c>
      <c r="P284" s="46" t="s">
        <v>27</v>
      </c>
      <c r="Q284" s="46" t="s">
        <v>27</v>
      </c>
      <c r="R284" s="46">
        <v>0</v>
      </c>
      <c r="S284" s="46">
        <v>0</v>
      </c>
      <c r="T284" s="47">
        <v>0</v>
      </c>
      <c r="U284" s="46">
        <v>0</v>
      </c>
      <c r="V284" s="46">
        <v>0</v>
      </c>
      <c r="W284" s="46">
        <v>0</v>
      </c>
      <c r="X284" s="46">
        <v>0</v>
      </c>
    </row>
    <row r="285" spans="1:24" s="5" customFormat="1" x14ac:dyDescent="0.15">
      <c r="A285" s="44" t="s">
        <v>629</v>
      </c>
      <c r="B285" s="44" t="s">
        <v>635</v>
      </c>
      <c r="C285" s="44" t="s">
        <v>73</v>
      </c>
      <c r="D285" s="44">
        <v>1.667</v>
      </c>
      <c r="E285" s="44">
        <v>0</v>
      </c>
      <c r="F285" s="44">
        <v>1</v>
      </c>
      <c r="G285" s="44">
        <v>0</v>
      </c>
      <c r="H285" s="44">
        <v>1</v>
      </c>
      <c r="I285" s="44" t="s">
        <v>27</v>
      </c>
      <c r="J285" s="44" t="s">
        <v>641</v>
      </c>
      <c r="K285" s="44">
        <v>5</v>
      </c>
      <c r="L285" s="44">
        <v>0.6</v>
      </c>
      <c r="M285" s="44">
        <v>1</v>
      </c>
      <c r="N285" s="44">
        <v>0</v>
      </c>
      <c r="O285" s="45" t="s">
        <v>1520</v>
      </c>
      <c r="P285" s="46" t="s">
        <v>27</v>
      </c>
      <c r="Q285" s="46" t="s">
        <v>27</v>
      </c>
      <c r="R285" s="46">
        <v>0</v>
      </c>
      <c r="S285" s="46">
        <v>0</v>
      </c>
      <c r="T285" s="47">
        <v>0</v>
      </c>
      <c r="U285" s="46">
        <v>0</v>
      </c>
      <c r="V285" s="46">
        <v>0</v>
      </c>
      <c r="W285" s="46">
        <v>0</v>
      </c>
      <c r="X285" s="46">
        <v>0</v>
      </c>
    </row>
    <row r="286" spans="1:24" s="5" customFormat="1" x14ac:dyDescent="0.15">
      <c r="A286" s="44" t="s">
        <v>917</v>
      </c>
      <c r="B286" s="44" t="s">
        <v>636</v>
      </c>
      <c r="C286" s="44" t="s">
        <v>72</v>
      </c>
      <c r="D286" s="44">
        <v>0.8</v>
      </c>
      <c r="E286" s="44">
        <v>0</v>
      </c>
      <c r="F286" s="44">
        <v>1</v>
      </c>
      <c r="G286" s="44">
        <v>0</v>
      </c>
      <c r="H286" s="44">
        <v>1</v>
      </c>
      <c r="I286" s="44" t="s">
        <v>27</v>
      </c>
      <c r="J286" s="44" t="s">
        <v>918</v>
      </c>
      <c r="K286" s="44">
        <v>5</v>
      </c>
      <c r="L286" s="44">
        <v>0</v>
      </c>
      <c r="M286" s="44">
        <v>1</v>
      </c>
      <c r="N286" s="44">
        <v>0</v>
      </c>
      <c r="O286" s="45" t="s">
        <v>1520</v>
      </c>
      <c r="P286" s="46" t="s">
        <v>27</v>
      </c>
      <c r="Q286" s="46" t="s">
        <v>27</v>
      </c>
      <c r="R286" s="46">
        <v>0</v>
      </c>
      <c r="S286" s="46">
        <v>0</v>
      </c>
      <c r="T286" s="47">
        <v>0</v>
      </c>
      <c r="U286" s="46">
        <v>0</v>
      </c>
      <c r="V286" s="46">
        <v>0</v>
      </c>
      <c r="W286" s="46">
        <v>0</v>
      </c>
      <c r="X286" s="46">
        <v>0</v>
      </c>
    </row>
    <row r="287" spans="1:24" s="5" customFormat="1" x14ac:dyDescent="0.15">
      <c r="A287" s="44" t="s">
        <v>630</v>
      </c>
      <c r="B287" s="44" t="s">
        <v>636</v>
      </c>
      <c r="C287" s="44" t="s">
        <v>72</v>
      </c>
      <c r="D287" s="44">
        <v>0.8</v>
      </c>
      <c r="E287" s="44">
        <v>0</v>
      </c>
      <c r="F287" s="44">
        <v>1</v>
      </c>
      <c r="G287" s="44">
        <v>0</v>
      </c>
      <c r="H287" s="44">
        <v>1</v>
      </c>
      <c r="I287" s="44" t="s">
        <v>27</v>
      </c>
      <c r="J287" s="44" t="s">
        <v>642</v>
      </c>
      <c r="K287" s="44">
        <v>5</v>
      </c>
      <c r="L287" s="44">
        <v>0</v>
      </c>
      <c r="M287" s="44">
        <v>1</v>
      </c>
      <c r="N287" s="44">
        <v>0</v>
      </c>
      <c r="O287" s="45" t="s">
        <v>1520</v>
      </c>
      <c r="P287" s="46" t="s">
        <v>27</v>
      </c>
      <c r="Q287" s="46" t="s">
        <v>27</v>
      </c>
      <c r="R287" s="46">
        <v>0</v>
      </c>
      <c r="S287" s="46">
        <v>0</v>
      </c>
      <c r="T287" s="47">
        <v>0</v>
      </c>
      <c r="U287" s="46">
        <v>0</v>
      </c>
      <c r="V287" s="46">
        <v>0</v>
      </c>
      <c r="W287" s="46">
        <v>0</v>
      </c>
      <c r="X287" s="46">
        <v>0</v>
      </c>
    </row>
    <row r="288" spans="1:24" s="5" customFormat="1" x14ac:dyDescent="0.15">
      <c r="A288" s="44" t="s">
        <v>631</v>
      </c>
      <c r="B288" s="44" t="s">
        <v>637</v>
      </c>
      <c r="C288" s="44" t="s">
        <v>27</v>
      </c>
      <c r="D288" s="44">
        <v>0</v>
      </c>
      <c r="E288" s="44">
        <v>0</v>
      </c>
      <c r="F288" s="44">
        <v>1</v>
      </c>
      <c r="G288" s="44">
        <v>0</v>
      </c>
      <c r="H288" s="44" t="s">
        <v>839</v>
      </c>
      <c r="I288" s="44" t="s">
        <v>27</v>
      </c>
      <c r="J288" s="44" t="s">
        <v>27</v>
      </c>
      <c r="K288" s="44">
        <v>5</v>
      </c>
      <c r="L288" s="44">
        <v>0</v>
      </c>
      <c r="M288" s="44">
        <v>2</v>
      </c>
      <c r="N288" s="44">
        <v>0</v>
      </c>
      <c r="O288" s="45" t="s">
        <v>1520</v>
      </c>
      <c r="P288" s="46" t="s">
        <v>27</v>
      </c>
      <c r="Q288" s="46" t="s">
        <v>27</v>
      </c>
      <c r="R288" s="46">
        <v>0</v>
      </c>
      <c r="S288" s="46">
        <v>0</v>
      </c>
      <c r="T288" s="47">
        <v>0</v>
      </c>
      <c r="U288" s="46">
        <v>0</v>
      </c>
      <c r="V288" s="46">
        <v>0</v>
      </c>
      <c r="W288" s="46">
        <v>0</v>
      </c>
      <c r="X288" s="46">
        <v>0</v>
      </c>
    </row>
    <row r="289" spans="1:25" s="5" customFormat="1" x14ac:dyDescent="0.15">
      <c r="A289" s="44" t="s">
        <v>632</v>
      </c>
      <c r="B289" s="44" t="s">
        <v>638</v>
      </c>
      <c r="C289" s="44" t="s">
        <v>73</v>
      </c>
      <c r="D289" s="44">
        <v>1.167</v>
      </c>
      <c r="E289" s="44">
        <v>0</v>
      </c>
      <c r="F289" s="44">
        <v>2</v>
      </c>
      <c r="G289" s="44">
        <v>20</v>
      </c>
      <c r="H289" s="44">
        <v>1</v>
      </c>
      <c r="I289" s="44" t="s">
        <v>27</v>
      </c>
      <c r="J289" s="44" t="s">
        <v>1851</v>
      </c>
      <c r="K289" s="44">
        <v>5</v>
      </c>
      <c r="L289" s="44">
        <v>0.6</v>
      </c>
      <c r="M289" s="44">
        <v>1</v>
      </c>
      <c r="N289" s="44">
        <v>1</v>
      </c>
      <c r="O289" s="45" t="s">
        <v>885</v>
      </c>
      <c r="P289" s="46" t="s">
        <v>27</v>
      </c>
      <c r="Q289" s="46" t="s">
        <v>27</v>
      </c>
      <c r="R289" s="46">
        <v>0</v>
      </c>
      <c r="S289" s="46">
        <v>0</v>
      </c>
      <c r="T289" s="47">
        <v>0</v>
      </c>
      <c r="U289" s="46">
        <v>0</v>
      </c>
      <c r="V289" s="46">
        <v>0</v>
      </c>
      <c r="W289" s="46">
        <v>0</v>
      </c>
      <c r="X289" s="46">
        <v>0</v>
      </c>
    </row>
    <row r="290" spans="1:25" s="5" customFormat="1" x14ac:dyDescent="0.15">
      <c r="A290" s="44" t="s">
        <v>633</v>
      </c>
      <c r="B290" s="44" t="s">
        <v>639</v>
      </c>
      <c r="C290" s="44" t="s">
        <v>73</v>
      </c>
      <c r="D290" s="44">
        <v>0</v>
      </c>
      <c r="E290" s="44">
        <v>0</v>
      </c>
      <c r="F290" s="44">
        <v>1</v>
      </c>
      <c r="G290" s="44">
        <v>0</v>
      </c>
      <c r="H290" s="44" t="s">
        <v>839</v>
      </c>
      <c r="I290" s="44" t="s">
        <v>27</v>
      </c>
      <c r="J290" s="44" t="s">
        <v>1852</v>
      </c>
      <c r="K290" s="44">
        <v>5</v>
      </c>
      <c r="L290" s="44">
        <v>0</v>
      </c>
      <c r="M290" s="44">
        <v>1</v>
      </c>
      <c r="N290" s="44">
        <v>0</v>
      </c>
      <c r="O290" s="45" t="s">
        <v>1520</v>
      </c>
      <c r="P290" s="46" t="s">
        <v>27</v>
      </c>
      <c r="Q290" s="46" t="s">
        <v>27</v>
      </c>
      <c r="R290" s="46">
        <v>0</v>
      </c>
      <c r="S290" s="46">
        <v>0</v>
      </c>
      <c r="T290" s="47">
        <v>0</v>
      </c>
      <c r="U290" s="46">
        <v>0</v>
      </c>
      <c r="V290" s="46">
        <v>0</v>
      </c>
      <c r="W290" s="46">
        <v>0</v>
      </c>
      <c r="X290" s="46">
        <v>0</v>
      </c>
    </row>
    <row r="291" spans="1:25" s="5" customFormat="1" x14ac:dyDescent="0.15">
      <c r="A291" s="44" t="s">
        <v>624</v>
      </c>
      <c r="B291" s="44" t="s">
        <v>625</v>
      </c>
      <c r="C291" s="44" t="s">
        <v>28</v>
      </c>
      <c r="D291" s="44">
        <v>0.73299999999999998</v>
      </c>
      <c r="E291" s="44">
        <v>0</v>
      </c>
      <c r="F291" s="44">
        <v>1</v>
      </c>
      <c r="G291" s="44">
        <v>0</v>
      </c>
      <c r="H291" s="44">
        <v>1</v>
      </c>
      <c r="I291" s="44" t="s">
        <v>27</v>
      </c>
      <c r="J291" s="44" t="s">
        <v>624</v>
      </c>
      <c r="K291" s="44">
        <v>1</v>
      </c>
      <c r="L291" s="44">
        <v>0</v>
      </c>
      <c r="M291" s="44">
        <v>1</v>
      </c>
      <c r="N291" s="44">
        <v>6</v>
      </c>
      <c r="O291" s="45" t="s">
        <v>1887</v>
      </c>
      <c r="P291" s="46" t="s">
        <v>27</v>
      </c>
      <c r="Q291" s="46" t="s">
        <v>27</v>
      </c>
      <c r="R291" s="46">
        <v>0</v>
      </c>
      <c r="S291" s="46">
        <v>0</v>
      </c>
      <c r="T291" s="47">
        <v>0</v>
      </c>
      <c r="U291" s="46">
        <v>0</v>
      </c>
      <c r="V291" s="46">
        <v>0</v>
      </c>
      <c r="W291" s="46">
        <v>0</v>
      </c>
      <c r="X291" s="46">
        <v>0</v>
      </c>
    </row>
    <row r="292" spans="1:25" s="5" customFormat="1" x14ac:dyDescent="0.15">
      <c r="A292" s="71" t="s">
        <v>728</v>
      </c>
      <c r="B292" s="44" t="s">
        <v>727</v>
      </c>
      <c r="C292" s="44" t="s">
        <v>73</v>
      </c>
      <c r="D292" s="44">
        <v>1.667</v>
      </c>
      <c r="E292" s="44">
        <v>0</v>
      </c>
      <c r="F292" s="44">
        <v>1</v>
      </c>
      <c r="G292" s="44">
        <v>0</v>
      </c>
      <c r="H292" s="44">
        <v>1</v>
      </c>
      <c r="I292" s="44" t="s">
        <v>114</v>
      </c>
      <c r="J292" s="44" t="s">
        <v>114</v>
      </c>
      <c r="K292" s="44">
        <v>5</v>
      </c>
      <c r="L292" s="44">
        <v>0.6</v>
      </c>
      <c r="M292" s="44">
        <v>0</v>
      </c>
      <c r="N292" s="44">
        <v>0</v>
      </c>
      <c r="O292" s="45" t="s">
        <v>1520</v>
      </c>
      <c r="P292" s="46" t="s">
        <v>27</v>
      </c>
      <c r="Q292" s="46" t="s">
        <v>27</v>
      </c>
      <c r="R292" s="46">
        <v>0</v>
      </c>
      <c r="S292" s="46">
        <v>0</v>
      </c>
      <c r="T292" s="47">
        <v>0</v>
      </c>
      <c r="U292" s="46">
        <v>0</v>
      </c>
      <c r="V292" s="46">
        <v>0</v>
      </c>
      <c r="W292" s="46">
        <v>0</v>
      </c>
      <c r="X292" s="46">
        <v>0</v>
      </c>
    </row>
    <row r="293" spans="1:25" s="5" customFormat="1" x14ac:dyDescent="0.15">
      <c r="A293" s="44" t="s">
        <v>860</v>
      </c>
      <c r="B293" s="44" t="s">
        <v>861</v>
      </c>
      <c r="C293" s="44" t="s">
        <v>73</v>
      </c>
      <c r="D293" s="44">
        <v>1.667</v>
      </c>
      <c r="E293" s="44">
        <v>0</v>
      </c>
      <c r="F293" s="44">
        <v>1</v>
      </c>
      <c r="G293" s="44">
        <v>0</v>
      </c>
      <c r="H293" s="44">
        <v>1</v>
      </c>
      <c r="I293" s="44" t="s">
        <v>27</v>
      </c>
      <c r="J293" s="44" t="s">
        <v>1885</v>
      </c>
      <c r="K293" s="44">
        <v>2.2999999999999998</v>
      </c>
      <c r="L293" s="44">
        <v>0</v>
      </c>
      <c r="M293" s="44">
        <v>2</v>
      </c>
      <c r="N293" s="44">
        <v>2</v>
      </c>
      <c r="O293" s="45" t="s">
        <v>859</v>
      </c>
      <c r="P293" s="46" t="s">
        <v>27</v>
      </c>
      <c r="Q293" s="46" t="s">
        <v>27</v>
      </c>
      <c r="R293" s="46">
        <v>0</v>
      </c>
      <c r="S293" s="46">
        <v>0</v>
      </c>
      <c r="T293" s="47">
        <v>0</v>
      </c>
      <c r="U293" s="46">
        <v>0</v>
      </c>
      <c r="V293" s="46">
        <v>0</v>
      </c>
      <c r="W293" s="46">
        <v>0</v>
      </c>
      <c r="X293" s="46">
        <v>0</v>
      </c>
    </row>
    <row r="294" spans="1:25" s="5" customFormat="1" ht="21.75" customHeight="1" x14ac:dyDescent="0.15">
      <c r="A294" s="44" t="s">
        <v>1903</v>
      </c>
      <c r="B294" s="44" t="s">
        <v>862</v>
      </c>
      <c r="C294" s="44" t="s">
        <v>72</v>
      </c>
      <c r="D294" s="44">
        <v>1.8</v>
      </c>
      <c r="E294" s="44">
        <v>0</v>
      </c>
      <c r="F294" s="44" t="s">
        <v>1900</v>
      </c>
      <c r="G294" s="44">
        <v>17</v>
      </c>
      <c r="H294" s="44">
        <v>1</v>
      </c>
      <c r="I294" s="44" t="s">
        <v>27</v>
      </c>
      <c r="J294" s="44" t="s">
        <v>1901</v>
      </c>
      <c r="K294" s="44">
        <v>2</v>
      </c>
      <c r="L294" s="44">
        <v>0.5</v>
      </c>
      <c r="M294" s="44">
        <v>1</v>
      </c>
      <c r="N294" s="44">
        <v>1</v>
      </c>
      <c r="O294" s="45" t="s">
        <v>1902</v>
      </c>
      <c r="P294" s="46" t="s">
        <v>27</v>
      </c>
      <c r="Q294" s="46" t="s">
        <v>27</v>
      </c>
      <c r="R294" s="46">
        <v>0</v>
      </c>
      <c r="S294" s="46">
        <v>0</v>
      </c>
      <c r="T294" s="47">
        <v>0</v>
      </c>
      <c r="U294" s="46">
        <v>0</v>
      </c>
      <c r="V294" s="46">
        <v>0</v>
      </c>
      <c r="W294" s="46">
        <v>0</v>
      </c>
      <c r="X294" s="46">
        <v>0</v>
      </c>
    </row>
    <row r="295" spans="1:25" s="5" customFormat="1" x14ac:dyDescent="0.15">
      <c r="A295" s="44" t="s">
        <v>1886</v>
      </c>
      <c r="B295" s="44" t="s">
        <v>868</v>
      </c>
      <c r="C295" s="44" t="s">
        <v>72</v>
      </c>
      <c r="D295" s="44">
        <v>2.5</v>
      </c>
      <c r="E295" s="44">
        <v>0</v>
      </c>
      <c r="F295" s="44">
        <v>14</v>
      </c>
      <c r="G295" s="44">
        <v>10</v>
      </c>
      <c r="H295" s="44">
        <v>1</v>
      </c>
      <c r="I295" s="44" t="s">
        <v>27</v>
      </c>
      <c r="J295" s="44" t="s">
        <v>869</v>
      </c>
      <c r="K295" s="44">
        <v>3</v>
      </c>
      <c r="L295" s="44">
        <v>0</v>
      </c>
      <c r="M295" s="44">
        <v>1</v>
      </c>
      <c r="N295" s="44">
        <v>1</v>
      </c>
      <c r="O295" s="45" t="s">
        <v>1520</v>
      </c>
      <c r="P295" s="46" t="s">
        <v>27</v>
      </c>
      <c r="Q295" s="46" t="s">
        <v>27</v>
      </c>
      <c r="R295" s="46">
        <v>0</v>
      </c>
      <c r="S295" s="46">
        <v>0</v>
      </c>
      <c r="T295" s="47">
        <v>0</v>
      </c>
      <c r="U295" s="46">
        <v>0</v>
      </c>
      <c r="V295" s="46">
        <v>0</v>
      </c>
      <c r="W295" s="46">
        <v>0</v>
      </c>
      <c r="X295" s="46">
        <v>0</v>
      </c>
    </row>
    <row r="296" spans="1:25" s="5" customFormat="1" x14ac:dyDescent="0.15">
      <c r="A296" s="44" t="s">
        <v>870</v>
      </c>
      <c r="B296" s="44" t="s">
        <v>871</v>
      </c>
      <c r="C296" s="44" t="s">
        <v>72</v>
      </c>
      <c r="D296" s="44">
        <v>2.5</v>
      </c>
      <c r="E296" s="44">
        <v>0</v>
      </c>
      <c r="F296" s="44">
        <v>14</v>
      </c>
      <c r="G296" s="44">
        <v>10</v>
      </c>
      <c r="H296" s="44">
        <v>1</v>
      </c>
      <c r="I296" s="44" t="s">
        <v>27</v>
      </c>
      <c r="J296" s="44" t="s">
        <v>872</v>
      </c>
      <c r="K296" s="44">
        <v>3</v>
      </c>
      <c r="L296" s="44">
        <v>0</v>
      </c>
      <c r="M296" s="44">
        <v>1</v>
      </c>
      <c r="N296" s="44">
        <v>1</v>
      </c>
      <c r="O296" s="45" t="s">
        <v>1520</v>
      </c>
      <c r="P296" s="46" t="s">
        <v>27</v>
      </c>
      <c r="Q296" s="46" t="s">
        <v>27</v>
      </c>
      <c r="R296" s="46">
        <v>0</v>
      </c>
      <c r="S296" s="46">
        <v>0</v>
      </c>
      <c r="T296" s="47">
        <v>0</v>
      </c>
      <c r="U296" s="46">
        <v>0</v>
      </c>
      <c r="V296" s="46">
        <v>0</v>
      </c>
      <c r="W296" s="46">
        <v>0</v>
      </c>
      <c r="X296" s="46">
        <v>0</v>
      </c>
    </row>
    <row r="297" spans="1:25" s="5" customFormat="1" x14ac:dyDescent="0.15">
      <c r="A297" s="44" t="s">
        <v>863</v>
      </c>
      <c r="B297" s="44" t="s">
        <v>864</v>
      </c>
      <c r="C297" s="44" t="s">
        <v>27</v>
      </c>
      <c r="D297" s="44">
        <v>0</v>
      </c>
      <c r="E297" s="44">
        <v>0</v>
      </c>
      <c r="F297" s="44">
        <v>1</v>
      </c>
      <c r="G297" s="44">
        <v>0</v>
      </c>
      <c r="H297" s="44" t="s">
        <v>27</v>
      </c>
      <c r="I297" s="44" t="s">
        <v>27</v>
      </c>
      <c r="J297" s="44" t="s">
        <v>27</v>
      </c>
      <c r="K297" s="44">
        <v>5</v>
      </c>
      <c r="L297" s="44">
        <v>0</v>
      </c>
      <c r="M297" s="44">
        <v>1</v>
      </c>
      <c r="N297" s="44">
        <v>0</v>
      </c>
      <c r="O297" s="45" t="s">
        <v>1520</v>
      </c>
      <c r="P297" s="46" t="s">
        <v>27</v>
      </c>
      <c r="Q297" s="46" t="s">
        <v>27</v>
      </c>
      <c r="R297" s="46">
        <v>0</v>
      </c>
      <c r="S297" s="46">
        <v>0</v>
      </c>
      <c r="T297" s="47">
        <v>0</v>
      </c>
      <c r="U297" s="46">
        <v>0</v>
      </c>
      <c r="V297" s="46">
        <v>0</v>
      </c>
      <c r="W297" s="46">
        <v>0</v>
      </c>
      <c r="X297" s="46">
        <v>0</v>
      </c>
    </row>
    <row r="298" spans="1:25" s="5" customFormat="1" x14ac:dyDescent="0.15">
      <c r="A298" s="44" t="s">
        <v>865</v>
      </c>
      <c r="B298" s="44" t="s">
        <v>866</v>
      </c>
      <c r="C298" s="44" t="s">
        <v>73</v>
      </c>
      <c r="D298" s="44">
        <v>3.3</v>
      </c>
      <c r="E298" s="44">
        <v>0</v>
      </c>
      <c r="F298" s="44">
        <v>1</v>
      </c>
      <c r="G298" s="44">
        <v>0</v>
      </c>
      <c r="H298" s="44">
        <v>1</v>
      </c>
      <c r="I298" s="44" t="s">
        <v>27</v>
      </c>
      <c r="J298" s="44" t="s">
        <v>867</v>
      </c>
      <c r="K298" s="44">
        <v>3</v>
      </c>
      <c r="L298" s="44">
        <v>0.3</v>
      </c>
      <c r="M298" s="44">
        <v>2</v>
      </c>
      <c r="N298" s="44">
        <v>2</v>
      </c>
      <c r="O298" s="45" t="s">
        <v>1520</v>
      </c>
      <c r="P298" s="46" t="s">
        <v>27</v>
      </c>
      <c r="Q298" s="46" t="s">
        <v>27</v>
      </c>
      <c r="R298" s="46">
        <v>0</v>
      </c>
      <c r="S298" s="46">
        <v>0</v>
      </c>
      <c r="T298" s="47">
        <v>0</v>
      </c>
      <c r="U298" s="46">
        <v>0</v>
      </c>
      <c r="V298" s="46">
        <v>0</v>
      </c>
      <c r="W298" s="46">
        <v>0</v>
      </c>
      <c r="X298" s="46">
        <v>0</v>
      </c>
    </row>
    <row r="299" spans="1:25" s="6" customFormat="1" x14ac:dyDescent="0.15">
      <c r="A299" s="44" t="s">
        <v>587</v>
      </c>
      <c r="B299" s="44" t="s">
        <v>588</v>
      </c>
      <c r="C299" s="44" t="s">
        <v>71</v>
      </c>
      <c r="D299" s="44">
        <v>0.73299999999999998</v>
      </c>
      <c r="E299" s="44">
        <v>0</v>
      </c>
      <c r="F299" s="44">
        <v>2</v>
      </c>
      <c r="G299" s="44">
        <v>17</v>
      </c>
      <c r="H299" s="44">
        <v>1</v>
      </c>
      <c r="I299" s="44" t="s">
        <v>27</v>
      </c>
      <c r="J299" s="44" t="s">
        <v>587</v>
      </c>
      <c r="K299" s="44">
        <v>5</v>
      </c>
      <c r="L299" s="44">
        <v>0.4</v>
      </c>
      <c r="M299" s="44">
        <v>1</v>
      </c>
      <c r="N299" s="44">
        <v>1</v>
      </c>
      <c r="O299" s="45" t="s">
        <v>1520</v>
      </c>
      <c r="P299" s="46" t="s">
        <v>27</v>
      </c>
      <c r="Q299" s="46" t="s">
        <v>27</v>
      </c>
      <c r="R299" s="46">
        <v>0</v>
      </c>
      <c r="S299" s="46">
        <v>0</v>
      </c>
      <c r="T299" s="47">
        <v>0</v>
      </c>
      <c r="U299" s="46">
        <v>0</v>
      </c>
      <c r="V299" s="46">
        <v>0</v>
      </c>
      <c r="W299" s="46">
        <v>0</v>
      </c>
      <c r="X299" s="46">
        <v>0</v>
      </c>
      <c r="Y299" s="5"/>
    </row>
    <row r="300" spans="1:25" s="6" customFormat="1" x14ac:dyDescent="0.15">
      <c r="A300" s="44" t="s">
        <v>589</v>
      </c>
      <c r="B300" s="44" t="s">
        <v>590</v>
      </c>
      <c r="C300" s="44" t="s">
        <v>1865</v>
      </c>
      <c r="D300" s="44">
        <v>2</v>
      </c>
      <c r="E300" s="44">
        <v>0</v>
      </c>
      <c r="F300" s="44">
        <v>1</v>
      </c>
      <c r="G300" s="44">
        <v>0</v>
      </c>
      <c r="H300" s="44">
        <v>1</v>
      </c>
      <c r="I300" s="44" t="s">
        <v>1331</v>
      </c>
      <c r="J300" s="44" t="s">
        <v>1734</v>
      </c>
      <c r="K300" s="44">
        <v>5</v>
      </c>
      <c r="L300" s="44">
        <v>0</v>
      </c>
      <c r="M300" s="44">
        <v>3</v>
      </c>
      <c r="N300" s="44">
        <v>0</v>
      </c>
      <c r="O300" s="45" t="s">
        <v>1520</v>
      </c>
      <c r="P300" s="46" t="s">
        <v>27</v>
      </c>
      <c r="Q300" s="46" t="s">
        <v>27</v>
      </c>
      <c r="R300" s="46">
        <v>0</v>
      </c>
      <c r="S300" s="46">
        <v>0</v>
      </c>
      <c r="T300" s="47">
        <v>0</v>
      </c>
      <c r="U300" s="46">
        <v>0</v>
      </c>
      <c r="V300" s="46">
        <v>0</v>
      </c>
      <c r="W300" s="46">
        <v>0</v>
      </c>
      <c r="X300" s="46">
        <v>0</v>
      </c>
      <c r="Y300" s="5"/>
    </row>
    <row r="301" spans="1:25" s="6" customFormat="1" x14ac:dyDescent="0.15">
      <c r="A301" s="44" t="s">
        <v>1741</v>
      </c>
      <c r="B301" s="44" t="s">
        <v>592</v>
      </c>
      <c r="C301" s="44" t="s">
        <v>72</v>
      </c>
      <c r="D301" s="44">
        <v>0.8</v>
      </c>
      <c r="E301" s="44">
        <v>0</v>
      </c>
      <c r="F301" s="44">
        <v>1</v>
      </c>
      <c r="G301" s="44">
        <v>0</v>
      </c>
      <c r="H301" s="44">
        <v>1</v>
      </c>
      <c r="I301" s="44" t="s">
        <v>27</v>
      </c>
      <c r="J301" s="44" t="s">
        <v>1735</v>
      </c>
      <c r="K301" s="44">
        <v>5</v>
      </c>
      <c r="L301" s="44">
        <v>0</v>
      </c>
      <c r="M301" s="44">
        <v>3</v>
      </c>
      <c r="N301" s="44">
        <v>0</v>
      </c>
      <c r="O301" s="45" t="s">
        <v>1520</v>
      </c>
      <c r="P301" s="46" t="s">
        <v>27</v>
      </c>
      <c r="Q301" s="46" t="s">
        <v>27</v>
      </c>
      <c r="R301" s="46">
        <v>0</v>
      </c>
      <c r="S301" s="46">
        <v>0</v>
      </c>
      <c r="T301" s="47">
        <v>0</v>
      </c>
      <c r="U301" s="46">
        <v>0</v>
      </c>
      <c r="V301" s="46">
        <v>0</v>
      </c>
      <c r="W301" s="46">
        <v>0</v>
      </c>
      <c r="X301" s="46">
        <v>0</v>
      </c>
      <c r="Y301" s="5"/>
    </row>
    <row r="302" spans="1:25" s="6" customFormat="1" x14ac:dyDescent="0.15">
      <c r="A302" s="44" t="s">
        <v>591</v>
      </c>
      <c r="B302" s="44" t="s">
        <v>1690</v>
      </c>
      <c r="C302" s="44" t="s">
        <v>1691</v>
      </c>
      <c r="D302" s="44">
        <v>0</v>
      </c>
      <c r="E302" s="44">
        <v>0</v>
      </c>
      <c r="F302" s="44">
        <v>11</v>
      </c>
      <c r="G302" s="44">
        <v>0</v>
      </c>
      <c r="H302" s="44">
        <v>1</v>
      </c>
      <c r="I302" s="44" t="s">
        <v>27</v>
      </c>
      <c r="J302" s="44" t="s">
        <v>1736</v>
      </c>
      <c r="K302" s="44">
        <v>5</v>
      </c>
      <c r="L302" s="44">
        <v>0</v>
      </c>
      <c r="M302" s="44">
        <v>2</v>
      </c>
      <c r="N302" s="44">
        <v>0</v>
      </c>
      <c r="O302" s="45" t="s">
        <v>1520</v>
      </c>
      <c r="P302" s="46" t="s">
        <v>27</v>
      </c>
      <c r="Q302" s="46" t="s">
        <v>27</v>
      </c>
      <c r="R302" s="46">
        <v>0</v>
      </c>
      <c r="S302" s="46">
        <v>0</v>
      </c>
      <c r="T302" s="47">
        <v>0</v>
      </c>
      <c r="U302" s="46">
        <v>0</v>
      </c>
      <c r="V302" s="46">
        <v>0</v>
      </c>
      <c r="W302" s="46">
        <v>0</v>
      </c>
      <c r="X302" s="46">
        <v>0</v>
      </c>
      <c r="Y302" s="5"/>
    </row>
    <row r="303" spans="1:25" s="6" customFormat="1" ht="17.25" customHeight="1" x14ac:dyDescent="0.15">
      <c r="A303" s="44" t="s">
        <v>593</v>
      </c>
      <c r="B303" s="44" t="s">
        <v>594</v>
      </c>
      <c r="C303" s="44" t="s">
        <v>27</v>
      </c>
      <c r="D303" s="44">
        <v>0</v>
      </c>
      <c r="E303" s="44">
        <v>0</v>
      </c>
      <c r="F303" s="44">
        <v>1</v>
      </c>
      <c r="G303" s="44">
        <v>0</v>
      </c>
      <c r="H303" s="44" t="s">
        <v>839</v>
      </c>
      <c r="I303" s="44" t="s">
        <v>27</v>
      </c>
      <c r="J303" s="44" t="s">
        <v>27</v>
      </c>
      <c r="K303" s="44">
        <v>5</v>
      </c>
      <c r="L303" s="44">
        <v>0</v>
      </c>
      <c r="M303" s="44">
        <v>1</v>
      </c>
      <c r="N303" s="44">
        <v>0</v>
      </c>
      <c r="O303" s="45" t="s">
        <v>1520</v>
      </c>
      <c r="P303" s="46" t="s">
        <v>27</v>
      </c>
      <c r="Q303" s="46" t="s">
        <v>27</v>
      </c>
      <c r="R303" s="46">
        <v>0</v>
      </c>
      <c r="S303" s="46">
        <v>0</v>
      </c>
      <c r="T303" s="47">
        <v>0</v>
      </c>
      <c r="U303" s="46">
        <v>0</v>
      </c>
      <c r="V303" s="46">
        <v>0</v>
      </c>
      <c r="W303" s="46">
        <v>0</v>
      </c>
      <c r="X303" s="46">
        <v>0</v>
      </c>
      <c r="Y303" s="5"/>
    </row>
    <row r="304" spans="1:25" s="6" customFormat="1" x14ac:dyDescent="0.15">
      <c r="A304" s="44" t="s">
        <v>1737</v>
      </c>
      <c r="B304" s="44" t="s">
        <v>595</v>
      </c>
      <c r="C304" s="44" t="s">
        <v>73</v>
      </c>
      <c r="D304" s="44">
        <v>2.5</v>
      </c>
      <c r="E304" s="44">
        <v>0</v>
      </c>
      <c r="F304" s="44">
        <v>1</v>
      </c>
      <c r="G304" s="44">
        <v>0</v>
      </c>
      <c r="H304" s="44">
        <v>1</v>
      </c>
      <c r="I304" s="44" t="s">
        <v>27</v>
      </c>
      <c r="J304" s="44" t="s">
        <v>1738</v>
      </c>
      <c r="K304" s="44">
        <v>3</v>
      </c>
      <c r="L304" s="44">
        <v>0</v>
      </c>
      <c r="M304" s="44">
        <v>2</v>
      </c>
      <c r="N304" s="44">
        <v>0</v>
      </c>
      <c r="O304" s="45" t="s">
        <v>1520</v>
      </c>
      <c r="P304" s="46" t="s">
        <v>27</v>
      </c>
      <c r="Q304" s="46" t="s">
        <v>27</v>
      </c>
      <c r="R304" s="46">
        <v>0</v>
      </c>
      <c r="S304" s="46">
        <v>0</v>
      </c>
      <c r="T304" s="47">
        <v>0</v>
      </c>
      <c r="U304" s="46">
        <v>0</v>
      </c>
      <c r="V304" s="46">
        <v>0</v>
      </c>
      <c r="W304" s="46">
        <v>0</v>
      </c>
      <c r="X304" s="46">
        <v>0</v>
      </c>
      <c r="Y304" s="5"/>
    </row>
    <row r="305" spans="1:25" s="6" customFormat="1" x14ac:dyDescent="0.15">
      <c r="A305" s="44" t="s">
        <v>1881</v>
      </c>
      <c r="B305" s="44" t="s">
        <v>595</v>
      </c>
      <c r="C305" s="44" t="s">
        <v>73</v>
      </c>
      <c r="D305" s="44">
        <v>2.5</v>
      </c>
      <c r="E305" s="44">
        <v>0</v>
      </c>
      <c r="F305" s="44">
        <v>1</v>
      </c>
      <c r="G305" s="44">
        <v>0</v>
      </c>
      <c r="H305" s="44">
        <v>1</v>
      </c>
      <c r="I305" s="44" t="s">
        <v>27</v>
      </c>
      <c r="J305" s="44" t="s">
        <v>1875</v>
      </c>
      <c r="K305" s="44">
        <v>3</v>
      </c>
      <c r="L305" s="44">
        <v>0</v>
      </c>
      <c r="M305" s="44">
        <v>1</v>
      </c>
      <c r="N305" s="44">
        <v>0</v>
      </c>
      <c r="O305" s="45" t="s">
        <v>1520</v>
      </c>
      <c r="P305" s="46" t="s">
        <v>27</v>
      </c>
      <c r="Q305" s="46" t="s">
        <v>27</v>
      </c>
      <c r="R305" s="46">
        <v>0</v>
      </c>
      <c r="S305" s="46">
        <v>0</v>
      </c>
      <c r="T305" s="47">
        <v>0</v>
      </c>
      <c r="U305" s="46">
        <v>0</v>
      </c>
      <c r="V305" s="46">
        <v>0</v>
      </c>
      <c r="W305" s="46">
        <v>0</v>
      </c>
      <c r="X305" s="46">
        <v>0</v>
      </c>
      <c r="Y305" s="5"/>
    </row>
    <row r="306" spans="1:25" s="5" customFormat="1" x14ac:dyDescent="0.15">
      <c r="A306" s="44" t="s">
        <v>596</v>
      </c>
      <c r="B306" s="44" t="s">
        <v>1585</v>
      </c>
      <c r="C306" s="44" t="s">
        <v>28</v>
      </c>
      <c r="D306" s="44">
        <v>0.73299999999999998</v>
      </c>
      <c r="E306" s="44">
        <v>0</v>
      </c>
      <c r="F306" s="44">
        <v>1</v>
      </c>
      <c r="G306" s="44">
        <v>0</v>
      </c>
      <c r="H306" s="44">
        <v>1</v>
      </c>
      <c r="I306" s="44" t="s">
        <v>27</v>
      </c>
      <c r="J306" s="44" t="s">
        <v>596</v>
      </c>
      <c r="K306" s="44">
        <v>1</v>
      </c>
      <c r="L306" s="44">
        <v>0</v>
      </c>
      <c r="M306" s="44">
        <v>1</v>
      </c>
      <c r="N306" s="44">
        <v>0</v>
      </c>
      <c r="O306" s="45" t="s">
        <v>1520</v>
      </c>
      <c r="P306" s="46" t="s">
        <v>27</v>
      </c>
      <c r="Q306" s="46" t="s">
        <v>27</v>
      </c>
      <c r="R306" s="46">
        <v>0</v>
      </c>
      <c r="S306" s="46">
        <v>0</v>
      </c>
      <c r="T306" s="47">
        <v>0</v>
      </c>
      <c r="U306" s="46">
        <v>0</v>
      </c>
      <c r="V306" s="46">
        <v>0</v>
      </c>
      <c r="W306" s="46">
        <v>0</v>
      </c>
      <c r="X306" s="46">
        <v>0</v>
      </c>
    </row>
    <row r="307" spans="1:25" s="5" customFormat="1" x14ac:dyDescent="0.15">
      <c r="A307" s="44" t="s">
        <v>1583</v>
      </c>
      <c r="B307" s="44" t="s">
        <v>1586</v>
      </c>
      <c r="C307" s="44" t="s">
        <v>28</v>
      </c>
      <c r="D307" s="44">
        <v>0.73299999999999998</v>
      </c>
      <c r="E307" s="44">
        <v>0</v>
      </c>
      <c r="F307" s="44">
        <v>1</v>
      </c>
      <c r="G307" s="44">
        <v>0</v>
      </c>
      <c r="H307" s="44">
        <v>1</v>
      </c>
      <c r="I307" s="44" t="s">
        <v>27</v>
      </c>
      <c r="J307" s="44" t="s">
        <v>596</v>
      </c>
      <c r="K307" s="44">
        <v>1</v>
      </c>
      <c r="L307" s="44">
        <v>0</v>
      </c>
      <c r="M307" s="44">
        <v>1</v>
      </c>
      <c r="N307" s="44">
        <v>0</v>
      </c>
      <c r="O307" s="45" t="s">
        <v>1520</v>
      </c>
      <c r="P307" s="46" t="s">
        <v>27</v>
      </c>
      <c r="Q307" s="46" t="s">
        <v>27</v>
      </c>
      <c r="R307" s="46">
        <v>0</v>
      </c>
      <c r="S307" s="46">
        <v>0</v>
      </c>
      <c r="T307" s="47">
        <v>0</v>
      </c>
      <c r="U307" s="46">
        <v>0</v>
      </c>
      <c r="V307" s="46">
        <v>0</v>
      </c>
      <c r="W307" s="46">
        <v>0</v>
      </c>
      <c r="X307" s="46">
        <v>0</v>
      </c>
    </row>
    <row r="308" spans="1:25" s="5" customFormat="1" x14ac:dyDescent="0.15">
      <c r="A308" s="44" t="s">
        <v>1584</v>
      </c>
      <c r="B308" s="44" t="s">
        <v>1587</v>
      </c>
      <c r="C308" s="44" t="s">
        <v>28</v>
      </c>
      <c r="D308" s="44">
        <v>0.73299999999999998</v>
      </c>
      <c r="E308" s="44">
        <v>0</v>
      </c>
      <c r="F308" s="44">
        <v>1</v>
      </c>
      <c r="G308" s="44">
        <v>0</v>
      </c>
      <c r="H308" s="44">
        <v>1</v>
      </c>
      <c r="I308" s="44" t="s">
        <v>27</v>
      </c>
      <c r="J308" s="44" t="s">
        <v>596</v>
      </c>
      <c r="K308" s="44">
        <v>1</v>
      </c>
      <c r="L308" s="44">
        <v>0</v>
      </c>
      <c r="M308" s="44">
        <v>1</v>
      </c>
      <c r="N308" s="44">
        <v>0</v>
      </c>
      <c r="O308" s="45" t="s">
        <v>1520</v>
      </c>
      <c r="P308" s="46" t="s">
        <v>27</v>
      </c>
      <c r="Q308" s="46" t="s">
        <v>27</v>
      </c>
      <c r="R308" s="46">
        <v>0</v>
      </c>
      <c r="S308" s="46">
        <v>0</v>
      </c>
      <c r="T308" s="47">
        <v>0</v>
      </c>
      <c r="U308" s="46">
        <v>0</v>
      </c>
      <c r="V308" s="46">
        <v>0</v>
      </c>
      <c r="W308" s="46">
        <v>0</v>
      </c>
      <c r="X308" s="46">
        <v>0</v>
      </c>
    </row>
    <row r="309" spans="1:25" s="5" customFormat="1" x14ac:dyDescent="0.15">
      <c r="A309" s="44" t="s">
        <v>597</v>
      </c>
      <c r="B309" s="44" t="s">
        <v>599</v>
      </c>
      <c r="C309" s="44" t="s">
        <v>73</v>
      </c>
      <c r="D309" s="44">
        <v>1.667</v>
      </c>
      <c r="E309" s="44">
        <v>0</v>
      </c>
      <c r="F309" s="44">
        <v>1</v>
      </c>
      <c r="G309" s="44">
        <v>0</v>
      </c>
      <c r="H309" s="44">
        <v>1</v>
      </c>
      <c r="I309" s="44" t="s">
        <v>116</v>
      </c>
      <c r="J309" s="44" t="s">
        <v>601</v>
      </c>
      <c r="K309" s="44">
        <v>5</v>
      </c>
      <c r="L309" s="44">
        <v>0.1</v>
      </c>
      <c r="M309" s="44">
        <v>3</v>
      </c>
      <c r="N309" s="44">
        <v>0</v>
      </c>
      <c r="O309" s="45" t="s">
        <v>1520</v>
      </c>
      <c r="P309" s="46" t="s">
        <v>27</v>
      </c>
      <c r="Q309" s="46" t="s">
        <v>27</v>
      </c>
      <c r="R309" s="46">
        <v>0</v>
      </c>
      <c r="S309" s="46">
        <v>0</v>
      </c>
      <c r="T309" s="47">
        <v>0</v>
      </c>
      <c r="U309" s="46">
        <v>0</v>
      </c>
      <c r="V309" s="46">
        <v>0</v>
      </c>
      <c r="W309" s="46">
        <v>0</v>
      </c>
      <c r="X309" s="46">
        <v>0</v>
      </c>
    </row>
    <row r="310" spans="1:25" s="5" customFormat="1" x14ac:dyDescent="0.15">
      <c r="A310" s="44" t="s">
        <v>598</v>
      </c>
      <c r="B310" s="44" t="s">
        <v>600</v>
      </c>
      <c r="C310" s="44" t="s">
        <v>73</v>
      </c>
      <c r="D310" s="44">
        <v>1.667</v>
      </c>
      <c r="E310" s="44">
        <v>0</v>
      </c>
      <c r="F310" s="44">
        <v>1</v>
      </c>
      <c r="G310" s="44">
        <v>0</v>
      </c>
      <c r="H310" s="44" t="s">
        <v>839</v>
      </c>
      <c r="I310" s="44" t="s">
        <v>116</v>
      </c>
      <c r="J310" s="44" t="s">
        <v>602</v>
      </c>
      <c r="K310" s="44">
        <v>5</v>
      </c>
      <c r="L310" s="44">
        <v>0</v>
      </c>
      <c r="M310" s="44">
        <v>3</v>
      </c>
      <c r="N310" s="44">
        <v>0</v>
      </c>
      <c r="O310" s="45" t="s">
        <v>1520</v>
      </c>
      <c r="P310" s="46" t="s">
        <v>27</v>
      </c>
      <c r="Q310" s="46" t="s">
        <v>27</v>
      </c>
      <c r="R310" s="46">
        <v>0</v>
      </c>
      <c r="S310" s="46">
        <v>0</v>
      </c>
      <c r="T310" s="47">
        <v>0</v>
      </c>
      <c r="U310" s="46">
        <v>0</v>
      </c>
      <c r="V310" s="46">
        <v>0</v>
      </c>
      <c r="W310" s="46">
        <v>0</v>
      </c>
      <c r="X310" s="46">
        <v>0</v>
      </c>
    </row>
    <row r="311" spans="1:25" s="5" customFormat="1" x14ac:dyDescent="0.15">
      <c r="A311" s="44" t="s">
        <v>603</v>
      </c>
      <c r="B311" s="44" t="s">
        <v>604</v>
      </c>
      <c r="C311" s="44" t="s">
        <v>29</v>
      </c>
      <c r="D311" s="44">
        <v>1.677</v>
      </c>
      <c r="E311" s="44">
        <v>0</v>
      </c>
      <c r="F311" s="44">
        <v>1</v>
      </c>
      <c r="G311" s="44">
        <v>0</v>
      </c>
      <c r="H311" s="44">
        <v>1</v>
      </c>
      <c r="I311" s="44" t="s">
        <v>27</v>
      </c>
      <c r="J311" s="44" t="s">
        <v>605</v>
      </c>
      <c r="K311" s="44">
        <v>1.677</v>
      </c>
      <c r="L311" s="44">
        <v>0</v>
      </c>
      <c r="M311" s="44">
        <v>3</v>
      </c>
      <c r="N311" s="44">
        <v>0</v>
      </c>
      <c r="O311" s="45" t="s">
        <v>1520</v>
      </c>
      <c r="P311" s="46" t="s">
        <v>27</v>
      </c>
      <c r="Q311" s="46" t="s">
        <v>27</v>
      </c>
      <c r="R311" s="46">
        <v>0</v>
      </c>
      <c r="S311" s="46">
        <v>0</v>
      </c>
      <c r="T311" s="47">
        <v>0</v>
      </c>
      <c r="U311" s="46">
        <v>0</v>
      </c>
      <c r="V311" s="46">
        <v>0</v>
      </c>
      <c r="W311" s="46">
        <v>0</v>
      </c>
      <c r="X311" s="46">
        <v>0</v>
      </c>
    </row>
    <row r="312" spans="1:25" s="5" customFormat="1" x14ac:dyDescent="0.15">
      <c r="A312" s="44" t="s">
        <v>606</v>
      </c>
      <c r="B312" s="44" t="s">
        <v>607</v>
      </c>
      <c r="C312" s="44" t="s">
        <v>148</v>
      </c>
      <c r="D312" s="44">
        <v>0</v>
      </c>
      <c r="E312" s="44">
        <v>0</v>
      </c>
      <c r="F312" s="44">
        <v>1</v>
      </c>
      <c r="G312" s="44">
        <v>0</v>
      </c>
      <c r="H312" s="44" t="s">
        <v>839</v>
      </c>
      <c r="I312" s="44" t="s">
        <v>148</v>
      </c>
      <c r="J312" s="44" t="s">
        <v>148</v>
      </c>
      <c r="K312" s="44">
        <v>5</v>
      </c>
      <c r="L312" s="44">
        <v>0</v>
      </c>
      <c r="M312" s="44">
        <v>1</v>
      </c>
      <c r="N312" s="44">
        <v>0</v>
      </c>
      <c r="O312" s="45" t="s">
        <v>1520</v>
      </c>
      <c r="P312" s="46" t="s">
        <v>27</v>
      </c>
      <c r="Q312" s="46" t="s">
        <v>27</v>
      </c>
      <c r="R312" s="46">
        <v>0</v>
      </c>
      <c r="S312" s="46">
        <v>0</v>
      </c>
      <c r="T312" s="47">
        <v>0</v>
      </c>
      <c r="U312" s="46">
        <v>0</v>
      </c>
      <c r="V312" s="46">
        <v>0</v>
      </c>
      <c r="W312" s="46">
        <v>0</v>
      </c>
      <c r="X312" s="46">
        <v>0</v>
      </c>
    </row>
    <row r="313" spans="1:25" s="5" customFormat="1" x14ac:dyDescent="0.15">
      <c r="A313" s="44" t="s">
        <v>608</v>
      </c>
      <c r="B313" s="44" t="s">
        <v>609</v>
      </c>
      <c r="C313" s="44" t="s">
        <v>167</v>
      </c>
      <c r="D313" s="44">
        <v>3.3330000000000002</v>
      </c>
      <c r="E313" s="44">
        <v>0</v>
      </c>
      <c r="F313" s="44">
        <v>1</v>
      </c>
      <c r="G313" s="44">
        <v>0</v>
      </c>
      <c r="H313" s="44">
        <v>1</v>
      </c>
      <c r="I313" s="44" t="s">
        <v>116</v>
      </c>
      <c r="J313" s="44" t="s">
        <v>610</v>
      </c>
      <c r="K313" s="44">
        <v>5</v>
      </c>
      <c r="L313" s="44">
        <v>0.2</v>
      </c>
      <c r="M313" s="44">
        <v>1</v>
      </c>
      <c r="N313" s="44">
        <v>0</v>
      </c>
      <c r="O313" s="45" t="s">
        <v>1520</v>
      </c>
      <c r="P313" s="46" t="s">
        <v>27</v>
      </c>
      <c r="Q313" s="46" t="s">
        <v>27</v>
      </c>
      <c r="R313" s="46">
        <v>0</v>
      </c>
      <c r="S313" s="46">
        <v>0</v>
      </c>
      <c r="T313" s="47">
        <v>0</v>
      </c>
      <c r="U313" s="46">
        <v>0</v>
      </c>
      <c r="V313" s="46">
        <v>0</v>
      </c>
      <c r="W313" s="46">
        <v>0</v>
      </c>
      <c r="X313" s="46">
        <v>0</v>
      </c>
    </row>
    <row r="314" spans="1:25" s="5" customFormat="1" x14ac:dyDescent="0.15">
      <c r="A314" s="44" t="s">
        <v>621</v>
      </c>
      <c r="B314" s="44" t="s">
        <v>620</v>
      </c>
      <c r="C314" s="44" t="s">
        <v>29</v>
      </c>
      <c r="D314" s="44">
        <v>1.677</v>
      </c>
      <c r="E314" s="44">
        <v>0</v>
      </c>
      <c r="F314" s="44">
        <v>1</v>
      </c>
      <c r="G314" s="44">
        <v>0</v>
      </c>
      <c r="H314" s="44">
        <v>1</v>
      </c>
      <c r="I314" s="44" t="s">
        <v>50</v>
      </c>
      <c r="J314" s="44" t="s">
        <v>1398</v>
      </c>
      <c r="K314" s="44">
        <v>1.677</v>
      </c>
      <c r="L314" s="44">
        <v>0</v>
      </c>
      <c r="M314" s="44">
        <v>2</v>
      </c>
      <c r="N314" s="44">
        <v>8</v>
      </c>
      <c r="O314" s="45" t="s">
        <v>1520</v>
      </c>
      <c r="P314" s="46" t="s">
        <v>27</v>
      </c>
      <c r="Q314" s="46" t="s">
        <v>27</v>
      </c>
      <c r="R314" s="46">
        <v>0</v>
      </c>
      <c r="S314" s="46">
        <v>0</v>
      </c>
      <c r="T314" s="47">
        <v>0</v>
      </c>
      <c r="U314" s="46">
        <v>0</v>
      </c>
      <c r="V314" s="46">
        <v>0</v>
      </c>
      <c r="W314" s="46">
        <v>0</v>
      </c>
      <c r="X314" s="46">
        <v>0</v>
      </c>
    </row>
    <row r="315" spans="1:25" s="5" customFormat="1" x14ac:dyDescent="0.15">
      <c r="A315" s="44" t="s">
        <v>729</v>
      </c>
      <c r="B315" s="44" t="s">
        <v>655</v>
      </c>
      <c r="C315" s="44" t="s">
        <v>28</v>
      </c>
      <c r="D315" s="44">
        <v>1.667</v>
      </c>
      <c r="E315" s="44">
        <v>0</v>
      </c>
      <c r="F315" s="44">
        <v>2</v>
      </c>
      <c r="G315" s="44">
        <v>20</v>
      </c>
      <c r="H315" s="44">
        <v>1</v>
      </c>
      <c r="I315" s="44" t="s">
        <v>50</v>
      </c>
      <c r="J315" s="44" t="s">
        <v>1872</v>
      </c>
      <c r="K315" s="44">
        <v>2</v>
      </c>
      <c r="L315" s="44">
        <v>0.5</v>
      </c>
      <c r="M315" s="44">
        <v>1</v>
      </c>
      <c r="N315" s="44">
        <v>0</v>
      </c>
      <c r="O315" s="45" t="s">
        <v>1520</v>
      </c>
      <c r="P315" s="46" t="s">
        <v>27</v>
      </c>
      <c r="Q315" s="46" t="s">
        <v>27</v>
      </c>
      <c r="R315" s="46">
        <v>0</v>
      </c>
      <c r="S315" s="46">
        <v>0</v>
      </c>
      <c r="T315" s="47">
        <v>0</v>
      </c>
      <c r="U315" s="46">
        <v>0</v>
      </c>
      <c r="V315" s="46">
        <v>0</v>
      </c>
      <c r="W315" s="46">
        <v>0</v>
      </c>
      <c r="X315" s="46">
        <v>0</v>
      </c>
    </row>
    <row r="316" spans="1:25" s="5" customFormat="1" x14ac:dyDescent="0.15">
      <c r="A316" s="44" t="s">
        <v>1524</v>
      </c>
      <c r="B316" s="44" t="s">
        <v>1525</v>
      </c>
      <c r="C316" s="44" t="s">
        <v>1529</v>
      </c>
      <c r="D316" s="44">
        <v>1.667</v>
      </c>
      <c r="E316" s="44">
        <v>0</v>
      </c>
      <c r="F316" s="44">
        <v>1</v>
      </c>
      <c r="G316" s="44">
        <v>0</v>
      </c>
      <c r="H316" s="44">
        <v>1</v>
      </c>
      <c r="I316" s="44" t="s">
        <v>50</v>
      </c>
      <c r="J316" s="44" t="s">
        <v>1526</v>
      </c>
      <c r="K316" s="44">
        <v>2</v>
      </c>
      <c r="L316" s="44">
        <v>0</v>
      </c>
      <c r="M316" s="44">
        <v>1</v>
      </c>
      <c r="N316" s="44">
        <v>0</v>
      </c>
      <c r="O316" s="45" t="s">
        <v>1531</v>
      </c>
      <c r="P316" s="46" t="s">
        <v>27</v>
      </c>
      <c r="Q316" s="46" t="s">
        <v>27</v>
      </c>
      <c r="R316" s="46">
        <v>0</v>
      </c>
      <c r="S316" s="46">
        <v>0</v>
      </c>
      <c r="T316" s="47">
        <v>0</v>
      </c>
      <c r="U316" s="46">
        <v>0</v>
      </c>
      <c r="V316" s="46">
        <v>0</v>
      </c>
      <c r="W316" s="46">
        <v>0</v>
      </c>
      <c r="X316" s="46">
        <v>0</v>
      </c>
    </row>
    <row r="317" spans="1:25" s="5" customFormat="1" x14ac:dyDescent="0.15">
      <c r="A317" s="44" t="s">
        <v>1527</v>
      </c>
      <c r="B317" s="44" t="s">
        <v>1528</v>
      </c>
      <c r="C317" s="44" t="s">
        <v>1530</v>
      </c>
      <c r="D317" s="44">
        <v>1.667</v>
      </c>
      <c r="E317" s="44">
        <v>0</v>
      </c>
      <c r="F317" s="44">
        <v>1</v>
      </c>
      <c r="G317" s="44">
        <v>0</v>
      </c>
      <c r="H317" s="44">
        <v>1</v>
      </c>
      <c r="I317" s="44" t="s">
        <v>50</v>
      </c>
      <c r="J317" s="44" t="s">
        <v>1526</v>
      </c>
      <c r="K317" s="44">
        <v>2</v>
      </c>
      <c r="L317" s="44">
        <v>0</v>
      </c>
      <c r="M317" s="44">
        <v>1</v>
      </c>
      <c r="N317" s="44">
        <v>0</v>
      </c>
      <c r="O317" s="45" t="s">
        <v>1531</v>
      </c>
      <c r="P317" s="46" t="s">
        <v>27</v>
      </c>
      <c r="Q317" s="46" t="s">
        <v>27</v>
      </c>
      <c r="R317" s="46">
        <v>0</v>
      </c>
      <c r="S317" s="46">
        <v>0</v>
      </c>
      <c r="T317" s="47">
        <v>0</v>
      </c>
      <c r="U317" s="46">
        <v>0</v>
      </c>
      <c r="V317" s="46">
        <v>0</v>
      </c>
      <c r="W317" s="46">
        <v>0</v>
      </c>
      <c r="X317" s="46">
        <v>0</v>
      </c>
    </row>
    <row r="318" spans="1:25" s="5" customFormat="1" x14ac:dyDescent="0.15">
      <c r="A318" s="44" t="s">
        <v>656</v>
      </c>
      <c r="B318" s="44" t="s">
        <v>657</v>
      </c>
      <c r="C318" s="44" t="s">
        <v>73</v>
      </c>
      <c r="D318" s="44">
        <v>1.667</v>
      </c>
      <c r="E318" s="44">
        <v>0</v>
      </c>
      <c r="F318" s="44">
        <v>1</v>
      </c>
      <c r="G318" s="44">
        <v>0</v>
      </c>
      <c r="H318" s="44">
        <v>1</v>
      </c>
      <c r="I318" s="44" t="s">
        <v>27</v>
      </c>
      <c r="J318" s="44" t="s">
        <v>658</v>
      </c>
      <c r="K318" s="44">
        <v>5</v>
      </c>
      <c r="L318" s="44">
        <v>0</v>
      </c>
      <c r="M318" s="44">
        <v>1</v>
      </c>
      <c r="N318" s="44">
        <v>1</v>
      </c>
      <c r="O318" s="45" t="s">
        <v>1454</v>
      </c>
      <c r="P318" s="46" t="s">
        <v>27</v>
      </c>
      <c r="Q318" s="46" t="s">
        <v>27</v>
      </c>
      <c r="R318" s="46">
        <v>0</v>
      </c>
      <c r="S318" s="46">
        <v>0</v>
      </c>
      <c r="T318" s="47">
        <v>0</v>
      </c>
      <c r="U318" s="46">
        <v>0</v>
      </c>
      <c r="V318" s="46">
        <v>0</v>
      </c>
      <c r="W318" s="46">
        <v>0</v>
      </c>
      <c r="X318" s="46">
        <v>0</v>
      </c>
    </row>
    <row r="319" spans="1:25" s="5" customFormat="1" ht="15.75" customHeight="1" x14ac:dyDescent="0.15">
      <c r="A319" s="44" t="s">
        <v>1873</v>
      </c>
      <c r="B319" s="44" t="s">
        <v>660</v>
      </c>
      <c r="C319" s="44" t="s">
        <v>72</v>
      </c>
      <c r="D319" s="44">
        <v>0.8</v>
      </c>
      <c r="E319" s="44">
        <v>0</v>
      </c>
      <c r="F319" s="44">
        <v>1</v>
      </c>
      <c r="G319" s="44">
        <v>0</v>
      </c>
      <c r="H319" s="44">
        <v>1</v>
      </c>
      <c r="I319" s="44" t="s">
        <v>27</v>
      </c>
      <c r="J319" s="44" t="s">
        <v>661</v>
      </c>
      <c r="K319" s="44">
        <v>5</v>
      </c>
      <c r="L319" s="44">
        <v>0</v>
      </c>
      <c r="M319" s="44">
        <v>3</v>
      </c>
      <c r="N319" s="44">
        <v>0</v>
      </c>
      <c r="O319" s="45" t="s">
        <v>1871</v>
      </c>
      <c r="P319" s="46" t="s">
        <v>27</v>
      </c>
      <c r="Q319" s="46" t="s">
        <v>27</v>
      </c>
      <c r="R319" s="46">
        <v>0</v>
      </c>
      <c r="S319" s="46">
        <v>0</v>
      </c>
      <c r="T319" s="47">
        <v>0</v>
      </c>
      <c r="U319" s="46">
        <v>0</v>
      </c>
      <c r="V319" s="46">
        <v>0</v>
      </c>
      <c r="W319" s="46">
        <v>0</v>
      </c>
      <c r="X319" s="46">
        <v>0</v>
      </c>
    </row>
    <row r="320" spans="1:25" s="5" customFormat="1" x14ac:dyDescent="0.15">
      <c r="A320" s="44" t="s">
        <v>659</v>
      </c>
      <c r="B320" s="44" t="s">
        <v>660</v>
      </c>
      <c r="C320" s="44" t="s">
        <v>72</v>
      </c>
      <c r="D320" s="44">
        <v>1.1000000000000001</v>
      </c>
      <c r="E320" s="44">
        <v>0</v>
      </c>
      <c r="F320" s="44">
        <v>1</v>
      </c>
      <c r="G320" s="44">
        <v>0</v>
      </c>
      <c r="H320" s="44">
        <v>1</v>
      </c>
      <c r="I320" s="44" t="s">
        <v>27</v>
      </c>
      <c r="J320" s="44" t="s">
        <v>661</v>
      </c>
      <c r="K320" s="44">
        <v>1</v>
      </c>
      <c r="L320" s="44">
        <v>0</v>
      </c>
      <c r="M320" s="44">
        <v>1</v>
      </c>
      <c r="N320" s="44">
        <v>0</v>
      </c>
      <c r="O320" s="45" t="s">
        <v>1520</v>
      </c>
      <c r="P320" s="46" t="s">
        <v>27</v>
      </c>
      <c r="Q320" s="46" t="s">
        <v>27</v>
      </c>
      <c r="R320" s="46">
        <v>0</v>
      </c>
      <c r="S320" s="46">
        <v>0</v>
      </c>
      <c r="T320" s="47">
        <v>0</v>
      </c>
      <c r="U320" s="46">
        <v>0</v>
      </c>
      <c r="V320" s="46">
        <v>0</v>
      </c>
      <c r="W320" s="46">
        <v>0</v>
      </c>
      <c r="X320" s="46">
        <v>0</v>
      </c>
    </row>
    <row r="321" spans="1:24" s="5" customFormat="1" x14ac:dyDescent="0.15">
      <c r="A321" s="44" t="s">
        <v>662</v>
      </c>
      <c r="B321" s="44" t="s">
        <v>663</v>
      </c>
      <c r="C321" s="44" t="s">
        <v>50</v>
      </c>
      <c r="D321" s="44">
        <v>0</v>
      </c>
      <c r="E321" s="44">
        <v>0</v>
      </c>
      <c r="F321" s="44">
        <v>1</v>
      </c>
      <c r="G321" s="44">
        <v>0</v>
      </c>
      <c r="H321" s="44" t="s">
        <v>839</v>
      </c>
      <c r="I321" s="44" t="s">
        <v>50</v>
      </c>
      <c r="J321" s="44" t="s">
        <v>50</v>
      </c>
      <c r="K321" s="44">
        <v>0</v>
      </c>
      <c r="L321" s="44">
        <v>0</v>
      </c>
      <c r="M321" s="44">
        <v>1</v>
      </c>
      <c r="N321" s="44">
        <v>0</v>
      </c>
      <c r="O321" s="45" t="s">
        <v>1520</v>
      </c>
      <c r="P321" s="46" t="s">
        <v>27</v>
      </c>
      <c r="Q321" s="46" t="s">
        <v>27</v>
      </c>
      <c r="R321" s="46">
        <v>0</v>
      </c>
      <c r="S321" s="46">
        <v>0</v>
      </c>
      <c r="T321" s="47">
        <v>0</v>
      </c>
      <c r="U321" s="46">
        <v>0</v>
      </c>
      <c r="V321" s="46">
        <v>0</v>
      </c>
      <c r="W321" s="46">
        <v>0</v>
      </c>
      <c r="X321" s="46">
        <v>0</v>
      </c>
    </row>
    <row r="322" spans="1:24" s="5" customFormat="1" x14ac:dyDescent="0.15">
      <c r="A322" s="44" t="s">
        <v>664</v>
      </c>
      <c r="B322" s="44" t="s">
        <v>665</v>
      </c>
      <c r="C322" s="44" t="s">
        <v>30</v>
      </c>
      <c r="D322" s="44">
        <v>2.367</v>
      </c>
      <c r="E322" s="44">
        <v>0</v>
      </c>
      <c r="F322" s="44">
        <v>1</v>
      </c>
      <c r="G322" s="44">
        <v>0</v>
      </c>
      <c r="H322" s="44">
        <v>1</v>
      </c>
      <c r="I322" s="44" t="s">
        <v>50</v>
      </c>
      <c r="J322" s="44" t="s">
        <v>666</v>
      </c>
      <c r="K322" s="44">
        <v>3</v>
      </c>
      <c r="L322" s="44">
        <v>2</v>
      </c>
      <c r="M322" s="44">
        <v>3</v>
      </c>
      <c r="N322" s="44">
        <v>1</v>
      </c>
      <c r="O322" s="45" t="s">
        <v>1874</v>
      </c>
      <c r="P322" s="46" t="s">
        <v>27</v>
      </c>
      <c r="Q322" s="46" t="s">
        <v>27</v>
      </c>
      <c r="R322" s="46">
        <v>0</v>
      </c>
      <c r="S322" s="46">
        <v>0</v>
      </c>
      <c r="T322" s="47">
        <v>0</v>
      </c>
      <c r="U322" s="46">
        <v>0</v>
      </c>
      <c r="V322" s="46">
        <v>0</v>
      </c>
      <c r="W322" s="46">
        <v>0</v>
      </c>
      <c r="X322" s="46">
        <v>0</v>
      </c>
    </row>
    <row r="323" spans="1:24" s="5" customFormat="1" x14ac:dyDescent="0.15">
      <c r="A323" s="44" t="s">
        <v>1845</v>
      </c>
      <c r="B323" s="44" t="s">
        <v>665</v>
      </c>
      <c r="C323" s="44" t="s">
        <v>30</v>
      </c>
      <c r="D323" s="44">
        <v>2.367</v>
      </c>
      <c r="E323" s="44">
        <v>0</v>
      </c>
      <c r="F323" s="44">
        <v>1</v>
      </c>
      <c r="G323" s="44">
        <v>0</v>
      </c>
      <c r="H323" s="44">
        <v>1</v>
      </c>
      <c r="I323" s="44" t="s">
        <v>50</v>
      </c>
      <c r="J323" s="44" t="s">
        <v>52</v>
      </c>
      <c r="K323" s="44">
        <v>2.6669999999999998</v>
      </c>
      <c r="L323" s="44">
        <v>0</v>
      </c>
      <c r="M323" s="44">
        <v>1</v>
      </c>
      <c r="N323" s="44">
        <v>1</v>
      </c>
      <c r="O323" s="45" t="s">
        <v>1455</v>
      </c>
      <c r="P323" s="46" t="s">
        <v>27</v>
      </c>
      <c r="Q323" s="46" t="s">
        <v>27</v>
      </c>
      <c r="R323" s="46">
        <v>0</v>
      </c>
      <c r="S323" s="46">
        <v>0</v>
      </c>
      <c r="T323" s="47">
        <v>0</v>
      </c>
      <c r="U323" s="46">
        <v>0</v>
      </c>
      <c r="V323" s="46">
        <v>0</v>
      </c>
      <c r="W323" s="46">
        <v>0</v>
      </c>
      <c r="X323" s="46">
        <v>0</v>
      </c>
    </row>
    <row r="324" spans="1:24" s="5" customFormat="1" x14ac:dyDescent="0.15">
      <c r="A324" s="44" t="s">
        <v>683</v>
      </c>
      <c r="B324" s="44" t="s">
        <v>684</v>
      </c>
      <c r="C324" s="44" t="s">
        <v>28</v>
      </c>
      <c r="D324" s="44">
        <v>1.667</v>
      </c>
      <c r="E324" s="44">
        <v>0</v>
      </c>
      <c r="F324" s="44">
        <v>1</v>
      </c>
      <c r="G324" s="44">
        <v>0</v>
      </c>
      <c r="H324" s="44">
        <v>1</v>
      </c>
      <c r="I324" s="44" t="s">
        <v>27</v>
      </c>
      <c r="J324" s="44" t="s">
        <v>683</v>
      </c>
      <c r="K324" s="44">
        <v>1.667</v>
      </c>
      <c r="L324" s="44">
        <v>0</v>
      </c>
      <c r="M324" s="44">
        <v>1</v>
      </c>
      <c r="N324" s="44">
        <v>0</v>
      </c>
      <c r="O324" s="45" t="s">
        <v>1520</v>
      </c>
      <c r="P324" s="46" t="s">
        <v>27</v>
      </c>
      <c r="Q324" s="46" t="s">
        <v>27</v>
      </c>
      <c r="R324" s="46">
        <v>0</v>
      </c>
      <c r="S324" s="46">
        <v>0</v>
      </c>
      <c r="T324" s="47">
        <v>0</v>
      </c>
      <c r="U324" s="46">
        <v>0</v>
      </c>
      <c r="V324" s="46">
        <v>0</v>
      </c>
      <c r="W324" s="46">
        <v>0</v>
      </c>
      <c r="X324" s="46">
        <v>0</v>
      </c>
    </row>
    <row r="325" spans="1:24" s="5" customFormat="1" x14ac:dyDescent="0.15">
      <c r="A325" s="44" t="s">
        <v>1534</v>
      </c>
      <c r="B325" s="44" t="s">
        <v>1536</v>
      </c>
      <c r="C325" s="44" t="s">
        <v>1529</v>
      </c>
      <c r="D325" s="44">
        <v>1.667</v>
      </c>
      <c r="E325" s="44">
        <v>0</v>
      </c>
      <c r="F325" s="44">
        <v>1</v>
      </c>
      <c r="G325" s="44">
        <v>0</v>
      </c>
      <c r="H325" s="44">
        <v>1</v>
      </c>
      <c r="I325" s="44" t="s">
        <v>27</v>
      </c>
      <c r="J325" s="44" t="s">
        <v>683</v>
      </c>
      <c r="K325" s="44">
        <v>1.667</v>
      </c>
      <c r="L325" s="44">
        <v>0</v>
      </c>
      <c r="M325" s="44">
        <v>1</v>
      </c>
      <c r="N325" s="44">
        <v>0</v>
      </c>
      <c r="O325" s="45" t="s">
        <v>1520</v>
      </c>
      <c r="P325" s="46" t="s">
        <v>27</v>
      </c>
      <c r="Q325" s="46" t="s">
        <v>27</v>
      </c>
      <c r="R325" s="46">
        <v>0</v>
      </c>
      <c r="S325" s="46">
        <v>0</v>
      </c>
      <c r="T325" s="47">
        <v>0</v>
      </c>
      <c r="U325" s="46">
        <v>0</v>
      </c>
      <c r="V325" s="46">
        <v>0</v>
      </c>
      <c r="W325" s="46">
        <v>0</v>
      </c>
      <c r="X325" s="46">
        <v>0</v>
      </c>
    </row>
    <row r="326" spans="1:24" s="5" customFormat="1" x14ac:dyDescent="0.15">
      <c r="A326" s="44" t="s">
        <v>1535</v>
      </c>
      <c r="B326" s="44" t="s">
        <v>684</v>
      </c>
      <c r="C326" s="44" t="s">
        <v>28</v>
      </c>
      <c r="D326" s="44">
        <v>1.667</v>
      </c>
      <c r="E326" s="44">
        <v>0</v>
      </c>
      <c r="F326" s="44">
        <v>1</v>
      </c>
      <c r="G326" s="44">
        <v>0</v>
      </c>
      <c r="H326" s="44">
        <v>1</v>
      </c>
      <c r="I326" s="44" t="s">
        <v>27</v>
      </c>
      <c r="J326" s="44" t="s">
        <v>683</v>
      </c>
      <c r="K326" s="44">
        <v>1.667</v>
      </c>
      <c r="L326" s="44">
        <v>0</v>
      </c>
      <c r="M326" s="44">
        <v>1</v>
      </c>
      <c r="N326" s="44">
        <v>0</v>
      </c>
      <c r="O326" s="45" t="s">
        <v>1520</v>
      </c>
      <c r="P326" s="46" t="s">
        <v>27</v>
      </c>
      <c r="Q326" s="46" t="s">
        <v>27</v>
      </c>
      <c r="R326" s="46">
        <v>0</v>
      </c>
      <c r="S326" s="46">
        <v>0</v>
      </c>
      <c r="T326" s="47">
        <v>0</v>
      </c>
      <c r="U326" s="46">
        <v>0</v>
      </c>
      <c r="V326" s="46">
        <v>0</v>
      </c>
      <c r="W326" s="46">
        <v>0</v>
      </c>
      <c r="X326" s="46">
        <v>0</v>
      </c>
    </row>
    <row r="327" spans="1:24" s="5" customFormat="1" x14ac:dyDescent="0.15">
      <c r="A327" s="44" t="s">
        <v>1450</v>
      </c>
      <c r="B327" s="44" t="s">
        <v>685</v>
      </c>
      <c r="C327" s="44" t="s">
        <v>73</v>
      </c>
      <c r="D327" s="44">
        <v>1.667</v>
      </c>
      <c r="E327" s="44">
        <v>0</v>
      </c>
      <c r="F327" s="44">
        <v>1</v>
      </c>
      <c r="G327" s="44">
        <v>0</v>
      </c>
      <c r="H327" s="44">
        <v>1</v>
      </c>
      <c r="I327" s="44" t="s">
        <v>50</v>
      </c>
      <c r="J327" s="44" t="s">
        <v>1456</v>
      </c>
      <c r="K327" s="44">
        <v>3</v>
      </c>
      <c r="L327" s="44">
        <v>0.6</v>
      </c>
      <c r="M327" s="44">
        <v>3</v>
      </c>
      <c r="N327" s="44">
        <v>0</v>
      </c>
      <c r="O327" s="45" t="s">
        <v>1520</v>
      </c>
      <c r="P327" s="46" t="s">
        <v>27</v>
      </c>
      <c r="Q327" s="46" t="s">
        <v>27</v>
      </c>
      <c r="R327" s="46">
        <v>0</v>
      </c>
      <c r="S327" s="46">
        <v>0</v>
      </c>
      <c r="T327" s="47">
        <v>0</v>
      </c>
      <c r="U327" s="46">
        <v>0</v>
      </c>
      <c r="V327" s="46">
        <v>0</v>
      </c>
      <c r="W327" s="46">
        <v>0</v>
      </c>
      <c r="X327" s="46">
        <v>0</v>
      </c>
    </row>
    <row r="328" spans="1:24" s="5" customFormat="1" x14ac:dyDescent="0.15">
      <c r="A328" s="44" t="s">
        <v>1452</v>
      </c>
      <c r="B328" s="44" t="s">
        <v>1451</v>
      </c>
      <c r="C328" s="44" t="s">
        <v>73</v>
      </c>
      <c r="D328" s="44">
        <v>1.667</v>
      </c>
      <c r="E328" s="44">
        <v>0</v>
      </c>
      <c r="F328" s="44">
        <v>1</v>
      </c>
      <c r="G328" s="44">
        <v>0</v>
      </c>
      <c r="H328" s="44">
        <v>1</v>
      </c>
      <c r="I328" s="44" t="s">
        <v>1448</v>
      </c>
      <c r="J328" s="44" t="s">
        <v>1457</v>
      </c>
      <c r="K328" s="44">
        <v>3</v>
      </c>
      <c r="L328" s="44">
        <v>1</v>
      </c>
      <c r="M328" s="44">
        <v>2</v>
      </c>
      <c r="N328" s="44">
        <v>0</v>
      </c>
      <c r="O328" s="45" t="s">
        <v>1520</v>
      </c>
      <c r="P328" s="46" t="s">
        <v>1448</v>
      </c>
      <c r="Q328" s="46" t="s">
        <v>1448</v>
      </c>
      <c r="R328" s="46">
        <v>0</v>
      </c>
      <c r="S328" s="46">
        <v>0</v>
      </c>
      <c r="T328" s="47">
        <v>0</v>
      </c>
      <c r="U328" s="46">
        <v>0</v>
      </c>
      <c r="V328" s="46">
        <v>0</v>
      </c>
      <c r="W328" s="46">
        <v>0</v>
      </c>
      <c r="X328" s="46">
        <v>0</v>
      </c>
    </row>
    <row r="329" spans="1:24" s="5" customFormat="1" x14ac:dyDescent="0.15">
      <c r="A329" s="44" t="s">
        <v>873</v>
      </c>
      <c r="B329" s="44" t="s">
        <v>874</v>
      </c>
      <c r="C329" s="44" t="s">
        <v>1453</v>
      </c>
      <c r="D329" s="44">
        <v>1.667</v>
      </c>
      <c r="E329" s="44">
        <v>0</v>
      </c>
      <c r="F329" s="44">
        <v>1</v>
      </c>
      <c r="G329" s="44">
        <v>0</v>
      </c>
      <c r="H329" s="44">
        <v>1</v>
      </c>
      <c r="I329" s="44" t="s">
        <v>27</v>
      </c>
      <c r="J329" s="44" t="s">
        <v>1449</v>
      </c>
      <c r="K329" s="44">
        <v>5</v>
      </c>
      <c r="L329" s="44">
        <v>0</v>
      </c>
      <c r="M329" s="44">
        <v>1</v>
      </c>
      <c r="N329" s="44">
        <v>0</v>
      </c>
      <c r="O329" s="45" t="s">
        <v>1520</v>
      </c>
      <c r="P329" s="46" t="s">
        <v>27</v>
      </c>
      <c r="Q329" s="46" t="s">
        <v>27</v>
      </c>
      <c r="R329" s="46">
        <v>0</v>
      </c>
      <c r="S329" s="46">
        <v>0</v>
      </c>
      <c r="T329" s="47">
        <v>0</v>
      </c>
      <c r="U329" s="46">
        <v>0</v>
      </c>
      <c r="V329" s="46">
        <v>0</v>
      </c>
      <c r="W329" s="46">
        <v>0</v>
      </c>
      <c r="X329" s="46">
        <v>0</v>
      </c>
    </row>
    <row r="330" spans="1:24" s="5" customFormat="1" x14ac:dyDescent="0.15">
      <c r="A330" s="44" t="s">
        <v>1912</v>
      </c>
      <c r="B330" s="44" t="s">
        <v>875</v>
      </c>
      <c r="C330" s="44" t="s">
        <v>1453</v>
      </c>
      <c r="D330" s="44">
        <v>1.667</v>
      </c>
      <c r="E330" s="44">
        <v>0</v>
      </c>
      <c r="F330" s="44">
        <v>1</v>
      </c>
      <c r="G330" s="44">
        <v>0</v>
      </c>
      <c r="H330" s="44">
        <v>1</v>
      </c>
      <c r="I330" s="44" t="s">
        <v>27</v>
      </c>
      <c r="J330" s="44" t="s">
        <v>1757</v>
      </c>
      <c r="K330" s="44">
        <v>3</v>
      </c>
      <c r="L330" s="44">
        <v>0</v>
      </c>
      <c r="M330" s="44">
        <v>2</v>
      </c>
      <c r="N330" s="44">
        <v>0</v>
      </c>
      <c r="O330" s="45" t="s">
        <v>1520</v>
      </c>
      <c r="P330" s="46" t="s">
        <v>27</v>
      </c>
      <c r="Q330" s="46" t="s">
        <v>27</v>
      </c>
      <c r="R330" s="46">
        <v>0</v>
      </c>
      <c r="S330" s="46">
        <v>0</v>
      </c>
      <c r="T330" s="47">
        <v>0</v>
      </c>
      <c r="U330" s="46">
        <v>0</v>
      </c>
      <c r="V330" s="46">
        <v>0</v>
      </c>
      <c r="W330" s="46">
        <v>0</v>
      </c>
      <c r="X330" s="46">
        <v>0</v>
      </c>
    </row>
    <row r="331" spans="1:24" s="5" customFormat="1" x14ac:dyDescent="0.15">
      <c r="A331" s="44" t="s">
        <v>686</v>
      </c>
      <c r="B331" s="44" t="s">
        <v>687</v>
      </c>
      <c r="C331" s="44" t="s">
        <v>50</v>
      </c>
      <c r="D331" s="44">
        <v>0</v>
      </c>
      <c r="E331" s="44">
        <v>0</v>
      </c>
      <c r="F331" s="44">
        <v>1</v>
      </c>
      <c r="G331" s="44">
        <v>0</v>
      </c>
      <c r="H331" s="44" t="s">
        <v>1920</v>
      </c>
      <c r="I331" s="44" t="s">
        <v>50</v>
      </c>
      <c r="J331" s="44" t="s">
        <v>50</v>
      </c>
      <c r="K331" s="44">
        <v>5</v>
      </c>
      <c r="L331" s="44">
        <v>0</v>
      </c>
      <c r="M331" s="44">
        <v>1</v>
      </c>
      <c r="N331" s="44">
        <v>0</v>
      </c>
      <c r="O331" s="45" t="s">
        <v>1520</v>
      </c>
      <c r="P331" s="46" t="s">
        <v>27</v>
      </c>
      <c r="Q331" s="46" t="s">
        <v>27</v>
      </c>
      <c r="R331" s="46">
        <v>0</v>
      </c>
      <c r="S331" s="46">
        <v>0</v>
      </c>
      <c r="T331" s="47">
        <v>0</v>
      </c>
      <c r="U331" s="46">
        <v>0</v>
      </c>
      <c r="V331" s="46">
        <v>0</v>
      </c>
      <c r="W331" s="46">
        <v>0</v>
      </c>
      <c r="X331" s="46">
        <v>0</v>
      </c>
    </row>
    <row r="332" spans="1:24" s="5" customFormat="1" x14ac:dyDescent="0.15">
      <c r="A332" s="44" t="s">
        <v>688</v>
      </c>
      <c r="B332" s="44" t="s">
        <v>689</v>
      </c>
      <c r="C332" s="44" t="s">
        <v>30</v>
      </c>
      <c r="D332" s="44">
        <v>3.3330000000000002</v>
      </c>
      <c r="E332" s="44">
        <v>0</v>
      </c>
      <c r="F332" s="44">
        <v>1</v>
      </c>
      <c r="G332" s="44">
        <v>0</v>
      </c>
      <c r="H332" s="44">
        <v>1</v>
      </c>
      <c r="I332" s="44" t="s">
        <v>50</v>
      </c>
      <c r="J332" s="44" t="s">
        <v>690</v>
      </c>
      <c r="K332" s="44">
        <v>5</v>
      </c>
      <c r="L332" s="44">
        <v>0.1</v>
      </c>
      <c r="M332" s="44">
        <v>1</v>
      </c>
      <c r="N332" s="44">
        <v>0</v>
      </c>
      <c r="O332" s="45" t="s">
        <v>1520</v>
      </c>
      <c r="P332" s="46" t="s">
        <v>27</v>
      </c>
      <c r="Q332" s="46" t="s">
        <v>27</v>
      </c>
      <c r="R332" s="46">
        <v>0</v>
      </c>
      <c r="S332" s="46">
        <v>0</v>
      </c>
      <c r="T332" s="47">
        <v>0</v>
      </c>
      <c r="U332" s="46">
        <v>0</v>
      </c>
      <c r="V332" s="46">
        <v>0</v>
      </c>
      <c r="W332" s="46">
        <v>0</v>
      </c>
      <c r="X332" s="46">
        <v>0</v>
      </c>
    </row>
    <row r="333" spans="1:24" s="5" customFormat="1" x14ac:dyDescent="0.15">
      <c r="A333" s="44" t="s">
        <v>702</v>
      </c>
      <c r="B333" s="44" t="s">
        <v>703</v>
      </c>
      <c r="C333" s="44" t="s">
        <v>28</v>
      </c>
      <c r="D333" s="44">
        <v>0.83299999999999996</v>
      </c>
      <c r="E333" s="44">
        <v>0</v>
      </c>
      <c r="F333" s="44">
        <v>1</v>
      </c>
      <c r="G333" s="44">
        <v>0</v>
      </c>
      <c r="H333" s="44">
        <v>1</v>
      </c>
      <c r="I333" s="44" t="s">
        <v>27</v>
      </c>
      <c r="J333" s="44" t="s">
        <v>702</v>
      </c>
      <c r="K333" s="44">
        <v>1</v>
      </c>
      <c r="L333" s="44">
        <v>0</v>
      </c>
      <c r="M333" s="44">
        <v>1</v>
      </c>
      <c r="N333" s="44">
        <v>0</v>
      </c>
      <c r="O333" s="45" t="s">
        <v>1520</v>
      </c>
      <c r="P333" s="46" t="s">
        <v>27</v>
      </c>
      <c r="Q333" s="46" t="s">
        <v>27</v>
      </c>
      <c r="R333" s="46">
        <v>0</v>
      </c>
      <c r="S333" s="46">
        <v>0</v>
      </c>
      <c r="T333" s="47">
        <v>0</v>
      </c>
      <c r="U333" s="46">
        <v>0</v>
      </c>
      <c r="V333" s="46">
        <v>0</v>
      </c>
      <c r="W333" s="46">
        <v>0</v>
      </c>
      <c r="X333" s="46">
        <v>0</v>
      </c>
    </row>
    <row r="334" spans="1:24" s="5" customFormat="1" x14ac:dyDescent="0.15">
      <c r="A334" s="44" t="s">
        <v>704</v>
      </c>
      <c r="B334" s="44" t="s">
        <v>705</v>
      </c>
      <c r="C334" s="59" t="s">
        <v>73</v>
      </c>
      <c r="D334" s="44">
        <v>1.667</v>
      </c>
      <c r="E334" s="44">
        <v>0</v>
      </c>
      <c r="F334" s="44">
        <v>1</v>
      </c>
      <c r="G334" s="44">
        <v>0</v>
      </c>
      <c r="H334" s="44">
        <v>1</v>
      </c>
      <c r="I334" s="44" t="s">
        <v>50</v>
      </c>
      <c r="J334" s="44" t="s">
        <v>405</v>
      </c>
      <c r="K334" s="44">
        <v>5</v>
      </c>
      <c r="L334" s="44">
        <v>0.5</v>
      </c>
      <c r="M334" s="44">
        <v>3</v>
      </c>
      <c r="N334" s="44">
        <v>0</v>
      </c>
      <c r="O334" s="45" t="s">
        <v>1520</v>
      </c>
      <c r="P334" s="46" t="s">
        <v>27</v>
      </c>
      <c r="Q334" s="46" t="s">
        <v>27</v>
      </c>
      <c r="R334" s="46">
        <v>0</v>
      </c>
      <c r="S334" s="46">
        <v>0</v>
      </c>
      <c r="T334" s="47">
        <v>0</v>
      </c>
      <c r="U334" s="46">
        <v>0</v>
      </c>
      <c r="V334" s="46">
        <v>0</v>
      </c>
      <c r="W334" s="46">
        <v>0</v>
      </c>
      <c r="X334" s="46">
        <v>0</v>
      </c>
    </row>
    <row r="335" spans="1:24" s="5" customFormat="1" x14ac:dyDescent="0.15">
      <c r="A335" s="44" t="s">
        <v>706</v>
      </c>
      <c r="B335" s="44" t="s">
        <v>707</v>
      </c>
      <c r="C335" s="44" t="s">
        <v>29</v>
      </c>
      <c r="D335" s="44">
        <v>2.5</v>
      </c>
      <c r="E335" s="44">
        <v>0</v>
      </c>
      <c r="F335" s="44">
        <v>1</v>
      </c>
      <c r="G335" s="44">
        <v>0</v>
      </c>
      <c r="H335" s="44">
        <v>1</v>
      </c>
      <c r="I335" s="44" t="s">
        <v>50</v>
      </c>
      <c r="J335" s="44" t="s">
        <v>708</v>
      </c>
      <c r="K335" s="44">
        <v>5</v>
      </c>
      <c r="L335" s="44">
        <v>0.05</v>
      </c>
      <c r="M335" s="44">
        <v>1</v>
      </c>
      <c r="N335" s="44">
        <v>0</v>
      </c>
      <c r="O335" s="45" t="s">
        <v>1520</v>
      </c>
      <c r="P335" s="46" t="s">
        <v>27</v>
      </c>
      <c r="Q335" s="46" t="s">
        <v>27</v>
      </c>
      <c r="R335" s="46">
        <v>0</v>
      </c>
      <c r="S335" s="46">
        <v>0</v>
      </c>
      <c r="T335" s="47">
        <v>0</v>
      </c>
      <c r="U335" s="46">
        <v>0</v>
      </c>
      <c r="V335" s="46">
        <v>0</v>
      </c>
      <c r="W335" s="46">
        <v>0</v>
      </c>
      <c r="X335" s="46">
        <v>0</v>
      </c>
    </row>
    <row r="336" spans="1:24" s="5" customFormat="1" x14ac:dyDescent="0.15">
      <c r="A336" s="44" t="s">
        <v>709</v>
      </c>
      <c r="B336" s="44" t="s">
        <v>710</v>
      </c>
      <c r="C336" s="44" t="s">
        <v>30</v>
      </c>
      <c r="D336" s="44">
        <v>3.3330000000000002</v>
      </c>
      <c r="E336" s="44">
        <v>0</v>
      </c>
      <c r="F336" s="44">
        <v>1</v>
      </c>
      <c r="G336" s="44">
        <v>0</v>
      </c>
      <c r="H336" s="44">
        <v>1</v>
      </c>
      <c r="I336" s="44" t="s">
        <v>50</v>
      </c>
      <c r="J336" s="44" t="s">
        <v>711</v>
      </c>
      <c r="K336" s="44">
        <v>5</v>
      </c>
      <c r="L336" s="44">
        <v>0.1</v>
      </c>
      <c r="M336" s="44">
        <v>1</v>
      </c>
      <c r="N336" s="44">
        <v>0</v>
      </c>
      <c r="O336" s="45" t="s">
        <v>1520</v>
      </c>
      <c r="P336" s="46" t="s">
        <v>27</v>
      </c>
      <c r="Q336" s="46" t="s">
        <v>27</v>
      </c>
      <c r="R336" s="46">
        <v>0</v>
      </c>
      <c r="S336" s="46">
        <v>0</v>
      </c>
      <c r="T336" s="47">
        <v>0</v>
      </c>
      <c r="U336" s="46">
        <v>0</v>
      </c>
      <c r="V336" s="46">
        <v>0</v>
      </c>
      <c r="W336" s="46">
        <v>0</v>
      </c>
      <c r="X336" s="46">
        <v>0</v>
      </c>
    </row>
    <row r="337" spans="1:25" s="5" customFormat="1" x14ac:dyDescent="0.15">
      <c r="A337" s="44" t="s">
        <v>720</v>
      </c>
      <c r="B337" s="44" t="s">
        <v>724</v>
      </c>
      <c r="C337" s="44" t="s">
        <v>27</v>
      </c>
      <c r="D337" s="44">
        <v>0</v>
      </c>
      <c r="E337" s="44">
        <v>0</v>
      </c>
      <c r="F337" s="44">
        <v>11</v>
      </c>
      <c r="G337" s="44">
        <v>0</v>
      </c>
      <c r="H337" s="44" t="s">
        <v>839</v>
      </c>
      <c r="I337" s="44" t="s">
        <v>27</v>
      </c>
      <c r="J337" s="44" t="s">
        <v>719</v>
      </c>
      <c r="K337" s="44">
        <v>1</v>
      </c>
      <c r="L337" s="44">
        <v>0</v>
      </c>
      <c r="M337" s="44">
        <v>1</v>
      </c>
      <c r="N337" s="44">
        <v>4</v>
      </c>
      <c r="O337" s="45" t="s">
        <v>1520</v>
      </c>
      <c r="P337" s="46" t="s">
        <v>27</v>
      </c>
      <c r="Q337" s="46" t="s">
        <v>27</v>
      </c>
      <c r="R337" s="46">
        <v>0</v>
      </c>
      <c r="S337" s="46">
        <v>0</v>
      </c>
      <c r="T337" s="47">
        <v>0</v>
      </c>
      <c r="U337" s="46">
        <v>0</v>
      </c>
      <c r="V337" s="46">
        <v>0</v>
      </c>
      <c r="W337" s="46">
        <v>0</v>
      </c>
      <c r="X337" s="46">
        <v>0</v>
      </c>
    </row>
    <row r="338" spans="1:25" s="5" customFormat="1" x14ac:dyDescent="0.15">
      <c r="A338" s="44" t="s">
        <v>722</v>
      </c>
      <c r="B338" s="44" t="s">
        <v>725</v>
      </c>
      <c r="C338" s="44" t="s">
        <v>27</v>
      </c>
      <c r="D338" s="44">
        <v>0</v>
      </c>
      <c r="E338" s="44">
        <v>0</v>
      </c>
      <c r="F338" s="44">
        <v>11</v>
      </c>
      <c r="G338" s="44">
        <v>0</v>
      </c>
      <c r="H338" s="44" t="s">
        <v>839</v>
      </c>
      <c r="I338" s="44" t="s">
        <v>27</v>
      </c>
      <c r="J338" s="44" t="s">
        <v>721</v>
      </c>
      <c r="K338" s="44">
        <v>1</v>
      </c>
      <c r="L338" s="44">
        <v>0</v>
      </c>
      <c r="M338" s="44">
        <v>1</v>
      </c>
      <c r="N338" s="44">
        <v>4</v>
      </c>
      <c r="O338" s="45" t="s">
        <v>1520</v>
      </c>
      <c r="P338" s="46" t="s">
        <v>27</v>
      </c>
      <c r="Q338" s="46" t="s">
        <v>27</v>
      </c>
      <c r="R338" s="46">
        <v>0</v>
      </c>
      <c r="S338" s="46">
        <v>0</v>
      </c>
      <c r="T338" s="47">
        <v>0</v>
      </c>
      <c r="U338" s="46">
        <v>0</v>
      </c>
      <c r="V338" s="46">
        <v>0</v>
      </c>
      <c r="W338" s="46">
        <v>0</v>
      </c>
      <c r="X338" s="46">
        <v>0</v>
      </c>
    </row>
    <row r="339" spans="1:25" s="5" customFormat="1" x14ac:dyDescent="0.15">
      <c r="A339" s="71" t="s">
        <v>754</v>
      </c>
      <c r="B339" s="44" t="s">
        <v>753</v>
      </c>
      <c r="C339" s="44" t="s">
        <v>27</v>
      </c>
      <c r="D339" s="44">
        <v>0</v>
      </c>
      <c r="E339" s="44">
        <v>0</v>
      </c>
      <c r="F339" s="44">
        <v>11</v>
      </c>
      <c r="G339" s="44">
        <v>0</v>
      </c>
      <c r="H339" s="44" t="s">
        <v>839</v>
      </c>
      <c r="I339" s="44" t="s">
        <v>27</v>
      </c>
      <c r="J339" s="44" t="s">
        <v>755</v>
      </c>
      <c r="K339" s="44">
        <v>1</v>
      </c>
      <c r="L339" s="44">
        <v>0</v>
      </c>
      <c r="M339" s="44">
        <v>1</v>
      </c>
      <c r="N339" s="44">
        <v>4</v>
      </c>
      <c r="O339" s="45" t="s">
        <v>1520</v>
      </c>
      <c r="P339" s="46" t="s">
        <v>27</v>
      </c>
      <c r="Q339" s="46" t="s">
        <v>27</v>
      </c>
      <c r="R339" s="46">
        <v>0</v>
      </c>
      <c r="S339" s="46">
        <v>0</v>
      </c>
      <c r="T339" s="47">
        <v>0</v>
      </c>
      <c r="U339" s="46">
        <v>0</v>
      </c>
      <c r="V339" s="46">
        <v>0</v>
      </c>
      <c r="W339" s="46">
        <v>0</v>
      </c>
      <c r="X339" s="46">
        <v>0</v>
      </c>
    </row>
    <row r="340" spans="1:25" s="5" customFormat="1" x14ac:dyDescent="0.15">
      <c r="A340" s="71" t="s">
        <v>812</v>
      </c>
      <c r="B340" s="44" t="s">
        <v>753</v>
      </c>
      <c r="C340" s="44" t="s">
        <v>27</v>
      </c>
      <c r="D340" s="44">
        <v>0</v>
      </c>
      <c r="E340" s="44">
        <v>0</v>
      </c>
      <c r="F340" s="44">
        <v>11</v>
      </c>
      <c r="G340" s="44">
        <v>0</v>
      </c>
      <c r="H340" s="44" t="s">
        <v>839</v>
      </c>
      <c r="I340" s="44" t="s">
        <v>27</v>
      </c>
      <c r="J340" s="44" t="s">
        <v>812</v>
      </c>
      <c r="K340" s="44">
        <v>1</v>
      </c>
      <c r="L340" s="44">
        <v>0</v>
      </c>
      <c r="M340" s="44">
        <v>1</v>
      </c>
      <c r="N340" s="44">
        <v>4</v>
      </c>
      <c r="O340" s="45" t="s">
        <v>1520</v>
      </c>
      <c r="P340" s="46" t="s">
        <v>27</v>
      </c>
      <c r="Q340" s="46" t="s">
        <v>27</v>
      </c>
      <c r="R340" s="46">
        <v>0</v>
      </c>
      <c r="S340" s="46">
        <v>0</v>
      </c>
      <c r="T340" s="47">
        <v>0</v>
      </c>
      <c r="U340" s="46">
        <v>0</v>
      </c>
      <c r="V340" s="46">
        <v>0</v>
      </c>
      <c r="W340" s="46">
        <v>0</v>
      </c>
      <c r="X340" s="46">
        <v>0</v>
      </c>
    </row>
    <row r="341" spans="1:25" s="5" customFormat="1" x14ac:dyDescent="0.15">
      <c r="A341" s="44" t="s">
        <v>107</v>
      </c>
      <c r="B341" s="44" t="s">
        <v>819</v>
      </c>
      <c r="C341" s="44" t="s">
        <v>52</v>
      </c>
      <c r="D341" s="44">
        <v>0</v>
      </c>
      <c r="E341" s="44">
        <v>0</v>
      </c>
      <c r="F341" s="44">
        <v>11</v>
      </c>
      <c r="G341" s="44">
        <v>0</v>
      </c>
      <c r="H341" s="44" t="s">
        <v>839</v>
      </c>
      <c r="I341" s="44" t="s">
        <v>52</v>
      </c>
      <c r="J341" s="44" t="s">
        <v>270</v>
      </c>
      <c r="K341" s="44">
        <v>1</v>
      </c>
      <c r="L341" s="44">
        <v>0</v>
      </c>
      <c r="M341" s="44">
        <v>1</v>
      </c>
      <c r="N341" s="44">
        <v>1</v>
      </c>
      <c r="O341" s="45" t="s">
        <v>1520</v>
      </c>
      <c r="P341" s="46" t="s">
        <v>27</v>
      </c>
      <c r="Q341" s="46" t="s">
        <v>27</v>
      </c>
      <c r="R341" s="46">
        <v>0</v>
      </c>
      <c r="S341" s="46">
        <v>0</v>
      </c>
      <c r="T341" s="47">
        <v>0</v>
      </c>
      <c r="U341" s="46">
        <v>0</v>
      </c>
      <c r="V341" s="46">
        <v>0</v>
      </c>
      <c r="W341" s="46">
        <v>0</v>
      </c>
      <c r="X341" s="46">
        <v>0</v>
      </c>
    </row>
    <row r="342" spans="1:25" s="5" customFormat="1" x14ac:dyDescent="0.15">
      <c r="A342" s="44" t="s">
        <v>820</v>
      </c>
      <c r="B342" s="44" t="s">
        <v>815</v>
      </c>
      <c r="C342" s="44" t="s">
        <v>52</v>
      </c>
      <c r="D342" s="44">
        <v>0</v>
      </c>
      <c r="E342" s="44">
        <v>0</v>
      </c>
      <c r="F342" s="44">
        <v>11</v>
      </c>
      <c r="G342" s="44">
        <v>0</v>
      </c>
      <c r="H342" s="44" t="s">
        <v>839</v>
      </c>
      <c r="I342" s="44" t="s">
        <v>52</v>
      </c>
      <c r="J342" s="44" t="s">
        <v>813</v>
      </c>
      <c r="K342" s="44">
        <v>1</v>
      </c>
      <c r="L342" s="44">
        <v>0</v>
      </c>
      <c r="M342" s="44">
        <v>1</v>
      </c>
      <c r="N342" s="44">
        <v>1</v>
      </c>
      <c r="O342" s="45" t="s">
        <v>1520</v>
      </c>
      <c r="P342" s="46" t="s">
        <v>27</v>
      </c>
      <c r="Q342" s="46" t="s">
        <v>27</v>
      </c>
      <c r="R342" s="46">
        <v>0</v>
      </c>
      <c r="S342" s="46">
        <v>0</v>
      </c>
      <c r="T342" s="47">
        <v>0</v>
      </c>
      <c r="U342" s="46">
        <v>0</v>
      </c>
      <c r="V342" s="46">
        <v>0</v>
      </c>
      <c r="W342" s="46">
        <v>0</v>
      </c>
      <c r="X342" s="46">
        <v>0</v>
      </c>
    </row>
    <row r="343" spans="1:25" s="5" customFormat="1" x14ac:dyDescent="0.15">
      <c r="A343" s="44" t="s">
        <v>821</v>
      </c>
      <c r="B343" s="44" t="s">
        <v>816</v>
      </c>
      <c r="C343" s="44" t="s">
        <v>52</v>
      </c>
      <c r="D343" s="44">
        <v>0</v>
      </c>
      <c r="E343" s="44">
        <v>0</v>
      </c>
      <c r="F343" s="44">
        <v>11</v>
      </c>
      <c r="G343" s="44">
        <v>0</v>
      </c>
      <c r="H343" s="44" t="s">
        <v>839</v>
      </c>
      <c r="I343" s="44" t="s">
        <v>52</v>
      </c>
      <c r="J343" s="44" t="s">
        <v>814</v>
      </c>
      <c r="K343" s="44">
        <v>1</v>
      </c>
      <c r="L343" s="44">
        <v>0</v>
      </c>
      <c r="M343" s="44">
        <v>1</v>
      </c>
      <c r="N343" s="44">
        <v>1</v>
      </c>
      <c r="O343" s="45" t="s">
        <v>1520</v>
      </c>
      <c r="P343" s="46" t="s">
        <v>27</v>
      </c>
      <c r="Q343" s="46" t="s">
        <v>27</v>
      </c>
      <c r="R343" s="46">
        <v>0</v>
      </c>
      <c r="S343" s="46">
        <v>0</v>
      </c>
      <c r="T343" s="47">
        <v>0</v>
      </c>
      <c r="U343" s="46">
        <v>0</v>
      </c>
      <c r="V343" s="46">
        <v>0</v>
      </c>
      <c r="W343" s="46">
        <v>0</v>
      </c>
      <c r="X343" s="46">
        <v>0</v>
      </c>
    </row>
    <row r="344" spans="1:25" s="5" customFormat="1" x14ac:dyDescent="0.15">
      <c r="A344" s="44" t="s">
        <v>822</v>
      </c>
      <c r="B344" s="44" t="s">
        <v>817</v>
      </c>
      <c r="C344" s="44" t="s">
        <v>52</v>
      </c>
      <c r="D344" s="44">
        <v>0</v>
      </c>
      <c r="E344" s="44">
        <v>0</v>
      </c>
      <c r="F344" s="44">
        <v>11</v>
      </c>
      <c r="G344" s="44">
        <v>0</v>
      </c>
      <c r="H344" s="44" t="s">
        <v>839</v>
      </c>
      <c r="I344" s="44" t="s">
        <v>52</v>
      </c>
      <c r="J344" s="44" t="s">
        <v>824</v>
      </c>
      <c r="K344" s="44">
        <v>1</v>
      </c>
      <c r="L344" s="44">
        <v>0</v>
      </c>
      <c r="M344" s="44">
        <v>1</v>
      </c>
      <c r="N344" s="44">
        <v>1</v>
      </c>
      <c r="O344" s="45" t="s">
        <v>1520</v>
      </c>
      <c r="P344" s="46" t="s">
        <v>27</v>
      </c>
      <c r="Q344" s="46" t="s">
        <v>27</v>
      </c>
      <c r="R344" s="46">
        <v>0</v>
      </c>
      <c r="S344" s="46">
        <v>0</v>
      </c>
      <c r="T344" s="47">
        <v>0</v>
      </c>
      <c r="U344" s="46">
        <v>0</v>
      </c>
      <c r="V344" s="46">
        <v>0</v>
      </c>
      <c r="W344" s="46">
        <v>0</v>
      </c>
      <c r="X344" s="46">
        <v>0</v>
      </c>
    </row>
    <row r="345" spans="1:25" s="5" customFormat="1" x14ac:dyDescent="0.15">
      <c r="A345" s="44" t="s">
        <v>823</v>
      </c>
      <c r="B345" s="44" t="s">
        <v>818</v>
      </c>
      <c r="C345" s="44" t="s">
        <v>52</v>
      </c>
      <c r="D345" s="44">
        <v>0</v>
      </c>
      <c r="E345" s="44">
        <v>0</v>
      </c>
      <c r="F345" s="44">
        <v>11</v>
      </c>
      <c r="G345" s="44">
        <v>0</v>
      </c>
      <c r="H345" s="44" t="s">
        <v>839</v>
      </c>
      <c r="I345" s="44" t="s">
        <v>52</v>
      </c>
      <c r="J345" s="44" t="s">
        <v>825</v>
      </c>
      <c r="K345" s="44">
        <v>1</v>
      </c>
      <c r="L345" s="44">
        <v>0</v>
      </c>
      <c r="M345" s="44">
        <v>1</v>
      </c>
      <c r="N345" s="44">
        <v>1</v>
      </c>
      <c r="O345" s="45" t="s">
        <v>1520</v>
      </c>
      <c r="P345" s="46" t="s">
        <v>27</v>
      </c>
      <c r="Q345" s="46" t="s">
        <v>27</v>
      </c>
      <c r="R345" s="46">
        <v>0</v>
      </c>
      <c r="S345" s="46">
        <v>0</v>
      </c>
      <c r="T345" s="47">
        <v>0</v>
      </c>
      <c r="U345" s="46">
        <v>0</v>
      </c>
      <c r="V345" s="46">
        <v>0</v>
      </c>
      <c r="W345" s="46">
        <v>0</v>
      </c>
      <c r="X345" s="46">
        <v>0</v>
      </c>
    </row>
    <row r="346" spans="1:25" s="6" customFormat="1" x14ac:dyDescent="0.15">
      <c r="A346" s="59" t="s">
        <v>1819</v>
      </c>
      <c r="B346" s="59" t="s">
        <v>732</v>
      </c>
      <c r="C346" s="44" t="s">
        <v>398</v>
      </c>
      <c r="D346" s="44">
        <v>1</v>
      </c>
      <c r="E346" s="44">
        <v>0</v>
      </c>
      <c r="F346" s="44">
        <v>2</v>
      </c>
      <c r="G346" s="44">
        <v>17</v>
      </c>
      <c r="H346" s="44">
        <v>1</v>
      </c>
      <c r="I346" s="44" t="s">
        <v>50</v>
      </c>
      <c r="J346" s="44" t="s">
        <v>731</v>
      </c>
      <c r="K346" s="44">
        <v>5</v>
      </c>
      <c r="L346" s="44">
        <v>0.5</v>
      </c>
      <c r="M346" s="44">
        <v>1</v>
      </c>
      <c r="N346" s="44">
        <v>1</v>
      </c>
      <c r="O346" s="45" t="s">
        <v>1520</v>
      </c>
      <c r="P346" s="46" t="s">
        <v>27</v>
      </c>
      <c r="Q346" s="46" t="s">
        <v>27</v>
      </c>
      <c r="R346" s="46">
        <v>0</v>
      </c>
      <c r="S346" s="46">
        <v>0</v>
      </c>
      <c r="T346" s="47">
        <v>0</v>
      </c>
      <c r="U346" s="46">
        <v>0</v>
      </c>
      <c r="V346" s="46">
        <v>0</v>
      </c>
      <c r="W346" s="46">
        <v>0</v>
      </c>
      <c r="X346" s="46">
        <v>0</v>
      </c>
      <c r="Y346" s="5"/>
    </row>
    <row r="347" spans="1:25" s="6" customFormat="1" x14ac:dyDescent="0.15">
      <c r="A347" s="59" t="s">
        <v>734</v>
      </c>
      <c r="B347" s="59" t="s">
        <v>736</v>
      </c>
      <c r="C347" s="59" t="s">
        <v>73</v>
      </c>
      <c r="D347" s="44">
        <v>1.667</v>
      </c>
      <c r="E347" s="59">
        <v>0</v>
      </c>
      <c r="F347" s="59">
        <v>1</v>
      </c>
      <c r="G347" s="59">
        <v>0</v>
      </c>
      <c r="H347" s="59">
        <v>1</v>
      </c>
      <c r="I347" s="59" t="s">
        <v>739</v>
      </c>
      <c r="J347" s="59" t="s">
        <v>734</v>
      </c>
      <c r="K347" s="59">
        <v>5</v>
      </c>
      <c r="L347" s="59">
        <v>0.6</v>
      </c>
      <c r="M347" s="59">
        <v>1</v>
      </c>
      <c r="N347" s="59">
        <v>0</v>
      </c>
      <c r="O347" s="72" t="s">
        <v>743</v>
      </c>
      <c r="P347" s="59" t="s">
        <v>739</v>
      </c>
      <c r="Q347" s="59" t="s">
        <v>739</v>
      </c>
      <c r="R347" s="59">
        <v>0</v>
      </c>
      <c r="S347" s="59">
        <v>0</v>
      </c>
      <c r="T347" s="59">
        <v>0</v>
      </c>
      <c r="U347" s="59">
        <v>0</v>
      </c>
      <c r="V347" s="59">
        <v>0</v>
      </c>
      <c r="W347" s="59">
        <v>0</v>
      </c>
      <c r="X347" s="59">
        <v>0</v>
      </c>
      <c r="Y347" s="5"/>
    </row>
    <row r="348" spans="1:25" s="7" customFormat="1" x14ac:dyDescent="0.15">
      <c r="A348" s="73" t="s">
        <v>1818</v>
      </c>
      <c r="B348" s="73" t="s">
        <v>847</v>
      </c>
      <c r="C348" s="59" t="s">
        <v>1855</v>
      </c>
      <c r="D348" s="73">
        <v>2.6</v>
      </c>
      <c r="E348" s="73">
        <v>0</v>
      </c>
      <c r="F348" s="73">
        <v>1</v>
      </c>
      <c r="G348" s="73">
        <v>0</v>
      </c>
      <c r="H348" s="73">
        <v>1</v>
      </c>
      <c r="I348" s="73" t="s">
        <v>848</v>
      </c>
      <c r="J348" s="73" t="s">
        <v>1817</v>
      </c>
      <c r="K348" s="73">
        <v>3</v>
      </c>
      <c r="L348" s="73">
        <v>1</v>
      </c>
      <c r="M348" s="73">
        <v>3</v>
      </c>
      <c r="N348" s="73">
        <v>1</v>
      </c>
      <c r="O348" s="74" t="s">
        <v>1820</v>
      </c>
      <c r="P348" s="73" t="s">
        <v>848</v>
      </c>
      <c r="Q348" s="73" t="s">
        <v>848</v>
      </c>
      <c r="R348" s="73">
        <v>0</v>
      </c>
      <c r="S348" s="73">
        <v>0</v>
      </c>
      <c r="T348" s="73">
        <v>0</v>
      </c>
      <c r="U348" s="73">
        <v>0</v>
      </c>
      <c r="V348" s="73">
        <v>0</v>
      </c>
      <c r="W348" s="73">
        <v>0</v>
      </c>
      <c r="X348" s="73">
        <v>0</v>
      </c>
      <c r="Y348" s="4"/>
    </row>
    <row r="349" spans="1:25" s="6" customFormat="1" x14ac:dyDescent="0.15">
      <c r="A349" s="59" t="s">
        <v>735</v>
      </c>
      <c r="B349" s="59" t="s">
        <v>737</v>
      </c>
      <c r="C349" s="59" t="s">
        <v>739</v>
      </c>
      <c r="D349" s="59">
        <v>0</v>
      </c>
      <c r="E349" s="59">
        <v>0</v>
      </c>
      <c r="F349" s="59">
        <v>1</v>
      </c>
      <c r="G349" s="59">
        <v>0</v>
      </c>
      <c r="H349" s="59" t="s">
        <v>841</v>
      </c>
      <c r="I349" s="59" t="s">
        <v>739</v>
      </c>
      <c r="J349" s="59" t="s">
        <v>735</v>
      </c>
      <c r="K349" s="59">
        <v>5</v>
      </c>
      <c r="L349" s="59">
        <v>0</v>
      </c>
      <c r="M349" s="59">
        <v>1</v>
      </c>
      <c r="N349" s="59">
        <v>0</v>
      </c>
      <c r="O349" s="72" t="s">
        <v>1520</v>
      </c>
      <c r="P349" s="59" t="s">
        <v>739</v>
      </c>
      <c r="Q349" s="59" t="s">
        <v>739</v>
      </c>
      <c r="R349" s="59">
        <v>0</v>
      </c>
      <c r="S349" s="59">
        <v>0</v>
      </c>
      <c r="T349" s="59">
        <v>0</v>
      </c>
      <c r="U349" s="59">
        <v>0</v>
      </c>
      <c r="V349" s="59">
        <v>0</v>
      </c>
      <c r="W349" s="59">
        <v>0</v>
      </c>
      <c r="X349" s="59">
        <v>0</v>
      </c>
      <c r="Y349" s="5"/>
    </row>
    <row r="350" spans="1:25" s="7" customFormat="1" x14ac:dyDescent="0.15">
      <c r="A350" s="73" t="s">
        <v>849</v>
      </c>
      <c r="B350" s="73" t="s">
        <v>738</v>
      </c>
      <c r="C350" s="73" t="s">
        <v>73</v>
      </c>
      <c r="D350" s="73">
        <v>2</v>
      </c>
      <c r="E350" s="73">
        <v>0.5</v>
      </c>
      <c r="F350" s="73">
        <v>2</v>
      </c>
      <c r="G350" s="73">
        <v>17</v>
      </c>
      <c r="H350" s="73">
        <v>1</v>
      </c>
      <c r="I350" s="73" t="s">
        <v>50</v>
      </c>
      <c r="J350" s="73" t="s">
        <v>1821</v>
      </c>
      <c r="K350" s="73">
        <v>3</v>
      </c>
      <c r="L350" s="73">
        <v>0</v>
      </c>
      <c r="M350" s="73">
        <v>1</v>
      </c>
      <c r="N350" s="73">
        <v>7</v>
      </c>
      <c r="O350" s="74" t="s">
        <v>1858</v>
      </c>
      <c r="P350" s="73" t="s">
        <v>50</v>
      </c>
      <c r="Q350" s="73" t="s">
        <v>50</v>
      </c>
      <c r="R350" s="73">
        <v>0</v>
      </c>
      <c r="S350" s="73">
        <v>0</v>
      </c>
      <c r="T350" s="73">
        <v>0</v>
      </c>
      <c r="U350" s="73">
        <v>0</v>
      </c>
      <c r="V350" s="73">
        <v>0</v>
      </c>
      <c r="W350" s="73">
        <v>0</v>
      </c>
      <c r="X350" s="73">
        <v>0</v>
      </c>
      <c r="Y350" s="4"/>
    </row>
    <row r="351" spans="1:25" s="7" customFormat="1" x14ac:dyDescent="0.15">
      <c r="A351" s="73" t="s">
        <v>913</v>
      </c>
      <c r="B351" s="73" t="s">
        <v>911</v>
      </c>
      <c r="C351" s="73" t="s">
        <v>73</v>
      </c>
      <c r="D351" s="73">
        <v>2</v>
      </c>
      <c r="E351" s="73">
        <v>0</v>
      </c>
      <c r="F351" s="73">
        <v>1</v>
      </c>
      <c r="G351" s="73">
        <v>0</v>
      </c>
      <c r="H351" s="73">
        <v>1</v>
      </c>
      <c r="I351" s="73" t="s">
        <v>27</v>
      </c>
      <c r="J351" s="59" t="s">
        <v>912</v>
      </c>
      <c r="K351" s="73">
        <v>6</v>
      </c>
      <c r="L351" s="73">
        <v>0</v>
      </c>
      <c r="M351" s="73">
        <v>2</v>
      </c>
      <c r="N351" s="73">
        <v>0</v>
      </c>
      <c r="O351" s="74" t="s">
        <v>792</v>
      </c>
      <c r="P351" s="73" t="s">
        <v>27</v>
      </c>
      <c r="Q351" s="73" t="s">
        <v>27</v>
      </c>
      <c r="R351" s="73">
        <v>0</v>
      </c>
      <c r="S351" s="73">
        <v>0</v>
      </c>
      <c r="T351" s="73">
        <v>0</v>
      </c>
      <c r="U351" s="73">
        <v>0</v>
      </c>
      <c r="V351" s="73">
        <v>0</v>
      </c>
      <c r="W351" s="73">
        <v>0</v>
      </c>
      <c r="X351" s="73">
        <v>0</v>
      </c>
      <c r="Y351" s="4"/>
    </row>
    <row r="352" spans="1:25" s="7" customFormat="1" x14ac:dyDescent="0.15">
      <c r="A352" s="73" t="s">
        <v>1857</v>
      </c>
      <c r="B352" s="73" t="s">
        <v>911</v>
      </c>
      <c r="C352" s="73" t="s">
        <v>73</v>
      </c>
      <c r="D352" s="73">
        <v>2</v>
      </c>
      <c r="E352" s="73">
        <v>0</v>
      </c>
      <c r="F352" s="73">
        <v>1</v>
      </c>
      <c r="G352" s="73">
        <v>0</v>
      </c>
      <c r="H352" s="73">
        <v>1</v>
      </c>
      <c r="I352" s="73" t="s">
        <v>27</v>
      </c>
      <c r="J352" s="59" t="s">
        <v>1856</v>
      </c>
      <c r="K352" s="73">
        <v>6</v>
      </c>
      <c r="L352" s="73">
        <v>0</v>
      </c>
      <c r="M352" s="73">
        <v>2</v>
      </c>
      <c r="N352" s="73">
        <v>7</v>
      </c>
      <c r="O352" s="74" t="s">
        <v>792</v>
      </c>
      <c r="P352" s="73" t="s">
        <v>27</v>
      </c>
      <c r="Q352" s="73" t="s">
        <v>27</v>
      </c>
      <c r="R352" s="73">
        <v>0</v>
      </c>
      <c r="S352" s="73">
        <v>0</v>
      </c>
      <c r="T352" s="73">
        <v>0</v>
      </c>
      <c r="U352" s="73">
        <v>0</v>
      </c>
      <c r="V352" s="73">
        <v>0</v>
      </c>
      <c r="W352" s="73">
        <v>0</v>
      </c>
      <c r="X352" s="73">
        <v>0</v>
      </c>
      <c r="Y352" s="4"/>
    </row>
    <row r="353" spans="1:25" s="6" customFormat="1" x14ac:dyDescent="0.15">
      <c r="A353" s="59" t="s">
        <v>798</v>
      </c>
      <c r="B353" s="59" t="s">
        <v>799</v>
      </c>
      <c r="C353" s="59" t="s">
        <v>71</v>
      </c>
      <c r="D353" s="59">
        <v>0.83299999999999996</v>
      </c>
      <c r="E353" s="59">
        <v>0</v>
      </c>
      <c r="F353" s="59">
        <v>1</v>
      </c>
      <c r="G353" s="59">
        <v>0</v>
      </c>
      <c r="H353" s="59">
        <v>1</v>
      </c>
      <c r="I353" s="59" t="s">
        <v>27</v>
      </c>
      <c r="J353" s="59" t="s">
        <v>1850</v>
      </c>
      <c r="K353" s="59">
        <v>5</v>
      </c>
      <c r="L353" s="59">
        <v>0</v>
      </c>
      <c r="M353" s="59">
        <v>1</v>
      </c>
      <c r="N353" s="59">
        <v>1</v>
      </c>
      <c r="O353" s="72" t="s">
        <v>1878</v>
      </c>
      <c r="P353" s="59" t="s">
        <v>27</v>
      </c>
      <c r="Q353" s="59" t="s">
        <v>27</v>
      </c>
      <c r="R353" s="59">
        <v>0</v>
      </c>
      <c r="S353" s="59">
        <v>0</v>
      </c>
      <c r="T353" s="59">
        <v>0</v>
      </c>
      <c r="U353" s="59">
        <v>0</v>
      </c>
      <c r="V353" s="59">
        <v>0</v>
      </c>
      <c r="W353" s="59">
        <v>0</v>
      </c>
      <c r="X353" s="59">
        <v>0</v>
      </c>
      <c r="Y353" s="5"/>
    </row>
    <row r="354" spans="1:25" s="6" customFormat="1" x14ac:dyDescent="0.15">
      <c r="A354" s="59" t="s">
        <v>876</v>
      </c>
      <c r="B354" s="59" t="s">
        <v>877</v>
      </c>
      <c r="C354" s="59" t="s">
        <v>73</v>
      </c>
      <c r="D354" s="59">
        <v>1.667</v>
      </c>
      <c r="E354" s="59">
        <v>0</v>
      </c>
      <c r="F354" s="59">
        <v>1</v>
      </c>
      <c r="G354" s="59">
        <v>0</v>
      </c>
      <c r="H354" s="59">
        <v>1</v>
      </c>
      <c r="I354" s="59" t="s">
        <v>27</v>
      </c>
      <c r="J354" s="59" t="s">
        <v>27</v>
      </c>
      <c r="K354" s="59">
        <v>2</v>
      </c>
      <c r="L354" s="59">
        <v>0</v>
      </c>
      <c r="M354" s="59">
        <v>1</v>
      </c>
      <c r="N354" s="59">
        <v>0</v>
      </c>
      <c r="O354" s="72" t="s">
        <v>1520</v>
      </c>
      <c r="P354" s="59" t="s">
        <v>27</v>
      </c>
      <c r="Q354" s="59" t="s">
        <v>27</v>
      </c>
      <c r="R354" s="59">
        <v>0</v>
      </c>
      <c r="S354" s="59">
        <v>0</v>
      </c>
      <c r="T354" s="59">
        <v>0</v>
      </c>
      <c r="U354" s="59">
        <v>0</v>
      </c>
      <c r="V354" s="59">
        <v>0</v>
      </c>
      <c r="W354" s="59">
        <v>0</v>
      </c>
      <c r="X354" s="59">
        <v>0</v>
      </c>
      <c r="Y354" s="5"/>
    </row>
    <row r="355" spans="1:25" s="6" customFormat="1" x14ac:dyDescent="0.15">
      <c r="A355" s="59" t="s">
        <v>878</v>
      </c>
      <c r="B355" s="59" t="s">
        <v>879</v>
      </c>
      <c r="C355" s="59" t="s">
        <v>73</v>
      </c>
      <c r="D355" s="59">
        <v>1.667</v>
      </c>
      <c r="E355" s="59">
        <v>0</v>
      </c>
      <c r="F355" s="59">
        <v>1</v>
      </c>
      <c r="G355" s="59">
        <v>0</v>
      </c>
      <c r="H355" s="59">
        <v>1</v>
      </c>
      <c r="I355" s="59" t="s">
        <v>27</v>
      </c>
      <c r="J355" s="59" t="s">
        <v>1879</v>
      </c>
      <c r="K355" s="59">
        <v>5</v>
      </c>
      <c r="L355" s="59">
        <v>0</v>
      </c>
      <c r="M355" s="59">
        <v>2</v>
      </c>
      <c r="N355" s="59">
        <v>0</v>
      </c>
      <c r="O355" s="72" t="s">
        <v>1520</v>
      </c>
      <c r="P355" s="59" t="s">
        <v>27</v>
      </c>
      <c r="Q355" s="59" t="s">
        <v>27</v>
      </c>
      <c r="R355" s="59">
        <v>0</v>
      </c>
      <c r="S355" s="59">
        <v>0</v>
      </c>
      <c r="T355" s="59">
        <v>0</v>
      </c>
      <c r="U355" s="59">
        <v>0</v>
      </c>
      <c r="V355" s="59">
        <v>0</v>
      </c>
      <c r="W355" s="59">
        <v>0</v>
      </c>
      <c r="X355" s="59">
        <v>0</v>
      </c>
      <c r="Y355" s="5"/>
    </row>
    <row r="356" spans="1:25" s="6" customFormat="1" x14ac:dyDescent="0.15">
      <c r="A356" s="59" t="s">
        <v>800</v>
      </c>
      <c r="B356" s="59" t="s">
        <v>881</v>
      </c>
      <c r="C356" s="59" t="s">
        <v>72</v>
      </c>
      <c r="D356" s="59">
        <v>2</v>
      </c>
      <c r="E356" s="59">
        <v>0</v>
      </c>
      <c r="F356" s="59">
        <v>1</v>
      </c>
      <c r="G356" s="59">
        <v>0</v>
      </c>
      <c r="H356" s="59">
        <v>1</v>
      </c>
      <c r="I356" s="59" t="s">
        <v>27</v>
      </c>
      <c r="J356" s="59" t="s">
        <v>882</v>
      </c>
      <c r="K356" s="59">
        <v>5</v>
      </c>
      <c r="L356" s="59">
        <v>0</v>
      </c>
      <c r="M356" s="59">
        <v>1</v>
      </c>
      <c r="N356" s="59">
        <v>0</v>
      </c>
      <c r="O356" s="72" t="s">
        <v>792</v>
      </c>
      <c r="P356" s="59" t="s">
        <v>27</v>
      </c>
      <c r="Q356" s="59" t="s">
        <v>27</v>
      </c>
      <c r="R356" s="59">
        <v>0</v>
      </c>
      <c r="S356" s="59">
        <v>0</v>
      </c>
      <c r="T356" s="59">
        <v>0</v>
      </c>
      <c r="U356" s="59">
        <v>0</v>
      </c>
      <c r="V356" s="59">
        <v>0</v>
      </c>
      <c r="W356" s="59">
        <v>0</v>
      </c>
      <c r="X356" s="59">
        <v>0</v>
      </c>
      <c r="Y356" s="5"/>
    </row>
    <row r="357" spans="1:25" s="6" customFormat="1" x14ac:dyDescent="0.15">
      <c r="A357" s="59" t="s">
        <v>801</v>
      </c>
      <c r="B357" s="59" t="s">
        <v>883</v>
      </c>
      <c r="C357" s="59" t="s">
        <v>73</v>
      </c>
      <c r="D357" s="59">
        <v>2</v>
      </c>
      <c r="E357" s="59">
        <v>0</v>
      </c>
      <c r="F357" s="59">
        <v>1</v>
      </c>
      <c r="G357" s="59">
        <v>0</v>
      </c>
      <c r="H357" s="59">
        <v>1</v>
      </c>
      <c r="I357" s="59" t="s">
        <v>27</v>
      </c>
      <c r="J357" s="59" t="s">
        <v>27</v>
      </c>
      <c r="K357" s="59">
        <v>2</v>
      </c>
      <c r="L357" s="59">
        <v>0</v>
      </c>
      <c r="M357" s="59">
        <v>1</v>
      </c>
      <c r="N357" s="59">
        <v>0</v>
      </c>
      <c r="O357" s="72" t="s">
        <v>1520</v>
      </c>
      <c r="P357" s="59" t="s">
        <v>27</v>
      </c>
      <c r="Q357" s="59" t="s">
        <v>27</v>
      </c>
      <c r="R357" s="59">
        <v>0</v>
      </c>
      <c r="S357" s="59">
        <v>0</v>
      </c>
      <c r="T357" s="59">
        <v>0</v>
      </c>
      <c r="U357" s="59">
        <v>0</v>
      </c>
      <c r="V357" s="59">
        <v>0</v>
      </c>
      <c r="W357" s="59">
        <v>0</v>
      </c>
      <c r="X357" s="59">
        <v>0</v>
      </c>
      <c r="Y357" s="5"/>
    </row>
    <row r="358" spans="1:25" s="6" customFormat="1" x14ac:dyDescent="0.15">
      <c r="A358" s="59" t="s">
        <v>1880</v>
      </c>
      <c r="B358" s="59" t="s">
        <v>884</v>
      </c>
      <c r="C358" s="59" t="s">
        <v>1297</v>
      </c>
      <c r="D358" s="59">
        <v>2</v>
      </c>
      <c r="E358" s="59">
        <v>0</v>
      </c>
      <c r="F358" s="59">
        <v>1</v>
      </c>
      <c r="G358" s="59">
        <v>0</v>
      </c>
      <c r="H358" s="59">
        <v>1</v>
      </c>
      <c r="I358" s="59" t="s">
        <v>27</v>
      </c>
      <c r="J358" s="59" t="s">
        <v>880</v>
      </c>
      <c r="K358" s="59">
        <v>2</v>
      </c>
      <c r="L358" s="59">
        <v>0</v>
      </c>
      <c r="M358" s="59">
        <v>2</v>
      </c>
      <c r="N358" s="59">
        <v>3</v>
      </c>
      <c r="O358" s="72" t="s">
        <v>1520</v>
      </c>
      <c r="P358" s="59" t="s">
        <v>27</v>
      </c>
      <c r="Q358" s="59" t="s">
        <v>27</v>
      </c>
      <c r="R358" s="59">
        <v>0</v>
      </c>
      <c r="S358" s="59">
        <v>0</v>
      </c>
      <c r="T358" s="59">
        <v>0</v>
      </c>
      <c r="U358" s="59">
        <v>0</v>
      </c>
      <c r="V358" s="59">
        <v>0</v>
      </c>
      <c r="W358" s="59">
        <v>0</v>
      </c>
      <c r="X358" s="59">
        <v>0</v>
      </c>
      <c r="Y358" s="5"/>
    </row>
    <row r="359" spans="1:25" s="6" customFormat="1" x14ac:dyDescent="0.15">
      <c r="A359" s="59" t="s">
        <v>1904</v>
      </c>
      <c r="B359" s="59" t="s">
        <v>884</v>
      </c>
      <c r="C359" s="59" t="s">
        <v>951</v>
      </c>
      <c r="D359" s="59">
        <v>2</v>
      </c>
      <c r="E359" s="59">
        <v>0</v>
      </c>
      <c r="F359" s="59">
        <v>1</v>
      </c>
      <c r="G359" s="59">
        <v>0</v>
      </c>
      <c r="H359" s="59">
        <v>1</v>
      </c>
      <c r="I359" s="59" t="s">
        <v>27</v>
      </c>
      <c r="J359" s="59" t="s">
        <v>1905</v>
      </c>
      <c r="K359" s="59">
        <v>2</v>
      </c>
      <c r="L359" s="59">
        <v>0</v>
      </c>
      <c r="M359" s="59">
        <v>2</v>
      </c>
      <c r="N359" s="59">
        <v>3</v>
      </c>
      <c r="O359" s="72" t="s">
        <v>1520</v>
      </c>
      <c r="P359" s="59" t="s">
        <v>27</v>
      </c>
      <c r="Q359" s="59" t="s">
        <v>27</v>
      </c>
      <c r="R359" s="59">
        <v>0</v>
      </c>
      <c r="S359" s="59">
        <v>0</v>
      </c>
      <c r="T359" s="59">
        <v>0</v>
      </c>
      <c r="U359" s="59">
        <v>0</v>
      </c>
      <c r="V359" s="59">
        <v>0</v>
      </c>
      <c r="W359" s="59">
        <v>0</v>
      </c>
      <c r="X359" s="59">
        <v>0</v>
      </c>
      <c r="Y359" s="5"/>
    </row>
    <row r="360" spans="1:25" s="6" customFormat="1" x14ac:dyDescent="0.15">
      <c r="A360" s="59" t="s">
        <v>1889</v>
      </c>
      <c r="B360" s="59" t="s">
        <v>808</v>
      </c>
      <c r="C360" s="59" t="s">
        <v>71</v>
      </c>
      <c r="D360" s="59">
        <v>0.83299999999999996</v>
      </c>
      <c r="E360" s="59">
        <v>0</v>
      </c>
      <c r="F360" s="59">
        <v>2</v>
      </c>
      <c r="G360" s="59">
        <v>17</v>
      </c>
      <c r="H360" s="59">
        <v>1</v>
      </c>
      <c r="I360" s="59" t="s">
        <v>27</v>
      </c>
      <c r="J360" s="59" t="s">
        <v>1888</v>
      </c>
      <c r="K360" s="59">
        <v>5</v>
      </c>
      <c r="L360" s="59">
        <v>0.5</v>
      </c>
      <c r="M360" s="59">
        <v>1</v>
      </c>
      <c r="N360" s="59">
        <v>0</v>
      </c>
      <c r="O360" s="72" t="s">
        <v>1520</v>
      </c>
      <c r="P360" s="59" t="s">
        <v>27</v>
      </c>
      <c r="Q360" s="59" t="s">
        <v>27</v>
      </c>
      <c r="R360" s="59">
        <v>0</v>
      </c>
      <c r="S360" s="59">
        <v>0</v>
      </c>
      <c r="T360" s="59">
        <v>0</v>
      </c>
      <c r="U360" s="59">
        <v>0</v>
      </c>
      <c r="V360" s="59">
        <v>0</v>
      </c>
      <c r="W360" s="59">
        <v>0</v>
      </c>
      <c r="X360" s="59">
        <v>0</v>
      </c>
      <c r="Y360" s="5"/>
    </row>
    <row r="361" spans="1:25" s="6" customFormat="1" x14ac:dyDescent="0.15">
      <c r="A361" s="59" t="s">
        <v>1891</v>
      </c>
      <c r="B361" s="59" t="s">
        <v>808</v>
      </c>
      <c r="C361" s="59" t="s">
        <v>71</v>
      </c>
      <c r="D361" s="59">
        <v>0.83299999999999996</v>
      </c>
      <c r="E361" s="59">
        <v>0</v>
      </c>
      <c r="F361" s="59">
        <v>1</v>
      </c>
      <c r="G361" s="59">
        <v>0</v>
      </c>
      <c r="H361" s="59">
        <v>1</v>
      </c>
      <c r="I361" s="59" t="s">
        <v>27</v>
      </c>
      <c r="J361" s="59" t="s">
        <v>1890</v>
      </c>
      <c r="K361" s="59">
        <v>5</v>
      </c>
      <c r="L361" s="59">
        <v>0.2</v>
      </c>
      <c r="M361" s="59">
        <v>1</v>
      </c>
      <c r="N361" s="59">
        <v>0</v>
      </c>
      <c r="O361" s="72" t="s">
        <v>1520</v>
      </c>
      <c r="P361" s="59" t="s">
        <v>27</v>
      </c>
      <c r="Q361" s="59" t="s">
        <v>27</v>
      </c>
      <c r="R361" s="59">
        <v>0</v>
      </c>
      <c r="S361" s="59">
        <v>0</v>
      </c>
      <c r="T361" s="59">
        <v>0</v>
      </c>
      <c r="U361" s="59">
        <v>0</v>
      </c>
      <c r="V361" s="59">
        <v>0</v>
      </c>
      <c r="W361" s="59">
        <v>0</v>
      </c>
      <c r="X361" s="59">
        <v>0</v>
      </c>
      <c r="Y361" s="5"/>
    </row>
    <row r="362" spans="1:25" s="6" customFormat="1" x14ac:dyDescent="0.15">
      <c r="A362" s="59" t="s">
        <v>826</v>
      </c>
      <c r="B362" s="59" t="s">
        <v>827</v>
      </c>
      <c r="C362" s="59" t="s">
        <v>73</v>
      </c>
      <c r="D362" s="44">
        <v>1.667</v>
      </c>
      <c r="E362" s="59">
        <v>0</v>
      </c>
      <c r="F362" s="59">
        <v>1</v>
      </c>
      <c r="G362" s="59">
        <v>0</v>
      </c>
      <c r="H362" s="59">
        <v>1</v>
      </c>
      <c r="I362" s="59" t="s">
        <v>27</v>
      </c>
      <c r="J362" s="59" t="s">
        <v>828</v>
      </c>
      <c r="K362" s="59">
        <v>5</v>
      </c>
      <c r="L362" s="59">
        <v>0.6</v>
      </c>
      <c r="M362" s="59">
        <v>3</v>
      </c>
      <c r="N362" s="59">
        <v>0</v>
      </c>
      <c r="O362" s="72" t="s">
        <v>829</v>
      </c>
      <c r="P362" s="59" t="s">
        <v>27</v>
      </c>
      <c r="Q362" s="59" t="s">
        <v>27</v>
      </c>
      <c r="R362" s="59">
        <v>0</v>
      </c>
      <c r="S362" s="59">
        <v>0</v>
      </c>
      <c r="T362" s="59">
        <v>0</v>
      </c>
      <c r="U362" s="59">
        <v>0</v>
      </c>
      <c r="V362" s="59">
        <v>0</v>
      </c>
      <c r="W362" s="59">
        <v>0</v>
      </c>
      <c r="X362" s="59">
        <v>0</v>
      </c>
      <c r="Y362" s="5"/>
    </row>
    <row r="363" spans="1:25" s="6" customFormat="1" x14ac:dyDescent="0.15">
      <c r="A363" s="59" t="s">
        <v>803</v>
      </c>
      <c r="B363" s="59" t="s">
        <v>809</v>
      </c>
      <c r="C363" s="59" t="s">
        <v>72</v>
      </c>
      <c r="D363" s="59">
        <v>1.4330000000000001</v>
      </c>
      <c r="E363" s="59">
        <v>0</v>
      </c>
      <c r="F363" s="59">
        <v>1</v>
      </c>
      <c r="G363" s="59">
        <v>0</v>
      </c>
      <c r="H363" s="59">
        <v>1</v>
      </c>
      <c r="I363" s="59" t="s">
        <v>27</v>
      </c>
      <c r="J363" s="59" t="s">
        <v>804</v>
      </c>
      <c r="K363" s="59">
        <v>5</v>
      </c>
      <c r="L363" s="59">
        <v>0.5</v>
      </c>
      <c r="M363" s="59">
        <v>1</v>
      </c>
      <c r="N363" s="59">
        <v>0</v>
      </c>
      <c r="O363" s="72" t="s">
        <v>1848</v>
      </c>
      <c r="P363" s="59" t="s">
        <v>27</v>
      </c>
      <c r="Q363" s="59" t="s">
        <v>27</v>
      </c>
      <c r="R363" s="59">
        <v>0</v>
      </c>
      <c r="S363" s="59">
        <v>0</v>
      </c>
      <c r="T363" s="59">
        <v>0</v>
      </c>
      <c r="U363" s="59">
        <v>0</v>
      </c>
      <c r="V363" s="59">
        <v>0</v>
      </c>
      <c r="W363" s="59">
        <v>0</v>
      </c>
      <c r="X363" s="59">
        <v>0</v>
      </c>
      <c r="Y363" s="5"/>
    </row>
    <row r="364" spans="1:25" s="6" customFormat="1" x14ac:dyDescent="0.15">
      <c r="A364" s="59" t="s">
        <v>805</v>
      </c>
      <c r="B364" s="59" t="s">
        <v>810</v>
      </c>
      <c r="C364" s="59" t="s">
        <v>73</v>
      </c>
      <c r="D364" s="59">
        <v>1.333</v>
      </c>
      <c r="E364" s="59">
        <v>0</v>
      </c>
      <c r="F364" s="59">
        <v>1</v>
      </c>
      <c r="G364" s="59">
        <v>0</v>
      </c>
      <c r="H364" s="59">
        <v>1</v>
      </c>
      <c r="I364" s="59" t="s">
        <v>27</v>
      </c>
      <c r="J364" s="59" t="s">
        <v>27</v>
      </c>
      <c r="K364" s="59">
        <v>5</v>
      </c>
      <c r="L364" s="59">
        <v>0</v>
      </c>
      <c r="M364" s="59">
        <v>1</v>
      </c>
      <c r="N364" s="59">
        <v>0</v>
      </c>
      <c r="O364" s="72" t="s">
        <v>1520</v>
      </c>
      <c r="P364" s="59" t="s">
        <v>27</v>
      </c>
      <c r="Q364" s="59" t="s">
        <v>27</v>
      </c>
      <c r="R364" s="59">
        <v>0</v>
      </c>
      <c r="S364" s="59">
        <v>0</v>
      </c>
      <c r="T364" s="59">
        <v>0</v>
      </c>
      <c r="U364" s="59">
        <v>0</v>
      </c>
      <c r="V364" s="59">
        <v>0</v>
      </c>
      <c r="W364" s="59">
        <v>0</v>
      </c>
      <c r="X364" s="59">
        <v>0</v>
      </c>
      <c r="Y364" s="5"/>
    </row>
    <row r="365" spans="1:25" s="6" customFormat="1" x14ac:dyDescent="0.15">
      <c r="A365" s="59" t="s">
        <v>806</v>
      </c>
      <c r="B365" s="59" t="s">
        <v>811</v>
      </c>
      <c r="C365" s="59" t="s">
        <v>73</v>
      </c>
      <c r="D365" s="59">
        <v>1.333</v>
      </c>
      <c r="E365" s="59">
        <v>0</v>
      </c>
      <c r="F365" s="59">
        <v>1</v>
      </c>
      <c r="G365" s="59">
        <v>0</v>
      </c>
      <c r="H365" s="59">
        <v>1</v>
      </c>
      <c r="I365" s="59" t="s">
        <v>27</v>
      </c>
      <c r="J365" s="59" t="s">
        <v>807</v>
      </c>
      <c r="K365" s="59">
        <v>5</v>
      </c>
      <c r="L365" s="59">
        <v>0</v>
      </c>
      <c r="M365" s="59">
        <v>1</v>
      </c>
      <c r="N365" s="59">
        <v>0</v>
      </c>
      <c r="O365" s="72" t="s">
        <v>1520</v>
      </c>
      <c r="P365" s="59" t="s">
        <v>27</v>
      </c>
      <c r="Q365" s="59" t="s">
        <v>27</v>
      </c>
      <c r="R365" s="59">
        <v>0</v>
      </c>
      <c r="S365" s="59">
        <v>0</v>
      </c>
      <c r="T365" s="59">
        <v>0</v>
      </c>
      <c r="U365" s="59">
        <v>0</v>
      </c>
      <c r="V365" s="59">
        <v>0</v>
      </c>
      <c r="W365" s="59">
        <v>0</v>
      </c>
      <c r="X365" s="59">
        <v>0</v>
      </c>
      <c r="Y365" s="5"/>
    </row>
    <row r="366" spans="1:25" s="6" customFormat="1" x14ac:dyDescent="0.15">
      <c r="A366" s="59" t="s">
        <v>1755</v>
      </c>
      <c r="B366" s="59" t="s">
        <v>811</v>
      </c>
      <c r="C366" s="59" t="s">
        <v>73</v>
      </c>
      <c r="D366" s="59">
        <v>1.333</v>
      </c>
      <c r="E366" s="59">
        <v>0</v>
      </c>
      <c r="F366" s="59">
        <v>1</v>
      </c>
      <c r="G366" s="59">
        <v>0</v>
      </c>
      <c r="H366" s="59">
        <v>1</v>
      </c>
      <c r="I366" s="59" t="s">
        <v>27</v>
      </c>
      <c r="J366" s="59" t="s">
        <v>1756</v>
      </c>
      <c r="K366" s="59">
        <v>5</v>
      </c>
      <c r="L366" s="59">
        <v>0.6</v>
      </c>
      <c r="M366" s="59">
        <v>2</v>
      </c>
      <c r="N366" s="59">
        <v>0</v>
      </c>
      <c r="O366" s="72" t="s">
        <v>1520</v>
      </c>
      <c r="P366" s="59" t="s">
        <v>27</v>
      </c>
      <c r="Q366" s="59" t="s">
        <v>27</v>
      </c>
      <c r="R366" s="59">
        <v>0</v>
      </c>
      <c r="S366" s="59">
        <v>0</v>
      </c>
      <c r="T366" s="59">
        <v>0</v>
      </c>
      <c r="U366" s="59">
        <v>0</v>
      </c>
      <c r="V366" s="59">
        <v>0</v>
      </c>
      <c r="W366" s="59">
        <v>0</v>
      </c>
      <c r="X366" s="59">
        <v>0</v>
      </c>
      <c r="Y366" s="5"/>
    </row>
    <row r="367" spans="1:25" s="17" customFormat="1" x14ac:dyDescent="0.15">
      <c r="A367" s="75" t="s">
        <v>1654</v>
      </c>
      <c r="B367" s="75" t="s">
        <v>1663</v>
      </c>
      <c r="C367" s="75" t="s">
        <v>71</v>
      </c>
      <c r="D367" s="75">
        <v>0.83299999999999996</v>
      </c>
      <c r="E367" s="75">
        <v>0</v>
      </c>
      <c r="F367" s="75">
        <v>2</v>
      </c>
      <c r="G367" s="75">
        <v>17</v>
      </c>
      <c r="H367" s="75">
        <v>1</v>
      </c>
      <c r="I367" s="75" t="s">
        <v>27</v>
      </c>
      <c r="J367" s="75" t="s">
        <v>1654</v>
      </c>
      <c r="K367" s="75">
        <v>5</v>
      </c>
      <c r="L367" s="75">
        <v>0.3</v>
      </c>
      <c r="M367" s="75">
        <v>1</v>
      </c>
      <c r="N367" s="75">
        <v>1</v>
      </c>
      <c r="O367" s="76" t="s">
        <v>1520</v>
      </c>
      <c r="P367" s="75" t="s">
        <v>27</v>
      </c>
      <c r="Q367" s="75" t="s">
        <v>27</v>
      </c>
      <c r="R367" s="75">
        <v>0</v>
      </c>
      <c r="S367" s="75">
        <v>0</v>
      </c>
      <c r="T367" s="75">
        <v>0</v>
      </c>
      <c r="U367" s="75">
        <v>0</v>
      </c>
      <c r="V367" s="75">
        <v>0</v>
      </c>
      <c r="W367" s="75">
        <v>0</v>
      </c>
      <c r="X367" s="75">
        <v>0</v>
      </c>
      <c r="Y367" s="16"/>
    </row>
    <row r="368" spans="1:25" s="17" customFormat="1" x14ac:dyDescent="0.15">
      <c r="A368" s="75" t="s">
        <v>1655</v>
      </c>
      <c r="B368" s="75" t="s">
        <v>1664</v>
      </c>
      <c r="C368" s="75" t="s">
        <v>1299</v>
      </c>
      <c r="D368" s="75">
        <v>1.667</v>
      </c>
      <c r="E368" s="75">
        <v>0</v>
      </c>
      <c r="F368" s="75">
        <v>1</v>
      </c>
      <c r="G368" s="75">
        <v>0</v>
      </c>
      <c r="H368" s="75">
        <v>1</v>
      </c>
      <c r="I368" s="75" t="s">
        <v>1300</v>
      </c>
      <c r="J368" s="75" t="s">
        <v>1656</v>
      </c>
      <c r="K368" s="75">
        <v>5</v>
      </c>
      <c r="L368" s="75">
        <v>0.6</v>
      </c>
      <c r="M368" s="75">
        <v>3</v>
      </c>
      <c r="N368" s="75">
        <v>1</v>
      </c>
      <c r="O368" s="76" t="s">
        <v>1520</v>
      </c>
      <c r="P368" s="75" t="s">
        <v>1300</v>
      </c>
      <c r="Q368" s="75" t="s">
        <v>1300</v>
      </c>
      <c r="R368" s="75">
        <v>0</v>
      </c>
      <c r="S368" s="75">
        <v>0</v>
      </c>
      <c r="T368" s="75">
        <v>0</v>
      </c>
      <c r="U368" s="75">
        <v>0</v>
      </c>
      <c r="V368" s="75">
        <v>0</v>
      </c>
      <c r="W368" s="75">
        <v>0</v>
      </c>
      <c r="X368" s="75">
        <v>0</v>
      </c>
      <c r="Y368" s="16"/>
    </row>
    <row r="369" spans="1:25" s="17" customFormat="1" x14ac:dyDescent="0.15">
      <c r="A369" s="75" t="s">
        <v>1657</v>
      </c>
      <c r="B369" s="75" t="s">
        <v>1665</v>
      </c>
      <c r="C369" s="75" t="s">
        <v>1363</v>
      </c>
      <c r="D369" s="75">
        <v>2.3330000000000002</v>
      </c>
      <c r="E369" s="75">
        <v>0</v>
      </c>
      <c r="F369" s="75">
        <v>1</v>
      </c>
      <c r="G369" s="75">
        <v>17</v>
      </c>
      <c r="H369" s="75">
        <v>1</v>
      </c>
      <c r="I369" s="75" t="s">
        <v>27</v>
      </c>
      <c r="J369" s="75" t="s">
        <v>1658</v>
      </c>
      <c r="K369" s="75">
        <v>5</v>
      </c>
      <c r="L369" s="75">
        <v>0</v>
      </c>
      <c r="M369" s="75">
        <v>1</v>
      </c>
      <c r="N369" s="75">
        <v>0</v>
      </c>
      <c r="O369" s="76" t="s">
        <v>1520</v>
      </c>
      <c r="P369" s="75" t="s">
        <v>27</v>
      </c>
      <c r="Q369" s="75" t="s">
        <v>27</v>
      </c>
      <c r="R369" s="75">
        <v>0</v>
      </c>
      <c r="S369" s="75">
        <v>0</v>
      </c>
      <c r="T369" s="75">
        <v>0</v>
      </c>
      <c r="U369" s="75">
        <v>0</v>
      </c>
      <c r="V369" s="75">
        <v>0</v>
      </c>
      <c r="W369" s="75">
        <v>0</v>
      </c>
      <c r="X369" s="75">
        <v>0</v>
      </c>
      <c r="Y369" s="16"/>
    </row>
    <row r="370" spans="1:25" s="17" customFormat="1" x14ac:dyDescent="0.15">
      <c r="A370" s="75" t="s">
        <v>1659</v>
      </c>
      <c r="B370" s="75" t="s">
        <v>1666</v>
      </c>
      <c r="C370" s="75" t="s">
        <v>1298</v>
      </c>
      <c r="D370" s="75">
        <v>1.667</v>
      </c>
      <c r="E370" s="75">
        <v>0</v>
      </c>
      <c r="F370" s="75">
        <v>1</v>
      </c>
      <c r="G370" s="75">
        <v>0</v>
      </c>
      <c r="H370" s="75">
        <v>1</v>
      </c>
      <c r="I370" s="75" t="s">
        <v>1300</v>
      </c>
      <c r="J370" s="75" t="s">
        <v>1660</v>
      </c>
      <c r="K370" s="75">
        <v>5</v>
      </c>
      <c r="L370" s="75">
        <v>0.3</v>
      </c>
      <c r="M370" s="75">
        <v>1</v>
      </c>
      <c r="N370" s="75">
        <v>0</v>
      </c>
      <c r="O370" s="76" t="s">
        <v>1520</v>
      </c>
      <c r="P370" s="75" t="s">
        <v>1300</v>
      </c>
      <c r="Q370" s="75" t="s">
        <v>1300</v>
      </c>
      <c r="R370" s="75">
        <v>0</v>
      </c>
      <c r="S370" s="75">
        <v>0</v>
      </c>
      <c r="T370" s="75">
        <v>0</v>
      </c>
      <c r="U370" s="75">
        <v>0</v>
      </c>
      <c r="V370" s="75">
        <v>0</v>
      </c>
      <c r="W370" s="75">
        <v>0</v>
      </c>
      <c r="X370" s="75">
        <v>0</v>
      </c>
      <c r="Y370" s="16"/>
    </row>
    <row r="371" spans="1:25" s="17" customFormat="1" x14ac:dyDescent="0.15">
      <c r="A371" s="75" t="s">
        <v>1661</v>
      </c>
      <c r="B371" s="75" t="s">
        <v>1667</v>
      </c>
      <c r="C371" s="75" t="s">
        <v>1300</v>
      </c>
      <c r="D371" s="75">
        <v>0</v>
      </c>
      <c r="E371" s="75">
        <v>0</v>
      </c>
      <c r="F371" s="75">
        <v>11</v>
      </c>
      <c r="G371" s="75">
        <v>0</v>
      </c>
      <c r="H371" s="75" t="s">
        <v>1300</v>
      </c>
      <c r="I371" s="75" t="s">
        <v>1300</v>
      </c>
      <c r="J371" s="75" t="s">
        <v>1662</v>
      </c>
      <c r="K371" s="75">
        <v>2</v>
      </c>
      <c r="L371" s="75">
        <v>0</v>
      </c>
      <c r="M371" s="75">
        <v>2</v>
      </c>
      <c r="N371" s="75">
        <v>1</v>
      </c>
      <c r="O371" s="76" t="s">
        <v>1364</v>
      </c>
      <c r="P371" s="75" t="s">
        <v>1300</v>
      </c>
      <c r="Q371" s="75" t="s">
        <v>1300</v>
      </c>
      <c r="R371" s="75">
        <v>0</v>
      </c>
      <c r="S371" s="75">
        <v>0</v>
      </c>
      <c r="T371" s="75">
        <v>0</v>
      </c>
      <c r="U371" s="75">
        <v>0</v>
      </c>
      <c r="V371" s="75">
        <v>0</v>
      </c>
      <c r="W371" s="75">
        <v>0</v>
      </c>
      <c r="X371" s="75">
        <v>0</v>
      </c>
      <c r="Y371" s="16"/>
    </row>
    <row r="372" spans="1:25" s="6" customFormat="1" x14ac:dyDescent="0.15">
      <c r="A372" s="59" t="s">
        <v>789</v>
      </c>
      <c r="B372" s="59" t="s">
        <v>793</v>
      </c>
      <c r="C372" s="59" t="s">
        <v>71</v>
      </c>
      <c r="D372" s="59">
        <v>1</v>
      </c>
      <c r="E372" s="59">
        <v>0</v>
      </c>
      <c r="F372" s="59">
        <v>2</v>
      </c>
      <c r="G372" s="59">
        <v>17</v>
      </c>
      <c r="H372" s="59">
        <v>1</v>
      </c>
      <c r="I372" s="59" t="s">
        <v>27</v>
      </c>
      <c r="J372" s="59" t="s">
        <v>789</v>
      </c>
      <c r="K372" s="59">
        <v>5</v>
      </c>
      <c r="L372" s="59">
        <v>0.3</v>
      </c>
      <c r="M372" s="59">
        <v>1</v>
      </c>
      <c r="N372" s="59">
        <v>1</v>
      </c>
      <c r="O372" s="72" t="s">
        <v>895</v>
      </c>
      <c r="P372" s="59" t="s">
        <v>27</v>
      </c>
      <c r="Q372" s="59" t="s">
        <v>27</v>
      </c>
      <c r="R372" s="59">
        <v>0</v>
      </c>
      <c r="S372" s="59">
        <v>0</v>
      </c>
      <c r="T372" s="59">
        <v>0</v>
      </c>
      <c r="U372" s="59">
        <v>0</v>
      </c>
      <c r="V372" s="59">
        <v>0</v>
      </c>
      <c r="W372" s="59">
        <v>0</v>
      </c>
      <c r="X372" s="59">
        <v>0</v>
      </c>
      <c r="Y372" s="5"/>
    </row>
    <row r="373" spans="1:25" s="6" customFormat="1" x14ac:dyDescent="0.15">
      <c r="A373" s="59" t="s">
        <v>788</v>
      </c>
      <c r="B373" s="59" t="s">
        <v>794</v>
      </c>
      <c r="C373" s="59" t="s">
        <v>72</v>
      </c>
      <c r="D373" s="59">
        <v>1.167</v>
      </c>
      <c r="E373" s="59">
        <v>0</v>
      </c>
      <c r="F373" s="59">
        <v>2</v>
      </c>
      <c r="G373" s="59">
        <v>17</v>
      </c>
      <c r="H373" s="59">
        <v>1</v>
      </c>
      <c r="I373" s="59" t="s">
        <v>27</v>
      </c>
      <c r="J373" s="59" t="s">
        <v>797</v>
      </c>
      <c r="K373" s="59">
        <v>5</v>
      </c>
      <c r="L373" s="59">
        <v>0.3</v>
      </c>
      <c r="M373" s="59">
        <v>1</v>
      </c>
      <c r="N373" s="59">
        <v>1</v>
      </c>
      <c r="O373" s="72" t="s">
        <v>896</v>
      </c>
      <c r="P373" s="59" t="s">
        <v>27</v>
      </c>
      <c r="Q373" s="59" t="s">
        <v>27</v>
      </c>
      <c r="R373" s="59">
        <v>0</v>
      </c>
      <c r="S373" s="59">
        <v>0</v>
      </c>
      <c r="T373" s="59">
        <v>0</v>
      </c>
      <c r="U373" s="59">
        <v>0</v>
      </c>
      <c r="V373" s="59">
        <v>0</v>
      </c>
      <c r="W373" s="59">
        <v>0</v>
      </c>
      <c r="X373" s="59">
        <v>0</v>
      </c>
      <c r="Y373" s="5"/>
    </row>
    <row r="374" spans="1:25" s="6" customFormat="1" x14ac:dyDescent="0.15">
      <c r="A374" s="59" t="s">
        <v>897</v>
      </c>
      <c r="B374" s="59" t="s">
        <v>898</v>
      </c>
      <c r="C374" s="59" t="s">
        <v>27</v>
      </c>
      <c r="D374" s="59">
        <v>0</v>
      </c>
      <c r="E374" s="59">
        <v>0</v>
      </c>
      <c r="F374" s="59">
        <v>11</v>
      </c>
      <c r="G374" s="59">
        <v>0</v>
      </c>
      <c r="H374" s="59" t="s">
        <v>27</v>
      </c>
      <c r="I374" s="59" t="s">
        <v>27</v>
      </c>
      <c r="J374" s="59" t="s">
        <v>899</v>
      </c>
      <c r="K374" s="59">
        <v>1</v>
      </c>
      <c r="L374" s="59">
        <v>0</v>
      </c>
      <c r="M374" s="59">
        <v>1</v>
      </c>
      <c r="N374" s="59">
        <v>4</v>
      </c>
      <c r="O374" s="72" t="s">
        <v>1520</v>
      </c>
      <c r="P374" s="59" t="s">
        <v>27</v>
      </c>
      <c r="Q374" s="59" t="s">
        <v>27</v>
      </c>
      <c r="R374" s="59">
        <v>0</v>
      </c>
      <c r="S374" s="59">
        <v>0</v>
      </c>
      <c r="T374" s="59">
        <v>0</v>
      </c>
      <c r="U374" s="59">
        <v>0</v>
      </c>
      <c r="V374" s="59">
        <v>0</v>
      </c>
      <c r="W374" s="59">
        <v>0</v>
      </c>
      <c r="X374" s="59">
        <v>0</v>
      </c>
      <c r="Y374" s="5"/>
    </row>
    <row r="375" spans="1:25" s="6" customFormat="1" x14ac:dyDescent="0.15">
      <c r="A375" s="59" t="s">
        <v>790</v>
      </c>
      <c r="B375" s="59" t="s">
        <v>795</v>
      </c>
      <c r="C375" s="59" t="s">
        <v>71</v>
      </c>
      <c r="D375" s="59">
        <v>1</v>
      </c>
      <c r="E375" s="59">
        <v>0</v>
      </c>
      <c r="F375" s="59">
        <v>1</v>
      </c>
      <c r="G375" s="59">
        <v>0</v>
      </c>
      <c r="H375" s="59">
        <v>1</v>
      </c>
      <c r="I375" s="59" t="s">
        <v>27</v>
      </c>
      <c r="J375" s="59" t="s">
        <v>790</v>
      </c>
      <c r="K375" s="59">
        <v>5</v>
      </c>
      <c r="L375" s="59">
        <v>0</v>
      </c>
      <c r="M375" s="59">
        <v>1</v>
      </c>
      <c r="N375" s="59">
        <v>0</v>
      </c>
      <c r="O375" s="72" t="s">
        <v>1520</v>
      </c>
      <c r="P375" s="59" t="s">
        <v>27</v>
      </c>
      <c r="Q375" s="59" t="s">
        <v>27</v>
      </c>
      <c r="R375" s="59">
        <v>0</v>
      </c>
      <c r="S375" s="59">
        <v>0</v>
      </c>
      <c r="T375" s="59">
        <v>0</v>
      </c>
      <c r="U375" s="59">
        <v>0</v>
      </c>
      <c r="V375" s="59">
        <v>0</v>
      </c>
      <c r="W375" s="59">
        <v>0</v>
      </c>
      <c r="X375" s="59">
        <v>0</v>
      </c>
      <c r="Y375" s="5"/>
    </row>
    <row r="376" spans="1:25" s="6" customFormat="1" x14ac:dyDescent="0.15">
      <c r="A376" s="59" t="s">
        <v>921</v>
      </c>
      <c r="B376" s="59" t="s">
        <v>919</v>
      </c>
      <c r="C376" s="59" t="s">
        <v>71</v>
      </c>
      <c r="D376" s="59">
        <v>1</v>
      </c>
      <c r="E376" s="59">
        <v>0</v>
      </c>
      <c r="F376" s="59">
        <v>1</v>
      </c>
      <c r="G376" s="59">
        <v>0</v>
      </c>
      <c r="H376" s="59">
        <v>1</v>
      </c>
      <c r="I376" s="59" t="s">
        <v>27</v>
      </c>
      <c r="J376" s="59" t="s">
        <v>920</v>
      </c>
      <c r="K376" s="59">
        <v>5</v>
      </c>
      <c r="L376" s="59">
        <v>0</v>
      </c>
      <c r="M376" s="59">
        <v>1</v>
      </c>
      <c r="N376" s="59">
        <v>0</v>
      </c>
      <c r="O376" s="72" t="s">
        <v>1520</v>
      </c>
      <c r="P376" s="59" t="s">
        <v>27</v>
      </c>
      <c r="Q376" s="59" t="s">
        <v>27</v>
      </c>
      <c r="R376" s="59">
        <v>0</v>
      </c>
      <c r="S376" s="59">
        <v>0</v>
      </c>
      <c r="T376" s="59">
        <v>0</v>
      </c>
      <c r="U376" s="59">
        <v>0</v>
      </c>
      <c r="V376" s="59">
        <v>0</v>
      </c>
      <c r="W376" s="59">
        <v>0</v>
      </c>
      <c r="X376" s="59">
        <v>0</v>
      </c>
      <c r="Y376" s="5"/>
    </row>
    <row r="377" spans="1:25" s="6" customFormat="1" x14ac:dyDescent="0.15">
      <c r="A377" s="59" t="s">
        <v>791</v>
      </c>
      <c r="B377" s="59" t="s">
        <v>796</v>
      </c>
      <c r="C377" s="59" t="s">
        <v>71</v>
      </c>
      <c r="D377" s="59">
        <v>1</v>
      </c>
      <c r="E377" s="59">
        <v>0</v>
      </c>
      <c r="F377" s="59">
        <v>2</v>
      </c>
      <c r="G377" s="59">
        <v>17</v>
      </c>
      <c r="H377" s="59">
        <v>1</v>
      </c>
      <c r="I377" s="59" t="s">
        <v>27</v>
      </c>
      <c r="J377" s="59" t="s">
        <v>842</v>
      </c>
      <c r="K377" s="59">
        <v>5</v>
      </c>
      <c r="L377" s="59">
        <v>0.5</v>
      </c>
      <c r="M377" s="59">
        <v>1</v>
      </c>
      <c r="N377" s="59">
        <v>1</v>
      </c>
      <c r="O377" s="72" t="s">
        <v>1520</v>
      </c>
      <c r="P377" s="59" t="s">
        <v>27</v>
      </c>
      <c r="Q377" s="59" t="s">
        <v>27</v>
      </c>
      <c r="R377" s="59">
        <v>0</v>
      </c>
      <c r="S377" s="59">
        <v>0</v>
      </c>
      <c r="T377" s="59">
        <v>0</v>
      </c>
      <c r="U377" s="59">
        <v>0</v>
      </c>
      <c r="V377" s="59">
        <v>0</v>
      </c>
      <c r="W377" s="59">
        <v>0</v>
      </c>
      <c r="X377" s="59">
        <v>0</v>
      </c>
      <c r="Y377" s="5"/>
    </row>
    <row r="378" spans="1:25" s="6" customFormat="1" x14ac:dyDescent="0.15">
      <c r="A378" s="59" t="s">
        <v>831</v>
      </c>
      <c r="B378" s="59" t="s">
        <v>832</v>
      </c>
      <c r="C378" s="59" t="s">
        <v>833</v>
      </c>
      <c r="D378" s="59">
        <v>1</v>
      </c>
      <c r="E378" s="59">
        <v>0</v>
      </c>
      <c r="F378" s="59">
        <v>1</v>
      </c>
      <c r="G378" s="59">
        <v>0</v>
      </c>
      <c r="H378" s="59">
        <v>1</v>
      </c>
      <c r="I378" s="59" t="s">
        <v>833</v>
      </c>
      <c r="J378" s="71" t="s">
        <v>834</v>
      </c>
      <c r="K378" s="59">
        <v>2</v>
      </c>
      <c r="L378" s="59">
        <v>0</v>
      </c>
      <c r="M378" s="59">
        <v>3</v>
      </c>
      <c r="N378" s="59">
        <v>0</v>
      </c>
      <c r="O378" s="72" t="s">
        <v>1520</v>
      </c>
      <c r="P378" s="59" t="s">
        <v>833</v>
      </c>
      <c r="Q378" s="59" t="s">
        <v>833</v>
      </c>
      <c r="R378" s="59">
        <v>0</v>
      </c>
      <c r="S378" s="59">
        <v>0</v>
      </c>
      <c r="T378" s="59">
        <v>0</v>
      </c>
      <c r="U378" s="59">
        <v>0</v>
      </c>
      <c r="V378" s="59">
        <v>0</v>
      </c>
      <c r="W378" s="59">
        <v>0</v>
      </c>
      <c r="X378" s="59">
        <v>0</v>
      </c>
      <c r="Y378" s="5"/>
    </row>
    <row r="379" spans="1:25" s="6" customFormat="1" x14ac:dyDescent="0.15">
      <c r="A379" s="59" t="s">
        <v>890</v>
      </c>
      <c r="B379" s="59" t="s">
        <v>891</v>
      </c>
      <c r="C379" s="59" t="s">
        <v>73</v>
      </c>
      <c r="D379" s="59">
        <v>1.667</v>
      </c>
      <c r="E379" s="59">
        <v>0</v>
      </c>
      <c r="F379" s="59">
        <v>1</v>
      </c>
      <c r="G379" s="59">
        <v>0</v>
      </c>
      <c r="H379" s="59">
        <v>1</v>
      </c>
      <c r="I379" s="59" t="s">
        <v>27</v>
      </c>
      <c r="J379" s="59" t="s">
        <v>27</v>
      </c>
      <c r="K379" s="59">
        <v>5</v>
      </c>
      <c r="L379" s="59">
        <v>0</v>
      </c>
      <c r="M379" s="59">
        <v>0</v>
      </c>
      <c r="N379" s="59">
        <v>0</v>
      </c>
      <c r="O379" s="72" t="s">
        <v>1520</v>
      </c>
      <c r="P379" s="59" t="s">
        <v>27</v>
      </c>
      <c r="Q379" s="59" t="s">
        <v>27</v>
      </c>
      <c r="R379" s="59">
        <v>0</v>
      </c>
      <c r="S379" s="59">
        <v>0</v>
      </c>
      <c r="T379" s="59">
        <v>0</v>
      </c>
      <c r="U379" s="59">
        <v>0</v>
      </c>
      <c r="V379" s="59">
        <v>0</v>
      </c>
      <c r="W379" s="59">
        <v>0</v>
      </c>
      <c r="X379" s="59">
        <v>0</v>
      </c>
    </row>
    <row r="380" spans="1:25" s="6" customFormat="1" x14ac:dyDescent="0.15">
      <c r="A380" s="59" t="s">
        <v>892</v>
      </c>
      <c r="B380" s="59" t="s">
        <v>893</v>
      </c>
      <c r="C380" s="59" t="s">
        <v>73</v>
      </c>
      <c r="D380" s="59">
        <v>1.667</v>
      </c>
      <c r="E380" s="59">
        <v>0</v>
      </c>
      <c r="F380" s="59">
        <v>1</v>
      </c>
      <c r="G380" s="59">
        <v>0</v>
      </c>
      <c r="H380" s="59">
        <v>1</v>
      </c>
      <c r="I380" s="59" t="s">
        <v>27</v>
      </c>
      <c r="J380" s="59" t="s">
        <v>894</v>
      </c>
      <c r="K380" s="59">
        <v>10</v>
      </c>
      <c r="L380" s="59">
        <v>0.6</v>
      </c>
      <c r="M380" s="59">
        <v>2</v>
      </c>
      <c r="N380" s="59">
        <v>2</v>
      </c>
      <c r="O380" s="72" t="s">
        <v>1520</v>
      </c>
      <c r="P380" s="59" t="s">
        <v>27</v>
      </c>
      <c r="Q380" s="59" t="s">
        <v>27</v>
      </c>
      <c r="R380" s="59">
        <v>0</v>
      </c>
      <c r="S380" s="59">
        <v>0</v>
      </c>
      <c r="T380" s="59">
        <v>0</v>
      </c>
      <c r="U380" s="59">
        <v>0</v>
      </c>
      <c r="V380" s="59">
        <v>0</v>
      </c>
      <c r="W380" s="59">
        <v>0</v>
      </c>
      <c r="X380" s="59">
        <v>0</v>
      </c>
    </row>
    <row r="381" spans="1:25" s="10" customFormat="1" x14ac:dyDescent="0.15">
      <c r="A381" s="73" t="s">
        <v>1012</v>
      </c>
      <c r="B381" s="77" t="s">
        <v>1019</v>
      </c>
      <c r="C381" s="59" t="s">
        <v>71</v>
      </c>
      <c r="D381" s="77">
        <v>1</v>
      </c>
      <c r="E381" s="77">
        <v>0</v>
      </c>
      <c r="F381" s="77">
        <v>1</v>
      </c>
      <c r="G381" s="77">
        <v>0</v>
      </c>
      <c r="H381" s="77">
        <v>1</v>
      </c>
      <c r="I381" s="77" t="s">
        <v>27</v>
      </c>
      <c r="J381" s="77" t="s">
        <v>1018</v>
      </c>
      <c r="K381" s="77">
        <v>5</v>
      </c>
      <c r="L381" s="77">
        <v>0</v>
      </c>
      <c r="M381" s="78">
        <v>1</v>
      </c>
      <c r="N381" s="77">
        <v>0</v>
      </c>
      <c r="O381" s="79" t="s">
        <v>1520</v>
      </c>
      <c r="P381" s="77" t="s">
        <v>27</v>
      </c>
      <c r="Q381" s="77" t="s">
        <v>27</v>
      </c>
      <c r="R381" s="77">
        <v>0</v>
      </c>
      <c r="S381" s="77">
        <v>0</v>
      </c>
      <c r="T381" s="77">
        <v>0</v>
      </c>
      <c r="U381" s="77">
        <v>0</v>
      </c>
      <c r="V381" s="77">
        <v>0</v>
      </c>
      <c r="W381" s="77">
        <v>0</v>
      </c>
      <c r="X381" s="77">
        <v>0</v>
      </c>
    </row>
    <row r="382" spans="1:25" s="10" customFormat="1" x14ac:dyDescent="0.15">
      <c r="A382" s="73" t="s">
        <v>1541</v>
      </c>
      <c r="B382" s="77" t="s">
        <v>1543</v>
      </c>
      <c r="C382" s="59" t="s">
        <v>1545</v>
      </c>
      <c r="D382" s="77">
        <v>1</v>
      </c>
      <c r="E382" s="77">
        <v>0</v>
      </c>
      <c r="F382" s="77">
        <v>1</v>
      </c>
      <c r="G382" s="77">
        <v>0</v>
      </c>
      <c r="H382" s="77">
        <v>1</v>
      </c>
      <c r="I382" s="77" t="s">
        <v>27</v>
      </c>
      <c r="J382" s="77" t="s">
        <v>1547</v>
      </c>
      <c r="K382" s="77">
        <v>5</v>
      </c>
      <c r="L382" s="77">
        <v>0</v>
      </c>
      <c r="M382" s="78">
        <v>1</v>
      </c>
      <c r="N382" s="77">
        <v>0</v>
      </c>
      <c r="O382" s="79" t="s">
        <v>1520</v>
      </c>
      <c r="P382" s="77" t="s">
        <v>27</v>
      </c>
      <c r="Q382" s="77" t="s">
        <v>27</v>
      </c>
      <c r="R382" s="77">
        <v>0</v>
      </c>
      <c r="S382" s="77">
        <v>0</v>
      </c>
      <c r="T382" s="77">
        <v>0</v>
      </c>
      <c r="U382" s="77">
        <v>0</v>
      </c>
      <c r="V382" s="77">
        <v>0</v>
      </c>
      <c r="W382" s="77">
        <v>0</v>
      </c>
      <c r="X382" s="77">
        <v>0</v>
      </c>
    </row>
    <row r="383" spans="1:25" s="10" customFormat="1" x14ac:dyDescent="0.15">
      <c r="A383" s="73" t="s">
        <v>1542</v>
      </c>
      <c r="B383" s="77" t="s">
        <v>1544</v>
      </c>
      <c r="C383" s="59" t="s">
        <v>1546</v>
      </c>
      <c r="D383" s="77">
        <v>1</v>
      </c>
      <c r="E383" s="77">
        <v>0</v>
      </c>
      <c r="F383" s="77">
        <v>1</v>
      </c>
      <c r="G383" s="77">
        <v>0</v>
      </c>
      <c r="H383" s="77">
        <v>1</v>
      </c>
      <c r="I383" s="77" t="s">
        <v>27</v>
      </c>
      <c r="J383" s="77" t="s">
        <v>1548</v>
      </c>
      <c r="K383" s="77">
        <v>5</v>
      </c>
      <c r="L383" s="77">
        <v>0</v>
      </c>
      <c r="M383" s="78">
        <v>1</v>
      </c>
      <c r="N383" s="77">
        <v>0</v>
      </c>
      <c r="O383" s="79" t="s">
        <v>1520</v>
      </c>
      <c r="P383" s="77" t="s">
        <v>27</v>
      </c>
      <c r="Q383" s="77" t="s">
        <v>27</v>
      </c>
      <c r="R383" s="77">
        <v>0</v>
      </c>
      <c r="S383" s="77">
        <v>0</v>
      </c>
      <c r="T383" s="77">
        <v>0</v>
      </c>
      <c r="U383" s="77">
        <v>0</v>
      </c>
      <c r="V383" s="77">
        <v>0</v>
      </c>
      <c r="W383" s="77">
        <v>0</v>
      </c>
      <c r="X383" s="77">
        <v>0</v>
      </c>
    </row>
    <row r="384" spans="1:25" s="10" customFormat="1" x14ac:dyDescent="0.15">
      <c r="A384" s="73" t="s">
        <v>914</v>
      </c>
      <c r="B384" s="77" t="s">
        <v>915</v>
      </c>
      <c r="C384" s="77" t="s">
        <v>1825</v>
      </c>
      <c r="D384" s="77">
        <v>1.667</v>
      </c>
      <c r="E384" s="77">
        <v>0</v>
      </c>
      <c r="F384" s="77">
        <v>1</v>
      </c>
      <c r="G384" s="77">
        <v>0</v>
      </c>
      <c r="H384" s="77">
        <v>1</v>
      </c>
      <c r="I384" s="77" t="s">
        <v>27</v>
      </c>
      <c r="J384" s="77" t="s">
        <v>916</v>
      </c>
      <c r="K384" s="77">
        <v>5</v>
      </c>
      <c r="L384" s="77">
        <v>0.6</v>
      </c>
      <c r="M384" s="78">
        <v>1</v>
      </c>
      <c r="N384" s="77">
        <v>0</v>
      </c>
      <c r="O384" s="79" t="s">
        <v>1925</v>
      </c>
      <c r="P384" s="77" t="s">
        <v>27</v>
      </c>
      <c r="Q384" s="77" t="s">
        <v>27</v>
      </c>
      <c r="R384" s="77">
        <v>0</v>
      </c>
      <c r="S384" s="77">
        <v>0</v>
      </c>
      <c r="T384" s="77">
        <v>0</v>
      </c>
      <c r="U384" s="77">
        <v>0</v>
      </c>
      <c r="V384" s="77">
        <v>0</v>
      </c>
      <c r="W384" s="77">
        <v>0</v>
      </c>
      <c r="X384" s="77">
        <v>0</v>
      </c>
    </row>
    <row r="385" spans="1:24" s="10" customFormat="1" x14ac:dyDescent="0.15">
      <c r="A385" s="73" t="s">
        <v>1013</v>
      </c>
      <c r="B385" s="77" t="s">
        <v>1014</v>
      </c>
      <c r="C385" s="77" t="s">
        <v>1021</v>
      </c>
      <c r="D385" s="77">
        <v>1.667</v>
      </c>
      <c r="E385" s="77">
        <v>0</v>
      </c>
      <c r="F385" s="77">
        <v>1</v>
      </c>
      <c r="G385" s="77">
        <v>0</v>
      </c>
      <c r="H385" s="77">
        <v>1</v>
      </c>
      <c r="I385" s="77" t="s">
        <v>27</v>
      </c>
      <c r="J385" s="77" t="s">
        <v>1458</v>
      </c>
      <c r="K385" s="77">
        <v>2</v>
      </c>
      <c r="L385" s="77">
        <v>0</v>
      </c>
      <c r="M385" s="78">
        <v>1</v>
      </c>
      <c r="N385" s="77">
        <v>0</v>
      </c>
      <c r="O385" s="79" t="s">
        <v>1520</v>
      </c>
      <c r="P385" s="77" t="s">
        <v>27</v>
      </c>
      <c r="Q385" s="77" t="s">
        <v>27</v>
      </c>
      <c r="R385" s="77">
        <v>0</v>
      </c>
      <c r="S385" s="77">
        <v>0</v>
      </c>
      <c r="T385" s="77">
        <v>0</v>
      </c>
      <c r="U385" s="77">
        <v>0</v>
      </c>
      <c r="V385" s="77">
        <v>0</v>
      </c>
      <c r="W385" s="77">
        <v>0</v>
      </c>
      <c r="X385" s="77">
        <v>0</v>
      </c>
    </row>
    <row r="386" spans="1:24" x14ac:dyDescent="0.15">
      <c r="A386" s="50" t="s">
        <v>1915</v>
      </c>
      <c r="B386" s="77" t="s">
        <v>1914</v>
      </c>
      <c r="C386" s="87" t="s">
        <v>148</v>
      </c>
      <c r="D386" s="87">
        <v>1</v>
      </c>
      <c r="E386" s="87">
        <v>0</v>
      </c>
      <c r="F386" s="87">
        <v>1</v>
      </c>
      <c r="G386" s="87">
        <v>0</v>
      </c>
      <c r="H386" s="87">
        <v>1</v>
      </c>
      <c r="I386" s="87" t="s">
        <v>27</v>
      </c>
      <c r="J386" s="87" t="s">
        <v>1051</v>
      </c>
      <c r="K386" s="87">
        <v>1</v>
      </c>
      <c r="L386" s="87">
        <v>0</v>
      </c>
      <c r="M386" s="65">
        <v>2</v>
      </c>
      <c r="N386" s="87">
        <v>0</v>
      </c>
      <c r="O386" s="88" t="s">
        <v>1520</v>
      </c>
      <c r="P386" s="87" t="s">
        <v>27</v>
      </c>
      <c r="Q386" s="87" t="s">
        <v>27</v>
      </c>
      <c r="R386" s="87">
        <v>0</v>
      </c>
      <c r="S386" s="87">
        <v>0</v>
      </c>
      <c r="T386" s="87">
        <v>0</v>
      </c>
      <c r="U386" s="87">
        <v>0</v>
      </c>
      <c r="V386" s="87">
        <v>0</v>
      </c>
      <c r="W386" s="87">
        <v>0</v>
      </c>
      <c r="X386" s="87">
        <v>0</v>
      </c>
    </row>
    <row r="387" spans="1:24" s="10" customFormat="1" x14ac:dyDescent="0.15">
      <c r="A387" s="73" t="s">
        <v>1017</v>
      </c>
      <c r="B387" s="77" t="s">
        <v>1015</v>
      </c>
      <c r="C387" s="77" t="s">
        <v>1824</v>
      </c>
      <c r="D387" s="77">
        <v>2.87</v>
      </c>
      <c r="E387" s="77">
        <v>0</v>
      </c>
      <c r="F387" s="77">
        <v>1</v>
      </c>
      <c r="G387" s="77">
        <v>0</v>
      </c>
      <c r="H387" s="77" t="s">
        <v>1020</v>
      </c>
      <c r="I387" s="77" t="s">
        <v>27</v>
      </c>
      <c r="J387" s="77" t="s">
        <v>1459</v>
      </c>
      <c r="K387" s="77">
        <v>3</v>
      </c>
      <c r="L387" s="77">
        <v>0</v>
      </c>
      <c r="M387" s="78">
        <v>1</v>
      </c>
      <c r="N387" s="77">
        <v>0</v>
      </c>
      <c r="O387" s="79" t="s">
        <v>1520</v>
      </c>
      <c r="P387" s="77" t="s">
        <v>27</v>
      </c>
      <c r="Q387" s="77" t="s">
        <v>27</v>
      </c>
      <c r="R387" s="77">
        <v>0</v>
      </c>
      <c r="S387" s="77">
        <v>0</v>
      </c>
      <c r="T387" s="77">
        <v>0</v>
      </c>
      <c r="U387" s="77">
        <v>0</v>
      </c>
      <c r="V387" s="77">
        <v>0</v>
      </c>
      <c r="W387" s="77">
        <v>0</v>
      </c>
      <c r="X387" s="77">
        <v>0</v>
      </c>
    </row>
    <row r="388" spans="1:24" s="10" customFormat="1" x14ac:dyDescent="0.15">
      <c r="A388" s="73" t="s">
        <v>1823</v>
      </c>
      <c r="B388" s="77" t="s">
        <v>1016</v>
      </c>
      <c r="C388" s="77" t="s">
        <v>30</v>
      </c>
      <c r="D388" s="77">
        <v>2.87</v>
      </c>
      <c r="E388" s="77">
        <v>0</v>
      </c>
      <c r="F388" s="77">
        <v>1</v>
      </c>
      <c r="G388" s="77">
        <v>0</v>
      </c>
      <c r="H388" s="77">
        <v>1</v>
      </c>
      <c r="I388" s="77" t="s">
        <v>27</v>
      </c>
      <c r="J388" s="77" t="s">
        <v>1822</v>
      </c>
      <c r="K388" s="77">
        <v>3</v>
      </c>
      <c r="L388" s="77">
        <v>0</v>
      </c>
      <c r="M388" s="78">
        <v>1</v>
      </c>
      <c r="N388" s="77">
        <v>1</v>
      </c>
      <c r="O388" s="79" t="s">
        <v>1520</v>
      </c>
      <c r="P388" s="77" t="s">
        <v>27</v>
      </c>
      <c r="Q388" s="77" t="s">
        <v>27</v>
      </c>
      <c r="R388" s="77">
        <v>0</v>
      </c>
      <c r="S388" s="77">
        <v>0</v>
      </c>
      <c r="T388" s="77">
        <v>0</v>
      </c>
      <c r="U388" s="77">
        <v>0</v>
      </c>
      <c r="V388" s="77">
        <v>0</v>
      </c>
      <c r="W388" s="77">
        <v>0</v>
      </c>
      <c r="X388" s="77">
        <v>0</v>
      </c>
    </row>
    <row r="389" spans="1:24" s="10" customFormat="1" x14ac:dyDescent="0.15">
      <c r="A389" s="73" t="s">
        <v>1643</v>
      </c>
      <c r="B389" s="77" t="s">
        <v>1650</v>
      </c>
      <c r="C389" s="77" t="s">
        <v>71</v>
      </c>
      <c r="D389" s="77">
        <v>1</v>
      </c>
      <c r="E389" s="77">
        <v>0</v>
      </c>
      <c r="F389" s="77">
        <v>2</v>
      </c>
      <c r="G389" s="77">
        <v>17</v>
      </c>
      <c r="H389" s="77">
        <v>1</v>
      </c>
      <c r="I389" s="77" t="s">
        <v>27</v>
      </c>
      <c r="J389" s="77" t="s">
        <v>1643</v>
      </c>
      <c r="K389" s="77">
        <v>5</v>
      </c>
      <c r="L389" s="77">
        <v>0.53</v>
      </c>
      <c r="M389" s="78">
        <v>1</v>
      </c>
      <c r="N389" s="77">
        <v>1</v>
      </c>
      <c r="O389" s="79" t="s">
        <v>1022</v>
      </c>
      <c r="P389" s="77" t="s">
        <v>27</v>
      </c>
      <c r="Q389" s="77" t="s">
        <v>27</v>
      </c>
      <c r="R389" s="77">
        <v>0</v>
      </c>
      <c r="S389" s="77">
        <v>0</v>
      </c>
      <c r="T389" s="77">
        <v>0</v>
      </c>
      <c r="U389" s="77">
        <v>0</v>
      </c>
      <c r="V389" s="77">
        <v>0</v>
      </c>
      <c r="W389" s="77">
        <v>0</v>
      </c>
      <c r="X389" s="77">
        <v>0</v>
      </c>
    </row>
    <row r="390" spans="1:24" s="10" customFormat="1" x14ac:dyDescent="0.15">
      <c r="A390" s="73" t="s">
        <v>1644</v>
      </c>
      <c r="B390" s="77" t="s">
        <v>714</v>
      </c>
      <c r="C390" s="77" t="s">
        <v>1918</v>
      </c>
      <c r="D390" s="77">
        <v>1.667</v>
      </c>
      <c r="E390" s="77">
        <v>0</v>
      </c>
      <c r="F390" s="77">
        <v>1</v>
      </c>
      <c r="G390" s="77">
        <v>0</v>
      </c>
      <c r="H390" s="77">
        <v>1</v>
      </c>
      <c r="I390" s="77" t="s">
        <v>27</v>
      </c>
      <c r="J390" s="77" t="s">
        <v>1917</v>
      </c>
      <c r="K390" s="77">
        <v>5</v>
      </c>
      <c r="L390" s="77">
        <v>0</v>
      </c>
      <c r="M390" s="78">
        <v>2</v>
      </c>
      <c r="N390" s="77">
        <v>0</v>
      </c>
      <c r="O390" s="79" t="s">
        <v>1520</v>
      </c>
      <c r="P390" s="77" t="s">
        <v>27</v>
      </c>
      <c r="Q390" s="77" t="s">
        <v>27</v>
      </c>
      <c r="R390" s="77">
        <v>0</v>
      </c>
      <c r="S390" s="77">
        <v>0</v>
      </c>
      <c r="T390" s="77">
        <v>0</v>
      </c>
      <c r="U390" s="77">
        <v>0</v>
      </c>
      <c r="V390" s="77">
        <v>0</v>
      </c>
      <c r="W390" s="77">
        <v>0</v>
      </c>
      <c r="X390" s="77">
        <v>0</v>
      </c>
    </row>
    <row r="391" spans="1:24" s="10" customFormat="1" x14ac:dyDescent="0.15">
      <c r="A391" s="73" t="s">
        <v>1645</v>
      </c>
      <c r="B391" s="77" t="s">
        <v>1651</v>
      </c>
      <c r="C391" s="77" t="s">
        <v>72</v>
      </c>
      <c r="D391" s="77">
        <v>2.1669999999999998</v>
      </c>
      <c r="E391" s="77">
        <v>0</v>
      </c>
      <c r="F391" s="77">
        <v>1</v>
      </c>
      <c r="G391" s="77">
        <v>0</v>
      </c>
      <c r="H391" s="77" t="s">
        <v>1091</v>
      </c>
      <c r="I391" s="77" t="s">
        <v>27</v>
      </c>
      <c r="J391" s="77" t="s">
        <v>1675</v>
      </c>
      <c r="K391" s="77">
        <v>2.4</v>
      </c>
      <c r="L391" s="77">
        <v>0</v>
      </c>
      <c r="M391" s="78">
        <v>2</v>
      </c>
      <c r="N391" s="77">
        <v>0</v>
      </c>
      <c r="O391" s="79" t="s">
        <v>1520</v>
      </c>
      <c r="P391" s="77" t="s">
        <v>27</v>
      </c>
      <c r="Q391" s="77" t="s">
        <v>27</v>
      </c>
      <c r="R391" s="77">
        <v>0</v>
      </c>
      <c r="S391" s="77">
        <v>0</v>
      </c>
      <c r="T391" s="77">
        <v>0</v>
      </c>
      <c r="U391" s="77">
        <v>0</v>
      </c>
      <c r="V391" s="77">
        <v>0</v>
      </c>
      <c r="W391" s="77">
        <v>0</v>
      </c>
      <c r="X391" s="77">
        <v>0</v>
      </c>
    </row>
    <row r="392" spans="1:24" s="10" customFormat="1" x14ac:dyDescent="0.15">
      <c r="A392" s="73" t="s">
        <v>1646</v>
      </c>
      <c r="B392" s="77" t="s">
        <v>1652</v>
      </c>
      <c r="C392" s="77" t="s">
        <v>72</v>
      </c>
      <c r="D392" s="77">
        <v>2.1669999999999998</v>
      </c>
      <c r="E392" s="77">
        <v>0</v>
      </c>
      <c r="F392" s="77">
        <v>1</v>
      </c>
      <c r="G392" s="77">
        <v>0</v>
      </c>
      <c r="H392" s="77">
        <v>1</v>
      </c>
      <c r="I392" s="77" t="s">
        <v>27</v>
      </c>
      <c r="J392" s="77" t="s">
        <v>1647</v>
      </c>
      <c r="K392" s="77">
        <v>2.4</v>
      </c>
      <c r="L392" s="77">
        <v>0</v>
      </c>
      <c r="M392" s="78">
        <v>3</v>
      </c>
      <c r="N392" s="77">
        <v>0</v>
      </c>
      <c r="O392" s="79" t="s">
        <v>1520</v>
      </c>
      <c r="P392" s="77" t="s">
        <v>27</v>
      </c>
      <c r="Q392" s="77" t="s">
        <v>27</v>
      </c>
      <c r="R392" s="77">
        <v>0</v>
      </c>
      <c r="S392" s="77">
        <v>0</v>
      </c>
      <c r="T392" s="77">
        <v>0</v>
      </c>
      <c r="U392" s="77">
        <v>0</v>
      </c>
      <c r="V392" s="77">
        <v>0</v>
      </c>
      <c r="W392" s="77">
        <v>0</v>
      </c>
      <c r="X392" s="77">
        <v>0</v>
      </c>
    </row>
    <row r="393" spans="1:24" s="10" customFormat="1" x14ac:dyDescent="0.15">
      <c r="A393" s="73" t="s">
        <v>1648</v>
      </c>
      <c r="B393" s="77" t="s">
        <v>1653</v>
      </c>
      <c r="C393" s="77" t="s">
        <v>73</v>
      </c>
      <c r="D393" s="77">
        <v>2.3330000000000002</v>
      </c>
      <c r="E393" s="77">
        <v>0</v>
      </c>
      <c r="F393" s="77">
        <v>1</v>
      </c>
      <c r="G393" s="77">
        <v>0</v>
      </c>
      <c r="H393" s="77">
        <v>1</v>
      </c>
      <c r="I393" s="77" t="s">
        <v>27</v>
      </c>
      <c r="J393" s="77" t="s">
        <v>1649</v>
      </c>
      <c r="K393" s="77">
        <v>4.8</v>
      </c>
      <c r="L393" s="77">
        <v>0</v>
      </c>
      <c r="M393" s="78">
        <v>2</v>
      </c>
      <c r="N393" s="77">
        <v>0</v>
      </c>
      <c r="O393" s="79" t="s">
        <v>1520</v>
      </c>
      <c r="P393" s="77" t="s">
        <v>27</v>
      </c>
      <c r="Q393" s="77" t="s">
        <v>27</v>
      </c>
      <c r="R393" s="77">
        <v>0</v>
      </c>
      <c r="S393" s="77">
        <v>0</v>
      </c>
      <c r="T393" s="77">
        <v>0</v>
      </c>
      <c r="U393" s="77">
        <v>0</v>
      </c>
      <c r="V393" s="77">
        <v>0</v>
      </c>
      <c r="W393" s="77">
        <v>0</v>
      </c>
      <c r="X393" s="77">
        <v>0</v>
      </c>
    </row>
    <row r="394" spans="1:24" s="11" customFormat="1" x14ac:dyDescent="0.15">
      <c r="A394" s="80" t="s">
        <v>1095</v>
      </c>
      <c r="B394" s="81" t="s">
        <v>943</v>
      </c>
      <c r="C394" s="81" t="s">
        <v>71</v>
      </c>
      <c r="D394" s="81">
        <v>1.4</v>
      </c>
      <c r="E394" s="81">
        <v>0</v>
      </c>
      <c r="F394" s="81">
        <v>2</v>
      </c>
      <c r="G394" s="81">
        <v>17</v>
      </c>
      <c r="H394" s="81">
        <v>1</v>
      </c>
      <c r="I394" s="81" t="s">
        <v>27</v>
      </c>
      <c r="J394" s="82" t="s">
        <v>1095</v>
      </c>
      <c r="K394" s="81">
        <v>5</v>
      </c>
      <c r="L394" s="81">
        <v>0.43</v>
      </c>
      <c r="M394" s="83">
        <v>1</v>
      </c>
      <c r="N394" s="81">
        <v>1</v>
      </c>
      <c r="O394" s="84" t="s">
        <v>1520</v>
      </c>
      <c r="P394" s="81" t="s">
        <v>27</v>
      </c>
      <c r="Q394" s="81" t="s">
        <v>27</v>
      </c>
      <c r="R394" s="81">
        <v>0</v>
      </c>
      <c r="S394" s="81">
        <v>0</v>
      </c>
      <c r="T394" s="81">
        <v>0</v>
      </c>
      <c r="U394" s="81">
        <v>0</v>
      </c>
      <c r="V394" s="81">
        <v>0</v>
      </c>
      <c r="W394" s="81">
        <v>0</v>
      </c>
      <c r="X394" s="81">
        <v>0</v>
      </c>
    </row>
    <row r="395" spans="1:24" s="11" customFormat="1" x14ac:dyDescent="0.15">
      <c r="A395" s="80" t="s">
        <v>1096</v>
      </c>
      <c r="B395" s="81" t="s">
        <v>944</v>
      </c>
      <c r="C395" s="81" t="s">
        <v>951</v>
      </c>
      <c r="D395" s="81">
        <v>1.667</v>
      </c>
      <c r="E395" s="81">
        <v>0</v>
      </c>
      <c r="F395" s="81" t="s">
        <v>954</v>
      </c>
      <c r="G395" s="81">
        <v>15</v>
      </c>
      <c r="H395" s="81">
        <v>1</v>
      </c>
      <c r="I395" s="81" t="s">
        <v>27</v>
      </c>
      <c r="J395" s="82" t="s">
        <v>1104</v>
      </c>
      <c r="K395" s="81">
        <v>5</v>
      </c>
      <c r="L395" s="81">
        <v>0.5</v>
      </c>
      <c r="M395" s="83">
        <v>1</v>
      </c>
      <c r="N395" s="81">
        <v>1</v>
      </c>
      <c r="O395" s="84" t="s">
        <v>955</v>
      </c>
      <c r="P395" s="81" t="s">
        <v>27</v>
      </c>
      <c r="Q395" s="81" t="s">
        <v>27</v>
      </c>
      <c r="R395" s="81">
        <v>0</v>
      </c>
      <c r="S395" s="81">
        <v>0</v>
      </c>
      <c r="T395" s="81">
        <v>0</v>
      </c>
      <c r="U395" s="81">
        <v>0</v>
      </c>
      <c r="V395" s="81">
        <v>0</v>
      </c>
      <c r="W395" s="81">
        <v>0</v>
      </c>
      <c r="X395" s="81">
        <v>0</v>
      </c>
    </row>
    <row r="396" spans="1:24" s="11" customFormat="1" x14ac:dyDescent="0.15">
      <c r="A396" s="80" t="s">
        <v>1097</v>
      </c>
      <c r="B396" s="81" t="s">
        <v>945</v>
      </c>
      <c r="C396" s="81" t="s">
        <v>72</v>
      </c>
      <c r="D396" s="81">
        <v>2.4</v>
      </c>
      <c r="E396" s="81">
        <v>0</v>
      </c>
      <c r="F396" s="81">
        <v>1</v>
      </c>
      <c r="G396" s="81">
        <v>0</v>
      </c>
      <c r="H396" s="81" t="s">
        <v>953</v>
      </c>
      <c r="I396" s="81" t="s">
        <v>27</v>
      </c>
      <c r="J396" s="82" t="s">
        <v>1105</v>
      </c>
      <c r="K396" s="81">
        <v>2</v>
      </c>
      <c r="L396" s="81">
        <v>0</v>
      </c>
      <c r="M396" s="83">
        <v>1</v>
      </c>
      <c r="N396" s="81">
        <v>0</v>
      </c>
      <c r="O396" s="84" t="s">
        <v>1520</v>
      </c>
      <c r="P396" s="81" t="s">
        <v>27</v>
      </c>
      <c r="Q396" s="81" t="s">
        <v>27</v>
      </c>
      <c r="R396" s="81">
        <v>0</v>
      </c>
      <c r="S396" s="81">
        <v>0</v>
      </c>
      <c r="T396" s="81">
        <v>0</v>
      </c>
      <c r="U396" s="81">
        <v>0</v>
      </c>
      <c r="V396" s="81">
        <v>0</v>
      </c>
      <c r="W396" s="81">
        <v>0</v>
      </c>
      <c r="X396" s="81">
        <v>0</v>
      </c>
    </row>
    <row r="397" spans="1:24" s="11" customFormat="1" x14ac:dyDescent="0.15">
      <c r="A397" s="80" t="s">
        <v>1098</v>
      </c>
      <c r="B397" s="81" t="s">
        <v>946</v>
      </c>
      <c r="C397" s="81" t="s">
        <v>72</v>
      </c>
      <c r="D397" s="81">
        <v>2.4</v>
      </c>
      <c r="E397" s="81">
        <v>0</v>
      </c>
      <c r="F397" s="81">
        <v>2</v>
      </c>
      <c r="G397" s="81">
        <v>17</v>
      </c>
      <c r="H397" s="81">
        <v>1</v>
      </c>
      <c r="I397" s="81" t="s">
        <v>27</v>
      </c>
      <c r="J397" s="82" t="s">
        <v>1106</v>
      </c>
      <c r="K397" s="81">
        <v>5</v>
      </c>
      <c r="L397" s="81">
        <v>1.76</v>
      </c>
      <c r="M397" s="83">
        <v>1</v>
      </c>
      <c r="N397" s="81">
        <v>1</v>
      </c>
      <c r="O397" s="84" t="s">
        <v>1520</v>
      </c>
      <c r="P397" s="81" t="s">
        <v>27</v>
      </c>
      <c r="Q397" s="81" t="s">
        <v>27</v>
      </c>
      <c r="R397" s="81">
        <v>0</v>
      </c>
      <c r="S397" s="81">
        <v>0</v>
      </c>
      <c r="T397" s="81">
        <v>0</v>
      </c>
      <c r="U397" s="81">
        <v>0</v>
      </c>
      <c r="V397" s="81">
        <v>0</v>
      </c>
      <c r="W397" s="81">
        <v>0</v>
      </c>
      <c r="X397" s="81">
        <v>0</v>
      </c>
    </row>
    <row r="398" spans="1:24" s="11" customFormat="1" x14ac:dyDescent="0.15">
      <c r="A398" s="80" t="s">
        <v>1099</v>
      </c>
      <c r="B398" s="81" t="s">
        <v>947</v>
      </c>
      <c r="C398" s="81" t="s">
        <v>952</v>
      </c>
      <c r="D398" s="81">
        <v>0</v>
      </c>
      <c r="E398" s="81">
        <v>0</v>
      </c>
      <c r="F398" s="81">
        <v>1</v>
      </c>
      <c r="G398" s="81">
        <v>0</v>
      </c>
      <c r="H398" s="81" t="s">
        <v>953</v>
      </c>
      <c r="I398" s="81" t="s">
        <v>27</v>
      </c>
      <c r="J398" s="82" t="s">
        <v>1107</v>
      </c>
      <c r="K398" s="81">
        <v>2</v>
      </c>
      <c r="L398" s="81">
        <v>0</v>
      </c>
      <c r="M398" s="83">
        <v>1</v>
      </c>
      <c r="N398" s="81">
        <v>0</v>
      </c>
      <c r="O398" s="84" t="s">
        <v>1520</v>
      </c>
      <c r="P398" s="81" t="s">
        <v>27</v>
      </c>
      <c r="Q398" s="81" t="s">
        <v>27</v>
      </c>
      <c r="R398" s="81">
        <v>0</v>
      </c>
      <c r="S398" s="81">
        <v>0</v>
      </c>
      <c r="T398" s="81">
        <v>0</v>
      </c>
      <c r="U398" s="81">
        <v>0</v>
      </c>
      <c r="V398" s="81">
        <v>0</v>
      </c>
      <c r="W398" s="81">
        <v>0</v>
      </c>
      <c r="X398" s="81">
        <v>0</v>
      </c>
    </row>
    <row r="399" spans="1:24" s="11" customFormat="1" x14ac:dyDescent="0.15">
      <c r="A399" s="80" t="s">
        <v>1100</v>
      </c>
      <c r="B399" s="81" t="s">
        <v>948</v>
      </c>
      <c r="C399" s="81" t="s">
        <v>73</v>
      </c>
      <c r="D399" s="81">
        <v>2.33</v>
      </c>
      <c r="E399" s="81">
        <v>0</v>
      </c>
      <c r="F399" s="81">
        <v>1</v>
      </c>
      <c r="G399" s="81">
        <v>0</v>
      </c>
      <c r="H399" s="81" t="s">
        <v>953</v>
      </c>
      <c r="I399" s="81" t="s">
        <v>27</v>
      </c>
      <c r="J399" s="82" t="s">
        <v>1108</v>
      </c>
      <c r="K399" s="81">
        <v>2</v>
      </c>
      <c r="L399" s="81">
        <v>0</v>
      </c>
      <c r="M399" s="83">
        <v>1</v>
      </c>
      <c r="N399" s="81">
        <v>0</v>
      </c>
      <c r="O399" s="84" t="s">
        <v>1520</v>
      </c>
      <c r="P399" s="81" t="s">
        <v>27</v>
      </c>
      <c r="Q399" s="81" t="s">
        <v>27</v>
      </c>
      <c r="R399" s="81">
        <v>0</v>
      </c>
      <c r="S399" s="81">
        <v>0</v>
      </c>
      <c r="T399" s="81">
        <v>0</v>
      </c>
      <c r="U399" s="81">
        <v>0</v>
      </c>
      <c r="V399" s="81">
        <v>0</v>
      </c>
      <c r="W399" s="81">
        <v>0</v>
      </c>
      <c r="X399" s="81">
        <v>0</v>
      </c>
    </row>
    <row r="400" spans="1:24" s="11" customFormat="1" x14ac:dyDescent="0.15">
      <c r="A400" s="80" t="s">
        <v>1101</v>
      </c>
      <c r="B400" s="81" t="s">
        <v>949</v>
      </c>
      <c r="C400" s="81" t="s">
        <v>73</v>
      </c>
      <c r="D400" s="81">
        <v>2.33</v>
      </c>
      <c r="E400" s="81">
        <v>0</v>
      </c>
      <c r="F400" s="81">
        <v>2</v>
      </c>
      <c r="G400" s="81">
        <v>17</v>
      </c>
      <c r="H400" s="81">
        <v>1</v>
      </c>
      <c r="I400" s="81" t="s">
        <v>27</v>
      </c>
      <c r="J400" s="82" t="s">
        <v>1109</v>
      </c>
      <c r="K400" s="81">
        <v>5</v>
      </c>
      <c r="L400" s="81">
        <v>1.35</v>
      </c>
      <c r="M400" s="83">
        <v>1</v>
      </c>
      <c r="N400" s="81">
        <v>1</v>
      </c>
      <c r="O400" s="84" t="s">
        <v>1520</v>
      </c>
      <c r="P400" s="81" t="s">
        <v>27</v>
      </c>
      <c r="Q400" s="81" t="s">
        <v>27</v>
      </c>
      <c r="R400" s="81">
        <v>0</v>
      </c>
      <c r="S400" s="81">
        <v>0</v>
      </c>
      <c r="T400" s="81">
        <v>0</v>
      </c>
      <c r="U400" s="81">
        <v>0</v>
      </c>
      <c r="V400" s="81">
        <v>0</v>
      </c>
      <c r="W400" s="81">
        <v>0</v>
      </c>
      <c r="X400" s="81">
        <v>0</v>
      </c>
    </row>
    <row r="401" spans="1:24" s="11" customFormat="1" x14ac:dyDescent="0.15">
      <c r="A401" s="80" t="s">
        <v>1102</v>
      </c>
      <c r="B401" s="81" t="s">
        <v>950</v>
      </c>
      <c r="C401" s="81" t="s">
        <v>952</v>
      </c>
      <c r="D401" s="81">
        <v>0</v>
      </c>
      <c r="E401" s="81">
        <v>0</v>
      </c>
      <c r="F401" s="81">
        <v>1</v>
      </c>
      <c r="G401" s="81">
        <v>0</v>
      </c>
      <c r="H401" s="81" t="s">
        <v>953</v>
      </c>
      <c r="I401" s="81" t="s">
        <v>27</v>
      </c>
      <c r="J401" s="82" t="s">
        <v>1110</v>
      </c>
      <c r="K401" s="81">
        <v>2</v>
      </c>
      <c r="L401" s="81">
        <v>0</v>
      </c>
      <c r="M401" s="83">
        <v>1</v>
      </c>
      <c r="N401" s="81">
        <v>1</v>
      </c>
      <c r="O401" s="84" t="s">
        <v>1520</v>
      </c>
      <c r="P401" s="81" t="s">
        <v>27</v>
      </c>
      <c r="Q401" s="81" t="s">
        <v>27</v>
      </c>
      <c r="R401" s="81">
        <v>0</v>
      </c>
      <c r="S401" s="81">
        <v>0</v>
      </c>
      <c r="T401" s="81">
        <v>0</v>
      </c>
      <c r="U401" s="81">
        <v>0</v>
      </c>
      <c r="V401" s="81">
        <v>0</v>
      </c>
      <c r="W401" s="81">
        <v>0</v>
      </c>
      <c r="X401" s="81">
        <v>0</v>
      </c>
    </row>
    <row r="402" spans="1:24" s="11" customFormat="1" x14ac:dyDescent="0.15">
      <c r="A402" s="80" t="s">
        <v>1103</v>
      </c>
      <c r="B402" s="81" t="s">
        <v>956</v>
      </c>
      <c r="C402" s="81" t="s">
        <v>957</v>
      </c>
      <c r="D402" s="81">
        <v>0</v>
      </c>
      <c r="E402" s="81">
        <v>0</v>
      </c>
      <c r="F402" s="81">
        <v>1</v>
      </c>
      <c r="G402" s="81">
        <v>0</v>
      </c>
      <c r="H402" s="81" t="s">
        <v>957</v>
      </c>
      <c r="I402" s="81" t="s">
        <v>957</v>
      </c>
      <c r="J402" s="82" t="s">
        <v>1111</v>
      </c>
      <c r="K402" s="81">
        <v>2</v>
      </c>
      <c r="L402" s="81">
        <v>0</v>
      </c>
      <c r="M402" s="83">
        <v>2</v>
      </c>
      <c r="N402" s="81">
        <v>2</v>
      </c>
      <c r="O402" s="84" t="s">
        <v>1520</v>
      </c>
      <c r="P402" s="81" t="s">
        <v>957</v>
      </c>
      <c r="Q402" s="81" t="s">
        <v>957</v>
      </c>
      <c r="R402" s="81">
        <v>0</v>
      </c>
      <c r="S402" s="81">
        <v>0</v>
      </c>
      <c r="T402" s="81">
        <v>0</v>
      </c>
      <c r="U402" s="81">
        <v>0</v>
      </c>
      <c r="V402" s="81">
        <v>0</v>
      </c>
      <c r="W402" s="81">
        <v>0</v>
      </c>
      <c r="X402" s="81">
        <v>0</v>
      </c>
    </row>
    <row r="403" spans="1:24" s="14" customFormat="1" x14ac:dyDescent="0.15">
      <c r="A403" s="85" t="s">
        <v>1112</v>
      </c>
      <c r="B403" s="85" t="s">
        <v>1717</v>
      </c>
      <c r="C403" s="85" t="s">
        <v>71</v>
      </c>
      <c r="D403" s="85">
        <v>1.4</v>
      </c>
      <c r="E403" s="85">
        <v>0</v>
      </c>
      <c r="F403" s="85">
        <v>1</v>
      </c>
      <c r="G403" s="85">
        <v>0</v>
      </c>
      <c r="H403" s="85">
        <v>1</v>
      </c>
      <c r="I403" s="85" t="s">
        <v>27</v>
      </c>
      <c r="J403" s="85" t="s">
        <v>1113</v>
      </c>
      <c r="K403" s="85">
        <v>3</v>
      </c>
      <c r="L403" s="85">
        <v>0</v>
      </c>
      <c r="M403" s="85">
        <v>1</v>
      </c>
      <c r="N403" s="85">
        <v>0</v>
      </c>
      <c r="O403" s="86" t="s">
        <v>1520</v>
      </c>
      <c r="P403" s="85" t="s">
        <v>27</v>
      </c>
      <c r="Q403" s="85" t="s">
        <v>27</v>
      </c>
      <c r="R403" s="85">
        <v>0</v>
      </c>
      <c r="S403" s="85">
        <v>0</v>
      </c>
      <c r="T403" s="85">
        <v>0</v>
      </c>
      <c r="U403" s="85">
        <v>0</v>
      </c>
      <c r="V403" s="85">
        <v>0</v>
      </c>
      <c r="W403" s="85">
        <v>0</v>
      </c>
      <c r="X403" s="85">
        <v>0</v>
      </c>
    </row>
    <row r="404" spans="1:24" s="14" customFormat="1" x14ac:dyDescent="0.15">
      <c r="A404" s="85" t="s">
        <v>1114</v>
      </c>
      <c r="B404" s="85" t="s">
        <v>1717</v>
      </c>
      <c r="C404" s="85" t="s">
        <v>1115</v>
      </c>
      <c r="D404" s="85">
        <v>1.4</v>
      </c>
      <c r="E404" s="85">
        <v>0</v>
      </c>
      <c r="F404" s="85">
        <v>1</v>
      </c>
      <c r="G404" s="85">
        <v>0</v>
      </c>
      <c r="H404" s="85">
        <v>1</v>
      </c>
      <c r="I404" s="85" t="s">
        <v>27</v>
      </c>
      <c r="J404" s="85" t="s">
        <v>1116</v>
      </c>
      <c r="K404" s="85">
        <v>3</v>
      </c>
      <c r="L404" s="85">
        <v>0</v>
      </c>
      <c r="M404" s="85">
        <v>1</v>
      </c>
      <c r="N404" s="85">
        <v>0</v>
      </c>
      <c r="O404" s="86" t="s">
        <v>1520</v>
      </c>
      <c r="P404" s="85" t="s">
        <v>27</v>
      </c>
      <c r="Q404" s="85" t="s">
        <v>27</v>
      </c>
      <c r="R404" s="85">
        <v>0</v>
      </c>
      <c r="S404" s="85">
        <v>0</v>
      </c>
      <c r="T404" s="85">
        <v>0</v>
      </c>
      <c r="U404" s="85">
        <v>0</v>
      </c>
      <c r="V404" s="85">
        <v>0</v>
      </c>
      <c r="W404" s="85">
        <v>0</v>
      </c>
      <c r="X404" s="85">
        <v>0</v>
      </c>
    </row>
    <row r="405" spans="1:24" s="14" customFormat="1" x14ac:dyDescent="0.15">
      <c r="A405" s="85" t="s">
        <v>1117</v>
      </c>
      <c r="B405" s="85" t="s">
        <v>1718</v>
      </c>
      <c r="C405" s="85" t="s">
        <v>73</v>
      </c>
      <c r="D405" s="85">
        <v>1.667</v>
      </c>
      <c r="E405" s="85">
        <v>0</v>
      </c>
      <c r="F405" s="85">
        <v>1</v>
      </c>
      <c r="G405" s="85">
        <v>0</v>
      </c>
      <c r="H405" s="85">
        <v>1</v>
      </c>
      <c r="I405" s="85" t="s">
        <v>27</v>
      </c>
      <c r="J405" s="85" t="s">
        <v>1315</v>
      </c>
      <c r="K405" s="85">
        <v>3</v>
      </c>
      <c r="L405" s="85">
        <v>0</v>
      </c>
      <c r="M405" s="85">
        <v>1</v>
      </c>
      <c r="N405" s="85">
        <v>0</v>
      </c>
      <c r="O405" s="86" t="s">
        <v>1520</v>
      </c>
      <c r="P405" s="85" t="s">
        <v>27</v>
      </c>
      <c r="Q405" s="85" t="s">
        <v>27</v>
      </c>
      <c r="R405" s="85">
        <v>0</v>
      </c>
      <c r="S405" s="85">
        <v>0</v>
      </c>
      <c r="T405" s="85">
        <v>0</v>
      </c>
      <c r="U405" s="85">
        <v>0</v>
      </c>
      <c r="V405" s="85">
        <v>0</v>
      </c>
      <c r="W405" s="85">
        <v>0</v>
      </c>
      <c r="X405" s="85">
        <v>0</v>
      </c>
    </row>
    <row r="406" spans="1:24" s="14" customFormat="1" x14ac:dyDescent="0.15">
      <c r="A406" s="85" t="s">
        <v>1119</v>
      </c>
      <c r="B406" s="85" t="s">
        <v>1719</v>
      </c>
      <c r="C406" s="85" t="s">
        <v>72</v>
      </c>
      <c r="D406" s="85">
        <v>2.4</v>
      </c>
      <c r="E406" s="85">
        <v>0</v>
      </c>
      <c r="F406" s="85">
        <v>1</v>
      </c>
      <c r="G406" s="85">
        <v>0</v>
      </c>
      <c r="H406" s="85">
        <v>1</v>
      </c>
      <c r="I406" s="85" t="s">
        <v>27</v>
      </c>
      <c r="J406" s="85" t="s">
        <v>1120</v>
      </c>
      <c r="K406" s="85">
        <v>3</v>
      </c>
      <c r="L406" s="85">
        <v>0</v>
      </c>
      <c r="M406" s="85">
        <v>2</v>
      </c>
      <c r="N406" s="85">
        <v>0</v>
      </c>
      <c r="O406" s="86" t="s">
        <v>1520</v>
      </c>
      <c r="P406" s="85" t="s">
        <v>27</v>
      </c>
      <c r="Q406" s="85" t="s">
        <v>27</v>
      </c>
      <c r="R406" s="85">
        <v>0</v>
      </c>
      <c r="S406" s="85">
        <v>0</v>
      </c>
      <c r="T406" s="85">
        <v>0</v>
      </c>
      <c r="U406" s="85">
        <v>0</v>
      </c>
      <c r="V406" s="85">
        <v>0</v>
      </c>
      <c r="W406" s="85">
        <v>0</v>
      </c>
      <c r="X406" s="85">
        <v>0</v>
      </c>
    </row>
    <row r="407" spans="1:24" s="14" customFormat="1" x14ac:dyDescent="0.15">
      <c r="A407" s="85" t="s">
        <v>1121</v>
      </c>
      <c r="B407" s="85" t="s">
        <v>1720</v>
      </c>
      <c r="C407" s="85" t="s">
        <v>73</v>
      </c>
      <c r="D407" s="85">
        <v>2.8</v>
      </c>
      <c r="E407" s="85">
        <v>0</v>
      </c>
      <c r="F407" s="85">
        <v>1</v>
      </c>
      <c r="G407" s="85">
        <v>0</v>
      </c>
      <c r="H407" s="85" t="s">
        <v>1122</v>
      </c>
      <c r="I407" s="85" t="s">
        <v>27</v>
      </c>
      <c r="J407" s="85" t="s">
        <v>1123</v>
      </c>
      <c r="K407" s="85">
        <v>3</v>
      </c>
      <c r="L407" s="85">
        <v>0</v>
      </c>
      <c r="M407" s="85">
        <v>2</v>
      </c>
      <c r="N407" s="85">
        <v>0</v>
      </c>
      <c r="O407" s="85" t="s">
        <v>1520</v>
      </c>
      <c r="P407" s="85" t="s">
        <v>27</v>
      </c>
      <c r="Q407" s="85" t="s">
        <v>27</v>
      </c>
      <c r="R407" s="85">
        <v>0</v>
      </c>
      <c r="S407" s="85">
        <v>0</v>
      </c>
      <c r="T407" s="85">
        <v>0</v>
      </c>
      <c r="U407" s="85">
        <v>0</v>
      </c>
      <c r="V407" s="85">
        <v>0</v>
      </c>
      <c r="W407" s="85">
        <v>0</v>
      </c>
      <c r="X407" s="85">
        <v>0</v>
      </c>
    </row>
    <row r="408" spans="1:24" s="14" customFormat="1" x14ac:dyDescent="0.15">
      <c r="A408" s="85" t="s">
        <v>1124</v>
      </c>
      <c r="B408" s="85" t="s">
        <v>1721</v>
      </c>
      <c r="C408" s="85" t="s">
        <v>73</v>
      </c>
      <c r="D408" s="85">
        <v>2.8</v>
      </c>
      <c r="E408" s="85">
        <v>0</v>
      </c>
      <c r="F408" s="85">
        <v>1</v>
      </c>
      <c r="G408" s="85">
        <v>0</v>
      </c>
      <c r="H408" s="85">
        <v>1</v>
      </c>
      <c r="I408" s="85" t="s">
        <v>27</v>
      </c>
      <c r="J408" s="85" t="s">
        <v>1604</v>
      </c>
      <c r="K408" s="85">
        <v>3</v>
      </c>
      <c r="L408" s="85">
        <v>1.8</v>
      </c>
      <c r="M408" s="85">
        <v>2</v>
      </c>
      <c r="N408" s="85">
        <v>0</v>
      </c>
      <c r="O408" s="85" t="s">
        <v>1520</v>
      </c>
      <c r="P408" s="85" t="s">
        <v>27</v>
      </c>
      <c r="Q408" s="85" t="s">
        <v>27</v>
      </c>
      <c r="R408" s="85">
        <v>0</v>
      </c>
      <c r="S408" s="85">
        <v>0</v>
      </c>
      <c r="T408" s="85">
        <v>0</v>
      </c>
      <c r="U408" s="85">
        <v>0</v>
      </c>
      <c r="V408" s="85">
        <v>0</v>
      </c>
      <c r="W408" s="85">
        <v>0</v>
      </c>
      <c r="X408" s="85">
        <v>0</v>
      </c>
    </row>
    <row r="409" spans="1:24" s="10" customFormat="1" x14ac:dyDescent="0.15">
      <c r="A409" s="73" t="s">
        <v>958</v>
      </c>
      <c r="B409" s="77" t="s">
        <v>966</v>
      </c>
      <c r="C409" s="77" t="s">
        <v>71</v>
      </c>
      <c r="D409" s="77">
        <v>1.57</v>
      </c>
      <c r="E409" s="77">
        <v>0</v>
      </c>
      <c r="F409" s="77">
        <v>1</v>
      </c>
      <c r="G409" s="77">
        <v>0</v>
      </c>
      <c r="H409" s="77">
        <v>1</v>
      </c>
      <c r="I409" s="77" t="s">
        <v>27</v>
      </c>
      <c r="J409" s="77" t="s">
        <v>965</v>
      </c>
      <c r="K409" s="77">
        <v>5</v>
      </c>
      <c r="L409" s="77">
        <v>0</v>
      </c>
      <c r="M409" s="78">
        <v>2</v>
      </c>
      <c r="N409" s="77">
        <v>0</v>
      </c>
      <c r="O409" s="79" t="s">
        <v>1520</v>
      </c>
      <c r="P409" s="77" t="s">
        <v>27</v>
      </c>
      <c r="Q409" s="77" t="s">
        <v>27</v>
      </c>
      <c r="R409" s="77">
        <v>0</v>
      </c>
      <c r="S409" s="77">
        <v>0</v>
      </c>
      <c r="T409" s="77">
        <v>0</v>
      </c>
      <c r="U409" s="77">
        <v>0</v>
      </c>
      <c r="V409" s="77">
        <v>0</v>
      </c>
      <c r="W409" s="77">
        <v>0</v>
      </c>
      <c r="X409" s="77">
        <v>0</v>
      </c>
    </row>
    <row r="410" spans="1:24" s="10" customFormat="1" x14ac:dyDescent="0.15">
      <c r="A410" s="73" t="s">
        <v>959</v>
      </c>
      <c r="B410" s="77" t="s">
        <v>968</v>
      </c>
      <c r="C410" s="77" t="s">
        <v>73</v>
      </c>
      <c r="D410" s="77">
        <v>1.667</v>
      </c>
      <c r="E410" s="77">
        <v>0</v>
      </c>
      <c r="F410" s="77">
        <v>1</v>
      </c>
      <c r="G410" s="77">
        <v>0</v>
      </c>
      <c r="H410" s="77" t="s">
        <v>978</v>
      </c>
      <c r="I410" s="77" t="s">
        <v>27</v>
      </c>
      <c r="J410" s="77" t="s">
        <v>964</v>
      </c>
      <c r="K410" s="77">
        <v>5</v>
      </c>
      <c r="L410" s="77">
        <v>0</v>
      </c>
      <c r="M410" s="78">
        <v>2</v>
      </c>
      <c r="N410" s="77">
        <v>0</v>
      </c>
      <c r="O410" s="79" t="s">
        <v>1520</v>
      </c>
      <c r="P410" s="77" t="s">
        <v>27</v>
      </c>
      <c r="Q410" s="77" t="s">
        <v>27</v>
      </c>
      <c r="R410" s="77">
        <v>0</v>
      </c>
      <c r="S410" s="77">
        <v>0</v>
      </c>
      <c r="T410" s="77">
        <v>0</v>
      </c>
      <c r="U410" s="77">
        <v>0</v>
      </c>
      <c r="V410" s="77">
        <v>0</v>
      </c>
      <c r="W410" s="77">
        <v>0</v>
      </c>
      <c r="X410" s="77">
        <v>0</v>
      </c>
    </row>
    <row r="411" spans="1:24" s="10" customFormat="1" x14ac:dyDescent="0.15">
      <c r="A411" s="73" t="s">
        <v>976</v>
      </c>
      <c r="B411" s="77" t="s">
        <v>979</v>
      </c>
      <c r="C411" s="77" t="s">
        <v>73</v>
      </c>
      <c r="D411" s="77">
        <v>1.667</v>
      </c>
      <c r="E411" s="77">
        <v>0</v>
      </c>
      <c r="F411" s="77" t="s">
        <v>980</v>
      </c>
      <c r="G411" s="77">
        <v>15</v>
      </c>
      <c r="H411" s="77">
        <v>1</v>
      </c>
      <c r="I411" s="77" t="s">
        <v>27</v>
      </c>
      <c r="J411" s="77" t="s">
        <v>977</v>
      </c>
      <c r="K411" s="77">
        <v>5</v>
      </c>
      <c r="L411" s="77">
        <v>0.23300000000000001</v>
      </c>
      <c r="M411" s="78">
        <v>2</v>
      </c>
      <c r="N411" s="77">
        <v>0</v>
      </c>
      <c r="O411" s="79" t="s">
        <v>1520</v>
      </c>
      <c r="P411" s="77" t="s">
        <v>27</v>
      </c>
      <c r="Q411" s="77" t="s">
        <v>27</v>
      </c>
      <c r="R411" s="77">
        <v>0</v>
      </c>
      <c r="S411" s="77">
        <v>0</v>
      </c>
      <c r="T411" s="77">
        <v>0</v>
      </c>
      <c r="U411" s="77">
        <v>0</v>
      </c>
      <c r="V411" s="77">
        <v>0</v>
      </c>
      <c r="W411" s="77">
        <v>0</v>
      </c>
      <c r="X411" s="77">
        <v>0</v>
      </c>
    </row>
    <row r="412" spans="1:24" s="10" customFormat="1" x14ac:dyDescent="0.15">
      <c r="A412" s="73" t="s">
        <v>960</v>
      </c>
      <c r="B412" s="77" t="s">
        <v>967</v>
      </c>
      <c r="C412" s="77" t="s">
        <v>72</v>
      </c>
      <c r="D412" s="77">
        <v>2.1</v>
      </c>
      <c r="E412" s="77">
        <v>0</v>
      </c>
      <c r="F412" s="77">
        <v>1</v>
      </c>
      <c r="G412" s="77">
        <v>0</v>
      </c>
      <c r="H412" s="77">
        <v>1</v>
      </c>
      <c r="I412" s="77" t="s">
        <v>27</v>
      </c>
      <c r="J412" s="77" t="s">
        <v>962</v>
      </c>
      <c r="K412" s="77">
        <v>3</v>
      </c>
      <c r="L412" s="77">
        <v>0</v>
      </c>
      <c r="M412" s="78">
        <v>2</v>
      </c>
      <c r="N412" s="77">
        <v>0</v>
      </c>
      <c r="O412" s="79" t="s">
        <v>1520</v>
      </c>
      <c r="P412" s="77" t="s">
        <v>27</v>
      </c>
      <c r="Q412" s="77" t="s">
        <v>27</v>
      </c>
      <c r="R412" s="77">
        <v>0</v>
      </c>
      <c r="S412" s="77">
        <v>0</v>
      </c>
      <c r="T412" s="77">
        <v>0</v>
      </c>
      <c r="U412" s="77">
        <v>0</v>
      </c>
      <c r="V412" s="77">
        <v>0</v>
      </c>
      <c r="W412" s="77">
        <v>0</v>
      </c>
      <c r="X412" s="77">
        <v>0</v>
      </c>
    </row>
    <row r="413" spans="1:24" s="10" customFormat="1" x14ac:dyDescent="0.15">
      <c r="A413" s="73" t="s">
        <v>961</v>
      </c>
      <c r="B413" s="77" t="s">
        <v>969</v>
      </c>
      <c r="C413" s="77" t="s">
        <v>73</v>
      </c>
      <c r="D413" s="77">
        <v>3.53</v>
      </c>
      <c r="E413" s="77">
        <v>0</v>
      </c>
      <c r="F413" s="77">
        <v>1</v>
      </c>
      <c r="G413" s="77">
        <v>0</v>
      </c>
      <c r="H413" s="77">
        <v>1</v>
      </c>
      <c r="I413" s="77" t="s">
        <v>27</v>
      </c>
      <c r="J413" s="77" t="s">
        <v>963</v>
      </c>
      <c r="K413" s="77">
        <v>4</v>
      </c>
      <c r="L413" s="77">
        <v>0</v>
      </c>
      <c r="M413" s="77">
        <v>2</v>
      </c>
      <c r="N413" s="77">
        <v>0</v>
      </c>
      <c r="O413" s="77" t="s">
        <v>1520</v>
      </c>
      <c r="P413" s="77" t="s">
        <v>27</v>
      </c>
      <c r="Q413" s="77" t="s">
        <v>27</v>
      </c>
      <c r="R413" s="77">
        <v>0</v>
      </c>
      <c r="S413" s="77">
        <v>0</v>
      </c>
      <c r="T413" s="77">
        <v>0</v>
      </c>
      <c r="U413" s="77">
        <v>0</v>
      </c>
      <c r="V413" s="77">
        <v>0</v>
      </c>
      <c r="W413" s="77">
        <v>0</v>
      </c>
      <c r="X413" s="77">
        <v>0</v>
      </c>
    </row>
    <row r="414" spans="1:24" x14ac:dyDescent="0.15">
      <c r="A414" s="73" t="s">
        <v>970</v>
      </c>
      <c r="B414" s="77" t="s">
        <v>972</v>
      </c>
      <c r="C414" s="77" t="s">
        <v>73</v>
      </c>
      <c r="D414" s="77">
        <v>3.53</v>
      </c>
      <c r="E414" s="77">
        <v>0</v>
      </c>
      <c r="F414" s="77">
        <v>1</v>
      </c>
      <c r="G414" s="77">
        <v>0</v>
      </c>
      <c r="H414" s="77">
        <v>1</v>
      </c>
      <c r="I414" s="77" t="s">
        <v>27</v>
      </c>
      <c r="J414" s="77" t="s">
        <v>974</v>
      </c>
      <c r="K414" s="77">
        <v>4</v>
      </c>
      <c r="L414" s="77">
        <v>0</v>
      </c>
      <c r="M414" s="77">
        <v>2</v>
      </c>
      <c r="N414" s="77">
        <v>6</v>
      </c>
      <c r="O414" s="77" t="s">
        <v>1520</v>
      </c>
      <c r="P414" s="77" t="s">
        <v>27</v>
      </c>
      <c r="Q414" s="77" t="s">
        <v>27</v>
      </c>
      <c r="R414" s="77">
        <v>0</v>
      </c>
      <c r="S414" s="77">
        <v>0</v>
      </c>
      <c r="T414" s="77">
        <v>0</v>
      </c>
      <c r="U414" s="77">
        <v>0</v>
      </c>
      <c r="V414" s="77">
        <v>0</v>
      </c>
      <c r="W414" s="77">
        <v>0</v>
      </c>
      <c r="X414" s="77">
        <v>0</v>
      </c>
    </row>
    <row r="415" spans="1:24" x14ac:dyDescent="0.15">
      <c r="A415" s="73" t="s">
        <v>971</v>
      </c>
      <c r="B415" s="87" t="s">
        <v>973</v>
      </c>
      <c r="C415" s="77" t="s">
        <v>73</v>
      </c>
      <c r="D415" s="77">
        <v>3.53</v>
      </c>
      <c r="E415" s="77">
        <v>0</v>
      </c>
      <c r="F415" s="77">
        <v>1</v>
      </c>
      <c r="G415" s="77">
        <v>0</v>
      </c>
      <c r="H415" s="77">
        <v>1</v>
      </c>
      <c r="I415" s="77" t="s">
        <v>27</v>
      </c>
      <c r="J415" s="77" t="s">
        <v>975</v>
      </c>
      <c r="K415" s="77">
        <v>4</v>
      </c>
      <c r="L415" s="77">
        <v>0</v>
      </c>
      <c r="M415" s="77">
        <v>2</v>
      </c>
      <c r="N415" s="77">
        <v>7</v>
      </c>
      <c r="O415" s="77" t="s">
        <v>1520</v>
      </c>
      <c r="P415" s="77" t="s">
        <v>27</v>
      </c>
      <c r="Q415" s="77" t="s">
        <v>27</v>
      </c>
      <c r="R415" s="77">
        <v>0</v>
      </c>
      <c r="S415" s="77">
        <v>0</v>
      </c>
      <c r="T415" s="77">
        <v>0</v>
      </c>
      <c r="U415" s="77">
        <v>0</v>
      </c>
      <c r="V415" s="77">
        <v>0</v>
      </c>
      <c r="W415" s="77">
        <v>0</v>
      </c>
      <c r="X415" s="77">
        <v>0</v>
      </c>
    </row>
    <row r="416" spans="1:24" x14ac:dyDescent="0.15">
      <c r="A416" s="59" t="s">
        <v>983</v>
      </c>
      <c r="B416" s="87" t="s">
        <v>966</v>
      </c>
      <c r="C416" s="77" t="s">
        <v>71</v>
      </c>
      <c r="D416" s="87">
        <v>1.43</v>
      </c>
      <c r="E416" s="87">
        <v>0</v>
      </c>
      <c r="F416" s="87">
        <v>1</v>
      </c>
      <c r="G416" s="87">
        <v>0</v>
      </c>
      <c r="H416" s="87">
        <v>1</v>
      </c>
      <c r="I416" s="87" t="s">
        <v>27</v>
      </c>
      <c r="J416" s="87" t="s">
        <v>990</v>
      </c>
      <c r="K416" s="87">
        <v>5</v>
      </c>
      <c r="L416" s="87">
        <v>0</v>
      </c>
      <c r="M416" s="65">
        <v>2</v>
      </c>
      <c r="N416" s="87">
        <v>0</v>
      </c>
      <c r="O416" s="88" t="s">
        <v>1520</v>
      </c>
      <c r="P416" s="87" t="s">
        <v>27</v>
      </c>
      <c r="Q416" s="87" t="s">
        <v>27</v>
      </c>
      <c r="R416" s="87">
        <v>0</v>
      </c>
      <c r="S416" s="87">
        <v>0</v>
      </c>
      <c r="T416" s="87">
        <v>0</v>
      </c>
      <c r="U416" s="87">
        <v>0</v>
      </c>
      <c r="V416" s="87">
        <v>0</v>
      </c>
      <c r="W416" s="87">
        <v>0</v>
      </c>
      <c r="X416" s="87">
        <v>0</v>
      </c>
    </row>
    <row r="417" spans="1:46" x14ac:dyDescent="0.15">
      <c r="A417" s="59" t="s">
        <v>984</v>
      </c>
      <c r="B417" s="87" t="s">
        <v>981</v>
      </c>
      <c r="C417" s="87" t="s">
        <v>73</v>
      </c>
      <c r="D417" s="87">
        <v>1.667</v>
      </c>
      <c r="E417" s="87">
        <v>0</v>
      </c>
      <c r="F417" s="87">
        <v>1</v>
      </c>
      <c r="G417" s="87">
        <v>0</v>
      </c>
      <c r="H417" s="87">
        <v>1</v>
      </c>
      <c r="I417" s="87" t="s">
        <v>27</v>
      </c>
      <c r="J417" s="87" t="s">
        <v>985</v>
      </c>
      <c r="K417" s="87">
        <v>5</v>
      </c>
      <c r="L417" s="87">
        <v>0</v>
      </c>
      <c r="M417" s="65">
        <v>2</v>
      </c>
      <c r="N417" s="87">
        <v>0</v>
      </c>
      <c r="O417" s="88" t="s">
        <v>1520</v>
      </c>
      <c r="P417" s="87" t="s">
        <v>27</v>
      </c>
      <c r="Q417" s="87" t="s">
        <v>27</v>
      </c>
      <c r="R417" s="87">
        <v>0</v>
      </c>
      <c r="S417" s="87">
        <v>0</v>
      </c>
      <c r="T417" s="87">
        <v>0</v>
      </c>
      <c r="U417" s="87">
        <v>0</v>
      </c>
      <c r="V417" s="87">
        <v>0</v>
      </c>
      <c r="W417" s="87">
        <v>0</v>
      </c>
      <c r="X417" s="87">
        <v>0</v>
      </c>
    </row>
    <row r="418" spans="1:46" x14ac:dyDescent="0.15">
      <c r="A418" s="59" t="s">
        <v>986</v>
      </c>
      <c r="B418" s="87" t="s">
        <v>967</v>
      </c>
      <c r="C418" s="87" t="s">
        <v>72</v>
      </c>
      <c r="D418" s="87">
        <v>2.6</v>
      </c>
      <c r="E418" s="87">
        <v>0</v>
      </c>
      <c r="F418" s="87">
        <v>1</v>
      </c>
      <c r="G418" s="87">
        <v>0</v>
      </c>
      <c r="H418" s="87">
        <v>1</v>
      </c>
      <c r="I418" s="87" t="s">
        <v>27</v>
      </c>
      <c r="J418" s="87" t="s">
        <v>987</v>
      </c>
      <c r="K418" s="87">
        <v>3</v>
      </c>
      <c r="L418" s="87">
        <v>0</v>
      </c>
      <c r="M418" s="65">
        <v>2</v>
      </c>
      <c r="N418" s="87">
        <v>0</v>
      </c>
      <c r="O418" s="88" t="s">
        <v>1520</v>
      </c>
      <c r="P418" s="87" t="s">
        <v>27</v>
      </c>
      <c r="Q418" s="87" t="s">
        <v>27</v>
      </c>
      <c r="R418" s="87">
        <v>0</v>
      </c>
      <c r="S418" s="87">
        <v>0</v>
      </c>
      <c r="T418" s="87">
        <v>0</v>
      </c>
      <c r="U418" s="87">
        <v>0</v>
      </c>
      <c r="V418" s="87">
        <v>0</v>
      </c>
      <c r="W418" s="87">
        <v>0</v>
      </c>
      <c r="X418" s="87">
        <v>0</v>
      </c>
    </row>
    <row r="419" spans="1:46" x14ac:dyDescent="0.15">
      <c r="A419" s="59" t="s">
        <v>988</v>
      </c>
      <c r="B419" s="87" t="s">
        <v>982</v>
      </c>
      <c r="C419" s="87" t="s">
        <v>73</v>
      </c>
      <c r="D419" s="87">
        <v>2.27</v>
      </c>
      <c r="E419" s="87">
        <v>0</v>
      </c>
      <c r="F419" s="87">
        <v>1</v>
      </c>
      <c r="G419" s="87">
        <v>0</v>
      </c>
      <c r="H419" s="87">
        <v>1</v>
      </c>
      <c r="I419" s="87" t="s">
        <v>27</v>
      </c>
      <c r="J419" s="87" t="s">
        <v>989</v>
      </c>
      <c r="K419" s="87">
        <v>4</v>
      </c>
      <c r="L419" s="87">
        <v>0</v>
      </c>
      <c r="M419" s="65">
        <v>2</v>
      </c>
      <c r="N419" s="87">
        <v>0</v>
      </c>
      <c r="O419" s="88" t="s">
        <v>1520</v>
      </c>
      <c r="P419" s="87" t="s">
        <v>27</v>
      </c>
      <c r="Q419" s="87" t="s">
        <v>27</v>
      </c>
      <c r="R419" s="87">
        <v>0</v>
      </c>
      <c r="S419" s="87">
        <v>0</v>
      </c>
      <c r="T419" s="87">
        <v>0</v>
      </c>
      <c r="U419" s="87">
        <v>0</v>
      </c>
      <c r="V419" s="87">
        <v>0</v>
      </c>
      <c r="W419" s="87">
        <v>0</v>
      </c>
      <c r="X419" s="87">
        <v>0</v>
      </c>
    </row>
    <row r="420" spans="1:46" x14ac:dyDescent="0.15">
      <c r="A420" s="73" t="s">
        <v>991</v>
      </c>
      <c r="B420" s="77" t="s">
        <v>992</v>
      </c>
      <c r="C420" s="77" t="s">
        <v>71</v>
      </c>
      <c r="D420" s="77">
        <v>1.43</v>
      </c>
      <c r="E420" s="77">
        <v>0</v>
      </c>
      <c r="F420" s="77">
        <v>2</v>
      </c>
      <c r="G420" s="77">
        <v>15</v>
      </c>
      <c r="H420" s="77">
        <v>1</v>
      </c>
      <c r="I420" s="77" t="s">
        <v>27</v>
      </c>
      <c r="J420" s="77" t="s">
        <v>991</v>
      </c>
      <c r="K420" s="77">
        <v>3</v>
      </c>
      <c r="L420" s="77">
        <v>0.43</v>
      </c>
      <c r="M420" s="78">
        <v>2</v>
      </c>
      <c r="N420" s="77">
        <v>1</v>
      </c>
      <c r="O420" s="79" t="s">
        <v>1011</v>
      </c>
      <c r="P420" s="77" t="s">
        <v>27</v>
      </c>
      <c r="Q420" s="77" t="s">
        <v>27</v>
      </c>
      <c r="R420" s="77">
        <v>0</v>
      </c>
      <c r="S420" s="77">
        <v>0</v>
      </c>
      <c r="T420" s="77">
        <v>0</v>
      </c>
      <c r="U420" s="77">
        <v>0</v>
      </c>
      <c r="V420" s="77">
        <v>0</v>
      </c>
      <c r="W420" s="77">
        <v>0</v>
      </c>
      <c r="X420" s="77">
        <v>0</v>
      </c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</row>
    <row r="421" spans="1:46" x14ac:dyDescent="0.15">
      <c r="A421" s="73" t="s">
        <v>994</v>
      </c>
      <c r="B421" s="77" t="s">
        <v>995</v>
      </c>
      <c r="C421" s="77" t="s">
        <v>27</v>
      </c>
      <c r="D421" s="77">
        <v>0</v>
      </c>
      <c r="E421" s="77">
        <v>0</v>
      </c>
      <c r="F421" s="77">
        <v>11</v>
      </c>
      <c r="G421" s="77">
        <v>0</v>
      </c>
      <c r="H421" s="77" t="s">
        <v>27</v>
      </c>
      <c r="I421" s="77" t="s">
        <v>27</v>
      </c>
      <c r="J421" s="77" t="s">
        <v>996</v>
      </c>
      <c r="K421" s="77">
        <v>5</v>
      </c>
      <c r="L421" s="77">
        <v>0</v>
      </c>
      <c r="M421" s="78">
        <v>2</v>
      </c>
      <c r="N421" s="77">
        <v>0</v>
      </c>
      <c r="O421" s="79" t="s">
        <v>1520</v>
      </c>
      <c r="P421" s="77" t="s">
        <v>27</v>
      </c>
      <c r="Q421" s="77" t="s">
        <v>27</v>
      </c>
      <c r="R421" s="77">
        <v>0</v>
      </c>
      <c r="S421" s="77">
        <v>0</v>
      </c>
      <c r="T421" s="77">
        <v>0</v>
      </c>
      <c r="U421" s="77">
        <v>0</v>
      </c>
      <c r="V421" s="77">
        <v>0</v>
      </c>
      <c r="W421" s="77">
        <v>0</v>
      </c>
      <c r="X421" s="77">
        <v>0</v>
      </c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</row>
    <row r="422" spans="1:46" x14ac:dyDescent="0.15">
      <c r="A422" s="73" t="s">
        <v>997</v>
      </c>
      <c r="B422" s="77" t="s">
        <v>998</v>
      </c>
      <c r="C422" s="77" t="s">
        <v>73</v>
      </c>
      <c r="D422" s="77">
        <v>1.667</v>
      </c>
      <c r="E422" s="77">
        <v>0</v>
      </c>
      <c r="F422" s="77">
        <v>1</v>
      </c>
      <c r="G422" s="77">
        <v>0</v>
      </c>
      <c r="H422" s="77">
        <v>1</v>
      </c>
      <c r="I422" s="77" t="s">
        <v>27</v>
      </c>
      <c r="J422" s="77" t="s">
        <v>27</v>
      </c>
      <c r="K422" s="77">
        <v>5</v>
      </c>
      <c r="L422" s="77">
        <v>0</v>
      </c>
      <c r="M422" s="78">
        <v>2</v>
      </c>
      <c r="N422" s="77">
        <v>0</v>
      </c>
      <c r="O422" s="79" t="s">
        <v>1520</v>
      </c>
      <c r="P422" s="77" t="s">
        <v>27</v>
      </c>
      <c r="Q422" s="77" t="s">
        <v>27</v>
      </c>
      <c r="R422" s="77">
        <v>0</v>
      </c>
      <c r="S422" s="77">
        <v>0</v>
      </c>
      <c r="T422" s="77">
        <v>0</v>
      </c>
      <c r="U422" s="77">
        <v>0</v>
      </c>
      <c r="V422" s="77">
        <v>0</v>
      </c>
      <c r="W422" s="77">
        <v>0</v>
      </c>
      <c r="X422" s="77">
        <v>0</v>
      </c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</row>
    <row r="423" spans="1:46" x14ac:dyDescent="0.15">
      <c r="A423" s="73" t="s">
        <v>999</v>
      </c>
      <c r="B423" s="77" t="s">
        <v>1000</v>
      </c>
      <c r="C423" s="77" t="s">
        <v>1839</v>
      </c>
      <c r="D423" s="77">
        <v>1.4330000000000001</v>
      </c>
      <c r="E423" s="77">
        <v>0</v>
      </c>
      <c r="F423" s="77">
        <v>1</v>
      </c>
      <c r="G423" s="77">
        <v>0</v>
      </c>
      <c r="H423" s="77">
        <v>1</v>
      </c>
      <c r="I423" s="77" t="s">
        <v>27</v>
      </c>
      <c r="J423" s="77" t="s">
        <v>1001</v>
      </c>
      <c r="K423" s="77">
        <v>5</v>
      </c>
      <c r="L423" s="77">
        <v>0</v>
      </c>
      <c r="M423" s="78">
        <v>1</v>
      </c>
      <c r="N423" s="77">
        <v>0</v>
      </c>
      <c r="O423" s="79" t="s">
        <v>1520</v>
      </c>
      <c r="P423" s="77" t="s">
        <v>27</v>
      </c>
      <c r="Q423" s="77" t="s">
        <v>27</v>
      </c>
      <c r="R423" s="77">
        <v>0</v>
      </c>
      <c r="S423" s="77">
        <v>0</v>
      </c>
      <c r="T423" s="77">
        <v>0</v>
      </c>
      <c r="U423" s="77">
        <v>0</v>
      </c>
      <c r="V423" s="77">
        <v>0</v>
      </c>
      <c r="W423" s="77">
        <v>0</v>
      </c>
      <c r="X423" s="77">
        <v>0</v>
      </c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</row>
    <row r="424" spans="1:46" x14ac:dyDescent="0.15">
      <c r="A424" s="73" t="s">
        <v>1002</v>
      </c>
      <c r="B424" s="77" t="s">
        <v>1003</v>
      </c>
      <c r="C424" s="77" t="s">
        <v>1840</v>
      </c>
      <c r="D424" s="77">
        <v>2.77</v>
      </c>
      <c r="E424" s="77">
        <v>0</v>
      </c>
      <c r="F424" s="77">
        <v>1</v>
      </c>
      <c r="G424" s="77">
        <v>0</v>
      </c>
      <c r="H424" s="77" t="s">
        <v>27</v>
      </c>
      <c r="I424" s="77" t="s">
        <v>27</v>
      </c>
      <c r="J424" s="77" t="s">
        <v>1004</v>
      </c>
      <c r="K424" s="77">
        <v>2</v>
      </c>
      <c r="L424" s="77">
        <v>0</v>
      </c>
      <c r="M424" s="78">
        <v>2</v>
      </c>
      <c r="N424" s="77">
        <v>0</v>
      </c>
      <c r="O424" s="79" t="s">
        <v>1520</v>
      </c>
      <c r="P424" s="77" t="s">
        <v>27</v>
      </c>
      <c r="Q424" s="77" t="s">
        <v>27</v>
      </c>
      <c r="R424" s="77">
        <v>0</v>
      </c>
      <c r="S424" s="77">
        <v>0</v>
      </c>
      <c r="T424" s="77">
        <v>0</v>
      </c>
      <c r="U424" s="77">
        <v>0</v>
      </c>
      <c r="V424" s="77">
        <v>0</v>
      </c>
      <c r="W424" s="77">
        <v>0</v>
      </c>
      <c r="X424" s="77">
        <v>0</v>
      </c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</row>
    <row r="425" spans="1:46" x14ac:dyDescent="0.15">
      <c r="A425" s="73" t="s">
        <v>1005</v>
      </c>
      <c r="B425" s="77" t="s">
        <v>1003</v>
      </c>
      <c r="C425" s="77" t="s">
        <v>1840</v>
      </c>
      <c r="D425" s="77">
        <v>2.77</v>
      </c>
      <c r="E425" s="77">
        <v>0</v>
      </c>
      <c r="F425" s="77" t="s">
        <v>993</v>
      </c>
      <c r="G425" s="77">
        <v>15</v>
      </c>
      <c r="H425" s="77">
        <v>1</v>
      </c>
      <c r="I425" s="77" t="s">
        <v>27</v>
      </c>
      <c r="J425" s="77" t="s">
        <v>1006</v>
      </c>
      <c r="K425" s="77">
        <v>3</v>
      </c>
      <c r="L425" s="77">
        <v>1.93</v>
      </c>
      <c r="M425" s="78">
        <v>1</v>
      </c>
      <c r="N425" s="77">
        <v>1</v>
      </c>
      <c r="O425" s="79" t="s">
        <v>1007</v>
      </c>
      <c r="P425" s="77" t="s">
        <v>27</v>
      </c>
      <c r="Q425" s="77" t="s">
        <v>27</v>
      </c>
      <c r="R425" s="77">
        <v>0</v>
      </c>
      <c r="S425" s="77">
        <v>0</v>
      </c>
      <c r="T425" s="77">
        <v>0</v>
      </c>
      <c r="U425" s="77">
        <v>0</v>
      </c>
      <c r="V425" s="77">
        <v>0</v>
      </c>
      <c r="W425" s="77">
        <v>0</v>
      </c>
      <c r="X425" s="77">
        <v>0</v>
      </c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</row>
    <row r="426" spans="1:46" x14ac:dyDescent="0.15">
      <c r="A426" s="73" t="s">
        <v>1008</v>
      </c>
      <c r="B426" s="77" t="s">
        <v>1003</v>
      </c>
      <c r="C426" s="77" t="s">
        <v>1840</v>
      </c>
      <c r="D426" s="77">
        <v>0</v>
      </c>
      <c r="E426" s="77">
        <v>0</v>
      </c>
      <c r="F426" s="77">
        <v>11</v>
      </c>
      <c r="G426" s="77">
        <v>0</v>
      </c>
      <c r="H426" s="77" t="s">
        <v>27</v>
      </c>
      <c r="I426" s="77" t="s">
        <v>27</v>
      </c>
      <c r="J426" s="77" t="s">
        <v>1009</v>
      </c>
      <c r="K426" s="77">
        <v>2</v>
      </c>
      <c r="L426" s="77">
        <v>0</v>
      </c>
      <c r="M426" s="78">
        <v>2</v>
      </c>
      <c r="N426" s="77">
        <v>1</v>
      </c>
      <c r="O426" s="79" t="s">
        <v>1520</v>
      </c>
      <c r="P426" s="77" t="s">
        <v>27</v>
      </c>
      <c r="Q426" s="77" t="s">
        <v>27</v>
      </c>
      <c r="R426" s="77">
        <v>0</v>
      </c>
      <c r="S426" s="77">
        <v>0</v>
      </c>
      <c r="T426" s="77">
        <v>0</v>
      </c>
      <c r="U426" s="77">
        <v>0</v>
      </c>
      <c r="V426" s="77">
        <v>0</v>
      </c>
      <c r="W426" s="77">
        <v>0</v>
      </c>
      <c r="X426" s="77">
        <v>0</v>
      </c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</row>
    <row r="427" spans="1:46" x14ac:dyDescent="0.15">
      <c r="A427" s="73" t="s">
        <v>1841</v>
      </c>
      <c r="B427" s="77" t="s">
        <v>1003</v>
      </c>
      <c r="C427" s="77" t="s">
        <v>1840</v>
      </c>
      <c r="D427" s="77">
        <v>0</v>
      </c>
      <c r="E427" s="77">
        <v>0</v>
      </c>
      <c r="F427" s="77">
        <v>11</v>
      </c>
      <c r="G427" s="77">
        <v>0</v>
      </c>
      <c r="H427" s="77" t="s">
        <v>27</v>
      </c>
      <c r="I427" s="77" t="s">
        <v>27</v>
      </c>
      <c r="J427" s="77" t="s">
        <v>1010</v>
      </c>
      <c r="K427" s="77">
        <v>5</v>
      </c>
      <c r="L427" s="77">
        <v>0</v>
      </c>
      <c r="M427" s="78">
        <v>2</v>
      </c>
      <c r="N427" s="77">
        <v>1</v>
      </c>
      <c r="O427" s="79" t="s">
        <v>1520</v>
      </c>
      <c r="P427" s="77" t="s">
        <v>27</v>
      </c>
      <c r="Q427" s="77" t="s">
        <v>27</v>
      </c>
      <c r="R427" s="77">
        <v>0</v>
      </c>
      <c r="S427" s="77">
        <v>0</v>
      </c>
      <c r="T427" s="77">
        <v>0</v>
      </c>
      <c r="U427" s="77">
        <v>0</v>
      </c>
      <c r="V427" s="77">
        <v>0</v>
      </c>
      <c r="W427" s="77">
        <v>0</v>
      </c>
      <c r="X427" s="77">
        <v>0</v>
      </c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</row>
    <row r="428" spans="1:46" x14ac:dyDescent="0.15">
      <c r="A428" s="59" t="s">
        <v>1023</v>
      </c>
      <c r="B428" s="87" t="s">
        <v>1024</v>
      </c>
      <c r="C428" s="87" t="s">
        <v>72</v>
      </c>
      <c r="D428" s="87">
        <v>1.97</v>
      </c>
      <c r="E428" s="87">
        <v>0</v>
      </c>
      <c r="F428" s="87">
        <v>1</v>
      </c>
      <c r="G428" s="87">
        <v>0</v>
      </c>
      <c r="H428" s="87">
        <v>1</v>
      </c>
      <c r="I428" s="87" t="s">
        <v>27</v>
      </c>
      <c r="J428" s="87" t="s">
        <v>1025</v>
      </c>
      <c r="K428" s="87">
        <v>3</v>
      </c>
      <c r="L428" s="87">
        <v>0</v>
      </c>
      <c r="M428" s="65">
        <v>2</v>
      </c>
      <c r="N428" s="87">
        <v>0</v>
      </c>
      <c r="O428" s="88" t="s">
        <v>1520</v>
      </c>
      <c r="P428" s="87" t="s">
        <v>27</v>
      </c>
      <c r="Q428" s="87" t="s">
        <v>27</v>
      </c>
      <c r="R428" s="87">
        <v>0</v>
      </c>
      <c r="S428" s="87">
        <v>0</v>
      </c>
      <c r="T428" s="87">
        <v>0</v>
      </c>
      <c r="U428" s="87">
        <v>0</v>
      </c>
      <c r="V428" s="87">
        <v>0</v>
      </c>
      <c r="W428" s="87">
        <v>0</v>
      </c>
      <c r="X428" s="87">
        <v>0</v>
      </c>
    </row>
    <row r="429" spans="1:46" x14ac:dyDescent="0.15">
      <c r="A429" s="50" t="s">
        <v>1030</v>
      </c>
      <c r="B429" s="87" t="s">
        <v>1039</v>
      </c>
      <c r="C429" s="91" t="s">
        <v>71</v>
      </c>
      <c r="D429" s="87">
        <v>1.97</v>
      </c>
      <c r="E429" s="87">
        <v>0</v>
      </c>
      <c r="F429" s="87">
        <v>1</v>
      </c>
      <c r="G429" s="87">
        <v>0</v>
      </c>
      <c r="H429" s="87">
        <v>1</v>
      </c>
      <c r="I429" s="87" t="s">
        <v>27</v>
      </c>
      <c r="J429" s="59" t="s">
        <v>1030</v>
      </c>
      <c r="K429" s="87">
        <v>3</v>
      </c>
      <c r="L429" s="87">
        <v>0</v>
      </c>
      <c r="M429" s="65">
        <v>2</v>
      </c>
      <c r="N429" s="87">
        <v>0</v>
      </c>
      <c r="O429" s="88" t="s">
        <v>1520</v>
      </c>
      <c r="P429" s="87" t="s">
        <v>27</v>
      </c>
      <c r="Q429" s="87" t="s">
        <v>27</v>
      </c>
      <c r="R429" s="87">
        <v>0</v>
      </c>
      <c r="S429" s="87">
        <v>0</v>
      </c>
      <c r="T429" s="87">
        <v>0</v>
      </c>
      <c r="U429" s="87">
        <v>0</v>
      </c>
      <c r="V429" s="87">
        <v>0</v>
      </c>
      <c r="W429" s="87">
        <v>0</v>
      </c>
      <c r="X429" s="87">
        <v>0</v>
      </c>
    </row>
    <row r="430" spans="1:46" x14ac:dyDescent="0.15">
      <c r="A430" s="50" t="s">
        <v>1031</v>
      </c>
      <c r="B430" s="87" t="s">
        <v>1043</v>
      </c>
      <c r="C430" s="87" t="s">
        <v>1044</v>
      </c>
      <c r="D430" s="87">
        <v>1.667</v>
      </c>
      <c r="E430" s="87">
        <v>0</v>
      </c>
      <c r="F430" s="87">
        <v>1</v>
      </c>
      <c r="G430" s="87">
        <v>0</v>
      </c>
      <c r="H430" s="87">
        <v>1</v>
      </c>
      <c r="I430" s="87" t="s">
        <v>27</v>
      </c>
      <c r="J430" s="59" t="s">
        <v>1048</v>
      </c>
      <c r="K430" s="87">
        <v>6</v>
      </c>
      <c r="L430" s="87">
        <v>0</v>
      </c>
      <c r="M430" s="65">
        <v>2</v>
      </c>
      <c r="N430" s="87">
        <v>0</v>
      </c>
      <c r="O430" s="88" t="s">
        <v>1520</v>
      </c>
      <c r="P430" s="87" t="s">
        <v>27</v>
      </c>
      <c r="Q430" s="87" t="s">
        <v>27</v>
      </c>
      <c r="R430" s="87">
        <v>0</v>
      </c>
      <c r="S430" s="87">
        <v>0</v>
      </c>
      <c r="T430" s="87">
        <v>0</v>
      </c>
      <c r="U430" s="87">
        <v>0</v>
      </c>
      <c r="V430" s="87">
        <v>0</v>
      </c>
      <c r="W430" s="87">
        <v>0</v>
      </c>
      <c r="X430" s="87">
        <v>0</v>
      </c>
    </row>
    <row r="431" spans="1:46" x14ac:dyDescent="0.15">
      <c r="A431" s="50" t="s">
        <v>1913</v>
      </c>
      <c r="B431" s="87" t="s">
        <v>1040</v>
      </c>
      <c r="C431" s="87" t="s">
        <v>1046</v>
      </c>
      <c r="D431" s="87">
        <v>0</v>
      </c>
      <c r="E431" s="87">
        <v>0</v>
      </c>
      <c r="F431" s="87">
        <v>1</v>
      </c>
      <c r="G431" s="87">
        <v>0</v>
      </c>
      <c r="H431" s="87">
        <v>1</v>
      </c>
      <c r="I431" s="87" t="s">
        <v>27</v>
      </c>
      <c r="J431" s="87" t="s">
        <v>1051</v>
      </c>
      <c r="K431" s="87">
        <v>6</v>
      </c>
      <c r="L431" s="87">
        <v>0</v>
      </c>
      <c r="M431" s="65">
        <v>2</v>
      </c>
      <c r="N431" s="87">
        <v>0</v>
      </c>
      <c r="O431" s="88" t="s">
        <v>1520</v>
      </c>
      <c r="P431" s="87" t="s">
        <v>27</v>
      </c>
      <c r="Q431" s="87" t="s">
        <v>27</v>
      </c>
      <c r="R431" s="87">
        <v>0</v>
      </c>
      <c r="S431" s="87">
        <v>0</v>
      </c>
      <c r="T431" s="87">
        <v>0</v>
      </c>
      <c r="U431" s="87">
        <v>0</v>
      </c>
      <c r="V431" s="87">
        <v>0</v>
      </c>
      <c r="W431" s="87">
        <v>0</v>
      </c>
      <c r="X431" s="87">
        <v>0</v>
      </c>
    </row>
    <row r="432" spans="1:46" x14ac:dyDescent="0.15">
      <c r="A432" s="50" t="s">
        <v>1032</v>
      </c>
      <c r="B432" s="87" t="s">
        <v>1041</v>
      </c>
      <c r="C432" s="87" t="s">
        <v>1045</v>
      </c>
      <c r="D432" s="87">
        <v>4</v>
      </c>
      <c r="E432" s="87">
        <v>0</v>
      </c>
      <c r="F432" s="87">
        <v>1</v>
      </c>
      <c r="G432" s="87">
        <v>0</v>
      </c>
      <c r="H432" s="87">
        <v>1</v>
      </c>
      <c r="I432" s="87" t="s">
        <v>27</v>
      </c>
      <c r="J432" s="59" t="s">
        <v>1049</v>
      </c>
      <c r="K432" s="87">
        <v>3</v>
      </c>
      <c r="L432" s="87">
        <v>0</v>
      </c>
      <c r="M432" s="65">
        <v>2</v>
      </c>
      <c r="N432" s="87">
        <v>0</v>
      </c>
      <c r="O432" s="88" t="s">
        <v>1520</v>
      </c>
      <c r="P432" s="87" t="s">
        <v>27</v>
      </c>
      <c r="Q432" s="87" t="s">
        <v>27</v>
      </c>
      <c r="R432" s="87">
        <v>0</v>
      </c>
      <c r="S432" s="87">
        <v>0</v>
      </c>
      <c r="T432" s="87">
        <v>0</v>
      </c>
      <c r="U432" s="87">
        <v>0</v>
      </c>
      <c r="V432" s="87">
        <v>0</v>
      </c>
      <c r="W432" s="87">
        <v>0</v>
      </c>
      <c r="X432" s="87">
        <v>0</v>
      </c>
    </row>
    <row r="433" spans="1:46" x14ac:dyDescent="0.15">
      <c r="A433" s="50" t="s">
        <v>1834</v>
      </c>
      <c r="B433" s="87" t="s">
        <v>1042</v>
      </c>
      <c r="C433" s="87" t="s">
        <v>1044</v>
      </c>
      <c r="D433" s="87">
        <v>2</v>
      </c>
      <c r="E433" s="87">
        <v>0</v>
      </c>
      <c r="F433" s="87">
        <v>1</v>
      </c>
      <c r="G433" s="87">
        <v>0</v>
      </c>
      <c r="H433" s="87">
        <v>1</v>
      </c>
      <c r="I433" s="87" t="s">
        <v>27</v>
      </c>
      <c r="J433" s="59" t="s">
        <v>1050</v>
      </c>
      <c r="K433" s="87">
        <v>4.5999999999999996</v>
      </c>
      <c r="L433" s="87">
        <v>0</v>
      </c>
      <c r="M433" s="65">
        <v>2</v>
      </c>
      <c r="N433" s="87">
        <v>0</v>
      </c>
      <c r="O433" s="88" t="s">
        <v>1520</v>
      </c>
      <c r="P433" s="87" t="s">
        <v>27</v>
      </c>
      <c r="Q433" s="87" t="s">
        <v>27</v>
      </c>
      <c r="R433" s="87">
        <v>0</v>
      </c>
      <c r="S433" s="87">
        <v>0</v>
      </c>
      <c r="T433" s="87">
        <v>0</v>
      </c>
      <c r="U433" s="87">
        <v>0</v>
      </c>
      <c r="V433" s="87">
        <v>0</v>
      </c>
      <c r="W433" s="87">
        <v>0</v>
      </c>
      <c r="X433" s="87">
        <v>0</v>
      </c>
    </row>
    <row r="434" spans="1:46" s="7" customFormat="1" x14ac:dyDescent="0.15">
      <c r="A434" s="73" t="s">
        <v>1611</v>
      </c>
      <c r="B434" s="73" t="s">
        <v>943</v>
      </c>
      <c r="C434" s="73" t="s">
        <v>71</v>
      </c>
      <c r="D434" s="73">
        <v>1.5</v>
      </c>
      <c r="E434" s="73">
        <v>0</v>
      </c>
      <c r="F434" s="73">
        <v>2</v>
      </c>
      <c r="G434" s="73">
        <v>17</v>
      </c>
      <c r="H434" s="73">
        <v>1</v>
      </c>
      <c r="I434" s="73" t="s">
        <v>27</v>
      </c>
      <c r="J434" s="73" t="s">
        <v>1143</v>
      </c>
      <c r="K434" s="73">
        <v>3</v>
      </c>
      <c r="L434" s="73">
        <v>0.3</v>
      </c>
      <c r="M434" s="73">
        <v>1</v>
      </c>
      <c r="N434" s="73">
        <v>0</v>
      </c>
      <c r="O434" s="74" t="s">
        <v>1520</v>
      </c>
      <c r="P434" s="73" t="s">
        <v>27</v>
      </c>
      <c r="Q434" s="73" t="s">
        <v>27</v>
      </c>
      <c r="R434" s="73">
        <v>0</v>
      </c>
      <c r="S434" s="73">
        <v>0</v>
      </c>
      <c r="T434" s="73">
        <v>0</v>
      </c>
      <c r="U434" s="73">
        <v>0</v>
      </c>
      <c r="V434" s="73">
        <v>0</v>
      </c>
      <c r="W434" s="73">
        <v>0</v>
      </c>
      <c r="X434" s="73">
        <v>0</v>
      </c>
    </row>
    <row r="435" spans="1:46" s="7" customFormat="1" x14ac:dyDescent="0.15">
      <c r="A435" s="107" t="s">
        <v>1137</v>
      </c>
      <c r="B435" s="73" t="s">
        <v>943</v>
      </c>
      <c r="C435" s="107" t="s">
        <v>71</v>
      </c>
      <c r="D435" s="107">
        <v>1.5</v>
      </c>
      <c r="E435" s="107">
        <v>0</v>
      </c>
      <c r="F435" s="107">
        <v>2</v>
      </c>
      <c r="G435" s="107">
        <v>17</v>
      </c>
      <c r="H435" s="107">
        <v>1</v>
      </c>
      <c r="I435" s="107" t="s">
        <v>27</v>
      </c>
      <c r="J435" s="107" t="s">
        <v>1137</v>
      </c>
      <c r="K435" s="107">
        <v>5</v>
      </c>
      <c r="L435" s="73">
        <v>0.3</v>
      </c>
      <c r="M435" s="107">
        <v>1</v>
      </c>
      <c r="N435" s="107">
        <v>1</v>
      </c>
      <c r="O435" s="109" t="s">
        <v>27</v>
      </c>
      <c r="P435" s="107" t="s">
        <v>27</v>
      </c>
      <c r="Q435" s="107" t="s">
        <v>27</v>
      </c>
      <c r="R435" s="107">
        <v>0</v>
      </c>
      <c r="S435" s="107">
        <v>0</v>
      </c>
      <c r="T435" s="107">
        <v>0</v>
      </c>
      <c r="U435" s="107">
        <v>0</v>
      </c>
      <c r="V435" s="107">
        <v>0</v>
      </c>
      <c r="W435" s="107">
        <v>0</v>
      </c>
      <c r="X435" s="107">
        <v>0</v>
      </c>
      <c r="Y435" s="105"/>
      <c r="Z435" s="105"/>
      <c r="AA435" s="105"/>
      <c r="AB435" s="105"/>
      <c r="AC435" s="105"/>
      <c r="AD435" s="105"/>
      <c r="AE435" s="105"/>
      <c r="AF435" s="105"/>
      <c r="AG435" s="105"/>
      <c r="AH435" s="105"/>
      <c r="AI435" s="105"/>
      <c r="AJ435" s="105"/>
      <c r="AK435" s="105"/>
      <c r="AL435" s="105"/>
      <c r="AM435" s="105"/>
      <c r="AN435" s="105"/>
      <c r="AO435" s="105"/>
      <c r="AP435" s="105"/>
      <c r="AQ435" s="105"/>
      <c r="AR435" s="105"/>
      <c r="AS435" s="105"/>
      <c r="AT435" s="105"/>
    </row>
    <row r="436" spans="1:46" s="7" customFormat="1" x14ac:dyDescent="0.15">
      <c r="A436" s="73" t="s">
        <v>1562</v>
      </c>
      <c r="B436" s="73" t="s">
        <v>943</v>
      </c>
      <c r="C436" s="73" t="s">
        <v>1545</v>
      </c>
      <c r="D436" s="73">
        <v>1.5</v>
      </c>
      <c r="E436" s="73">
        <v>0</v>
      </c>
      <c r="F436" s="73">
        <v>2</v>
      </c>
      <c r="G436" s="73">
        <v>17</v>
      </c>
      <c r="H436" s="73">
        <v>1</v>
      </c>
      <c r="I436" s="73" t="s">
        <v>27</v>
      </c>
      <c r="J436" s="73" t="s">
        <v>1143</v>
      </c>
      <c r="K436" s="73">
        <v>3</v>
      </c>
      <c r="L436" s="73">
        <v>0.3</v>
      </c>
      <c r="M436" s="73">
        <v>1</v>
      </c>
      <c r="N436" s="73">
        <v>0</v>
      </c>
      <c r="O436" s="74" t="s">
        <v>1520</v>
      </c>
      <c r="P436" s="73" t="s">
        <v>27</v>
      </c>
      <c r="Q436" s="73" t="s">
        <v>27</v>
      </c>
      <c r="R436" s="73">
        <v>0</v>
      </c>
      <c r="S436" s="73">
        <v>0</v>
      </c>
      <c r="T436" s="73">
        <v>0</v>
      </c>
      <c r="U436" s="73">
        <v>0</v>
      </c>
      <c r="V436" s="73">
        <v>0</v>
      </c>
      <c r="W436" s="73">
        <v>0</v>
      </c>
      <c r="X436" s="73">
        <v>0</v>
      </c>
    </row>
    <row r="437" spans="1:46" s="7" customFormat="1" x14ac:dyDescent="0.15">
      <c r="A437" s="73" t="s">
        <v>1563</v>
      </c>
      <c r="B437" s="73" t="s">
        <v>943</v>
      </c>
      <c r="C437" s="73" t="s">
        <v>71</v>
      </c>
      <c r="D437" s="73">
        <v>1.5</v>
      </c>
      <c r="E437" s="73">
        <v>0</v>
      </c>
      <c r="F437" s="73">
        <v>2</v>
      </c>
      <c r="G437" s="73">
        <v>17</v>
      </c>
      <c r="H437" s="73">
        <v>1</v>
      </c>
      <c r="I437" s="73" t="s">
        <v>27</v>
      </c>
      <c r="J437" s="73" t="s">
        <v>1143</v>
      </c>
      <c r="K437" s="73">
        <v>3</v>
      </c>
      <c r="L437" s="73">
        <v>0.3</v>
      </c>
      <c r="M437" s="73">
        <v>1</v>
      </c>
      <c r="N437" s="73">
        <v>0</v>
      </c>
      <c r="O437" s="74" t="s">
        <v>1520</v>
      </c>
      <c r="P437" s="73" t="s">
        <v>27</v>
      </c>
      <c r="Q437" s="73" t="s">
        <v>27</v>
      </c>
      <c r="R437" s="73">
        <v>0</v>
      </c>
      <c r="S437" s="73">
        <v>0</v>
      </c>
      <c r="T437" s="73">
        <v>0</v>
      </c>
      <c r="U437" s="73">
        <v>0</v>
      </c>
      <c r="V437" s="73">
        <v>0</v>
      </c>
      <c r="W437" s="73">
        <v>0</v>
      </c>
      <c r="X437" s="73">
        <v>0</v>
      </c>
    </row>
    <row r="438" spans="1:46" s="7" customFormat="1" x14ac:dyDescent="0.15">
      <c r="A438" s="73" t="s">
        <v>1612</v>
      </c>
      <c r="B438" s="73" t="s">
        <v>1118</v>
      </c>
      <c r="C438" s="73" t="s">
        <v>73</v>
      </c>
      <c r="D438" s="73">
        <v>1.667</v>
      </c>
      <c r="E438" s="73">
        <v>0</v>
      </c>
      <c r="F438" s="73">
        <v>1</v>
      </c>
      <c r="G438" s="73">
        <v>0</v>
      </c>
      <c r="H438" s="73">
        <v>1</v>
      </c>
      <c r="I438" s="73" t="s">
        <v>27</v>
      </c>
      <c r="J438" s="73" t="s">
        <v>1849</v>
      </c>
      <c r="K438" s="73">
        <v>5</v>
      </c>
      <c r="L438" s="73">
        <v>0</v>
      </c>
      <c r="M438" s="73">
        <v>3</v>
      </c>
      <c r="N438" s="73">
        <v>0</v>
      </c>
      <c r="O438" s="74" t="s">
        <v>1520</v>
      </c>
      <c r="P438" s="73" t="s">
        <v>27</v>
      </c>
      <c r="Q438" s="73" t="s">
        <v>27</v>
      </c>
      <c r="R438" s="73">
        <v>0</v>
      </c>
      <c r="S438" s="73">
        <v>0</v>
      </c>
      <c r="T438" s="73">
        <v>0</v>
      </c>
      <c r="U438" s="73">
        <v>0</v>
      </c>
      <c r="V438" s="73">
        <v>0</v>
      </c>
      <c r="W438" s="73">
        <v>0</v>
      </c>
      <c r="X438" s="73">
        <v>0</v>
      </c>
    </row>
    <row r="439" spans="1:46" s="7" customFormat="1" x14ac:dyDescent="0.15">
      <c r="A439" s="107" t="s">
        <v>1138</v>
      </c>
      <c r="B439" s="73" t="s">
        <v>1118</v>
      </c>
      <c r="C439" s="107" t="s">
        <v>73</v>
      </c>
      <c r="D439" s="107">
        <v>1.667</v>
      </c>
      <c r="E439" s="107">
        <v>0</v>
      </c>
      <c r="F439" s="107">
        <v>1</v>
      </c>
      <c r="G439" s="107">
        <v>0</v>
      </c>
      <c r="H439" s="107">
        <v>1</v>
      </c>
      <c r="I439" s="107" t="s">
        <v>27</v>
      </c>
      <c r="J439" s="107" t="s">
        <v>1139</v>
      </c>
      <c r="K439" s="107">
        <v>5</v>
      </c>
      <c r="L439" s="73">
        <v>0</v>
      </c>
      <c r="M439" s="107">
        <v>3</v>
      </c>
      <c r="N439" s="107">
        <v>0</v>
      </c>
      <c r="O439" s="74" t="s">
        <v>1520</v>
      </c>
      <c r="P439" s="107" t="s">
        <v>27</v>
      </c>
      <c r="Q439" s="107" t="s">
        <v>27</v>
      </c>
      <c r="R439" s="107">
        <v>0</v>
      </c>
      <c r="S439" s="107">
        <v>0</v>
      </c>
      <c r="T439" s="107">
        <v>0</v>
      </c>
      <c r="U439" s="107">
        <v>0</v>
      </c>
      <c r="V439" s="107">
        <v>0</v>
      </c>
      <c r="W439" s="107">
        <v>0</v>
      </c>
      <c r="X439" s="107">
        <v>0</v>
      </c>
      <c r="Y439" s="105"/>
      <c r="Z439" s="105"/>
      <c r="AA439" s="105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5"/>
    </row>
    <row r="440" spans="1:46" s="7" customFormat="1" x14ac:dyDescent="0.15">
      <c r="A440" s="73" t="s">
        <v>1613</v>
      </c>
      <c r="B440" s="73" t="s">
        <v>1145</v>
      </c>
      <c r="C440" s="73" t="s">
        <v>1144</v>
      </c>
      <c r="D440" s="73">
        <v>0</v>
      </c>
      <c r="E440" s="73">
        <v>0</v>
      </c>
      <c r="F440" s="73">
        <v>11</v>
      </c>
      <c r="G440" s="73">
        <v>0</v>
      </c>
      <c r="H440" s="73" t="s">
        <v>1144</v>
      </c>
      <c r="I440" s="73" t="s">
        <v>27</v>
      </c>
      <c r="J440" s="73" t="s">
        <v>1146</v>
      </c>
      <c r="K440" s="73">
        <v>0</v>
      </c>
      <c r="L440" s="73">
        <v>0</v>
      </c>
      <c r="M440" s="73">
        <v>1</v>
      </c>
      <c r="N440" s="73">
        <v>4</v>
      </c>
      <c r="O440" s="74" t="s">
        <v>1520</v>
      </c>
      <c r="P440" s="73" t="s">
        <v>27</v>
      </c>
      <c r="Q440" s="73" t="s">
        <v>27</v>
      </c>
      <c r="R440" s="73">
        <v>0</v>
      </c>
      <c r="S440" s="73">
        <v>0</v>
      </c>
      <c r="T440" s="73">
        <v>0</v>
      </c>
      <c r="U440" s="73">
        <v>0</v>
      </c>
      <c r="V440" s="73">
        <v>0</v>
      </c>
      <c r="W440" s="73">
        <v>0</v>
      </c>
      <c r="X440" s="73">
        <v>0</v>
      </c>
    </row>
    <row r="441" spans="1:46" s="7" customFormat="1" x14ac:dyDescent="0.15">
      <c r="A441" s="107" t="s">
        <v>1832</v>
      </c>
      <c r="B441" s="73" t="s">
        <v>1145</v>
      </c>
      <c r="C441" s="107" t="s">
        <v>27</v>
      </c>
      <c r="D441" s="107">
        <v>0</v>
      </c>
      <c r="E441" s="107">
        <v>0</v>
      </c>
      <c r="F441" s="107">
        <v>1</v>
      </c>
      <c r="G441" s="107">
        <v>0</v>
      </c>
      <c r="H441" s="107">
        <v>0</v>
      </c>
      <c r="I441" s="107" t="s">
        <v>27</v>
      </c>
      <c r="J441" s="107" t="s">
        <v>1606</v>
      </c>
      <c r="K441" s="107">
        <v>5</v>
      </c>
      <c r="L441" s="107">
        <v>0</v>
      </c>
      <c r="M441" s="107">
        <v>2</v>
      </c>
      <c r="N441" s="107">
        <v>2</v>
      </c>
      <c r="O441" s="109" t="s">
        <v>1619</v>
      </c>
      <c r="P441" s="107" t="s">
        <v>27</v>
      </c>
      <c r="Q441" s="107" t="s">
        <v>27</v>
      </c>
      <c r="R441" s="107">
        <v>0</v>
      </c>
      <c r="S441" s="107">
        <v>0</v>
      </c>
      <c r="T441" s="107">
        <v>0</v>
      </c>
      <c r="U441" s="107">
        <v>0</v>
      </c>
      <c r="V441" s="107">
        <v>0</v>
      </c>
      <c r="W441" s="107">
        <v>0</v>
      </c>
      <c r="X441" s="107">
        <v>0</v>
      </c>
      <c r="Y441" s="105"/>
      <c r="Z441" s="105"/>
      <c r="AA441" s="105"/>
      <c r="AB441" s="105"/>
      <c r="AC441" s="105"/>
      <c r="AD441" s="105"/>
      <c r="AE441" s="105"/>
      <c r="AF441" s="105"/>
      <c r="AG441" s="105"/>
      <c r="AH441" s="105"/>
      <c r="AI441" s="105"/>
      <c r="AJ441" s="105"/>
      <c r="AK441" s="105"/>
      <c r="AL441" s="105"/>
      <c r="AM441" s="105"/>
      <c r="AN441" s="105"/>
      <c r="AO441" s="105"/>
      <c r="AP441" s="105"/>
      <c r="AQ441" s="105"/>
      <c r="AR441" s="105"/>
      <c r="AS441" s="105"/>
      <c r="AT441" s="105"/>
    </row>
    <row r="442" spans="1:46" s="7" customFormat="1" x14ac:dyDescent="0.15">
      <c r="A442" s="73" t="s">
        <v>1614</v>
      </c>
      <c r="B442" s="73" t="s">
        <v>1140</v>
      </c>
      <c r="C442" s="73" t="s">
        <v>72</v>
      </c>
      <c r="D442" s="73">
        <v>3.33</v>
      </c>
      <c r="E442" s="73">
        <v>0</v>
      </c>
      <c r="F442" s="73">
        <v>1</v>
      </c>
      <c r="G442" s="73">
        <v>0</v>
      </c>
      <c r="H442" s="73">
        <v>1</v>
      </c>
      <c r="I442" s="73" t="s">
        <v>27</v>
      </c>
      <c r="J442" s="73" t="s">
        <v>1844</v>
      </c>
      <c r="K442" s="73">
        <v>5</v>
      </c>
      <c r="L442" s="73">
        <v>1.8</v>
      </c>
      <c r="M442" s="73">
        <v>3</v>
      </c>
      <c r="N442" s="73">
        <v>0</v>
      </c>
      <c r="O442" s="74" t="s">
        <v>1520</v>
      </c>
      <c r="P442" s="73" t="s">
        <v>27</v>
      </c>
      <c r="Q442" s="73" t="s">
        <v>27</v>
      </c>
      <c r="R442" s="73">
        <v>0</v>
      </c>
      <c r="S442" s="73">
        <v>0</v>
      </c>
      <c r="T442" s="73">
        <v>0</v>
      </c>
      <c r="U442" s="73">
        <v>0</v>
      </c>
      <c r="V442" s="73">
        <v>0</v>
      </c>
      <c r="W442" s="73">
        <v>0</v>
      </c>
      <c r="X442" s="73">
        <v>0</v>
      </c>
    </row>
    <row r="443" spans="1:46" s="105" customFormat="1" x14ac:dyDescent="0.15">
      <c r="A443" s="105" t="s">
        <v>1853</v>
      </c>
      <c r="B443" s="73" t="s">
        <v>1140</v>
      </c>
      <c r="C443" s="105" t="s">
        <v>72</v>
      </c>
      <c r="D443" s="105">
        <v>3.3330000000000002</v>
      </c>
      <c r="E443" s="105">
        <v>0</v>
      </c>
      <c r="F443" s="105">
        <v>1</v>
      </c>
      <c r="G443" s="105">
        <v>0</v>
      </c>
      <c r="H443" s="105">
        <v>1</v>
      </c>
      <c r="I443" s="105" t="s">
        <v>27</v>
      </c>
      <c r="J443" s="105" t="s">
        <v>1833</v>
      </c>
      <c r="K443" s="105">
        <v>5</v>
      </c>
      <c r="L443" s="73">
        <v>0.2</v>
      </c>
      <c r="M443" s="105">
        <v>3</v>
      </c>
      <c r="N443" s="105">
        <v>0</v>
      </c>
      <c r="O443" s="88" t="s">
        <v>1520</v>
      </c>
      <c r="P443" s="105" t="s">
        <v>27</v>
      </c>
      <c r="Q443" s="105" t="s">
        <v>27</v>
      </c>
      <c r="R443" s="105">
        <v>0</v>
      </c>
      <c r="S443" s="105">
        <v>0</v>
      </c>
      <c r="T443" s="105">
        <v>0</v>
      </c>
      <c r="U443" s="105">
        <v>0</v>
      </c>
      <c r="V443" s="105">
        <v>0</v>
      </c>
      <c r="W443" s="105">
        <v>0</v>
      </c>
      <c r="X443" s="105">
        <v>0</v>
      </c>
    </row>
    <row r="444" spans="1:46" s="105" customFormat="1" x14ac:dyDescent="0.15">
      <c r="A444" s="108" t="s">
        <v>1615</v>
      </c>
      <c r="B444" s="108" t="s">
        <v>1141</v>
      </c>
      <c r="C444" s="108" t="s">
        <v>73</v>
      </c>
      <c r="D444" s="108">
        <v>5.2</v>
      </c>
      <c r="E444" s="108">
        <v>0</v>
      </c>
      <c r="F444" s="108">
        <v>1</v>
      </c>
      <c r="G444" s="108">
        <v>0</v>
      </c>
      <c r="H444" s="108">
        <v>1</v>
      </c>
      <c r="I444" s="108" t="s">
        <v>27</v>
      </c>
      <c r="J444" s="108" t="s">
        <v>1142</v>
      </c>
      <c r="K444" s="108">
        <v>5</v>
      </c>
      <c r="L444" s="108">
        <v>0</v>
      </c>
      <c r="M444" s="108">
        <v>1</v>
      </c>
      <c r="N444" s="108">
        <v>0</v>
      </c>
      <c r="O444" s="108" t="s">
        <v>1520</v>
      </c>
      <c r="P444" s="108" t="s">
        <v>27</v>
      </c>
      <c r="Q444" s="108" t="s">
        <v>27</v>
      </c>
      <c r="R444" s="108">
        <v>0</v>
      </c>
      <c r="S444" s="108">
        <v>0</v>
      </c>
      <c r="T444" s="108">
        <v>0</v>
      </c>
      <c r="U444" s="108">
        <v>0</v>
      </c>
      <c r="V444" s="108">
        <v>0</v>
      </c>
      <c r="W444" s="108">
        <v>0</v>
      </c>
      <c r="X444" s="108">
        <v>0</v>
      </c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</row>
    <row r="445" spans="1:46" s="105" customFormat="1" x14ac:dyDescent="0.15">
      <c r="A445" s="105" t="s">
        <v>1607</v>
      </c>
      <c r="B445" s="108" t="s">
        <v>1141</v>
      </c>
      <c r="C445" s="105" t="s">
        <v>73</v>
      </c>
      <c r="D445" s="105">
        <v>5.2</v>
      </c>
      <c r="E445" s="105">
        <v>0</v>
      </c>
      <c r="F445" s="105">
        <v>1</v>
      </c>
      <c r="G445" s="105">
        <v>0</v>
      </c>
      <c r="H445" s="105">
        <v>1</v>
      </c>
      <c r="I445" s="105" t="s">
        <v>27</v>
      </c>
      <c r="J445" s="105" t="s">
        <v>1854</v>
      </c>
      <c r="K445" s="105">
        <v>5</v>
      </c>
      <c r="L445" s="105">
        <v>0</v>
      </c>
      <c r="M445" s="105">
        <v>1</v>
      </c>
      <c r="N445" s="105">
        <v>0</v>
      </c>
      <c r="O445" s="106" t="s">
        <v>27</v>
      </c>
      <c r="P445" s="105" t="s">
        <v>27</v>
      </c>
      <c r="Q445" s="105" t="s">
        <v>27</v>
      </c>
      <c r="R445" s="105">
        <v>0</v>
      </c>
      <c r="S445" s="105">
        <v>0</v>
      </c>
      <c r="T445" s="105">
        <v>0</v>
      </c>
      <c r="U445" s="105">
        <v>0</v>
      </c>
      <c r="V445" s="105">
        <v>0</v>
      </c>
      <c r="W445" s="105">
        <v>0</v>
      </c>
      <c r="X445" s="105">
        <v>0</v>
      </c>
    </row>
    <row r="446" spans="1:46" s="105" customFormat="1" x14ac:dyDescent="0.15">
      <c r="A446" s="108" t="s">
        <v>1616</v>
      </c>
      <c r="B446" s="108" t="s">
        <v>1147</v>
      </c>
      <c r="C446" s="108" t="s">
        <v>1148</v>
      </c>
      <c r="D446" s="108">
        <v>0</v>
      </c>
      <c r="E446" s="108">
        <v>0</v>
      </c>
      <c r="F446" s="108">
        <v>11</v>
      </c>
      <c r="G446" s="108">
        <v>0</v>
      </c>
      <c r="H446" s="108" t="s">
        <v>1148</v>
      </c>
      <c r="I446" s="108" t="s">
        <v>27</v>
      </c>
      <c r="J446" s="108" t="s">
        <v>1151</v>
      </c>
      <c r="K446" s="108">
        <v>3</v>
      </c>
      <c r="L446" s="108">
        <v>0</v>
      </c>
      <c r="M446" s="108">
        <v>1</v>
      </c>
      <c r="N446" s="108">
        <v>4</v>
      </c>
      <c r="O446" s="108" t="s">
        <v>1520</v>
      </c>
      <c r="P446" s="108" t="s">
        <v>27</v>
      </c>
      <c r="Q446" s="108" t="s">
        <v>27</v>
      </c>
      <c r="R446" s="108">
        <v>0</v>
      </c>
      <c r="S446" s="108">
        <v>0</v>
      </c>
      <c r="T446" s="108">
        <v>0</v>
      </c>
      <c r="U446" s="108">
        <v>0</v>
      </c>
      <c r="V446" s="108">
        <v>0</v>
      </c>
      <c r="W446" s="108">
        <v>0</v>
      </c>
      <c r="X446" s="108">
        <v>0</v>
      </c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</row>
    <row r="447" spans="1:46" s="105" customFormat="1" x14ac:dyDescent="0.15">
      <c r="A447" s="105" t="s">
        <v>1608</v>
      </c>
      <c r="B447" s="108" t="s">
        <v>1147</v>
      </c>
      <c r="C447" s="105" t="s">
        <v>27</v>
      </c>
      <c r="D447" s="105">
        <v>0</v>
      </c>
      <c r="E447" s="105">
        <v>0</v>
      </c>
      <c r="F447" s="105">
        <v>11</v>
      </c>
      <c r="G447" s="105">
        <v>0</v>
      </c>
      <c r="H447" s="105">
        <v>0</v>
      </c>
      <c r="I447" s="105" t="s">
        <v>27</v>
      </c>
      <c r="J447" s="105" t="s">
        <v>1610</v>
      </c>
      <c r="K447" s="105">
        <v>5</v>
      </c>
      <c r="L447" s="105">
        <v>0</v>
      </c>
      <c r="M447" s="105">
        <v>2</v>
      </c>
      <c r="N447" s="105">
        <v>1</v>
      </c>
      <c r="O447" s="106" t="s">
        <v>27</v>
      </c>
      <c r="P447" s="105" t="s">
        <v>27</v>
      </c>
      <c r="Q447" s="105" t="s">
        <v>27</v>
      </c>
      <c r="R447" s="105">
        <v>0</v>
      </c>
      <c r="S447" s="105">
        <v>0</v>
      </c>
      <c r="T447" s="105">
        <v>0</v>
      </c>
      <c r="U447" s="105">
        <v>0</v>
      </c>
      <c r="V447" s="105">
        <v>0</v>
      </c>
      <c r="W447" s="105">
        <v>0</v>
      </c>
      <c r="X447" s="105">
        <v>0</v>
      </c>
    </row>
    <row r="448" spans="1:46" s="105" customFormat="1" x14ac:dyDescent="0.15">
      <c r="A448" s="108" t="s">
        <v>1617</v>
      </c>
      <c r="B448" s="108" t="s">
        <v>1149</v>
      </c>
      <c r="C448" s="108" t="s">
        <v>1148</v>
      </c>
      <c r="D448" s="108">
        <v>0</v>
      </c>
      <c r="E448" s="108">
        <v>0</v>
      </c>
      <c r="F448" s="108">
        <v>1</v>
      </c>
      <c r="G448" s="108">
        <v>0</v>
      </c>
      <c r="H448" s="108" t="s">
        <v>1148</v>
      </c>
      <c r="I448" s="108" t="s">
        <v>27</v>
      </c>
      <c r="J448" s="108" t="s">
        <v>1150</v>
      </c>
      <c r="K448" s="108">
        <v>0</v>
      </c>
      <c r="L448" s="108">
        <v>0</v>
      </c>
      <c r="M448" s="108">
        <v>1</v>
      </c>
      <c r="N448" s="108">
        <v>4</v>
      </c>
      <c r="O448" s="108" t="s">
        <v>1520</v>
      </c>
      <c r="P448" s="108" t="s">
        <v>27</v>
      </c>
      <c r="Q448" s="108" t="s">
        <v>27</v>
      </c>
      <c r="R448" s="108">
        <v>0</v>
      </c>
      <c r="S448" s="108">
        <v>0</v>
      </c>
      <c r="T448" s="108">
        <v>0</v>
      </c>
      <c r="U448" s="108">
        <v>0</v>
      </c>
      <c r="V448" s="108">
        <v>0</v>
      </c>
      <c r="W448" s="108">
        <v>0</v>
      </c>
      <c r="X448" s="108">
        <v>0</v>
      </c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</row>
    <row r="449" spans="1:24" s="105" customFormat="1" x14ac:dyDescent="0.15">
      <c r="A449" s="105" t="s">
        <v>1609</v>
      </c>
      <c r="B449" s="108" t="s">
        <v>1149</v>
      </c>
      <c r="C449" s="105" t="s">
        <v>27</v>
      </c>
      <c r="D449" s="105">
        <v>0</v>
      </c>
      <c r="E449" s="105">
        <v>0</v>
      </c>
      <c r="F449" s="105">
        <v>1</v>
      </c>
      <c r="G449" s="105">
        <v>0</v>
      </c>
      <c r="H449" s="105">
        <v>1</v>
      </c>
      <c r="I449" s="105" t="s">
        <v>27</v>
      </c>
      <c r="J449" s="105" t="s">
        <v>1610</v>
      </c>
      <c r="K449" s="105">
        <v>3.5</v>
      </c>
      <c r="L449" s="105">
        <v>0</v>
      </c>
      <c r="M449" s="105">
        <v>2</v>
      </c>
      <c r="N449" s="105">
        <v>1</v>
      </c>
      <c r="O449" s="106" t="s">
        <v>1618</v>
      </c>
      <c r="P449" s="105" t="s">
        <v>27</v>
      </c>
      <c r="Q449" s="105" t="s">
        <v>27</v>
      </c>
      <c r="R449" s="105">
        <v>0</v>
      </c>
      <c r="S449" s="105">
        <v>0</v>
      </c>
      <c r="T449" s="105">
        <v>0</v>
      </c>
      <c r="U449" s="105">
        <v>0</v>
      </c>
      <c r="V449" s="105">
        <v>0</v>
      </c>
      <c r="W449" s="105">
        <v>0</v>
      </c>
      <c r="X449" s="105">
        <v>0</v>
      </c>
    </row>
    <row r="450" spans="1:24" x14ac:dyDescent="0.15">
      <c r="A450" s="87" t="s">
        <v>1152</v>
      </c>
      <c r="B450" s="87" t="s">
        <v>1156</v>
      </c>
      <c r="C450" s="87" t="s">
        <v>71</v>
      </c>
      <c r="D450" s="87">
        <v>1.167</v>
      </c>
      <c r="E450" s="87">
        <v>0</v>
      </c>
      <c r="F450" s="87">
        <v>1</v>
      </c>
      <c r="G450" s="87">
        <v>0</v>
      </c>
      <c r="H450" s="87">
        <v>1</v>
      </c>
      <c r="I450" s="87" t="s">
        <v>27</v>
      </c>
      <c r="J450" s="87" t="s">
        <v>1152</v>
      </c>
      <c r="K450" s="87">
        <v>3</v>
      </c>
      <c r="L450" s="87">
        <v>0</v>
      </c>
      <c r="M450" s="65">
        <v>1</v>
      </c>
      <c r="N450" s="87">
        <v>0</v>
      </c>
      <c r="O450" s="88" t="s">
        <v>1520</v>
      </c>
      <c r="P450" s="87" t="s">
        <v>27</v>
      </c>
      <c r="Q450" s="87" t="s">
        <v>27</v>
      </c>
      <c r="R450" s="87">
        <v>0</v>
      </c>
      <c r="S450" s="87">
        <v>0</v>
      </c>
      <c r="T450" s="87">
        <v>0</v>
      </c>
      <c r="U450" s="87">
        <v>0</v>
      </c>
      <c r="V450" s="87">
        <v>0</v>
      </c>
      <c r="W450" s="87">
        <v>0</v>
      </c>
      <c r="X450" s="87">
        <v>0</v>
      </c>
    </row>
    <row r="451" spans="1:24" x14ac:dyDescent="0.15">
      <c r="A451" s="87" t="s">
        <v>1564</v>
      </c>
      <c r="B451" s="87" t="s">
        <v>1566</v>
      </c>
      <c r="C451" s="87" t="s">
        <v>1545</v>
      </c>
      <c r="D451" s="87">
        <v>1.167</v>
      </c>
      <c r="E451" s="87">
        <v>0</v>
      </c>
      <c r="F451" s="87">
        <v>1</v>
      </c>
      <c r="G451" s="87">
        <v>0</v>
      </c>
      <c r="H451" s="87">
        <v>1</v>
      </c>
      <c r="I451" s="87" t="s">
        <v>27</v>
      </c>
      <c r="J451" s="87" t="s">
        <v>1568</v>
      </c>
      <c r="K451" s="87">
        <v>3</v>
      </c>
      <c r="L451" s="87">
        <v>0</v>
      </c>
      <c r="M451" s="65">
        <v>1</v>
      </c>
      <c r="N451" s="87">
        <v>0</v>
      </c>
      <c r="O451" s="88" t="s">
        <v>1520</v>
      </c>
      <c r="P451" s="87" t="s">
        <v>27</v>
      </c>
      <c r="Q451" s="87" t="s">
        <v>27</v>
      </c>
      <c r="R451" s="87">
        <v>0</v>
      </c>
      <c r="S451" s="87">
        <v>0</v>
      </c>
      <c r="T451" s="87">
        <v>0</v>
      </c>
      <c r="U451" s="87">
        <v>0</v>
      </c>
      <c r="V451" s="87">
        <v>0</v>
      </c>
      <c r="W451" s="87">
        <v>0</v>
      </c>
      <c r="X451" s="87">
        <v>0</v>
      </c>
    </row>
    <row r="452" spans="1:24" x14ac:dyDescent="0.15">
      <c r="A452" s="87" t="s">
        <v>1565</v>
      </c>
      <c r="B452" s="87" t="s">
        <v>1567</v>
      </c>
      <c r="C452" s="87" t="s">
        <v>1546</v>
      </c>
      <c r="D452" s="87">
        <v>1.167</v>
      </c>
      <c r="E452" s="87">
        <v>0</v>
      </c>
      <c r="F452" s="87">
        <v>1</v>
      </c>
      <c r="G452" s="87">
        <v>0</v>
      </c>
      <c r="H452" s="87">
        <v>1</v>
      </c>
      <c r="I452" s="87" t="s">
        <v>27</v>
      </c>
      <c r="J452" s="87" t="s">
        <v>1569</v>
      </c>
      <c r="K452" s="87">
        <v>3</v>
      </c>
      <c r="L452" s="87">
        <v>0</v>
      </c>
      <c r="M452" s="65">
        <v>1</v>
      </c>
      <c r="N452" s="87">
        <v>0</v>
      </c>
      <c r="O452" s="88" t="s">
        <v>1520</v>
      </c>
      <c r="P452" s="87" t="s">
        <v>27</v>
      </c>
      <c r="Q452" s="87" t="s">
        <v>27</v>
      </c>
      <c r="R452" s="87">
        <v>0</v>
      </c>
      <c r="S452" s="87">
        <v>0</v>
      </c>
      <c r="T452" s="87">
        <v>0</v>
      </c>
      <c r="U452" s="87">
        <v>0</v>
      </c>
      <c r="V452" s="87">
        <v>0</v>
      </c>
      <c r="W452" s="87">
        <v>0</v>
      </c>
      <c r="X452" s="87">
        <v>0</v>
      </c>
    </row>
    <row r="453" spans="1:24" x14ac:dyDescent="0.15">
      <c r="A453" s="87" t="s">
        <v>1892</v>
      </c>
      <c r="B453" s="87" t="s">
        <v>1157</v>
      </c>
      <c r="C453" s="87" t="s">
        <v>73</v>
      </c>
      <c r="D453" s="87">
        <v>1.667</v>
      </c>
      <c r="E453" s="87">
        <v>0</v>
      </c>
      <c r="F453" s="87">
        <v>1</v>
      </c>
      <c r="G453" s="87">
        <v>0</v>
      </c>
      <c r="H453" s="87">
        <v>1</v>
      </c>
      <c r="I453" s="87" t="s">
        <v>27</v>
      </c>
      <c r="J453" s="87" t="s">
        <v>1164</v>
      </c>
      <c r="K453" s="87">
        <v>5</v>
      </c>
      <c r="L453" s="87">
        <v>0</v>
      </c>
      <c r="M453" s="65">
        <v>3</v>
      </c>
      <c r="N453" s="87">
        <v>0</v>
      </c>
      <c r="O453" s="88" t="s">
        <v>1520</v>
      </c>
      <c r="P453" s="87" t="s">
        <v>27</v>
      </c>
      <c r="Q453" s="87" t="s">
        <v>27</v>
      </c>
      <c r="R453" s="87">
        <v>0</v>
      </c>
      <c r="S453" s="87">
        <v>0</v>
      </c>
      <c r="T453" s="87">
        <v>0</v>
      </c>
      <c r="U453" s="87">
        <v>0</v>
      </c>
      <c r="V453" s="87">
        <v>0</v>
      </c>
      <c r="W453" s="87">
        <v>0</v>
      </c>
      <c r="X453" s="87">
        <v>0</v>
      </c>
    </row>
    <row r="454" spans="1:24" x14ac:dyDescent="0.15">
      <c r="A454" s="87" t="s">
        <v>1166</v>
      </c>
      <c r="B454" s="87" t="s">
        <v>1158</v>
      </c>
      <c r="C454" s="87" t="s">
        <v>27</v>
      </c>
      <c r="D454" s="87">
        <v>0</v>
      </c>
      <c r="E454" s="87">
        <v>0</v>
      </c>
      <c r="F454" s="87">
        <v>1</v>
      </c>
      <c r="G454" s="87">
        <v>0</v>
      </c>
      <c r="H454" s="87">
        <v>1</v>
      </c>
      <c r="I454" s="87" t="s">
        <v>27</v>
      </c>
      <c r="J454" s="87" t="s">
        <v>1165</v>
      </c>
      <c r="K454" s="87">
        <v>5</v>
      </c>
      <c r="L454" s="87">
        <v>0</v>
      </c>
      <c r="M454" s="65">
        <v>2</v>
      </c>
      <c r="N454" s="87">
        <v>0</v>
      </c>
      <c r="O454" s="88" t="s">
        <v>1520</v>
      </c>
      <c r="P454" s="87" t="s">
        <v>27</v>
      </c>
      <c r="Q454" s="87" t="s">
        <v>27</v>
      </c>
      <c r="R454" s="87">
        <v>0</v>
      </c>
      <c r="S454" s="87">
        <v>0</v>
      </c>
      <c r="T454" s="87">
        <v>0</v>
      </c>
      <c r="U454" s="87">
        <v>0</v>
      </c>
      <c r="V454" s="87">
        <v>0</v>
      </c>
      <c r="W454" s="87">
        <v>0</v>
      </c>
      <c r="X454" s="87">
        <v>0</v>
      </c>
    </row>
    <row r="455" spans="1:24" x14ac:dyDescent="0.15">
      <c r="A455" s="87" t="s">
        <v>1893</v>
      </c>
      <c r="B455" s="87" t="s">
        <v>1159</v>
      </c>
      <c r="C455" s="87" t="s">
        <v>1896</v>
      </c>
      <c r="D455" s="87">
        <v>3.9</v>
      </c>
      <c r="E455" s="87">
        <v>0</v>
      </c>
      <c r="F455" s="87">
        <v>1</v>
      </c>
      <c r="G455" s="87">
        <v>0</v>
      </c>
      <c r="H455" s="87">
        <v>1</v>
      </c>
      <c r="I455" s="87" t="s">
        <v>27</v>
      </c>
      <c r="J455" s="87" t="s">
        <v>1894</v>
      </c>
      <c r="K455" s="87">
        <v>5</v>
      </c>
      <c r="L455" s="87">
        <v>0</v>
      </c>
      <c r="M455" s="65">
        <v>3</v>
      </c>
      <c r="N455" s="87">
        <v>0</v>
      </c>
      <c r="O455" s="88" t="s">
        <v>1520</v>
      </c>
      <c r="P455" s="87" t="s">
        <v>27</v>
      </c>
      <c r="Q455" s="87" t="s">
        <v>27</v>
      </c>
      <c r="R455" s="87">
        <v>0</v>
      </c>
      <c r="S455" s="87">
        <v>0</v>
      </c>
      <c r="T455" s="87">
        <v>0</v>
      </c>
      <c r="U455" s="87">
        <v>0</v>
      </c>
      <c r="V455" s="87">
        <v>0</v>
      </c>
      <c r="W455" s="87">
        <v>0</v>
      </c>
      <c r="X455" s="87">
        <v>0</v>
      </c>
    </row>
    <row r="456" spans="1:24" x14ac:dyDescent="0.15">
      <c r="A456" s="87" t="s">
        <v>1154</v>
      </c>
      <c r="B456" s="87" t="s">
        <v>1159</v>
      </c>
      <c r="C456" s="87" t="s">
        <v>1689</v>
      </c>
      <c r="D456" s="87">
        <v>1.5</v>
      </c>
      <c r="E456" s="87">
        <v>0</v>
      </c>
      <c r="F456" s="87">
        <v>1</v>
      </c>
      <c r="G456" s="87">
        <v>0</v>
      </c>
      <c r="H456" s="87">
        <v>1</v>
      </c>
      <c r="I456" s="87" t="s">
        <v>27</v>
      </c>
      <c r="J456" s="87" t="s">
        <v>1163</v>
      </c>
      <c r="K456" s="87">
        <v>5</v>
      </c>
      <c r="L456" s="87">
        <v>0</v>
      </c>
      <c r="M456" s="65">
        <v>3</v>
      </c>
      <c r="N456" s="87">
        <v>0</v>
      </c>
      <c r="O456" s="88" t="s">
        <v>1520</v>
      </c>
      <c r="P456" s="87" t="s">
        <v>27</v>
      </c>
      <c r="Q456" s="87" t="s">
        <v>27</v>
      </c>
      <c r="R456" s="87">
        <v>0</v>
      </c>
      <c r="S456" s="87">
        <v>0</v>
      </c>
      <c r="T456" s="87">
        <v>0</v>
      </c>
      <c r="U456" s="87">
        <v>0</v>
      </c>
      <c r="V456" s="87">
        <v>0</v>
      </c>
      <c r="W456" s="87">
        <v>0</v>
      </c>
      <c r="X456" s="87">
        <v>0</v>
      </c>
    </row>
    <row r="457" spans="1:24" x14ac:dyDescent="0.15">
      <c r="A457" s="87" t="s">
        <v>1153</v>
      </c>
      <c r="B457" s="87" t="s">
        <v>1160</v>
      </c>
      <c r="C457" s="87" t="s">
        <v>1897</v>
      </c>
      <c r="D457" s="87">
        <v>1.5</v>
      </c>
      <c r="E457" s="87">
        <v>0</v>
      </c>
      <c r="F457" s="87">
        <v>1</v>
      </c>
      <c r="G457" s="87">
        <v>0</v>
      </c>
      <c r="H457" s="87">
        <v>1</v>
      </c>
      <c r="I457" s="87" t="s">
        <v>27</v>
      </c>
      <c r="J457" s="87" t="s">
        <v>1895</v>
      </c>
      <c r="K457" s="87">
        <v>5</v>
      </c>
      <c r="L457" s="87">
        <v>0</v>
      </c>
      <c r="M457" s="65">
        <v>1</v>
      </c>
      <c r="N457" s="87">
        <v>0</v>
      </c>
      <c r="O457" s="88" t="s">
        <v>1520</v>
      </c>
      <c r="P457" s="87" t="s">
        <v>27</v>
      </c>
      <c r="Q457" s="87" t="s">
        <v>27</v>
      </c>
      <c r="R457" s="87">
        <v>0</v>
      </c>
      <c r="S457" s="87">
        <v>0</v>
      </c>
      <c r="T457" s="87">
        <v>0</v>
      </c>
      <c r="U457" s="87">
        <v>0</v>
      </c>
      <c r="V457" s="87">
        <v>0</v>
      </c>
      <c r="W457" s="87">
        <v>0</v>
      </c>
      <c r="X457" s="87">
        <v>0</v>
      </c>
    </row>
    <row r="458" spans="1:24" x14ac:dyDescent="0.15">
      <c r="A458" s="87" t="s">
        <v>1155</v>
      </c>
      <c r="B458" s="87" t="s">
        <v>1161</v>
      </c>
      <c r="C458" s="87" t="s">
        <v>27</v>
      </c>
      <c r="D458" s="87">
        <v>0</v>
      </c>
      <c r="E458" s="87">
        <v>0</v>
      </c>
      <c r="F458" s="87">
        <v>1</v>
      </c>
      <c r="G458" s="87">
        <v>0</v>
      </c>
      <c r="H458" s="87">
        <v>1</v>
      </c>
      <c r="I458" s="87" t="s">
        <v>27</v>
      </c>
      <c r="J458" s="87" t="s">
        <v>1162</v>
      </c>
      <c r="K458" s="87">
        <v>3</v>
      </c>
      <c r="L458" s="87">
        <v>0</v>
      </c>
      <c r="M458" s="65">
        <v>2</v>
      </c>
      <c r="N458" s="87">
        <v>4</v>
      </c>
      <c r="O458" s="88" t="s">
        <v>1520</v>
      </c>
      <c r="P458" s="87" t="s">
        <v>27</v>
      </c>
      <c r="Q458" s="87" t="s">
        <v>27</v>
      </c>
      <c r="R458" s="87">
        <v>0</v>
      </c>
      <c r="S458" s="87">
        <v>0</v>
      </c>
      <c r="T458" s="87">
        <v>0</v>
      </c>
      <c r="U458" s="87">
        <v>0</v>
      </c>
      <c r="V458" s="87">
        <v>0</v>
      </c>
      <c r="W458" s="87">
        <v>0</v>
      </c>
      <c r="X458" s="87">
        <v>0</v>
      </c>
    </row>
    <row r="459" spans="1:24" x14ac:dyDescent="0.15">
      <c r="A459" s="53" t="s">
        <v>1263</v>
      </c>
      <c r="B459" s="53" t="s">
        <v>1264</v>
      </c>
      <c r="C459" s="53" t="s">
        <v>1265</v>
      </c>
      <c r="D459" s="53">
        <v>1.4</v>
      </c>
      <c r="E459" s="87">
        <v>0</v>
      </c>
      <c r="F459" s="53">
        <v>1</v>
      </c>
      <c r="G459" s="87">
        <v>0</v>
      </c>
      <c r="H459" s="53">
        <v>1</v>
      </c>
      <c r="I459" s="59" t="s">
        <v>1266</v>
      </c>
      <c r="J459" s="53" t="s">
        <v>1267</v>
      </c>
      <c r="K459" s="53">
        <v>1</v>
      </c>
      <c r="L459" s="53">
        <v>0</v>
      </c>
      <c r="M459" s="92">
        <v>1</v>
      </c>
      <c r="N459" s="53">
        <v>0</v>
      </c>
      <c r="O459" s="93" t="s">
        <v>1520</v>
      </c>
      <c r="P459" s="93" t="s">
        <v>27</v>
      </c>
      <c r="Q459" s="93" t="s">
        <v>27</v>
      </c>
      <c r="R459" s="53">
        <v>0</v>
      </c>
      <c r="S459" s="53">
        <v>0</v>
      </c>
      <c r="T459" s="53">
        <v>0</v>
      </c>
      <c r="U459" s="53">
        <v>0</v>
      </c>
      <c r="V459" s="53">
        <v>0</v>
      </c>
      <c r="W459" s="53">
        <v>0</v>
      </c>
      <c r="X459" s="53">
        <v>0</v>
      </c>
    </row>
    <row r="460" spans="1:24" x14ac:dyDescent="0.15">
      <c r="A460" s="53" t="s">
        <v>1268</v>
      </c>
      <c r="B460" s="53" t="s">
        <v>1269</v>
      </c>
      <c r="C460" s="94" t="s">
        <v>1270</v>
      </c>
      <c r="D460" s="94">
        <v>1.667</v>
      </c>
      <c r="E460" s="87">
        <v>0</v>
      </c>
      <c r="F460" s="53">
        <v>1</v>
      </c>
      <c r="G460" s="87">
        <v>0</v>
      </c>
      <c r="H460" s="53">
        <v>1</v>
      </c>
      <c r="I460" s="59" t="s">
        <v>1271</v>
      </c>
      <c r="J460" s="53" t="s">
        <v>1274</v>
      </c>
      <c r="K460" s="94">
        <v>1.667</v>
      </c>
      <c r="L460" s="53">
        <v>0</v>
      </c>
      <c r="M460" s="92">
        <v>3</v>
      </c>
      <c r="N460" s="53">
        <v>0</v>
      </c>
      <c r="O460" s="93" t="s">
        <v>1520</v>
      </c>
      <c r="P460" s="93" t="s">
        <v>27</v>
      </c>
      <c r="Q460" s="93" t="s">
        <v>27</v>
      </c>
      <c r="R460" s="53">
        <v>0</v>
      </c>
      <c r="S460" s="53">
        <v>0</v>
      </c>
      <c r="T460" s="53">
        <v>0</v>
      </c>
      <c r="U460" s="53">
        <v>0</v>
      </c>
      <c r="V460" s="53">
        <v>0</v>
      </c>
      <c r="W460" s="53">
        <v>0</v>
      </c>
      <c r="X460" s="53">
        <v>0</v>
      </c>
    </row>
    <row r="461" spans="1:24" x14ac:dyDescent="0.15">
      <c r="A461" s="53" t="s">
        <v>1272</v>
      </c>
      <c r="B461" s="53" t="s">
        <v>1273</v>
      </c>
      <c r="C461" s="94" t="s">
        <v>1266</v>
      </c>
      <c r="D461" s="94">
        <v>6</v>
      </c>
      <c r="E461" s="87">
        <v>0</v>
      </c>
      <c r="F461" s="53">
        <v>1</v>
      </c>
      <c r="G461" s="87">
        <v>0</v>
      </c>
      <c r="H461" s="53">
        <v>1</v>
      </c>
      <c r="I461" s="59" t="s">
        <v>1266</v>
      </c>
      <c r="J461" s="53" t="s">
        <v>1758</v>
      </c>
      <c r="K461" s="53">
        <v>6</v>
      </c>
      <c r="L461" s="53">
        <v>0</v>
      </c>
      <c r="M461" s="92">
        <v>2</v>
      </c>
      <c r="N461" s="53">
        <v>0</v>
      </c>
      <c r="O461" s="93" t="s">
        <v>1520</v>
      </c>
      <c r="P461" s="93" t="s">
        <v>27</v>
      </c>
      <c r="Q461" s="93" t="s">
        <v>27</v>
      </c>
      <c r="R461" s="53">
        <v>0</v>
      </c>
      <c r="S461" s="53">
        <v>0</v>
      </c>
      <c r="T461" s="53">
        <v>0</v>
      </c>
      <c r="U461" s="53">
        <v>0</v>
      </c>
      <c r="V461" s="53">
        <v>0</v>
      </c>
      <c r="W461" s="53">
        <v>0</v>
      </c>
      <c r="X461" s="53">
        <v>0</v>
      </c>
    </row>
    <row r="462" spans="1:24" x14ac:dyDescent="0.15">
      <c r="A462" s="53" t="s">
        <v>1876</v>
      </c>
      <c r="B462" s="53" t="s">
        <v>1275</v>
      </c>
      <c r="C462" s="53" t="s">
        <v>1276</v>
      </c>
      <c r="D462" s="53">
        <v>0</v>
      </c>
      <c r="E462" s="87">
        <v>0</v>
      </c>
      <c r="F462" s="53">
        <v>1</v>
      </c>
      <c r="G462" s="87">
        <v>0</v>
      </c>
      <c r="H462" s="53">
        <v>1</v>
      </c>
      <c r="I462" s="59" t="s">
        <v>1276</v>
      </c>
      <c r="J462" s="53" t="s">
        <v>1276</v>
      </c>
      <c r="K462" s="53">
        <v>3.5</v>
      </c>
      <c r="L462" s="53">
        <v>0</v>
      </c>
      <c r="M462" s="92">
        <v>2</v>
      </c>
      <c r="N462" s="53">
        <v>0</v>
      </c>
      <c r="O462" s="93" t="s">
        <v>1520</v>
      </c>
      <c r="P462" s="93" t="s">
        <v>27</v>
      </c>
      <c r="Q462" s="93" t="s">
        <v>27</v>
      </c>
      <c r="R462" s="53">
        <v>0</v>
      </c>
      <c r="S462" s="53">
        <v>0</v>
      </c>
      <c r="T462" s="53">
        <v>0</v>
      </c>
      <c r="U462" s="53">
        <v>0</v>
      </c>
      <c r="V462" s="53">
        <v>0</v>
      </c>
      <c r="W462" s="53">
        <v>0</v>
      </c>
      <c r="X462" s="53">
        <v>0</v>
      </c>
    </row>
    <row r="463" spans="1:24" x14ac:dyDescent="0.15">
      <c r="A463" s="53" t="s">
        <v>1899</v>
      </c>
      <c r="B463" s="53" t="s">
        <v>1277</v>
      </c>
      <c r="C463" s="53" t="s">
        <v>1278</v>
      </c>
      <c r="D463" s="53">
        <v>1.4</v>
      </c>
      <c r="E463" s="87">
        <v>0</v>
      </c>
      <c r="F463" s="53">
        <v>1</v>
      </c>
      <c r="G463" s="87">
        <v>0</v>
      </c>
      <c r="H463" s="53">
        <v>1</v>
      </c>
      <c r="I463" s="59" t="s">
        <v>1276</v>
      </c>
      <c r="J463" s="53" t="s">
        <v>1898</v>
      </c>
      <c r="K463" s="53">
        <v>3.5</v>
      </c>
      <c r="L463" s="53">
        <v>0</v>
      </c>
      <c r="M463" s="92">
        <v>2</v>
      </c>
      <c r="N463" s="53">
        <v>8</v>
      </c>
      <c r="O463" s="95" t="s">
        <v>1520</v>
      </c>
      <c r="P463" s="93" t="s">
        <v>27</v>
      </c>
      <c r="Q463" s="93" t="s">
        <v>27</v>
      </c>
      <c r="R463" s="53">
        <v>0</v>
      </c>
      <c r="S463" s="53">
        <v>0</v>
      </c>
      <c r="T463" s="53">
        <v>0</v>
      </c>
      <c r="U463" s="53">
        <v>0</v>
      </c>
      <c r="V463" s="53">
        <v>0</v>
      </c>
      <c r="W463" s="53">
        <v>0</v>
      </c>
      <c r="X463" s="53">
        <v>0</v>
      </c>
    </row>
    <row r="464" spans="1:24" x14ac:dyDescent="0.15">
      <c r="A464" s="53" t="s">
        <v>1279</v>
      </c>
      <c r="B464" s="53" t="s">
        <v>1280</v>
      </c>
      <c r="C464" s="53" t="s">
        <v>1276</v>
      </c>
      <c r="D464" s="53">
        <v>0</v>
      </c>
      <c r="E464" s="87">
        <v>0</v>
      </c>
      <c r="F464" s="53">
        <v>11</v>
      </c>
      <c r="G464" s="87">
        <v>0</v>
      </c>
      <c r="H464" s="53" t="s">
        <v>1276</v>
      </c>
      <c r="I464" s="59" t="s">
        <v>1276</v>
      </c>
      <c r="J464" s="53" t="s">
        <v>1281</v>
      </c>
      <c r="K464" s="53">
        <v>3.5</v>
      </c>
      <c r="L464" s="53">
        <v>0</v>
      </c>
      <c r="M464" s="92">
        <v>1</v>
      </c>
      <c r="N464" s="53">
        <v>0</v>
      </c>
      <c r="O464" s="93" t="s">
        <v>1877</v>
      </c>
      <c r="P464" s="93" t="s">
        <v>27</v>
      </c>
      <c r="Q464" s="93" t="s">
        <v>27</v>
      </c>
      <c r="R464" s="53">
        <v>0</v>
      </c>
      <c r="S464" s="53">
        <v>0</v>
      </c>
      <c r="T464" s="53">
        <v>0</v>
      </c>
      <c r="U464" s="53">
        <v>0</v>
      </c>
      <c r="V464" s="53">
        <v>0</v>
      </c>
      <c r="W464" s="53">
        <v>0</v>
      </c>
      <c r="X464" s="53">
        <v>0</v>
      </c>
    </row>
    <row r="465" spans="1:24" x14ac:dyDescent="0.15">
      <c r="A465" s="53" t="s">
        <v>1282</v>
      </c>
      <c r="B465" s="53" t="s">
        <v>1283</v>
      </c>
      <c r="C465" s="53" t="s">
        <v>1284</v>
      </c>
      <c r="D465" s="53">
        <v>1.5669999999999999</v>
      </c>
      <c r="E465" s="87">
        <v>0</v>
      </c>
      <c r="F465" s="53">
        <v>1</v>
      </c>
      <c r="G465" s="87">
        <v>0</v>
      </c>
      <c r="H465" s="53">
        <v>1</v>
      </c>
      <c r="I465" s="59" t="s">
        <v>1276</v>
      </c>
      <c r="J465" s="53" t="s">
        <v>1366</v>
      </c>
      <c r="K465" s="53">
        <v>3.5</v>
      </c>
      <c r="L465" s="53">
        <v>0</v>
      </c>
      <c r="M465" s="92">
        <v>1</v>
      </c>
      <c r="N465" s="53">
        <v>0</v>
      </c>
      <c r="O465" s="93" t="s">
        <v>1285</v>
      </c>
      <c r="P465" s="93" t="s">
        <v>27</v>
      </c>
      <c r="Q465" s="93" t="s">
        <v>27</v>
      </c>
      <c r="R465" s="53">
        <v>0</v>
      </c>
      <c r="S465" s="53">
        <v>0</v>
      </c>
      <c r="T465" s="53">
        <v>0</v>
      </c>
      <c r="U465" s="53">
        <v>0</v>
      </c>
      <c r="V465" s="53">
        <v>0</v>
      </c>
      <c r="W465" s="53">
        <v>0</v>
      </c>
      <c r="X465" s="53">
        <v>0</v>
      </c>
    </row>
    <row r="466" spans="1:24" x14ac:dyDescent="0.15">
      <c r="A466" s="96" t="s">
        <v>1167</v>
      </c>
      <c r="B466" s="87" t="s">
        <v>1168</v>
      </c>
      <c r="C466" s="85" t="s">
        <v>71</v>
      </c>
      <c r="D466" s="87">
        <v>1</v>
      </c>
      <c r="E466" s="87">
        <v>0</v>
      </c>
      <c r="F466" s="87">
        <v>2</v>
      </c>
      <c r="G466" s="87">
        <v>17</v>
      </c>
      <c r="H466" s="87">
        <v>1</v>
      </c>
      <c r="I466" s="87" t="s">
        <v>27</v>
      </c>
      <c r="J466" s="59" t="s">
        <v>1167</v>
      </c>
      <c r="K466" s="87">
        <v>5</v>
      </c>
      <c r="L466" s="87">
        <v>0.5</v>
      </c>
      <c r="M466" s="65">
        <v>1</v>
      </c>
      <c r="N466" s="87">
        <v>1</v>
      </c>
      <c r="O466" s="45" t="s">
        <v>1169</v>
      </c>
      <c r="P466" s="87" t="s">
        <v>27</v>
      </c>
      <c r="Q466" s="87" t="s">
        <v>27</v>
      </c>
      <c r="R466" s="87">
        <v>0</v>
      </c>
      <c r="S466" s="87">
        <v>0</v>
      </c>
      <c r="T466" s="87">
        <v>0</v>
      </c>
      <c r="U466" s="87">
        <v>0</v>
      </c>
      <c r="V466" s="87">
        <v>0</v>
      </c>
      <c r="W466" s="87">
        <v>0</v>
      </c>
      <c r="X466" s="87">
        <v>0</v>
      </c>
    </row>
    <row r="467" spans="1:24" x14ac:dyDescent="0.15">
      <c r="A467" s="96" t="s">
        <v>1588</v>
      </c>
      <c r="B467" s="87" t="s">
        <v>1168</v>
      </c>
      <c r="C467" s="85" t="s">
        <v>71</v>
      </c>
      <c r="D467" s="87">
        <v>1</v>
      </c>
      <c r="E467" s="87">
        <v>0</v>
      </c>
      <c r="F467" s="87">
        <v>2</v>
      </c>
      <c r="G467" s="87">
        <v>17</v>
      </c>
      <c r="H467" s="87">
        <v>1</v>
      </c>
      <c r="I467" s="87" t="s">
        <v>27</v>
      </c>
      <c r="J467" s="59" t="s">
        <v>1167</v>
      </c>
      <c r="K467" s="87">
        <v>5</v>
      </c>
      <c r="L467" s="87">
        <v>0.5</v>
      </c>
      <c r="M467" s="65">
        <v>1</v>
      </c>
      <c r="N467" s="87">
        <v>1</v>
      </c>
      <c r="O467" s="45" t="s">
        <v>344</v>
      </c>
      <c r="P467" s="87" t="s">
        <v>27</v>
      </c>
      <c r="Q467" s="87" t="s">
        <v>27</v>
      </c>
      <c r="R467" s="87">
        <v>0</v>
      </c>
      <c r="S467" s="87">
        <v>0</v>
      </c>
      <c r="T467" s="87">
        <v>0</v>
      </c>
      <c r="U467" s="87">
        <v>0</v>
      </c>
      <c r="V467" s="87">
        <v>0</v>
      </c>
      <c r="W467" s="87">
        <v>0</v>
      </c>
      <c r="X467" s="87">
        <v>0</v>
      </c>
    </row>
    <row r="468" spans="1:24" x14ac:dyDescent="0.15">
      <c r="A468" s="96" t="s">
        <v>1589</v>
      </c>
      <c r="B468" s="87" t="s">
        <v>1168</v>
      </c>
      <c r="C468" s="85" t="s">
        <v>71</v>
      </c>
      <c r="D468" s="87">
        <v>1</v>
      </c>
      <c r="E468" s="87">
        <v>0</v>
      </c>
      <c r="F468" s="87">
        <v>2</v>
      </c>
      <c r="G468" s="87">
        <v>17</v>
      </c>
      <c r="H468" s="87">
        <v>1</v>
      </c>
      <c r="I468" s="87" t="s">
        <v>27</v>
      </c>
      <c r="J468" s="59" t="s">
        <v>1167</v>
      </c>
      <c r="K468" s="87">
        <v>5</v>
      </c>
      <c r="L468" s="87">
        <v>0.5</v>
      </c>
      <c r="M468" s="65">
        <v>1</v>
      </c>
      <c r="N468" s="87">
        <v>1</v>
      </c>
      <c r="O468" s="45" t="s">
        <v>344</v>
      </c>
      <c r="P468" s="87" t="s">
        <v>27</v>
      </c>
      <c r="Q468" s="87" t="s">
        <v>27</v>
      </c>
      <c r="R468" s="87">
        <v>0</v>
      </c>
      <c r="S468" s="87">
        <v>0</v>
      </c>
      <c r="T468" s="87">
        <v>0</v>
      </c>
      <c r="U468" s="87">
        <v>0</v>
      </c>
      <c r="V468" s="87">
        <v>0</v>
      </c>
      <c r="W468" s="87">
        <v>0</v>
      </c>
      <c r="X468" s="87">
        <v>0</v>
      </c>
    </row>
    <row r="469" spans="1:24" x14ac:dyDescent="0.15">
      <c r="A469" s="96" t="s">
        <v>1733</v>
      </c>
      <c r="B469" s="87" t="s">
        <v>1170</v>
      </c>
      <c r="C469" s="85" t="s">
        <v>73</v>
      </c>
      <c r="D469" s="87">
        <v>1.667</v>
      </c>
      <c r="E469" s="87">
        <v>0</v>
      </c>
      <c r="F469" s="87">
        <v>1</v>
      </c>
      <c r="G469" s="87">
        <v>0</v>
      </c>
      <c r="H469" s="87">
        <v>1</v>
      </c>
      <c r="I469" s="87" t="s">
        <v>27</v>
      </c>
      <c r="J469" s="59" t="s">
        <v>1368</v>
      </c>
      <c r="K469" s="87">
        <v>3</v>
      </c>
      <c r="L469" s="87">
        <v>0</v>
      </c>
      <c r="M469" s="65">
        <v>2</v>
      </c>
      <c r="N469" s="87">
        <v>1</v>
      </c>
      <c r="O469" s="88" t="s">
        <v>1520</v>
      </c>
      <c r="P469" s="87" t="s">
        <v>27</v>
      </c>
      <c r="Q469" s="87" t="s">
        <v>27</v>
      </c>
      <c r="R469" s="87">
        <v>0</v>
      </c>
      <c r="S469" s="87">
        <v>0</v>
      </c>
      <c r="T469" s="87">
        <v>0</v>
      </c>
      <c r="U469" s="87">
        <v>0</v>
      </c>
      <c r="V469" s="87">
        <v>0</v>
      </c>
      <c r="W469" s="87">
        <v>0</v>
      </c>
      <c r="X469" s="87">
        <v>0</v>
      </c>
    </row>
    <row r="470" spans="1:24" x14ac:dyDescent="0.15">
      <c r="A470" s="96" t="s">
        <v>1171</v>
      </c>
      <c r="B470" s="87" t="s">
        <v>1170</v>
      </c>
      <c r="C470" s="85" t="s">
        <v>1172</v>
      </c>
      <c r="D470" s="87">
        <v>0</v>
      </c>
      <c r="E470" s="87">
        <v>0</v>
      </c>
      <c r="F470" s="87">
        <v>1</v>
      </c>
      <c r="G470" s="87">
        <v>0</v>
      </c>
      <c r="H470" s="87">
        <v>1</v>
      </c>
      <c r="I470" s="87" t="s">
        <v>27</v>
      </c>
      <c r="J470" s="59" t="s">
        <v>1173</v>
      </c>
      <c r="K470" s="87">
        <v>3</v>
      </c>
      <c r="L470" s="87">
        <v>0</v>
      </c>
      <c r="M470" s="65">
        <v>2</v>
      </c>
      <c r="N470" s="87">
        <v>1</v>
      </c>
      <c r="O470" s="88" t="s">
        <v>1520</v>
      </c>
      <c r="P470" s="87" t="s">
        <v>27</v>
      </c>
      <c r="Q470" s="87" t="s">
        <v>27</v>
      </c>
      <c r="R470" s="87">
        <v>0</v>
      </c>
      <c r="S470" s="87">
        <v>0</v>
      </c>
      <c r="T470" s="87">
        <v>0</v>
      </c>
      <c r="U470" s="87">
        <v>0</v>
      </c>
      <c r="V470" s="87">
        <v>0</v>
      </c>
      <c r="W470" s="87">
        <v>0</v>
      </c>
      <c r="X470" s="87">
        <v>0</v>
      </c>
    </row>
    <row r="471" spans="1:24" x14ac:dyDescent="0.15">
      <c r="A471" s="96" t="s">
        <v>1174</v>
      </c>
      <c r="B471" s="87" t="s">
        <v>1175</v>
      </c>
      <c r="C471" s="85" t="s">
        <v>72</v>
      </c>
      <c r="D471" s="87">
        <v>2.63</v>
      </c>
      <c r="E471" s="87">
        <v>0</v>
      </c>
      <c r="F471" s="87">
        <v>1</v>
      </c>
      <c r="G471" s="87">
        <v>0</v>
      </c>
      <c r="H471" s="87">
        <v>1</v>
      </c>
      <c r="I471" s="87" t="s">
        <v>27</v>
      </c>
      <c r="J471" s="59" t="s">
        <v>1176</v>
      </c>
      <c r="K471" s="87">
        <v>3</v>
      </c>
      <c r="L471" s="87">
        <v>0</v>
      </c>
      <c r="M471" s="65">
        <v>2</v>
      </c>
      <c r="N471" s="87">
        <v>0</v>
      </c>
      <c r="O471" s="88" t="s">
        <v>1520</v>
      </c>
      <c r="P471" s="87" t="s">
        <v>27</v>
      </c>
      <c r="Q471" s="87" t="s">
        <v>27</v>
      </c>
      <c r="R471" s="87">
        <v>0</v>
      </c>
      <c r="S471" s="87">
        <v>0</v>
      </c>
      <c r="T471" s="87">
        <v>0</v>
      </c>
      <c r="U471" s="87">
        <v>0</v>
      </c>
      <c r="V471" s="87">
        <v>0</v>
      </c>
      <c r="W471" s="87">
        <v>0</v>
      </c>
      <c r="X471" s="87">
        <v>0</v>
      </c>
    </row>
    <row r="472" spans="1:24" x14ac:dyDescent="0.15">
      <c r="A472" s="96" t="s">
        <v>1177</v>
      </c>
      <c r="B472" s="87" t="s">
        <v>1178</v>
      </c>
      <c r="C472" s="85" t="s">
        <v>1369</v>
      </c>
      <c r="D472" s="87">
        <v>0</v>
      </c>
      <c r="E472" s="87">
        <v>0</v>
      </c>
      <c r="F472" s="87">
        <v>1</v>
      </c>
      <c r="G472" s="87">
        <v>0</v>
      </c>
      <c r="H472" s="87">
        <v>1</v>
      </c>
      <c r="I472" s="87" t="s">
        <v>27</v>
      </c>
      <c r="J472" s="59" t="s">
        <v>1365</v>
      </c>
      <c r="K472" s="87">
        <v>5</v>
      </c>
      <c r="L472" s="87">
        <v>1.5</v>
      </c>
      <c r="M472" s="65">
        <v>2</v>
      </c>
      <c r="N472" s="87">
        <v>2</v>
      </c>
      <c r="O472" s="88" t="s">
        <v>1370</v>
      </c>
      <c r="P472" s="87" t="s">
        <v>27</v>
      </c>
      <c r="Q472" s="87" t="s">
        <v>27</v>
      </c>
      <c r="R472" s="87">
        <v>0</v>
      </c>
      <c r="S472" s="87">
        <v>0</v>
      </c>
      <c r="T472" s="87">
        <v>0</v>
      </c>
      <c r="U472" s="87">
        <v>0</v>
      </c>
      <c r="V472" s="87">
        <v>0</v>
      </c>
      <c r="W472" s="87">
        <v>0</v>
      </c>
      <c r="X472" s="87">
        <v>0</v>
      </c>
    </row>
    <row r="473" spans="1:24" x14ac:dyDescent="0.15">
      <c r="A473" s="96" t="s">
        <v>1179</v>
      </c>
      <c r="B473" s="87" t="s">
        <v>1180</v>
      </c>
      <c r="C473" s="85" t="s">
        <v>73</v>
      </c>
      <c r="D473" s="87">
        <v>4.03</v>
      </c>
      <c r="E473" s="87">
        <v>0</v>
      </c>
      <c r="F473" s="87">
        <v>1</v>
      </c>
      <c r="G473" s="87">
        <v>0</v>
      </c>
      <c r="H473" s="87">
        <v>1</v>
      </c>
      <c r="I473" s="87" t="s">
        <v>27</v>
      </c>
      <c r="J473" s="59" t="s">
        <v>1181</v>
      </c>
      <c r="K473" s="87">
        <v>4.5999999999999996</v>
      </c>
      <c r="L473" s="87">
        <v>0</v>
      </c>
      <c r="M473" s="65">
        <v>2</v>
      </c>
      <c r="N473" s="87">
        <v>0</v>
      </c>
      <c r="O473" s="88" t="s">
        <v>1520</v>
      </c>
      <c r="P473" s="87" t="s">
        <v>27</v>
      </c>
      <c r="Q473" s="87" t="s">
        <v>27</v>
      </c>
      <c r="R473" s="87">
        <v>0</v>
      </c>
      <c r="S473" s="87">
        <v>0</v>
      </c>
      <c r="T473" s="87">
        <v>0</v>
      </c>
      <c r="U473" s="87">
        <v>0</v>
      </c>
      <c r="V473" s="87">
        <v>0</v>
      </c>
      <c r="W473" s="87">
        <v>0</v>
      </c>
      <c r="X473" s="87">
        <v>0</v>
      </c>
    </row>
    <row r="474" spans="1:24" x14ac:dyDescent="0.15">
      <c r="A474" s="96" t="s">
        <v>1182</v>
      </c>
      <c r="B474" s="87" t="s">
        <v>1183</v>
      </c>
      <c r="C474" s="85" t="s">
        <v>1369</v>
      </c>
      <c r="D474" s="87">
        <v>0</v>
      </c>
      <c r="E474" s="87">
        <v>0</v>
      </c>
      <c r="F474" s="87">
        <v>1</v>
      </c>
      <c r="G474" s="87">
        <v>0</v>
      </c>
      <c r="H474" s="87">
        <v>1</v>
      </c>
      <c r="I474" s="87" t="s">
        <v>27</v>
      </c>
      <c r="J474" s="59" t="s">
        <v>1367</v>
      </c>
      <c r="K474" s="87">
        <v>5</v>
      </c>
      <c r="L474" s="87">
        <v>0</v>
      </c>
      <c r="M474" s="65">
        <v>2</v>
      </c>
      <c r="N474" s="87">
        <v>2</v>
      </c>
      <c r="O474" s="88" t="s">
        <v>1370</v>
      </c>
      <c r="P474" s="87" t="s">
        <v>27</v>
      </c>
      <c r="Q474" s="87" t="s">
        <v>27</v>
      </c>
      <c r="R474" s="87">
        <v>0</v>
      </c>
      <c r="S474" s="87">
        <v>0</v>
      </c>
      <c r="T474" s="87">
        <v>0</v>
      </c>
      <c r="U474" s="87">
        <v>0</v>
      </c>
      <c r="V474" s="87">
        <v>0</v>
      </c>
      <c r="W474" s="87">
        <v>0</v>
      </c>
      <c r="X474" s="87">
        <v>0</v>
      </c>
    </row>
    <row r="475" spans="1:24" x14ac:dyDescent="0.15">
      <c r="A475" s="85" t="s">
        <v>1213</v>
      </c>
      <c r="B475" s="85" t="s">
        <v>1214</v>
      </c>
      <c r="C475" s="97" t="s">
        <v>1215</v>
      </c>
      <c r="D475" s="85">
        <v>2.0670000000000002</v>
      </c>
      <c r="E475" s="85">
        <v>0</v>
      </c>
      <c r="F475" s="85">
        <v>1</v>
      </c>
      <c r="G475" s="85">
        <v>1</v>
      </c>
      <c r="H475" s="85">
        <v>1</v>
      </c>
      <c r="I475" s="85" t="s">
        <v>1216</v>
      </c>
      <c r="J475" s="85" t="s">
        <v>1213</v>
      </c>
      <c r="K475" s="85">
        <v>5</v>
      </c>
      <c r="L475" s="85">
        <v>0.3</v>
      </c>
      <c r="M475" s="85">
        <v>1</v>
      </c>
      <c r="N475" s="85">
        <v>0</v>
      </c>
      <c r="O475" s="85" t="s">
        <v>1520</v>
      </c>
      <c r="P475" s="85" t="s">
        <v>1216</v>
      </c>
      <c r="Q475" s="85" t="s">
        <v>1216</v>
      </c>
      <c r="R475" s="85">
        <v>0</v>
      </c>
      <c r="S475" s="85">
        <v>0</v>
      </c>
      <c r="T475" s="85">
        <v>0</v>
      </c>
      <c r="U475" s="85">
        <v>0</v>
      </c>
      <c r="V475" s="85">
        <v>0</v>
      </c>
      <c r="W475" s="85">
        <v>0</v>
      </c>
      <c r="X475" s="85">
        <v>0</v>
      </c>
    </row>
    <row r="476" spans="1:24" x14ac:dyDescent="0.15">
      <c r="A476" s="85" t="s">
        <v>1217</v>
      </c>
      <c r="B476" s="85" t="s">
        <v>1218</v>
      </c>
      <c r="C476" s="97" t="s">
        <v>1215</v>
      </c>
      <c r="D476" s="85">
        <v>2.0670000000000002</v>
      </c>
      <c r="E476" s="85">
        <v>0</v>
      </c>
      <c r="F476" s="85">
        <v>2</v>
      </c>
      <c r="G476" s="85">
        <v>17</v>
      </c>
      <c r="H476" s="85">
        <v>1</v>
      </c>
      <c r="I476" s="85" t="s">
        <v>27</v>
      </c>
      <c r="J476" s="85" t="s">
        <v>1184</v>
      </c>
      <c r="K476" s="85">
        <v>5</v>
      </c>
      <c r="L476" s="85">
        <v>0.8</v>
      </c>
      <c r="M476" s="85">
        <v>1</v>
      </c>
      <c r="N476" s="85">
        <v>6</v>
      </c>
      <c r="O476" s="86" t="s">
        <v>1520</v>
      </c>
      <c r="P476" s="85" t="s">
        <v>27</v>
      </c>
      <c r="Q476" s="85" t="s">
        <v>27</v>
      </c>
      <c r="R476" s="85">
        <v>0</v>
      </c>
      <c r="S476" s="85">
        <v>0</v>
      </c>
      <c r="T476" s="85">
        <v>0</v>
      </c>
      <c r="U476" s="85">
        <v>0</v>
      </c>
      <c r="V476" s="85">
        <v>0</v>
      </c>
      <c r="W476" s="85">
        <v>0</v>
      </c>
      <c r="X476" s="85">
        <v>0</v>
      </c>
    </row>
    <row r="477" spans="1:24" x14ac:dyDescent="0.15">
      <c r="A477" s="97" t="s">
        <v>1219</v>
      </c>
      <c r="B477" s="97" t="s">
        <v>1220</v>
      </c>
      <c r="C477" s="97" t="s">
        <v>73</v>
      </c>
      <c r="D477" s="97">
        <v>3</v>
      </c>
      <c r="E477" s="97">
        <v>0</v>
      </c>
      <c r="F477" s="97">
        <v>1</v>
      </c>
      <c r="G477" s="97">
        <v>0</v>
      </c>
      <c r="H477" s="97">
        <v>1</v>
      </c>
      <c r="I477" s="97" t="s">
        <v>27</v>
      </c>
      <c r="J477" s="97" t="s">
        <v>1746</v>
      </c>
      <c r="K477" s="97">
        <v>8</v>
      </c>
      <c r="L477" s="97">
        <v>0</v>
      </c>
      <c r="M477" s="97">
        <v>3</v>
      </c>
      <c r="N477" s="97">
        <v>0</v>
      </c>
      <c r="O477" s="98" t="s">
        <v>1520</v>
      </c>
      <c r="P477" s="97" t="s">
        <v>27</v>
      </c>
      <c r="Q477" s="97" t="s">
        <v>27</v>
      </c>
      <c r="R477" s="97">
        <v>0</v>
      </c>
      <c r="S477" s="97">
        <v>0</v>
      </c>
      <c r="T477" s="97">
        <v>0</v>
      </c>
      <c r="U477" s="97">
        <v>0</v>
      </c>
      <c r="V477" s="97">
        <v>0</v>
      </c>
      <c r="W477" s="97">
        <v>0</v>
      </c>
      <c r="X477" s="97">
        <v>0</v>
      </c>
    </row>
    <row r="478" spans="1:24" x14ac:dyDescent="0.15">
      <c r="A478" s="85" t="s">
        <v>1221</v>
      </c>
      <c r="B478" s="85" t="s">
        <v>1222</v>
      </c>
      <c r="C478" s="85" t="s">
        <v>72</v>
      </c>
      <c r="D478" s="85">
        <v>3.9670000000000001</v>
      </c>
      <c r="E478" s="85">
        <v>0</v>
      </c>
      <c r="F478" s="85">
        <v>1</v>
      </c>
      <c r="G478" s="85">
        <v>0</v>
      </c>
      <c r="H478" s="85">
        <v>1</v>
      </c>
      <c r="I478" s="85" t="s">
        <v>27</v>
      </c>
      <c r="J478" s="85" t="s">
        <v>1185</v>
      </c>
      <c r="K478" s="85">
        <v>5</v>
      </c>
      <c r="L478" s="85">
        <v>0</v>
      </c>
      <c r="M478" s="85">
        <v>1</v>
      </c>
      <c r="N478" s="85">
        <v>0</v>
      </c>
      <c r="O478" s="86" t="s">
        <v>1868</v>
      </c>
      <c r="P478" s="85" t="s">
        <v>27</v>
      </c>
      <c r="Q478" s="85" t="s">
        <v>27</v>
      </c>
      <c r="R478" s="85">
        <v>0</v>
      </c>
      <c r="S478" s="85">
        <v>0</v>
      </c>
      <c r="T478" s="85">
        <v>0</v>
      </c>
      <c r="U478" s="85">
        <v>0</v>
      </c>
      <c r="V478" s="85">
        <v>0</v>
      </c>
      <c r="W478" s="85">
        <v>0</v>
      </c>
      <c r="X478" s="85">
        <v>0</v>
      </c>
    </row>
    <row r="479" spans="1:24" x14ac:dyDescent="0.15">
      <c r="A479" s="85" t="s">
        <v>1223</v>
      </c>
      <c r="B479" s="85" t="s">
        <v>1222</v>
      </c>
      <c r="C479" s="85" t="s">
        <v>72</v>
      </c>
      <c r="D479" s="85">
        <v>2</v>
      </c>
      <c r="E479" s="85">
        <v>0</v>
      </c>
      <c r="F479" s="85">
        <v>11</v>
      </c>
      <c r="G479" s="85">
        <v>0</v>
      </c>
      <c r="H479" s="85">
        <v>1</v>
      </c>
      <c r="I479" s="85" t="s">
        <v>27</v>
      </c>
      <c r="J479" s="85" t="s">
        <v>1186</v>
      </c>
      <c r="K479" s="85">
        <v>2.5</v>
      </c>
      <c r="L479" s="85">
        <v>0</v>
      </c>
      <c r="M479" s="85">
        <v>2</v>
      </c>
      <c r="N479" s="85">
        <v>6</v>
      </c>
      <c r="O479" s="86" t="s">
        <v>1520</v>
      </c>
      <c r="P479" s="85" t="s">
        <v>27</v>
      </c>
      <c r="Q479" s="85" t="s">
        <v>27</v>
      </c>
      <c r="R479" s="85">
        <v>0</v>
      </c>
      <c r="S479" s="85">
        <v>0</v>
      </c>
      <c r="T479" s="85">
        <v>0</v>
      </c>
      <c r="U479" s="85">
        <v>0</v>
      </c>
      <c r="V479" s="85">
        <v>0</v>
      </c>
      <c r="W479" s="85">
        <v>0</v>
      </c>
      <c r="X479" s="85">
        <v>0</v>
      </c>
    </row>
    <row r="480" spans="1:24" x14ac:dyDescent="0.15">
      <c r="A480" s="85" t="s">
        <v>1224</v>
      </c>
      <c r="B480" s="85" t="s">
        <v>1225</v>
      </c>
      <c r="C480" s="85" t="s">
        <v>73</v>
      </c>
      <c r="D480" s="85">
        <v>1.367</v>
      </c>
      <c r="E480" s="85">
        <v>0</v>
      </c>
      <c r="F480" s="85">
        <v>1</v>
      </c>
      <c r="G480" s="85">
        <v>0</v>
      </c>
      <c r="H480" s="85">
        <v>1</v>
      </c>
      <c r="I480" s="85" t="s">
        <v>27</v>
      </c>
      <c r="J480" s="85" t="s">
        <v>1187</v>
      </c>
      <c r="K480" s="85">
        <v>3</v>
      </c>
      <c r="L480" s="85">
        <v>0.55000000000000004</v>
      </c>
      <c r="M480" s="85">
        <v>2</v>
      </c>
      <c r="N480" s="85">
        <v>0</v>
      </c>
      <c r="O480" s="85" t="s">
        <v>1520</v>
      </c>
      <c r="P480" s="85" t="s">
        <v>27</v>
      </c>
      <c r="Q480" s="85" t="s">
        <v>27</v>
      </c>
      <c r="R480" s="85">
        <v>0</v>
      </c>
      <c r="S480" s="85">
        <v>0</v>
      </c>
      <c r="T480" s="85">
        <v>0</v>
      </c>
      <c r="U480" s="85">
        <v>0</v>
      </c>
      <c r="V480" s="85">
        <v>0</v>
      </c>
      <c r="W480" s="85">
        <v>0</v>
      </c>
      <c r="X480" s="85">
        <v>0</v>
      </c>
    </row>
    <row r="481" spans="1:24" s="15" customFormat="1" x14ac:dyDescent="0.15">
      <c r="A481" s="99" t="s">
        <v>1226</v>
      </c>
      <c r="B481" s="100" t="s">
        <v>1227</v>
      </c>
      <c r="C481" s="100" t="s">
        <v>1216</v>
      </c>
      <c r="D481" s="100">
        <v>0</v>
      </c>
      <c r="E481" s="100">
        <v>0</v>
      </c>
      <c r="F481" s="100">
        <v>1</v>
      </c>
      <c r="G481" s="100">
        <v>0</v>
      </c>
      <c r="H481" s="100" t="s">
        <v>1216</v>
      </c>
      <c r="I481" s="100" t="s">
        <v>1216</v>
      </c>
      <c r="J481" s="101" t="s">
        <v>1228</v>
      </c>
      <c r="K481" s="100">
        <v>5</v>
      </c>
      <c r="L481" s="100">
        <v>0</v>
      </c>
      <c r="M481" s="102">
        <v>2</v>
      </c>
      <c r="N481" s="100">
        <v>2</v>
      </c>
      <c r="O481" s="103" t="s">
        <v>1520</v>
      </c>
      <c r="P481" s="100" t="s">
        <v>1216</v>
      </c>
      <c r="Q481" s="100" t="s">
        <v>1216</v>
      </c>
      <c r="R481" s="100">
        <v>0</v>
      </c>
      <c r="S481" s="100">
        <v>0</v>
      </c>
      <c r="T481" s="100">
        <v>0</v>
      </c>
      <c r="U481" s="100">
        <v>0</v>
      </c>
      <c r="V481" s="100">
        <v>0</v>
      </c>
      <c r="W481" s="100">
        <v>0</v>
      </c>
      <c r="X481" s="100">
        <v>0</v>
      </c>
    </row>
    <row r="482" spans="1:24" s="5" customFormat="1" x14ac:dyDescent="0.15">
      <c r="A482" s="44" t="s">
        <v>1205</v>
      </c>
      <c r="B482" s="44" t="s">
        <v>1206</v>
      </c>
      <c r="C482" s="44" t="s">
        <v>1207</v>
      </c>
      <c r="D482" s="44">
        <v>1.5</v>
      </c>
      <c r="E482" s="44">
        <v>0</v>
      </c>
      <c r="F482" s="44">
        <v>2</v>
      </c>
      <c r="G482" s="44">
        <v>17</v>
      </c>
      <c r="H482" s="44">
        <v>1</v>
      </c>
      <c r="I482" s="44" t="s">
        <v>27</v>
      </c>
      <c r="J482" s="59" t="s">
        <v>1907</v>
      </c>
      <c r="K482" s="44">
        <v>5</v>
      </c>
      <c r="L482" s="44">
        <v>0.3</v>
      </c>
      <c r="M482" s="44">
        <v>1</v>
      </c>
      <c r="N482" s="44">
        <v>1</v>
      </c>
      <c r="O482" s="45" t="s">
        <v>1520</v>
      </c>
      <c r="P482" s="46" t="s">
        <v>27</v>
      </c>
      <c r="Q482" s="46" t="s">
        <v>27</v>
      </c>
      <c r="R482" s="46">
        <v>0</v>
      </c>
      <c r="S482" s="46">
        <v>0</v>
      </c>
      <c r="T482" s="47">
        <v>0</v>
      </c>
      <c r="U482" s="46">
        <v>0</v>
      </c>
      <c r="V482" s="46">
        <v>0</v>
      </c>
      <c r="W482" s="46">
        <v>0</v>
      </c>
      <c r="X482" s="46">
        <v>0</v>
      </c>
    </row>
    <row r="483" spans="1:24" s="5" customFormat="1" x14ac:dyDescent="0.15">
      <c r="A483" s="44" t="s">
        <v>1590</v>
      </c>
      <c r="B483" s="44" t="s">
        <v>1206</v>
      </c>
      <c r="C483" s="44" t="s">
        <v>28</v>
      </c>
      <c r="D483" s="44">
        <v>0.73299999999999998</v>
      </c>
      <c r="E483" s="44">
        <v>0</v>
      </c>
      <c r="F483" s="44">
        <v>1</v>
      </c>
      <c r="G483" s="44">
        <v>0</v>
      </c>
      <c r="H483" s="44">
        <v>1</v>
      </c>
      <c r="I483" s="44" t="s">
        <v>27</v>
      </c>
      <c r="J483" s="44" t="s">
        <v>1205</v>
      </c>
      <c r="K483" s="44">
        <v>1</v>
      </c>
      <c r="L483" s="44">
        <v>0</v>
      </c>
      <c r="M483" s="44">
        <v>1</v>
      </c>
      <c r="N483" s="44">
        <v>0</v>
      </c>
      <c r="O483" s="45" t="s">
        <v>1520</v>
      </c>
      <c r="P483" s="46" t="s">
        <v>27</v>
      </c>
      <c r="Q483" s="46" t="s">
        <v>27</v>
      </c>
      <c r="R483" s="46">
        <v>0</v>
      </c>
      <c r="S483" s="46">
        <v>0</v>
      </c>
      <c r="T483" s="47">
        <v>0</v>
      </c>
      <c r="U483" s="46">
        <v>0</v>
      </c>
      <c r="V483" s="46">
        <v>0</v>
      </c>
      <c r="W483" s="46">
        <v>0</v>
      </c>
      <c r="X483" s="46">
        <v>0</v>
      </c>
    </row>
    <row r="484" spans="1:24" s="5" customFormat="1" x14ac:dyDescent="0.15">
      <c r="A484" s="44" t="s">
        <v>1591</v>
      </c>
      <c r="B484" s="44" t="s">
        <v>1206</v>
      </c>
      <c r="C484" s="44" t="s">
        <v>28</v>
      </c>
      <c r="D484" s="44">
        <v>0.73299999999999998</v>
      </c>
      <c r="E484" s="44">
        <v>0</v>
      </c>
      <c r="F484" s="44">
        <v>1</v>
      </c>
      <c r="G484" s="44">
        <v>0</v>
      </c>
      <c r="H484" s="44">
        <v>1</v>
      </c>
      <c r="I484" s="44" t="s">
        <v>27</v>
      </c>
      <c r="J484" s="44" t="s">
        <v>1205</v>
      </c>
      <c r="K484" s="44">
        <v>1</v>
      </c>
      <c r="L484" s="44">
        <v>0</v>
      </c>
      <c r="M484" s="44">
        <v>1</v>
      </c>
      <c r="N484" s="44">
        <v>0</v>
      </c>
      <c r="O484" s="45" t="s">
        <v>1520</v>
      </c>
      <c r="P484" s="46" t="s">
        <v>27</v>
      </c>
      <c r="Q484" s="46" t="s">
        <v>27</v>
      </c>
      <c r="R484" s="46">
        <v>0</v>
      </c>
      <c r="S484" s="46">
        <v>0</v>
      </c>
      <c r="T484" s="47">
        <v>0</v>
      </c>
      <c r="U484" s="46">
        <v>0</v>
      </c>
      <c r="V484" s="46">
        <v>0</v>
      </c>
      <c r="W484" s="46">
        <v>0</v>
      </c>
      <c r="X484" s="46">
        <v>0</v>
      </c>
    </row>
    <row r="485" spans="1:24" s="5" customFormat="1" x14ac:dyDescent="0.15">
      <c r="A485" s="44" t="s">
        <v>1414</v>
      </c>
      <c r="B485" s="44" t="s">
        <v>1412</v>
      </c>
      <c r="C485" s="44" t="s">
        <v>73</v>
      </c>
      <c r="D485" s="44">
        <v>1.667</v>
      </c>
      <c r="E485" s="44">
        <v>0</v>
      </c>
      <c r="F485" s="44">
        <v>1</v>
      </c>
      <c r="G485" s="44">
        <v>0</v>
      </c>
      <c r="H485" s="44">
        <v>1</v>
      </c>
      <c r="I485" s="44" t="s">
        <v>27</v>
      </c>
      <c r="J485" s="44" t="s">
        <v>1413</v>
      </c>
      <c r="K485" s="44">
        <v>5</v>
      </c>
      <c r="L485" s="44">
        <v>0</v>
      </c>
      <c r="M485" s="44">
        <v>3</v>
      </c>
      <c r="N485" s="44">
        <v>0</v>
      </c>
      <c r="O485" s="45" t="s">
        <v>1871</v>
      </c>
      <c r="P485" s="46" t="s">
        <v>27</v>
      </c>
      <c r="Q485" s="46" t="s">
        <v>27</v>
      </c>
      <c r="R485" s="46">
        <v>0</v>
      </c>
      <c r="S485" s="46">
        <v>0</v>
      </c>
      <c r="T485" s="47">
        <v>0</v>
      </c>
      <c r="U485" s="46">
        <v>0</v>
      </c>
      <c r="V485" s="46">
        <v>0</v>
      </c>
      <c r="W485" s="46">
        <v>0</v>
      </c>
      <c r="X485" s="46">
        <v>0</v>
      </c>
    </row>
    <row r="486" spans="1:24" s="5" customFormat="1" ht="17.25" customHeight="1" x14ac:dyDescent="0.15">
      <c r="A486" s="44" t="s">
        <v>1235</v>
      </c>
      <c r="B486" s="44" t="s">
        <v>1211</v>
      </c>
      <c r="C486" s="44" t="s">
        <v>1212</v>
      </c>
      <c r="D486" s="44">
        <v>1.167</v>
      </c>
      <c r="E486" s="44">
        <v>0</v>
      </c>
      <c r="F486" s="44">
        <v>1</v>
      </c>
      <c r="G486" s="44">
        <v>0</v>
      </c>
      <c r="H486" s="44">
        <v>1</v>
      </c>
      <c r="I486" s="44" t="s">
        <v>27</v>
      </c>
      <c r="J486" s="44" t="s">
        <v>1406</v>
      </c>
      <c r="K486" s="44">
        <v>5</v>
      </c>
      <c r="L486" s="44">
        <v>0</v>
      </c>
      <c r="M486" s="44">
        <v>3</v>
      </c>
      <c r="N486" s="44">
        <v>0</v>
      </c>
      <c r="O486" s="45" t="s">
        <v>1871</v>
      </c>
      <c r="P486" s="46" t="s">
        <v>27</v>
      </c>
      <c r="Q486" s="46" t="s">
        <v>27</v>
      </c>
      <c r="R486" s="46">
        <v>0</v>
      </c>
      <c r="S486" s="46">
        <v>0</v>
      </c>
      <c r="T486" s="47">
        <v>0</v>
      </c>
      <c r="U486" s="46">
        <v>0</v>
      </c>
      <c r="V486" s="46">
        <v>0</v>
      </c>
      <c r="W486" s="46">
        <v>0</v>
      </c>
      <c r="X486" s="46">
        <v>0</v>
      </c>
    </row>
    <row r="487" spans="1:24" s="5" customFormat="1" x14ac:dyDescent="0.15">
      <c r="A487" s="44" t="s">
        <v>1234</v>
      </c>
      <c r="B487" s="44" t="s">
        <v>1209</v>
      </c>
      <c r="C487" s="44" t="s">
        <v>1210</v>
      </c>
      <c r="D487" s="44">
        <v>1.667</v>
      </c>
      <c r="E487" s="44">
        <v>0</v>
      </c>
      <c r="F487" s="44">
        <v>1</v>
      </c>
      <c r="G487" s="44">
        <v>0</v>
      </c>
      <c r="H487" s="44">
        <v>1</v>
      </c>
      <c r="I487" s="44" t="s">
        <v>1208</v>
      </c>
      <c r="J487" s="44" t="s">
        <v>1407</v>
      </c>
      <c r="K487" s="44">
        <v>5</v>
      </c>
      <c r="L487" s="44">
        <v>1</v>
      </c>
      <c r="M487" s="44">
        <v>3</v>
      </c>
      <c r="N487" s="44">
        <v>0</v>
      </c>
      <c r="O487" s="45" t="s">
        <v>1520</v>
      </c>
      <c r="P487" s="46" t="s">
        <v>27</v>
      </c>
      <c r="Q487" s="46" t="s">
        <v>27</v>
      </c>
      <c r="R487" s="46">
        <v>0</v>
      </c>
      <c r="S487" s="46">
        <v>0</v>
      </c>
      <c r="T487" s="47">
        <v>0</v>
      </c>
      <c r="U487" s="46">
        <v>0</v>
      </c>
      <c r="V487" s="46">
        <v>0</v>
      </c>
      <c r="W487" s="46">
        <v>0</v>
      </c>
      <c r="X487" s="46">
        <v>0</v>
      </c>
    </row>
    <row r="488" spans="1:24" s="10" customFormat="1" x14ac:dyDescent="0.15">
      <c r="A488" s="73" t="s">
        <v>1200</v>
      </c>
      <c r="B488" s="44" t="s">
        <v>1193</v>
      </c>
      <c r="C488" s="77" t="s">
        <v>71</v>
      </c>
      <c r="D488" s="77">
        <v>1.5</v>
      </c>
      <c r="E488" s="77">
        <v>0</v>
      </c>
      <c r="F488" s="77">
        <v>1</v>
      </c>
      <c r="G488" s="77">
        <v>0</v>
      </c>
      <c r="H488" s="77">
        <v>1</v>
      </c>
      <c r="I488" s="77" t="s">
        <v>27</v>
      </c>
      <c r="J488" s="77" t="s">
        <v>1201</v>
      </c>
      <c r="K488" s="77">
        <v>3</v>
      </c>
      <c r="L488" s="77">
        <v>0</v>
      </c>
      <c r="M488" s="78">
        <v>1</v>
      </c>
      <c r="N488" s="77">
        <v>0</v>
      </c>
      <c r="O488" s="79" t="s">
        <v>1520</v>
      </c>
      <c r="P488" s="77" t="s">
        <v>27</v>
      </c>
      <c r="Q488" s="77" t="s">
        <v>27</v>
      </c>
      <c r="R488" s="77">
        <v>0</v>
      </c>
      <c r="S488" s="77">
        <v>0</v>
      </c>
      <c r="T488" s="77">
        <v>0</v>
      </c>
      <c r="U488" s="77">
        <v>0</v>
      </c>
      <c r="V488" s="77">
        <v>0</v>
      </c>
      <c r="W488" s="77">
        <v>0</v>
      </c>
      <c r="X488" s="77">
        <v>0</v>
      </c>
    </row>
    <row r="489" spans="1:24" s="10" customFormat="1" x14ac:dyDescent="0.15">
      <c r="A489" s="73" t="s">
        <v>1549</v>
      </c>
      <c r="B489" s="44" t="s">
        <v>1193</v>
      </c>
      <c r="C489" s="77" t="s">
        <v>1545</v>
      </c>
      <c r="D489" s="77">
        <v>1.5</v>
      </c>
      <c r="E489" s="77">
        <v>0</v>
      </c>
      <c r="F489" s="77">
        <v>1</v>
      </c>
      <c r="G489" s="77">
        <v>0</v>
      </c>
      <c r="H489" s="77">
        <v>1</v>
      </c>
      <c r="I489" s="77" t="s">
        <v>27</v>
      </c>
      <c r="J489" s="77" t="s">
        <v>1200</v>
      </c>
      <c r="K489" s="77">
        <v>3</v>
      </c>
      <c r="L489" s="77">
        <v>0</v>
      </c>
      <c r="M489" s="78">
        <v>1</v>
      </c>
      <c r="N489" s="77">
        <v>0</v>
      </c>
      <c r="O489" s="79" t="s">
        <v>1520</v>
      </c>
      <c r="P489" s="77" t="s">
        <v>27</v>
      </c>
      <c r="Q489" s="77" t="s">
        <v>27</v>
      </c>
      <c r="R489" s="77">
        <v>0</v>
      </c>
      <c r="S489" s="77">
        <v>0</v>
      </c>
      <c r="T489" s="77">
        <v>0</v>
      </c>
      <c r="U489" s="77">
        <v>0</v>
      </c>
      <c r="V489" s="77">
        <v>0</v>
      </c>
      <c r="W489" s="77">
        <v>0</v>
      </c>
      <c r="X489" s="77">
        <v>0</v>
      </c>
    </row>
    <row r="490" spans="1:24" s="10" customFormat="1" x14ac:dyDescent="0.15">
      <c r="A490" s="73" t="s">
        <v>1550</v>
      </c>
      <c r="B490" s="44" t="s">
        <v>1193</v>
      </c>
      <c r="C490" s="77" t="s">
        <v>1546</v>
      </c>
      <c r="D490" s="77">
        <v>1.5</v>
      </c>
      <c r="E490" s="77">
        <v>0</v>
      </c>
      <c r="F490" s="77">
        <v>1</v>
      </c>
      <c r="G490" s="77">
        <v>0</v>
      </c>
      <c r="H490" s="77">
        <v>1</v>
      </c>
      <c r="I490" s="77" t="s">
        <v>27</v>
      </c>
      <c r="J490" s="77" t="s">
        <v>1200</v>
      </c>
      <c r="K490" s="77">
        <v>3</v>
      </c>
      <c r="L490" s="77">
        <v>0</v>
      </c>
      <c r="M490" s="78">
        <v>1</v>
      </c>
      <c r="N490" s="77">
        <v>0</v>
      </c>
      <c r="O490" s="79" t="s">
        <v>1520</v>
      </c>
      <c r="P490" s="77" t="s">
        <v>27</v>
      </c>
      <c r="Q490" s="77" t="s">
        <v>27</v>
      </c>
      <c r="R490" s="77">
        <v>0</v>
      </c>
      <c r="S490" s="77">
        <v>0</v>
      </c>
      <c r="T490" s="77">
        <v>0</v>
      </c>
      <c r="U490" s="77">
        <v>0</v>
      </c>
      <c r="V490" s="77">
        <v>0</v>
      </c>
      <c r="W490" s="77">
        <v>0</v>
      </c>
      <c r="X490" s="77">
        <v>0</v>
      </c>
    </row>
    <row r="491" spans="1:24" s="5" customFormat="1" x14ac:dyDescent="0.15">
      <c r="A491" s="44" t="s">
        <v>1190</v>
      </c>
      <c r="B491" s="44" t="s">
        <v>1194</v>
      </c>
      <c r="C491" s="44" t="s">
        <v>73</v>
      </c>
      <c r="D491" s="44">
        <v>1.667</v>
      </c>
      <c r="E491" s="44">
        <v>0</v>
      </c>
      <c r="F491" s="44">
        <v>1</v>
      </c>
      <c r="G491" s="44">
        <v>0</v>
      </c>
      <c r="H491" s="44">
        <v>1</v>
      </c>
      <c r="I491" s="44" t="s">
        <v>151</v>
      </c>
      <c r="J491" s="44" t="s">
        <v>1198</v>
      </c>
      <c r="K491" s="44">
        <v>3.3</v>
      </c>
      <c r="L491" s="44">
        <v>0</v>
      </c>
      <c r="M491" s="44">
        <v>3</v>
      </c>
      <c r="N491" s="44">
        <v>0</v>
      </c>
      <c r="O491" s="45" t="s">
        <v>1520</v>
      </c>
      <c r="P491" s="46" t="s">
        <v>27</v>
      </c>
      <c r="Q491" s="46" t="s">
        <v>27</v>
      </c>
      <c r="R491" s="46">
        <v>0</v>
      </c>
      <c r="S491" s="46">
        <v>0</v>
      </c>
      <c r="T491" s="47">
        <v>0</v>
      </c>
      <c r="U491" s="46">
        <v>0</v>
      </c>
      <c r="V491" s="46">
        <v>0</v>
      </c>
      <c r="W491" s="46">
        <v>0</v>
      </c>
      <c r="X491" s="46">
        <v>0</v>
      </c>
    </row>
    <row r="492" spans="1:24" s="5" customFormat="1" x14ac:dyDescent="0.15">
      <c r="A492" s="44" t="s">
        <v>1191</v>
      </c>
      <c r="B492" s="44" t="s">
        <v>1195</v>
      </c>
      <c r="C492" s="44" t="s">
        <v>1870</v>
      </c>
      <c r="D492" s="44">
        <v>2.73</v>
      </c>
      <c r="E492" s="44">
        <v>0</v>
      </c>
      <c r="F492" s="44">
        <v>1</v>
      </c>
      <c r="G492" s="44">
        <v>0</v>
      </c>
      <c r="H492" s="44">
        <v>1</v>
      </c>
      <c r="I492" s="44" t="s">
        <v>27</v>
      </c>
      <c r="J492" s="44" t="s">
        <v>1199</v>
      </c>
      <c r="K492" s="44">
        <v>5</v>
      </c>
      <c r="L492" s="44">
        <v>0</v>
      </c>
      <c r="M492" s="44">
        <v>1</v>
      </c>
      <c r="N492" s="44">
        <v>0</v>
      </c>
      <c r="O492" s="45" t="s">
        <v>1088</v>
      </c>
      <c r="P492" s="46" t="s">
        <v>27</v>
      </c>
      <c r="Q492" s="46" t="s">
        <v>27</v>
      </c>
      <c r="R492" s="46">
        <v>0</v>
      </c>
      <c r="S492" s="46">
        <v>0</v>
      </c>
      <c r="T492" s="47">
        <v>0</v>
      </c>
      <c r="U492" s="46">
        <v>0</v>
      </c>
      <c r="V492" s="46">
        <v>0</v>
      </c>
      <c r="W492" s="46">
        <v>0</v>
      </c>
      <c r="X492" s="46">
        <v>0</v>
      </c>
    </row>
    <row r="493" spans="1:24" s="5" customFormat="1" x14ac:dyDescent="0.15">
      <c r="A493" s="44" t="s">
        <v>1192</v>
      </c>
      <c r="B493" s="44" t="s">
        <v>1203</v>
      </c>
      <c r="C493" s="44" t="s">
        <v>1865</v>
      </c>
      <c r="D493" s="44">
        <v>3.67</v>
      </c>
      <c r="E493" s="44">
        <v>0</v>
      </c>
      <c r="F493" s="44">
        <v>1</v>
      </c>
      <c r="G493" s="44">
        <v>0</v>
      </c>
      <c r="H493" s="44">
        <v>1</v>
      </c>
      <c r="I493" s="44" t="s">
        <v>50</v>
      </c>
      <c r="J493" s="44" t="s">
        <v>1748</v>
      </c>
      <c r="K493" s="44">
        <v>5</v>
      </c>
      <c r="L493" s="44">
        <v>0</v>
      </c>
      <c r="M493" s="44">
        <v>1</v>
      </c>
      <c r="N493" s="44">
        <v>0</v>
      </c>
      <c r="O493" s="45" t="s">
        <v>1520</v>
      </c>
      <c r="P493" s="46" t="s">
        <v>27</v>
      </c>
      <c r="Q493" s="46" t="s">
        <v>27</v>
      </c>
      <c r="R493" s="46">
        <v>0</v>
      </c>
      <c r="S493" s="46">
        <v>0</v>
      </c>
      <c r="T493" s="47">
        <v>0</v>
      </c>
      <c r="U493" s="46">
        <v>0</v>
      </c>
      <c r="V493" s="46">
        <v>0</v>
      </c>
      <c r="W493" s="46">
        <v>0</v>
      </c>
      <c r="X493" s="46">
        <v>0</v>
      </c>
    </row>
    <row r="494" spans="1:24" s="5" customFormat="1" x14ac:dyDescent="0.15">
      <c r="A494" s="87" t="s">
        <v>1202</v>
      </c>
      <c r="B494" s="44" t="s">
        <v>1204</v>
      </c>
      <c r="C494" s="77" t="s">
        <v>71</v>
      </c>
      <c r="D494" s="77">
        <v>1.5</v>
      </c>
      <c r="E494" s="44">
        <v>0</v>
      </c>
      <c r="F494" s="44">
        <v>2</v>
      </c>
      <c r="G494" s="44">
        <v>17</v>
      </c>
      <c r="H494" s="44">
        <v>1</v>
      </c>
      <c r="I494" s="44" t="s">
        <v>27</v>
      </c>
      <c r="J494" s="44" t="s">
        <v>1229</v>
      </c>
      <c r="K494" s="44">
        <v>5</v>
      </c>
      <c r="L494" s="44">
        <v>0.3</v>
      </c>
      <c r="M494" s="44">
        <v>1</v>
      </c>
      <c r="N494" s="44">
        <v>1</v>
      </c>
      <c r="O494" s="45" t="s">
        <v>1231</v>
      </c>
      <c r="P494" s="46" t="s">
        <v>27</v>
      </c>
      <c r="Q494" s="46" t="s">
        <v>27</v>
      </c>
      <c r="R494" s="46">
        <v>0</v>
      </c>
      <c r="S494" s="46">
        <v>0</v>
      </c>
      <c r="T494" s="47">
        <v>0</v>
      </c>
      <c r="U494" s="46">
        <v>0</v>
      </c>
      <c r="V494" s="46">
        <v>0</v>
      </c>
      <c r="W494" s="46">
        <v>0</v>
      </c>
      <c r="X494" s="46">
        <v>0</v>
      </c>
    </row>
    <row r="495" spans="1:24" x14ac:dyDescent="0.15">
      <c r="A495" s="87" t="s">
        <v>1233</v>
      </c>
      <c r="B495" s="87" t="s">
        <v>1232</v>
      </c>
      <c r="C495" s="44" t="s">
        <v>72</v>
      </c>
      <c r="D495" s="44">
        <v>2.73</v>
      </c>
      <c r="E495" s="87">
        <v>0</v>
      </c>
      <c r="F495" s="87" t="s">
        <v>993</v>
      </c>
      <c r="G495" s="87">
        <v>17</v>
      </c>
      <c r="H495" s="87">
        <v>1</v>
      </c>
      <c r="I495" s="87" t="s">
        <v>27</v>
      </c>
      <c r="J495" s="87" t="s">
        <v>1202</v>
      </c>
      <c r="K495" s="87">
        <v>5</v>
      </c>
      <c r="L495" s="87">
        <v>0.3</v>
      </c>
      <c r="M495" s="65">
        <v>1</v>
      </c>
      <c r="N495" s="87">
        <v>1</v>
      </c>
      <c r="O495" s="88" t="s">
        <v>1230</v>
      </c>
      <c r="P495" s="87" t="s">
        <v>27</v>
      </c>
      <c r="Q495" s="87" t="s">
        <v>27</v>
      </c>
      <c r="R495" s="87">
        <v>0</v>
      </c>
      <c r="S495" s="87">
        <v>0</v>
      </c>
      <c r="T495" s="87">
        <v>0</v>
      </c>
      <c r="U495" s="87">
        <v>0</v>
      </c>
      <c r="V495" s="87">
        <v>0</v>
      </c>
      <c r="W495" s="87">
        <v>0</v>
      </c>
      <c r="X495" s="87">
        <v>0</v>
      </c>
    </row>
    <row r="496" spans="1:24" x14ac:dyDescent="0.15">
      <c r="A496" s="87" t="s">
        <v>1236</v>
      </c>
      <c r="B496" s="87" t="s">
        <v>1237</v>
      </c>
      <c r="C496" s="44" t="s">
        <v>1238</v>
      </c>
      <c r="D496" s="44">
        <v>1.2669999999999999</v>
      </c>
      <c r="E496" s="87">
        <v>0</v>
      </c>
      <c r="F496" s="87">
        <v>2</v>
      </c>
      <c r="G496" s="87">
        <v>17</v>
      </c>
      <c r="H496" s="87">
        <v>1</v>
      </c>
      <c r="I496" s="87" t="s">
        <v>27</v>
      </c>
      <c r="J496" s="87" t="s">
        <v>1416</v>
      </c>
      <c r="K496" s="87">
        <v>5</v>
      </c>
      <c r="L496" s="87">
        <v>0.5</v>
      </c>
      <c r="M496" s="65">
        <v>1</v>
      </c>
      <c r="N496" s="87">
        <v>1</v>
      </c>
      <c r="O496" s="88" t="s">
        <v>1520</v>
      </c>
      <c r="P496" s="87" t="s">
        <v>27</v>
      </c>
      <c r="Q496" s="87" t="s">
        <v>27</v>
      </c>
      <c r="R496" s="87">
        <v>0</v>
      </c>
      <c r="S496" s="87">
        <v>0</v>
      </c>
      <c r="T496" s="87">
        <v>0</v>
      </c>
      <c r="U496" s="87">
        <v>0</v>
      </c>
      <c r="V496" s="87">
        <v>0</v>
      </c>
      <c r="W496" s="87">
        <v>0</v>
      </c>
      <c r="X496" s="87">
        <v>0</v>
      </c>
    </row>
    <row r="497" spans="1:24" x14ac:dyDescent="0.15">
      <c r="A497" s="87" t="s">
        <v>1239</v>
      </c>
      <c r="B497" s="87" t="s">
        <v>1240</v>
      </c>
      <c r="C497" s="44" t="s">
        <v>71</v>
      </c>
      <c r="D497" s="44">
        <v>1</v>
      </c>
      <c r="E497" s="87">
        <v>0</v>
      </c>
      <c r="F497" s="87">
        <v>1</v>
      </c>
      <c r="G497" s="87">
        <v>0</v>
      </c>
      <c r="H497" s="87">
        <v>1</v>
      </c>
      <c r="I497" s="87" t="s">
        <v>27</v>
      </c>
      <c r="J497" s="87" t="s">
        <v>1239</v>
      </c>
      <c r="K497" s="87">
        <v>5</v>
      </c>
      <c r="L497" s="87">
        <v>0.1</v>
      </c>
      <c r="M497" s="65">
        <v>1</v>
      </c>
      <c r="N497" s="87">
        <v>0</v>
      </c>
      <c r="O497" s="88" t="s">
        <v>1520</v>
      </c>
      <c r="P497" s="87" t="s">
        <v>27</v>
      </c>
      <c r="Q497" s="87" t="s">
        <v>27</v>
      </c>
      <c r="R497" s="87">
        <v>0</v>
      </c>
      <c r="S497" s="87">
        <v>0</v>
      </c>
      <c r="T497" s="87">
        <v>0</v>
      </c>
      <c r="U497" s="87">
        <v>0</v>
      </c>
      <c r="V497" s="87">
        <v>0</v>
      </c>
      <c r="W497" s="87">
        <v>0</v>
      </c>
      <c r="X497" s="87">
        <v>0</v>
      </c>
    </row>
    <row r="498" spans="1:24" x14ac:dyDescent="0.15">
      <c r="A498" s="87" t="s">
        <v>1242</v>
      </c>
      <c r="B498" s="87" t="s">
        <v>1243</v>
      </c>
      <c r="C498" s="44" t="s">
        <v>1238</v>
      </c>
      <c r="D498" s="44">
        <v>1.2669999999999999</v>
      </c>
      <c r="E498" s="87">
        <v>0</v>
      </c>
      <c r="F498" s="87">
        <v>1</v>
      </c>
      <c r="G498" s="87">
        <v>0</v>
      </c>
      <c r="H498" s="87">
        <v>1</v>
      </c>
      <c r="I498" s="87" t="s">
        <v>27</v>
      </c>
      <c r="J498" s="87" t="s">
        <v>1242</v>
      </c>
      <c r="K498" s="87">
        <v>5</v>
      </c>
      <c r="L498" s="87">
        <v>0</v>
      </c>
      <c r="M498" s="65">
        <v>1</v>
      </c>
      <c r="N498" s="87">
        <v>3</v>
      </c>
      <c r="O498" s="88" t="s">
        <v>1244</v>
      </c>
      <c r="P498" s="87" t="s">
        <v>27</v>
      </c>
      <c r="Q498" s="87" t="s">
        <v>27</v>
      </c>
      <c r="R498" s="87">
        <v>0</v>
      </c>
      <c r="S498" s="87">
        <v>0</v>
      </c>
      <c r="T498" s="87">
        <v>0</v>
      </c>
      <c r="U498" s="87">
        <v>0</v>
      </c>
      <c r="V498" s="87">
        <v>0</v>
      </c>
      <c r="W498" s="87">
        <v>0</v>
      </c>
      <c r="X498" s="87">
        <v>0</v>
      </c>
    </row>
    <row r="499" spans="1:24" x14ac:dyDescent="0.15">
      <c r="A499" s="87" t="s">
        <v>1245</v>
      </c>
      <c r="B499" s="87" t="s">
        <v>1246</v>
      </c>
      <c r="C499" s="44" t="s">
        <v>71</v>
      </c>
      <c r="D499" s="44">
        <v>1.2669999999999999</v>
      </c>
      <c r="E499" s="87">
        <v>0</v>
      </c>
      <c r="F499" s="87">
        <v>1</v>
      </c>
      <c r="G499" s="87">
        <v>0</v>
      </c>
      <c r="H499" s="87">
        <v>1</v>
      </c>
      <c r="I499" s="87" t="s">
        <v>1241</v>
      </c>
      <c r="J499" s="87" t="s">
        <v>1247</v>
      </c>
      <c r="K499" s="87">
        <v>1</v>
      </c>
      <c r="L499" s="87">
        <v>0</v>
      </c>
      <c r="M499" s="65">
        <v>2</v>
      </c>
      <c r="N499" s="87">
        <v>15</v>
      </c>
      <c r="O499" s="88" t="s">
        <v>1520</v>
      </c>
      <c r="P499" s="87" t="s">
        <v>1241</v>
      </c>
      <c r="Q499" s="87" t="s">
        <v>1241</v>
      </c>
      <c r="R499" s="87">
        <v>0</v>
      </c>
      <c r="S499" s="87">
        <v>0</v>
      </c>
      <c r="T499" s="87">
        <v>0</v>
      </c>
      <c r="U499" s="87">
        <v>0</v>
      </c>
      <c r="V499" s="87">
        <v>0</v>
      </c>
      <c r="W499" s="87">
        <v>0</v>
      </c>
      <c r="X499" s="87">
        <v>0</v>
      </c>
    </row>
    <row r="500" spans="1:24" x14ac:dyDescent="0.15">
      <c r="A500" s="87" t="s">
        <v>1248</v>
      </c>
      <c r="B500" s="87" t="s">
        <v>1249</v>
      </c>
      <c r="C500" s="44" t="s">
        <v>1250</v>
      </c>
      <c r="D500" s="44">
        <v>1.2669999999999999</v>
      </c>
      <c r="E500" s="87">
        <v>0</v>
      </c>
      <c r="F500" s="87">
        <v>1</v>
      </c>
      <c r="G500" s="87">
        <v>0</v>
      </c>
      <c r="H500" s="87">
        <v>1</v>
      </c>
      <c r="I500" s="87" t="s">
        <v>1241</v>
      </c>
      <c r="J500" s="87" t="s">
        <v>1251</v>
      </c>
      <c r="K500" s="87">
        <v>1</v>
      </c>
      <c r="L500" s="87">
        <v>0</v>
      </c>
      <c r="M500" s="65">
        <v>2</v>
      </c>
      <c r="N500" s="87">
        <v>8</v>
      </c>
      <c r="O500" s="88" t="s">
        <v>1520</v>
      </c>
      <c r="P500" s="87" t="s">
        <v>1241</v>
      </c>
      <c r="Q500" s="87" t="s">
        <v>1241</v>
      </c>
      <c r="R500" s="87">
        <v>0</v>
      </c>
      <c r="S500" s="87">
        <v>0</v>
      </c>
      <c r="T500" s="87">
        <v>0</v>
      </c>
      <c r="U500" s="87">
        <v>0</v>
      </c>
      <c r="V500" s="87">
        <v>0</v>
      </c>
      <c r="W500" s="87">
        <v>0</v>
      </c>
      <c r="X500" s="87">
        <v>0</v>
      </c>
    </row>
    <row r="501" spans="1:24" x14ac:dyDescent="0.15">
      <c r="A501" s="87" t="s">
        <v>1252</v>
      </c>
      <c r="B501" s="87" t="s">
        <v>1253</v>
      </c>
      <c r="C501" s="44" t="s">
        <v>1238</v>
      </c>
      <c r="D501" s="44">
        <v>1.5</v>
      </c>
      <c r="E501" s="87">
        <v>0</v>
      </c>
      <c r="F501" s="87">
        <v>1</v>
      </c>
      <c r="G501" s="87">
        <v>0</v>
      </c>
      <c r="H501" s="87">
        <v>1</v>
      </c>
      <c r="I501" s="87" t="s">
        <v>27</v>
      </c>
      <c r="J501" s="87" t="s">
        <v>1252</v>
      </c>
      <c r="K501" s="87">
        <v>1.5</v>
      </c>
      <c r="L501" s="87">
        <v>0</v>
      </c>
      <c r="M501" s="65">
        <v>1</v>
      </c>
      <c r="N501" s="87">
        <v>0</v>
      </c>
      <c r="O501" s="88" t="s">
        <v>1520</v>
      </c>
      <c r="P501" s="87" t="s">
        <v>27</v>
      </c>
      <c r="Q501" s="87" t="s">
        <v>27</v>
      </c>
      <c r="R501" s="87">
        <v>0</v>
      </c>
      <c r="S501" s="87">
        <v>0</v>
      </c>
      <c r="T501" s="87">
        <v>0</v>
      </c>
      <c r="U501" s="87">
        <v>0</v>
      </c>
      <c r="V501" s="87">
        <v>0</v>
      </c>
      <c r="W501" s="87">
        <v>0</v>
      </c>
      <c r="X501" s="87">
        <v>0</v>
      </c>
    </row>
    <row r="502" spans="1:24" x14ac:dyDescent="0.15">
      <c r="A502" s="87" t="s">
        <v>1254</v>
      </c>
      <c r="B502" s="87" t="s">
        <v>1255</v>
      </c>
      <c r="C502" s="44" t="s">
        <v>1238</v>
      </c>
      <c r="D502" s="44">
        <v>1.5</v>
      </c>
      <c r="E502" s="87">
        <v>0</v>
      </c>
      <c r="F502" s="87">
        <v>1</v>
      </c>
      <c r="G502" s="87">
        <v>0</v>
      </c>
      <c r="H502" s="87">
        <v>1</v>
      </c>
      <c r="I502" s="87" t="s">
        <v>27</v>
      </c>
      <c r="J502" s="87" t="s">
        <v>1254</v>
      </c>
      <c r="K502" s="87">
        <v>1.5</v>
      </c>
      <c r="L502" s="87">
        <v>0</v>
      </c>
      <c r="M502" s="65">
        <v>1</v>
      </c>
      <c r="N502" s="87">
        <v>0</v>
      </c>
      <c r="O502" s="88" t="s">
        <v>1520</v>
      </c>
      <c r="P502" s="87" t="s">
        <v>27</v>
      </c>
      <c r="Q502" s="87" t="s">
        <v>27</v>
      </c>
      <c r="R502" s="87">
        <v>0</v>
      </c>
      <c r="S502" s="87">
        <v>0</v>
      </c>
      <c r="T502" s="87">
        <v>0</v>
      </c>
      <c r="U502" s="87">
        <v>0</v>
      </c>
      <c r="V502" s="87">
        <v>0</v>
      </c>
      <c r="W502" s="87">
        <v>0</v>
      </c>
      <c r="X502" s="87">
        <v>0</v>
      </c>
    </row>
    <row r="503" spans="1:24" x14ac:dyDescent="0.15">
      <c r="A503" s="87" t="s">
        <v>1260</v>
      </c>
      <c r="B503" s="87" t="s">
        <v>1261</v>
      </c>
      <c r="C503" s="44" t="s">
        <v>1238</v>
      </c>
      <c r="D503" s="44">
        <v>2.4</v>
      </c>
      <c r="E503" s="87">
        <v>0</v>
      </c>
      <c r="F503" s="87">
        <v>1</v>
      </c>
      <c r="G503" s="87">
        <v>0</v>
      </c>
      <c r="H503" s="87">
        <v>1</v>
      </c>
      <c r="I503" s="87" t="s">
        <v>27</v>
      </c>
      <c r="J503" s="87" t="s">
        <v>1262</v>
      </c>
      <c r="K503" s="87">
        <v>5</v>
      </c>
      <c r="L503" s="87">
        <v>0</v>
      </c>
      <c r="M503" s="65">
        <v>2</v>
      </c>
      <c r="N503" s="87">
        <v>0</v>
      </c>
      <c r="O503" s="88" t="s">
        <v>1520</v>
      </c>
      <c r="P503" s="87" t="s">
        <v>27</v>
      </c>
      <c r="Q503" s="87" t="s">
        <v>27</v>
      </c>
      <c r="R503" s="87">
        <v>0</v>
      </c>
      <c r="S503" s="87">
        <v>0</v>
      </c>
      <c r="T503" s="87">
        <v>0</v>
      </c>
      <c r="U503" s="87">
        <v>0</v>
      </c>
      <c r="V503" s="87">
        <v>0</v>
      </c>
      <c r="W503" s="87">
        <v>0</v>
      </c>
      <c r="X503" s="87">
        <v>0</v>
      </c>
    </row>
    <row r="504" spans="1:24" x14ac:dyDescent="0.15">
      <c r="A504" s="87" t="s">
        <v>1256</v>
      </c>
      <c r="B504" s="87" t="s">
        <v>1257</v>
      </c>
      <c r="C504" s="44" t="s">
        <v>1238</v>
      </c>
      <c r="D504" s="44">
        <v>4</v>
      </c>
      <c r="E504" s="87">
        <v>0</v>
      </c>
      <c r="F504" s="87">
        <v>2</v>
      </c>
      <c r="G504" s="87">
        <v>17</v>
      </c>
      <c r="H504" s="87">
        <v>1</v>
      </c>
      <c r="I504" s="87" t="s">
        <v>27</v>
      </c>
      <c r="J504" s="87" t="s">
        <v>1256</v>
      </c>
      <c r="K504" s="87">
        <v>5</v>
      </c>
      <c r="L504" s="87">
        <v>0.4</v>
      </c>
      <c r="M504" s="65">
        <v>1</v>
      </c>
      <c r="N504" s="87">
        <v>1</v>
      </c>
      <c r="O504" s="88" t="s">
        <v>1520</v>
      </c>
      <c r="P504" s="87" t="s">
        <v>27</v>
      </c>
      <c r="Q504" s="87" t="s">
        <v>27</v>
      </c>
      <c r="R504" s="87">
        <v>0</v>
      </c>
      <c r="S504" s="87">
        <v>0</v>
      </c>
      <c r="T504" s="87">
        <v>0</v>
      </c>
      <c r="U504" s="87">
        <v>0</v>
      </c>
      <c r="V504" s="87">
        <v>0</v>
      </c>
      <c r="W504" s="87">
        <v>0</v>
      </c>
      <c r="X504" s="87">
        <v>0</v>
      </c>
    </row>
    <row r="505" spans="1:24" x14ac:dyDescent="0.15">
      <c r="A505" s="87" t="s">
        <v>1258</v>
      </c>
      <c r="B505" s="87" t="s">
        <v>1259</v>
      </c>
      <c r="C505" s="44" t="s">
        <v>1238</v>
      </c>
      <c r="D505" s="44">
        <v>1.5</v>
      </c>
      <c r="E505" s="87">
        <v>0</v>
      </c>
      <c r="F505" s="87">
        <v>1</v>
      </c>
      <c r="G505" s="87">
        <v>0</v>
      </c>
      <c r="H505" s="87">
        <v>1</v>
      </c>
      <c r="I505" s="87" t="s">
        <v>27</v>
      </c>
      <c r="J505" s="87" t="s">
        <v>1258</v>
      </c>
      <c r="K505" s="87">
        <v>1.5</v>
      </c>
      <c r="L505" s="87">
        <v>0</v>
      </c>
      <c r="M505" s="65">
        <v>1</v>
      </c>
      <c r="N505" s="87">
        <v>0</v>
      </c>
      <c r="O505" s="88" t="s">
        <v>1520</v>
      </c>
      <c r="P505" s="87" t="s">
        <v>27</v>
      </c>
      <c r="Q505" s="87" t="s">
        <v>27</v>
      </c>
      <c r="R505" s="87">
        <v>0</v>
      </c>
      <c r="S505" s="87">
        <v>0</v>
      </c>
      <c r="T505" s="87">
        <v>0</v>
      </c>
      <c r="U505" s="87">
        <v>0</v>
      </c>
      <c r="V505" s="87">
        <v>0</v>
      </c>
      <c r="W505" s="87">
        <v>0</v>
      </c>
      <c r="X505" s="87">
        <v>0</v>
      </c>
    </row>
    <row r="506" spans="1:24" x14ac:dyDescent="0.15">
      <c r="A506" s="53" t="s">
        <v>1301</v>
      </c>
      <c r="B506" s="53" t="s">
        <v>1304</v>
      </c>
      <c r="C506" s="53" t="s">
        <v>1305</v>
      </c>
      <c r="D506" s="53">
        <v>0.83299999999999996</v>
      </c>
      <c r="E506" s="53">
        <v>0</v>
      </c>
      <c r="F506" s="53">
        <v>2</v>
      </c>
      <c r="G506" s="53">
        <v>17</v>
      </c>
      <c r="H506" s="53">
        <v>1</v>
      </c>
      <c r="I506" s="53" t="s">
        <v>1306</v>
      </c>
      <c r="J506" s="53" t="s">
        <v>1307</v>
      </c>
      <c r="K506" s="53">
        <v>5</v>
      </c>
      <c r="L506" s="53">
        <v>0.4</v>
      </c>
      <c r="M506" s="92">
        <v>1</v>
      </c>
      <c r="N506" s="53">
        <v>7</v>
      </c>
      <c r="O506" s="104" t="s">
        <v>1520</v>
      </c>
      <c r="P506" s="53" t="s">
        <v>1306</v>
      </c>
      <c r="Q506" s="53" t="s">
        <v>1306</v>
      </c>
      <c r="R506" s="53">
        <v>0</v>
      </c>
      <c r="S506" s="53">
        <v>0</v>
      </c>
      <c r="T506" s="53">
        <v>0</v>
      </c>
      <c r="U506" s="53">
        <v>0</v>
      </c>
      <c r="V506" s="53">
        <v>0</v>
      </c>
      <c r="W506" s="53">
        <v>0</v>
      </c>
      <c r="X506" s="53">
        <v>0</v>
      </c>
    </row>
    <row r="507" spans="1:24" x14ac:dyDescent="0.15">
      <c r="A507" s="53" t="s">
        <v>1302</v>
      </c>
      <c r="B507" s="53" t="s">
        <v>1308</v>
      </c>
      <c r="C507" s="53" t="s">
        <v>1309</v>
      </c>
      <c r="D507" s="53">
        <v>3</v>
      </c>
      <c r="E507" s="53">
        <v>0</v>
      </c>
      <c r="F507" s="53">
        <v>1</v>
      </c>
      <c r="G507" s="53">
        <v>0</v>
      </c>
      <c r="H507" s="53">
        <v>1</v>
      </c>
      <c r="I507" s="53" t="s">
        <v>1310</v>
      </c>
      <c r="J507" s="53" t="s">
        <v>1313</v>
      </c>
      <c r="K507" s="53">
        <v>3.5</v>
      </c>
      <c r="L507" s="53">
        <v>0</v>
      </c>
      <c r="M507" s="92">
        <v>1</v>
      </c>
      <c r="N507" s="53">
        <v>1</v>
      </c>
      <c r="O507" s="104" t="s">
        <v>1318</v>
      </c>
      <c r="P507" s="53" t="s">
        <v>1310</v>
      </c>
      <c r="Q507" s="53" t="s">
        <v>1310</v>
      </c>
      <c r="R507" s="53">
        <v>0</v>
      </c>
      <c r="S507" s="53">
        <v>0</v>
      </c>
      <c r="T507" s="53">
        <v>0</v>
      </c>
      <c r="U507" s="53">
        <v>0</v>
      </c>
      <c r="V507" s="53">
        <v>0</v>
      </c>
      <c r="W507" s="53">
        <v>0</v>
      </c>
      <c r="X507" s="53">
        <v>0</v>
      </c>
    </row>
    <row r="508" spans="1:24" x14ac:dyDescent="0.15">
      <c r="A508" s="53" t="s">
        <v>1303</v>
      </c>
      <c r="B508" s="53" t="s">
        <v>1311</v>
      </c>
      <c r="C508" s="53" t="s">
        <v>1312</v>
      </c>
      <c r="D508" s="53">
        <v>1.833</v>
      </c>
      <c r="E508" s="53">
        <v>0</v>
      </c>
      <c r="F508" s="53">
        <v>1</v>
      </c>
      <c r="G508" s="53">
        <v>0</v>
      </c>
      <c r="H508" s="53">
        <v>1</v>
      </c>
      <c r="I508" s="53" t="s">
        <v>1306</v>
      </c>
      <c r="J508" s="53" t="s">
        <v>1314</v>
      </c>
      <c r="K508" s="53">
        <v>3.5</v>
      </c>
      <c r="L508" s="53">
        <v>0</v>
      </c>
      <c r="M508" s="92">
        <v>1</v>
      </c>
      <c r="N508" s="53">
        <v>0</v>
      </c>
      <c r="O508" s="104" t="s">
        <v>1520</v>
      </c>
      <c r="P508" s="53" t="s">
        <v>1306</v>
      </c>
      <c r="Q508" s="53" t="s">
        <v>1306</v>
      </c>
      <c r="R508" s="53">
        <v>0</v>
      </c>
      <c r="S508" s="53">
        <v>0</v>
      </c>
      <c r="T508" s="53">
        <v>0</v>
      </c>
      <c r="U508" s="53">
        <v>0</v>
      </c>
      <c r="V508" s="53">
        <v>0</v>
      </c>
      <c r="W508" s="53">
        <v>0</v>
      </c>
      <c r="X508" s="53">
        <v>0</v>
      </c>
    </row>
    <row r="509" spans="1:24" s="5" customFormat="1" x14ac:dyDescent="0.15">
      <c r="A509" s="44" t="s">
        <v>1319</v>
      </c>
      <c r="B509" s="44" t="s">
        <v>1320</v>
      </c>
      <c r="C509" s="44" t="s">
        <v>1321</v>
      </c>
      <c r="D509" s="44">
        <v>1.4</v>
      </c>
      <c r="E509" s="44">
        <v>0</v>
      </c>
      <c r="F509" s="44">
        <v>1</v>
      </c>
      <c r="G509" s="44">
        <v>0</v>
      </c>
      <c r="H509" s="44">
        <v>1</v>
      </c>
      <c r="I509" s="44" t="s">
        <v>27</v>
      </c>
      <c r="J509" s="44" t="s">
        <v>1760</v>
      </c>
      <c r="K509" s="44">
        <v>1</v>
      </c>
      <c r="L509" s="44">
        <v>0</v>
      </c>
      <c r="M509" s="44">
        <v>1</v>
      </c>
      <c r="N509" s="44">
        <v>0</v>
      </c>
      <c r="O509" s="45" t="s">
        <v>1520</v>
      </c>
      <c r="P509" s="46" t="s">
        <v>27</v>
      </c>
      <c r="Q509" s="46" t="s">
        <v>27</v>
      </c>
      <c r="R509" s="46">
        <v>0</v>
      </c>
      <c r="S509" s="46">
        <v>0</v>
      </c>
      <c r="T509" s="47">
        <v>0</v>
      </c>
      <c r="U509" s="46">
        <v>0</v>
      </c>
      <c r="V509" s="46">
        <v>0</v>
      </c>
      <c r="W509" s="46">
        <v>0</v>
      </c>
      <c r="X509" s="46">
        <v>0</v>
      </c>
    </row>
    <row r="510" spans="1:24" s="5" customFormat="1" x14ac:dyDescent="0.15">
      <c r="A510" s="44" t="s">
        <v>1555</v>
      </c>
      <c r="B510" s="44" t="s">
        <v>1320</v>
      </c>
      <c r="C510" s="44" t="s">
        <v>1529</v>
      </c>
      <c r="D510" s="44">
        <v>1.4</v>
      </c>
      <c r="E510" s="44">
        <v>0</v>
      </c>
      <c r="F510" s="44">
        <v>1</v>
      </c>
      <c r="G510" s="44">
        <v>0</v>
      </c>
      <c r="H510" s="44">
        <v>1</v>
      </c>
      <c r="I510" s="44" t="s">
        <v>27</v>
      </c>
      <c r="J510" s="44" t="s">
        <v>1760</v>
      </c>
      <c r="K510" s="44">
        <v>1</v>
      </c>
      <c r="L510" s="44">
        <v>0</v>
      </c>
      <c r="M510" s="44">
        <v>1</v>
      </c>
      <c r="N510" s="44">
        <v>0</v>
      </c>
      <c r="O510" s="45" t="s">
        <v>1520</v>
      </c>
      <c r="P510" s="46" t="s">
        <v>27</v>
      </c>
      <c r="Q510" s="46" t="s">
        <v>27</v>
      </c>
      <c r="R510" s="46">
        <v>0</v>
      </c>
      <c r="S510" s="46">
        <v>0</v>
      </c>
      <c r="T510" s="47">
        <v>0</v>
      </c>
      <c r="U510" s="46">
        <v>0</v>
      </c>
      <c r="V510" s="46">
        <v>0</v>
      </c>
      <c r="W510" s="46">
        <v>0</v>
      </c>
      <c r="X510" s="46">
        <v>0</v>
      </c>
    </row>
    <row r="511" spans="1:24" s="5" customFormat="1" x14ac:dyDescent="0.15">
      <c r="A511" s="44" t="s">
        <v>1556</v>
      </c>
      <c r="B511" s="44" t="s">
        <v>1320</v>
      </c>
      <c r="C511" s="44" t="s">
        <v>1530</v>
      </c>
      <c r="D511" s="44">
        <v>1.4</v>
      </c>
      <c r="E511" s="44">
        <v>0</v>
      </c>
      <c r="F511" s="44">
        <v>1</v>
      </c>
      <c r="G511" s="44">
        <v>0</v>
      </c>
      <c r="H511" s="44">
        <v>1</v>
      </c>
      <c r="I511" s="44" t="s">
        <v>27</v>
      </c>
      <c r="J511" s="44" t="s">
        <v>1760</v>
      </c>
      <c r="K511" s="44">
        <v>1</v>
      </c>
      <c r="L511" s="44">
        <v>0</v>
      </c>
      <c r="M511" s="44">
        <v>1</v>
      </c>
      <c r="N511" s="44">
        <v>0</v>
      </c>
      <c r="O511" s="45" t="s">
        <v>1520</v>
      </c>
      <c r="P511" s="46" t="s">
        <v>27</v>
      </c>
      <c r="Q511" s="46" t="s">
        <v>27</v>
      </c>
      <c r="R511" s="46">
        <v>0</v>
      </c>
      <c r="S511" s="46">
        <v>0</v>
      </c>
      <c r="T511" s="47">
        <v>0</v>
      </c>
      <c r="U511" s="46">
        <v>0</v>
      </c>
      <c r="V511" s="46">
        <v>0</v>
      </c>
      <c r="W511" s="46">
        <v>0</v>
      </c>
      <c r="X511" s="46">
        <v>0</v>
      </c>
    </row>
    <row r="512" spans="1:24" s="5" customFormat="1" x14ac:dyDescent="0.15">
      <c r="A512" s="44" t="s">
        <v>1361</v>
      </c>
      <c r="B512" s="44" t="s">
        <v>1322</v>
      </c>
      <c r="C512" s="44" t="s">
        <v>73</v>
      </c>
      <c r="D512" s="44">
        <v>1.667</v>
      </c>
      <c r="E512" s="44">
        <v>0</v>
      </c>
      <c r="F512" s="44">
        <v>1</v>
      </c>
      <c r="G512" s="44">
        <v>0</v>
      </c>
      <c r="H512" s="44">
        <v>1</v>
      </c>
      <c r="I512" s="44" t="s">
        <v>50</v>
      </c>
      <c r="J512" s="44" t="s">
        <v>1323</v>
      </c>
      <c r="K512" s="44">
        <v>3.3</v>
      </c>
      <c r="L512" s="44">
        <v>0.6</v>
      </c>
      <c r="M512" s="44">
        <v>1</v>
      </c>
      <c r="N512" s="44">
        <v>2</v>
      </c>
      <c r="O512" s="88" t="s">
        <v>1351</v>
      </c>
      <c r="P512" s="46" t="s">
        <v>27</v>
      </c>
      <c r="Q512" s="46" t="s">
        <v>27</v>
      </c>
      <c r="R512" s="46">
        <v>0</v>
      </c>
      <c r="S512" s="46">
        <v>0</v>
      </c>
      <c r="T512" s="47">
        <v>0</v>
      </c>
      <c r="U512" s="46">
        <v>0</v>
      </c>
      <c r="V512" s="46">
        <v>0</v>
      </c>
      <c r="W512" s="46">
        <v>0</v>
      </c>
      <c r="X512" s="46">
        <v>0</v>
      </c>
    </row>
    <row r="513" spans="1:24" s="5" customFormat="1" x14ac:dyDescent="0.15">
      <c r="A513" s="44" t="s">
        <v>1324</v>
      </c>
      <c r="B513" s="44" t="s">
        <v>1325</v>
      </c>
      <c r="C513" s="44" t="s">
        <v>1326</v>
      </c>
      <c r="D513" s="44">
        <v>3.9</v>
      </c>
      <c r="E513" s="44">
        <v>0</v>
      </c>
      <c r="F513" s="44">
        <v>1</v>
      </c>
      <c r="G513" s="44">
        <v>0</v>
      </c>
      <c r="H513" s="44">
        <v>1</v>
      </c>
      <c r="I513" s="44" t="s">
        <v>50</v>
      </c>
      <c r="J513" s="44" t="s">
        <v>1327</v>
      </c>
      <c r="K513" s="44">
        <v>5</v>
      </c>
      <c r="L513" s="44">
        <v>1.5</v>
      </c>
      <c r="M513" s="44">
        <v>2</v>
      </c>
      <c r="N513" s="44">
        <v>0</v>
      </c>
      <c r="O513" s="45" t="s">
        <v>1520</v>
      </c>
      <c r="P513" s="46" t="s">
        <v>50</v>
      </c>
      <c r="Q513" s="46" t="s">
        <v>27</v>
      </c>
      <c r="R513" s="46">
        <v>0</v>
      </c>
      <c r="S513" s="46">
        <v>0</v>
      </c>
      <c r="T513" s="47">
        <v>0</v>
      </c>
      <c r="U513" s="46">
        <v>0</v>
      </c>
      <c r="V513" s="46">
        <v>0</v>
      </c>
      <c r="W513" s="46">
        <v>0</v>
      </c>
      <c r="X513" s="46">
        <v>0</v>
      </c>
    </row>
    <row r="514" spans="1:24" s="5" customFormat="1" x14ac:dyDescent="0.15">
      <c r="A514" s="44" t="s">
        <v>1763</v>
      </c>
      <c r="B514" s="44" t="s">
        <v>1325</v>
      </c>
      <c r="C514" s="44" t="s">
        <v>1761</v>
      </c>
      <c r="D514" s="44">
        <v>0</v>
      </c>
      <c r="E514" s="44">
        <v>0</v>
      </c>
      <c r="F514" s="44">
        <v>1</v>
      </c>
      <c r="G514" s="44">
        <v>0</v>
      </c>
      <c r="H514" s="44">
        <v>1</v>
      </c>
      <c r="I514" s="44" t="s">
        <v>50</v>
      </c>
      <c r="J514" s="44" t="s">
        <v>1762</v>
      </c>
      <c r="K514" s="44">
        <v>5</v>
      </c>
      <c r="L514" s="44">
        <v>1.1000000000000001</v>
      </c>
      <c r="M514" s="44">
        <v>2</v>
      </c>
      <c r="N514" s="44">
        <v>0</v>
      </c>
      <c r="O514" s="45" t="s">
        <v>1520</v>
      </c>
      <c r="P514" s="46" t="s">
        <v>50</v>
      </c>
      <c r="Q514" s="46" t="s">
        <v>27</v>
      </c>
      <c r="R514" s="46">
        <v>0</v>
      </c>
      <c r="S514" s="46">
        <v>0</v>
      </c>
      <c r="T514" s="47">
        <v>0</v>
      </c>
      <c r="U514" s="46">
        <v>0</v>
      </c>
      <c r="V514" s="46">
        <v>0</v>
      </c>
      <c r="W514" s="46">
        <v>0</v>
      </c>
      <c r="X514" s="46">
        <v>0</v>
      </c>
    </row>
    <row r="515" spans="1:24" s="5" customFormat="1" x14ac:dyDescent="0.15">
      <c r="A515" s="44" t="s">
        <v>1328</v>
      </c>
      <c r="B515" s="44" t="s">
        <v>1329</v>
      </c>
      <c r="C515" s="44" t="s">
        <v>1330</v>
      </c>
      <c r="D515" s="44">
        <v>3.6669999999999998</v>
      </c>
      <c r="E515" s="44">
        <v>0</v>
      </c>
      <c r="F515" s="44">
        <v>1</v>
      </c>
      <c r="G515" s="44">
        <v>0</v>
      </c>
      <c r="H515" s="44">
        <v>1</v>
      </c>
      <c r="I515" s="44" t="s">
        <v>50</v>
      </c>
      <c r="J515" s="44" t="s">
        <v>1764</v>
      </c>
      <c r="K515" s="44">
        <v>3</v>
      </c>
      <c r="L515" s="44">
        <v>2</v>
      </c>
      <c r="M515" s="44">
        <v>1</v>
      </c>
      <c r="N515" s="44">
        <v>0</v>
      </c>
      <c r="O515" s="88" t="s">
        <v>1769</v>
      </c>
      <c r="P515" s="46" t="s">
        <v>27</v>
      </c>
      <c r="Q515" s="46" t="s">
        <v>27</v>
      </c>
      <c r="R515" s="46">
        <v>0</v>
      </c>
      <c r="S515" s="46">
        <v>0</v>
      </c>
      <c r="T515" s="47">
        <v>0</v>
      </c>
      <c r="U515" s="46">
        <v>0</v>
      </c>
      <c r="V515" s="46">
        <v>0</v>
      </c>
      <c r="W515" s="46">
        <v>0</v>
      </c>
      <c r="X515" s="46">
        <v>0</v>
      </c>
    </row>
    <row r="516" spans="1:24" s="5" customFormat="1" x14ac:dyDescent="0.15">
      <c r="A516" s="44" t="s">
        <v>1385</v>
      </c>
      <c r="B516" s="44" t="s">
        <v>1371</v>
      </c>
      <c r="C516" s="44" t="s">
        <v>1372</v>
      </c>
      <c r="D516" s="44">
        <v>1.4</v>
      </c>
      <c r="E516" s="44">
        <v>0</v>
      </c>
      <c r="F516" s="44">
        <v>1</v>
      </c>
      <c r="G516" s="44">
        <v>0</v>
      </c>
      <c r="H516" s="44">
        <v>1</v>
      </c>
      <c r="I516" s="44" t="s">
        <v>1378</v>
      </c>
      <c r="J516" s="44" t="s">
        <v>1379</v>
      </c>
      <c r="K516" s="44">
        <v>1.4</v>
      </c>
      <c r="L516" s="44">
        <v>0</v>
      </c>
      <c r="M516" s="44">
        <v>1</v>
      </c>
      <c r="N516" s="44">
        <v>0</v>
      </c>
      <c r="O516" s="88" t="s">
        <v>1520</v>
      </c>
      <c r="P516" s="46" t="s">
        <v>1362</v>
      </c>
      <c r="Q516" s="46" t="s">
        <v>1362</v>
      </c>
      <c r="R516" s="46">
        <v>0</v>
      </c>
      <c r="S516" s="46">
        <v>0</v>
      </c>
      <c r="T516" s="47">
        <v>0</v>
      </c>
      <c r="U516" s="46">
        <v>0</v>
      </c>
      <c r="V516" s="46">
        <v>0</v>
      </c>
      <c r="W516" s="46">
        <v>0</v>
      </c>
      <c r="X516" s="46">
        <v>0</v>
      </c>
    </row>
    <row r="517" spans="1:24" s="5" customFormat="1" x14ac:dyDescent="0.15">
      <c r="A517" s="44" t="s">
        <v>1384</v>
      </c>
      <c r="B517" s="44" t="s">
        <v>1373</v>
      </c>
      <c r="C517" s="44" t="s">
        <v>1391</v>
      </c>
      <c r="D517" s="44">
        <v>1.667</v>
      </c>
      <c r="E517" s="44">
        <v>0</v>
      </c>
      <c r="F517" s="44">
        <v>1</v>
      </c>
      <c r="G517" s="44">
        <v>0</v>
      </c>
      <c r="H517" s="44">
        <v>1</v>
      </c>
      <c r="I517" s="44" t="s">
        <v>1378</v>
      </c>
      <c r="J517" s="44" t="s">
        <v>1380</v>
      </c>
      <c r="K517" s="44">
        <v>1.667</v>
      </c>
      <c r="L517" s="44">
        <v>0.3</v>
      </c>
      <c r="M517" s="44">
        <v>1</v>
      </c>
      <c r="N517" s="44">
        <v>0</v>
      </c>
      <c r="O517" s="88" t="s">
        <v>1520</v>
      </c>
      <c r="P517" s="46" t="s">
        <v>1362</v>
      </c>
      <c r="Q517" s="46" t="s">
        <v>1362</v>
      </c>
      <c r="R517" s="46">
        <v>0</v>
      </c>
      <c r="S517" s="46">
        <v>0</v>
      </c>
      <c r="T517" s="47">
        <v>0</v>
      </c>
      <c r="U517" s="46">
        <v>0</v>
      </c>
      <c r="V517" s="46">
        <v>0</v>
      </c>
      <c r="W517" s="46">
        <v>0</v>
      </c>
      <c r="X517" s="46">
        <v>0</v>
      </c>
    </row>
    <row r="518" spans="1:24" s="5" customFormat="1" x14ac:dyDescent="0.15">
      <c r="A518" s="44" t="s">
        <v>1386</v>
      </c>
      <c r="B518" s="44" t="s">
        <v>1374</v>
      </c>
      <c r="C518" s="44" t="s">
        <v>1375</v>
      </c>
      <c r="D518" s="44">
        <v>1.9330000000000001</v>
      </c>
      <c r="E518" s="44">
        <v>0</v>
      </c>
      <c r="F518" s="44">
        <v>1</v>
      </c>
      <c r="G518" s="44">
        <v>0</v>
      </c>
      <c r="H518" s="44">
        <v>1</v>
      </c>
      <c r="I518" s="44" t="s">
        <v>1378</v>
      </c>
      <c r="J518" s="44" t="s">
        <v>1381</v>
      </c>
      <c r="K518" s="44">
        <v>1.9330000000000001</v>
      </c>
      <c r="L518" s="44">
        <v>0</v>
      </c>
      <c r="M518" s="44">
        <v>1</v>
      </c>
      <c r="N518" s="44">
        <v>0</v>
      </c>
      <c r="O518" s="88" t="s">
        <v>1520</v>
      </c>
      <c r="P518" s="46" t="s">
        <v>1362</v>
      </c>
      <c r="Q518" s="46" t="s">
        <v>1362</v>
      </c>
      <c r="R518" s="46">
        <v>0</v>
      </c>
      <c r="S518" s="46">
        <v>0</v>
      </c>
      <c r="T518" s="47">
        <v>0</v>
      </c>
      <c r="U518" s="46">
        <v>0</v>
      </c>
      <c r="V518" s="46">
        <v>0</v>
      </c>
      <c r="W518" s="46">
        <v>0</v>
      </c>
      <c r="X518" s="46">
        <v>0</v>
      </c>
    </row>
    <row r="519" spans="1:24" s="5" customFormat="1" x14ac:dyDescent="0.15">
      <c r="A519" s="44" t="s">
        <v>1387</v>
      </c>
      <c r="B519" s="44" t="s">
        <v>1376</v>
      </c>
      <c r="C519" s="44" t="s">
        <v>1390</v>
      </c>
      <c r="D519" s="44">
        <v>2.4670000000000001</v>
      </c>
      <c r="E519" s="44">
        <v>0</v>
      </c>
      <c r="F519" s="44">
        <v>1</v>
      </c>
      <c r="G519" s="44">
        <v>0</v>
      </c>
      <c r="H519" s="44">
        <v>1</v>
      </c>
      <c r="I519" s="44" t="s">
        <v>1378</v>
      </c>
      <c r="J519" s="44" t="s">
        <v>1382</v>
      </c>
      <c r="K519" s="44">
        <v>2.4670000000000001</v>
      </c>
      <c r="L519" s="44">
        <v>0</v>
      </c>
      <c r="M519" s="44">
        <v>1</v>
      </c>
      <c r="N519" s="44">
        <v>0</v>
      </c>
      <c r="O519" s="88" t="s">
        <v>1520</v>
      </c>
      <c r="P519" s="46" t="s">
        <v>1362</v>
      </c>
      <c r="Q519" s="46" t="s">
        <v>1362</v>
      </c>
      <c r="R519" s="46">
        <v>0</v>
      </c>
      <c r="S519" s="46">
        <v>0</v>
      </c>
      <c r="T519" s="47">
        <v>0</v>
      </c>
      <c r="U519" s="46">
        <v>0</v>
      </c>
      <c r="V519" s="46">
        <v>0</v>
      </c>
      <c r="W519" s="46">
        <v>0</v>
      </c>
      <c r="X519" s="46">
        <v>0</v>
      </c>
    </row>
    <row r="520" spans="1:24" s="5" customFormat="1" x14ac:dyDescent="0.15">
      <c r="A520" s="44" t="s">
        <v>1388</v>
      </c>
      <c r="B520" s="44" t="s">
        <v>1377</v>
      </c>
      <c r="C520" s="44" t="s">
        <v>1378</v>
      </c>
      <c r="D520" s="44">
        <v>0</v>
      </c>
      <c r="E520" s="44">
        <v>0</v>
      </c>
      <c r="F520" s="44">
        <v>1</v>
      </c>
      <c r="G520" s="44">
        <v>0</v>
      </c>
      <c r="H520" s="44" t="s">
        <v>1378</v>
      </c>
      <c r="I520" s="44" t="s">
        <v>1378</v>
      </c>
      <c r="J520" s="44" t="s">
        <v>1383</v>
      </c>
      <c r="K520" s="44">
        <v>5</v>
      </c>
      <c r="L520" s="44">
        <v>1.2</v>
      </c>
      <c r="M520" s="44">
        <v>2</v>
      </c>
      <c r="N520" s="44">
        <v>4</v>
      </c>
      <c r="O520" s="88" t="s">
        <v>1389</v>
      </c>
      <c r="P520" s="46" t="s">
        <v>1362</v>
      </c>
      <c r="Q520" s="46" t="s">
        <v>1362</v>
      </c>
      <c r="R520" s="46">
        <v>0</v>
      </c>
      <c r="S520" s="46">
        <v>0</v>
      </c>
      <c r="T520" s="47">
        <v>0</v>
      </c>
      <c r="U520" s="46">
        <v>0</v>
      </c>
      <c r="V520" s="46">
        <v>0</v>
      </c>
      <c r="W520" s="46">
        <v>0</v>
      </c>
      <c r="X520" s="46">
        <v>0</v>
      </c>
    </row>
    <row r="521" spans="1:24" s="5" customFormat="1" x14ac:dyDescent="0.15">
      <c r="A521" s="44" t="s">
        <v>1557</v>
      </c>
      <c r="B521" s="44" t="s">
        <v>1433</v>
      </c>
      <c r="C521" s="44" t="s">
        <v>28</v>
      </c>
      <c r="D521" s="44">
        <v>1</v>
      </c>
      <c r="E521" s="44">
        <v>0</v>
      </c>
      <c r="F521" s="44">
        <v>2</v>
      </c>
      <c r="G521" s="44">
        <v>25</v>
      </c>
      <c r="H521" s="44">
        <v>1</v>
      </c>
      <c r="I521" s="44" t="s">
        <v>27</v>
      </c>
      <c r="J521" s="44" t="s">
        <v>1427</v>
      </c>
      <c r="K521" s="44">
        <v>5</v>
      </c>
      <c r="L521" s="44">
        <v>0.45</v>
      </c>
      <c r="M521" s="44">
        <v>1</v>
      </c>
      <c r="N521" s="44">
        <v>1</v>
      </c>
      <c r="O521" s="45" t="s">
        <v>1520</v>
      </c>
      <c r="P521" s="46" t="s">
        <v>27</v>
      </c>
      <c r="Q521" s="46" t="s">
        <v>27</v>
      </c>
      <c r="R521" s="46">
        <v>0</v>
      </c>
      <c r="S521" s="46">
        <v>0</v>
      </c>
      <c r="T521" s="47">
        <v>0</v>
      </c>
      <c r="U521" s="46">
        <v>0</v>
      </c>
      <c r="V521" s="46">
        <v>0</v>
      </c>
      <c r="W521" s="46">
        <v>0</v>
      </c>
      <c r="X521" s="46">
        <v>0</v>
      </c>
    </row>
    <row r="522" spans="1:24" s="5" customFormat="1" x14ac:dyDescent="0.15">
      <c r="A522" s="44" t="s">
        <v>1558</v>
      </c>
      <c r="B522" s="44" t="s">
        <v>1560</v>
      </c>
      <c r="C522" s="44" t="s">
        <v>28</v>
      </c>
      <c r="D522" s="44">
        <v>1</v>
      </c>
      <c r="E522" s="44">
        <v>0</v>
      </c>
      <c r="F522" s="44">
        <v>2</v>
      </c>
      <c r="G522" s="44">
        <v>25</v>
      </c>
      <c r="H522" s="44">
        <v>1</v>
      </c>
      <c r="I522" s="44" t="s">
        <v>27</v>
      </c>
      <c r="J522" s="44" t="s">
        <v>1417</v>
      </c>
      <c r="K522" s="44">
        <v>5</v>
      </c>
      <c r="L522" s="44">
        <v>0.45</v>
      </c>
      <c r="M522" s="44">
        <v>1</v>
      </c>
      <c r="N522" s="44">
        <v>1</v>
      </c>
      <c r="O522" s="45" t="s">
        <v>1520</v>
      </c>
      <c r="P522" s="46" t="s">
        <v>27</v>
      </c>
      <c r="Q522" s="46" t="s">
        <v>27</v>
      </c>
      <c r="R522" s="46">
        <v>0</v>
      </c>
      <c r="S522" s="46">
        <v>0</v>
      </c>
      <c r="T522" s="47">
        <v>0</v>
      </c>
      <c r="U522" s="46">
        <v>0</v>
      </c>
      <c r="V522" s="46">
        <v>0</v>
      </c>
      <c r="W522" s="46">
        <v>0</v>
      </c>
      <c r="X522" s="46">
        <v>0</v>
      </c>
    </row>
    <row r="523" spans="1:24" s="5" customFormat="1" x14ac:dyDescent="0.15">
      <c r="A523" s="44" t="s">
        <v>1559</v>
      </c>
      <c r="B523" s="44" t="s">
        <v>1561</v>
      </c>
      <c r="C523" s="44" t="s">
        <v>28</v>
      </c>
      <c r="D523" s="44">
        <v>1</v>
      </c>
      <c r="E523" s="44">
        <v>0</v>
      </c>
      <c r="F523" s="44">
        <v>2</v>
      </c>
      <c r="G523" s="44">
        <v>25</v>
      </c>
      <c r="H523" s="44">
        <v>1</v>
      </c>
      <c r="I523" s="44" t="s">
        <v>27</v>
      </c>
      <c r="J523" s="44" t="s">
        <v>1417</v>
      </c>
      <c r="K523" s="44">
        <v>5</v>
      </c>
      <c r="L523" s="44">
        <v>0.45</v>
      </c>
      <c r="M523" s="44">
        <v>1</v>
      </c>
      <c r="N523" s="44">
        <v>1</v>
      </c>
      <c r="O523" s="45" t="s">
        <v>1520</v>
      </c>
      <c r="P523" s="46" t="s">
        <v>27</v>
      </c>
      <c r="Q523" s="46" t="s">
        <v>27</v>
      </c>
      <c r="R523" s="46">
        <v>0</v>
      </c>
      <c r="S523" s="46">
        <v>0</v>
      </c>
      <c r="T523" s="47">
        <v>0</v>
      </c>
      <c r="U523" s="46">
        <v>0</v>
      </c>
      <c r="V523" s="46">
        <v>0</v>
      </c>
      <c r="W523" s="46">
        <v>0</v>
      </c>
      <c r="X523" s="46">
        <v>0</v>
      </c>
    </row>
    <row r="524" spans="1:24" s="5" customFormat="1" x14ac:dyDescent="0.15">
      <c r="A524" s="44" t="s">
        <v>1418</v>
      </c>
      <c r="B524" s="44" t="s">
        <v>1434</v>
      </c>
      <c r="C524" s="44" t="s">
        <v>73</v>
      </c>
      <c r="D524" s="44">
        <v>1.667</v>
      </c>
      <c r="E524" s="44">
        <v>0</v>
      </c>
      <c r="F524" s="44">
        <v>1</v>
      </c>
      <c r="G524" s="44">
        <v>0</v>
      </c>
      <c r="H524" s="44">
        <v>1</v>
      </c>
      <c r="I524" s="44" t="s">
        <v>27</v>
      </c>
      <c r="J524" s="44" t="s">
        <v>1428</v>
      </c>
      <c r="K524" s="44">
        <v>5</v>
      </c>
      <c r="L524" s="44">
        <v>0.9</v>
      </c>
      <c r="M524" s="44">
        <v>3</v>
      </c>
      <c r="N524" s="44">
        <v>3</v>
      </c>
      <c r="O524" s="45" t="s">
        <v>1520</v>
      </c>
      <c r="P524" s="46" t="s">
        <v>27</v>
      </c>
      <c r="Q524" s="46" t="s">
        <v>27</v>
      </c>
      <c r="R524" s="46">
        <v>0</v>
      </c>
      <c r="S524" s="46">
        <v>0</v>
      </c>
      <c r="T524" s="47">
        <v>0</v>
      </c>
      <c r="U524" s="46">
        <v>0</v>
      </c>
      <c r="V524" s="46">
        <v>0</v>
      </c>
      <c r="W524" s="46">
        <v>0</v>
      </c>
      <c r="X524" s="46">
        <v>0</v>
      </c>
    </row>
    <row r="525" spans="1:24" s="5" customFormat="1" x14ac:dyDescent="0.15">
      <c r="A525" s="44" t="s">
        <v>1419</v>
      </c>
      <c r="B525" s="44" t="s">
        <v>1435</v>
      </c>
      <c r="C525" s="44" t="s">
        <v>29</v>
      </c>
      <c r="D525" s="44">
        <v>2.5</v>
      </c>
      <c r="E525" s="44">
        <v>0</v>
      </c>
      <c r="F525" s="44">
        <v>1</v>
      </c>
      <c r="G525" s="44">
        <v>0</v>
      </c>
      <c r="H525" s="44" t="s">
        <v>50</v>
      </c>
      <c r="I525" s="44" t="s">
        <v>50</v>
      </c>
      <c r="J525" s="44" t="s">
        <v>50</v>
      </c>
      <c r="K525" s="44">
        <v>5</v>
      </c>
      <c r="L525" s="44">
        <v>0</v>
      </c>
      <c r="M525" s="44">
        <v>1</v>
      </c>
      <c r="N525" s="44">
        <v>0</v>
      </c>
      <c r="O525" s="45" t="s">
        <v>1520</v>
      </c>
      <c r="P525" s="46" t="s">
        <v>27</v>
      </c>
      <c r="Q525" s="46" t="s">
        <v>27</v>
      </c>
      <c r="R525" s="46">
        <v>0</v>
      </c>
      <c r="S525" s="46">
        <v>0</v>
      </c>
      <c r="T525" s="47">
        <v>0</v>
      </c>
      <c r="U525" s="46">
        <v>0</v>
      </c>
      <c r="V525" s="46">
        <v>0</v>
      </c>
      <c r="W525" s="46">
        <v>0</v>
      </c>
      <c r="X525" s="46">
        <v>0</v>
      </c>
    </row>
    <row r="526" spans="1:24" s="5" customFormat="1" x14ac:dyDescent="0.15">
      <c r="A526" s="44" t="s">
        <v>1420</v>
      </c>
      <c r="B526" s="44" t="s">
        <v>1436</v>
      </c>
      <c r="C526" s="44" t="s">
        <v>72</v>
      </c>
      <c r="D526" s="44">
        <v>0</v>
      </c>
      <c r="E526" s="44">
        <v>0</v>
      </c>
      <c r="F526" s="44">
        <v>2</v>
      </c>
      <c r="G526" s="44">
        <v>20</v>
      </c>
      <c r="H526" s="44">
        <v>1</v>
      </c>
      <c r="I526" s="44" t="s">
        <v>27</v>
      </c>
      <c r="J526" s="44" t="s">
        <v>1429</v>
      </c>
      <c r="K526" s="44">
        <v>5</v>
      </c>
      <c r="L526" s="44">
        <v>0</v>
      </c>
      <c r="M526" s="44">
        <v>1</v>
      </c>
      <c r="N526" s="44">
        <v>1</v>
      </c>
      <c r="O526" s="45" t="s">
        <v>1520</v>
      </c>
      <c r="P526" s="46" t="s">
        <v>27</v>
      </c>
      <c r="Q526" s="46" t="s">
        <v>27</v>
      </c>
      <c r="R526" s="46">
        <v>0</v>
      </c>
      <c r="S526" s="46">
        <v>0</v>
      </c>
      <c r="T526" s="47">
        <v>0</v>
      </c>
      <c r="U526" s="46">
        <v>0</v>
      </c>
      <c r="V526" s="46">
        <v>0</v>
      </c>
      <c r="W526" s="46">
        <v>0</v>
      </c>
      <c r="X526" s="46">
        <v>0</v>
      </c>
    </row>
    <row r="527" spans="1:24" s="5" customFormat="1" x14ac:dyDescent="0.15">
      <c r="A527" s="44" t="s">
        <v>1421</v>
      </c>
      <c r="B527" s="44" t="s">
        <v>1437</v>
      </c>
      <c r="C527" s="44" t="s">
        <v>29</v>
      </c>
      <c r="D527" s="44">
        <v>2.5</v>
      </c>
      <c r="E527" s="44">
        <v>0</v>
      </c>
      <c r="F527" s="44">
        <v>11</v>
      </c>
      <c r="G527" s="44">
        <v>0</v>
      </c>
      <c r="H527" s="44" t="s">
        <v>50</v>
      </c>
      <c r="I527" s="44" t="s">
        <v>27</v>
      </c>
      <c r="J527" s="44" t="s">
        <v>50</v>
      </c>
      <c r="K527" s="44">
        <v>5</v>
      </c>
      <c r="L527" s="44">
        <v>0</v>
      </c>
      <c r="M527" s="44">
        <v>1</v>
      </c>
      <c r="N527" s="44">
        <v>1</v>
      </c>
      <c r="O527" s="45" t="s">
        <v>1520</v>
      </c>
      <c r="P527" s="46" t="s">
        <v>27</v>
      </c>
      <c r="Q527" s="46" t="s">
        <v>27</v>
      </c>
      <c r="R527" s="46">
        <v>0</v>
      </c>
      <c r="S527" s="46">
        <v>0</v>
      </c>
      <c r="T527" s="47">
        <v>0</v>
      </c>
      <c r="U527" s="46">
        <v>0</v>
      </c>
      <c r="V527" s="46">
        <v>0</v>
      </c>
      <c r="W527" s="46">
        <v>0</v>
      </c>
      <c r="X527" s="46">
        <v>0</v>
      </c>
    </row>
    <row r="528" spans="1:24" s="5" customFormat="1" x14ac:dyDescent="0.15">
      <c r="A528" s="44" t="s">
        <v>1422</v>
      </c>
      <c r="B528" s="44" t="s">
        <v>1438</v>
      </c>
      <c r="C528" s="44" t="s">
        <v>50</v>
      </c>
      <c r="D528" s="44">
        <v>0</v>
      </c>
      <c r="E528" s="44">
        <v>0</v>
      </c>
      <c r="F528" s="44">
        <v>11</v>
      </c>
      <c r="G528" s="44">
        <v>0</v>
      </c>
      <c r="H528" s="44" t="s">
        <v>50</v>
      </c>
      <c r="I528" s="44" t="s">
        <v>50</v>
      </c>
      <c r="J528" s="44" t="s">
        <v>110</v>
      </c>
      <c r="K528" s="44">
        <v>7</v>
      </c>
      <c r="L528" s="44">
        <v>0</v>
      </c>
      <c r="M528" s="44">
        <v>2</v>
      </c>
      <c r="N528" s="44">
        <v>0</v>
      </c>
      <c r="O528" s="45" t="s">
        <v>1520</v>
      </c>
      <c r="P528" s="46" t="s">
        <v>27</v>
      </c>
      <c r="Q528" s="46" t="s">
        <v>27</v>
      </c>
      <c r="R528" s="46">
        <v>0</v>
      </c>
      <c r="S528" s="46">
        <v>0</v>
      </c>
      <c r="T528" s="47">
        <v>0</v>
      </c>
      <c r="U528" s="46">
        <v>0</v>
      </c>
      <c r="V528" s="46">
        <v>0</v>
      </c>
      <c r="W528" s="46">
        <v>0</v>
      </c>
      <c r="X528" s="46">
        <v>0</v>
      </c>
    </row>
    <row r="529" spans="1:46" s="5" customFormat="1" x14ac:dyDescent="0.15">
      <c r="A529" s="44" t="s">
        <v>1423</v>
      </c>
      <c r="B529" s="44" t="s">
        <v>1439</v>
      </c>
      <c r="C529" s="44" t="s">
        <v>27</v>
      </c>
      <c r="D529" s="44">
        <v>0</v>
      </c>
      <c r="E529" s="44">
        <v>0</v>
      </c>
      <c r="F529" s="44">
        <v>1</v>
      </c>
      <c r="G529" s="44">
        <v>0</v>
      </c>
      <c r="H529" s="44" t="s">
        <v>50</v>
      </c>
      <c r="I529" s="44" t="s">
        <v>27</v>
      </c>
      <c r="J529" s="44" t="s">
        <v>27</v>
      </c>
      <c r="K529" s="44">
        <v>5</v>
      </c>
      <c r="L529" s="44">
        <v>0</v>
      </c>
      <c r="M529" s="44">
        <v>1</v>
      </c>
      <c r="N529" s="44">
        <v>0</v>
      </c>
      <c r="O529" s="45" t="s">
        <v>1520</v>
      </c>
      <c r="P529" s="46" t="s">
        <v>27</v>
      </c>
      <c r="Q529" s="46" t="s">
        <v>27</v>
      </c>
      <c r="R529" s="46">
        <v>0</v>
      </c>
      <c r="S529" s="46">
        <v>0</v>
      </c>
      <c r="T529" s="47">
        <v>0</v>
      </c>
      <c r="U529" s="46">
        <v>0</v>
      </c>
      <c r="V529" s="46">
        <v>0</v>
      </c>
      <c r="W529" s="46">
        <v>0</v>
      </c>
      <c r="X529" s="46">
        <v>0</v>
      </c>
    </row>
    <row r="530" spans="1:46" s="5" customFormat="1" x14ac:dyDescent="0.15">
      <c r="A530" s="44" t="s">
        <v>1424</v>
      </c>
      <c r="B530" s="44" t="s">
        <v>1440</v>
      </c>
      <c r="C530" s="44" t="s">
        <v>73</v>
      </c>
      <c r="D530" s="44">
        <v>2.1669999999999998</v>
      </c>
      <c r="E530" s="44">
        <v>0</v>
      </c>
      <c r="F530" s="44">
        <v>1</v>
      </c>
      <c r="G530" s="44">
        <v>0</v>
      </c>
      <c r="H530" s="44" t="s">
        <v>50</v>
      </c>
      <c r="I530" s="44" t="s">
        <v>27</v>
      </c>
      <c r="J530" s="44" t="s">
        <v>1430</v>
      </c>
      <c r="K530" s="44">
        <v>5</v>
      </c>
      <c r="L530" s="44">
        <v>0</v>
      </c>
      <c r="M530" s="44">
        <v>1</v>
      </c>
      <c r="N530" s="44">
        <v>0</v>
      </c>
      <c r="O530" s="45" t="s">
        <v>1520</v>
      </c>
      <c r="P530" s="46" t="s">
        <v>27</v>
      </c>
      <c r="Q530" s="46" t="s">
        <v>27</v>
      </c>
      <c r="R530" s="46">
        <v>0</v>
      </c>
      <c r="S530" s="46">
        <v>0</v>
      </c>
      <c r="T530" s="47">
        <v>0</v>
      </c>
      <c r="U530" s="46">
        <v>0</v>
      </c>
      <c r="V530" s="46">
        <v>0</v>
      </c>
      <c r="W530" s="46">
        <v>0</v>
      </c>
      <c r="X530" s="46">
        <v>0</v>
      </c>
    </row>
    <row r="531" spans="1:46" s="5" customFormat="1" x14ac:dyDescent="0.15">
      <c r="A531" s="44" t="s">
        <v>1425</v>
      </c>
      <c r="B531" s="44" t="s">
        <v>1441</v>
      </c>
      <c r="C531" s="44" t="s">
        <v>73</v>
      </c>
      <c r="D531" s="44">
        <v>0</v>
      </c>
      <c r="E531" s="44">
        <v>0</v>
      </c>
      <c r="F531" s="44">
        <v>2</v>
      </c>
      <c r="G531" s="44">
        <v>20</v>
      </c>
      <c r="H531" s="44">
        <v>1</v>
      </c>
      <c r="I531" s="44" t="s">
        <v>27</v>
      </c>
      <c r="J531" s="44" t="s">
        <v>1431</v>
      </c>
      <c r="K531" s="44">
        <v>5</v>
      </c>
      <c r="L531" s="44">
        <v>0.1</v>
      </c>
      <c r="M531" s="44">
        <v>1</v>
      </c>
      <c r="N531" s="44">
        <v>0</v>
      </c>
      <c r="O531" s="45" t="s">
        <v>1520</v>
      </c>
      <c r="P531" s="46" t="s">
        <v>27</v>
      </c>
      <c r="Q531" s="46" t="s">
        <v>27</v>
      </c>
      <c r="R531" s="46">
        <v>0</v>
      </c>
      <c r="S531" s="46">
        <v>0</v>
      </c>
      <c r="T531" s="47">
        <v>0</v>
      </c>
      <c r="U531" s="46">
        <v>0</v>
      </c>
      <c r="V531" s="46">
        <v>0</v>
      </c>
      <c r="W531" s="46">
        <v>0</v>
      </c>
      <c r="X531" s="46">
        <v>0</v>
      </c>
    </row>
    <row r="532" spans="1:46" s="5" customFormat="1" x14ac:dyDescent="0.15">
      <c r="A532" s="44" t="s">
        <v>1426</v>
      </c>
      <c r="B532" s="44" t="s">
        <v>1442</v>
      </c>
      <c r="C532" s="44" t="s">
        <v>73</v>
      </c>
      <c r="D532" s="44">
        <v>0</v>
      </c>
      <c r="E532" s="44">
        <v>0</v>
      </c>
      <c r="F532" s="44">
        <v>11</v>
      </c>
      <c r="G532" s="44">
        <v>0</v>
      </c>
      <c r="H532" s="44">
        <v>1</v>
      </c>
      <c r="I532" s="44" t="s">
        <v>27</v>
      </c>
      <c r="J532" s="44" t="s">
        <v>1432</v>
      </c>
      <c r="K532" s="44">
        <v>1.5</v>
      </c>
      <c r="L532" s="44">
        <v>0</v>
      </c>
      <c r="M532" s="44">
        <v>1</v>
      </c>
      <c r="N532" s="44">
        <v>1</v>
      </c>
      <c r="O532" s="45" t="s">
        <v>1520</v>
      </c>
      <c r="P532" s="46" t="s">
        <v>27</v>
      </c>
      <c r="Q532" s="46" t="s">
        <v>27</v>
      </c>
      <c r="R532" s="46">
        <v>0</v>
      </c>
      <c r="S532" s="46">
        <v>0</v>
      </c>
      <c r="T532" s="47">
        <v>0</v>
      </c>
      <c r="U532" s="46">
        <v>0</v>
      </c>
      <c r="V532" s="46">
        <v>0</v>
      </c>
      <c r="W532" s="46">
        <v>0</v>
      </c>
      <c r="X532" s="46">
        <v>0</v>
      </c>
    </row>
    <row r="533" spans="1:46" s="105" customFormat="1" x14ac:dyDescent="0.15">
      <c r="A533" s="105" t="s">
        <v>1286</v>
      </c>
      <c r="B533" s="105" t="s">
        <v>1597</v>
      </c>
      <c r="C533" s="105" t="s">
        <v>71</v>
      </c>
      <c r="D533" s="105">
        <v>1.4</v>
      </c>
      <c r="E533" s="105">
        <v>0</v>
      </c>
      <c r="F533" s="105">
        <v>2</v>
      </c>
      <c r="G533" s="105">
        <v>17</v>
      </c>
      <c r="H533" s="105">
        <v>1</v>
      </c>
      <c r="I533" s="105" t="s">
        <v>27</v>
      </c>
      <c r="J533" s="105" t="s">
        <v>1598</v>
      </c>
      <c r="K533" s="105">
        <v>5</v>
      </c>
      <c r="L533" s="105">
        <v>0.56100000000000005</v>
      </c>
      <c r="M533" s="105">
        <v>1</v>
      </c>
      <c r="N533" s="105">
        <v>1</v>
      </c>
      <c r="O533" s="104" t="s">
        <v>1520</v>
      </c>
      <c r="P533" s="105" t="s">
        <v>27</v>
      </c>
      <c r="Q533" s="105" t="s">
        <v>27</v>
      </c>
      <c r="R533" s="105">
        <v>0</v>
      </c>
      <c r="S533" s="105">
        <v>0</v>
      </c>
      <c r="T533" s="105">
        <v>0</v>
      </c>
      <c r="U533" s="105">
        <v>0</v>
      </c>
      <c r="V533" s="105">
        <v>0</v>
      </c>
      <c r="W533" s="105">
        <v>0</v>
      </c>
      <c r="X533" s="105">
        <v>0</v>
      </c>
    </row>
    <row r="534" spans="1:46" s="105" customFormat="1" x14ac:dyDescent="0.15">
      <c r="A534" s="105" t="s">
        <v>1605</v>
      </c>
      <c r="B534" s="105" t="s">
        <v>1597</v>
      </c>
      <c r="C534" s="105" t="s">
        <v>71</v>
      </c>
      <c r="D534" s="105">
        <v>1.4</v>
      </c>
      <c r="E534" s="105">
        <v>0</v>
      </c>
      <c r="F534" s="105">
        <v>1</v>
      </c>
      <c r="G534" s="105">
        <v>0</v>
      </c>
      <c r="H534" s="105" t="s">
        <v>1604</v>
      </c>
      <c r="I534" s="105" t="s">
        <v>27</v>
      </c>
      <c r="J534" s="105" t="s">
        <v>1288</v>
      </c>
      <c r="K534" s="105">
        <v>5</v>
      </c>
      <c r="L534" s="105">
        <v>0</v>
      </c>
      <c r="M534" s="105">
        <v>2</v>
      </c>
      <c r="N534" s="105">
        <v>0</v>
      </c>
      <c r="O534" s="104" t="s">
        <v>1520</v>
      </c>
      <c r="P534" s="105" t="s">
        <v>27</v>
      </c>
      <c r="Q534" s="105" t="s">
        <v>27</v>
      </c>
      <c r="R534" s="105">
        <v>0</v>
      </c>
      <c r="S534" s="105">
        <v>0</v>
      </c>
      <c r="T534" s="105">
        <v>0</v>
      </c>
      <c r="U534" s="105">
        <v>0</v>
      </c>
      <c r="V534" s="105">
        <v>0</v>
      </c>
      <c r="W534" s="105">
        <v>0</v>
      </c>
      <c r="X534" s="105">
        <v>0</v>
      </c>
    </row>
    <row r="535" spans="1:46" s="105" customFormat="1" x14ac:dyDescent="0.15">
      <c r="A535" s="53" t="s">
        <v>1570</v>
      </c>
      <c r="B535" s="53" t="s">
        <v>1287</v>
      </c>
      <c r="C535" s="53" t="s">
        <v>1545</v>
      </c>
      <c r="D535" s="53">
        <v>1.1599999999999999</v>
      </c>
      <c r="E535" s="53">
        <v>0</v>
      </c>
      <c r="F535" s="53">
        <v>1</v>
      </c>
      <c r="G535" s="53">
        <v>0</v>
      </c>
      <c r="H535" s="53">
        <v>1</v>
      </c>
      <c r="I535" s="53" t="s">
        <v>27</v>
      </c>
      <c r="J535" s="53" t="s">
        <v>1572</v>
      </c>
      <c r="K535" s="53">
        <v>1</v>
      </c>
      <c r="L535" s="53">
        <v>0</v>
      </c>
      <c r="M535" s="92">
        <v>1</v>
      </c>
      <c r="N535" s="53">
        <v>0</v>
      </c>
      <c r="O535" s="104" t="s">
        <v>1520</v>
      </c>
      <c r="P535" s="53" t="s">
        <v>27</v>
      </c>
      <c r="Q535" s="53" t="s">
        <v>27</v>
      </c>
      <c r="R535" s="53">
        <v>0</v>
      </c>
      <c r="S535" s="53">
        <v>0</v>
      </c>
      <c r="T535" s="53">
        <v>0</v>
      </c>
      <c r="U535" s="53">
        <v>0</v>
      </c>
      <c r="V535" s="53">
        <v>0</v>
      </c>
      <c r="W535" s="53">
        <v>0</v>
      </c>
      <c r="X535" s="53">
        <v>0</v>
      </c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</row>
    <row r="536" spans="1:46" s="105" customFormat="1" x14ac:dyDescent="0.15">
      <c r="A536" s="53" t="s">
        <v>1571</v>
      </c>
      <c r="B536" s="53" t="s">
        <v>1287</v>
      </c>
      <c r="C536" s="53" t="s">
        <v>71</v>
      </c>
      <c r="D536" s="53">
        <v>1.1599999999999999</v>
      </c>
      <c r="E536" s="53">
        <v>0</v>
      </c>
      <c r="F536" s="53">
        <v>1</v>
      </c>
      <c r="G536" s="53">
        <v>0</v>
      </c>
      <c r="H536" s="53">
        <v>1</v>
      </c>
      <c r="I536" s="53" t="s">
        <v>27</v>
      </c>
      <c r="J536" s="53" t="s">
        <v>1288</v>
      </c>
      <c r="K536" s="53">
        <v>1</v>
      </c>
      <c r="L536" s="53">
        <v>0</v>
      </c>
      <c r="M536" s="92">
        <v>1</v>
      </c>
      <c r="N536" s="53">
        <v>0</v>
      </c>
      <c r="O536" s="104" t="s">
        <v>1520</v>
      </c>
      <c r="P536" s="53" t="s">
        <v>27</v>
      </c>
      <c r="Q536" s="53" t="s">
        <v>27</v>
      </c>
      <c r="R536" s="53">
        <v>0</v>
      </c>
      <c r="S536" s="53">
        <v>0</v>
      </c>
      <c r="T536" s="53">
        <v>0</v>
      </c>
      <c r="U536" s="53">
        <v>0</v>
      </c>
      <c r="V536" s="53">
        <v>0</v>
      </c>
      <c r="W536" s="53">
        <v>0</v>
      </c>
      <c r="X536" s="53">
        <v>0</v>
      </c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</row>
    <row r="537" spans="1:46" s="105" customFormat="1" x14ac:dyDescent="0.15">
      <c r="A537" s="105" t="s">
        <v>1289</v>
      </c>
      <c r="B537" s="105" t="s">
        <v>1599</v>
      </c>
      <c r="C537" s="105" t="s">
        <v>73</v>
      </c>
      <c r="D537" s="105">
        <v>1.667</v>
      </c>
      <c r="E537" s="105">
        <v>0</v>
      </c>
      <c r="F537" s="105">
        <v>1</v>
      </c>
      <c r="G537" s="105">
        <v>0</v>
      </c>
      <c r="H537" s="105">
        <v>1</v>
      </c>
      <c r="I537" s="105" t="s">
        <v>27</v>
      </c>
      <c r="J537" s="105" t="s">
        <v>1290</v>
      </c>
      <c r="K537" s="105">
        <v>5</v>
      </c>
      <c r="L537" s="105">
        <v>0</v>
      </c>
      <c r="M537" s="105">
        <v>3</v>
      </c>
      <c r="N537" s="105">
        <v>0</v>
      </c>
      <c r="O537" s="106" t="s">
        <v>1682</v>
      </c>
      <c r="P537" s="105" t="s">
        <v>27</v>
      </c>
      <c r="Q537" s="105" t="s">
        <v>27</v>
      </c>
      <c r="R537" s="105">
        <v>0</v>
      </c>
      <c r="S537" s="105">
        <v>0</v>
      </c>
      <c r="T537" s="105">
        <v>0</v>
      </c>
      <c r="U537" s="105">
        <v>0</v>
      </c>
      <c r="V537" s="105">
        <v>0</v>
      </c>
      <c r="W537" s="105">
        <v>0</v>
      </c>
      <c r="X537" s="105">
        <v>0</v>
      </c>
    </row>
    <row r="538" spans="1:46" s="105" customFormat="1" x14ac:dyDescent="0.15">
      <c r="A538" s="105" t="s">
        <v>1683</v>
      </c>
      <c r="B538" s="105" t="s">
        <v>1599</v>
      </c>
      <c r="C538" s="105" t="s">
        <v>73</v>
      </c>
      <c r="D538" s="105">
        <v>1.667</v>
      </c>
      <c r="E538" s="105">
        <v>0</v>
      </c>
      <c r="F538" s="105">
        <v>1</v>
      </c>
      <c r="G538" s="105">
        <v>0</v>
      </c>
      <c r="H538" s="105">
        <v>1</v>
      </c>
      <c r="I538" s="105" t="s">
        <v>27</v>
      </c>
      <c r="J538" s="105" t="s">
        <v>1291</v>
      </c>
      <c r="K538" s="105">
        <v>5</v>
      </c>
      <c r="L538" s="105">
        <v>0</v>
      </c>
      <c r="M538" s="105">
        <v>2</v>
      </c>
      <c r="N538" s="105">
        <v>2</v>
      </c>
      <c r="O538" s="104" t="s">
        <v>1520</v>
      </c>
      <c r="P538" s="105" t="s">
        <v>27</v>
      </c>
      <c r="Q538" s="105" t="s">
        <v>27</v>
      </c>
      <c r="R538" s="105">
        <v>0</v>
      </c>
      <c r="S538" s="105">
        <v>0</v>
      </c>
      <c r="T538" s="105">
        <v>0</v>
      </c>
      <c r="U538" s="105">
        <v>0</v>
      </c>
      <c r="V538" s="105">
        <v>0</v>
      </c>
      <c r="W538" s="105">
        <v>0</v>
      </c>
      <c r="X538" s="105">
        <v>0</v>
      </c>
    </row>
    <row r="539" spans="1:46" x14ac:dyDescent="0.15">
      <c r="A539" s="105" t="s">
        <v>1292</v>
      </c>
      <c r="B539" s="105" t="s">
        <v>1600</v>
      </c>
      <c r="C539" s="105" t="s">
        <v>72</v>
      </c>
      <c r="D539" s="105">
        <v>2.867</v>
      </c>
      <c r="E539" s="105">
        <v>0</v>
      </c>
      <c r="F539" s="105">
        <v>1</v>
      </c>
      <c r="G539" s="105">
        <v>0</v>
      </c>
      <c r="H539" s="105">
        <v>1</v>
      </c>
      <c r="I539" s="105" t="s">
        <v>27</v>
      </c>
      <c r="J539" s="105" t="s">
        <v>1293</v>
      </c>
      <c r="K539" s="105">
        <v>5</v>
      </c>
      <c r="L539" s="105">
        <v>0</v>
      </c>
      <c r="M539" s="105">
        <v>1</v>
      </c>
      <c r="N539" s="105">
        <v>0</v>
      </c>
      <c r="O539" s="104" t="s">
        <v>1520</v>
      </c>
      <c r="P539" s="105" t="s">
        <v>27</v>
      </c>
      <c r="Q539" s="105" t="s">
        <v>27</v>
      </c>
      <c r="R539" s="105">
        <v>0</v>
      </c>
      <c r="S539" s="105">
        <v>0</v>
      </c>
      <c r="T539" s="105">
        <v>0</v>
      </c>
      <c r="U539" s="105">
        <v>0</v>
      </c>
      <c r="V539" s="105">
        <v>0</v>
      </c>
      <c r="W539" s="105">
        <v>0</v>
      </c>
      <c r="X539" s="105">
        <v>0</v>
      </c>
      <c r="Y539" s="105"/>
      <c r="Z539" s="105"/>
      <c r="AA539" s="105"/>
      <c r="AB539" s="105"/>
      <c r="AC539" s="105"/>
      <c r="AD539" s="105"/>
      <c r="AE539" s="105"/>
      <c r="AF539" s="105"/>
      <c r="AG539" s="105"/>
      <c r="AH539" s="105"/>
      <c r="AI539" s="105"/>
      <c r="AJ539" s="105"/>
      <c r="AK539" s="105"/>
      <c r="AL539" s="105"/>
      <c r="AM539" s="105"/>
      <c r="AN539" s="105"/>
      <c r="AO539" s="105"/>
      <c r="AP539" s="105"/>
      <c r="AQ539" s="105"/>
      <c r="AR539" s="105"/>
      <c r="AS539" s="105"/>
      <c r="AT539" s="105"/>
    </row>
    <row r="540" spans="1:46" x14ac:dyDescent="0.15">
      <c r="A540" s="105" t="s">
        <v>1601</v>
      </c>
      <c r="B540" s="105" t="s">
        <v>1600</v>
      </c>
      <c r="C540" s="105" t="s">
        <v>27</v>
      </c>
      <c r="D540" s="105">
        <v>0</v>
      </c>
      <c r="E540" s="105">
        <v>0</v>
      </c>
      <c r="F540" s="105">
        <v>11</v>
      </c>
      <c r="G540" s="105">
        <v>0</v>
      </c>
      <c r="H540" s="105">
        <v>0</v>
      </c>
      <c r="I540" s="105" t="s">
        <v>27</v>
      </c>
      <c r="J540" s="105" t="s">
        <v>1294</v>
      </c>
      <c r="K540" s="105">
        <v>5</v>
      </c>
      <c r="L540" s="105">
        <v>0</v>
      </c>
      <c r="M540" s="105">
        <v>2</v>
      </c>
      <c r="N540" s="105">
        <v>0</v>
      </c>
      <c r="O540" s="106" t="s">
        <v>27</v>
      </c>
      <c r="P540" s="105" t="s">
        <v>27</v>
      </c>
      <c r="Q540" s="105" t="s">
        <v>27</v>
      </c>
      <c r="R540" s="105">
        <v>0</v>
      </c>
      <c r="S540" s="105">
        <v>0</v>
      </c>
      <c r="T540" s="105">
        <v>0</v>
      </c>
      <c r="U540" s="105">
        <v>0</v>
      </c>
      <c r="V540" s="105">
        <v>0</v>
      </c>
      <c r="W540" s="105">
        <v>0</v>
      </c>
      <c r="X540" s="105">
        <v>0</v>
      </c>
      <c r="Y540" s="105"/>
      <c r="Z540" s="105"/>
      <c r="AA540" s="105"/>
      <c r="AB540" s="105"/>
      <c r="AC540" s="105"/>
      <c r="AD540" s="105"/>
      <c r="AE540" s="105"/>
      <c r="AF540" s="105"/>
      <c r="AG540" s="105"/>
      <c r="AH540" s="105"/>
      <c r="AI540" s="105"/>
      <c r="AJ540" s="105"/>
      <c r="AK540" s="105"/>
      <c r="AL540" s="105"/>
      <c r="AM540" s="105"/>
      <c r="AN540" s="105"/>
      <c r="AO540" s="105"/>
      <c r="AP540" s="105"/>
      <c r="AQ540" s="105"/>
      <c r="AR540" s="105"/>
      <c r="AS540" s="105"/>
      <c r="AT540" s="105"/>
    </row>
    <row r="541" spans="1:46" x14ac:dyDescent="0.15">
      <c r="A541" s="105" t="s">
        <v>1295</v>
      </c>
      <c r="B541" s="105" t="s">
        <v>1603</v>
      </c>
      <c r="C541" s="105" t="s">
        <v>73</v>
      </c>
      <c r="D541" s="105">
        <v>3</v>
      </c>
      <c r="E541" s="105">
        <v>0</v>
      </c>
      <c r="F541" s="105">
        <v>1</v>
      </c>
      <c r="G541" s="105">
        <v>0</v>
      </c>
      <c r="H541" s="105">
        <v>1</v>
      </c>
      <c r="I541" s="105" t="s">
        <v>27</v>
      </c>
      <c r="J541" s="105" t="s">
        <v>1296</v>
      </c>
      <c r="K541" s="105">
        <v>5</v>
      </c>
      <c r="L541" s="105">
        <v>0.3</v>
      </c>
      <c r="M541" s="105">
        <v>3</v>
      </c>
      <c r="N541" s="105">
        <v>4</v>
      </c>
      <c r="O541" s="106" t="s">
        <v>27</v>
      </c>
      <c r="P541" s="105" t="s">
        <v>27</v>
      </c>
      <c r="Q541" s="105" t="s">
        <v>27</v>
      </c>
      <c r="R541" s="105">
        <v>0</v>
      </c>
      <c r="S541" s="105">
        <v>0</v>
      </c>
      <c r="T541" s="105">
        <v>0</v>
      </c>
      <c r="U541" s="105">
        <v>0</v>
      </c>
      <c r="V541" s="105">
        <v>0</v>
      </c>
      <c r="W541" s="105">
        <v>0</v>
      </c>
      <c r="X541" s="105">
        <v>0</v>
      </c>
      <c r="Y541" s="105"/>
      <c r="Z541" s="105"/>
      <c r="AA541" s="105"/>
      <c r="AB541" s="105"/>
      <c r="AC541" s="105"/>
      <c r="AD541" s="105"/>
      <c r="AE541" s="105"/>
      <c r="AF541" s="105"/>
      <c r="AG541" s="105"/>
      <c r="AH541" s="105"/>
      <c r="AI541" s="105"/>
      <c r="AJ541" s="105"/>
      <c r="AK541" s="105"/>
      <c r="AL541" s="105"/>
      <c r="AM541" s="105"/>
      <c r="AN541" s="105"/>
      <c r="AO541" s="105"/>
      <c r="AP541" s="105"/>
      <c r="AQ541" s="105"/>
      <c r="AR541" s="105"/>
      <c r="AS541" s="105"/>
      <c r="AT541" s="105"/>
    </row>
    <row r="542" spans="1:46" x14ac:dyDescent="0.15">
      <c r="A542" s="105" t="s">
        <v>1602</v>
      </c>
      <c r="B542" s="105" t="s">
        <v>1603</v>
      </c>
      <c r="C542" s="105" t="s">
        <v>73</v>
      </c>
      <c r="D542" s="105">
        <v>3</v>
      </c>
      <c r="E542" s="105">
        <v>0</v>
      </c>
      <c r="F542" s="105">
        <v>1</v>
      </c>
      <c r="G542" s="105">
        <v>0</v>
      </c>
      <c r="H542" s="105">
        <v>1</v>
      </c>
      <c r="I542" s="105" t="s">
        <v>27</v>
      </c>
      <c r="J542" s="105" t="s">
        <v>1759</v>
      </c>
      <c r="K542" s="105">
        <v>5</v>
      </c>
      <c r="L542" s="105">
        <v>0</v>
      </c>
      <c r="M542" s="105">
        <v>2</v>
      </c>
      <c r="N542" s="105">
        <v>0</v>
      </c>
      <c r="O542" s="104" t="s">
        <v>1520</v>
      </c>
      <c r="P542" s="105" t="s">
        <v>27</v>
      </c>
      <c r="Q542" s="105" t="s">
        <v>27</v>
      </c>
      <c r="R542" s="105">
        <v>0</v>
      </c>
      <c r="S542" s="105">
        <v>0</v>
      </c>
      <c r="T542" s="105">
        <v>0</v>
      </c>
      <c r="U542" s="105">
        <v>0</v>
      </c>
      <c r="V542" s="105">
        <v>0</v>
      </c>
      <c r="W542" s="105">
        <v>0</v>
      </c>
      <c r="X542" s="105">
        <v>0</v>
      </c>
      <c r="Y542" s="105"/>
      <c r="Z542" s="105"/>
      <c r="AA542" s="105"/>
      <c r="AB542" s="105"/>
      <c r="AC542" s="105"/>
      <c r="AD542" s="105"/>
      <c r="AE542" s="105"/>
      <c r="AF542" s="105"/>
      <c r="AG542" s="105"/>
      <c r="AH542" s="105"/>
      <c r="AI542" s="105"/>
      <c r="AJ542" s="105"/>
      <c r="AK542" s="105"/>
      <c r="AL542" s="105"/>
      <c r="AM542" s="105"/>
      <c r="AN542" s="105"/>
      <c r="AO542" s="105"/>
      <c r="AP542" s="105"/>
      <c r="AQ542" s="105"/>
      <c r="AR542" s="105"/>
      <c r="AS542" s="105"/>
      <c r="AT542" s="105"/>
    </row>
    <row r="543" spans="1:46" s="105" customFormat="1" x14ac:dyDescent="0.15">
      <c r="A543" s="105" t="s">
        <v>1127</v>
      </c>
      <c r="B543" s="110" t="s">
        <v>1125</v>
      </c>
      <c r="C543" s="105" t="s">
        <v>71</v>
      </c>
      <c r="D543" s="105">
        <v>1.4</v>
      </c>
      <c r="E543" s="105">
        <v>0</v>
      </c>
      <c r="F543" s="105">
        <v>1</v>
      </c>
      <c r="G543" s="105">
        <v>0</v>
      </c>
      <c r="H543" s="105">
        <v>1</v>
      </c>
      <c r="I543" s="105" t="s">
        <v>27</v>
      </c>
      <c r="J543" s="105" t="s">
        <v>1127</v>
      </c>
      <c r="K543" s="105">
        <v>5</v>
      </c>
      <c r="L543" s="110">
        <v>0</v>
      </c>
      <c r="M543" s="105">
        <v>1</v>
      </c>
      <c r="N543" s="105">
        <v>0</v>
      </c>
      <c r="O543" s="106" t="s">
        <v>27</v>
      </c>
      <c r="P543" s="105" t="s">
        <v>27</v>
      </c>
      <c r="Q543" s="105" t="s">
        <v>27</v>
      </c>
      <c r="R543" s="105">
        <v>0</v>
      </c>
      <c r="S543" s="105">
        <v>0</v>
      </c>
      <c r="T543" s="105">
        <v>0</v>
      </c>
      <c r="U543" s="105">
        <v>0</v>
      </c>
      <c r="V543" s="105">
        <v>0</v>
      </c>
      <c r="W543" s="105">
        <v>0</v>
      </c>
      <c r="X543" s="105">
        <v>0</v>
      </c>
    </row>
    <row r="544" spans="1:46" s="105" customFormat="1" x14ac:dyDescent="0.15">
      <c r="A544" s="105" t="s">
        <v>1128</v>
      </c>
      <c r="B544" s="110" t="s">
        <v>1126</v>
      </c>
      <c r="C544" s="105" t="s">
        <v>73</v>
      </c>
      <c r="D544" s="105">
        <v>1.667</v>
      </c>
      <c r="E544" s="105">
        <v>0.2</v>
      </c>
      <c r="F544" s="105">
        <v>1</v>
      </c>
      <c r="G544" s="105">
        <v>0</v>
      </c>
      <c r="H544" s="105">
        <v>1</v>
      </c>
      <c r="I544" s="105" t="s">
        <v>27</v>
      </c>
      <c r="J544" s="105" t="s">
        <v>1864</v>
      </c>
      <c r="K544" s="105">
        <v>5</v>
      </c>
      <c r="L544" s="110">
        <v>0</v>
      </c>
      <c r="M544" s="105">
        <v>2</v>
      </c>
      <c r="N544" s="105">
        <v>3</v>
      </c>
      <c r="O544" s="109" t="s">
        <v>1753</v>
      </c>
      <c r="P544" s="105" t="s">
        <v>27</v>
      </c>
      <c r="Q544" s="105" t="s">
        <v>27</v>
      </c>
      <c r="R544" s="105">
        <v>0</v>
      </c>
      <c r="S544" s="105">
        <v>0</v>
      </c>
      <c r="T544" s="105">
        <v>0</v>
      </c>
      <c r="U544" s="105">
        <v>0</v>
      </c>
      <c r="V544" s="105">
        <v>0</v>
      </c>
      <c r="W544" s="105">
        <v>0</v>
      </c>
      <c r="X544" s="105">
        <v>0</v>
      </c>
    </row>
    <row r="545" spans="1:46" s="105" customFormat="1" x14ac:dyDescent="0.15">
      <c r="A545" s="105" t="s">
        <v>1754</v>
      </c>
      <c r="B545" s="110" t="s">
        <v>1126</v>
      </c>
      <c r="C545" s="105" t="s">
        <v>73</v>
      </c>
      <c r="D545" s="105">
        <v>1.667</v>
      </c>
      <c r="E545" s="105">
        <v>0</v>
      </c>
      <c r="F545" s="105">
        <v>1</v>
      </c>
      <c r="G545" s="105">
        <v>0</v>
      </c>
      <c r="H545" s="105">
        <v>1</v>
      </c>
      <c r="I545" s="105" t="s">
        <v>27</v>
      </c>
      <c r="J545" s="105" t="s">
        <v>1129</v>
      </c>
      <c r="K545" s="105">
        <v>5</v>
      </c>
      <c r="L545" s="110">
        <v>0</v>
      </c>
      <c r="M545" s="105">
        <v>2</v>
      </c>
      <c r="N545" s="105">
        <v>3</v>
      </c>
      <c r="O545" s="109" t="s">
        <v>1753</v>
      </c>
      <c r="P545" s="105" t="s">
        <v>27</v>
      </c>
      <c r="Q545" s="105" t="s">
        <v>27</v>
      </c>
      <c r="R545" s="105">
        <v>0</v>
      </c>
      <c r="S545" s="105">
        <v>0</v>
      </c>
      <c r="T545" s="105">
        <v>0</v>
      </c>
      <c r="U545" s="105">
        <v>0</v>
      </c>
      <c r="V545" s="105">
        <v>0</v>
      </c>
      <c r="W545" s="105">
        <v>0</v>
      </c>
      <c r="X545" s="105">
        <v>0</v>
      </c>
    </row>
    <row r="546" spans="1:46" s="14" customFormat="1" x14ac:dyDescent="0.15">
      <c r="A546" s="107" t="s">
        <v>1130</v>
      </c>
      <c r="B546" s="107" t="s">
        <v>1620</v>
      </c>
      <c r="C546" s="107" t="s">
        <v>72</v>
      </c>
      <c r="D546" s="107">
        <v>2.2000000000000002</v>
      </c>
      <c r="E546" s="107">
        <v>0</v>
      </c>
      <c r="F546" s="107">
        <v>1</v>
      </c>
      <c r="G546" s="107">
        <v>0</v>
      </c>
      <c r="H546" s="107">
        <v>1</v>
      </c>
      <c r="I546" s="107" t="s">
        <v>27</v>
      </c>
      <c r="J546" s="107" t="s">
        <v>1131</v>
      </c>
      <c r="K546" s="107">
        <v>5</v>
      </c>
      <c r="L546" s="85">
        <v>0</v>
      </c>
      <c r="M546" s="107">
        <v>3</v>
      </c>
      <c r="N546" s="107">
        <v>1</v>
      </c>
      <c r="O546" s="109" t="s">
        <v>1623</v>
      </c>
      <c r="P546" s="107" t="s">
        <v>27</v>
      </c>
      <c r="Q546" s="107" t="s">
        <v>27</v>
      </c>
      <c r="R546" s="107">
        <v>0</v>
      </c>
      <c r="S546" s="107">
        <v>0</v>
      </c>
      <c r="T546" s="107">
        <v>0</v>
      </c>
      <c r="U546" s="107">
        <v>0</v>
      </c>
      <c r="V546" s="107">
        <v>0</v>
      </c>
      <c r="W546" s="107">
        <v>0</v>
      </c>
      <c r="X546" s="107">
        <v>0</v>
      </c>
      <c r="Y546" s="105"/>
      <c r="Z546" s="105"/>
      <c r="AA546" s="105"/>
      <c r="AB546" s="105"/>
      <c r="AC546" s="105"/>
      <c r="AD546" s="105"/>
      <c r="AE546" s="105"/>
      <c r="AF546" s="105"/>
      <c r="AG546" s="105"/>
      <c r="AH546" s="105"/>
      <c r="AI546" s="105"/>
      <c r="AJ546" s="105"/>
      <c r="AK546" s="105"/>
      <c r="AL546" s="105"/>
      <c r="AM546" s="105"/>
      <c r="AN546" s="105"/>
      <c r="AO546" s="105"/>
      <c r="AP546" s="105"/>
      <c r="AQ546" s="105"/>
      <c r="AR546" s="105"/>
      <c r="AS546" s="105"/>
      <c r="AT546" s="105"/>
    </row>
    <row r="547" spans="1:46" s="14" customFormat="1" x14ac:dyDescent="0.15">
      <c r="A547" s="107" t="s">
        <v>1621</v>
      </c>
      <c r="B547" s="107" t="s">
        <v>1622</v>
      </c>
      <c r="C547" s="107" t="s">
        <v>73</v>
      </c>
      <c r="D547" s="107">
        <v>1.8</v>
      </c>
      <c r="E547" s="107">
        <v>0</v>
      </c>
      <c r="F547" s="107">
        <v>1</v>
      </c>
      <c r="G547" s="107">
        <v>0</v>
      </c>
      <c r="H547" s="107">
        <v>1</v>
      </c>
      <c r="I547" s="107" t="s">
        <v>27</v>
      </c>
      <c r="J547" s="107" t="s">
        <v>1132</v>
      </c>
      <c r="K547" s="107">
        <v>5</v>
      </c>
      <c r="L547" s="85">
        <v>0</v>
      </c>
      <c r="M547" s="107">
        <v>1</v>
      </c>
      <c r="N547" s="107">
        <v>0</v>
      </c>
      <c r="O547" s="109" t="s">
        <v>27</v>
      </c>
      <c r="P547" s="107" t="s">
        <v>27</v>
      </c>
      <c r="Q547" s="107" t="s">
        <v>27</v>
      </c>
      <c r="R547" s="107">
        <v>0</v>
      </c>
      <c r="S547" s="107">
        <v>0</v>
      </c>
      <c r="T547" s="107">
        <v>0</v>
      </c>
      <c r="U547" s="107">
        <v>0</v>
      </c>
      <c r="V547" s="107">
        <v>0</v>
      </c>
      <c r="W547" s="107">
        <v>0</v>
      </c>
      <c r="X547" s="107">
        <v>0</v>
      </c>
      <c r="Y547" s="105"/>
      <c r="Z547" s="105"/>
      <c r="AA547" s="105"/>
      <c r="AB547" s="105"/>
      <c r="AC547" s="105"/>
      <c r="AD547" s="105"/>
      <c r="AE547" s="105"/>
      <c r="AF547" s="105"/>
      <c r="AG547" s="105"/>
      <c r="AH547" s="105"/>
      <c r="AI547" s="105"/>
      <c r="AJ547" s="105"/>
      <c r="AK547" s="105"/>
      <c r="AL547" s="105"/>
      <c r="AM547" s="105"/>
      <c r="AN547" s="105"/>
      <c r="AO547" s="105"/>
      <c r="AP547" s="105"/>
      <c r="AQ547" s="105"/>
      <c r="AR547" s="105"/>
      <c r="AS547" s="105"/>
      <c r="AT547" s="105"/>
    </row>
    <row r="548" spans="1:46" x14ac:dyDescent="0.15">
      <c r="A548" s="105" t="s">
        <v>1026</v>
      </c>
      <c r="B548" s="111" t="s">
        <v>1033</v>
      </c>
      <c r="C548" s="105" t="s">
        <v>71</v>
      </c>
      <c r="D548" s="105">
        <v>1</v>
      </c>
      <c r="E548" s="105">
        <v>0</v>
      </c>
      <c r="F548" s="105">
        <v>2</v>
      </c>
      <c r="G548" s="105">
        <v>17</v>
      </c>
      <c r="H548" s="105">
        <v>1</v>
      </c>
      <c r="I548" s="105" t="s">
        <v>27</v>
      </c>
      <c r="J548" s="105" t="s">
        <v>1026</v>
      </c>
      <c r="K548" s="105">
        <v>5</v>
      </c>
      <c r="L548" s="111">
        <v>0.2</v>
      </c>
      <c r="M548" s="105">
        <v>1</v>
      </c>
      <c r="N548" s="105">
        <v>1</v>
      </c>
      <c r="O548" s="112" t="s">
        <v>1869</v>
      </c>
      <c r="P548" s="105" t="s">
        <v>27</v>
      </c>
      <c r="Q548" s="105" t="s">
        <v>27</v>
      </c>
      <c r="R548" s="105">
        <v>0</v>
      </c>
      <c r="S548" s="105">
        <v>0</v>
      </c>
      <c r="T548" s="105">
        <v>0</v>
      </c>
      <c r="U548" s="105">
        <v>0</v>
      </c>
      <c r="V548" s="105">
        <v>0</v>
      </c>
      <c r="W548" s="105">
        <v>0</v>
      </c>
      <c r="X548" s="105">
        <v>0</v>
      </c>
    </row>
    <row r="549" spans="1:46" x14ac:dyDescent="0.15">
      <c r="A549" s="105" t="s">
        <v>1027</v>
      </c>
      <c r="B549" s="111" t="s">
        <v>1034</v>
      </c>
      <c r="C549" s="105" t="s">
        <v>73</v>
      </c>
      <c r="D549" s="105">
        <v>1.667</v>
      </c>
      <c r="E549" s="105">
        <v>0</v>
      </c>
      <c r="F549" s="105">
        <v>1</v>
      </c>
      <c r="G549" s="105">
        <v>0</v>
      </c>
      <c r="H549" s="105">
        <v>1</v>
      </c>
      <c r="I549" s="105" t="s">
        <v>27</v>
      </c>
      <c r="J549" s="105" t="s">
        <v>1624</v>
      </c>
      <c r="K549" s="105">
        <v>3</v>
      </c>
      <c r="L549" s="111">
        <v>0.5</v>
      </c>
      <c r="M549" s="105">
        <v>1</v>
      </c>
      <c r="N549" s="105">
        <v>0</v>
      </c>
      <c r="O549" s="106" t="s">
        <v>27</v>
      </c>
      <c r="P549" s="105" t="s">
        <v>27</v>
      </c>
      <c r="Q549" s="105" t="s">
        <v>27</v>
      </c>
      <c r="R549" s="105">
        <v>0</v>
      </c>
      <c r="S549" s="105">
        <v>0</v>
      </c>
      <c r="T549" s="105">
        <v>0</v>
      </c>
      <c r="U549" s="105">
        <v>0</v>
      </c>
      <c r="V549" s="105">
        <v>0</v>
      </c>
      <c r="W549" s="105">
        <v>0</v>
      </c>
      <c r="X549" s="105">
        <v>0</v>
      </c>
    </row>
    <row r="550" spans="1:46" x14ac:dyDescent="0.15">
      <c r="A550" s="105" t="s">
        <v>1028</v>
      </c>
      <c r="B550" s="111" t="s">
        <v>1035</v>
      </c>
      <c r="C550" s="105" t="s">
        <v>72</v>
      </c>
      <c r="D550" s="105">
        <v>1.833</v>
      </c>
      <c r="E550" s="105">
        <v>0</v>
      </c>
      <c r="F550" s="105">
        <v>1</v>
      </c>
      <c r="G550" s="105">
        <v>0</v>
      </c>
      <c r="H550" s="105">
        <v>1</v>
      </c>
      <c r="I550" s="105" t="s">
        <v>27</v>
      </c>
      <c r="J550" s="105" t="s">
        <v>1625</v>
      </c>
      <c r="K550" s="105">
        <v>5</v>
      </c>
      <c r="L550" s="111">
        <v>0</v>
      </c>
      <c r="M550" s="105">
        <v>1</v>
      </c>
      <c r="N550" s="105">
        <v>0</v>
      </c>
      <c r="O550" s="106" t="s">
        <v>27</v>
      </c>
      <c r="P550" s="105" t="s">
        <v>27</v>
      </c>
      <c r="Q550" s="105" t="s">
        <v>27</v>
      </c>
      <c r="R550" s="105">
        <v>0</v>
      </c>
      <c r="S550" s="105">
        <v>0</v>
      </c>
      <c r="T550" s="105">
        <v>0</v>
      </c>
      <c r="U550" s="105">
        <v>0</v>
      </c>
      <c r="V550" s="105">
        <v>0</v>
      </c>
      <c r="W550" s="105">
        <v>0</v>
      </c>
      <c r="X550" s="105">
        <v>0</v>
      </c>
    </row>
    <row r="551" spans="1:46" x14ac:dyDescent="0.15">
      <c r="A551" s="105" t="s">
        <v>1630</v>
      </c>
      <c r="B551" s="89" t="s">
        <v>1036</v>
      </c>
      <c r="C551" s="105" t="s">
        <v>27</v>
      </c>
      <c r="D551" s="105">
        <v>0</v>
      </c>
      <c r="E551" s="105">
        <v>0</v>
      </c>
      <c r="F551" s="105">
        <v>1</v>
      </c>
      <c r="G551" s="105">
        <v>0</v>
      </c>
      <c r="H551" s="105">
        <v>1</v>
      </c>
      <c r="I551" s="105" t="s">
        <v>27</v>
      </c>
      <c r="J551" s="105" t="s">
        <v>1631</v>
      </c>
      <c r="K551" s="105">
        <v>2</v>
      </c>
      <c r="L551" s="105">
        <v>0</v>
      </c>
      <c r="M551" s="105">
        <v>2</v>
      </c>
      <c r="N551" s="105">
        <v>1</v>
      </c>
      <c r="O551" s="106" t="s">
        <v>27</v>
      </c>
      <c r="P551" s="105" t="s">
        <v>27</v>
      </c>
      <c r="Q551" s="105" t="s">
        <v>27</v>
      </c>
      <c r="R551" s="105">
        <v>0</v>
      </c>
      <c r="S551" s="105">
        <v>0</v>
      </c>
      <c r="T551" s="105">
        <v>0</v>
      </c>
      <c r="U551" s="105">
        <v>0</v>
      </c>
      <c r="V551" s="105">
        <v>0</v>
      </c>
      <c r="W551" s="105">
        <v>0</v>
      </c>
      <c r="X551" s="105">
        <v>0</v>
      </c>
    </row>
    <row r="552" spans="1:46" s="12" customFormat="1" x14ac:dyDescent="0.15">
      <c r="A552" s="107" t="s">
        <v>1029</v>
      </c>
      <c r="B552" s="89" t="s">
        <v>1037</v>
      </c>
      <c r="C552" s="107" t="s">
        <v>73</v>
      </c>
      <c r="D552" s="107">
        <v>2.367</v>
      </c>
      <c r="E552" s="107">
        <v>0</v>
      </c>
      <c r="F552" s="107">
        <v>1</v>
      </c>
      <c r="G552" s="107">
        <v>0</v>
      </c>
      <c r="H552" s="107">
        <v>1</v>
      </c>
      <c r="I552" s="107" t="s">
        <v>27</v>
      </c>
      <c r="J552" s="107" t="s">
        <v>1629</v>
      </c>
      <c r="K552" s="107">
        <v>5</v>
      </c>
      <c r="L552" s="89">
        <v>0</v>
      </c>
      <c r="M552" s="107">
        <v>3</v>
      </c>
      <c r="N552" s="107">
        <v>0</v>
      </c>
      <c r="O552" s="109" t="s">
        <v>27</v>
      </c>
      <c r="P552" s="107" t="s">
        <v>27</v>
      </c>
      <c r="Q552" s="107" t="s">
        <v>27</v>
      </c>
      <c r="R552" s="107">
        <v>0</v>
      </c>
      <c r="S552" s="107">
        <v>0</v>
      </c>
      <c r="T552" s="107">
        <v>0</v>
      </c>
      <c r="U552" s="107">
        <v>0</v>
      </c>
      <c r="V552" s="107">
        <v>0</v>
      </c>
      <c r="W552" s="107">
        <v>0</v>
      </c>
      <c r="X552" s="107">
        <v>0</v>
      </c>
      <c r="Y552" s="113"/>
      <c r="Z552" s="114"/>
      <c r="AA552" s="114"/>
      <c r="AB552" s="114"/>
      <c r="AC552" s="114"/>
      <c r="AD552" s="114"/>
      <c r="AE552" s="114"/>
      <c r="AF552" s="114"/>
      <c r="AG552" s="114"/>
      <c r="AH552" s="114"/>
      <c r="AI552" s="114"/>
      <c r="AJ552" s="114"/>
      <c r="AK552" s="114"/>
      <c r="AL552" s="114"/>
      <c r="AM552" s="114"/>
      <c r="AN552" s="114"/>
      <c r="AO552" s="114"/>
      <c r="AP552" s="114"/>
      <c r="AQ552" s="114"/>
      <c r="AR552" s="114"/>
      <c r="AS552" s="114"/>
      <c r="AT552" s="114"/>
    </row>
    <row r="553" spans="1:46" s="12" customFormat="1" x14ac:dyDescent="0.15">
      <c r="A553" s="107" t="s">
        <v>1627</v>
      </c>
      <c r="B553" s="89" t="s">
        <v>1037</v>
      </c>
      <c r="C553" s="107" t="s">
        <v>27</v>
      </c>
      <c r="D553" s="107">
        <v>0</v>
      </c>
      <c r="E553" s="107">
        <v>0</v>
      </c>
      <c r="F553" s="107">
        <v>1</v>
      </c>
      <c r="G553" s="107">
        <v>0</v>
      </c>
      <c r="H553" s="107">
        <v>0</v>
      </c>
      <c r="I553" s="107" t="s">
        <v>27</v>
      </c>
      <c r="J553" s="107" t="s">
        <v>1628</v>
      </c>
      <c r="K553" s="107">
        <v>5</v>
      </c>
      <c r="L553" s="107">
        <v>0</v>
      </c>
      <c r="M553" s="107">
        <v>2</v>
      </c>
      <c r="N553" s="107">
        <v>0</v>
      </c>
      <c r="O553" s="90" t="s">
        <v>1520</v>
      </c>
      <c r="P553" s="107" t="s">
        <v>27</v>
      </c>
      <c r="Q553" s="107" t="s">
        <v>27</v>
      </c>
      <c r="R553" s="107">
        <v>0</v>
      </c>
      <c r="S553" s="107">
        <v>0</v>
      </c>
      <c r="T553" s="107">
        <v>0</v>
      </c>
      <c r="U553" s="107">
        <v>0</v>
      </c>
      <c r="V553" s="107">
        <v>0</v>
      </c>
      <c r="W553" s="107">
        <v>0</v>
      </c>
      <c r="X553" s="107">
        <v>0</v>
      </c>
      <c r="Y553" s="113"/>
      <c r="Z553" s="114"/>
      <c r="AA553" s="114"/>
      <c r="AB553" s="114"/>
      <c r="AC553" s="114"/>
      <c r="AD553" s="114"/>
      <c r="AE553" s="114"/>
      <c r="AF553" s="114"/>
      <c r="AG553" s="114"/>
      <c r="AH553" s="114"/>
      <c r="AI553" s="114"/>
      <c r="AJ553" s="114"/>
      <c r="AK553" s="114"/>
      <c r="AL553" s="114"/>
      <c r="AM553" s="114"/>
      <c r="AN553" s="114"/>
      <c r="AO553" s="114"/>
      <c r="AP553" s="114"/>
      <c r="AQ553" s="114"/>
      <c r="AR553" s="114"/>
      <c r="AS553" s="114"/>
      <c r="AT553" s="114"/>
    </row>
    <row r="554" spans="1:46" s="12" customFormat="1" x14ac:dyDescent="0.15">
      <c r="A554" s="107" t="s">
        <v>1632</v>
      </c>
      <c r="B554" s="89" t="s">
        <v>1038</v>
      </c>
      <c r="C554" s="107" t="s">
        <v>73</v>
      </c>
      <c r="D554" s="107">
        <v>2.367</v>
      </c>
      <c r="E554" s="107">
        <v>0</v>
      </c>
      <c r="F554" s="107">
        <v>1</v>
      </c>
      <c r="G554" s="107">
        <v>0</v>
      </c>
      <c r="H554" s="107">
        <v>0</v>
      </c>
      <c r="I554" s="107" t="s">
        <v>27</v>
      </c>
      <c r="J554" s="107" t="s">
        <v>1626</v>
      </c>
      <c r="K554" s="107">
        <v>5</v>
      </c>
      <c r="L554" s="89">
        <v>0</v>
      </c>
      <c r="M554" s="107">
        <v>2</v>
      </c>
      <c r="N554" s="107">
        <v>0</v>
      </c>
      <c r="O554" s="109" t="s">
        <v>27</v>
      </c>
      <c r="P554" s="107" t="s">
        <v>27</v>
      </c>
      <c r="Q554" s="107" t="s">
        <v>27</v>
      </c>
      <c r="R554" s="107">
        <v>0</v>
      </c>
      <c r="S554" s="107">
        <v>0</v>
      </c>
      <c r="T554" s="107">
        <v>0</v>
      </c>
      <c r="U554" s="107">
        <v>0</v>
      </c>
      <c r="V554" s="107">
        <v>0</v>
      </c>
      <c r="W554" s="107">
        <v>0</v>
      </c>
      <c r="X554" s="107">
        <v>0</v>
      </c>
      <c r="Y554" s="113"/>
      <c r="Z554" s="114"/>
      <c r="AA554" s="114"/>
      <c r="AB554" s="114"/>
      <c r="AC554" s="114"/>
      <c r="AD554" s="114"/>
      <c r="AE554" s="114"/>
      <c r="AF554" s="114"/>
      <c r="AG554" s="114"/>
      <c r="AH554" s="114"/>
      <c r="AI554" s="114"/>
      <c r="AJ554" s="114"/>
      <c r="AK554" s="114"/>
      <c r="AL554" s="114"/>
      <c r="AM554" s="114"/>
      <c r="AN554" s="114"/>
      <c r="AO554" s="114"/>
      <c r="AP554" s="114"/>
      <c r="AQ554" s="114"/>
      <c r="AR554" s="114"/>
      <c r="AS554" s="114"/>
      <c r="AT554" s="114"/>
    </row>
    <row r="555" spans="1:46" x14ac:dyDescent="0.15">
      <c r="A555" s="105" t="s">
        <v>39</v>
      </c>
      <c r="B555" s="52" t="s">
        <v>48</v>
      </c>
      <c r="C555" s="105" t="s">
        <v>71</v>
      </c>
      <c r="D555" s="105">
        <v>1</v>
      </c>
      <c r="E555" s="105">
        <v>0</v>
      </c>
      <c r="F555" s="105">
        <v>2</v>
      </c>
      <c r="G555" s="105">
        <v>17</v>
      </c>
      <c r="H555" s="105">
        <v>1</v>
      </c>
      <c r="I555" s="105" t="s">
        <v>27</v>
      </c>
      <c r="J555" s="105" t="s">
        <v>39</v>
      </c>
      <c r="K555" s="105">
        <v>5</v>
      </c>
      <c r="L555" s="105">
        <v>0.3</v>
      </c>
      <c r="M555" s="105">
        <v>1</v>
      </c>
      <c r="N555" s="105">
        <v>1</v>
      </c>
      <c r="O555" s="106" t="s">
        <v>27</v>
      </c>
      <c r="P555" s="105" t="s">
        <v>27</v>
      </c>
      <c r="Q555" s="105" t="s">
        <v>27</v>
      </c>
      <c r="R555" s="105">
        <v>0</v>
      </c>
      <c r="S555" s="105">
        <v>0</v>
      </c>
      <c r="T555" s="105">
        <v>0</v>
      </c>
      <c r="U555" s="105">
        <v>0</v>
      </c>
      <c r="V555" s="105">
        <v>0</v>
      </c>
      <c r="W555" s="105">
        <v>0</v>
      </c>
      <c r="X555" s="105">
        <v>0</v>
      </c>
    </row>
    <row r="556" spans="1:46" x14ac:dyDescent="0.15">
      <c r="A556" s="105" t="s">
        <v>74</v>
      </c>
      <c r="B556" s="52" t="s">
        <v>49</v>
      </c>
      <c r="C556" s="105" t="s">
        <v>73</v>
      </c>
      <c r="D556" s="105">
        <v>1.667</v>
      </c>
      <c r="E556" s="105">
        <v>0</v>
      </c>
      <c r="F556" s="105">
        <v>1</v>
      </c>
      <c r="G556" s="105">
        <v>0</v>
      </c>
      <c r="H556" s="105">
        <v>1</v>
      </c>
      <c r="I556" s="105" t="s">
        <v>27</v>
      </c>
      <c r="J556" s="105" t="s">
        <v>57</v>
      </c>
      <c r="K556" s="105">
        <v>6</v>
      </c>
      <c r="L556" s="105">
        <v>0.5</v>
      </c>
      <c r="M556" s="105">
        <v>3</v>
      </c>
      <c r="N556" s="105">
        <v>0</v>
      </c>
      <c r="O556" s="90" t="s">
        <v>1908</v>
      </c>
      <c r="P556" s="105" t="s">
        <v>27</v>
      </c>
      <c r="Q556" s="105" t="s">
        <v>27</v>
      </c>
      <c r="R556" s="105">
        <v>0</v>
      </c>
      <c r="S556" s="105">
        <v>0</v>
      </c>
      <c r="T556" s="105">
        <v>0</v>
      </c>
      <c r="U556" s="105">
        <v>0</v>
      </c>
      <c r="V556" s="105">
        <v>0</v>
      </c>
      <c r="W556" s="105">
        <v>0</v>
      </c>
      <c r="X556" s="105">
        <v>0</v>
      </c>
    </row>
    <row r="557" spans="1:46" x14ac:dyDescent="0.15">
      <c r="A557" s="105" t="s">
        <v>1676</v>
      </c>
      <c r="B557" s="105" t="s">
        <v>1669</v>
      </c>
      <c r="C557" s="105" t="s">
        <v>27</v>
      </c>
      <c r="D557" s="105">
        <v>0</v>
      </c>
      <c r="E557" s="105">
        <v>0</v>
      </c>
      <c r="F557" s="105">
        <v>1</v>
      </c>
      <c r="G557" s="105">
        <v>0</v>
      </c>
      <c r="H557" s="105">
        <v>0</v>
      </c>
      <c r="I557" s="105" t="s">
        <v>27</v>
      </c>
      <c r="J557" s="105" t="s">
        <v>1671</v>
      </c>
      <c r="K557" s="105">
        <v>8</v>
      </c>
      <c r="L557" s="105">
        <v>0</v>
      </c>
      <c r="M557" s="105">
        <v>2</v>
      </c>
      <c r="N557" s="105">
        <v>0</v>
      </c>
      <c r="O557" s="106" t="s">
        <v>27</v>
      </c>
      <c r="P557" s="105" t="s">
        <v>27</v>
      </c>
      <c r="Q557" s="105" t="s">
        <v>27</v>
      </c>
      <c r="R557" s="105">
        <v>0</v>
      </c>
      <c r="S557" s="105">
        <v>0</v>
      </c>
      <c r="T557" s="105">
        <v>0</v>
      </c>
      <c r="U557" s="105">
        <v>0</v>
      </c>
      <c r="V557" s="105">
        <v>0</v>
      </c>
      <c r="W557" s="105">
        <v>0</v>
      </c>
      <c r="X557" s="105">
        <v>0</v>
      </c>
    </row>
    <row r="558" spans="1:46" x14ac:dyDescent="0.15">
      <c r="A558" s="105" t="s">
        <v>1668</v>
      </c>
      <c r="B558" s="105" t="s">
        <v>1669</v>
      </c>
      <c r="C558" s="105" t="s">
        <v>73</v>
      </c>
      <c r="D558" s="105">
        <v>1.667</v>
      </c>
      <c r="E558" s="105">
        <v>0</v>
      </c>
      <c r="F558" s="105">
        <v>1</v>
      </c>
      <c r="G558" s="105">
        <v>0</v>
      </c>
      <c r="H558" s="105">
        <v>0</v>
      </c>
      <c r="I558" s="105" t="s">
        <v>27</v>
      </c>
      <c r="J558" s="105" t="s">
        <v>1670</v>
      </c>
      <c r="K558" s="105">
        <v>5</v>
      </c>
      <c r="L558" s="105">
        <v>0.3</v>
      </c>
      <c r="M558" s="105">
        <v>2</v>
      </c>
      <c r="N558" s="105">
        <v>0</v>
      </c>
      <c r="O558" s="106" t="s">
        <v>27</v>
      </c>
      <c r="P558" s="105" t="s">
        <v>27</v>
      </c>
      <c r="Q558" s="105" t="s">
        <v>27</v>
      </c>
      <c r="R558" s="105">
        <v>0</v>
      </c>
      <c r="S558" s="105">
        <v>0</v>
      </c>
      <c r="T558" s="105">
        <v>0</v>
      </c>
      <c r="U558" s="105">
        <v>0</v>
      </c>
      <c r="V558" s="105">
        <v>0</v>
      </c>
      <c r="W558" s="105">
        <v>0</v>
      </c>
      <c r="X558" s="105">
        <v>0</v>
      </c>
    </row>
    <row r="559" spans="1:46" x14ac:dyDescent="0.15">
      <c r="A559" s="105" t="s">
        <v>1812</v>
      </c>
      <c r="B559" s="105" t="s">
        <v>1672</v>
      </c>
      <c r="C559" s="105" t="s">
        <v>72</v>
      </c>
      <c r="D559" s="105">
        <v>2.1669999999999998</v>
      </c>
      <c r="E559" s="105">
        <v>0</v>
      </c>
      <c r="F559" s="105">
        <v>1</v>
      </c>
      <c r="G559" s="105">
        <v>0</v>
      </c>
      <c r="H559" s="105">
        <v>1</v>
      </c>
      <c r="I559" s="105" t="s">
        <v>27</v>
      </c>
      <c r="J559" s="105" t="s">
        <v>1810</v>
      </c>
      <c r="K559" s="105">
        <v>5</v>
      </c>
      <c r="L559" s="105">
        <v>0</v>
      </c>
      <c r="M559" s="105">
        <v>3</v>
      </c>
      <c r="N559" s="105">
        <v>0</v>
      </c>
      <c r="O559" s="106" t="s">
        <v>27</v>
      </c>
      <c r="P559" s="105" t="s">
        <v>27</v>
      </c>
      <c r="Q559" s="105" t="s">
        <v>27</v>
      </c>
      <c r="R559" s="105">
        <v>0</v>
      </c>
      <c r="S559" s="105">
        <v>0</v>
      </c>
      <c r="T559" s="105">
        <v>0</v>
      </c>
      <c r="U559" s="105">
        <v>0</v>
      </c>
      <c r="V559" s="105">
        <v>0</v>
      </c>
      <c r="W559" s="105">
        <v>0</v>
      </c>
      <c r="X559" s="105">
        <v>0</v>
      </c>
    </row>
    <row r="560" spans="1:46" x14ac:dyDescent="0.15">
      <c r="A560" s="105" t="s">
        <v>1811</v>
      </c>
      <c r="B560" s="105" t="s">
        <v>1672</v>
      </c>
      <c r="C560" s="105" t="s">
        <v>72</v>
      </c>
      <c r="D560" s="105">
        <v>2.1669999999999998</v>
      </c>
      <c r="E560" s="105">
        <v>0</v>
      </c>
      <c r="F560" s="105">
        <v>1</v>
      </c>
      <c r="G560" s="105">
        <v>0</v>
      </c>
      <c r="H560" s="105">
        <v>1</v>
      </c>
      <c r="I560" s="105" t="s">
        <v>27</v>
      </c>
      <c r="J560" s="105" t="s">
        <v>1810</v>
      </c>
      <c r="K560" s="105">
        <v>5</v>
      </c>
      <c r="L560" s="105">
        <v>0.1</v>
      </c>
      <c r="M560" s="105">
        <v>2</v>
      </c>
      <c r="N560" s="105">
        <v>2</v>
      </c>
      <c r="O560" s="106" t="s">
        <v>27</v>
      </c>
      <c r="P560" s="105" t="s">
        <v>27</v>
      </c>
      <c r="Q560" s="105" t="s">
        <v>27</v>
      </c>
      <c r="R560" s="105">
        <v>0</v>
      </c>
      <c r="S560" s="105">
        <v>0</v>
      </c>
      <c r="T560" s="105">
        <v>0</v>
      </c>
      <c r="U560" s="105">
        <v>0</v>
      </c>
      <c r="V560" s="105">
        <v>0</v>
      </c>
      <c r="W560" s="105">
        <v>0</v>
      </c>
      <c r="X560" s="105">
        <v>0</v>
      </c>
    </row>
    <row r="561" spans="1:46" s="5" customFormat="1" ht="18.75" x14ac:dyDescent="0.25">
      <c r="A561" s="107" t="s">
        <v>1674</v>
      </c>
      <c r="B561" s="107" t="s">
        <v>1673</v>
      </c>
      <c r="C561" s="107" t="s">
        <v>73</v>
      </c>
      <c r="D561" s="107">
        <v>0</v>
      </c>
      <c r="E561" s="107">
        <v>0</v>
      </c>
      <c r="F561" s="107" t="s">
        <v>1814</v>
      </c>
      <c r="G561" s="107">
        <v>17</v>
      </c>
      <c r="H561" s="107">
        <v>1</v>
      </c>
      <c r="I561" s="107" t="s">
        <v>27</v>
      </c>
      <c r="J561" s="118" t="s">
        <v>1813</v>
      </c>
      <c r="K561" s="107">
        <v>3</v>
      </c>
      <c r="L561" s="107">
        <v>0</v>
      </c>
      <c r="M561" s="107">
        <v>1</v>
      </c>
      <c r="N561" s="107">
        <v>0</v>
      </c>
      <c r="O561" s="109" t="s">
        <v>27</v>
      </c>
      <c r="P561" s="107" t="s">
        <v>27</v>
      </c>
      <c r="Q561" s="107" t="s">
        <v>27</v>
      </c>
      <c r="R561" s="107">
        <v>0</v>
      </c>
      <c r="S561" s="107">
        <v>0</v>
      </c>
      <c r="T561" s="107">
        <v>0</v>
      </c>
      <c r="U561" s="107">
        <v>0</v>
      </c>
      <c r="V561" s="107">
        <v>0</v>
      </c>
      <c r="W561" s="107">
        <v>0</v>
      </c>
      <c r="X561" s="107">
        <v>0</v>
      </c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</row>
    <row r="562" spans="1:46" s="6" customFormat="1" x14ac:dyDescent="0.15">
      <c r="A562" s="59" t="s">
        <v>1702</v>
      </c>
      <c r="B562" s="59" t="s">
        <v>747</v>
      </c>
      <c r="C562" s="59" t="s">
        <v>733</v>
      </c>
      <c r="D562" s="59">
        <v>0.83299999999999996</v>
      </c>
      <c r="E562" s="59">
        <v>0</v>
      </c>
      <c r="F562" s="59">
        <v>2</v>
      </c>
      <c r="G562" s="59">
        <v>17</v>
      </c>
      <c r="H562" s="59">
        <v>1</v>
      </c>
      <c r="I562" s="59" t="s">
        <v>27</v>
      </c>
      <c r="J562" s="59" t="s">
        <v>740</v>
      </c>
      <c r="K562" s="59">
        <v>5</v>
      </c>
      <c r="L562" s="59">
        <v>0.3</v>
      </c>
      <c r="M562" s="59">
        <v>1</v>
      </c>
      <c r="N562" s="59">
        <v>1</v>
      </c>
      <c r="O562" s="72" t="s">
        <v>1520</v>
      </c>
      <c r="P562" s="59" t="s">
        <v>27</v>
      </c>
      <c r="Q562" s="59" t="s">
        <v>27</v>
      </c>
      <c r="R562" s="59">
        <v>0</v>
      </c>
      <c r="S562" s="59">
        <v>0</v>
      </c>
      <c r="T562" s="59">
        <v>0</v>
      </c>
      <c r="U562" s="59">
        <v>0</v>
      </c>
      <c r="V562" s="59">
        <v>0</v>
      </c>
      <c r="W562" s="59">
        <v>0</v>
      </c>
      <c r="X562" s="59">
        <v>0</v>
      </c>
      <c r="Y562" s="5"/>
    </row>
    <row r="563" spans="1:46" s="6" customFormat="1" x14ac:dyDescent="0.15">
      <c r="A563" s="59" t="s">
        <v>1703</v>
      </c>
      <c r="B563" s="59" t="s">
        <v>750</v>
      </c>
      <c r="C563" s="59" t="s">
        <v>836</v>
      </c>
      <c r="D563" s="44">
        <v>1.667</v>
      </c>
      <c r="E563" s="59">
        <v>0</v>
      </c>
      <c r="F563" s="59">
        <v>1</v>
      </c>
      <c r="G563" s="59">
        <v>0</v>
      </c>
      <c r="H563" s="59">
        <v>1</v>
      </c>
      <c r="I563" s="59" t="s">
        <v>739</v>
      </c>
      <c r="J563" s="59" t="s">
        <v>741</v>
      </c>
      <c r="K563" s="59">
        <v>5</v>
      </c>
      <c r="L563" s="59">
        <v>0.6</v>
      </c>
      <c r="M563" s="59">
        <v>3</v>
      </c>
      <c r="N563" s="59">
        <v>0</v>
      </c>
      <c r="O563" s="72" t="s">
        <v>743</v>
      </c>
      <c r="P563" s="59" t="s">
        <v>739</v>
      </c>
      <c r="Q563" s="59" t="s">
        <v>739</v>
      </c>
      <c r="R563" s="59">
        <v>0</v>
      </c>
      <c r="S563" s="59">
        <v>0</v>
      </c>
      <c r="T563" s="59">
        <v>0</v>
      </c>
      <c r="U563" s="59">
        <v>0</v>
      </c>
      <c r="V563" s="59">
        <v>0</v>
      </c>
      <c r="W563" s="59">
        <v>0</v>
      </c>
      <c r="X563" s="59">
        <v>0</v>
      </c>
      <c r="Y563" s="5"/>
    </row>
    <row r="564" spans="1:46" s="6" customFormat="1" x14ac:dyDescent="0.15">
      <c r="A564" s="59" t="s">
        <v>1704</v>
      </c>
      <c r="B564" s="59" t="s">
        <v>750</v>
      </c>
      <c r="C564" s="59" t="s">
        <v>836</v>
      </c>
      <c r="D564" s="44">
        <v>1.667</v>
      </c>
      <c r="E564" s="59">
        <v>0</v>
      </c>
      <c r="F564" s="59">
        <v>11</v>
      </c>
      <c r="G564" s="59">
        <v>0</v>
      </c>
      <c r="H564" s="59">
        <v>1</v>
      </c>
      <c r="I564" s="59" t="s">
        <v>739</v>
      </c>
      <c r="J564" s="59" t="s">
        <v>744</v>
      </c>
      <c r="K564" s="59">
        <v>5</v>
      </c>
      <c r="L564" s="59">
        <v>0.6</v>
      </c>
      <c r="M564" s="59">
        <v>2</v>
      </c>
      <c r="N564" s="59">
        <v>0</v>
      </c>
      <c r="O564" s="72" t="s">
        <v>1520</v>
      </c>
      <c r="P564" s="59" t="s">
        <v>739</v>
      </c>
      <c r="Q564" s="59" t="s">
        <v>739</v>
      </c>
      <c r="R564" s="59">
        <v>0</v>
      </c>
      <c r="S564" s="59">
        <v>0</v>
      </c>
      <c r="T564" s="59">
        <v>0</v>
      </c>
      <c r="U564" s="59">
        <v>0</v>
      </c>
      <c r="V564" s="59">
        <v>0</v>
      </c>
      <c r="W564" s="59">
        <v>0</v>
      </c>
      <c r="X564" s="59">
        <v>0</v>
      </c>
      <c r="Y564" s="5"/>
    </row>
    <row r="565" spans="1:46" s="6" customFormat="1" x14ac:dyDescent="0.15">
      <c r="A565" s="59" t="s">
        <v>1705</v>
      </c>
      <c r="B565" s="59" t="s">
        <v>750</v>
      </c>
      <c r="C565" s="59" t="s">
        <v>836</v>
      </c>
      <c r="D565" s="44">
        <v>1.667</v>
      </c>
      <c r="E565" s="59">
        <v>0</v>
      </c>
      <c r="F565" s="59">
        <v>1</v>
      </c>
      <c r="G565" s="59">
        <v>0</v>
      </c>
      <c r="H565" s="59">
        <v>1</v>
      </c>
      <c r="I565" s="59" t="s">
        <v>50</v>
      </c>
      <c r="J565" s="59" t="s">
        <v>830</v>
      </c>
      <c r="K565" s="59">
        <v>5</v>
      </c>
      <c r="L565" s="59">
        <v>0.6</v>
      </c>
      <c r="M565" s="59">
        <v>1</v>
      </c>
      <c r="N565" s="59">
        <v>0</v>
      </c>
      <c r="O565" s="72" t="s">
        <v>1520</v>
      </c>
      <c r="P565" s="59" t="s">
        <v>50</v>
      </c>
      <c r="Q565" s="59" t="s">
        <v>50</v>
      </c>
      <c r="R565" s="59">
        <v>0</v>
      </c>
      <c r="S565" s="59">
        <v>0</v>
      </c>
      <c r="T565" s="59">
        <v>0</v>
      </c>
      <c r="U565" s="59">
        <v>0</v>
      </c>
      <c r="V565" s="59">
        <v>0</v>
      </c>
      <c r="W565" s="59">
        <v>0</v>
      </c>
      <c r="X565" s="59">
        <v>0</v>
      </c>
      <c r="Y565" s="5"/>
    </row>
    <row r="566" spans="1:46" s="6" customFormat="1" x14ac:dyDescent="0.15">
      <c r="A566" s="59" t="s">
        <v>1706</v>
      </c>
      <c r="B566" s="59" t="s">
        <v>1393</v>
      </c>
      <c r="C566" s="59" t="s">
        <v>72</v>
      </c>
      <c r="D566" s="59">
        <v>1.333</v>
      </c>
      <c r="E566" s="59">
        <v>0</v>
      </c>
      <c r="F566" s="59">
        <v>1</v>
      </c>
      <c r="G566" s="59">
        <v>0</v>
      </c>
      <c r="H566" s="59">
        <v>1</v>
      </c>
      <c r="I566" s="59" t="s">
        <v>739</v>
      </c>
      <c r="J566" s="59" t="s">
        <v>745</v>
      </c>
      <c r="K566" s="59">
        <v>2</v>
      </c>
      <c r="L566" s="59">
        <v>0</v>
      </c>
      <c r="M566" s="59">
        <v>1</v>
      </c>
      <c r="N566" s="59">
        <v>0</v>
      </c>
      <c r="O566" s="72" t="s">
        <v>1520</v>
      </c>
      <c r="P566" s="59" t="s">
        <v>739</v>
      </c>
      <c r="Q566" s="59" t="s">
        <v>739</v>
      </c>
      <c r="R566" s="59">
        <v>0</v>
      </c>
      <c r="S566" s="59">
        <v>0</v>
      </c>
      <c r="T566" s="59">
        <v>0</v>
      </c>
      <c r="U566" s="59">
        <v>0</v>
      </c>
      <c r="V566" s="59">
        <v>0</v>
      </c>
      <c r="W566" s="59">
        <v>0</v>
      </c>
      <c r="X566" s="59">
        <v>0</v>
      </c>
      <c r="Y566" s="5"/>
    </row>
    <row r="567" spans="1:46" s="6" customFormat="1" x14ac:dyDescent="0.15">
      <c r="A567" s="59" t="s">
        <v>1707</v>
      </c>
      <c r="B567" s="59" t="s">
        <v>1397</v>
      </c>
      <c r="C567" s="59" t="s">
        <v>72</v>
      </c>
      <c r="D567" s="59">
        <v>1.333</v>
      </c>
      <c r="E567" s="59">
        <v>0</v>
      </c>
      <c r="F567" s="59" t="s">
        <v>1396</v>
      </c>
      <c r="G567" s="59">
        <v>17</v>
      </c>
      <c r="H567" s="59">
        <v>1</v>
      </c>
      <c r="I567" s="59" t="s">
        <v>1394</v>
      </c>
      <c r="J567" s="59" t="s">
        <v>1395</v>
      </c>
      <c r="K567" s="59">
        <v>5</v>
      </c>
      <c r="L567" s="59">
        <v>0.2</v>
      </c>
      <c r="M567" s="59">
        <v>1</v>
      </c>
      <c r="N567" s="59">
        <v>1</v>
      </c>
      <c r="O567" s="72" t="s">
        <v>1520</v>
      </c>
      <c r="P567" s="59" t="s">
        <v>1394</v>
      </c>
      <c r="Q567" s="59" t="s">
        <v>1394</v>
      </c>
      <c r="R567" s="59">
        <v>0</v>
      </c>
      <c r="S567" s="59">
        <v>0</v>
      </c>
      <c r="T567" s="59">
        <v>0</v>
      </c>
      <c r="U567" s="59">
        <v>0</v>
      </c>
      <c r="V567" s="59">
        <v>0</v>
      </c>
      <c r="W567" s="59">
        <v>0</v>
      </c>
      <c r="X567" s="59">
        <v>0</v>
      </c>
      <c r="Y567" s="5"/>
    </row>
    <row r="568" spans="1:46" s="6" customFormat="1" x14ac:dyDescent="0.15">
      <c r="A568" s="59" t="s">
        <v>1708</v>
      </c>
      <c r="B568" s="59" t="s">
        <v>748</v>
      </c>
      <c r="C568" s="59" t="s">
        <v>739</v>
      </c>
      <c r="D568" s="59">
        <v>0</v>
      </c>
      <c r="E568" s="59">
        <v>0</v>
      </c>
      <c r="F568" s="59">
        <v>11</v>
      </c>
      <c r="G568" s="59">
        <v>0</v>
      </c>
      <c r="H568" s="59" t="s">
        <v>839</v>
      </c>
      <c r="I568" s="59" t="s">
        <v>739</v>
      </c>
      <c r="J568" s="59" t="s">
        <v>746</v>
      </c>
      <c r="K568" s="59">
        <v>5</v>
      </c>
      <c r="L568" s="59">
        <v>0</v>
      </c>
      <c r="M568" s="59">
        <v>1</v>
      </c>
      <c r="N568" s="59">
        <v>1</v>
      </c>
      <c r="O568" s="72" t="s">
        <v>1520</v>
      </c>
      <c r="P568" s="59" t="s">
        <v>739</v>
      </c>
      <c r="Q568" s="59" t="s">
        <v>739</v>
      </c>
      <c r="R568" s="59">
        <v>0</v>
      </c>
      <c r="S568" s="59">
        <v>0</v>
      </c>
      <c r="T568" s="59">
        <v>0</v>
      </c>
      <c r="U568" s="59">
        <v>0</v>
      </c>
      <c r="V568" s="59">
        <v>0</v>
      </c>
      <c r="W568" s="59">
        <v>0</v>
      </c>
      <c r="X568" s="59">
        <v>0</v>
      </c>
      <c r="Y568" s="5"/>
    </row>
    <row r="569" spans="1:46" s="6" customFormat="1" x14ac:dyDescent="0.15">
      <c r="A569" s="59" t="s">
        <v>1709</v>
      </c>
      <c r="B569" s="59" t="s">
        <v>749</v>
      </c>
      <c r="C569" s="59" t="s">
        <v>73</v>
      </c>
      <c r="D569" s="59">
        <v>1.667</v>
      </c>
      <c r="E569" s="59">
        <v>0</v>
      </c>
      <c r="F569" s="59">
        <v>1</v>
      </c>
      <c r="G569" s="59">
        <v>0</v>
      </c>
      <c r="H569" s="59">
        <v>1</v>
      </c>
      <c r="I569" s="59" t="s">
        <v>739</v>
      </c>
      <c r="J569" s="59" t="s">
        <v>742</v>
      </c>
      <c r="K569" s="59">
        <v>5</v>
      </c>
      <c r="L569" s="59">
        <v>0</v>
      </c>
      <c r="M569" s="59">
        <v>3</v>
      </c>
      <c r="N569" s="59">
        <v>0</v>
      </c>
      <c r="O569" s="72" t="s">
        <v>743</v>
      </c>
      <c r="P569" s="59" t="s">
        <v>739</v>
      </c>
      <c r="Q569" s="59" t="s">
        <v>739</v>
      </c>
      <c r="R569" s="59">
        <v>0</v>
      </c>
      <c r="S569" s="59">
        <v>0</v>
      </c>
      <c r="T569" s="59">
        <v>0</v>
      </c>
      <c r="U569" s="59">
        <v>0</v>
      </c>
      <c r="V569" s="59">
        <v>0</v>
      </c>
      <c r="W569" s="59">
        <v>0</v>
      </c>
      <c r="X569" s="59">
        <v>0</v>
      </c>
      <c r="Y569" s="5"/>
    </row>
    <row r="570" spans="1:46" s="115" customFormat="1" x14ac:dyDescent="0.15">
      <c r="A570" s="115" t="s">
        <v>740</v>
      </c>
      <c r="B570" s="115" t="s">
        <v>1710</v>
      </c>
      <c r="C570" s="115" t="s">
        <v>71</v>
      </c>
      <c r="D570" s="115">
        <v>1</v>
      </c>
      <c r="E570" s="115">
        <v>0</v>
      </c>
      <c r="F570" s="115">
        <v>2</v>
      </c>
      <c r="G570" s="115">
        <v>17</v>
      </c>
      <c r="H570" s="115">
        <v>1</v>
      </c>
      <c r="I570" s="115" t="s">
        <v>27</v>
      </c>
      <c r="J570" s="115" t="s">
        <v>740</v>
      </c>
      <c r="K570" s="115">
        <v>5</v>
      </c>
      <c r="L570" s="115">
        <v>0.3</v>
      </c>
      <c r="M570" s="115">
        <v>1</v>
      </c>
      <c r="N570" s="115">
        <v>1</v>
      </c>
      <c r="O570" s="116" t="s">
        <v>27</v>
      </c>
      <c r="P570" s="115" t="s">
        <v>27</v>
      </c>
      <c r="Q570" s="115" t="s">
        <v>27</v>
      </c>
      <c r="R570" s="115">
        <v>0</v>
      </c>
      <c r="S570" s="115">
        <v>0</v>
      </c>
      <c r="T570" s="115">
        <v>0</v>
      </c>
      <c r="U570" s="115">
        <v>0</v>
      </c>
      <c r="V570" s="115">
        <v>0</v>
      </c>
      <c r="W570" s="115">
        <v>0</v>
      </c>
      <c r="X570" s="115">
        <v>0</v>
      </c>
    </row>
    <row r="571" spans="1:46" s="115" customFormat="1" x14ac:dyDescent="0.15">
      <c r="A571" s="115" t="s">
        <v>1711</v>
      </c>
      <c r="B571" s="115" t="s">
        <v>1712</v>
      </c>
      <c r="C571" s="115" t="s">
        <v>73</v>
      </c>
      <c r="D571" s="115">
        <v>1.667</v>
      </c>
      <c r="E571" s="115">
        <v>0</v>
      </c>
      <c r="F571" s="115">
        <v>1</v>
      </c>
      <c r="G571" s="115">
        <v>0</v>
      </c>
      <c r="H571" s="115">
        <v>1</v>
      </c>
      <c r="I571" s="115" t="s">
        <v>27</v>
      </c>
      <c r="J571" s="115" t="s">
        <v>741</v>
      </c>
      <c r="K571" s="115">
        <v>5</v>
      </c>
      <c r="L571" s="115">
        <v>0</v>
      </c>
      <c r="M571" s="115">
        <v>3</v>
      </c>
      <c r="N571" s="115">
        <v>0</v>
      </c>
      <c r="O571" s="116" t="s">
        <v>1910</v>
      </c>
      <c r="P571" s="115" t="s">
        <v>27</v>
      </c>
      <c r="Q571" s="115" t="s">
        <v>27</v>
      </c>
      <c r="R571" s="115">
        <v>0</v>
      </c>
      <c r="S571" s="115">
        <v>0</v>
      </c>
      <c r="T571" s="115">
        <v>0</v>
      </c>
      <c r="U571" s="115">
        <v>0</v>
      </c>
      <c r="V571" s="115">
        <v>0</v>
      </c>
      <c r="W571" s="115">
        <v>0</v>
      </c>
      <c r="X571" s="115">
        <v>0</v>
      </c>
    </row>
    <row r="572" spans="1:46" s="115" customFormat="1" x14ac:dyDescent="0.15">
      <c r="A572" s="115" t="s">
        <v>1713</v>
      </c>
      <c r="B572" s="115" t="s">
        <v>1714</v>
      </c>
      <c r="C572" s="115" t="s">
        <v>72</v>
      </c>
      <c r="D572" s="115">
        <v>1.333</v>
      </c>
      <c r="E572" s="115">
        <v>0</v>
      </c>
      <c r="F572" s="115">
        <v>1</v>
      </c>
      <c r="G572" s="115">
        <v>0</v>
      </c>
      <c r="H572" s="115">
        <v>1</v>
      </c>
      <c r="I572" s="115" t="s">
        <v>27</v>
      </c>
      <c r="J572" s="115" t="s">
        <v>745</v>
      </c>
      <c r="K572" s="115">
        <v>5</v>
      </c>
      <c r="L572" s="115">
        <v>0</v>
      </c>
      <c r="M572" s="115">
        <v>3</v>
      </c>
      <c r="N572" s="115">
        <v>0</v>
      </c>
      <c r="O572" s="116" t="s">
        <v>1911</v>
      </c>
      <c r="P572" s="115" t="s">
        <v>27</v>
      </c>
      <c r="Q572" s="115" t="s">
        <v>27</v>
      </c>
      <c r="R572" s="115">
        <v>0</v>
      </c>
      <c r="S572" s="115">
        <v>0</v>
      </c>
      <c r="T572" s="115">
        <v>0</v>
      </c>
      <c r="U572" s="115">
        <v>0</v>
      </c>
      <c r="V572" s="115">
        <v>0</v>
      </c>
      <c r="W572" s="115">
        <v>0</v>
      </c>
      <c r="X572" s="115">
        <v>0</v>
      </c>
    </row>
    <row r="573" spans="1:46" s="115" customFormat="1" x14ac:dyDescent="0.15">
      <c r="A573" s="115" t="s">
        <v>1715</v>
      </c>
      <c r="B573" s="115" t="s">
        <v>1716</v>
      </c>
      <c r="C573" s="115" t="s">
        <v>73</v>
      </c>
      <c r="D573" s="115">
        <v>1.667</v>
      </c>
      <c r="E573" s="115">
        <v>0</v>
      </c>
      <c r="F573" s="115">
        <v>1</v>
      </c>
      <c r="G573" s="115">
        <v>0</v>
      </c>
      <c r="H573" s="115">
        <v>1</v>
      </c>
      <c r="I573" s="115" t="s">
        <v>27</v>
      </c>
      <c r="J573" s="115" t="s">
        <v>742</v>
      </c>
      <c r="K573" s="115">
        <v>5</v>
      </c>
      <c r="L573" s="115">
        <v>0.6</v>
      </c>
      <c r="M573" s="115">
        <v>3</v>
      </c>
      <c r="N573" s="115">
        <v>0</v>
      </c>
      <c r="O573" s="116" t="s">
        <v>27</v>
      </c>
      <c r="P573" s="115" t="s">
        <v>27</v>
      </c>
      <c r="Q573" s="115" t="s">
        <v>27</v>
      </c>
      <c r="R573" s="115">
        <v>0</v>
      </c>
      <c r="S573" s="115">
        <v>0</v>
      </c>
      <c r="T573" s="115">
        <v>0</v>
      </c>
      <c r="U573" s="115">
        <v>0</v>
      </c>
      <c r="V573" s="115">
        <v>0</v>
      </c>
      <c r="W573" s="115">
        <v>0</v>
      </c>
      <c r="X573" s="115">
        <v>0</v>
      </c>
    </row>
    <row r="574" spans="1:46" x14ac:dyDescent="0.15">
      <c r="A574" s="2" t="s">
        <v>1722</v>
      </c>
      <c r="B574" s="2" t="s">
        <v>1723</v>
      </c>
      <c r="C574" s="2" t="s">
        <v>71</v>
      </c>
      <c r="D574" s="2">
        <v>0</v>
      </c>
      <c r="E574" s="2">
        <v>0</v>
      </c>
      <c r="F574" s="2">
        <v>2</v>
      </c>
      <c r="G574" s="2">
        <v>17</v>
      </c>
      <c r="H574" s="2">
        <v>1</v>
      </c>
      <c r="I574" s="2" t="s">
        <v>27</v>
      </c>
      <c r="J574" s="2" t="s">
        <v>1739</v>
      </c>
      <c r="K574" s="2">
        <v>5</v>
      </c>
      <c r="L574" s="2">
        <v>0.5</v>
      </c>
      <c r="M574" s="3">
        <v>1</v>
      </c>
      <c r="N574" s="2">
        <v>1</v>
      </c>
      <c r="O574" s="8" t="s">
        <v>27</v>
      </c>
      <c r="P574" s="2" t="s">
        <v>27</v>
      </c>
      <c r="Q574" s="2" t="s">
        <v>27</v>
      </c>
      <c r="R574" s="2">
        <v>0</v>
      </c>
      <c r="S574" s="2">
        <v>0</v>
      </c>
      <c r="T574" s="2">
        <v>0</v>
      </c>
      <c r="U574" s="2">
        <v>0</v>
      </c>
      <c r="V574" s="2">
        <v>0</v>
      </c>
      <c r="W574" s="2">
        <v>0</v>
      </c>
      <c r="X574" s="2">
        <v>0</v>
      </c>
    </row>
    <row r="575" spans="1:46" x14ac:dyDescent="0.15">
      <c r="A575" s="2" t="s">
        <v>1743</v>
      </c>
      <c r="B575" s="2" t="s">
        <v>1731</v>
      </c>
      <c r="C575" s="2" t="s">
        <v>1742</v>
      </c>
      <c r="D575" s="2">
        <v>1.667</v>
      </c>
      <c r="E575" s="2">
        <v>0</v>
      </c>
      <c r="F575" s="2">
        <v>1</v>
      </c>
      <c r="G575" s="2">
        <v>0</v>
      </c>
      <c r="H575" s="2">
        <v>1</v>
      </c>
      <c r="I575" s="2" t="s">
        <v>27</v>
      </c>
      <c r="J575" s="2" t="s">
        <v>1725</v>
      </c>
      <c r="K575" s="2">
        <v>5</v>
      </c>
      <c r="L575" s="2">
        <v>0</v>
      </c>
      <c r="M575" s="3">
        <v>2</v>
      </c>
      <c r="N575" s="2">
        <v>0</v>
      </c>
      <c r="O575" s="72" t="s">
        <v>1744</v>
      </c>
      <c r="P575" s="2" t="s">
        <v>27</v>
      </c>
      <c r="Q575" s="2" t="s">
        <v>27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</row>
    <row r="576" spans="1:46" x14ac:dyDescent="0.15">
      <c r="A576" s="2" t="s">
        <v>1730</v>
      </c>
      <c r="B576" s="2" t="s">
        <v>1724</v>
      </c>
      <c r="C576" s="2" t="s">
        <v>1742</v>
      </c>
      <c r="D576" s="2">
        <v>1.667</v>
      </c>
      <c r="E576" s="2">
        <v>0</v>
      </c>
      <c r="F576" s="2">
        <v>1</v>
      </c>
      <c r="G576" s="2">
        <v>0</v>
      </c>
      <c r="H576" s="2">
        <v>1</v>
      </c>
      <c r="I576" s="2" t="s">
        <v>27</v>
      </c>
      <c r="J576" s="2" t="s">
        <v>1882</v>
      </c>
      <c r="K576" s="2">
        <v>5</v>
      </c>
      <c r="L576" s="2">
        <v>0</v>
      </c>
      <c r="M576" s="3">
        <v>2</v>
      </c>
      <c r="N576" s="2">
        <v>0</v>
      </c>
      <c r="O576" s="8" t="s">
        <v>27</v>
      </c>
      <c r="P576" s="2" t="s">
        <v>27</v>
      </c>
      <c r="Q576" s="2" t="s">
        <v>27</v>
      </c>
      <c r="R576" s="2">
        <v>0</v>
      </c>
      <c r="S576" s="2">
        <v>0</v>
      </c>
      <c r="T576" s="2">
        <v>0</v>
      </c>
      <c r="U576" s="2">
        <v>0</v>
      </c>
      <c r="V576" s="2">
        <v>0</v>
      </c>
      <c r="W576" s="2">
        <v>0</v>
      </c>
      <c r="X576" s="2">
        <v>0</v>
      </c>
    </row>
    <row r="577" spans="1:24" x14ac:dyDescent="0.15">
      <c r="A577" s="2" t="s">
        <v>1726</v>
      </c>
      <c r="B577" s="2" t="s">
        <v>1727</v>
      </c>
      <c r="C577" s="2" t="s">
        <v>72</v>
      </c>
      <c r="D577" s="2">
        <v>2.6669999999999998</v>
      </c>
      <c r="E577" s="2">
        <v>0</v>
      </c>
      <c r="F577" s="2">
        <v>1</v>
      </c>
      <c r="G577" s="2">
        <v>0</v>
      </c>
      <c r="H577" s="2">
        <v>1</v>
      </c>
      <c r="I577" s="2" t="s">
        <v>27</v>
      </c>
      <c r="J577" s="2" t="s">
        <v>1884</v>
      </c>
      <c r="K577" s="2">
        <v>5</v>
      </c>
      <c r="L577" s="2">
        <v>1</v>
      </c>
      <c r="M577" s="3">
        <v>1</v>
      </c>
      <c r="N577" s="2">
        <v>0</v>
      </c>
      <c r="O577" s="72" t="s">
        <v>1520</v>
      </c>
      <c r="P577" s="2" t="s">
        <v>27</v>
      </c>
      <c r="Q577" s="2" t="s">
        <v>27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2">
        <v>0</v>
      </c>
      <c r="X577" s="2">
        <v>0</v>
      </c>
    </row>
    <row r="578" spans="1:24" x14ac:dyDescent="0.15">
      <c r="A578" s="2" t="s">
        <v>1732</v>
      </c>
      <c r="B578" s="2" t="s">
        <v>1727</v>
      </c>
      <c r="C578" s="2" t="s">
        <v>27</v>
      </c>
      <c r="D578" s="2">
        <v>0</v>
      </c>
      <c r="E578" s="2">
        <v>0</v>
      </c>
      <c r="F578" s="2">
        <v>1</v>
      </c>
      <c r="G578" s="2">
        <v>0</v>
      </c>
      <c r="H578" s="2">
        <v>0</v>
      </c>
      <c r="I578" s="2" t="s">
        <v>27</v>
      </c>
      <c r="J578" s="2" t="s">
        <v>1883</v>
      </c>
      <c r="K578" s="2">
        <v>3</v>
      </c>
      <c r="L578" s="2">
        <v>0</v>
      </c>
      <c r="M578" s="3">
        <v>2</v>
      </c>
      <c r="N578" s="2">
        <v>0</v>
      </c>
      <c r="O578" s="72" t="s">
        <v>1520</v>
      </c>
      <c r="P578" s="2" t="s">
        <v>27</v>
      </c>
      <c r="Q578" s="2" t="s">
        <v>27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</row>
    <row r="579" spans="1:24" x14ac:dyDescent="0.15">
      <c r="A579" s="2" t="s">
        <v>1728</v>
      </c>
      <c r="B579" s="2" t="s">
        <v>1729</v>
      </c>
      <c r="C579" s="2" t="s">
        <v>73</v>
      </c>
      <c r="D579" s="2">
        <v>4.3330000000000002</v>
      </c>
      <c r="E579" s="2">
        <v>0</v>
      </c>
      <c r="F579" s="2">
        <v>1</v>
      </c>
      <c r="G579" s="2">
        <v>0</v>
      </c>
      <c r="H579" s="2">
        <v>1</v>
      </c>
      <c r="I579" s="2" t="s">
        <v>27</v>
      </c>
      <c r="J579" s="2" t="s">
        <v>1875</v>
      </c>
      <c r="K579" s="2">
        <v>5</v>
      </c>
      <c r="L579" s="2">
        <v>0</v>
      </c>
      <c r="M579" s="3">
        <v>2</v>
      </c>
      <c r="N579" s="2">
        <v>0</v>
      </c>
      <c r="O579" s="8" t="s">
        <v>27</v>
      </c>
      <c r="P579" s="2" t="s">
        <v>27</v>
      </c>
      <c r="Q579" s="2" t="s">
        <v>27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</row>
    <row r="580" spans="1:24" x14ac:dyDescent="0.15">
      <c r="A580" s="2" t="s">
        <v>1745</v>
      </c>
      <c r="B580" s="2" t="s">
        <v>1729</v>
      </c>
      <c r="C580" s="2" t="s">
        <v>73</v>
      </c>
      <c r="D580" s="2">
        <v>4.3330000000000002</v>
      </c>
      <c r="E580" s="2">
        <v>0</v>
      </c>
      <c r="F580" s="2">
        <v>1</v>
      </c>
      <c r="G580" s="2">
        <v>0</v>
      </c>
      <c r="H580" s="2">
        <v>1</v>
      </c>
      <c r="I580" s="2" t="s">
        <v>27</v>
      </c>
      <c r="J580" s="2" t="s">
        <v>1740</v>
      </c>
      <c r="K580" s="2">
        <v>5</v>
      </c>
      <c r="L580" s="2">
        <v>0</v>
      </c>
      <c r="M580" s="3">
        <v>2</v>
      </c>
      <c r="N580" s="2">
        <v>0</v>
      </c>
      <c r="O580" s="8" t="s">
        <v>27</v>
      </c>
      <c r="P580" s="2" t="s">
        <v>27</v>
      </c>
      <c r="Q580" s="2" t="s">
        <v>27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2">
        <v>0</v>
      </c>
      <c r="X580" s="2">
        <v>0</v>
      </c>
    </row>
    <row r="581" spans="1:24" s="5" customFormat="1" ht="18.75" x14ac:dyDescent="0.25">
      <c r="A581" s="117" t="s">
        <v>1808</v>
      </c>
      <c r="B581" s="44" t="s">
        <v>1772</v>
      </c>
      <c r="C581" s="44" t="s">
        <v>1773</v>
      </c>
      <c r="D581" s="44">
        <v>0</v>
      </c>
      <c r="E581" s="44">
        <v>0</v>
      </c>
      <c r="F581" s="44">
        <v>1</v>
      </c>
      <c r="G581" s="44">
        <v>0</v>
      </c>
      <c r="H581" s="44">
        <v>1</v>
      </c>
      <c r="I581" s="44" t="s">
        <v>114</v>
      </c>
      <c r="J581" s="44" t="s">
        <v>1771</v>
      </c>
      <c r="K581" s="44">
        <v>3</v>
      </c>
      <c r="L581" s="44">
        <v>0</v>
      </c>
      <c r="M581" s="44">
        <v>2</v>
      </c>
      <c r="N581" s="44">
        <v>2</v>
      </c>
      <c r="O581" s="45" t="s">
        <v>1809</v>
      </c>
      <c r="P581" s="46" t="s">
        <v>27</v>
      </c>
      <c r="Q581" s="46" t="s">
        <v>27</v>
      </c>
      <c r="R581" s="46">
        <v>0</v>
      </c>
      <c r="S581" s="46">
        <v>0</v>
      </c>
      <c r="T581" s="47">
        <v>0</v>
      </c>
      <c r="U581" s="46">
        <v>0</v>
      </c>
      <c r="V581" s="46">
        <v>0</v>
      </c>
      <c r="W581" s="46">
        <v>0</v>
      </c>
      <c r="X581" s="46">
        <v>0</v>
      </c>
    </row>
    <row r="582" spans="1:24" s="5" customFormat="1" ht="18.75" x14ac:dyDescent="0.25">
      <c r="A582" s="117" t="s">
        <v>1774</v>
      </c>
      <c r="B582" s="44" t="s">
        <v>1772</v>
      </c>
      <c r="C582" s="44" t="s">
        <v>1773</v>
      </c>
      <c r="D582" s="44">
        <v>0</v>
      </c>
      <c r="E582" s="44">
        <v>0</v>
      </c>
      <c r="F582" s="44">
        <v>1</v>
      </c>
      <c r="G582" s="44">
        <v>0</v>
      </c>
      <c r="H582" s="44">
        <v>1</v>
      </c>
      <c r="I582" s="44" t="s">
        <v>114</v>
      </c>
      <c r="J582" s="44" t="s">
        <v>1771</v>
      </c>
      <c r="K582" s="44">
        <v>6</v>
      </c>
      <c r="L582" s="44">
        <v>0</v>
      </c>
      <c r="M582" s="44">
        <v>2</v>
      </c>
      <c r="N582" s="44">
        <v>2</v>
      </c>
      <c r="O582" s="45" t="s">
        <v>1809</v>
      </c>
      <c r="P582" s="46" t="s">
        <v>27</v>
      </c>
      <c r="Q582" s="46" t="s">
        <v>27</v>
      </c>
      <c r="R582" s="46">
        <v>0</v>
      </c>
      <c r="S582" s="46">
        <v>0</v>
      </c>
      <c r="T582" s="47">
        <v>0</v>
      </c>
      <c r="U582" s="46">
        <v>0</v>
      </c>
      <c r="V582" s="46">
        <v>0</v>
      </c>
      <c r="W582" s="46">
        <v>0</v>
      </c>
      <c r="X582" s="46">
        <v>0</v>
      </c>
    </row>
    <row r="583" spans="1:24" s="5" customFormat="1" ht="18.75" x14ac:dyDescent="0.25">
      <c r="A583" s="117" t="s">
        <v>1906</v>
      </c>
      <c r="B583" s="44" t="s">
        <v>1778</v>
      </c>
      <c r="C583" s="44" t="s">
        <v>1773</v>
      </c>
      <c r="D583" s="44">
        <v>0</v>
      </c>
      <c r="E583" s="44">
        <v>0</v>
      </c>
      <c r="F583" s="44">
        <v>1</v>
      </c>
      <c r="G583" s="44">
        <v>0</v>
      </c>
      <c r="H583" s="44">
        <v>1</v>
      </c>
      <c r="I583" s="44" t="s">
        <v>114</v>
      </c>
      <c r="J583" s="44" t="s">
        <v>1777</v>
      </c>
      <c r="K583" s="44">
        <v>3</v>
      </c>
      <c r="L583" s="44">
        <v>0</v>
      </c>
      <c r="M583" s="44">
        <v>2</v>
      </c>
      <c r="N583" s="44">
        <v>2</v>
      </c>
      <c r="O583" s="45" t="s">
        <v>1809</v>
      </c>
      <c r="P583" s="46" t="s">
        <v>27</v>
      </c>
      <c r="Q583" s="46" t="s">
        <v>27</v>
      </c>
      <c r="R583" s="46">
        <v>0</v>
      </c>
      <c r="S583" s="46">
        <v>0</v>
      </c>
      <c r="T583" s="47">
        <v>0</v>
      </c>
      <c r="U583" s="46">
        <v>0</v>
      </c>
      <c r="V583" s="46">
        <v>0</v>
      </c>
      <c r="W583" s="46">
        <v>0</v>
      </c>
      <c r="X583" s="46">
        <v>0</v>
      </c>
    </row>
    <row r="584" spans="1:24" s="5" customFormat="1" ht="18.75" x14ac:dyDescent="0.25">
      <c r="A584" s="117" t="s">
        <v>1775</v>
      </c>
      <c r="B584" s="44" t="s">
        <v>1778</v>
      </c>
      <c r="C584" s="44" t="s">
        <v>1773</v>
      </c>
      <c r="D584" s="44">
        <v>0</v>
      </c>
      <c r="E584" s="44">
        <v>0</v>
      </c>
      <c r="F584" s="44">
        <v>1</v>
      </c>
      <c r="G584" s="44">
        <v>0</v>
      </c>
      <c r="H584" s="44">
        <v>1</v>
      </c>
      <c r="I584" s="44" t="s">
        <v>114</v>
      </c>
      <c r="J584" s="44" t="s">
        <v>1777</v>
      </c>
      <c r="K584" s="44">
        <v>6</v>
      </c>
      <c r="L584" s="44">
        <v>0</v>
      </c>
      <c r="M584" s="44">
        <v>2</v>
      </c>
      <c r="N584" s="44">
        <v>2</v>
      </c>
      <c r="O584" s="45" t="s">
        <v>1809</v>
      </c>
      <c r="P584" s="46" t="s">
        <v>27</v>
      </c>
      <c r="Q584" s="46" t="s">
        <v>27</v>
      </c>
      <c r="R584" s="46">
        <v>0</v>
      </c>
      <c r="S584" s="46">
        <v>0</v>
      </c>
      <c r="T584" s="47">
        <v>0</v>
      </c>
      <c r="U584" s="46">
        <v>0</v>
      </c>
      <c r="V584" s="46">
        <v>0</v>
      </c>
      <c r="W584" s="46">
        <v>0</v>
      </c>
      <c r="X584" s="46">
        <v>0</v>
      </c>
    </row>
    <row r="585" spans="1:24" s="5" customFormat="1" ht="18.75" x14ac:dyDescent="0.25">
      <c r="A585" s="117" t="s">
        <v>1782</v>
      </c>
      <c r="B585" s="44" t="s">
        <v>1781</v>
      </c>
      <c r="C585" s="44" t="s">
        <v>1773</v>
      </c>
      <c r="D585" s="44">
        <v>0</v>
      </c>
      <c r="E585" s="44">
        <v>0</v>
      </c>
      <c r="F585" s="44">
        <v>1</v>
      </c>
      <c r="G585" s="44">
        <v>0</v>
      </c>
      <c r="H585" s="44">
        <v>1</v>
      </c>
      <c r="I585" s="44" t="s">
        <v>114</v>
      </c>
      <c r="J585" s="44" t="s">
        <v>1780</v>
      </c>
      <c r="K585" s="44">
        <v>3</v>
      </c>
      <c r="L585" s="44">
        <v>0</v>
      </c>
      <c r="M585" s="44">
        <v>2</v>
      </c>
      <c r="N585" s="44">
        <v>2</v>
      </c>
      <c r="O585" s="45" t="s">
        <v>1809</v>
      </c>
      <c r="P585" s="46" t="s">
        <v>27</v>
      </c>
      <c r="Q585" s="46" t="s">
        <v>27</v>
      </c>
      <c r="R585" s="46">
        <v>0</v>
      </c>
      <c r="S585" s="46">
        <v>0</v>
      </c>
      <c r="T585" s="47">
        <v>0</v>
      </c>
      <c r="U585" s="46">
        <v>0</v>
      </c>
      <c r="V585" s="46">
        <v>0</v>
      </c>
      <c r="W585" s="46">
        <v>0</v>
      </c>
      <c r="X585" s="46">
        <v>0</v>
      </c>
    </row>
    <row r="586" spans="1:24" s="5" customFormat="1" ht="18.75" x14ac:dyDescent="0.25">
      <c r="A586" s="117" t="s">
        <v>1779</v>
      </c>
      <c r="B586" s="44" t="s">
        <v>1781</v>
      </c>
      <c r="C586" s="44" t="s">
        <v>1773</v>
      </c>
      <c r="D586" s="44">
        <v>0</v>
      </c>
      <c r="E586" s="44">
        <v>0</v>
      </c>
      <c r="F586" s="44">
        <v>1</v>
      </c>
      <c r="G586" s="44">
        <v>0</v>
      </c>
      <c r="H586" s="44">
        <v>1</v>
      </c>
      <c r="I586" s="44" t="s">
        <v>114</v>
      </c>
      <c r="J586" s="44" t="s">
        <v>1780</v>
      </c>
      <c r="K586" s="44">
        <v>6</v>
      </c>
      <c r="L586" s="44">
        <v>0</v>
      </c>
      <c r="M586" s="44">
        <v>2</v>
      </c>
      <c r="N586" s="44">
        <v>2</v>
      </c>
      <c r="O586" s="45" t="s">
        <v>1809</v>
      </c>
      <c r="P586" s="46" t="s">
        <v>27</v>
      </c>
      <c r="Q586" s="46" t="s">
        <v>27</v>
      </c>
      <c r="R586" s="46">
        <v>0</v>
      </c>
      <c r="S586" s="46">
        <v>0</v>
      </c>
      <c r="T586" s="47">
        <v>0</v>
      </c>
      <c r="U586" s="46">
        <v>0</v>
      </c>
      <c r="V586" s="46">
        <v>0</v>
      </c>
      <c r="W586" s="46">
        <v>0</v>
      </c>
      <c r="X586" s="46">
        <v>0</v>
      </c>
    </row>
    <row r="587" spans="1:24" s="5" customFormat="1" ht="18.75" x14ac:dyDescent="0.25">
      <c r="A587" s="117" t="s">
        <v>1806</v>
      </c>
      <c r="B587" s="44" t="s">
        <v>1784</v>
      </c>
      <c r="C587" s="44" t="s">
        <v>1773</v>
      </c>
      <c r="D587" s="44">
        <v>0</v>
      </c>
      <c r="E587" s="44">
        <v>0</v>
      </c>
      <c r="F587" s="44">
        <v>1</v>
      </c>
      <c r="G587" s="44">
        <v>0</v>
      </c>
      <c r="H587" s="44">
        <v>1</v>
      </c>
      <c r="I587" s="44" t="s">
        <v>114</v>
      </c>
      <c r="J587" s="44" t="s">
        <v>1783</v>
      </c>
      <c r="K587" s="44">
        <v>3</v>
      </c>
      <c r="L587" s="44">
        <v>0</v>
      </c>
      <c r="M587" s="44">
        <v>2</v>
      </c>
      <c r="N587" s="44">
        <v>2</v>
      </c>
      <c r="O587" s="45" t="s">
        <v>1809</v>
      </c>
      <c r="P587" s="46" t="s">
        <v>27</v>
      </c>
      <c r="Q587" s="46" t="s">
        <v>27</v>
      </c>
      <c r="R587" s="46">
        <v>0</v>
      </c>
      <c r="S587" s="46">
        <v>0</v>
      </c>
      <c r="T587" s="47">
        <v>0</v>
      </c>
      <c r="U587" s="46">
        <v>0</v>
      </c>
      <c r="V587" s="46">
        <v>0</v>
      </c>
      <c r="W587" s="46">
        <v>0</v>
      </c>
      <c r="X587" s="46">
        <v>0</v>
      </c>
    </row>
    <row r="588" spans="1:24" s="5" customFormat="1" ht="18.75" x14ac:dyDescent="0.25">
      <c r="A588" s="117" t="s">
        <v>1807</v>
      </c>
      <c r="B588" s="44" t="s">
        <v>1784</v>
      </c>
      <c r="C588" s="44" t="s">
        <v>1773</v>
      </c>
      <c r="D588" s="44">
        <v>0</v>
      </c>
      <c r="E588" s="44">
        <v>0</v>
      </c>
      <c r="F588" s="44">
        <v>1</v>
      </c>
      <c r="G588" s="44">
        <v>0</v>
      </c>
      <c r="H588" s="44">
        <v>1</v>
      </c>
      <c r="I588" s="44" t="s">
        <v>114</v>
      </c>
      <c r="J588" s="44" t="s">
        <v>1783</v>
      </c>
      <c r="K588" s="44">
        <v>6</v>
      </c>
      <c r="L588" s="44">
        <v>0</v>
      </c>
      <c r="M588" s="44">
        <v>2</v>
      </c>
      <c r="N588" s="44">
        <v>2</v>
      </c>
      <c r="O588" s="45" t="s">
        <v>1809</v>
      </c>
      <c r="P588" s="46" t="s">
        <v>27</v>
      </c>
      <c r="Q588" s="46" t="s">
        <v>27</v>
      </c>
      <c r="R588" s="46">
        <v>0</v>
      </c>
      <c r="S588" s="46">
        <v>0</v>
      </c>
      <c r="T588" s="47">
        <v>0</v>
      </c>
      <c r="U588" s="46">
        <v>0</v>
      </c>
      <c r="V588" s="46">
        <v>0</v>
      </c>
      <c r="W588" s="46">
        <v>0</v>
      </c>
      <c r="X588" s="46">
        <v>0</v>
      </c>
    </row>
    <row r="589" spans="1:24" s="5" customFormat="1" ht="18.75" x14ac:dyDescent="0.25">
      <c r="A589" s="117" t="s">
        <v>1785</v>
      </c>
      <c r="B589" s="44" t="s">
        <v>1776</v>
      </c>
      <c r="C589" s="44" t="s">
        <v>1773</v>
      </c>
      <c r="D589" s="44">
        <v>0</v>
      </c>
      <c r="E589" s="44">
        <v>0</v>
      </c>
      <c r="F589" s="44">
        <v>1</v>
      </c>
      <c r="G589" s="44">
        <v>0</v>
      </c>
      <c r="H589" s="44">
        <v>1</v>
      </c>
      <c r="I589" s="44" t="s">
        <v>114</v>
      </c>
      <c r="J589" s="44" t="s">
        <v>1786</v>
      </c>
      <c r="K589" s="44">
        <v>3</v>
      </c>
      <c r="L589" s="44">
        <v>0</v>
      </c>
      <c r="M589" s="44">
        <v>2</v>
      </c>
      <c r="N589" s="44">
        <v>2</v>
      </c>
      <c r="O589" s="45" t="s">
        <v>1809</v>
      </c>
      <c r="P589" s="46" t="s">
        <v>27</v>
      </c>
      <c r="Q589" s="46" t="s">
        <v>27</v>
      </c>
      <c r="R589" s="46">
        <v>0</v>
      </c>
      <c r="S589" s="46">
        <v>0</v>
      </c>
      <c r="T589" s="47">
        <v>0</v>
      </c>
      <c r="U589" s="46">
        <v>0</v>
      </c>
      <c r="V589" s="46">
        <v>0</v>
      </c>
      <c r="W589" s="46">
        <v>0</v>
      </c>
      <c r="X589" s="46">
        <v>0</v>
      </c>
    </row>
    <row r="590" spans="1:24" s="5" customFormat="1" ht="18.75" x14ac:dyDescent="0.25">
      <c r="A590" s="117" t="s">
        <v>1787</v>
      </c>
      <c r="B590" s="44" t="s">
        <v>1776</v>
      </c>
      <c r="C590" s="44" t="s">
        <v>1773</v>
      </c>
      <c r="D590" s="44">
        <v>0</v>
      </c>
      <c r="E590" s="44">
        <v>0</v>
      </c>
      <c r="F590" s="44">
        <v>1</v>
      </c>
      <c r="G590" s="44">
        <v>0</v>
      </c>
      <c r="H590" s="44">
        <v>1</v>
      </c>
      <c r="I590" s="44" t="s">
        <v>114</v>
      </c>
      <c r="J590" s="44" t="s">
        <v>1786</v>
      </c>
      <c r="K590" s="44">
        <v>6</v>
      </c>
      <c r="L590" s="44">
        <v>0</v>
      </c>
      <c r="M590" s="44">
        <v>2</v>
      </c>
      <c r="N590" s="44">
        <v>2</v>
      </c>
      <c r="O590" s="45" t="s">
        <v>1809</v>
      </c>
      <c r="P590" s="46" t="s">
        <v>27</v>
      </c>
      <c r="Q590" s="46" t="s">
        <v>27</v>
      </c>
      <c r="R590" s="46">
        <v>0</v>
      </c>
      <c r="S590" s="46">
        <v>0</v>
      </c>
      <c r="T590" s="47">
        <v>0</v>
      </c>
      <c r="U590" s="46">
        <v>0</v>
      </c>
      <c r="V590" s="46">
        <v>0</v>
      </c>
      <c r="W590" s="46">
        <v>0</v>
      </c>
      <c r="X590" s="46">
        <v>0</v>
      </c>
    </row>
    <row r="591" spans="1:24" s="5" customFormat="1" ht="18.75" x14ac:dyDescent="0.25">
      <c r="A591" s="117" t="s">
        <v>1788</v>
      </c>
      <c r="B591" s="44" t="s">
        <v>1791</v>
      </c>
      <c r="C591" s="44" t="s">
        <v>1773</v>
      </c>
      <c r="D591" s="44">
        <v>0</v>
      </c>
      <c r="E591" s="44">
        <v>0</v>
      </c>
      <c r="F591" s="44">
        <v>1</v>
      </c>
      <c r="G591" s="44">
        <v>0</v>
      </c>
      <c r="H591" s="44">
        <v>1</v>
      </c>
      <c r="I591" s="44" t="s">
        <v>114</v>
      </c>
      <c r="J591" s="44" t="s">
        <v>1789</v>
      </c>
      <c r="K591" s="44">
        <v>3</v>
      </c>
      <c r="L591" s="44">
        <v>0</v>
      </c>
      <c r="M591" s="44">
        <v>2</v>
      </c>
      <c r="N591" s="44">
        <v>2</v>
      </c>
      <c r="O591" s="45" t="s">
        <v>1809</v>
      </c>
      <c r="P591" s="46" t="s">
        <v>27</v>
      </c>
      <c r="Q591" s="46" t="s">
        <v>27</v>
      </c>
      <c r="R591" s="46">
        <v>0</v>
      </c>
      <c r="S591" s="46">
        <v>0</v>
      </c>
      <c r="T591" s="47">
        <v>0</v>
      </c>
      <c r="U591" s="46">
        <v>0</v>
      </c>
      <c r="V591" s="46">
        <v>0</v>
      </c>
      <c r="W591" s="46">
        <v>0</v>
      </c>
      <c r="X591" s="46">
        <v>0</v>
      </c>
    </row>
    <row r="592" spans="1:24" s="5" customFormat="1" ht="18.75" x14ac:dyDescent="0.25">
      <c r="A592" s="117" t="s">
        <v>1790</v>
      </c>
      <c r="B592" s="44" t="s">
        <v>1791</v>
      </c>
      <c r="C592" s="44" t="s">
        <v>1773</v>
      </c>
      <c r="D592" s="44">
        <v>0</v>
      </c>
      <c r="E592" s="44">
        <v>0</v>
      </c>
      <c r="F592" s="44">
        <v>1</v>
      </c>
      <c r="G592" s="44">
        <v>0</v>
      </c>
      <c r="H592" s="44">
        <v>1</v>
      </c>
      <c r="I592" s="44" t="s">
        <v>114</v>
      </c>
      <c r="J592" s="44" t="s">
        <v>1789</v>
      </c>
      <c r="K592" s="44">
        <v>6</v>
      </c>
      <c r="L592" s="44">
        <v>0</v>
      </c>
      <c r="M592" s="44">
        <v>2</v>
      </c>
      <c r="N592" s="44">
        <v>2</v>
      </c>
      <c r="O592" s="45" t="s">
        <v>1809</v>
      </c>
      <c r="P592" s="46" t="s">
        <v>27</v>
      </c>
      <c r="Q592" s="46" t="s">
        <v>27</v>
      </c>
      <c r="R592" s="46">
        <v>0</v>
      </c>
      <c r="S592" s="46">
        <v>0</v>
      </c>
      <c r="T592" s="47">
        <v>0</v>
      </c>
      <c r="U592" s="46">
        <v>0</v>
      </c>
      <c r="V592" s="46">
        <v>0</v>
      </c>
      <c r="W592" s="46">
        <v>0</v>
      </c>
      <c r="X592" s="46">
        <v>0</v>
      </c>
    </row>
    <row r="593" spans="1:24" s="5" customFormat="1" ht="18.75" x14ac:dyDescent="0.25">
      <c r="A593" s="117" t="s">
        <v>1816</v>
      </c>
      <c r="B593" s="44" t="s">
        <v>1794</v>
      </c>
      <c r="C593" s="44" t="s">
        <v>1773</v>
      </c>
      <c r="D593" s="44">
        <v>0</v>
      </c>
      <c r="E593" s="44">
        <v>0</v>
      </c>
      <c r="F593" s="44">
        <v>1</v>
      </c>
      <c r="G593" s="44">
        <v>0</v>
      </c>
      <c r="H593" s="44">
        <v>1</v>
      </c>
      <c r="I593" s="44" t="s">
        <v>114</v>
      </c>
      <c r="J593" s="44" t="s">
        <v>1792</v>
      </c>
      <c r="K593" s="44">
        <v>3</v>
      </c>
      <c r="L593" s="44">
        <v>0</v>
      </c>
      <c r="M593" s="44">
        <v>2</v>
      </c>
      <c r="N593" s="44">
        <v>2</v>
      </c>
      <c r="O593" s="45" t="s">
        <v>1809</v>
      </c>
      <c r="P593" s="46" t="s">
        <v>27</v>
      </c>
      <c r="Q593" s="46" t="s">
        <v>27</v>
      </c>
      <c r="R593" s="46">
        <v>0</v>
      </c>
      <c r="S593" s="46">
        <v>0</v>
      </c>
      <c r="T593" s="47">
        <v>0</v>
      </c>
      <c r="U593" s="46">
        <v>0</v>
      </c>
      <c r="V593" s="46">
        <v>0</v>
      </c>
      <c r="W593" s="46">
        <v>0</v>
      </c>
      <c r="X593" s="46">
        <v>0</v>
      </c>
    </row>
    <row r="594" spans="1:24" s="5" customFormat="1" ht="18.75" x14ac:dyDescent="0.25">
      <c r="A594" s="117" t="s">
        <v>1793</v>
      </c>
      <c r="B594" s="44" t="s">
        <v>1794</v>
      </c>
      <c r="C594" s="44" t="s">
        <v>1773</v>
      </c>
      <c r="D594" s="44">
        <v>0</v>
      </c>
      <c r="E594" s="44">
        <v>0</v>
      </c>
      <c r="F594" s="44">
        <v>1</v>
      </c>
      <c r="G594" s="44">
        <v>0</v>
      </c>
      <c r="H594" s="44">
        <v>1</v>
      </c>
      <c r="I594" s="44" t="s">
        <v>114</v>
      </c>
      <c r="J594" s="44" t="s">
        <v>1792</v>
      </c>
      <c r="K594" s="44">
        <v>6</v>
      </c>
      <c r="L594" s="44">
        <v>0</v>
      </c>
      <c r="M594" s="44">
        <v>2</v>
      </c>
      <c r="N594" s="44">
        <v>2</v>
      </c>
      <c r="O594" s="45" t="s">
        <v>1809</v>
      </c>
      <c r="P594" s="46" t="s">
        <v>27</v>
      </c>
      <c r="Q594" s="46" t="s">
        <v>27</v>
      </c>
      <c r="R594" s="46">
        <v>0</v>
      </c>
      <c r="S594" s="46">
        <v>0</v>
      </c>
      <c r="T594" s="47">
        <v>0</v>
      </c>
      <c r="U594" s="46">
        <v>0</v>
      </c>
      <c r="V594" s="46">
        <v>0</v>
      </c>
      <c r="W594" s="46">
        <v>0</v>
      </c>
      <c r="X594" s="46">
        <v>0</v>
      </c>
    </row>
    <row r="595" spans="1:24" s="5" customFormat="1" ht="18.75" x14ac:dyDescent="0.25">
      <c r="A595" s="117" t="s">
        <v>1795</v>
      </c>
      <c r="B595" s="44" t="s">
        <v>1798</v>
      </c>
      <c r="C595" s="44" t="s">
        <v>1773</v>
      </c>
      <c r="D595" s="44">
        <v>0</v>
      </c>
      <c r="E595" s="44">
        <v>0</v>
      </c>
      <c r="F595" s="44">
        <v>1</v>
      </c>
      <c r="G595" s="44">
        <v>0</v>
      </c>
      <c r="H595" s="44">
        <v>1</v>
      </c>
      <c r="I595" s="44" t="s">
        <v>114</v>
      </c>
      <c r="J595" s="44" t="s">
        <v>1796</v>
      </c>
      <c r="K595" s="44">
        <v>3</v>
      </c>
      <c r="L595" s="44">
        <v>0</v>
      </c>
      <c r="M595" s="44">
        <v>2</v>
      </c>
      <c r="N595" s="44">
        <v>1</v>
      </c>
      <c r="O595" s="45" t="s">
        <v>1815</v>
      </c>
      <c r="P595" s="46" t="s">
        <v>27</v>
      </c>
      <c r="Q595" s="46" t="s">
        <v>27</v>
      </c>
      <c r="R595" s="46">
        <v>0</v>
      </c>
      <c r="S595" s="46">
        <v>0</v>
      </c>
      <c r="T595" s="47">
        <v>0</v>
      </c>
      <c r="U595" s="46">
        <v>0</v>
      </c>
      <c r="V595" s="46">
        <v>0</v>
      </c>
      <c r="W595" s="46">
        <v>0</v>
      </c>
      <c r="X595" s="46">
        <v>0</v>
      </c>
    </row>
    <row r="596" spans="1:24" s="5" customFormat="1" ht="18.75" x14ac:dyDescent="0.25">
      <c r="A596" s="117" t="s">
        <v>1797</v>
      </c>
      <c r="B596" s="44" t="s">
        <v>1798</v>
      </c>
      <c r="C596" s="44" t="s">
        <v>1773</v>
      </c>
      <c r="D596" s="44">
        <v>0</v>
      </c>
      <c r="E596" s="44">
        <v>0</v>
      </c>
      <c r="F596" s="44">
        <v>1</v>
      </c>
      <c r="G596" s="44">
        <v>0</v>
      </c>
      <c r="H596" s="44">
        <v>1</v>
      </c>
      <c r="I596" s="44" t="s">
        <v>114</v>
      </c>
      <c r="J596" s="44" t="s">
        <v>1796</v>
      </c>
      <c r="K596" s="44">
        <v>6</v>
      </c>
      <c r="L596" s="44">
        <v>0</v>
      </c>
      <c r="M596" s="44">
        <v>2</v>
      </c>
      <c r="N596" s="44">
        <v>1</v>
      </c>
      <c r="O596" s="45" t="s">
        <v>1815</v>
      </c>
      <c r="P596" s="46" t="s">
        <v>27</v>
      </c>
      <c r="Q596" s="46" t="s">
        <v>27</v>
      </c>
      <c r="R596" s="46">
        <v>0</v>
      </c>
      <c r="S596" s="46">
        <v>0</v>
      </c>
      <c r="T596" s="47">
        <v>0</v>
      </c>
      <c r="U596" s="46">
        <v>0</v>
      </c>
      <c r="V596" s="46">
        <v>0</v>
      </c>
      <c r="W596" s="46">
        <v>0</v>
      </c>
      <c r="X596" s="46">
        <v>0</v>
      </c>
    </row>
    <row r="597" spans="1:24" s="5" customFormat="1" ht="18.75" x14ac:dyDescent="0.25">
      <c r="A597" s="117" t="s">
        <v>1799</v>
      </c>
      <c r="B597" s="44" t="s">
        <v>1798</v>
      </c>
      <c r="C597" s="44" t="s">
        <v>1773</v>
      </c>
      <c r="D597" s="44">
        <v>0</v>
      </c>
      <c r="E597" s="44">
        <v>0</v>
      </c>
      <c r="F597" s="44">
        <v>1</v>
      </c>
      <c r="G597" s="44">
        <v>0</v>
      </c>
      <c r="H597" s="44">
        <v>1</v>
      </c>
      <c r="I597" s="44" t="s">
        <v>114</v>
      </c>
      <c r="J597" s="44" t="s">
        <v>1800</v>
      </c>
      <c r="K597" s="44">
        <v>3</v>
      </c>
      <c r="L597" s="44">
        <v>0</v>
      </c>
      <c r="M597" s="44">
        <v>2</v>
      </c>
      <c r="N597" s="44">
        <v>1</v>
      </c>
      <c r="O597" s="45" t="s">
        <v>1815</v>
      </c>
      <c r="P597" s="46" t="s">
        <v>27</v>
      </c>
      <c r="Q597" s="46" t="s">
        <v>27</v>
      </c>
      <c r="R597" s="46">
        <v>0</v>
      </c>
      <c r="S597" s="46">
        <v>0</v>
      </c>
      <c r="T597" s="47">
        <v>0</v>
      </c>
      <c r="U597" s="46">
        <v>0</v>
      </c>
      <c r="V597" s="46">
        <v>0</v>
      </c>
      <c r="W597" s="46">
        <v>0</v>
      </c>
      <c r="X597" s="46">
        <v>0</v>
      </c>
    </row>
    <row r="598" spans="1:24" s="5" customFormat="1" ht="18.75" x14ac:dyDescent="0.25">
      <c r="A598" s="117" t="s">
        <v>1801</v>
      </c>
      <c r="B598" s="44" t="s">
        <v>1798</v>
      </c>
      <c r="C598" s="44" t="s">
        <v>1773</v>
      </c>
      <c r="D598" s="44">
        <v>0</v>
      </c>
      <c r="E598" s="44">
        <v>0</v>
      </c>
      <c r="F598" s="44">
        <v>1</v>
      </c>
      <c r="G598" s="44">
        <v>0</v>
      </c>
      <c r="H598" s="44">
        <v>1</v>
      </c>
      <c r="I598" s="44" t="s">
        <v>114</v>
      </c>
      <c r="J598" s="44" t="s">
        <v>1800</v>
      </c>
      <c r="K598" s="44">
        <v>6</v>
      </c>
      <c r="L598" s="44">
        <v>0</v>
      </c>
      <c r="M598" s="44">
        <v>2</v>
      </c>
      <c r="N598" s="44">
        <v>1</v>
      </c>
      <c r="O598" s="45" t="s">
        <v>1815</v>
      </c>
      <c r="P598" s="46" t="s">
        <v>27</v>
      </c>
      <c r="Q598" s="46" t="s">
        <v>27</v>
      </c>
      <c r="R598" s="46">
        <v>0</v>
      </c>
      <c r="S598" s="46">
        <v>0</v>
      </c>
      <c r="T598" s="47">
        <v>0</v>
      </c>
      <c r="U598" s="46">
        <v>0</v>
      </c>
      <c r="V598" s="46">
        <v>0</v>
      </c>
      <c r="W598" s="46">
        <v>0</v>
      </c>
      <c r="X598" s="46">
        <v>0</v>
      </c>
    </row>
    <row r="599" spans="1:24" s="5" customFormat="1" ht="18.75" x14ac:dyDescent="0.25">
      <c r="A599" s="117" t="s">
        <v>1802</v>
      </c>
      <c r="B599" s="44" t="s">
        <v>1798</v>
      </c>
      <c r="C599" s="44" t="s">
        <v>1773</v>
      </c>
      <c r="D599" s="44">
        <v>0</v>
      </c>
      <c r="E599" s="44">
        <v>0</v>
      </c>
      <c r="F599" s="44">
        <v>1</v>
      </c>
      <c r="G599" s="44">
        <v>0</v>
      </c>
      <c r="H599" s="44">
        <v>1</v>
      </c>
      <c r="I599" s="44" t="s">
        <v>114</v>
      </c>
      <c r="J599" s="44" t="s">
        <v>1803</v>
      </c>
      <c r="K599" s="44">
        <v>3</v>
      </c>
      <c r="L599" s="44">
        <v>0</v>
      </c>
      <c r="M599" s="44">
        <v>2</v>
      </c>
      <c r="N599" s="44">
        <v>1</v>
      </c>
      <c r="O599" s="45" t="s">
        <v>1815</v>
      </c>
      <c r="P599" s="46" t="s">
        <v>27</v>
      </c>
      <c r="Q599" s="46" t="s">
        <v>27</v>
      </c>
      <c r="R599" s="46">
        <v>0</v>
      </c>
      <c r="S599" s="46">
        <v>0</v>
      </c>
      <c r="T599" s="47">
        <v>0</v>
      </c>
      <c r="U599" s="46">
        <v>0</v>
      </c>
      <c r="V599" s="46">
        <v>0</v>
      </c>
      <c r="W599" s="46">
        <v>0</v>
      </c>
      <c r="X599" s="46">
        <v>0</v>
      </c>
    </row>
    <row r="600" spans="1:24" s="5" customFormat="1" ht="18.75" x14ac:dyDescent="0.25">
      <c r="A600" s="117" t="s">
        <v>1804</v>
      </c>
      <c r="B600" s="44" t="s">
        <v>1798</v>
      </c>
      <c r="C600" s="44" t="s">
        <v>1773</v>
      </c>
      <c r="D600" s="44">
        <v>0</v>
      </c>
      <c r="E600" s="44">
        <v>0</v>
      </c>
      <c r="F600" s="44">
        <v>1</v>
      </c>
      <c r="G600" s="44">
        <v>0</v>
      </c>
      <c r="H600" s="44">
        <v>1</v>
      </c>
      <c r="I600" s="44" t="s">
        <v>114</v>
      </c>
      <c r="J600" s="44" t="s">
        <v>1803</v>
      </c>
      <c r="K600" s="44">
        <v>6</v>
      </c>
      <c r="L600" s="44">
        <v>0</v>
      </c>
      <c r="M600" s="44">
        <v>2</v>
      </c>
      <c r="N600" s="44">
        <v>1</v>
      </c>
      <c r="O600" s="45" t="s">
        <v>1815</v>
      </c>
      <c r="P600" s="46" t="s">
        <v>27</v>
      </c>
      <c r="Q600" s="46" t="s">
        <v>27</v>
      </c>
      <c r="R600" s="46">
        <v>0</v>
      </c>
      <c r="S600" s="46">
        <v>0</v>
      </c>
      <c r="T600" s="47">
        <v>0</v>
      </c>
      <c r="U600" s="46">
        <v>0</v>
      </c>
      <c r="V600" s="46">
        <v>0</v>
      </c>
      <c r="W600" s="46">
        <v>0</v>
      </c>
      <c r="X600" s="46">
        <v>0</v>
      </c>
    </row>
    <row r="601" spans="1:24" s="5" customFormat="1" x14ac:dyDescent="0.15">
      <c r="A601" s="44" t="s">
        <v>108</v>
      </c>
      <c r="B601" s="44" t="s">
        <v>271</v>
      </c>
      <c r="C601" s="44" t="s">
        <v>272</v>
      </c>
      <c r="D601" s="44">
        <v>0</v>
      </c>
      <c r="E601" s="44">
        <v>0</v>
      </c>
      <c r="F601" s="44">
        <v>1</v>
      </c>
      <c r="G601" s="44">
        <v>0</v>
      </c>
      <c r="H601" s="44" t="s">
        <v>114</v>
      </c>
      <c r="I601" s="44" t="s">
        <v>114</v>
      </c>
      <c r="J601" s="44" t="s">
        <v>108</v>
      </c>
      <c r="K601" s="44">
        <v>0</v>
      </c>
      <c r="L601" s="44">
        <v>0</v>
      </c>
      <c r="M601" s="44">
        <v>2</v>
      </c>
      <c r="N601" s="44">
        <v>2</v>
      </c>
      <c r="O601" s="45" t="s">
        <v>1520</v>
      </c>
      <c r="P601" s="46" t="s">
        <v>27</v>
      </c>
      <c r="Q601" s="46" t="s">
        <v>27</v>
      </c>
      <c r="R601" s="46">
        <v>0</v>
      </c>
      <c r="S601" s="46">
        <v>0</v>
      </c>
      <c r="T601" s="47">
        <v>0</v>
      </c>
      <c r="U601" s="46">
        <v>0</v>
      </c>
      <c r="V601" s="46">
        <v>0</v>
      </c>
      <c r="W601" s="46">
        <v>0</v>
      </c>
      <c r="X601" s="46">
        <v>0</v>
      </c>
    </row>
    <row r="602" spans="1:24" s="5" customFormat="1" x14ac:dyDescent="0.15">
      <c r="A602" s="44" t="s">
        <v>1133</v>
      </c>
      <c r="B602" s="44" t="s">
        <v>1135</v>
      </c>
      <c r="C602" s="44" t="s">
        <v>114</v>
      </c>
      <c r="D602" s="44">
        <v>0</v>
      </c>
      <c r="E602" s="44">
        <v>0</v>
      </c>
      <c r="F602" s="44">
        <v>1</v>
      </c>
      <c r="G602" s="44">
        <v>0</v>
      </c>
      <c r="H602" s="44" t="s">
        <v>27</v>
      </c>
      <c r="I602" s="44" t="s">
        <v>27</v>
      </c>
      <c r="J602" s="44" t="s">
        <v>1133</v>
      </c>
      <c r="K602" s="44">
        <v>0</v>
      </c>
      <c r="L602" s="44">
        <v>0</v>
      </c>
      <c r="M602" s="44">
        <v>2</v>
      </c>
      <c r="N602" s="44">
        <v>2</v>
      </c>
      <c r="O602" s="45" t="s">
        <v>1770</v>
      </c>
      <c r="P602" s="46" t="s">
        <v>27</v>
      </c>
      <c r="Q602" s="46" t="s">
        <v>27</v>
      </c>
      <c r="R602" s="46">
        <v>0</v>
      </c>
      <c r="S602" s="46">
        <v>0</v>
      </c>
      <c r="T602" s="47">
        <v>0</v>
      </c>
      <c r="U602" s="46">
        <v>0</v>
      </c>
      <c r="V602" s="46">
        <v>0</v>
      </c>
      <c r="W602" s="46">
        <v>0</v>
      </c>
      <c r="X602" s="46">
        <v>0</v>
      </c>
    </row>
    <row r="603" spans="1:24" s="5" customFormat="1" x14ac:dyDescent="0.15">
      <c r="A603" s="44" t="s">
        <v>139</v>
      </c>
      <c r="B603" s="44" t="s">
        <v>274</v>
      </c>
      <c r="C603" s="44" t="s">
        <v>675</v>
      </c>
      <c r="D603" s="44">
        <v>0</v>
      </c>
      <c r="E603" s="44">
        <v>0</v>
      </c>
      <c r="F603" s="44">
        <v>1</v>
      </c>
      <c r="G603" s="44">
        <v>0</v>
      </c>
      <c r="H603" s="44" t="s">
        <v>114</v>
      </c>
      <c r="I603" s="44" t="s">
        <v>114</v>
      </c>
      <c r="J603" s="44" t="s">
        <v>139</v>
      </c>
      <c r="K603" s="44">
        <v>0</v>
      </c>
      <c r="L603" s="44">
        <v>0</v>
      </c>
      <c r="M603" s="44">
        <v>2</v>
      </c>
      <c r="N603" s="44">
        <v>1</v>
      </c>
      <c r="O603" s="45" t="s">
        <v>1520</v>
      </c>
      <c r="P603" s="46" t="s">
        <v>27</v>
      </c>
      <c r="Q603" s="46" t="s">
        <v>27</v>
      </c>
      <c r="R603" s="46">
        <v>0</v>
      </c>
      <c r="S603" s="46">
        <v>0</v>
      </c>
      <c r="T603" s="47">
        <v>0</v>
      </c>
      <c r="U603" s="46">
        <v>0</v>
      </c>
      <c r="V603" s="46">
        <v>0</v>
      </c>
      <c r="W603" s="46">
        <v>0</v>
      </c>
      <c r="X603" s="46">
        <v>0</v>
      </c>
    </row>
    <row r="604" spans="1:24" s="5" customFormat="1" x14ac:dyDescent="0.15">
      <c r="A604" s="44" t="s">
        <v>109</v>
      </c>
      <c r="B604" s="44" t="s">
        <v>276</v>
      </c>
      <c r="C604" s="44" t="s">
        <v>114</v>
      </c>
      <c r="D604" s="44">
        <v>0</v>
      </c>
      <c r="E604" s="44">
        <v>0</v>
      </c>
      <c r="F604" s="44">
        <v>1</v>
      </c>
      <c r="G604" s="44">
        <v>0</v>
      </c>
      <c r="H604" s="44" t="s">
        <v>114</v>
      </c>
      <c r="I604" s="44" t="s">
        <v>114</v>
      </c>
      <c r="J604" s="44" t="s">
        <v>109</v>
      </c>
      <c r="K604" s="44">
        <v>0</v>
      </c>
      <c r="L604" s="44">
        <v>0</v>
      </c>
      <c r="M604" s="44">
        <v>2</v>
      </c>
      <c r="N604" s="44">
        <v>2</v>
      </c>
      <c r="O604" s="45" t="s">
        <v>1520</v>
      </c>
      <c r="P604" s="46" t="s">
        <v>27</v>
      </c>
      <c r="Q604" s="46" t="s">
        <v>27</v>
      </c>
      <c r="R604" s="46">
        <v>0</v>
      </c>
      <c r="S604" s="46">
        <v>0</v>
      </c>
      <c r="T604" s="47">
        <v>0</v>
      </c>
      <c r="U604" s="46">
        <v>0</v>
      </c>
      <c r="V604" s="46">
        <v>0</v>
      </c>
      <c r="W604" s="46">
        <v>0</v>
      </c>
      <c r="X604" s="46">
        <v>0</v>
      </c>
    </row>
    <row r="605" spans="1:24" s="5" customFormat="1" x14ac:dyDescent="0.15">
      <c r="A605" s="44" t="s">
        <v>845</v>
      </c>
      <c r="B605" s="44" t="s">
        <v>278</v>
      </c>
      <c r="C605" s="44" t="s">
        <v>114</v>
      </c>
      <c r="D605" s="44">
        <v>0</v>
      </c>
      <c r="E605" s="44">
        <v>0</v>
      </c>
      <c r="F605" s="44">
        <v>1</v>
      </c>
      <c r="G605" s="44">
        <v>0</v>
      </c>
      <c r="H605" s="44" t="s">
        <v>114</v>
      </c>
      <c r="I605" s="44" t="s">
        <v>114</v>
      </c>
      <c r="J605" s="44" t="s">
        <v>844</v>
      </c>
      <c r="K605" s="44">
        <v>0</v>
      </c>
      <c r="L605" s="44">
        <v>0</v>
      </c>
      <c r="M605" s="44">
        <v>2</v>
      </c>
      <c r="N605" s="44">
        <v>2</v>
      </c>
      <c r="O605" s="45" t="s">
        <v>1520</v>
      </c>
      <c r="P605" s="46" t="s">
        <v>27</v>
      </c>
      <c r="Q605" s="46" t="s">
        <v>27</v>
      </c>
      <c r="R605" s="46">
        <v>0</v>
      </c>
      <c r="S605" s="46">
        <v>0</v>
      </c>
      <c r="T605" s="47">
        <v>0</v>
      </c>
      <c r="U605" s="46">
        <v>0</v>
      </c>
      <c r="V605" s="46">
        <v>0</v>
      </c>
      <c r="W605" s="46">
        <v>0</v>
      </c>
      <c r="X605" s="46">
        <v>0</v>
      </c>
    </row>
    <row r="606" spans="1:24" s="5" customFormat="1" x14ac:dyDescent="0.15">
      <c r="A606" s="44" t="s">
        <v>110</v>
      </c>
      <c r="B606" s="44" t="s">
        <v>279</v>
      </c>
      <c r="C606" s="44" t="s">
        <v>114</v>
      </c>
      <c r="D606" s="44">
        <v>0</v>
      </c>
      <c r="E606" s="44">
        <v>0</v>
      </c>
      <c r="F606" s="44">
        <v>11</v>
      </c>
      <c r="G606" s="44">
        <v>0</v>
      </c>
      <c r="H606" s="44" t="s">
        <v>114</v>
      </c>
      <c r="I606" s="44" t="s">
        <v>114</v>
      </c>
      <c r="J606" s="44" t="s">
        <v>110</v>
      </c>
      <c r="K606" s="44">
        <v>5</v>
      </c>
      <c r="L606" s="44">
        <v>0</v>
      </c>
      <c r="M606" s="44">
        <v>2</v>
      </c>
      <c r="N606" s="44">
        <v>0</v>
      </c>
      <c r="O606" s="45" t="s">
        <v>1520</v>
      </c>
      <c r="P606" s="46" t="s">
        <v>27</v>
      </c>
      <c r="Q606" s="46" t="s">
        <v>27</v>
      </c>
      <c r="R606" s="46">
        <v>0</v>
      </c>
      <c r="S606" s="46">
        <v>0</v>
      </c>
      <c r="T606" s="47">
        <v>0</v>
      </c>
      <c r="U606" s="46">
        <v>0</v>
      </c>
      <c r="V606" s="46">
        <v>0</v>
      </c>
      <c r="W606" s="46">
        <v>0</v>
      </c>
      <c r="X606" s="46">
        <v>0</v>
      </c>
    </row>
    <row r="607" spans="1:24" s="5" customFormat="1" x14ac:dyDescent="0.15">
      <c r="A607" s="44" t="s">
        <v>111</v>
      </c>
      <c r="B607" s="44" t="s">
        <v>280</v>
      </c>
      <c r="C607" s="44" t="s">
        <v>112</v>
      </c>
      <c r="D607" s="44">
        <v>0</v>
      </c>
      <c r="E607" s="44">
        <v>0</v>
      </c>
      <c r="F607" s="44">
        <v>11</v>
      </c>
      <c r="G607" s="44">
        <v>0</v>
      </c>
      <c r="H607" s="44">
        <v>1</v>
      </c>
      <c r="I607" s="44" t="s">
        <v>114</v>
      </c>
      <c r="J607" s="44" t="s">
        <v>1087</v>
      </c>
      <c r="K607" s="44">
        <v>5</v>
      </c>
      <c r="L607" s="44">
        <v>0</v>
      </c>
      <c r="M607" s="44">
        <v>2</v>
      </c>
      <c r="N607" s="44">
        <v>0</v>
      </c>
      <c r="O607" s="45" t="s">
        <v>1520</v>
      </c>
      <c r="P607" s="46" t="s">
        <v>27</v>
      </c>
      <c r="Q607" s="46" t="s">
        <v>27</v>
      </c>
      <c r="R607" s="46">
        <v>0</v>
      </c>
      <c r="S607" s="46">
        <v>0</v>
      </c>
      <c r="T607" s="47">
        <v>0</v>
      </c>
      <c r="U607" s="46">
        <v>0</v>
      </c>
      <c r="V607" s="46">
        <v>0</v>
      </c>
      <c r="W607" s="46">
        <v>0</v>
      </c>
      <c r="X607" s="46">
        <v>0</v>
      </c>
    </row>
    <row r="608" spans="1:24" s="5" customFormat="1" x14ac:dyDescent="0.15">
      <c r="A608" s="44" t="s">
        <v>140</v>
      </c>
      <c r="B608" s="44" t="s">
        <v>281</v>
      </c>
      <c r="C608" s="44" t="s">
        <v>114</v>
      </c>
      <c r="D608" s="44">
        <v>0</v>
      </c>
      <c r="E608" s="44">
        <v>0</v>
      </c>
      <c r="F608" s="44">
        <v>1</v>
      </c>
      <c r="G608" s="44">
        <v>0</v>
      </c>
      <c r="H608" s="44" t="s">
        <v>114</v>
      </c>
      <c r="I608" s="44" t="s">
        <v>114</v>
      </c>
      <c r="J608" s="44" t="s">
        <v>140</v>
      </c>
      <c r="K608" s="44">
        <v>5</v>
      </c>
      <c r="L608" s="44">
        <v>0</v>
      </c>
      <c r="M608" s="44">
        <v>2</v>
      </c>
      <c r="N608" s="44">
        <v>1</v>
      </c>
      <c r="O608" s="45" t="s">
        <v>1520</v>
      </c>
      <c r="P608" s="46" t="s">
        <v>27</v>
      </c>
      <c r="Q608" s="46" t="s">
        <v>27</v>
      </c>
      <c r="R608" s="46">
        <v>0</v>
      </c>
      <c r="S608" s="46">
        <v>0</v>
      </c>
      <c r="T608" s="47">
        <v>0</v>
      </c>
      <c r="U608" s="46">
        <v>0</v>
      </c>
      <c r="V608" s="46">
        <v>0</v>
      </c>
      <c r="W608" s="46">
        <v>0</v>
      </c>
      <c r="X608" s="46">
        <v>0</v>
      </c>
    </row>
    <row r="609" spans="1:24" s="5" customFormat="1" x14ac:dyDescent="0.15">
      <c r="A609" s="44" t="s">
        <v>1916</v>
      </c>
      <c r="B609" s="44" t="s">
        <v>875</v>
      </c>
      <c r="C609" s="44" t="s">
        <v>112</v>
      </c>
      <c r="D609" s="44">
        <v>2</v>
      </c>
      <c r="E609" s="44">
        <v>0</v>
      </c>
      <c r="F609" s="44">
        <v>1</v>
      </c>
      <c r="G609" s="44">
        <v>0</v>
      </c>
      <c r="H609" s="44">
        <v>1</v>
      </c>
      <c r="I609" s="44" t="s">
        <v>27</v>
      </c>
      <c r="J609" s="44" t="s">
        <v>1757</v>
      </c>
      <c r="K609" s="44">
        <v>3</v>
      </c>
      <c r="L609" s="44">
        <v>0</v>
      </c>
      <c r="M609" s="44">
        <v>2</v>
      </c>
      <c r="N609" s="44">
        <v>0</v>
      </c>
      <c r="O609" s="45" t="s">
        <v>1520</v>
      </c>
      <c r="P609" s="46" t="s">
        <v>27</v>
      </c>
      <c r="Q609" s="46" t="s">
        <v>27</v>
      </c>
      <c r="R609" s="46">
        <v>0</v>
      </c>
      <c r="S609" s="46">
        <v>0</v>
      </c>
      <c r="T609" s="47">
        <v>0</v>
      </c>
      <c r="U609" s="46">
        <v>0</v>
      </c>
      <c r="V609" s="46">
        <v>0</v>
      </c>
      <c r="W609" s="46">
        <v>0</v>
      </c>
      <c r="X609" s="46">
        <v>0</v>
      </c>
    </row>
    <row r="610" spans="1:24" x14ac:dyDescent="0.15">
      <c r="A610" s="105" t="s">
        <v>1921</v>
      </c>
      <c r="B610" s="89" t="s">
        <v>1922</v>
      </c>
      <c r="C610" s="105" t="s">
        <v>1924</v>
      </c>
      <c r="D610" s="105">
        <v>0</v>
      </c>
      <c r="E610" s="105">
        <v>0</v>
      </c>
      <c r="F610" s="105">
        <v>1</v>
      </c>
      <c r="G610" s="105">
        <v>0</v>
      </c>
      <c r="H610" s="105">
        <v>1</v>
      </c>
      <c r="I610" s="105" t="s">
        <v>27</v>
      </c>
      <c r="J610" s="105" t="s">
        <v>1923</v>
      </c>
      <c r="K610" s="105">
        <v>1</v>
      </c>
      <c r="L610" s="105">
        <v>0</v>
      </c>
      <c r="M610" s="105">
        <v>2</v>
      </c>
      <c r="N610" s="105">
        <v>1</v>
      </c>
      <c r="O610" s="106" t="s">
        <v>27</v>
      </c>
      <c r="P610" s="105" t="s">
        <v>27</v>
      </c>
      <c r="Q610" s="105" t="s">
        <v>27</v>
      </c>
      <c r="R610" s="105">
        <v>0</v>
      </c>
      <c r="S610" s="105">
        <v>0</v>
      </c>
      <c r="T610" s="105">
        <v>0</v>
      </c>
      <c r="U610" s="105">
        <v>0</v>
      </c>
      <c r="V610" s="105">
        <v>0</v>
      </c>
      <c r="W610" s="105">
        <v>0</v>
      </c>
      <c r="X610" s="105">
        <v>0</v>
      </c>
    </row>
  </sheetData>
  <autoFilter ref="A1:X532"/>
  <sortState ref="A569:X588">
    <sortCondition ref="A568"/>
  </sortState>
  <phoneticPr fontId="4" type="noConversion"/>
  <hyperlinks>
    <hyperlink ref="J121" r:id="rId1"/>
    <hyperlink ref="J114" r:id="rId2"/>
    <hyperlink ref="J120" r:id="rId3"/>
    <hyperlink ref="J122" r:id="rId4"/>
    <hyperlink ref="J119" r:id="rId5"/>
    <hyperlink ref="J115" r:id="rId6"/>
    <hyperlink ref="J118" r:id="rId7"/>
    <hyperlink ref="J156" r:id="rId8" display="fire02@skill01"/>
    <hyperlink ref="J168" r:id="rId9"/>
    <hyperlink ref="J172" r:id="rId10" display="fire02@skill01"/>
    <hyperlink ref="J201" r:id="rId11" display="fire04@skill01"/>
    <hyperlink ref="J269" r:id="rId12"/>
    <hyperlink ref="J20" r:id="rId13"/>
    <hyperlink ref="J116" r:id="rId14"/>
    <hyperlink ref="J117" r:id="rId15"/>
    <hyperlink ref="J74" r:id="rId16"/>
    <hyperlink ref="J69" r:id="rId17"/>
  </hyperlinks>
  <pageMargins left="0.75" right="0.75" top="1" bottom="1" header="0.51180555555555596" footer="0.51180555555555596"/>
  <pageSetup paperSize="9" orientation="portrait" r:id="rId18"/>
  <legacyDrawing r:id="rId1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3"/>
  <sheetViews>
    <sheetView workbookViewId="0">
      <pane xSplit="6" ySplit="3" topLeftCell="T13" activePane="bottomRight" state="frozen"/>
      <selection pane="topRight" activeCell="C1" sqref="C1"/>
      <selection pane="bottomLeft" activeCell="A4" sqref="A4"/>
      <selection pane="bottomRight" activeCell="E30" sqref="E30:AB30"/>
    </sheetView>
  </sheetViews>
  <sheetFormatPr defaultColWidth="9" defaultRowHeight="17.25" x14ac:dyDescent="0.15"/>
  <cols>
    <col min="1" max="1" width="11.875" style="20" bestFit="1" customWidth="1"/>
    <col min="2" max="3" width="15.875" style="20" customWidth="1"/>
    <col min="4" max="4" width="7.5" style="20" bestFit="1" customWidth="1"/>
    <col min="5" max="5" width="30.5" style="20" customWidth="1"/>
    <col min="6" max="6" width="19.875" style="20" customWidth="1"/>
    <col min="7" max="7" width="17.75" style="20" customWidth="1"/>
    <col min="8" max="8" width="23.875" style="20" customWidth="1"/>
    <col min="9" max="9" width="12.75" style="20" customWidth="1"/>
    <col min="10" max="10" width="44.25" style="20" customWidth="1"/>
    <col min="11" max="11" width="12.75" style="20" customWidth="1"/>
    <col min="12" max="12" width="15.75" style="20" customWidth="1"/>
    <col min="13" max="13" width="20.875" style="20" bestFit="1" customWidth="1"/>
    <col min="14" max="14" width="30.5" style="20" customWidth="1"/>
    <col min="15" max="15" width="21.75" style="20" customWidth="1"/>
    <col min="16" max="16" width="13.25" style="20" customWidth="1"/>
    <col min="17" max="17" width="32" style="20" bestFit="1" customWidth="1"/>
    <col min="18" max="18" width="22.75" style="20" bestFit="1" customWidth="1"/>
    <col min="19" max="19" width="15.375" style="20" bestFit="1" customWidth="1"/>
    <col min="20" max="20" width="19.25" style="20" bestFit="1" customWidth="1"/>
    <col min="21" max="21" width="21.75" style="20" customWidth="1"/>
    <col min="22" max="28" width="11.125" style="20" customWidth="1"/>
    <col min="29" max="16384" width="9" style="20"/>
  </cols>
  <sheetData>
    <row r="1" spans="1:28" s="21" customFormat="1" ht="144.75" customHeight="1" x14ac:dyDescent="0.15">
      <c r="B1" s="21" t="s">
        <v>1502</v>
      </c>
      <c r="C1" s="21" t="s">
        <v>1501</v>
      </c>
      <c r="D1" s="21" t="s">
        <v>1500</v>
      </c>
      <c r="E1" s="23" t="s">
        <v>1477</v>
      </c>
      <c r="F1" s="23" t="s">
        <v>1478</v>
      </c>
      <c r="G1" s="23" t="s">
        <v>1460</v>
      </c>
      <c r="H1" s="23" t="s">
        <v>1461</v>
      </c>
      <c r="I1" s="23" t="s">
        <v>1462</v>
      </c>
      <c r="J1" s="23" t="s">
        <v>1463</v>
      </c>
      <c r="K1" s="23" t="s">
        <v>1464</v>
      </c>
      <c r="L1" s="23" t="s">
        <v>1465</v>
      </c>
      <c r="M1" s="23" t="s">
        <v>1466</v>
      </c>
      <c r="N1" s="23" t="s">
        <v>1467</v>
      </c>
      <c r="O1" s="23" t="s">
        <v>1468</v>
      </c>
      <c r="P1" s="23" t="s">
        <v>1469</v>
      </c>
      <c r="Q1" s="23" t="s">
        <v>1479</v>
      </c>
      <c r="R1" s="23" t="s">
        <v>1481</v>
      </c>
      <c r="S1" s="23" t="s">
        <v>1480</v>
      </c>
      <c r="T1" s="23" t="s">
        <v>1483</v>
      </c>
      <c r="U1" s="23" t="s">
        <v>1482</v>
      </c>
      <c r="V1" s="23" t="s">
        <v>1484</v>
      </c>
      <c r="W1" s="23" t="s">
        <v>1486</v>
      </c>
      <c r="X1" s="23" t="s">
        <v>1485</v>
      </c>
      <c r="Y1" s="23" t="s">
        <v>1487</v>
      </c>
      <c r="Z1" s="23" t="s">
        <v>4</v>
      </c>
      <c r="AA1" s="23" t="s">
        <v>5</v>
      </c>
      <c r="AB1" s="23" t="s">
        <v>6</v>
      </c>
    </row>
    <row r="2" spans="1:28" s="22" customFormat="1" x14ac:dyDescent="0.15">
      <c r="E2" s="24" t="s">
        <v>7</v>
      </c>
      <c r="F2" s="24" t="s">
        <v>8</v>
      </c>
      <c r="G2" s="24" t="s">
        <v>1470</v>
      </c>
      <c r="H2" s="24" t="s">
        <v>1471</v>
      </c>
      <c r="I2" s="24" t="s">
        <v>1472</v>
      </c>
      <c r="J2" s="24" t="s">
        <v>1473</v>
      </c>
      <c r="K2" s="24" t="s">
        <v>1474</v>
      </c>
      <c r="L2" s="24" t="s">
        <v>1475</v>
      </c>
      <c r="M2" s="24" t="s">
        <v>1476</v>
      </c>
      <c r="N2" s="24" t="s">
        <v>9</v>
      </c>
      <c r="O2" s="24" t="s">
        <v>10</v>
      </c>
      <c r="P2" s="24" t="s">
        <v>11</v>
      </c>
      <c r="Q2" s="24" t="s">
        <v>12</v>
      </c>
      <c r="R2" s="24" t="s">
        <v>13</v>
      </c>
      <c r="S2" s="24" t="s">
        <v>14</v>
      </c>
      <c r="T2" s="24" t="s">
        <v>15</v>
      </c>
      <c r="U2" s="24" t="s">
        <v>16</v>
      </c>
      <c r="V2" s="24" t="s">
        <v>17</v>
      </c>
      <c r="W2" s="24" t="s">
        <v>18</v>
      </c>
      <c r="X2" s="24" t="s">
        <v>19</v>
      </c>
      <c r="Y2" s="24" t="s">
        <v>20</v>
      </c>
      <c r="Z2" s="24" t="s">
        <v>21</v>
      </c>
      <c r="AA2" s="24" t="s">
        <v>22</v>
      </c>
      <c r="AB2" s="24" t="s">
        <v>23</v>
      </c>
    </row>
    <row r="3" spans="1:28" s="22" customFormat="1" x14ac:dyDescent="0.15">
      <c r="D3" s="22">
        <v>1</v>
      </c>
      <c r="E3" s="24">
        <f>D3+1</f>
        <v>2</v>
      </c>
      <c r="F3" s="24">
        <f t="shared" ref="F3:AB3" si="0">E3+1</f>
        <v>3</v>
      </c>
      <c r="G3" s="24">
        <f t="shared" si="0"/>
        <v>4</v>
      </c>
      <c r="H3" s="24">
        <f t="shared" si="0"/>
        <v>5</v>
      </c>
      <c r="I3" s="24">
        <f t="shared" si="0"/>
        <v>6</v>
      </c>
      <c r="J3" s="24">
        <f t="shared" si="0"/>
        <v>7</v>
      </c>
      <c r="K3" s="24">
        <f t="shared" si="0"/>
        <v>8</v>
      </c>
      <c r="L3" s="24">
        <f t="shared" si="0"/>
        <v>9</v>
      </c>
      <c r="M3" s="24">
        <f t="shared" si="0"/>
        <v>10</v>
      </c>
      <c r="N3" s="24">
        <f t="shared" si="0"/>
        <v>11</v>
      </c>
      <c r="O3" s="24">
        <f t="shared" si="0"/>
        <v>12</v>
      </c>
      <c r="P3" s="24">
        <f t="shared" si="0"/>
        <v>13</v>
      </c>
      <c r="Q3" s="24">
        <f t="shared" si="0"/>
        <v>14</v>
      </c>
      <c r="R3" s="24">
        <f t="shared" si="0"/>
        <v>15</v>
      </c>
      <c r="S3" s="24">
        <f t="shared" si="0"/>
        <v>16</v>
      </c>
      <c r="T3" s="24">
        <f t="shared" si="0"/>
        <v>17</v>
      </c>
      <c r="U3" s="24">
        <f t="shared" si="0"/>
        <v>18</v>
      </c>
      <c r="V3" s="24">
        <f t="shared" si="0"/>
        <v>19</v>
      </c>
      <c r="W3" s="24">
        <f t="shared" si="0"/>
        <v>20</v>
      </c>
      <c r="X3" s="24">
        <f t="shared" si="0"/>
        <v>21</v>
      </c>
      <c r="Y3" s="24">
        <f t="shared" si="0"/>
        <v>22</v>
      </c>
      <c r="Z3" s="24">
        <f t="shared" si="0"/>
        <v>23</v>
      </c>
      <c r="AA3" s="24">
        <f t="shared" si="0"/>
        <v>24</v>
      </c>
      <c r="AB3" s="24">
        <f t="shared" si="0"/>
        <v>25</v>
      </c>
    </row>
    <row r="4" spans="1:28" x14ac:dyDescent="0.15">
      <c r="A4" s="20" t="s">
        <v>1503</v>
      </c>
      <c r="B4" s="20" t="str">
        <f>IF(AND(C4=0,D4=1),A4,B3)</f>
        <v>nanzhujue</v>
      </c>
      <c r="C4" s="32">
        <f t="shared" ref="C4:C9" si="1">IF(A4="",IF(D4=1,C3+1,C3),0)</f>
        <v>0</v>
      </c>
      <c r="D4" s="20">
        <v>1</v>
      </c>
      <c r="E4" s="33" t="str">
        <f>IF($D4=1,VLOOKUP($B4&amp;"_"&amp;$C4,起手特效!$A$4:$Y$17,E$3,FALSE),IF($D4=2,VLOOKUP($B4&amp;"_"&amp;$C4,主要特效!$A$4:$Y$17,E$3,FALSE),IF($D4=3,VLOOKUP($B4&amp;"_"&amp;$C4,辅助特效!$A$4:$Y$17,E$3,FALSE),IF($D4=4,VLOOKUP($B4&amp;"_"&amp;$C4,命中特效!$A$4:$Y$17,E$3,FALSE),IF($D4=5,VLOOKUP($B4&amp;"_"&amp;$C4,buff特效!$A$4:$Y$17,E$3,FALSE),1111)))))</f>
        <v>[]</v>
      </c>
      <c r="F4" s="33" t="str">
        <f>IF($D4=1,VLOOKUP($B4&amp;"_"&amp;$C4,起手特效!$A$4:$Y$17,F$3,FALSE),IF($D4=2,VLOOKUP($B4&amp;"_"&amp;$C4,主要特效!$A$4:$Y$17,F$3,FALSE),IF($D4=3,VLOOKUP($B4&amp;"_"&amp;$C4,辅助特效!$A$4:$Y$17,F$3,FALSE),IF($D4=4,VLOOKUP($B4&amp;"_"&amp;$C4,命中特效!$A$4:$Y$17,F$3,FALSE),IF($D4=5,VLOOKUP($B4&amp;"_"&amp;$C4,buff特效!$A$4:$Y$17,F$3,FALSE),1111)))))</f>
        <v>[]</v>
      </c>
      <c r="G4" s="33" t="str">
        <f>IF($D4=1,VLOOKUP($B4&amp;"_"&amp;$C4,起手特效!$A$4:$Y$17,G$3,FALSE),IF($D4=2,VLOOKUP($B4&amp;"_"&amp;$C4,主要特效!$A$4:$Y$17,G$3,FALSE),IF($D4=3,VLOOKUP($B4&amp;"_"&amp;$C4,辅助特效!$A$4:$Y$17,G$3,FALSE),IF($D4=4,VLOOKUP($B4&amp;"_"&amp;$C4,命中特效!$A$4:$Y$17,G$3,FALSE),IF($D4=5,VLOOKUP($B4&amp;"_"&amp;$C4,buff特效!$A$4:$Y$17,G$3,FALSE),1111)))))</f>
        <v>attack_1</v>
      </c>
      <c r="H4" s="33">
        <f>IF($D4=1,VLOOKUP($B4&amp;"_"&amp;$C4,起手特效!$A$4:$Y$17,H$3,FALSE),IF($D4=2,VLOOKUP($B4&amp;"_"&amp;$C4,主要特效!$A$4:$Y$17,H$3,FALSE),IF($D4=3,VLOOKUP($B4&amp;"_"&amp;$C4,辅助特效!$A$4:$Y$17,H$3,FALSE),IF($D4=4,VLOOKUP($B4&amp;"_"&amp;$C4,命中特效!$A$4:$Y$17,H$3,FALSE),IF($D4=5,VLOOKUP($B4&amp;"_"&amp;$C4,buff特效!$A$4:$Y$17,H$3,FALSE),1111)))))</f>
        <v>1.33</v>
      </c>
      <c r="I4" s="33">
        <f>IF($D4=1,VLOOKUP($B4&amp;"_"&amp;$C4,起手特效!$A$4:$Y$17,I$3,FALSE),IF($D4=2,VLOOKUP($B4&amp;"_"&amp;$C4,主要特效!$A$4:$Y$17,I$3,FALSE),IF($D4=3,VLOOKUP($B4&amp;"_"&amp;$C4,辅助特效!$A$4:$Y$17,I$3,FALSE),IF($D4=4,VLOOKUP($B4&amp;"_"&amp;$C4,命中特效!$A$4:$Y$17,I$3,FALSE),IF($D4=5,VLOOKUP($B4&amp;"_"&amp;$C4,buff特效!$A$4:$Y$17,I$3,FALSE),1111)))))</f>
        <v>0</v>
      </c>
      <c r="J4" s="33">
        <f>IF($D4=1,VLOOKUP($B4&amp;"_"&amp;$C4,起手特效!$A$4:$Y$17,J$3,FALSE),IF($D4=2,VLOOKUP($B4&amp;"_"&amp;$C4,主要特效!$A$4:$Y$17,J$3,FALSE),IF($D4=3,VLOOKUP($B4&amp;"_"&amp;$C4,辅助特效!$A$4:$Y$17,J$3,FALSE),IF($D4=4,VLOOKUP($B4&amp;"_"&amp;$C4,命中特效!$A$4:$Y$17,J$3,FALSE),IF($D4=5,VLOOKUP($B4&amp;"_"&amp;$C4,buff特效!$A$4:$Y$17,J$3,FALSE),1111)))))</f>
        <v>0</v>
      </c>
      <c r="K4" s="33">
        <f>IF($D4=1,VLOOKUP($B4&amp;"_"&amp;$C4,起手特效!$A$4:$Y$17,K$3,FALSE),IF($D4=2,VLOOKUP($B4&amp;"_"&amp;$C4,主要特效!$A$4:$Y$17,K$3,FALSE),IF($D4=3,VLOOKUP($B4&amp;"_"&amp;$C4,辅助特效!$A$4:$Y$17,K$3,FALSE),IF($D4=4,VLOOKUP($B4&amp;"_"&amp;$C4,命中特效!$A$4:$Y$17,K$3,FALSE),IF($D4=5,VLOOKUP($B4&amp;"_"&amp;$C4,buff特效!$A$4:$Y$17,K$3,FALSE),1111)))))</f>
        <v>0</v>
      </c>
      <c r="L4" s="33">
        <f>IF($D4=1,VLOOKUP($B4&amp;"_"&amp;$C4,起手特效!$A$4:$Y$17,L$3,FALSE),IF($D4=2,VLOOKUP($B4&amp;"_"&amp;$C4,主要特效!$A$4:$Y$17,L$3,FALSE),IF($D4=3,VLOOKUP($B4&amp;"_"&amp;$C4,辅助特效!$A$4:$Y$17,L$3,FALSE),IF($D4=4,VLOOKUP($B4&amp;"_"&amp;$C4,命中特效!$A$4:$Y$17,L$3,FALSE),IF($D4=5,VLOOKUP($B4&amp;"_"&amp;$C4,buff特效!$A$4:$Y$17,L$3,FALSE),1111)))))</f>
        <v>0</v>
      </c>
      <c r="M4" s="33" t="str">
        <f>IF($D4=1,VLOOKUP($B4&amp;"_"&amp;$C4,起手特效!$A$4:$Y$17,M$3,FALSE),IF($D4=2,VLOOKUP($B4&amp;"_"&amp;$C4,主要特效!$A$4:$Y$17,M$3,FALSE),IF($D4=3,VLOOKUP($B4&amp;"_"&amp;$C4,辅助特效!$A$4:$Y$17,M$3,FALSE),IF($D4=4,VLOOKUP($B4&amp;"_"&amp;$C4,命中特效!$A$4:$Y$17,M$3,FALSE),IF($D4=5,VLOOKUP($B4&amp;"_"&amp;$C4,buff特效!$A$4:$Y$17,M$3,FALSE),1111)))))</f>
        <v>[]</v>
      </c>
      <c r="N4" s="33" t="str">
        <f>IF($D4=1,VLOOKUP($B4&amp;"_"&amp;$C4,起手特效!$A$4:$Y$17,N$3,FALSE),IF($D4=2,VLOOKUP($B4&amp;"_"&amp;$C4,主要特效!$A$4:$Y$17,N$3,FALSE),IF($D4=3,VLOOKUP($B4&amp;"_"&amp;$C4,辅助特效!$A$4:$Y$17,N$3,FALSE),IF($D4=4,VLOOKUP($B4&amp;"_"&amp;$C4,命中特效!$A$4:$Y$17,N$3,FALSE),IF($D4=5,VLOOKUP($B4&amp;"_"&amp;$C4,buff特效!$A$4:$Y$17,N$3,FALSE),1111)))))</f>
        <v>[]</v>
      </c>
      <c r="O4" s="33">
        <f>IF($D4=1,VLOOKUP($B4&amp;"_"&amp;$C4,起手特效!$A$4:$Y$17,O$3,FALSE),IF($D4=2,VLOOKUP($B4&amp;"_"&amp;$C4,主要特效!$A$4:$Y$17,O$3,FALSE),IF($D4=3,VLOOKUP($B4&amp;"_"&amp;$C4,辅助特效!$A$4:$Y$17,O$3,FALSE),IF($D4=4,VLOOKUP($B4&amp;"_"&amp;$C4,命中特效!$A$4:$Y$17,O$3,FALSE),IF($D4=5,VLOOKUP($B4&amp;"_"&amp;$C4,buff特效!$A$4:$Y$17,O$3,FALSE),1111)))))</f>
        <v>5</v>
      </c>
      <c r="P4" s="33" t="str">
        <f>IF($D4=1,VLOOKUP($B4&amp;"_"&amp;$C4,起手特效!$A$4:$Y$17,P$3,FALSE),IF($D4=2,VLOOKUP($B4&amp;"_"&amp;$C4,主要特效!$A$4:$Y$17,P$3,FALSE),IF($D4=3,VLOOKUP($B4&amp;"_"&amp;$C4,辅助特效!$A$4:$Y$17,P$3,FALSE),IF($D4=4,VLOOKUP($B4&amp;"_"&amp;$C4,命中特效!$A$4:$Y$17,P$3,FALSE),IF($D4=5,VLOOKUP($B4&amp;"_"&amp;$C4,buff特效!$A$4:$Y$17,P$3,FALSE),1111)))))</f>
        <v>手填</v>
      </c>
      <c r="Q4" s="33">
        <f>IF($D4=1,VLOOKUP($B4&amp;"_"&amp;$C4,起手特效!$A$4:$Y$17,Q$3,FALSE),IF($D4=2,VLOOKUP($B4&amp;"_"&amp;$C4,主要特效!$A$4:$Y$17,Q$3,FALSE),IF($D4=3,VLOOKUP($B4&amp;"_"&amp;$C4,辅助特效!$A$4:$Y$17,Q$3,FALSE),IF($D4=4,VLOOKUP($B4&amp;"_"&amp;$C4,命中特效!$A$4:$Y$17,Q$3,FALSE),IF($D4=5,VLOOKUP($B4&amp;"_"&amp;$C4,buff特效!$A$4:$Y$17,Q$3,FALSE),1111)))))</f>
        <v>2</v>
      </c>
      <c r="R4" s="33">
        <f>IF($D4=1,VLOOKUP($B4&amp;"_"&amp;$C4,起手特效!$A$4:$Y$17,R$3,FALSE),IF($D4=2,VLOOKUP($B4&amp;"_"&amp;$C4,主要特效!$A$4:$Y$17,R$3,FALSE),IF($D4=3,VLOOKUP($B4&amp;"_"&amp;$C4,辅助特效!$A$4:$Y$17,R$3,FALSE),IF($D4=4,VLOOKUP($B4&amp;"_"&amp;$C4,命中特效!$A$4:$Y$17,R$3,FALSE),IF($D4=5,VLOOKUP($B4&amp;"_"&amp;$C4,buff特效!$A$4:$Y$17,R$3,FALSE),1111)))))</f>
        <v>0</v>
      </c>
      <c r="S4" s="33" t="str">
        <f>IF($D4=1,VLOOKUP($B4&amp;"_"&amp;$C4,起手特效!$A$4:$Y$17,S$3,FALSE),IF($D4=2,VLOOKUP($B4&amp;"_"&amp;$C4,主要特效!$A$4:$Y$17,S$3,FALSE),IF($D4=3,VLOOKUP($B4&amp;"_"&amp;$C4,辅助特效!$A$4:$Y$17,S$3,FALSE),IF($D4=4,VLOOKUP($B4&amp;"_"&amp;$C4,命中特效!$A$4:$Y$17,S$3,FALSE),IF($D4=5,VLOOKUP($B4&amp;"_"&amp;$C4,buff特效!$A$4:$Y$17,S$3,FALSE),1111)))))</f>
        <v>[]</v>
      </c>
      <c r="T4" s="33" t="str">
        <f>IF($D4=1,VLOOKUP($B4&amp;"_"&amp;$C4,起手特效!$A$4:$Y$17,T$3,FALSE),IF($D4=2,VLOOKUP($B4&amp;"_"&amp;$C4,主要特效!$A$4:$Y$17,T$3,FALSE),IF($D4=3,VLOOKUP($B4&amp;"_"&amp;$C4,辅助特效!$A$4:$Y$17,T$3,FALSE),IF($D4=4,VLOOKUP($B4&amp;"_"&amp;$C4,命中特效!$A$4:$Y$17,T$3,FALSE),IF($D4=5,VLOOKUP($B4&amp;"_"&amp;$C4,buff特效!$A$4:$Y$17,T$3,FALSE),1111)))))</f>
        <v>[]</v>
      </c>
      <c r="U4" s="33" t="str">
        <f>IF($D4=1,VLOOKUP($B4&amp;"_"&amp;$C4,起手特效!$A$4:$Y$17,U$3,FALSE),IF($D4=2,VLOOKUP($B4&amp;"_"&amp;$C4,主要特效!$A$4:$Y$17,U$3,FALSE),IF($D4=3,VLOOKUP($B4&amp;"_"&amp;$C4,辅助特效!$A$4:$Y$17,U$3,FALSE),IF($D4=4,VLOOKUP($B4&amp;"_"&amp;$C4,命中特效!$A$4:$Y$17,U$3,FALSE),IF($D4=5,VLOOKUP($B4&amp;"_"&amp;$C4,buff特效!$A$4:$Y$17,U$3,FALSE),1111)))))</f>
        <v>[]</v>
      </c>
      <c r="V4" s="33">
        <f>IF($D4=1,VLOOKUP($B4&amp;"_"&amp;$C4,起手特效!$A$4:$Y$17,V$3,FALSE),IF($D4=2,VLOOKUP($B4&amp;"_"&amp;$C4,主要特效!$A$4:$Y$17,V$3,FALSE),IF($D4=3,VLOOKUP($B4&amp;"_"&amp;$C4,辅助特效!$A$4:$Y$17,V$3,FALSE),IF($D4=4,VLOOKUP($B4&amp;"_"&amp;$C4,命中特效!$A$4:$Y$17,V$3,FALSE),IF($D4=5,VLOOKUP($B4&amp;"_"&amp;$C4,buff特效!$A$4:$Y$17,V$3,FALSE),1111)))))</f>
        <v>0</v>
      </c>
      <c r="W4" s="33">
        <f>IF($D4=1,VLOOKUP($B4&amp;"_"&amp;$C4,起手特效!$A$4:$Y$17,W$3,FALSE),IF($D4=2,VLOOKUP($B4&amp;"_"&amp;$C4,主要特效!$A$4:$Y$17,W$3,FALSE),IF($D4=3,VLOOKUP($B4&amp;"_"&amp;$C4,辅助特效!$A$4:$Y$17,W$3,FALSE),IF($D4=4,VLOOKUP($B4&amp;"_"&amp;$C4,命中特效!$A$4:$Y$17,W$3,FALSE),IF($D4=5,VLOOKUP($B4&amp;"_"&amp;$C4,buff特效!$A$4:$Y$17,W$3,FALSE),1111)))))</f>
        <v>0</v>
      </c>
      <c r="X4" s="33">
        <f>IF($D4=1,VLOOKUP($B4&amp;"_"&amp;$C4,起手特效!$A$4:$Y$17,X$3,FALSE),IF($D4=2,VLOOKUP($B4&amp;"_"&amp;$C4,主要特效!$A$4:$Y$17,X$3,FALSE),IF($D4=3,VLOOKUP($B4&amp;"_"&amp;$C4,辅助特效!$A$4:$Y$17,X$3,FALSE),IF($D4=4,VLOOKUP($B4&amp;"_"&amp;$C4,命中特效!$A$4:$Y$17,X$3,FALSE),IF($D4=5,VLOOKUP($B4&amp;"_"&amp;$C4,buff特效!$A$4:$Y$17,X$3,FALSE),1111)))))</f>
        <v>0</v>
      </c>
      <c r="Y4" s="33">
        <f>IF($D4=1,VLOOKUP($B4&amp;"_"&amp;$C4,起手特效!$A$4:$Y$17,Y$3,FALSE),IF($D4=2,VLOOKUP($B4&amp;"_"&amp;$C4,主要特效!$A$4:$Y$17,Y$3,FALSE),IF($D4=3,VLOOKUP($B4&amp;"_"&amp;$C4,辅助特效!$A$4:$Y$17,Y$3,FALSE),IF($D4=4,VLOOKUP($B4&amp;"_"&amp;$C4,命中特效!$A$4:$Y$17,Y$3,FALSE),IF($D4=5,VLOOKUP($B4&amp;"_"&amp;$C4,buff特效!$A$4:$Y$17,Y$3,FALSE),1111)))))</f>
        <v>0</v>
      </c>
      <c r="Z4" s="33">
        <f>IF($D4=1,VLOOKUP($B4&amp;"_"&amp;$C4,起手特效!$A$4:$Y$17,Z$3,FALSE),IF($D4=2,VLOOKUP($B4&amp;"_"&amp;$C4,主要特效!$A$4:$Y$17,Z$3,FALSE),IF($D4=3,VLOOKUP($B4&amp;"_"&amp;$C4,辅助特效!$A$4:$Y$17,Z$3,FALSE),IF($D4=4,VLOOKUP($B4&amp;"_"&amp;$C4,命中特效!$A$4:$Y$17,Z$3,FALSE),IF($D4=5,VLOOKUP($B4&amp;"_"&amp;$C4,buff特效!$A$4:$Y$17,Z$3,FALSE),1111)))))</f>
        <v>0</v>
      </c>
      <c r="AA4" s="33">
        <f>IF($D4=1,VLOOKUP($B4&amp;"_"&amp;$C4,起手特效!$A$4:$Y$17,AA$3,FALSE),IF($D4=2,VLOOKUP($B4&amp;"_"&amp;$C4,主要特效!$A$4:$Y$17,AA$3,FALSE),IF($D4=3,VLOOKUP($B4&amp;"_"&amp;$C4,辅助特效!$A$4:$Y$17,AA$3,FALSE),IF($D4=4,VLOOKUP($B4&amp;"_"&amp;$C4,命中特效!$A$4:$Y$17,AA$3,FALSE),IF($D4=5,VLOOKUP($B4&amp;"_"&amp;$C4,buff特效!$A$4:$Y$17,AA$3,FALSE),1111)))))</f>
        <v>0</v>
      </c>
      <c r="AB4" s="33">
        <f>IF($D4=1,VLOOKUP($B4&amp;"_"&amp;$C4,起手特效!$A$4:$Y$17,AB$3,FALSE),IF($D4=2,VLOOKUP($B4&amp;"_"&amp;$C4,主要特效!$A$4:$Y$17,AB$3,FALSE),IF($D4=3,VLOOKUP($B4&amp;"_"&amp;$C4,辅助特效!$A$4:$Y$17,AB$3,FALSE),IF($D4=4,VLOOKUP($B4&amp;"_"&amp;$C4,命中特效!$A$4:$Y$17,AB$3,FALSE),IF($D4=5,VLOOKUP($B4&amp;"_"&amp;$C4,buff特效!$A$4:$Y$17,AB$3,FALSE),1111)))))</f>
        <v>0</v>
      </c>
    </row>
    <row r="5" spans="1:28" x14ac:dyDescent="0.15">
      <c r="B5" s="20" t="str">
        <f t="shared" ref="B5:B8" si="2">IF(AND(C5=0,D5=1),A5,B4)</f>
        <v>nanzhujue</v>
      </c>
      <c r="C5" s="32">
        <f t="shared" si="1"/>
        <v>0</v>
      </c>
      <c r="D5" s="20">
        <v>2</v>
      </c>
      <c r="E5" s="33" t="str">
        <f>IF($D5=1,VLOOKUP($B5&amp;"_"&amp;$C5,起手特效!$A$4:$Y$17,E$3,FALSE),IF($D5=2,VLOOKUP($B5&amp;"_"&amp;$C5,主要特效!$A$4:$Y$17,E$3,FALSE),IF($D5=3,VLOOKUP($B5&amp;"_"&amp;$C5,辅助特效!$A$4:$Y$17,E$3,FALSE),IF($D5=4,VLOOKUP($B5&amp;"_"&amp;$C5,命中特效!$A$4:$Y$17,E$3,FALSE),IF($D5=5,VLOOKUP($B5&amp;"_"&amp;$C5,buff特效!$A$4:$Y$17,E$3,FALSE),1111)))))</f>
        <v>nanzhujue_attack</v>
      </c>
      <c r="F5" s="33" t="str">
        <f>IF($D5=1,VLOOKUP($B5&amp;"_"&amp;$C5,起手特效!$A$4:$Y$17,F$3,FALSE),IF($D5=2,VLOOKUP($B5&amp;"_"&amp;$C5,主要特效!$A$4:$Y$17,F$3,FALSE),IF($D5=3,VLOOKUP($B5&amp;"_"&amp;$C5,辅助特效!$A$4:$Y$17,F$3,FALSE),IF($D5=4,VLOOKUP($B5&amp;"_"&amp;$C5,命中特效!$A$4:$Y$17,F$3,FALSE),IF($D5=5,VLOOKUP($B5&amp;"_"&amp;$C5,buff特效!$A$4:$Y$17,F$3,FALSE),1111)))))</f>
        <v>nanzhujue-普攻</v>
      </c>
      <c r="G5" s="33" t="str">
        <f>IF($D5=1,VLOOKUP($B5&amp;"_"&amp;$C5,起手特效!$A$4:$Y$17,G$3,FALSE),IF($D5=2,VLOOKUP($B5&amp;"_"&amp;$C5,主要特效!$A$4:$Y$17,G$3,FALSE),IF($D5=3,VLOOKUP($B5&amp;"_"&amp;$C5,辅助特效!$A$4:$Y$17,G$3,FALSE),IF($D5=4,VLOOKUP($B5&amp;"_"&amp;$C5,命中特效!$A$4:$Y$17,G$3,FALSE),IF($D5=5,VLOOKUP($B5&amp;"_"&amp;$C5,buff特效!$A$4:$Y$17,G$3,FALSE),1111)))))</f>
        <v>attack_1</v>
      </c>
      <c r="H5" s="33">
        <f>IF($D5=1,VLOOKUP($B5&amp;"_"&amp;$C5,起手特效!$A$4:$Y$17,H$3,FALSE),IF($D5=2,VLOOKUP($B5&amp;"_"&amp;$C5,主要特效!$A$4:$Y$17,H$3,FALSE),IF($D5=3,VLOOKUP($B5&amp;"_"&amp;$C5,辅助特效!$A$4:$Y$17,H$3,FALSE),IF($D5=4,VLOOKUP($B5&amp;"_"&amp;$C5,命中特效!$A$4:$Y$17,H$3,FALSE),IF($D5=5,VLOOKUP($B5&amp;"_"&amp;$C5,buff特效!$A$4:$Y$17,H$3,FALSE),1111)))))</f>
        <v>1.33</v>
      </c>
      <c r="I5" s="33">
        <f>IF($D5=1,VLOOKUP($B5&amp;"_"&amp;$C5,起手特效!$A$4:$Y$17,I$3,FALSE),IF($D5=2,VLOOKUP($B5&amp;"_"&amp;$C5,主要特效!$A$4:$Y$17,I$3,FALSE),IF($D5=3,VLOOKUP($B5&amp;"_"&amp;$C5,辅助特效!$A$4:$Y$17,I$3,FALSE),IF($D5=4,VLOOKUP($B5&amp;"_"&amp;$C5,命中特效!$A$4:$Y$17,I$3,FALSE),IF($D5=5,VLOOKUP($B5&amp;"_"&amp;$C5,buff特效!$A$4:$Y$17,I$3,FALSE),1111)))))</f>
        <v>0</v>
      </c>
      <c r="J5" s="33">
        <f>IF($D5=1,VLOOKUP($B5&amp;"_"&amp;$C5,起手特效!$A$4:$Y$17,J$3,FALSE),IF($D5=2,VLOOKUP($B5&amp;"_"&amp;$C5,主要特效!$A$4:$Y$17,J$3,FALSE),IF($D5=3,VLOOKUP($B5&amp;"_"&amp;$C5,辅助特效!$A$4:$Y$17,J$3,FALSE),IF($D5=4,VLOOKUP($B5&amp;"_"&amp;$C5,命中特效!$A$4:$Y$17,J$3,FALSE),IF($D5=5,VLOOKUP($B5&amp;"_"&amp;$C5,buff特效!$A$4:$Y$17,J$3,FALSE),1111)))))</f>
        <v>2</v>
      </c>
      <c r="K5" s="33">
        <f>IF($D5=1,VLOOKUP($B5&amp;"_"&amp;$C5,起手特效!$A$4:$Y$17,K$3,FALSE),IF($D5=2,VLOOKUP($B5&amp;"_"&amp;$C5,主要特效!$A$4:$Y$17,K$3,FALSE),IF($D5=3,VLOOKUP($B5&amp;"_"&amp;$C5,辅助特效!$A$4:$Y$17,K$3,FALSE),IF($D5=4,VLOOKUP($B5&amp;"_"&amp;$C5,命中特效!$A$4:$Y$17,K$3,FALSE),IF($D5=5,VLOOKUP($B5&amp;"_"&amp;$C5,buff特效!$A$4:$Y$17,K$3,FALSE),1111)))))</f>
        <v>17</v>
      </c>
      <c r="L5" s="33">
        <f>IF($D5=1,VLOOKUP($B5&amp;"_"&amp;$C5,起手特效!$A$4:$Y$17,L$3,FALSE),IF($D5=2,VLOOKUP($B5&amp;"_"&amp;$C5,主要特效!$A$4:$Y$17,L$3,FALSE),IF($D5=3,VLOOKUP($B5&amp;"_"&amp;$C5,辅助特效!$A$4:$Y$17,L$3,FALSE),IF($D5=4,VLOOKUP($B5&amp;"_"&amp;$C5,命中特效!$A$4:$Y$17,L$3,FALSE),IF($D5=5,VLOOKUP($B5&amp;"_"&amp;$C5,buff特效!$A$4:$Y$17,L$3,FALSE),1111)))))</f>
        <v>1</v>
      </c>
      <c r="M5" s="33" t="str">
        <f>IF($D5=1,VLOOKUP($B5&amp;"_"&amp;$C5,起手特效!$A$4:$Y$17,M$3,FALSE),IF($D5=2,VLOOKUP($B5&amp;"_"&amp;$C5,主要特效!$A$4:$Y$17,M$3,FALSE),IF($D5=3,VLOOKUP($B5&amp;"_"&amp;$C5,辅助特效!$A$4:$Y$17,M$3,FALSE),IF($D5=4,VLOOKUP($B5&amp;"_"&amp;$C5,命中特效!$A$4:$Y$17,M$3,FALSE),IF($D5=5,VLOOKUP($B5&amp;"_"&amp;$C5,buff特效!$A$4:$Y$17,M$3,FALSE),1111)))))</f>
        <v>[]</v>
      </c>
      <c r="N5" s="33" t="str">
        <f>IF($D5=1,VLOOKUP($B5&amp;"_"&amp;$C5,起手特效!$A$4:$Y$17,N$3,FALSE),IF($D5=2,VLOOKUP($B5&amp;"_"&amp;$C5,主要特效!$A$4:$Y$17,N$3,FALSE),IF($D5=3,VLOOKUP($B5&amp;"_"&amp;$C5,辅助特效!$A$4:$Y$17,N$3,FALSE),IF($D5=4,VLOOKUP($B5&amp;"_"&amp;$C5,命中特效!$A$4:$Y$17,N$3,FALSE),IF($D5=5,VLOOKUP($B5&amp;"_"&amp;$C5,buff特效!$A$4:$Y$17,N$3,FALSE),1111)))))</f>
        <v>nanzhujue_attack_f01</v>
      </c>
      <c r="O5" s="33">
        <f>IF($D5=1,VLOOKUP($B5&amp;"_"&amp;$C5,起手特效!$A$4:$Y$17,O$3,FALSE),IF($D5=2,VLOOKUP($B5&amp;"_"&amp;$C5,主要特效!$A$4:$Y$17,O$3,FALSE),IF($D5=3,VLOOKUP($B5&amp;"_"&amp;$C5,辅助特效!$A$4:$Y$17,O$3,FALSE),IF($D5=4,VLOOKUP($B5&amp;"_"&amp;$C5,命中特效!$A$4:$Y$17,O$3,FALSE),IF($D5=5,VLOOKUP($B5&amp;"_"&amp;$C5,buff特效!$A$4:$Y$17,O$3,FALSE),1111)))))</f>
        <v>5</v>
      </c>
      <c r="P5" s="33" t="str">
        <f>IF($D5=1,VLOOKUP($B5&amp;"_"&amp;$C5,起手特效!$A$4:$Y$17,P$3,FALSE),IF($D5=2,VLOOKUP($B5&amp;"_"&amp;$C5,主要特效!$A$4:$Y$17,P$3,FALSE),IF($D5=3,VLOOKUP($B5&amp;"_"&amp;$C5,辅助特效!$A$4:$Y$17,P$3,FALSE),IF($D5=4,VLOOKUP($B5&amp;"_"&amp;$C5,命中特效!$A$4:$Y$17,P$3,FALSE),IF($D5=5,VLOOKUP($B5&amp;"_"&amp;$C5,buff特效!$A$4:$Y$17,P$3,FALSE),1111)))))</f>
        <v>手填</v>
      </c>
      <c r="Q5" s="33">
        <f>IF($D5=1,VLOOKUP($B5&amp;"_"&amp;$C5,起手特效!$A$4:$Y$17,Q$3,FALSE),IF($D5=2,VLOOKUP($B5&amp;"_"&amp;$C5,主要特效!$A$4:$Y$17,Q$3,FALSE),IF($D5=3,VLOOKUP($B5&amp;"_"&amp;$C5,辅助特效!$A$4:$Y$17,Q$3,FALSE),IF($D5=4,VLOOKUP($B5&amp;"_"&amp;$C5,命中特效!$A$4:$Y$17,Q$3,FALSE),IF($D5=5,VLOOKUP($B5&amp;"_"&amp;$C5,buff特效!$A$4:$Y$17,Q$3,FALSE),1111)))))</f>
        <v>1</v>
      </c>
      <c r="R5" s="33">
        <f>IF($D5=1,VLOOKUP($B5&amp;"_"&amp;$C5,起手特效!$A$4:$Y$17,R$3,FALSE),IF($D5=2,VLOOKUP($B5&amp;"_"&amp;$C5,主要特效!$A$4:$Y$17,R$3,FALSE),IF($D5=3,VLOOKUP($B5&amp;"_"&amp;$C5,辅助特效!$A$4:$Y$17,R$3,FALSE),IF($D5=4,VLOOKUP($B5&amp;"_"&amp;$C5,命中特效!$A$4:$Y$17,R$3,FALSE),IF($D5=5,VLOOKUP($B5&amp;"_"&amp;$C5,buff特效!$A$4:$Y$17,R$3,FALSE),1111)))))</f>
        <v>0</v>
      </c>
      <c r="S5" s="33" t="str">
        <f>IF($D5=1,VLOOKUP($B5&amp;"_"&amp;$C5,起手特效!$A$4:$Y$17,S$3,FALSE),IF($D5=2,VLOOKUP($B5&amp;"_"&amp;$C5,主要特效!$A$4:$Y$17,S$3,FALSE),IF($D5=3,VLOOKUP($B5&amp;"_"&amp;$C5,辅助特效!$A$4:$Y$17,S$3,FALSE),IF($D5=4,VLOOKUP($B5&amp;"_"&amp;$C5,命中特效!$A$4:$Y$17,S$3,FALSE),IF($D5=5,VLOOKUP($B5&amp;"_"&amp;$C5,buff特效!$A$4:$Y$17,S$3,FALSE),1111)))))</f>
        <v>[]</v>
      </c>
      <c r="T5" s="33" t="str">
        <f>IF($D5=1,VLOOKUP($B5&amp;"_"&amp;$C5,起手特效!$A$4:$Y$17,T$3,FALSE),IF($D5=2,VLOOKUP($B5&amp;"_"&amp;$C5,主要特效!$A$4:$Y$17,T$3,FALSE),IF($D5=3,VLOOKUP($B5&amp;"_"&amp;$C5,辅助特效!$A$4:$Y$17,T$3,FALSE),IF($D5=4,VLOOKUP($B5&amp;"_"&amp;$C5,命中特效!$A$4:$Y$17,T$3,FALSE),IF($D5=5,VLOOKUP($B5&amp;"_"&amp;$C5,buff特效!$A$4:$Y$17,T$3,FALSE),1111)))))</f>
        <v>[]</v>
      </c>
      <c r="U5" s="33" t="str">
        <f>IF($D5=1,VLOOKUP($B5&amp;"_"&amp;$C5,起手特效!$A$4:$Y$17,U$3,FALSE),IF($D5=2,VLOOKUP($B5&amp;"_"&amp;$C5,主要特效!$A$4:$Y$17,U$3,FALSE),IF($D5=3,VLOOKUP($B5&amp;"_"&amp;$C5,辅助特效!$A$4:$Y$17,U$3,FALSE),IF($D5=4,VLOOKUP($B5&amp;"_"&amp;$C5,命中特效!$A$4:$Y$17,U$3,FALSE),IF($D5=5,VLOOKUP($B5&amp;"_"&amp;$C5,buff特效!$A$4:$Y$17,U$3,FALSE),1111)))))</f>
        <v>[]</v>
      </c>
      <c r="V5" s="33">
        <f>IF($D5=1,VLOOKUP($B5&amp;"_"&amp;$C5,起手特效!$A$4:$Y$17,V$3,FALSE),IF($D5=2,VLOOKUP($B5&amp;"_"&amp;$C5,主要特效!$A$4:$Y$17,V$3,FALSE),IF($D5=3,VLOOKUP($B5&amp;"_"&amp;$C5,辅助特效!$A$4:$Y$17,V$3,FALSE),IF($D5=4,VLOOKUP($B5&amp;"_"&amp;$C5,命中特效!$A$4:$Y$17,V$3,FALSE),IF($D5=5,VLOOKUP($B5&amp;"_"&amp;$C5,buff特效!$A$4:$Y$17,V$3,FALSE),1111)))))</f>
        <v>0</v>
      </c>
      <c r="W5" s="33">
        <f>IF($D5=1,VLOOKUP($B5&amp;"_"&amp;$C5,起手特效!$A$4:$Y$17,W$3,FALSE),IF($D5=2,VLOOKUP($B5&amp;"_"&amp;$C5,主要特效!$A$4:$Y$17,W$3,FALSE),IF($D5=3,VLOOKUP($B5&amp;"_"&amp;$C5,辅助特效!$A$4:$Y$17,W$3,FALSE),IF($D5=4,VLOOKUP($B5&amp;"_"&amp;$C5,命中特效!$A$4:$Y$17,W$3,FALSE),IF($D5=5,VLOOKUP($B5&amp;"_"&amp;$C5,buff特效!$A$4:$Y$17,W$3,FALSE),1111)))))</f>
        <v>0</v>
      </c>
      <c r="X5" s="33">
        <f>IF($D5=1,VLOOKUP($B5&amp;"_"&amp;$C5,起手特效!$A$4:$Y$17,X$3,FALSE),IF($D5=2,VLOOKUP($B5&amp;"_"&amp;$C5,主要特效!$A$4:$Y$17,X$3,FALSE),IF($D5=3,VLOOKUP($B5&amp;"_"&amp;$C5,辅助特效!$A$4:$Y$17,X$3,FALSE),IF($D5=4,VLOOKUP($B5&amp;"_"&amp;$C5,命中特效!$A$4:$Y$17,X$3,FALSE),IF($D5=5,VLOOKUP($B5&amp;"_"&amp;$C5,buff特效!$A$4:$Y$17,X$3,FALSE),1111)))))</f>
        <v>0</v>
      </c>
      <c r="Y5" s="33">
        <f>IF($D5=1,VLOOKUP($B5&amp;"_"&amp;$C5,起手特效!$A$4:$Y$17,Y$3,FALSE),IF($D5=2,VLOOKUP($B5&amp;"_"&amp;$C5,主要特效!$A$4:$Y$17,Y$3,FALSE),IF($D5=3,VLOOKUP($B5&amp;"_"&amp;$C5,辅助特效!$A$4:$Y$17,Y$3,FALSE),IF($D5=4,VLOOKUP($B5&amp;"_"&amp;$C5,命中特效!$A$4:$Y$17,Y$3,FALSE),IF($D5=5,VLOOKUP($B5&amp;"_"&amp;$C5,buff特效!$A$4:$Y$17,Y$3,FALSE),1111)))))</f>
        <v>0</v>
      </c>
      <c r="Z5" s="33">
        <f>IF($D5=1,VLOOKUP($B5&amp;"_"&amp;$C5,起手特效!$A$4:$Y$17,Z$3,FALSE),IF($D5=2,VLOOKUP($B5&amp;"_"&amp;$C5,主要特效!$A$4:$Y$17,Z$3,FALSE),IF($D5=3,VLOOKUP($B5&amp;"_"&amp;$C5,辅助特效!$A$4:$Y$17,Z$3,FALSE),IF($D5=4,VLOOKUP($B5&amp;"_"&amp;$C5,命中特效!$A$4:$Y$17,Z$3,FALSE),IF($D5=5,VLOOKUP($B5&amp;"_"&amp;$C5,buff特效!$A$4:$Y$17,Z$3,FALSE),1111)))))</f>
        <v>0</v>
      </c>
      <c r="AA5" s="33">
        <f>IF($D5=1,VLOOKUP($B5&amp;"_"&amp;$C5,起手特效!$A$4:$Y$17,AA$3,FALSE),IF($D5=2,VLOOKUP($B5&amp;"_"&amp;$C5,主要特效!$A$4:$Y$17,AA$3,FALSE),IF($D5=3,VLOOKUP($B5&amp;"_"&amp;$C5,辅助特效!$A$4:$Y$17,AA$3,FALSE),IF($D5=4,VLOOKUP($B5&amp;"_"&amp;$C5,命中特效!$A$4:$Y$17,AA$3,FALSE),IF($D5=5,VLOOKUP($B5&amp;"_"&amp;$C5,buff特效!$A$4:$Y$17,AA$3,FALSE),1111)))))</f>
        <v>0</v>
      </c>
      <c r="AB5" s="33">
        <f>IF($D5=1,VLOOKUP($B5&amp;"_"&amp;$C5,起手特效!$A$4:$Y$17,AB$3,FALSE),IF($D5=2,VLOOKUP($B5&amp;"_"&amp;$C5,主要特效!$A$4:$Y$17,AB$3,FALSE),IF($D5=3,VLOOKUP($B5&amp;"_"&amp;$C5,辅助特效!$A$4:$Y$17,AB$3,FALSE),IF($D5=4,VLOOKUP($B5&amp;"_"&amp;$C5,命中特效!$A$4:$Y$17,AB$3,FALSE),IF($D5=5,VLOOKUP($B5&amp;"_"&amp;$C5,buff特效!$A$4:$Y$17,AB$3,FALSE),1111)))))</f>
        <v>0</v>
      </c>
    </row>
    <row r="6" spans="1:28" x14ac:dyDescent="0.15">
      <c r="B6" s="20" t="str">
        <f t="shared" si="2"/>
        <v>nanzhujue</v>
      </c>
      <c r="C6" s="32">
        <f t="shared" si="1"/>
        <v>0</v>
      </c>
      <c r="D6" s="20">
        <v>3</v>
      </c>
      <c r="E6" s="33" t="str">
        <f>IF($D6=1,VLOOKUP($B6&amp;"_"&amp;$C6,起手特效!$A$4:$Y$17,E$3,FALSE),IF($D6=2,VLOOKUP($B6&amp;"_"&amp;$C6,主要特效!$A$4:$Y$17,E$3,FALSE),IF($D6=3,VLOOKUP($B6&amp;"_"&amp;$C6,辅助特效!$A$4:$Y$17,E$3,FALSE),IF($D6=4,VLOOKUP($B6&amp;"_"&amp;$C6,命中特效!$A$4:$Y$17,E$3,FALSE),IF($D6=5,VLOOKUP($B6&amp;"_"&amp;$C6,buff特效!$A$4:$Y$17,E$3,FALSE),1111)))))</f>
        <v>[]</v>
      </c>
      <c r="F6" s="33" t="str">
        <f>IF($D6=1,VLOOKUP($B6&amp;"_"&amp;$C6,起手特效!$A$4:$Y$17,F$3,FALSE),IF($D6=2,VLOOKUP($B6&amp;"_"&amp;$C6,主要特效!$A$4:$Y$17,F$3,FALSE),IF($D6=3,VLOOKUP($B6&amp;"_"&amp;$C6,辅助特效!$A$4:$Y$17,F$3,FALSE),IF($D6=4,VLOOKUP($B6&amp;"_"&amp;$C6,命中特效!$A$4:$Y$17,F$3,FALSE),IF($D6=5,VLOOKUP($B6&amp;"_"&amp;$C6,buff特效!$A$4:$Y$17,F$3,FALSE),1111)))))</f>
        <v>[]</v>
      </c>
      <c r="G6" s="33" t="str">
        <f>IF($D6=1,VLOOKUP($B6&amp;"_"&amp;$C6,起手特效!$A$4:$Y$17,G$3,FALSE),IF($D6=2,VLOOKUP($B6&amp;"_"&amp;$C6,主要特效!$A$4:$Y$17,G$3,FALSE),IF($D6=3,VLOOKUP($B6&amp;"_"&amp;$C6,辅助特效!$A$4:$Y$17,G$3,FALSE),IF($D6=4,VLOOKUP($B6&amp;"_"&amp;$C6,命中特效!$A$4:$Y$17,G$3,FALSE),IF($D6=5,VLOOKUP($B6&amp;"_"&amp;$C6,buff特效!$A$4:$Y$17,G$3,FALSE),1111)))))</f>
        <v>attack_1</v>
      </c>
      <c r="H6" s="33">
        <f>IF($D6=1,VLOOKUP($B6&amp;"_"&amp;$C6,起手特效!$A$4:$Y$17,H$3,FALSE),IF($D6=2,VLOOKUP($B6&amp;"_"&amp;$C6,主要特效!$A$4:$Y$17,H$3,FALSE),IF($D6=3,VLOOKUP($B6&amp;"_"&amp;$C6,辅助特效!$A$4:$Y$17,H$3,FALSE),IF($D6=4,VLOOKUP($B6&amp;"_"&amp;$C6,命中特效!$A$4:$Y$17,H$3,FALSE),IF($D6=5,VLOOKUP($B6&amp;"_"&amp;$C6,buff特效!$A$4:$Y$17,H$3,FALSE),1111)))))</f>
        <v>1.33</v>
      </c>
      <c r="I6" s="33">
        <f>IF($D6=1,VLOOKUP($B6&amp;"_"&amp;$C6,起手特效!$A$4:$Y$17,I$3,FALSE),IF($D6=2,VLOOKUP($B6&amp;"_"&amp;$C6,主要特效!$A$4:$Y$17,I$3,FALSE),IF($D6=3,VLOOKUP($B6&amp;"_"&amp;$C6,辅助特效!$A$4:$Y$17,I$3,FALSE),IF($D6=4,VLOOKUP($B6&amp;"_"&amp;$C6,命中特效!$A$4:$Y$17,I$3,FALSE),IF($D6=5,VLOOKUP($B6&amp;"_"&amp;$C6,buff特效!$A$4:$Y$17,I$3,FALSE),1111)))))</f>
        <v>0</v>
      </c>
      <c r="J6" s="33">
        <f>IF($D6=1,VLOOKUP($B6&amp;"_"&amp;$C6,起手特效!$A$4:$Y$17,J$3,FALSE),IF($D6=2,VLOOKUP($B6&amp;"_"&amp;$C6,主要特效!$A$4:$Y$17,J$3,FALSE),IF($D6=3,VLOOKUP($B6&amp;"_"&amp;$C6,辅助特效!$A$4:$Y$17,J$3,FALSE),IF($D6=4,VLOOKUP($B6&amp;"_"&amp;$C6,命中特效!$A$4:$Y$17,J$3,FALSE),IF($D6=5,VLOOKUP($B6&amp;"_"&amp;$C6,buff特效!$A$4:$Y$17,J$3,FALSE),1111)))))</f>
        <v>2</v>
      </c>
      <c r="K6" s="33">
        <f>IF($D6=1,VLOOKUP($B6&amp;"_"&amp;$C6,起手特效!$A$4:$Y$17,K$3,FALSE),IF($D6=2,VLOOKUP($B6&amp;"_"&amp;$C6,主要特效!$A$4:$Y$17,K$3,FALSE),IF($D6=3,VLOOKUP($B6&amp;"_"&amp;$C6,辅助特效!$A$4:$Y$17,K$3,FALSE),IF($D6=4,VLOOKUP($B6&amp;"_"&amp;$C6,命中特效!$A$4:$Y$17,K$3,FALSE),IF($D6=5,VLOOKUP($B6&amp;"_"&amp;$C6,buff特效!$A$4:$Y$17,K$3,FALSE),1111)))))</f>
        <v>17</v>
      </c>
      <c r="L6" s="33">
        <f>IF($D6=1,VLOOKUP($B6&amp;"_"&amp;$C6,起手特效!$A$4:$Y$17,L$3,FALSE),IF($D6=2,VLOOKUP($B6&amp;"_"&amp;$C6,主要特效!$A$4:$Y$17,L$3,FALSE),IF($D6=3,VLOOKUP($B6&amp;"_"&amp;$C6,辅助特效!$A$4:$Y$17,L$3,FALSE),IF($D6=4,VLOOKUP($B6&amp;"_"&amp;$C6,命中特效!$A$4:$Y$17,L$3,FALSE),IF($D6=5,VLOOKUP($B6&amp;"_"&amp;$C6,buff特效!$A$4:$Y$17,L$3,FALSE),1111)))))</f>
        <v>1</v>
      </c>
      <c r="M6" s="33" t="str">
        <f>IF($D6=1,VLOOKUP($B6&amp;"_"&amp;$C6,起手特效!$A$4:$Y$17,M$3,FALSE),IF($D6=2,VLOOKUP($B6&amp;"_"&amp;$C6,主要特效!$A$4:$Y$17,M$3,FALSE),IF($D6=3,VLOOKUP($B6&amp;"_"&amp;$C6,辅助特效!$A$4:$Y$17,M$3,FALSE),IF($D6=4,VLOOKUP($B6&amp;"_"&amp;$C6,命中特效!$A$4:$Y$17,M$3,FALSE),IF($D6=5,VLOOKUP($B6&amp;"_"&amp;$C6,buff特效!$A$4:$Y$17,M$3,FALSE),1111)))))</f>
        <v>[]</v>
      </c>
      <c r="N6" s="33" t="str">
        <f>IF($D6=1,VLOOKUP($B6&amp;"_"&amp;$C6,起手特效!$A$4:$Y$17,N$3,FALSE),IF($D6=2,VLOOKUP($B6&amp;"_"&amp;$C6,主要特效!$A$4:$Y$17,N$3,FALSE),IF($D6=3,VLOOKUP($B6&amp;"_"&amp;$C6,辅助特效!$A$4:$Y$17,N$3,FALSE),IF($D6=4,VLOOKUP($B6&amp;"_"&amp;$C6,命中特效!$A$4:$Y$17,N$3,FALSE),IF($D6=5,VLOOKUP($B6&amp;"_"&amp;$C6,buff特效!$A$4:$Y$17,N$3,FALSE),1111)))))</f>
        <v>[]</v>
      </c>
      <c r="O6" s="33">
        <f>IF($D6=1,VLOOKUP($B6&amp;"_"&amp;$C6,起手特效!$A$4:$Y$17,O$3,FALSE),IF($D6=2,VLOOKUP($B6&amp;"_"&amp;$C6,主要特效!$A$4:$Y$17,O$3,FALSE),IF($D6=3,VLOOKUP($B6&amp;"_"&amp;$C6,辅助特效!$A$4:$Y$17,O$3,FALSE),IF($D6=4,VLOOKUP($B6&amp;"_"&amp;$C6,命中特效!$A$4:$Y$17,O$3,FALSE),IF($D6=5,VLOOKUP($B6&amp;"_"&amp;$C6,buff特效!$A$4:$Y$17,O$3,FALSE),1111)))))</f>
        <v>5</v>
      </c>
      <c r="P6" s="33" t="str">
        <f>IF($D6=1,VLOOKUP($B6&amp;"_"&amp;$C6,起手特效!$A$4:$Y$17,P$3,FALSE),IF($D6=2,VLOOKUP($B6&amp;"_"&amp;$C6,主要特效!$A$4:$Y$17,P$3,FALSE),IF($D6=3,VLOOKUP($B6&amp;"_"&amp;$C6,辅助特效!$A$4:$Y$17,P$3,FALSE),IF($D6=4,VLOOKUP($B6&amp;"_"&amp;$C6,命中特效!$A$4:$Y$17,P$3,FALSE),IF($D6=5,VLOOKUP($B6&amp;"_"&amp;$C6,buff特效!$A$4:$Y$17,P$3,FALSE),1111)))))</f>
        <v>手填</v>
      </c>
      <c r="Q6" s="33">
        <f>IF($D6=1,VLOOKUP($B6&amp;"_"&amp;$C6,起手特效!$A$4:$Y$17,Q$3,FALSE),IF($D6=2,VLOOKUP($B6&amp;"_"&amp;$C6,主要特效!$A$4:$Y$17,Q$3,FALSE),IF($D6=3,VLOOKUP($B6&amp;"_"&amp;$C6,辅助特效!$A$4:$Y$17,Q$3,FALSE),IF($D6=4,VLOOKUP($B6&amp;"_"&amp;$C6,命中特效!$A$4:$Y$17,Q$3,FALSE),IF($D6=5,VLOOKUP($B6&amp;"_"&amp;$C6,buff特效!$A$4:$Y$17,Q$3,FALSE),1111)))))</f>
        <v>1</v>
      </c>
      <c r="R6" s="33" t="str">
        <f>IF($D6=1,VLOOKUP($B6&amp;"_"&amp;$C6,起手特效!$A$4:$Y$17,R$3,FALSE),IF($D6=2,VLOOKUP($B6&amp;"_"&amp;$C6,主要特效!$A$4:$Y$17,R$3,FALSE),IF($D6=3,VLOOKUP($B6&amp;"_"&amp;$C6,辅助特效!$A$4:$Y$17,R$3,FALSE),IF($D6=4,VLOOKUP($B6&amp;"_"&amp;$C6,命中特效!$A$4:$Y$17,R$3,FALSE),IF($D6=5,VLOOKUP($B6&amp;"_"&amp;$C6,buff特效!$A$4:$Y$17,R$3,FALSE),1111)))))</f>
        <v>手填</v>
      </c>
      <c r="S6" s="33" t="str">
        <f>IF($D6=1,VLOOKUP($B6&amp;"_"&amp;$C6,起手特效!$A$4:$Y$17,S$3,FALSE),IF($D6=2,VLOOKUP($B6&amp;"_"&amp;$C6,主要特效!$A$4:$Y$17,S$3,FALSE),IF($D6=3,VLOOKUP($B6&amp;"_"&amp;$C6,辅助特效!$A$4:$Y$17,S$3,FALSE),IF($D6=4,VLOOKUP($B6&amp;"_"&amp;$C6,命中特效!$A$4:$Y$17,S$3,FALSE),IF($D6=5,VLOOKUP($B6&amp;"_"&amp;$C6,buff特效!$A$4:$Y$17,S$3,FALSE),1111)))))</f>
        <v>手填</v>
      </c>
      <c r="T6" s="33" t="str">
        <f>IF($D6=1,VLOOKUP($B6&amp;"_"&amp;$C6,起手特效!$A$4:$Y$17,T$3,FALSE),IF($D6=2,VLOOKUP($B6&amp;"_"&amp;$C6,主要特效!$A$4:$Y$17,T$3,FALSE),IF($D6=3,VLOOKUP($B6&amp;"_"&amp;$C6,辅助特效!$A$4:$Y$17,T$3,FALSE),IF($D6=4,VLOOKUP($B6&amp;"_"&amp;$C6,命中特效!$A$4:$Y$17,T$3,FALSE),IF($D6=5,VLOOKUP($B6&amp;"_"&amp;$C6,buff特效!$A$4:$Y$17,T$3,FALSE),1111)))))</f>
        <v>[]</v>
      </c>
      <c r="U6" s="33" t="str">
        <f>IF($D6=1,VLOOKUP($B6&amp;"_"&amp;$C6,起手特效!$A$4:$Y$17,U$3,FALSE),IF($D6=2,VLOOKUP($B6&amp;"_"&amp;$C6,主要特效!$A$4:$Y$17,U$3,FALSE),IF($D6=3,VLOOKUP($B6&amp;"_"&amp;$C6,辅助特效!$A$4:$Y$17,U$3,FALSE),IF($D6=4,VLOOKUP($B6&amp;"_"&amp;$C6,命中特效!$A$4:$Y$17,U$3,FALSE),IF($D6=5,VLOOKUP($B6&amp;"_"&amp;$C6,buff特效!$A$4:$Y$17,U$3,FALSE),1111)))))</f>
        <v>[]</v>
      </c>
      <c r="V6" s="33">
        <f>IF($D6=1,VLOOKUP($B6&amp;"_"&amp;$C6,起手特效!$A$4:$Y$17,V$3,FALSE),IF($D6=2,VLOOKUP($B6&amp;"_"&amp;$C6,主要特效!$A$4:$Y$17,V$3,FALSE),IF($D6=3,VLOOKUP($B6&amp;"_"&amp;$C6,辅助特效!$A$4:$Y$17,V$3,FALSE),IF($D6=4,VLOOKUP($B6&amp;"_"&amp;$C6,命中特效!$A$4:$Y$17,V$3,FALSE),IF($D6=5,VLOOKUP($B6&amp;"_"&amp;$C6,buff特效!$A$4:$Y$17,V$3,FALSE),1111)))))</f>
        <v>0</v>
      </c>
      <c r="W6" s="33">
        <f>IF($D6=1,VLOOKUP($B6&amp;"_"&amp;$C6,起手特效!$A$4:$Y$17,W$3,FALSE),IF($D6=2,VLOOKUP($B6&amp;"_"&amp;$C6,主要特效!$A$4:$Y$17,W$3,FALSE),IF($D6=3,VLOOKUP($B6&amp;"_"&amp;$C6,辅助特效!$A$4:$Y$17,W$3,FALSE),IF($D6=4,VLOOKUP($B6&amp;"_"&amp;$C6,命中特效!$A$4:$Y$17,W$3,FALSE),IF($D6=5,VLOOKUP($B6&amp;"_"&amp;$C6,buff特效!$A$4:$Y$17,W$3,FALSE),1111)))))</f>
        <v>0</v>
      </c>
      <c r="X6" s="33">
        <f>IF($D6=1,VLOOKUP($B6&amp;"_"&amp;$C6,起手特效!$A$4:$Y$17,X$3,FALSE),IF($D6=2,VLOOKUP($B6&amp;"_"&amp;$C6,主要特效!$A$4:$Y$17,X$3,FALSE),IF($D6=3,VLOOKUP($B6&amp;"_"&amp;$C6,辅助特效!$A$4:$Y$17,X$3,FALSE),IF($D6=4,VLOOKUP($B6&amp;"_"&amp;$C6,命中特效!$A$4:$Y$17,X$3,FALSE),IF($D6=5,VLOOKUP($B6&amp;"_"&amp;$C6,buff特效!$A$4:$Y$17,X$3,FALSE),1111)))))</f>
        <v>0</v>
      </c>
      <c r="Y6" s="33">
        <f>IF($D6=1,VLOOKUP($B6&amp;"_"&amp;$C6,起手特效!$A$4:$Y$17,Y$3,FALSE),IF($D6=2,VLOOKUP($B6&amp;"_"&amp;$C6,主要特效!$A$4:$Y$17,Y$3,FALSE),IF($D6=3,VLOOKUP($B6&amp;"_"&amp;$C6,辅助特效!$A$4:$Y$17,Y$3,FALSE),IF($D6=4,VLOOKUP($B6&amp;"_"&amp;$C6,命中特效!$A$4:$Y$17,Y$3,FALSE),IF($D6=5,VLOOKUP($B6&amp;"_"&amp;$C6,buff特效!$A$4:$Y$17,Y$3,FALSE),1111)))))</f>
        <v>0</v>
      </c>
      <c r="Z6" s="33">
        <f>IF($D6=1,VLOOKUP($B6&amp;"_"&amp;$C6,起手特效!$A$4:$Y$17,Z$3,FALSE),IF($D6=2,VLOOKUP($B6&amp;"_"&amp;$C6,主要特效!$A$4:$Y$17,Z$3,FALSE),IF($D6=3,VLOOKUP($B6&amp;"_"&amp;$C6,辅助特效!$A$4:$Y$17,Z$3,FALSE),IF($D6=4,VLOOKUP($B6&amp;"_"&amp;$C6,命中特效!$A$4:$Y$17,Z$3,FALSE),IF($D6=5,VLOOKUP($B6&amp;"_"&amp;$C6,buff特效!$A$4:$Y$17,Z$3,FALSE),1111)))))</f>
        <v>0</v>
      </c>
      <c r="AA6" s="33">
        <f>IF($D6=1,VLOOKUP($B6&amp;"_"&amp;$C6,起手特效!$A$4:$Y$17,AA$3,FALSE),IF($D6=2,VLOOKUP($B6&amp;"_"&amp;$C6,主要特效!$A$4:$Y$17,AA$3,FALSE),IF($D6=3,VLOOKUP($B6&amp;"_"&amp;$C6,辅助特效!$A$4:$Y$17,AA$3,FALSE),IF($D6=4,VLOOKUP($B6&amp;"_"&amp;$C6,命中特效!$A$4:$Y$17,AA$3,FALSE),IF($D6=5,VLOOKUP($B6&amp;"_"&amp;$C6,buff特效!$A$4:$Y$17,AA$3,FALSE),1111)))))</f>
        <v>0</v>
      </c>
      <c r="AB6" s="33">
        <f>IF($D6=1,VLOOKUP($B6&amp;"_"&amp;$C6,起手特效!$A$4:$Y$17,AB$3,FALSE),IF($D6=2,VLOOKUP($B6&amp;"_"&amp;$C6,主要特效!$A$4:$Y$17,AB$3,FALSE),IF($D6=3,VLOOKUP($B6&amp;"_"&amp;$C6,辅助特效!$A$4:$Y$17,AB$3,FALSE),IF($D6=4,VLOOKUP($B6&amp;"_"&amp;$C6,命中特效!$A$4:$Y$17,AB$3,FALSE),IF($D6=5,VLOOKUP($B6&amp;"_"&amp;$C6,buff特效!$A$4:$Y$17,AB$3,FALSE),1111)))))</f>
        <v>0</v>
      </c>
    </row>
    <row r="7" spans="1:28" x14ac:dyDescent="0.15">
      <c r="B7" s="20" t="str">
        <f t="shared" si="2"/>
        <v>nanzhujue</v>
      </c>
      <c r="C7" s="32">
        <f t="shared" si="1"/>
        <v>0</v>
      </c>
      <c r="D7" s="20">
        <v>4</v>
      </c>
      <c r="E7" s="33" t="str">
        <f>IF($D7=1,VLOOKUP($B7&amp;"_"&amp;$C7,起手特效!$A$4:$Y$17,E$3,FALSE),IF($D7=2,VLOOKUP($B7&amp;"_"&amp;$C7,主要特效!$A$4:$Y$17,E$3,FALSE),IF($D7=3,VLOOKUP($B7&amp;"_"&amp;$C7,辅助特效!$A$4:$Y$17,E$3,FALSE),IF($D7=4,VLOOKUP($B7&amp;"_"&amp;$C7,命中特效!$A$4:$Y$17,E$3,FALSE),IF($D7=5,VLOOKUP($B7&amp;"_"&amp;$C7,buff特效!$A$4:$Y$17,E$3,FALSE),1111)))))</f>
        <v>[]</v>
      </c>
      <c r="F7" s="33" t="str">
        <f>IF($D7=1,VLOOKUP($B7&amp;"_"&amp;$C7,起手特效!$A$4:$Y$17,F$3,FALSE),IF($D7=2,VLOOKUP($B7&amp;"_"&amp;$C7,主要特效!$A$4:$Y$17,F$3,FALSE),IF($D7=3,VLOOKUP($B7&amp;"_"&amp;$C7,辅助特效!$A$4:$Y$17,F$3,FALSE),IF($D7=4,VLOOKUP($B7&amp;"_"&amp;$C7,命中特效!$A$4:$Y$17,F$3,FALSE),IF($D7=5,VLOOKUP($B7&amp;"_"&amp;$C7,buff特效!$A$4:$Y$17,F$3,FALSE),1111)))))</f>
        <v>[]</v>
      </c>
      <c r="G7" s="33" t="str">
        <f>IF($D7=1,VLOOKUP($B7&amp;"_"&amp;$C7,起手特效!$A$4:$Y$17,G$3,FALSE),IF($D7=2,VLOOKUP($B7&amp;"_"&amp;$C7,主要特效!$A$4:$Y$17,G$3,FALSE),IF($D7=3,VLOOKUP($B7&amp;"_"&amp;$C7,辅助特效!$A$4:$Y$17,G$3,FALSE),IF($D7=4,VLOOKUP($B7&amp;"_"&amp;$C7,命中特效!$A$4:$Y$17,G$3,FALSE),IF($D7=5,VLOOKUP($B7&amp;"_"&amp;$C7,buff特效!$A$4:$Y$17,G$3,FALSE),1111)))))</f>
        <v>[]</v>
      </c>
      <c r="H7" s="33">
        <f>IF($D7=1,VLOOKUP($B7&amp;"_"&amp;$C7,起手特效!$A$4:$Y$17,H$3,FALSE),IF($D7=2,VLOOKUP($B7&amp;"_"&amp;$C7,主要特效!$A$4:$Y$17,H$3,FALSE),IF($D7=3,VLOOKUP($B7&amp;"_"&amp;$C7,辅助特效!$A$4:$Y$17,H$3,FALSE),IF($D7=4,VLOOKUP($B7&amp;"_"&amp;$C7,命中特效!$A$4:$Y$17,H$3,FALSE),IF($D7=5,VLOOKUP($B7&amp;"_"&amp;$C7,buff特效!$A$4:$Y$17,H$3,FALSE),1111)))))</f>
        <v>0</v>
      </c>
      <c r="I7" s="33">
        <f>IF($D7=1,VLOOKUP($B7&amp;"_"&amp;$C7,起手特效!$A$4:$Y$17,I$3,FALSE),IF($D7=2,VLOOKUP($B7&amp;"_"&amp;$C7,主要特效!$A$4:$Y$17,I$3,FALSE),IF($D7=3,VLOOKUP($B7&amp;"_"&amp;$C7,辅助特效!$A$4:$Y$17,I$3,FALSE),IF($D7=4,VLOOKUP($B7&amp;"_"&amp;$C7,命中特效!$A$4:$Y$17,I$3,FALSE),IF($D7=5,VLOOKUP($B7&amp;"_"&amp;$C7,buff特效!$A$4:$Y$17,I$3,FALSE),1111)))))</f>
        <v>0</v>
      </c>
      <c r="J7" s="33">
        <f>IF($D7=1,VLOOKUP($B7&amp;"_"&amp;$C7,起手特效!$A$4:$Y$17,J$3,FALSE),IF($D7=2,VLOOKUP($B7&amp;"_"&amp;$C7,主要特效!$A$4:$Y$17,J$3,FALSE),IF($D7=3,VLOOKUP($B7&amp;"_"&amp;$C7,辅助特效!$A$4:$Y$17,J$3,FALSE),IF($D7=4,VLOOKUP($B7&amp;"_"&amp;$C7,命中特效!$A$4:$Y$17,J$3,FALSE),IF($D7=5,VLOOKUP($B7&amp;"_"&amp;$C7,buff特效!$A$4:$Y$17,J$3,FALSE),1111)))))</f>
        <v>11</v>
      </c>
      <c r="K7" s="33">
        <f>IF($D7=1,VLOOKUP($B7&amp;"_"&amp;$C7,起手特效!$A$4:$Y$17,K$3,FALSE),IF($D7=2,VLOOKUP($B7&amp;"_"&amp;$C7,主要特效!$A$4:$Y$17,K$3,FALSE),IF($D7=3,VLOOKUP($B7&amp;"_"&amp;$C7,辅助特效!$A$4:$Y$17,K$3,FALSE),IF($D7=4,VLOOKUP($B7&amp;"_"&amp;$C7,命中特效!$A$4:$Y$17,K$3,FALSE),IF($D7=5,VLOOKUP($B7&amp;"_"&amp;$C7,buff特效!$A$4:$Y$17,K$3,FALSE),1111)))))</f>
        <v>0</v>
      </c>
      <c r="L7" s="33">
        <f>IF($D7=1,VLOOKUP($B7&amp;"_"&amp;$C7,起手特效!$A$4:$Y$17,L$3,FALSE),IF($D7=2,VLOOKUP($B7&amp;"_"&amp;$C7,主要特效!$A$4:$Y$17,L$3,FALSE),IF($D7=3,VLOOKUP($B7&amp;"_"&amp;$C7,辅助特效!$A$4:$Y$17,L$3,FALSE),IF($D7=4,VLOOKUP($B7&amp;"_"&amp;$C7,命中特效!$A$4:$Y$17,L$3,FALSE),IF($D7=5,VLOOKUP($B7&amp;"_"&amp;$C7,buff特效!$A$4:$Y$17,L$3,FALSE),1111)))))</f>
        <v>0</v>
      </c>
      <c r="M7" s="33" t="str">
        <f>IF($D7=1,VLOOKUP($B7&amp;"_"&amp;$C7,起手特效!$A$4:$Y$17,M$3,FALSE),IF($D7=2,VLOOKUP($B7&amp;"_"&amp;$C7,主要特效!$A$4:$Y$17,M$3,FALSE),IF($D7=3,VLOOKUP($B7&amp;"_"&amp;$C7,辅助特效!$A$4:$Y$17,M$3,FALSE),IF($D7=4,VLOOKUP($B7&amp;"_"&amp;$C7,命中特效!$A$4:$Y$17,M$3,FALSE),IF($D7=5,VLOOKUP($B7&amp;"_"&amp;$C7,buff特效!$A$4:$Y$17,M$3,FALSE),1111)))))</f>
        <v>[]</v>
      </c>
      <c r="N7" s="33" t="str">
        <f>IF($D7=1,VLOOKUP($B7&amp;"_"&amp;$C7,起手特效!$A$4:$Y$17,N$3,FALSE),IF($D7=2,VLOOKUP($B7&amp;"_"&amp;$C7,主要特效!$A$4:$Y$17,N$3,FALSE),IF($D7=3,VLOOKUP($B7&amp;"_"&amp;$C7,辅助特效!$A$4:$Y$17,N$3,FALSE),IF($D7=4,VLOOKUP($B7&amp;"_"&amp;$C7,命中特效!$A$4:$Y$17,N$3,FALSE),IF($D7=5,VLOOKUP($B7&amp;"_"&amp;$C7,buff特效!$A$4:$Y$17,N$3,FALSE),1111)))))</f>
        <v>[]</v>
      </c>
      <c r="O7" s="33">
        <f>IF($D7=1,VLOOKUP($B7&amp;"_"&amp;$C7,起手特效!$A$4:$Y$17,O$3,FALSE),IF($D7=2,VLOOKUP($B7&amp;"_"&amp;$C7,主要特效!$A$4:$Y$17,O$3,FALSE),IF($D7=3,VLOOKUP($B7&amp;"_"&amp;$C7,辅助特效!$A$4:$Y$17,O$3,FALSE),IF($D7=4,VLOOKUP($B7&amp;"_"&amp;$C7,命中特效!$A$4:$Y$17,O$3,FALSE),IF($D7=5,VLOOKUP($B7&amp;"_"&amp;$C7,buff特效!$A$4:$Y$17,O$3,FALSE),1111)))))</f>
        <v>5</v>
      </c>
      <c r="P7" s="33">
        <f>IF($D7=1,VLOOKUP($B7&amp;"_"&amp;$C7,起手特效!$A$4:$Y$17,P$3,FALSE),IF($D7=2,VLOOKUP($B7&amp;"_"&amp;$C7,主要特效!$A$4:$Y$17,P$3,FALSE),IF($D7=3,VLOOKUP($B7&amp;"_"&amp;$C7,辅助特效!$A$4:$Y$17,P$3,FALSE),IF($D7=4,VLOOKUP($B7&amp;"_"&amp;$C7,命中特效!$A$4:$Y$17,P$3,FALSE),IF($D7=5,VLOOKUP($B7&amp;"_"&amp;$C7,buff特效!$A$4:$Y$17,P$3,FALSE),1111)))))</f>
        <v>0</v>
      </c>
      <c r="Q7" s="33">
        <f>IF($D7=1,VLOOKUP($B7&amp;"_"&amp;$C7,起手特效!$A$4:$Y$17,Q$3,FALSE),IF($D7=2,VLOOKUP($B7&amp;"_"&amp;$C7,主要特效!$A$4:$Y$17,Q$3,FALSE),IF($D7=3,VLOOKUP($B7&amp;"_"&amp;$C7,辅助特效!$A$4:$Y$17,Q$3,FALSE),IF($D7=4,VLOOKUP($B7&amp;"_"&amp;$C7,命中特效!$A$4:$Y$17,Q$3,FALSE),IF($D7=5,VLOOKUP($B7&amp;"_"&amp;$C7,buff特效!$A$4:$Y$17,Q$3,FALSE),1111)))))</f>
        <v>2</v>
      </c>
      <c r="R7" s="33">
        <f>IF($D7=1,VLOOKUP($B7&amp;"_"&amp;$C7,起手特效!$A$4:$Y$17,R$3,FALSE),IF($D7=2,VLOOKUP($B7&amp;"_"&amp;$C7,主要特效!$A$4:$Y$17,R$3,FALSE),IF($D7=3,VLOOKUP($B7&amp;"_"&amp;$C7,辅助特效!$A$4:$Y$17,R$3,FALSE),IF($D7=4,VLOOKUP($B7&amp;"_"&amp;$C7,命中特效!$A$4:$Y$17,R$3,FALSE),IF($D7=5,VLOOKUP($B7&amp;"_"&amp;$C7,buff特效!$A$4:$Y$17,R$3,FALSE),1111)))))</f>
        <v>0</v>
      </c>
      <c r="S7" s="33" t="str">
        <f>IF($D7=1,VLOOKUP($B7&amp;"_"&amp;$C7,起手特效!$A$4:$Y$17,S$3,FALSE),IF($D7=2,VLOOKUP($B7&amp;"_"&amp;$C7,主要特效!$A$4:$Y$17,S$3,FALSE),IF($D7=3,VLOOKUP($B7&amp;"_"&amp;$C7,辅助特效!$A$4:$Y$17,S$3,FALSE),IF($D7=4,VLOOKUP($B7&amp;"_"&amp;$C7,命中特效!$A$4:$Y$17,S$3,FALSE),IF($D7=5,VLOOKUP($B7&amp;"_"&amp;$C7,buff特效!$A$4:$Y$17,S$3,FALSE),1111)))))</f>
        <v>[]</v>
      </c>
      <c r="T7" s="33" t="str">
        <f>IF($D7=1,VLOOKUP($B7&amp;"_"&amp;$C7,起手特效!$A$4:$Y$17,T$3,FALSE),IF($D7=2,VLOOKUP($B7&amp;"_"&amp;$C7,主要特效!$A$4:$Y$17,T$3,FALSE),IF($D7=3,VLOOKUP($B7&amp;"_"&amp;$C7,辅助特效!$A$4:$Y$17,T$3,FALSE),IF($D7=4,VLOOKUP($B7&amp;"_"&amp;$C7,命中特效!$A$4:$Y$17,T$3,FALSE),IF($D7=5,VLOOKUP($B7&amp;"_"&amp;$C7,buff特效!$A$4:$Y$17,T$3,FALSE),1111)))))</f>
        <v>[]</v>
      </c>
      <c r="U7" s="33" t="str">
        <f>IF($D7=1,VLOOKUP($B7&amp;"_"&amp;$C7,起手特效!$A$4:$Y$17,U$3,FALSE),IF($D7=2,VLOOKUP($B7&amp;"_"&amp;$C7,主要特效!$A$4:$Y$17,U$3,FALSE),IF($D7=3,VLOOKUP($B7&amp;"_"&amp;$C7,辅助特效!$A$4:$Y$17,U$3,FALSE),IF($D7=4,VLOOKUP($B7&amp;"_"&amp;$C7,命中特效!$A$4:$Y$17,U$3,FALSE),IF($D7=5,VLOOKUP($B7&amp;"_"&amp;$C7,buff特效!$A$4:$Y$17,U$3,FALSE),1111)))))</f>
        <v>[]</v>
      </c>
      <c r="V7" s="33">
        <f>IF($D7=1,VLOOKUP($B7&amp;"_"&amp;$C7,起手特效!$A$4:$Y$17,V$3,FALSE),IF($D7=2,VLOOKUP($B7&amp;"_"&amp;$C7,主要特效!$A$4:$Y$17,V$3,FALSE),IF($D7=3,VLOOKUP($B7&amp;"_"&amp;$C7,辅助特效!$A$4:$Y$17,V$3,FALSE),IF($D7=4,VLOOKUP($B7&amp;"_"&amp;$C7,命中特效!$A$4:$Y$17,V$3,FALSE),IF($D7=5,VLOOKUP($B7&amp;"_"&amp;$C7,buff特效!$A$4:$Y$17,V$3,FALSE),1111)))))</f>
        <v>0</v>
      </c>
      <c r="W7" s="33">
        <f>IF($D7=1,VLOOKUP($B7&amp;"_"&amp;$C7,起手特效!$A$4:$Y$17,W$3,FALSE),IF($D7=2,VLOOKUP($B7&amp;"_"&amp;$C7,主要特效!$A$4:$Y$17,W$3,FALSE),IF($D7=3,VLOOKUP($B7&amp;"_"&amp;$C7,辅助特效!$A$4:$Y$17,W$3,FALSE),IF($D7=4,VLOOKUP($B7&amp;"_"&amp;$C7,命中特效!$A$4:$Y$17,W$3,FALSE),IF($D7=5,VLOOKUP($B7&amp;"_"&amp;$C7,buff特效!$A$4:$Y$17,W$3,FALSE),1111)))))</f>
        <v>0</v>
      </c>
      <c r="X7" s="33">
        <f>IF($D7=1,VLOOKUP($B7&amp;"_"&amp;$C7,起手特效!$A$4:$Y$17,X$3,FALSE),IF($D7=2,VLOOKUP($B7&amp;"_"&amp;$C7,主要特效!$A$4:$Y$17,X$3,FALSE),IF($D7=3,VLOOKUP($B7&amp;"_"&amp;$C7,辅助特效!$A$4:$Y$17,X$3,FALSE),IF($D7=4,VLOOKUP($B7&amp;"_"&amp;$C7,命中特效!$A$4:$Y$17,X$3,FALSE),IF($D7=5,VLOOKUP($B7&amp;"_"&amp;$C7,buff特效!$A$4:$Y$17,X$3,FALSE),1111)))))</f>
        <v>0</v>
      </c>
      <c r="Y7" s="33">
        <f>IF($D7=1,VLOOKUP($B7&amp;"_"&amp;$C7,起手特效!$A$4:$Y$17,Y$3,FALSE),IF($D7=2,VLOOKUP($B7&amp;"_"&amp;$C7,主要特效!$A$4:$Y$17,Y$3,FALSE),IF($D7=3,VLOOKUP($B7&amp;"_"&amp;$C7,辅助特效!$A$4:$Y$17,Y$3,FALSE),IF($D7=4,VLOOKUP($B7&amp;"_"&amp;$C7,命中特效!$A$4:$Y$17,Y$3,FALSE),IF($D7=5,VLOOKUP($B7&amp;"_"&amp;$C7,buff特效!$A$4:$Y$17,Y$3,FALSE),1111)))))</f>
        <v>0</v>
      </c>
      <c r="Z7" s="33">
        <f>IF($D7=1,VLOOKUP($B7&amp;"_"&amp;$C7,起手特效!$A$4:$Y$17,Z$3,FALSE),IF($D7=2,VLOOKUP($B7&amp;"_"&amp;$C7,主要特效!$A$4:$Y$17,Z$3,FALSE),IF($D7=3,VLOOKUP($B7&amp;"_"&amp;$C7,辅助特效!$A$4:$Y$17,Z$3,FALSE),IF($D7=4,VLOOKUP($B7&amp;"_"&amp;$C7,命中特效!$A$4:$Y$17,Z$3,FALSE),IF($D7=5,VLOOKUP($B7&amp;"_"&amp;$C7,buff特效!$A$4:$Y$17,Z$3,FALSE),1111)))))</f>
        <v>0</v>
      </c>
      <c r="AA7" s="33">
        <f>IF($D7=1,VLOOKUP($B7&amp;"_"&amp;$C7,起手特效!$A$4:$Y$17,AA$3,FALSE),IF($D7=2,VLOOKUP($B7&amp;"_"&amp;$C7,主要特效!$A$4:$Y$17,AA$3,FALSE),IF($D7=3,VLOOKUP($B7&amp;"_"&amp;$C7,辅助特效!$A$4:$Y$17,AA$3,FALSE),IF($D7=4,VLOOKUP($B7&amp;"_"&amp;$C7,命中特效!$A$4:$Y$17,AA$3,FALSE),IF($D7=5,VLOOKUP($B7&amp;"_"&amp;$C7,buff特效!$A$4:$Y$17,AA$3,FALSE),1111)))))</f>
        <v>0</v>
      </c>
      <c r="AB7" s="33">
        <f>IF($D7=1,VLOOKUP($B7&amp;"_"&amp;$C7,起手特效!$A$4:$Y$17,AB$3,FALSE),IF($D7=2,VLOOKUP($B7&amp;"_"&amp;$C7,主要特效!$A$4:$Y$17,AB$3,FALSE),IF($D7=3,VLOOKUP($B7&amp;"_"&amp;$C7,辅助特效!$A$4:$Y$17,AB$3,FALSE),IF($D7=4,VLOOKUP($B7&amp;"_"&amp;$C7,命中特效!$A$4:$Y$17,AB$3,FALSE),IF($D7=5,VLOOKUP($B7&amp;"_"&amp;$C7,buff特效!$A$4:$Y$17,AB$3,FALSE),1111)))))</f>
        <v>0</v>
      </c>
    </row>
    <row r="8" spans="1:28" x14ac:dyDescent="0.15">
      <c r="B8" s="20" t="str">
        <f t="shared" si="2"/>
        <v>nanzhujue</v>
      </c>
      <c r="C8" s="32">
        <f t="shared" si="1"/>
        <v>0</v>
      </c>
      <c r="D8" s="20">
        <v>5</v>
      </c>
      <c r="E8" s="33" t="str">
        <f>IF($D8=1,VLOOKUP($B8&amp;"_"&amp;$C8,起手特效!$A$4:$Y$17,E$3,FALSE),IF($D8=2,VLOOKUP($B8&amp;"_"&amp;$C8,主要特效!$A$4:$Y$17,E$3,FALSE),IF($D8=3,VLOOKUP($B8&amp;"_"&amp;$C8,辅助特效!$A$4:$Y$17,E$3,FALSE),IF($D8=4,VLOOKUP($B8&amp;"_"&amp;$C8,命中特效!$A$4:$Y$17,E$3,FALSE),IF($D8=5,VLOOKUP($B8&amp;"_"&amp;$C8,buff特效!$A$4:$Y$17,E$3,FALSE),1111)))))</f>
        <v>[]</v>
      </c>
      <c r="F8" s="33" t="str">
        <f>IF($D8=1,VLOOKUP($B8&amp;"_"&amp;$C8,起手特效!$A$4:$Y$17,F$3,FALSE),IF($D8=2,VLOOKUP($B8&amp;"_"&amp;$C8,主要特效!$A$4:$Y$17,F$3,FALSE),IF($D8=3,VLOOKUP($B8&amp;"_"&amp;$C8,辅助特效!$A$4:$Y$17,F$3,FALSE),IF($D8=4,VLOOKUP($B8&amp;"_"&amp;$C8,命中特效!$A$4:$Y$17,F$3,FALSE),IF($D8=5,VLOOKUP($B8&amp;"_"&amp;$C8,buff特效!$A$4:$Y$17,F$3,FALSE),1111)))))</f>
        <v>[]</v>
      </c>
      <c r="G8" s="33" t="str">
        <f>IF($D8=1,VLOOKUP($B8&amp;"_"&amp;$C8,起手特效!$A$4:$Y$17,G$3,FALSE),IF($D8=2,VLOOKUP($B8&amp;"_"&amp;$C8,主要特效!$A$4:$Y$17,G$3,FALSE),IF($D8=3,VLOOKUP($B8&amp;"_"&amp;$C8,辅助特效!$A$4:$Y$17,G$3,FALSE),IF($D8=4,VLOOKUP($B8&amp;"_"&amp;$C8,命中特效!$A$4:$Y$17,G$3,FALSE),IF($D8=5,VLOOKUP($B8&amp;"_"&amp;$C8,buff特效!$A$4:$Y$17,G$3,FALSE),1111)))))</f>
        <v>[]</v>
      </c>
      <c r="H8" s="33">
        <f>IF($D8=1,VLOOKUP($B8&amp;"_"&amp;$C8,起手特效!$A$4:$Y$17,H$3,FALSE),IF($D8=2,VLOOKUP($B8&amp;"_"&amp;$C8,主要特效!$A$4:$Y$17,H$3,FALSE),IF($D8=3,VLOOKUP($B8&amp;"_"&amp;$C8,辅助特效!$A$4:$Y$17,H$3,FALSE),IF($D8=4,VLOOKUP($B8&amp;"_"&amp;$C8,命中特效!$A$4:$Y$17,H$3,FALSE),IF($D8=5,VLOOKUP($B8&amp;"_"&amp;$C8,buff特效!$A$4:$Y$17,H$3,FALSE),1111)))))</f>
        <v>0</v>
      </c>
      <c r="I8" s="33">
        <f>IF($D8=1,VLOOKUP($B8&amp;"_"&amp;$C8,起手特效!$A$4:$Y$17,I$3,FALSE),IF($D8=2,VLOOKUP($B8&amp;"_"&amp;$C8,主要特效!$A$4:$Y$17,I$3,FALSE),IF($D8=3,VLOOKUP($B8&amp;"_"&amp;$C8,辅助特效!$A$4:$Y$17,I$3,FALSE),IF($D8=4,VLOOKUP($B8&amp;"_"&amp;$C8,命中特效!$A$4:$Y$17,I$3,FALSE),IF($D8=5,VLOOKUP($B8&amp;"_"&amp;$C8,buff特效!$A$4:$Y$17,I$3,FALSE),1111)))))</f>
        <v>0</v>
      </c>
      <c r="J8" s="33">
        <f>IF($D8=1,VLOOKUP($B8&amp;"_"&amp;$C8,起手特效!$A$4:$Y$17,J$3,FALSE),IF($D8=2,VLOOKUP($B8&amp;"_"&amp;$C8,主要特效!$A$4:$Y$17,J$3,FALSE),IF($D8=3,VLOOKUP($B8&amp;"_"&amp;$C8,辅助特效!$A$4:$Y$17,J$3,FALSE),IF($D8=4,VLOOKUP($B8&amp;"_"&amp;$C8,命中特效!$A$4:$Y$17,J$3,FALSE),IF($D8=5,VLOOKUP($B8&amp;"_"&amp;$C8,buff特效!$A$4:$Y$17,J$3,FALSE),1111)))))</f>
        <v>1</v>
      </c>
      <c r="K8" s="33">
        <f>IF($D8=1,VLOOKUP($B8&amp;"_"&amp;$C8,起手特效!$A$4:$Y$17,K$3,FALSE),IF($D8=2,VLOOKUP($B8&amp;"_"&amp;$C8,主要特效!$A$4:$Y$17,K$3,FALSE),IF($D8=3,VLOOKUP($B8&amp;"_"&amp;$C8,辅助特效!$A$4:$Y$17,K$3,FALSE),IF($D8=4,VLOOKUP($B8&amp;"_"&amp;$C8,命中特效!$A$4:$Y$17,K$3,FALSE),IF($D8=5,VLOOKUP($B8&amp;"_"&amp;$C8,buff特效!$A$4:$Y$17,K$3,FALSE),1111)))))</f>
        <v>0</v>
      </c>
      <c r="L8" s="33">
        <f>IF($D8=1,VLOOKUP($B8&amp;"_"&amp;$C8,起手特效!$A$4:$Y$17,L$3,FALSE),IF($D8=2,VLOOKUP($B8&amp;"_"&amp;$C8,主要特效!$A$4:$Y$17,L$3,FALSE),IF($D8=3,VLOOKUP($B8&amp;"_"&amp;$C8,辅助特效!$A$4:$Y$17,L$3,FALSE),IF($D8=4,VLOOKUP($B8&amp;"_"&amp;$C8,命中特效!$A$4:$Y$17,L$3,FALSE),IF($D8=5,VLOOKUP($B8&amp;"_"&amp;$C8,buff特效!$A$4:$Y$17,L$3,FALSE),1111)))))</f>
        <v>0</v>
      </c>
      <c r="M8" s="33" t="str">
        <f>IF($D8=1,VLOOKUP($B8&amp;"_"&amp;$C8,起手特效!$A$4:$Y$17,M$3,FALSE),IF($D8=2,VLOOKUP($B8&amp;"_"&amp;$C8,主要特效!$A$4:$Y$17,M$3,FALSE),IF($D8=3,VLOOKUP($B8&amp;"_"&amp;$C8,辅助特效!$A$4:$Y$17,M$3,FALSE),IF($D8=4,VLOOKUP($B8&amp;"_"&amp;$C8,命中特效!$A$4:$Y$17,M$3,FALSE),IF($D8=5,VLOOKUP($B8&amp;"_"&amp;$C8,buff特效!$A$4:$Y$17,M$3,FALSE),1111)))))</f>
        <v>[]</v>
      </c>
      <c r="N8" s="33" t="str">
        <f>IF($D8=1,VLOOKUP($B8&amp;"_"&amp;$C8,起手特效!$A$4:$Y$17,N$3,FALSE),IF($D8=2,VLOOKUP($B8&amp;"_"&amp;$C8,主要特效!$A$4:$Y$17,N$3,FALSE),IF($D8=3,VLOOKUP($B8&amp;"_"&amp;$C8,辅助特效!$A$4:$Y$17,N$3,FALSE),IF($D8=4,VLOOKUP($B8&amp;"_"&amp;$C8,命中特效!$A$4:$Y$17,N$3,FALSE),IF($D8=5,VLOOKUP($B8&amp;"_"&amp;$C8,buff特效!$A$4:$Y$17,N$3,FALSE),1111)))))</f>
        <v>[]</v>
      </c>
      <c r="O8" s="33">
        <f>IF($D8=1,VLOOKUP($B8&amp;"_"&amp;$C8,起手特效!$A$4:$Y$17,O$3,FALSE),IF($D8=2,VLOOKUP($B8&amp;"_"&amp;$C8,主要特效!$A$4:$Y$17,O$3,FALSE),IF($D8=3,VLOOKUP($B8&amp;"_"&amp;$C8,辅助特效!$A$4:$Y$17,O$3,FALSE),IF($D8=4,VLOOKUP($B8&amp;"_"&amp;$C8,命中特效!$A$4:$Y$17,O$3,FALSE),IF($D8=5,VLOOKUP($B8&amp;"_"&amp;$C8,buff特效!$A$4:$Y$17,O$3,FALSE),1111)))))</f>
        <v>5</v>
      </c>
      <c r="P8" s="33">
        <f>IF($D8=1,VLOOKUP($B8&amp;"_"&amp;$C8,起手特效!$A$4:$Y$17,P$3,FALSE),IF($D8=2,VLOOKUP($B8&amp;"_"&amp;$C8,主要特效!$A$4:$Y$17,P$3,FALSE),IF($D8=3,VLOOKUP($B8&amp;"_"&amp;$C8,辅助特效!$A$4:$Y$17,P$3,FALSE),IF($D8=4,VLOOKUP($B8&amp;"_"&amp;$C8,命中特效!$A$4:$Y$17,P$3,FALSE),IF($D8=5,VLOOKUP($B8&amp;"_"&amp;$C8,buff特效!$A$4:$Y$17,P$3,FALSE),1111)))))</f>
        <v>0</v>
      </c>
      <c r="Q8" s="33">
        <f>IF($D8=1,VLOOKUP($B8&amp;"_"&amp;$C8,起手特效!$A$4:$Y$17,Q$3,FALSE),IF($D8=2,VLOOKUP($B8&amp;"_"&amp;$C8,主要特效!$A$4:$Y$17,Q$3,FALSE),IF($D8=3,VLOOKUP($B8&amp;"_"&amp;$C8,辅助特效!$A$4:$Y$17,Q$3,FALSE),IF($D8=4,VLOOKUP($B8&amp;"_"&amp;$C8,命中特效!$A$4:$Y$17,Q$3,FALSE),IF($D8=5,VLOOKUP($B8&amp;"_"&amp;$C8,buff特效!$A$4:$Y$17,Q$3,FALSE),1111)))))</f>
        <v>2</v>
      </c>
      <c r="R8" s="33" t="str">
        <f>IF($D8=1,VLOOKUP($B8&amp;"_"&amp;$C8,起手特效!$A$4:$Y$17,R$3,FALSE),IF($D8=2,VLOOKUP($B8&amp;"_"&amp;$C8,主要特效!$A$4:$Y$17,R$3,FALSE),IF($D8=3,VLOOKUP($B8&amp;"_"&amp;$C8,辅助特效!$A$4:$Y$17,R$3,FALSE),IF($D8=4,VLOOKUP($B8&amp;"_"&amp;$C8,命中特效!$A$4:$Y$17,R$3,FALSE),IF($D8=5,VLOOKUP($B8&amp;"_"&amp;$C8,buff特效!$A$4:$Y$17,R$3,FALSE),1111)))))</f>
        <v>手填</v>
      </c>
      <c r="S8" s="33" t="str">
        <f>IF($D8=1,VLOOKUP($B8&amp;"_"&amp;$C8,起手特效!$A$4:$Y$17,S$3,FALSE),IF($D8=2,VLOOKUP($B8&amp;"_"&amp;$C8,主要特效!$A$4:$Y$17,S$3,FALSE),IF($D8=3,VLOOKUP($B8&amp;"_"&amp;$C8,辅助特效!$A$4:$Y$17,S$3,FALSE),IF($D8=4,VLOOKUP($B8&amp;"_"&amp;$C8,命中特效!$A$4:$Y$17,S$3,FALSE),IF($D8=5,VLOOKUP($B8&amp;"_"&amp;$C8,buff特效!$A$4:$Y$17,S$3,FALSE),1111)))))</f>
        <v>[]</v>
      </c>
      <c r="T8" s="33" t="str">
        <f>IF($D8=1,VLOOKUP($B8&amp;"_"&amp;$C8,起手特效!$A$4:$Y$17,T$3,FALSE),IF($D8=2,VLOOKUP($B8&amp;"_"&amp;$C8,主要特效!$A$4:$Y$17,T$3,FALSE),IF($D8=3,VLOOKUP($B8&amp;"_"&amp;$C8,辅助特效!$A$4:$Y$17,T$3,FALSE),IF($D8=4,VLOOKUP($B8&amp;"_"&amp;$C8,命中特效!$A$4:$Y$17,T$3,FALSE),IF($D8=5,VLOOKUP($B8&amp;"_"&amp;$C8,buff特效!$A$4:$Y$17,T$3,FALSE),1111)))))</f>
        <v>[]</v>
      </c>
      <c r="U8" s="33" t="str">
        <f>IF($D8=1,VLOOKUP($B8&amp;"_"&amp;$C8,起手特效!$A$4:$Y$17,U$3,FALSE),IF($D8=2,VLOOKUP($B8&amp;"_"&amp;$C8,主要特效!$A$4:$Y$17,U$3,FALSE),IF($D8=3,VLOOKUP($B8&amp;"_"&amp;$C8,辅助特效!$A$4:$Y$17,U$3,FALSE),IF($D8=4,VLOOKUP($B8&amp;"_"&amp;$C8,命中特效!$A$4:$Y$17,U$3,FALSE),IF($D8=5,VLOOKUP($B8&amp;"_"&amp;$C8,buff特效!$A$4:$Y$17,U$3,FALSE),1111)))))</f>
        <v>[]</v>
      </c>
      <c r="V8" s="33">
        <f>IF($D8=1,VLOOKUP($B8&amp;"_"&amp;$C8,起手特效!$A$4:$Y$17,V$3,FALSE),IF($D8=2,VLOOKUP($B8&amp;"_"&amp;$C8,主要特效!$A$4:$Y$17,V$3,FALSE),IF($D8=3,VLOOKUP($B8&amp;"_"&amp;$C8,辅助特效!$A$4:$Y$17,V$3,FALSE),IF($D8=4,VLOOKUP($B8&amp;"_"&amp;$C8,命中特效!$A$4:$Y$17,V$3,FALSE),IF($D8=5,VLOOKUP($B8&amp;"_"&amp;$C8,buff特效!$A$4:$Y$17,V$3,FALSE),1111)))))</f>
        <v>0</v>
      </c>
      <c r="W8" s="33">
        <f>IF($D8=1,VLOOKUP($B8&amp;"_"&amp;$C8,起手特效!$A$4:$Y$17,W$3,FALSE),IF($D8=2,VLOOKUP($B8&amp;"_"&amp;$C8,主要特效!$A$4:$Y$17,W$3,FALSE),IF($D8=3,VLOOKUP($B8&amp;"_"&amp;$C8,辅助特效!$A$4:$Y$17,W$3,FALSE),IF($D8=4,VLOOKUP($B8&amp;"_"&amp;$C8,命中特效!$A$4:$Y$17,W$3,FALSE),IF($D8=5,VLOOKUP($B8&amp;"_"&amp;$C8,buff特效!$A$4:$Y$17,W$3,FALSE),1111)))))</f>
        <v>0</v>
      </c>
      <c r="X8" s="33">
        <f>IF($D8=1,VLOOKUP($B8&amp;"_"&amp;$C8,起手特效!$A$4:$Y$17,X$3,FALSE),IF($D8=2,VLOOKUP($B8&amp;"_"&amp;$C8,主要特效!$A$4:$Y$17,X$3,FALSE),IF($D8=3,VLOOKUP($B8&amp;"_"&amp;$C8,辅助特效!$A$4:$Y$17,X$3,FALSE),IF($D8=4,VLOOKUP($B8&amp;"_"&amp;$C8,命中特效!$A$4:$Y$17,X$3,FALSE),IF($D8=5,VLOOKUP($B8&amp;"_"&amp;$C8,buff特效!$A$4:$Y$17,X$3,FALSE),1111)))))</f>
        <v>0</v>
      </c>
      <c r="Y8" s="33">
        <f>IF($D8=1,VLOOKUP($B8&amp;"_"&amp;$C8,起手特效!$A$4:$Y$17,Y$3,FALSE),IF($D8=2,VLOOKUP($B8&amp;"_"&amp;$C8,主要特效!$A$4:$Y$17,Y$3,FALSE),IF($D8=3,VLOOKUP($B8&amp;"_"&amp;$C8,辅助特效!$A$4:$Y$17,Y$3,FALSE),IF($D8=4,VLOOKUP($B8&amp;"_"&amp;$C8,命中特效!$A$4:$Y$17,Y$3,FALSE),IF($D8=5,VLOOKUP($B8&amp;"_"&amp;$C8,buff特效!$A$4:$Y$17,Y$3,FALSE),1111)))))</f>
        <v>0</v>
      </c>
      <c r="Z8" s="33">
        <f>IF($D8=1,VLOOKUP($B8&amp;"_"&amp;$C8,起手特效!$A$4:$Y$17,Z$3,FALSE),IF($D8=2,VLOOKUP($B8&amp;"_"&amp;$C8,主要特效!$A$4:$Y$17,Z$3,FALSE),IF($D8=3,VLOOKUP($B8&amp;"_"&amp;$C8,辅助特效!$A$4:$Y$17,Z$3,FALSE),IF($D8=4,VLOOKUP($B8&amp;"_"&amp;$C8,命中特效!$A$4:$Y$17,Z$3,FALSE),IF($D8=5,VLOOKUP($B8&amp;"_"&amp;$C8,buff特效!$A$4:$Y$17,Z$3,FALSE),1111)))))</f>
        <v>0</v>
      </c>
      <c r="AA8" s="33">
        <f>IF($D8=1,VLOOKUP($B8&amp;"_"&amp;$C8,起手特效!$A$4:$Y$17,AA$3,FALSE),IF($D8=2,VLOOKUP($B8&amp;"_"&amp;$C8,主要特效!$A$4:$Y$17,AA$3,FALSE),IF($D8=3,VLOOKUP($B8&amp;"_"&amp;$C8,辅助特效!$A$4:$Y$17,AA$3,FALSE),IF($D8=4,VLOOKUP($B8&amp;"_"&amp;$C8,命中特效!$A$4:$Y$17,AA$3,FALSE),IF($D8=5,VLOOKUP($B8&amp;"_"&amp;$C8,buff特效!$A$4:$Y$17,AA$3,FALSE),1111)))))</f>
        <v>0</v>
      </c>
      <c r="AB8" s="33">
        <f>IF($D8=1,VLOOKUP($B8&amp;"_"&amp;$C8,起手特效!$A$4:$Y$17,AB$3,FALSE),IF($D8=2,VLOOKUP($B8&amp;"_"&amp;$C8,主要特效!$A$4:$Y$17,AB$3,FALSE),IF($D8=3,VLOOKUP($B8&amp;"_"&amp;$C8,辅助特效!$A$4:$Y$17,AB$3,FALSE),IF($D8=4,VLOOKUP($B8&amp;"_"&amp;$C8,命中特效!$A$4:$Y$17,AB$3,FALSE),IF($D8=5,VLOOKUP($B8&amp;"_"&amp;$C8,buff特效!$A$4:$Y$17,AB$3,FALSE),1111)))))</f>
        <v>0</v>
      </c>
    </row>
    <row r="9" spans="1:28" s="32" customFormat="1" x14ac:dyDescent="0.15">
      <c r="A9" s="36" t="s">
        <v>1768</v>
      </c>
      <c r="B9" s="32" t="str">
        <f>IF(AND(C9=0,D9=1),A9,B8)</f>
        <v>tuotatianwang</v>
      </c>
      <c r="C9" s="32">
        <f t="shared" si="1"/>
        <v>0</v>
      </c>
      <c r="D9" s="32">
        <f>D4</f>
        <v>1</v>
      </c>
      <c r="E9" s="33" t="str">
        <f>IF($D9=1,VLOOKUP($B9&amp;"_"&amp;$C9,起手特效!$A$4:$Y$17,E$3,FALSE),IF($D9=2,VLOOKUP($B9&amp;"_"&amp;$C9,主要特效!$A$4:$Y$17,E$3,FALSE),IF($D9=3,VLOOKUP($B9&amp;"_"&amp;$C9,辅助特效!$A$4:$Y$17,E$3,FALSE),IF($D9=4,VLOOKUP($B9&amp;"_"&amp;$C9,命中特效!$A$4:$Y$17,E$3,FALSE),IF($D9=5,VLOOKUP($B9&amp;"_"&amp;$C9,buff特效!$A$4:$Y$17,E$3,FALSE),1111)))))</f>
        <v>[]</v>
      </c>
      <c r="F9" s="33" t="str">
        <f>IF($D9=1,VLOOKUP($B9&amp;"_"&amp;$C9,起手特效!$A$4:$Y$17,F$3,FALSE),IF($D9=2,VLOOKUP($B9&amp;"_"&amp;$C9,主要特效!$A$4:$Y$17,F$3,FALSE),IF($D9=3,VLOOKUP($B9&amp;"_"&amp;$C9,辅助特效!$A$4:$Y$17,F$3,FALSE),IF($D9=4,VLOOKUP($B9&amp;"_"&amp;$C9,命中特效!$A$4:$Y$17,F$3,FALSE),IF($D9=5,VLOOKUP($B9&amp;"_"&amp;$C9,buff特效!$A$4:$Y$17,F$3,FALSE),1111)))))</f>
        <v>[]</v>
      </c>
      <c r="G9" s="33" t="str">
        <f>IF($D9=1,VLOOKUP($B9&amp;"_"&amp;$C9,起手特效!$A$4:$Y$17,G$3,FALSE),IF($D9=2,VLOOKUP($B9&amp;"_"&amp;$C9,主要特效!$A$4:$Y$17,G$3,FALSE),IF($D9=3,VLOOKUP($B9&amp;"_"&amp;$C9,辅助特效!$A$4:$Y$17,G$3,FALSE),IF($D9=4,VLOOKUP($B9&amp;"_"&amp;$C9,命中特效!$A$4:$Y$17,G$3,FALSE),IF($D9=5,VLOOKUP($B9&amp;"_"&amp;$C9,buff特效!$A$4:$Y$17,G$3,FALSE),1111)))))</f>
        <v>attack_1</v>
      </c>
      <c r="H9" s="33">
        <f>IF($D9=1,VLOOKUP($B9&amp;"_"&amp;$C9,起手特效!$A$4:$Y$17,H$3,FALSE),IF($D9=2,VLOOKUP($B9&amp;"_"&amp;$C9,主要特效!$A$4:$Y$17,H$3,FALSE),IF($D9=3,VLOOKUP($B9&amp;"_"&amp;$C9,辅助特效!$A$4:$Y$17,H$3,FALSE),IF($D9=4,VLOOKUP($B9&amp;"_"&amp;$C9,命中特效!$A$4:$Y$17,H$3,FALSE),IF($D9=5,VLOOKUP($B9&amp;"_"&amp;$C9,buff特效!$A$4:$Y$17,H$3,FALSE),1111)))))</f>
        <v>0</v>
      </c>
      <c r="I9" s="33">
        <f>IF($D9=1,VLOOKUP($B9&amp;"_"&amp;$C9,起手特效!$A$4:$Y$17,I$3,FALSE),IF($D9=2,VLOOKUP($B9&amp;"_"&amp;$C9,主要特效!$A$4:$Y$17,I$3,FALSE),IF($D9=3,VLOOKUP($B9&amp;"_"&amp;$C9,辅助特效!$A$4:$Y$17,I$3,FALSE),IF($D9=4,VLOOKUP($B9&amp;"_"&amp;$C9,命中特效!$A$4:$Y$17,I$3,FALSE),IF($D9=5,VLOOKUP($B9&amp;"_"&amp;$C9,buff特效!$A$4:$Y$17,I$3,FALSE),1111)))))</f>
        <v>0</v>
      </c>
      <c r="J9" s="33">
        <f>IF($D9=1,VLOOKUP($B9&amp;"_"&amp;$C9,起手特效!$A$4:$Y$17,J$3,FALSE),IF($D9=2,VLOOKUP($B9&amp;"_"&amp;$C9,主要特效!$A$4:$Y$17,J$3,FALSE),IF($D9=3,VLOOKUP($B9&amp;"_"&amp;$C9,辅助特效!$A$4:$Y$17,J$3,FALSE),IF($D9=4,VLOOKUP($B9&amp;"_"&amp;$C9,命中特效!$A$4:$Y$17,J$3,FALSE),IF($D9=5,VLOOKUP($B9&amp;"_"&amp;$C9,buff特效!$A$4:$Y$17,J$3,FALSE),1111)))))</f>
        <v>0</v>
      </c>
      <c r="K9" s="33">
        <f>IF($D9=1,VLOOKUP($B9&amp;"_"&amp;$C9,起手特效!$A$4:$Y$17,K$3,FALSE),IF($D9=2,VLOOKUP($B9&amp;"_"&amp;$C9,主要特效!$A$4:$Y$17,K$3,FALSE),IF($D9=3,VLOOKUP($B9&amp;"_"&amp;$C9,辅助特效!$A$4:$Y$17,K$3,FALSE),IF($D9=4,VLOOKUP($B9&amp;"_"&amp;$C9,命中特效!$A$4:$Y$17,K$3,FALSE),IF($D9=5,VLOOKUP($B9&amp;"_"&amp;$C9,buff特效!$A$4:$Y$17,K$3,FALSE),1111)))))</f>
        <v>0</v>
      </c>
      <c r="L9" s="33">
        <f>IF($D9=1,VLOOKUP($B9&amp;"_"&amp;$C9,起手特效!$A$4:$Y$17,L$3,FALSE),IF($D9=2,VLOOKUP($B9&amp;"_"&amp;$C9,主要特效!$A$4:$Y$17,L$3,FALSE),IF($D9=3,VLOOKUP($B9&amp;"_"&amp;$C9,辅助特效!$A$4:$Y$17,L$3,FALSE),IF($D9=4,VLOOKUP($B9&amp;"_"&amp;$C9,命中特效!$A$4:$Y$17,L$3,FALSE),IF($D9=5,VLOOKUP($B9&amp;"_"&amp;$C9,buff特效!$A$4:$Y$17,L$3,FALSE),1111)))))</f>
        <v>0</v>
      </c>
      <c r="M9" s="33" t="str">
        <f>IF($D9=1,VLOOKUP($B9&amp;"_"&amp;$C9,起手特效!$A$4:$Y$17,M$3,FALSE),IF($D9=2,VLOOKUP($B9&amp;"_"&amp;$C9,主要特效!$A$4:$Y$17,M$3,FALSE),IF($D9=3,VLOOKUP($B9&amp;"_"&amp;$C9,辅助特效!$A$4:$Y$17,M$3,FALSE),IF($D9=4,VLOOKUP($B9&amp;"_"&amp;$C9,命中特效!$A$4:$Y$17,M$3,FALSE),IF($D9=5,VLOOKUP($B9&amp;"_"&amp;$C9,buff特效!$A$4:$Y$17,M$3,FALSE),1111)))))</f>
        <v>[]</v>
      </c>
      <c r="N9" s="33" t="str">
        <f>IF($D9=1,VLOOKUP($B9&amp;"_"&amp;$C9,起手特效!$A$4:$Y$17,N$3,FALSE),IF($D9=2,VLOOKUP($B9&amp;"_"&amp;$C9,主要特效!$A$4:$Y$17,N$3,FALSE),IF($D9=3,VLOOKUP($B9&amp;"_"&amp;$C9,辅助特效!$A$4:$Y$17,N$3,FALSE),IF($D9=4,VLOOKUP($B9&amp;"_"&amp;$C9,命中特效!$A$4:$Y$17,N$3,FALSE),IF($D9=5,VLOOKUP($B9&amp;"_"&amp;$C9,buff特效!$A$4:$Y$17,N$3,FALSE),1111)))))</f>
        <v>[]</v>
      </c>
      <c r="O9" s="33">
        <f>IF($D9=1,VLOOKUP($B9&amp;"_"&amp;$C9,起手特效!$A$4:$Y$17,O$3,FALSE),IF($D9=2,VLOOKUP($B9&amp;"_"&amp;$C9,主要特效!$A$4:$Y$17,O$3,FALSE),IF($D9=3,VLOOKUP($B9&amp;"_"&amp;$C9,辅助特效!$A$4:$Y$17,O$3,FALSE),IF($D9=4,VLOOKUP($B9&amp;"_"&amp;$C9,命中特效!$A$4:$Y$17,O$3,FALSE),IF($D9=5,VLOOKUP($B9&amp;"_"&amp;$C9,buff特效!$A$4:$Y$17,O$3,FALSE),1111)))))</f>
        <v>5</v>
      </c>
      <c r="P9" s="33" t="str">
        <f>IF($D9=1,VLOOKUP($B9&amp;"_"&amp;$C9,起手特效!$A$4:$Y$17,P$3,FALSE),IF($D9=2,VLOOKUP($B9&amp;"_"&amp;$C9,主要特效!$A$4:$Y$17,P$3,FALSE),IF($D9=3,VLOOKUP($B9&amp;"_"&amp;$C9,辅助特效!$A$4:$Y$17,P$3,FALSE),IF($D9=4,VLOOKUP($B9&amp;"_"&amp;$C9,命中特效!$A$4:$Y$17,P$3,FALSE),IF($D9=5,VLOOKUP($B9&amp;"_"&amp;$C9,buff特效!$A$4:$Y$17,P$3,FALSE),1111)))))</f>
        <v>手填</v>
      </c>
      <c r="Q9" s="33">
        <f>IF($D9=1,VLOOKUP($B9&amp;"_"&amp;$C9,起手特效!$A$4:$Y$17,Q$3,FALSE),IF($D9=2,VLOOKUP($B9&amp;"_"&amp;$C9,主要特效!$A$4:$Y$17,Q$3,FALSE),IF($D9=3,VLOOKUP($B9&amp;"_"&amp;$C9,辅助特效!$A$4:$Y$17,Q$3,FALSE),IF($D9=4,VLOOKUP($B9&amp;"_"&amp;$C9,命中特效!$A$4:$Y$17,Q$3,FALSE),IF($D9=5,VLOOKUP($B9&amp;"_"&amp;$C9,buff特效!$A$4:$Y$17,Q$3,FALSE),1111)))))</f>
        <v>2</v>
      </c>
      <c r="R9" s="33">
        <f>IF($D9=1,VLOOKUP($B9&amp;"_"&amp;$C9,起手特效!$A$4:$Y$17,R$3,FALSE),IF($D9=2,VLOOKUP($B9&amp;"_"&amp;$C9,主要特效!$A$4:$Y$17,R$3,FALSE),IF($D9=3,VLOOKUP($B9&amp;"_"&amp;$C9,辅助特效!$A$4:$Y$17,R$3,FALSE),IF($D9=4,VLOOKUP($B9&amp;"_"&amp;$C9,命中特效!$A$4:$Y$17,R$3,FALSE),IF($D9=5,VLOOKUP($B9&amp;"_"&amp;$C9,buff特效!$A$4:$Y$17,R$3,FALSE),1111)))))</f>
        <v>0</v>
      </c>
      <c r="S9" s="33" t="str">
        <f>IF($D9=1,VLOOKUP($B9&amp;"_"&amp;$C9,起手特效!$A$4:$Y$17,S$3,FALSE),IF($D9=2,VLOOKUP($B9&amp;"_"&amp;$C9,主要特效!$A$4:$Y$17,S$3,FALSE),IF($D9=3,VLOOKUP($B9&amp;"_"&amp;$C9,辅助特效!$A$4:$Y$17,S$3,FALSE),IF($D9=4,VLOOKUP($B9&amp;"_"&amp;$C9,命中特效!$A$4:$Y$17,S$3,FALSE),IF($D9=5,VLOOKUP($B9&amp;"_"&amp;$C9,buff特效!$A$4:$Y$17,S$3,FALSE),1111)))))</f>
        <v>[]</v>
      </c>
      <c r="T9" s="33" t="str">
        <f>IF($D9=1,VLOOKUP($B9&amp;"_"&amp;$C9,起手特效!$A$4:$Y$17,T$3,FALSE),IF($D9=2,VLOOKUP($B9&amp;"_"&amp;$C9,主要特效!$A$4:$Y$17,T$3,FALSE),IF($D9=3,VLOOKUP($B9&amp;"_"&amp;$C9,辅助特效!$A$4:$Y$17,T$3,FALSE),IF($D9=4,VLOOKUP($B9&amp;"_"&amp;$C9,命中特效!$A$4:$Y$17,T$3,FALSE),IF($D9=5,VLOOKUP($B9&amp;"_"&amp;$C9,buff特效!$A$4:$Y$17,T$3,FALSE),1111)))))</f>
        <v>[]</v>
      </c>
      <c r="U9" s="33" t="str">
        <f>IF($D9=1,VLOOKUP($B9&amp;"_"&amp;$C9,起手特效!$A$4:$Y$17,U$3,FALSE),IF($D9=2,VLOOKUP($B9&amp;"_"&amp;$C9,主要特效!$A$4:$Y$17,U$3,FALSE),IF($D9=3,VLOOKUP($B9&amp;"_"&amp;$C9,辅助特效!$A$4:$Y$17,U$3,FALSE),IF($D9=4,VLOOKUP($B9&amp;"_"&amp;$C9,命中特效!$A$4:$Y$17,U$3,FALSE),IF($D9=5,VLOOKUP($B9&amp;"_"&amp;$C9,buff特效!$A$4:$Y$17,U$3,FALSE),1111)))))</f>
        <v>[]</v>
      </c>
      <c r="V9" s="33">
        <f>IF($D9=1,VLOOKUP($B9&amp;"_"&amp;$C9,起手特效!$A$4:$Y$17,V$3,FALSE),IF($D9=2,VLOOKUP($B9&amp;"_"&amp;$C9,主要特效!$A$4:$Y$17,V$3,FALSE),IF($D9=3,VLOOKUP($B9&amp;"_"&amp;$C9,辅助特效!$A$4:$Y$17,V$3,FALSE),IF($D9=4,VLOOKUP($B9&amp;"_"&amp;$C9,命中特效!$A$4:$Y$17,V$3,FALSE),IF($D9=5,VLOOKUP($B9&amp;"_"&amp;$C9,buff特效!$A$4:$Y$17,V$3,FALSE),1111)))))</f>
        <v>0</v>
      </c>
      <c r="W9" s="33">
        <f>IF($D9=1,VLOOKUP($B9&amp;"_"&amp;$C9,起手特效!$A$4:$Y$17,W$3,FALSE),IF($D9=2,VLOOKUP($B9&amp;"_"&amp;$C9,主要特效!$A$4:$Y$17,W$3,FALSE),IF($D9=3,VLOOKUP($B9&amp;"_"&amp;$C9,辅助特效!$A$4:$Y$17,W$3,FALSE),IF($D9=4,VLOOKUP($B9&amp;"_"&amp;$C9,命中特效!$A$4:$Y$17,W$3,FALSE),IF($D9=5,VLOOKUP($B9&amp;"_"&amp;$C9,buff特效!$A$4:$Y$17,W$3,FALSE),1111)))))</f>
        <v>0</v>
      </c>
      <c r="X9" s="33">
        <f>IF($D9=1,VLOOKUP($B9&amp;"_"&amp;$C9,起手特效!$A$4:$Y$17,X$3,FALSE),IF($D9=2,VLOOKUP($B9&amp;"_"&amp;$C9,主要特效!$A$4:$Y$17,X$3,FALSE),IF($D9=3,VLOOKUP($B9&amp;"_"&amp;$C9,辅助特效!$A$4:$Y$17,X$3,FALSE),IF($D9=4,VLOOKUP($B9&amp;"_"&amp;$C9,命中特效!$A$4:$Y$17,X$3,FALSE),IF($D9=5,VLOOKUP($B9&amp;"_"&amp;$C9,buff特效!$A$4:$Y$17,X$3,FALSE),1111)))))</f>
        <v>0</v>
      </c>
      <c r="Y9" s="33">
        <f>IF($D9=1,VLOOKUP($B9&amp;"_"&amp;$C9,起手特效!$A$4:$Y$17,Y$3,FALSE),IF($D9=2,VLOOKUP($B9&amp;"_"&amp;$C9,主要特效!$A$4:$Y$17,Y$3,FALSE),IF($D9=3,VLOOKUP($B9&amp;"_"&amp;$C9,辅助特效!$A$4:$Y$17,Y$3,FALSE),IF($D9=4,VLOOKUP($B9&amp;"_"&amp;$C9,命中特效!$A$4:$Y$17,Y$3,FALSE),IF($D9=5,VLOOKUP($B9&amp;"_"&amp;$C9,buff特效!$A$4:$Y$17,Y$3,FALSE),1111)))))</f>
        <v>0</v>
      </c>
      <c r="Z9" s="33">
        <f>IF($D9=1,VLOOKUP($B9&amp;"_"&amp;$C9,起手特效!$A$4:$Y$17,Z$3,FALSE),IF($D9=2,VLOOKUP($B9&amp;"_"&amp;$C9,主要特效!$A$4:$Y$17,Z$3,FALSE),IF($D9=3,VLOOKUP($B9&amp;"_"&amp;$C9,辅助特效!$A$4:$Y$17,Z$3,FALSE),IF($D9=4,VLOOKUP($B9&amp;"_"&amp;$C9,命中特效!$A$4:$Y$17,Z$3,FALSE),IF($D9=5,VLOOKUP($B9&amp;"_"&amp;$C9,buff特效!$A$4:$Y$17,Z$3,FALSE),1111)))))</f>
        <v>0</v>
      </c>
      <c r="AA9" s="33">
        <f>IF($D9=1,VLOOKUP($B9&amp;"_"&amp;$C9,起手特效!$A$4:$Y$17,AA$3,FALSE),IF($D9=2,VLOOKUP($B9&amp;"_"&amp;$C9,主要特效!$A$4:$Y$17,AA$3,FALSE),IF($D9=3,VLOOKUP($B9&amp;"_"&amp;$C9,辅助特效!$A$4:$Y$17,AA$3,FALSE),IF($D9=4,VLOOKUP($B9&amp;"_"&amp;$C9,命中特效!$A$4:$Y$17,AA$3,FALSE),IF($D9=5,VLOOKUP($B9&amp;"_"&amp;$C9,buff特效!$A$4:$Y$17,AA$3,FALSE),1111)))))</f>
        <v>0</v>
      </c>
      <c r="AB9" s="33">
        <f>IF($D9=1,VLOOKUP($B9&amp;"_"&amp;$C9,起手特效!$A$4:$Y$17,AB$3,FALSE),IF($D9=2,VLOOKUP($B9&amp;"_"&amp;$C9,主要特效!$A$4:$Y$17,AB$3,FALSE),IF($D9=3,VLOOKUP($B9&amp;"_"&amp;$C9,辅助特效!$A$4:$Y$17,AB$3,FALSE),IF($D9=4,VLOOKUP($B9&amp;"_"&amp;$C9,命中特效!$A$4:$Y$17,AB$3,FALSE),IF($D9=5,VLOOKUP($B9&amp;"_"&amp;$C9,buff特效!$A$4:$Y$17,AB$3,FALSE),1111)))))</f>
        <v>0</v>
      </c>
    </row>
    <row r="10" spans="1:28" x14ac:dyDescent="0.15">
      <c r="B10" s="32" t="str">
        <f t="shared" ref="B10:B24" si="3">IF(AND(C10=0,D10=1),A10,B9)</f>
        <v>tuotatianwang</v>
      </c>
      <c r="C10" s="32">
        <f t="shared" ref="C10:C24" si="4">IF(A10="",IF(D10=1,C9+1,C9),0)</f>
        <v>0</v>
      </c>
      <c r="D10" s="32">
        <f t="shared" ref="D10:D33" si="5">D5</f>
        <v>2</v>
      </c>
      <c r="E10" s="33" t="str">
        <f>IF($D10=1,VLOOKUP($B10&amp;"_"&amp;$C10,起手特效!$A$4:$Y$17,E$3,FALSE),IF($D10=2,VLOOKUP($B10&amp;"_"&amp;$C10,主要特效!$A$4:$Y$17,E$3,FALSE),IF($D10=3,VLOOKUP($B10&amp;"_"&amp;$C10,辅助特效!$A$4:$Y$17,E$3,FALSE),IF($D10=4,VLOOKUP($B10&amp;"_"&amp;$C10,命中特效!$A$4:$Y$17,E$3,FALSE),IF($D10=5,VLOOKUP($B10&amp;"_"&amp;$C10,buff特效!$A$4:$Y$17,E$3,FALSE),1111)))))</f>
        <v>tuotatianwang_attack</v>
      </c>
      <c r="F10" s="33" t="str">
        <f>IF($D10=1,VLOOKUP($B10&amp;"_"&amp;$C10,起手特效!$A$4:$Y$17,F$3,FALSE),IF($D10=2,VLOOKUP($B10&amp;"_"&amp;$C10,主要特效!$A$4:$Y$17,F$3,FALSE),IF($D10=3,VLOOKUP($B10&amp;"_"&amp;$C10,辅助特效!$A$4:$Y$17,F$3,FALSE),IF($D10=4,VLOOKUP($B10&amp;"_"&amp;$C10,命中特效!$A$4:$Y$17,F$3,FALSE),IF($D10=5,VLOOKUP($B10&amp;"_"&amp;$C10,buff特效!$A$4:$Y$17,F$3,FALSE),1111)))))</f>
        <v>tuotatianwang-普攻</v>
      </c>
      <c r="G10" s="33" t="str">
        <f>IF($D10=1,VLOOKUP($B10&amp;"_"&amp;$C10,起手特效!$A$4:$Y$17,G$3,FALSE),IF($D10=2,VLOOKUP($B10&amp;"_"&amp;$C10,主要特效!$A$4:$Y$17,G$3,FALSE),IF($D10=3,VLOOKUP($B10&amp;"_"&amp;$C10,辅助特效!$A$4:$Y$17,G$3,FALSE),IF($D10=4,VLOOKUP($B10&amp;"_"&amp;$C10,命中特效!$A$4:$Y$17,G$3,FALSE),IF($D10=5,VLOOKUP($B10&amp;"_"&amp;$C10,buff特效!$A$4:$Y$17,G$3,FALSE),1111)))))</f>
        <v>attack_1</v>
      </c>
      <c r="H10" s="33">
        <f>IF($D10=1,VLOOKUP($B10&amp;"_"&amp;$C10,起手特效!$A$4:$Y$17,H$3,FALSE),IF($D10=2,VLOOKUP($B10&amp;"_"&amp;$C10,主要特效!$A$4:$Y$17,H$3,FALSE),IF($D10=3,VLOOKUP($B10&amp;"_"&amp;$C10,辅助特效!$A$4:$Y$17,H$3,FALSE),IF($D10=4,VLOOKUP($B10&amp;"_"&amp;$C10,命中特效!$A$4:$Y$17,H$3,FALSE),IF($D10=5,VLOOKUP($B10&amp;"_"&amp;$C10,buff特效!$A$4:$Y$17,H$3,FALSE),1111)))))</f>
        <v>0</v>
      </c>
      <c r="I10" s="33">
        <f>IF($D10=1,VLOOKUP($B10&amp;"_"&amp;$C10,起手特效!$A$4:$Y$17,I$3,FALSE),IF($D10=2,VLOOKUP($B10&amp;"_"&amp;$C10,主要特效!$A$4:$Y$17,I$3,FALSE),IF($D10=3,VLOOKUP($B10&amp;"_"&amp;$C10,辅助特效!$A$4:$Y$17,I$3,FALSE),IF($D10=4,VLOOKUP($B10&amp;"_"&amp;$C10,命中特效!$A$4:$Y$17,I$3,FALSE),IF($D10=5,VLOOKUP($B10&amp;"_"&amp;$C10,buff特效!$A$4:$Y$17,I$3,FALSE),1111)))))</f>
        <v>0</v>
      </c>
      <c r="J10" s="33">
        <f>IF($D10=1,VLOOKUP($B10&amp;"_"&amp;$C10,起手特效!$A$4:$Y$17,J$3,FALSE),IF($D10=2,VLOOKUP($B10&amp;"_"&amp;$C10,主要特效!$A$4:$Y$17,J$3,FALSE),IF($D10=3,VLOOKUP($B10&amp;"_"&amp;$C10,辅助特效!$A$4:$Y$17,J$3,FALSE),IF($D10=4,VLOOKUP($B10&amp;"_"&amp;$C10,命中特效!$A$4:$Y$17,J$3,FALSE),IF($D10=5,VLOOKUP($B10&amp;"_"&amp;$C10,buff特效!$A$4:$Y$17,J$3,FALSE),1111)))))</f>
        <v>2</v>
      </c>
      <c r="K10" s="33">
        <f>IF($D10=1,VLOOKUP($B10&amp;"_"&amp;$C10,起手特效!$A$4:$Y$17,K$3,FALSE),IF($D10=2,VLOOKUP($B10&amp;"_"&amp;$C10,主要特效!$A$4:$Y$17,K$3,FALSE),IF($D10=3,VLOOKUP($B10&amp;"_"&amp;$C10,辅助特效!$A$4:$Y$17,K$3,FALSE),IF($D10=4,VLOOKUP($B10&amp;"_"&amp;$C10,命中特效!$A$4:$Y$17,K$3,FALSE),IF($D10=5,VLOOKUP($B10&amp;"_"&amp;$C10,buff特效!$A$4:$Y$17,K$3,FALSE),1111)))))</f>
        <v>17</v>
      </c>
      <c r="L10" s="33">
        <f>IF($D10=1,VLOOKUP($B10&amp;"_"&amp;$C10,起手特效!$A$4:$Y$17,L$3,FALSE),IF($D10=2,VLOOKUP($B10&amp;"_"&amp;$C10,主要特效!$A$4:$Y$17,L$3,FALSE),IF($D10=3,VLOOKUP($B10&amp;"_"&amp;$C10,辅助特效!$A$4:$Y$17,L$3,FALSE),IF($D10=4,VLOOKUP($B10&amp;"_"&amp;$C10,命中特效!$A$4:$Y$17,L$3,FALSE),IF($D10=5,VLOOKUP($B10&amp;"_"&amp;$C10,buff特效!$A$4:$Y$17,L$3,FALSE),1111)))))</f>
        <v>1</v>
      </c>
      <c r="M10" s="33" t="str">
        <f>IF($D10=1,VLOOKUP($B10&amp;"_"&amp;$C10,起手特效!$A$4:$Y$17,M$3,FALSE),IF($D10=2,VLOOKUP($B10&amp;"_"&amp;$C10,主要特效!$A$4:$Y$17,M$3,FALSE),IF($D10=3,VLOOKUP($B10&amp;"_"&amp;$C10,辅助特效!$A$4:$Y$17,M$3,FALSE),IF($D10=4,VLOOKUP($B10&amp;"_"&amp;$C10,命中特效!$A$4:$Y$17,M$3,FALSE),IF($D10=5,VLOOKUP($B10&amp;"_"&amp;$C10,buff特效!$A$4:$Y$17,M$3,FALSE),1111)))))</f>
        <v>[]</v>
      </c>
      <c r="N10" s="33" t="str">
        <f>IF($D10=1,VLOOKUP($B10&amp;"_"&amp;$C10,起手特效!$A$4:$Y$17,N$3,FALSE),IF($D10=2,VLOOKUP($B10&amp;"_"&amp;$C10,主要特效!$A$4:$Y$17,N$3,FALSE),IF($D10=3,VLOOKUP($B10&amp;"_"&amp;$C10,辅助特效!$A$4:$Y$17,N$3,FALSE),IF($D10=4,VLOOKUP($B10&amp;"_"&amp;$C10,命中特效!$A$4:$Y$17,N$3,FALSE),IF($D10=5,VLOOKUP($B10&amp;"_"&amp;$C10,buff特效!$A$4:$Y$17,N$3,FALSE),1111)))))</f>
        <v>tuotatianwang_attack</v>
      </c>
      <c r="O10" s="33">
        <f>IF($D10=1,VLOOKUP($B10&amp;"_"&amp;$C10,起手特效!$A$4:$Y$17,O$3,FALSE),IF($D10=2,VLOOKUP($B10&amp;"_"&amp;$C10,主要特效!$A$4:$Y$17,O$3,FALSE),IF($D10=3,VLOOKUP($B10&amp;"_"&amp;$C10,辅助特效!$A$4:$Y$17,O$3,FALSE),IF($D10=4,VLOOKUP($B10&amp;"_"&amp;$C10,命中特效!$A$4:$Y$17,O$3,FALSE),IF($D10=5,VLOOKUP($B10&amp;"_"&amp;$C10,buff特效!$A$4:$Y$17,O$3,FALSE),1111)))))</f>
        <v>5</v>
      </c>
      <c r="P10" s="33" t="str">
        <f>IF($D10=1,VLOOKUP($B10&amp;"_"&amp;$C10,起手特效!$A$4:$Y$17,P$3,FALSE),IF($D10=2,VLOOKUP($B10&amp;"_"&amp;$C10,主要特效!$A$4:$Y$17,P$3,FALSE),IF($D10=3,VLOOKUP($B10&amp;"_"&amp;$C10,辅助特效!$A$4:$Y$17,P$3,FALSE),IF($D10=4,VLOOKUP($B10&amp;"_"&amp;$C10,命中特效!$A$4:$Y$17,P$3,FALSE),IF($D10=5,VLOOKUP($B10&amp;"_"&amp;$C10,buff特效!$A$4:$Y$17,P$3,FALSE),1111)))))</f>
        <v>手填</v>
      </c>
      <c r="Q10" s="33">
        <f>IF($D10=1,VLOOKUP($B10&amp;"_"&amp;$C10,起手特效!$A$4:$Y$17,Q$3,FALSE),IF($D10=2,VLOOKUP($B10&amp;"_"&amp;$C10,主要特效!$A$4:$Y$17,Q$3,FALSE),IF($D10=3,VLOOKUP($B10&amp;"_"&amp;$C10,辅助特效!$A$4:$Y$17,Q$3,FALSE),IF($D10=4,VLOOKUP($B10&amp;"_"&amp;$C10,命中特效!$A$4:$Y$17,Q$3,FALSE),IF($D10=5,VLOOKUP($B10&amp;"_"&amp;$C10,buff特效!$A$4:$Y$17,Q$3,FALSE),1111)))))</f>
        <v>1</v>
      </c>
      <c r="R10" s="33">
        <f>IF($D10=1,VLOOKUP($B10&amp;"_"&amp;$C10,起手特效!$A$4:$Y$17,R$3,FALSE),IF($D10=2,VLOOKUP($B10&amp;"_"&amp;$C10,主要特效!$A$4:$Y$17,R$3,FALSE),IF($D10=3,VLOOKUP($B10&amp;"_"&amp;$C10,辅助特效!$A$4:$Y$17,R$3,FALSE),IF($D10=4,VLOOKUP($B10&amp;"_"&amp;$C10,命中特效!$A$4:$Y$17,R$3,FALSE),IF($D10=5,VLOOKUP($B10&amp;"_"&amp;$C10,buff特效!$A$4:$Y$17,R$3,FALSE),1111)))))</f>
        <v>0</v>
      </c>
      <c r="S10" s="33" t="str">
        <f>IF($D10=1,VLOOKUP($B10&amp;"_"&amp;$C10,起手特效!$A$4:$Y$17,S$3,FALSE),IF($D10=2,VLOOKUP($B10&amp;"_"&amp;$C10,主要特效!$A$4:$Y$17,S$3,FALSE),IF($D10=3,VLOOKUP($B10&amp;"_"&amp;$C10,辅助特效!$A$4:$Y$17,S$3,FALSE),IF($D10=4,VLOOKUP($B10&amp;"_"&amp;$C10,命中特效!$A$4:$Y$17,S$3,FALSE),IF($D10=5,VLOOKUP($B10&amp;"_"&amp;$C10,buff特效!$A$4:$Y$17,S$3,FALSE),1111)))))</f>
        <v>[]</v>
      </c>
      <c r="T10" s="33" t="str">
        <f>IF($D10=1,VLOOKUP($B10&amp;"_"&amp;$C10,起手特效!$A$4:$Y$17,T$3,FALSE),IF($D10=2,VLOOKUP($B10&amp;"_"&amp;$C10,主要特效!$A$4:$Y$17,T$3,FALSE),IF($D10=3,VLOOKUP($B10&amp;"_"&amp;$C10,辅助特效!$A$4:$Y$17,T$3,FALSE),IF($D10=4,VLOOKUP($B10&amp;"_"&amp;$C10,命中特效!$A$4:$Y$17,T$3,FALSE),IF($D10=5,VLOOKUP($B10&amp;"_"&amp;$C10,buff特效!$A$4:$Y$17,T$3,FALSE),1111)))))</f>
        <v>[]</v>
      </c>
      <c r="U10" s="33" t="str">
        <f>IF($D10=1,VLOOKUP($B10&amp;"_"&amp;$C10,起手特效!$A$4:$Y$17,U$3,FALSE),IF($D10=2,VLOOKUP($B10&amp;"_"&amp;$C10,主要特效!$A$4:$Y$17,U$3,FALSE),IF($D10=3,VLOOKUP($B10&amp;"_"&amp;$C10,辅助特效!$A$4:$Y$17,U$3,FALSE),IF($D10=4,VLOOKUP($B10&amp;"_"&amp;$C10,命中特效!$A$4:$Y$17,U$3,FALSE),IF($D10=5,VLOOKUP($B10&amp;"_"&amp;$C10,buff特效!$A$4:$Y$17,U$3,FALSE),1111)))))</f>
        <v>[]</v>
      </c>
      <c r="V10" s="33">
        <f>IF($D10=1,VLOOKUP($B10&amp;"_"&amp;$C10,起手特效!$A$4:$Y$17,V$3,FALSE),IF($D10=2,VLOOKUP($B10&amp;"_"&amp;$C10,主要特效!$A$4:$Y$17,V$3,FALSE),IF($D10=3,VLOOKUP($B10&amp;"_"&amp;$C10,辅助特效!$A$4:$Y$17,V$3,FALSE),IF($D10=4,VLOOKUP($B10&amp;"_"&amp;$C10,命中特效!$A$4:$Y$17,V$3,FALSE),IF($D10=5,VLOOKUP($B10&amp;"_"&amp;$C10,buff特效!$A$4:$Y$17,V$3,FALSE),1111)))))</f>
        <v>0</v>
      </c>
      <c r="W10" s="33">
        <f>IF($D10=1,VLOOKUP($B10&amp;"_"&amp;$C10,起手特效!$A$4:$Y$17,W$3,FALSE),IF($D10=2,VLOOKUP($B10&amp;"_"&amp;$C10,主要特效!$A$4:$Y$17,W$3,FALSE),IF($D10=3,VLOOKUP($B10&amp;"_"&amp;$C10,辅助特效!$A$4:$Y$17,W$3,FALSE),IF($D10=4,VLOOKUP($B10&amp;"_"&amp;$C10,命中特效!$A$4:$Y$17,W$3,FALSE),IF($D10=5,VLOOKUP($B10&amp;"_"&amp;$C10,buff特效!$A$4:$Y$17,W$3,FALSE),1111)))))</f>
        <v>0</v>
      </c>
      <c r="X10" s="33">
        <f>IF($D10=1,VLOOKUP($B10&amp;"_"&amp;$C10,起手特效!$A$4:$Y$17,X$3,FALSE),IF($D10=2,VLOOKUP($B10&amp;"_"&amp;$C10,主要特效!$A$4:$Y$17,X$3,FALSE),IF($D10=3,VLOOKUP($B10&amp;"_"&amp;$C10,辅助特效!$A$4:$Y$17,X$3,FALSE),IF($D10=4,VLOOKUP($B10&amp;"_"&amp;$C10,命中特效!$A$4:$Y$17,X$3,FALSE),IF($D10=5,VLOOKUP($B10&amp;"_"&amp;$C10,buff特效!$A$4:$Y$17,X$3,FALSE),1111)))))</f>
        <v>0</v>
      </c>
      <c r="Y10" s="33">
        <f>IF($D10=1,VLOOKUP($B10&amp;"_"&amp;$C10,起手特效!$A$4:$Y$17,Y$3,FALSE),IF($D10=2,VLOOKUP($B10&amp;"_"&amp;$C10,主要特效!$A$4:$Y$17,Y$3,FALSE),IF($D10=3,VLOOKUP($B10&amp;"_"&amp;$C10,辅助特效!$A$4:$Y$17,Y$3,FALSE),IF($D10=4,VLOOKUP($B10&amp;"_"&amp;$C10,命中特效!$A$4:$Y$17,Y$3,FALSE),IF($D10=5,VLOOKUP($B10&amp;"_"&amp;$C10,buff特效!$A$4:$Y$17,Y$3,FALSE),1111)))))</f>
        <v>0</v>
      </c>
      <c r="Z10" s="33">
        <f>IF($D10=1,VLOOKUP($B10&amp;"_"&amp;$C10,起手特效!$A$4:$Y$17,Z$3,FALSE),IF($D10=2,VLOOKUP($B10&amp;"_"&amp;$C10,主要特效!$A$4:$Y$17,Z$3,FALSE),IF($D10=3,VLOOKUP($B10&amp;"_"&amp;$C10,辅助特效!$A$4:$Y$17,Z$3,FALSE),IF($D10=4,VLOOKUP($B10&amp;"_"&amp;$C10,命中特效!$A$4:$Y$17,Z$3,FALSE),IF($D10=5,VLOOKUP($B10&amp;"_"&amp;$C10,buff特效!$A$4:$Y$17,Z$3,FALSE),1111)))))</f>
        <v>0</v>
      </c>
      <c r="AA10" s="33">
        <f>IF($D10=1,VLOOKUP($B10&amp;"_"&amp;$C10,起手特效!$A$4:$Y$17,AA$3,FALSE),IF($D10=2,VLOOKUP($B10&amp;"_"&amp;$C10,主要特效!$A$4:$Y$17,AA$3,FALSE),IF($D10=3,VLOOKUP($B10&amp;"_"&amp;$C10,辅助特效!$A$4:$Y$17,AA$3,FALSE),IF($D10=4,VLOOKUP($B10&amp;"_"&amp;$C10,命中特效!$A$4:$Y$17,AA$3,FALSE),IF($D10=5,VLOOKUP($B10&amp;"_"&amp;$C10,buff特效!$A$4:$Y$17,AA$3,FALSE),1111)))))</f>
        <v>0</v>
      </c>
      <c r="AB10" s="33">
        <f>IF($D10=1,VLOOKUP($B10&amp;"_"&amp;$C10,起手特效!$A$4:$Y$17,AB$3,FALSE),IF($D10=2,VLOOKUP($B10&amp;"_"&amp;$C10,主要特效!$A$4:$Y$17,AB$3,FALSE),IF($D10=3,VLOOKUP($B10&amp;"_"&amp;$C10,辅助特效!$A$4:$Y$17,AB$3,FALSE),IF($D10=4,VLOOKUP($B10&amp;"_"&amp;$C10,命中特效!$A$4:$Y$17,AB$3,FALSE),IF($D10=5,VLOOKUP($B10&amp;"_"&amp;$C10,buff特效!$A$4:$Y$17,AB$3,FALSE),1111)))))</f>
        <v>0</v>
      </c>
    </row>
    <row r="11" spans="1:28" s="32" customFormat="1" x14ac:dyDescent="0.15">
      <c r="A11" s="20"/>
      <c r="B11" s="32" t="str">
        <f t="shared" si="3"/>
        <v>tuotatianwang</v>
      </c>
      <c r="C11" s="32">
        <f t="shared" si="4"/>
        <v>0</v>
      </c>
      <c r="D11" s="32">
        <f t="shared" si="5"/>
        <v>3</v>
      </c>
      <c r="E11" s="33" t="str">
        <f>IF($D11=1,VLOOKUP($B11&amp;"_"&amp;$C11,起手特效!$A$4:$Y$17,E$3,FALSE),IF($D11=2,VLOOKUP($B11&amp;"_"&amp;$C11,主要特效!$A$4:$Y$17,E$3,FALSE),IF($D11=3,VLOOKUP($B11&amp;"_"&amp;$C11,辅助特效!$A$4:$Y$17,E$3,FALSE),IF($D11=4,VLOOKUP($B11&amp;"_"&amp;$C11,命中特效!$A$4:$Y$17,E$3,FALSE),IF($D11=5,VLOOKUP($B11&amp;"_"&amp;$C11,buff特效!$A$4:$Y$17,E$3,FALSE),1111)))))</f>
        <v>[]</v>
      </c>
      <c r="F11" s="33" t="str">
        <f>IF($D11=1,VLOOKUP($B11&amp;"_"&amp;$C11,起手特效!$A$4:$Y$17,F$3,FALSE),IF($D11=2,VLOOKUP($B11&amp;"_"&amp;$C11,主要特效!$A$4:$Y$17,F$3,FALSE),IF($D11=3,VLOOKUP($B11&amp;"_"&amp;$C11,辅助特效!$A$4:$Y$17,F$3,FALSE),IF($D11=4,VLOOKUP($B11&amp;"_"&amp;$C11,命中特效!$A$4:$Y$17,F$3,FALSE),IF($D11=5,VLOOKUP($B11&amp;"_"&amp;$C11,buff特效!$A$4:$Y$17,F$3,FALSE),1111)))))</f>
        <v>[]</v>
      </c>
      <c r="G11" s="33" t="str">
        <f>IF($D11=1,VLOOKUP($B11&amp;"_"&amp;$C11,起手特效!$A$4:$Y$17,G$3,FALSE),IF($D11=2,VLOOKUP($B11&amp;"_"&amp;$C11,主要特效!$A$4:$Y$17,G$3,FALSE),IF($D11=3,VLOOKUP($B11&amp;"_"&amp;$C11,辅助特效!$A$4:$Y$17,G$3,FALSE),IF($D11=4,VLOOKUP($B11&amp;"_"&amp;$C11,命中特效!$A$4:$Y$17,G$3,FALSE),IF($D11=5,VLOOKUP($B11&amp;"_"&amp;$C11,buff特效!$A$4:$Y$17,G$3,FALSE),1111)))))</f>
        <v>attack_1</v>
      </c>
      <c r="H11" s="33">
        <f>IF($D11=1,VLOOKUP($B11&amp;"_"&amp;$C11,起手特效!$A$4:$Y$17,H$3,FALSE),IF($D11=2,VLOOKUP($B11&amp;"_"&amp;$C11,主要特效!$A$4:$Y$17,H$3,FALSE),IF($D11=3,VLOOKUP($B11&amp;"_"&amp;$C11,辅助特效!$A$4:$Y$17,H$3,FALSE),IF($D11=4,VLOOKUP($B11&amp;"_"&amp;$C11,命中特效!$A$4:$Y$17,H$3,FALSE),IF($D11=5,VLOOKUP($B11&amp;"_"&amp;$C11,buff特效!$A$4:$Y$17,H$3,FALSE),1111)))))</f>
        <v>0</v>
      </c>
      <c r="I11" s="33">
        <f>IF($D11=1,VLOOKUP($B11&amp;"_"&amp;$C11,起手特效!$A$4:$Y$17,I$3,FALSE),IF($D11=2,VLOOKUP($B11&amp;"_"&amp;$C11,主要特效!$A$4:$Y$17,I$3,FALSE),IF($D11=3,VLOOKUP($B11&amp;"_"&amp;$C11,辅助特效!$A$4:$Y$17,I$3,FALSE),IF($D11=4,VLOOKUP($B11&amp;"_"&amp;$C11,命中特效!$A$4:$Y$17,I$3,FALSE),IF($D11=5,VLOOKUP($B11&amp;"_"&amp;$C11,buff特效!$A$4:$Y$17,I$3,FALSE),1111)))))</f>
        <v>0</v>
      </c>
      <c r="J11" s="33">
        <f>IF($D11=1,VLOOKUP($B11&amp;"_"&amp;$C11,起手特效!$A$4:$Y$17,J$3,FALSE),IF($D11=2,VLOOKUP($B11&amp;"_"&amp;$C11,主要特效!$A$4:$Y$17,J$3,FALSE),IF($D11=3,VLOOKUP($B11&amp;"_"&amp;$C11,辅助特效!$A$4:$Y$17,J$3,FALSE),IF($D11=4,VLOOKUP($B11&amp;"_"&amp;$C11,命中特效!$A$4:$Y$17,J$3,FALSE),IF($D11=5,VLOOKUP($B11&amp;"_"&amp;$C11,buff特效!$A$4:$Y$17,J$3,FALSE),1111)))))</f>
        <v>2</v>
      </c>
      <c r="K11" s="33">
        <f>IF($D11=1,VLOOKUP($B11&amp;"_"&amp;$C11,起手特效!$A$4:$Y$17,K$3,FALSE),IF($D11=2,VLOOKUP($B11&amp;"_"&amp;$C11,主要特效!$A$4:$Y$17,K$3,FALSE),IF($D11=3,VLOOKUP($B11&amp;"_"&amp;$C11,辅助特效!$A$4:$Y$17,K$3,FALSE),IF($D11=4,VLOOKUP($B11&amp;"_"&amp;$C11,命中特效!$A$4:$Y$17,K$3,FALSE),IF($D11=5,VLOOKUP($B11&amp;"_"&amp;$C11,buff特效!$A$4:$Y$17,K$3,FALSE),1111)))))</f>
        <v>17</v>
      </c>
      <c r="L11" s="33">
        <f>IF($D11=1,VLOOKUP($B11&amp;"_"&amp;$C11,起手特效!$A$4:$Y$17,L$3,FALSE),IF($D11=2,VLOOKUP($B11&amp;"_"&amp;$C11,主要特效!$A$4:$Y$17,L$3,FALSE),IF($D11=3,VLOOKUP($B11&amp;"_"&amp;$C11,辅助特效!$A$4:$Y$17,L$3,FALSE),IF($D11=4,VLOOKUP($B11&amp;"_"&amp;$C11,命中特效!$A$4:$Y$17,L$3,FALSE),IF($D11=5,VLOOKUP($B11&amp;"_"&amp;$C11,buff特效!$A$4:$Y$17,L$3,FALSE),1111)))))</f>
        <v>1</v>
      </c>
      <c r="M11" s="33" t="str">
        <f>IF($D11=1,VLOOKUP($B11&amp;"_"&amp;$C11,起手特效!$A$4:$Y$17,M$3,FALSE),IF($D11=2,VLOOKUP($B11&amp;"_"&amp;$C11,主要特效!$A$4:$Y$17,M$3,FALSE),IF($D11=3,VLOOKUP($B11&amp;"_"&amp;$C11,辅助特效!$A$4:$Y$17,M$3,FALSE),IF($D11=4,VLOOKUP($B11&amp;"_"&amp;$C11,命中特效!$A$4:$Y$17,M$3,FALSE),IF($D11=5,VLOOKUP($B11&amp;"_"&amp;$C11,buff特效!$A$4:$Y$17,M$3,FALSE),1111)))))</f>
        <v>[]</v>
      </c>
      <c r="N11" s="33" t="str">
        <f>IF($D11=1,VLOOKUP($B11&amp;"_"&amp;$C11,起手特效!$A$4:$Y$17,N$3,FALSE),IF($D11=2,VLOOKUP($B11&amp;"_"&amp;$C11,主要特效!$A$4:$Y$17,N$3,FALSE),IF($D11=3,VLOOKUP($B11&amp;"_"&amp;$C11,辅助特效!$A$4:$Y$17,N$3,FALSE),IF($D11=4,VLOOKUP($B11&amp;"_"&amp;$C11,命中特效!$A$4:$Y$17,N$3,FALSE),IF($D11=5,VLOOKUP($B11&amp;"_"&amp;$C11,buff特效!$A$4:$Y$17,N$3,FALSE),1111)))))</f>
        <v>[]</v>
      </c>
      <c r="O11" s="33">
        <f>IF($D11=1,VLOOKUP($B11&amp;"_"&amp;$C11,起手特效!$A$4:$Y$17,O$3,FALSE),IF($D11=2,VLOOKUP($B11&amp;"_"&amp;$C11,主要特效!$A$4:$Y$17,O$3,FALSE),IF($D11=3,VLOOKUP($B11&amp;"_"&amp;$C11,辅助特效!$A$4:$Y$17,O$3,FALSE),IF($D11=4,VLOOKUP($B11&amp;"_"&amp;$C11,命中特效!$A$4:$Y$17,O$3,FALSE),IF($D11=5,VLOOKUP($B11&amp;"_"&amp;$C11,buff特效!$A$4:$Y$17,O$3,FALSE),1111)))))</f>
        <v>5</v>
      </c>
      <c r="P11" s="33" t="str">
        <f>IF($D11=1,VLOOKUP($B11&amp;"_"&amp;$C11,起手特效!$A$4:$Y$17,P$3,FALSE),IF($D11=2,VLOOKUP($B11&amp;"_"&amp;$C11,主要特效!$A$4:$Y$17,P$3,FALSE),IF($D11=3,VLOOKUP($B11&amp;"_"&amp;$C11,辅助特效!$A$4:$Y$17,P$3,FALSE),IF($D11=4,VLOOKUP($B11&amp;"_"&amp;$C11,命中特效!$A$4:$Y$17,P$3,FALSE),IF($D11=5,VLOOKUP($B11&amp;"_"&amp;$C11,buff特效!$A$4:$Y$17,P$3,FALSE),1111)))))</f>
        <v>手填</v>
      </c>
      <c r="Q11" s="33">
        <f>IF($D11=1,VLOOKUP($B11&amp;"_"&amp;$C11,起手特效!$A$4:$Y$17,Q$3,FALSE),IF($D11=2,VLOOKUP($B11&amp;"_"&amp;$C11,主要特效!$A$4:$Y$17,Q$3,FALSE),IF($D11=3,VLOOKUP($B11&amp;"_"&amp;$C11,辅助特效!$A$4:$Y$17,Q$3,FALSE),IF($D11=4,VLOOKUP($B11&amp;"_"&amp;$C11,命中特效!$A$4:$Y$17,Q$3,FALSE),IF($D11=5,VLOOKUP($B11&amp;"_"&amp;$C11,buff特效!$A$4:$Y$17,Q$3,FALSE),1111)))))</f>
        <v>1</v>
      </c>
      <c r="R11" s="33" t="str">
        <f>IF($D11=1,VLOOKUP($B11&amp;"_"&amp;$C11,起手特效!$A$4:$Y$17,R$3,FALSE),IF($D11=2,VLOOKUP($B11&amp;"_"&amp;$C11,主要特效!$A$4:$Y$17,R$3,FALSE),IF($D11=3,VLOOKUP($B11&amp;"_"&amp;$C11,辅助特效!$A$4:$Y$17,R$3,FALSE),IF($D11=4,VLOOKUP($B11&amp;"_"&amp;$C11,命中特效!$A$4:$Y$17,R$3,FALSE),IF($D11=5,VLOOKUP($B11&amp;"_"&amp;$C11,buff特效!$A$4:$Y$17,R$3,FALSE),1111)))))</f>
        <v>手填</v>
      </c>
      <c r="S11" s="33" t="str">
        <f>IF($D11=1,VLOOKUP($B11&amp;"_"&amp;$C11,起手特效!$A$4:$Y$17,S$3,FALSE),IF($D11=2,VLOOKUP($B11&amp;"_"&amp;$C11,主要特效!$A$4:$Y$17,S$3,FALSE),IF($D11=3,VLOOKUP($B11&amp;"_"&amp;$C11,辅助特效!$A$4:$Y$17,S$3,FALSE),IF($D11=4,VLOOKUP($B11&amp;"_"&amp;$C11,命中特效!$A$4:$Y$17,S$3,FALSE),IF($D11=5,VLOOKUP($B11&amp;"_"&amp;$C11,buff特效!$A$4:$Y$17,S$3,FALSE),1111)))))</f>
        <v>手填</v>
      </c>
      <c r="T11" s="33" t="str">
        <f>IF($D11=1,VLOOKUP($B11&amp;"_"&amp;$C11,起手特效!$A$4:$Y$17,T$3,FALSE),IF($D11=2,VLOOKUP($B11&amp;"_"&amp;$C11,主要特效!$A$4:$Y$17,T$3,FALSE),IF($D11=3,VLOOKUP($B11&amp;"_"&amp;$C11,辅助特效!$A$4:$Y$17,T$3,FALSE),IF($D11=4,VLOOKUP($B11&amp;"_"&amp;$C11,命中特效!$A$4:$Y$17,T$3,FALSE),IF($D11=5,VLOOKUP($B11&amp;"_"&amp;$C11,buff特效!$A$4:$Y$17,T$3,FALSE),1111)))))</f>
        <v>[]</v>
      </c>
      <c r="U11" s="33" t="str">
        <f>IF($D11=1,VLOOKUP($B11&amp;"_"&amp;$C11,起手特效!$A$4:$Y$17,U$3,FALSE),IF($D11=2,VLOOKUP($B11&amp;"_"&amp;$C11,主要特效!$A$4:$Y$17,U$3,FALSE),IF($D11=3,VLOOKUP($B11&amp;"_"&amp;$C11,辅助特效!$A$4:$Y$17,U$3,FALSE),IF($D11=4,VLOOKUP($B11&amp;"_"&amp;$C11,命中特效!$A$4:$Y$17,U$3,FALSE),IF($D11=5,VLOOKUP($B11&amp;"_"&amp;$C11,buff特效!$A$4:$Y$17,U$3,FALSE),1111)))))</f>
        <v>[]</v>
      </c>
      <c r="V11" s="33">
        <f>IF($D11=1,VLOOKUP($B11&amp;"_"&amp;$C11,起手特效!$A$4:$Y$17,V$3,FALSE),IF($D11=2,VLOOKUP($B11&amp;"_"&amp;$C11,主要特效!$A$4:$Y$17,V$3,FALSE),IF($D11=3,VLOOKUP($B11&amp;"_"&amp;$C11,辅助特效!$A$4:$Y$17,V$3,FALSE),IF($D11=4,VLOOKUP($B11&amp;"_"&amp;$C11,命中特效!$A$4:$Y$17,V$3,FALSE),IF($D11=5,VLOOKUP($B11&amp;"_"&amp;$C11,buff特效!$A$4:$Y$17,V$3,FALSE),1111)))))</f>
        <v>0</v>
      </c>
      <c r="W11" s="33">
        <f>IF($D11=1,VLOOKUP($B11&amp;"_"&amp;$C11,起手特效!$A$4:$Y$17,W$3,FALSE),IF($D11=2,VLOOKUP($B11&amp;"_"&amp;$C11,主要特效!$A$4:$Y$17,W$3,FALSE),IF($D11=3,VLOOKUP($B11&amp;"_"&amp;$C11,辅助特效!$A$4:$Y$17,W$3,FALSE),IF($D11=4,VLOOKUP($B11&amp;"_"&amp;$C11,命中特效!$A$4:$Y$17,W$3,FALSE),IF($D11=5,VLOOKUP($B11&amp;"_"&amp;$C11,buff特效!$A$4:$Y$17,W$3,FALSE),1111)))))</f>
        <v>0</v>
      </c>
      <c r="X11" s="33">
        <f>IF($D11=1,VLOOKUP($B11&amp;"_"&amp;$C11,起手特效!$A$4:$Y$17,X$3,FALSE),IF($D11=2,VLOOKUP($B11&amp;"_"&amp;$C11,主要特效!$A$4:$Y$17,X$3,FALSE),IF($D11=3,VLOOKUP($B11&amp;"_"&amp;$C11,辅助特效!$A$4:$Y$17,X$3,FALSE),IF($D11=4,VLOOKUP($B11&amp;"_"&amp;$C11,命中特效!$A$4:$Y$17,X$3,FALSE),IF($D11=5,VLOOKUP($B11&amp;"_"&amp;$C11,buff特效!$A$4:$Y$17,X$3,FALSE),1111)))))</f>
        <v>0</v>
      </c>
      <c r="Y11" s="33">
        <f>IF($D11=1,VLOOKUP($B11&amp;"_"&amp;$C11,起手特效!$A$4:$Y$17,Y$3,FALSE),IF($D11=2,VLOOKUP($B11&amp;"_"&amp;$C11,主要特效!$A$4:$Y$17,Y$3,FALSE),IF($D11=3,VLOOKUP($B11&amp;"_"&amp;$C11,辅助特效!$A$4:$Y$17,Y$3,FALSE),IF($D11=4,VLOOKUP($B11&amp;"_"&amp;$C11,命中特效!$A$4:$Y$17,Y$3,FALSE),IF($D11=5,VLOOKUP($B11&amp;"_"&amp;$C11,buff特效!$A$4:$Y$17,Y$3,FALSE),1111)))))</f>
        <v>0</v>
      </c>
      <c r="Z11" s="33">
        <f>IF($D11=1,VLOOKUP($B11&amp;"_"&amp;$C11,起手特效!$A$4:$Y$17,Z$3,FALSE),IF($D11=2,VLOOKUP($B11&amp;"_"&amp;$C11,主要特效!$A$4:$Y$17,Z$3,FALSE),IF($D11=3,VLOOKUP($B11&amp;"_"&amp;$C11,辅助特效!$A$4:$Y$17,Z$3,FALSE),IF($D11=4,VLOOKUP($B11&amp;"_"&amp;$C11,命中特效!$A$4:$Y$17,Z$3,FALSE),IF($D11=5,VLOOKUP($B11&amp;"_"&amp;$C11,buff特效!$A$4:$Y$17,Z$3,FALSE),1111)))))</f>
        <v>0</v>
      </c>
      <c r="AA11" s="33">
        <f>IF($D11=1,VLOOKUP($B11&amp;"_"&amp;$C11,起手特效!$A$4:$Y$17,AA$3,FALSE),IF($D11=2,VLOOKUP($B11&amp;"_"&amp;$C11,主要特效!$A$4:$Y$17,AA$3,FALSE),IF($D11=3,VLOOKUP($B11&amp;"_"&amp;$C11,辅助特效!$A$4:$Y$17,AA$3,FALSE),IF($D11=4,VLOOKUP($B11&amp;"_"&amp;$C11,命中特效!$A$4:$Y$17,AA$3,FALSE),IF($D11=5,VLOOKUP($B11&amp;"_"&amp;$C11,buff特效!$A$4:$Y$17,AA$3,FALSE),1111)))))</f>
        <v>0</v>
      </c>
      <c r="AB11" s="33">
        <f>IF($D11=1,VLOOKUP($B11&amp;"_"&amp;$C11,起手特效!$A$4:$Y$17,AB$3,FALSE),IF($D11=2,VLOOKUP($B11&amp;"_"&amp;$C11,主要特效!$A$4:$Y$17,AB$3,FALSE),IF($D11=3,VLOOKUP($B11&amp;"_"&amp;$C11,辅助特效!$A$4:$Y$17,AB$3,FALSE),IF($D11=4,VLOOKUP($B11&amp;"_"&amp;$C11,命中特效!$A$4:$Y$17,AB$3,FALSE),IF($D11=5,VLOOKUP($B11&amp;"_"&amp;$C11,buff特效!$A$4:$Y$17,AB$3,FALSE),1111)))))</f>
        <v>0</v>
      </c>
    </row>
    <row r="12" spans="1:28" x14ac:dyDescent="0.15">
      <c r="B12" s="32" t="str">
        <f t="shared" si="3"/>
        <v>tuotatianwang</v>
      </c>
      <c r="C12" s="32">
        <f t="shared" si="4"/>
        <v>0</v>
      </c>
      <c r="D12" s="32">
        <f t="shared" si="5"/>
        <v>4</v>
      </c>
      <c r="E12" s="33" t="str">
        <f>IF($D12=1,VLOOKUP($B12&amp;"_"&amp;$C12,起手特效!$A$4:$Y$17,E$3,FALSE),IF($D12=2,VLOOKUP($B12&amp;"_"&amp;$C12,主要特效!$A$4:$Y$17,E$3,FALSE),IF($D12=3,VLOOKUP($B12&amp;"_"&amp;$C12,辅助特效!$A$4:$Y$17,E$3,FALSE),IF($D12=4,VLOOKUP($B12&amp;"_"&amp;$C12,命中特效!$A$4:$Y$17,E$3,FALSE),IF($D12=5,VLOOKUP($B12&amp;"_"&amp;$C12,buff特效!$A$4:$Y$17,E$3,FALSE),1111)))))</f>
        <v>[]</v>
      </c>
      <c r="F12" s="33" t="str">
        <f>IF($D12=1,VLOOKUP($B12&amp;"_"&amp;$C12,起手特效!$A$4:$Y$17,F$3,FALSE),IF($D12=2,VLOOKUP($B12&amp;"_"&amp;$C12,主要特效!$A$4:$Y$17,F$3,FALSE),IF($D12=3,VLOOKUP($B12&amp;"_"&amp;$C12,辅助特效!$A$4:$Y$17,F$3,FALSE),IF($D12=4,VLOOKUP($B12&amp;"_"&amp;$C12,命中特效!$A$4:$Y$17,F$3,FALSE),IF($D12=5,VLOOKUP($B12&amp;"_"&amp;$C12,buff特效!$A$4:$Y$17,F$3,FALSE),1111)))))</f>
        <v>[]</v>
      </c>
      <c r="G12" s="33" t="str">
        <f>IF($D12=1,VLOOKUP($B12&amp;"_"&amp;$C12,起手特效!$A$4:$Y$17,G$3,FALSE),IF($D12=2,VLOOKUP($B12&amp;"_"&amp;$C12,主要特效!$A$4:$Y$17,G$3,FALSE),IF($D12=3,VLOOKUP($B12&amp;"_"&amp;$C12,辅助特效!$A$4:$Y$17,G$3,FALSE),IF($D12=4,VLOOKUP($B12&amp;"_"&amp;$C12,命中特效!$A$4:$Y$17,G$3,FALSE),IF($D12=5,VLOOKUP($B12&amp;"_"&amp;$C12,buff特效!$A$4:$Y$17,G$3,FALSE),1111)))))</f>
        <v>[]</v>
      </c>
      <c r="H12" s="33">
        <f>IF($D12=1,VLOOKUP($B12&amp;"_"&amp;$C12,起手特效!$A$4:$Y$17,H$3,FALSE),IF($D12=2,VLOOKUP($B12&amp;"_"&amp;$C12,主要特效!$A$4:$Y$17,H$3,FALSE),IF($D12=3,VLOOKUP($B12&amp;"_"&amp;$C12,辅助特效!$A$4:$Y$17,H$3,FALSE),IF($D12=4,VLOOKUP($B12&amp;"_"&amp;$C12,命中特效!$A$4:$Y$17,H$3,FALSE),IF($D12=5,VLOOKUP($B12&amp;"_"&amp;$C12,buff特效!$A$4:$Y$17,H$3,FALSE),1111)))))</f>
        <v>0</v>
      </c>
      <c r="I12" s="33">
        <f>IF($D12=1,VLOOKUP($B12&amp;"_"&amp;$C12,起手特效!$A$4:$Y$17,I$3,FALSE),IF($D12=2,VLOOKUP($B12&amp;"_"&amp;$C12,主要特效!$A$4:$Y$17,I$3,FALSE),IF($D12=3,VLOOKUP($B12&amp;"_"&amp;$C12,辅助特效!$A$4:$Y$17,I$3,FALSE),IF($D12=4,VLOOKUP($B12&amp;"_"&amp;$C12,命中特效!$A$4:$Y$17,I$3,FALSE),IF($D12=5,VLOOKUP($B12&amp;"_"&amp;$C12,buff特效!$A$4:$Y$17,I$3,FALSE),1111)))))</f>
        <v>0</v>
      </c>
      <c r="J12" s="33">
        <f>IF($D12=1,VLOOKUP($B12&amp;"_"&amp;$C12,起手特效!$A$4:$Y$17,J$3,FALSE),IF($D12=2,VLOOKUP($B12&amp;"_"&amp;$C12,主要特效!$A$4:$Y$17,J$3,FALSE),IF($D12=3,VLOOKUP($B12&amp;"_"&amp;$C12,辅助特效!$A$4:$Y$17,J$3,FALSE),IF($D12=4,VLOOKUP($B12&amp;"_"&amp;$C12,命中特效!$A$4:$Y$17,J$3,FALSE),IF($D12=5,VLOOKUP($B12&amp;"_"&amp;$C12,buff特效!$A$4:$Y$17,J$3,FALSE),1111)))))</f>
        <v>11</v>
      </c>
      <c r="K12" s="33">
        <f>IF($D12=1,VLOOKUP($B12&amp;"_"&amp;$C12,起手特效!$A$4:$Y$17,K$3,FALSE),IF($D12=2,VLOOKUP($B12&amp;"_"&amp;$C12,主要特效!$A$4:$Y$17,K$3,FALSE),IF($D12=3,VLOOKUP($B12&amp;"_"&amp;$C12,辅助特效!$A$4:$Y$17,K$3,FALSE),IF($D12=4,VLOOKUP($B12&amp;"_"&amp;$C12,命中特效!$A$4:$Y$17,K$3,FALSE),IF($D12=5,VLOOKUP($B12&amp;"_"&amp;$C12,buff特效!$A$4:$Y$17,K$3,FALSE),1111)))))</f>
        <v>0</v>
      </c>
      <c r="L12" s="33">
        <f>IF($D12=1,VLOOKUP($B12&amp;"_"&amp;$C12,起手特效!$A$4:$Y$17,L$3,FALSE),IF($D12=2,VLOOKUP($B12&amp;"_"&amp;$C12,主要特效!$A$4:$Y$17,L$3,FALSE),IF($D12=3,VLOOKUP($B12&amp;"_"&amp;$C12,辅助特效!$A$4:$Y$17,L$3,FALSE),IF($D12=4,VLOOKUP($B12&amp;"_"&amp;$C12,命中特效!$A$4:$Y$17,L$3,FALSE),IF($D12=5,VLOOKUP($B12&amp;"_"&amp;$C12,buff特效!$A$4:$Y$17,L$3,FALSE),1111)))))</f>
        <v>0</v>
      </c>
      <c r="M12" s="33" t="str">
        <f>IF($D12=1,VLOOKUP($B12&amp;"_"&amp;$C12,起手特效!$A$4:$Y$17,M$3,FALSE),IF($D12=2,VLOOKUP($B12&amp;"_"&amp;$C12,主要特效!$A$4:$Y$17,M$3,FALSE),IF($D12=3,VLOOKUP($B12&amp;"_"&amp;$C12,辅助特效!$A$4:$Y$17,M$3,FALSE),IF($D12=4,VLOOKUP($B12&amp;"_"&amp;$C12,命中特效!$A$4:$Y$17,M$3,FALSE),IF($D12=5,VLOOKUP($B12&amp;"_"&amp;$C12,buff特效!$A$4:$Y$17,M$3,FALSE),1111)))))</f>
        <v>[]</v>
      </c>
      <c r="N12" s="33" t="str">
        <f>IF($D12=1,VLOOKUP($B12&amp;"_"&amp;$C12,起手特效!$A$4:$Y$17,N$3,FALSE),IF($D12=2,VLOOKUP($B12&amp;"_"&amp;$C12,主要特效!$A$4:$Y$17,N$3,FALSE),IF($D12=3,VLOOKUP($B12&amp;"_"&amp;$C12,辅助特效!$A$4:$Y$17,N$3,FALSE),IF($D12=4,VLOOKUP($B12&amp;"_"&amp;$C12,命中特效!$A$4:$Y$17,N$3,FALSE),IF($D12=5,VLOOKUP($B12&amp;"_"&amp;$C12,buff特效!$A$4:$Y$17,N$3,FALSE),1111)))))</f>
        <v>[]</v>
      </c>
      <c r="O12" s="33">
        <f>IF($D12=1,VLOOKUP($B12&amp;"_"&amp;$C12,起手特效!$A$4:$Y$17,O$3,FALSE),IF($D12=2,VLOOKUP($B12&amp;"_"&amp;$C12,主要特效!$A$4:$Y$17,O$3,FALSE),IF($D12=3,VLOOKUP($B12&amp;"_"&amp;$C12,辅助特效!$A$4:$Y$17,O$3,FALSE),IF($D12=4,VLOOKUP($B12&amp;"_"&amp;$C12,命中特效!$A$4:$Y$17,O$3,FALSE),IF($D12=5,VLOOKUP($B12&amp;"_"&amp;$C12,buff特效!$A$4:$Y$17,O$3,FALSE),1111)))))</f>
        <v>5</v>
      </c>
      <c r="P12" s="33">
        <f>IF($D12=1,VLOOKUP($B12&amp;"_"&amp;$C12,起手特效!$A$4:$Y$17,P$3,FALSE),IF($D12=2,VLOOKUP($B12&amp;"_"&amp;$C12,主要特效!$A$4:$Y$17,P$3,FALSE),IF($D12=3,VLOOKUP($B12&amp;"_"&amp;$C12,辅助特效!$A$4:$Y$17,P$3,FALSE),IF($D12=4,VLOOKUP($B12&amp;"_"&amp;$C12,命中特效!$A$4:$Y$17,P$3,FALSE),IF($D12=5,VLOOKUP($B12&amp;"_"&amp;$C12,buff特效!$A$4:$Y$17,P$3,FALSE),1111)))))</f>
        <v>0</v>
      </c>
      <c r="Q12" s="33">
        <f>IF($D12=1,VLOOKUP($B12&amp;"_"&amp;$C12,起手特效!$A$4:$Y$17,Q$3,FALSE),IF($D12=2,VLOOKUP($B12&amp;"_"&amp;$C12,主要特效!$A$4:$Y$17,Q$3,FALSE),IF($D12=3,VLOOKUP($B12&amp;"_"&amp;$C12,辅助特效!$A$4:$Y$17,Q$3,FALSE),IF($D12=4,VLOOKUP($B12&amp;"_"&amp;$C12,命中特效!$A$4:$Y$17,Q$3,FALSE),IF($D12=5,VLOOKUP($B12&amp;"_"&amp;$C12,buff特效!$A$4:$Y$17,Q$3,FALSE),1111)))))</f>
        <v>2</v>
      </c>
      <c r="R12" s="33">
        <f>IF($D12=1,VLOOKUP($B12&amp;"_"&amp;$C12,起手特效!$A$4:$Y$17,R$3,FALSE),IF($D12=2,VLOOKUP($B12&amp;"_"&amp;$C12,主要特效!$A$4:$Y$17,R$3,FALSE),IF($D12=3,VLOOKUP($B12&amp;"_"&amp;$C12,辅助特效!$A$4:$Y$17,R$3,FALSE),IF($D12=4,VLOOKUP($B12&amp;"_"&amp;$C12,命中特效!$A$4:$Y$17,R$3,FALSE),IF($D12=5,VLOOKUP($B12&amp;"_"&amp;$C12,buff特效!$A$4:$Y$17,R$3,FALSE),1111)))))</f>
        <v>0</v>
      </c>
      <c r="S12" s="33" t="str">
        <f>IF($D12=1,VLOOKUP($B12&amp;"_"&amp;$C12,起手特效!$A$4:$Y$17,S$3,FALSE),IF($D12=2,VLOOKUP($B12&amp;"_"&amp;$C12,主要特效!$A$4:$Y$17,S$3,FALSE),IF($D12=3,VLOOKUP($B12&amp;"_"&amp;$C12,辅助特效!$A$4:$Y$17,S$3,FALSE),IF($D12=4,VLOOKUP($B12&amp;"_"&amp;$C12,命中特效!$A$4:$Y$17,S$3,FALSE),IF($D12=5,VLOOKUP($B12&amp;"_"&amp;$C12,buff特效!$A$4:$Y$17,S$3,FALSE),1111)))))</f>
        <v>[]</v>
      </c>
      <c r="T12" s="33" t="str">
        <f>IF($D12=1,VLOOKUP($B12&amp;"_"&amp;$C12,起手特效!$A$4:$Y$17,T$3,FALSE),IF($D12=2,VLOOKUP($B12&amp;"_"&amp;$C12,主要特效!$A$4:$Y$17,T$3,FALSE),IF($D12=3,VLOOKUP($B12&amp;"_"&amp;$C12,辅助特效!$A$4:$Y$17,T$3,FALSE),IF($D12=4,VLOOKUP($B12&amp;"_"&amp;$C12,命中特效!$A$4:$Y$17,T$3,FALSE),IF($D12=5,VLOOKUP($B12&amp;"_"&amp;$C12,buff特效!$A$4:$Y$17,T$3,FALSE),1111)))))</f>
        <v>[]</v>
      </c>
      <c r="U12" s="33" t="str">
        <f>IF($D12=1,VLOOKUP($B12&amp;"_"&amp;$C12,起手特效!$A$4:$Y$17,U$3,FALSE),IF($D12=2,VLOOKUP($B12&amp;"_"&amp;$C12,主要特效!$A$4:$Y$17,U$3,FALSE),IF($D12=3,VLOOKUP($B12&amp;"_"&amp;$C12,辅助特效!$A$4:$Y$17,U$3,FALSE),IF($D12=4,VLOOKUP($B12&amp;"_"&amp;$C12,命中特效!$A$4:$Y$17,U$3,FALSE),IF($D12=5,VLOOKUP($B12&amp;"_"&amp;$C12,buff特效!$A$4:$Y$17,U$3,FALSE),1111)))))</f>
        <v>[]</v>
      </c>
      <c r="V12" s="33">
        <f>IF($D12=1,VLOOKUP($B12&amp;"_"&amp;$C12,起手特效!$A$4:$Y$17,V$3,FALSE),IF($D12=2,VLOOKUP($B12&amp;"_"&amp;$C12,主要特效!$A$4:$Y$17,V$3,FALSE),IF($D12=3,VLOOKUP($B12&amp;"_"&amp;$C12,辅助特效!$A$4:$Y$17,V$3,FALSE),IF($D12=4,VLOOKUP($B12&amp;"_"&amp;$C12,命中特效!$A$4:$Y$17,V$3,FALSE),IF($D12=5,VLOOKUP($B12&amp;"_"&amp;$C12,buff特效!$A$4:$Y$17,V$3,FALSE),1111)))))</f>
        <v>0</v>
      </c>
      <c r="W12" s="33">
        <f>IF($D12=1,VLOOKUP($B12&amp;"_"&amp;$C12,起手特效!$A$4:$Y$17,W$3,FALSE),IF($D12=2,VLOOKUP($B12&amp;"_"&amp;$C12,主要特效!$A$4:$Y$17,W$3,FALSE),IF($D12=3,VLOOKUP($B12&amp;"_"&amp;$C12,辅助特效!$A$4:$Y$17,W$3,FALSE),IF($D12=4,VLOOKUP($B12&amp;"_"&amp;$C12,命中特效!$A$4:$Y$17,W$3,FALSE),IF($D12=5,VLOOKUP($B12&amp;"_"&amp;$C12,buff特效!$A$4:$Y$17,W$3,FALSE),1111)))))</f>
        <v>0</v>
      </c>
      <c r="X12" s="33">
        <f>IF($D12=1,VLOOKUP($B12&amp;"_"&amp;$C12,起手特效!$A$4:$Y$17,X$3,FALSE),IF($D12=2,VLOOKUP($B12&amp;"_"&amp;$C12,主要特效!$A$4:$Y$17,X$3,FALSE),IF($D12=3,VLOOKUP($B12&amp;"_"&amp;$C12,辅助特效!$A$4:$Y$17,X$3,FALSE),IF($D12=4,VLOOKUP($B12&amp;"_"&amp;$C12,命中特效!$A$4:$Y$17,X$3,FALSE),IF($D12=5,VLOOKUP($B12&amp;"_"&amp;$C12,buff特效!$A$4:$Y$17,X$3,FALSE),1111)))))</f>
        <v>0</v>
      </c>
      <c r="Y12" s="33">
        <f>IF($D12=1,VLOOKUP($B12&amp;"_"&amp;$C12,起手特效!$A$4:$Y$17,Y$3,FALSE),IF($D12=2,VLOOKUP($B12&amp;"_"&amp;$C12,主要特效!$A$4:$Y$17,Y$3,FALSE),IF($D12=3,VLOOKUP($B12&amp;"_"&amp;$C12,辅助特效!$A$4:$Y$17,Y$3,FALSE),IF($D12=4,VLOOKUP($B12&amp;"_"&amp;$C12,命中特效!$A$4:$Y$17,Y$3,FALSE),IF($D12=5,VLOOKUP($B12&amp;"_"&amp;$C12,buff特效!$A$4:$Y$17,Y$3,FALSE),1111)))))</f>
        <v>0</v>
      </c>
      <c r="Z12" s="33">
        <f>IF($D12=1,VLOOKUP($B12&amp;"_"&amp;$C12,起手特效!$A$4:$Y$17,Z$3,FALSE),IF($D12=2,VLOOKUP($B12&amp;"_"&amp;$C12,主要特效!$A$4:$Y$17,Z$3,FALSE),IF($D12=3,VLOOKUP($B12&amp;"_"&amp;$C12,辅助特效!$A$4:$Y$17,Z$3,FALSE),IF($D12=4,VLOOKUP($B12&amp;"_"&amp;$C12,命中特效!$A$4:$Y$17,Z$3,FALSE),IF($D12=5,VLOOKUP($B12&amp;"_"&amp;$C12,buff特效!$A$4:$Y$17,Z$3,FALSE),1111)))))</f>
        <v>0</v>
      </c>
      <c r="AA12" s="33">
        <f>IF($D12=1,VLOOKUP($B12&amp;"_"&amp;$C12,起手特效!$A$4:$Y$17,AA$3,FALSE),IF($D12=2,VLOOKUP($B12&amp;"_"&amp;$C12,主要特效!$A$4:$Y$17,AA$3,FALSE),IF($D12=3,VLOOKUP($B12&amp;"_"&amp;$C12,辅助特效!$A$4:$Y$17,AA$3,FALSE),IF($D12=4,VLOOKUP($B12&amp;"_"&amp;$C12,命中特效!$A$4:$Y$17,AA$3,FALSE),IF($D12=5,VLOOKUP($B12&amp;"_"&amp;$C12,buff特效!$A$4:$Y$17,AA$3,FALSE),1111)))))</f>
        <v>0</v>
      </c>
      <c r="AB12" s="33">
        <f>IF($D12=1,VLOOKUP($B12&amp;"_"&amp;$C12,起手特效!$A$4:$Y$17,AB$3,FALSE),IF($D12=2,VLOOKUP($B12&amp;"_"&amp;$C12,主要特效!$A$4:$Y$17,AB$3,FALSE),IF($D12=3,VLOOKUP($B12&amp;"_"&amp;$C12,辅助特效!$A$4:$Y$17,AB$3,FALSE),IF($D12=4,VLOOKUP($B12&amp;"_"&amp;$C12,命中特效!$A$4:$Y$17,AB$3,FALSE),IF($D12=5,VLOOKUP($B12&amp;"_"&amp;$C12,buff特效!$A$4:$Y$17,AB$3,FALSE),1111)))))</f>
        <v>0</v>
      </c>
    </row>
    <row r="13" spans="1:28" x14ac:dyDescent="0.15">
      <c r="B13" s="32" t="str">
        <f t="shared" si="3"/>
        <v>tuotatianwang</v>
      </c>
      <c r="C13" s="32">
        <f t="shared" si="4"/>
        <v>0</v>
      </c>
      <c r="D13" s="32">
        <f t="shared" si="5"/>
        <v>5</v>
      </c>
      <c r="E13" s="33" t="str">
        <f>IF($D13=1,VLOOKUP($B13&amp;"_"&amp;$C13,起手特效!$A$4:$Y$17,E$3,FALSE),IF($D13=2,VLOOKUP($B13&amp;"_"&amp;$C13,主要特效!$A$4:$Y$17,E$3,FALSE),IF($D13=3,VLOOKUP($B13&amp;"_"&amp;$C13,辅助特效!$A$4:$Y$17,E$3,FALSE),IF($D13=4,VLOOKUP($B13&amp;"_"&amp;$C13,命中特效!$A$4:$Y$17,E$3,FALSE),IF($D13=5,VLOOKUP($B13&amp;"_"&amp;$C13,buff特效!$A$4:$Y$17,E$3,FALSE),1111)))))</f>
        <v>[]</v>
      </c>
      <c r="F13" s="33" t="str">
        <f>IF($D13=1,VLOOKUP($B13&amp;"_"&amp;$C13,起手特效!$A$4:$Y$17,F$3,FALSE),IF($D13=2,VLOOKUP($B13&amp;"_"&amp;$C13,主要特效!$A$4:$Y$17,F$3,FALSE),IF($D13=3,VLOOKUP($B13&amp;"_"&amp;$C13,辅助特效!$A$4:$Y$17,F$3,FALSE),IF($D13=4,VLOOKUP($B13&amp;"_"&amp;$C13,命中特效!$A$4:$Y$17,F$3,FALSE),IF($D13=5,VLOOKUP($B13&amp;"_"&amp;$C13,buff特效!$A$4:$Y$17,F$3,FALSE),1111)))))</f>
        <v>[]</v>
      </c>
      <c r="G13" s="33" t="str">
        <f>IF($D13=1,VLOOKUP($B13&amp;"_"&amp;$C13,起手特效!$A$4:$Y$17,G$3,FALSE),IF($D13=2,VLOOKUP($B13&amp;"_"&amp;$C13,主要特效!$A$4:$Y$17,G$3,FALSE),IF($D13=3,VLOOKUP($B13&amp;"_"&amp;$C13,辅助特效!$A$4:$Y$17,G$3,FALSE),IF($D13=4,VLOOKUP($B13&amp;"_"&amp;$C13,命中特效!$A$4:$Y$17,G$3,FALSE),IF($D13=5,VLOOKUP($B13&amp;"_"&amp;$C13,buff特效!$A$4:$Y$17,G$3,FALSE),1111)))))</f>
        <v>[]</v>
      </c>
      <c r="H13" s="33">
        <f>IF($D13=1,VLOOKUP($B13&amp;"_"&amp;$C13,起手特效!$A$4:$Y$17,H$3,FALSE),IF($D13=2,VLOOKUP($B13&amp;"_"&amp;$C13,主要特效!$A$4:$Y$17,H$3,FALSE),IF($D13=3,VLOOKUP($B13&amp;"_"&amp;$C13,辅助特效!$A$4:$Y$17,H$3,FALSE),IF($D13=4,VLOOKUP($B13&amp;"_"&amp;$C13,命中特效!$A$4:$Y$17,H$3,FALSE),IF($D13=5,VLOOKUP($B13&amp;"_"&amp;$C13,buff特效!$A$4:$Y$17,H$3,FALSE),1111)))))</f>
        <v>0</v>
      </c>
      <c r="I13" s="33">
        <f>IF($D13=1,VLOOKUP($B13&amp;"_"&amp;$C13,起手特效!$A$4:$Y$17,I$3,FALSE),IF($D13=2,VLOOKUP($B13&amp;"_"&amp;$C13,主要特效!$A$4:$Y$17,I$3,FALSE),IF($D13=3,VLOOKUP($B13&amp;"_"&amp;$C13,辅助特效!$A$4:$Y$17,I$3,FALSE),IF($D13=4,VLOOKUP($B13&amp;"_"&amp;$C13,命中特效!$A$4:$Y$17,I$3,FALSE),IF($D13=5,VLOOKUP($B13&amp;"_"&amp;$C13,buff特效!$A$4:$Y$17,I$3,FALSE),1111)))))</f>
        <v>0</v>
      </c>
      <c r="J13" s="33">
        <f>IF($D13=1,VLOOKUP($B13&amp;"_"&amp;$C13,起手特效!$A$4:$Y$17,J$3,FALSE),IF($D13=2,VLOOKUP($B13&amp;"_"&amp;$C13,主要特效!$A$4:$Y$17,J$3,FALSE),IF($D13=3,VLOOKUP($B13&amp;"_"&amp;$C13,辅助特效!$A$4:$Y$17,J$3,FALSE),IF($D13=4,VLOOKUP($B13&amp;"_"&amp;$C13,命中特效!$A$4:$Y$17,J$3,FALSE),IF($D13=5,VLOOKUP($B13&amp;"_"&amp;$C13,buff特效!$A$4:$Y$17,J$3,FALSE),1111)))))</f>
        <v>1</v>
      </c>
      <c r="K13" s="33">
        <f>IF($D13=1,VLOOKUP($B13&amp;"_"&amp;$C13,起手特效!$A$4:$Y$17,K$3,FALSE),IF($D13=2,VLOOKUP($B13&amp;"_"&amp;$C13,主要特效!$A$4:$Y$17,K$3,FALSE),IF($D13=3,VLOOKUP($B13&amp;"_"&amp;$C13,辅助特效!$A$4:$Y$17,K$3,FALSE),IF($D13=4,VLOOKUP($B13&amp;"_"&amp;$C13,命中特效!$A$4:$Y$17,K$3,FALSE),IF($D13=5,VLOOKUP($B13&amp;"_"&amp;$C13,buff特效!$A$4:$Y$17,K$3,FALSE),1111)))))</f>
        <v>0</v>
      </c>
      <c r="L13" s="33">
        <f>IF($D13=1,VLOOKUP($B13&amp;"_"&amp;$C13,起手特效!$A$4:$Y$17,L$3,FALSE),IF($D13=2,VLOOKUP($B13&amp;"_"&amp;$C13,主要特效!$A$4:$Y$17,L$3,FALSE),IF($D13=3,VLOOKUP($B13&amp;"_"&amp;$C13,辅助特效!$A$4:$Y$17,L$3,FALSE),IF($D13=4,VLOOKUP($B13&amp;"_"&amp;$C13,命中特效!$A$4:$Y$17,L$3,FALSE),IF($D13=5,VLOOKUP($B13&amp;"_"&amp;$C13,buff特效!$A$4:$Y$17,L$3,FALSE),1111)))))</f>
        <v>0</v>
      </c>
      <c r="M13" s="33" t="str">
        <f>IF($D13=1,VLOOKUP($B13&amp;"_"&amp;$C13,起手特效!$A$4:$Y$17,M$3,FALSE),IF($D13=2,VLOOKUP($B13&amp;"_"&amp;$C13,主要特效!$A$4:$Y$17,M$3,FALSE),IF($D13=3,VLOOKUP($B13&amp;"_"&amp;$C13,辅助特效!$A$4:$Y$17,M$3,FALSE),IF($D13=4,VLOOKUP($B13&amp;"_"&amp;$C13,命中特效!$A$4:$Y$17,M$3,FALSE),IF($D13=5,VLOOKUP($B13&amp;"_"&amp;$C13,buff特效!$A$4:$Y$17,M$3,FALSE),1111)))))</f>
        <v>[]</v>
      </c>
      <c r="N13" s="33" t="str">
        <f>IF($D13=1,VLOOKUP($B13&amp;"_"&amp;$C13,起手特效!$A$4:$Y$17,N$3,FALSE),IF($D13=2,VLOOKUP($B13&amp;"_"&amp;$C13,主要特效!$A$4:$Y$17,N$3,FALSE),IF($D13=3,VLOOKUP($B13&amp;"_"&amp;$C13,辅助特效!$A$4:$Y$17,N$3,FALSE),IF($D13=4,VLOOKUP($B13&amp;"_"&amp;$C13,命中特效!$A$4:$Y$17,N$3,FALSE),IF($D13=5,VLOOKUP($B13&amp;"_"&amp;$C13,buff特效!$A$4:$Y$17,N$3,FALSE),1111)))))</f>
        <v>[]</v>
      </c>
      <c r="O13" s="33">
        <f>IF($D13=1,VLOOKUP($B13&amp;"_"&amp;$C13,起手特效!$A$4:$Y$17,O$3,FALSE),IF($D13=2,VLOOKUP($B13&amp;"_"&amp;$C13,主要特效!$A$4:$Y$17,O$3,FALSE),IF($D13=3,VLOOKUP($B13&amp;"_"&amp;$C13,辅助特效!$A$4:$Y$17,O$3,FALSE),IF($D13=4,VLOOKUP($B13&amp;"_"&amp;$C13,命中特效!$A$4:$Y$17,O$3,FALSE),IF($D13=5,VLOOKUP($B13&amp;"_"&amp;$C13,buff特效!$A$4:$Y$17,O$3,FALSE),1111)))))</f>
        <v>5</v>
      </c>
      <c r="P13" s="33">
        <f>IF($D13=1,VLOOKUP($B13&amp;"_"&amp;$C13,起手特效!$A$4:$Y$17,P$3,FALSE),IF($D13=2,VLOOKUP($B13&amp;"_"&amp;$C13,主要特效!$A$4:$Y$17,P$3,FALSE),IF($D13=3,VLOOKUP($B13&amp;"_"&amp;$C13,辅助特效!$A$4:$Y$17,P$3,FALSE),IF($D13=4,VLOOKUP($B13&amp;"_"&amp;$C13,命中特效!$A$4:$Y$17,P$3,FALSE),IF($D13=5,VLOOKUP($B13&amp;"_"&amp;$C13,buff特效!$A$4:$Y$17,P$3,FALSE),1111)))))</f>
        <v>0</v>
      </c>
      <c r="Q13" s="33">
        <f>IF($D13=1,VLOOKUP($B13&amp;"_"&amp;$C13,起手特效!$A$4:$Y$17,Q$3,FALSE),IF($D13=2,VLOOKUP($B13&amp;"_"&amp;$C13,主要特效!$A$4:$Y$17,Q$3,FALSE),IF($D13=3,VLOOKUP($B13&amp;"_"&amp;$C13,辅助特效!$A$4:$Y$17,Q$3,FALSE),IF($D13=4,VLOOKUP($B13&amp;"_"&amp;$C13,命中特效!$A$4:$Y$17,Q$3,FALSE),IF($D13=5,VLOOKUP($B13&amp;"_"&amp;$C13,buff特效!$A$4:$Y$17,Q$3,FALSE),1111)))))</f>
        <v>2</v>
      </c>
      <c r="R13" s="33" t="str">
        <f>IF($D13=1,VLOOKUP($B13&amp;"_"&amp;$C13,起手特效!$A$4:$Y$17,R$3,FALSE),IF($D13=2,VLOOKUP($B13&amp;"_"&amp;$C13,主要特效!$A$4:$Y$17,R$3,FALSE),IF($D13=3,VLOOKUP($B13&amp;"_"&amp;$C13,辅助特效!$A$4:$Y$17,R$3,FALSE),IF($D13=4,VLOOKUP($B13&amp;"_"&amp;$C13,命中特效!$A$4:$Y$17,R$3,FALSE),IF($D13=5,VLOOKUP($B13&amp;"_"&amp;$C13,buff特效!$A$4:$Y$17,R$3,FALSE),1111)))))</f>
        <v>手填</v>
      </c>
      <c r="S13" s="33" t="str">
        <f>IF($D13=1,VLOOKUP($B13&amp;"_"&amp;$C13,起手特效!$A$4:$Y$17,S$3,FALSE),IF($D13=2,VLOOKUP($B13&amp;"_"&amp;$C13,主要特效!$A$4:$Y$17,S$3,FALSE),IF($D13=3,VLOOKUP($B13&amp;"_"&amp;$C13,辅助特效!$A$4:$Y$17,S$3,FALSE),IF($D13=4,VLOOKUP($B13&amp;"_"&amp;$C13,命中特效!$A$4:$Y$17,S$3,FALSE),IF($D13=5,VLOOKUP($B13&amp;"_"&amp;$C13,buff特效!$A$4:$Y$17,S$3,FALSE),1111)))))</f>
        <v>[]</v>
      </c>
      <c r="T13" s="33" t="str">
        <f>IF($D13=1,VLOOKUP($B13&amp;"_"&amp;$C13,起手特效!$A$4:$Y$17,T$3,FALSE),IF($D13=2,VLOOKUP($B13&amp;"_"&amp;$C13,主要特效!$A$4:$Y$17,T$3,FALSE),IF($D13=3,VLOOKUP($B13&amp;"_"&amp;$C13,辅助特效!$A$4:$Y$17,T$3,FALSE),IF($D13=4,VLOOKUP($B13&amp;"_"&amp;$C13,命中特效!$A$4:$Y$17,T$3,FALSE),IF($D13=5,VLOOKUP($B13&amp;"_"&amp;$C13,buff特效!$A$4:$Y$17,T$3,FALSE),1111)))))</f>
        <v>[]</v>
      </c>
      <c r="U13" s="33" t="str">
        <f>IF($D13=1,VLOOKUP($B13&amp;"_"&amp;$C13,起手特效!$A$4:$Y$17,U$3,FALSE),IF($D13=2,VLOOKUP($B13&amp;"_"&amp;$C13,主要特效!$A$4:$Y$17,U$3,FALSE),IF($D13=3,VLOOKUP($B13&amp;"_"&amp;$C13,辅助特效!$A$4:$Y$17,U$3,FALSE),IF($D13=4,VLOOKUP($B13&amp;"_"&amp;$C13,命中特效!$A$4:$Y$17,U$3,FALSE),IF($D13=5,VLOOKUP($B13&amp;"_"&amp;$C13,buff特效!$A$4:$Y$17,U$3,FALSE),1111)))))</f>
        <v>[]</v>
      </c>
      <c r="V13" s="33">
        <f>IF($D13=1,VLOOKUP($B13&amp;"_"&amp;$C13,起手特效!$A$4:$Y$17,V$3,FALSE),IF($D13=2,VLOOKUP($B13&amp;"_"&amp;$C13,主要特效!$A$4:$Y$17,V$3,FALSE),IF($D13=3,VLOOKUP($B13&amp;"_"&amp;$C13,辅助特效!$A$4:$Y$17,V$3,FALSE),IF($D13=4,VLOOKUP($B13&amp;"_"&amp;$C13,命中特效!$A$4:$Y$17,V$3,FALSE),IF($D13=5,VLOOKUP($B13&amp;"_"&amp;$C13,buff特效!$A$4:$Y$17,V$3,FALSE),1111)))))</f>
        <v>0</v>
      </c>
      <c r="W13" s="33">
        <f>IF($D13=1,VLOOKUP($B13&amp;"_"&amp;$C13,起手特效!$A$4:$Y$17,W$3,FALSE),IF($D13=2,VLOOKUP($B13&amp;"_"&amp;$C13,主要特效!$A$4:$Y$17,W$3,FALSE),IF($D13=3,VLOOKUP($B13&amp;"_"&amp;$C13,辅助特效!$A$4:$Y$17,W$3,FALSE),IF($D13=4,VLOOKUP($B13&amp;"_"&amp;$C13,命中特效!$A$4:$Y$17,W$3,FALSE),IF($D13=5,VLOOKUP($B13&amp;"_"&amp;$C13,buff特效!$A$4:$Y$17,W$3,FALSE),1111)))))</f>
        <v>0</v>
      </c>
      <c r="X13" s="33">
        <f>IF($D13=1,VLOOKUP($B13&amp;"_"&amp;$C13,起手特效!$A$4:$Y$17,X$3,FALSE),IF($D13=2,VLOOKUP($B13&amp;"_"&amp;$C13,主要特效!$A$4:$Y$17,X$3,FALSE),IF($D13=3,VLOOKUP($B13&amp;"_"&amp;$C13,辅助特效!$A$4:$Y$17,X$3,FALSE),IF($D13=4,VLOOKUP($B13&amp;"_"&amp;$C13,命中特效!$A$4:$Y$17,X$3,FALSE),IF($D13=5,VLOOKUP($B13&amp;"_"&amp;$C13,buff特效!$A$4:$Y$17,X$3,FALSE),1111)))))</f>
        <v>0</v>
      </c>
      <c r="Y13" s="33">
        <f>IF($D13=1,VLOOKUP($B13&amp;"_"&amp;$C13,起手特效!$A$4:$Y$17,Y$3,FALSE),IF($D13=2,VLOOKUP($B13&amp;"_"&amp;$C13,主要特效!$A$4:$Y$17,Y$3,FALSE),IF($D13=3,VLOOKUP($B13&amp;"_"&amp;$C13,辅助特效!$A$4:$Y$17,Y$3,FALSE),IF($D13=4,VLOOKUP($B13&amp;"_"&amp;$C13,命中特效!$A$4:$Y$17,Y$3,FALSE),IF($D13=5,VLOOKUP($B13&amp;"_"&amp;$C13,buff特效!$A$4:$Y$17,Y$3,FALSE),1111)))))</f>
        <v>0</v>
      </c>
      <c r="Z13" s="33">
        <f>IF($D13=1,VLOOKUP($B13&amp;"_"&amp;$C13,起手特效!$A$4:$Y$17,Z$3,FALSE),IF($D13=2,VLOOKUP($B13&amp;"_"&amp;$C13,主要特效!$A$4:$Y$17,Z$3,FALSE),IF($D13=3,VLOOKUP($B13&amp;"_"&amp;$C13,辅助特效!$A$4:$Y$17,Z$3,FALSE),IF($D13=4,VLOOKUP($B13&amp;"_"&amp;$C13,命中特效!$A$4:$Y$17,Z$3,FALSE),IF($D13=5,VLOOKUP($B13&amp;"_"&amp;$C13,buff特效!$A$4:$Y$17,Z$3,FALSE),1111)))))</f>
        <v>0</v>
      </c>
      <c r="AA13" s="33">
        <f>IF($D13=1,VLOOKUP($B13&amp;"_"&amp;$C13,起手特效!$A$4:$Y$17,AA$3,FALSE),IF($D13=2,VLOOKUP($B13&amp;"_"&amp;$C13,主要特效!$A$4:$Y$17,AA$3,FALSE),IF($D13=3,VLOOKUP($B13&amp;"_"&amp;$C13,辅助特效!$A$4:$Y$17,AA$3,FALSE),IF($D13=4,VLOOKUP($B13&amp;"_"&amp;$C13,命中特效!$A$4:$Y$17,AA$3,FALSE),IF($D13=5,VLOOKUP($B13&amp;"_"&amp;$C13,buff特效!$A$4:$Y$17,AA$3,FALSE),1111)))))</f>
        <v>0</v>
      </c>
      <c r="AB13" s="33">
        <f>IF($D13=1,VLOOKUP($B13&amp;"_"&amp;$C13,起手特效!$A$4:$Y$17,AB$3,FALSE),IF($D13=2,VLOOKUP($B13&amp;"_"&amp;$C13,主要特效!$A$4:$Y$17,AB$3,FALSE),IF($D13=3,VLOOKUP($B13&amp;"_"&amp;$C13,辅助特效!$A$4:$Y$17,AB$3,FALSE),IF($D13=4,VLOOKUP($B13&amp;"_"&amp;$C13,命中特效!$A$4:$Y$17,AB$3,FALSE),IF($D13=5,VLOOKUP($B13&amp;"_"&amp;$C13,buff特效!$A$4:$Y$17,AB$3,FALSE),1111)))))</f>
        <v>0</v>
      </c>
    </row>
    <row r="14" spans="1:28" x14ac:dyDescent="0.15">
      <c r="B14" s="32" t="str">
        <f t="shared" si="3"/>
        <v>tuotatianwang</v>
      </c>
      <c r="C14" s="32">
        <f t="shared" si="4"/>
        <v>1</v>
      </c>
      <c r="D14" s="32">
        <f t="shared" si="5"/>
        <v>1</v>
      </c>
      <c r="E14" s="33" t="str">
        <f>IF($D14=1,VLOOKUP($B14&amp;"_"&amp;$C14,起手特效!$A$4:$Y$17,E$3,FALSE),IF($D14=2,VLOOKUP($B14&amp;"_"&amp;$C14,主要特效!$A$4:$Y$17,E$3,FALSE),IF($D14=3,VLOOKUP($B14&amp;"_"&amp;$C14,辅助特效!$A$4:$Y$17,E$3,FALSE),IF($D14=4,VLOOKUP($B14&amp;"_"&amp;$C14,命中特效!$A$4:$Y$17,E$3,FALSE),IF($D14=5,VLOOKUP($B14&amp;"_"&amp;$C14,buff特效!$A$4:$Y$17,E$3,FALSE),1111)))))</f>
        <v>[]</v>
      </c>
      <c r="F14" s="33" t="str">
        <f>IF($D14=1,VLOOKUP($B14&amp;"_"&amp;$C14,起手特效!$A$4:$Y$17,F$3,FALSE),IF($D14=2,VLOOKUP($B14&amp;"_"&amp;$C14,主要特效!$A$4:$Y$17,F$3,FALSE),IF($D14=3,VLOOKUP($B14&amp;"_"&amp;$C14,辅助特效!$A$4:$Y$17,F$3,FALSE),IF($D14=4,VLOOKUP($B14&amp;"_"&amp;$C14,命中特效!$A$4:$Y$17,F$3,FALSE),IF($D14=5,VLOOKUP($B14&amp;"_"&amp;$C14,buff特效!$A$4:$Y$17,F$3,FALSE),1111)))))</f>
        <v>[]</v>
      </c>
      <c r="G14" s="33" t="str">
        <f>IF($D14=1,VLOOKUP($B14&amp;"_"&amp;$C14,起手特效!$A$4:$Y$17,G$3,FALSE),IF($D14=2,VLOOKUP($B14&amp;"_"&amp;$C14,主要特效!$A$4:$Y$17,G$3,FALSE),IF($D14=3,VLOOKUP($B14&amp;"_"&amp;$C14,辅助特效!$A$4:$Y$17,G$3,FALSE),IF($D14=4,VLOOKUP($B14&amp;"_"&amp;$C14,命中特效!$A$4:$Y$17,G$3,FALSE),IF($D14=5,VLOOKUP($B14&amp;"_"&amp;$C14,buff特效!$A$4:$Y$17,G$3,FALSE),1111)))))</f>
        <v>skill_4</v>
      </c>
      <c r="H14" s="33">
        <f>IF($D14=1,VLOOKUP($B14&amp;"_"&amp;$C14,起手特效!$A$4:$Y$17,H$3,FALSE),IF($D14=2,VLOOKUP($B14&amp;"_"&amp;$C14,主要特效!$A$4:$Y$17,H$3,FALSE),IF($D14=3,VLOOKUP($B14&amp;"_"&amp;$C14,辅助特效!$A$4:$Y$17,H$3,FALSE),IF($D14=4,VLOOKUP($B14&amp;"_"&amp;$C14,命中特效!$A$4:$Y$17,H$3,FALSE),IF($D14=5,VLOOKUP($B14&amp;"_"&amp;$C14,buff特效!$A$4:$Y$17,H$3,FALSE),1111)))))</f>
        <v>1.667</v>
      </c>
      <c r="I14" s="33">
        <f>IF($D14=1,VLOOKUP($B14&amp;"_"&amp;$C14,起手特效!$A$4:$Y$17,I$3,FALSE),IF($D14=2,VLOOKUP($B14&amp;"_"&amp;$C14,主要特效!$A$4:$Y$17,I$3,FALSE),IF($D14=3,VLOOKUP($B14&amp;"_"&amp;$C14,辅助特效!$A$4:$Y$17,I$3,FALSE),IF($D14=4,VLOOKUP($B14&amp;"_"&amp;$C14,命中特效!$A$4:$Y$17,I$3,FALSE),IF($D14=5,VLOOKUP($B14&amp;"_"&amp;$C14,buff特效!$A$4:$Y$17,I$3,FALSE),1111)))))</f>
        <v>0</v>
      </c>
      <c r="J14" s="33">
        <f>IF($D14=1,VLOOKUP($B14&amp;"_"&amp;$C14,起手特效!$A$4:$Y$17,J$3,FALSE),IF($D14=2,VLOOKUP($B14&amp;"_"&amp;$C14,主要特效!$A$4:$Y$17,J$3,FALSE),IF($D14=3,VLOOKUP($B14&amp;"_"&amp;$C14,辅助特效!$A$4:$Y$17,J$3,FALSE),IF($D14=4,VLOOKUP($B14&amp;"_"&amp;$C14,命中特效!$A$4:$Y$17,J$3,FALSE),IF($D14=5,VLOOKUP($B14&amp;"_"&amp;$C14,buff特效!$A$4:$Y$17,J$3,FALSE),1111)))))</f>
        <v>0</v>
      </c>
      <c r="K14" s="33">
        <f>IF($D14=1,VLOOKUP($B14&amp;"_"&amp;$C14,起手特效!$A$4:$Y$17,K$3,FALSE),IF($D14=2,VLOOKUP($B14&amp;"_"&amp;$C14,主要特效!$A$4:$Y$17,K$3,FALSE),IF($D14=3,VLOOKUP($B14&amp;"_"&amp;$C14,辅助特效!$A$4:$Y$17,K$3,FALSE),IF($D14=4,VLOOKUP($B14&amp;"_"&amp;$C14,命中特效!$A$4:$Y$17,K$3,FALSE),IF($D14=5,VLOOKUP($B14&amp;"_"&amp;$C14,buff特效!$A$4:$Y$17,K$3,FALSE),1111)))))</f>
        <v>0</v>
      </c>
      <c r="L14" s="33">
        <f>IF($D14=1,VLOOKUP($B14&amp;"_"&amp;$C14,起手特效!$A$4:$Y$17,L$3,FALSE),IF($D14=2,VLOOKUP($B14&amp;"_"&amp;$C14,主要特效!$A$4:$Y$17,L$3,FALSE),IF($D14=3,VLOOKUP($B14&amp;"_"&amp;$C14,辅助特效!$A$4:$Y$17,L$3,FALSE),IF($D14=4,VLOOKUP($B14&amp;"_"&amp;$C14,命中特效!$A$4:$Y$17,L$3,FALSE),IF($D14=5,VLOOKUP($B14&amp;"_"&amp;$C14,buff特效!$A$4:$Y$17,L$3,FALSE),1111)))))</f>
        <v>0</v>
      </c>
      <c r="M14" s="33" t="str">
        <f>IF($D14=1,VLOOKUP($B14&amp;"_"&amp;$C14,起手特效!$A$4:$Y$17,M$3,FALSE),IF($D14=2,VLOOKUP($B14&amp;"_"&amp;$C14,主要特效!$A$4:$Y$17,M$3,FALSE),IF($D14=3,VLOOKUP($B14&amp;"_"&amp;$C14,辅助特效!$A$4:$Y$17,M$3,FALSE),IF($D14=4,VLOOKUP($B14&amp;"_"&amp;$C14,命中特效!$A$4:$Y$17,M$3,FALSE),IF($D14=5,VLOOKUP($B14&amp;"_"&amp;$C14,buff特效!$A$4:$Y$17,M$3,FALSE),1111)))))</f>
        <v>[]</v>
      </c>
      <c r="N14" s="33" t="str">
        <f>IF($D14=1,VLOOKUP($B14&amp;"_"&amp;$C14,起手特效!$A$4:$Y$17,N$3,FALSE),IF($D14=2,VLOOKUP($B14&amp;"_"&amp;$C14,主要特效!$A$4:$Y$17,N$3,FALSE),IF($D14=3,VLOOKUP($B14&amp;"_"&amp;$C14,辅助特效!$A$4:$Y$17,N$3,FALSE),IF($D14=4,VLOOKUP($B14&amp;"_"&amp;$C14,命中特效!$A$4:$Y$17,N$3,FALSE),IF($D14=5,VLOOKUP($B14&amp;"_"&amp;$C14,buff特效!$A$4:$Y$17,N$3,FALSE),1111)))))</f>
        <v>[]</v>
      </c>
      <c r="O14" s="33">
        <f>IF($D14=1,VLOOKUP($B14&amp;"_"&amp;$C14,起手特效!$A$4:$Y$17,O$3,FALSE),IF($D14=2,VLOOKUP($B14&amp;"_"&amp;$C14,主要特效!$A$4:$Y$17,O$3,FALSE),IF($D14=3,VLOOKUP($B14&amp;"_"&amp;$C14,辅助特效!$A$4:$Y$17,O$3,FALSE),IF($D14=4,VLOOKUP($B14&amp;"_"&amp;$C14,命中特效!$A$4:$Y$17,O$3,FALSE),IF($D14=5,VLOOKUP($B14&amp;"_"&amp;$C14,buff特效!$A$4:$Y$17,O$3,FALSE),1111)))))</f>
        <v>5</v>
      </c>
      <c r="P14" s="33" t="str">
        <f>IF($D14=1,VLOOKUP($B14&amp;"_"&amp;$C14,起手特效!$A$4:$Y$17,P$3,FALSE),IF($D14=2,VLOOKUP($B14&amp;"_"&amp;$C14,主要特效!$A$4:$Y$17,P$3,FALSE),IF($D14=3,VLOOKUP($B14&amp;"_"&amp;$C14,辅助特效!$A$4:$Y$17,P$3,FALSE),IF($D14=4,VLOOKUP($B14&amp;"_"&amp;$C14,命中特效!$A$4:$Y$17,P$3,FALSE),IF($D14=5,VLOOKUP($B14&amp;"_"&amp;$C14,buff特效!$A$4:$Y$17,P$3,FALSE),1111)))))</f>
        <v>手填</v>
      </c>
      <c r="Q14" s="33">
        <f>IF($D14=1,VLOOKUP($B14&amp;"_"&amp;$C14,起手特效!$A$4:$Y$17,Q$3,FALSE),IF($D14=2,VLOOKUP($B14&amp;"_"&amp;$C14,主要特效!$A$4:$Y$17,Q$3,FALSE),IF($D14=3,VLOOKUP($B14&amp;"_"&amp;$C14,辅助特效!$A$4:$Y$17,Q$3,FALSE),IF($D14=4,VLOOKUP($B14&amp;"_"&amp;$C14,命中特效!$A$4:$Y$17,Q$3,FALSE),IF($D14=5,VLOOKUP($B14&amp;"_"&amp;$C14,buff特效!$A$4:$Y$17,Q$3,FALSE),1111)))))</f>
        <v>2</v>
      </c>
      <c r="R14" s="33">
        <f>IF($D14=1,VLOOKUP($B14&amp;"_"&amp;$C14,起手特效!$A$4:$Y$17,R$3,FALSE),IF($D14=2,VLOOKUP($B14&amp;"_"&amp;$C14,主要特效!$A$4:$Y$17,R$3,FALSE),IF($D14=3,VLOOKUP($B14&amp;"_"&amp;$C14,辅助特效!$A$4:$Y$17,R$3,FALSE),IF($D14=4,VLOOKUP($B14&amp;"_"&amp;$C14,命中特效!$A$4:$Y$17,R$3,FALSE),IF($D14=5,VLOOKUP($B14&amp;"_"&amp;$C14,buff特效!$A$4:$Y$17,R$3,FALSE),1111)))))</f>
        <v>0</v>
      </c>
      <c r="S14" s="33" t="str">
        <f>IF($D14=1,VLOOKUP($B14&amp;"_"&amp;$C14,起手特效!$A$4:$Y$17,S$3,FALSE),IF($D14=2,VLOOKUP($B14&amp;"_"&amp;$C14,主要特效!$A$4:$Y$17,S$3,FALSE),IF($D14=3,VLOOKUP($B14&amp;"_"&amp;$C14,辅助特效!$A$4:$Y$17,S$3,FALSE),IF($D14=4,VLOOKUP($B14&amp;"_"&amp;$C14,命中特效!$A$4:$Y$17,S$3,FALSE),IF($D14=5,VLOOKUP($B14&amp;"_"&amp;$C14,buff特效!$A$4:$Y$17,S$3,FALSE),1111)))))</f>
        <v>[]</v>
      </c>
      <c r="T14" s="33" t="str">
        <f>IF($D14=1,VLOOKUP($B14&amp;"_"&amp;$C14,起手特效!$A$4:$Y$17,T$3,FALSE),IF($D14=2,VLOOKUP($B14&amp;"_"&amp;$C14,主要特效!$A$4:$Y$17,T$3,FALSE),IF($D14=3,VLOOKUP($B14&amp;"_"&amp;$C14,辅助特效!$A$4:$Y$17,T$3,FALSE),IF($D14=4,VLOOKUP($B14&amp;"_"&amp;$C14,命中特效!$A$4:$Y$17,T$3,FALSE),IF($D14=5,VLOOKUP($B14&amp;"_"&amp;$C14,buff特效!$A$4:$Y$17,T$3,FALSE),1111)))))</f>
        <v>[]</v>
      </c>
      <c r="U14" s="33" t="str">
        <f>IF($D14=1,VLOOKUP($B14&amp;"_"&amp;$C14,起手特效!$A$4:$Y$17,U$3,FALSE),IF($D14=2,VLOOKUP($B14&amp;"_"&amp;$C14,主要特效!$A$4:$Y$17,U$3,FALSE),IF($D14=3,VLOOKUP($B14&amp;"_"&amp;$C14,辅助特效!$A$4:$Y$17,U$3,FALSE),IF($D14=4,VLOOKUP($B14&amp;"_"&amp;$C14,命中特效!$A$4:$Y$17,U$3,FALSE),IF($D14=5,VLOOKUP($B14&amp;"_"&amp;$C14,buff特效!$A$4:$Y$17,U$3,FALSE),1111)))))</f>
        <v>[]</v>
      </c>
      <c r="V14" s="33">
        <f>IF($D14=1,VLOOKUP($B14&amp;"_"&amp;$C14,起手特效!$A$4:$Y$17,V$3,FALSE),IF($D14=2,VLOOKUP($B14&amp;"_"&amp;$C14,主要特效!$A$4:$Y$17,V$3,FALSE),IF($D14=3,VLOOKUP($B14&amp;"_"&amp;$C14,辅助特效!$A$4:$Y$17,V$3,FALSE),IF($D14=4,VLOOKUP($B14&amp;"_"&amp;$C14,命中特效!$A$4:$Y$17,V$3,FALSE),IF($D14=5,VLOOKUP($B14&amp;"_"&amp;$C14,buff特效!$A$4:$Y$17,V$3,FALSE),1111)))))</f>
        <v>0</v>
      </c>
      <c r="W14" s="33">
        <f>IF($D14=1,VLOOKUP($B14&amp;"_"&amp;$C14,起手特效!$A$4:$Y$17,W$3,FALSE),IF($D14=2,VLOOKUP($B14&amp;"_"&amp;$C14,主要特效!$A$4:$Y$17,W$3,FALSE),IF($D14=3,VLOOKUP($B14&amp;"_"&amp;$C14,辅助特效!$A$4:$Y$17,W$3,FALSE),IF($D14=4,VLOOKUP($B14&amp;"_"&amp;$C14,命中特效!$A$4:$Y$17,W$3,FALSE),IF($D14=5,VLOOKUP($B14&amp;"_"&amp;$C14,buff特效!$A$4:$Y$17,W$3,FALSE),1111)))))</f>
        <v>0</v>
      </c>
      <c r="X14" s="33">
        <f>IF($D14=1,VLOOKUP($B14&amp;"_"&amp;$C14,起手特效!$A$4:$Y$17,X$3,FALSE),IF($D14=2,VLOOKUP($B14&amp;"_"&amp;$C14,主要特效!$A$4:$Y$17,X$3,FALSE),IF($D14=3,VLOOKUP($B14&amp;"_"&amp;$C14,辅助特效!$A$4:$Y$17,X$3,FALSE),IF($D14=4,VLOOKUP($B14&amp;"_"&amp;$C14,命中特效!$A$4:$Y$17,X$3,FALSE),IF($D14=5,VLOOKUP($B14&amp;"_"&amp;$C14,buff特效!$A$4:$Y$17,X$3,FALSE),1111)))))</f>
        <v>0</v>
      </c>
      <c r="Y14" s="33">
        <f>IF($D14=1,VLOOKUP($B14&amp;"_"&amp;$C14,起手特效!$A$4:$Y$17,Y$3,FALSE),IF($D14=2,VLOOKUP($B14&amp;"_"&amp;$C14,主要特效!$A$4:$Y$17,Y$3,FALSE),IF($D14=3,VLOOKUP($B14&amp;"_"&amp;$C14,辅助特效!$A$4:$Y$17,Y$3,FALSE),IF($D14=4,VLOOKUP($B14&amp;"_"&amp;$C14,命中特效!$A$4:$Y$17,Y$3,FALSE),IF($D14=5,VLOOKUP($B14&amp;"_"&amp;$C14,buff特效!$A$4:$Y$17,Y$3,FALSE),1111)))))</f>
        <v>0</v>
      </c>
      <c r="Z14" s="33">
        <f>IF($D14=1,VLOOKUP($B14&amp;"_"&amp;$C14,起手特效!$A$4:$Y$17,Z$3,FALSE),IF($D14=2,VLOOKUP($B14&amp;"_"&amp;$C14,主要特效!$A$4:$Y$17,Z$3,FALSE),IF($D14=3,VLOOKUP($B14&amp;"_"&amp;$C14,辅助特效!$A$4:$Y$17,Z$3,FALSE),IF($D14=4,VLOOKUP($B14&amp;"_"&amp;$C14,命中特效!$A$4:$Y$17,Z$3,FALSE),IF($D14=5,VLOOKUP($B14&amp;"_"&amp;$C14,buff特效!$A$4:$Y$17,Z$3,FALSE),1111)))))</f>
        <v>0</v>
      </c>
      <c r="AA14" s="33">
        <f>IF($D14=1,VLOOKUP($B14&amp;"_"&amp;$C14,起手特效!$A$4:$Y$17,AA$3,FALSE),IF($D14=2,VLOOKUP($B14&amp;"_"&amp;$C14,主要特效!$A$4:$Y$17,AA$3,FALSE),IF($D14=3,VLOOKUP($B14&amp;"_"&amp;$C14,辅助特效!$A$4:$Y$17,AA$3,FALSE),IF($D14=4,VLOOKUP($B14&amp;"_"&amp;$C14,命中特效!$A$4:$Y$17,AA$3,FALSE),IF($D14=5,VLOOKUP($B14&amp;"_"&amp;$C14,buff特效!$A$4:$Y$17,AA$3,FALSE),1111)))))</f>
        <v>0</v>
      </c>
      <c r="AB14" s="33">
        <f>IF($D14=1,VLOOKUP($B14&amp;"_"&amp;$C14,起手特效!$A$4:$Y$17,AB$3,FALSE),IF($D14=2,VLOOKUP($B14&amp;"_"&amp;$C14,主要特效!$A$4:$Y$17,AB$3,FALSE),IF($D14=3,VLOOKUP($B14&amp;"_"&amp;$C14,辅助特效!$A$4:$Y$17,AB$3,FALSE),IF($D14=4,VLOOKUP($B14&amp;"_"&amp;$C14,命中特效!$A$4:$Y$17,AB$3,FALSE),IF($D14=5,VLOOKUP($B14&amp;"_"&amp;$C14,buff特效!$A$4:$Y$17,AB$3,FALSE),1111)))))</f>
        <v>0</v>
      </c>
    </row>
    <row r="15" spans="1:28" x14ac:dyDescent="0.15">
      <c r="B15" s="32" t="str">
        <f t="shared" si="3"/>
        <v>tuotatianwang</v>
      </c>
      <c r="C15" s="32">
        <f t="shared" si="4"/>
        <v>1</v>
      </c>
      <c r="D15" s="32">
        <f t="shared" si="5"/>
        <v>2</v>
      </c>
      <c r="E15" s="33" t="str">
        <f>IF($D15=1,VLOOKUP($B15&amp;"_"&amp;$C15,起手特效!$A$4:$Y$17,E$3,FALSE),IF($D15=2,VLOOKUP($B15&amp;"_"&amp;$C15,主要特效!$A$4:$Y$17,E$3,FALSE),IF($D15=3,VLOOKUP($B15&amp;"_"&amp;$C15,辅助特效!$A$4:$Y$17,E$3,FALSE),IF($D15=4,VLOOKUP($B15&amp;"_"&amp;$C15,命中特效!$A$4:$Y$17,E$3,FALSE),IF($D15=5,VLOOKUP($B15&amp;"_"&amp;$C15,buff特效!$A$4:$Y$17,E$3,FALSE),1111)))))</f>
        <v>tuotatianwang_skill01</v>
      </c>
      <c r="F15" s="33" t="str">
        <f>IF($D15=1,VLOOKUP($B15&amp;"_"&amp;$C15,起手特效!$A$4:$Y$17,F$3,FALSE),IF($D15=2,VLOOKUP($B15&amp;"_"&amp;$C15,主要特效!$A$4:$Y$17,F$3,FALSE),IF($D15=3,VLOOKUP($B15&amp;"_"&amp;$C15,辅助特效!$A$4:$Y$17,F$3,FALSE),IF($D15=4,VLOOKUP($B15&amp;"_"&amp;$C15,命中特效!$A$4:$Y$17,F$3,FALSE),IF($D15=5,VLOOKUP($B15&amp;"_"&amp;$C15,buff特效!$A$4:$Y$17,F$3,FALSE),1111)))))</f>
        <v>tuotatianwang-核心技能</v>
      </c>
      <c r="G15" s="33" t="str">
        <f>IF($D15=1,VLOOKUP($B15&amp;"_"&amp;$C15,起手特效!$A$4:$Y$17,G$3,FALSE),IF($D15=2,VLOOKUP($B15&amp;"_"&amp;$C15,主要特效!$A$4:$Y$17,G$3,FALSE),IF($D15=3,VLOOKUP($B15&amp;"_"&amp;$C15,辅助特效!$A$4:$Y$17,G$3,FALSE),IF($D15=4,VLOOKUP($B15&amp;"_"&amp;$C15,命中特效!$A$4:$Y$17,G$3,FALSE),IF($D15=5,VLOOKUP($B15&amp;"_"&amp;$C15,buff特效!$A$4:$Y$17,G$3,FALSE),1111)))))</f>
        <v>skill_4</v>
      </c>
      <c r="H15" s="33">
        <f>IF($D15=1,VLOOKUP($B15&amp;"_"&amp;$C15,起手特效!$A$4:$Y$17,H$3,FALSE),IF($D15=2,VLOOKUP($B15&amp;"_"&amp;$C15,主要特效!$A$4:$Y$17,H$3,FALSE),IF($D15=3,VLOOKUP($B15&amp;"_"&amp;$C15,辅助特效!$A$4:$Y$17,H$3,FALSE),IF($D15=4,VLOOKUP($B15&amp;"_"&amp;$C15,命中特效!$A$4:$Y$17,H$3,FALSE),IF($D15=5,VLOOKUP($B15&amp;"_"&amp;$C15,buff特效!$A$4:$Y$17,H$3,FALSE),1111)))))</f>
        <v>1.667</v>
      </c>
      <c r="I15" s="33">
        <f>IF($D15=1,VLOOKUP($B15&amp;"_"&amp;$C15,起手特效!$A$4:$Y$17,I$3,FALSE),IF($D15=2,VLOOKUP($B15&amp;"_"&amp;$C15,主要特效!$A$4:$Y$17,I$3,FALSE),IF($D15=3,VLOOKUP($B15&amp;"_"&amp;$C15,辅助特效!$A$4:$Y$17,I$3,FALSE),IF($D15=4,VLOOKUP($B15&amp;"_"&amp;$C15,命中特效!$A$4:$Y$17,I$3,FALSE),IF($D15=5,VLOOKUP($B15&amp;"_"&amp;$C15,buff特效!$A$4:$Y$17,I$3,FALSE),1111)))))</f>
        <v>0</v>
      </c>
      <c r="J15" s="33">
        <f>IF($D15=1,VLOOKUP($B15&amp;"_"&amp;$C15,起手特效!$A$4:$Y$17,J$3,FALSE),IF($D15=2,VLOOKUP($B15&amp;"_"&amp;$C15,主要特效!$A$4:$Y$17,J$3,FALSE),IF($D15=3,VLOOKUP($B15&amp;"_"&amp;$C15,辅助特效!$A$4:$Y$17,J$3,FALSE),IF($D15=4,VLOOKUP($B15&amp;"_"&amp;$C15,命中特效!$A$4:$Y$17,J$3,FALSE),IF($D15=5,VLOOKUP($B15&amp;"_"&amp;$C15,buff特效!$A$4:$Y$17,J$3,FALSE),1111)))))</f>
        <v>1</v>
      </c>
      <c r="K15" s="33">
        <f>IF($D15=1,VLOOKUP($B15&amp;"_"&amp;$C15,起手特效!$A$4:$Y$17,K$3,FALSE),IF($D15=2,VLOOKUP($B15&amp;"_"&amp;$C15,主要特效!$A$4:$Y$17,K$3,FALSE),IF($D15=3,VLOOKUP($B15&amp;"_"&amp;$C15,辅助特效!$A$4:$Y$17,K$3,FALSE),IF($D15=4,VLOOKUP($B15&amp;"_"&amp;$C15,命中特效!$A$4:$Y$17,K$3,FALSE),IF($D15=5,VLOOKUP($B15&amp;"_"&amp;$C15,buff特效!$A$4:$Y$17,K$3,FALSE),1111)))))</f>
        <v>0</v>
      </c>
      <c r="L15" s="33">
        <f>IF($D15=1,VLOOKUP($B15&amp;"_"&amp;$C15,起手特效!$A$4:$Y$17,L$3,FALSE),IF($D15=2,VLOOKUP($B15&amp;"_"&amp;$C15,主要特效!$A$4:$Y$17,L$3,FALSE),IF($D15=3,VLOOKUP($B15&amp;"_"&amp;$C15,辅助特效!$A$4:$Y$17,L$3,FALSE),IF($D15=4,VLOOKUP($B15&amp;"_"&amp;$C15,命中特效!$A$4:$Y$17,L$3,FALSE),IF($D15=5,VLOOKUP($B15&amp;"_"&amp;$C15,buff特效!$A$4:$Y$17,L$3,FALSE),1111)))))</f>
        <v>1</v>
      </c>
      <c r="M15" s="33" t="str">
        <f>IF($D15=1,VLOOKUP($B15&amp;"_"&amp;$C15,起手特效!$A$4:$Y$17,M$3,FALSE),IF($D15=2,VLOOKUP($B15&amp;"_"&amp;$C15,主要特效!$A$4:$Y$17,M$3,FALSE),IF($D15=3,VLOOKUP($B15&amp;"_"&amp;$C15,辅助特效!$A$4:$Y$17,M$3,FALSE),IF($D15=4,VLOOKUP($B15&amp;"_"&amp;$C15,命中特效!$A$4:$Y$17,M$3,FALSE),IF($D15=5,VLOOKUP($B15&amp;"_"&amp;$C15,buff特效!$A$4:$Y$17,M$3,FALSE),1111)))))</f>
        <v>[]</v>
      </c>
      <c r="N15" s="33" t="str">
        <f>IF($D15=1,VLOOKUP($B15&amp;"_"&amp;$C15,起手特效!$A$4:$Y$17,N$3,FALSE),IF($D15=2,VLOOKUP($B15&amp;"_"&amp;$C15,主要特效!$A$4:$Y$17,N$3,FALSE),IF($D15=3,VLOOKUP($B15&amp;"_"&amp;$C15,辅助特效!$A$4:$Y$17,N$3,FALSE),IF($D15=4,VLOOKUP($B15&amp;"_"&amp;$C15,命中特效!$A$4:$Y$17,N$3,FALSE),IF($D15=5,VLOOKUP($B15&amp;"_"&amp;$C15,buff特效!$A$4:$Y$17,N$3,FALSE),1111)))))</f>
        <v>tuotatianwang_effect1</v>
      </c>
      <c r="O15" s="33">
        <f>IF($D15=1,VLOOKUP($B15&amp;"_"&amp;$C15,起手特效!$A$4:$Y$17,O$3,FALSE),IF($D15=2,VLOOKUP($B15&amp;"_"&amp;$C15,主要特效!$A$4:$Y$17,O$3,FALSE),IF($D15=3,VLOOKUP($B15&amp;"_"&amp;$C15,辅助特效!$A$4:$Y$17,O$3,FALSE),IF($D15=4,VLOOKUP($B15&amp;"_"&amp;$C15,命中特效!$A$4:$Y$17,O$3,FALSE),IF($D15=5,VLOOKUP($B15&amp;"_"&amp;$C15,buff特效!$A$4:$Y$17,O$3,FALSE),1111)))))</f>
        <v>5</v>
      </c>
      <c r="P15" s="33" t="str">
        <f>IF($D15=1,VLOOKUP($B15&amp;"_"&amp;$C15,起手特效!$A$4:$Y$17,P$3,FALSE),IF($D15=2,VLOOKUP($B15&amp;"_"&amp;$C15,主要特效!$A$4:$Y$17,P$3,FALSE),IF($D15=3,VLOOKUP($B15&amp;"_"&amp;$C15,辅助特效!$A$4:$Y$17,P$3,FALSE),IF($D15=4,VLOOKUP($B15&amp;"_"&amp;$C15,命中特效!$A$4:$Y$17,P$3,FALSE),IF($D15=5,VLOOKUP($B15&amp;"_"&amp;$C15,buff特效!$A$4:$Y$17,P$3,FALSE),1111)))))</f>
        <v>手填</v>
      </c>
      <c r="Q15" s="33">
        <f>IF($D15=1,VLOOKUP($B15&amp;"_"&amp;$C15,起手特效!$A$4:$Y$17,Q$3,FALSE),IF($D15=2,VLOOKUP($B15&amp;"_"&amp;$C15,主要特效!$A$4:$Y$17,Q$3,FALSE),IF($D15=3,VLOOKUP($B15&amp;"_"&amp;$C15,辅助特效!$A$4:$Y$17,Q$3,FALSE),IF($D15=4,VLOOKUP($B15&amp;"_"&amp;$C15,命中特效!$A$4:$Y$17,Q$3,FALSE),IF($D15=5,VLOOKUP($B15&amp;"_"&amp;$C15,buff特效!$A$4:$Y$17,Q$3,FALSE),1111)))))</f>
        <v>1</v>
      </c>
      <c r="R15" s="33">
        <f>IF($D15=1,VLOOKUP($B15&amp;"_"&amp;$C15,起手特效!$A$4:$Y$17,R$3,FALSE),IF($D15=2,VLOOKUP($B15&amp;"_"&amp;$C15,主要特效!$A$4:$Y$17,R$3,FALSE),IF($D15=3,VLOOKUP($B15&amp;"_"&amp;$C15,辅助特效!$A$4:$Y$17,R$3,FALSE),IF($D15=4,VLOOKUP($B15&amp;"_"&amp;$C15,命中特效!$A$4:$Y$17,R$3,FALSE),IF($D15=5,VLOOKUP($B15&amp;"_"&amp;$C15,buff特效!$A$4:$Y$17,R$3,FALSE),1111)))))</f>
        <v>0</v>
      </c>
      <c r="S15" s="33" t="str">
        <f>IF($D15=1,VLOOKUP($B15&amp;"_"&amp;$C15,起手特效!$A$4:$Y$17,S$3,FALSE),IF($D15=2,VLOOKUP($B15&amp;"_"&amp;$C15,主要特效!$A$4:$Y$17,S$3,FALSE),IF($D15=3,VLOOKUP($B15&amp;"_"&amp;$C15,辅助特效!$A$4:$Y$17,S$3,FALSE),IF($D15=4,VLOOKUP($B15&amp;"_"&amp;$C15,命中特效!$A$4:$Y$17,S$3,FALSE),IF($D15=5,VLOOKUP($B15&amp;"_"&amp;$C15,buff特效!$A$4:$Y$17,S$3,FALSE),1111)))))</f>
        <v>[]</v>
      </c>
      <c r="T15" s="33" t="str">
        <f>IF($D15=1,VLOOKUP($B15&amp;"_"&amp;$C15,起手特效!$A$4:$Y$17,T$3,FALSE),IF($D15=2,VLOOKUP($B15&amp;"_"&amp;$C15,主要特效!$A$4:$Y$17,T$3,FALSE),IF($D15=3,VLOOKUP($B15&amp;"_"&amp;$C15,辅助特效!$A$4:$Y$17,T$3,FALSE),IF($D15=4,VLOOKUP($B15&amp;"_"&amp;$C15,命中特效!$A$4:$Y$17,T$3,FALSE),IF($D15=5,VLOOKUP($B15&amp;"_"&amp;$C15,buff特效!$A$4:$Y$17,T$3,FALSE),1111)))))</f>
        <v>[]</v>
      </c>
      <c r="U15" s="33" t="str">
        <f>IF($D15=1,VLOOKUP($B15&amp;"_"&amp;$C15,起手特效!$A$4:$Y$17,U$3,FALSE),IF($D15=2,VLOOKUP($B15&amp;"_"&amp;$C15,主要特效!$A$4:$Y$17,U$3,FALSE),IF($D15=3,VLOOKUP($B15&amp;"_"&amp;$C15,辅助特效!$A$4:$Y$17,U$3,FALSE),IF($D15=4,VLOOKUP($B15&amp;"_"&amp;$C15,命中特效!$A$4:$Y$17,U$3,FALSE),IF($D15=5,VLOOKUP($B15&amp;"_"&amp;$C15,buff特效!$A$4:$Y$17,U$3,FALSE),1111)))))</f>
        <v>[]</v>
      </c>
      <c r="V15" s="33">
        <f>IF($D15=1,VLOOKUP($B15&amp;"_"&amp;$C15,起手特效!$A$4:$Y$17,V$3,FALSE),IF($D15=2,VLOOKUP($B15&amp;"_"&amp;$C15,主要特效!$A$4:$Y$17,V$3,FALSE),IF($D15=3,VLOOKUP($B15&amp;"_"&amp;$C15,辅助特效!$A$4:$Y$17,V$3,FALSE),IF($D15=4,VLOOKUP($B15&amp;"_"&amp;$C15,命中特效!$A$4:$Y$17,V$3,FALSE),IF($D15=5,VLOOKUP($B15&amp;"_"&amp;$C15,buff特效!$A$4:$Y$17,V$3,FALSE),1111)))))</f>
        <v>0</v>
      </c>
      <c r="W15" s="33">
        <f>IF($D15=1,VLOOKUP($B15&amp;"_"&amp;$C15,起手特效!$A$4:$Y$17,W$3,FALSE),IF($D15=2,VLOOKUP($B15&amp;"_"&amp;$C15,主要特效!$A$4:$Y$17,W$3,FALSE),IF($D15=3,VLOOKUP($B15&amp;"_"&amp;$C15,辅助特效!$A$4:$Y$17,W$3,FALSE),IF($D15=4,VLOOKUP($B15&amp;"_"&amp;$C15,命中特效!$A$4:$Y$17,W$3,FALSE),IF($D15=5,VLOOKUP($B15&amp;"_"&amp;$C15,buff特效!$A$4:$Y$17,W$3,FALSE),1111)))))</f>
        <v>0</v>
      </c>
      <c r="X15" s="33">
        <f>IF($D15=1,VLOOKUP($B15&amp;"_"&amp;$C15,起手特效!$A$4:$Y$17,X$3,FALSE),IF($D15=2,VLOOKUP($B15&amp;"_"&amp;$C15,主要特效!$A$4:$Y$17,X$3,FALSE),IF($D15=3,VLOOKUP($B15&amp;"_"&amp;$C15,辅助特效!$A$4:$Y$17,X$3,FALSE),IF($D15=4,VLOOKUP($B15&amp;"_"&amp;$C15,命中特效!$A$4:$Y$17,X$3,FALSE),IF($D15=5,VLOOKUP($B15&amp;"_"&amp;$C15,buff特效!$A$4:$Y$17,X$3,FALSE),1111)))))</f>
        <v>0</v>
      </c>
      <c r="Y15" s="33">
        <f>IF($D15=1,VLOOKUP($B15&amp;"_"&amp;$C15,起手特效!$A$4:$Y$17,Y$3,FALSE),IF($D15=2,VLOOKUP($B15&amp;"_"&amp;$C15,主要特效!$A$4:$Y$17,Y$3,FALSE),IF($D15=3,VLOOKUP($B15&amp;"_"&amp;$C15,辅助特效!$A$4:$Y$17,Y$3,FALSE),IF($D15=4,VLOOKUP($B15&amp;"_"&amp;$C15,命中特效!$A$4:$Y$17,Y$3,FALSE),IF($D15=5,VLOOKUP($B15&amp;"_"&amp;$C15,buff特效!$A$4:$Y$17,Y$3,FALSE),1111)))))</f>
        <v>0</v>
      </c>
      <c r="Z15" s="33">
        <f>IF($D15=1,VLOOKUP($B15&amp;"_"&amp;$C15,起手特效!$A$4:$Y$17,Z$3,FALSE),IF($D15=2,VLOOKUP($B15&amp;"_"&amp;$C15,主要特效!$A$4:$Y$17,Z$3,FALSE),IF($D15=3,VLOOKUP($B15&amp;"_"&amp;$C15,辅助特效!$A$4:$Y$17,Z$3,FALSE),IF($D15=4,VLOOKUP($B15&amp;"_"&amp;$C15,命中特效!$A$4:$Y$17,Z$3,FALSE),IF($D15=5,VLOOKUP($B15&amp;"_"&amp;$C15,buff特效!$A$4:$Y$17,Z$3,FALSE),1111)))))</f>
        <v>0</v>
      </c>
      <c r="AA15" s="33">
        <f>IF($D15=1,VLOOKUP($B15&amp;"_"&amp;$C15,起手特效!$A$4:$Y$17,AA$3,FALSE),IF($D15=2,VLOOKUP($B15&amp;"_"&amp;$C15,主要特效!$A$4:$Y$17,AA$3,FALSE),IF($D15=3,VLOOKUP($B15&amp;"_"&amp;$C15,辅助特效!$A$4:$Y$17,AA$3,FALSE),IF($D15=4,VLOOKUP($B15&amp;"_"&amp;$C15,命中特效!$A$4:$Y$17,AA$3,FALSE),IF($D15=5,VLOOKUP($B15&amp;"_"&amp;$C15,buff特效!$A$4:$Y$17,AA$3,FALSE),1111)))))</f>
        <v>0</v>
      </c>
      <c r="AB15" s="33">
        <f>IF($D15=1,VLOOKUP($B15&amp;"_"&amp;$C15,起手特效!$A$4:$Y$17,AB$3,FALSE),IF($D15=2,VLOOKUP($B15&amp;"_"&amp;$C15,主要特效!$A$4:$Y$17,AB$3,FALSE),IF($D15=3,VLOOKUP($B15&amp;"_"&amp;$C15,辅助特效!$A$4:$Y$17,AB$3,FALSE),IF($D15=4,VLOOKUP($B15&amp;"_"&amp;$C15,命中特效!$A$4:$Y$17,AB$3,FALSE),IF($D15=5,VLOOKUP($B15&amp;"_"&amp;$C15,buff特效!$A$4:$Y$17,AB$3,FALSE),1111)))))</f>
        <v>0</v>
      </c>
    </row>
    <row r="16" spans="1:28" x14ac:dyDescent="0.15">
      <c r="B16" s="32" t="str">
        <f t="shared" si="3"/>
        <v>tuotatianwang</v>
      </c>
      <c r="C16" s="32">
        <f t="shared" si="4"/>
        <v>1</v>
      </c>
      <c r="D16" s="32">
        <f t="shared" si="5"/>
        <v>3</v>
      </c>
      <c r="E16" s="33" t="str">
        <f>IF($D16=1,VLOOKUP($B16&amp;"_"&amp;$C16,起手特效!$A$4:$Y$17,E$3,FALSE),IF($D16=2,VLOOKUP($B16&amp;"_"&amp;$C16,主要特效!$A$4:$Y$17,E$3,FALSE),IF($D16=3,VLOOKUP($B16&amp;"_"&amp;$C16,辅助特效!$A$4:$Y$17,E$3,FALSE),IF($D16=4,VLOOKUP($B16&amp;"_"&amp;$C16,命中特效!$A$4:$Y$17,E$3,FALSE),IF($D16=5,VLOOKUP($B16&amp;"_"&amp;$C16,buff特效!$A$4:$Y$17,E$3,FALSE),1111)))))</f>
        <v>[]</v>
      </c>
      <c r="F16" s="33" t="str">
        <f>IF($D16=1,VLOOKUP($B16&amp;"_"&amp;$C16,起手特效!$A$4:$Y$17,F$3,FALSE),IF($D16=2,VLOOKUP($B16&amp;"_"&amp;$C16,主要特效!$A$4:$Y$17,F$3,FALSE),IF($D16=3,VLOOKUP($B16&amp;"_"&amp;$C16,辅助特效!$A$4:$Y$17,F$3,FALSE),IF($D16=4,VLOOKUP($B16&amp;"_"&amp;$C16,命中特效!$A$4:$Y$17,F$3,FALSE),IF($D16=5,VLOOKUP($B16&amp;"_"&amp;$C16,buff特效!$A$4:$Y$17,F$3,FALSE),1111)))))</f>
        <v>[]</v>
      </c>
      <c r="G16" s="33" t="str">
        <f>IF($D16=1,VLOOKUP($B16&amp;"_"&amp;$C16,起手特效!$A$4:$Y$17,G$3,FALSE),IF($D16=2,VLOOKUP($B16&amp;"_"&amp;$C16,主要特效!$A$4:$Y$17,G$3,FALSE),IF($D16=3,VLOOKUP($B16&amp;"_"&amp;$C16,辅助特效!$A$4:$Y$17,G$3,FALSE),IF($D16=4,VLOOKUP($B16&amp;"_"&amp;$C16,命中特效!$A$4:$Y$17,G$3,FALSE),IF($D16=5,VLOOKUP($B16&amp;"_"&amp;$C16,buff特效!$A$4:$Y$17,G$3,FALSE),1111)))))</f>
        <v>skill_4</v>
      </c>
      <c r="H16" s="33">
        <f>IF($D16=1,VLOOKUP($B16&amp;"_"&amp;$C16,起手特效!$A$4:$Y$17,H$3,FALSE),IF($D16=2,VLOOKUP($B16&amp;"_"&amp;$C16,主要特效!$A$4:$Y$17,H$3,FALSE),IF($D16=3,VLOOKUP($B16&amp;"_"&amp;$C16,辅助特效!$A$4:$Y$17,H$3,FALSE),IF($D16=4,VLOOKUP($B16&amp;"_"&amp;$C16,命中特效!$A$4:$Y$17,H$3,FALSE),IF($D16=5,VLOOKUP($B16&amp;"_"&amp;$C16,buff特效!$A$4:$Y$17,H$3,FALSE),1111)))))</f>
        <v>1.667</v>
      </c>
      <c r="I16" s="33">
        <f>IF($D16=1,VLOOKUP($B16&amp;"_"&amp;$C16,起手特效!$A$4:$Y$17,I$3,FALSE),IF($D16=2,VLOOKUP($B16&amp;"_"&amp;$C16,主要特效!$A$4:$Y$17,I$3,FALSE),IF($D16=3,VLOOKUP($B16&amp;"_"&amp;$C16,辅助特效!$A$4:$Y$17,I$3,FALSE),IF($D16=4,VLOOKUP($B16&amp;"_"&amp;$C16,命中特效!$A$4:$Y$17,I$3,FALSE),IF($D16=5,VLOOKUP($B16&amp;"_"&amp;$C16,buff特效!$A$4:$Y$17,I$3,FALSE),1111)))))</f>
        <v>0</v>
      </c>
      <c r="J16" s="33">
        <f>IF($D16=1,VLOOKUP($B16&amp;"_"&amp;$C16,起手特效!$A$4:$Y$17,J$3,FALSE),IF($D16=2,VLOOKUP($B16&amp;"_"&amp;$C16,主要特效!$A$4:$Y$17,J$3,FALSE),IF($D16=3,VLOOKUP($B16&amp;"_"&amp;$C16,辅助特效!$A$4:$Y$17,J$3,FALSE),IF($D16=4,VLOOKUP($B16&amp;"_"&amp;$C16,命中特效!$A$4:$Y$17,J$3,FALSE),IF($D16=5,VLOOKUP($B16&amp;"_"&amp;$C16,buff特效!$A$4:$Y$17,J$3,FALSE),1111)))))</f>
        <v>1</v>
      </c>
      <c r="K16" s="33">
        <f>IF($D16=1,VLOOKUP($B16&amp;"_"&amp;$C16,起手特效!$A$4:$Y$17,K$3,FALSE),IF($D16=2,VLOOKUP($B16&amp;"_"&amp;$C16,主要特效!$A$4:$Y$17,K$3,FALSE),IF($D16=3,VLOOKUP($B16&amp;"_"&amp;$C16,辅助特效!$A$4:$Y$17,K$3,FALSE),IF($D16=4,VLOOKUP($B16&amp;"_"&amp;$C16,命中特效!$A$4:$Y$17,K$3,FALSE),IF($D16=5,VLOOKUP($B16&amp;"_"&amp;$C16,buff特效!$A$4:$Y$17,K$3,FALSE),1111)))))</f>
        <v>0</v>
      </c>
      <c r="L16" s="33">
        <f>IF($D16=1,VLOOKUP($B16&amp;"_"&amp;$C16,起手特效!$A$4:$Y$17,L$3,FALSE),IF($D16=2,VLOOKUP($B16&amp;"_"&amp;$C16,主要特效!$A$4:$Y$17,L$3,FALSE),IF($D16=3,VLOOKUP($B16&amp;"_"&amp;$C16,辅助特效!$A$4:$Y$17,L$3,FALSE),IF($D16=4,VLOOKUP($B16&amp;"_"&amp;$C16,命中特效!$A$4:$Y$17,L$3,FALSE),IF($D16=5,VLOOKUP($B16&amp;"_"&amp;$C16,buff特效!$A$4:$Y$17,L$3,FALSE),1111)))))</f>
        <v>1</v>
      </c>
      <c r="M16" s="33" t="str">
        <f>IF($D16=1,VLOOKUP($B16&amp;"_"&amp;$C16,起手特效!$A$4:$Y$17,M$3,FALSE),IF($D16=2,VLOOKUP($B16&amp;"_"&amp;$C16,主要特效!$A$4:$Y$17,M$3,FALSE),IF($D16=3,VLOOKUP($B16&amp;"_"&amp;$C16,辅助特效!$A$4:$Y$17,M$3,FALSE),IF($D16=4,VLOOKUP($B16&amp;"_"&amp;$C16,命中特效!$A$4:$Y$17,M$3,FALSE),IF($D16=5,VLOOKUP($B16&amp;"_"&amp;$C16,buff特效!$A$4:$Y$17,M$3,FALSE),1111)))))</f>
        <v>[]</v>
      </c>
      <c r="N16" s="33" t="str">
        <f>IF($D16=1,VLOOKUP($B16&amp;"_"&amp;$C16,起手特效!$A$4:$Y$17,N$3,FALSE),IF($D16=2,VLOOKUP($B16&amp;"_"&amp;$C16,主要特效!$A$4:$Y$17,N$3,FALSE),IF($D16=3,VLOOKUP($B16&amp;"_"&amp;$C16,辅助特效!$A$4:$Y$17,N$3,FALSE),IF($D16=4,VLOOKUP($B16&amp;"_"&amp;$C16,命中特效!$A$4:$Y$17,N$3,FALSE),IF($D16=5,VLOOKUP($B16&amp;"_"&amp;$C16,buff特效!$A$4:$Y$17,N$3,FALSE),1111)))))</f>
        <v>[]</v>
      </c>
      <c r="O16" s="33">
        <f>IF($D16=1,VLOOKUP($B16&amp;"_"&amp;$C16,起手特效!$A$4:$Y$17,O$3,FALSE),IF($D16=2,VLOOKUP($B16&amp;"_"&amp;$C16,主要特效!$A$4:$Y$17,O$3,FALSE),IF($D16=3,VLOOKUP($B16&amp;"_"&amp;$C16,辅助特效!$A$4:$Y$17,O$3,FALSE),IF($D16=4,VLOOKUP($B16&amp;"_"&amp;$C16,命中特效!$A$4:$Y$17,O$3,FALSE),IF($D16=5,VLOOKUP($B16&amp;"_"&amp;$C16,buff特效!$A$4:$Y$17,O$3,FALSE),1111)))))</f>
        <v>5</v>
      </c>
      <c r="P16" s="33" t="str">
        <f>IF($D16=1,VLOOKUP($B16&amp;"_"&amp;$C16,起手特效!$A$4:$Y$17,P$3,FALSE),IF($D16=2,VLOOKUP($B16&amp;"_"&amp;$C16,主要特效!$A$4:$Y$17,P$3,FALSE),IF($D16=3,VLOOKUP($B16&amp;"_"&amp;$C16,辅助特效!$A$4:$Y$17,P$3,FALSE),IF($D16=4,VLOOKUP($B16&amp;"_"&amp;$C16,命中特效!$A$4:$Y$17,P$3,FALSE),IF($D16=5,VLOOKUP($B16&amp;"_"&amp;$C16,buff特效!$A$4:$Y$17,P$3,FALSE),1111)))))</f>
        <v>手填</v>
      </c>
      <c r="Q16" s="33">
        <f>IF($D16=1,VLOOKUP($B16&amp;"_"&amp;$C16,起手特效!$A$4:$Y$17,Q$3,FALSE),IF($D16=2,VLOOKUP($B16&amp;"_"&amp;$C16,主要特效!$A$4:$Y$17,Q$3,FALSE),IF($D16=3,VLOOKUP($B16&amp;"_"&amp;$C16,辅助特效!$A$4:$Y$17,Q$3,FALSE),IF($D16=4,VLOOKUP($B16&amp;"_"&amp;$C16,命中特效!$A$4:$Y$17,Q$3,FALSE),IF($D16=5,VLOOKUP($B16&amp;"_"&amp;$C16,buff特效!$A$4:$Y$17,Q$3,FALSE),1111)))))</f>
        <v>1</v>
      </c>
      <c r="R16" s="33" t="str">
        <f>IF($D16=1,VLOOKUP($B16&amp;"_"&amp;$C16,起手特效!$A$4:$Y$17,R$3,FALSE),IF($D16=2,VLOOKUP($B16&amp;"_"&amp;$C16,主要特效!$A$4:$Y$17,R$3,FALSE),IF($D16=3,VLOOKUP($B16&amp;"_"&amp;$C16,辅助特效!$A$4:$Y$17,R$3,FALSE),IF($D16=4,VLOOKUP($B16&amp;"_"&amp;$C16,命中特效!$A$4:$Y$17,R$3,FALSE),IF($D16=5,VLOOKUP($B16&amp;"_"&amp;$C16,buff特效!$A$4:$Y$17,R$3,FALSE),1111)))))</f>
        <v>手填</v>
      </c>
      <c r="S16" s="33" t="str">
        <f>IF($D16=1,VLOOKUP($B16&amp;"_"&amp;$C16,起手特效!$A$4:$Y$17,S$3,FALSE),IF($D16=2,VLOOKUP($B16&amp;"_"&amp;$C16,主要特效!$A$4:$Y$17,S$3,FALSE),IF($D16=3,VLOOKUP($B16&amp;"_"&amp;$C16,辅助特效!$A$4:$Y$17,S$3,FALSE),IF($D16=4,VLOOKUP($B16&amp;"_"&amp;$C16,命中特效!$A$4:$Y$17,S$3,FALSE),IF($D16=5,VLOOKUP($B16&amp;"_"&amp;$C16,buff特效!$A$4:$Y$17,S$3,FALSE),1111)))))</f>
        <v>手填</v>
      </c>
      <c r="T16" s="33" t="str">
        <f>IF($D16=1,VLOOKUP($B16&amp;"_"&amp;$C16,起手特效!$A$4:$Y$17,T$3,FALSE),IF($D16=2,VLOOKUP($B16&amp;"_"&amp;$C16,主要特效!$A$4:$Y$17,T$3,FALSE),IF($D16=3,VLOOKUP($B16&amp;"_"&amp;$C16,辅助特效!$A$4:$Y$17,T$3,FALSE),IF($D16=4,VLOOKUP($B16&amp;"_"&amp;$C16,命中特效!$A$4:$Y$17,T$3,FALSE),IF($D16=5,VLOOKUP($B16&amp;"_"&amp;$C16,buff特效!$A$4:$Y$17,T$3,FALSE),1111)))))</f>
        <v>[]</v>
      </c>
      <c r="U16" s="33" t="str">
        <f>IF($D16=1,VLOOKUP($B16&amp;"_"&amp;$C16,起手特效!$A$4:$Y$17,U$3,FALSE),IF($D16=2,VLOOKUP($B16&amp;"_"&amp;$C16,主要特效!$A$4:$Y$17,U$3,FALSE),IF($D16=3,VLOOKUP($B16&amp;"_"&amp;$C16,辅助特效!$A$4:$Y$17,U$3,FALSE),IF($D16=4,VLOOKUP($B16&amp;"_"&amp;$C16,命中特效!$A$4:$Y$17,U$3,FALSE),IF($D16=5,VLOOKUP($B16&amp;"_"&amp;$C16,buff特效!$A$4:$Y$17,U$3,FALSE),1111)))))</f>
        <v>[]</v>
      </c>
      <c r="V16" s="33">
        <f>IF($D16=1,VLOOKUP($B16&amp;"_"&amp;$C16,起手特效!$A$4:$Y$17,V$3,FALSE),IF($D16=2,VLOOKUP($B16&amp;"_"&amp;$C16,主要特效!$A$4:$Y$17,V$3,FALSE),IF($D16=3,VLOOKUP($B16&amp;"_"&amp;$C16,辅助特效!$A$4:$Y$17,V$3,FALSE),IF($D16=4,VLOOKUP($B16&amp;"_"&amp;$C16,命中特效!$A$4:$Y$17,V$3,FALSE),IF($D16=5,VLOOKUP($B16&amp;"_"&amp;$C16,buff特效!$A$4:$Y$17,V$3,FALSE),1111)))))</f>
        <v>0</v>
      </c>
      <c r="W16" s="33">
        <f>IF($D16=1,VLOOKUP($B16&amp;"_"&amp;$C16,起手特效!$A$4:$Y$17,W$3,FALSE),IF($D16=2,VLOOKUP($B16&amp;"_"&amp;$C16,主要特效!$A$4:$Y$17,W$3,FALSE),IF($D16=3,VLOOKUP($B16&amp;"_"&amp;$C16,辅助特效!$A$4:$Y$17,W$3,FALSE),IF($D16=4,VLOOKUP($B16&amp;"_"&amp;$C16,命中特效!$A$4:$Y$17,W$3,FALSE),IF($D16=5,VLOOKUP($B16&amp;"_"&amp;$C16,buff特效!$A$4:$Y$17,W$3,FALSE),1111)))))</f>
        <v>0</v>
      </c>
      <c r="X16" s="33">
        <f>IF($D16=1,VLOOKUP($B16&amp;"_"&amp;$C16,起手特效!$A$4:$Y$17,X$3,FALSE),IF($D16=2,VLOOKUP($B16&amp;"_"&amp;$C16,主要特效!$A$4:$Y$17,X$3,FALSE),IF($D16=3,VLOOKUP($B16&amp;"_"&amp;$C16,辅助特效!$A$4:$Y$17,X$3,FALSE),IF($D16=4,VLOOKUP($B16&amp;"_"&amp;$C16,命中特效!$A$4:$Y$17,X$3,FALSE),IF($D16=5,VLOOKUP($B16&amp;"_"&amp;$C16,buff特效!$A$4:$Y$17,X$3,FALSE),1111)))))</f>
        <v>0</v>
      </c>
      <c r="Y16" s="33">
        <f>IF($D16=1,VLOOKUP($B16&amp;"_"&amp;$C16,起手特效!$A$4:$Y$17,Y$3,FALSE),IF($D16=2,VLOOKUP($B16&amp;"_"&amp;$C16,主要特效!$A$4:$Y$17,Y$3,FALSE),IF($D16=3,VLOOKUP($B16&amp;"_"&amp;$C16,辅助特效!$A$4:$Y$17,Y$3,FALSE),IF($D16=4,VLOOKUP($B16&amp;"_"&amp;$C16,命中特效!$A$4:$Y$17,Y$3,FALSE),IF($D16=5,VLOOKUP($B16&amp;"_"&amp;$C16,buff特效!$A$4:$Y$17,Y$3,FALSE),1111)))))</f>
        <v>0</v>
      </c>
      <c r="Z16" s="33">
        <f>IF($D16=1,VLOOKUP($B16&amp;"_"&amp;$C16,起手特效!$A$4:$Y$17,Z$3,FALSE),IF($D16=2,VLOOKUP($B16&amp;"_"&amp;$C16,主要特效!$A$4:$Y$17,Z$3,FALSE),IF($D16=3,VLOOKUP($B16&amp;"_"&amp;$C16,辅助特效!$A$4:$Y$17,Z$3,FALSE),IF($D16=4,VLOOKUP($B16&amp;"_"&amp;$C16,命中特效!$A$4:$Y$17,Z$3,FALSE),IF($D16=5,VLOOKUP($B16&amp;"_"&amp;$C16,buff特效!$A$4:$Y$17,Z$3,FALSE),1111)))))</f>
        <v>0</v>
      </c>
      <c r="AA16" s="33">
        <f>IF($D16=1,VLOOKUP($B16&amp;"_"&amp;$C16,起手特效!$A$4:$Y$17,AA$3,FALSE),IF($D16=2,VLOOKUP($B16&amp;"_"&amp;$C16,主要特效!$A$4:$Y$17,AA$3,FALSE),IF($D16=3,VLOOKUP($B16&amp;"_"&amp;$C16,辅助特效!$A$4:$Y$17,AA$3,FALSE),IF($D16=4,VLOOKUP($B16&amp;"_"&amp;$C16,命中特效!$A$4:$Y$17,AA$3,FALSE),IF($D16=5,VLOOKUP($B16&amp;"_"&amp;$C16,buff特效!$A$4:$Y$17,AA$3,FALSE),1111)))))</f>
        <v>0</v>
      </c>
      <c r="AB16" s="33">
        <f>IF($D16=1,VLOOKUP($B16&amp;"_"&amp;$C16,起手特效!$A$4:$Y$17,AB$3,FALSE),IF($D16=2,VLOOKUP($B16&amp;"_"&amp;$C16,主要特效!$A$4:$Y$17,AB$3,FALSE),IF($D16=3,VLOOKUP($B16&amp;"_"&amp;$C16,辅助特效!$A$4:$Y$17,AB$3,FALSE),IF($D16=4,VLOOKUP($B16&amp;"_"&amp;$C16,命中特效!$A$4:$Y$17,AB$3,FALSE),IF($D16=5,VLOOKUP($B16&amp;"_"&amp;$C16,buff特效!$A$4:$Y$17,AB$3,FALSE),1111)))))</f>
        <v>0</v>
      </c>
    </row>
    <row r="17" spans="2:28" x14ac:dyDescent="0.15">
      <c r="B17" s="32" t="str">
        <f t="shared" si="3"/>
        <v>tuotatianwang</v>
      </c>
      <c r="C17" s="32">
        <f t="shared" si="4"/>
        <v>1</v>
      </c>
      <c r="D17" s="32">
        <f t="shared" si="5"/>
        <v>4</v>
      </c>
      <c r="E17" s="33" t="str">
        <f>IF($D17=1,VLOOKUP($B17&amp;"_"&amp;$C17,起手特效!$A$4:$Y$17,E$3,FALSE),IF($D17=2,VLOOKUP($B17&amp;"_"&amp;$C17,主要特效!$A$4:$Y$17,E$3,FALSE),IF($D17=3,VLOOKUP($B17&amp;"_"&amp;$C17,辅助特效!$A$4:$Y$17,E$3,FALSE),IF($D17=4,VLOOKUP($B17&amp;"_"&amp;$C17,命中特效!$A$4:$Y$17,E$3,FALSE),IF($D17=5,VLOOKUP($B17&amp;"_"&amp;$C17,buff特效!$A$4:$Y$17,E$3,FALSE),1111)))))</f>
        <v>[]</v>
      </c>
      <c r="F17" s="33" t="str">
        <f>IF($D17=1,VLOOKUP($B17&amp;"_"&amp;$C17,起手特效!$A$4:$Y$17,F$3,FALSE),IF($D17=2,VLOOKUP($B17&amp;"_"&amp;$C17,主要特效!$A$4:$Y$17,F$3,FALSE),IF($D17=3,VLOOKUP($B17&amp;"_"&amp;$C17,辅助特效!$A$4:$Y$17,F$3,FALSE),IF($D17=4,VLOOKUP($B17&amp;"_"&amp;$C17,命中特效!$A$4:$Y$17,F$3,FALSE),IF($D17=5,VLOOKUP($B17&amp;"_"&amp;$C17,buff特效!$A$4:$Y$17,F$3,FALSE),1111)))))</f>
        <v>[]</v>
      </c>
      <c r="G17" s="33" t="str">
        <f>IF($D17=1,VLOOKUP($B17&amp;"_"&amp;$C17,起手特效!$A$4:$Y$17,G$3,FALSE),IF($D17=2,VLOOKUP($B17&amp;"_"&amp;$C17,主要特效!$A$4:$Y$17,G$3,FALSE),IF($D17=3,VLOOKUP($B17&amp;"_"&amp;$C17,辅助特效!$A$4:$Y$17,G$3,FALSE),IF($D17=4,VLOOKUP($B17&amp;"_"&amp;$C17,命中特效!$A$4:$Y$17,G$3,FALSE),IF($D17=5,VLOOKUP($B17&amp;"_"&amp;$C17,buff特效!$A$4:$Y$17,G$3,FALSE),1111)))))</f>
        <v>[]</v>
      </c>
      <c r="H17" s="33">
        <f>IF($D17=1,VLOOKUP($B17&amp;"_"&amp;$C17,起手特效!$A$4:$Y$17,H$3,FALSE),IF($D17=2,VLOOKUP($B17&amp;"_"&amp;$C17,主要特效!$A$4:$Y$17,H$3,FALSE),IF($D17=3,VLOOKUP($B17&amp;"_"&amp;$C17,辅助特效!$A$4:$Y$17,H$3,FALSE),IF($D17=4,VLOOKUP($B17&amp;"_"&amp;$C17,命中特效!$A$4:$Y$17,H$3,FALSE),IF($D17=5,VLOOKUP($B17&amp;"_"&amp;$C17,buff特效!$A$4:$Y$17,H$3,FALSE),1111)))))</f>
        <v>0</v>
      </c>
      <c r="I17" s="33">
        <f>IF($D17=1,VLOOKUP($B17&amp;"_"&amp;$C17,起手特效!$A$4:$Y$17,I$3,FALSE),IF($D17=2,VLOOKUP($B17&amp;"_"&amp;$C17,主要特效!$A$4:$Y$17,I$3,FALSE),IF($D17=3,VLOOKUP($B17&amp;"_"&amp;$C17,辅助特效!$A$4:$Y$17,I$3,FALSE),IF($D17=4,VLOOKUP($B17&amp;"_"&amp;$C17,命中特效!$A$4:$Y$17,I$3,FALSE),IF($D17=5,VLOOKUP($B17&amp;"_"&amp;$C17,buff特效!$A$4:$Y$17,I$3,FALSE),1111)))))</f>
        <v>0</v>
      </c>
      <c r="J17" s="33">
        <f>IF($D17=1,VLOOKUP($B17&amp;"_"&amp;$C17,起手特效!$A$4:$Y$17,J$3,FALSE),IF($D17=2,VLOOKUP($B17&amp;"_"&amp;$C17,主要特效!$A$4:$Y$17,J$3,FALSE),IF($D17=3,VLOOKUP($B17&amp;"_"&amp;$C17,辅助特效!$A$4:$Y$17,J$3,FALSE),IF($D17=4,VLOOKUP($B17&amp;"_"&amp;$C17,命中特效!$A$4:$Y$17,J$3,FALSE),IF($D17=5,VLOOKUP($B17&amp;"_"&amp;$C17,buff特效!$A$4:$Y$17,J$3,FALSE),1111)))))</f>
        <v>11</v>
      </c>
      <c r="K17" s="33">
        <f>IF($D17=1,VLOOKUP($B17&amp;"_"&amp;$C17,起手特效!$A$4:$Y$17,K$3,FALSE),IF($D17=2,VLOOKUP($B17&amp;"_"&amp;$C17,主要特效!$A$4:$Y$17,K$3,FALSE),IF($D17=3,VLOOKUP($B17&amp;"_"&amp;$C17,辅助特效!$A$4:$Y$17,K$3,FALSE),IF($D17=4,VLOOKUP($B17&amp;"_"&amp;$C17,命中特效!$A$4:$Y$17,K$3,FALSE),IF($D17=5,VLOOKUP($B17&amp;"_"&amp;$C17,buff特效!$A$4:$Y$17,K$3,FALSE),1111)))))</f>
        <v>0</v>
      </c>
      <c r="L17" s="33">
        <f>IF($D17=1,VLOOKUP($B17&amp;"_"&amp;$C17,起手特效!$A$4:$Y$17,L$3,FALSE),IF($D17=2,VLOOKUP($B17&amp;"_"&amp;$C17,主要特效!$A$4:$Y$17,L$3,FALSE),IF($D17=3,VLOOKUP($B17&amp;"_"&amp;$C17,辅助特效!$A$4:$Y$17,L$3,FALSE),IF($D17=4,VLOOKUP($B17&amp;"_"&amp;$C17,命中特效!$A$4:$Y$17,L$3,FALSE),IF($D17=5,VLOOKUP($B17&amp;"_"&amp;$C17,buff特效!$A$4:$Y$17,L$3,FALSE),1111)))))</f>
        <v>0</v>
      </c>
      <c r="M17" s="33" t="str">
        <f>IF($D17=1,VLOOKUP($B17&amp;"_"&amp;$C17,起手特效!$A$4:$Y$17,M$3,FALSE),IF($D17=2,VLOOKUP($B17&amp;"_"&amp;$C17,主要特效!$A$4:$Y$17,M$3,FALSE),IF($D17=3,VLOOKUP($B17&amp;"_"&amp;$C17,辅助特效!$A$4:$Y$17,M$3,FALSE),IF($D17=4,VLOOKUP($B17&amp;"_"&amp;$C17,命中特效!$A$4:$Y$17,M$3,FALSE),IF($D17=5,VLOOKUP($B17&amp;"_"&amp;$C17,buff特效!$A$4:$Y$17,M$3,FALSE),1111)))))</f>
        <v>[]</v>
      </c>
      <c r="N17" s="33" t="str">
        <f>IF($D17=1,VLOOKUP($B17&amp;"_"&amp;$C17,起手特效!$A$4:$Y$17,N$3,FALSE),IF($D17=2,VLOOKUP($B17&amp;"_"&amp;$C17,主要特效!$A$4:$Y$17,N$3,FALSE),IF($D17=3,VLOOKUP($B17&amp;"_"&amp;$C17,辅助特效!$A$4:$Y$17,N$3,FALSE),IF($D17=4,VLOOKUP($B17&amp;"_"&amp;$C17,命中特效!$A$4:$Y$17,N$3,FALSE),IF($D17=5,VLOOKUP($B17&amp;"_"&amp;$C17,buff特效!$A$4:$Y$17,N$3,FALSE),1111)))))</f>
        <v>[]</v>
      </c>
      <c r="O17" s="33">
        <f>IF($D17=1,VLOOKUP($B17&amp;"_"&amp;$C17,起手特效!$A$4:$Y$17,O$3,FALSE),IF($D17=2,VLOOKUP($B17&amp;"_"&amp;$C17,主要特效!$A$4:$Y$17,O$3,FALSE),IF($D17=3,VLOOKUP($B17&amp;"_"&amp;$C17,辅助特效!$A$4:$Y$17,O$3,FALSE),IF($D17=4,VLOOKUP($B17&amp;"_"&amp;$C17,命中特效!$A$4:$Y$17,O$3,FALSE),IF($D17=5,VLOOKUP($B17&amp;"_"&amp;$C17,buff特效!$A$4:$Y$17,O$3,FALSE),1111)))))</f>
        <v>5</v>
      </c>
      <c r="P17" s="33">
        <f>IF($D17=1,VLOOKUP($B17&amp;"_"&amp;$C17,起手特效!$A$4:$Y$17,P$3,FALSE),IF($D17=2,VLOOKUP($B17&amp;"_"&amp;$C17,主要特效!$A$4:$Y$17,P$3,FALSE),IF($D17=3,VLOOKUP($B17&amp;"_"&amp;$C17,辅助特效!$A$4:$Y$17,P$3,FALSE),IF($D17=4,VLOOKUP($B17&amp;"_"&amp;$C17,命中特效!$A$4:$Y$17,P$3,FALSE),IF($D17=5,VLOOKUP($B17&amp;"_"&amp;$C17,buff特效!$A$4:$Y$17,P$3,FALSE),1111)))))</f>
        <v>0</v>
      </c>
      <c r="Q17" s="33">
        <f>IF($D17=1,VLOOKUP($B17&amp;"_"&amp;$C17,起手特效!$A$4:$Y$17,Q$3,FALSE),IF($D17=2,VLOOKUP($B17&amp;"_"&amp;$C17,主要特效!$A$4:$Y$17,Q$3,FALSE),IF($D17=3,VLOOKUP($B17&amp;"_"&amp;$C17,辅助特效!$A$4:$Y$17,Q$3,FALSE),IF($D17=4,VLOOKUP($B17&amp;"_"&amp;$C17,命中特效!$A$4:$Y$17,Q$3,FALSE),IF($D17=5,VLOOKUP($B17&amp;"_"&amp;$C17,buff特效!$A$4:$Y$17,Q$3,FALSE),1111)))))</f>
        <v>2</v>
      </c>
      <c r="R17" s="33">
        <f>IF($D17=1,VLOOKUP($B17&amp;"_"&amp;$C17,起手特效!$A$4:$Y$17,R$3,FALSE),IF($D17=2,VLOOKUP($B17&amp;"_"&amp;$C17,主要特效!$A$4:$Y$17,R$3,FALSE),IF($D17=3,VLOOKUP($B17&amp;"_"&amp;$C17,辅助特效!$A$4:$Y$17,R$3,FALSE),IF($D17=4,VLOOKUP($B17&amp;"_"&amp;$C17,命中特效!$A$4:$Y$17,R$3,FALSE),IF($D17=5,VLOOKUP($B17&amp;"_"&amp;$C17,buff特效!$A$4:$Y$17,R$3,FALSE),1111)))))</f>
        <v>0</v>
      </c>
      <c r="S17" s="33" t="str">
        <f>IF($D17=1,VLOOKUP($B17&amp;"_"&amp;$C17,起手特效!$A$4:$Y$17,S$3,FALSE),IF($D17=2,VLOOKUP($B17&amp;"_"&amp;$C17,主要特效!$A$4:$Y$17,S$3,FALSE),IF($D17=3,VLOOKUP($B17&amp;"_"&amp;$C17,辅助特效!$A$4:$Y$17,S$3,FALSE),IF($D17=4,VLOOKUP($B17&amp;"_"&amp;$C17,命中特效!$A$4:$Y$17,S$3,FALSE),IF($D17=5,VLOOKUP($B17&amp;"_"&amp;$C17,buff特效!$A$4:$Y$17,S$3,FALSE),1111)))))</f>
        <v>[]</v>
      </c>
      <c r="T17" s="33" t="str">
        <f>IF($D17=1,VLOOKUP($B17&amp;"_"&amp;$C17,起手特效!$A$4:$Y$17,T$3,FALSE),IF($D17=2,VLOOKUP($B17&amp;"_"&amp;$C17,主要特效!$A$4:$Y$17,T$3,FALSE),IF($D17=3,VLOOKUP($B17&amp;"_"&amp;$C17,辅助特效!$A$4:$Y$17,T$3,FALSE),IF($D17=4,VLOOKUP($B17&amp;"_"&amp;$C17,命中特效!$A$4:$Y$17,T$3,FALSE),IF($D17=5,VLOOKUP($B17&amp;"_"&amp;$C17,buff特效!$A$4:$Y$17,T$3,FALSE),1111)))))</f>
        <v>[]</v>
      </c>
      <c r="U17" s="33" t="str">
        <f>IF($D17=1,VLOOKUP($B17&amp;"_"&amp;$C17,起手特效!$A$4:$Y$17,U$3,FALSE),IF($D17=2,VLOOKUP($B17&amp;"_"&amp;$C17,主要特效!$A$4:$Y$17,U$3,FALSE),IF($D17=3,VLOOKUP($B17&amp;"_"&amp;$C17,辅助特效!$A$4:$Y$17,U$3,FALSE),IF($D17=4,VLOOKUP($B17&amp;"_"&amp;$C17,命中特效!$A$4:$Y$17,U$3,FALSE),IF($D17=5,VLOOKUP($B17&amp;"_"&amp;$C17,buff特效!$A$4:$Y$17,U$3,FALSE),1111)))))</f>
        <v>[]</v>
      </c>
      <c r="V17" s="33">
        <f>IF($D17=1,VLOOKUP($B17&amp;"_"&amp;$C17,起手特效!$A$4:$Y$17,V$3,FALSE),IF($D17=2,VLOOKUP($B17&amp;"_"&amp;$C17,主要特效!$A$4:$Y$17,V$3,FALSE),IF($D17=3,VLOOKUP($B17&amp;"_"&amp;$C17,辅助特效!$A$4:$Y$17,V$3,FALSE),IF($D17=4,VLOOKUP($B17&amp;"_"&amp;$C17,命中特效!$A$4:$Y$17,V$3,FALSE),IF($D17=5,VLOOKUP($B17&amp;"_"&amp;$C17,buff特效!$A$4:$Y$17,V$3,FALSE),1111)))))</f>
        <v>0</v>
      </c>
      <c r="W17" s="33">
        <f>IF($D17=1,VLOOKUP($B17&amp;"_"&amp;$C17,起手特效!$A$4:$Y$17,W$3,FALSE),IF($D17=2,VLOOKUP($B17&amp;"_"&amp;$C17,主要特效!$A$4:$Y$17,W$3,FALSE),IF($D17=3,VLOOKUP($B17&amp;"_"&amp;$C17,辅助特效!$A$4:$Y$17,W$3,FALSE),IF($D17=4,VLOOKUP($B17&amp;"_"&amp;$C17,命中特效!$A$4:$Y$17,W$3,FALSE),IF($D17=5,VLOOKUP($B17&amp;"_"&amp;$C17,buff特效!$A$4:$Y$17,W$3,FALSE),1111)))))</f>
        <v>0</v>
      </c>
      <c r="X17" s="33">
        <f>IF($D17=1,VLOOKUP($B17&amp;"_"&amp;$C17,起手特效!$A$4:$Y$17,X$3,FALSE),IF($D17=2,VLOOKUP($B17&amp;"_"&amp;$C17,主要特效!$A$4:$Y$17,X$3,FALSE),IF($D17=3,VLOOKUP($B17&amp;"_"&amp;$C17,辅助特效!$A$4:$Y$17,X$3,FALSE),IF($D17=4,VLOOKUP($B17&amp;"_"&amp;$C17,命中特效!$A$4:$Y$17,X$3,FALSE),IF($D17=5,VLOOKUP($B17&amp;"_"&amp;$C17,buff特效!$A$4:$Y$17,X$3,FALSE),1111)))))</f>
        <v>0</v>
      </c>
      <c r="Y17" s="33">
        <f>IF($D17=1,VLOOKUP($B17&amp;"_"&amp;$C17,起手特效!$A$4:$Y$17,Y$3,FALSE),IF($D17=2,VLOOKUP($B17&amp;"_"&amp;$C17,主要特效!$A$4:$Y$17,Y$3,FALSE),IF($D17=3,VLOOKUP($B17&amp;"_"&amp;$C17,辅助特效!$A$4:$Y$17,Y$3,FALSE),IF($D17=4,VLOOKUP($B17&amp;"_"&amp;$C17,命中特效!$A$4:$Y$17,Y$3,FALSE),IF($D17=5,VLOOKUP($B17&amp;"_"&amp;$C17,buff特效!$A$4:$Y$17,Y$3,FALSE),1111)))))</f>
        <v>0</v>
      </c>
      <c r="Z17" s="33">
        <f>IF($D17=1,VLOOKUP($B17&amp;"_"&amp;$C17,起手特效!$A$4:$Y$17,Z$3,FALSE),IF($D17=2,VLOOKUP($B17&amp;"_"&amp;$C17,主要特效!$A$4:$Y$17,Z$3,FALSE),IF($D17=3,VLOOKUP($B17&amp;"_"&amp;$C17,辅助特效!$A$4:$Y$17,Z$3,FALSE),IF($D17=4,VLOOKUP($B17&amp;"_"&amp;$C17,命中特效!$A$4:$Y$17,Z$3,FALSE),IF($D17=5,VLOOKUP($B17&amp;"_"&amp;$C17,buff特效!$A$4:$Y$17,Z$3,FALSE),1111)))))</f>
        <v>0</v>
      </c>
      <c r="AA17" s="33">
        <f>IF($D17=1,VLOOKUP($B17&amp;"_"&amp;$C17,起手特效!$A$4:$Y$17,AA$3,FALSE),IF($D17=2,VLOOKUP($B17&amp;"_"&amp;$C17,主要特效!$A$4:$Y$17,AA$3,FALSE),IF($D17=3,VLOOKUP($B17&amp;"_"&amp;$C17,辅助特效!$A$4:$Y$17,AA$3,FALSE),IF($D17=4,VLOOKUP($B17&amp;"_"&amp;$C17,命中特效!$A$4:$Y$17,AA$3,FALSE),IF($D17=5,VLOOKUP($B17&amp;"_"&amp;$C17,buff特效!$A$4:$Y$17,AA$3,FALSE),1111)))))</f>
        <v>0</v>
      </c>
      <c r="AB17" s="33">
        <f>IF($D17=1,VLOOKUP($B17&amp;"_"&amp;$C17,起手特效!$A$4:$Y$17,AB$3,FALSE),IF($D17=2,VLOOKUP($B17&amp;"_"&amp;$C17,主要特效!$A$4:$Y$17,AB$3,FALSE),IF($D17=3,VLOOKUP($B17&amp;"_"&amp;$C17,辅助特效!$A$4:$Y$17,AB$3,FALSE),IF($D17=4,VLOOKUP($B17&amp;"_"&amp;$C17,命中特效!$A$4:$Y$17,AB$3,FALSE),IF($D17=5,VLOOKUP($B17&amp;"_"&amp;$C17,buff特效!$A$4:$Y$17,AB$3,FALSE),1111)))))</f>
        <v>0</v>
      </c>
    </row>
    <row r="18" spans="2:28" x14ac:dyDescent="0.15">
      <c r="B18" s="32" t="str">
        <f t="shared" si="3"/>
        <v>tuotatianwang</v>
      </c>
      <c r="C18" s="32">
        <f t="shared" si="4"/>
        <v>1</v>
      </c>
      <c r="D18" s="32">
        <f t="shared" si="5"/>
        <v>5</v>
      </c>
      <c r="E18" s="33" t="str">
        <f>IF($D18=1,VLOOKUP($B18&amp;"_"&amp;$C18,起手特效!$A$4:$Y$17,E$3,FALSE),IF($D18=2,VLOOKUP($B18&amp;"_"&amp;$C18,主要特效!$A$4:$Y$17,E$3,FALSE),IF($D18=3,VLOOKUP($B18&amp;"_"&amp;$C18,辅助特效!$A$4:$Y$17,E$3,FALSE),IF($D18=4,VLOOKUP($B18&amp;"_"&amp;$C18,命中特效!$A$4:$Y$17,E$3,FALSE),IF($D18=5,VLOOKUP($B18&amp;"_"&amp;$C18,buff特效!$A$4:$Y$17,E$3,FALSE),1111)))))</f>
        <v>[]</v>
      </c>
      <c r="F18" s="33" t="str">
        <f>IF($D18=1,VLOOKUP($B18&amp;"_"&amp;$C18,起手特效!$A$4:$Y$17,F$3,FALSE),IF($D18=2,VLOOKUP($B18&amp;"_"&amp;$C18,主要特效!$A$4:$Y$17,F$3,FALSE),IF($D18=3,VLOOKUP($B18&amp;"_"&amp;$C18,辅助特效!$A$4:$Y$17,F$3,FALSE),IF($D18=4,VLOOKUP($B18&amp;"_"&amp;$C18,命中特效!$A$4:$Y$17,F$3,FALSE),IF($D18=5,VLOOKUP($B18&amp;"_"&amp;$C18,buff特效!$A$4:$Y$17,F$3,FALSE),1111)))))</f>
        <v>[]</v>
      </c>
      <c r="G18" s="33" t="str">
        <f>IF($D18=1,VLOOKUP($B18&amp;"_"&amp;$C18,起手特效!$A$4:$Y$17,G$3,FALSE),IF($D18=2,VLOOKUP($B18&amp;"_"&amp;$C18,主要特效!$A$4:$Y$17,G$3,FALSE),IF($D18=3,VLOOKUP($B18&amp;"_"&amp;$C18,辅助特效!$A$4:$Y$17,G$3,FALSE),IF($D18=4,VLOOKUP($B18&amp;"_"&amp;$C18,命中特效!$A$4:$Y$17,G$3,FALSE),IF($D18=5,VLOOKUP($B18&amp;"_"&amp;$C18,buff特效!$A$4:$Y$17,G$3,FALSE),1111)))))</f>
        <v>[]</v>
      </c>
      <c r="H18" s="33">
        <f>IF($D18=1,VLOOKUP($B18&amp;"_"&amp;$C18,起手特效!$A$4:$Y$17,H$3,FALSE),IF($D18=2,VLOOKUP($B18&amp;"_"&amp;$C18,主要特效!$A$4:$Y$17,H$3,FALSE),IF($D18=3,VLOOKUP($B18&amp;"_"&amp;$C18,辅助特效!$A$4:$Y$17,H$3,FALSE),IF($D18=4,VLOOKUP($B18&amp;"_"&amp;$C18,命中特效!$A$4:$Y$17,H$3,FALSE),IF($D18=5,VLOOKUP($B18&amp;"_"&amp;$C18,buff特效!$A$4:$Y$17,H$3,FALSE),1111)))))</f>
        <v>0</v>
      </c>
      <c r="I18" s="33">
        <f>IF($D18=1,VLOOKUP($B18&amp;"_"&amp;$C18,起手特效!$A$4:$Y$17,I$3,FALSE),IF($D18=2,VLOOKUP($B18&amp;"_"&amp;$C18,主要特效!$A$4:$Y$17,I$3,FALSE),IF($D18=3,VLOOKUP($B18&amp;"_"&amp;$C18,辅助特效!$A$4:$Y$17,I$3,FALSE),IF($D18=4,VLOOKUP($B18&amp;"_"&amp;$C18,命中特效!$A$4:$Y$17,I$3,FALSE),IF($D18=5,VLOOKUP($B18&amp;"_"&amp;$C18,buff特效!$A$4:$Y$17,I$3,FALSE),1111)))))</f>
        <v>0</v>
      </c>
      <c r="J18" s="33">
        <f>IF($D18=1,VLOOKUP($B18&amp;"_"&amp;$C18,起手特效!$A$4:$Y$17,J$3,FALSE),IF($D18=2,VLOOKUP($B18&amp;"_"&amp;$C18,主要特效!$A$4:$Y$17,J$3,FALSE),IF($D18=3,VLOOKUP($B18&amp;"_"&amp;$C18,辅助特效!$A$4:$Y$17,J$3,FALSE),IF($D18=4,VLOOKUP($B18&amp;"_"&amp;$C18,命中特效!$A$4:$Y$17,J$3,FALSE),IF($D18=5,VLOOKUP($B18&amp;"_"&amp;$C18,buff特效!$A$4:$Y$17,J$3,FALSE),1111)))))</f>
        <v>1</v>
      </c>
      <c r="K18" s="33">
        <f>IF($D18=1,VLOOKUP($B18&amp;"_"&amp;$C18,起手特效!$A$4:$Y$17,K$3,FALSE),IF($D18=2,VLOOKUP($B18&amp;"_"&amp;$C18,主要特效!$A$4:$Y$17,K$3,FALSE),IF($D18=3,VLOOKUP($B18&amp;"_"&amp;$C18,辅助特效!$A$4:$Y$17,K$3,FALSE),IF($D18=4,VLOOKUP($B18&amp;"_"&amp;$C18,命中特效!$A$4:$Y$17,K$3,FALSE),IF($D18=5,VLOOKUP($B18&amp;"_"&amp;$C18,buff特效!$A$4:$Y$17,K$3,FALSE),1111)))))</f>
        <v>0</v>
      </c>
      <c r="L18" s="33">
        <f>IF($D18=1,VLOOKUP($B18&amp;"_"&amp;$C18,起手特效!$A$4:$Y$17,L$3,FALSE),IF($D18=2,VLOOKUP($B18&amp;"_"&amp;$C18,主要特效!$A$4:$Y$17,L$3,FALSE),IF($D18=3,VLOOKUP($B18&amp;"_"&amp;$C18,辅助特效!$A$4:$Y$17,L$3,FALSE),IF($D18=4,VLOOKUP($B18&amp;"_"&amp;$C18,命中特效!$A$4:$Y$17,L$3,FALSE),IF($D18=5,VLOOKUP($B18&amp;"_"&amp;$C18,buff特效!$A$4:$Y$17,L$3,FALSE),1111)))))</f>
        <v>0</v>
      </c>
      <c r="M18" s="33" t="str">
        <f>IF($D18=1,VLOOKUP($B18&amp;"_"&amp;$C18,起手特效!$A$4:$Y$17,M$3,FALSE),IF($D18=2,VLOOKUP($B18&amp;"_"&amp;$C18,主要特效!$A$4:$Y$17,M$3,FALSE),IF($D18=3,VLOOKUP($B18&amp;"_"&amp;$C18,辅助特效!$A$4:$Y$17,M$3,FALSE),IF($D18=4,VLOOKUP($B18&amp;"_"&amp;$C18,命中特效!$A$4:$Y$17,M$3,FALSE),IF($D18=5,VLOOKUP($B18&amp;"_"&amp;$C18,buff特效!$A$4:$Y$17,M$3,FALSE),1111)))))</f>
        <v>[]</v>
      </c>
      <c r="N18" s="33" t="str">
        <f>IF($D18=1,VLOOKUP($B18&amp;"_"&amp;$C18,起手特效!$A$4:$Y$17,N$3,FALSE),IF($D18=2,VLOOKUP($B18&amp;"_"&amp;$C18,主要特效!$A$4:$Y$17,N$3,FALSE),IF($D18=3,VLOOKUP($B18&amp;"_"&amp;$C18,辅助特效!$A$4:$Y$17,N$3,FALSE),IF($D18=4,VLOOKUP($B18&amp;"_"&amp;$C18,命中特效!$A$4:$Y$17,N$3,FALSE),IF($D18=5,VLOOKUP($B18&amp;"_"&amp;$C18,buff特效!$A$4:$Y$17,N$3,FALSE),1111)))))</f>
        <v>[]</v>
      </c>
      <c r="O18" s="33">
        <f>IF($D18=1,VLOOKUP($B18&amp;"_"&amp;$C18,起手特效!$A$4:$Y$17,O$3,FALSE),IF($D18=2,VLOOKUP($B18&amp;"_"&amp;$C18,主要特效!$A$4:$Y$17,O$3,FALSE),IF($D18=3,VLOOKUP($B18&amp;"_"&amp;$C18,辅助特效!$A$4:$Y$17,O$3,FALSE),IF($D18=4,VLOOKUP($B18&amp;"_"&amp;$C18,命中特效!$A$4:$Y$17,O$3,FALSE),IF($D18=5,VLOOKUP($B18&amp;"_"&amp;$C18,buff特效!$A$4:$Y$17,O$3,FALSE),1111)))))</f>
        <v>5</v>
      </c>
      <c r="P18" s="33">
        <f>IF($D18=1,VLOOKUP($B18&amp;"_"&amp;$C18,起手特效!$A$4:$Y$17,P$3,FALSE),IF($D18=2,VLOOKUP($B18&amp;"_"&amp;$C18,主要特效!$A$4:$Y$17,P$3,FALSE),IF($D18=3,VLOOKUP($B18&amp;"_"&amp;$C18,辅助特效!$A$4:$Y$17,P$3,FALSE),IF($D18=4,VLOOKUP($B18&amp;"_"&amp;$C18,命中特效!$A$4:$Y$17,P$3,FALSE),IF($D18=5,VLOOKUP($B18&amp;"_"&amp;$C18,buff特效!$A$4:$Y$17,P$3,FALSE),1111)))))</f>
        <v>0</v>
      </c>
      <c r="Q18" s="33">
        <f>IF($D18=1,VLOOKUP($B18&amp;"_"&amp;$C18,起手特效!$A$4:$Y$17,Q$3,FALSE),IF($D18=2,VLOOKUP($B18&amp;"_"&amp;$C18,主要特效!$A$4:$Y$17,Q$3,FALSE),IF($D18=3,VLOOKUP($B18&amp;"_"&amp;$C18,辅助特效!$A$4:$Y$17,Q$3,FALSE),IF($D18=4,VLOOKUP($B18&amp;"_"&amp;$C18,命中特效!$A$4:$Y$17,Q$3,FALSE),IF($D18=5,VLOOKUP($B18&amp;"_"&amp;$C18,buff特效!$A$4:$Y$17,Q$3,FALSE),1111)))))</f>
        <v>2</v>
      </c>
      <c r="R18" s="33" t="str">
        <f>IF($D18=1,VLOOKUP($B18&amp;"_"&amp;$C18,起手特效!$A$4:$Y$17,R$3,FALSE),IF($D18=2,VLOOKUP($B18&amp;"_"&amp;$C18,主要特效!$A$4:$Y$17,R$3,FALSE),IF($D18=3,VLOOKUP($B18&amp;"_"&amp;$C18,辅助特效!$A$4:$Y$17,R$3,FALSE),IF($D18=4,VLOOKUP($B18&amp;"_"&amp;$C18,命中特效!$A$4:$Y$17,R$3,FALSE),IF($D18=5,VLOOKUP($B18&amp;"_"&amp;$C18,buff特效!$A$4:$Y$17,R$3,FALSE),1111)))))</f>
        <v>手填</v>
      </c>
      <c r="S18" s="33" t="str">
        <f>IF($D18=1,VLOOKUP($B18&amp;"_"&amp;$C18,起手特效!$A$4:$Y$17,S$3,FALSE),IF($D18=2,VLOOKUP($B18&amp;"_"&amp;$C18,主要特效!$A$4:$Y$17,S$3,FALSE),IF($D18=3,VLOOKUP($B18&amp;"_"&amp;$C18,辅助特效!$A$4:$Y$17,S$3,FALSE),IF($D18=4,VLOOKUP($B18&amp;"_"&amp;$C18,命中特效!$A$4:$Y$17,S$3,FALSE),IF($D18=5,VLOOKUP($B18&amp;"_"&amp;$C18,buff特效!$A$4:$Y$17,S$3,FALSE),1111)))))</f>
        <v>[]</v>
      </c>
      <c r="T18" s="33" t="str">
        <f>IF($D18=1,VLOOKUP($B18&amp;"_"&amp;$C18,起手特效!$A$4:$Y$17,T$3,FALSE),IF($D18=2,VLOOKUP($B18&amp;"_"&amp;$C18,主要特效!$A$4:$Y$17,T$3,FALSE),IF($D18=3,VLOOKUP($B18&amp;"_"&amp;$C18,辅助特效!$A$4:$Y$17,T$3,FALSE),IF($D18=4,VLOOKUP($B18&amp;"_"&amp;$C18,命中特效!$A$4:$Y$17,T$3,FALSE),IF($D18=5,VLOOKUP($B18&amp;"_"&amp;$C18,buff特效!$A$4:$Y$17,T$3,FALSE),1111)))))</f>
        <v>[]</v>
      </c>
      <c r="U18" s="33" t="str">
        <f>IF($D18=1,VLOOKUP($B18&amp;"_"&amp;$C18,起手特效!$A$4:$Y$17,U$3,FALSE),IF($D18=2,VLOOKUP($B18&amp;"_"&amp;$C18,主要特效!$A$4:$Y$17,U$3,FALSE),IF($D18=3,VLOOKUP($B18&amp;"_"&amp;$C18,辅助特效!$A$4:$Y$17,U$3,FALSE),IF($D18=4,VLOOKUP($B18&amp;"_"&amp;$C18,命中特效!$A$4:$Y$17,U$3,FALSE),IF($D18=5,VLOOKUP($B18&amp;"_"&amp;$C18,buff特效!$A$4:$Y$17,U$3,FALSE),1111)))))</f>
        <v>[]</v>
      </c>
      <c r="V18" s="33">
        <f>IF($D18=1,VLOOKUP($B18&amp;"_"&amp;$C18,起手特效!$A$4:$Y$17,V$3,FALSE),IF($D18=2,VLOOKUP($B18&amp;"_"&amp;$C18,主要特效!$A$4:$Y$17,V$3,FALSE),IF($D18=3,VLOOKUP($B18&amp;"_"&amp;$C18,辅助特效!$A$4:$Y$17,V$3,FALSE),IF($D18=4,VLOOKUP($B18&amp;"_"&amp;$C18,命中特效!$A$4:$Y$17,V$3,FALSE),IF($D18=5,VLOOKUP($B18&amp;"_"&amp;$C18,buff特效!$A$4:$Y$17,V$3,FALSE),1111)))))</f>
        <v>0</v>
      </c>
      <c r="W18" s="33">
        <f>IF($D18=1,VLOOKUP($B18&amp;"_"&amp;$C18,起手特效!$A$4:$Y$17,W$3,FALSE),IF($D18=2,VLOOKUP($B18&amp;"_"&amp;$C18,主要特效!$A$4:$Y$17,W$3,FALSE),IF($D18=3,VLOOKUP($B18&amp;"_"&amp;$C18,辅助特效!$A$4:$Y$17,W$3,FALSE),IF($D18=4,VLOOKUP($B18&amp;"_"&amp;$C18,命中特效!$A$4:$Y$17,W$3,FALSE),IF($D18=5,VLOOKUP($B18&amp;"_"&amp;$C18,buff特效!$A$4:$Y$17,W$3,FALSE),1111)))))</f>
        <v>0</v>
      </c>
      <c r="X18" s="33">
        <f>IF($D18=1,VLOOKUP($B18&amp;"_"&amp;$C18,起手特效!$A$4:$Y$17,X$3,FALSE),IF($D18=2,VLOOKUP($B18&amp;"_"&amp;$C18,主要特效!$A$4:$Y$17,X$3,FALSE),IF($D18=3,VLOOKUP($B18&amp;"_"&amp;$C18,辅助特效!$A$4:$Y$17,X$3,FALSE),IF($D18=4,VLOOKUP($B18&amp;"_"&amp;$C18,命中特效!$A$4:$Y$17,X$3,FALSE),IF($D18=5,VLOOKUP($B18&amp;"_"&amp;$C18,buff特效!$A$4:$Y$17,X$3,FALSE),1111)))))</f>
        <v>0</v>
      </c>
      <c r="Y18" s="33">
        <f>IF($D18=1,VLOOKUP($B18&amp;"_"&amp;$C18,起手特效!$A$4:$Y$17,Y$3,FALSE),IF($D18=2,VLOOKUP($B18&amp;"_"&amp;$C18,主要特效!$A$4:$Y$17,Y$3,FALSE),IF($D18=3,VLOOKUP($B18&amp;"_"&amp;$C18,辅助特效!$A$4:$Y$17,Y$3,FALSE),IF($D18=4,VLOOKUP($B18&amp;"_"&amp;$C18,命中特效!$A$4:$Y$17,Y$3,FALSE),IF($D18=5,VLOOKUP($B18&amp;"_"&amp;$C18,buff特效!$A$4:$Y$17,Y$3,FALSE),1111)))))</f>
        <v>0</v>
      </c>
      <c r="Z18" s="33">
        <f>IF($D18=1,VLOOKUP($B18&amp;"_"&amp;$C18,起手特效!$A$4:$Y$17,Z$3,FALSE),IF($D18=2,VLOOKUP($B18&amp;"_"&amp;$C18,主要特效!$A$4:$Y$17,Z$3,FALSE),IF($D18=3,VLOOKUP($B18&amp;"_"&amp;$C18,辅助特效!$A$4:$Y$17,Z$3,FALSE),IF($D18=4,VLOOKUP($B18&amp;"_"&amp;$C18,命中特效!$A$4:$Y$17,Z$3,FALSE),IF($D18=5,VLOOKUP($B18&amp;"_"&amp;$C18,buff特效!$A$4:$Y$17,Z$3,FALSE),1111)))))</f>
        <v>0</v>
      </c>
      <c r="AA18" s="33">
        <f>IF($D18=1,VLOOKUP($B18&amp;"_"&amp;$C18,起手特效!$A$4:$Y$17,AA$3,FALSE),IF($D18=2,VLOOKUP($B18&amp;"_"&amp;$C18,主要特效!$A$4:$Y$17,AA$3,FALSE),IF($D18=3,VLOOKUP($B18&amp;"_"&amp;$C18,辅助特效!$A$4:$Y$17,AA$3,FALSE),IF($D18=4,VLOOKUP($B18&amp;"_"&amp;$C18,命中特效!$A$4:$Y$17,AA$3,FALSE),IF($D18=5,VLOOKUP($B18&amp;"_"&amp;$C18,buff特效!$A$4:$Y$17,AA$3,FALSE),1111)))))</f>
        <v>0</v>
      </c>
      <c r="AB18" s="33">
        <f>IF($D18=1,VLOOKUP($B18&amp;"_"&amp;$C18,起手特效!$A$4:$Y$17,AB$3,FALSE),IF($D18=2,VLOOKUP($B18&amp;"_"&amp;$C18,主要特效!$A$4:$Y$17,AB$3,FALSE),IF($D18=3,VLOOKUP($B18&amp;"_"&amp;$C18,辅助特效!$A$4:$Y$17,AB$3,FALSE),IF($D18=4,VLOOKUP($B18&amp;"_"&amp;$C18,命中特效!$A$4:$Y$17,AB$3,FALSE),IF($D18=5,VLOOKUP($B18&amp;"_"&amp;$C18,buff特效!$A$4:$Y$17,AB$3,FALSE),1111)))))</f>
        <v>0</v>
      </c>
    </row>
    <row r="19" spans="2:28" x14ac:dyDescent="0.15">
      <c r="B19" s="32" t="str">
        <f t="shared" si="3"/>
        <v>tuotatianwang</v>
      </c>
      <c r="C19" s="32">
        <f t="shared" si="4"/>
        <v>2</v>
      </c>
      <c r="D19" s="32">
        <f t="shared" si="5"/>
        <v>1</v>
      </c>
      <c r="E19" s="33" t="str">
        <f>IF($D19=1,VLOOKUP($B19&amp;"_"&amp;$C19,起手特效!$A$4:$Y$17,E$3,FALSE),IF($D19=2,VLOOKUP($B19&amp;"_"&amp;$C19,主要特效!$A$4:$Y$17,E$3,FALSE),IF($D19=3,VLOOKUP($B19&amp;"_"&amp;$C19,辅助特效!$A$4:$Y$17,E$3,FALSE),IF($D19=4,VLOOKUP($B19&amp;"_"&amp;$C19,命中特效!$A$4:$Y$17,E$3,FALSE),IF($D19=5,VLOOKUP($B19&amp;"_"&amp;$C19,buff特效!$A$4:$Y$17,E$3,FALSE),1111)))))</f>
        <v>[]</v>
      </c>
      <c r="F19" s="33" t="str">
        <f>IF($D19=1,VLOOKUP($B19&amp;"_"&amp;$C19,起手特效!$A$4:$Y$17,F$3,FALSE),IF($D19=2,VLOOKUP($B19&amp;"_"&amp;$C19,主要特效!$A$4:$Y$17,F$3,FALSE),IF($D19=3,VLOOKUP($B19&amp;"_"&amp;$C19,辅助特效!$A$4:$Y$17,F$3,FALSE),IF($D19=4,VLOOKUP($B19&amp;"_"&amp;$C19,命中特效!$A$4:$Y$17,F$3,FALSE),IF($D19=5,VLOOKUP($B19&amp;"_"&amp;$C19,buff特效!$A$4:$Y$17,F$3,FALSE),1111)))))</f>
        <v>[]</v>
      </c>
      <c r="G19" s="33" t="str">
        <f>IF($D19=1,VLOOKUP($B19&amp;"_"&amp;$C19,起手特效!$A$4:$Y$17,G$3,FALSE),IF($D19=2,VLOOKUP($B19&amp;"_"&amp;$C19,主要特效!$A$4:$Y$17,G$3,FALSE),IF($D19=3,VLOOKUP($B19&amp;"_"&amp;$C19,辅助特效!$A$4:$Y$17,G$3,FALSE),IF($D19=4,VLOOKUP($B19&amp;"_"&amp;$C19,命中特效!$A$4:$Y$17,G$3,FALSE),IF($D19=5,VLOOKUP($B19&amp;"_"&amp;$C19,buff特效!$A$4:$Y$17,G$3,FALSE),1111)))))</f>
        <v>skill_2</v>
      </c>
      <c r="H19" s="33">
        <f>IF($D19=1,VLOOKUP($B19&amp;"_"&amp;$C19,起手特效!$A$4:$Y$17,H$3,FALSE),IF($D19=2,VLOOKUP($B19&amp;"_"&amp;$C19,主要特效!$A$4:$Y$17,H$3,FALSE),IF($D19=3,VLOOKUP($B19&amp;"_"&amp;$C19,辅助特效!$A$4:$Y$17,H$3,FALSE),IF($D19=4,VLOOKUP($B19&amp;"_"&amp;$C19,命中特效!$A$4:$Y$17,H$3,FALSE),IF($D19=5,VLOOKUP($B19&amp;"_"&amp;$C19,buff特效!$A$4:$Y$17,H$3,FALSE),1111)))))</f>
        <v>2.6669999999999998</v>
      </c>
      <c r="I19" s="33">
        <f>IF($D19=1,VLOOKUP($B19&amp;"_"&amp;$C19,起手特效!$A$4:$Y$17,I$3,FALSE),IF($D19=2,VLOOKUP($B19&amp;"_"&amp;$C19,主要特效!$A$4:$Y$17,I$3,FALSE),IF($D19=3,VLOOKUP($B19&amp;"_"&amp;$C19,辅助特效!$A$4:$Y$17,I$3,FALSE),IF($D19=4,VLOOKUP($B19&amp;"_"&amp;$C19,命中特效!$A$4:$Y$17,I$3,FALSE),IF($D19=5,VLOOKUP($B19&amp;"_"&amp;$C19,buff特效!$A$4:$Y$17,I$3,FALSE),1111)))))</f>
        <v>0</v>
      </c>
      <c r="J19" s="33">
        <f>IF($D19=1,VLOOKUP($B19&amp;"_"&amp;$C19,起手特效!$A$4:$Y$17,J$3,FALSE),IF($D19=2,VLOOKUP($B19&amp;"_"&amp;$C19,主要特效!$A$4:$Y$17,J$3,FALSE),IF($D19=3,VLOOKUP($B19&amp;"_"&amp;$C19,辅助特效!$A$4:$Y$17,J$3,FALSE),IF($D19=4,VLOOKUP($B19&amp;"_"&amp;$C19,命中特效!$A$4:$Y$17,J$3,FALSE),IF($D19=5,VLOOKUP($B19&amp;"_"&amp;$C19,buff特效!$A$4:$Y$17,J$3,FALSE),1111)))))</f>
        <v>0</v>
      </c>
      <c r="K19" s="33">
        <f>IF($D19=1,VLOOKUP($B19&amp;"_"&amp;$C19,起手特效!$A$4:$Y$17,K$3,FALSE),IF($D19=2,VLOOKUP($B19&amp;"_"&amp;$C19,主要特效!$A$4:$Y$17,K$3,FALSE),IF($D19=3,VLOOKUP($B19&amp;"_"&amp;$C19,辅助特效!$A$4:$Y$17,K$3,FALSE),IF($D19=4,VLOOKUP($B19&amp;"_"&amp;$C19,命中特效!$A$4:$Y$17,K$3,FALSE),IF($D19=5,VLOOKUP($B19&amp;"_"&amp;$C19,buff特效!$A$4:$Y$17,K$3,FALSE),1111)))))</f>
        <v>0</v>
      </c>
      <c r="L19" s="33">
        <f>IF($D19=1,VLOOKUP($B19&amp;"_"&amp;$C19,起手特效!$A$4:$Y$17,L$3,FALSE),IF($D19=2,VLOOKUP($B19&amp;"_"&amp;$C19,主要特效!$A$4:$Y$17,L$3,FALSE),IF($D19=3,VLOOKUP($B19&amp;"_"&amp;$C19,辅助特效!$A$4:$Y$17,L$3,FALSE),IF($D19=4,VLOOKUP($B19&amp;"_"&amp;$C19,命中特效!$A$4:$Y$17,L$3,FALSE),IF($D19=5,VLOOKUP($B19&amp;"_"&amp;$C19,buff特效!$A$4:$Y$17,L$3,FALSE),1111)))))</f>
        <v>0</v>
      </c>
      <c r="M19" s="33" t="str">
        <f>IF($D19=1,VLOOKUP($B19&amp;"_"&amp;$C19,起手特效!$A$4:$Y$17,M$3,FALSE),IF($D19=2,VLOOKUP($B19&amp;"_"&amp;$C19,主要特效!$A$4:$Y$17,M$3,FALSE),IF($D19=3,VLOOKUP($B19&amp;"_"&amp;$C19,辅助特效!$A$4:$Y$17,M$3,FALSE),IF($D19=4,VLOOKUP($B19&amp;"_"&amp;$C19,命中特效!$A$4:$Y$17,M$3,FALSE),IF($D19=5,VLOOKUP($B19&amp;"_"&amp;$C19,buff特效!$A$4:$Y$17,M$3,FALSE),1111)))))</f>
        <v>[]</v>
      </c>
      <c r="N19" s="33" t="str">
        <f>IF($D19=1,VLOOKUP($B19&amp;"_"&amp;$C19,起手特效!$A$4:$Y$17,N$3,FALSE),IF($D19=2,VLOOKUP($B19&amp;"_"&amp;$C19,主要特效!$A$4:$Y$17,N$3,FALSE),IF($D19=3,VLOOKUP($B19&amp;"_"&amp;$C19,辅助特效!$A$4:$Y$17,N$3,FALSE),IF($D19=4,VLOOKUP($B19&amp;"_"&amp;$C19,命中特效!$A$4:$Y$17,N$3,FALSE),IF($D19=5,VLOOKUP($B19&amp;"_"&amp;$C19,buff特效!$A$4:$Y$17,N$3,FALSE),1111)))))</f>
        <v>[]</v>
      </c>
      <c r="O19" s="33">
        <f>IF($D19=1,VLOOKUP($B19&amp;"_"&amp;$C19,起手特效!$A$4:$Y$17,O$3,FALSE),IF($D19=2,VLOOKUP($B19&amp;"_"&amp;$C19,主要特效!$A$4:$Y$17,O$3,FALSE),IF($D19=3,VLOOKUP($B19&amp;"_"&amp;$C19,辅助特效!$A$4:$Y$17,O$3,FALSE),IF($D19=4,VLOOKUP($B19&amp;"_"&amp;$C19,命中特效!$A$4:$Y$17,O$3,FALSE),IF($D19=5,VLOOKUP($B19&amp;"_"&amp;$C19,buff特效!$A$4:$Y$17,O$3,FALSE),1111)))))</f>
        <v>5</v>
      </c>
      <c r="P19" s="33" t="str">
        <f>IF($D19=1,VLOOKUP($B19&amp;"_"&amp;$C19,起手特效!$A$4:$Y$17,P$3,FALSE),IF($D19=2,VLOOKUP($B19&amp;"_"&amp;$C19,主要特效!$A$4:$Y$17,P$3,FALSE),IF($D19=3,VLOOKUP($B19&amp;"_"&amp;$C19,辅助特效!$A$4:$Y$17,P$3,FALSE),IF($D19=4,VLOOKUP($B19&amp;"_"&amp;$C19,命中特效!$A$4:$Y$17,P$3,FALSE),IF($D19=5,VLOOKUP($B19&amp;"_"&amp;$C19,buff特效!$A$4:$Y$17,P$3,FALSE),1111)))))</f>
        <v>手填</v>
      </c>
      <c r="Q19" s="33">
        <f>IF($D19=1,VLOOKUP($B19&amp;"_"&amp;$C19,起手特效!$A$4:$Y$17,Q$3,FALSE),IF($D19=2,VLOOKUP($B19&amp;"_"&amp;$C19,主要特效!$A$4:$Y$17,Q$3,FALSE),IF($D19=3,VLOOKUP($B19&amp;"_"&amp;$C19,辅助特效!$A$4:$Y$17,Q$3,FALSE),IF($D19=4,VLOOKUP($B19&amp;"_"&amp;$C19,命中特效!$A$4:$Y$17,Q$3,FALSE),IF($D19=5,VLOOKUP($B19&amp;"_"&amp;$C19,buff特效!$A$4:$Y$17,Q$3,FALSE),1111)))))</f>
        <v>2</v>
      </c>
      <c r="R19" s="33">
        <f>IF($D19=1,VLOOKUP($B19&amp;"_"&amp;$C19,起手特效!$A$4:$Y$17,R$3,FALSE),IF($D19=2,VLOOKUP($B19&amp;"_"&amp;$C19,主要特效!$A$4:$Y$17,R$3,FALSE),IF($D19=3,VLOOKUP($B19&amp;"_"&amp;$C19,辅助特效!$A$4:$Y$17,R$3,FALSE),IF($D19=4,VLOOKUP($B19&amp;"_"&amp;$C19,命中特效!$A$4:$Y$17,R$3,FALSE),IF($D19=5,VLOOKUP($B19&amp;"_"&amp;$C19,buff特效!$A$4:$Y$17,R$3,FALSE),1111)))))</f>
        <v>0</v>
      </c>
      <c r="S19" s="33" t="str">
        <f>IF($D19=1,VLOOKUP($B19&amp;"_"&amp;$C19,起手特效!$A$4:$Y$17,S$3,FALSE),IF($D19=2,VLOOKUP($B19&amp;"_"&amp;$C19,主要特效!$A$4:$Y$17,S$3,FALSE),IF($D19=3,VLOOKUP($B19&amp;"_"&amp;$C19,辅助特效!$A$4:$Y$17,S$3,FALSE),IF($D19=4,VLOOKUP($B19&amp;"_"&amp;$C19,命中特效!$A$4:$Y$17,S$3,FALSE),IF($D19=5,VLOOKUP($B19&amp;"_"&amp;$C19,buff特效!$A$4:$Y$17,S$3,FALSE),1111)))))</f>
        <v>[]</v>
      </c>
      <c r="T19" s="33" t="str">
        <f>IF($D19=1,VLOOKUP($B19&amp;"_"&amp;$C19,起手特效!$A$4:$Y$17,T$3,FALSE),IF($D19=2,VLOOKUP($B19&amp;"_"&amp;$C19,主要特效!$A$4:$Y$17,T$3,FALSE),IF($D19=3,VLOOKUP($B19&amp;"_"&amp;$C19,辅助特效!$A$4:$Y$17,T$3,FALSE),IF($D19=4,VLOOKUP($B19&amp;"_"&amp;$C19,命中特效!$A$4:$Y$17,T$3,FALSE),IF($D19=5,VLOOKUP($B19&amp;"_"&amp;$C19,buff特效!$A$4:$Y$17,T$3,FALSE),1111)))))</f>
        <v>[]</v>
      </c>
      <c r="U19" s="33" t="str">
        <f>IF($D19=1,VLOOKUP($B19&amp;"_"&amp;$C19,起手特效!$A$4:$Y$17,U$3,FALSE),IF($D19=2,VLOOKUP($B19&amp;"_"&amp;$C19,主要特效!$A$4:$Y$17,U$3,FALSE),IF($D19=3,VLOOKUP($B19&amp;"_"&amp;$C19,辅助特效!$A$4:$Y$17,U$3,FALSE),IF($D19=4,VLOOKUP($B19&amp;"_"&amp;$C19,命中特效!$A$4:$Y$17,U$3,FALSE),IF($D19=5,VLOOKUP($B19&amp;"_"&amp;$C19,buff特效!$A$4:$Y$17,U$3,FALSE),1111)))))</f>
        <v>[]</v>
      </c>
      <c r="V19" s="33">
        <f>IF($D19=1,VLOOKUP($B19&amp;"_"&amp;$C19,起手特效!$A$4:$Y$17,V$3,FALSE),IF($D19=2,VLOOKUP($B19&amp;"_"&amp;$C19,主要特效!$A$4:$Y$17,V$3,FALSE),IF($D19=3,VLOOKUP($B19&amp;"_"&amp;$C19,辅助特效!$A$4:$Y$17,V$3,FALSE),IF($D19=4,VLOOKUP($B19&amp;"_"&amp;$C19,命中特效!$A$4:$Y$17,V$3,FALSE),IF($D19=5,VLOOKUP($B19&amp;"_"&amp;$C19,buff特效!$A$4:$Y$17,V$3,FALSE),1111)))))</f>
        <v>0</v>
      </c>
      <c r="W19" s="33">
        <f>IF($D19=1,VLOOKUP($B19&amp;"_"&amp;$C19,起手特效!$A$4:$Y$17,W$3,FALSE),IF($D19=2,VLOOKUP($B19&amp;"_"&amp;$C19,主要特效!$A$4:$Y$17,W$3,FALSE),IF($D19=3,VLOOKUP($B19&amp;"_"&amp;$C19,辅助特效!$A$4:$Y$17,W$3,FALSE),IF($D19=4,VLOOKUP($B19&amp;"_"&amp;$C19,命中特效!$A$4:$Y$17,W$3,FALSE),IF($D19=5,VLOOKUP($B19&amp;"_"&amp;$C19,buff特效!$A$4:$Y$17,W$3,FALSE),1111)))))</f>
        <v>0</v>
      </c>
      <c r="X19" s="33">
        <f>IF($D19=1,VLOOKUP($B19&amp;"_"&amp;$C19,起手特效!$A$4:$Y$17,X$3,FALSE),IF($D19=2,VLOOKUP($B19&amp;"_"&amp;$C19,主要特效!$A$4:$Y$17,X$3,FALSE),IF($D19=3,VLOOKUP($B19&amp;"_"&amp;$C19,辅助特效!$A$4:$Y$17,X$3,FALSE),IF($D19=4,VLOOKUP($B19&amp;"_"&amp;$C19,命中特效!$A$4:$Y$17,X$3,FALSE),IF($D19=5,VLOOKUP($B19&amp;"_"&amp;$C19,buff特效!$A$4:$Y$17,X$3,FALSE),1111)))))</f>
        <v>0</v>
      </c>
      <c r="Y19" s="33">
        <f>IF($D19=1,VLOOKUP($B19&amp;"_"&amp;$C19,起手特效!$A$4:$Y$17,Y$3,FALSE),IF($D19=2,VLOOKUP($B19&amp;"_"&amp;$C19,主要特效!$A$4:$Y$17,Y$3,FALSE),IF($D19=3,VLOOKUP($B19&amp;"_"&amp;$C19,辅助特效!$A$4:$Y$17,Y$3,FALSE),IF($D19=4,VLOOKUP($B19&amp;"_"&amp;$C19,命中特效!$A$4:$Y$17,Y$3,FALSE),IF($D19=5,VLOOKUP($B19&amp;"_"&amp;$C19,buff特效!$A$4:$Y$17,Y$3,FALSE),1111)))))</f>
        <v>0</v>
      </c>
      <c r="Z19" s="33">
        <f>IF($D19=1,VLOOKUP($B19&amp;"_"&amp;$C19,起手特效!$A$4:$Y$17,Z$3,FALSE),IF($D19=2,VLOOKUP($B19&amp;"_"&amp;$C19,主要特效!$A$4:$Y$17,Z$3,FALSE),IF($D19=3,VLOOKUP($B19&amp;"_"&amp;$C19,辅助特效!$A$4:$Y$17,Z$3,FALSE),IF($D19=4,VLOOKUP($B19&amp;"_"&amp;$C19,命中特效!$A$4:$Y$17,Z$3,FALSE),IF($D19=5,VLOOKUP($B19&amp;"_"&amp;$C19,buff特效!$A$4:$Y$17,Z$3,FALSE),1111)))))</f>
        <v>0</v>
      </c>
      <c r="AA19" s="33">
        <f>IF($D19=1,VLOOKUP($B19&amp;"_"&amp;$C19,起手特效!$A$4:$Y$17,AA$3,FALSE),IF($D19=2,VLOOKUP($B19&amp;"_"&amp;$C19,主要特效!$A$4:$Y$17,AA$3,FALSE),IF($D19=3,VLOOKUP($B19&amp;"_"&amp;$C19,辅助特效!$A$4:$Y$17,AA$3,FALSE),IF($D19=4,VLOOKUP($B19&amp;"_"&amp;$C19,命中特效!$A$4:$Y$17,AA$3,FALSE),IF($D19=5,VLOOKUP($B19&amp;"_"&amp;$C19,buff特效!$A$4:$Y$17,AA$3,FALSE),1111)))))</f>
        <v>0</v>
      </c>
      <c r="AB19" s="33">
        <f>IF($D19=1,VLOOKUP($B19&amp;"_"&amp;$C19,起手特效!$A$4:$Y$17,AB$3,FALSE),IF($D19=2,VLOOKUP($B19&amp;"_"&amp;$C19,主要特效!$A$4:$Y$17,AB$3,FALSE),IF($D19=3,VLOOKUP($B19&amp;"_"&amp;$C19,辅助特效!$A$4:$Y$17,AB$3,FALSE),IF($D19=4,VLOOKUP($B19&amp;"_"&amp;$C19,命中特效!$A$4:$Y$17,AB$3,FALSE),IF($D19=5,VLOOKUP($B19&amp;"_"&amp;$C19,buff特效!$A$4:$Y$17,AB$3,FALSE),1111)))))</f>
        <v>0</v>
      </c>
    </row>
    <row r="20" spans="2:28" x14ac:dyDescent="0.15">
      <c r="B20" s="32" t="str">
        <f t="shared" si="3"/>
        <v>tuotatianwang</v>
      </c>
      <c r="C20" s="32">
        <f t="shared" si="4"/>
        <v>2</v>
      </c>
      <c r="D20" s="32">
        <f t="shared" si="5"/>
        <v>2</v>
      </c>
      <c r="E20" s="33" t="str">
        <f>IF($D20=1,VLOOKUP($B20&amp;"_"&amp;$C20,起手特效!$A$4:$Y$17,E$3,FALSE),IF($D20=2,VLOOKUP($B20&amp;"_"&amp;$C20,主要特效!$A$4:$Y$17,E$3,FALSE),IF($D20=3,VLOOKUP($B20&amp;"_"&amp;$C20,辅助特效!$A$4:$Y$17,E$3,FALSE),IF($D20=4,VLOOKUP($B20&amp;"_"&amp;$C20,命中特效!$A$4:$Y$17,E$3,FALSE),IF($D20=5,VLOOKUP($B20&amp;"_"&amp;$C20,buff特效!$A$4:$Y$17,E$3,FALSE),1111)))))</f>
        <v>tuotatianwang_skill02</v>
      </c>
      <c r="F20" s="33" t="str">
        <f>IF($D20=1,VLOOKUP($B20&amp;"_"&amp;$C20,起手特效!$A$4:$Y$17,F$3,FALSE),IF($D20=2,VLOOKUP($B20&amp;"_"&amp;$C20,主要特效!$A$4:$Y$17,F$3,FALSE),IF($D20=3,VLOOKUP($B20&amp;"_"&amp;$C20,辅助特效!$A$4:$Y$17,F$3,FALSE),IF($D20=4,VLOOKUP($B20&amp;"_"&amp;$C20,命中特效!$A$4:$Y$17,F$3,FALSE),IF($D20=5,VLOOKUP($B20&amp;"_"&amp;$C20,buff特效!$A$4:$Y$17,F$3,FALSE),1111)))))</f>
        <v>tuotatianwang-ai1</v>
      </c>
      <c r="G20" s="33" t="str">
        <f>IF($D20=1,VLOOKUP($B20&amp;"_"&amp;$C20,起手特效!$A$4:$Y$17,G$3,FALSE),IF($D20=2,VLOOKUP($B20&amp;"_"&amp;$C20,主要特效!$A$4:$Y$17,G$3,FALSE),IF($D20=3,VLOOKUP($B20&amp;"_"&amp;$C20,辅助特效!$A$4:$Y$17,G$3,FALSE),IF($D20=4,VLOOKUP($B20&amp;"_"&amp;$C20,命中特效!$A$4:$Y$17,G$3,FALSE),IF($D20=5,VLOOKUP($B20&amp;"_"&amp;$C20,buff特效!$A$4:$Y$17,G$3,FALSE),1111)))))</f>
        <v>skill_2</v>
      </c>
      <c r="H20" s="33">
        <f>IF($D20=1,VLOOKUP($B20&amp;"_"&amp;$C20,起手特效!$A$4:$Y$17,H$3,FALSE),IF($D20=2,VLOOKUP($B20&amp;"_"&amp;$C20,主要特效!$A$4:$Y$17,H$3,FALSE),IF($D20=3,VLOOKUP($B20&amp;"_"&amp;$C20,辅助特效!$A$4:$Y$17,H$3,FALSE),IF($D20=4,VLOOKUP($B20&amp;"_"&amp;$C20,命中特效!$A$4:$Y$17,H$3,FALSE),IF($D20=5,VLOOKUP($B20&amp;"_"&amp;$C20,buff特效!$A$4:$Y$17,H$3,FALSE),1111)))))</f>
        <v>2.6669999999999998</v>
      </c>
      <c r="I20" s="33">
        <f>IF($D20=1,VLOOKUP($B20&amp;"_"&amp;$C20,起手特效!$A$4:$Y$17,I$3,FALSE),IF($D20=2,VLOOKUP($B20&amp;"_"&amp;$C20,主要特效!$A$4:$Y$17,I$3,FALSE),IF($D20=3,VLOOKUP($B20&amp;"_"&amp;$C20,辅助特效!$A$4:$Y$17,I$3,FALSE),IF($D20=4,VLOOKUP($B20&amp;"_"&amp;$C20,命中特效!$A$4:$Y$17,I$3,FALSE),IF($D20=5,VLOOKUP($B20&amp;"_"&amp;$C20,buff特效!$A$4:$Y$17,I$3,FALSE),1111)))))</f>
        <v>0</v>
      </c>
      <c r="J20" s="33">
        <f>IF($D20=1,VLOOKUP($B20&amp;"_"&amp;$C20,起手特效!$A$4:$Y$17,J$3,FALSE),IF($D20=2,VLOOKUP($B20&amp;"_"&amp;$C20,主要特效!$A$4:$Y$17,J$3,FALSE),IF($D20=3,VLOOKUP($B20&amp;"_"&amp;$C20,辅助特效!$A$4:$Y$17,J$3,FALSE),IF($D20=4,VLOOKUP($B20&amp;"_"&amp;$C20,命中特效!$A$4:$Y$17,J$3,FALSE),IF($D20=5,VLOOKUP($B20&amp;"_"&amp;$C20,buff特效!$A$4:$Y$17,J$3,FALSE),1111)))))</f>
        <v>1</v>
      </c>
      <c r="K20" s="33">
        <f>IF($D20=1,VLOOKUP($B20&amp;"_"&amp;$C20,起手特效!$A$4:$Y$17,K$3,FALSE),IF($D20=2,VLOOKUP($B20&amp;"_"&amp;$C20,主要特效!$A$4:$Y$17,K$3,FALSE),IF($D20=3,VLOOKUP($B20&amp;"_"&amp;$C20,辅助特效!$A$4:$Y$17,K$3,FALSE),IF($D20=4,VLOOKUP($B20&amp;"_"&amp;$C20,命中特效!$A$4:$Y$17,K$3,FALSE),IF($D20=5,VLOOKUP($B20&amp;"_"&amp;$C20,buff特效!$A$4:$Y$17,K$3,FALSE),1111)))))</f>
        <v>0</v>
      </c>
      <c r="L20" s="33">
        <f>IF($D20=1,VLOOKUP($B20&amp;"_"&amp;$C20,起手特效!$A$4:$Y$17,L$3,FALSE),IF($D20=2,VLOOKUP($B20&amp;"_"&amp;$C20,主要特效!$A$4:$Y$17,L$3,FALSE),IF($D20=3,VLOOKUP($B20&amp;"_"&amp;$C20,辅助特效!$A$4:$Y$17,L$3,FALSE),IF($D20=4,VLOOKUP($B20&amp;"_"&amp;$C20,命中特效!$A$4:$Y$17,L$3,FALSE),IF($D20=5,VLOOKUP($B20&amp;"_"&amp;$C20,buff特效!$A$4:$Y$17,L$3,FALSE),1111)))))</f>
        <v>1</v>
      </c>
      <c r="M20" s="33" t="str">
        <f>IF($D20=1,VLOOKUP($B20&amp;"_"&amp;$C20,起手特效!$A$4:$Y$17,M$3,FALSE),IF($D20=2,VLOOKUP($B20&amp;"_"&amp;$C20,主要特效!$A$4:$Y$17,M$3,FALSE),IF($D20=3,VLOOKUP($B20&amp;"_"&amp;$C20,辅助特效!$A$4:$Y$17,M$3,FALSE),IF($D20=4,VLOOKUP($B20&amp;"_"&amp;$C20,命中特效!$A$4:$Y$17,M$3,FALSE),IF($D20=5,VLOOKUP($B20&amp;"_"&amp;$C20,buff特效!$A$4:$Y$17,M$3,FALSE),1111)))))</f>
        <v>[]</v>
      </c>
      <c r="N20" s="33" t="str">
        <f>IF($D20=1,VLOOKUP($B20&amp;"_"&amp;$C20,起手特效!$A$4:$Y$17,N$3,FALSE),IF($D20=2,VLOOKUP($B20&amp;"_"&amp;$C20,主要特效!$A$4:$Y$17,N$3,FALSE),IF($D20=3,VLOOKUP($B20&amp;"_"&amp;$C20,辅助特效!$A$4:$Y$17,N$3,FALSE),IF($D20=4,VLOOKUP($B20&amp;"_"&amp;$C20,命中特效!$A$4:$Y$17,N$3,FALSE),IF($D20=5,VLOOKUP($B20&amp;"_"&amp;$C20,buff特效!$A$4:$Y$17,N$3,FALSE),1111)))))</f>
        <v>tuotatianwang_effect2</v>
      </c>
      <c r="O20" s="33">
        <f>IF($D20=1,VLOOKUP($B20&amp;"_"&amp;$C20,起手特效!$A$4:$Y$17,O$3,FALSE),IF($D20=2,VLOOKUP($B20&amp;"_"&amp;$C20,主要特效!$A$4:$Y$17,O$3,FALSE),IF($D20=3,VLOOKUP($B20&amp;"_"&amp;$C20,辅助特效!$A$4:$Y$17,O$3,FALSE),IF($D20=4,VLOOKUP($B20&amp;"_"&amp;$C20,命中特效!$A$4:$Y$17,O$3,FALSE),IF($D20=5,VLOOKUP($B20&amp;"_"&amp;$C20,buff特效!$A$4:$Y$17,O$3,FALSE),1111)))))</f>
        <v>5</v>
      </c>
      <c r="P20" s="33" t="str">
        <f>IF($D20=1,VLOOKUP($B20&amp;"_"&amp;$C20,起手特效!$A$4:$Y$17,P$3,FALSE),IF($D20=2,VLOOKUP($B20&amp;"_"&amp;$C20,主要特效!$A$4:$Y$17,P$3,FALSE),IF($D20=3,VLOOKUP($B20&amp;"_"&amp;$C20,辅助特效!$A$4:$Y$17,P$3,FALSE),IF($D20=4,VLOOKUP($B20&amp;"_"&amp;$C20,命中特效!$A$4:$Y$17,P$3,FALSE),IF($D20=5,VLOOKUP($B20&amp;"_"&amp;$C20,buff特效!$A$4:$Y$17,P$3,FALSE),1111)))))</f>
        <v>手填</v>
      </c>
      <c r="Q20" s="33">
        <f>IF($D20=1,VLOOKUP($B20&amp;"_"&amp;$C20,起手特效!$A$4:$Y$17,Q$3,FALSE),IF($D20=2,VLOOKUP($B20&amp;"_"&amp;$C20,主要特效!$A$4:$Y$17,Q$3,FALSE),IF($D20=3,VLOOKUP($B20&amp;"_"&amp;$C20,辅助特效!$A$4:$Y$17,Q$3,FALSE),IF($D20=4,VLOOKUP($B20&amp;"_"&amp;$C20,命中特效!$A$4:$Y$17,Q$3,FALSE),IF($D20=5,VLOOKUP($B20&amp;"_"&amp;$C20,buff特效!$A$4:$Y$17,Q$3,FALSE),1111)))))</f>
        <v>1</v>
      </c>
      <c r="R20" s="33">
        <f>IF($D20=1,VLOOKUP($B20&amp;"_"&amp;$C20,起手特效!$A$4:$Y$17,R$3,FALSE),IF($D20=2,VLOOKUP($B20&amp;"_"&amp;$C20,主要特效!$A$4:$Y$17,R$3,FALSE),IF($D20=3,VLOOKUP($B20&amp;"_"&amp;$C20,辅助特效!$A$4:$Y$17,R$3,FALSE),IF($D20=4,VLOOKUP($B20&amp;"_"&amp;$C20,命中特效!$A$4:$Y$17,R$3,FALSE),IF($D20=5,VLOOKUP($B20&amp;"_"&amp;$C20,buff特效!$A$4:$Y$17,R$3,FALSE),1111)))))</f>
        <v>0</v>
      </c>
      <c r="S20" s="33" t="str">
        <f>IF($D20=1,VLOOKUP($B20&amp;"_"&amp;$C20,起手特效!$A$4:$Y$17,S$3,FALSE),IF($D20=2,VLOOKUP($B20&amp;"_"&amp;$C20,主要特效!$A$4:$Y$17,S$3,FALSE),IF($D20=3,VLOOKUP($B20&amp;"_"&amp;$C20,辅助特效!$A$4:$Y$17,S$3,FALSE),IF($D20=4,VLOOKUP($B20&amp;"_"&amp;$C20,命中特效!$A$4:$Y$17,S$3,FALSE),IF($D20=5,VLOOKUP($B20&amp;"_"&amp;$C20,buff特效!$A$4:$Y$17,S$3,FALSE),1111)))))</f>
        <v>[]</v>
      </c>
      <c r="T20" s="33" t="str">
        <f>IF($D20=1,VLOOKUP($B20&amp;"_"&amp;$C20,起手特效!$A$4:$Y$17,T$3,FALSE),IF($D20=2,VLOOKUP($B20&amp;"_"&amp;$C20,主要特效!$A$4:$Y$17,T$3,FALSE),IF($D20=3,VLOOKUP($B20&amp;"_"&amp;$C20,辅助特效!$A$4:$Y$17,T$3,FALSE),IF($D20=4,VLOOKUP($B20&amp;"_"&amp;$C20,命中特效!$A$4:$Y$17,T$3,FALSE),IF($D20=5,VLOOKUP($B20&amp;"_"&amp;$C20,buff特效!$A$4:$Y$17,T$3,FALSE),1111)))))</f>
        <v>[]</v>
      </c>
      <c r="U20" s="33" t="str">
        <f>IF($D20=1,VLOOKUP($B20&amp;"_"&amp;$C20,起手特效!$A$4:$Y$17,U$3,FALSE),IF($D20=2,VLOOKUP($B20&amp;"_"&amp;$C20,主要特效!$A$4:$Y$17,U$3,FALSE),IF($D20=3,VLOOKUP($B20&amp;"_"&amp;$C20,辅助特效!$A$4:$Y$17,U$3,FALSE),IF($D20=4,VLOOKUP($B20&amp;"_"&amp;$C20,命中特效!$A$4:$Y$17,U$3,FALSE),IF($D20=5,VLOOKUP($B20&amp;"_"&amp;$C20,buff特效!$A$4:$Y$17,U$3,FALSE),1111)))))</f>
        <v>[]</v>
      </c>
      <c r="V20" s="33">
        <f>IF($D20=1,VLOOKUP($B20&amp;"_"&amp;$C20,起手特效!$A$4:$Y$17,V$3,FALSE),IF($D20=2,VLOOKUP($B20&amp;"_"&amp;$C20,主要特效!$A$4:$Y$17,V$3,FALSE),IF($D20=3,VLOOKUP($B20&amp;"_"&amp;$C20,辅助特效!$A$4:$Y$17,V$3,FALSE),IF($D20=4,VLOOKUP($B20&amp;"_"&amp;$C20,命中特效!$A$4:$Y$17,V$3,FALSE),IF($D20=5,VLOOKUP($B20&amp;"_"&amp;$C20,buff特效!$A$4:$Y$17,V$3,FALSE),1111)))))</f>
        <v>0</v>
      </c>
      <c r="W20" s="33">
        <f>IF($D20=1,VLOOKUP($B20&amp;"_"&amp;$C20,起手特效!$A$4:$Y$17,W$3,FALSE),IF($D20=2,VLOOKUP($B20&amp;"_"&amp;$C20,主要特效!$A$4:$Y$17,W$3,FALSE),IF($D20=3,VLOOKUP($B20&amp;"_"&amp;$C20,辅助特效!$A$4:$Y$17,W$3,FALSE),IF($D20=4,VLOOKUP($B20&amp;"_"&amp;$C20,命中特效!$A$4:$Y$17,W$3,FALSE),IF($D20=5,VLOOKUP($B20&amp;"_"&amp;$C20,buff特效!$A$4:$Y$17,W$3,FALSE),1111)))))</f>
        <v>0</v>
      </c>
      <c r="X20" s="33">
        <f>IF($D20=1,VLOOKUP($B20&amp;"_"&amp;$C20,起手特效!$A$4:$Y$17,X$3,FALSE),IF($D20=2,VLOOKUP($B20&amp;"_"&amp;$C20,主要特效!$A$4:$Y$17,X$3,FALSE),IF($D20=3,VLOOKUP($B20&amp;"_"&amp;$C20,辅助特效!$A$4:$Y$17,X$3,FALSE),IF($D20=4,VLOOKUP($B20&amp;"_"&amp;$C20,命中特效!$A$4:$Y$17,X$3,FALSE),IF($D20=5,VLOOKUP($B20&amp;"_"&amp;$C20,buff特效!$A$4:$Y$17,X$3,FALSE),1111)))))</f>
        <v>0</v>
      </c>
      <c r="Y20" s="33">
        <f>IF($D20=1,VLOOKUP($B20&amp;"_"&amp;$C20,起手特效!$A$4:$Y$17,Y$3,FALSE),IF($D20=2,VLOOKUP($B20&amp;"_"&amp;$C20,主要特效!$A$4:$Y$17,Y$3,FALSE),IF($D20=3,VLOOKUP($B20&amp;"_"&amp;$C20,辅助特效!$A$4:$Y$17,Y$3,FALSE),IF($D20=4,VLOOKUP($B20&amp;"_"&amp;$C20,命中特效!$A$4:$Y$17,Y$3,FALSE),IF($D20=5,VLOOKUP($B20&amp;"_"&amp;$C20,buff特效!$A$4:$Y$17,Y$3,FALSE),1111)))))</f>
        <v>0</v>
      </c>
      <c r="Z20" s="33">
        <f>IF($D20=1,VLOOKUP($B20&amp;"_"&amp;$C20,起手特效!$A$4:$Y$17,Z$3,FALSE),IF($D20=2,VLOOKUP($B20&amp;"_"&amp;$C20,主要特效!$A$4:$Y$17,Z$3,FALSE),IF($D20=3,VLOOKUP($B20&amp;"_"&amp;$C20,辅助特效!$A$4:$Y$17,Z$3,FALSE),IF($D20=4,VLOOKUP($B20&amp;"_"&amp;$C20,命中特效!$A$4:$Y$17,Z$3,FALSE),IF($D20=5,VLOOKUP($B20&amp;"_"&amp;$C20,buff特效!$A$4:$Y$17,Z$3,FALSE),1111)))))</f>
        <v>0</v>
      </c>
      <c r="AA20" s="33">
        <f>IF($D20=1,VLOOKUP($B20&amp;"_"&amp;$C20,起手特效!$A$4:$Y$17,AA$3,FALSE),IF($D20=2,VLOOKUP($B20&amp;"_"&amp;$C20,主要特效!$A$4:$Y$17,AA$3,FALSE),IF($D20=3,VLOOKUP($B20&amp;"_"&amp;$C20,辅助特效!$A$4:$Y$17,AA$3,FALSE),IF($D20=4,VLOOKUP($B20&amp;"_"&amp;$C20,命中特效!$A$4:$Y$17,AA$3,FALSE),IF($D20=5,VLOOKUP($B20&amp;"_"&amp;$C20,buff特效!$A$4:$Y$17,AA$3,FALSE),1111)))))</f>
        <v>0</v>
      </c>
      <c r="AB20" s="33">
        <f>IF($D20=1,VLOOKUP($B20&amp;"_"&amp;$C20,起手特效!$A$4:$Y$17,AB$3,FALSE),IF($D20=2,VLOOKUP($B20&amp;"_"&amp;$C20,主要特效!$A$4:$Y$17,AB$3,FALSE),IF($D20=3,VLOOKUP($B20&amp;"_"&amp;$C20,辅助特效!$A$4:$Y$17,AB$3,FALSE),IF($D20=4,VLOOKUP($B20&amp;"_"&amp;$C20,命中特效!$A$4:$Y$17,AB$3,FALSE),IF($D20=5,VLOOKUP($B20&amp;"_"&amp;$C20,buff特效!$A$4:$Y$17,AB$3,FALSE),1111)))))</f>
        <v>0</v>
      </c>
    </row>
    <row r="21" spans="2:28" x14ac:dyDescent="0.15">
      <c r="B21" s="32" t="str">
        <f t="shared" si="3"/>
        <v>tuotatianwang</v>
      </c>
      <c r="C21" s="32">
        <f t="shared" si="4"/>
        <v>2</v>
      </c>
      <c r="D21" s="32">
        <f t="shared" si="5"/>
        <v>3</v>
      </c>
      <c r="E21" s="33" t="str">
        <f>IF($D21=1,VLOOKUP($B21&amp;"_"&amp;$C21,起手特效!$A$4:$Y$17,E$3,FALSE),IF($D21=2,VLOOKUP($B21&amp;"_"&amp;$C21,主要特效!$A$4:$Y$17,E$3,FALSE),IF($D21=3,VLOOKUP($B21&amp;"_"&amp;$C21,辅助特效!$A$4:$Y$17,E$3,FALSE),IF($D21=4,VLOOKUP($B21&amp;"_"&amp;$C21,命中特效!$A$4:$Y$17,E$3,FALSE),IF($D21=5,VLOOKUP($B21&amp;"_"&amp;$C21,buff特效!$A$4:$Y$17,E$3,FALSE),1111)))))</f>
        <v>[]</v>
      </c>
      <c r="F21" s="33" t="str">
        <f>IF($D21=1,VLOOKUP($B21&amp;"_"&amp;$C21,起手特效!$A$4:$Y$17,F$3,FALSE),IF($D21=2,VLOOKUP($B21&amp;"_"&amp;$C21,主要特效!$A$4:$Y$17,F$3,FALSE),IF($D21=3,VLOOKUP($B21&amp;"_"&amp;$C21,辅助特效!$A$4:$Y$17,F$3,FALSE),IF($D21=4,VLOOKUP($B21&amp;"_"&amp;$C21,命中特效!$A$4:$Y$17,F$3,FALSE),IF($D21=5,VLOOKUP($B21&amp;"_"&amp;$C21,buff特效!$A$4:$Y$17,F$3,FALSE),1111)))))</f>
        <v>[]</v>
      </c>
      <c r="G21" s="33" t="str">
        <f>IF($D21=1,VLOOKUP($B21&amp;"_"&amp;$C21,起手特效!$A$4:$Y$17,G$3,FALSE),IF($D21=2,VLOOKUP($B21&amp;"_"&amp;$C21,主要特效!$A$4:$Y$17,G$3,FALSE),IF($D21=3,VLOOKUP($B21&amp;"_"&amp;$C21,辅助特效!$A$4:$Y$17,G$3,FALSE),IF($D21=4,VLOOKUP($B21&amp;"_"&amp;$C21,命中特效!$A$4:$Y$17,G$3,FALSE),IF($D21=5,VLOOKUP($B21&amp;"_"&amp;$C21,buff特效!$A$4:$Y$17,G$3,FALSE),1111)))))</f>
        <v>skill_2</v>
      </c>
      <c r="H21" s="33">
        <f>IF($D21=1,VLOOKUP($B21&amp;"_"&amp;$C21,起手特效!$A$4:$Y$17,H$3,FALSE),IF($D21=2,VLOOKUP($B21&amp;"_"&amp;$C21,主要特效!$A$4:$Y$17,H$3,FALSE),IF($D21=3,VLOOKUP($B21&amp;"_"&amp;$C21,辅助特效!$A$4:$Y$17,H$3,FALSE),IF($D21=4,VLOOKUP($B21&amp;"_"&amp;$C21,命中特效!$A$4:$Y$17,H$3,FALSE),IF($D21=5,VLOOKUP($B21&amp;"_"&amp;$C21,buff特效!$A$4:$Y$17,H$3,FALSE),1111)))))</f>
        <v>2.6669999999999998</v>
      </c>
      <c r="I21" s="33">
        <f>IF($D21=1,VLOOKUP($B21&amp;"_"&amp;$C21,起手特效!$A$4:$Y$17,I$3,FALSE),IF($D21=2,VLOOKUP($B21&amp;"_"&amp;$C21,主要特效!$A$4:$Y$17,I$3,FALSE),IF($D21=3,VLOOKUP($B21&amp;"_"&amp;$C21,辅助特效!$A$4:$Y$17,I$3,FALSE),IF($D21=4,VLOOKUP($B21&amp;"_"&amp;$C21,命中特效!$A$4:$Y$17,I$3,FALSE),IF($D21=5,VLOOKUP($B21&amp;"_"&amp;$C21,buff特效!$A$4:$Y$17,I$3,FALSE),1111)))))</f>
        <v>0</v>
      </c>
      <c r="J21" s="33">
        <f>IF($D21=1,VLOOKUP($B21&amp;"_"&amp;$C21,起手特效!$A$4:$Y$17,J$3,FALSE),IF($D21=2,VLOOKUP($B21&amp;"_"&amp;$C21,主要特效!$A$4:$Y$17,J$3,FALSE),IF($D21=3,VLOOKUP($B21&amp;"_"&amp;$C21,辅助特效!$A$4:$Y$17,J$3,FALSE),IF($D21=4,VLOOKUP($B21&amp;"_"&amp;$C21,命中特效!$A$4:$Y$17,J$3,FALSE),IF($D21=5,VLOOKUP($B21&amp;"_"&amp;$C21,buff特效!$A$4:$Y$17,J$3,FALSE),1111)))))</f>
        <v>1</v>
      </c>
      <c r="K21" s="33">
        <f>IF($D21=1,VLOOKUP($B21&amp;"_"&amp;$C21,起手特效!$A$4:$Y$17,K$3,FALSE),IF($D21=2,VLOOKUP($B21&amp;"_"&amp;$C21,主要特效!$A$4:$Y$17,K$3,FALSE),IF($D21=3,VLOOKUP($B21&amp;"_"&amp;$C21,辅助特效!$A$4:$Y$17,K$3,FALSE),IF($D21=4,VLOOKUP($B21&amp;"_"&amp;$C21,命中特效!$A$4:$Y$17,K$3,FALSE),IF($D21=5,VLOOKUP($B21&amp;"_"&amp;$C21,buff特效!$A$4:$Y$17,K$3,FALSE),1111)))))</f>
        <v>0</v>
      </c>
      <c r="L21" s="33">
        <f>IF($D21=1,VLOOKUP($B21&amp;"_"&amp;$C21,起手特效!$A$4:$Y$17,L$3,FALSE),IF($D21=2,VLOOKUP($B21&amp;"_"&amp;$C21,主要特效!$A$4:$Y$17,L$3,FALSE),IF($D21=3,VLOOKUP($B21&amp;"_"&amp;$C21,辅助特效!$A$4:$Y$17,L$3,FALSE),IF($D21=4,VLOOKUP($B21&amp;"_"&amp;$C21,命中特效!$A$4:$Y$17,L$3,FALSE),IF($D21=5,VLOOKUP($B21&amp;"_"&amp;$C21,buff特效!$A$4:$Y$17,L$3,FALSE),1111)))))</f>
        <v>1</v>
      </c>
      <c r="M21" s="33" t="str">
        <f>IF($D21=1,VLOOKUP($B21&amp;"_"&amp;$C21,起手特效!$A$4:$Y$17,M$3,FALSE),IF($D21=2,VLOOKUP($B21&amp;"_"&amp;$C21,主要特效!$A$4:$Y$17,M$3,FALSE),IF($D21=3,VLOOKUP($B21&amp;"_"&amp;$C21,辅助特效!$A$4:$Y$17,M$3,FALSE),IF($D21=4,VLOOKUP($B21&amp;"_"&amp;$C21,命中特效!$A$4:$Y$17,M$3,FALSE),IF($D21=5,VLOOKUP($B21&amp;"_"&amp;$C21,buff特效!$A$4:$Y$17,M$3,FALSE),1111)))))</f>
        <v>[]</v>
      </c>
      <c r="N21" s="33" t="str">
        <f>IF($D21=1,VLOOKUP($B21&amp;"_"&amp;$C21,起手特效!$A$4:$Y$17,N$3,FALSE),IF($D21=2,VLOOKUP($B21&amp;"_"&amp;$C21,主要特效!$A$4:$Y$17,N$3,FALSE),IF($D21=3,VLOOKUP($B21&amp;"_"&amp;$C21,辅助特效!$A$4:$Y$17,N$3,FALSE),IF($D21=4,VLOOKUP($B21&amp;"_"&amp;$C21,命中特效!$A$4:$Y$17,N$3,FALSE),IF($D21=5,VLOOKUP($B21&amp;"_"&amp;$C21,buff特效!$A$4:$Y$17,N$3,FALSE),1111)))))</f>
        <v>[]</v>
      </c>
      <c r="O21" s="33">
        <f>IF($D21=1,VLOOKUP($B21&amp;"_"&amp;$C21,起手特效!$A$4:$Y$17,O$3,FALSE),IF($D21=2,VLOOKUP($B21&amp;"_"&amp;$C21,主要特效!$A$4:$Y$17,O$3,FALSE),IF($D21=3,VLOOKUP($B21&amp;"_"&amp;$C21,辅助特效!$A$4:$Y$17,O$3,FALSE),IF($D21=4,VLOOKUP($B21&amp;"_"&amp;$C21,命中特效!$A$4:$Y$17,O$3,FALSE),IF($D21=5,VLOOKUP($B21&amp;"_"&amp;$C21,buff特效!$A$4:$Y$17,O$3,FALSE),1111)))))</f>
        <v>5</v>
      </c>
      <c r="P21" s="33" t="str">
        <f>IF($D21=1,VLOOKUP($B21&amp;"_"&amp;$C21,起手特效!$A$4:$Y$17,P$3,FALSE),IF($D21=2,VLOOKUP($B21&amp;"_"&amp;$C21,主要特效!$A$4:$Y$17,P$3,FALSE),IF($D21=3,VLOOKUP($B21&amp;"_"&amp;$C21,辅助特效!$A$4:$Y$17,P$3,FALSE),IF($D21=4,VLOOKUP($B21&amp;"_"&amp;$C21,命中特效!$A$4:$Y$17,P$3,FALSE),IF($D21=5,VLOOKUP($B21&amp;"_"&amp;$C21,buff特效!$A$4:$Y$17,P$3,FALSE),1111)))))</f>
        <v>手填</v>
      </c>
      <c r="Q21" s="33">
        <f>IF($D21=1,VLOOKUP($B21&amp;"_"&amp;$C21,起手特效!$A$4:$Y$17,Q$3,FALSE),IF($D21=2,VLOOKUP($B21&amp;"_"&amp;$C21,主要特效!$A$4:$Y$17,Q$3,FALSE),IF($D21=3,VLOOKUP($B21&amp;"_"&amp;$C21,辅助特效!$A$4:$Y$17,Q$3,FALSE),IF($D21=4,VLOOKUP($B21&amp;"_"&amp;$C21,命中特效!$A$4:$Y$17,Q$3,FALSE),IF($D21=5,VLOOKUP($B21&amp;"_"&amp;$C21,buff特效!$A$4:$Y$17,Q$3,FALSE),1111)))))</f>
        <v>1</v>
      </c>
      <c r="R21" s="33" t="str">
        <f>IF($D21=1,VLOOKUP($B21&amp;"_"&amp;$C21,起手特效!$A$4:$Y$17,R$3,FALSE),IF($D21=2,VLOOKUP($B21&amp;"_"&amp;$C21,主要特效!$A$4:$Y$17,R$3,FALSE),IF($D21=3,VLOOKUP($B21&amp;"_"&amp;$C21,辅助特效!$A$4:$Y$17,R$3,FALSE),IF($D21=4,VLOOKUP($B21&amp;"_"&amp;$C21,命中特效!$A$4:$Y$17,R$3,FALSE),IF($D21=5,VLOOKUP($B21&amp;"_"&amp;$C21,buff特效!$A$4:$Y$17,R$3,FALSE),1111)))))</f>
        <v>手填</v>
      </c>
      <c r="S21" s="33" t="str">
        <f>IF($D21=1,VLOOKUP($B21&amp;"_"&amp;$C21,起手特效!$A$4:$Y$17,S$3,FALSE),IF($D21=2,VLOOKUP($B21&amp;"_"&amp;$C21,主要特效!$A$4:$Y$17,S$3,FALSE),IF($D21=3,VLOOKUP($B21&amp;"_"&amp;$C21,辅助特效!$A$4:$Y$17,S$3,FALSE),IF($D21=4,VLOOKUP($B21&amp;"_"&amp;$C21,命中特效!$A$4:$Y$17,S$3,FALSE),IF($D21=5,VLOOKUP($B21&amp;"_"&amp;$C21,buff特效!$A$4:$Y$17,S$3,FALSE),1111)))))</f>
        <v>手填</v>
      </c>
      <c r="T21" s="33" t="str">
        <f>IF($D21=1,VLOOKUP($B21&amp;"_"&amp;$C21,起手特效!$A$4:$Y$17,T$3,FALSE),IF($D21=2,VLOOKUP($B21&amp;"_"&amp;$C21,主要特效!$A$4:$Y$17,T$3,FALSE),IF($D21=3,VLOOKUP($B21&amp;"_"&amp;$C21,辅助特效!$A$4:$Y$17,T$3,FALSE),IF($D21=4,VLOOKUP($B21&amp;"_"&amp;$C21,命中特效!$A$4:$Y$17,T$3,FALSE),IF($D21=5,VLOOKUP($B21&amp;"_"&amp;$C21,buff特效!$A$4:$Y$17,T$3,FALSE),1111)))))</f>
        <v>[]</v>
      </c>
      <c r="U21" s="33" t="str">
        <f>IF($D21=1,VLOOKUP($B21&amp;"_"&amp;$C21,起手特效!$A$4:$Y$17,U$3,FALSE),IF($D21=2,VLOOKUP($B21&amp;"_"&amp;$C21,主要特效!$A$4:$Y$17,U$3,FALSE),IF($D21=3,VLOOKUP($B21&amp;"_"&amp;$C21,辅助特效!$A$4:$Y$17,U$3,FALSE),IF($D21=4,VLOOKUP($B21&amp;"_"&amp;$C21,命中特效!$A$4:$Y$17,U$3,FALSE),IF($D21=5,VLOOKUP($B21&amp;"_"&amp;$C21,buff特效!$A$4:$Y$17,U$3,FALSE),1111)))))</f>
        <v>[]</v>
      </c>
      <c r="V21" s="33">
        <f>IF($D21=1,VLOOKUP($B21&amp;"_"&amp;$C21,起手特效!$A$4:$Y$17,V$3,FALSE),IF($D21=2,VLOOKUP($B21&amp;"_"&amp;$C21,主要特效!$A$4:$Y$17,V$3,FALSE),IF($D21=3,VLOOKUP($B21&amp;"_"&amp;$C21,辅助特效!$A$4:$Y$17,V$3,FALSE),IF($D21=4,VLOOKUP($B21&amp;"_"&amp;$C21,命中特效!$A$4:$Y$17,V$3,FALSE),IF($D21=5,VLOOKUP($B21&amp;"_"&amp;$C21,buff特效!$A$4:$Y$17,V$3,FALSE),1111)))))</f>
        <v>0</v>
      </c>
      <c r="W21" s="33">
        <f>IF($D21=1,VLOOKUP($B21&amp;"_"&amp;$C21,起手特效!$A$4:$Y$17,W$3,FALSE),IF($D21=2,VLOOKUP($B21&amp;"_"&amp;$C21,主要特效!$A$4:$Y$17,W$3,FALSE),IF($D21=3,VLOOKUP($B21&amp;"_"&amp;$C21,辅助特效!$A$4:$Y$17,W$3,FALSE),IF($D21=4,VLOOKUP($B21&amp;"_"&amp;$C21,命中特效!$A$4:$Y$17,W$3,FALSE),IF($D21=5,VLOOKUP($B21&amp;"_"&amp;$C21,buff特效!$A$4:$Y$17,W$3,FALSE),1111)))))</f>
        <v>0</v>
      </c>
      <c r="X21" s="33">
        <f>IF($D21=1,VLOOKUP($B21&amp;"_"&amp;$C21,起手特效!$A$4:$Y$17,X$3,FALSE),IF($D21=2,VLOOKUP($B21&amp;"_"&amp;$C21,主要特效!$A$4:$Y$17,X$3,FALSE),IF($D21=3,VLOOKUP($B21&amp;"_"&amp;$C21,辅助特效!$A$4:$Y$17,X$3,FALSE),IF($D21=4,VLOOKUP($B21&amp;"_"&amp;$C21,命中特效!$A$4:$Y$17,X$3,FALSE),IF($D21=5,VLOOKUP($B21&amp;"_"&amp;$C21,buff特效!$A$4:$Y$17,X$3,FALSE),1111)))))</f>
        <v>0</v>
      </c>
      <c r="Y21" s="33">
        <f>IF($D21=1,VLOOKUP($B21&amp;"_"&amp;$C21,起手特效!$A$4:$Y$17,Y$3,FALSE),IF($D21=2,VLOOKUP($B21&amp;"_"&amp;$C21,主要特效!$A$4:$Y$17,Y$3,FALSE),IF($D21=3,VLOOKUP($B21&amp;"_"&amp;$C21,辅助特效!$A$4:$Y$17,Y$3,FALSE),IF($D21=4,VLOOKUP($B21&amp;"_"&amp;$C21,命中特效!$A$4:$Y$17,Y$3,FALSE),IF($D21=5,VLOOKUP($B21&amp;"_"&amp;$C21,buff特效!$A$4:$Y$17,Y$3,FALSE),1111)))))</f>
        <v>0</v>
      </c>
      <c r="Z21" s="33">
        <f>IF($D21=1,VLOOKUP($B21&amp;"_"&amp;$C21,起手特效!$A$4:$Y$17,Z$3,FALSE),IF($D21=2,VLOOKUP($B21&amp;"_"&amp;$C21,主要特效!$A$4:$Y$17,Z$3,FALSE),IF($D21=3,VLOOKUP($B21&amp;"_"&amp;$C21,辅助特效!$A$4:$Y$17,Z$3,FALSE),IF($D21=4,VLOOKUP($B21&amp;"_"&amp;$C21,命中特效!$A$4:$Y$17,Z$3,FALSE),IF($D21=5,VLOOKUP($B21&amp;"_"&amp;$C21,buff特效!$A$4:$Y$17,Z$3,FALSE),1111)))))</f>
        <v>0</v>
      </c>
      <c r="AA21" s="33">
        <f>IF($D21=1,VLOOKUP($B21&amp;"_"&amp;$C21,起手特效!$A$4:$Y$17,AA$3,FALSE),IF($D21=2,VLOOKUP($B21&amp;"_"&amp;$C21,主要特效!$A$4:$Y$17,AA$3,FALSE),IF($D21=3,VLOOKUP($B21&amp;"_"&amp;$C21,辅助特效!$A$4:$Y$17,AA$3,FALSE),IF($D21=4,VLOOKUP($B21&amp;"_"&amp;$C21,命中特效!$A$4:$Y$17,AA$3,FALSE),IF($D21=5,VLOOKUP($B21&amp;"_"&amp;$C21,buff特效!$A$4:$Y$17,AA$3,FALSE),1111)))))</f>
        <v>0</v>
      </c>
      <c r="AB21" s="33">
        <f>IF($D21=1,VLOOKUP($B21&amp;"_"&amp;$C21,起手特效!$A$4:$Y$17,AB$3,FALSE),IF($D21=2,VLOOKUP($B21&amp;"_"&amp;$C21,主要特效!$A$4:$Y$17,AB$3,FALSE),IF($D21=3,VLOOKUP($B21&amp;"_"&amp;$C21,辅助特效!$A$4:$Y$17,AB$3,FALSE),IF($D21=4,VLOOKUP($B21&amp;"_"&amp;$C21,命中特效!$A$4:$Y$17,AB$3,FALSE),IF($D21=5,VLOOKUP($B21&amp;"_"&amp;$C21,buff特效!$A$4:$Y$17,AB$3,FALSE),1111)))))</f>
        <v>0</v>
      </c>
    </row>
    <row r="22" spans="2:28" x14ac:dyDescent="0.15">
      <c r="B22" s="32" t="str">
        <f t="shared" si="3"/>
        <v>tuotatianwang</v>
      </c>
      <c r="C22" s="32">
        <f t="shared" si="4"/>
        <v>2</v>
      </c>
      <c r="D22" s="32">
        <f t="shared" si="5"/>
        <v>4</v>
      </c>
      <c r="E22" s="33" t="str">
        <f>IF($D22=1,VLOOKUP($B22&amp;"_"&amp;$C22,起手特效!$A$4:$Y$17,E$3,FALSE),IF($D22=2,VLOOKUP($B22&amp;"_"&amp;$C22,主要特效!$A$4:$Y$17,E$3,FALSE),IF($D22=3,VLOOKUP($B22&amp;"_"&amp;$C22,辅助特效!$A$4:$Y$17,E$3,FALSE),IF($D22=4,VLOOKUP($B22&amp;"_"&amp;$C22,命中特效!$A$4:$Y$17,E$3,FALSE),IF($D22=5,VLOOKUP($B22&amp;"_"&amp;$C22,buff特效!$A$4:$Y$17,E$3,FALSE),1111)))))</f>
        <v>[]</v>
      </c>
      <c r="F22" s="33" t="str">
        <f>IF($D22=1,VLOOKUP($B22&amp;"_"&amp;$C22,起手特效!$A$4:$Y$17,F$3,FALSE),IF($D22=2,VLOOKUP($B22&amp;"_"&amp;$C22,主要特效!$A$4:$Y$17,F$3,FALSE),IF($D22=3,VLOOKUP($B22&amp;"_"&amp;$C22,辅助特效!$A$4:$Y$17,F$3,FALSE),IF($D22=4,VLOOKUP($B22&amp;"_"&amp;$C22,命中特效!$A$4:$Y$17,F$3,FALSE),IF($D22=5,VLOOKUP($B22&amp;"_"&amp;$C22,buff特效!$A$4:$Y$17,F$3,FALSE),1111)))))</f>
        <v>[]</v>
      </c>
      <c r="G22" s="33" t="str">
        <f>IF($D22=1,VLOOKUP($B22&amp;"_"&amp;$C22,起手特效!$A$4:$Y$17,G$3,FALSE),IF($D22=2,VLOOKUP($B22&amp;"_"&amp;$C22,主要特效!$A$4:$Y$17,G$3,FALSE),IF($D22=3,VLOOKUP($B22&amp;"_"&amp;$C22,辅助特效!$A$4:$Y$17,G$3,FALSE),IF($D22=4,VLOOKUP($B22&amp;"_"&amp;$C22,命中特效!$A$4:$Y$17,G$3,FALSE),IF($D22=5,VLOOKUP($B22&amp;"_"&amp;$C22,buff特效!$A$4:$Y$17,G$3,FALSE),1111)))))</f>
        <v>[]</v>
      </c>
      <c r="H22" s="33">
        <f>IF($D22=1,VLOOKUP($B22&amp;"_"&amp;$C22,起手特效!$A$4:$Y$17,H$3,FALSE),IF($D22=2,VLOOKUP($B22&amp;"_"&amp;$C22,主要特效!$A$4:$Y$17,H$3,FALSE),IF($D22=3,VLOOKUP($B22&amp;"_"&amp;$C22,辅助特效!$A$4:$Y$17,H$3,FALSE),IF($D22=4,VLOOKUP($B22&amp;"_"&amp;$C22,命中特效!$A$4:$Y$17,H$3,FALSE),IF($D22=5,VLOOKUP($B22&amp;"_"&amp;$C22,buff特效!$A$4:$Y$17,H$3,FALSE),1111)))))</f>
        <v>0</v>
      </c>
      <c r="I22" s="33">
        <f>IF($D22=1,VLOOKUP($B22&amp;"_"&amp;$C22,起手特效!$A$4:$Y$17,I$3,FALSE),IF($D22=2,VLOOKUP($B22&amp;"_"&amp;$C22,主要特效!$A$4:$Y$17,I$3,FALSE),IF($D22=3,VLOOKUP($B22&amp;"_"&amp;$C22,辅助特效!$A$4:$Y$17,I$3,FALSE),IF($D22=4,VLOOKUP($B22&amp;"_"&amp;$C22,命中特效!$A$4:$Y$17,I$3,FALSE),IF($D22=5,VLOOKUP($B22&amp;"_"&amp;$C22,buff特效!$A$4:$Y$17,I$3,FALSE),1111)))))</f>
        <v>0</v>
      </c>
      <c r="J22" s="33">
        <f>IF($D22=1,VLOOKUP($B22&amp;"_"&amp;$C22,起手特效!$A$4:$Y$17,J$3,FALSE),IF($D22=2,VLOOKUP($B22&amp;"_"&amp;$C22,主要特效!$A$4:$Y$17,J$3,FALSE),IF($D22=3,VLOOKUP($B22&amp;"_"&amp;$C22,辅助特效!$A$4:$Y$17,J$3,FALSE),IF($D22=4,VLOOKUP($B22&amp;"_"&amp;$C22,命中特效!$A$4:$Y$17,J$3,FALSE),IF($D22=5,VLOOKUP($B22&amp;"_"&amp;$C22,buff特效!$A$4:$Y$17,J$3,FALSE),1111)))))</f>
        <v>11</v>
      </c>
      <c r="K22" s="33">
        <f>IF($D22=1,VLOOKUP($B22&amp;"_"&amp;$C22,起手特效!$A$4:$Y$17,K$3,FALSE),IF($D22=2,VLOOKUP($B22&amp;"_"&amp;$C22,主要特效!$A$4:$Y$17,K$3,FALSE),IF($D22=3,VLOOKUP($B22&amp;"_"&amp;$C22,辅助特效!$A$4:$Y$17,K$3,FALSE),IF($D22=4,VLOOKUP($B22&amp;"_"&amp;$C22,命中特效!$A$4:$Y$17,K$3,FALSE),IF($D22=5,VLOOKUP($B22&amp;"_"&amp;$C22,buff特效!$A$4:$Y$17,K$3,FALSE),1111)))))</f>
        <v>0</v>
      </c>
      <c r="L22" s="33">
        <f>IF($D22=1,VLOOKUP($B22&amp;"_"&amp;$C22,起手特效!$A$4:$Y$17,L$3,FALSE),IF($D22=2,VLOOKUP($B22&amp;"_"&amp;$C22,主要特效!$A$4:$Y$17,L$3,FALSE),IF($D22=3,VLOOKUP($B22&amp;"_"&amp;$C22,辅助特效!$A$4:$Y$17,L$3,FALSE),IF($D22=4,VLOOKUP($B22&amp;"_"&amp;$C22,命中特效!$A$4:$Y$17,L$3,FALSE),IF($D22=5,VLOOKUP($B22&amp;"_"&amp;$C22,buff特效!$A$4:$Y$17,L$3,FALSE),1111)))))</f>
        <v>0</v>
      </c>
      <c r="M22" s="33" t="str">
        <f>IF($D22=1,VLOOKUP($B22&amp;"_"&amp;$C22,起手特效!$A$4:$Y$17,M$3,FALSE),IF($D22=2,VLOOKUP($B22&amp;"_"&amp;$C22,主要特效!$A$4:$Y$17,M$3,FALSE),IF($D22=3,VLOOKUP($B22&amp;"_"&amp;$C22,辅助特效!$A$4:$Y$17,M$3,FALSE),IF($D22=4,VLOOKUP($B22&amp;"_"&amp;$C22,命中特效!$A$4:$Y$17,M$3,FALSE),IF($D22=5,VLOOKUP($B22&amp;"_"&amp;$C22,buff特效!$A$4:$Y$17,M$3,FALSE),1111)))))</f>
        <v>[]</v>
      </c>
      <c r="N22" s="33" t="str">
        <f>IF($D22=1,VLOOKUP($B22&amp;"_"&amp;$C22,起手特效!$A$4:$Y$17,N$3,FALSE),IF($D22=2,VLOOKUP($B22&amp;"_"&amp;$C22,主要特效!$A$4:$Y$17,N$3,FALSE),IF($D22=3,VLOOKUP($B22&amp;"_"&amp;$C22,辅助特效!$A$4:$Y$17,N$3,FALSE),IF($D22=4,VLOOKUP($B22&amp;"_"&amp;$C22,命中特效!$A$4:$Y$17,N$3,FALSE),IF($D22=5,VLOOKUP($B22&amp;"_"&amp;$C22,buff特效!$A$4:$Y$17,N$3,FALSE),1111)))))</f>
        <v>[]</v>
      </c>
      <c r="O22" s="33">
        <f>IF($D22=1,VLOOKUP($B22&amp;"_"&amp;$C22,起手特效!$A$4:$Y$17,O$3,FALSE),IF($D22=2,VLOOKUP($B22&amp;"_"&amp;$C22,主要特效!$A$4:$Y$17,O$3,FALSE),IF($D22=3,VLOOKUP($B22&amp;"_"&amp;$C22,辅助特效!$A$4:$Y$17,O$3,FALSE),IF($D22=4,VLOOKUP($B22&amp;"_"&amp;$C22,命中特效!$A$4:$Y$17,O$3,FALSE),IF($D22=5,VLOOKUP($B22&amp;"_"&amp;$C22,buff特效!$A$4:$Y$17,O$3,FALSE),1111)))))</f>
        <v>5</v>
      </c>
      <c r="P22" s="33">
        <f>IF($D22=1,VLOOKUP($B22&amp;"_"&amp;$C22,起手特效!$A$4:$Y$17,P$3,FALSE),IF($D22=2,VLOOKUP($B22&amp;"_"&amp;$C22,主要特效!$A$4:$Y$17,P$3,FALSE),IF($D22=3,VLOOKUP($B22&amp;"_"&amp;$C22,辅助特效!$A$4:$Y$17,P$3,FALSE),IF($D22=4,VLOOKUP($B22&amp;"_"&amp;$C22,命中特效!$A$4:$Y$17,P$3,FALSE),IF($D22=5,VLOOKUP($B22&amp;"_"&amp;$C22,buff特效!$A$4:$Y$17,P$3,FALSE),1111)))))</f>
        <v>0</v>
      </c>
      <c r="Q22" s="33">
        <f>IF($D22=1,VLOOKUP($B22&amp;"_"&amp;$C22,起手特效!$A$4:$Y$17,Q$3,FALSE),IF($D22=2,VLOOKUP($B22&amp;"_"&amp;$C22,主要特效!$A$4:$Y$17,Q$3,FALSE),IF($D22=3,VLOOKUP($B22&amp;"_"&amp;$C22,辅助特效!$A$4:$Y$17,Q$3,FALSE),IF($D22=4,VLOOKUP($B22&amp;"_"&amp;$C22,命中特效!$A$4:$Y$17,Q$3,FALSE),IF($D22=5,VLOOKUP($B22&amp;"_"&amp;$C22,buff特效!$A$4:$Y$17,Q$3,FALSE),1111)))))</f>
        <v>2</v>
      </c>
      <c r="R22" s="33">
        <f>IF($D22=1,VLOOKUP($B22&amp;"_"&amp;$C22,起手特效!$A$4:$Y$17,R$3,FALSE),IF($D22=2,VLOOKUP($B22&amp;"_"&amp;$C22,主要特效!$A$4:$Y$17,R$3,FALSE),IF($D22=3,VLOOKUP($B22&amp;"_"&amp;$C22,辅助特效!$A$4:$Y$17,R$3,FALSE),IF($D22=4,VLOOKUP($B22&amp;"_"&amp;$C22,命中特效!$A$4:$Y$17,R$3,FALSE),IF($D22=5,VLOOKUP($B22&amp;"_"&amp;$C22,buff特效!$A$4:$Y$17,R$3,FALSE),1111)))))</f>
        <v>0</v>
      </c>
      <c r="S22" s="33" t="str">
        <f>IF($D22=1,VLOOKUP($B22&amp;"_"&amp;$C22,起手特效!$A$4:$Y$17,S$3,FALSE),IF($D22=2,VLOOKUP($B22&amp;"_"&amp;$C22,主要特效!$A$4:$Y$17,S$3,FALSE),IF($D22=3,VLOOKUP($B22&amp;"_"&amp;$C22,辅助特效!$A$4:$Y$17,S$3,FALSE),IF($D22=4,VLOOKUP($B22&amp;"_"&amp;$C22,命中特效!$A$4:$Y$17,S$3,FALSE),IF($D22=5,VLOOKUP($B22&amp;"_"&amp;$C22,buff特效!$A$4:$Y$17,S$3,FALSE),1111)))))</f>
        <v>[]</v>
      </c>
      <c r="T22" s="33" t="str">
        <f>IF($D22=1,VLOOKUP($B22&amp;"_"&amp;$C22,起手特效!$A$4:$Y$17,T$3,FALSE),IF($D22=2,VLOOKUP($B22&amp;"_"&amp;$C22,主要特效!$A$4:$Y$17,T$3,FALSE),IF($D22=3,VLOOKUP($B22&amp;"_"&amp;$C22,辅助特效!$A$4:$Y$17,T$3,FALSE),IF($D22=4,VLOOKUP($B22&amp;"_"&amp;$C22,命中特效!$A$4:$Y$17,T$3,FALSE),IF($D22=5,VLOOKUP($B22&amp;"_"&amp;$C22,buff特效!$A$4:$Y$17,T$3,FALSE),1111)))))</f>
        <v>[]</v>
      </c>
      <c r="U22" s="33" t="str">
        <f>IF($D22=1,VLOOKUP($B22&amp;"_"&amp;$C22,起手特效!$A$4:$Y$17,U$3,FALSE),IF($D22=2,VLOOKUP($B22&amp;"_"&amp;$C22,主要特效!$A$4:$Y$17,U$3,FALSE),IF($D22=3,VLOOKUP($B22&amp;"_"&amp;$C22,辅助特效!$A$4:$Y$17,U$3,FALSE),IF($D22=4,VLOOKUP($B22&amp;"_"&amp;$C22,命中特效!$A$4:$Y$17,U$3,FALSE),IF($D22=5,VLOOKUP($B22&amp;"_"&amp;$C22,buff特效!$A$4:$Y$17,U$3,FALSE),1111)))))</f>
        <v>[]</v>
      </c>
      <c r="V22" s="33">
        <f>IF($D22=1,VLOOKUP($B22&amp;"_"&amp;$C22,起手特效!$A$4:$Y$17,V$3,FALSE),IF($D22=2,VLOOKUP($B22&amp;"_"&amp;$C22,主要特效!$A$4:$Y$17,V$3,FALSE),IF($D22=3,VLOOKUP($B22&amp;"_"&amp;$C22,辅助特效!$A$4:$Y$17,V$3,FALSE),IF($D22=4,VLOOKUP($B22&amp;"_"&amp;$C22,命中特效!$A$4:$Y$17,V$3,FALSE),IF($D22=5,VLOOKUP($B22&amp;"_"&amp;$C22,buff特效!$A$4:$Y$17,V$3,FALSE),1111)))))</f>
        <v>0</v>
      </c>
      <c r="W22" s="33">
        <f>IF($D22=1,VLOOKUP($B22&amp;"_"&amp;$C22,起手特效!$A$4:$Y$17,W$3,FALSE),IF($D22=2,VLOOKUP($B22&amp;"_"&amp;$C22,主要特效!$A$4:$Y$17,W$3,FALSE),IF($D22=3,VLOOKUP($B22&amp;"_"&amp;$C22,辅助特效!$A$4:$Y$17,W$3,FALSE),IF($D22=4,VLOOKUP($B22&amp;"_"&amp;$C22,命中特效!$A$4:$Y$17,W$3,FALSE),IF($D22=5,VLOOKUP($B22&amp;"_"&amp;$C22,buff特效!$A$4:$Y$17,W$3,FALSE),1111)))))</f>
        <v>0</v>
      </c>
      <c r="X22" s="33">
        <f>IF($D22=1,VLOOKUP($B22&amp;"_"&amp;$C22,起手特效!$A$4:$Y$17,X$3,FALSE),IF($D22=2,VLOOKUP($B22&amp;"_"&amp;$C22,主要特效!$A$4:$Y$17,X$3,FALSE),IF($D22=3,VLOOKUP($B22&amp;"_"&amp;$C22,辅助特效!$A$4:$Y$17,X$3,FALSE),IF($D22=4,VLOOKUP($B22&amp;"_"&amp;$C22,命中特效!$A$4:$Y$17,X$3,FALSE),IF($D22=5,VLOOKUP($B22&amp;"_"&amp;$C22,buff特效!$A$4:$Y$17,X$3,FALSE),1111)))))</f>
        <v>0</v>
      </c>
      <c r="Y22" s="33">
        <f>IF($D22=1,VLOOKUP($B22&amp;"_"&amp;$C22,起手特效!$A$4:$Y$17,Y$3,FALSE),IF($D22=2,VLOOKUP($B22&amp;"_"&amp;$C22,主要特效!$A$4:$Y$17,Y$3,FALSE),IF($D22=3,VLOOKUP($B22&amp;"_"&amp;$C22,辅助特效!$A$4:$Y$17,Y$3,FALSE),IF($D22=4,VLOOKUP($B22&amp;"_"&amp;$C22,命中特效!$A$4:$Y$17,Y$3,FALSE),IF($D22=5,VLOOKUP($B22&amp;"_"&amp;$C22,buff特效!$A$4:$Y$17,Y$3,FALSE),1111)))))</f>
        <v>0</v>
      </c>
      <c r="Z22" s="33">
        <f>IF($D22=1,VLOOKUP($B22&amp;"_"&amp;$C22,起手特效!$A$4:$Y$17,Z$3,FALSE),IF($D22=2,VLOOKUP($B22&amp;"_"&amp;$C22,主要特效!$A$4:$Y$17,Z$3,FALSE),IF($D22=3,VLOOKUP($B22&amp;"_"&amp;$C22,辅助特效!$A$4:$Y$17,Z$3,FALSE),IF($D22=4,VLOOKUP($B22&amp;"_"&amp;$C22,命中特效!$A$4:$Y$17,Z$3,FALSE),IF($D22=5,VLOOKUP($B22&amp;"_"&amp;$C22,buff特效!$A$4:$Y$17,Z$3,FALSE),1111)))))</f>
        <v>0</v>
      </c>
      <c r="AA22" s="33">
        <f>IF($D22=1,VLOOKUP($B22&amp;"_"&amp;$C22,起手特效!$A$4:$Y$17,AA$3,FALSE),IF($D22=2,VLOOKUP($B22&amp;"_"&amp;$C22,主要特效!$A$4:$Y$17,AA$3,FALSE),IF($D22=3,VLOOKUP($B22&amp;"_"&amp;$C22,辅助特效!$A$4:$Y$17,AA$3,FALSE),IF($D22=4,VLOOKUP($B22&amp;"_"&amp;$C22,命中特效!$A$4:$Y$17,AA$3,FALSE),IF($D22=5,VLOOKUP($B22&amp;"_"&amp;$C22,buff特效!$A$4:$Y$17,AA$3,FALSE),1111)))))</f>
        <v>0</v>
      </c>
      <c r="AB22" s="33">
        <f>IF($D22=1,VLOOKUP($B22&amp;"_"&amp;$C22,起手特效!$A$4:$Y$17,AB$3,FALSE),IF($D22=2,VLOOKUP($B22&amp;"_"&amp;$C22,主要特效!$A$4:$Y$17,AB$3,FALSE),IF($D22=3,VLOOKUP($B22&amp;"_"&amp;$C22,辅助特效!$A$4:$Y$17,AB$3,FALSE),IF($D22=4,VLOOKUP($B22&amp;"_"&amp;$C22,命中特效!$A$4:$Y$17,AB$3,FALSE),IF($D22=5,VLOOKUP($B22&amp;"_"&amp;$C22,buff特效!$A$4:$Y$17,AB$3,FALSE),1111)))))</f>
        <v>0</v>
      </c>
    </row>
    <row r="23" spans="2:28" x14ac:dyDescent="0.15">
      <c r="B23" s="32" t="str">
        <f t="shared" si="3"/>
        <v>tuotatianwang</v>
      </c>
      <c r="C23" s="32">
        <f t="shared" si="4"/>
        <v>2</v>
      </c>
      <c r="D23" s="32">
        <f t="shared" si="5"/>
        <v>5</v>
      </c>
      <c r="E23" s="33" t="str">
        <f>IF($D23=1,VLOOKUP($B23&amp;"_"&amp;$C23,起手特效!$A$4:$Y$17,E$3,FALSE),IF($D23=2,VLOOKUP($B23&amp;"_"&amp;$C23,主要特效!$A$4:$Y$17,E$3,FALSE),IF($D23=3,VLOOKUP($B23&amp;"_"&amp;$C23,辅助特效!$A$4:$Y$17,E$3,FALSE),IF($D23=4,VLOOKUP($B23&amp;"_"&amp;$C23,命中特效!$A$4:$Y$17,E$3,FALSE),IF($D23=5,VLOOKUP($B23&amp;"_"&amp;$C23,buff特效!$A$4:$Y$17,E$3,FALSE),1111)))))</f>
        <v>[]</v>
      </c>
      <c r="F23" s="33" t="str">
        <f>IF($D23=1,VLOOKUP($B23&amp;"_"&amp;$C23,起手特效!$A$4:$Y$17,F$3,FALSE),IF($D23=2,VLOOKUP($B23&amp;"_"&amp;$C23,主要特效!$A$4:$Y$17,F$3,FALSE),IF($D23=3,VLOOKUP($B23&amp;"_"&amp;$C23,辅助特效!$A$4:$Y$17,F$3,FALSE),IF($D23=4,VLOOKUP($B23&amp;"_"&amp;$C23,命中特效!$A$4:$Y$17,F$3,FALSE),IF($D23=5,VLOOKUP($B23&amp;"_"&amp;$C23,buff特效!$A$4:$Y$17,F$3,FALSE),1111)))))</f>
        <v>[]</v>
      </c>
      <c r="G23" s="33" t="str">
        <f>IF($D23=1,VLOOKUP($B23&amp;"_"&amp;$C23,起手特效!$A$4:$Y$17,G$3,FALSE),IF($D23=2,VLOOKUP($B23&amp;"_"&amp;$C23,主要特效!$A$4:$Y$17,G$3,FALSE),IF($D23=3,VLOOKUP($B23&amp;"_"&amp;$C23,辅助特效!$A$4:$Y$17,G$3,FALSE),IF($D23=4,VLOOKUP($B23&amp;"_"&amp;$C23,命中特效!$A$4:$Y$17,G$3,FALSE),IF($D23=5,VLOOKUP($B23&amp;"_"&amp;$C23,buff特效!$A$4:$Y$17,G$3,FALSE),1111)))))</f>
        <v>[]</v>
      </c>
      <c r="H23" s="33">
        <f>IF($D23=1,VLOOKUP($B23&amp;"_"&amp;$C23,起手特效!$A$4:$Y$17,H$3,FALSE),IF($D23=2,VLOOKUP($B23&amp;"_"&amp;$C23,主要特效!$A$4:$Y$17,H$3,FALSE),IF($D23=3,VLOOKUP($B23&amp;"_"&amp;$C23,辅助特效!$A$4:$Y$17,H$3,FALSE),IF($D23=4,VLOOKUP($B23&amp;"_"&amp;$C23,命中特效!$A$4:$Y$17,H$3,FALSE),IF($D23=5,VLOOKUP($B23&amp;"_"&amp;$C23,buff特效!$A$4:$Y$17,H$3,FALSE),1111)))))</f>
        <v>0</v>
      </c>
      <c r="I23" s="33">
        <f>IF($D23=1,VLOOKUP($B23&amp;"_"&amp;$C23,起手特效!$A$4:$Y$17,I$3,FALSE),IF($D23=2,VLOOKUP($B23&amp;"_"&amp;$C23,主要特效!$A$4:$Y$17,I$3,FALSE),IF($D23=3,VLOOKUP($B23&amp;"_"&amp;$C23,辅助特效!$A$4:$Y$17,I$3,FALSE),IF($D23=4,VLOOKUP($B23&amp;"_"&amp;$C23,命中特效!$A$4:$Y$17,I$3,FALSE),IF($D23=5,VLOOKUP($B23&amp;"_"&amp;$C23,buff特效!$A$4:$Y$17,I$3,FALSE),1111)))))</f>
        <v>0</v>
      </c>
      <c r="J23" s="33">
        <f>IF($D23=1,VLOOKUP($B23&amp;"_"&amp;$C23,起手特效!$A$4:$Y$17,J$3,FALSE),IF($D23=2,VLOOKUP($B23&amp;"_"&amp;$C23,主要特效!$A$4:$Y$17,J$3,FALSE),IF($D23=3,VLOOKUP($B23&amp;"_"&amp;$C23,辅助特效!$A$4:$Y$17,J$3,FALSE),IF($D23=4,VLOOKUP($B23&amp;"_"&amp;$C23,命中特效!$A$4:$Y$17,J$3,FALSE),IF($D23=5,VLOOKUP($B23&amp;"_"&amp;$C23,buff特效!$A$4:$Y$17,J$3,FALSE),1111)))))</f>
        <v>1</v>
      </c>
      <c r="K23" s="33">
        <f>IF($D23=1,VLOOKUP($B23&amp;"_"&amp;$C23,起手特效!$A$4:$Y$17,K$3,FALSE),IF($D23=2,VLOOKUP($B23&amp;"_"&amp;$C23,主要特效!$A$4:$Y$17,K$3,FALSE),IF($D23=3,VLOOKUP($B23&amp;"_"&amp;$C23,辅助特效!$A$4:$Y$17,K$3,FALSE),IF($D23=4,VLOOKUP($B23&amp;"_"&amp;$C23,命中特效!$A$4:$Y$17,K$3,FALSE),IF($D23=5,VLOOKUP($B23&amp;"_"&amp;$C23,buff特效!$A$4:$Y$17,K$3,FALSE),1111)))))</f>
        <v>0</v>
      </c>
      <c r="L23" s="33">
        <f>IF($D23=1,VLOOKUP($B23&amp;"_"&amp;$C23,起手特效!$A$4:$Y$17,L$3,FALSE),IF($D23=2,VLOOKUP($B23&amp;"_"&amp;$C23,主要特效!$A$4:$Y$17,L$3,FALSE),IF($D23=3,VLOOKUP($B23&amp;"_"&amp;$C23,辅助特效!$A$4:$Y$17,L$3,FALSE),IF($D23=4,VLOOKUP($B23&amp;"_"&amp;$C23,命中特效!$A$4:$Y$17,L$3,FALSE),IF($D23=5,VLOOKUP($B23&amp;"_"&amp;$C23,buff特效!$A$4:$Y$17,L$3,FALSE),1111)))))</f>
        <v>0</v>
      </c>
      <c r="M23" s="33" t="str">
        <f>IF($D23=1,VLOOKUP($B23&amp;"_"&amp;$C23,起手特效!$A$4:$Y$17,M$3,FALSE),IF($D23=2,VLOOKUP($B23&amp;"_"&amp;$C23,主要特效!$A$4:$Y$17,M$3,FALSE),IF($D23=3,VLOOKUP($B23&amp;"_"&amp;$C23,辅助特效!$A$4:$Y$17,M$3,FALSE),IF($D23=4,VLOOKUP($B23&amp;"_"&amp;$C23,命中特效!$A$4:$Y$17,M$3,FALSE),IF($D23=5,VLOOKUP($B23&amp;"_"&amp;$C23,buff特效!$A$4:$Y$17,M$3,FALSE),1111)))))</f>
        <v>[]</v>
      </c>
      <c r="N23" s="33" t="str">
        <f>IF($D23=1,VLOOKUP($B23&amp;"_"&amp;$C23,起手特效!$A$4:$Y$17,N$3,FALSE),IF($D23=2,VLOOKUP($B23&amp;"_"&amp;$C23,主要特效!$A$4:$Y$17,N$3,FALSE),IF($D23=3,VLOOKUP($B23&amp;"_"&amp;$C23,辅助特效!$A$4:$Y$17,N$3,FALSE),IF($D23=4,VLOOKUP($B23&amp;"_"&amp;$C23,命中特效!$A$4:$Y$17,N$3,FALSE),IF($D23=5,VLOOKUP($B23&amp;"_"&amp;$C23,buff特效!$A$4:$Y$17,N$3,FALSE),1111)))))</f>
        <v>[]</v>
      </c>
      <c r="O23" s="33">
        <f>IF($D23=1,VLOOKUP($B23&amp;"_"&amp;$C23,起手特效!$A$4:$Y$17,O$3,FALSE),IF($D23=2,VLOOKUP($B23&amp;"_"&amp;$C23,主要特效!$A$4:$Y$17,O$3,FALSE),IF($D23=3,VLOOKUP($B23&amp;"_"&amp;$C23,辅助特效!$A$4:$Y$17,O$3,FALSE),IF($D23=4,VLOOKUP($B23&amp;"_"&amp;$C23,命中特效!$A$4:$Y$17,O$3,FALSE),IF($D23=5,VLOOKUP($B23&amp;"_"&amp;$C23,buff特效!$A$4:$Y$17,O$3,FALSE),1111)))))</f>
        <v>5</v>
      </c>
      <c r="P23" s="33">
        <f>IF($D23=1,VLOOKUP($B23&amp;"_"&amp;$C23,起手特效!$A$4:$Y$17,P$3,FALSE),IF($D23=2,VLOOKUP($B23&amp;"_"&amp;$C23,主要特效!$A$4:$Y$17,P$3,FALSE),IF($D23=3,VLOOKUP($B23&amp;"_"&amp;$C23,辅助特效!$A$4:$Y$17,P$3,FALSE),IF($D23=4,VLOOKUP($B23&amp;"_"&amp;$C23,命中特效!$A$4:$Y$17,P$3,FALSE),IF($D23=5,VLOOKUP($B23&amp;"_"&amp;$C23,buff特效!$A$4:$Y$17,P$3,FALSE),1111)))))</f>
        <v>0</v>
      </c>
      <c r="Q23" s="33">
        <f>IF($D23=1,VLOOKUP($B23&amp;"_"&amp;$C23,起手特效!$A$4:$Y$17,Q$3,FALSE),IF($D23=2,VLOOKUP($B23&amp;"_"&amp;$C23,主要特效!$A$4:$Y$17,Q$3,FALSE),IF($D23=3,VLOOKUP($B23&amp;"_"&amp;$C23,辅助特效!$A$4:$Y$17,Q$3,FALSE),IF($D23=4,VLOOKUP($B23&amp;"_"&amp;$C23,命中特效!$A$4:$Y$17,Q$3,FALSE),IF($D23=5,VLOOKUP($B23&amp;"_"&amp;$C23,buff特效!$A$4:$Y$17,Q$3,FALSE),1111)))))</f>
        <v>2</v>
      </c>
      <c r="R23" s="33" t="str">
        <f>IF($D23=1,VLOOKUP($B23&amp;"_"&amp;$C23,起手特效!$A$4:$Y$17,R$3,FALSE),IF($D23=2,VLOOKUP($B23&amp;"_"&amp;$C23,主要特效!$A$4:$Y$17,R$3,FALSE),IF($D23=3,VLOOKUP($B23&amp;"_"&amp;$C23,辅助特效!$A$4:$Y$17,R$3,FALSE),IF($D23=4,VLOOKUP($B23&amp;"_"&amp;$C23,命中特效!$A$4:$Y$17,R$3,FALSE),IF($D23=5,VLOOKUP($B23&amp;"_"&amp;$C23,buff特效!$A$4:$Y$17,R$3,FALSE),1111)))))</f>
        <v>手填</v>
      </c>
      <c r="S23" s="33" t="str">
        <f>IF($D23=1,VLOOKUP($B23&amp;"_"&amp;$C23,起手特效!$A$4:$Y$17,S$3,FALSE),IF($D23=2,VLOOKUP($B23&amp;"_"&amp;$C23,主要特效!$A$4:$Y$17,S$3,FALSE),IF($D23=3,VLOOKUP($B23&amp;"_"&amp;$C23,辅助特效!$A$4:$Y$17,S$3,FALSE),IF($D23=4,VLOOKUP($B23&amp;"_"&amp;$C23,命中特效!$A$4:$Y$17,S$3,FALSE),IF($D23=5,VLOOKUP($B23&amp;"_"&amp;$C23,buff特效!$A$4:$Y$17,S$3,FALSE),1111)))))</f>
        <v>[]</v>
      </c>
      <c r="T23" s="33" t="str">
        <f>IF($D23=1,VLOOKUP($B23&amp;"_"&amp;$C23,起手特效!$A$4:$Y$17,T$3,FALSE),IF($D23=2,VLOOKUP($B23&amp;"_"&amp;$C23,主要特效!$A$4:$Y$17,T$3,FALSE),IF($D23=3,VLOOKUP($B23&amp;"_"&amp;$C23,辅助特效!$A$4:$Y$17,T$3,FALSE),IF($D23=4,VLOOKUP($B23&amp;"_"&amp;$C23,命中特效!$A$4:$Y$17,T$3,FALSE),IF($D23=5,VLOOKUP($B23&amp;"_"&amp;$C23,buff特效!$A$4:$Y$17,T$3,FALSE),1111)))))</f>
        <v>[]</v>
      </c>
      <c r="U23" s="33" t="str">
        <f>IF($D23=1,VLOOKUP($B23&amp;"_"&amp;$C23,起手特效!$A$4:$Y$17,U$3,FALSE),IF($D23=2,VLOOKUP($B23&amp;"_"&amp;$C23,主要特效!$A$4:$Y$17,U$3,FALSE),IF($D23=3,VLOOKUP($B23&amp;"_"&amp;$C23,辅助特效!$A$4:$Y$17,U$3,FALSE),IF($D23=4,VLOOKUP($B23&amp;"_"&amp;$C23,命中特效!$A$4:$Y$17,U$3,FALSE),IF($D23=5,VLOOKUP($B23&amp;"_"&amp;$C23,buff特效!$A$4:$Y$17,U$3,FALSE),1111)))))</f>
        <v>[]</v>
      </c>
      <c r="V23" s="33">
        <f>IF($D23=1,VLOOKUP($B23&amp;"_"&amp;$C23,起手特效!$A$4:$Y$17,V$3,FALSE),IF($D23=2,VLOOKUP($B23&amp;"_"&amp;$C23,主要特效!$A$4:$Y$17,V$3,FALSE),IF($D23=3,VLOOKUP($B23&amp;"_"&amp;$C23,辅助特效!$A$4:$Y$17,V$3,FALSE),IF($D23=4,VLOOKUP($B23&amp;"_"&amp;$C23,命中特效!$A$4:$Y$17,V$3,FALSE),IF($D23=5,VLOOKUP($B23&amp;"_"&amp;$C23,buff特效!$A$4:$Y$17,V$3,FALSE),1111)))))</f>
        <v>0</v>
      </c>
      <c r="W23" s="33">
        <f>IF($D23=1,VLOOKUP($B23&amp;"_"&amp;$C23,起手特效!$A$4:$Y$17,W$3,FALSE),IF($D23=2,VLOOKUP($B23&amp;"_"&amp;$C23,主要特效!$A$4:$Y$17,W$3,FALSE),IF($D23=3,VLOOKUP($B23&amp;"_"&amp;$C23,辅助特效!$A$4:$Y$17,W$3,FALSE),IF($D23=4,VLOOKUP($B23&amp;"_"&amp;$C23,命中特效!$A$4:$Y$17,W$3,FALSE),IF($D23=5,VLOOKUP($B23&amp;"_"&amp;$C23,buff特效!$A$4:$Y$17,W$3,FALSE),1111)))))</f>
        <v>0</v>
      </c>
      <c r="X23" s="33">
        <f>IF($D23=1,VLOOKUP($B23&amp;"_"&amp;$C23,起手特效!$A$4:$Y$17,X$3,FALSE),IF($D23=2,VLOOKUP($B23&amp;"_"&amp;$C23,主要特效!$A$4:$Y$17,X$3,FALSE),IF($D23=3,VLOOKUP($B23&amp;"_"&amp;$C23,辅助特效!$A$4:$Y$17,X$3,FALSE),IF($D23=4,VLOOKUP($B23&amp;"_"&amp;$C23,命中特效!$A$4:$Y$17,X$3,FALSE),IF($D23=5,VLOOKUP($B23&amp;"_"&amp;$C23,buff特效!$A$4:$Y$17,X$3,FALSE),1111)))))</f>
        <v>0</v>
      </c>
      <c r="Y23" s="33">
        <f>IF($D23=1,VLOOKUP($B23&amp;"_"&amp;$C23,起手特效!$A$4:$Y$17,Y$3,FALSE),IF($D23=2,VLOOKUP($B23&amp;"_"&amp;$C23,主要特效!$A$4:$Y$17,Y$3,FALSE),IF($D23=3,VLOOKUP($B23&amp;"_"&amp;$C23,辅助特效!$A$4:$Y$17,Y$3,FALSE),IF($D23=4,VLOOKUP($B23&amp;"_"&amp;$C23,命中特效!$A$4:$Y$17,Y$3,FALSE),IF($D23=5,VLOOKUP($B23&amp;"_"&amp;$C23,buff特效!$A$4:$Y$17,Y$3,FALSE),1111)))))</f>
        <v>0</v>
      </c>
      <c r="Z23" s="33">
        <f>IF($D23=1,VLOOKUP($B23&amp;"_"&amp;$C23,起手特效!$A$4:$Y$17,Z$3,FALSE),IF($D23=2,VLOOKUP($B23&amp;"_"&amp;$C23,主要特效!$A$4:$Y$17,Z$3,FALSE),IF($D23=3,VLOOKUP($B23&amp;"_"&amp;$C23,辅助特效!$A$4:$Y$17,Z$3,FALSE),IF($D23=4,VLOOKUP($B23&amp;"_"&amp;$C23,命中特效!$A$4:$Y$17,Z$3,FALSE),IF($D23=5,VLOOKUP($B23&amp;"_"&amp;$C23,buff特效!$A$4:$Y$17,Z$3,FALSE),1111)))))</f>
        <v>0</v>
      </c>
      <c r="AA23" s="33">
        <f>IF($D23=1,VLOOKUP($B23&amp;"_"&amp;$C23,起手特效!$A$4:$Y$17,AA$3,FALSE),IF($D23=2,VLOOKUP($B23&amp;"_"&amp;$C23,主要特效!$A$4:$Y$17,AA$3,FALSE),IF($D23=3,VLOOKUP($B23&amp;"_"&amp;$C23,辅助特效!$A$4:$Y$17,AA$3,FALSE),IF($D23=4,VLOOKUP($B23&amp;"_"&amp;$C23,命中特效!$A$4:$Y$17,AA$3,FALSE),IF($D23=5,VLOOKUP($B23&amp;"_"&amp;$C23,buff特效!$A$4:$Y$17,AA$3,FALSE),1111)))))</f>
        <v>0</v>
      </c>
      <c r="AB23" s="33">
        <f>IF($D23=1,VLOOKUP($B23&amp;"_"&amp;$C23,起手特效!$A$4:$Y$17,AB$3,FALSE),IF($D23=2,VLOOKUP($B23&amp;"_"&amp;$C23,主要特效!$A$4:$Y$17,AB$3,FALSE),IF($D23=3,VLOOKUP($B23&amp;"_"&amp;$C23,辅助特效!$A$4:$Y$17,AB$3,FALSE),IF($D23=4,VLOOKUP($B23&amp;"_"&amp;$C23,命中特效!$A$4:$Y$17,AB$3,FALSE),IF($D23=5,VLOOKUP($B23&amp;"_"&amp;$C23,buff特效!$A$4:$Y$17,AB$3,FALSE),1111)))))</f>
        <v>0</v>
      </c>
    </row>
    <row r="24" spans="2:28" x14ac:dyDescent="0.15">
      <c r="B24" s="32" t="str">
        <f t="shared" si="3"/>
        <v>tuotatianwang</v>
      </c>
      <c r="C24" s="32">
        <f t="shared" si="4"/>
        <v>3</v>
      </c>
      <c r="D24" s="32">
        <f t="shared" si="5"/>
        <v>1</v>
      </c>
      <c r="E24" s="33" t="str">
        <f>IF($D24=1,VLOOKUP($B24&amp;"_"&amp;$C24,起手特效!$A$4:$Y$17,E$3,FALSE),IF($D24=2,VLOOKUP($B24&amp;"_"&amp;$C24,主要特效!$A$4:$Y$17,E$3,FALSE),IF($D24=3,VLOOKUP($B24&amp;"_"&amp;$C24,辅助特效!$A$4:$Y$17,E$3,FALSE),IF($D24=4,VLOOKUP($B24&amp;"_"&amp;$C24,命中特效!$A$4:$Y$17,E$3,FALSE),IF($D24=5,VLOOKUP($B24&amp;"_"&amp;$C24,buff特效!$A$4:$Y$17,E$3,FALSE),1111)))))</f>
        <v>[]</v>
      </c>
      <c r="F24" s="33" t="str">
        <f>IF($D24=1,VLOOKUP($B24&amp;"_"&amp;$C24,起手特效!$A$4:$Y$17,F$3,FALSE),IF($D24=2,VLOOKUP($B24&amp;"_"&amp;$C24,主要特效!$A$4:$Y$17,F$3,FALSE),IF($D24=3,VLOOKUP($B24&amp;"_"&amp;$C24,辅助特效!$A$4:$Y$17,F$3,FALSE),IF($D24=4,VLOOKUP($B24&amp;"_"&amp;$C24,命中特效!$A$4:$Y$17,F$3,FALSE),IF($D24=5,VLOOKUP($B24&amp;"_"&amp;$C24,buff特效!$A$4:$Y$17,F$3,FALSE),1111)))))</f>
        <v>[]</v>
      </c>
      <c r="G24" s="33" t="str">
        <f>IF($D24=1,VLOOKUP($B24&amp;"_"&amp;$C24,起手特效!$A$4:$Y$17,G$3,FALSE),IF($D24=2,VLOOKUP($B24&amp;"_"&amp;$C24,主要特效!$A$4:$Y$17,G$3,FALSE),IF($D24=3,VLOOKUP($B24&amp;"_"&amp;$C24,辅助特效!$A$4:$Y$17,G$3,FALSE),IF($D24=4,VLOOKUP($B24&amp;"_"&amp;$C24,命中特效!$A$4:$Y$17,G$3,FALSE),IF($D24=5,VLOOKUP($B24&amp;"_"&amp;$C24,buff特效!$A$4:$Y$17,G$3,FALSE),1111)))))</f>
        <v>skill_4</v>
      </c>
      <c r="H24" s="33">
        <f>IF($D24=1,VLOOKUP($B24&amp;"_"&amp;$C24,起手特效!$A$4:$Y$17,H$3,FALSE),IF($D24=2,VLOOKUP($B24&amp;"_"&amp;$C24,主要特效!$A$4:$Y$17,H$3,FALSE),IF($D24=3,VLOOKUP($B24&amp;"_"&amp;$C24,辅助特效!$A$4:$Y$17,H$3,FALSE),IF($D24=4,VLOOKUP($B24&amp;"_"&amp;$C24,命中特效!$A$4:$Y$17,H$3,FALSE),IF($D24=5,VLOOKUP($B24&amp;"_"&amp;$C24,buff特效!$A$4:$Y$17,H$3,FALSE),1111)))))</f>
        <v>0</v>
      </c>
      <c r="I24" s="33">
        <f>IF($D24=1,VLOOKUP($B24&amp;"_"&amp;$C24,起手特效!$A$4:$Y$17,I$3,FALSE),IF($D24=2,VLOOKUP($B24&amp;"_"&amp;$C24,主要特效!$A$4:$Y$17,I$3,FALSE),IF($D24=3,VLOOKUP($B24&amp;"_"&amp;$C24,辅助特效!$A$4:$Y$17,I$3,FALSE),IF($D24=4,VLOOKUP($B24&amp;"_"&amp;$C24,命中特效!$A$4:$Y$17,I$3,FALSE),IF($D24=5,VLOOKUP($B24&amp;"_"&amp;$C24,buff特效!$A$4:$Y$17,I$3,FALSE),1111)))))</f>
        <v>0</v>
      </c>
      <c r="J24" s="33">
        <f>IF($D24=1,VLOOKUP($B24&amp;"_"&amp;$C24,起手特效!$A$4:$Y$17,J$3,FALSE),IF($D24=2,VLOOKUP($B24&amp;"_"&amp;$C24,主要特效!$A$4:$Y$17,J$3,FALSE),IF($D24=3,VLOOKUP($B24&amp;"_"&amp;$C24,辅助特效!$A$4:$Y$17,J$3,FALSE),IF($D24=4,VLOOKUP($B24&amp;"_"&amp;$C24,命中特效!$A$4:$Y$17,J$3,FALSE),IF($D24=5,VLOOKUP($B24&amp;"_"&amp;$C24,buff特效!$A$4:$Y$17,J$3,FALSE),1111)))))</f>
        <v>0</v>
      </c>
      <c r="K24" s="33">
        <f>IF($D24=1,VLOOKUP($B24&amp;"_"&amp;$C24,起手特效!$A$4:$Y$17,K$3,FALSE),IF($D24=2,VLOOKUP($B24&amp;"_"&amp;$C24,主要特效!$A$4:$Y$17,K$3,FALSE),IF($D24=3,VLOOKUP($B24&amp;"_"&amp;$C24,辅助特效!$A$4:$Y$17,K$3,FALSE),IF($D24=4,VLOOKUP($B24&amp;"_"&amp;$C24,命中特效!$A$4:$Y$17,K$3,FALSE),IF($D24=5,VLOOKUP($B24&amp;"_"&amp;$C24,buff特效!$A$4:$Y$17,K$3,FALSE),1111)))))</f>
        <v>0</v>
      </c>
      <c r="L24" s="33">
        <f>IF($D24=1,VLOOKUP($B24&amp;"_"&amp;$C24,起手特效!$A$4:$Y$17,L$3,FALSE),IF($D24=2,VLOOKUP($B24&amp;"_"&amp;$C24,主要特效!$A$4:$Y$17,L$3,FALSE),IF($D24=3,VLOOKUP($B24&amp;"_"&amp;$C24,辅助特效!$A$4:$Y$17,L$3,FALSE),IF($D24=4,VLOOKUP($B24&amp;"_"&amp;$C24,命中特效!$A$4:$Y$17,L$3,FALSE),IF($D24=5,VLOOKUP($B24&amp;"_"&amp;$C24,buff特效!$A$4:$Y$17,L$3,FALSE),1111)))))</f>
        <v>0</v>
      </c>
      <c r="M24" s="33" t="str">
        <f>IF($D24=1,VLOOKUP($B24&amp;"_"&amp;$C24,起手特效!$A$4:$Y$17,M$3,FALSE),IF($D24=2,VLOOKUP($B24&amp;"_"&amp;$C24,主要特效!$A$4:$Y$17,M$3,FALSE),IF($D24=3,VLOOKUP($B24&amp;"_"&amp;$C24,辅助特效!$A$4:$Y$17,M$3,FALSE),IF($D24=4,VLOOKUP($B24&amp;"_"&amp;$C24,命中特效!$A$4:$Y$17,M$3,FALSE),IF($D24=5,VLOOKUP($B24&amp;"_"&amp;$C24,buff特效!$A$4:$Y$17,M$3,FALSE),1111)))))</f>
        <v>[]</v>
      </c>
      <c r="N24" s="33" t="str">
        <f>IF($D24=1,VLOOKUP($B24&amp;"_"&amp;$C24,起手特效!$A$4:$Y$17,N$3,FALSE),IF($D24=2,VLOOKUP($B24&amp;"_"&amp;$C24,主要特效!$A$4:$Y$17,N$3,FALSE),IF($D24=3,VLOOKUP($B24&amp;"_"&amp;$C24,辅助特效!$A$4:$Y$17,N$3,FALSE),IF($D24=4,VLOOKUP($B24&amp;"_"&amp;$C24,命中特效!$A$4:$Y$17,N$3,FALSE),IF($D24=5,VLOOKUP($B24&amp;"_"&amp;$C24,buff特效!$A$4:$Y$17,N$3,FALSE),1111)))))</f>
        <v>[]</v>
      </c>
      <c r="O24" s="33">
        <f>IF($D24=1,VLOOKUP($B24&amp;"_"&amp;$C24,起手特效!$A$4:$Y$17,O$3,FALSE),IF($D24=2,VLOOKUP($B24&amp;"_"&amp;$C24,主要特效!$A$4:$Y$17,O$3,FALSE),IF($D24=3,VLOOKUP($B24&amp;"_"&amp;$C24,辅助特效!$A$4:$Y$17,O$3,FALSE),IF($D24=4,VLOOKUP($B24&amp;"_"&amp;$C24,命中特效!$A$4:$Y$17,O$3,FALSE),IF($D24=5,VLOOKUP($B24&amp;"_"&amp;$C24,buff特效!$A$4:$Y$17,O$3,FALSE),1111)))))</f>
        <v>5</v>
      </c>
      <c r="P24" s="33" t="str">
        <f>IF($D24=1,VLOOKUP($B24&amp;"_"&amp;$C24,起手特效!$A$4:$Y$17,P$3,FALSE),IF($D24=2,VLOOKUP($B24&amp;"_"&amp;$C24,主要特效!$A$4:$Y$17,P$3,FALSE),IF($D24=3,VLOOKUP($B24&amp;"_"&amp;$C24,辅助特效!$A$4:$Y$17,P$3,FALSE),IF($D24=4,VLOOKUP($B24&amp;"_"&amp;$C24,命中特效!$A$4:$Y$17,P$3,FALSE),IF($D24=5,VLOOKUP($B24&amp;"_"&amp;$C24,buff特效!$A$4:$Y$17,P$3,FALSE),1111)))))</f>
        <v>手填</v>
      </c>
      <c r="Q24" s="33">
        <f>IF($D24=1,VLOOKUP($B24&amp;"_"&amp;$C24,起手特效!$A$4:$Y$17,Q$3,FALSE),IF($D24=2,VLOOKUP($B24&amp;"_"&amp;$C24,主要特效!$A$4:$Y$17,Q$3,FALSE),IF($D24=3,VLOOKUP($B24&amp;"_"&amp;$C24,辅助特效!$A$4:$Y$17,Q$3,FALSE),IF($D24=4,VLOOKUP($B24&amp;"_"&amp;$C24,命中特效!$A$4:$Y$17,Q$3,FALSE),IF($D24=5,VLOOKUP($B24&amp;"_"&amp;$C24,buff特效!$A$4:$Y$17,Q$3,FALSE),1111)))))</f>
        <v>2</v>
      </c>
      <c r="R24" s="33">
        <f>IF($D24=1,VLOOKUP($B24&amp;"_"&amp;$C24,起手特效!$A$4:$Y$17,R$3,FALSE),IF($D24=2,VLOOKUP($B24&amp;"_"&amp;$C24,主要特效!$A$4:$Y$17,R$3,FALSE),IF($D24=3,VLOOKUP($B24&amp;"_"&amp;$C24,辅助特效!$A$4:$Y$17,R$3,FALSE),IF($D24=4,VLOOKUP($B24&amp;"_"&amp;$C24,命中特效!$A$4:$Y$17,R$3,FALSE),IF($D24=5,VLOOKUP($B24&amp;"_"&amp;$C24,buff特效!$A$4:$Y$17,R$3,FALSE),1111)))))</f>
        <v>0</v>
      </c>
      <c r="S24" s="33" t="str">
        <f>IF($D24=1,VLOOKUP($B24&amp;"_"&amp;$C24,起手特效!$A$4:$Y$17,S$3,FALSE),IF($D24=2,VLOOKUP($B24&amp;"_"&amp;$C24,主要特效!$A$4:$Y$17,S$3,FALSE),IF($D24=3,VLOOKUP($B24&amp;"_"&amp;$C24,辅助特效!$A$4:$Y$17,S$3,FALSE),IF($D24=4,VLOOKUP($B24&amp;"_"&amp;$C24,命中特效!$A$4:$Y$17,S$3,FALSE),IF($D24=5,VLOOKUP($B24&amp;"_"&amp;$C24,buff特效!$A$4:$Y$17,S$3,FALSE),1111)))))</f>
        <v>[]</v>
      </c>
      <c r="T24" s="33" t="str">
        <f>IF($D24=1,VLOOKUP($B24&amp;"_"&amp;$C24,起手特效!$A$4:$Y$17,T$3,FALSE),IF($D24=2,VLOOKUP($B24&amp;"_"&amp;$C24,主要特效!$A$4:$Y$17,T$3,FALSE),IF($D24=3,VLOOKUP($B24&amp;"_"&amp;$C24,辅助特效!$A$4:$Y$17,T$3,FALSE),IF($D24=4,VLOOKUP($B24&amp;"_"&amp;$C24,命中特效!$A$4:$Y$17,T$3,FALSE),IF($D24=5,VLOOKUP($B24&amp;"_"&amp;$C24,buff特效!$A$4:$Y$17,T$3,FALSE),1111)))))</f>
        <v>[]</v>
      </c>
      <c r="U24" s="33" t="str">
        <f>IF($D24=1,VLOOKUP($B24&amp;"_"&amp;$C24,起手特效!$A$4:$Y$17,U$3,FALSE),IF($D24=2,VLOOKUP($B24&amp;"_"&amp;$C24,主要特效!$A$4:$Y$17,U$3,FALSE),IF($D24=3,VLOOKUP($B24&amp;"_"&amp;$C24,辅助特效!$A$4:$Y$17,U$3,FALSE),IF($D24=4,VLOOKUP($B24&amp;"_"&amp;$C24,命中特效!$A$4:$Y$17,U$3,FALSE),IF($D24=5,VLOOKUP($B24&amp;"_"&amp;$C24,buff特效!$A$4:$Y$17,U$3,FALSE),1111)))))</f>
        <v>[]</v>
      </c>
      <c r="V24" s="33">
        <f>IF($D24=1,VLOOKUP($B24&amp;"_"&amp;$C24,起手特效!$A$4:$Y$17,V$3,FALSE),IF($D24=2,VLOOKUP($B24&amp;"_"&amp;$C24,主要特效!$A$4:$Y$17,V$3,FALSE),IF($D24=3,VLOOKUP($B24&amp;"_"&amp;$C24,辅助特效!$A$4:$Y$17,V$3,FALSE),IF($D24=4,VLOOKUP($B24&amp;"_"&amp;$C24,命中特效!$A$4:$Y$17,V$3,FALSE),IF($D24=5,VLOOKUP($B24&amp;"_"&amp;$C24,buff特效!$A$4:$Y$17,V$3,FALSE),1111)))))</f>
        <v>0</v>
      </c>
      <c r="W24" s="33">
        <f>IF($D24=1,VLOOKUP($B24&amp;"_"&amp;$C24,起手特效!$A$4:$Y$17,W$3,FALSE),IF($D24=2,VLOOKUP($B24&amp;"_"&amp;$C24,主要特效!$A$4:$Y$17,W$3,FALSE),IF($D24=3,VLOOKUP($B24&amp;"_"&amp;$C24,辅助特效!$A$4:$Y$17,W$3,FALSE),IF($D24=4,VLOOKUP($B24&amp;"_"&amp;$C24,命中特效!$A$4:$Y$17,W$3,FALSE),IF($D24=5,VLOOKUP($B24&amp;"_"&amp;$C24,buff特效!$A$4:$Y$17,W$3,FALSE),1111)))))</f>
        <v>0</v>
      </c>
      <c r="X24" s="33">
        <f>IF($D24=1,VLOOKUP($B24&amp;"_"&amp;$C24,起手特效!$A$4:$Y$17,X$3,FALSE),IF($D24=2,VLOOKUP($B24&amp;"_"&amp;$C24,主要特效!$A$4:$Y$17,X$3,FALSE),IF($D24=3,VLOOKUP($B24&amp;"_"&amp;$C24,辅助特效!$A$4:$Y$17,X$3,FALSE),IF($D24=4,VLOOKUP($B24&amp;"_"&amp;$C24,命中特效!$A$4:$Y$17,X$3,FALSE),IF($D24=5,VLOOKUP($B24&amp;"_"&amp;$C24,buff特效!$A$4:$Y$17,X$3,FALSE),1111)))))</f>
        <v>0</v>
      </c>
      <c r="Y24" s="33">
        <f>IF($D24=1,VLOOKUP($B24&amp;"_"&amp;$C24,起手特效!$A$4:$Y$17,Y$3,FALSE),IF($D24=2,VLOOKUP($B24&amp;"_"&amp;$C24,主要特效!$A$4:$Y$17,Y$3,FALSE),IF($D24=3,VLOOKUP($B24&amp;"_"&amp;$C24,辅助特效!$A$4:$Y$17,Y$3,FALSE),IF($D24=4,VLOOKUP($B24&amp;"_"&amp;$C24,命中特效!$A$4:$Y$17,Y$3,FALSE),IF($D24=5,VLOOKUP($B24&amp;"_"&amp;$C24,buff特效!$A$4:$Y$17,Y$3,FALSE),1111)))))</f>
        <v>0</v>
      </c>
      <c r="Z24" s="33">
        <f>IF($D24=1,VLOOKUP($B24&amp;"_"&amp;$C24,起手特效!$A$4:$Y$17,Z$3,FALSE),IF($D24=2,VLOOKUP($B24&amp;"_"&amp;$C24,主要特效!$A$4:$Y$17,Z$3,FALSE),IF($D24=3,VLOOKUP($B24&amp;"_"&amp;$C24,辅助特效!$A$4:$Y$17,Z$3,FALSE),IF($D24=4,VLOOKUP($B24&amp;"_"&amp;$C24,命中特效!$A$4:$Y$17,Z$3,FALSE),IF($D24=5,VLOOKUP($B24&amp;"_"&amp;$C24,buff特效!$A$4:$Y$17,Z$3,FALSE),1111)))))</f>
        <v>0</v>
      </c>
      <c r="AA24" s="33">
        <f>IF($D24=1,VLOOKUP($B24&amp;"_"&amp;$C24,起手特效!$A$4:$Y$17,AA$3,FALSE),IF($D24=2,VLOOKUP($B24&amp;"_"&amp;$C24,主要特效!$A$4:$Y$17,AA$3,FALSE),IF($D24=3,VLOOKUP($B24&amp;"_"&amp;$C24,辅助特效!$A$4:$Y$17,AA$3,FALSE),IF($D24=4,VLOOKUP($B24&amp;"_"&amp;$C24,命中特效!$A$4:$Y$17,AA$3,FALSE),IF($D24=5,VLOOKUP($B24&amp;"_"&amp;$C24,buff特效!$A$4:$Y$17,AA$3,FALSE),1111)))))</f>
        <v>0</v>
      </c>
      <c r="AB24" s="33">
        <f>IF($D24=1,VLOOKUP($B24&amp;"_"&amp;$C24,起手特效!$A$4:$Y$17,AB$3,FALSE),IF($D24=2,VLOOKUP($B24&amp;"_"&amp;$C24,主要特效!$A$4:$Y$17,AB$3,FALSE),IF($D24=3,VLOOKUP($B24&amp;"_"&amp;$C24,辅助特效!$A$4:$Y$17,AB$3,FALSE),IF($D24=4,VLOOKUP($B24&amp;"_"&amp;$C24,命中特效!$A$4:$Y$17,AB$3,FALSE),IF($D24=5,VLOOKUP($B24&amp;"_"&amp;$C24,buff特效!$A$4:$Y$17,AB$3,FALSE),1111)))))</f>
        <v>0</v>
      </c>
    </row>
    <row r="25" spans="2:28" x14ac:dyDescent="0.15">
      <c r="B25" s="32" t="str">
        <f t="shared" ref="B25:B33" si="6">IF(AND(C25=0,D25=1),A25,B24)</f>
        <v>tuotatianwang</v>
      </c>
      <c r="C25" s="32">
        <f t="shared" ref="C25:C33" si="7">IF(A25="",IF(D25=1,C24+1,C24),0)</f>
        <v>3</v>
      </c>
      <c r="D25" s="32">
        <f t="shared" si="5"/>
        <v>2</v>
      </c>
      <c r="E25" s="33" t="str">
        <f>IF($D25=1,VLOOKUP($B25&amp;"_"&amp;$C25,起手特效!$A$4:$Y$17,E$3,FALSE),IF($D25=2,VLOOKUP($B25&amp;"_"&amp;$C25,主要特效!$A$4:$Y$17,E$3,FALSE),IF($D25=3,VLOOKUP($B25&amp;"_"&amp;$C25,辅助特效!$A$4:$Y$17,E$3,FALSE),IF($D25=4,VLOOKUP($B25&amp;"_"&amp;$C25,命中特效!$A$4:$Y$17,E$3,FALSE),IF($D25=5,VLOOKUP($B25&amp;"_"&amp;$C25,buff特效!$A$4:$Y$17,E$3,FALSE),1111)))))</f>
        <v>[]</v>
      </c>
      <c r="F25" s="33" t="str">
        <f>IF($D25=1,VLOOKUP($B25&amp;"_"&amp;$C25,起手特效!$A$4:$Y$17,F$3,FALSE),IF($D25=2,VLOOKUP($B25&amp;"_"&amp;$C25,主要特效!$A$4:$Y$17,F$3,FALSE),IF($D25=3,VLOOKUP($B25&amp;"_"&amp;$C25,辅助特效!$A$4:$Y$17,F$3,FALSE),IF($D25=4,VLOOKUP($B25&amp;"_"&amp;$C25,命中特效!$A$4:$Y$17,F$3,FALSE),IF($D25=5,VLOOKUP($B25&amp;"_"&amp;$C25,buff特效!$A$4:$Y$17,F$3,FALSE),1111)))))</f>
        <v>[]</v>
      </c>
      <c r="G25" s="33" t="str">
        <f>IF($D25=1,VLOOKUP($B25&amp;"_"&amp;$C25,起手特效!$A$4:$Y$17,G$3,FALSE),IF($D25=2,VLOOKUP($B25&amp;"_"&amp;$C25,主要特效!$A$4:$Y$17,G$3,FALSE),IF($D25=3,VLOOKUP($B25&amp;"_"&amp;$C25,辅助特效!$A$4:$Y$17,G$3,FALSE),IF($D25=4,VLOOKUP($B25&amp;"_"&amp;$C25,命中特效!$A$4:$Y$17,G$3,FALSE),IF($D25=5,VLOOKUP($B25&amp;"_"&amp;$C25,buff特效!$A$4:$Y$17,G$3,FALSE),1111)))))</f>
        <v>skill_4</v>
      </c>
      <c r="H25" s="33">
        <f>IF($D25=1,VLOOKUP($B25&amp;"_"&amp;$C25,起手特效!$A$4:$Y$17,H$3,FALSE),IF($D25=2,VLOOKUP($B25&amp;"_"&amp;$C25,主要特效!$A$4:$Y$17,H$3,FALSE),IF($D25=3,VLOOKUP($B25&amp;"_"&amp;$C25,辅助特效!$A$4:$Y$17,H$3,FALSE),IF($D25=4,VLOOKUP($B25&amp;"_"&amp;$C25,命中特效!$A$4:$Y$17,H$3,FALSE),IF($D25=5,VLOOKUP($B25&amp;"_"&amp;$C25,buff特效!$A$4:$Y$17,H$3,FALSE),1111)))))</f>
        <v>0</v>
      </c>
      <c r="I25" s="33">
        <f>IF($D25=1,VLOOKUP($B25&amp;"_"&amp;$C25,起手特效!$A$4:$Y$17,I$3,FALSE),IF($D25=2,VLOOKUP($B25&amp;"_"&amp;$C25,主要特效!$A$4:$Y$17,I$3,FALSE),IF($D25=3,VLOOKUP($B25&amp;"_"&amp;$C25,辅助特效!$A$4:$Y$17,I$3,FALSE),IF($D25=4,VLOOKUP($B25&amp;"_"&amp;$C25,命中特效!$A$4:$Y$17,I$3,FALSE),IF($D25=5,VLOOKUP($B25&amp;"_"&amp;$C25,buff特效!$A$4:$Y$17,I$3,FALSE),1111)))))</f>
        <v>0</v>
      </c>
      <c r="J25" s="33">
        <f>IF($D25=1,VLOOKUP($B25&amp;"_"&amp;$C25,起手特效!$A$4:$Y$17,J$3,FALSE),IF($D25=2,VLOOKUP($B25&amp;"_"&amp;$C25,主要特效!$A$4:$Y$17,J$3,FALSE),IF($D25=3,VLOOKUP($B25&amp;"_"&amp;$C25,辅助特效!$A$4:$Y$17,J$3,FALSE),IF($D25=4,VLOOKUP($B25&amp;"_"&amp;$C25,命中特效!$A$4:$Y$17,J$3,FALSE),IF($D25=5,VLOOKUP($B25&amp;"_"&amp;$C25,buff特效!$A$4:$Y$17,J$3,FALSE),1111)))))</f>
        <v>1</v>
      </c>
      <c r="K25" s="33">
        <f>IF($D25=1,VLOOKUP($B25&amp;"_"&amp;$C25,起手特效!$A$4:$Y$17,K$3,FALSE),IF($D25=2,VLOOKUP($B25&amp;"_"&amp;$C25,主要特效!$A$4:$Y$17,K$3,FALSE),IF($D25=3,VLOOKUP($B25&amp;"_"&amp;$C25,辅助特效!$A$4:$Y$17,K$3,FALSE),IF($D25=4,VLOOKUP($B25&amp;"_"&amp;$C25,命中特效!$A$4:$Y$17,K$3,FALSE),IF($D25=5,VLOOKUP($B25&amp;"_"&amp;$C25,buff特效!$A$4:$Y$17,K$3,FALSE),1111)))))</f>
        <v>0</v>
      </c>
      <c r="L25" s="33">
        <f>IF($D25=1,VLOOKUP($B25&amp;"_"&amp;$C25,起手特效!$A$4:$Y$17,L$3,FALSE),IF($D25=2,VLOOKUP($B25&amp;"_"&amp;$C25,主要特效!$A$4:$Y$17,L$3,FALSE),IF($D25=3,VLOOKUP($B25&amp;"_"&amp;$C25,辅助特效!$A$4:$Y$17,L$3,FALSE),IF($D25=4,VLOOKUP($B25&amp;"_"&amp;$C25,命中特效!$A$4:$Y$17,L$3,FALSE),IF($D25=5,VLOOKUP($B25&amp;"_"&amp;$C25,buff特效!$A$4:$Y$17,L$3,FALSE),1111)))))</f>
        <v>1</v>
      </c>
      <c r="M25" s="33" t="str">
        <f>IF($D25=1,VLOOKUP($B25&amp;"_"&amp;$C25,起手特效!$A$4:$Y$17,M$3,FALSE),IF($D25=2,VLOOKUP($B25&amp;"_"&amp;$C25,主要特效!$A$4:$Y$17,M$3,FALSE),IF($D25=3,VLOOKUP($B25&amp;"_"&amp;$C25,辅助特效!$A$4:$Y$17,M$3,FALSE),IF($D25=4,VLOOKUP($B25&amp;"_"&amp;$C25,命中特效!$A$4:$Y$17,M$3,FALSE),IF($D25=5,VLOOKUP($B25&amp;"_"&amp;$C25,buff特效!$A$4:$Y$17,M$3,FALSE),1111)))))</f>
        <v>[]</v>
      </c>
      <c r="N25" s="33" t="str">
        <f>IF($D25=1,VLOOKUP($B25&amp;"_"&amp;$C25,起手特效!$A$4:$Y$17,N$3,FALSE),IF($D25=2,VLOOKUP($B25&amp;"_"&amp;$C25,主要特效!$A$4:$Y$17,N$3,FALSE),IF($D25=3,VLOOKUP($B25&amp;"_"&amp;$C25,辅助特效!$A$4:$Y$17,N$3,FALSE),IF($D25=4,VLOOKUP($B25&amp;"_"&amp;$C25,命中特效!$A$4:$Y$17,N$3,FALSE),IF($D25=5,VLOOKUP($B25&amp;"_"&amp;$C25,buff特效!$A$4:$Y$17,N$3,FALSE),1111)))))</f>
        <v>[]</v>
      </c>
      <c r="O25" s="33">
        <f>IF($D25=1,VLOOKUP($B25&amp;"_"&amp;$C25,起手特效!$A$4:$Y$17,O$3,FALSE),IF($D25=2,VLOOKUP($B25&amp;"_"&amp;$C25,主要特效!$A$4:$Y$17,O$3,FALSE),IF($D25=3,VLOOKUP($B25&amp;"_"&amp;$C25,辅助特效!$A$4:$Y$17,O$3,FALSE),IF($D25=4,VLOOKUP($B25&amp;"_"&amp;$C25,命中特效!$A$4:$Y$17,O$3,FALSE),IF($D25=5,VLOOKUP($B25&amp;"_"&amp;$C25,buff特效!$A$4:$Y$17,O$3,FALSE),1111)))))</f>
        <v>5</v>
      </c>
      <c r="P25" s="33" t="str">
        <f>IF($D25=1,VLOOKUP($B25&amp;"_"&amp;$C25,起手特效!$A$4:$Y$17,P$3,FALSE),IF($D25=2,VLOOKUP($B25&amp;"_"&amp;$C25,主要特效!$A$4:$Y$17,P$3,FALSE),IF($D25=3,VLOOKUP($B25&amp;"_"&amp;$C25,辅助特效!$A$4:$Y$17,P$3,FALSE),IF($D25=4,VLOOKUP($B25&amp;"_"&amp;$C25,命中特效!$A$4:$Y$17,P$3,FALSE),IF($D25=5,VLOOKUP($B25&amp;"_"&amp;$C25,buff特效!$A$4:$Y$17,P$3,FALSE),1111)))))</f>
        <v>手填</v>
      </c>
      <c r="Q25" s="33">
        <f>IF($D25=1,VLOOKUP($B25&amp;"_"&amp;$C25,起手特效!$A$4:$Y$17,Q$3,FALSE),IF($D25=2,VLOOKUP($B25&amp;"_"&amp;$C25,主要特效!$A$4:$Y$17,Q$3,FALSE),IF($D25=3,VLOOKUP($B25&amp;"_"&amp;$C25,辅助特效!$A$4:$Y$17,Q$3,FALSE),IF($D25=4,VLOOKUP($B25&amp;"_"&amp;$C25,命中特效!$A$4:$Y$17,Q$3,FALSE),IF($D25=5,VLOOKUP($B25&amp;"_"&amp;$C25,buff特效!$A$4:$Y$17,Q$3,FALSE),1111)))))</f>
        <v>1</v>
      </c>
      <c r="R25" s="33">
        <f>IF($D25=1,VLOOKUP($B25&amp;"_"&amp;$C25,起手特效!$A$4:$Y$17,R$3,FALSE),IF($D25=2,VLOOKUP($B25&amp;"_"&amp;$C25,主要特效!$A$4:$Y$17,R$3,FALSE),IF($D25=3,VLOOKUP($B25&amp;"_"&amp;$C25,辅助特效!$A$4:$Y$17,R$3,FALSE),IF($D25=4,VLOOKUP($B25&amp;"_"&amp;$C25,命中特效!$A$4:$Y$17,R$3,FALSE),IF($D25=5,VLOOKUP($B25&amp;"_"&amp;$C25,buff特效!$A$4:$Y$17,R$3,FALSE),1111)))))</f>
        <v>0</v>
      </c>
      <c r="S25" s="33" t="str">
        <f>IF($D25=1,VLOOKUP($B25&amp;"_"&amp;$C25,起手特效!$A$4:$Y$17,S$3,FALSE),IF($D25=2,VLOOKUP($B25&amp;"_"&amp;$C25,主要特效!$A$4:$Y$17,S$3,FALSE),IF($D25=3,VLOOKUP($B25&amp;"_"&amp;$C25,辅助特效!$A$4:$Y$17,S$3,FALSE),IF($D25=4,VLOOKUP($B25&amp;"_"&amp;$C25,命中特效!$A$4:$Y$17,S$3,FALSE),IF($D25=5,VLOOKUP($B25&amp;"_"&amp;$C25,buff特效!$A$4:$Y$17,S$3,FALSE),1111)))))</f>
        <v>[]</v>
      </c>
      <c r="T25" s="33" t="str">
        <f>IF($D25=1,VLOOKUP($B25&amp;"_"&amp;$C25,起手特效!$A$4:$Y$17,T$3,FALSE),IF($D25=2,VLOOKUP($B25&amp;"_"&amp;$C25,主要特效!$A$4:$Y$17,T$3,FALSE),IF($D25=3,VLOOKUP($B25&amp;"_"&amp;$C25,辅助特效!$A$4:$Y$17,T$3,FALSE),IF($D25=4,VLOOKUP($B25&amp;"_"&amp;$C25,命中特效!$A$4:$Y$17,T$3,FALSE),IF($D25=5,VLOOKUP($B25&amp;"_"&amp;$C25,buff特效!$A$4:$Y$17,T$3,FALSE),1111)))))</f>
        <v>[]</v>
      </c>
      <c r="U25" s="33" t="str">
        <f>IF($D25=1,VLOOKUP($B25&amp;"_"&amp;$C25,起手特效!$A$4:$Y$17,U$3,FALSE),IF($D25=2,VLOOKUP($B25&amp;"_"&amp;$C25,主要特效!$A$4:$Y$17,U$3,FALSE),IF($D25=3,VLOOKUP($B25&amp;"_"&amp;$C25,辅助特效!$A$4:$Y$17,U$3,FALSE),IF($D25=4,VLOOKUP($B25&amp;"_"&amp;$C25,命中特效!$A$4:$Y$17,U$3,FALSE),IF($D25=5,VLOOKUP($B25&amp;"_"&amp;$C25,buff特效!$A$4:$Y$17,U$3,FALSE),1111)))))</f>
        <v>[]</v>
      </c>
      <c r="V25" s="33">
        <f>IF($D25=1,VLOOKUP($B25&amp;"_"&amp;$C25,起手特效!$A$4:$Y$17,V$3,FALSE),IF($D25=2,VLOOKUP($B25&amp;"_"&amp;$C25,主要特效!$A$4:$Y$17,V$3,FALSE),IF($D25=3,VLOOKUP($B25&amp;"_"&amp;$C25,辅助特效!$A$4:$Y$17,V$3,FALSE),IF($D25=4,VLOOKUP($B25&amp;"_"&amp;$C25,命中特效!$A$4:$Y$17,V$3,FALSE),IF($D25=5,VLOOKUP($B25&amp;"_"&amp;$C25,buff特效!$A$4:$Y$17,V$3,FALSE),1111)))))</f>
        <v>0</v>
      </c>
      <c r="W25" s="33">
        <f>IF($D25=1,VLOOKUP($B25&amp;"_"&amp;$C25,起手特效!$A$4:$Y$17,W$3,FALSE),IF($D25=2,VLOOKUP($B25&amp;"_"&amp;$C25,主要特效!$A$4:$Y$17,W$3,FALSE),IF($D25=3,VLOOKUP($B25&amp;"_"&amp;$C25,辅助特效!$A$4:$Y$17,W$3,FALSE),IF($D25=4,VLOOKUP($B25&amp;"_"&amp;$C25,命中特效!$A$4:$Y$17,W$3,FALSE),IF($D25=5,VLOOKUP($B25&amp;"_"&amp;$C25,buff特效!$A$4:$Y$17,W$3,FALSE),1111)))))</f>
        <v>0</v>
      </c>
      <c r="X25" s="33">
        <f>IF($D25=1,VLOOKUP($B25&amp;"_"&amp;$C25,起手特效!$A$4:$Y$17,X$3,FALSE),IF($D25=2,VLOOKUP($B25&amp;"_"&amp;$C25,主要特效!$A$4:$Y$17,X$3,FALSE),IF($D25=3,VLOOKUP($B25&amp;"_"&amp;$C25,辅助特效!$A$4:$Y$17,X$3,FALSE),IF($D25=4,VLOOKUP($B25&amp;"_"&amp;$C25,命中特效!$A$4:$Y$17,X$3,FALSE),IF($D25=5,VLOOKUP($B25&amp;"_"&amp;$C25,buff特效!$A$4:$Y$17,X$3,FALSE),1111)))))</f>
        <v>0</v>
      </c>
      <c r="Y25" s="33">
        <f>IF($D25=1,VLOOKUP($B25&amp;"_"&amp;$C25,起手特效!$A$4:$Y$17,Y$3,FALSE),IF($D25=2,VLOOKUP($B25&amp;"_"&amp;$C25,主要特效!$A$4:$Y$17,Y$3,FALSE),IF($D25=3,VLOOKUP($B25&amp;"_"&amp;$C25,辅助特效!$A$4:$Y$17,Y$3,FALSE),IF($D25=4,VLOOKUP($B25&amp;"_"&amp;$C25,命中特效!$A$4:$Y$17,Y$3,FALSE),IF($D25=5,VLOOKUP($B25&amp;"_"&amp;$C25,buff特效!$A$4:$Y$17,Y$3,FALSE),1111)))))</f>
        <v>0</v>
      </c>
      <c r="Z25" s="33">
        <f>IF($D25=1,VLOOKUP($B25&amp;"_"&amp;$C25,起手特效!$A$4:$Y$17,Z$3,FALSE),IF($D25=2,VLOOKUP($B25&amp;"_"&amp;$C25,主要特效!$A$4:$Y$17,Z$3,FALSE),IF($D25=3,VLOOKUP($B25&amp;"_"&amp;$C25,辅助特效!$A$4:$Y$17,Z$3,FALSE),IF($D25=4,VLOOKUP($B25&amp;"_"&amp;$C25,命中特效!$A$4:$Y$17,Z$3,FALSE),IF($D25=5,VLOOKUP($B25&amp;"_"&amp;$C25,buff特效!$A$4:$Y$17,Z$3,FALSE),1111)))))</f>
        <v>0</v>
      </c>
      <c r="AA25" s="33">
        <f>IF($D25=1,VLOOKUP($B25&amp;"_"&amp;$C25,起手特效!$A$4:$Y$17,AA$3,FALSE),IF($D25=2,VLOOKUP($B25&amp;"_"&amp;$C25,主要特效!$A$4:$Y$17,AA$3,FALSE),IF($D25=3,VLOOKUP($B25&amp;"_"&amp;$C25,辅助特效!$A$4:$Y$17,AA$3,FALSE),IF($D25=4,VLOOKUP($B25&amp;"_"&amp;$C25,命中特效!$A$4:$Y$17,AA$3,FALSE),IF($D25=5,VLOOKUP($B25&amp;"_"&amp;$C25,buff特效!$A$4:$Y$17,AA$3,FALSE),1111)))))</f>
        <v>0</v>
      </c>
      <c r="AB25" s="33">
        <f>IF($D25=1,VLOOKUP($B25&amp;"_"&amp;$C25,起手特效!$A$4:$Y$17,AB$3,FALSE),IF($D25=2,VLOOKUP($B25&amp;"_"&amp;$C25,主要特效!$A$4:$Y$17,AB$3,FALSE),IF($D25=3,VLOOKUP($B25&amp;"_"&amp;$C25,辅助特效!$A$4:$Y$17,AB$3,FALSE),IF($D25=4,VLOOKUP($B25&amp;"_"&amp;$C25,命中特效!$A$4:$Y$17,AB$3,FALSE),IF($D25=5,VLOOKUP($B25&amp;"_"&amp;$C25,buff特效!$A$4:$Y$17,AB$3,FALSE),1111)))))</f>
        <v>0</v>
      </c>
    </row>
    <row r="26" spans="2:28" x14ac:dyDescent="0.15">
      <c r="B26" s="32" t="str">
        <f t="shared" si="6"/>
        <v>tuotatianwang</v>
      </c>
      <c r="C26" s="32">
        <f t="shared" si="7"/>
        <v>3</v>
      </c>
      <c r="D26" s="32">
        <f t="shared" si="5"/>
        <v>3</v>
      </c>
      <c r="E26" s="33" t="str">
        <f>IF($D26=1,VLOOKUP($B26&amp;"_"&amp;$C26,起手特效!$A$4:$Y$17,E$3,FALSE),IF($D26=2,VLOOKUP($B26&amp;"_"&amp;$C26,主要特效!$A$4:$Y$17,E$3,FALSE),IF($D26=3,VLOOKUP($B26&amp;"_"&amp;$C26,辅助特效!$A$4:$Y$17,E$3,FALSE),IF($D26=4,VLOOKUP($B26&amp;"_"&amp;$C26,命中特效!$A$4:$Y$17,E$3,FALSE),IF($D26=5,VLOOKUP($B26&amp;"_"&amp;$C26,buff特效!$A$4:$Y$17,E$3,FALSE),1111)))))</f>
        <v>[]</v>
      </c>
      <c r="F26" s="33" t="str">
        <f>IF($D26=1,VLOOKUP($B26&amp;"_"&amp;$C26,起手特效!$A$4:$Y$17,F$3,FALSE),IF($D26=2,VLOOKUP($B26&amp;"_"&amp;$C26,主要特效!$A$4:$Y$17,F$3,FALSE),IF($D26=3,VLOOKUP($B26&amp;"_"&amp;$C26,辅助特效!$A$4:$Y$17,F$3,FALSE),IF($D26=4,VLOOKUP($B26&amp;"_"&amp;$C26,命中特效!$A$4:$Y$17,F$3,FALSE),IF($D26=5,VLOOKUP($B26&amp;"_"&amp;$C26,buff特效!$A$4:$Y$17,F$3,FALSE),1111)))))</f>
        <v>[]</v>
      </c>
      <c r="G26" s="33" t="str">
        <f>IF($D26=1,VLOOKUP($B26&amp;"_"&amp;$C26,起手特效!$A$4:$Y$17,G$3,FALSE),IF($D26=2,VLOOKUP($B26&amp;"_"&amp;$C26,主要特效!$A$4:$Y$17,G$3,FALSE),IF($D26=3,VLOOKUP($B26&amp;"_"&amp;$C26,辅助特效!$A$4:$Y$17,G$3,FALSE),IF($D26=4,VLOOKUP($B26&amp;"_"&amp;$C26,命中特效!$A$4:$Y$17,G$3,FALSE),IF($D26=5,VLOOKUP($B26&amp;"_"&amp;$C26,buff特效!$A$4:$Y$17,G$3,FALSE),1111)))))</f>
        <v>skill_4</v>
      </c>
      <c r="H26" s="33">
        <f>IF($D26=1,VLOOKUP($B26&amp;"_"&amp;$C26,起手特效!$A$4:$Y$17,H$3,FALSE),IF($D26=2,VLOOKUP($B26&amp;"_"&amp;$C26,主要特效!$A$4:$Y$17,H$3,FALSE),IF($D26=3,VLOOKUP($B26&amp;"_"&amp;$C26,辅助特效!$A$4:$Y$17,H$3,FALSE),IF($D26=4,VLOOKUP($B26&amp;"_"&amp;$C26,命中特效!$A$4:$Y$17,H$3,FALSE),IF($D26=5,VLOOKUP($B26&amp;"_"&amp;$C26,buff特效!$A$4:$Y$17,H$3,FALSE),1111)))))</f>
        <v>0</v>
      </c>
      <c r="I26" s="33">
        <f>IF($D26=1,VLOOKUP($B26&amp;"_"&amp;$C26,起手特效!$A$4:$Y$17,I$3,FALSE),IF($D26=2,VLOOKUP($B26&amp;"_"&amp;$C26,主要特效!$A$4:$Y$17,I$3,FALSE),IF($D26=3,VLOOKUP($B26&amp;"_"&amp;$C26,辅助特效!$A$4:$Y$17,I$3,FALSE),IF($D26=4,VLOOKUP($B26&amp;"_"&amp;$C26,命中特效!$A$4:$Y$17,I$3,FALSE),IF($D26=5,VLOOKUP($B26&amp;"_"&amp;$C26,buff特效!$A$4:$Y$17,I$3,FALSE),1111)))))</f>
        <v>0</v>
      </c>
      <c r="J26" s="33">
        <f>IF($D26=1,VLOOKUP($B26&amp;"_"&amp;$C26,起手特效!$A$4:$Y$17,J$3,FALSE),IF($D26=2,VLOOKUP($B26&amp;"_"&amp;$C26,主要特效!$A$4:$Y$17,J$3,FALSE),IF($D26=3,VLOOKUP($B26&amp;"_"&amp;$C26,辅助特效!$A$4:$Y$17,J$3,FALSE),IF($D26=4,VLOOKUP($B26&amp;"_"&amp;$C26,命中特效!$A$4:$Y$17,J$3,FALSE),IF($D26=5,VLOOKUP($B26&amp;"_"&amp;$C26,buff特效!$A$4:$Y$17,J$3,FALSE),1111)))))</f>
        <v>1</v>
      </c>
      <c r="K26" s="33">
        <f>IF($D26=1,VLOOKUP($B26&amp;"_"&amp;$C26,起手特效!$A$4:$Y$17,K$3,FALSE),IF($D26=2,VLOOKUP($B26&amp;"_"&amp;$C26,主要特效!$A$4:$Y$17,K$3,FALSE),IF($D26=3,VLOOKUP($B26&amp;"_"&amp;$C26,辅助特效!$A$4:$Y$17,K$3,FALSE),IF($D26=4,VLOOKUP($B26&amp;"_"&amp;$C26,命中特效!$A$4:$Y$17,K$3,FALSE),IF($D26=5,VLOOKUP($B26&amp;"_"&amp;$C26,buff特效!$A$4:$Y$17,K$3,FALSE),1111)))))</f>
        <v>0</v>
      </c>
      <c r="L26" s="33">
        <f>IF($D26=1,VLOOKUP($B26&amp;"_"&amp;$C26,起手特效!$A$4:$Y$17,L$3,FALSE),IF($D26=2,VLOOKUP($B26&amp;"_"&amp;$C26,主要特效!$A$4:$Y$17,L$3,FALSE),IF($D26=3,VLOOKUP($B26&amp;"_"&amp;$C26,辅助特效!$A$4:$Y$17,L$3,FALSE),IF($D26=4,VLOOKUP($B26&amp;"_"&amp;$C26,命中特效!$A$4:$Y$17,L$3,FALSE),IF($D26=5,VLOOKUP($B26&amp;"_"&amp;$C26,buff特效!$A$4:$Y$17,L$3,FALSE),1111)))))</f>
        <v>1</v>
      </c>
      <c r="M26" s="33" t="str">
        <f>IF($D26=1,VLOOKUP($B26&amp;"_"&amp;$C26,起手特效!$A$4:$Y$17,M$3,FALSE),IF($D26=2,VLOOKUP($B26&amp;"_"&amp;$C26,主要特效!$A$4:$Y$17,M$3,FALSE),IF($D26=3,VLOOKUP($B26&amp;"_"&amp;$C26,辅助特效!$A$4:$Y$17,M$3,FALSE),IF($D26=4,VLOOKUP($B26&amp;"_"&amp;$C26,命中特效!$A$4:$Y$17,M$3,FALSE),IF($D26=5,VLOOKUP($B26&amp;"_"&amp;$C26,buff特效!$A$4:$Y$17,M$3,FALSE),1111)))))</f>
        <v>[]</v>
      </c>
      <c r="N26" s="33" t="str">
        <f>IF($D26=1,VLOOKUP($B26&amp;"_"&amp;$C26,起手特效!$A$4:$Y$17,N$3,FALSE),IF($D26=2,VLOOKUP($B26&amp;"_"&amp;$C26,主要特效!$A$4:$Y$17,N$3,FALSE),IF($D26=3,VLOOKUP($B26&amp;"_"&amp;$C26,辅助特效!$A$4:$Y$17,N$3,FALSE),IF($D26=4,VLOOKUP($B26&amp;"_"&amp;$C26,命中特效!$A$4:$Y$17,N$3,FALSE),IF($D26=5,VLOOKUP($B26&amp;"_"&amp;$C26,buff特效!$A$4:$Y$17,N$3,FALSE),1111)))))</f>
        <v>[]</v>
      </c>
      <c r="O26" s="33">
        <f>IF($D26=1,VLOOKUP($B26&amp;"_"&amp;$C26,起手特效!$A$4:$Y$17,O$3,FALSE),IF($D26=2,VLOOKUP($B26&amp;"_"&amp;$C26,主要特效!$A$4:$Y$17,O$3,FALSE),IF($D26=3,VLOOKUP($B26&amp;"_"&amp;$C26,辅助特效!$A$4:$Y$17,O$3,FALSE),IF($D26=4,VLOOKUP($B26&amp;"_"&amp;$C26,命中特效!$A$4:$Y$17,O$3,FALSE),IF($D26=5,VLOOKUP($B26&amp;"_"&amp;$C26,buff特效!$A$4:$Y$17,O$3,FALSE),1111)))))</f>
        <v>5</v>
      </c>
      <c r="P26" s="33" t="str">
        <f>IF($D26=1,VLOOKUP($B26&amp;"_"&amp;$C26,起手特效!$A$4:$Y$17,P$3,FALSE),IF($D26=2,VLOOKUP($B26&amp;"_"&amp;$C26,主要特效!$A$4:$Y$17,P$3,FALSE),IF($D26=3,VLOOKUP($B26&amp;"_"&amp;$C26,辅助特效!$A$4:$Y$17,P$3,FALSE),IF($D26=4,VLOOKUP($B26&amp;"_"&amp;$C26,命中特效!$A$4:$Y$17,P$3,FALSE),IF($D26=5,VLOOKUP($B26&amp;"_"&amp;$C26,buff特效!$A$4:$Y$17,P$3,FALSE),1111)))))</f>
        <v>手填</v>
      </c>
      <c r="Q26" s="33">
        <f>IF($D26=1,VLOOKUP($B26&amp;"_"&amp;$C26,起手特效!$A$4:$Y$17,Q$3,FALSE),IF($D26=2,VLOOKUP($B26&amp;"_"&amp;$C26,主要特效!$A$4:$Y$17,Q$3,FALSE),IF($D26=3,VLOOKUP($B26&amp;"_"&amp;$C26,辅助特效!$A$4:$Y$17,Q$3,FALSE),IF($D26=4,VLOOKUP($B26&amp;"_"&amp;$C26,命中特效!$A$4:$Y$17,Q$3,FALSE),IF($D26=5,VLOOKUP($B26&amp;"_"&amp;$C26,buff特效!$A$4:$Y$17,Q$3,FALSE),1111)))))</f>
        <v>1</v>
      </c>
      <c r="R26" s="33" t="str">
        <f>IF($D26=1,VLOOKUP($B26&amp;"_"&amp;$C26,起手特效!$A$4:$Y$17,R$3,FALSE),IF($D26=2,VLOOKUP($B26&amp;"_"&amp;$C26,主要特效!$A$4:$Y$17,R$3,FALSE),IF($D26=3,VLOOKUP($B26&amp;"_"&amp;$C26,辅助特效!$A$4:$Y$17,R$3,FALSE),IF($D26=4,VLOOKUP($B26&amp;"_"&amp;$C26,命中特效!$A$4:$Y$17,R$3,FALSE),IF($D26=5,VLOOKUP($B26&amp;"_"&amp;$C26,buff特效!$A$4:$Y$17,R$3,FALSE),1111)))))</f>
        <v>手填</v>
      </c>
      <c r="S26" s="33" t="str">
        <f>IF($D26=1,VLOOKUP($B26&amp;"_"&amp;$C26,起手特效!$A$4:$Y$17,S$3,FALSE),IF($D26=2,VLOOKUP($B26&amp;"_"&amp;$C26,主要特效!$A$4:$Y$17,S$3,FALSE),IF($D26=3,VLOOKUP($B26&amp;"_"&amp;$C26,辅助特效!$A$4:$Y$17,S$3,FALSE),IF($D26=4,VLOOKUP($B26&amp;"_"&amp;$C26,命中特效!$A$4:$Y$17,S$3,FALSE),IF($D26=5,VLOOKUP($B26&amp;"_"&amp;$C26,buff特效!$A$4:$Y$17,S$3,FALSE),1111)))))</f>
        <v>手填</v>
      </c>
      <c r="T26" s="33" t="str">
        <f>IF($D26=1,VLOOKUP($B26&amp;"_"&amp;$C26,起手特效!$A$4:$Y$17,T$3,FALSE),IF($D26=2,VLOOKUP($B26&amp;"_"&amp;$C26,主要特效!$A$4:$Y$17,T$3,FALSE),IF($D26=3,VLOOKUP($B26&amp;"_"&amp;$C26,辅助特效!$A$4:$Y$17,T$3,FALSE),IF($D26=4,VLOOKUP($B26&amp;"_"&amp;$C26,命中特效!$A$4:$Y$17,T$3,FALSE),IF($D26=5,VLOOKUP($B26&amp;"_"&amp;$C26,buff特效!$A$4:$Y$17,T$3,FALSE),1111)))))</f>
        <v>[]</v>
      </c>
      <c r="U26" s="33" t="str">
        <f>IF($D26=1,VLOOKUP($B26&amp;"_"&amp;$C26,起手特效!$A$4:$Y$17,U$3,FALSE),IF($D26=2,VLOOKUP($B26&amp;"_"&amp;$C26,主要特效!$A$4:$Y$17,U$3,FALSE),IF($D26=3,VLOOKUP($B26&amp;"_"&amp;$C26,辅助特效!$A$4:$Y$17,U$3,FALSE),IF($D26=4,VLOOKUP($B26&amp;"_"&amp;$C26,命中特效!$A$4:$Y$17,U$3,FALSE),IF($D26=5,VLOOKUP($B26&amp;"_"&amp;$C26,buff特效!$A$4:$Y$17,U$3,FALSE),1111)))))</f>
        <v>[]</v>
      </c>
      <c r="V26" s="33">
        <f>IF($D26=1,VLOOKUP($B26&amp;"_"&amp;$C26,起手特效!$A$4:$Y$17,V$3,FALSE),IF($D26=2,VLOOKUP($B26&amp;"_"&amp;$C26,主要特效!$A$4:$Y$17,V$3,FALSE),IF($D26=3,VLOOKUP($B26&amp;"_"&amp;$C26,辅助特效!$A$4:$Y$17,V$3,FALSE),IF($D26=4,VLOOKUP($B26&amp;"_"&amp;$C26,命中特效!$A$4:$Y$17,V$3,FALSE),IF($D26=5,VLOOKUP($B26&amp;"_"&amp;$C26,buff特效!$A$4:$Y$17,V$3,FALSE),1111)))))</f>
        <v>0</v>
      </c>
      <c r="W26" s="33">
        <f>IF($D26=1,VLOOKUP($B26&amp;"_"&amp;$C26,起手特效!$A$4:$Y$17,W$3,FALSE),IF($D26=2,VLOOKUP($B26&amp;"_"&amp;$C26,主要特效!$A$4:$Y$17,W$3,FALSE),IF($D26=3,VLOOKUP($B26&amp;"_"&amp;$C26,辅助特效!$A$4:$Y$17,W$3,FALSE),IF($D26=4,VLOOKUP($B26&amp;"_"&amp;$C26,命中特效!$A$4:$Y$17,W$3,FALSE),IF($D26=5,VLOOKUP($B26&amp;"_"&amp;$C26,buff特效!$A$4:$Y$17,W$3,FALSE),1111)))))</f>
        <v>0</v>
      </c>
      <c r="X26" s="33">
        <f>IF($D26=1,VLOOKUP($B26&amp;"_"&amp;$C26,起手特效!$A$4:$Y$17,X$3,FALSE),IF($D26=2,VLOOKUP($B26&amp;"_"&amp;$C26,主要特效!$A$4:$Y$17,X$3,FALSE),IF($D26=3,VLOOKUP($B26&amp;"_"&amp;$C26,辅助特效!$A$4:$Y$17,X$3,FALSE),IF($D26=4,VLOOKUP($B26&amp;"_"&amp;$C26,命中特效!$A$4:$Y$17,X$3,FALSE),IF($D26=5,VLOOKUP($B26&amp;"_"&amp;$C26,buff特效!$A$4:$Y$17,X$3,FALSE),1111)))))</f>
        <v>0</v>
      </c>
      <c r="Y26" s="33">
        <f>IF($D26=1,VLOOKUP($B26&amp;"_"&amp;$C26,起手特效!$A$4:$Y$17,Y$3,FALSE),IF($D26=2,VLOOKUP($B26&amp;"_"&amp;$C26,主要特效!$A$4:$Y$17,Y$3,FALSE),IF($D26=3,VLOOKUP($B26&amp;"_"&amp;$C26,辅助特效!$A$4:$Y$17,Y$3,FALSE),IF($D26=4,VLOOKUP($B26&amp;"_"&amp;$C26,命中特效!$A$4:$Y$17,Y$3,FALSE),IF($D26=5,VLOOKUP($B26&amp;"_"&amp;$C26,buff特效!$A$4:$Y$17,Y$3,FALSE),1111)))))</f>
        <v>0</v>
      </c>
      <c r="Z26" s="33">
        <f>IF($D26=1,VLOOKUP($B26&amp;"_"&amp;$C26,起手特效!$A$4:$Y$17,Z$3,FALSE),IF($D26=2,VLOOKUP($B26&amp;"_"&amp;$C26,主要特效!$A$4:$Y$17,Z$3,FALSE),IF($D26=3,VLOOKUP($B26&amp;"_"&amp;$C26,辅助特效!$A$4:$Y$17,Z$3,FALSE),IF($D26=4,VLOOKUP($B26&amp;"_"&amp;$C26,命中特效!$A$4:$Y$17,Z$3,FALSE),IF($D26=5,VLOOKUP($B26&amp;"_"&amp;$C26,buff特效!$A$4:$Y$17,Z$3,FALSE),1111)))))</f>
        <v>0</v>
      </c>
      <c r="AA26" s="33">
        <f>IF($D26=1,VLOOKUP($B26&amp;"_"&amp;$C26,起手特效!$A$4:$Y$17,AA$3,FALSE),IF($D26=2,VLOOKUP($B26&amp;"_"&amp;$C26,主要特效!$A$4:$Y$17,AA$3,FALSE),IF($D26=3,VLOOKUP($B26&amp;"_"&amp;$C26,辅助特效!$A$4:$Y$17,AA$3,FALSE),IF($D26=4,VLOOKUP($B26&amp;"_"&amp;$C26,命中特效!$A$4:$Y$17,AA$3,FALSE),IF($D26=5,VLOOKUP($B26&amp;"_"&amp;$C26,buff特效!$A$4:$Y$17,AA$3,FALSE),1111)))))</f>
        <v>0</v>
      </c>
      <c r="AB26" s="33">
        <f>IF($D26=1,VLOOKUP($B26&amp;"_"&amp;$C26,起手特效!$A$4:$Y$17,AB$3,FALSE),IF($D26=2,VLOOKUP($B26&amp;"_"&amp;$C26,主要特效!$A$4:$Y$17,AB$3,FALSE),IF($D26=3,VLOOKUP($B26&amp;"_"&amp;$C26,辅助特效!$A$4:$Y$17,AB$3,FALSE),IF($D26=4,VLOOKUP($B26&amp;"_"&amp;$C26,命中特效!$A$4:$Y$17,AB$3,FALSE),IF($D26=5,VLOOKUP($B26&amp;"_"&amp;$C26,buff特效!$A$4:$Y$17,AB$3,FALSE),1111)))))</f>
        <v>0</v>
      </c>
    </row>
    <row r="27" spans="2:28" x14ac:dyDescent="0.15">
      <c r="B27" s="32" t="str">
        <f t="shared" si="6"/>
        <v>tuotatianwang</v>
      </c>
      <c r="C27" s="32">
        <f t="shared" si="7"/>
        <v>3</v>
      </c>
      <c r="D27" s="32">
        <f t="shared" si="5"/>
        <v>4</v>
      </c>
      <c r="E27" s="33" t="str">
        <f>IF($D27=1,VLOOKUP($B27&amp;"_"&amp;$C27,起手特效!$A$4:$Y$17,E$3,FALSE),IF($D27=2,VLOOKUP($B27&amp;"_"&amp;$C27,主要特效!$A$4:$Y$17,E$3,FALSE),IF($D27=3,VLOOKUP($B27&amp;"_"&amp;$C27,辅助特效!$A$4:$Y$17,E$3,FALSE),IF($D27=4,VLOOKUP($B27&amp;"_"&amp;$C27,命中特效!$A$4:$Y$17,E$3,FALSE),IF($D27=5,VLOOKUP($B27&amp;"_"&amp;$C27,buff特效!$A$4:$Y$17,E$3,FALSE),1111)))))</f>
        <v>[]</v>
      </c>
      <c r="F27" s="33" t="str">
        <f>IF($D27=1,VLOOKUP($B27&amp;"_"&amp;$C27,起手特效!$A$4:$Y$17,F$3,FALSE),IF($D27=2,VLOOKUP($B27&amp;"_"&amp;$C27,主要特效!$A$4:$Y$17,F$3,FALSE),IF($D27=3,VLOOKUP($B27&amp;"_"&amp;$C27,辅助特效!$A$4:$Y$17,F$3,FALSE),IF($D27=4,VLOOKUP($B27&amp;"_"&amp;$C27,命中特效!$A$4:$Y$17,F$3,FALSE),IF($D27=5,VLOOKUP($B27&amp;"_"&amp;$C27,buff特效!$A$4:$Y$17,F$3,FALSE),1111)))))</f>
        <v>[]</v>
      </c>
      <c r="G27" s="33" t="str">
        <f>IF($D27=1,VLOOKUP($B27&amp;"_"&amp;$C27,起手特效!$A$4:$Y$17,G$3,FALSE),IF($D27=2,VLOOKUP($B27&amp;"_"&amp;$C27,主要特效!$A$4:$Y$17,G$3,FALSE),IF($D27=3,VLOOKUP($B27&amp;"_"&amp;$C27,辅助特效!$A$4:$Y$17,G$3,FALSE),IF($D27=4,VLOOKUP($B27&amp;"_"&amp;$C27,命中特效!$A$4:$Y$17,G$3,FALSE),IF($D27=5,VLOOKUP($B27&amp;"_"&amp;$C27,buff特效!$A$4:$Y$17,G$3,FALSE),1111)))))</f>
        <v>[]</v>
      </c>
      <c r="H27" s="33">
        <f>IF($D27=1,VLOOKUP($B27&amp;"_"&amp;$C27,起手特效!$A$4:$Y$17,H$3,FALSE),IF($D27=2,VLOOKUP($B27&amp;"_"&amp;$C27,主要特效!$A$4:$Y$17,H$3,FALSE),IF($D27=3,VLOOKUP($B27&amp;"_"&amp;$C27,辅助特效!$A$4:$Y$17,H$3,FALSE),IF($D27=4,VLOOKUP($B27&amp;"_"&amp;$C27,命中特效!$A$4:$Y$17,H$3,FALSE),IF($D27=5,VLOOKUP($B27&amp;"_"&amp;$C27,buff特效!$A$4:$Y$17,H$3,FALSE),1111)))))</f>
        <v>0</v>
      </c>
      <c r="I27" s="33">
        <f>IF($D27=1,VLOOKUP($B27&amp;"_"&amp;$C27,起手特效!$A$4:$Y$17,I$3,FALSE),IF($D27=2,VLOOKUP($B27&amp;"_"&amp;$C27,主要特效!$A$4:$Y$17,I$3,FALSE),IF($D27=3,VLOOKUP($B27&amp;"_"&amp;$C27,辅助特效!$A$4:$Y$17,I$3,FALSE),IF($D27=4,VLOOKUP($B27&amp;"_"&amp;$C27,命中特效!$A$4:$Y$17,I$3,FALSE),IF($D27=5,VLOOKUP($B27&amp;"_"&amp;$C27,buff特效!$A$4:$Y$17,I$3,FALSE),1111)))))</f>
        <v>0</v>
      </c>
      <c r="J27" s="33">
        <f>IF($D27=1,VLOOKUP($B27&amp;"_"&amp;$C27,起手特效!$A$4:$Y$17,J$3,FALSE),IF($D27=2,VLOOKUP($B27&amp;"_"&amp;$C27,主要特效!$A$4:$Y$17,J$3,FALSE),IF($D27=3,VLOOKUP($B27&amp;"_"&amp;$C27,辅助特效!$A$4:$Y$17,J$3,FALSE),IF($D27=4,VLOOKUP($B27&amp;"_"&amp;$C27,命中特效!$A$4:$Y$17,J$3,FALSE),IF($D27=5,VLOOKUP($B27&amp;"_"&amp;$C27,buff特效!$A$4:$Y$17,J$3,FALSE),1111)))))</f>
        <v>11</v>
      </c>
      <c r="K27" s="33">
        <f>IF($D27=1,VLOOKUP($B27&amp;"_"&amp;$C27,起手特效!$A$4:$Y$17,K$3,FALSE),IF($D27=2,VLOOKUP($B27&amp;"_"&amp;$C27,主要特效!$A$4:$Y$17,K$3,FALSE),IF($D27=3,VLOOKUP($B27&amp;"_"&amp;$C27,辅助特效!$A$4:$Y$17,K$3,FALSE),IF($D27=4,VLOOKUP($B27&amp;"_"&amp;$C27,命中特效!$A$4:$Y$17,K$3,FALSE),IF($D27=5,VLOOKUP($B27&amp;"_"&amp;$C27,buff特效!$A$4:$Y$17,K$3,FALSE),1111)))))</f>
        <v>0</v>
      </c>
      <c r="L27" s="33">
        <f>IF($D27=1,VLOOKUP($B27&amp;"_"&amp;$C27,起手特效!$A$4:$Y$17,L$3,FALSE),IF($D27=2,VLOOKUP($B27&amp;"_"&amp;$C27,主要特效!$A$4:$Y$17,L$3,FALSE),IF($D27=3,VLOOKUP($B27&amp;"_"&amp;$C27,辅助特效!$A$4:$Y$17,L$3,FALSE),IF($D27=4,VLOOKUP($B27&amp;"_"&amp;$C27,命中特效!$A$4:$Y$17,L$3,FALSE),IF($D27=5,VLOOKUP($B27&amp;"_"&amp;$C27,buff特效!$A$4:$Y$17,L$3,FALSE),1111)))))</f>
        <v>0</v>
      </c>
      <c r="M27" s="33" t="str">
        <f>IF($D27=1,VLOOKUP($B27&amp;"_"&amp;$C27,起手特效!$A$4:$Y$17,M$3,FALSE),IF($D27=2,VLOOKUP($B27&amp;"_"&amp;$C27,主要特效!$A$4:$Y$17,M$3,FALSE),IF($D27=3,VLOOKUP($B27&amp;"_"&amp;$C27,辅助特效!$A$4:$Y$17,M$3,FALSE),IF($D27=4,VLOOKUP($B27&amp;"_"&amp;$C27,命中特效!$A$4:$Y$17,M$3,FALSE),IF($D27=5,VLOOKUP($B27&amp;"_"&amp;$C27,buff特效!$A$4:$Y$17,M$3,FALSE),1111)))))</f>
        <v>[]</v>
      </c>
      <c r="N27" s="33" t="str">
        <f>IF($D27=1,VLOOKUP($B27&amp;"_"&amp;$C27,起手特效!$A$4:$Y$17,N$3,FALSE),IF($D27=2,VLOOKUP($B27&amp;"_"&amp;$C27,主要特效!$A$4:$Y$17,N$3,FALSE),IF($D27=3,VLOOKUP($B27&amp;"_"&amp;$C27,辅助特效!$A$4:$Y$17,N$3,FALSE),IF($D27=4,VLOOKUP($B27&amp;"_"&amp;$C27,命中特效!$A$4:$Y$17,N$3,FALSE),IF($D27=5,VLOOKUP($B27&amp;"_"&amp;$C27,buff特效!$A$4:$Y$17,N$3,FALSE),1111)))))</f>
        <v>[]</v>
      </c>
      <c r="O27" s="33">
        <f>IF($D27=1,VLOOKUP($B27&amp;"_"&amp;$C27,起手特效!$A$4:$Y$17,O$3,FALSE),IF($D27=2,VLOOKUP($B27&amp;"_"&amp;$C27,主要特效!$A$4:$Y$17,O$3,FALSE),IF($D27=3,VLOOKUP($B27&amp;"_"&amp;$C27,辅助特效!$A$4:$Y$17,O$3,FALSE),IF($D27=4,VLOOKUP($B27&amp;"_"&amp;$C27,命中特效!$A$4:$Y$17,O$3,FALSE),IF($D27=5,VLOOKUP($B27&amp;"_"&amp;$C27,buff特效!$A$4:$Y$17,O$3,FALSE),1111)))))</f>
        <v>5</v>
      </c>
      <c r="P27" s="33">
        <f>IF($D27=1,VLOOKUP($B27&amp;"_"&amp;$C27,起手特效!$A$4:$Y$17,P$3,FALSE),IF($D27=2,VLOOKUP($B27&amp;"_"&amp;$C27,主要特效!$A$4:$Y$17,P$3,FALSE),IF($D27=3,VLOOKUP($B27&amp;"_"&amp;$C27,辅助特效!$A$4:$Y$17,P$3,FALSE),IF($D27=4,VLOOKUP($B27&amp;"_"&amp;$C27,命中特效!$A$4:$Y$17,P$3,FALSE),IF($D27=5,VLOOKUP($B27&amp;"_"&amp;$C27,buff特效!$A$4:$Y$17,P$3,FALSE),1111)))))</f>
        <v>0</v>
      </c>
      <c r="Q27" s="33">
        <f>IF($D27=1,VLOOKUP($B27&amp;"_"&amp;$C27,起手特效!$A$4:$Y$17,Q$3,FALSE),IF($D27=2,VLOOKUP($B27&amp;"_"&amp;$C27,主要特效!$A$4:$Y$17,Q$3,FALSE),IF($D27=3,VLOOKUP($B27&amp;"_"&amp;$C27,辅助特效!$A$4:$Y$17,Q$3,FALSE),IF($D27=4,VLOOKUP($B27&amp;"_"&amp;$C27,命中特效!$A$4:$Y$17,Q$3,FALSE),IF($D27=5,VLOOKUP($B27&amp;"_"&amp;$C27,buff特效!$A$4:$Y$17,Q$3,FALSE),1111)))))</f>
        <v>2</v>
      </c>
      <c r="R27" s="33">
        <f>IF($D27=1,VLOOKUP($B27&amp;"_"&amp;$C27,起手特效!$A$4:$Y$17,R$3,FALSE),IF($D27=2,VLOOKUP($B27&amp;"_"&amp;$C27,主要特效!$A$4:$Y$17,R$3,FALSE),IF($D27=3,VLOOKUP($B27&amp;"_"&amp;$C27,辅助特效!$A$4:$Y$17,R$3,FALSE),IF($D27=4,VLOOKUP($B27&amp;"_"&amp;$C27,命中特效!$A$4:$Y$17,R$3,FALSE),IF($D27=5,VLOOKUP($B27&amp;"_"&amp;$C27,buff特效!$A$4:$Y$17,R$3,FALSE),1111)))))</f>
        <v>0</v>
      </c>
      <c r="S27" s="33" t="str">
        <f>IF($D27=1,VLOOKUP($B27&amp;"_"&amp;$C27,起手特效!$A$4:$Y$17,S$3,FALSE),IF($D27=2,VLOOKUP($B27&amp;"_"&amp;$C27,主要特效!$A$4:$Y$17,S$3,FALSE),IF($D27=3,VLOOKUP($B27&amp;"_"&amp;$C27,辅助特效!$A$4:$Y$17,S$3,FALSE),IF($D27=4,VLOOKUP($B27&amp;"_"&amp;$C27,命中特效!$A$4:$Y$17,S$3,FALSE),IF($D27=5,VLOOKUP($B27&amp;"_"&amp;$C27,buff特效!$A$4:$Y$17,S$3,FALSE),1111)))))</f>
        <v>[]</v>
      </c>
      <c r="T27" s="33" t="str">
        <f>IF($D27=1,VLOOKUP($B27&amp;"_"&amp;$C27,起手特效!$A$4:$Y$17,T$3,FALSE),IF($D27=2,VLOOKUP($B27&amp;"_"&amp;$C27,主要特效!$A$4:$Y$17,T$3,FALSE),IF($D27=3,VLOOKUP($B27&amp;"_"&amp;$C27,辅助特效!$A$4:$Y$17,T$3,FALSE),IF($D27=4,VLOOKUP($B27&amp;"_"&amp;$C27,命中特效!$A$4:$Y$17,T$3,FALSE),IF($D27=5,VLOOKUP($B27&amp;"_"&amp;$C27,buff特效!$A$4:$Y$17,T$3,FALSE),1111)))))</f>
        <v>[]</v>
      </c>
      <c r="U27" s="33" t="str">
        <f>IF($D27=1,VLOOKUP($B27&amp;"_"&amp;$C27,起手特效!$A$4:$Y$17,U$3,FALSE),IF($D27=2,VLOOKUP($B27&amp;"_"&amp;$C27,主要特效!$A$4:$Y$17,U$3,FALSE),IF($D27=3,VLOOKUP($B27&amp;"_"&amp;$C27,辅助特效!$A$4:$Y$17,U$3,FALSE),IF($D27=4,VLOOKUP($B27&amp;"_"&amp;$C27,命中特效!$A$4:$Y$17,U$3,FALSE),IF($D27=5,VLOOKUP($B27&amp;"_"&amp;$C27,buff特效!$A$4:$Y$17,U$3,FALSE),1111)))))</f>
        <v>[]</v>
      </c>
      <c r="V27" s="33">
        <f>IF($D27=1,VLOOKUP($B27&amp;"_"&amp;$C27,起手特效!$A$4:$Y$17,V$3,FALSE),IF($D27=2,VLOOKUP($B27&amp;"_"&amp;$C27,主要特效!$A$4:$Y$17,V$3,FALSE),IF($D27=3,VLOOKUP($B27&amp;"_"&amp;$C27,辅助特效!$A$4:$Y$17,V$3,FALSE),IF($D27=4,VLOOKUP($B27&amp;"_"&amp;$C27,命中特效!$A$4:$Y$17,V$3,FALSE),IF($D27=5,VLOOKUP($B27&amp;"_"&amp;$C27,buff特效!$A$4:$Y$17,V$3,FALSE),1111)))))</f>
        <v>0</v>
      </c>
      <c r="W27" s="33">
        <f>IF($D27=1,VLOOKUP($B27&amp;"_"&amp;$C27,起手特效!$A$4:$Y$17,W$3,FALSE),IF($D27=2,VLOOKUP($B27&amp;"_"&amp;$C27,主要特效!$A$4:$Y$17,W$3,FALSE),IF($D27=3,VLOOKUP($B27&amp;"_"&amp;$C27,辅助特效!$A$4:$Y$17,W$3,FALSE),IF($D27=4,VLOOKUP($B27&amp;"_"&amp;$C27,命中特效!$A$4:$Y$17,W$3,FALSE),IF($D27=5,VLOOKUP($B27&amp;"_"&amp;$C27,buff特效!$A$4:$Y$17,W$3,FALSE),1111)))))</f>
        <v>0</v>
      </c>
      <c r="X27" s="33">
        <f>IF($D27=1,VLOOKUP($B27&amp;"_"&amp;$C27,起手特效!$A$4:$Y$17,X$3,FALSE),IF($D27=2,VLOOKUP($B27&amp;"_"&amp;$C27,主要特效!$A$4:$Y$17,X$3,FALSE),IF($D27=3,VLOOKUP($B27&amp;"_"&amp;$C27,辅助特效!$A$4:$Y$17,X$3,FALSE),IF($D27=4,VLOOKUP($B27&amp;"_"&amp;$C27,命中特效!$A$4:$Y$17,X$3,FALSE),IF($D27=5,VLOOKUP($B27&amp;"_"&amp;$C27,buff特效!$A$4:$Y$17,X$3,FALSE),1111)))))</f>
        <v>0</v>
      </c>
      <c r="Y27" s="33">
        <f>IF($D27=1,VLOOKUP($B27&amp;"_"&amp;$C27,起手特效!$A$4:$Y$17,Y$3,FALSE),IF($D27=2,VLOOKUP($B27&amp;"_"&amp;$C27,主要特效!$A$4:$Y$17,Y$3,FALSE),IF($D27=3,VLOOKUP($B27&amp;"_"&amp;$C27,辅助特效!$A$4:$Y$17,Y$3,FALSE),IF($D27=4,VLOOKUP($B27&amp;"_"&amp;$C27,命中特效!$A$4:$Y$17,Y$3,FALSE),IF($D27=5,VLOOKUP($B27&amp;"_"&amp;$C27,buff特效!$A$4:$Y$17,Y$3,FALSE),1111)))))</f>
        <v>0</v>
      </c>
      <c r="Z27" s="33">
        <f>IF($D27=1,VLOOKUP($B27&amp;"_"&amp;$C27,起手特效!$A$4:$Y$17,Z$3,FALSE),IF($D27=2,VLOOKUP($B27&amp;"_"&amp;$C27,主要特效!$A$4:$Y$17,Z$3,FALSE),IF($D27=3,VLOOKUP($B27&amp;"_"&amp;$C27,辅助特效!$A$4:$Y$17,Z$3,FALSE),IF($D27=4,VLOOKUP($B27&amp;"_"&amp;$C27,命中特效!$A$4:$Y$17,Z$3,FALSE),IF($D27=5,VLOOKUP($B27&amp;"_"&amp;$C27,buff特效!$A$4:$Y$17,Z$3,FALSE),1111)))))</f>
        <v>0</v>
      </c>
      <c r="AA27" s="33">
        <f>IF($D27=1,VLOOKUP($B27&amp;"_"&amp;$C27,起手特效!$A$4:$Y$17,AA$3,FALSE),IF($D27=2,VLOOKUP($B27&amp;"_"&amp;$C27,主要特效!$A$4:$Y$17,AA$3,FALSE),IF($D27=3,VLOOKUP($B27&amp;"_"&amp;$C27,辅助特效!$A$4:$Y$17,AA$3,FALSE),IF($D27=4,VLOOKUP($B27&amp;"_"&amp;$C27,命中特效!$A$4:$Y$17,AA$3,FALSE),IF($D27=5,VLOOKUP($B27&amp;"_"&amp;$C27,buff特效!$A$4:$Y$17,AA$3,FALSE),1111)))))</f>
        <v>0</v>
      </c>
      <c r="AB27" s="33">
        <f>IF($D27=1,VLOOKUP($B27&amp;"_"&amp;$C27,起手特效!$A$4:$Y$17,AB$3,FALSE),IF($D27=2,VLOOKUP($B27&amp;"_"&amp;$C27,主要特效!$A$4:$Y$17,AB$3,FALSE),IF($D27=3,VLOOKUP($B27&amp;"_"&amp;$C27,辅助特效!$A$4:$Y$17,AB$3,FALSE),IF($D27=4,VLOOKUP($B27&amp;"_"&amp;$C27,命中特效!$A$4:$Y$17,AB$3,FALSE),IF($D27=5,VLOOKUP($B27&amp;"_"&amp;$C27,buff特效!$A$4:$Y$17,AB$3,FALSE),1111)))))</f>
        <v>0</v>
      </c>
    </row>
    <row r="28" spans="2:28" x14ac:dyDescent="0.15">
      <c r="B28" s="32" t="str">
        <f t="shared" si="6"/>
        <v>tuotatianwang</v>
      </c>
      <c r="C28" s="32">
        <f t="shared" si="7"/>
        <v>3</v>
      </c>
      <c r="D28" s="32">
        <f t="shared" si="5"/>
        <v>5</v>
      </c>
      <c r="E28" s="33" t="str">
        <f>IF($D28=1,VLOOKUP($B28&amp;"_"&amp;$C28,起手特效!$A$4:$Y$17,E$3,FALSE),IF($D28=2,VLOOKUP($B28&amp;"_"&amp;$C28,主要特效!$A$4:$Y$17,E$3,FALSE),IF($D28=3,VLOOKUP($B28&amp;"_"&amp;$C28,辅助特效!$A$4:$Y$17,E$3,FALSE),IF($D28=4,VLOOKUP($B28&amp;"_"&amp;$C28,命中特效!$A$4:$Y$17,E$3,FALSE),IF($D28=5,VLOOKUP($B28&amp;"_"&amp;$C28,buff特效!$A$4:$Y$17,E$3,FALSE),1111)))))</f>
        <v>[]</v>
      </c>
      <c r="F28" s="33" t="str">
        <f>IF($D28=1,VLOOKUP($B28&amp;"_"&amp;$C28,起手特效!$A$4:$Y$17,F$3,FALSE),IF($D28=2,VLOOKUP($B28&amp;"_"&amp;$C28,主要特效!$A$4:$Y$17,F$3,FALSE),IF($D28=3,VLOOKUP($B28&amp;"_"&amp;$C28,辅助特效!$A$4:$Y$17,F$3,FALSE),IF($D28=4,VLOOKUP($B28&amp;"_"&amp;$C28,命中特效!$A$4:$Y$17,F$3,FALSE),IF($D28=5,VLOOKUP($B28&amp;"_"&amp;$C28,buff特效!$A$4:$Y$17,F$3,FALSE),1111)))))</f>
        <v>[]</v>
      </c>
      <c r="G28" s="33" t="str">
        <f>IF($D28=1,VLOOKUP($B28&amp;"_"&amp;$C28,起手特效!$A$4:$Y$17,G$3,FALSE),IF($D28=2,VLOOKUP($B28&amp;"_"&amp;$C28,主要特效!$A$4:$Y$17,G$3,FALSE),IF($D28=3,VLOOKUP($B28&amp;"_"&amp;$C28,辅助特效!$A$4:$Y$17,G$3,FALSE),IF($D28=4,VLOOKUP($B28&amp;"_"&amp;$C28,命中特效!$A$4:$Y$17,G$3,FALSE),IF($D28=5,VLOOKUP($B28&amp;"_"&amp;$C28,buff特效!$A$4:$Y$17,G$3,FALSE),1111)))))</f>
        <v>[]</v>
      </c>
      <c r="H28" s="33">
        <f>IF($D28=1,VLOOKUP($B28&amp;"_"&amp;$C28,起手特效!$A$4:$Y$17,H$3,FALSE),IF($D28=2,VLOOKUP($B28&amp;"_"&amp;$C28,主要特效!$A$4:$Y$17,H$3,FALSE),IF($D28=3,VLOOKUP($B28&amp;"_"&amp;$C28,辅助特效!$A$4:$Y$17,H$3,FALSE),IF($D28=4,VLOOKUP($B28&amp;"_"&amp;$C28,命中特效!$A$4:$Y$17,H$3,FALSE),IF($D28=5,VLOOKUP($B28&amp;"_"&amp;$C28,buff特效!$A$4:$Y$17,H$3,FALSE),1111)))))</f>
        <v>0</v>
      </c>
      <c r="I28" s="33">
        <f>IF($D28=1,VLOOKUP($B28&amp;"_"&amp;$C28,起手特效!$A$4:$Y$17,I$3,FALSE),IF($D28=2,VLOOKUP($B28&amp;"_"&amp;$C28,主要特效!$A$4:$Y$17,I$3,FALSE),IF($D28=3,VLOOKUP($B28&amp;"_"&amp;$C28,辅助特效!$A$4:$Y$17,I$3,FALSE),IF($D28=4,VLOOKUP($B28&amp;"_"&amp;$C28,命中特效!$A$4:$Y$17,I$3,FALSE),IF($D28=5,VLOOKUP($B28&amp;"_"&amp;$C28,buff特效!$A$4:$Y$17,I$3,FALSE),1111)))))</f>
        <v>0</v>
      </c>
      <c r="J28" s="33">
        <f>IF($D28=1,VLOOKUP($B28&amp;"_"&amp;$C28,起手特效!$A$4:$Y$17,J$3,FALSE),IF($D28=2,VLOOKUP($B28&amp;"_"&amp;$C28,主要特效!$A$4:$Y$17,J$3,FALSE),IF($D28=3,VLOOKUP($B28&amp;"_"&amp;$C28,辅助特效!$A$4:$Y$17,J$3,FALSE),IF($D28=4,VLOOKUP($B28&amp;"_"&amp;$C28,命中特效!$A$4:$Y$17,J$3,FALSE),IF($D28=5,VLOOKUP($B28&amp;"_"&amp;$C28,buff特效!$A$4:$Y$17,J$3,FALSE),1111)))))</f>
        <v>1</v>
      </c>
      <c r="K28" s="33">
        <f>IF($D28=1,VLOOKUP($B28&amp;"_"&amp;$C28,起手特效!$A$4:$Y$17,K$3,FALSE),IF($D28=2,VLOOKUP($B28&amp;"_"&amp;$C28,主要特效!$A$4:$Y$17,K$3,FALSE),IF($D28=3,VLOOKUP($B28&amp;"_"&amp;$C28,辅助特效!$A$4:$Y$17,K$3,FALSE),IF($D28=4,VLOOKUP($B28&amp;"_"&amp;$C28,命中特效!$A$4:$Y$17,K$3,FALSE),IF($D28=5,VLOOKUP($B28&amp;"_"&amp;$C28,buff特效!$A$4:$Y$17,K$3,FALSE),1111)))))</f>
        <v>0</v>
      </c>
      <c r="L28" s="33">
        <f>IF($D28=1,VLOOKUP($B28&amp;"_"&amp;$C28,起手特效!$A$4:$Y$17,L$3,FALSE),IF($D28=2,VLOOKUP($B28&amp;"_"&amp;$C28,主要特效!$A$4:$Y$17,L$3,FALSE),IF($D28=3,VLOOKUP($B28&amp;"_"&amp;$C28,辅助特效!$A$4:$Y$17,L$3,FALSE),IF($D28=4,VLOOKUP($B28&amp;"_"&amp;$C28,命中特效!$A$4:$Y$17,L$3,FALSE),IF($D28=5,VLOOKUP($B28&amp;"_"&amp;$C28,buff特效!$A$4:$Y$17,L$3,FALSE),1111)))))</f>
        <v>0</v>
      </c>
      <c r="M28" s="33" t="str">
        <f>IF($D28=1,VLOOKUP($B28&amp;"_"&amp;$C28,起手特效!$A$4:$Y$17,M$3,FALSE),IF($D28=2,VLOOKUP($B28&amp;"_"&amp;$C28,主要特效!$A$4:$Y$17,M$3,FALSE),IF($D28=3,VLOOKUP($B28&amp;"_"&amp;$C28,辅助特效!$A$4:$Y$17,M$3,FALSE),IF($D28=4,VLOOKUP($B28&amp;"_"&amp;$C28,命中特效!$A$4:$Y$17,M$3,FALSE),IF($D28=5,VLOOKUP($B28&amp;"_"&amp;$C28,buff特效!$A$4:$Y$17,M$3,FALSE),1111)))))</f>
        <v>[]</v>
      </c>
      <c r="N28" s="33" t="str">
        <f>IF($D28=1,VLOOKUP($B28&amp;"_"&amp;$C28,起手特效!$A$4:$Y$17,N$3,FALSE),IF($D28=2,VLOOKUP($B28&amp;"_"&amp;$C28,主要特效!$A$4:$Y$17,N$3,FALSE),IF($D28=3,VLOOKUP($B28&amp;"_"&amp;$C28,辅助特效!$A$4:$Y$17,N$3,FALSE),IF($D28=4,VLOOKUP($B28&amp;"_"&amp;$C28,命中特效!$A$4:$Y$17,N$3,FALSE),IF($D28=5,VLOOKUP($B28&amp;"_"&amp;$C28,buff特效!$A$4:$Y$17,N$3,FALSE),1111)))))</f>
        <v>[]</v>
      </c>
      <c r="O28" s="33">
        <f>IF($D28=1,VLOOKUP($B28&amp;"_"&amp;$C28,起手特效!$A$4:$Y$17,O$3,FALSE),IF($D28=2,VLOOKUP($B28&amp;"_"&amp;$C28,主要特效!$A$4:$Y$17,O$3,FALSE),IF($D28=3,VLOOKUP($B28&amp;"_"&amp;$C28,辅助特效!$A$4:$Y$17,O$3,FALSE),IF($D28=4,VLOOKUP($B28&amp;"_"&amp;$C28,命中特效!$A$4:$Y$17,O$3,FALSE),IF($D28=5,VLOOKUP($B28&amp;"_"&amp;$C28,buff特效!$A$4:$Y$17,O$3,FALSE),1111)))))</f>
        <v>5</v>
      </c>
      <c r="P28" s="33">
        <f>IF($D28=1,VLOOKUP($B28&amp;"_"&amp;$C28,起手特效!$A$4:$Y$17,P$3,FALSE),IF($D28=2,VLOOKUP($B28&amp;"_"&amp;$C28,主要特效!$A$4:$Y$17,P$3,FALSE),IF($D28=3,VLOOKUP($B28&amp;"_"&amp;$C28,辅助特效!$A$4:$Y$17,P$3,FALSE),IF($D28=4,VLOOKUP($B28&amp;"_"&amp;$C28,命中特效!$A$4:$Y$17,P$3,FALSE),IF($D28=5,VLOOKUP($B28&amp;"_"&amp;$C28,buff特效!$A$4:$Y$17,P$3,FALSE),1111)))))</f>
        <v>0</v>
      </c>
      <c r="Q28" s="33">
        <f>IF($D28=1,VLOOKUP($B28&amp;"_"&amp;$C28,起手特效!$A$4:$Y$17,Q$3,FALSE),IF($D28=2,VLOOKUP($B28&amp;"_"&amp;$C28,主要特效!$A$4:$Y$17,Q$3,FALSE),IF($D28=3,VLOOKUP($B28&amp;"_"&amp;$C28,辅助特效!$A$4:$Y$17,Q$3,FALSE),IF($D28=4,VLOOKUP($B28&amp;"_"&amp;$C28,命中特效!$A$4:$Y$17,Q$3,FALSE),IF($D28=5,VLOOKUP($B28&amp;"_"&amp;$C28,buff特效!$A$4:$Y$17,Q$3,FALSE),1111)))))</f>
        <v>2</v>
      </c>
      <c r="R28" s="33" t="str">
        <f>IF($D28=1,VLOOKUP($B28&amp;"_"&amp;$C28,起手特效!$A$4:$Y$17,R$3,FALSE),IF($D28=2,VLOOKUP($B28&amp;"_"&amp;$C28,主要特效!$A$4:$Y$17,R$3,FALSE),IF($D28=3,VLOOKUP($B28&amp;"_"&amp;$C28,辅助特效!$A$4:$Y$17,R$3,FALSE),IF($D28=4,VLOOKUP($B28&amp;"_"&amp;$C28,命中特效!$A$4:$Y$17,R$3,FALSE),IF($D28=5,VLOOKUP($B28&amp;"_"&amp;$C28,buff特效!$A$4:$Y$17,R$3,FALSE),1111)))))</f>
        <v>手填</v>
      </c>
      <c r="S28" s="33" t="str">
        <f>IF($D28=1,VLOOKUP($B28&amp;"_"&amp;$C28,起手特效!$A$4:$Y$17,S$3,FALSE),IF($D28=2,VLOOKUP($B28&amp;"_"&amp;$C28,主要特效!$A$4:$Y$17,S$3,FALSE),IF($D28=3,VLOOKUP($B28&amp;"_"&amp;$C28,辅助特效!$A$4:$Y$17,S$3,FALSE),IF($D28=4,VLOOKUP($B28&amp;"_"&amp;$C28,命中特效!$A$4:$Y$17,S$3,FALSE),IF($D28=5,VLOOKUP($B28&amp;"_"&amp;$C28,buff特效!$A$4:$Y$17,S$3,FALSE),1111)))))</f>
        <v>[]</v>
      </c>
      <c r="T28" s="33" t="str">
        <f>IF($D28=1,VLOOKUP($B28&amp;"_"&amp;$C28,起手特效!$A$4:$Y$17,T$3,FALSE),IF($D28=2,VLOOKUP($B28&amp;"_"&amp;$C28,主要特效!$A$4:$Y$17,T$3,FALSE),IF($D28=3,VLOOKUP($B28&amp;"_"&amp;$C28,辅助特效!$A$4:$Y$17,T$3,FALSE),IF($D28=4,VLOOKUP($B28&amp;"_"&amp;$C28,命中特效!$A$4:$Y$17,T$3,FALSE),IF($D28=5,VLOOKUP($B28&amp;"_"&amp;$C28,buff特效!$A$4:$Y$17,T$3,FALSE),1111)))))</f>
        <v>[]</v>
      </c>
      <c r="U28" s="33" t="str">
        <f>IF($D28=1,VLOOKUP($B28&amp;"_"&amp;$C28,起手特效!$A$4:$Y$17,U$3,FALSE),IF($D28=2,VLOOKUP($B28&amp;"_"&amp;$C28,主要特效!$A$4:$Y$17,U$3,FALSE),IF($D28=3,VLOOKUP($B28&amp;"_"&amp;$C28,辅助特效!$A$4:$Y$17,U$3,FALSE),IF($D28=4,VLOOKUP($B28&amp;"_"&amp;$C28,命中特效!$A$4:$Y$17,U$3,FALSE),IF($D28=5,VLOOKUP($B28&amp;"_"&amp;$C28,buff特效!$A$4:$Y$17,U$3,FALSE),1111)))))</f>
        <v>[]</v>
      </c>
      <c r="V28" s="33">
        <f>IF($D28=1,VLOOKUP($B28&amp;"_"&amp;$C28,起手特效!$A$4:$Y$17,V$3,FALSE),IF($D28=2,VLOOKUP($B28&amp;"_"&amp;$C28,主要特效!$A$4:$Y$17,V$3,FALSE),IF($D28=3,VLOOKUP($B28&amp;"_"&amp;$C28,辅助特效!$A$4:$Y$17,V$3,FALSE),IF($D28=4,VLOOKUP($B28&amp;"_"&amp;$C28,命中特效!$A$4:$Y$17,V$3,FALSE),IF($D28=5,VLOOKUP($B28&amp;"_"&amp;$C28,buff特效!$A$4:$Y$17,V$3,FALSE),1111)))))</f>
        <v>0</v>
      </c>
      <c r="W28" s="33">
        <f>IF($D28=1,VLOOKUP($B28&amp;"_"&amp;$C28,起手特效!$A$4:$Y$17,W$3,FALSE),IF($D28=2,VLOOKUP($B28&amp;"_"&amp;$C28,主要特效!$A$4:$Y$17,W$3,FALSE),IF($D28=3,VLOOKUP($B28&amp;"_"&amp;$C28,辅助特效!$A$4:$Y$17,W$3,FALSE),IF($D28=4,VLOOKUP($B28&amp;"_"&amp;$C28,命中特效!$A$4:$Y$17,W$3,FALSE),IF($D28=5,VLOOKUP($B28&amp;"_"&amp;$C28,buff特效!$A$4:$Y$17,W$3,FALSE),1111)))))</f>
        <v>0</v>
      </c>
      <c r="X28" s="33">
        <f>IF($D28=1,VLOOKUP($B28&amp;"_"&amp;$C28,起手特效!$A$4:$Y$17,X$3,FALSE),IF($D28=2,VLOOKUP($B28&amp;"_"&amp;$C28,主要特效!$A$4:$Y$17,X$3,FALSE),IF($D28=3,VLOOKUP($B28&amp;"_"&amp;$C28,辅助特效!$A$4:$Y$17,X$3,FALSE),IF($D28=4,VLOOKUP($B28&amp;"_"&amp;$C28,命中特效!$A$4:$Y$17,X$3,FALSE),IF($D28=5,VLOOKUP($B28&amp;"_"&amp;$C28,buff特效!$A$4:$Y$17,X$3,FALSE),1111)))))</f>
        <v>0</v>
      </c>
      <c r="Y28" s="33">
        <f>IF($D28=1,VLOOKUP($B28&amp;"_"&amp;$C28,起手特效!$A$4:$Y$17,Y$3,FALSE),IF($D28=2,VLOOKUP($B28&amp;"_"&amp;$C28,主要特效!$A$4:$Y$17,Y$3,FALSE),IF($D28=3,VLOOKUP($B28&amp;"_"&amp;$C28,辅助特效!$A$4:$Y$17,Y$3,FALSE),IF($D28=4,VLOOKUP($B28&amp;"_"&amp;$C28,命中特效!$A$4:$Y$17,Y$3,FALSE),IF($D28=5,VLOOKUP($B28&amp;"_"&amp;$C28,buff特效!$A$4:$Y$17,Y$3,FALSE),1111)))))</f>
        <v>0</v>
      </c>
      <c r="Z28" s="33">
        <f>IF($D28=1,VLOOKUP($B28&amp;"_"&amp;$C28,起手特效!$A$4:$Y$17,Z$3,FALSE),IF($D28=2,VLOOKUP($B28&amp;"_"&amp;$C28,主要特效!$A$4:$Y$17,Z$3,FALSE),IF($D28=3,VLOOKUP($B28&amp;"_"&amp;$C28,辅助特效!$A$4:$Y$17,Z$3,FALSE),IF($D28=4,VLOOKUP($B28&amp;"_"&amp;$C28,命中特效!$A$4:$Y$17,Z$3,FALSE),IF($D28=5,VLOOKUP($B28&amp;"_"&amp;$C28,buff特效!$A$4:$Y$17,Z$3,FALSE),1111)))))</f>
        <v>0</v>
      </c>
      <c r="AA28" s="33">
        <f>IF($D28=1,VLOOKUP($B28&amp;"_"&amp;$C28,起手特效!$A$4:$Y$17,AA$3,FALSE),IF($D28=2,VLOOKUP($B28&amp;"_"&amp;$C28,主要特效!$A$4:$Y$17,AA$3,FALSE),IF($D28=3,VLOOKUP($B28&amp;"_"&amp;$C28,辅助特效!$A$4:$Y$17,AA$3,FALSE),IF($D28=4,VLOOKUP($B28&amp;"_"&amp;$C28,命中特效!$A$4:$Y$17,AA$3,FALSE),IF($D28=5,VLOOKUP($B28&amp;"_"&amp;$C28,buff特效!$A$4:$Y$17,AA$3,FALSE),1111)))))</f>
        <v>0</v>
      </c>
      <c r="AB28" s="33">
        <f>IF($D28=1,VLOOKUP($B28&amp;"_"&amp;$C28,起手特效!$A$4:$Y$17,AB$3,FALSE),IF($D28=2,VLOOKUP($B28&amp;"_"&amp;$C28,主要特效!$A$4:$Y$17,AB$3,FALSE),IF($D28=3,VLOOKUP($B28&amp;"_"&amp;$C28,辅助特效!$A$4:$Y$17,AB$3,FALSE),IF($D28=4,VLOOKUP($B28&amp;"_"&amp;$C28,命中特效!$A$4:$Y$17,AB$3,FALSE),IF($D28=5,VLOOKUP($B28&amp;"_"&amp;$C28,buff特效!$A$4:$Y$17,AB$3,FALSE),1111)))))</f>
        <v>0</v>
      </c>
    </row>
    <row r="29" spans="2:28" x14ac:dyDescent="0.15">
      <c r="B29" s="32" t="str">
        <f t="shared" si="6"/>
        <v>tuotatianwang</v>
      </c>
      <c r="C29" s="32">
        <f t="shared" si="7"/>
        <v>4</v>
      </c>
      <c r="D29" s="32">
        <f t="shared" si="5"/>
        <v>1</v>
      </c>
      <c r="E29" s="33" t="str">
        <f>IF($D29=1,VLOOKUP($B29&amp;"_"&amp;$C29,起手特效!$A$4:$Y$17,E$3,FALSE),IF($D29=2,VLOOKUP($B29&amp;"_"&amp;$C29,主要特效!$A$4:$Y$17,E$3,FALSE),IF($D29=3,VLOOKUP($B29&amp;"_"&amp;$C29,辅助特效!$A$4:$Y$17,E$3,FALSE),IF($D29=4,VLOOKUP($B29&amp;"_"&amp;$C29,命中特效!$A$4:$Y$17,E$3,FALSE),IF($D29=5,VLOOKUP($B29&amp;"_"&amp;$C29,buff特效!$A$4:$Y$17,E$3,FALSE),1111)))))</f>
        <v>[]</v>
      </c>
      <c r="F29" s="33" t="str">
        <f>IF($D29=1,VLOOKUP($B29&amp;"_"&amp;$C29,起手特效!$A$4:$Y$17,F$3,FALSE),IF($D29=2,VLOOKUP($B29&amp;"_"&amp;$C29,主要特效!$A$4:$Y$17,F$3,FALSE),IF($D29=3,VLOOKUP($B29&amp;"_"&amp;$C29,辅助特效!$A$4:$Y$17,F$3,FALSE),IF($D29=4,VLOOKUP($B29&amp;"_"&amp;$C29,命中特效!$A$4:$Y$17,F$3,FALSE),IF($D29=5,VLOOKUP($B29&amp;"_"&amp;$C29,buff特效!$A$4:$Y$17,F$3,FALSE),1111)))))</f>
        <v>[]</v>
      </c>
      <c r="G29" s="33" t="str">
        <f>IF($D29=1,VLOOKUP($B29&amp;"_"&amp;$C29,起手特效!$A$4:$Y$17,G$3,FALSE),IF($D29=2,VLOOKUP($B29&amp;"_"&amp;$C29,主要特效!$A$4:$Y$17,G$3,FALSE),IF($D29=3,VLOOKUP($B29&amp;"_"&amp;$C29,辅助特效!$A$4:$Y$17,G$3,FALSE),IF($D29=4,VLOOKUP($B29&amp;"_"&amp;$C29,命中特效!$A$4:$Y$17,G$3,FALSE),IF($D29=5,VLOOKUP($B29&amp;"_"&amp;$C29,buff特效!$A$4:$Y$17,G$3,FALSE),1111)))))</f>
        <v>skill_4</v>
      </c>
      <c r="H29" s="33">
        <f>IF($D29=1,VLOOKUP($B29&amp;"_"&amp;$C29,起手特效!$A$4:$Y$17,H$3,FALSE),IF($D29=2,VLOOKUP($B29&amp;"_"&amp;$C29,主要特效!$A$4:$Y$17,H$3,FALSE),IF($D29=3,VLOOKUP($B29&amp;"_"&amp;$C29,辅助特效!$A$4:$Y$17,H$3,FALSE),IF($D29=4,VLOOKUP($B29&amp;"_"&amp;$C29,命中特效!$A$4:$Y$17,H$3,FALSE),IF($D29=5,VLOOKUP($B29&amp;"_"&amp;$C29,buff特效!$A$4:$Y$17,H$3,FALSE),1111)))))</f>
        <v>3.6669999999999998</v>
      </c>
      <c r="I29" s="33">
        <f>IF($D29=1,VLOOKUP($B29&amp;"_"&amp;$C29,起手特效!$A$4:$Y$17,I$3,FALSE),IF($D29=2,VLOOKUP($B29&amp;"_"&amp;$C29,主要特效!$A$4:$Y$17,I$3,FALSE),IF($D29=3,VLOOKUP($B29&amp;"_"&amp;$C29,辅助特效!$A$4:$Y$17,I$3,FALSE),IF($D29=4,VLOOKUP($B29&amp;"_"&amp;$C29,命中特效!$A$4:$Y$17,I$3,FALSE),IF($D29=5,VLOOKUP($B29&amp;"_"&amp;$C29,buff特效!$A$4:$Y$17,I$3,FALSE),1111)))))</f>
        <v>0</v>
      </c>
      <c r="J29" s="33">
        <f>IF($D29=1,VLOOKUP($B29&amp;"_"&amp;$C29,起手特效!$A$4:$Y$17,J$3,FALSE),IF($D29=2,VLOOKUP($B29&amp;"_"&amp;$C29,主要特效!$A$4:$Y$17,J$3,FALSE),IF($D29=3,VLOOKUP($B29&amp;"_"&amp;$C29,辅助特效!$A$4:$Y$17,J$3,FALSE),IF($D29=4,VLOOKUP($B29&amp;"_"&amp;$C29,命中特效!$A$4:$Y$17,J$3,FALSE),IF($D29=5,VLOOKUP($B29&amp;"_"&amp;$C29,buff特效!$A$4:$Y$17,J$3,FALSE),1111)))))</f>
        <v>0</v>
      </c>
      <c r="K29" s="33">
        <f>IF($D29=1,VLOOKUP($B29&amp;"_"&amp;$C29,起手特效!$A$4:$Y$17,K$3,FALSE),IF($D29=2,VLOOKUP($B29&amp;"_"&amp;$C29,主要特效!$A$4:$Y$17,K$3,FALSE),IF($D29=3,VLOOKUP($B29&amp;"_"&amp;$C29,辅助特效!$A$4:$Y$17,K$3,FALSE),IF($D29=4,VLOOKUP($B29&amp;"_"&amp;$C29,命中特效!$A$4:$Y$17,K$3,FALSE),IF($D29=5,VLOOKUP($B29&amp;"_"&amp;$C29,buff特效!$A$4:$Y$17,K$3,FALSE),1111)))))</f>
        <v>0</v>
      </c>
      <c r="L29" s="33">
        <f>IF($D29=1,VLOOKUP($B29&amp;"_"&amp;$C29,起手特效!$A$4:$Y$17,L$3,FALSE),IF($D29=2,VLOOKUP($B29&amp;"_"&amp;$C29,主要特效!$A$4:$Y$17,L$3,FALSE),IF($D29=3,VLOOKUP($B29&amp;"_"&amp;$C29,辅助特效!$A$4:$Y$17,L$3,FALSE),IF($D29=4,VLOOKUP($B29&amp;"_"&amp;$C29,命中特效!$A$4:$Y$17,L$3,FALSE),IF($D29=5,VLOOKUP($B29&amp;"_"&amp;$C29,buff特效!$A$4:$Y$17,L$3,FALSE),1111)))))</f>
        <v>0</v>
      </c>
      <c r="M29" s="33" t="str">
        <f>IF($D29=1,VLOOKUP($B29&amp;"_"&amp;$C29,起手特效!$A$4:$Y$17,M$3,FALSE),IF($D29=2,VLOOKUP($B29&amp;"_"&amp;$C29,主要特效!$A$4:$Y$17,M$3,FALSE),IF($D29=3,VLOOKUP($B29&amp;"_"&amp;$C29,辅助特效!$A$4:$Y$17,M$3,FALSE),IF($D29=4,VLOOKUP($B29&amp;"_"&amp;$C29,命中特效!$A$4:$Y$17,M$3,FALSE),IF($D29=5,VLOOKUP($B29&amp;"_"&amp;$C29,buff特效!$A$4:$Y$17,M$3,FALSE),1111)))))</f>
        <v>[]</v>
      </c>
      <c r="N29" s="33" t="str">
        <f>IF($D29=1,VLOOKUP($B29&amp;"_"&amp;$C29,起手特效!$A$4:$Y$17,N$3,FALSE),IF($D29=2,VLOOKUP($B29&amp;"_"&amp;$C29,主要特效!$A$4:$Y$17,N$3,FALSE),IF($D29=3,VLOOKUP($B29&amp;"_"&amp;$C29,辅助特效!$A$4:$Y$17,N$3,FALSE),IF($D29=4,VLOOKUP($B29&amp;"_"&amp;$C29,命中特效!$A$4:$Y$17,N$3,FALSE),IF($D29=5,VLOOKUP($B29&amp;"_"&amp;$C29,buff特效!$A$4:$Y$17,N$3,FALSE),1111)))))</f>
        <v>[]</v>
      </c>
      <c r="O29" s="33">
        <f>IF($D29=1,VLOOKUP($B29&amp;"_"&amp;$C29,起手特效!$A$4:$Y$17,O$3,FALSE),IF($D29=2,VLOOKUP($B29&amp;"_"&amp;$C29,主要特效!$A$4:$Y$17,O$3,FALSE),IF($D29=3,VLOOKUP($B29&amp;"_"&amp;$C29,辅助特效!$A$4:$Y$17,O$3,FALSE),IF($D29=4,VLOOKUP($B29&amp;"_"&amp;$C29,命中特效!$A$4:$Y$17,O$3,FALSE),IF($D29=5,VLOOKUP($B29&amp;"_"&amp;$C29,buff特效!$A$4:$Y$17,O$3,FALSE),1111)))))</f>
        <v>5</v>
      </c>
      <c r="P29" s="33" t="str">
        <f>IF($D29=1,VLOOKUP($B29&amp;"_"&amp;$C29,起手特效!$A$4:$Y$17,P$3,FALSE),IF($D29=2,VLOOKUP($B29&amp;"_"&amp;$C29,主要特效!$A$4:$Y$17,P$3,FALSE),IF($D29=3,VLOOKUP($B29&amp;"_"&amp;$C29,辅助特效!$A$4:$Y$17,P$3,FALSE),IF($D29=4,VLOOKUP($B29&amp;"_"&amp;$C29,命中特效!$A$4:$Y$17,P$3,FALSE),IF($D29=5,VLOOKUP($B29&amp;"_"&amp;$C29,buff特效!$A$4:$Y$17,P$3,FALSE),1111)))))</f>
        <v>手填</v>
      </c>
      <c r="Q29" s="33">
        <f>IF($D29=1,VLOOKUP($B29&amp;"_"&amp;$C29,起手特效!$A$4:$Y$17,Q$3,FALSE),IF($D29=2,VLOOKUP($B29&amp;"_"&amp;$C29,主要特效!$A$4:$Y$17,Q$3,FALSE),IF($D29=3,VLOOKUP($B29&amp;"_"&amp;$C29,辅助特效!$A$4:$Y$17,Q$3,FALSE),IF($D29=4,VLOOKUP($B29&amp;"_"&amp;$C29,命中特效!$A$4:$Y$17,Q$3,FALSE),IF($D29=5,VLOOKUP($B29&amp;"_"&amp;$C29,buff特效!$A$4:$Y$17,Q$3,FALSE),1111)))))</f>
        <v>2</v>
      </c>
      <c r="R29" s="33">
        <f>IF($D29=1,VLOOKUP($B29&amp;"_"&amp;$C29,起手特效!$A$4:$Y$17,R$3,FALSE),IF($D29=2,VLOOKUP($B29&amp;"_"&amp;$C29,主要特效!$A$4:$Y$17,R$3,FALSE),IF($D29=3,VLOOKUP($B29&amp;"_"&amp;$C29,辅助特效!$A$4:$Y$17,R$3,FALSE),IF($D29=4,VLOOKUP($B29&amp;"_"&amp;$C29,命中特效!$A$4:$Y$17,R$3,FALSE),IF($D29=5,VLOOKUP($B29&amp;"_"&amp;$C29,buff特效!$A$4:$Y$17,R$3,FALSE),1111)))))</f>
        <v>0</v>
      </c>
      <c r="S29" s="33" t="str">
        <f>IF($D29=1,VLOOKUP($B29&amp;"_"&amp;$C29,起手特效!$A$4:$Y$17,S$3,FALSE),IF($D29=2,VLOOKUP($B29&amp;"_"&amp;$C29,主要特效!$A$4:$Y$17,S$3,FALSE),IF($D29=3,VLOOKUP($B29&amp;"_"&amp;$C29,辅助特效!$A$4:$Y$17,S$3,FALSE),IF($D29=4,VLOOKUP($B29&amp;"_"&amp;$C29,命中特效!$A$4:$Y$17,S$3,FALSE),IF($D29=5,VLOOKUP($B29&amp;"_"&amp;$C29,buff特效!$A$4:$Y$17,S$3,FALSE),1111)))))</f>
        <v>[]</v>
      </c>
      <c r="T29" s="33" t="str">
        <f>IF($D29=1,VLOOKUP($B29&amp;"_"&amp;$C29,起手特效!$A$4:$Y$17,T$3,FALSE),IF($D29=2,VLOOKUP($B29&amp;"_"&amp;$C29,主要特效!$A$4:$Y$17,T$3,FALSE),IF($D29=3,VLOOKUP($B29&amp;"_"&amp;$C29,辅助特效!$A$4:$Y$17,T$3,FALSE),IF($D29=4,VLOOKUP($B29&amp;"_"&amp;$C29,命中特效!$A$4:$Y$17,T$3,FALSE),IF($D29=5,VLOOKUP($B29&amp;"_"&amp;$C29,buff特效!$A$4:$Y$17,T$3,FALSE),1111)))))</f>
        <v>[]</v>
      </c>
      <c r="U29" s="33" t="str">
        <f>IF($D29=1,VLOOKUP($B29&amp;"_"&amp;$C29,起手特效!$A$4:$Y$17,U$3,FALSE),IF($D29=2,VLOOKUP($B29&amp;"_"&amp;$C29,主要特效!$A$4:$Y$17,U$3,FALSE),IF($D29=3,VLOOKUP($B29&amp;"_"&amp;$C29,辅助特效!$A$4:$Y$17,U$3,FALSE),IF($D29=4,VLOOKUP($B29&amp;"_"&amp;$C29,命中特效!$A$4:$Y$17,U$3,FALSE),IF($D29=5,VLOOKUP($B29&amp;"_"&amp;$C29,buff特效!$A$4:$Y$17,U$3,FALSE),1111)))))</f>
        <v>[]</v>
      </c>
      <c r="V29" s="33">
        <f>IF($D29=1,VLOOKUP($B29&amp;"_"&amp;$C29,起手特效!$A$4:$Y$17,V$3,FALSE),IF($D29=2,VLOOKUP($B29&amp;"_"&amp;$C29,主要特效!$A$4:$Y$17,V$3,FALSE),IF($D29=3,VLOOKUP($B29&amp;"_"&amp;$C29,辅助特效!$A$4:$Y$17,V$3,FALSE),IF($D29=4,VLOOKUP($B29&amp;"_"&amp;$C29,命中特效!$A$4:$Y$17,V$3,FALSE),IF($D29=5,VLOOKUP($B29&amp;"_"&amp;$C29,buff特效!$A$4:$Y$17,V$3,FALSE),1111)))))</f>
        <v>0</v>
      </c>
      <c r="W29" s="33">
        <f>IF($D29=1,VLOOKUP($B29&amp;"_"&amp;$C29,起手特效!$A$4:$Y$17,W$3,FALSE),IF($D29=2,VLOOKUP($B29&amp;"_"&amp;$C29,主要特效!$A$4:$Y$17,W$3,FALSE),IF($D29=3,VLOOKUP($B29&amp;"_"&amp;$C29,辅助特效!$A$4:$Y$17,W$3,FALSE),IF($D29=4,VLOOKUP($B29&amp;"_"&amp;$C29,命中特效!$A$4:$Y$17,W$3,FALSE),IF($D29=5,VLOOKUP($B29&amp;"_"&amp;$C29,buff特效!$A$4:$Y$17,W$3,FALSE),1111)))))</f>
        <v>0</v>
      </c>
      <c r="X29" s="33">
        <f>IF($D29=1,VLOOKUP($B29&amp;"_"&amp;$C29,起手特效!$A$4:$Y$17,X$3,FALSE),IF($D29=2,VLOOKUP($B29&amp;"_"&amp;$C29,主要特效!$A$4:$Y$17,X$3,FALSE),IF($D29=3,VLOOKUP($B29&amp;"_"&amp;$C29,辅助特效!$A$4:$Y$17,X$3,FALSE),IF($D29=4,VLOOKUP($B29&amp;"_"&amp;$C29,命中特效!$A$4:$Y$17,X$3,FALSE),IF($D29=5,VLOOKUP($B29&amp;"_"&amp;$C29,buff特效!$A$4:$Y$17,X$3,FALSE),1111)))))</f>
        <v>0</v>
      </c>
      <c r="Y29" s="33">
        <f>IF($D29=1,VLOOKUP($B29&amp;"_"&amp;$C29,起手特效!$A$4:$Y$17,Y$3,FALSE),IF($D29=2,VLOOKUP($B29&amp;"_"&amp;$C29,主要特效!$A$4:$Y$17,Y$3,FALSE),IF($D29=3,VLOOKUP($B29&amp;"_"&amp;$C29,辅助特效!$A$4:$Y$17,Y$3,FALSE),IF($D29=4,VLOOKUP($B29&amp;"_"&amp;$C29,命中特效!$A$4:$Y$17,Y$3,FALSE),IF($D29=5,VLOOKUP($B29&amp;"_"&amp;$C29,buff特效!$A$4:$Y$17,Y$3,FALSE),1111)))))</f>
        <v>0</v>
      </c>
      <c r="Z29" s="33">
        <f>IF($D29=1,VLOOKUP($B29&amp;"_"&amp;$C29,起手特效!$A$4:$Y$17,Z$3,FALSE),IF($D29=2,VLOOKUP($B29&amp;"_"&amp;$C29,主要特效!$A$4:$Y$17,Z$3,FALSE),IF($D29=3,VLOOKUP($B29&amp;"_"&amp;$C29,辅助特效!$A$4:$Y$17,Z$3,FALSE),IF($D29=4,VLOOKUP($B29&amp;"_"&amp;$C29,命中特效!$A$4:$Y$17,Z$3,FALSE),IF($D29=5,VLOOKUP($B29&amp;"_"&amp;$C29,buff特效!$A$4:$Y$17,Z$3,FALSE),1111)))))</f>
        <v>0</v>
      </c>
      <c r="AA29" s="33">
        <f>IF($D29=1,VLOOKUP($B29&amp;"_"&amp;$C29,起手特效!$A$4:$Y$17,AA$3,FALSE),IF($D29=2,VLOOKUP($B29&amp;"_"&amp;$C29,主要特效!$A$4:$Y$17,AA$3,FALSE),IF($D29=3,VLOOKUP($B29&amp;"_"&amp;$C29,辅助特效!$A$4:$Y$17,AA$3,FALSE),IF($D29=4,VLOOKUP($B29&amp;"_"&amp;$C29,命中特效!$A$4:$Y$17,AA$3,FALSE),IF($D29=5,VLOOKUP($B29&amp;"_"&amp;$C29,buff特效!$A$4:$Y$17,AA$3,FALSE),1111)))))</f>
        <v>0</v>
      </c>
      <c r="AB29" s="33">
        <f>IF($D29=1,VLOOKUP($B29&amp;"_"&amp;$C29,起手特效!$A$4:$Y$17,AB$3,FALSE),IF($D29=2,VLOOKUP($B29&amp;"_"&amp;$C29,主要特效!$A$4:$Y$17,AB$3,FALSE),IF($D29=3,VLOOKUP($B29&amp;"_"&amp;$C29,辅助特效!$A$4:$Y$17,AB$3,FALSE),IF($D29=4,VLOOKUP($B29&amp;"_"&amp;$C29,命中特效!$A$4:$Y$17,AB$3,FALSE),IF($D29=5,VLOOKUP($B29&amp;"_"&amp;$C29,buff特效!$A$4:$Y$17,AB$3,FALSE),1111)))))</f>
        <v>0</v>
      </c>
    </row>
    <row r="30" spans="2:28" x14ac:dyDescent="0.15">
      <c r="B30" s="32" t="str">
        <f t="shared" si="6"/>
        <v>tuotatianwang</v>
      </c>
      <c r="C30" s="32">
        <f t="shared" si="7"/>
        <v>4</v>
      </c>
      <c r="D30" s="32">
        <f t="shared" si="5"/>
        <v>2</v>
      </c>
      <c r="E30" s="33" t="str">
        <f>IF($D30=1,VLOOKUP($B30&amp;"_"&amp;$C30,起手特效!$A$4:$Y$17,E$3,FALSE),IF($D30=2,VLOOKUP($B30&amp;"_"&amp;$C30,主要特效!$A$4:$Y$17,E$3,FALSE),IF($D30=3,VLOOKUP($B30&amp;"_"&amp;$C30,辅助特效!$A$4:$Y$17,E$3,FALSE),IF($D30=4,VLOOKUP($B30&amp;"_"&amp;$C30,命中特效!$A$4:$Y$17,E$3,FALSE),IF($D30=5,VLOOKUP($B30&amp;"_"&amp;$C30,buff特效!$A$4:$Y$17,E$3,FALSE),1111)))))</f>
        <v>tuotatianwang_skill04</v>
      </c>
      <c r="F30" s="33" t="str">
        <f>IF($D30=1,VLOOKUP($B30&amp;"_"&amp;$C30,起手特效!$A$4:$Y$17,F$3,FALSE),IF($D30=2,VLOOKUP($B30&amp;"_"&amp;$C30,主要特效!$A$4:$Y$17,F$3,FALSE),IF($D30=3,VLOOKUP($B30&amp;"_"&amp;$C30,辅助特效!$A$4:$Y$17,F$3,FALSE),IF($D30=4,VLOOKUP($B30&amp;"_"&amp;$C30,命中特效!$A$4:$Y$17,F$3,FALSE),IF($D30=5,VLOOKUP($B30&amp;"_"&amp;$C30,buff特效!$A$4:$Y$17,F$3,FALSE),1111)))))</f>
        <v>tuotatianwang-ai2</v>
      </c>
      <c r="G30" s="33" t="str">
        <f>IF($D30=1,VLOOKUP($B30&amp;"_"&amp;$C30,起手特效!$A$4:$Y$17,G$3,FALSE),IF($D30=2,VLOOKUP($B30&amp;"_"&amp;$C30,主要特效!$A$4:$Y$17,G$3,FALSE),IF($D30=3,VLOOKUP($B30&amp;"_"&amp;$C30,辅助特效!$A$4:$Y$17,G$3,FALSE),IF($D30=4,VLOOKUP($B30&amp;"_"&amp;$C30,命中特效!$A$4:$Y$17,G$3,FALSE),IF($D30=5,VLOOKUP($B30&amp;"_"&amp;$C30,buff特效!$A$4:$Y$17,G$3,FALSE),1111)))))</f>
        <v>skill_4</v>
      </c>
      <c r="H30" s="33">
        <f>IF($D30=1,VLOOKUP($B30&amp;"_"&amp;$C30,起手特效!$A$4:$Y$17,H$3,FALSE),IF($D30=2,VLOOKUP($B30&amp;"_"&amp;$C30,主要特效!$A$4:$Y$17,H$3,FALSE),IF($D30=3,VLOOKUP($B30&amp;"_"&amp;$C30,辅助特效!$A$4:$Y$17,H$3,FALSE),IF($D30=4,VLOOKUP($B30&amp;"_"&amp;$C30,命中特效!$A$4:$Y$17,H$3,FALSE),IF($D30=5,VLOOKUP($B30&amp;"_"&amp;$C30,buff特效!$A$4:$Y$17,H$3,FALSE),1111)))))</f>
        <v>3.6669999999999998</v>
      </c>
      <c r="I30" s="33">
        <f>IF($D30=1,VLOOKUP($B30&amp;"_"&amp;$C30,起手特效!$A$4:$Y$17,I$3,FALSE),IF($D30=2,VLOOKUP($B30&amp;"_"&amp;$C30,主要特效!$A$4:$Y$17,I$3,FALSE),IF($D30=3,VLOOKUP($B30&amp;"_"&amp;$C30,辅助特效!$A$4:$Y$17,I$3,FALSE),IF($D30=4,VLOOKUP($B30&amp;"_"&amp;$C30,命中特效!$A$4:$Y$17,I$3,FALSE),IF($D30=5,VLOOKUP($B30&amp;"_"&amp;$C30,buff特效!$A$4:$Y$17,I$3,FALSE),1111)))))</f>
        <v>0</v>
      </c>
      <c r="J30" s="33">
        <f>IF($D30=1,VLOOKUP($B30&amp;"_"&amp;$C30,起手特效!$A$4:$Y$17,J$3,FALSE),IF($D30=2,VLOOKUP($B30&amp;"_"&amp;$C30,主要特效!$A$4:$Y$17,J$3,FALSE),IF($D30=3,VLOOKUP($B30&amp;"_"&amp;$C30,辅助特效!$A$4:$Y$17,J$3,FALSE),IF($D30=4,VLOOKUP($B30&amp;"_"&amp;$C30,命中特效!$A$4:$Y$17,J$3,FALSE),IF($D30=5,VLOOKUP($B30&amp;"_"&amp;$C30,buff特效!$A$4:$Y$17,J$3,FALSE),1111)))))</f>
        <v>1</v>
      </c>
      <c r="K30" s="33">
        <f>IF($D30=1,VLOOKUP($B30&amp;"_"&amp;$C30,起手特效!$A$4:$Y$17,K$3,FALSE),IF($D30=2,VLOOKUP($B30&amp;"_"&amp;$C30,主要特效!$A$4:$Y$17,K$3,FALSE),IF($D30=3,VLOOKUP($B30&amp;"_"&amp;$C30,辅助特效!$A$4:$Y$17,K$3,FALSE),IF($D30=4,VLOOKUP($B30&amp;"_"&amp;$C30,命中特效!$A$4:$Y$17,K$3,FALSE),IF($D30=5,VLOOKUP($B30&amp;"_"&amp;$C30,buff特效!$A$4:$Y$17,K$3,FALSE),1111)))))</f>
        <v>0</v>
      </c>
      <c r="L30" s="33">
        <f>IF($D30=1,VLOOKUP($B30&amp;"_"&amp;$C30,起手特效!$A$4:$Y$17,L$3,FALSE),IF($D30=2,VLOOKUP($B30&amp;"_"&amp;$C30,主要特效!$A$4:$Y$17,L$3,FALSE),IF($D30=3,VLOOKUP($B30&amp;"_"&amp;$C30,辅助特效!$A$4:$Y$17,L$3,FALSE),IF($D30=4,VLOOKUP($B30&amp;"_"&amp;$C30,命中特效!$A$4:$Y$17,L$3,FALSE),IF($D30=5,VLOOKUP($B30&amp;"_"&amp;$C30,buff特效!$A$4:$Y$17,L$3,FALSE),1111)))))</f>
        <v>1</v>
      </c>
      <c r="M30" s="33" t="str">
        <f>IF($D30=1,VLOOKUP($B30&amp;"_"&amp;$C30,起手特效!$A$4:$Y$17,M$3,FALSE),IF($D30=2,VLOOKUP($B30&amp;"_"&amp;$C30,主要特效!$A$4:$Y$17,M$3,FALSE),IF($D30=3,VLOOKUP($B30&amp;"_"&amp;$C30,辅助特效!$A$4:$Y$17,M$3,FALSE),IF($D30=4,VLOOKUP($B30&amp;"_"&amp;$C30,命中特效!$A$4:$Y$17,M$3,FALSE),IF($D30=5,VLOOKUP($B30&amp;"_"&amp;$C30,buff特效!$A$4:$Y$17,M$3,FALSE),1111)))))</f>
        <v>[]</v>
      </c>
      <c r="N30" s="33" t="str">
        <f>IF($D30=1,VLOOKUP($B30&amp;"_"&amp;$C30,起手特效!$A$4:$Y$17,N$3,FALSE),IF($D30=2,VLOOKUP($B30&amp;"_"&amp;$C30,主要特效!$A$4:$Y$17,N$3,FALSE),IF($D30=3,VLOOKUP($B30&amp;"_"&amp;$C30,辅助特效!$A$4:$Y$17,N$3,FALSE),IF($D30=4,VLOOKUP($B30&amp;"_"&amp;$C30,命中特效!$A$4:$Y$17,N$3,FALSE),IF($D30=5,VLOOKUP($B30&amp;"_"&amp;$C30,buff特效!$A$4:$Y$17,N$3,FALSE),1111)))))</f>
        <v>tuotatianwang_effect4</v>
      </c>
      <c r="O30" s="33">
        <f>IF($D30=1,VLOOKUP($B30&amp;"_"&amp;$C30,起手特效!$A$4:$Y$17,O$3,FALSE),IF($D30=2,VLOOKUP($B30&amp;"_"&amp;$C30,主要特效!$A$4:$Y$17,O$3,FALSE),IF($D30=3,VLOOKUP($B30&amp;"_"&amp;$C30,辅助特效!$A$4:$Y$17,O$3,FALSE),IF($D30=4,VLOOKUP($B30&amp;"_"&amp;$C30,命中特效!$A$4:$Y$17,O$3,FALSE),IF($D30=5,VLOOKUP($B30&amp;"_"&amp;$C30,buff特效!$A$4:$Y$17,O$3,FALSE),1111)))))</f>
        <v>5</v>
      </c>
      <c r="P30" s="33" t="str">
        <f>IF($D30=1,VLOOKUP($B30&amp;"_"&amp;$C30,起手特效!$A$4:$Y$17,P$3,FALSE),IF($D30=2,VLOOKUP($B30&amp;"_"&amp;$C30,主要特效!$A$4:$Y$17,P$3,FALSE),IF($D30=3,VLOOKUP($B30&amp;"_"&amp;$C30,辅助特效!$A$4:$Y$17,P$3,FALSE),IF($D30=4,VLOOKUP($B30&amp;"_"&amp;$C30,命中特效!$A$4:$Y$17,P$3,FALSE),IF($D30=5,VLOOKUP($B30&amp;"_"&amp;$C30,buff特效!$A$4:$Y$17,P$3,FALSE),1111)))))</f>
        <v>手填</v>
      </c>
      <c r="Q30" s="33">
        <f>IF($D30=1,VLOOKUP($B30&amp;"_"&amp;$C30,起手特效!$A$4:$Y$17,Q$3,FALSE),IF($D30=2,VLOOKUP($B30&amp;"_"&amp;$C30,主要特效!$A$4:$Y$17,Q$3,FALSE),IF($D30=3,VLOOKUP($B30&amp;"_"&amp;$C30,辅助特效!$A$4:$Y$17,Q$3,FALSE),IF($D30=4,VLOOKUP($B30&amp;"_"&amp;$C30,命中特效!$A$4:$Y$17,Q$3,FALSE),IF($D30=5,VLOOKUP($B30&amp;"_"&amp;$C30,buff特效!$A$4:$Y$17,Q$3,FALSE),1111)))))</f>
        <v>1</v>
      </c>
      <c r="R30" s="33">
        <f>IF($D30=1,VLOOKUP($B30&amp;"_"&amp;$C30,起手特效!$A$4:$Y$17,R$3,FALSE),IF($D30=2,VLOOKUP($B30&amp;"_"&amp;$C30,主要特效!$A$4:$Y$17,R$3,FALSE),IF($D30=3,VLOOKUP($B30&amp;"_"&amp;$C30,辅助特效!$A$4:$Y$17,R$3,FALSE),IF($D30=4,VLOOKUP($B30&amp;"_"&amp;$C30,命中特效!$A$4:$Y$17,R$3,FALSE),IF($D30=5,VLOOKUP($B30&amp;"_"&amp;$C30,buff特效!$A$4:$Y$17,R$3,FALSE),1111)))))</f>
        <v>0</v>
      </c>
      <c r="S30" s="33" t="str">
        <f>IF($D30=1,VLOOKUP($B30&amp;"_"&amp;$C30,起手特效!$A$4:$Y$17,S$3,FALSE),IF($D30=2,VLOOKUP($B30&amp;"_"&amp;$C30,主要特效!$A$4:$Y$17,S$3,FALSE),IF($D30=3,VLOOKUP($B30&amp;"_"&amp;$C30,辅助特效!$A$4:$Y$17,S$3,FALSE),IF($D30=4,VLOOKUP($B30&amp;"_"&amp;$C30,命中特效!$A$4:$Y$17,S$3,FALSE),IF($D30=5,VLOOKUP($B30&amp;"_"&amp;$C30,buff特效!$A$4:$Y$17,S$3,FALSE),1111)))))</f>
        <v>[]</v>
      </c>
      <c r="T30" s="33" t="str">
        <f>IF($D30=1,VLOOKUP($B30&amp;"_"&amp;$C30,起手特效!$A$4:$Y$17,T$3,FALSE),IF($D30=2,VLOOKUP($B30&amp;"_"&amp;$C30,主要特效!$A$4:$Y$17,T$3,FALSE),IF($D30=3,VLOOKUP($B30&amp;"_"&amp;$C30,辅助特效!$A$4:$Y$17,T$3,FALSE),IF($D30=4,VLOOKUP($B30&amp;"_"&amp;$C30,命中特效!$A$4:$Y$17,T$3,FALSE),IF($D30=5,VLOOKUP($B30&amp;"_"&amp;$C30,buff特效!$A$4:$Y$17,T$3,FALSE),1111)))))</f>
        <v>[]</v>
      </c>
      <c r="U30" s="33" t="str">
        <f>IF($D30=1,VLOOKUP($B30&amp;"_"&amp;$C30,起手特效!$A$4:$Y$17,U$3,FALSE),IF($D30=2,VLOOKUP($B30&amp;"_"&amp;$C30,主要特效!$A$4:$Y$17,U$3,FALSE),IF($D30=3,VLOOKUP($B30&amp;"_"&amp;$C30,辅助特效!$A$4:$Y$17,U$3,FALSE),IF($D30=4,VLOOKUP($B30&amp;"_"&amp;$C30,命中特效!$A$4:$Y$17,U$3,FALSE),IF($D30=5,VLOOKUP($B30&amp;"_"&amp;$C30,buff特效!$A$4:$Y$17,U$3,FALSE),1111)))))</f>
        <v>[]</v>
      </c>
      <c r="V30" s="33">
        <f>IF($D30=1,VLOOKUP($B30&amp;"_"&amp;$C30,起手特效!$A$4:$Y$17,V$3,FALSE),IF($D30=2,VLOOKUP($B30&amp;"_"&amp;$C30,主要特效!$A$4:$Y$17,V$3,FALSE),IF($D30=3,VLOOKUP($B30&amp;"_"&amp;$C30,辅助特效!$A$4:$Y$17,V$3,FALSE),IF($D30=4,VLOOKUP($B30&amp;"_"&amp;$C30,命中特效!$A$4:$Y$17,V$3,FALSE),IF($D30=5,VLOOKUP($B30&amp;"_"&amp;$C30,buff特效!$A$4:$Y$17,V$3,FALSE),1111)))))</f>
        <v>0</v>
      </c>
      <c r="W30" s="33">
        <f>IF($D30=1,VLOOKUP($B30&amp;"_"&amp;$C30,起手特效!$A$4:$Y$17,W$3,FALSE),IF($D30=2,VLOOKUP($B30&amp;"_"&amp;$C30,主要特效!$A$4:$Y$17,W$3,FALSE),IF($D30=3,VLOOKUP($B30&amp;"_"&amp;$C30,辅助特效!$A$4:$Y$17,W$3,FALSE),IF($D30=4,VLOOKUP($B30&amp;"_"&amp;$C30,命中特效!$A$4:$Y$17,W$3,FALSE),IF($D30=5,VLOOKUP($B30&amp;"_"&amp;$C30,buff特效!$A$4:$Y$17,W$3,FALSE),1111)))))</f>
        <v>0</v>
      </c>
      <c r="X30" s="33">
        <f>IF($D30=1,VLOOKUP($B30&amp;"_"&amp;$C30,起手特效!$A$4:$Y$17,X$3,FALSE),IF($D30=2,VLOOKUP($B30&amp;"_"&amp;$C30,主要特效!$A$4:$Y$17,X$3,FALSE),IF($D30=3,VLOOKUP($B30&amp;"_"&amp;$C30,辅助特效!$A$4:$Y$17,X$3,FALSE),IF($D30=4,VLOOKUP($B30&amp;"_"&amp;$C30,命中特效!$A$4:$Y$17,X$3,FALSE),IF($D30=5,VLOOKUP($B30&amp;"_"&amp;$C30,buff特效!$A$4:$Y$17,X$3,FALSE),1111)))))</f>
        <v>0</v>
      </c>
      <c r="Y30" s="33">
        <f>IF($D30=1,VLOOKUP($B30&amp;"_"&amp;$C30,起手特效!$A$4:$Y$17,Y$3,FALSE),IF($D30=2,VLOOKUP($B30&amp;"_"&amp;$C30,主要特效!$A$4:$Y$17,Y$3,FALSE),IF($D30=3,VLOOKUP($B30&amp;"_"&amp;$C30,辅助特效!$A$4:$Y$17,Y$3,FALSE),IF($D30=4,VLOOKUP($B30&amp;"_"&amp;$C30,命中特效!$A$4:$Y$17,Y$3,FALSE),IF($D30=5,VLOOKUP($B30&amp;"_"&amp;$C30,buff特效!$A$4:$Y$17,Y$3,FALSE),1111)))))</f>
        <v>0</v>
      </c>
      <c r="Z30" s="33">
        <f>IF($D30=1,VLOOKUP($B30&amp;"_"&amp;$C30,起手特效!$A$4:$Y$17,Z$3,FALSE),IF($D30=2,VLOOKUP($B30&amp;"_"&amp;$C30,主要特效!$A$4:$Y$17,Z$3,FALSE),IF($D30=3,VLOOKUP($B30&amp;"_"&amp;$C30,辅助特效!$A$4:$Y$17,Z$3,FALSE),IF($D30=4,VLOOKUP($B30&amp;"_"&amp;$C30,命中特效!$A$4:$Y$17,Z$3,FALSE),IF($D30=5,VLOOKUP($B30&amp;"_"&amp;$C30,buff特效!$A$4:$Y$17,Z$3,FALSE),1111)))))</f>
        <v>0</v>
      </c>
      <c r="AA30" s="33">
        <f>IF($D30=1,VLOOKUP($B30&amp;"_"&amp;$C30,起手特效!$A$4:$Y$17,AA$3,FALSE),IF($D30=2,VLOOKUP($B30&amp;"_"&amp;$C30,主要特效!$A$4:$Y$17,AA$3,FALSE),IF($D30=3,VLOOKUP($B30&amp;"_"&amp;$C30,辅助特效!$A$4:$Y$17,AA$3,FALSE),IF($D30=4,VLOOKUP($B30&amp;"_"&amp;$C30,命中特效!$A$4:$Y$17,AA$3,FALSE),IF($D30=5,VLOOKUP($B30&amp;"_"&amp;$C30,buff特效!$A$4:$Y$17,AA$3,FALSE),1111)))))</f>
        <v>0</v>
      </c>
      <c r="AB30" s="33">
        <f>IF($D30=1,VLOOKUP($B30&amp;"_"&amp;$C30,起手特效!$A$4:$Y$17,AB$3,FALSE),IF($D30=2,VLOOKUP($B30&amp;"_"&amp;$C30,主要特效!$A$4:$Y$17,AB$3,FALSE),IF($D30=3,VLOOKUP($B30&amp;"_"&amp;$C30,辅助特效!$A$4:$Y$17,AB$3,FALSE),IF($D30=4,VLOOKUP($B30&amp;"_"&amp;$C30,命中特效!$A$4:$Y$17,AB$3,FALSE),IF($D30=5,VLOOKUP($B30&amp;"_"&amp;$C30,buff特效!$A$4:$Y$17,AB$3,FALSE),1111)))))</f>
        <v>0</v>
      </c>
    </row>
    <row r="31" spans="2:28" x14ac:dyDescent="0.15">
      <c r="B31" s="32" t="str">
        <f t="shared" si="6"/>
        <v>tuotatianwang</v>
      </c>
      <c r="C31" s="32">
        <f t="shared" si="7"/>
        <v>4</v>
      </c>
      <c r="D31" s="32">
        <f t="shared" si="5"/>
        <v>3</v>
      </c>
      <c r="E31" s="33" t="str">
        <f>IF($D31=1,VLOOKUP($B31&amp;"_"&amp;$C31,起手特效!$A$4:$Y$17,E$3,FALSE),IF($D31=2,VLOOKUP($B31&amp;"_"&amp;$C31,主要特效!$A$4:$Y$17,E$3,FALSE),IF($D31=3,VLOOKUP($B31&amp;"_"&amp;$C31,辅助特效!$A$4:$Y$17,E$3,FALSE),IF($D31=4,VLOOKUP($B31&amp;"_"&amp;$C31,命中特效!$A$4:$Y$17,E$3,FALSE),IF($D31=5,VLOOKUP($B31&amp;"_"&amp;$C31,buff特效!$A$4:$Y$17,E$3,FALSE),1111)))))</f>
        <v>[]</v>
      </c>
      <c r="F31" s="33" t="str">
        <f>IF($D31=1,VLOOKUP($B31&amp;"_"&amp;$C31,起手特效!$A$4:$Y$17,F$3,FALSE),IF($D31=2,VLOOKUP($B31&amp;"_"&amp;$C31,主要特效!$A$4:$Y$17,F$3,FALSE),IF($D31=3,VLOOKUP($B31&amp;"_"&amp;$C31,辅助特效!$A$4:$Y$17,F$3,FALSE),IF($D31=4,VLOOKUP($B31&amp;"_"&amp;$C31,命中特效!$A$4:$Y$17,F$3,FALSE),IF($D31=5,VLOOKUP($B31&amp;"_"&amp;$C31,buff特效!$A$4:$Y$17,F$3,FALSE),1111)))))</f>
        <v>[]</v>
      </c>
      <c r="G31" s="33" t="str">
        <f>IF($D31=1,VLOOKUP($B31&amp;"_"&amp;$C31,起手特效!$A$4:$Y$17,G$3,FALSE),IF($D31=2,VLOOKUP($B31&amp;"_"&amp;$C31,主要特效!$A$4:$Y$17,G$3,FALSE),IF($D31=3,VLOOKUP($B31&amp;"_"&amp;$C31,辅助特效!$A$4:$Y$17,G$3,FALSE),IF($D31=4,VLOOKUP($B31&amp;"_"&amp;$C31,命中特效!$A$4:$Y$17,G$3,FALSE),IF($D31=5,VLOOKUP($B31&amp;"_"&amp;$C31,buff特效!$A$4:$Y$17,G$3,FALSE),1111)))))</f>
        <v>skill_4</v>
      </c>
      <c r="H31" s="33">
        <f>IF($D31=1,VLOOKUP($B31&amp;"_"&amp;$C31,起手特效!$A$4:$Y$17,H$3,FALSE),IF($D31=2,VLOOKUP($B31&amp;"_"&amp;$C31,主要特效!$A$4:$Y$17,H$3,FALSE),IF($D31=3,VLOOKUP($B31&amp;"_"&amp;$C31,辅助特效!$A$4:$Y$17,H$3,FALSE),IF($D31=4,VLOOKUP($B31&amp;"_"&amp;$C31,命中特效!$A$4:$Y$17,H$3,FALSE),IF($D31=5,VLOOKUP($B31&amp;"_"&amp;$C31,buff特效!$A$4:$Y$17,H$3,FALSE),1111)))))</f>
        <v>3.6669999999999998</v>
      </c>
      <c r="I31" s="33">
        <f>IF($D31=1,VLOOKUP($B31&amp;"_"&amp;$C31,起手特效!$A$4:$Y$17,I$3,FALSE),IF($D31=2,VLOOKUP($B31&amp;"_"&amp;$C31,主要特效!$A$4:$Y$17,I$3,FALSE),IF($D31=3,VLOOKUP($B31&amp;"_"&amp;$C31,辅助特效!$A$4:$Y$17,I$3,FALSE),IF($D31=4,VLOOKUP($B31&amp;"_"&amp;$C31,命中特效!$A$4:$Y$17,I$3,FALSE),IF($D31=5,VLOOKUP($B31&amp;"_"&amp;$C31,buff特效!$A$4:$Y$17,I$3,FALSE),1111)))))</f>
        <v>0</v>
      </c>
      <c r="J31" s="33">
        <f>IF($D31=1,VLOOKUP($B31&amp;"_"&amp;$C31,起手特效!$A$4:$Y$17,J$3,FALSE),IF($D31=2,VLOOKUP($B31&amp;"_"&amp;$C31,主要特效!$A$4:$Y$17,J$3,FALSE),IF($D31=3,VLOOKUP($B31&amp;"_"&amp;$C31,辅助特效!$A$4:$Y$17,J$3,FALSE),IF($D31=4,VLOOKUP($B31&amp;"_"&amp;$C31,命中特效!$A$4:$Y$17,J$3,FALSE),IF($D31=5,VLOOKUP($B31&amp;"_"&amp;$C31,buff特效!$A$4:$Y$17,J$3,FALSE),1111)))))</f>
        <v>1</v>
      </c>
      <c r="K31" s="33">
        <f>IF($D31=1,VLOOKUP($B31&amp;"_"&amp;$C31,起手特效!$A$4:$Y$17,K$3,FALSE),IF($D31=2,VLOOKUP($B31&amp;"_"&amp;$C31,主要特效!$A$4:$Y$17,K$3,FALSE),IF($D31=3,VLOOKUP($B31&amp;"_"&amp;$C31,辅助特效!$A$4:$Y$17,K$3,FALSE),IF($D31=4,VLOOKUP($B31&amp;"_"&amp;$C31,命中特效!$A$4:$Y$17,K$3,FALSE),IF($D31=5,VLOOKUP($B31&amp;"_"&amp;$C31,buff特效!$A$4:$Y$17,K$3,FALSE),1111)))))</f>
        <v>0</v>
      </c>
      <c r="L31" s="33">
        <f>IF($D31=1,VLOOKUP($B31&amp;"_"&amp;$C31,起手特效!$A$4:$Y$17,L$3,FALSE),IF($D31=2,VLOOKUP($B31&amp;"_"&amp;$C31,主要特效!$A$4:$Y$17,L$3,FALSE),IF($D31=3,VLOOKUP($B31&amp;"_"&amp;$C31,辅助特效!$A$4:$Y$17,L$3,FALSE),IF($D31=4,VLOOKUP($B31&amp;"_"&amp;$C31,命中特效!$A$4:$Y$17,L$3,FALSE),IF($D31=5,VLOOKUP($B31&amp;"_"&amp;$C31,buff特效!$A$4:$Y$17,L$3,FALSE),1111)))))</f>
        <v>1</v>
      </c>
      <c r="M31" s="33" t="str">
        <f>IF($D31=1,VLOOKUP($B31&amp;"_"&amp;$C31,起手特效!$A$4:$Y$17,M$3,FALSE),IF($D31=2,VLOOKUP($B31&amp;"_"&amp;$C31,主要特效!$A$4:$Y$17,M$3,FALSE),IF($D31=3,VLOOKUP($B31&amp;"_"&amp;$C31,辅助特效!$A$4:$Y$17,M$3,FALSE),IF($D31=4,VLOOKUP($B31&amp;"_"&amp;$C31,命中特效!$A$4:$Y$17,M$3,FALSE),IF($D31=5,VLOOKUP($B31&amp;"_"&amp;$C31,buff特效!$A$4:$Y$17,M$3,FALSE),1111)))))</f>
        <v>[]</v>
      </c>
      <c r="N31" s="33" t="str">
        <f>IF($D31=1,VLOOKUP($B31&amp;"_"&amp;$C31,起手特效!$A$4:$Y$17,N$3,FALSE),IF($D31=2,VLOOKUP($B31&amp;"_"&amp;$C31,主要特效!$A$4:$Y$17,N$3,FALSE),IF($D31=3,VLOOKUP($B31&amp;"_"&amp;$C31,辅助特效!$A$4:$Y$17,N$3,FALSE),IF($D31=4,VLOOKUP($B31&amp;"_"&amp;$C31,命中特效!$A$4:$Y$17,N$3,FALSE),IF($D31=5,VLOOKUP($B31&amp;"_"&amp;$C31,buff特效!$A$4:$Y$17,N$3,FALSE),1111)))))</f>
        <v>[]</v>
      </c>
      <c r="O31" s="33">
        <f>IF($D31=1,VLOOKUP($B31&amp;"_"&amp;$C31,起手特效!$A$4:$Y$17,O$3,FALSE),IF($D31=2,VLOOKUP($B31&amp;"_"&amp;$C31,主要特效!$A$4:$Y$17,O$3,FALSE),IF($D31=3,VLOOKUP($B31&amp;"_"&amp;$C31,辅助特效!$A$4:$Y$17,O$3,FALSE),IF($D31=4,VLOOKUP($B31&amp;"_"&amp;$C31,命中特效!$A$4:$Y$17,O$3,FALSE),IF($D31=5,VLOOKUP($B31&amp;"_"&amp;$C31,buff特效!$A$4:$Y$17,O$3,FALSE),1111)))))</f>
        <v>5</v>
      </c>
      <c r="P31" s="33" t="str">
        <f>IF($D31=1,VLOOKUP($B31&amp;"_"&amp;$C31,起手特效!$A$4:$Y$17,P$3,FALSE),IF($D31=2,VLOOKUP($B31&amp;"_"&amp;$C31,主要特效!$A$4:$Y$17,P$3,FALSE),IF($D31=3,VLOOKUP($B31&amp;"_"&amp;$C31,辅助特效!$A$4:$Y$17,P$3,FALSE),IF($D31=4,VLOOKUP($B31&amp;"_"&amp;$C31,命中特效!$A$4:$Y$17,P$3,FALSE),IF($D31=5,VLOOKUP($B31&amp;"_"&amp;$C31,buff特效!$A$4:$Y$17,P$3,FALSE),1111)))))</f>
        <v>手填</v>
      </c>
      <c r="Q31" s="33">
        <f>IF($D31=1,VLOOKUP($B31&amp;"_"&amp;$C31,起手特效!$A$4:$Y$17,Q$3,FALSE),IF($D31=2,VLOOKUP($B31&amp;"_"&amp;$C31,主要特效!$A$4:$Y$17,Q$3,FALSE),IF($D31=3,VLOOKUP($B31&amp;"_"&amp;$C31,辅助特效!$A$4:$Y$17,Q$3,FALSE),IF($D31=4,VLOOKUP($B31&amp;"_"&amp;$C31,命中特效!$A$4:$Y$17,Q$3,FALSE),IF($D31=5,VLOOKUP($B31&amp;"_"&amp;$C31,buff特效!$A$4:$Y$17,Q$3,FALSE),1111)))))</f>
        <v>1</v>
      </c>
      <c r="R31" s="33" t="str">
        <f>IF($D31=1,VLOOKUP($B31&amp;"_"&amp;$C31,起手特效!$A$4:$Y$17,R$3,FALSE),IF($D31=2,VLOOKUP($B31&amp;"_"&amp;$C31,主要特效!$A$4:$Y$17,R$3,FALSE),IF($D31=3,VLOOKUP($B31&amp;"_"&amp;$C31,辅助特效!$A$4:$Y$17,R$3,FALSE),IF($D31=4,VLOOKUP($B31&amp;"_"&amp;$C31,命中特效!$A$4:$Y$17,R$3,FALSE),IF($D31=5,VLOOKUP($B31&amp;"_"&amp;$C31,buff特效!$A$4:$Y$17,R$3,FALSE),1111)))))</f>
        <v>手填</v>
      </c>
      <c r="S31" s="33" t="str">
        <f>IF($D31=1,VLOOKUP($B31&amp;"_"&amp;$C31,起手特效!$A$4:$Y$17,S$3,FALSE),IF($D31=2,VLOOKUP($B31&amp;"_"&amp;$C31,主要特效!$A$4:$Y$17,S$3,FALSE),IF($D31=3,VLOOKUP($B31&amp;"_"&amp;$C31,辅助特效!$A$4:$Y$17,S$3,FALSE),IF($D31=4,VLOOKUP($B31&amp;"_"&amp;$C31,命中特效!$A$4:$Y$17,S$3,FALSE),IF($D31=5,VLOOKUP($B31&amp;"_"&amp;$C31,buff特效!$A$4:$Y$17,S$3,FALSE),1111)))))</f>
        <v>手填</v>
      </c>
      <c r="T31" s="33" t="str">
        <f>IF($D31=1,VLOOKUP($B31&amp;"_"&amp;$C31,起手特效!$A$4:$Y$17,T$3,FALSE),IF($D31=2,VLOOKUP($B31&amp;"_"&amp;$C31,主要特效!$A$4:$Y$17,T$3,FALSE),IF($D31=3,VLOOKUP($B31&amp;"_"&amp;$C31,辅助特效!$A$4:$Y$17,T$3,FALSE),IF($D31=4,VLOOKUP($B31&amp;"_"&amp;$C31,命中特效!$A$4:$Y$17,T$3,FALSE),IF($D31=5,VLOOKUP($B31&amp;"_"&amp;$C31,buff特效!$A$4:$Y$17,T$3,FALSE),1111)))))</f>
        <v>[]</v>
      </c>
      <c r="U31" s="33" t="str">
        <f>IF($D31=1,VLOOKUP($B31&amp;"_"&amp;$C31,起手特效!$A$4:$Y$17,U$3,FALSE),IF($D31=2,VLOOKUP($B31&amp;"_"&amp;$C31,主要特效!$A$4:$Y$17,U$3,FALSE),IF($D31=3,VLOOKUP($B31&amp;"_"&amp;$C31,辅助特效!$A$4:$Y$17,U$3,FALSE),IF($D31=4,VLOOKUP($B31&amp;"_"&amp;$C31,命中特效!$A$4:$Y$17,U$3,FALSE),IF($D31=5,VLOOKUP($B31&amp;"_"&amp;$C31,buff特效!$A$4:$Y$17,U$3,FALSE),1111)))))</f>
        <v>[]</v>
      </c>
      <c r="V31" s="33">
        <f>IF($D31=1,VLOOKUP($B31&amp;"_"&amp;$C31,起手特效!$A$4:$Y$17,V$3,FALSE),IF($D31=2,VLOOKUP($B31&amp;"_"&amp;$C31,主要特效!$A$4:$Y$17,V$3,FALSE),IF($D31=3,VLOOKUP($B31&amp;"_"&amp;$C31,辅助特效!$A$4:$Y$17,V$3,FALSE),IF($D31=4,VLOOKUP($B31&amp;"_"&amp;$C31,命中特效!$A$4:$Y$17,V$3,FALSE),IF($D31=5,VLOOKUP($B31&amp;"_"&amp;$C31,buff特效!$A$4:$Y$17,V$3,FALSE),1111)))))</f>
        <v>0</v>
      </c>
      <c r="W31" s="33">
        <f>IF($D31=1,VLOOKUP($B31&amp;"_"&amp;$C31,起手特效!$A$4:$Y$17,W$3,FALSE),IF($D31=2,VLOOKUP($B31&amp;"_"&amp;$C31,主要特效!$A$4:$Y$17,W$3,FALSE),IF($D31=3,VLOOKUP($B31&amp;"_"&amp;$C31,辅助特效!$A$4:$Y$17,W$3,FALSE),IF($D31=4,VLOOKUP($B31&amp;"_"&amp;$C31,命中特效!$A$4:$Y$17,W$3,FALSE),IF($D31=5,VLOOKUP($B31&amp;"_"&amp;$C31,buff特效!$A$4:$Y$17,W$3,FALSE),1111)))))</f>
        <v>0</v>
      </c>
      <c r="X31" s="33">
        <f>IF($D31=1,VLOOKUP($B31&amp;"_"&amp;$C31,起手特效!$A$4:$Y$17,X$3,FALSE),IF($D31=2,VLOOKUP($B31&amp;"_"&amp;$C31,主要特效!$A$4:$Y$17,X$3,FALSE),IF($D31=3,VLOOKUP($B31&amp;"_"&amp;$C31,辅助特效!$A$4:$Y$17,X$3,FALSE),IF($D31=4,VLOOKUP($B31&amp;"_"&amp;$C31,命中特效!$A$4:$Y$17,X$3,FALSE),IF($D31=5,VLOOKUP($B31&amp;"_"&amp;$C31,buff特效!$A$4:$Y$17,X$3,FALSE),1111)))))</f>
        <v>0</v>
      </c>
      <c r="Y31" s="33">
        <f>IF($D31=1,VLOOKUP($B31&amp;"_"&amp;$C31,起手特效!$A$4:$Y$17,Y$3,FALSE),IF($D31=2,VLOOKUP($B31&amp;"_"&amp;$C31,主要特效!$A$4:$Y$17,Y$3,FALSE),IF($D31=3,VLOOKUP($B31&amp;"_"&amp;$C31,辅助特效!$A$4:$Y$17,Y$3,FALSE),IF($D31=4,VLOOKUP($B31&amp;"_"&amp;$C31,命中特效!$A$4:$Y$17,Y$3,FALSE),IF($D31=5,VLOOKUP($B31&amp;"_"&amp;$C31,buff特效!$A$4:$Y$17,Y$3,FALSE),1111)))))</f>
        <v>0</v>
      </c>
      <c r="Z31" s="33">
        <f>IF($D31=1,VLOOKUP($B31&amp;"_"&amp;$C31,起手特效!$A$4:$Y$17,Z$3,FALSE),IF($D31=2,VLOOKUP($B31&amp;"_"&amp;$C31,主要特效!$A$4:$Y$17,Z$3,FALSE),IF($D31=3,VLOOKUP($B31&amp;"_"&amp;$C31,辅助特效!$A$4:$Y$17,Z$3,FALSE),IF($D31=4,VLOOKUP($B31&amp;"_"&amp;$C31,命中特效!$A$4:$Y$17,Z$3,FALSE),IF($D31=5,VLOOKUP($B31&amp;"_"&amp;$C31,buff特效!$A$4:$Y$17,Z$3,FALSE),1111)))))</f>
        <v>0</v>
      </c>
      <c r="AA31" s="33">
        <f>IF($D31=1,VLOOKUP($B31&amp;"_"&amp;$C31,起手特效!$A$4:$Y$17,AA$3,FALSE),IF($D31=2,VLOOKUP($B31&amp;"_"&amp;$C31,主要特效!$A$4:$Y$17,AA$3,FALSE),IF($D31=3,VLOOKUP($B31&amp;"_"&amp;$C31,辅助特效!$A$4:$Y$17,AA$3,FALSE),IF($D31=4,VLOOKUP($B31&amp;"_"&amp;$C31,命中特效!$A$4:$Y$17,AA$3,FALSE),IF($D31=5,VLOOKUP($B31&amp;"_"&amp;$C31,buff特效!$A$4:$Y$17,AA$3,FALSE),1111)))))</f>
        <v>0</v>
      </c>
      <c r="AB31" s="33">
        <f>IF($D31=1,VLOOKUP($B31&amp;"_"&amp;$C31,起手特效!$A$4:$Y$17,AB$3,FALSE),IF($D31=2,VLOOKUP($B31&amp;"_"&amp;$C31,主要特效!$A$4:$Y$17,AB$3,FALSE),IF($D31=3,VLOOKUP($B31&amp;"_"&amp;$C31,辅助特效!$A$4:$Y$17,AB$3,FALSE),IF($D31=4,VLOOKUP($B31&amp;"_"&amp;$C31,命中特效!$A$4:$Y$17,AB$3,FALSE),IF($D31=5,VLOOKUP($B31&amp;"_"&amp;$C31,buff特效!$A$4:$Y$17,AB$3,FALSE),1111)))))</f>
        <v>0</v>
      </c>
    </row>
    <row r="32" spans="2:28" x14ac:dyDescent="0.15">
      <c r="B32" s="32" t="str">
        <f t="shared" si="6"/>
        <v>tuotatianwang</v>
      </c>
      <c r="C32" s="32">
        <f t="shared" si="7"/>
        <v>4</v>
      </c>
      <c r="D32" s="32">
        <f t="shared" si="5"/>
        <v>4</v>
      </c>
      <c r="E32" s="33" t="str">
        <f>IF($D32=1,VLOOKUP($B32&amp;"_"&amp;$C32,起手特效!$A$4:$Y$17,E$3,FALSE),IF($D32=2,VLOOKUP($B32&amp;"_"&amp;$C32,主要特效!$A$4:$Y$17,E$3,FALSE),IF($D32=3,VLOOKUP($B32&amp;"_"&amp;$C32,辅助特效!$A$4:$Y$17,E$3,FALSE),IF($D32=4,VLOOKUP($B32&amp;"_"&amp;$C32,命中特效!$A$4:$Y$17,E$3,FALSE),IF($D32=5,VLOOKUP($B32&amp;"_"&amp;$C32,buff特效!$A$4:$Y$17,E$3,FALSE),1111)))))</f>
        <v>[]</v>
      </c>
      <c r="F32" s="33" t="str">
        <f>IF($D32=1,VLOOKUP($B32&amp;"_"&amp;$C32,起手特效!$A$4:$Y$17,F$3,FALSE),IF($D32=2,VLOOKUP($B32&amp;"_"&amp;$C32,主要特效!$A$4:$Y$17,F$3,FALSE),IF($D32=3,VLOOKUP($B32&amp;"_"&amp;$C32,辅助特效!$A$4:$Y$17,F$3,FALSE),IF($D32=4,VLOOKUP($B32&amp;"_"&amp;$C32,命中特效!$A$4:$Y$17,F$3,FALSE),IF($D32=5,VLOOKUP($B32&amp;"_"&amp;$C32,buff特效!$A$4:$Y$17,F$3,FALSE),1111)))))</f>
        <v>[]</v>
      </c>
      <c r="G32" s="33" t="str">
        <f>IF($D32=1,VLOOKUP($B32&amp;"_"&amp;$C32,起手特效!$A$4:$Y$17,G$3,FALSE),IF($D32=2,VLOOKUP($B32&amp;"_"&amp;$C32,主要特效!$A$4:$Y$17,G$3,FALSE),IF($D32=3,VLOOKUP($B32&amp;"_"&amp;$C32,辅助特效!$A$4:$Y$17,G$3,FALSE),IF($D32=4,VLOOKUP($B32&amp;"_"&amp;$C32,命中特效!$A$4:$Y$17,G$3,FALSE),IF($D32=5,VLOOKUP($B32&amp;"_"&amp;$C32,buff特效!$A$4:$Y$17,G$3,FALSE),1111)))))</f>
        <v>[]</v>
      </c>
      <c r="H32" s="33">
        <f>IF($D32=1,VLOOKUP($B32&amp;"_"&amp;$C32,起手特效!$A$4:$Y$17,H$3,FALSE),IF($D32=2,VLOOKUP($B32&amp;"_"&amp;$C32,主要特效!$A$4:$Y$17,H$3,FALSE),IF($D32=3,VLOOKUP($B32&amp;"_"&amp;$C32,辅助特效!$A$4:$Y$17,H$3,FALSE),IF($D32=4,VLOOKUP($B32&amp;"_"&amp;$C32,命中特效!$A$4:$Y$17,H$3,FALSE),IF($D32=5,VLOOKUP($B32&amp;"_"&amp;$C32,buff特效!$A$4:$Y$17,H$3,FALSE),1111)))))</f>
        <v>0</v>
      </c>
      <c r="I32" s="33">
        <f>IF($D32=1,VLOOKUP($B32&amp;"_"&amp;$C32,起手特效!$A$4:$Y$17,I$3,FALSE),IF($D32=2,VLOOKUP($B32&amp;"_"&amp;$C32,主要特效!$A$4:$Y$17,I$3,FALSE),IF($D32=3,VLOOKUP($B32&amp;"_"&amp;$C32,辅助特效!$A$4:$Y$17,I$3,FALSE),IF($D32=4,VLOOKUP($B32&amp;"_"&amp;$C32,命中特效!$A$4:$Y$17,I$3,FALSE),IF($D32=5,VLOOKUP($B32&amp;"_"&amp;$C32,buff特效!$A$4:$Y$17,I$3,FALSE),1111)))))</f>
        <v>0</v>
      </c>
      <c r="J32" s="33">
        <f>IF($D32=1,VLOOKUP($B32&amp;"_"&amp;$C32,起手特效!$A$4:$Y$17,J$3,FALSE),IF($D32=2,VLOOKUP($B32&amp;"_"&amp;$C32,主要特效!$A$4:$Y$17,J$3,FALSE),IF($D32=3,VLOOKUP($B32&amp;"_"&amp;$C32,辅助特效!$A$4:$Y$17,J$3,FALSE),IF($D32=4,VLOOKUP($B32&amp;"_"&amp;$C32,命中特效!$A$4:$Y$17,J$3,FALSE),IF($D32=5,VLOOKUP($B32&amp;"_"&amp;$C32,buff特效!$A$4:$Y$17,J$3,FALSE),1111)))))</f>
        <v>11</v>
      </c>
      <c r="K32" s="33">
        <f>IF($D32=1,VLOOKUP($B32&amp;"_"&amp;$C32,起手特效!$A$4:$Y$17,K$3,FALSE),IF($D32=2,VLOOKUP($B32&amp;"_"&amp;$C32,主要特效!$A$4:$Y$17,K$3,FALSE),IF($D32=3,VLOOKUP($B32&amp;"_"&amp;$C32,辅助特效!$A$4:$Y$17,K$3,FALSE),IF($D32=4,VLOOKUP($B32&amp;"_"&amp;$C32,命中特效!$A$4:$Y$17,K$3,FALSE),IF($D32=5,VLOOKUP($B32&amp;"_"&amp;$C32,buff特效!$A$4:$Y$17,K$3,FALSE),1111)))))</f>
        <v>0</v>
      </c>
      <c r="L32" s="33">
        <f>IF($D32=1,VLOOKUP($B32&amp;"_"&amp;$C32,起手特效!$A$4:$Y$17,L$3,FALSE),IF($D32=2,VLOOKUP($B32&amp;"_"&amp;$C32,主要特效!$A$4:$Y$17,L$3,FALSE),IF($D32=3,VLOOKUP($B32&amp;"_"&amp;$C32,辅助特效!$A$4:$Y$17,L$3,FALSE),IF($D32=4,VLOOKUP($B32&amp;"_"&amp;$C32,命中特效!$A$4:$Y$17,L$3,FALSE),IF($D32=5,VLOOKUP($B32&amp;"_"&amp;$C32,buff特效!$A$4:$Y$17,L$3,FALSE),1111)))))</f>
        <v>0</v>
      </c>
      <c r="M32" s="33" t="str">
        <f>IF($D32=1,VLOOKUP($B32&amp;"_"&amp;$C32,起手特效!$A$4:$Y$17,M$3,FALSE),IF($D32=2,VLOOKUP($B32&amp;"_"&amp;$C32,主要特效!$A$4:$Y$17,M$3,FALSE),IF($D32=3,VLOOKUP($B32&amp;"_"&amp;$C32,辅助特效!$A$4:$Y$17,M$3,FALSE),IF($D32=4,VLOOKUP($B32&amp;"_"&amp;$C32,命中特效!$A$4:$Y$17,M$3,FALSE),IF($D32=5,VLOOKUP($B32&amp;"_"&amp;$C32,buff特效!$A$4:$Y$17,M$3,FALSE),1111)))))</f>
        <v>[]</v>
      </c>
      <c r="N32" s="33" t="str">
        <f>IF($D32=1,VLOOKUP($B32&amp;"_"&amp;$C32,起手特效!$A$4:$Y$17,N$3,FALSE),IF($D32=2,VLOOKUP($B32&amp;"_"&amp;$C32,主要特效!$A$4:$Y$17,N$3,FALSE),IF($D32=3,VLOOKUP($B32&amp;"_"&amp;$C32,辅助特效!$A$4:$Y$17,N$3,FALSE),IF($D32=4,VLOOKUP($B32&amp;"_"&amp;$C32,命中特效!$A$4:$Y$17,N$3,FALSE),IF($D32=5,VLOOKUP($B32&amp;"_"&amp;$C32,buff特效!$A$4:$Y$17,N$3,FALSE),1111)))))</f>
        <v>[]</v>
      </c>
      <c r="O32" s="33">
        <f>IF($D32=1,VLOOKUP($B32&amp;"_"&amp;$C32,起手特效!$A$4:$Y$17,O$3,FALSE),IF($D32=2,VLOOKUP($B32&amp;"_"&amp;$C32,主要特效!$A$4:$Y$17,O$3,FALSE),IF($D32=3,VLOOKUP($B32&amp;"_"&amp;$C32,辅助特效!$A$4:$Y$17,O$3,FALSE),IF($D32=4,VLOOKUP($B32&amp;"_"&amp;$C32,命中特效!$A$4:$Y$17,O$3,FALSE),IF($D32=5,VLOOKUP($B32&amp;"_"&amp;$C32,buff特效!$A$4:$Y$17,O$3,FALSE),1111)))))</f>
        <v>5</v>
      </c>
      <c r="P32" s="33">
        <f>IF($D32=1,VLOOKUP($B32&amp;"_"&amp;$C32,起手特效!$A$4:$Y$17,P$3,FALSE),IF($D32=2,VLOOKUP($B32&amp;"_"&amp;$C32,主要特效!$A$4:$Y$17,P$3,FALSE),IF($D32=3,VLOOKUP($B32&amp;"_"&amp;$C32,辅助特效!$A$4:$Y$17,P$3,FALSE),IF($D32=4,VLOOKUP($B32&amp;"_"&amp;$C32,命中特效!$A$4:$Y$17,P$3,FALSE),IF($D32=5,VLOOKUP($B32&amp;"_"&amp;$C32,buff特效!$A$4:$Y$17,P$3,FALSE),1111)))))</f>
        <v>0</v>
      </c>
      <c r="Q32" s="33">
        <f>IF($D32=1,VLOOKUP($B32&amp;"_"&amp;$C32,起手特效!$A$4:$Y$17,Q$3,FALSE),IF($D32=2,VLOOKUP($B32&amp;"_"&amp;$C32,主要特效!$A$4:$Y$17,Q$3,FALSE),IF($D32=3,VLOOKUP($B32&amp;"_"&amp;$C32,辅助特效!$A$4:$Y$17,Q$3,FALSE),IF($D32=4,VLOOKUP($B32&amp;"_"&amp;$C32,命中特效!$A$4:$Y$17,Q$3,FALSE),IF($D32=5,VLOOKUP($B32&amp;"_"&amp;$C32,buff特效!$A$4:$Y$17,Q$3,FALSE),1111)))))</f>
        <v>2</v>
      </c>
      <c r="R32" s="33">
        <f>IF($D32=1,VLOOKUP($B32&amp;"_"&amp;$C32,起手特效!$A$4:$Y$17,R$3,FALSE),IF($D32=2,VLOOKUP($B32&amp;"_"&amp;$C32,主要特效!$A$4:$Y$17,R$3,FALSE),IF($D32=3,VLOOKUP($B32&amp;"_"&amp;$C32,辅助特效!$A$4:$Y$17,R$3,FALSE),IF($D32=4,VLOOKUP($B32&amp;"_"&amp;$C32,命中特效!$A$4:$Y$17,R$3,FALSE),IF($D32=5,VLOOKUP($B32&amp;"_"&amp;$C32,buff特效!$A$4:$Y$17,R$3,FALSE),1111)))))</f>
        <v>0</v>
      </c>
      <c r="S32" s="33" t="str">
        <f>IF($D32=1,VLOOKUP($B32&amp;"_"&amp;$C32,起手特效!$A$4:$Y$17,S$3,FALSE),IF($D32=2,VLOOKUP($B32&amp;"_"&amp;$C32,主要特效!$A$4:$Y$17,S$3,FALSE),IF($D32=3,VLOOKUP($B32&amp;"_"&amp;$C32,辅助特效!$A$4:$Y$17,S$3,FALSE),IF($D32=4,VLOOKUP($B32&amp;"_"&amp;$C32,命中特效!$A$4:$Y$17,S$3,FALSE),IF($D32=5,VLOOKUP($B32&amp;"_"&amp;$C32,buff特效!$A$4:$Y$17,S$3,FALSE),1111)))))</f>
        <v>[]</v>
      </c>
      <c r="T32" s="33" t="str">
        <f>IF($D32=1,VLOOKUP($B32&amp;"_"&amp;$C32,起手特效!$A$4:$Y$17,T$3,FALSE),IF($D32=2,VLOOKUP($B32&amp;"_"&amp;$C32,主要特效!$A$4:$Y$17,T$3,FALSE),IF($D32=3,VLOOKUP($B32&amp;"_"&amp;$C32,辅助特效!$A$4:$Y$17,T$3,FALSE),IF($D32=4,VLOOKUP($B32&amp;"_"&amp;$C32,命中特效!$A$4:$Y$17,T$3,FALSE),IF($D32=5,VLOOKUP($B32&amp;"_"&amp;$C32,buff特效!$A$4:$Y$17,T$3,FALSE),1111)))))</f>
        <v>[]</v>
      </c>
      <c r="U32" s="33" t="str">
        <f>IF($D32=1,VLOOKUP($B32&amp;"_"&amp;$C32,起手特效!$A$4:$Y$17,U$3,FALSE),IF($D32=2,VLOOKUP($B32&amp;"_"&amp;$C32,主要特效!$A$4:$Y$17,U$3,FALSE),IF($D32=3,VLOOKUP($B32&amp;"_"&amp;$C32,辅助特效!$A$4:$Y$17,U$3,FALSE),IF($D32=4,VLOOKUP($B32&amp;"_"&amp;$C32,命中特效!$A$4:$Y$17,U$3,FALSE),IF($D32=5,VLOOKUP($B32&amp;"_"&amp;$C32,buff特效!$A$4:$Y$17,U$3,FALSE),1111)))))</f>
        <v>[]</v>
      </c>
      <c r="V32" s="33">
        <f>IF($D32=1,VLOOKUP($B32&amp;"_"&amp;$C32,起手特效!$A$4:$Y$17,V$3,FALSE),IF($D32=2,VLOOKUP($B32&amp;"_"&amp;$C32,主要特效!$A$4:$Y$17,V$3,FALSE),IF($D32=3,VLOOKUP($B32&amp;"_"&amp;$C32,辅助特效!$A$4:$Y$17,V$3,FALSE),IF($D32=4,VLOOKUP($B32&amp;"_"&amp;$C32,命中特效!$A$4:$Y$17,V$3,FALSE),IF($D32=5,VLOOKUP($B32&amp;"_"&amp;$C32,buff特效!$A$4:$Y$17,V$3,FALSE),1111)))))</f>
        <v>0</v>
      </c>
      <c r="W32" s="33">
        <f>IF($D32=1,VLOOKUP($B32&amp;"_"&amp;$C32,起手特效!$A$4:$Y$17,W$3,FALSE),IF($D32=2,VLOOKUP($B32&amp;"_"&amp;$C32,主要特效!$A$4:$Y$17,W$3,FALSE),IF($D32=3,VLOOKUP($B32&amp;"_"&amp;$C32,辅助特效!$A$4:$Y$17,W$3,FALSE),IF($D32=4,VLOOKUP($B32&amp;"_"&amp;$C32,命中特效!$A$4:$Y$17,W$3,FALSE),IF($D32=5,VLOOKUP($B32&amp;"_"&amp;$C32,buff特效!$A$4:$Y$17,W$3,FALSE),1111)))))</f>
        <v>0</v>
      </c>
      <c r="X32" s="33">
        <f>IF($D32=1,VLOOKUP($B32&amp;"_"&amp;$C32,起手特效!$A$4:$Y$17,X$3,FALSE),IF($D32=2,VLOOKUP($B32&amp;"_"&amp;$C32,主要特效!$A$4:$Y$17,X$3,FALSE),IF($D32=3,VLOOKUP($B32&amp;"_"&amp;$C32,辅助特效!$A$4:$Y$17,X$3,FALSE),IF($D32=4,VLOOKUP($B32&amp;"_"&amp;$C32,命中特效!$A$4:$Y$17,X$3,FALSE),IF($D32=5,VLOOKUP($B32&amp;"_"&amp;$C32,buff特效!$A$4:$Y$17,X$3,FALSE),1111)))))</f>
        <v>0</v>
      </c>
      <c r="Y32" s="33">
        <f>IF($D32=1,VLOOKUP($B32&amp;"_"&amp;$C32,起手特效!$A$4:$Y$17,Y$3,FALSE),IF($D32=2,VLOOKUP($B32&amp;"_"&amp;$C32,主要特效!$A$4:$Y$17,Y$3,FALSE),IF($D32=3,VLOOKUP($B32&amp;"_"&amp;$C32,辅助特效!$A$4:$Y$17,Y$3,FALSE),IF($D32=4,VLOOKUP($B32&amp;"_"&amp;$C32,命中特效!$A$4:$Y$17,Y$3,FALSE),IF($D32=5,VLOOKUP($B32&amp;"_"&amp;$C32,buff特效!$A$4:$Y$17,Y$3,FALSE),1111)))))</f>
        <v>0</v>
      </c>
      <c r="Z32" s="33">
        <f>IF($D32=1,VLOOKUP($B32&amp;"_"&amp;$C32,起手特效!$A$4:$Y$17,Z$3,FALSE),IF($D32=2,VLOOKUP($B32&amp;"_"&amp;$C32,主要特效!$A$4:$Y$17,Z$3,FALSE),IF($D32=3,VLOOKUP($B32&amp;"_"&amp;$C32,辅助特效!$A$4:$Y$17,Z$3,FALSE),IF($D32=4,VLOOKUP($B32&amp;"_"&amp;$C32,命中特效!$A$4:$Y$17,Z$3,FALSE),IF($D32=5,VLOOKUP($B32&amp;"_"&amp;$C32,buff特效!$A$4:$Y$17,Z$3,FALSE),1111)))))</f>
        <v>0</v>
      </c>
      <c r="AA32" s="33">
        <f>IF($D32=1,VLOOKUP($B32&amp;"_"&amp;$C32,起手特效!$A$4:$Y$17,AA$3,FALSE),IF($D32=2,VLOOKUP($B32&amp;"_"&amp;$C32,主要特效!$A$4:$Y$17,AA$3,FALSE),IF($D32=3,VLOOKUP($B32&amp;"_"&amp;$C32,辅助特效!$A$4:$Y$17,AA$3,FALSE),IF($D32=4,VLOOKUP($B32&amp;"_"&amp;$C32,命中特效!$A$4:$Y$17,AA$3,FALSE),IF($D32=5,VLOOKUP($B32&amp;"_"&amp;$C32,buff特效!$A$4:$Y$17,AA$3,FALSE),1111)))))</f>
        <v>0</v>
      </c>
      <c r="AB32" s="33">
        <f>IF($D32=1,VLOOKUP($B32&amp;"_"&amp;$C32,起手特效!$A$4:$Y$17,AB$3,FALSE),IF($D32=2,VLOOKUP($B32&amp;"_"&amp;$C32,主要特效!$A$4:$Y$17,AB$3,FALSE),IF($D32=3,VLOOKUP($B32&amp;"_"&amp;$C32,辅助特效!$A$4:$Y$17,AB$3,FALSE),IF($D32=4,VLOOKUP($B32&amp;"_"&amp;$C32,命中特效!$A$4:$Y$17,AB$3,FALSE),IF($D32=5,VLOOKUP($B32&amp;"_"&amp;$C32,buff特效!$A$4:$Y$17,AB$3,FALSE),1111)))))</f>
        <v>0</v>
      </c>
    </row>
    <row r="33" spans="2:28" x14ac:dyDescent="0.15">
      <c r="B33" s="32" t="str">
        <f t="shared" si="6"/>
        <v>tuotatianwang</v>
      </c>
      <c r="C33" s="32">
        <f t="shared" si="7"/>
        <v>4</v>
      </c>
      <c r="D33" s="32">
        <f t="shared" si="5"/>
        <v>5</v>
      </c>
      <c r="E33" s="33" t="str">
        <f>IF($D33=1,VLOOKUP($B33&amp;"_"&amp;$C33,起手特效!$A$4:$Y$17,E$3,FALSE),IF($D33=2,VLOOKUP($B33&amp;"_"&amp;$C33,主要特效!$A$4:$Y$17,E$3,FALSE),IF($D33=3,VLOOKUP($B33&amp;"_"&amp;$C33,辅助特效!$A$4:$Y$17,E$3,FALSE),IF($D33=4,VLOOKUP($B33&amp;"_"&amp;$C33,命中特效!$A$4:$Y$17,E$3,FALSE),IF($D33=5,VLOOKUP($B33&amp;"_"&amp;$C33,buff特效!$A$4:$Y$17,E$3,FALSE),1111)))))</f>
        <v>[]</v>
      </c>
      <c r="F33" s="33" t="str">
        <f>IF($D33=1,VLOOKUP($B33&amp;"_"&amp;$C33,起手特效!$A$4:$Y$17,F$3,FALSE),IF($D33=2,VLOOKUP($B33&amp;"_"&amp;$C33,主要特效!$A$4:$Y$17,F$3,FALSE),IF($D33=3,VLOOKUP($B33&amp;"_"&amp;$C33,辅助特效!$A$4:$Y$17,F$3,FALSE),IF($D33=4,VLOOKUP($B33&amp;"_"&amp;$C33,命中特效!$A$4:$Y$17,F$3,FALSE),IF($D33=5,VLOOKUP($B33&amp;"_"&amp;$C33,buff特效!$A$4:$Y$17,F$3,FALSE),1111)))))</f>
        <v>[]</v>
      </c>
      <c r="G33" s="33" t="str">
        <f>IF($D33=1,VLOOKUP($B33&amp;"_"&amp;$C33,起手特效!$A$4:$Y$17,G$3,FALSE),IF($D33=2,VLOOKUP($B33&amp;"_"&amp;$C33,主要特效!$A$4:$Y$17,G$3,FALSE),IF($D33=3,VLOOKUP($B33&amp;"_"&amp;$C33,辅助特效!$A$4:$Y$17,G$3,FALSE),IF($D33=4,VLOOKUP($B33&amp;"_"&amp;$C33,命中特效!$A$4:$Y$17,G$3,FALSE),IF($D33=5,VLOOKUP($B33&amp;"_"&amp;$C33,buff特效!$A$4:$Y$17,G$3,FALSE),1111)))))</f>
        <v>[]</v>
      </c>
      <c r="H33" s="33">
        <f>IF($D33=1,VLOOKUP($B33&amp;"_"&amp;$C33,起手特效!$A$4:$Y$17,H$3,FALSE),IF($D33=2,VLOOKUP($B33&amp;"_"&amp;$C33,主要特效!$A$4:$Y$17,H$3,FALSE),IF($D33=3,VLOOKUP($B33&amp;"_"&amp;$C33,辅助特效!$A$4:$Y$17,H$3,FALSE),IF($D33=4,VLOOKUP($B33&amp;"_"&amp;$C33,命中特效!$A$4:$Y$17,H$3,FALSE),IF($D33=5,VLOOKUP($B33&amp;"_"&amp;$C33,buff特效!$A$4:$Y$17,H$3,FALSE),1111)))))</f>
        <v>0</v>
      </c>
      <c r="I33" s="33">
        <f>IF($D33=1,VLOOKUP($B33&amp;"_"&amp;$C33,起手特效!$A$4:$Y$17,I$3,FALSE),IF($D33=2,VLOOKUP($B33&amp;"_"&amp;$C33,主要特效!$A$4:$Y$17,I$3,FALSE),IF($D33=3,VLOOKUP($B33&amp;"_"&amp;$C33,辅助特效!$A$4:$Y$17,I$3,FALSE),IF($D33=4,VLOOKUP($B33&amp;"_"&amp;$C33,命中特效!$A$4:$Y$17,I$3,FALSE),IF($D33=5,VLOOKUP($B33&amp;"_"&amp;$C33,buff特效!$A$4:$Y$17,I$3,FALSE),1111)))))</f>
        <v>0</v>
      </c>
      <c r="J33" s="33">
        <f>IF($D33=1,VLOOKUP($B33&amp;"_"&amp;$C33,起手特效!$A$4:$Y$17,J$3,FALSE),IF($D33=2,VLOOKUP($B33&amp;"_"&amp;$C33,主要特效!$A$4:$Y$17,J$3,FALSE),IF($D33=3,VLOOKUP($B33&amp;"_"&amp;$C33,辅助特效!$A$4:$Y$17,J$3,FALSE),IF($D33=4,VLOOKUP($B33&amp;"_"&amp;$C33,命中特效!$A$4:$Y$17,J$3,FALSE),IF($D33=5,VLOOKUP($B33&amp;"_"&amp;$C33,buff特效!$A$4:$Y$17,J$3,FALSE),1111)))))</f>
        <v>1</v>
      </c>
      <c r="K33" s="33">
        <f>IF($D33=1,VLOOKUP($B33&amp;"_"&amp;$C33,起手特效!$A$4:$Y$17,K$3,FALSE),IF($D33=2,VLOOKUP($B33&amp;"_"&amp;$C33,主要特效!$A$4:$Y$17,K$3,FALSE),IF($D33=3,VLOOKUP($B33&amp;"_"&amp;$C33,辅助特效!$A$4:$Y$17,K$3,FALSE),IF($D33=4,VLOOKUP($B33&amp;"_"&amp;$C33,命中特效!$A$4:$Y$17,K$3,FALSE),IF($D33=5,VLOOKUP($B33&amp;"_"&amp;$C33,buff特效!$A$4:$Y$17,K$3,FALSE),1111)))))</f>
        <v>0</v>
      </c>
      <c r="L33" s="33">
        <f>IF($D33=1,VLOOKUP($B33&amp;"_"&amp;$C33,起手特效!$A$4:$Y$17,L$3,FALSE),IF($D33=2,VLOOKUP($B33&amp;"_"&amp;$C33,主要特效!$A$4:$Y$17,L$3,FALSE),IF($D33=3,VLOOKUP($B33&amp;"_"&amp;$C33,辅助特效!$A$4:$Y$17,L$3,FALSE),IF($D33=4,VLOOKUP($B33&amp;"_"&amp;$C33,命中特效!$A$4:$Y$17,L$3,FALSE),IF($D33=5,VLOOKUP($B33&amp;"_"&amp;$C33,buff特效!$A$4:$Y$17,L$3,FALSE),1111)))))</f>
        <v>0</v>
      </c>
      <c r="M33" s="33" t="str">
        <f>IF($D33=1,VLOOKUP($B33&amp;"_"&amp;$C33,起手特效!$A$4:$Y$17,M$3,FALSE),IF($D33=2,VLOOKUP($B33&amp;"_"&amp;$C33,主要特效!$A$4:$Y$17,M$3,FALSE),IF($D33=3,VLOOKUP($B33&amp;"_"&amp;$C33,辅助特效!$A$4:$Y$17,M$3,FALSE),IF($D33=4,VLOOKUP($B33&amp;"_"&amp;$C33,命中特效!$A$4:$Y$17,M$3,FALSE),IF($D33=5,VLOOKUP($B33&amp;"_"&amp;$C33,buff特效!$A$4:$Y$17,M$3,FALSE),1111)))))</f>
        <v>[]</v>
      </c>
      <c r="N33" s="33" t="str">
        <f>IF($D33=1,VLOOKUP($B33&amp;"_"&amp;$C33,起手特效!$A$4:$Y$17,N$3,FALSE),IF($D33=2,VLOOKUP($B33&amp;"_"&amp;$C33,主要特效!$A$4:$Y$17,N$3,FALSE),IF($D33=3,VLOOKUP($B33&amp;"_"&amp;$C33,辅助特效!$A$4:$Y$17,N$3,FALSE),IF($D33=4,VLOOKUP($B33&amp;"_"&amp;$C33,命中特效!$A$4:$Y$17,N$3,FALSE),IF($D33=5,VLOOKUP($B33&amp;"_"&amp;$C33,buff特效!$A$4:$Y$17,N$3,FALSE),1111)))))</f>
        <v>[]</v>
      </c>
      <c r="O33" s="33">
        <f>IF($D33=1,VLOOKUP($B33&amp;"_"&amp;$C33,起手特效!$A$4:$Y$17,O$3,FALSE),IF($D33=2,VLOOKUP($B33&amp;"_"&amp;$C33,主要特效!$A$4:$Y$17,O$3,FALSE),IF($D33=3,VLOOKUP($B33&amp;"_"&amp;$C33,辅助特效!$A$4:$Y$17,O$3,FALSE),IF($D33=4,VLOOKUP($B33&amp;"_"&amp;$C33,命中特效!$A$4:$Y$17,O$3,FALSE),IF($D33=5,VLOOKUP($B33&amp;"_"&amp;$C33,buff特效!$A$4:$Y$17,O$3,FALSE),1111)))))</f>
        <v>5</v>
      </c>
      <c r="P33" s="33">
        <f>IF($D33=1,VLOOKUP($B33&amp;"_"&amp;$C33,起手特效!$A$4:$Y$17,P$3,FALSE),IF($D33=2,VLOOKUP($B33&amp;"_"&amp;$C33,主要特效!$A$4:$Y$17,P$3,FALSE),IF($D33=3,VLOOKUP($B33&amp;"_"&amp;$C33,辅助特效!$A$4:$Y$17,P$3,FALSE),IF($D33=4,VLOOKUP($B33&amp;"_"&amp;$C33,命中特效!$A$4:$Y$17,P$3,FALSE),IF($D33=5,VLOOKUP($B33&amp;"_"&amp;$C33,buff特效!$A$4:$Y$17,P$3,FALSE),1111)))))</f>
        <v>0</v>
      </c>
      <c r="Q33" s="33">
        <f>IF($D33=1,VLOOKUP($B33&amp;"_"&amp;$C33,起手特效!$A$4:$Y$17,Q$3,FALSE),IF($D33=2,VLOOKUP($B33&amp;"_"&amp;$C33,主要特效!$A$4:$Y$17,Q$3,FALSE),IF($D33=3,VLOOKUP($B33&amp;"_"&amp;$C33,辅助特效!$A$4:$Y$17,Q$3,FALSE),IF($D33=4,VLOOKUP($B33&amp;"_"&amp;$C33,命中特效!$A$4:$Y$17,Q$3,FALSE),IF($D33=5,VLOOKUP($B33&amp;"_"&amp;$C33,buff特效!$A$4:$Y$17,Q$3,FALSE),1111)))))</f>
        <v>2</v>
      </c>
      <c r="R33" s="33" t="str">
        <f>IF($D33=1,VLOOKUP($B33&amp;"_"&amp;$C33,起手特效!$A$4:$Y$17,R$3,FALSE),IF($D33=2,VLOOKUP($B33&amp;"_"&amp;$C33,主要特效!$A$4:$Y$17,R$3,FALSE),IF($D33=3,VLOOKUP($B33&amp;"_"&amp;$C33,辅助特效!$A$4:$Y$17,R$3,FALSE),IF($D33=4,VLOOKUP($B33&amp;"_"&amp;$C33,命中特效!$A$4:$Y$17,R$3,FALSE),IF($D33=5,VLOOKUP($B33&amp;"_"&amp;$C33,buff特效!$A$4:$Y$17,R$3,FALSE),1111)))))</f>
        <v>手填</v>
      </c>
      <c r="S33" s="33" t="str">
        <f>IF($D33=1,VLOOKUP($B33&amp;"_"&amp;$C33,起手特效!$A$4:$Y$17,S$3,FALSE),IF($D33=2,VLOOKUP($B33&amp;"_"&amp;$C33,主要特效!$A$4:$Y$17,S$3,FALSE),IF($D33=3,VLOOKUP($B33&amp;"_"&amp;$C33,辅助特效!$A$4:$Y$17,S$3,FALSE),IF($D33=4,VLOOKUP($B33&amp;"_"&amp;$C33,命中特效!$A$4:$Y$17,S$3,FALSE),IF($D33=5,VLOOKUP($B33&amp;"_"&amp;$C33,buff特效!$A$4:$Y$17,S$3,FALSE),1111)))))</f>
        <v>[]</v>
      </c>
      <c r="T33" s="33" t="str">
        <f>IF($D33=1,VLOOKUP($B33&amp;"_"&amp;$C33,起手特效!$A$4:$Y$17,T$3,FALSE),IF($D33=2,VLOOKUP($B33&amp;"_"&amp;$C33,主要特效!$A$4:$Y$17,T$3,FALSE),IF($D33=3,VLOOKUP($B33&amp;"_"&amp;$C33,辅助特效!$A$4:$Y$17,T$3,FALSE),IF($D33=4,VLOOKUP($B33&amp;"_"&amp;$C33,命中特效!$A$4:$Y$17,T$3,FALSE),IF($D33=5,VLOOKUP($B33&amp;"_"&amp;$C33,buff特效!$A$4:$Y$17,T$3,FALSE),1111)))))</f>
        <v>[]</v>
      </c>
      <c r="U33" s="33" t="str">
        <f>IF($D33=1,VLOOKUP($B33&amp;"_"&amp;$C33,起手特效!$A$4:$Y$17,U$3,FALSE),IF($D33=2,VLOOKUP($B33&amp;"_"&amp;$C33,主要特效!$A$4:$Y$17,U$3,FALSE),IF($D33=3,VLOOKUP($B33&amp;"_"&amp;$C33,辅助特效!$A$4:$Y$17,U$3,FALSE),IF($D33=4,VLOOKUP($B33&amp;"_"&amp;$C33,命中特效!$A$4:$Y$17,U$3,FALSE),IF($D33=5,VLOOKUP($B33&amp;"_"&amp;$C33,buff特效!$A$4:$Y$17,U$3,FALSE),1111)))))</f>
        <v>[]</v>
      </c>
      <c r="V33" s="33">
        <f>IF($D33=1,VLOOKUP($B33&amp;"_"&amp;$C33,起手特效!$A$4:$Y$17,V$3,FALSE),IF($D33=2,VLOOKUP($B33&amp;"_"&amp;$C33,主要特效!$A$4:$Y$17,V$3,FALSE),IF($D33=3,VLOOKUP($B33&amp;"_"&amp;$C33,辅助特效!$A$4:$Y$17,V$3,FALSE),IF($D33=4,VLOOKUP($B33&amp;"_"&amp;$C33,命中特效!$A$4:$Y$17,V$3,FALSE),IF($D33=5,VLOOKUP($B33&amp;"_"&amp;$C33,buff特效!$A$4:$Y$17,V$3,FALSE),1111)))))</f>
        <v>0</v>
      </c>
      <c r="W33" s="33">
        <f>IF($D33=1,VLOOKUP($B33&amp;"_"&amp;$C33,起手特效!$A$4:$Y$17,W$3,FALSE),IF($D33=2,VLOOKUP($B33&amp;"_"&amp;$C33,主要特效!$A$4:$Y$17,W$3,FALSE),IF($D33=3,VLOOKUP($B33&amp;"_"&amp;$C33,辅助特效!$A$4:$Y$17,W$3,FALSE),IF($D33=4,VLOOKUP($B33&amp;"_"&amp;$C33,命中特效!$A$4:$Y$17,W$3,FALSE),IF($D33=5,VLOOKUP($B33&amp;"_"&amp;$C33,buff特效!$A$4:$Y$17,W$3,FALSE),1111)))))</f>
        <v>0</v>
      </c>
      <c r="X33" s="33">
        <f>IF($D33=1,VLOOKUP($B33&amp;"_"&amp;$C33,起手特效!$A$4:$Y$17,X$3,FALSE),IF($D33=2,VLOOKUP($B33&amp;"_"&amp;$C33,主要特效!$A$4:$Y$17,X$3,FALSE),IF($D33=3,VLOOKUP($B33&amp;"_"&amp;$C33,辅助特效!$A$4:$Y$17,X$3,FALSE),IF($D33=4,VLOOKUP($B33&amp;"_"&amp;$C33,命中特效!$A$4:$Y$17,X$3,FALSE),IF($D33=5,VLOOKUP($B33&amp;"_"&amp;$C33,buff特效!$A$4:$Y$17,X$3,FALSE),1111)))))</f>
        <v>0</v>
      </c>
      <c r="Y33" s="33">
        <f>IF($D33=1,VLOOKUP($B33&amp;"_"&amp;$C33,起手特效!$A$4:$Y$17,Y$3,FALSE),IF($D33=2,VLOOKUP($B33&amp;"_"&amp;$C33,主要特效!$A$4:$Y$17,Y$3,FALSE),IF($D33=3,VLOOKUP($B33&amp;"_"&amp;$C33,辅助特效!$A$4:$Y$17,Y$3,FALSE),IF($D33=4,VLOOKUP($B33&amp;"_"&amp;$C33,命中特效!$A$4:$Y$17,Y$3,FALSE),IF($D33=5,VLOOKUP($B33&amp;"_"&amp;$C33,buff特效!$A$4:$Y$17,Y$3,FALSE),1111)))))</f>
        <v>0</v>
      </c>
      <c r="Z33" s="33">
        <f>IF($D33=1,VLOOKUP($B33&amp;"_"&amp;$C33,起手特效!$A$4:$Y$17,Z$3,FALSE),IF($D33=2,VLOOKUP($B33&amp;"_"&amp;$C33,主要特效!$A$4:$Y$17,Z$3,FALSE),IF($D33=3,VLOOKUP($B33&amp;"_"&amp;$C33,辅助特效!$A$4:$Y$17,Z$3,FALSE),IF($D33=4,VLOOKUP($B33&amp;"_"&amp;$C33,命中特效!$A$4:$Y$17,Z$3,FALSE),IF($D33=5,VLOOKUP($B33&amp;"_"&amp;$C33,buff特效!$A$4:$Y$17,Z$3,FALSE),1111)))))</f>
        <v>0</v>
      </c>
      <c r="AA33" s="33">
        <f>IF($D33=1,VLOOKUP($B33&amp;"_"&amp;$C33,起手特效!$A$4:$Y$17,AA$3,FALSE),IF($D33=2,VLOOKUP($B33&amp;"_"&amp;$C33,主要特效!$A$4:$Y$17,AA$3,FALSE),IF($D33=3,VLOOKUP($B33&amp;"_"&amp;$C33,辅助特效!$A$4:$Y$17,AA$3,FALSE),IF($D33=4,VLOOKUP($B33&amp;"_"&amp;$C33,命中特效!$A$4:$Y$17,AA$3,FALSE),IF($D33=5,VLOOKUP($B33&amp;"_"&amp;$C33,buff特效!$A$4:$Y$17,AA$3,FALSE),1111)))))</f>
        <v>0</v>
      </c>
      <c r="AB33" s="33">
        <f>IF($D33=1,VLOOKUP($B33&amp;"_"&amp;$C33,起手特效!$A$4:$Y$17,AB$3,FALSE),IF($D33=2,VLOOKUP($B33&amp;"_"&amp;$C33,主要特效!$A$4:$Y$17,AB$3,FALSE),IF($D33=3,VLOOKUP($B33&amp;"_"&amp;$C33,辅助特效!$A$4:$Y$17,AB$3,FALSE),IF($D33=4,VLOOKUP($B33&amp;"_"&amp;$C33,命中特效!$A$4:$Y$17,AB$3,FALSE),IF($D33=5,VLOOKUP($B33&amp;"_"&amp;$C33,buff特效!$A$4:$Y$17,AB$3,FALSE),1111)))))</f>
        <v>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1"/>
  <sheetViews>
    <sheetView workbookViewId="0">
      <pane xSplit="3" ySplit="3" topLeftCell="F4" activePane="bottomRight" state="frozen"/>
      <selection pane="topRight" activeCell="F1" sqref="F1"/>
      <selection pane="bottomLeft" activeCell="A4" sqref="A4"/>
      <selection pane="bottomRight" activeCell="A9" sqref="A9"/>
    </sheetView>
  </sheetViews>
  <sheetFormatPr defaultColWidth="9" defaultRowHeight="17.25" x14ac:dyDescent="0.15"/>
  <cols>
    <col min="1" max="1" width="14.125" style="20" bestFit="1" customWidth="1"/>
    <col min="2" max="2" width="30.5" style="20" customWidth="1"/>
    <col min="3" max="3" width="19.875" style="20" customWidth="1"/>
    <col min="4" max="4" width="17.75" style="20" customWidth="1"/>
    <col min="5" max="5" width="23.875" style="20" customWidth="1"/>
    <col min="6" max="6" width="12.75" style="20" customWidth="1"/>
    <col min="7" max="7" width="44.25" style="20" customWidth="1"/>
    <col min="8" max="8" width="12.75" style="20" customWidth="1"/>
    <col min="9" max="9" width="15.75" style="20" customWidth="1"/>
    <col min="10" max="10" width="20.875" style="20" bestFit="1" customWidth="1"/>
    <col min="11" max="11" width="30.5" style="20" customWidth="1"/>
    <col min="12" max="12" width="21.75" style="20" customWidth="1"/>
    <col min="13" max="13" width="13.25" style="20" customWidth="1"/>
    <col min="14" max="14" width="32" style="20" bestFit="1" customWidth="1"/>
    <col min="15" max="15" width="22.75" style="20" bestFit="1" customWidth="1"/>
    <col min="16" max="16" width="15.375" style="20" bestFit="1" customWidth="1"/>
    <col min="17" max="17" width="19.25" style="20" bestFit="1" customWidth="1"/>
    <col min="18" max="18" width="21.75" style="20" customWidth="1"/>
    <col min="19" max="25" width="11.125" style="20" customWidth="1"/>
    <col min="26" max="16384" width="9" style="20"/>
  </cols>
  <sheetData>
    <row r="1" spans="1:25" s="21" customFormat="1" ht="144.75" customHeight="1" x14ac:dyDescent="0.15">
      <c r="B1" s="23" t="s">
        <v>1477</v>
      </c>
      <c r="C1" s="23" t="s">
        <v>1478</v>
      </c>
      <c r="D1" s="23" t="s">
        <v>1460</v>
      </c>
      <c r="E1" s="23" t="s">
        <v>1461</v>
      </c>
      <c r="F1" s="23" t="s">
        <v>1462</v>
      </c>
      <c r="G1" s="23" t="s">
        <v>1496</v>
      </c>
      <c r="H1" s="23" t="s">
        <v>1464</v>
      </c>
      <c r="I1" s="23" t="s">
        <v>1465</v>
      </c>
      <c r="J1" s="23" t="s">
        <v>1466</v>
      </c>
      <c r="K1" s="23" t="s">
        <v>1467</v>
      </c>
      <c r="L1" s="23" t="s">
        <v>1468</v>
      </c>
      <c r="M1" s="23" t="s">
        <v>1469</v>
      </c>
      <c r="N1" s="23" t="s">
        <v>1479</v>
      </c>
      <c r="O1" s="23" t="s">
        <v>1481</v>
      </c>
      <c r="P1" s="23" t="s">
        <v>1480</v>
      </c>
      <c r="Q1" s="23" t="s">
        <v>1483</v>
      </c>
      <c r="R1" s="23" t="s">
        <v>1482</v>
      </c>
      <c r="S1" s="23" t="s">
        <v>1484</v>
      </c>
      <c r="T1" s="23" t="s">
        <v>1486</v>
      </c>
      <c r="U1" s="23" t="s">
        <v>1485</v>
      </c>
      <c r="V1" s="23" t="s">
        <v>1487</v>
      </c>
      <c r="W1" s="23" t="s">
        <v>4</v>
      </c>
      <c r="X1" s="23" t="s">
        <v>5</v>
      </c>
      <c r="Y1" s="23" t="s">
        <v>6</v>
      </c>
    </row>
    <row r="2" spans="1:25" s="22" customFormat="1" x14ac:dyDescent="0.15">
      <c r="B2" s="24" t="s">
        <v>7</v>
      </c>
      <c r="C2" s="24" t="s">
        <v>8</v>
      </c>
      <c r="D2" s="24" t="s">
        <v>1470</v>
      </c>
      <c r="E2" s="24" t="s">
        <v>1471</v>
      </c>
      <c r="F2" s="24" t="s">
        <v>1472</v>
      </c>
      <c r="G2" s="24" t="s">
        <v>1473</v>
      </c>
      <c r="H2" s="24" t="s">
        <v>1474</v>
      </c>
      <c r="I2" s="24" t="s">
        <v>1475</v>
      </c>
      <c r="J2" s="24" t="s">
        <v>1476</v>
      </c>
      <c r="K2" s="24" t="s">
        <v>9</v>
      </c>
      <c r="L2" s="24" t="s">
        <v>10</v>
      </c>
      <c r="M2" s="24" t="s">
        <v>11</v>
      </c>
      <c r="N2" s="24" t="s">
        <v>12</v>
      </c>
      <c r="O2" s="24" t="s">
        <v>13</v>
      </c>
      <c r="P2" s="24" t="s">
        <v>14</v>
      </c>
      <c r="Q2" s="24" t="s">
        <v>15</v>
      </c>
      <c r="R2" s="24" t="s">
        <v>16</v>
      </c>
      <c r="S2" s="24" t="s">
        <v>17</v>
      </c>
      <c r="T2" s="24" t="s">
        <v>18</v>
      </c>
      <c r="U2" s="24" t="s">
        <v>19</v>
      </c>
      <c r="V2" s="24" t="s">
        <v>20</v>
      </c>
      <c r="W2" s="24" t="s">
        <v>21</v>
      </c>
      <c r="X2" s="24" t="s">
        <v>22</v>
      </c>
      <c r="Y2" s="24" t="s">
        <v>23</v>
      </c>
    </row>
    <row r="3" spans="1:25" s="22" customFormat="1" x14ac:dyDescent="0.15">
      <c r="B3" s="24">
        <f>A3+1</f>
        <v>1</v>
      </c>
      <c r="C3" s="24">
        <f t="shared" ref="C3:Y3" si="0">B3+1</f>
        <v>2</v>
      </c>
      <c r="D3" s="24">
        <f t="shared" si="0"/>
        <v>3</v>
      </c>
      <c r="E3" s="24">
        <f t="shared" si="0"/>
        <v>4</v>
      </c>
      <c r="F3" s="24">
        <f t="shared" si="0"/>
        <v>5</v>
      </c>
      <c r="G3" s="24">
        <f t="shared" si="0"/>
        <v>6</v>
      </c>
      <c r="H3" s="24">
        <f t="shared" si="0"/>
        <v>7</v>
      </c>
      <c r="I3" s="24">
        <f t="shared" si="0"/>
        <v>8</v>
      </c>
      <c r="J3" s="24">
        <f t="shared" si="0"/>
        <v>9</v>
      </c>
      <c r="K3" s="24">
        <f t="shared" si="0"/>
        <v>10</v>
      </c>
      <c r="L3" s="24">
        <f t="shared" si="0"/>
        <v>11</v>
      </c>
      <c r="M3" s="24">
        <f t="shared" si="0"/>
        <v>12</v>
      </c>
      <c r="N3" s="24">
        <f t="shared" si="0"/>
        <v>13</v>
      </c>
      <c r="O3" s="24">
        <f t="shared" si="0"/>
        <v>14</v>
      </c>
      <c r="P3" s="24">
        <f t="shared" si="0"/>
        <v>15</v>
      </c>
      <c r="Q3" s="24">
        <f t="shared" si="0"/>
        <v>16</v>
      </c>
      <c r="R3" s="24">
        <f t="shared" si="0"/>
        <v>17</v>
      </c>
      <c r="S3" s="24">
        <f t="shared" si="0"/>
        <v>18</v>
      </c>
      <c r="T3" s="24">
        <f t="shared" si="0"/>
        <v>19</v>
      </c>
      <c r="U3" s="24">
        <f t="shared" si="0"/>
        <v>20</v>
      </c>
      <c r="V3" s="24">
        <f t="shared" si="0"/>
        <v>21</v>
      </c>
      <c r="W3" s="24">
        <f t="shared" si="0"/>
        <v>22</v>
      </c>
      <c r="X3" s="24">
        <f t="shared" si="0"/>
        <v>23</v>
      </c>
      <c r="Y3" s="24">
        <f t="shared" si="0"/>
        <v>24</v>
      </c>
    </row>
    <row r="4" spans="1:25" x14ac:dyDescent="0.15">
      <c r="A4" s="32" t="s">
        <v>1489</v>
      </c>
      <c r="B4" s="33" t="str">
        <f>VLOOKUP(A4,特效配置!$A$1:Z$50,3,FALSE)</f>
        <v>[]</v>
      </c>
      <c r="C4" s="33" t="str">
        <f>IF(B4="[]","[]",MID(A4,1,SEARCH("_",A4,1)-1)&amp;"-"&amp;VLOOKUP(MID(A4,SEARCH("_",A4,1)+1,6)+0,[1]buff对照表!$I$1:$K$6,2,FALSE))</f>
        <v>[]</v>
      </c>
      <c r="D4" s="33" t="str">
        <f t="shared" ref="D4:D7" si="1">IF(MID(A4,SEARCH("_",A4,1)+1,6)="0","attack_1",IF(MID(A4,SEARCH("_",A4,1)+1,6)="2","skill_2","skill_4"))</f>
        <v>attack_1</v>
      </c>
      <c r="E4" s="33">
        <f>VLOOKUP(A4,[1]技能配置!$B$1:$AW$170,8,FALSE)</f>
        <v>1</v>
      </c>
      <c r="F4" s="33">
        <f>0</f>
        <v>0</v>
      </c>
      <c r="G4" s="33">
        <f>0</f>
        <v>0</v>
      </c>
      <c r="H4" s="33">
        <f>IF(OR(G4=2,G4=4,MID(G4,1,2)="14"),17,0)</f>
        <v>0</v>
      </c>
      <c r="I4" s="33">
        <f>0</f>
        <v>0</v>
      </c>
      <c r="J4" s="33" t="str">
        <f>"[]"</f>
        <v>[]</v>
      </c>
      <c r="K4" s="33" t="str">
        <f>IF(VLOOKUP(A4,[1]技能配置!$B$1:$AW$170,3,FALSE)="","[]",VLOOKUP(A4,[1]技能配置!$B$1:$AW$170,3,FALSE))</f>
        <v>[]</v>
      </c>
      <c r="L4" s="33">
        <f>5</f>
        <v>5</v>
      </c>
      <c r="M4" s="33" t="str">
        <f>"手填"</f>
        <v>手填</v>
      </c>
      <c r="N4" s="33">
        <f>2</f>
        <v>2</v>
      </c>
      <c r="O4" s="33">
        <f>0</f>
        <v>0</v>
      </c>
      <c r="P4" s="33" t="str">
        <f>"[]"</f>
        <v>[]</v>
      </c>
      <c r="Q4" s="33" t="str">
        <f t="shared" ref="Q4:R10" si="2">"[]"</f>
        <v>[]</v>
      </c>
      <c r="R4" s="33" t="str">
        <f t="shared" si="2"/>
        <v>[]</v>
      </c>
      <c r="S4" s="33">
        <f>0</f>
        <v>0</v>
      </c>
      <c r="T4" s="33">
        <f>0</f>
        <v>0</v>
      </c>
      <c r="U4" s="33">
        <f>0</f>
        <v>0</v>
      </c>
      <c r="V4" s="33">
        <f>0</f>
        <v>0</v>
      </c>
      <c r="W4" s="33">
        <f>0</f>
        <v>0</v>
      </c>
      <c r="X4" s="33">
        <f>0</f>
        <v>0</v>
      </c>
      <c r="Y4" s="33">
        <f>0</f>
        <v>0</v>
      </c>
    </row>
    <row r="5" spans="1:25" x14ac:dyDescent="0.15">
      <c r="A5" s="32" t="s">
        <v>1488</v>
      </c>
      <c r="B5" s="33" t="str">
        <f>VLOOKUP(A5,特效配置!$A$1:Z$50,3,FALSE)</f>
        <v>[]</v>
      </c>
      <c r="C5" s="33" t="str">
        <f>IF(B5="[]","[]",MID(A5,1,SEARCH("_",A5,1)-1)&amp;"-"&amp;VLOOKUP(MID(A5,SEARCH("_",A5,1)+1,6)+0,[1]buff对照表!$I$1:$K$6,2,FALSE))</f>
        <v>[]</v>
      </c>
      <c r="D5" s="33" t="str">
        <f t="shared" si="1"/>
        <v>attack_1</v>
      </c>
      <c r="E5" s="33">
        <f>VLOOKUP(A5,[1]技能配置!$B$1:$AW$170,8,FALSE)</f>
        <v>1.33</v>
      </c>
      <c r="F5" s="33">
        <f>0</f>
        <v>0</v>
      </c>
      <c r="G5" s="33">
        <f>0</f>
        <v>0</v>
      </c>
      <c r="H5" s="33">
        <f t="shared" ref="H5:H10" si="3">IF(OR(G5=2,G5=4,MID(G5,1,2)="14"),17,0)</f>
        <v>0</v>
      </c>
      <c r="I5" s="33">
        <f>0</f>
        <v>0</v>
      </c>
      <c r="J5" s="33" t="str">
        <f t="shared" ref="J5:J10" si="4">"[]"</f>
        <v>[]</v>
      </c>
      <c r="K5" s="33" t="str">
        <f>IF(VLOOKUP(A5,[1]技能配置!$B$1:$AW$170,3,FALSE)="","[]",VLOOKUP(A5,[1]技能配置!$B$1:$AW$170,3,FALSE))</f>
        <v>[]</v>
      </c>
      <c r="L5" s="33">
        <f>5</f>
        <v>5</v>
      </c>
      <c r="M5" s="33" t="str">
        <f t="shared" ref="M5:M10" si="5">"手填"</f>
        <v>手填</v>
      </c>
      <c r="N5" s="33">
        <f>2</f>
        <v>2</v>
      </c>
      <c r="O5" s="33">
        <f>0</f>
        <v>0</v>
      </c>
      <c r="P5" s="33" t="str">
        <f t="shared" ref="P5:P10" si="6">"[]"</f>
        <v>[]</v>
      </c>
      <c r="Q5" s="33" t="str">
        <f t="shared" si="2"/>
        <v>[]</v>
      </c>
      <c r="R5" s="33" t="str">
        <f t="shared" si="2"/>
        <v>[]</v>
      </c>
      <c r="S5" s="33">
        <f>0</f>
        <v>0</v>
      </c>
      <c r="T5" s="33">
        <f>0</f>
        <v>0</v>
      </c>
      <c r="U5" s="33">
        <f>0</f>
        <v>0</v>
      </c>
      <c r="V5" s="33">
        <f>0</f>
        <v>0</v>
      </c>
      <c r="W5" s="33">
        <f>0</f>
        <v>0</v>
      </c>
      <c r="X5" s="33">
        <f>0</f>
        <v>0</v>
      </c>
      <c r="Y5" s="33">
        <f>0</f>
        <v>0</v>
      </c>
    </row>
    <row r="6" spans="1:25" x14ac:dyDescent="0.15">
      <c r="A6" s="32" t="str">
        <f>引用表!A$9&amp;"_0"</f>
        <v>tuotatianwang_0</v>
      </c>
      <c r="B6" s="33" t="str">
        <f>VLOOKUP(A6,特效配置!$A$1:Z$50,3,FALSE)</f>
        <v>[]</v>
      </c>
      <c r="C6" s="33" t="str">
        <f>IF(B6="[]","[]",MID(A6,1,SEARCH("_",A6,1)-1)&amp;"-"&amp;VLOOKUP(MID(A6,SEARCH("_",A6,1)+1,6)+0,[1]buff对照表!$I$1:$K$6,2,FALSE))</f>
        <v>[]</v>
      </c>
      <c r="D6" s="33" t="str">
        <f t="shared" si="1"/>
        <v>attack_1</v>
      </c>
      <c r="E6" s="33">
        <f>VLOOKUP(A6,[1]技能配置!$B$1:$AW$170,8,FALSE)</f>
        <v>0</v>
      </c>
      <c r="F6" s="33">
        <f>0</f>
        <v>0</v>
      </c>
      <c r="G6" s="33">
        <f>0</f>
        <v>0</v>
      </c>
      <c r="H6" s="33">
        <f t="shared" si="3"/>
        <v>0</v>
      </c>
      <c r="I6" s="33">
        <f>0</f>
        <v>0</v>
      </c>
      <c r="J6" s="33" t="str">
        <f t="shared" si="4"/>
        <v>[]</v>
      </c>
      <c r="K6" s="33" t="str">
        <f>IF(VLOOKUP(A6,[1]技能配置!$B$1:$AW$170,3,FALSE)="","[]",VLOOKUP(A6,[1]技能配置!$B$1:$AW$170,3,FALSE))</f>
        <v>[]</v>
      </c>
      <c r="L6" s="33">
        <f>5</f>
        <v>5</v>
      </c>
      <c r="M6" s="33" t="str">
        <f t="shared" si="5"/>
        <v>手填</v>
      </c>
      <c r="N6" s="33">
        <f>2</f>
        <v>2</v>
      </c>
      <c r="O6" s="33">
        <f>0</f>
        <v>0</v>
      </c>
      <c r="P6" s="33" t="str">
        <f t="shared" si="6"/>
        <v>[]</v>
      </c>
      <c r="Q6" s="33" t="str">
        <f t="shared" si="2"/>
        <v>[]</v>
      </c>
      <c r="R6" s="33" t="str">
        <f t="shared" si="2"/>
        <v>[]</v>
      </c>
      <c r="S6" s="33">
        <f>0</f>
        <v>0</v>
      </c>
      <c r="T6" s="33">
        <f>0</f>
        <v>0</v>
      </c>
      <c r="U6" s="33">
        <f>0</f>
        <v>0</v>
      </c>
      <c r="V6" s="33">
        <f>0</f>
        <v>0</v>
      </c>
      <c r="W6" s="33">
        <f>0</f>
        <v>0</v>
      </c>
      <c r="X6" s="33">
        <f>0</f>
        <v>0</v>
      </c>
      <c r="Y6" s="33">
        <f>0</f>
        <v>0</v>
      </c>
    </row>
    <row r="7" spans="1:25" x14ac:dyDescent="0.15">
      <c r="A7" s="32" t="str">
        <f>引用表!A$9&amp;"_1"</f>
        <v>tuotatianwang_1</v>
      </c>
      <c r="B7" s="33" t="str">
        <f>VLOOKUP(A7,特效配置!$A$1:Z$50,3,FALSE)</f>
        <v>[]</v>
      </c>
      <c r="C7" s="33" t="str">
        <f>IF(B7="[]","[]",MID(A7,1,SEARCH("_",A7,1)-1)&amp;"-"&amp;VLOOKUP(MID(A7,SEARCH("_",A7,1)+1,6)+0,[1]buff对照表!$I$1:$K$6,2,FALSE))</f>
        <v>[]</v>
      </c>
      <c r="D7" s="33" t="str">
        <f t="shared" si="1"/>
        <v>skill_4</v>
      </c>
      <c r="E7" s="33">
        <f>VLOOKUP(A7,[1]技能配置!$B$1:$AW$170,8,FALSE)</f>
        <v>1.667</v>
      </c>
      <c r="F7" s="33">
        <f>0</f>
        <v>0</v>
      </c>
      <c r="G7" s="33">
        <f>0</f>
        <v>0</v>
      </c>
      <c r="H7" s="33">
        <f t="shared" si="3"/>
        <v>0</v>
      </c>
      <c r="I7" s="33">
        <f>0</f>
        <v>0</v>
      </c>
      <c r="J7" s="33" t="str">
        <f t="shared" si="4"/>
        <v>[]</v>
      </c>
      <c r="K7" s="33" t="str">
        <f>IF(VLOOKUP(A7,[1]技能配置!$B$1:$AW$170,3,FALSE)="","[]",VLOOKUP(A7,[1]技能配置!$B$1:$AW$170,3,FALSE))</f>
        <v>[]</v>
      </c>
      <c r="L7" s="33">
        <f>5</f>
        <v>5</v>
      </c>
      <c r="M7" s="33" t="str">
        <f t="shared" si="5"/>
        <v>手填</v>
      </c>
      <c r="N7" s="33">
        <f>2</f>
        <v>2</v>
      </c>
      <c r="O7" s="33">
        <f>0</f>
        <v>0</v>
      </c>
      <c r="P7" s="33" t="str">
        <f t="shared" si="6"/>
        <v>[]</v>
      </c>
      <c r="Q7" s="33" t="str">
        <f t="shared" si="2"/>
        <v>[]</v>
      </c>
      <c r="R7" s="33" t="str">
        <f t="shared" si="2"/>
        <v>[]</v>
      </c>
      <c r="S7" s="33">
        <f>0</f>
        <v>0</v>
      </c>
      <c r="T7" s="33">
        <f>0</f>
        <v>0</v>
      </c>
      <c r="U7" s="33">
        <f>0</f>
        <v>0</v>
      </c>
      <c r="V7" s="33">
        <f>0</f>
        <v>0</v>
      </c>
      <c r="W7" s="33">
        <f>0</f>
        <v>0</v>
      </c>
      <c r="X7" s="33">
        <f>0</f>
        <v>0</v>
      </c>
      <c r="Y7" s="33">
        <f>0</f>
        <v>0</v>
      </c>
    </row>
    <row r="8" spans="1:25" x14ac:dyDescent="0.15">
      <c r="A8" s="32" t="str">
        <f>引用表!A$9&amp;"_2"</f>
        <v>tuotatianwang_2</v>
      </c>
      <c r="B8" s="33" t="str">
        <f>VLOOKUP(A8,特效配置!$A$1:Z$50,3,FALSE)</f>
        <v>[]</v>
      </c>
      <c r="C8" s="33" t="str">
        <f>IF(B8="[]","[]",MID(A8,1,SEARCH("_",A8,1)-1)&amp;"-"&amp;VLOOKUP(MID(A8,SEARCH("_",A8,1)+1,6)+0,[1]buff对照表!$I$1:$K$6,2,FALSE))</f>
        <v>[]</v>
      </c>
      <c r="D8" s="33" t="str">
        <f>IF(MID(A8,SEARCH("_",A8,1)+1,6)="0","attack_1",IF(MID(A8,SEARCH("_",A8,1)+1,6)="2","skill_2","skill_4"))</f>
        <v>skill_2</v>
      </c>
      <c r="E8" s="33">
        <f>VLOOKUP(A8,[1]技能配置!$B$1:$AW$170,8,FALSE)</f>
        <v>2.6669999999999998</v>
      </c>
      <c r="F8" s="33">
        <f>0</f>
        <v>0</v>
      </c>
      <c r="G8" s="33">
        <f>0</f>
        <v>0</v>
      </c>
      <c r="H8" s="33">
        <f t="shared" si="3"/>
        <v>0</v>
      </c>
      <c r="I8" s="33">
        <f>0</f>
        <v>0</v>
      </c>
      <c r="J8" s="33" t="str">
        <f t="shared" si="4"/>
        <v>[]</v>
      </c>
      <c r="K8" s="33" t="str">
        <f>IF(VLOOKUP(A8,[1]技能配置!$B$1:$AW$170,3,FALSE)="","[]",VLOOKUP(A8,[1]技能配置!$B$1:$AW$170,3,FALSE))</f>
        <v>[]</v>
      </c>
      <c r="L8" s="33">
        <f>5</f>
        <v>5</v>
      </c>
      <c r="M8" s="33" t="str">
        <f t="shared" si="5"/>
        <v>手填</v>
      </c>
      <c r="N8" s="33">
        <f>2</f>
        <v>2</v>
      </c>
      <c r="O8" s="33">
        <f>0</f>
        <v>0</v>
      </c>
      <c r="P8" s="33" t="str">
        <f t="shared" si="6"/>
        <v>[]</v>
      </c>
      <c r="Q8" s="33" t="str">
        <f t="shared" si="2"/>
        <v>[]</v>
      </c>
      <c r="R8" s="33" t="str">
        <f t="shared" si="2"/>
        <v>[]</v>
      </c>
      <c r="S8" s="33">
        <f>0</f>
        <v>0</v>
      </c>
      <c r="T8" s="33">
        <f>0</f>
        <v>0</v>
      </c>
      <c r="U8" s="33">
        <f>0</f>
        <v>0</v>
      </c>
      <c r="V8" s="33">
        <f>0</f>
        <v>0</v>
      </c>
      <c r="W8" s="33">
        <f>0</f>
        <v>0</v>
      </c>
      <c r="X8" s="33">
        <f>0</f>
        <v>0</v>
      </c>
      <c r="Y8" s="33">
        <f>0</f>
        <v>0</v>
      </c>
    </row>
    <row r="9" spans="1:25" x14ac:dyDescent="0.15">
      <c r="A9" s="32" t="str">
        <f>引用表!A$9&amp;"_3"</f>
        <v>tuotatianwang_3</v>
      </c>
      <c r="B9" s="33" t="str">
        <f>VLOOKUP(A9,特效配置!$A$1:Z$50,3,FALSE)</f>
        <v>[]</v>
      </c>
      <c r="C9" s="33" t="str">
        <f>IF(B9="[]","[]",MID(A9,1,SEARCH("_",A9,1)-1)&amp;"-"&amp;VLOOKUP(MID(A9,SEARCH("_",A9,1)+1,6)+0,[1]buff对照表!$I$1:$K$6,2,FALSE))</f>
        <v>[]</v>
      </c>
      <c r="D9" s="33" t="str">
        <f t="shared" ref="D9:D10" si="7">IF(MID(A9,SEARCH("_",A9,1)+1,6)="0","attack_1",IF(MID(A9,SEARCH("_",A9,1)+1,6)="2","skill_2","skill_4"))</f>
        <v>skill_4</v>
      </c>
      <c r="E9" s="33">
        <f>VLOOKUP(A9,[1]技能配置!$B$1:$AW$170,8,FALSE)</f>
        <v>0</v>
      </c>
      <c r="F9" s="33">
        <f>0</f>
        <v>0</v>
      </c>
      <c r="G9" s="33">
        <f>0</f>
        <v>0</v>
      </c>
      <c r="H9" s="33">
        <f t="shared" si="3"/>
        <v>0</v>
      </c>
      <c r="I9" s="33">
        <f>0</f>
        <v>0</v>
      </c>
      <c r="J9" s="33" t="str">
        <f t="shared" si="4"/>
        <v>[]</v>
      </c>
      <c r="K9" s="33" t="str">
        <f>IF(VLOOKUP(A9,[1]技能配置!$B$1:$AW$170,3,FALSE)="","[]",VLOOKUP(A9,[1]技能配置!$B$1:$AW$170,3,FALSE))</f>
        <v>[]</v>
      </c>
      <c r="L9" s="33">
        <f>5</f>
        <v>5</v>
      </c>
      <c r="M9" s="33" t="str">
        <f t="shared" si="5"/>
        <v>手填</v>
      </c>
      <c r="N9" s="33">
        <f>2</f>
        <v>2</v>
      </c>
      <c r="O9" s="33">
        <f>0</f>
        <v>0</v>
      </c>
      <c r="P9" s="33" t="str">
        <f t="shared" si="6"/>
        <v>[]</v>
      </c>
      <c r="Q9" s="33" t="str">
        <f t="shared" si="2"/>
        <v>[]</v>
      </c>
      <c r="R9" s="33" t="str">
        <f t="shared" si="2"/>
        <v>[]</v>
      </c>
      <c r="S9" s="33">
        <f>0</f>
        <v>0</v>
      </c>
      <c r="T9" s="33">
        <f>0</f>
        <v>0</v>
      </c>
      <c r="U9" s="33">
        <f>0</f>
        <v>0</v>
      </c>
      <c r="V9" s="33">
        <f>0</f>
        <v>0</v>
      </c>
      <c r="W9" s="33">
        <f>0</f>
        <v>0</v>
      </c>
      <c r="X9" s="33">
        <f>0</f>
        <v>0</v>
      </c>
      <c r="Y9" s="33">
        <f>0</f>
        <v>0</v>
      </c>
    </row>
    <row r="10" spans="1:25" x14ac:dyDescent="0.15">
      <c r="A10" s="32" t="str">
        <f>引用表!A$9&amp;"_4"</f>
        <v>tuotatianwang_4</v>
      </c>
      <c r="B10" s="33" t="str">
        <f>VLOOKUP(A10,特效配置!$A$1:Z$50,3,FALSE)</f>
        <v>[]</v>
      </c>
      <c r="C10" s="33" t="str">
        <f>IF(B10="[]","[]",MID(A10,1,SEARCH("_",A10,1)-1)&amp;"-"&amp;VLOOKUP(MID(A10,SEARCH("_",A10,1)+1,6)+0,[1]buff对照表!$I$1:$K$6,2,FALSE))</f>
        <v>[]</v>
      </c>
      <c r="D10" s="33" t="str">
        <f t="shared" si="7"/>
        <v>skill_4</v>
      </c>
      <c r="E10" s="33">
        <f>VLOOKUP(A10,[1]技能配置!$B$1:$AW$170,8,FALSE)</f>
        <v>3.6669999999999998</v>
      </c>
      <c r="F10" s="33">
        <f>0</f>
        <v>0</v>
      </c>
      <c r="G10" s="33">
        <f>0</f>
        <v>0</v>
      </c>
      <c r="H10" s="33">
        <f t="shared" si="3"/>
        <v>0</v>
      </c>
      <c r="I10" s="33">
        <f>0</f>
        <v>0</v>
      </c>
      <c r="J10" s="33" t="str">
        <f t="shared" si="4"/>
        <v>[]</v>
      </c>
      <c r="K10" s="33" t="str">
        <f>IF(VLOOKUP(A10,[1]技能配置!$B$1:$AW$170,3,FALSE)="","[]",VLOOKUP(A10,[1]技能配置!$B$1:$AW$170,3,FALSE))</f>
        <v>[]</v>
      </c>
      <c r="L10" s="33">
        <f>5</f>
        <v>5</v>
      </c>
      <c r="M10" s="33" t="str">
        <f t="shared" si="5"/>
        <v>手填</v>
      </c>
      <c r="N10" s="33">
        <f>2</f>
        <v>2</v>
      </c>
      <c r="O10" s="33">
        <f>0</f>
        <v>0</v>
      </c>
      <c r="P10" s="33" t="str">
        <f t="shared" si="6"/>
        <v>[]</v>
      </c>
      <c r="Q10" s="33" t="str">
        <f t="shared" si="2"/>
        <v>[]</v>
      </c>
      <c r="R10" s="33" t="str">
        <f t="shared" si="2"/>
        <v>[]</v>
      </c>
      <c r="S10" s="33">
        <f>0</f>
        <v>0</v>
      </c>
      <c r="T10" s="33">
        <f>0</f>
        <v>0</v>
      </c>
      <c r="U10" s="33">
        <f>0</f>
        <v>0</v>
      </c>
      <c r="V10" s="33">
        <f>0</f>
        <v>0</v>
      </c>
      <c r="W10" s="33">
        <f>0</f>
        <v>0</v>
      </c>
      <c r="X10" s="33">
        <f>0</f>
        <v>0</v>
      </c>
      <c r="Y10" s="33">
        <f>0</f>
        <v>0</v>
      </c>
    </row>
    <row r="11" spans="1:25" s="32" customFormat="1" x14ac:dyDescent="0.15">
      <c r="B11" s="33"/>
      <c r="C11" s="33"/>
      <c r="D11" s="33"/>
      <c r="E11" s="33"/>
      <c r="F11" s="33"/>
      <c r="G11" s="33"/>
      <c r="H11" s="33"/>
      <c r="I11" s="33"/>
      <c r="J11" s="33"/>
      <c r="K11" s="33" t="e">
        <f>IF(VLOOKUP(A11,[1]技能配置!$B$1:$AW$170,3,FALSE)="","[]",VLOOKUP(A11,[1]技能配置!$B$1:$AW$170,3,FALSE))</f>
        <v>#N/A</v>
      </c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x14ac:dyDescent="0.1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3" t="e">
        <f>IF(VLOOKUP(A12,[1]技能配置!$B$1:$AW$170,3,FALSE)="","[]",VLOOKUP(A12,[1]技能配置!$B$1:$AW$170,3,FALSE))</f>
        <v>#N/A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x14ac:dyDescent="0.1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3" t="e">
        <f>IF(VLOOKUP(A13,[1]技能配置!$B$1:$AW$170,3,FALSE)="","[]",VLOOKUP(A13,[1]技能配置!$B$1:$AW$170,3,FALSE))</f>
        <v>#N/A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x14ac:dyDescent="0.1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3" t="e">
        <f>IF(VLOOKUP(A14,[1]技能配置!$B$1:$AW$170,3,FALSE)="","[]",VLOOKUP(A14,[1]技能配置!$B$1:$AW$170,3,FALSE))</f>
        <v>#N/A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x14ac:dyDescent="0.1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3" t="e">
        <f>IF(VLOOKUP(A15,[1]技能配置!$B$1:$AW$170,3,FALSE)="","[]",VLOOKUP(A15,[1]技能配置!$B$1:$AW$170,3,FALSE))</f>
        <v>#N/A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 x14ac:dyDescent="0.1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15">
      <c r="A17" s="3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x14ac:dyDescent="0.15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15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15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15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1"/>
  <sheetViews>
    <sheetView workbookViewId="0">
      <pane xSplit="3" ySplit="10" topLeftCell="D11" activePane="bottomRight" state="frozen"/>
      <selection pane="topRight" activeCell="F1" sqref="F1"/>
      <selection pane="bottomLeft" activeCell="A11" sqref="A11"/>
      <selection pane="bottomRight" activeCell="K4" sqref="K4:K10"/>
    </sheetView>
  </sheetViews>
  <sheetFormatPr defaultRowHeight="17.25" x14ac:dyDescent="0.15"/>
  <cols>
    <col min="1" max="1" width="14.125" style="20" bestFit="1" customWidth="1"/>
    <col min="2" max="2" width="19.375" bestFit="1" customWidth="1"/>
    <col min="3" max="3" width="17.375" bestFit="1" customWidth="1"/>
    <col min="4" max="4" width="17.75" style="20" customWidth="1"/>
    <col min="5" max="5" width="13.875" bestFit="1" customWidth="1"/>
    <col min="6" max="6" width="12.5" bestFit="1" customWidth="1"/>
    <col min="7" max="7" width="44.875" bestFit="1" customWidth="1"/>
    <col min="8" max="8" width="26.875" bestFit="1" customWidth="1"/>
    <col min="9" max="9" width="13.875" bestFit="1" customWidth="1"/>
    <col min="10" max="10" width="15.5" bestFit="1" customWidth="1"/>
    <col min="11" max="11" width="25.625" bestFit="1" customWidth="1"/>
    <col min="12" max="12" width="13.375" bestFit="1" customWidth="1"/>
    <col min="13" max="13" width="35.5" bestFit="1" customWidth="1"/>
    <col min="14" max="14" width="23.875" customWidth="1"/>
    <col min="15" max="16" width="22.125" bestFit="1" customWidth="1"/>
    <col min="17" max="17" width="23.375" bestFit="1" customWidth="1"/>
    <col min="18" max="18" width="12" bestFit="1" customWidth="1"/>
    <col min="19" max="19" width="13" bestFit="1" customWidth="1"/>
    <col min="20" max="20" width="14.125" bestFit="1" customWidth="1"/>
    <col min="21" max="21" width="16.125" bestFit="1" customWidth="1"/>
    <col min="22" max="22" width="15.25" bestFit="1" customWidth="1"/>
    <col min="23" max="23" width="14.875" bestFit="1" customWidth="1"/>
    <col min="24" max="24" width="12.625" bestFit="1" customWidth="1"/>
  </cols>
  <sheetData>
    <row r="1" spans="1:25" s="21" customFormat="1" ht="144.75" customHeight="1" x14ac:dyDescent="0.15">
      <c r="B1" s="23" t="s">
        <v>1477</v>
      </c>
      <c r="C1" s="23" t="s">
        <v>1478</v>
      </c>
      <c r="D1" s="23" t="s">
        <v>1460</v>
      </c>
      <c r="E1" s="23" t="s">
        <v>1461</v>
      </c>
      <c r="F1" s="23" t="s">
        <v>1462</v>
      </c>
      <c r="G1" s="23" t="s">
        <v>1496</v>
      </c>
      <c r="H1" s="23" t="s">
        <v>1464</v>
      </c>
      <c r="I1" s="23" t="s">
        <v>1465</v>
      </c>
      <c r="J1" s="23" t="s">
        <v>1466</v>
      </c>
      <c r="K1" s="23" t="s">
        <v>1467</v>
      </c>
      <c r="L1" s="23" t="s">
        <v>1468</v>
      </c>
      <c r="M1" s="23" t="s">
        <v>1469</v>
      </c>
      <c r="N1" s="23" t="s">
        <v>1479</v>
      </c>
      <c r="O1" s="23" t="s">
        <v>1498</v>
      </c>
      <c r="P1" s="23" t="s">
        <v>1497</v>
      </c>
      <c r="Q1" s="23" t="s">
        <v>1499</v>
      </c>
      <c r="R1" s="23" t="s">
        <v>1482</v>
      </c>
      <c r="S1" s="23" t="s">
        <v>1484</v>
      </c>
      <c r="T1" s="23" t="s">
        <v>1486</v>
      </c>
      <c r="U1" s="23" t="s">
        <v>1485</v>
      </c>
      <c r="V1" s="23" t="s">
        <v>1487</v>
      </c>
      <c r="W1" s="23" t="s">
        <v>4</v>
      </c>
      <c r="X1" s="23" t="s">
        <v>5</v>
      </c>
      <c r="Y1" s="23" t="s">
        <v>6</v>
      </c>
    </row>
    <row r="2" spans="1:25" s="22" customFormat="1" x14ac:dyDescent="0.15">
      <c r="B2" s="24" t="s">
        <v>7</v>
      </c>
      <c r="C2" s="24" t="s">
        <v>8</v>
      </c>
      <c r="D2" s="24" t="s">
        <v>1470</v>
      </c>
      <c r="E2" s="24" t="s">
        <v>1471</v>
      </c>
      <c r="F2" s="24" t="s">
        <v>1472</v>
      </c>
      <c r="G2" s="24" t="s">
        <v>1473</v>
      </c>
      <c r="H2" s="24" t="s">
        <v>1474</v>
      </c>
      <c r="I2" s="24" t="s">
        <v>1475</v>
      </c>
      <c r="J2" s="24" t="s">
        <v>1476</v>
      </c>
      <c r="K2" s="24" t="s">
        <v>9</v>
      </c>
      <c r="L2" s="24" t="s">
        <v>10</v>
      </c>
      <c r="M2" s="24" t="s">
        <v>11</v>
      </c>
      <c r="N2" s="24" t="s">
        <v>12</v>
      </c>
      <c r="O2" s="24" t="s">
        <v>13</v>
      </c>
      <c r="P2" s="24" t="s">
        <v>14</v>
      </c>
      <c r="Q2" s="24" t="s">
        <v>15</v>
      </c>
      <c r="R2" s="24" t="s">
        <v>16</v>
      </c>
      <c r="S2" s="24" t="s">
        <v>17</v>
      </c>
      <c r="T2" s="24" t="s">
        <v>18</v>
      </c>
      <c r="U2" s="24" t="s">
        <v>19</v>
      </c>
      <c r="V2" s="24" t="s">
        <v>20</v>
      </c>
      <c r="W2" s="24" t="s">
        <v>21</v>
      </c>
      <c r="X2" s="24" t="s">
        <v>22</v>
      </c>
      <c r="Y2" s="24" t="s">
        <v>23</v>
      </c>
    </row>
    <row r="3" spans="1:25" s="22" customFormat="1" x14ac:dyDescent="0.15">
      <c r="B3" s="24">
        <f>A3+1</f>
        <v>1</v>
      </c>
      <c r="C3" s="24">
        <f>B3+1</f>
        <v>2</v>
      </c>
      <c r="D3" s="24">
        <f t="shared" ref="D3" si="0">C3+1</f>
        <v>3</v>
      </c>
      <c r="E3" s="24">
        <f t="shared" ref="E3:X3" si="1">D3+1</f>
        <v>4</v>
      </c>
      <c r="F3" s="24">
        <f t="shared" si="1"/>
        <v>5</v>
      </c>
      <c r="G3" s="24">
        <f t="shared" si="1"/>
        <v>6</v>
      </c>
      <c r="H3" s="24">
        <f t="shared" si="1"/>
        <v>7</v>
      </c>
      <c r="I3" s="24">
        <f t="shared" si="1"/>
        <v>8</v>
      </c>
      <c r="J3" s="24">
        <f t="shared" si="1"/>
        <v>9</v>
      </c>
      <c r="K3" s="24">
        <f t="shared" si="1"/>
        <v>10</v>
      </c>
      <c r="L3" s="24">
        <f t="shared" si="1"/>
        <v>11</v>
      </c>
      <c r="M3" s="24">
        <f t="shared" si="1"/>
        <v>12</v>
      </c>
      <c r="N3" s="24">
        <f t="shared" si="1"/>
        <v>13</v>
      </c>
      <c r="O3" s="24">
        <f t="shared" si="1"/>
        <v>14</v>
      </c>
      <c r="P3" s="24">
        <f t="shared" si="1"/>
        <v>15</v>
      </c>
      <c r="Q3" s="24">
        <f t="shared" si="1"/>
        <v>16</v>
      </c>
      <c r="R3" s="24">
        <f t="shared" si="1"/>
        <v>17</v>
      </c>
      <c r="S3" s="24">
        <f t="shared" si="1"/>
        <v>18</v>
      </c>
      <c r="T3" s="24">
        <f t="shared" si="1"/>
        <v>19</v>
      </c>
      <c r="U3" s="24">
        <f t="shared" si="1"/>
        <v>20</v>
      </c>
      <c r="V3" s="24">
        <f t="shared" si="1"/>
        <v>21</v>
      </c>
      <c r="W3" s="24">
        <f t="shared" si="1"/>
        <v>22</v>
      </c>
      <c r="X3" s="24">
        <f t="shared" si="1"/>
        <v>23</v>
      </c>
      <c r="Y3" s="24">
        <f>X3+1</f>
        <v>24</v>
      </c>
    </row>
    <row r="4" spans="1:25" x14ac:dyDescent="0.15">
      <c r="A4" s="32" t="s">
        <v>1489</v>
      </c>
      <c r="B4" s="33" t="str">
        <f>VLOOKUP(A4,特效配置!$A$1:Z$50,4,FALSE)</f>
        <v>nvzhujue_attack</v>
      </c>
      <c r="C4" s="33" t="str">
        <f>IF(B4="[]","[]",MID(A4,1,SEARCH("_",A4,1)-1)&amp;"-"&amp;VLOOKUP(MID(A4,SEARCH("_",A4,1)+1,6)+0,[1]buff对照表!$I$1:$K$6,2,FALSE))</f>
        <v>nvzhujue-普攻</v>
      </c>
      <c r="D4" s="33" t="str">
        <f t="shared" ref="D4:D7" si="2">IF(MID(A4,SEARCH("_",A4,1)+1,6)="0","attack_1",IF(MID(A4,SEARCH("_",A4,1)+1,6)="2","skill_2","skill_4"))</f>
        <v>attack_1</v>
      </c>
      <c r="E4" s="33">
        <f>VLOOKUP(A4,[1]技能配置!$B$1:$AW$170,8,FALSE)</f>
        <v>1</v>
      </c>
      <c r="F4" s="33">
        <f>0</f>
        <v>0</v>
      </c>
      <c r="G4" s="33">
        <f>VLOOKUP(MID(VLOOKUP(A4,[1]技能配置!$B$1:$AW$170,11,FALSE),1,2),[1]技能范围!$A$2:$G$9,7,FALSE)</f>
        <v>2</v>
      </c>
      <c r="H4" s="33">
        <f t="shared" ref="H4:H10" si="3">IF(OR(G4=2,G4=4,MID(G4,1,2)="14"),17,0)</f>
        <v>17</v>
      </c>
      <c r="I4" s="33">
        <f>1</f>
        <v>1</v>
      </c>
      <c r="J4" s="33" t="str">
        <f t="shared" ref="J4:J10" si="4">"[]"</f>
        <v>[]</v>
      </c>
      <c r="K4" s="33" t="str">
        <f>IF(VLOOKUP(A4,[1]技能配置!$B$1:$AW$170,4,FALSE)="","[]",VLOOKUP(A4,[1]技能配置!$B$1:$AW$170,4,FALSE))</f>
        <v>nvzhujie_attack</v>
      </c>
      <c r="L4" s="33">
        <f>5</f>
        <v>5</v>
      </c>
      <c r="M4" s="33" t="str">
        <f t="shared" ref="M4:M10" si="5">"手填"</f>
        <v>手填</v>
      </c>
      <c r="N4" s="33">
        <f>IF(OR(VLOOKUP(A4,[1]技能配置!$B$1:$AW$170,10,FALSE)="敌方"),3,1)</f>
        <v>1</v>
      </c>
      <c r="O4" s="33">
        <f>0</f>
        <v>0</v>
      </c>
      <c r="P4" s="33" t="str">
        <f t="shared" ref="P4:R10" si="6">"[]"</f>
        <v>[]</v>
      </c>
      <c r="Q4" s="33" t="str">
        <f t="shared" si="6"/>
        <v>[]</v>
      </c>
      <c r="R4" s="33" t="str">
        <f t="shared" si="6"/>
        <v>[]</v>
      </c>
      <c r="S4" s="33">
        <f>0</f>
        <v>0</v>
      </c>
      <c r="T4" s="33">
        <f>0</f>
        <v>0</v>
      </c>
      <c r="U4" s="33">
        <f>0</f>
        <v>0</v>
      </c>
      <c r="V4" s="33">
        <f>0</f>
        <v>0</v>
      </c>
      <c r="W4" s="33">
        <f>0</f>
        <v>0</v>
      </c>
      <c r="X4" s="33">
        <f>0</f>
        <v>0</v>
      </c>
      <c r="Y4" s="33">
        <f>0</f>
        <v>0</v>
      </c>
    </row>
    <row r="5" spans="1:25" x14ac:dyDescent="0.15">
      <c r="A5" s="32" t="s">
        <v>1488</v>
      </c>
      <c r="B5" s="33" t="str">
        <f>VLOOKUP(A5,特效配置!$A$1:Z$50,4,FALSE)</f>
        <v>nanzhujue_attack</v>
      </c>
      <c r="C5" s="33" t="str">
        <f>IF(B5="[]","[]",MID(A5,1,SEARCH("_",A5,1)-1)&amp;"-"&amp;VLOOKUP(MID(A5,SEARCH("_",A5,1)+1,6)+0,[1]buff对照表!$I$1:$K$6,2,FALSE))</f>
        <v>nanzhujue-普攻</v>
      </c>
      <c r="D5" s="33" t="str">
        <f t="shared" si="2"/>
        <v>attack_1</v>
      </c>
      <c r="E5" s="33">
        <f>VLOOKUP(A5,[1]技能配置!$B$1:$AW$170,8,FALSE)</f>
        <v>1.33</v>
      </c>
      <c r="F5" s="33">
        <f>0</f>
        <v>0</v>
      </c>
      <c r="G5" s="33">
        <f>VLOOKUP(MID(VLOOKUP(A5,[1]技能配置!$B$1:$AW$170,11,FALSE),1,2),[1]技能范围!$A$2:$G$9,7,FALSE)</f>
        <v>2</v>
      </c>
      <c r="H5" s="33">
        <f t="shared" si="3"/>
        <v>17</v>
      </c>
      <c r="I5" s="33">
        <f>1</f>
        <v>1</v>
      </c>
      <c r="J5" s="33" t="str">
        <f t="shared" si="4"/>
        <v>[]</v>
      </c>
      <c r="K5" s="33" t="str">
        <f>IF(VLOOKUP(A5,[1]技能配置!$B$1:$AW$170,4,FALSE)="","[]",VLOOKUP(A5,[1]技能配置!$B$1:$AW$170,4,FALSE))</f>
        <v>nanzhujue_attack_f01</v>
      </c>
      <c r="L5" s="33">
        <f>5</f>
        <v>5</v>
      </c>
      <c r="M5" s="33" t="str">
        <f t="shared" si="5"/>
        <v>手填</v>
      </c>
      <c r="N5" s="33">
        <f>IF(OR(VLOOKUP(A5,[1]技能配置!$B$1:$AW$170,10,FALSE)="敌方"),3,1)</f>
        <v>1</v>
      </c>
      <c r="O5" s="33">
        <f>0</f>
        <v>0</v>
      </c>
      <c r="P5" s="33" t="str">
        <f t="shared" si="6"/>
        <v>[]</v>
      </c>
      <c r="Q5" s="33" t="str">
        <f t="shared" si="6"/>
        <v>[]</v>
      </c>
      <c r="R5" s="33" t="str">
        <f t="shared" si="6"/>
        <v>[]</v>
      </c>
      <c r="S5" s="33">
        <f>0</f>
        <v>0</v>
      </c>
      <c r="T5" s="33">
        <f>0</f>
        <v>0</v>
      </c>
      <c r="U5" s="33">
        <f>0</f>
        <v>0</v>
      </c>
      <c r="V5" s="33">
        <f>0</f>
        <v>0</v>
      </c>
      <c r="W5" s="33">
        <f>0</f>
        <v>0</v>
      </c>
      <c r="X5" s="33">
        <f>0</f>
        <v>0</v>
      </c>
      <c r="Y5" s="33">
        <f>0</f>
        <v>0</v>
      </c>
    </row>
    <row r="6" spans="1:25" x14ac:dyDescent="0.15">
      <c r="A6" s="32" t="str">
        <f>引用表!A$9&amp;"_0"</f>
        <v>tuotatianwang_0</v>
      </c>
      <c r="B6" s="33" t="str">
        <f>VLOOKUP(A6,特效配置!$A$1:Z$50,4,FALSE)</f>
        <v>tuotatianwang_attack</v>
      </c>
      <c r="C6" s="33" t="str">
        <f>IF(B6="[]","[]",MID(A6,1,SEARCH("_",A6,1)-1)&amp;"-"&amp;VLOOKUP(MID(A6,SEARCH("_",A6,1)+1,6)+0,[1]buff对照表!$I$1:$K$6,2,FALSE))</f>
        <v>tuotatianwang-普攻</v>
      </c>
      <c r="D6" s="33" t="str">
        <f t="shared" si="2"/>
        <v>attack_1</v>
      </c>
      <c r="E6" s="33">
        <f>VLOOKUP(A6,[1]技能配置!$B$1:$AW$170,8,FALSE)</f>
        <v>0</v>
      </c>
      <c r="F6" s="33">
        <f>0</f>
        <v>0</v>
      </c>
      <c r="G6" s="33">
        <f>VLOOKUP(MID(VLOOKUP(A6,[1]技能配置!$B$1:$AW$170,11,FALSE),1,2),[1]技能范围!$A$2:$G$9,7,FALSE)</f>
        <v>2</v>
      </c>
      <c r="H6" s="33">
        <f t="shared" si="3"/>
        <v>17</v>
      </c>
      <c r="I6" s="33">
        <f>1</f>
        <v>1</v>
      </c>
      <c r="J6" s="33" t="str">
        <f t="shared" si="4"/>
        <v>[]</v>
      </c>
      <c r="K6" s="33" t="str">
        <f>IF(VLOOKUP(A6,[1]技能配置!$B$1:$AW$170,4,FALSE)="","[]",VLOOKUP(A6,[1]技能配置!$B$1:$AW$170,4,FALSE))</f>
        <v>tuotatianwang_attack</v>
      </c>
      <c r="L6" s="33">
        <f>5</f>
        <v>5</v>
      </c>
      <c r="M6" s="33" t="str">
        <f t="shared" si="5"/>
        <v>手填</v>
      </c>
      <c r="N6" s="33">
        <f>IF(OR(VLOOKUP(A6,[1]技能配置!$B$1:$AW$170,10,FALSE)="敌方"),3,1)</f>
        <v>1</v>
      </c>
      <c r="O6" s="33">
        <f>0</f>
        <v>0</v>
      </c>
      <c r="P6" s="33" t="str">
        <f t="shared" si="6"/>
        <v>[]</v>
      </c>
      <c r="Q6" s="33" t="str">
        <f t="shared" si="6"/>
        <v>[]</v>
      </c>
      <c r="R6" s="33" t="str">
        <f t="shared" si="6"/>
        <v>[]</v>
      </c>
      <c r="S6" s="33">
        <f>0</f>
        <v>0</v>
      </c>
      <c r="T6" s="33">
        <f>0</f>
        <v>0</v>
      </c>
      <c r="U6" s="33">
        <f>0</f>
        <v>0</v>
      </c>
      <c r="V6" s="33">
        <f>0</f>
        <v>0</v>
      </c>
      <c r="W6" s="33">
        <f>0</f>
        <v>0</v>
      </c>
      <c r="X6" s="33">
        <f>0</f>
        <v>0</v>
      </c>
      <c r="Y6" s="33">
        <f>0</f>
        <v>0</v>
      </c>
    </row>
    <row r="7" spans="1:25" x14ac:dyDescent="0.15">
      <c r="A7" s="32" t="str">
        <f>引用表!A$9&amp;"_1"</f>
        <v>tuotatianwang_1</v>
      </c>
      <c r="B7" s="33" t="str">
        <f>VLOOKUP(A7,特效配置!$A$1:Z$50,4,FALSE)</f>
        <v>tuotatianwang_skill01</v>
      </c>
      <c r="C7" s="33" t="str">
        <f>IF(B7="[]","[]",MID(A7,1,SEARCH("_",A7,1)-1)&amp;"-"&amp;VLOOKUP(MID(A7,SEARCH("_",A7,1)+1,6)+0,[1]buff对照表!$I$1:$K$6,2,FALSE))</f>
        <v>tuotatianwang-核心技能</v>
      </c>
      <c r="D7" s="33" t="str">
        <f t="shared" si="2"/>
        <v>skill_4</v>
      </c>
      <c r="E7" s="33">
        <f>VLOOKUP(A7,[1]技能配置!$B$1:$AW$170,8,FALSE)</f>
        <v>1.667</v>
      </c>
      <c r="F7" s="33">
        <f>0</f>
        <v>0</v>
      </c>
      <c r="G7" s="33">
        <f>VLOOKUP(MID(VLOOKUP(A7,[1]技能配置!$B$1:$AW$170,11,FALSE),1,2),[1]技能范围!$A$2:$G$9,7,FALSE)</f>
        <v>1</v>
      </c>
      <c r="H7" s="33">
        <f t="shared" si="3"/>
        <v>0</v>
      </c>
      <c r="I7" s="33">
        <f>1</f>
        <v>1</v>
      </c>
      <c r="J7" s="33" t="str">
        <f t="shared" si="4"/>
        <v>[]</v>
      </c>
      <c r="K7" s="33" t="str">
        <f>IF(VLOOKUP(A7,[1]技能配置!$B$1:$AW$170,4,FALSE)="","[]",VLOOKUP(A7,[1]技能配置!$B$1:$AW$170,4,FALSE))</f>
        <v>tuotatianwang_effect1</v>
      </c>
      <c r="L7" s="33">
        <f>5</f>
        <v>5</v>
      </c>
      <c r="M7" s="33" t="str">
        <f t="shared" si="5"/>
        <v>手填</v>
      </c>
      <c r="N7" s="33">
        <f>IF(OR(VLOOKUP(A7,[1]技能配置!$B$1:$AW$170,10,FALSE)="敌方"),3,1)</f>
        <v>1</v>
      </c>
      <c r="O7" s="33">
        <f>0</f>
        <v>0</v>
      </c>
      <c r="P7" s="33" t="str">
        <f t="shared" si="6"/>
        <v>[]</v>
      </c>
      <c r="Q7" s="33" t="str">
        <f t="shared" si="6"/>
        <v>[]</v>
      </c>
      <c r="R7" s="33" t="str">
        <f t="shared" si="6"/>
        <v>[]</v>
      </c>
      <c r="S7" s="33">
        <f>0</f>
        <v>0</v>
      </c>
      <c r="T7" s="33">
        <f>0</f>
        <v>0</v>
      </c>
      <c r="U7" s="33">
        <f>0</f>
        <v>0</v>
      </c>
      <c r="V7" s="33">
        <f>0</f>
        <v>0</v>
      </c>
      <c r="W7" s="33">
        <f>0</f>
        <v>0</v>
      </c>
      <c r="X7" s="33">
        <f>0</f>
        <v>0</v>
      </c>
      <c r="Y7" s="33">
        <f>0</f>
        <v>0</v>
      </c>
    </row>
    <row r="8" spans="1:25" x14ac:dyDescent="0.15">
      <c r="A8" s="32" t="str">
        <f>引用表!A$9&amp;"_2"</f>
        <v>tuotatianwang_2</v>
      </c>
      <c r="B8" s="33" t="str">
        <f>VLOOKUP(A8,特效配置!$A$1:Z$50,4,FALSE)</f>
        <v>tuotatianwang_skill02</v>
      </c>
      <c r="C8" s="33" t="str">
        <f>IF(B8="[]","[]",MID(A8,1,SEARCH("_",A8,1)-1)&amp;"-"&amp;VLOOKUP(MID(A8,SEARCH("_",A8,1)+1,6)+0,[1]buff对照表!$I$1:$K$6,2,FALSE))</f>
        <v>tuotatianwang-ai1</v>
      </c>
      <c r="D8" s="33" t="str">
        <f>IF(MID(A8,SEARCH("_",A8,1)+1,6)="0","attack_1",IF(MID(A8,SEARCH("_",A8,1)+1,6)="2","skill_2","skill_4"))</f>
        <v>skill_2</v>
      </c>
      <c r="E8" s="33">
        <f>VLOOKUP(A8,[1]技能配置!$B$1:$AW$170,8,FALSE)</f>
        <v>2.6669999999999998</v>
      </c>
      <c r="F8" s="33">
        <f>0</f>
        <v>0</v>
      </c>
      <c r="G8" s="33">
        <f>VLOOKUP(MID(VLOOKUP(A8,[1]技能配置!$B$1:$AW$170,11,FALSE),1,2),[1]技能范围!$A$2:$G$9,7,FALSE)</f>
        <v>1</v>
      </c>
      <c r="H8" s="33">
        <f t="shared" si="3"/>
        <v>0</v>
      </c>
      <c r="I8" s="33">
        <f>1</f>
        <v>1</v>
      </c>
      <c r="J8" s="33" t="str">
        <f t="shared" si="4"/>
        <v>[]</v>
      </c>
      <c r="K8" s="33" t="str">
        <f>IF(VLOOKUP(A8,[1]技能配置!$B$1:$AW$170,4,FALSE)="","[]",VLOOKUP(A8,[1]技能配置!$B$1:$AW$170,4,FALSE))</f>
        <v>tuotatianwang_effect2</v>
      </c>
      <c r="L8" s="33">
        <f>5</f>
        <v>5</v>
      </c>
      <c r="M8" s="33" t="str">
        <f t="shared" si="5"/>
        <v>手填</v>
      </c>
      <c r="N8" s="33">
        <f>IF(OR(VLOOKUP(A8,[1]技能配置!$B$1:$AW$170,10,FALSE)="敌方"),3,1)</f>
        <v>1</v>
      </c>
      <c r="O8" s="33">
        <f>0</f>
        <v>0</v>
      </c>
      <c r="P8" s="33" t="str">
        <f t="shared" si="6"/>
        <v>[]</v>
      </c>
      <c r="Q8" s="33" t="str">
        <f t="shared" si="6"/>
        <v>[]</v>
      </c>
      <c r="R8" s="33" t="str">
        <f t="shared" si="6"/>
        <v>[]</v>
      </c>
      <c r="S8" s="33">
        <f>0</f>
        <v>0</v>
      </c>
      <c r="T8" s="33">
        <f>0</f>
        <v>0</v>
      </c>
      <c r="U8" s="33">
        <f>0</f>
        <v>0</v>
      </c>
      <c r="V8" s="33">
        <f>0</f>
        <v>0</v>
      </c>
      <c r="W8" s="33">
        <f>0</f>
        <v>0</v>
      </c>
      <c r="X8" s="33">
        <f>0</f>
        <v>0</v>
      </c>
      <c r="Y8" s="33">
        <f>0</f>
        <v>0</v>
      </c>
    </row>
    <row r="9" spans="1:25" x14ac:dyDescent="0.15">
      <c r="A9" s="32" t="str">
        <f>引用表!A$9&amp;"_3"</f>
        <v>tuotatianwang_3</v>
      </c>
      <c r="B9" s="33" t="str">
        <f>VLOOKUP(A9,特效配置!$A$1:Z$50,4,FALSE)</f>
        <v>[]</v>
      </c>
      <c r="C9" s="33" t="str">
        <f>IF(B9="[]","[]",MID(A9,1,SEARCH("_",A9,1)-1)&amp;"-"&amp;VLOOKUP(MID(A9,SEARCH("_",A9,1)+1,6)+0,[1]buff对照表!$I$1:$K$6,2,FALSE))</f>
        <v>[]</v>
      </c>
      <c r="D9" s="33" t="str">
        <f t="shared" ref="D9:D10" si="7">IF(MID(A9,SEARCH("_",A9,1)+1,6)="0","attack_1",IF(MID(A9,SEARCH("_",A9,1)+1,6)="2","skill_2","skill_4"))</f>
        <v>skill_4</v>
      </c>
      <c r="E9" s="33">
        <f>VLOOKUP(A9,[1]技能配置!$B$1:$AW$170,8,FALSE)</f>
        <v>0</v>
      </c>
      <c r="F9" s="33">
        <f>0</f>
        <v>0</v>
      </c>
      <c r="G9" s="33">
        <f>VLOOKUP(MID(VLOOKUP(A9,[1]技能配置!$B$1:$AW$170,11,FALSE),1,2),[1]技能范围!$A$2:$G$9,7,FALSE)</f>
        <v>1</v>
      </c>
      <c r="H9" s="33">
        <f t="shared" si="3"/>
        <v>0</v>
      </c>
      <c r="I9" s="33">
        <f>1</f>
        <v>1</v>
      </c>
      <c r="J9" s="33" t="str">
        <f t="shared" si="4"/>
        <v>[]</v>
      </c>
      <c r="K9" s="33" t="str">
        <f>IF(VLOOKUP(A9,[1]技能配置!$B$1:$AW$170,4,FALSE)="","[]",VLOOKUP(A9,[1]技能配置!$B$1:$AW$170,4,FALSE))</f>
        <v>[]</v>
      </c>
      <c r="L9" s="33">
        <f>5</f>
        <v>5</v>
      </c>
      <c r="M9" s="33" t="str">
        <f t="shared" si="5"/>
        <v>手填</v>
      </c>
      <c r="N9" s="33">
        <f>IF(OR(VLOOKUP(A9,[1]技能配置!$B$1:$AW$170,10,FALSE)="敌方"),3,1)</f>
        <v>1</v>
      </c>
      <c r="O9" s="33">
        <f>0</f>
        <v>0</v>
      </c>
      <c r="P9" s="33" t="str">
        <f t="shared" si="6"/>
        <v>[]</v>
      </c>
      <c r="Q9" s="33" t="str">
        <f t="shared" si="6"/>
        <v>[]</v>
      </c>
      <c r="R9" s="33" t="str">
        <f t="shared" si="6"/>
        <v>[]</v>
      </c>
      <c r="S9" s="33">
        <f>0</f>
        <v>0</v>
      </c>
      <c r="T9" s="33">
        <f>0</f>
        <v>0</v>
      </c>
      <c r="U9" s="33">
        <f>0</f>
        <v>0</v>
      </c>
      <c r="V9" s="33">
        <f>0</f>
        <v>0</v>
      </c>
      <c r="W9" s="33">
        <f>0</f>
        <v>0</v>
      </c>
      <c r="X9" s="33">
        <f>0</f>
        <v>0</v>
      </c>
      <c r="Y9" s="33">
        <f>0</f>
        <v>0</v>
      </c>
    </row>
    <row r="10" spans="1:25" x14ac:dyDescent="0.15">
      <c r="A10" s="32" t="str">
        <f>引用表!A$9&amp;"_4"</f>
        <v>tuotatianwang_4</v>
      </c>
      <c r="B10" s="33" t="str">
        <f>VLOOKUP(A10,特效配置!$A$1:Z$50,4,FALSE)</f>
        <v>tuotatianwang_skill04</v>
      </c>
      <c r="C10" s="33" t="str">
        <f>IF(B10="[]","[]",MID(A10,1,SEARCH("_",A10,1)-1)&amp;"-"&amp;VLOOKUP(MID(A10,SEARCH("_",A10,1)+1,6)+0,[1]buff对照表!$I$1:$K$6,2,FALSE))</f>
        <v>tuotatianwang-ai2</v>
      </c>
      <c r="D10" s="33" t="str">
        <f t="shared" si="7"/>
        <v>skill_4</v>
      </c>
      <c r="E10" s="33">
        <f>VLOOKUP(A10,[1]技能配置!$B$1:$AW$170,8,FALSE)</f>
        <v>3.6669999999999998</v>
      </c>
      <c r="F10" s="33">
        <f>0</f>
        <v>0</v>
      </c>
      <c r="G10" s="33">
        <f>VLOOKUP(MID(VLOOKUP(A10,[1]技能配置!$B$1:$AW$170,11,FALSE),1,2),[1]技能范围!$A$2:$G$9,7,FALSE)</f>
        <v>1</v>
      </c>
      <c r="H10" s="33">
        <f t="shared" si="3"/>
        <v>0</v>
      </c>
      <c r="I10" s="33">
        <f>1</f>
        <v>1</v>
      </c>
      <c r="J10" s="33" t="str">
        <f t="shared" si="4"/>
        <v>[]</v>
      </c>
      <c r="K10" s="33" t="str">
        <f>IF(VLOOKUP(A10,[1]技能配置!$B$1:$AW$170,4,FALSE)="","[]",VLOOKUP(A10,[1]技能配置!$B$1:$AW$170,4,FALSE))</f>
        <v>tuotatianwang_effect4</v>
      </c>
      <c r="L10" s="33">
        <f>5</f>
        <v>5</v>
      </c>
      <c r="M10" s="33" t="str">
        <f t="shared" si="5"/>
        <v>手填</v>
      </c>
      <c r="N10" s="33">
        <f>IF(OR(VLOOKUP(A10,[1]技能配置!$B$1:$AW$170,10,FALSE)="敌方"),3,1)</f>
        <v>1</v>
      </c>
      <c r="O10" s="33">
        <f>0</f>
        <v>0</v>
      </c>
      <c r="P10" s="33" t="str">
        <f t="shared" si="6"/>
        <v>[]</v>
      </c>
      <c r="Q10" s="33" t="str">
        <f t="shared" si="6"/>
        <v>[]</v>
      </c>
      <c r="R10" s="33" t="str">
        <f t="shared" si="6"/>
        <v>[]</v>
      </c>
      <c r="S10" s="33">
        <f>0</f>
        <v>0</v>
      </c>
      <c r="T10" s="33">
        <f>0</f>
        <v>0</v>
      </c>
      <c r="U10" s="33">
        <f>0</f>
        <v>0</v>
      </c>
      <c r="V10" s="33">
        <f>0</f>
        <v>0</v>
      </c>
      <c r="W10" s="33">
        <f>0</f>
        <v>0</v>
      </c>
      <c r="X10" s="33">
        <f>0</f>
        <v>0</v>
      </c>
      <c r="Y10" s="33">
        <f>0</f>
        <v>0</v>
      </c>
    </row>
    <row r="11" spans="1:25" x14ac:dyDescent="0.15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x14ac:dyDescent="0.1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x14ac:dyDescent="0.1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x14ac:dyDescent="0.1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x14ac:dyDescent="0.1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 x14ac:dyDescent="0.1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15">
      <c r="A17" s="3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x14ac:dyDescent="0.15"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15"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15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15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1"/>
  <sheetViews>
    <sheetView workbookViewId="0">
      <pane xSplit="3" ySplit="10" topLeftCell="D11" activePane="bottomRight" state="frozen"/>
      <selection pane="topRight" activeCell="F1" sqref="F1"/>
      <selection pane="bottomLeft" activeCell="A11" sqref="A11"/>
      <selection pane="bottomRight" activeCell="K4" sqref="K4:K19"/>
    </sheetView>
  </sheetViews>
  <sheetFormatPr defaultRowHeight="17.25" x14ac:dyDescent="0.15"/>
  <cols>
    <col min="1" max="1" width="14.125" style="20" bestFit="1" customWidth="1"/>
    <col min="2" max="2" width="16.375" bestFit="1" customWidth="1"/>
    <col min="3" max="3" width="14.125" bestFit="1" customWidth="1"/>
    <col min="4" max="4" width="17.75" style="20" customWidth="1"/>
    <col min="5" max="5" width="13.875" bestFit="1" customWidth="1"/>
    <col min="6" max="6" width="12.5" bestFit="1" customWidth="1"/>
    <col min="7" max="7" width="14.125" bestFit="1" customWidth="1"/>
    <col min="8" max="8" width="26.875" bestFit="1" customWidth="1"/>
    <col min="9" max="9" width="13.875" bestFit="1" customWidth="1"/>
    <col min="10" max="10" width="15.5" bestFit="1" customWidth="1"/>
    <col min="11" max="11" width="40.25" bestFit="1" customWidth="1"/>
    <col min="12" max="12" width="13.375" bestFit="1" customWidth="1"/>
    <col min="13" max="13" width="35.5" bestFit="1" customWidth="1"/>
    <col min="14" max="14" width="31.125" customWidth="1"/>
    <col min="15" max="15" width="18.75" bestFit="1" customWidth="1"/>
    <col min="16" max="16" width="23.375" bestFit="1" customWidth="1"/>
    <col min="17" max="17" width="10.25" bestFit="1" customWidth="1"/>
    <col min="18" max="18" width="13" bestFit="1" customWidth="1"/>
    <col min="19" max="19" width="13.875" bestFit="1" customWidth="1"/>
    <col min="20" max="20" width="16.125" bestFit="1" customWidth="1"/>
    <col min="21" max="21" width="14.625" bestFit="1" customWidth="1"/>
    <col min="22" max="22" width="15.25" bestFit="1" customWidth="1"/>
    <col min="23" max="23" width="14.875" bestFit="1" customWidth="1"/>
    <col min="24" max="24" width="12.625" bestFit="1" customWidth="1"/>
  </cols>
  <sheetData>
    <row r="1" spans="1:25" s="21" customFormat="1" ht="144.75" customHeight="1" x14ac:dyDescent="0.15">
      <c r="B1" s="23" t="s">
        <v>1477</v>
      </c>
      <c r="C1" s="23" t="s">
        <v>1478</v>
      </c>
      <c r="D1" s="23" t="s">
        <v>1460</v>
      </c>
      <c r="E1" s="23" t="s">
        <v>1461</v>
      </c>
      <c r="F1" s="23" t="s">
        <v>1462</v>
      </c>
      <c r="G1" s="23" t="s">
        <v>1496</v>
      </c>
      <c r="H1" s="23" t="s">
        <v>1464</v>
      </c>
      <c r="I1" s="23" t="s">
        <v>1465</v>
      </c>
      <c r="J1" s="23" t="s">
        <v>1466</v>
      </c>
      <c r="K1" s="23" t="s">
        <v>1467</v>
      </c>
      <c r="L1" s="23" t="s">
        <v>1468</v>
      </c>
      <c r="M1" s="23" t="s">
        <v>1469</v>
      </c>
      <c r="N1" s="23" t="s">
        <v>1479</v>
      </c>
      <c r="O1" s="23" t="s">
        <v>1481</v>
      </c>
      <c r="P1" s="23" t="s">
        <v>1480</v>
      </c>
      <c r="Q1" s="23" t="s">
        <v>1483</v>
      </c>
      <c r="R1" s="23" t="s">
        <v>1482</v>
      </c>
      <c r="S1" s="23" t="s">
        <v>1484</v>
      </c>
      <c r="T1" s="23" t="s">
        <v>1486</v>
      </c>
      <c r="U1" s="23" t="s">
        <v>1485</v>
      </c>
      <c r="V1" s="23" t="s">
        <v>1487</v>
      </c>
      <c r="W1" s="23" t="s">
        <v>4</v>
      </c>
      <c r="X1" s="23" t="s">
        <v>5</v>
      </c>
      <c r="Y1" s="23" t="s">
        <v>6</v>
      </c>
    </row>
    <row r="2" spans="1:25" s="22" customFormat="1" x14ac:dyDescent="0.15">
      <c r="B2" s="24" t="s">
        <v>7</v>
      </c>
      <c r="C2" s="24" t="s">
        <v>8</v>
      </c>
      <c r="D2" s="24" t="s">
        <v>1470</v>
      </c>
      <c r="E2" s="24" t="s">
        <v>1471</v>
      </c>
      <c r="F2" s="24" t="s">
        <v>1472</v>
      </c>
      <c r="G2" s="24" t="s">
        <v>1473</v>
      </c>
      <c r="H2" s="24" t="s">
        <v>1474</v>
      </c>
      <c r="I2" s="24" t="s">
        <v>1475</v>
      </c>
      <c r="J2" s="24" t="s">
        <v>1476</v>
      </c>
      <c r="K2" s="24" t="s">
        <v>9</v>
      </c>
      <c r="L2" s="24" t="s">
        <v>10</v>
      </c>
      <c r="M2" s="24" t="s">
        <v>11</v>
      </c>
      <c r="N2" s="24" t="s">
        <v>12</v>
      </c>
      <c r="O2" s="24" t="s">
        <v>13</v>
      </c>
      <c r="P2" s="24" t="s">
        <v>14</v>
      </c>
      <c r="Q2" s="24" t="s">
        <v>15</v>
      </c>
      <c r="R2" s="24" t="s">
        <v>16</v>
      </c>
      <c r="S2" s="24" t="s">
        <v>17</v>
      </c>
      <c r="T2" s="24" t="s">
        <v>18</v>
      </c>
      <c r="U2" s="24" t="s">
        <v>19</v>
      </c>
      <c r="V2" s="24" t="s">
        <v>20</v>
      </c>
      <c r="W2" s="24" t="s">
        <v>21</v>
      </c>
      <c r="X2" s="24" t="s">
        <v>22</v>
      </c>
      <c r="Y2" s="24" t="s">
        <v>23</v>
      </c>
    </row>
    <row r="3" spans="1:25" s="22" customFormat="1" x14ac:dyDescent="0.15">
      <c r="B3" s="24">
        <f t="shared" ref="B3" si="0">A3+1</f>
        <v>1</v>
      </c>
      <c r="C3" s="24">
        <f>B3+1</f>
        <v>2</v>
      </c>
      <c r="D3" s="24">
        <f t="shared" ref="D3" si="1">C3+1</f>
        <v>3</v>
      </c>
      <c r="E3" s="24">
        <f t="shared" ref="E3:X3" si="2">D3+1</f>
        <v>4</v>
      </c>
      <c r="F3" s="24">
        <f t="shared" si="2"/>
        <v>5</v>
      </c>
      <c r="G3" s="24">
        <f t="shared" si="2"/>
        <v>6</v>
      </c>
      <c r="H3" s="24">
        <f t="shared" si="2"/>
        <v>7</v>
      </c>
      <c r="I3" s="24">
        <f t="shared" si="2"/>
        <v>8</v>
      </c>
      <c r="J3" s="24">
        <f t="shared" si="2"/>
        <v>9</v>
      </c>
      <c r="K3" s="24">
        <f t="shared" si="2"/>
        <v>10</v>
      </c>
      <c r="L3" s="24">
        <f t="shared" si="2"/>
        <v>11</v>
      </c>
      <c r="M3" s="24">
        <f t="shared" si="2"/>
        <v>12</v>
      </c>
      <c r="N3" s="24">
        <f t="shared" si="2"/>
        <v>13</v>
      </c>
      <c r="O3" s="24">
        <f t="shared" si="2"/>
        <v>14</v>
      </c>
      <c r="P3" s="24">
        <f t="shared" si="2"/>
        <v>15</v>
      </c>
      <c r="Q3" s="24">
        <f t="shared" si="2"/>
        <v>16</v>
      </c>
      <c r="R3" s="24">
        <f t="shared" si="2"/>
        <v>17</v>
      </c>
      <c r="S3" s="24">
        <f t="shared" si="2"/>
        <v>18</v>
      </c>
      <c r="T3" s="24">
        <f t="shared" si="2"/>
        <v>19</v>
      </c>
      <c r="U3" s="24">
        <f t="shared" si="2"/>
        <v>20</v>
      </c>
      <c r="V3" s="24">
        <f t="shared" si="2"/>
        <v>21</v>
      </c>
      <c r="W3" s="24">
        <f t="shared" si="2"/>
        <v>22</v>
      </c>
      <c r="X3" s="24">
        <f t="shared" si="2"/>
        <v>23</v>
      </c>
      <c r="Y3" s="24">
        <f>X3+1</f>
        <v>24</v>
      </c>
    </row>
    <row r="4" spans="1:25" x14ac:dyDescent="0.15">
      <c r="A4" s="32" t="s">
        <v>1489</v>
      </c>
      <c r="B4" s="33" t="str">
        <f>VLOOKUP(A4,特效配置!$A$1:Z$50,5,FALSE)</f>
        <v>[]</v>
      </c>
      <c r="C4" s="33" t="str">
        <f>IF(B4="[]","[]",MID(A4,1,SEARCH("_",A4,1)-1)&amp;"-"&amp;VLOOKUP(MID(A4,SEARCH("_",A4,1)+1,6)+0,[1]buff对照表!$I$1:$K$6,2,FALSE))</f>
        <v>[]</v>
      </c>
      <c r="D4" s="33" t="str">
        <f t="shared" ref="D4:D7" si="3">IF(MID(A4,SEARCH("_",A4,1)+1,6)="0","attack_1",IF(MID(A4,SEARCH("_",A4,1)+1,6)="2","skill_2","skill_4"))</f>
        <v>attack_1</v>
      </c>
      <c r="E4" s="33">
        <f>VLOOKUP(A4,[1]技能配置!$B$1:$AW$170,8,FALSE)</f>
        <v>1</v>
      </c>
      <c r="F4" s="33">
        <f>0</f>
        <v>0</v>
      </c>
      <c r="G4" s="33">
        <f>VLOOKUP(MID(VLOOKUP(A4,[1]技能配置!$B$1:$AW$170,11,FALSE),1,2),[1]技能范围!$A$2:$G$9,7,FALSE)</f>
        <v>2</v>
      </c>
      <c r="H4" s="33">
        <f t="shared" ref="H4:H10" si="4">IF(OR(G4=2,G4=4,MID(G4,1,2)="14"),17,0)</f>
        <v>17</v>
      </c>
      <c r="I4" s="33">
        <f>1</f>
        <v>1</v>
      </c>
      <c r="J4" s="33" t="str">
        <f t="shared" ref="J4:J10" si="5">"[]"</f>
        <v>[]</v>
      </c>
      <c r="K4" s="33" t="str">
        <f>IF(VLOOKUP(A4,[1]技能配置!$B$1:$AW$170,5,FALSE)="","[]",VLOOKUP(A4,[1]技能配置!$B$1:$AW$170,5,FALSE))</f>
        <v>[]</v>
      </c>
      <c r="L4" s="33">
        <f>5</f>
        <v>5</v>
      </c>
      <c r="M4" s="33" t="str">
        <f t="shared" ref="M4:M10" si="6">"手填"</f>
        <v>手填</v>
      </c>
      <c r="N4" s="33">
        <f>IF(OR(VLOOKUP(A4,[1]技能配置!$B$1:$AW$170,10,FALSE)="敌方"),3,1)</f>
        <v>1</v>
      </c>
      <c r="O4" s="33" t="str">
        <f t="shared" ref="O4:P10" si="7">"手填"</f>
        <v>手填</v>
      </c>
      <c r="P4" s="33" t="str">
        <f t="shared" si="7"/>
        <v>手填</v>
      </c>
      <c r="Q4" s="33" t="str">
        <f t="shared" ref="Q4:R10" si="8">"[]"</f>
        <v>[]</v>
      </c>
      <c r="R4" s="33" t="str">
        <f t="shared" si="8"/>
        <v>[]</v>
      </c>
      <c r="S4" s="33">
        <f>0</f>
        <v>0</v>
      </c>
      <c r="T4" s="33">
        <f>0</f>
        <v>0</v>
      </c>
      <c r="U4" s="33">
        <f>0</f>
        <v>0</v>
      </c>
      <c r="V4" s="33">
        <f>0</f>
        <v>0</v>
      </c>
      <c r="W4" s="33">
        <f>0</f>
        <v>0</v>
      </c>
      <c r="X4" s="33">
        <f>0</f>
        <v>0</v>
      </c>
      <c r="Y4" s="33">
        <f>0</f>
        <v>0</v>
      </c>
    </row>
    <row r="5" spans="1:25" x14ac:dyDescent="0.15">
      <c r="A5" s="32" t="s">
        <v>1488</v>
      </c>
      <c r="B5" s="33" t="str">
        <f>VLOOKUP(A5,特效配置!$A$1:Z$50,5,FALSE)</f>
        <v>[]</v>
      </c>
      <c r="C5" s="33" t="str">
        <f>IF(B5="[]","[]",MID(A5,1,SEARCH("_",A5,1)-1)&amp;"-"&amp;VLOOKUP(MID(A5,SEARCH("_",A5,1)+1,6)+0,[1]buff对照表!$I$1:$K$6,2,FALSE))</f>
        <v>[]</v>
      </c>
      <c r="D5" s="33" t="str">
        <f t="shared" si="3"/>
        <v>attack_1</v>
      </c>
      <c r="E5" s="33">
        <f>VLOOKUP(A5,[1]技能配置!$B$1:$AW$170,8,FALSE)</f>
        <v>1.33</v>
      </c>
      <c r="F5" s="33">
        <f>0</f>
        <v>0</v>
      </c>
      <c r="G5" s="33">
        <f>VLOOKUP(MID(VLOOKUP(A5,[1]技能配置!$B$1:$AW$170,11,FALSE),1,2),[1]技能范围!$A$2:$G$9,7,FALSE)</f>
        <v>2</v>
      </c>
      <c r="H5" s="33">
        <f t="shared" si="4"/>
        <v>17</v>
      </c>
      <c r="I5" s="33">
        <f>1</f>
        <v>1</v>
      </c>
      <c r="J5" s="33" t="str">
        <f t="shared" si="5"/>
        <v>[]</v>
      </c>
      <c r="K5" s="33" t="str">
        <f>IF(VLOOKUP(A5,[1]技能配置!$B$1:$AW$170,5,FALSE)="","[]",VLOOKUP(A5,[1]技能配置!$B$1:$AW$170,5,FALSE))</f>
        <v>[]</v>
      </c>
      <c r="L5" s="33">
        <f>5</f>
        <v>5</v>
      </c>
      <c r="M5" s="33" t="str">
        <f t="shared" si="6"/>
        <v>手填</v>
      </c>
      <c r="N5" s="33">
        <f>IF(OR(VLOOKUP(A5,[1]技能配置!$B$1:$AW$170,10,FALSE)="敌方"),3,1)</f>
        <v>1</v>
      </c>
      <c r="O5" s="33" t="str">
        <f t="shared" si="7"/>
        <v>手填</v>
      </c>
      <c r="P5" s="33" t="str">
        <f t="shared" si="7"/>
        <v>手填</v>
      </c>
      <c r="Q5" s="33" t="str">
        <f t="shared" si="8"/>
        <v>[]</v>
      </c>
      <c r="R5" s="33" t="str">
        <f t="shared" si="8"/>
        <v>[]</v>
      </c>
      <c r="S5" s="33">
        <f>0</f>
        <v>0</v>
      </c>
      <c r="T5" s="33">
        <f>0</f>
        <v>0</v>
      </c>
      <c r="U5" s="33">
        <f>0</f>
        <v>0</v>
      </c>
      <c r="V5" s="33">
        <f>0</f>
        <v>0</v>
      </c>
      <c r="W5" s="33">
        <f>0</f>
        <v>0</v>
      </c>
      <c r="X5" s="33">
        <f>0</f>
        <v>0</v>
      </c>
      <c r="Y5" s="33">
        <f>0</f>
        <v>0</v>
      </c>
    </row>
    <row r="6" spans="1:25" x14ac:dyDescent="0.15">
      <c r="A6" s="32" t="str">
        <f>引用表!A$9&amp;"_0"</f>
        <v>tuotatianwang_0</v>
      </c>
      <c r="B6" s="33" t="str">
        <f>VLOOKUP(A6,特效配置!$A$1:Z$50,5,FALSE)</f>
        <v>[]</v>
      </c>
      <c r="C6" s="33" t="str">
        <f>IF(B6="[]","[]",MID(A6,1,SEARCH("_",A6,1)-1)&amp;"-"&amp;VLOOKUP(MID(A6,SEARCH("_",A6,1)+1,6)+0,[1]buff对照表!$I$1:$K$6,2,FALSE))</f>
        <v>[]</v>
      </c>
      <c r="D6" s="33" t="str">
        <f t="shared" si="3"/>
        <v>attack_1</v>
      </c>
      <c r="E6" s="33">
        <f>VLOOKUP(A6,[1]技能配置!$B$1:$AW$170,8,FALSE)</f>
        <v>0</v>
      </c>
      <c r="F6" s="33">
        <f>0</f>
        <v>0</v>
      </c>
      <c r="G6" s="33">
        <f>VLOOKUP(MID(VLOOKUP(A6,[1]技能配置!$B$1:$AW$170,11,FALSE),1,2),[1]技能范围!$A$2:$G$9,7,FALSE)</f>
        <v>2</v>
      </c>
      <c r="H6" s="33">
        <f t="shared" si="4"/>
        <v>17</v>
      </c>
      <c r="I6" s="33">
        <f>1</f>
        <v>1</v>
      </c>
      <c r="J6" s="33" t="str">
        <f t="shared" si="5"/>
        <v>[]</v>
      </c>
      <c r="K6" s="33" t="str">
        <f>IF(VLOOKUP(A6,[1]技能配置!$B$1:$AW$170,5,FALSE)="","[]",VLOOKUP(A6,[1]技能配置!$B$1:$AW$170,5,FALSE))</f>
        <v>[]</v>
      </c>
      <c r="L6" s="33">
        <f>5</f>
        <v>5</v>
      </c>
      <c r="M6" s="33" t="str">
        <f t="shared" si="6"/>
        <v>手填</v>
      </c>
      <c r="N6" s="33">
        <f>IF(OR(VLOOKUP(A6,[1]技能配置!$B$1:$AW$170,10,FALSE)="敌方"),3,1)</f>
        <v>1</v>
      </c>
      <c r="O6" s="33" t="str">
        <f t="shared" si="7"/>
        <v>手填</v>
      </c>
      <c r="P6" s="33" t="str">
        <f t="shared" si="7"/>
        <v>手填</v>
      </c>
      <c r="Q6" s="33" t="str">
        <f t="shared" si="8"/>
        <v>[]</v>
      </c>
      <c r="R6" s="33" t="str">
        <f t="shared" si="8"/>
        <v>[]</v>
      </c>
      <c r="S6" s="33">
        <f>0</f>
        <v>0</v>
      </c>
      <c r="T6" s="33">
        <f>0</f>
        <v>0</v>
      </c>
      <c r="U6" s="33">
        <f>0</f>
        <v>0</v>
      </c>
      <c r="V6" s="33">
        <f>0</f>
        <v>0</v>
      </c>
      <c r="W6" s="33">
        <f>0</f>
        <v>0</v>
      </c>
      <c r="X6" s="33">
        <f>0</f>
        <v>0</v>
      </c>
      <c r="Y6" s="33">
        <f>0</f>
        <v>0</v>
      </c>
    </row>
    <row r="7" spans="1:25" x14ac:dyDescent="0.15">
      <c r="A7" s="32" t="str">
        <f>引用表!A$9&amp;"_1"</f>
        <v>tuotatianwang_1</v>
      </c>
      <c r="B7" s="33" t="str">
        <f>VLOOKUP(A7,特效配置!$A$1:Z$50,5,FALSE)</f>
        <v>[]</v>
      </c>
      <c r="C7" s="33" t="str">
        <f>IF(B7="[]","[]",MID(A7,1,SEARCH("_",A7,1)-1)&amp;"-"&amp;VLOOKUP(MID(A7,SEARCH("_",A7,1)+1,6)+0,[1]buff对照表!$I$1:$K$6,2,FALSE))</f>
        <v>[]</v>
      </c>
      <c r="D7" s="33" t="str">
        <f t="shared" si="3"/>
        <v>skill_4</v>
      </c>
      <c r="E7" s="33">
        <f>VLOOKUP(A7,[1]技能配置!$B$1:$AW$170,8,FALSE)</f>
        <v>1.667</v>
      </c>
      <c r="F7" s="33">
        <f>0</f>
        <v>0</v>
      </c>
      <c r="G7" s="33">
        <f>VLOOKUP(MID(VLOOKUP(A7,[1]技能配置!$B$1:$AW$170,11,FALSE),1,2),[1]技能范围!$A$2:$G$9,7,FALSE)</f>
        <v>1</v>
      </c>
      <c r="H7" s="33">
        <f t="shared" si="4"/>
        <v>0</v>
      </c>
      <c r="I7" s="33">
        <f>1</f>
        <v>1</v>
      </c>
      <c r="J7" s="33" t="str">
        <f t="shared" si="5"/>
        <v>[]</v>
      </c>
      <c r="K7" s="33" t="str">
        <f>IF(VLOOKUP(A7,[1]技能配置!$B$1:$AW$170,5,FALSE)="","[]",VLOOKUP(A7,[1]技能配置!$B$1:$AW$170,5,FALSE))</f>
        <v>[]</v>
      </c>
      <c r="L7" s="33">
        <f>5</f>
        <v>5</v>
      </c>
      <c r="M7" s="33" t="str">
        <f t="shared" si="6"/>
        <v>手填</v>
      </c>
      <c r="N7" s="33">
        <f>IF(OR(VLOOKUP(A7,[1]技能配置!$B$1:$AW$170,10,FALSE)="敌方"),3,1)</f>
        <v>1</v>
      </c>
      <c r="O7" s="33" t="str">
        <f t="shared" si="7"/>
        <v>手填</v>
      </c>
      <c r="P7" s="33" t="str">
        <f t="shared" si="7"/>
        <v>手填</v>
      </c>
      <c r="Q7" s="33" t="str">
        <f t="shared" si="8"/>
        <v>[]</v>
      </c>
      <c r="R7" s="33" t="str">
        <f t="shared" si="8"/>
        <v>[]</v>
      </c>
      <c r="S7" s="33">
        <f>0</f>
        <v>0</v>
      </c>
      <c r="T7" s="33">
        <f>0</f>
        <v>0</v>
      </c>
      <c r="U7" s="33">
        <f>0</f>
        <v>0</v>
      </c>
      <c r="V7" s="33">
        <f>0</f>
        <v>0</v>
      </c>
      <c r="W7" s="33">
        <f>0</f>
        <v>0</v>
      </c>
      <c r="X7" s="33">
        <f>0</f>
        <v>0</v>
      </c>
      <c r="Y7" s="33">
        <f>0</f>
        <v>0</v>
      </c>
    </row>
    <row r="8" spans="1:25" x14ac:dyDescent="0.15">
      <c r="A8" s="32" t="str">
        <f>引用表!A$9&amp;"_2"</f>
        <v>tuotatianwang_2</v>
      </c>
      <c r="B8" s="33" t="str">
        <f>VLOOKUP(A8,特效配置!$A$1:Z$50,5,FALSE)</f>
        <v>[]</v>
      </c>
      <c r="C8" s="33" t="str">
        <f>IF(B8="[]","[]",MID(A8,1,SEARCH("_",A8,1)-1)&amp;"-"&amp;VLOOKUP(MID(A8,SEARCH("_",A8,1)+1,6)+0,[1]buff对照表!$I$1:$K$6,2,FALSE))</f>
        <v>[]</v>
      </c>
      <c r="D8" s="33" t="str">
        <f>IF(MID(A8,SEARCH("_",A8,1)+1,6)="0","attack_1",IF(MID(A8,SEARCH("_",A8,1)+1,6)="2","skill_2","skill_4"))</f>
        <v>skill_2</v>
      </c>
      <c r="E8" s="33">
        <f>VLOOKUP(A8,[1]技能配置!$B$1:$AW$170,8,FALSE)</f>
        <v>2.6669999999999998</v>
      </c>
      <c r="F8" s="33">
        <f>0</f>
        <v>0</v>
      </c>
      <c r="G8" s="33">
        <f>VLOOKUP(MID(VLOOKUP(A8,[1]技能配置!$B$1:$AW$170,11,FALSE),1,2),[1]技能范围!$A$2:$G$9,7,FALSE)</f>
        <v>1</v>
      </c>
      <c r="H8" s="33">
        <f t="shared" si="4"/>
        <v>0</v>
      </c>
      <c r="I8" s="33">
        <f>1</f>
        <v>1</v>
      </c>
      <c r="J8" s="33" t="str">
        <f t="shared" si="5"/>
        <v>[]</v>
      </c>
      <c r="K8" s="33" t="str">
        <f>IF(VLOOKUP(A8,[1]技能配置!$B$1:$AW$170,5,FALSE)="","[]",VLOOKUP(A8,[1]技能配置!$B$1:$AW$170,5,FALSE))</f>
        <v>[]</v>
      </c>
      <c r="L8" s="33">
        <f>5</f>
        <v>5</v>
      </c>
      <c r="M8" s="33" t="str">
        <f t="shared" si="6"/>
        <v>手填</v>
      </c>
      <c r="N8" s="33">
        <f>IF(OR(VLOOKUP(A8,[1]技能配置!$B$1:$AW$170,10,FALSE)="敌方"),3,1)</f>
        <v>1</v>
      </c>
      <c r="O8" s="33" t="str">
        <f t="shared" si="7"/>
        <v>手填</v>
      </c>
      <c r="P8" s="33" t="str">
        <f t="shared" si="7"/>
        <v>手填</v>
      </c>
      <c r="Q8" s="33" t="str">
        <f t="shared" si="8"/>
        <v>[]</v>
      </c>
      <c r="R8" s="33" t="str">
        <f t="shared" si="8"/>
        <v>[]</v>
      </c>
      <c r="S8" s="33">
        <f>0</f>
        <v>0</v>
      </c>
      <c r="T8" s="33">
        <f>0</f>
        <v>0</v>
      </c>
      <c r="U8" s="33">
        <f>0</f>
        <v>0</v>
      </c>
      <c r="V8" s="33">
        <f>0</f>
        <v>0</v>
      </c>
      <c r="W8" s="33">
        <f>0</f>
        <v>0</v>
      </c>
      <c r="X8" s="33">
        <f>0</f>
        <v>0</v>
      </c>
      <c r="Y8" s="33">
        <f>0</f>
        <v>0</v>
      </c>
    </row>
    <row r="9" spans="1:25" x14ac:dyDescent="0.15">
      <c r="A9" s="32" t="str">
        <f>引用表!A$9&amp;"_3"</f>
        <v>tuotatianwang_3</v>
      </c>
      <c r="B9" s="33" t="str">
        <f>VLOOKUP(A9,特效配置!$A$1:Z$50,5,FALSE)</f>
        <v>[]</v>
      </c>
      <c r="C9" s="33" t="str">
        <f>IF(B9="[]","[]",MID(A9,1,SEARCH("_",A9,1)-1)&amp;"-"&amp;VLOOKUP(MID(A9,SEARCH("_",A9,1)+1,6)+0,[1]buff对照表!$I$1:$K$6,2,FALSE))</f>
        <v>[]</v>
      </c>
      <c r="D9" s="33" t="str">
        <f t="shared" ref="D9:D10" si="9">IF(MID(A9,SEARCH("_",A9,1)+1,6)="0","attack_1",IF(MID(A9,SEARCH("_",A9,1)+1,6)="2","skill_2","skill_4"))</f>
        <v>skill_4</v>
      </c>
      <c r="E9" s="33">
        <f>VLOOKUP(A9,[1]技能配置!$B$1:$AW$170,8,FALSE)</f>
        <v>0</v>
      </c>
      <c r="F9" s="33">
        <f>0</f>
        <v>0</v>
      </c>
      <c r="G9" s="33">
        <f>VLOOKUP(MID(VLOOKUP(A9,[1]技能配置!$B$1:$AW$170,11,FALSE),1,2),[1]技能范围!$A$2:$G$9,7,FALSE)</f>
        <v>1</v>
      </c>
      <c r="H9" s="33">
        <f t="shared" si="4"/>
        <v>0</v>
      </c>
      <c r="I9" s="33">
        <f>1</f>
        <v>1</v>
      </c>
      <c r="J9" s="33" t="str">
        <f t="shared" si="5"/>
        <v>[]</v>
      </c>
      <c r="K9" s="33" t="str">
        <f>IF(VLOOKUP(A9,[1]技能配置!$B$1:$AW$170,5,FALSE)="","[]",VLOOKUP(A9,[1]技能配置!$B$1:$AW$170,5,FALSE))</f>
        <v>[]</v>
      </c>
      <c r="L9" s="33">
        <f>5</f>
        <v>5</v>
      </c>
      <c r="M9" s="33" t="str">
        <f t="shared" si="6"/>
        <v>手填</v>
      </c>
      <c r="N9" s="33">
        <f>IF(OR(VLOOKUP(A9,[1]技能配置!$B$1:$AW$170,10,FALSE)="敌方"),3,1)</f>
        <v>1</v>
      </c>
      <c r="O9" s="33" t="str">
        <f t="shared" si="7"/>
        <v>手填</v>
      </c>
      <c r="P9" s="33" t="str">
        <f t="shared" si="7"/>
        <v>手填</v>
      </c>
      <c r="Q9" s="33" t="str">
        <f t="shared" si="8"/>
        <v>[]</v>
      </c>
      <c r="R9" s="33" t="str">
        <f t="shared" si="8"/>
        <v>[]</v>
      </c>
      <c r="S9" s="33">
        <f>0</f>
        <v>0</v>
      </c>
      <c r="T9" s="33">
        <f>0</f>
        <v>0</v>
      </c>
      <c r="U9" s="33">
        <f>0</f>
        <v>0</v>
      </c>
      <c r="V9" s="33">
        <f>0</f>
        <v>0</v>
      </c>
      <c r="W9" s="33">
        <f>0</f>
        <v>0</v>
      </c>
      <c r="X9" s="33">
        <f>0</f>
        <v>0</v>
      </c>
      <c r="Y9" s="33">
        <f>0</f>
        <v>0</v>
      </c>
    </row>
    <row r="10" spans="1:25" x14ac:dyDescent="0.15">
      <c r="A10" s="32" t="str">
        <f>引用表!A$9&amp;"_4"</f>
        <v>tuotatianwang_4</v>
      </c>
      <c r="B10" s="33" t="str">
        <f>VLOOKUP(A10,特效配置!$A$1:Z$50,5,FALSE)</f>
        <v>[]</v>
      </c>
      <c r="C10" s="33" t="str">
        <f>IF(B10="[]","[]",MID(A10,1,SEARCH("_",A10,1)-1)&amp;"-"&amp;VLOOKUP(MID(A10,SEARCH("_",A10,1)+1,6)+0,[1]buff对照表!$I$1:$K$6,2,FALSE))</f>
        <v>[]</v>
      </c>
      <c r="D10" s="33" t="str">
        <f t="shared" si="9"/>
        <v>skill_4</v>
      </c>
      <c r="E10" s="33">
        <f>VLOOKUP(A10,[1]技能配置!$B$1:$AW$170,8,FALSE)</f>
        <v>3.6669999999999998</v>
      </c>
      <c r="F10" s="33">
        <f>0</f>
        <v>0</v>
      </c>
      <c r="G10" s="33">
        <f>VLOOKUP(MID(VLOOKUP(A10,[1]技能配置!$B$1:$AW$170,11,FALSE),1,2),[1]技能范围!$A$2:$G$9,7,FALSE)</f>
        <v>1</v>
      </c>
      <c r="H10" s="33">
        <f t="shared" si="4"/>
        <v>0</v>
      </c>
      <c r="I10" s="33">
        <f>1</f>
        <v>1</v>
      </c>
      <c r="J10" s="33" t="str">
        <f t="shared" si="5"/>
        <v>[]</v>
      </c>
      <c r="K10" s="33" t="str">
        <f>IF(VLOOKUP(A10,[1]技能配置!$B$1:$AW$170,5,FALSE)="","[]",VLOOKUP(A10,[1]技能配置!$B$1:$AW$170,5,FALSE))</f>
        <v>[]</v>
      </c>
      <c r="L10" s="33">
        <f>5</f>
        <v>5</v>
      </c>
      <c r="M10" s="33" t="str">
        <f t="shared" si="6"/>
        <v>手填</v>
      </c>
      <c r="N10" s="33">
        <f>IF(OR(VLOOKUP(A10,[1]技能配置!$B$1:$AW$170,10,FALSE)="敌方"),3,1)</f>
        <v>1</v>
      </c>
      <c r="O10" s="33" t="str">
        <f t="shared" si="7"/>
        <v>手填</v>
      </c>
      <c r="P10" s="33" t="str">
        <f t="shared" si="7"/>
        <v>手填</v>
      </c>
      <c r="Q10" s="33" t="str">
        <f t="shared" si="8"/>
        <v>[]</v>
      </c>
      <c r="R10" s="33" t="str">
        <f t="shared" si="8"/>
        <v>[]</v>
      </c>
      <c r="S10" s="33">
        <f>0</f>
        <v>0</v>
      </c>
      <c r="T10" s="33">
        <f>0</f>
        <v>0</v>
      </c>
      <c r="U10" s="33">
        <f>0</f>
        <v>0</v>
      </c>
      <c r="V10" s="33">
        <f>0</f>
        <v>0</v>
      </c>
      <c r="W10" s="33">
        <f>0</f>
        <v>0</v>
      </c>
      <c r="X10" s="33">
        <f>0</f>
        <v>0</v>
      </c>
      <c r="Y10" s="33">
        <f>0</f>
        <v>0</v>
      </c>
    </row>
    <row r="11" spans="1:25" x14ac:dyDescent="0.15">
      <c r="A11" s="32"/>
      <c r="B11" s="33" t="e">
        <f>VLOOKUP(A11,特效配置!$A$1:Z$50,5,FALSE)</f>
        <v>#N/A</v>
      </c>
      <c r="C11" s="33" t="e">
        <f>IF(B11="[]","[]",MID(A11,1,SEARCH("_",A11,1)-1)&amp;"-"&amp;VLOOKUP(MID(A11,SEARCH("_",A11,1)+1,6)+0,[1]buff对照表!$I$1:$K$6,2,FALSE))</f>
        <v>#N/A</v>
      </c>
      <c r="D11" s="33"/>
      <c r="E11" s="33" t="e">
        <f>VLOOKUP(A11,[1]技能配置!$B$1:$AW$170,8,FALSE)</f>
        <v>#N/A</v>
      </c>
      <c r="F11" s="33">
        <f>0</f>
        <v>0</v>
      </c>
      <c r="G11" s="33" t="e">
        <f>VLOOKUP(MID(VLOOKUP(A11,[1]技能配置!$B$1:$AW$170,11,FALSE),1,2),[1]技能范围!$A$2:$G$9,7,FALSE)</f>
        <v>#N/A</v>
      </c>
      <c r="H11" s="33" t="e">
        <f>IF(OR(G11=2,G11=4,MID(G11,1,2)="14"),17,0)</f>
        <v>#N/A</v>
      </c>
      <c r="I11" s="33">
        <f>1</f>
        <v>1</v>
      </c>
      <c r="J11" s="33" t="str">
        <f>"[]"</f>
        <v>[]</v>
      </c>
      <c r="K11" s="33" t="e">
        <f>IF(VLOOKUP(A11,[1]技能配置!$B$1:$AW$170,5,FALSE)="","[]",VLOOKUP(A11,[1]技能配置!$B$1:$AW$170,5,FALSE))</f>
        <v>#N/A</v>
      </c>
      <c r="L11" s="33">
        <f>5</f>
        <v>5</v>
      </c>
      <c r="M11" s="33" t="str">
        <f>"手填"</f>
        <v>手填</v>
      </c>
      <c r="N11" s="33" t="e">
        <f>IF(OR(VLOOKUP(A11,[1]技能配置!$B$1:$AW$170,10,FALSE)="敌方"),3,1)</f>
        <v>#N/A</v>
      </c>
      <c r="O11" s="33" t="str">
        <f>"手填"</f>
        <v>手填</v>
      </c>
      <c r="P11" s="33" t="str">
        <f>"手填"</f>
        <v>手填</v>
      </c>
      <c r="Q11" s="33" t="str">
        <f t="shared" ref="Q11:R17" si="10">"[]"</f>
        <v>[]</v>
      </c>
      <c r="R11" s="33" t="str">
        <f t="shared" si="10"/>
        <v>[]</v>
      </c>
      <c r="S11" s="33">
        <f>0</f>
        <v>0</v>
      </c>
      <c r="T11" s="33">
        <f>0</f>
        <v>0</v>
      </c>
      <c r="U11" s="33">
        <f>0</f>
        <v>0</v>
      </c>
      <c r="V11" s="33">
        <f>0</f>
        <v>0</v>
      </c>
      <c r="W11" s="33">
        <f>0</f>
        <v>0</v>
      </c>
      <c r="X11" s="33">
        <f>0</f>
        <v>0</v>
      </c>
      <c r="Y11" s="33">
        <f>0</f>
        <v>0</v>
      </c>
    </row>
    <row r="12" spans="1:25" x14ac:dyDescent="0.15">
      <c r="A12" s="32"/>
      <c r="B12" s="33" t="e">
        <f>VLOOKUP(A12,特效配置!$A$1:Z$50,5,FALSE)</f>
        <v>#N/A</v>
      </c>
      <c r="C12" s="33" t="e">
        <f>IF(B12="[]","[]",MID(A12,1,SEARCH("_",A12,1)-1)&amp;"-"&amp;VLOOKUP(MID(A12,SEARCH("_",A12,1)+1,6)+0,[1]buff对照表!$I$1:$K$6,2,FALSE))</f>
        <v>#N/A</v>
      </c>
      <c r="D12" s="33"/>
      <c r="E12" s="33" t="e">
        <f>VLOOKUP(A12,[1]技能配置!$B$1:$AW$170,8,FALSE)</f>
        <v>#N/A</v>
      </c>
      <c r="F12" s="33">
        <f>0</f>
        <v>0</v>
      </c>
      <c r="G12" s="33" t="e">
        <f>VLOOKUP(MID(VLOOKUP(A12,[1]技能配置!$B$1:$AW$170,11,FALSE),1,2),[1]技能范围!$A$2:$G$9,7,FALSE)</f>
        <v>#N/A</v>
      </c>
      <c r="H12" s="33" t="e">
        <f t="shared" ref="H12:H17" si="11">IF(OR(G12=2,G12=4,MID(G12,1,2)="14"),17,0)</f>
        <v>#N/A</v>
      </c>
      <c r="I12" s="33">
        <f>1</f>
        <v>1</v>
      </c>
      <c r="J12" s="33" t="str">
        <f t="shared" ref="J12:J17" si="12">"[]"</f>
        <v>[]</v>
      </c>
      <c r="K12" s="33" t="e">
        <f>IF(VLOOKUP(A12,[1]技能配置!$B$1:$AW$170,5,FALSE)="","[]",VLOOKUP(A12,[1]技能配置!$B$1:$AW$170,5,FALSE))</f>
        <v>#N/A</v>
      </c>
      <c r="L12" s="33">
        <f>5</f>
        <v>5</v>
      </c>
      <c r="M12" s="33" t="str">
        <f t="shared" ref="M12:M17" si="13">"手填"</f>
        <v>手填</v>
      </c>
      <c r="N12" s="33" t="e">
        <f>IF(OR(VLOOKUP(A12,[1]技能配置!$B$1:$AW$170,10,FALSE)="敌方"),3,1)</f>
        <v>#N/A</v>
      </c>
      <c r="O12" s="33" t="str">
        <f t="shared" ref="O12:P17" si="14">"手填"</f>
        <v>手填</v>
      </c>
      <c r="P12" s="33" t="str">
        <f t="shared" si="14"/>
        <v>手填</v>
      </c>
      <c r="Q12" s="33" t="str">
        <f t="shared" si="10"/>
        <v>[]</v>
      </c>
      <c r="R12" s="33" t="str">
        <f t="shared" si="10"/>
        <v>[]</v>
      </c>
      <c r="S12" s="33">
        <f>0</f>
        <v>0</v>
      </c>
      <c r="T12" s="33">
        <f>0</f>
        <v>0</v>
      </c>
      <c r="U12" s="33">
        <f>0</f>
        <v>0</v>
      </c>
      <c r="V12" s="33">
        <f>0</f>
        <v>0</v>
      </c>
      <c r="W12" s="33">
        <f>0</f>
        <v>0</v>
      </c>
      <c r="X12" s="33">
        <f>0</f>
        <v>0</v>
      </c>
      <c r="Y12" s="33">
        <f>0</f>
        <v>0</v>
      </c>
    </row>
    <row r="13" spans="1:25" x14ac:dyDescent="0.15">
      <c r="A13" s="32"/>
      <c r="B13" s="33" t="e">
        <f>VLOOKUP(A13,特效配置!$A$1:Z$50,5,FALSE)</f>
        <v>#N/A</v>
      </c>
      <c r="C13" s="33" t="e">
        <f>IF(B13="[]","[]",MID(A13,1,SEARCH("_",A13,1)-1)&amp;"-"&amp;VLOOKUP(MID(A13,SEARCH("_",A13,1)+1,6)+0,[1]buff对照表!$I$1:$K$6,2,FALSE))</f>
        <v>#N/A</v>
      </c>
      <c r="D13" s="33"/>
      <c r="E13" s="33" t="e">
        <f>VLOOKUP(A13,[1]技能配置!$B$1:$AW$170,8,FALSE)</f>
        <v>#N/A</v>
      </c>
      <c r="F13" s="33">
        <f>0</f>
        <v>0</v>
      </c>
      <c r="G13" s="33" t="e">
        <f>VLOOKUP(MID(VLOOKUP(A13,[1]技能配置!$B$1:$AW$170,11,FALSE),1,2),[1]技能范围!$A$2:$G$9,7,FALSE)</f>
        <v>#N/A</v>
      </c>
      <c r="H13" s="33" t="e">
        <f t="shared" si="11"/>
        <v>#N/A</v>
      </c>
      <c r="I13" s="33">
        <f>1</f>
        <v>1</v>
      </c>
      <c r="J13" s="33" t="str">
        <f t="shared" si="12"/>
        <v>[]</v>
      </c>
      <c r="K13" s="33" t="e">
        <f>IF(VLOOKUP(A13,[1]技能配置!$B$1:$AW$170,5,FALSE)="","[]",VLOOKUP(A13,[1]技能配置!$B$1:$AW$170,5,FALSE))</f>
        <v>#N/A</v>
      </c>
      <c r="L13" s="33">
        <f>5</f>
        <v>5</v>
      </c>
      <c r="M13" s="33" t="str">
        <f t="shared" si="13"/>
        <v>手填</v>
      </c>
      <c r="N13" s="33" t="e">
        <f>IF(OR(VLOOKUP(A13,[1]技能配置!$B$1:$AW$170,10,FALSE)="敌方"),3,1)</f>
        <v>#N/A</v>
      </c>
      <c r="O13" s="33" t="str">
        <f t="shared" si="14"/>
        <v>手填</v>
      </c>
      <c r="P13" s="33" t="str">
        <f t="shared" si="14"/>
        <v>手填</v>
      </c>
      <c r="Q13" s="33" t="str">
        <f t="shared" si="10"/>
        <v>[]</v>
      </c>
      <c r="R13" s="33" t="str">
        <f t="shared" si="10"/>
        <v>[]</v>
      </c>
      <c r="S13" s="33">
        <f>0</f>
        <v>0</v>
      </c>
      <c r="T13" s="33">
        <f>0</f>
        <v>0</v>
      </c>
      <c r="U13" s="33">
        <f>0</f>
        <v>0</v>
      </c>
      <c r="V13" s="33">
        <f>0</f>
        <v>0</v>
      </c>
      <c r="W13" s="33">
        <f>0</f>
        <v>0</v>
      </c>
      <c r="X13" s="33">
        <f>0</f>
        <v>0</v>
      </c>
      <c r="Y13" s="33">
        <f>0</f>
        <v>0</v>
      </c>
    </row>
    <row r="14" spans="1:25" x14ac:dyDescent="0.15">
      <c r="A14" s="32"/>
      <c r="B14" s="33" t="e">
        <f>VLOOKUP(A14,特效配置!$A$1:Z$50,5,FALSE)</f>
        <v>#N/A</v>
      </c>
      <c r="C14" s="33" t="e">
        <f>IF(B14="[]","[]",MID(A14,1,SEARCH("_",A14,1)-1)&amp;"-"&amp;VLOOKUP(MID(A14,SEARCH("_",A14,1)+1,6)+0,[1]buff对照表!$I$1:$K$6,2,FALSE))</f>
        <v>#N/A</v>
      </c>
      <c r="D14" s="33"/>
      <c r="E14" s="33" t="e">
        <f>VLOOKUP(A14,[1]技能配置!$B$1:$AW$170,8,FALSE)</f>
        <v>#N/A</v>
      </c>
      <c r="F14" s="33">
        <f>0</f>
        <v>0</v>
      </c>
      <c r="G14" s="33" t="e">
        <f>VLOOKUP(MID(VLOOKUP(A14,[1]技能配置!$B$1:$AW$170,11,FALSE),1,2),[1]技能范围!$A$2:$G$9,7,FALSE)</f>
        <v>#N/A</v>
      </c>
      <c r="H14" s="33" t="e">
        <f t="shared" si="11"/>
        <v>#N/A</v>
      </c>
      <c r="I14" s="33">
        <f>1</f>
        <v>1</v>
      </c>
      <c r="J14" s="33" t="str">
        <f t="shared" si="12"/>
        <v>[]</v>
      </c>
      <c r="K14" s="33" t="e">
        <f>IF(VLOOKUP(A14,[1]技能配置!$B$1:$AW$170,5,FALSE)="","[]",VLOOKUP(A14,[1]技能配置!$B$1:$AW$170,5,FALSE))</f>
        <v>#N/A</v>
      </c>
      <c r="L14" s="33">
        <f>5</f>
        <v>5</v>
      </c>
      <c r="M14" s="33" t="str">
        <f t="shared" si="13"/>
        <v>手填</v>
      </c>
      <c r="N14" s="33" t="e">
        <f>IF(OR(VLOOKUP(A14,[1]技能配置!$B$1:$AW$170,10,FALSE)="敌方"),3,1)</f>
        <v>#N/A</v>
      </c>
      <c r="O14" s="33" t="str">
        <f t="shared" si="14"/>
        <v>手填</v>
      </c>
      <c r="P14" s="33" t="str">
        <f t="shared" si="14"/>
        <v>手填</v>
      </c>
      <c r="Q14" s="33" t="str">
        <f t="shared" si="10"/>
        <v>[]</v>
      </c>
      <c r="R14" s="33" t="str">
        <f t="shared" si="10"/>
        <v>[]</v>
      </c>
      <c r="S14" s="33">
        <f>0</f>
        <v>0</v>
      </c>
      <c r="T14" s="33">
        <f>0</f>
        <v>0</v>
      </c>
      <c r="U14" s="33">
        <f>0</f>
        <v>0</v>
      </c>
      <c r="V14" s="33">
        <f>0</f>
        <v>0</v>
      </c>
      <c r="W14" s="33">
        <f>0</f>
        <v>0</v>
      </c>
      <c r="X14" s="33">
        <f>0</f>
        <v>0</v>
      </c>
      <c r="Y14" s="33">
        <f>0</f>
        <v>0</v>
      </c>
    </row>
    <row r="15" spans="1:25" x14ac:dyDescent="0.15">
      <c r="A15" s="32"/>
      <c r="B15" s="33" t="e">
        <f>VLOOKUP(A15,特效配置!$A$1:Z$50,5,FALSE)</f>
        <v>#N/A</v>
      </c>
      <c r="C15" s="33" t="e">
        <f>IF(B15="[]","[]",MID(A15,1,SEARCH("_",A15,1)-1)&amp;"-"&amp;VLOOKUP(MID(A15,SEARCH("_",A15,1)+1,6)+0,[1]buff对照表!$I$1:$K$6,2,FALSE))</f>
        <v>#N/A</v>
      </c>
      <c r="D15" s="33"/>
      <c r="E15" s="33" t="e">
        <f>VLOOKUP(A15,[1]技能配置!$B$1:$AW$170,8,FALSE)</f>
        <v>#N/A</v>
      </c>
      <c r="F15" s="33">
        <f>0</f>
        <v>0</v>
      </c>
      <c r="G15" s="33" t="e">
        <f>VLOOKUP(MID(VLOOKUP(A15,[1]技能配置!$B$1:$AW$170,11,FALSE),1,2),[1]技能范围!$A$2:$G$9,7,FALSE)</f>
        <v>#N/A</v>
      </c>
      <c r="H15" s="33" t="e">
        <f t="shared" si="11"/>
        <v>#N/A</v>
      </c>
      <c r="I15" s="33">
        <f>1</f>
        <v>1</v>
      </c>
      <c r="J15" s="33" t="str">
        <f t="shared" si="12"/>
        <v>[]</v>
      </c>
      <c r="K15" s="33" t="e">
        <f>IF(VLOOKUP(A15,[1]技能配置!$B$1:$AW$170,5,FALSE)="","[]",VLOOKUP(A15,[1]技能配置!$B$1:$AW$170,5,FALSE))</f>
        <v>#N/A</v>
      </c>
      <c r="L15" s="33">
        <f>5</f>
        <v>5</v>
      </c>
      <c r="M15" s="33" t="str">
        <f t="shared" si="13"/>
        <v>手填</v>
      </c>
      <c r="N15" s="33" t="e">
        <f>IF(OR(VLOOKUP(A15,[1]技能配置!$B$1:$AW$170,10,FALSE)="敌方"),3,1)</f>
        <v>#N/A</v>
      </c>
      <c r="O15" s="33" t="str">
        <f t="shared" si="14"/>
        <v>手填</v>
      </c>
      <c r="P15" s="33" t="str">
        <f t="shared" si="14"/>
        <v>手填</v>
      </c>
      <c r="Q15" s="33" t="str">
        <f t="shared" si="10"/>
        <v>[]</v>
      </c>
      <c r="R15" s="33" t="str">
        <f t="shared" si="10"/>
        <v>[]</v>
      </c>
      <c r="S15" s="33">
        <f>0</f>
        <v>0</v>
      </c>
      <c r="T15" s="33">
        <f>0</f>
        <v>0</v>
      </c>
      <c r="U15" s="33">
        <f>0</f>
        <v>0</v>
      </c>
      <c r="V15" s="33">
        <f>0</f>
        <v>0</v>
      </c>
      <c r="W15" s="33">
        <f>0</f>
        <v>0</v>
      </c>
      <c r="X15" s="33">
        <f>0</f>
        <v>0</v>
      </c>
      <c r="Y15" s="33">
        <f>0</f>
        <v>0</v>
      </c>
    </row>
    <row r="16" spans="1:25" x14ac:dyDescent="0.15">
      <c r="A16" s="32"/>
      <c r="B16" s="33" t="e">
        <f>VLOOKUP(A16,特效配置!$A$1:Z$50,5,FALSE)</f>
        <v>#N/A</v>
      </c>
      <c r="C16" s="33" t="e">
        <f>IF(B16="[]","[]",MID(A16,1,SEARCH("_",A16,1)-1)&amp;"-"&amp;VLOOKUP(MID(A16,SEARCH("_",A16,1)+1,6)+0,[1]buff对照表!$I$1:$K$6,2,FALSE))</f>
        <v>#N/A</v>
      </c>
      <c r="D16" s="33"/>
      <c r="E16" s="33" t="e">
        <f>VLOOKUP(A16,[1]技能配置!$B$1:$AW$170,8,FALSE)</f>
        <v>#N/A</v>
      </c>
      <c r="F16" s="33">
        <f>0</f>
        <v>0</v>
      </c>
      <c r="G16" s="33" t="e">
        <f>VLOOKUP(MID(VLOOKUP(A16,[1]技能配置!$B$1:$AW$170,11,FALSE),1,2),[1]技能范围!$A$2:$G$9,7,FALSE)</f>
        <v>#N/A</v>
      </c>
      <c r="H16" s="33" t="e">
        <f t="shared" si="11"/>
        <v>#N/A</v>
      </c>
      <c r="I16" s="33">
        <f>1</f>
        <v>1</v>
      </c>
      <c r="J16" s="33" t="str">
        <f t="shared" si="12"/>
        <v>[]</v>
      </c>
      <c r="K16" s="33" t="e">
        <f>IF(VLOOKUP(A16,[1]技能配置!$B$1:$AW$170,5,FALSE)="","[]",VLOOKUP(A16,[1]技能配置!$B$1:$AW$170,5,FALSE))</f>
        <v>#N/A</v>
      </c>
      <c r="L16" s="33">
        <f>5</f>
        <v>5</v>
      </c>
      <c r="M16" s="33" t="str">
        <f t="shared" si="13"/>
        <v>手填</v>
      </c>
      <c r="N16" s="33" t="e">
        <f>IF(OR(VLOOKUP(A16,[1]技能配置!$B$1:$AW$170,10,FALSE)="敌方"),3,1)</f>
        <v>#N/A</v>
      </c>
      <c r="O16" s="33" t="str">
        <f t="shared" si="14"/>
        <v>手填</v>
      </c>
      <c r="P16" s="33" t="str">
        <f t="shared" si="14"/>
        <v>手填</v>
      </c>
      <c r="Q16" s="33" t="str">
        <f t="shared" si="10"/>
        <v>[]</v>
      </c>
      <c r="R16" s="33" t="str">
        <f t="shared" si="10"/>
        <v>[]</v>
      </c>
      <c r="S16" s="33">
        <f>0</f>
        <v>0</v>
      </c>
      <c r="T16" s="33">
        <f>0</f>
        <v>0</v>
      </c>
      <c r="U16" s="33">
        <f>0</f>
        <v>0</v>
      </c>
      <c r="V16" s="33">
        <f>0</f>
        <v>0</v>
      </c>
      <c r="W16" s="33">
        <f>0</f>
        <v>0</v>
      </c>
      <c r="X16" s="33">
        <f>0</f>
        <v>0</v>
      </c>
      <c r="Y16" s="33">
        <f>0</f>
        <v>0</v>
      </c>
    </row>
    <row r="17" spans="1:25" x14ac:dyDescent="0.15">
      <c r="A17" s="32"/>
      <c r="B17" s="33" t="e">
        <f>VLOOKUP(A17,特效配置!$A$1:Z$50,5,FALSE)</f>
        <v>#N/A</v>
      </c>
      <c r="C17" s="33" t="e">
        <f>IF(B17="[]","[]",MID(A17,1,SEARCH("_",A17,1)-1)&amp;"-"&amp;VLOOKUP(MID(A17,SEARCH("_",A17,1)+1,6)+0,[1]buff对照表!$I$1:$K$6,2,FALSE))</f>
        <v>#N/A</v>
      </c>
      <c r="D17" s="33"/>
      <c r="E17" s="33" t="e">
        <f>VLOOKUP(A17,[1]技能配置!$B$1:$AW$170,8,FALSE)</f>
        <v>#N/A</v>
      </c>
      <c r="F17" s="33">
        <f>0</f>
        <v>0</v>
      </c>
      <c r="G17" s="33" t="e">
        <f>VLOOKUP(MID(VLOOKUP(A17,[1]技能配置!$B$1:$AW$170,11,FALSE),1,2),[1]技能范围!$A$2:$G$9,7,FALSE)</f>
        <v>#N/A</v>
      </c>
      <c r="H17" s="33" t="e">
        <f t="shared" si="11"/>
        <v>#N/A</v>
      </c>
      <c r="I17" s="33">
        <f>1</f>
        <v>1</v>
      </c>
      <c r="J17" s="33" t="str">
        <f t="shared" si="12"/>
        <v>[]</v>
      </c>
      <c r="K17" s="33" t="e">
        <f>IF(VLOOKUP(A17,[1]技能配置!$B$1:$AW$170,5,FALSE)="","[]",VLOOKUP(A17,[1]技能配置!$B$1:$AW$170,5,FALSE))</f>
        <v>#N/A</v>
      </c>
      <c r="L17" s="33">
        <f>5</f>
        <v>5</v>
      </c>
      <c r="M17" s="33" t="str">
        <f t="shared" si="13"/>
        <v>手填</v>
      </c>
      <c r="N17" s="33" t="e">
        <f>IF(OR(VLOOKUP(A17,[1]技能配置!$B$1:$AW$170,10,FALSE)="敌方"),3,1)</f>
        <v>#N/A</v>
      </c>
      <c r="O17" s="33" t="str">
        <f t="shared" si="14"/>
        <v>手填</v>
      </c>
      <c r="P17" s="33" t="str">
        <f t="shared" si="14"/>
        <v>手填</v>
      </c>
      <c r="Q17" s="33" t="str">
        <f t="shared" si="10"/>
        <v>[]</v>
      </c>
      <c r="R17" s="33" t="str">
        <f t="shared" si="10"/>
        <v>[]</v>
      </c>
      <c r="S17" s="33">
        <f>0</f>
        <v>0</v>
      </c>
      <c r="T17" s="33">
        <f>0</f>
        <v>0</v>
      </c>
      <c r="U17" s="33">
        <f>0</f>
        <v>0</v>
      </c>
      <c r="V17" s="33">
        <f>0</f>
        <v>0</v>
      </c>
      <c r="W17" s="33">
        <f>0</f>
        <v>0</v>
      </c>
      <c r="X17" s="33">
        <f>0</f>
        <v>0</v>
      </c>
      <c r="Y17" s="33">
        <f>0</f>
        <v>0</v>
      </c>
    </row>
    <row r="18" spans="1:25" x14ac:dyDescent="0.15">
      <c r="B18" s="34"/>
      <c r="C18" s="34"/>
      <c r="D18" s="25"/>
      <c r="E18" s="34"/>
      <c r="F18" s="34"/>
      <c r="G18" s="34"/>
      <c r="H18" s="34"/>
      <c r="I18" s="34"/>
      <c r="J18" s="34"/>
      <c r="K18" s="33" t="e">
        <f>IF(VLOOKUP(A18,[1]技能配置!$B$1:$AW$170,5,FALSE)="","[]",VLOOKUP(A18,[1]技能配置!$B$1:$AW$170,5,FALSE))</f>
        <v>#N/A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x14ac:dyDescent="0.15">
      <c r="B19" s="25"/>
      <c r="C19" s="25"/>
      <c r="D19" s="25"/>
      <c r="E19" s="25"/>
      <c r="F19" s="25"/>
      <c r="G19" s="25"/>
      <c r="H19" s="25"/>
      <c r="I19" s="25"/>
      <c r="J19" s="25"/>
      <c r="K19" s="33" t="e">
        <f>IF(VLOOKUP(A19,[1]技能配置!$B$1:$AW$170,5,FALSE)="","[]",VLOOKUP(A19,[1]技能配置!$B$1:$AW$170,5,FALSE))</f>
        <v>#N/A</v>
      </c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15"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x14ac:dyDescent="0.15"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9"/>
  <sheetViews>
    <sheetView workbookViewId="0">
      <pane xSplit="3" ySplit="10" topLeftCell="D11" activePane="bottomRight" state="frozen"/>
      <selection pane="topRight" activeCell="F1" sqref="F1"/>
      <selection pane="bottomLeft" activeCell="A11" sqref="A11"/>
      <selection pane="bottomRight" activeCell="K11" sqref="K11"/>
    </sheetView>
  </sheetViews>
  <sheetFormatPr defaultRowHeight="17.25" x14ac:dyDescent="0.15"/>
  <cols>
    <col min="1" max="1" width="14.125" style="20" bestFit="1" customWidth="1"/>
    <col min="2" max="2" width="16.375" bestFit="1" customWidth="1"/>
    <col min="3" max="4" width="14.125" bestFit="1" customWidth="1"/>
    <col min="5" max="5" width="13.875" bestFit="1" customWidth="1"/>
    <col min="6" max="6" width="12.5" bestFit="1" customWidth="1"/>
    <col min="7" max="7" width="14.125" bestFit="1" customWidth="1"/>
    <col min="8" max="8" width="26.875" bestFit="1" customWidth="1"/>
    <col min="9" max="9" width="13.875" bestFit="1" customWidth="1"/>
    <col min="10" max="10" width="15.5" bestFit="1" customWidth="1"/>
    <col min="11" max="11" width="15.125" customWidth="1"/>
    <col min="12" max="12" width="13.375" bestFit="1" customWidth="1"/>
    <col min="13" max="13" width="35.5" bestFit="1" customWidth="1"/>
    <col min="14" max="14" width="15.25" bestFit="1" customWidth="1"/>
    <col min="15" max="15" width="18.75" bestFit="1" customWidth="1"/>
    <col min="16" max="16" width="23.375" bestFit="1" customWidth="1"/>
    <col min="17" max="17" width="10.25" bestFit="1" customWidth="1"/>
    <col min="18" max="18" width="13" bestFit="1" customWidth="1"/>
    <col min="19" max="19" width="13.875" bestFit="1" customWidth="1"/>
    <col min="20" max="20" width="16.125" bestFit="1" customWidth="1"/>
    <col min="21" max="21" width="14.625" bestFit="1" customWidth="1"/>
    <col min="22" max="22" width="15.25" bestFit="1" customWidth="1"/>
    <col min="23" max="23" width="14.875" bestFit="1" customWidth="1"/>
    <col min="24" max="24" width="12.625" bestFit="1" customWidth="1"/>
  </cols>
  <sheetData>
    <row r="1" spans="1:25" s="21" customFormat="1" ht="144.75" customHeight="1" x14ac:dyDescent="0.15">
      <c r="B1" s="23" t="s">
        <v>1477</v>
      </c>
      <c r="C1" s="23" t="s">
        <v>1478</v>
      </c>
      <c r="D1" s="23" t="s">
        <v>1460</v>
      </c>
      <c r="E1" s="23" t="s">
        <v>1461</v>
      </c>
      <c r="F1" s="23" t="s">
        <v>1462</v>
      </c>
      <c r="G1" s="23" t="s">
        <v>1496</v>
      </c>
      <c r="H1" s="23" t="s">
        <v>1464</v>
      </c>
      <c r="I1" s="23" t="s">
        <v>1465</v>
      </c>
      <c r="J1" s="23" t="s">
        <v>1466</v>
      </c>
      <c r="K1" s="23" t="s">
        <v>1467</v>
      </c>
      <c r="L1" s="23" t="s">
        <v>1468</v>
      </c>
      <c r="M1" s="23" t="s">
        <v>1469</v>
      </c>
      <c r="N1" s="23" t="s">
        <v>1479</v>
      </c>
      <c r="O1" s="23" t="s">
        <v>1481</v>
      </c>
      <c r="P1" s="23" t="s">
        <v>1480</v>
      </c>
      <c r="Q1" s="23" t="s">
        <v>1483</v>
      </c>
      <c r="R1" s="23" t="s">
        <v>1482</v>
      </c>
      <c r="S1" s="23" t="s">
        <v>1484</v>
      </c>
      <c r="T1" s="23" t="s">
        <v>1486</v>
      </c>
      <c r="U1" s="23" t="s">
        <v>1485</v>
      </c>
      <c r="V1" s="23" t="s">
        <v>1487</v>
      </c>
      <c r="W1" s="23" t="s">
        <v>4</v>
      </c>
      <c r="X1" s="23" t="s">
        <v>5</v>
      </c>
      <c r="Y1" s="23" t="s">
        <v>6</v>
      </c>
    </row>
    <row r="2" spans="1:25" s="22" customFormat="1" x14ac:dyDescent="0.15">
      <c r="B2" s="24" t="s">
        <v>7</v>
      </c>
      <c r="C2" s="24" t="s">
        <v>8</v>
      </c>
      <c r="D2" s="24" t="s">
        <v>1470</v>
      </c>
      <c r="E2" s="24" t="s">
        <v>1471</v>
      </c>
      <c r="F2" s="24" t="s">
        <v>1472</v>
      </c>
      <c r="G2" s="24" t="s">
        <v>1473</v>
      </c>
      <c r="H2" s="24" t="s">
        <v>1474</v>
      </c>
      <c r="I2" s="24" t="s">
        <v>1475</v>
      </c>
      <c r="J2" s="24" t="s">
        <v>1476</v>
      </c>
      <c r="K2" s="24" t="s">
        <v>9</v>
      </c>
      <c r="L2" s="24" t="s">
        <v>10</v>
      </c>
      <c r="M2" s="24" t="s">
        <v>11</v>
      </c>
      <c r="N2" s="24" t="s">
        <v>12</v>
      </c>
      <c r="O2" s="24" t="s">
        <v>13</v>
      </c>
      <c r="P2" s="24" t="s">
        <v>14</v>
      </c>
      <c r="Q2" s="24" t="s">
        <v>15</v>
      </c>
      <c r="R2" s="24" t="s">
        <v>16</v>
      </c>
      <c r="S2" s="24" t="s">
        <v>17</v>
      </c>
      <c r="T2" s="24" t="s">
        <v>18</v>
      </c>
      <c r="U2" s="24" t="s">
        <v>19</v>
      </c>
      <c r="V2" s="24" t="s">
        <v>20</v>
      </c>
      <c r="W2" s="24" t="s">
        <v>21</v>
      </c>
      <c r="X2" s="24" t="s">
        <v>22</v>
      </c>
      <c r="Y2" s="24" t="s">
        <v>23</v>
      </c>
    </row>
    <row r="3" spans="1:25" s="22" customFormat="1" x14ac:dyDescent="0.15">
      <c r="B3" s="24" t="s">
        <v>24</v>
      </c>
      <c r="C3" s="24" t="s">
        <v>24</v>
      </c>
      <c r="D3" s="24" t="s">
        <v>24</v>
      </c>
      <c r="E3" s="24" t="s">
        <v>25</v>
      </c>
      <c r="F3" s="24" t="s">
        <v>25</v>
      </c>
      <c r="G3" s="24" t="s">
        <v>24</v>
      </c>
      <c r="H3" s="24" t="s">
        <v>25</v>
      </c>
      <c r="I3" s="24" t="s">
        <v>24</v>
      </c>
      <c r="J3" s="24" t="s">
        <v>24</v>
      </c>
      <c r="K3" s="24" t="s">
        <v>24</v>
      </c>
      <c r="L3" s="24" t="s">
        <v>25</v>
      </c>
      <c r="M3" s="24" t="s">
        <v>25</v>
      </c>
      <c r="N3" s="24" t="s">
        <v>26</v>
      </c>
      <c r="O3" s="24" t="s">
        <v>26</v>
      </c>
      <c r="P3" s="24" t="s">
        <v>24</v>
      </c>
      <c r="Q3" s="24" t="s">
        <v>24</v>
      </c>
      <c r="R3" s="24" t="s">
        <v>24</v>
      </c>
      <c r="S3" s="24" t="s">
        <v>25</v>
      </c>
      <c r="T3" s="24" t="s">
        <v>25</v>
      </c>
      <c r="U3" s="24" t="s">
        <v>26</v>
      </c>
      <c r="V3" s="24" t="s">
        <v>26</v>
      </c>
      <c r="W3" s="24" t="s">
        <v>26</v>
      </c>
      <c r="X3" s="24" t="s">
        <v>26</v>
      </c>
      <c r="Y3" s="24" t="s">
        <v>25</v>
      </c>
    </row>
    <row r="4" spans="1:25" x14ac:dyDescent="0.15">
      <c r="A4" s="32" t="s">
        <v>1489</v>
      </c>
      <c r="B4" s="33" t="str">
        <f>VLOOKUP(A4,特效配置!$A$1:Z$50,6,FALSE)</f>
        <v>[]</v>
      </c>
      <c r="C4" s="33" t="str">
        <f>IF(B4="[]","[]",MID(A4,1,SEARCH("_",A4,1)-1)&amp;"-"&amp;VLOOKUP(MID(A4,SEARCH("_",A4,1)+1,6)+0,[1]buff对照表!$I$1:$K$6,2,FALSE))</f>
        <v>[]</v>
      </c>
      <c r="D4" s="33" t="str">
        <f t="shared" ref="D4:D10" si="0">"[]"</f>
        <v>[]</v>
      </c>
      <c r="E4" s="33">
        <f>0</f>
        <v>0</v>
      </c>
      <c r="F4" s="33">
        <f>0</f>
        <v>0</v>
      </c>
      <c r="G4" s="33">
        <f>11</f>
        <v>11</v>
      </c>
      <c r="H4" s="33">
        <f t="shared" ref="H4:H10" si="1">IF(OR(G4=2,G4=4,MID(G4,1,2)="14"),17,0)</f>
        <v>0</v>
      </c>
      <c r="I4" s="33">
        <f>0</f>
        <v>0</v>
      </c>
      <c r="J4" s="33" t="str">
        <f t="shared" ref="J4:J10" si="2">"[]"</f>
        <v>[]</v>
      </c>
      <c r="K4" s="33" t="str">
        <f>IF(VLOOKUP(A4,[1]技能配置!$B$1:$AW$170,6,FALSE)="","[]",VLOOKUP(A4,[1]技能配置!$B$1:$AW$170,6,FALSE))</f>
        <v>[]</v>
      </c>
      <c r="L4" s="33">
        <f>5</f>
        <v>5</v>
      </c>
      <c r="M4" s="33">
        <f>0</f>
        <v>0</v>
      </c>
      <c r="N4" s="33">
        <f>2</f>
        <v>2</v>
      </c>
      <c r="O4" s="33">
        <f>0</f>
        <v>0</v>
      </c>
      <c r="P4" s="33" t="str">
        <f t="shared" ref="P4:R10" si="3">"[]"</f>
        <v>[]</v>
      </c>
      <c r="Q4" s="33" t="str">
        <f t="shared" si="3"/>
        <v>[]</v>
      </c>
      <c r="R4" s="33" t="str">
        <f t="shared" si="3"/>
        <v>[]</v>
      </c>
      <c r="S4" s="33">
        <f>0</f>
        <v>0</v>
      </c>
      <c r="T4" s="33">
        <f>0</f>
        <v>0</v>
      </c>
      <c r="U4" s="33">
        <f>0</f>
        <v>0</v>
      </c>
      <c r="V4" s="33">
        <f>0</f>
        <v>0</v>
      </c>
      <c r="W4" s="33">
        <f>0</f>
        <v>0</v>
      </c>
      <c r="X4" s="33">
        <f>0</f>
        <v>0</v>
      </c>
      <c r="Y4" s="33">
        <f>0</f>
        <v>0</v>
      </c>
    </row>
    <row r="5" spans="1:25" x14ac:dyDescent="0.15">
      <c r="A5" s="32" t="s">
        <v>1488</v>
      </c>
      <c r="B5" s="33" t="str">
        <f>VLOOKUP(A5,特效配置!$A$1:Z$50,6,FALSE)</f>
        <v>[]</v>
      </c>
      <c r="C5" s="33" t="str">
        <f>IF(B5="[]","[]",MID(A5,1,SEARCH("_",A5,1)-1)&amp;"-"&amp;VLOOKUP(MID(A5,SEARCH("_",A5,1)+1,6)+0,[1]buff对照表!$I$1:$K$6,2,FALSE))</f>
        <v>[]</v>
      </c>
      <c r="D5" s="33" t="str">
        <f t="shared" si="0"/>
        <v>[]</v>
      </c>
      <c r="E5" s="33">
        <f>0</f>
        <v>0</v>
      </c>
      <c r="F5" s="33">
        <f>0</f>
        <v>0</v>
      </c>
      <c r="G5" s="33">
        <f>11</f>
        <v>11</v>
      </c>
      <c r="H5" s="33">
        <f t="shared" si="1"/>
        <v>0</v>
      </c>
      <c r="I5" s="33">
        <f>0</f>
        <v>0</v>
      </c>
      <c r="J5" s="33" t="str">
        <f t="shared" si="2"/>
        <v>[]</v>
      </c>
      <c r="K5" s="33" t="str">
        <f>IF(VLOOKUP(A5,[1]技能配置!$B$1:$AW$170,6,FALSE)="","[]",VLOOKUP(A5,[1]技能配置!$B$1:$AW$170,6,FALSE))</f>
        <v>[]</v>
      </c>
      <c r="L5" s="33">
        <f>5</f>
        <v>5</v>
      </c>
      <c r="M5" s="33">
        <f>0</f>
        <v>0</v>
      </c>
      <c r="N5" s="33">
        <f>2</f>
        <v>2</v>
      </c>
      <c r="O5" s="33">
        <f>0</f>
        <v>0</v>
      </c>
      <c r="P5" s="33" t="str">
        <f t="shared" si="3"/>
        <v>[]</v>
      </c>
      <c r="Q5" s="33" t="str">
        <f t="shared" si="3"/>
        <v>[]</v>
      </c>
      <c r="R5" s="33" t="str">
        <f t="shared" si="3"/>
        <v>[]</v>
      </c>
      <c r="S5" s="33">
        <f>0</f>
        <v>0</v>
      </c>
      <c r="T5" s="33">
        <f>0</f>
        <v>0</v>
      </c>
      <c r="U5" s="33">
        <f>0</f>
        <v>0</v>
      </c>
      <c r="V5" s="33">
        <f>0</f>
        <v>0</v>
      </c>
      <c r="W5" s="33">
        <f>0</f>
        <v>0</v>
      </c>
      <c r="X5" s="33">
        <f>0</f>
        <v>0</v>
      </c>
      <c r="Y5" s="33">
        <f>0</f>
        <v>0</v>
      </c>
    </row>
    <row r="6" spans="1:25" x14ac:dyDescent="0.15">
      <c r="A6" s="32" t="str">
        <f>引用表!A$9&amp;"_0"</f>
        <v>tuotatianwang_0</v>
      </c>
      <c r="B6" s="33" t="str">
        <f>VLOOKUP(A6,特效配置!$A$1:Z$50,6,FALSE)</f>
        <v>[]</v>
      </c>
      <c r="C6" s="33" t="str">
        <f>IF(B6="[]","[]",MID(A6,1,SEARCH("_",A6,1)-1)&amp;"-"&amp;VLOOKUP(MID(A6,SEARCH("_",A6,1)+1,6)+0,[1]buff对照表!$I$1:$K$6,2,FALSE))</f>
        <v>[]</v>
      </c>
      <c r="D6" s="33" t="str">
        <f t="shared" si="0"/>
        <v>[]</v>
      </c>
      <c r="E6" s="33">
        <f>0</f>
        <v>0</v>
      </c>
      <c r="F6" s="33">
        <f>0</f>
        <v>0</v>
      </c>
      <c r="G6" s="33">
        <f>11</f>
        <v>11</v>
      </c>
      <c r="H6" s="33">
        <f t="shared" si="1"/>
        <v>0</v>
      </c>
      <c r="I6" s="33">
        <f>0</f>
        <v>0</v>
      </c>
      <c r="J6" s="33" t="str">
        <f t="shared" si="2"/>
        <v>[]</v>
      </c>
      <c r="K6" s="33" t="str">
        <f>IF(VLOOKUP(A6,[1]技能配置!$B$1:$AW$170,6,FALSE)="","[]",VLOOKUP(A6,[1]技能配置!$B$1:$AW$170,6,FALSE))</f>
        <v>[]</v>
      </c>
      <c r="L6" s="33">
        <f>5</f>
        <v>5</v>
      </c>
      <c r="M6" s="33">
        <f>0</f>
        <v>0</v>
      </c>
      <c r="N6" s="33">
        <f>2</f>
        <v>2</v>
      </c>
      <c r="O6" s="33">
        <f>0</f>
        <v>0</v>
      </c>
      <c r="P6" s="33" t="str">
        <f t="shared" si="3"/>
        <v>[]</v>
      </c>
      <c r="Q6" s="33" t="str">
        <f t="shared" si="3"/>
        <v>[]</v>
      </c>
      <c r="R6" s="33" t="str">
        <f t="shared" si="3"/>
        <v>[]</v>
      </c>
      <c r="S6" s="33">
        <f>0</f>
        <v>0</v>
      </c>
      <c r="T6" s="33">
        <f>0</f>
        <v>0</v>
      </c>
      <c r="U6" s="33">
        <f>0</f>
        <v>0</v>
      </c>
      <c r="V6" s="33">
        <f>0</f>
        <v>0</v>
      </c>
      <c r="W6" s="33">
        <f>0</f>
        <v>0</v>
      </c>
      <c r="X6" s="33">
        <f>0</f>
        <v>0</v>
      </c>
      <c r="Y6" s="33">
        <f>0</f>
        <v>0</v>
      </c>
    </row>
    <row r="7" spans="1:25" x14ac:dyDescent="0.15">
      <c r="A7" s="32" t="str">
        <f>引用表!A$9&amp;"_1"</f>
        <v>tuotatianwang_1</v>
      </c>
      <c r="B7" s="33" t="str">
        <f>VLOOKUP(A7,特效配置!$A$1:Z$50,6,FALSE)</f>
        <v>[]</v>
      </c>
      <c r="C7" s="33" t="str">
        <f>IF(B7="[]","[]",MID(A7,1,SEARCH("_",A7,1)-1)&amp;"-"&amp;VLOOKUP(MID(A7,SEARCH("_",A7,1)+1,6)+0,[1]buff对照表!$I$1:$K$6,2,FALSE))</f>
        <v>[]</v>
      </c>
      <c r="D7" s="33" t="str">
        <f t="shared" si="0"/>
        <v>[]</v>
      </c>
      <c r="E7" s="33">
        <f>0</f>
        <v>0</v>
      </c>
      <c r="F7" s="33">
        <f>0</f>
        <v>0</v>
      </c>
      <c r="G7" s="33">
        <f>11</f>
        <v>11</v>
      </c>
      <c r="H7" s="33">
        <f t="shared" si="1"/>
        <v>0</v>
      </c>
      <c r="I7" s="33">
        <f>0</f>
        <v>0</v>
      </c>
      <c r="J7" s="33" t="str">
        <f t="shared" si="2"/>
        <v>[]</v>
      </c>
      <c r="K7" s="33" t="str">
        <f>IF(VLOOKUP(A7,[1]技能配置!$B$1:$AW$170,6,FALSE)="","[]",VLOOKUP(A7,[1]技能配置!$B$1:$AW$170,6,FALSE))</f>
        <v>[]</v>
      </c>
      <c r="L7" s="33">
        <f>5</f>
        <v>5</v>
      </c>
      <c r="M7" s="33">
        <f>0</f>
        <v>0</v>
      </c>
      <c r="N7" s="33">
        <f>2</f>
        <v>2</v>
      </c>
      <c r="O7" s="33">
        <f>0</f>
        <v>0</v>
      </c>
      <c r="P7" s="33" t="str">
        <f t="shared" si="3"/>
        <v>[]</v>
      </c>
      <c r="Q7" s="33" t="str">
        <f t="shared" si="3"/>
        <v>[]</v>
      </c>
      <c r="R7" s="33" t="str">
        <f t="shared" si="3"/>
        <v>[]</v>
      </c>
      <c r="S7" s="33">
        <f>0</f>
        <v>0</v>
      </c>
      <c r="T7" s="33">
        <f>0</f>
        <v>0</v>
      </c>
      <c r="U7" s="33">
        <f>0</f>
        <v>0</v>
      </c>
      <c r="V7" s="33">
        <f>0</f>
        <v>0</v>
      </c>
      <c r="W7" s="33">
        <f>0</f>
        <v>0</v>
      </c>
      <c r="X7" s="33">
        <f>0</f>
        <v>0</v>
      </c>
      <c r="Y7" s="33">
        <f>0</f>
        <v>0</v>
      </c>
    </row>
    <row r="8" spans="1:25" x14ac:dyDescent="0.15">
      <c r="A8" s="32" t="str">
        <f>引用表!A$9&amp;"_2"</f>
        <v>tuotatianwang_2</v>
      </c>
      <c r="B8" s="33" t="str">
        <f>VLOOKUP(A8,特效配置!$A$1:Z$50,6,FALSE)</f>
        <v>[]</v>
      </c>
      <c r="C8" s="33" t="str">
        <f>IF(B8="[]","[]",MID(A8,1,SEARCH("_",A8,1)-1)&amp;"-"&amp;VLOOKUP(MID(A8,SEARCH("_",A8,1)+1,6)+0,[1]buff对照表!$I$1:$K$6,2,FALSE))</f>
        <v>[]</v>
      </c>
      <c r="D8" s="33" t="str">
        <f t="shared" si="0"/>
        <v>[]</v>
      </c>
      <c r="E8" s="33">
        <f>0</f>
        <v>0</v>
      </c>
      <c r="F8" s="33">
        <f>0</f>
        <v>0</v>
      </c>
      <c r="G8" s="33">
        <f>11</f>
        <v>11</v>
      </c>
      <c r="H8" s="33">
        <f t="shared" si="1"/>
        <v>0</v>
      </c>
      <c r="I8" s="33">
        <f>0</f>
        <v>0</v>
      </c>
      <c r="J8" s="33" t="str">
        <f t="shared" si="2"/>
        <v>[]</v>
      </c>
      <c r="K8" s="33" t="str">
        <f>IF(VLOOKUP(A8,[1]技能配置!$B$1:$AW$170,6,FALSE)="","[]",VLOOKUP(A8,[1]技能配置!$B$1:$AW$170,6,FALSE))</f>
        <v>[]</v>
      </c>
      <c r="L8" s="33">
        <f>5</f>
        <v>5</v>
      </c>
      <c r="M8" s="33">
        <f>0</f>
        <v>0</v>
      </c>
      <c r="N8" s="33">
        <f>2</f>
        <v>2</v>
      </c>
      <c r="O8" s="33">
        <f>0</f>
        <v>0</v>
      </c>
      <c r="P8" s="33" t="str">
        <f t="shared" si="3"/>
        <v>[]</v>
      </c>
      <c r="Q8" s="33" t="str">
        <f t="shared" si="3"/>
        <v>[]</v>
      </c>
      <c r="R8" s="33" t="str">
        <f t="shared" si="3"/>
        <v>[]</v>
      </c>
      <c r="S8" s="33">
        <f>0</f>
        <v>0</v>
      </c>
      <c r="T8" s="33">
        <f>0</f>
        <v>0</v>
      </c>
      <c r="U8" s="33">
        <f>0</f>
        <v>0</v>
      </c>
      <c r="V8" s="33">
        <f>0</f>
        <v>0</v>
      </c>
      <c r="W8" s="33">
        <f>0</f>
        <v>0</v>
      </c>
      <c r="X8" s="33">
        <f>0</f>
        <v>0</v>
      </c>
      <c r="Y8" s="33">
        <f>0</f>
        <v>0</v>
      </c>
    </row>
    <row r="9" spans="1:25" x14ac:dyDescent="0.15">
      <c r="A9" s="32" t="str">
        <f>引用表!A$9&amp;"_3"</f>
        <v>tuotatianwang_3</v>
      </c>
      <c r="B9" s="33" t="str">
        <f>VLOOKUP(A9,特效配置!$A$1:Z$50,6,FALSE)</f>
        <v>[]</v>
      </c>
      <c r="C9" s="33" t="str">
        <f>IF(B9="[]","[]",MID(A9,1,SEARCH("_",A9,1)-1)&amp;"-"&amp;VLOOKUP(MID(A9,SEARCH("_",A9,1)+1,6)+0,[1]buff对照表!$I$1:$K$6,2,FALSE))</f>
        <v>[]</v>
      </c>
      <c r="D9" s="33" t="str">
        <f t="shared" si="0"/>
        <v>[]</v>
      </c>
      <c r="E9" s="33">
        <f>0</f>
        <v>0</v>
      </c>
      <c r="F9" s="33">
        <f>0</f>
        <v>0</v>
      </c>
      <c r="G9" s="33">
        <f>11</f>
        <v>11</v>
      </c>
      <c r="H9" s="33">
        <f t="shared" si="1"/>
        <v>0</v>
      </c>
      <c r="I9" s="33">
        <f>0</f>
        <v>0</v>
      </c>
      <c r="J9" s="33" t="str">
        <f t="shared" si="2"/>
        <v>[]</v>
      </c>
      <c r="K9" s="33" t="str">
        <f>IF(VLOOKUP(A9,[1]技能配置!$B$1:$AW$170,6,FALSE)="","[]",VLOOKUP(A9,[1]技能配置!$B$1:$AW$170,6,FALSE))</f>
        <v>[]</v>
      </c>
      <c r="L9" s="33">
        <f>5</f>
        <v>5</v>
      </c>
      <c r="M9" s="33">
        <f>0</f>
        <v>0</v>
      </c>
      <c r="N9" s="33">
        <f>2</f>
        <v>2</v>
      </c>
      <c r="O9" s="33">
        <f>0</f>
        <v>0</v>
      </c>
      <c r="P9" s="33" t="str">
        <f t="shared" si="3"/>
        <v>[]</v>
      </c>
      <c r="Q9" s="33" t="str">
        <f t="shared" si="3"/>
        <v>[]</v>
      </c>
      <c r="R9" s="33" t="str">
        <f t="shared" si="3"/>
        <v>[]</v>
      </c>
      <c r="S9" s="33">
        <f>0</f>
        <v>0</v>
      </c>
      <c r="T9" s="33">
        <f>0</f>
        <v>0</v>
      </c>
      <c r="U9" s="33">
        <f>0</f>
        <v>0</v>
      </c>
      <c r="V9" s="33">
        <f>0</f>
        <v>0</v>
      </c>
      <c r="W9" s="33">
        <f>0</f>
        <v>0</v>
      </c>
      <c r="X9" s="33">
        <f>0</f>
        <v>0</v>
      </c>
      <c r="Y9" s="33">
        <f>0</f>
        <v>0</v>
      </c>
    </row>
    <row r="10" spans="1:25" x14ac:dyDescent="0.15">
      <c r="A10" s="32" t="str">
        <f>引用表!A$9&amp;"_4"</f>
        <v>tuotatianwang_4</v>
      </c>
      <c r="B10" s="33" t="str">
        <f>VLOOKUP(A10,特效配置!$A$1:Z$50,6,FALSE)</f>
        <v>[]</v>
      </c>
      <c r="C10" s="33" t="str">
        <f>IF(B10="[]","[]",MID(A10,1,SEARCH("_",A10,1)-1)&amp;"-"&amp;VLOOKUP(MID(A10,SEARCH("_",A10,1)+1,6)+0,[1]buff对照表!$I$1:$K$6,2,FALSE))</f>
        <v>[]</v>
      </c>
      <c r="D10" s="33" t="str">
        <f t="shared" si="0"/>
        <v>[]</v>
      </c>
      <c r="E10" s="33">
        <f>0</f>
        <v>0</v>
      </c>
      <c r="F10" s="33">
        <f>0</f>
        <v>0</v>
      </c>
      <c r="G10" s="33">
        <f>11</f>
        <v>11</v>
      </c>
      <c r="H10" s="33">
        <f t="shared" si="1"/>
        <v>0</v>
      </c>
      <c r="I10" s="33">
        <f>0</f>
        <v>0</v>
      </c>
      <c r="J10" s="33" t="str">
        <f t="shared" si="2"/>
        <v>[]</v>
      </c>
      <c r="K10" s="33" t="str">
        <f>IF(VLOOKUP(A10,[1]技能配置!$B$1:$AW$170,6,FALSE)="","[]",VLOOKUP(A10,[1]技能配置!$B$1:$AW$170,6,FALSE))</f>
        <v>[]</v>
      </c>
      <c r="L10" s="33">
        <f>5</f>
        <v>5</v>
      </c>
      <c r="M10" s="33">
        <f>0</f>
        <v>0</v>
      </c>
      <c r="N10" s="33">
        <f>2</f>
        <v>2</v>
      </c>
      <c r="O10" s="33">
        <f>0</f>
        <v>0</v>
      </c>
      <c r="P10" s="33" t="str">
        <f t="shared" si="3"/>
        <v>[]</v>
      </c>
      <c r="Q10" s="33" t="str">
        <f t="shared" si="3"/>
        <v>[]</v>
      </c>
      <c r="R10" s="33" t="str">
        <f t="shared" si="3"/>
        <v>[]</v>
      </c>
      <c r="S10" s="33">
        <f>0</f>
        <v>0</v>
      </c>
      <c r="T10" s="33">
        <f>0</f>
        <v>0</v>
      </c>
      <c r="U10" s="33">
        <f>0</f>
        <v>0</v>
      </c>
      <c r="V10" s="33">
        <f>0</f>
        <v>0</v>
      </c>
      <c r="W10" s="33">
        <f>0</f>
        <v>0</v>
      </c>
      <c r="X10" s="33">
        <f>0</f>
        <v>0</v>
      </c>
      <c r="Y10" s="33">
        <f>0</f>
        <v>0</v>
      </c>
    </row>
    <row r="11" spans="1:25" x14ac:dyDescent="0.15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x14ac:dyDescent="0.1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x14ac:dyDescent="0.1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x14ac:dyDescent="0.1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x14ac:dyDescent="0.1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 x14ac:dyDescent="0.1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15">
      <c r="A17" s="3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9" spans="1:25" x14ac:dyDescent="0.15">
      <c r="D19" s="26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25"/>
  <sheetViews>
    <sheetView workbookViewId="0">
      <pane xSplit="3" ySplit="10" topLeftCell="D11" activePane="bottomRight" state="frozen"/>
      <selection pane="topRight" activeCell="F1" sqref="F1"/>
      <selection pane="bottomLeft" activeCell="A11" sqref="A11"/>
      <selection pane="bottomRight" activeCell="K4" sqref="K4"/>
    </sheetView>
  </sheetViews>
  <sheetFormatPr defaultRowHeight="17.25" x14ac:dyDescent="0.15"/>
  <cols>
    <col min="1" max="1" width="14.125" style="20" bestFit="1" customWidth="1"/>
    <col min="2" max="2" width="20" bestFit="1" customWidth="1"/>
    <col min="3" max="4" width="14.125" bestFit="1" customWidth="1"/>
    <col min="5" max="5" width="13.875" bestFit="1" customWidth="1"/>
    <col min="6" max="6" width="12.5" bestFit="1" customWidth="1"/>
    <col min="7" max="7" width="14.125" bestFit="1" customWidth="1"/>
    <col min="8" max="8" width="26.875" bestFit="1" customWidth="1"/>
    <col min="9" max="9" width="13.875" bestFit="1" customWidth="1"/>
    <col min="10" max="10" width="15.5" bestFit="1" customWidth="1"/>
    <col min="11" max="11" width="15.5" customWidth="1"/>
    <col min="12" max="12" width="13.375" bestFit="1" customWidth="1"/>
    <col min="13" max="13" width="35.5" bestFit="1" customWidth="1"/>
    <col min="14" max="14" width="15.25" bestFit="1" customWidth="1"/>
    <col min="15" max="15" width="18.75" bestFit="1" customWidth="1"/>
    <col min="16" max="16" width="23.375" bestFit="1" customWidth="1"/>
    <col min="17" max="17" width="10.25" bestFit="1" customWidth="1"/>
    <col min="18" max="18" width="13" bestFit="1" customWidth="1"/>
    <col min="19" max="19" width="13.875" bestFit="1" customWidth="1"/>
    <col min="20" max="20" width="16.125" bestFit="1" customWidth="1"/>
    <col min="21" max="21" width="14.625" bestFit="1" customWidth="1"/>
    <col min="22" max="22" width="15.25" bestFit="1" customWidth="1"/>
    <col min="23" max="23" width="14.875" bestFit="1" customWidth="1"/>
    <col min="24" max="24" width="12.625" bestFit="1" customWidth="1"/>
  </cols>
  <sheetData>
    <row r="1" spans="1:25" s="21" customFormat="1" ht="144.75" customHeight="1" x14ac:dyDescent="0.15">
      <c r="B1" s="23" t="s">
        <v>1477</v>
      </c>
      <c r="C1" s="23" t="s">
        <v>1478</v>
      </c>
      <c r="D1" s="23" t="s">
        <v>1460</v>
      </c>
      <c r="E1" s="23" t="s">
        <v>1461</v>
      </c>
      <c r="F1" s="23" t="s">
        <v>1462</v>
      </c>
      <c r="G1" s="23" t="s">
        <v>1496</v>
      </c>
      <c r="H1" s="23" t="s">
        <v>1464</v>
      </c>
      <c r="I1" s="23" t="s">
        <v>1465</v>
      </c>
      <c r="J1" s="23" t="s">
        <v>1466</v>
      </c>
      <c r="K1" s="23" t="s">
        <v>1467</v>
      </c>
      <c r="L1" s="23" t="s">
        <v>1468</v>
      </c>
      <c r="M1" s="23" t="s">
        <v>1469</v>
      </c>
      <c r="N1" s="23" t="s">
        <v>1479</v>
      </c>
      <c r="O1" s="23" t="s">
        <v>1481</v>
      </c>
      <c r="P1" s="23" t="s">
        <v>1480</v>
      </c>
      <c r="Q1" s="23" t="s">
        <v>1483</v>
      </c>
      <c r="R1" s="23" t="s">
        <v>1482</v>
      </c>
      <c r="S1" s="23" t="s">
        <v>1484</v>
      </c>
      <c r="T1" s="23" t="s">
        <v>1486</v>
      </c>
      <c r="U1" s="23" t="s">
        <v>1485</v>
      </c>
      <c r="V1" s="23" t="s">
        <v>1487</v>
      </c>
      <c r="W1" s="23" t="s">
        <v>4</v>
      </c>
      <c r="X1" s="23" t="s">
        <v>5</v>
      </c>
      <c r="Y1" s="23" t="s">
        <v>6</v>
      </c>
    </row>
    <row r="2" spans="1:25" s="22" customFormat="1" x14ac:dyDescent="0.15">
      <c r="B2" s="24" t="s">
        <v>7</v>
      </c>
      <c r="C2" s="24" t="s">
        <v>8</v>
      </c>
      <c r="D2" s="24" t="s">
        <v>1470</v>
      </c>
      <c r="E2" s="24" t="s">
        <v>1471</v>
      </c>
      <c r="F2" s="24" t="s">
        <v>1472</v>
      </c>
      <c r="G2" s="24" t="s">
        <v>1473</v>
      </c>
      <c r="H2" s="24" t="s">
        <v>1474</v>
      </c>
      <c r="I2" s="24" t="s">
        <v>1475</v>
      </c>
      <c r="J2" s="24" t="s">
        <v>1476</v>
      </c>
      <c r="K2" s="24" t="s">
        <v>9</v>
      </c>
      <c r="L2" s="24" t="s">
        <v>10</v>
      </c>
      <c r="M2" s="24" t="s">
        <v>11</v>
      </c>
      <c r="N2" s="24" t="s">
        <v>12</v>
      </c>
      <c r="O2" s="24" t="s">
        <v>13</v>
      </c>
      <c r="P2" s="24" t="s">
        <v>14</v>
      </c>
      <c r="Q2" s="24" t="s">
        <v>15</v>
      </c>
      <c r="R2" s="24" t="s">
        <v>16</v>
      </c>
      <c r="S2" s="24" t="s">
        <v>17</v>
      </c>
      <c r="T2" s="24" t="s">
        <v>18</v>
      </c>
      <c r="U2" s="24" t="s">
        <v>19</v>
      </c>
      <c r="V2" s="24" t="s">
        <v>20</v>
      </c>
      <c r="W2" s="24" t="s">
        <v>21</v>
      </c>
      <c r="X2" s="24" t="s">
        <v>22</v>
      </c>
      <c r="Y2" s="24" t="s">
        <v>23</v>
      </c>
    </row>
    <row r="3" spans="1:25" s="22" customFormat="1" x14ac:dyDescent="0.15">
      <c r="B3" s="24" t="s">
        <v>24</v>
      </c>
      <c r="C3" s="24" t="s">
        <v>24</v>
      </c>
      <c r="D3" s="24" t="s">
        <v>24</v>
      </c>
      <c r="E3" s="24" t="s">
        <v>25</v>
      </c>
      <c r="F3" s="24" t="s">
        <v>25</v>
      </c>
      <c r="G3" s="24" t="s">
        <v>24</v>
      </c>
      <c r="H3" s="24" t="s">
        <v>25</v>
      </c>
      <c r="I3" s="24" t="s">
        <v>24</v>
      </c>
      <c r="J3" s="24" t="s">
        <v>24</v>
      </c>
      <c r="K3" s="24" t="s">
        <v>24</v>
      </c>
      <c r="L3" s="24" t="s">
        <v>25</v>
      </c>
      <c r="M3" s="24" t="s">
        <v>25</v>
      </c>
      <c r="N3" s="24" t="s">
        <v>26</v>
      </c>
      <c r="O3" s="24" t="s">
        <v>26</v>
      </c>
      <c r="P3" s="24" t="s">
        <v>24</v>
      </c>
      <c r="Q3" s="24" t="s">
        <v>24</v>
      </c>
      <c r="R3" s="24" t="s">
        <v>24</v>
      </c>
      <c r="S3" s="24" t="s">
        <v>25</v>
      </c>
      <c r="T3" s="24" t="s">
        <v>25</v>
      </c>
      <c r="U3" s="24" t="s">
        <v>26</v>
      </c>
      <c r="V3" s="24" t="s">
        <v>26</v>
      </c>
      <c r="W3" s="24" t="s">
        <v>26</v>
      </c>
      <c r="X3" s="24" t="s">
        <v>26</v>
      </c>
      <c r="Y3" s="24" t="s">
        <v>25</v>
      </c>
    </row>
    <row r="4" spans="1:25" x14ac:dyDescent="0.15">
      <c r="A4" s="32" t="s">
        <v>1489</v>
      </c>
      <c r="B4" s="33" t="str">
        <f>VLOOKUP(A4,特效配置!$A$1:Z$50,7,FALSE)</f>
        <v>[]</v>
      </c>
      <c r="C4" s="33" t="str">
        <f>IF(B4="[]","[]",MID(A4,1,SEARCH("_",A4,1)-1)&amp;"-"&amp;VLOOKUP(MID(A4,SEARCH("_",A4,1)+1,6)+0,[1]buff对照表!$I$1:$K$6,2,FALSE))</f>
        <v>[]</v>
      </c>
      <c r="D4" s="33" t="str">
        <f t="shared" ref="D4:D10" si="0">"[]"</f>
        <v>[]</v>
      </c>
      <c r="E4" s="33">
        <f>0</f>
        <v>0</v>
      </c>
      <c r="F4" s="33">
        <f>0</f>
        <v>0</v>
      </c>
      <c r="G4" s="33">
        <f>1</f>
        <v>1</v>
      </c>
      <c r="H4" s="33">
        <f t="shared" ref="H4:H10" si="1">IF(OR(G4=2,G4=4,MID(G4,1,2)="14"),17,0)</f>
        <v>0</v>
      </c>
      <c r="I4" s="33">
        <f>0</f>
        <v>0</v>
      </c>
      <c r="J4" s="33" t="str">
        <f t="shared" ref="J4:J10" si="2">"[]"</f>
        <v>[]</v>
      </c>
      <c r="K4" s="33" t="str">
        <f>IF(VLOOKUP(A4,[1]技能配置!$B$1:$AW$170,7,FALSE)="","[]",VLOOKUP(A4,[1]技能配置!$B$1:$AW$170,7,FALSE))</f>
        <v>[]</v>
      </c>
      <c r="L4" s="33">
        <f>5</f>
        <v>5</v>
      </c>
      <c r="M4" s="33">
        <f>0</f>
        <v>0</v>
      </c>
      <c r="N4" s="33">
        <f>2</f>
        <v>2</v>
      </c>
      <c r="O4" s="33" t="str">
        <f t="shared" ref="O4:O10" si="3">"手填"</f>
        <v>手填</v>
      </c>
      <c r="P4" s="33" t="str">
        <f t="shared" ref="P4:R10" si="4">"[]"</f>
        <v>[]</v>
      </c>
      <c r="Q4" s="33" t="str">
        <f t="shared" si="4"/>
        <v>[]</v>
      </c>
      <c r="R4" s="33" t="str">
        <f t="shared" si="4"/>
        <v>[]</v>
      </c>
      <c r="S4" s="33">
        <f>0</f>
        <v>0</v>
      </c>
      <c r="T4" s="33">
        <f>0</f>
        <v>0</v>
      </c>
      <c r="U4" s="33">
        <f>0</f>
        <v>0</v>
      </c>
      <c r="V4" s="33">
        <f>0</f>
        <v>0</v>
      </c>
      <c r="W4" s="33">
        <f>0</f>
        <v>0</v>
      </c>
      <c r="X4" s="33">
        <f>0</f>
        <v>0</v>
      </c>
      <c r="Y4" s="33">
        <f>0</f>
        <v>0</v>
      </c>
    </row>
    <row r="5" spans="1:25" x14ac:dyDescent="0.15">
      <c r="A5" s="32" t="s">
        <v>1488</v>
      </c>
      <c r="B5" s="33" t="str">
        <f>VLOOKUP(A5,特效配置!$A$1:Z$50,7,FALSE)</f>
        <v>[]</v>
      </c>
      <c r="C5" s="33" t="str">
        <f>IF(B5="[]","[]",MID(A5,1,SEARCH("_",A5,1)-1)&amp;"-"&amp;VLOOKUP(MID(A5,SEARCH("_",A5,1)+1,6)+0,[1]buff对照表!$I$1:$K$6,2,FALSE))</f>
        <v>[]</v>
      </c>
      <c r="D5" s="33" t="str">
        <f t="shared" si="0"/>
        <v>[]</v>
      </c>
      <c r="E5" s="33">
        <f>0</f>
        <v>0</v>
      </c>
      <c r="F5" s="33">
        <f>0</f>
        <v>0</v>
      </c>
      <c r="G5" s="33">
        <f>1</f>
        <v>1</v>
      </c>
      <c r="H5" s="33">
        <f t="shared" si="1"/>
        <v>0</v>
      </c>
      <c r="I5" s="33">
        <f>0</f>
        <v>0</v>
      </c>
      <c r="J5" s="33" t="str">
        <f t="shared" si="2"/>
        <v>[]</v>
      </c>
      <c r="K5" s="33" t="str">
        <f>IF(VLOOKUP(A5,[1]技能配置!$B$1:$AW$170,7,FALSE)="","[]",VLOOKUP(A5,[1]技能配置!$B$1:$AW$170,7,FALSE))</f>
        <v>[]</v>
      </c>
      <c r="L5" s="33">
        <f>5</f>
        <v>5</v>
      </c>
      <c r="M5" s="33">
        <f>0</f>
        <v>0</v>
      </c>
      <c r="N5" s="33">
        <f>2</f>
        <v>2</v>
      </c>
      <c r="O5" s="33" t="str">
        <f t="shared" si="3"/>
        <v>手填</v>
      </c>
      <c r="P5" s="33" t="str">
        <f t="shared" si="4"/>
        <v>[]</v>
      </c>
      <c r="Q5" s="33" t="str">
        <f t="shared" si="4"/>
        <v>[]</v>
      </c>
      <c r="R5" s="33" t="str">
        <f t="shared" si="4"/>
        <v>[]</v>
      </c>
      <c r="S5" s="33">
        <f>0</f>
        <v>0</v>
      </c>
      <c r="T5" s="33">
        <f>0</f>
        <v>0</v>
      </c>
      <c r="U5" s="33">
        <f>0</f>
        <v>0</v>
      </c>
      <c r="V5" s="33">
        <f>0</f>
        <v>0</v>
      </c>
      <c r="W5" s="33">
        <f>0</f>
        <v>0</v>
      </c>
      <c r="X5" s="33">
        <f>0</f>
        <v>0</v>
      </c>
      <c r="Y5" s="33">
        <f>0</f>
        <v>0</v>
      </c>
    </row>
    <row r="6" spans="1:25" x14ac:dyDescent="0.15">
      <c r="A6" s="32" t="str">
        <f>引用表!A$9&amp;"_0"</f>
        <v>tuotatianwang_0</v>
      </c>
      <c r="B6" s="33" t="str">
        <f>VLOOKUP(A6,特效配置!$A$1:Z$50,7,FALSE)</f>
        <v>[]</v>
      </c>
      <c r="C6" s="33" t="str">
        <f>IF(B6="[]","[]",MID(A6,1,SEARCH("_",A6,1)-1)&amp;"-"&amp;VLOOKUP(MID(A6,SEARCH("_",A6,1)+1,6)+0,[1]buff对照表!$I$1:$K$6,2,FALSE))</f>
        <v>[]</v>
      </c>
      <c r="D6" s="33" t="str">
        <f t="shared" si="0"/>
        <v>[]</v>
      </c>
      <c r="E6" s="33">
        <f>0</f>
        <v>0</v>
      </c>
      <c r="F6" s="33">
        <f>0</f>
        <v>0</v>
      </c>
      <c r="G6" s="33">
        <f>1</f>
        <v>1</v>
      </c>
      <c r="H6" s="33">
        <f t="shared" si="1"/>
        <v>0</v>
      </c>
      <c r="I6" s="33">
        <f>0</f>
        <v>0</v>
      </c>
      <c r="J6" s="33" t="str">
        <f t="shared" si="2"/>
        <v>[]</v>
      </c>
      <c r="K6" s="33" t="str">
        <f>IF(VLOOKUP(A6,[1]技能配置!$B$1:$AW$170,7,FALSE)="","[]",VLOOKUP(A6,[1]技能配置!$B$1:$AW$170,7,FALSE))</f>
        <v>[]</v>
      </c>
      <c r="L6" s="33">
        <f>5</f>
        <v>5</v>
      </c>
      <c r="M6" s="33">
        <f>0</f>
        <v>0</v>
      </c>
      <c r="N6" s="33">
        <f>2</f>
        <v>2</v>
      </c>
      <c r="O6" s="33" t="str">
        <f t="shared" si="3"/>
        <v>手填</v>
      </c>
      <c r="P6" s="33" t="str">
        <f t="shared" si="4"/>
        <v>[]</v>
      </c>
      <c r="Q6" s="33" t="str">
        <f t="shared" si="4"/>
        <v>[]</v>
      </c>
      <c r="R6" s="33" t="str">
        <f t="shared" si="4"/>
        <v>[]</v>
      </c>
      <c r="S6" s="33">
        <f>0</f>
        <v>0</v>
      </c>
      <c r="T6" s="33">
        <f>0</f>
        <v>0</v>
      </c>
      <c r="U6" s="33">
        <f>0</f>
        <v>0</v>
      </c>
      <c r="V6" s="33">
        <f>0</f>
        <v>0</v>
      </c>
      <c r="W6" s="33">
        <f>0</f>
        <v>0</v>
      </c>
      <c r="X6" s="33">
        <f>0</f>
        <v>0</v>
      </c>
      <c r="Y6" s="33">
        <f>0</f>
        <v>0</v>
      </c>
    </row>
    <row r="7" spans="1:25" x14ac:dyDescent="0.15">
      <c r="A7" s="32" t="str">
        <f>引用表!A$9&amp;"_1"</f>
        <v>tuotatianwang_1</v>
      </c>
      <c r="B7" s="33" t="str">
        <f>VLOOKUP(A7,特效配置!$A$1:Z$50,7,FALSE)</f>
        <v>[]</v>
      </c>
      <c r="C7" s="33" t="str">
        <f>IF(B7="[]","[]",MID(A7,1,SEARCH("_",A7,1)-1)&amp;"-"&amp;VLOOKUP(MID(A7,SEARCH("_",A7,1)+1,6)+0,[1]buff对照表!$I$1:$K$6,2,FALSE))</f>
        <v>[]</v>
      </c>
      <c r="D7" s="33" t="str">
        <f t="shared" si="0"/>
        <v>[]</v>
      </c>
      <c r="E7" s="33">
        <f>0</f>
        <v>0</v>
      </c>
      <c r="F7" s="33">
        <f>0</f>
        <v>0</v>
      </c>
      <c r="G7" s="33">
        <f>1</f>
        <v>1</v>
      </c>
      <c r="H7" s="33">
        <f t="shared" si="1"/>
        <v>0</v>
      </c>
      <c r="I7" s="33">
        <f>0</f>
        <v>0</v>
      </c>
      <c r="J7" s="33" t="str">
        <f t="shared" si="2"/>
        <v>[]</v>
      </c>
      <c r="K7" s="33" t="str">
        <f>IF(VLOOKUP(A7,[1]技能配置!$B$1:$AW$170,7,FALSE)="","[]",VLOOKUP(A7,[1]技能配置!$B$1:$AW$170,7,FALSE))</f>
        <v>[]</v>
      </c>
      <c r="L7" s="33">
        <f>5</f>
        <v>5</v>
      </c>
      <c r="M7" s="33">
        <f>0</f>
        <v>0</v>
      </c>
      <c r="N7" s="33">
        <f>2</f>
        <v>2</v>
      </c>
      <c r="O7" s="33" t="str">
        <f t="shared" si="3"/>
        <v>手填</v>
      </c>
      <c r="P7" s="33" t="str">
        <f t="shared" si="4"/>
        <v>[]</v>
      </c>
      <c r="Q7" s="33" t="str">
        <f t="shared" si="4"/>
        <v>[]</v>
      </c>
      <c r="R7" s="33" t="str">
        <f t="shared" si="4"/>
        <v>[]</v>
      </c>
      <c r="S7" s="33">
        <f>0</f>
        <v>0</v>
      </c>
      <c r="T7" s="33">
        <f>0</f>
        <v>0</v>
      </c>
      <c r="U7" s="33">
        <f>0</f>
        <v>0</v>
      </c>
      <c r="V7" s="33">
        <f>0</f>
        <v>0</v>
      </c>
      <c r="W7" s="33">
        <f>0</f>
        <v>0</v>
      </c>
      <c r="X7" s="33">
        <f>0</f>
        <v>0</v>
      </c>
      <c r="Y7" s="33">
        <f>0</f>
        <v>0</v>
      </c>
    </row>
    <row r="8" spans="1:25" x14ac:dyDescent="0.15">
      <c r="A8" s="32" t="str">
        <f>引用表!A$9&amp;"_2"</f>
        <v>tuotatianwang_2</v>
      </c>
      <c r="B8" s="33" t="str">
        <f>VLOOKUP(A8,特效配置!$A$1:Z$50,7,FALSE)</f>
        <v>[]</v>
      </c>
      <c r="C8" s="33" t="str">
        <f>IF(B8="[]","[]",MID(A8,1,SEARCH("_",A8,1)-1)&amp;"-"&amp;VLOOKUP(MID(A8,SEARCH("_",A8,1)+1,6)+0,[1]buff对照表!$I$1:$K$6,2,FALSE))</f>
        <v>[]</v>
      </c>
      <c r="D8" s="33" t="str">
        <f t="shared" si="0"/>
        <v>[]</v>
      </c>
      <c r="E8" s="33">
        <f>0</f>
        <v>0</v>
      </c>
      <c r="F8" s="33">
        <f>0</f>
        <v>0</v>
      </c>
      <c r="G8" s="33">
        <f>1</f>
        <v>1</v>
      </c>
      <c r="H8" s="33">
        <f t="shared" si="1"/>
        <v>0</v>
      </c>
      <c r="I8" s="33">
        <f>0</f>
        <v>0</v>
      </c>
      <c r="J8" s="33" t="str">
        <f t="shared" si="2"/>
        <v>[]</v>
      </c>
      <c r="K8" s="33" t="str">
        <f>IF(VLOOKUP(A8,[1]技能配置!$B$1:$AW$170,7,FALSE)="","[]",VLOOKUP(A8,[1]技能配置!$B$1:$AW$170,7,FALSE))</f>
        <v>[]</v>
      </c>
      <c r="L8" s="33">
        <f>5</f>
        <v>5</v>
      </c>
      <c r="M8" s="33">
        <f>0</f>
        <v>0</v>
      </c>
      <c r="N8" s="33">
        <f>2</f>
        <v>2</v>
      </c>
      <c r="O8" s="33" t="str">
        <f t="shared" si="3"/>
        <v>手填</v>
      </c>
      <c r="P8" s="33" t="str">
        <f t="shared" si="4"/>
        <v>[]</v>
      </c>
      <c r="Q8" s="33" t="str">
        <f t="shared" si="4"/>
        <v>[]</v>
      </c>
      <c r="R8" s="33" t="str">
        <f t="shared" si="4"/>
        <v>[]</v>
      </c>
      <c r="S8" s="33">
        <f>0</f>
        <v>0</v>
      </c>
      <c r="T8" s="33">
        <f>0</f>
        <v>0</v>
      </c>
      <c r="U8" s="33">
        <f>0</f>
        <v>0</v>
      </c>
      <c r="V8" s="33">
        <f>0</f>
        <v>0</v>
      </c>
      <c r="W8" s="33">
        <f>0</f>
        <v>0</v>
      </c>
      <c r="X8" s="33">
        <f>0</f>
        <v>0</v>
      </c>
      <c r="Y8" s="33">
        <f>0</f>
        <v>0</v>
      </c>
    </row>
    <row r="9" spans="1:25" x14ac:dyDescent="0.15">
      <c r="A9" s="32" t="str">
        <f>引用表!A$9&amp;"_3"</f>
        <v>tuotatianwang_3</v>
      </c>
      <c r="B9" s="33" t="str">
        <f>VLOOKUP(A9,特效配置!$A$1:Z$50,7,FALSE)</f>
        <v>[]</v>
      </c>
      <c r="C9" s="33" t="str">
        <f>IF(B9="[]","[]",MID(A9,1,SEARCH("_",A9,1)-1)&amp;"-"&amp;VLOOKUP(MID(A9,SEARCH("_",A9,1)+1,6)+0,[1]buff对照表!$I$1:$K$6,2,FALSE))</f>
        <v>[]</v>
      </c>
      <c r="D9" s="33" t="str">
        <f t="shared" si="0"/>
        <v>[]</v>
      </c>
      <c r="E9" s="33">
        <f>0</f>
        <v>0</v>
      </c>
      <c r="F9" s="33">
        <f>0</f>
        <v>0</v>
      </c>
      <c r="G9" s="33">
        <f>1</f>
        <v>1</v>
      </c>
      <c r="H9" s="33">
        <f t="shared" si="1"/>
        <v>0</v>
      </c>
      <c r="I9" s="33">
        <f>0</f>
        <v>0</v>
      </c>
      <c r="J9" s="33" t="str">
        <f t="shared" si="2"/>
        <v>[]</v>
      </c>
      <c r="K9" s="33" t="str">
        <f>IF(VLOOKUP(A9,[1]技能配置!$B$1:$AW$170,7,FALSE)="","[]",VLOOKUP(A9,[1]技能配置!$B$1:$AW$170,7,FALSE))</f>
        <v>[]</v>
      </c>
      <c r="L9" s="33">
        <f>5</f>
        <v>5</v>
      </c>
      <c r="M9" s="33">
        <f>0</f>
        <v>0</v>
      </c>
      <c r="N9" s="33">
        <f>2</f>
        <v>2</v>
      </c>
      <c r="O9" s="33" t="str">
        <f t="shared" si="3"/>
        <v>手填</v>
      </c>
      <c r="P9" s="33" t="str">
        <f t="shared" si="4"/>
        <v>[]</v>
      </c>
      <c r="Q9" s="33" t="str">
        <f t="shared" si="4"/>
        <v>[]</v>
      </c>
      <c r="R9" s="33" t="str">
        <f t="shared" si="4"/>
        <v>[]</v>
      </c>
      <c r="S9" s="33">
        <f>0</f>
        <v>0</v>
      </c>
      <c r="T9" s="33">
        <f>0</f>
        <v>0</v>
      </c>
      <c r="U9" s="33">
        <f>0</f>
        <v>0</v>
      </c>
      <c r="V9" s="33">
        <f>0</f>
        <v>0</v>
      </c>
      <c r="W9" s="33">
        <f>0</f>
        <v>0</v>
      </c>
      <c r="X9" s="33">
        <f>0</f>
        <v>0</v>
      </c>
      <c r="Y9" s="33">
        <f>0</f>
        <v>0</v>
      </c>
    </row>
    <row r="10" spans="1:25" x14ac:dyDescent="0.15">
      <c r="A10" s="32" t="str">
        <f>引用表!A$9&amp;"_4"</f>
        <v>tuotatianwang_4</v>
      </c>
      <c r="B10" s="33" t="str">
        <f>VLOOKUP(A10,特效配置!$A$1:Z$50,7,FALSE)</f>
        <v>[]</v>
      </c>
      <c r="C10" s="33" t="str">
        <f>IF(B10="[]","[]",MID(A10,1,SEARCH("_",A10,1)-1)&amp;"-"&amp;VLOOKUP(MID(A10,SEARCH("_",A10,1)+1,6)+0,[1]buff对照表!$I$1:$K$6,2,FALSE))</f>
        <v>[]</v>
      </c>
      <c r="D10" s="33" t="str">
        <f t="shared" si="0"/>
        <v>[]</v>
      </c>
      <c r="E10" s="33">
        <f>0</f>
        <v>0</v>
      </c>
      <c r="F10" s="33">
        <f>0</f>
        <v>0</v>
      </c>
      <c r="G10" s="33">
        <f>1</f>
        <v>1</v>
      </c>
      <c r="H10" s="33">
        <f t="shared" si="1"/>
        <v>0</v>
      </c>
      <c r="I10" s="33">
        <f>0</f>
        <v>0</v>
      </c>
      <c r="J10" s="33" t="str">
        <f t="shared" si="2"/>
        <v>[]</v>
      </c>
      <c r="K10" s="33" t="str">
        <f>IF(VLOOKUP(A10,[1]技能配置!$B$1:$AW$170,7,FALSE)="","[]",VLOOKUP(A10,[1]技能配置!$B$1:$AW$170,7,FALSE))</f>
        <v>[]</v>
      </c>
      <c r="L10" s="33">
        <f>5</f>
        <v>5</v>
      </c>
      <c r="M10" s="33">
        <f>0</f>
        <v>0</v>
      </c>
      <c r="N10" s="33">
        <f>2</f>
        <v>2</v>
      </c>
      <c r="O10" s="33" t="str">
        <f t="shared" si="3"/>
        <v>手填</v>
      </c>
      <c r="P10" s="33" t="str">
        <f t="shared" si="4"/>
        <v>[]</v>
      </c>
      <c r="Q10" s="33" t="str">
        <f t="shared" si="4"/>
        <v>[]</v>
      </c>
      <c r="R10" s="33" t="str">
        <f t="shared" si="4"/>
        <v>[]</v>
      </c>
      <c r="S10" s="33">
        <f>0</f>
        <v>0</v>
      </c>
      <c r="T10" s="33">
        <f>0</f>
        <v>0</v>
      </c>
      <c r="U10" s="33">
        <f>0</f>
        <v>0</v>
      </c>
      <c r="V10" s="33">
        <f>0</f>
        <v>0</v>
      </c>
      <c r="W10" s="33">
        <f>0</f>
        <v>0</v>
      </c>
      <c r="X10" s="33">
        <f>0</f>
        <v>0</v>
      </c>
      <c r="Y10" s="33">
        <f>0</f>
        <v>0</v>
      </c>
    </row>
    <row r="11" spans="1:25" x14ac:dyDescent="0.15">
      <c r="A11" s="32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x14ac:dyDescent="0.15">
      <c r="A12" s="32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x14ac:dyDescent="0.15">
      <c r="A13" s="32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x14ac:dyDescent="0.15">
      <c r="A14" s="32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x14ac:dyDescent="0.15">
      <c r="A15" s="32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 x14ac:dyDescent="0.15">
      <c r="A16" s="32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6" x14ac:dyDescent="0.15">
      <c r="A17" s="32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6" s="5" customFormat="1" x14ac:dyDescent="0.15">
      <c r="A18" s="20"/>
    </row>
    <row r="19" spans="1:26" x14ac:dyDescent="0.1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1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1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1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1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1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60"/>
  <sheetViews>
    <sheetView workbookViewId="0">
      <selection activeCell="G16" sqref="G16"/>
    </sheetView>
  </sheetViews>
  <sheetFormatPr defaultRowHeight="14.25" x14ac:dyDescent="0.15"/>
  <cols>
    <col min="1" max="1" width="14.125" bestFit="1" customWidth="1"/>
    <col min="3" max="3" width="17.25" bestFit="1" customWidth="1"/>
    <col min="4" max="4" width="20.5" bestFit="1" customWidth="1"/>
    <col min="5" max="5" width="22.75" bestFit="1" customWidth="1"/>
    <col min="6" max="6" width="17.25" bestFit="1" customWidth="1"/>
    <col min="7" max="7" width="20.5" bestFit="1" customWidth="1"/>
  </cols>
  <sheetData>
    <row r="1" spans="1:26" ht="75" customHeight="1" x14ac:dyDescent="0.15">
      <c r="C1" t="s">
        <v>1491</v>
      </c>
      <c r="D1" s="27" t="s">
        <v>1493</v>
      </c>
      <c r="E1" s="27" t="s">
        <v>1492</v>
      </c>
      <c r="F1" s="26" t="s">
        <v>1494</v>
      </c>
      <c r="G1" s="26" t="s">
        <v>1495</v>
      </c>
      <c r="Z1" s="29"/>
    </row>
    <row r="2" spans="1:26" x14ac:dyDescent="0.15">
      <c r="B2" s="26" t="s">
        <v>1490</v>
      </c>
      <c r="C2" s="26"/>
      <c r="Z2" s="29"/>
    </row>
    <row r="3" spans="1:26" ht="17.25" x14ac:dyDescent="0.15">
      <c r="A3" s="31" t="s">
        <v>1488</v>
      </c>
      <c r="B3" s="28">
        <f>IF(VLOOKUP(A3,[1]技能配置!$B$3:$AW$170,3,FALSE)="",0,1)+IF(VLOOKUP(A3,[1]技能配置!$B$3:$AW$170,4,FALSE)="",0,1)+IF(VLOOKUP(A3,[1]技能配置!$B$3:$AW$170,5,FALSE)="",0,1)+IF(VLOOKUP(A3,[1]技能配置!$B$3:$AW$170,6,FALSE)="",0,1)+IF(VLOOKUP(A3,[1]技能配置!$B$3:$AW$170,7,FALSE)="",0,1)</f>
        <v>1</v>
      </c>
      <c r="C3" s="28" t="str">
        <f>IF(VLOOKUP(A3,[1]技能配置!$B$3:$AW$170,3,FALSE)&lt;&gt;"",MID(A3,1,SEARCH("_",A3,1))&amp;IF(MID(A3,SEARCH("_",A3,1)+1,1)+0=0,"attack","skill0"&amp;MID(A3,SEARCH("_",A3,1)+1,1))&amp;"_q","[]")</f>
        <v>[]</v>
      </c>
      <c r="D3" s="28" t="str">
        <f>IF(VLOOKUP(A3,[1]技能配置!$B$3:$AW$170,4,FALSE)&lt;&gt;"",MID(A3,1,SEARCH("_",A3,1))&amp;IF(MID(A3,SEARCH("_",A3,1)+1,1)+0=0,"attack","skill0"&amp;MID(A3,SEARCH("_",A3,1)+1,1)),"[]")</f>
        <v>nanzhujue_attack</v>
      </c>
      <c r="E3" s="28" t="str">
        <f>IF(VLOOKUP(A3,[1]技能配置!$B$3:$AW$170,5,FALSE)&lt;&gt;"",MID(A3,1,SEARCH("_",A3,1))&amp;IF(MID(A3,SEARCH("_",A3,1)+1,1)+0=0,"attack","skill0"&amp;MID(A3,SEARCH("_",A3,1)+1,1))&amp;"_f","[]")</f>
        <v>[]</v>
      </c>
      <c r="F3" s="28" t="str">
        <f>IF(VLOOKUP(A3,[1]技能配置!$B$3:$AW$170,6,FALSE)&lt;&gt;"",MID(A3,1,SEARCH("_",A3,1))&amp;IF(MID(A3,SEARCH("_",A3,1)+1,1)+0=0,"attack","skill0"&amp;MID(A3,SEARCH("_",A3,1)+1,1))&amp;"_b","[]")</f>
        <v>[]</v>
      </c>
      <c r="G3" s="28" t="str">
        <f>IF(VLOOKUP(A3,[1]技能配置!$B$3:$AW$170,7,FALSE)&lt;&gt;"",MID(A3,1,SEARCH("_",A3,1))&amp;IF(MID(A3,SEARCH("_",A3,1)+1,1)+0=0,"attack","skill0"&amp;MID(A3,SEARCH("_",A3,1)+1,1))&amp;"_buff","[]")</f>
        <v>[]</v>
      </c>
      <c r="H3" s="28"/>
      <c r="I3" s="28"/>
      <c r="J3" s="28"/>
      <c r="Z3" s="29"/>
    </row>
    <row r="4" spans="1:26" ht="17.25" x14ac:dyDescent="0.15">
      <c r="A4" s="31" t="s">
        <v>1489</v>
      </c>
      <c r="B4" s="28">
        <f>IF(VLOOKUP(A4,[1]技能配置!$B$3:$AW$170,3,FALSE)="",0,1)+IF(VLOOKUP(A4,[1]技能配置!$B$3:$AW$170,4,FALSE)="",0,1)+IF(VLOOKUP(A4,[1]技能配置!$B$3:$AW$170,5,FALSE)="",0,1)+IF(VLOOKUP(A4,[1]技能配置!$B$3:$AW$170,6,FALSE)="",0,1)+IF(VLOOKUP(A4,[1]技能配置!$B$3:$AW$170,7,FALSE)="",0,1)</f>
        <v>1</v>
      </c>
      <c r="C4" s="28" t="str">
        <f>IF(VLOOKUP(A4,[1]技能配置!$B$3:$AW$170,3,FALSE)&lt;&gt;"",MID(A4,1,SEARCH("_",A4,1))&amp;IF(MID(A4,SEARCH("_",A4,1)+1,1)+0=0,"attack","skill0"&amp;MID(A4,SEARCH("_",A4,1)+1,1))&amp;"_q","[]")</f>
        <v>[]</v>
      </c>
      <c r="D4" s="28" t="str">
        <f>IF(VLOOKUP(A4,[1]技能配置!$B$3:$AW$170,4,FALSE)&lt;&gt;"",MID(A4,1,SEARCH("_",A4,1))&amp;IF(MID(A4,SEARCH("_",A4,1)+1,1)+0=0,"attack","skill0"&amp;MID(A4,SEARCH("_",A4,1)+1,1)),"[]")</f>
        <v>nvzhujue_attack</v>
      </c>
      <c r="E4" s="28" t="str">
        <f>IF(VLOOKUP(A4,[1]技能配置!$B$3:$AW$170,5,FALSE)&lt;&gt;"",MID(A4,1,SEARCH("_",A4,1))&amp;IF(MID(A4,SEARCH("_",A4,1)+1,1)+0=0,"attack","skill0"&amp;MID(A4,SEARCH("_",A4,1)+1,1))&amp;"_f","[]")</f>
        <v>[]</v>
      </c>
      <c r="F4" s="28" t="str">
        <f>IF(VLOOKUP(A4,[1]技能配置!$B$3:$AW$170,6,FALSE)&lt;&gt;"",MID(A4,1,SEARCH("_",A4,1))&amp;IF(MID(A4,SEARCH("_",A4,1)+1,1)+0=0,"attack","skill0"&amp;MID(A4,SEARCH("_",A4,1)+1,1))&amp;"_b","[]")</f>
        <v>[]</v>
      </c>
      <c r="G4" s="28" t="str">
        <f>IF(VLOOKUP(A4,[1]技能配置!$B$3:$AW$170,7,FALSE)&lt;&gt;"",MID(A4,1,SEARCH("_",A4,1))&amp;IF(MID(A4,SEARCH("_",A4,1)+1,1)+0=0,"attack","skill0"&amp;MID(A4,SEARCH("_",A4,1)+1,1))&amp;"_buff","[]")</f>
        <v>[]</v>
      </c>
      <c r="H4" s="28"/>
      <c r="I4" s="28"/>
      <c r="J4" s="28"/>
      <c r="Z4" s="29"/>
    </row>
    <row r="5" spans="1:26" ht="17.25" x14ac:dyDescent="0.15">
      <c r="A5" s="31" t="str">
        <f>引用表!A9&amp;"_0"</f>
        <v>tuotatianwang_0</v>
      </c>
      <c r="B5" s="28">
        <f>IF(VLOOKUP(A5,[1]技能配置!$B$3:$AW$170,3,FALSE)="",0,1)+IF(VLOOKUP(A5,[1]技能配置!$B$3:$AW$170,4,FALSE)="",0,1)+IF(VLOOKUP(A5,[1]技能配置!$B$3:$AW$170,5,FALSE)="",0,1)+IF(VLOOKUP(A5,[1]技能配置!$B$3:$AW$170,6,FALSE)="",0,1)+IF(VLOOKUP(A5,[1]技能配置!$B$3:$AW$170,7,FALSE)="",0,1)</f>
        <v>1</v>
      </c>
      <c r="C5" s="28" t="str">
        <f>IF(VLOOKUP(A5,[1]技能配置!$B$3:$AW$170,3,FALSE)&lt;&gt;"",MID(A5,1,SEARCH("_",A5,1))&amp;IF(MID(A5,SEARCH("_",A5,1)+1,1)+0=0,"attack","skill0"&amp;MID(A5,SEARCH("_",A5,1)+1,1))&amp;"_q","[]")</f>
        <v>[]</v>
      </c>
      <c r="D5" s="28" t="str">
        <f>IF(VLOOKUP(A5,[1]技能配置!$B$3:$AW$170,4,FALSE)&lt;&gt;"",MID(A5,1,SEARCH("_",A5,1))&amp;IF(MID(A5,SEARCH("_",A5,1)+1,1)+0=0,"attack","skill0"&amp;MID(A5,SEARCH("_",A5,1)+1,1)),"[]")</f>
        <v>tuotatianwang_attack</v>
      </c>
      <c r="E5" s="28" t="str">
        <f>IF(VLOOKUP(A5,[1]技能配置!$B$3:$AW$170,5,FALSE)&lt;&gt;"",MID(A5,1,SEARCH("_",A5,1))&amp;IF(MID(A5,SEARCH("_",A5,1)+1,1)+0=0,"attack","skill0"&amp;MID(A5,SEARCH("_",A5,1)+1,1))&amp;"_f","[]")</f>
        <v>[]</v>
      </c>
      <c r="F5" s="28" t="str">
        <f>IF(VLOOKUP(A5,[1]技能配置!$B$3:$AW$170,6,FALSE)&lt;&gt;"",MID(A5,1,SEARCH("_",A5,1))&amp;IF(MID(A5,SEARCH("_",A5,1)+1,1)+0=0,"attack","skill0"&amp;MID(A5,SEARCH("_",A5,1)+1,1))&amp;"_b","[]")</f>
        <v>[]</v>
      </c>
      <c r="G5" s="28" t="str">
        <f>IF(VLOOKUP(A5,[1]技能配置!$B$3:$AW$170,7,FALSE)&lt;&gt;"",MID(A5,1,SEARCH("_",A5,1))&amp;IF(MID(A5,SEARCH("_",A5,1)+1,1)+0=0,"attack","skill0"&amp;MID(A5,SEARCH("_",A5,1)+1,1))&amp;"_buff","[]")</f>
        <v>[]</v>
      </c>
      <c r="H5" s="28"/>
      <c r="I5" s="28"/>
      <c r="J5" s="28"/>
      <c r="Z5" s="29"/>
    </row>
    <row r="6" spans="1:26" ht="17.25" x14ac:dyDescent="0.15">
      <c r="A6" s="31" t="str">
        <f>引用表!A9&amp;"_1"</f>
        <v>tuotatianwang_1</v>
      </c>
      <c r="B6" s="28">
        <f>IF(VLOOKUP(A6,[1]技能配置!$B$3:$AW$170,3,FALSE)="",0,1)+IF(VLOOKUP(A6,[1]技能配置!$B$3:$AW$170,4,FALSE)="",0,1)+IF(VLOOKUP(A6,[1]技能配置!$B$3:$AW$170,5,FALSE)="",0,1)+IF(VLOOKUP(A6,[1]技能配置!$B$3:$AW$170,6,FALSE)="",0,1)+IF(VLOOKUP(A6,[1]技能配置!$B$3:$AW$170,7,FALSE)="",0,1)</f>
        <v>1</v>
      </c>
      <c r="C6" s="28" t="str">
        <f>IF(VLOOKUP(A6,[1]技能配置!$B$3:$AW$170,3,FALSE)&lt;&gt;"",MID(A6,1,SEARCH("_",A6,1))&amp;IF(MID(A6,SEARCH("_",A6,1)+1,1)+0=0,"attack","skill0"&amp;MID(A6,SEARCH("_",A6,1)+1,1))&amp;"_q","[]")</f>
        <v>[]</v>
      </c>
      <c r="D6" s="28" t="str">
        <f>IF(VLOOKUP(A6,[1]技能配置!$B$3:$AW$170,4,FALSE)&lt;&gt;"",MID(A6,1,SEARCH("_",A6,1))&amp;IF(MID(A6,SEARCH("_",A6,1)+1,1)+0=0,"attack","skill0"&amp;MID(A6,SEARCH("_",A6,1)+1,1)),"[]")</f>
        <v>tuotatianwang_skill01</v>
      </c>
      <c r="E6" s="28" t="str">
        <f>IF(VLOOKUP(A6,[1]技能配置!$B$3:$AW$170,5,FALSE)&lt;&gt;"",MID(A6,1,SEARCH("_",A6,1))&amp;IF(MID(A6,SEARCH("_",A6,1)+1,1)+0=0,"attack","skill0"&amp;MID(A6,SEARCH("_",A6,1)+1,1))&amp;"_f","[]")</f>
        <v>[]</v>
      </c>
      <c r="F6" s="28" t="str">
        <f>IF(VLOOKUP(A6,[1]技能配置!$B$3:$AW$170,6,FALSE)&lt;&gt;"",MID(A6,1,SEARCH("_",A6,1))&amp;IF(MID(A6,SEARCH("_",A6,1)+1,1)+0=0,"attack","skill0"&amp;MID(A6,SEARCH("_",A6,1)+1,1))&amp;"_b","[]")</f>
        <v>[]</v>
      </c>
      <c r="G6" s="28" t="str">
        <f>IF(VLOOKUP(A6,[1]技能配置!$B$3:$AW$170,7,FALSE)&lt;&gt;"",MID(A6,1,SEARCH("_",A6,1))&amp;IF(MID(A6,SEARCH("_",A6,1)+1,1)+0=0,"attack","skill0"&amp;MID(A6,SEARCH("_",A6,1)+1,1))&amp;"_buff","[]")</f>
        <v>[]</v>
      </c>
      <c r="H6" s="28"/>
      <c r="I6" s="28"/>
      <c r="J6" s="28"/>
      <c r="Z6" s="29"/>
    </row>
    <row r="7" spans="1:26" ht="17.25" x14ac:dyDescent="0.15">
      <c r="A7" s="31" t="str">
        <f>引用表!A9&amp;"_2"</f>
        <v>tuotatianwang_2</v>
      </c>
      <c r="B7" s="28">
        <f>IF(VLOOKUP(A7,[1]技能配置!$B$3:$AW$170,3,FALSE)="",0,1)+IF(VLOOKUP(A7,[1]技能配置!$B$3:$AW$170,4,FALSE)="",0,1)+IF(VLOOKUP(A7,[1]技能配置!$B$3:$AW$170,5,FALSE)="",0,1)+IF(VLOOKUP(A7,[1]技能配置!$B$3:$AW$170,6,FALSE)="",0,1)+IF(VLOOKUP(A7,[1]技能配置!$B$3:$AW$170,7,FALSE)="",0,1)</f>
        <v>1</v>
      </c>
      <c r="C7" s="28" t="str">
        <f>IF(VLOOKUP(A7,[1]技能配置!$B$3:$AW$170,3,FALSE)&lt;&gt;"",MID(A7,1,SEARCH("_",A7,1))&amp;IF(MID(A7,SEARCH("_",A7,1)+1,1)+0=0,"attack","skill0"&amp;MID(A7,SEARCH("_",A7,1)+1,1))&amp;"_q","[]")</f>
        <v>[]</v>
      </c>
      <c r="D7" s="28" t="str">
        <f>IF(VLOOKUP(A7,[1]技能配置!$B$3:$AW$170,4,FALSE)&lt;&gt;"",MID(A7,1,SEARCH("_",A7,1))&amp;IF(MID(A7,SEARCH("_",A7,1)+1,1)+0=0,"attack","skill0"&amp;MID(A7,SEARCH("_",A7,1)+1,1)),"[]")</f>
        <v>tuotatianwang_skill02</v>
      </c>
      <c r="E7" s="28" t="str">
        <f>IF(VLOOKUP(A7,[1]技能配置!$B$3:$AW$170,5,FALSE)&lt;&gt;"",MID(A7,1,SEARCH("_",A7,1))&amp;IF(MID(A7,SEARCH("_",A7,1)+1,1)+0=0,"attack","skill0"&amp;MID(A7,SEARCH("_",A7,1)+1,1))&amp;"_f","[]")</f>
        <v>[]</v>
      </c>
      <c r="F7" s="28" t="str">
        <f>IF(VLOOKUP(A7,[1]技能配置!$B$3:$AW$170,6,FALSE)&lt;&gt;"",MID(A7,1,SEARCH("_",A7,1))&amp;IF(MID(A7,SEARCH("_",A7,1)+1,1)+0=0,"attack","skill0"&amp;MID(A7,SEARCH("_",A7,1)+1,1))&amp;"_b","[]")</f>
        <v>[]</v>
      </c>
      <c r="G7" s="28" t="str">
        <f>IF(VLOOKUP(A7,[1]技能配置!$B$3:$AW$170,7,FALSE)&lt;&gt;"",MID(A7,1,SEARCH("_",A7,1))&amp;IF(MID(A7,SEARCH("_",A7,1)+1,1)+0=0,"attack","skill0"&amp;MID(A7,SEARCH("_",A7,1)+1,1))&amp;"_buff","[]")</f>
        <v>[]</v>
      </c>
      <c r="H7" s="28"/>
      <c r="I7" s="28"/>
      <c r="J7" s="28"/>
      <c r="Z7" s="29"/>
    </row>
    <row r="8" spans="1:26" ht="17.25" x14ac:dyDescent="0.15">
      <c r="A8" s="31" t="str">
        <f>引用表!A9&amp;"_3"</f>
        <v>tuotatianwang_3</v>
      </c>
      <c r="B8" s="28">
        <f>IF(VLOOKUP(A8,[1]技能配置!$B$3:$AW$170,3,FALSE)="",0,1)+IF(VLOOKUP(A8,[1]技能配置!$B$3:$AW$170,4,FALSE)="",0,1)+IF(VLOOKUP(A8,[1]技能配置!$B$3:$AW$170,5,FALSE)="",0,1)+IF(VLOOKUP(A8,[1]技能配置!$B$3:$AW$170,6,FALSE)="",0,1)+IF(VLOOKUP(A8,[1]技能配置!$B$3:$AW$170,7,FALSE)="",0,1)</f>
        <v>0</v>
      </c>
      <c r="C8" s="28" t="str">
        <f>IF(VLOOKUP(A8,[1]技能配置!$B$3:$AW$170,3,FALSE)&lt;&gt;"",MID(A8,1,SEARCH("_",A8,1))&amp;IF(MID(A8,SEARCH("_",A8,1)+1,1)+0=0,"attack","skill0"&amp;MID(A8,SEARCH("_",A8,1)+1,1))&amp;"_q","[]")</f>
        <v>[]</v>
      </c>
      <c r="D8" s="28" t="str">
        <f>IF(VLOOKUP(A8,[1]技能配置!$B$3:$AW$170,4,FALSE)&lt;&gt;"",MID(A8,1,SEARCH("_",A8,1))&amp;IF(MID(A8,SEARCH("_",A8,1)+1,1)+0=0,"attack","skill0"&amp;MID(A8,SEARCH("_",A8,1)+1,1)),"[]")</f>
        <v>[]</v>
      </c>
      <c r="E8" s="28" t="str">
        <f>IF(VLOOKUP(A8,[1]技能配置!$B$3:$AW$170,5,FALSE)&lt;&gt;"",MID(A8,1,SEARCH("_",A8,1))&amp;IF(MID(A8,SEARCH("_",A8,1)+1,1)+0=0,"attack","skill0"&amp;MID(A8,SEARCH("_",A8,1)+1,1))&amp;"_f","[]")</f>
        <v>[]</v>
      </c>
      <c r="F8" s="28" t="str">
        <f>IF(VLOOKUP(A8,[1]技能配置!$B$3:$AW$170,6,FALSE)&lt;&gt;"",MID(A8,1,SEARCH("_",A8,1))&amp;IF(MID(A8,SEARCH("_",A8,1)+1,1)+0=0,"attack","skill0"&amp;MID(A8,SEARCH("_",A8,1)+1,1))&amp;"_b","[]")</f>
        <v>[]</v>
      </c>
      <c r="G8" s="28" t="str">
        <f>IF(VLOOKUP(A8,[1]技能配置!$B$3:$AW$170,7,FALSE)&lt;&gt;"",MID(A8,1,SEARCH("_",A8,1))&amp;IF(MID(A8,SEARCH("_",A8,1)+1,1)+0=0,"attack","skill0"&amp;MID(A8,SEARCH("_",A8,1)+1,1))&amp;"_buff","[]")</f>
        <v>[]</v>
      </c>
      <c r="H8" s="28"/>
      <c r="I8" s="28"/>
      <c r="J8" s="28"/>
      <c r="Z8" s="29"/>
    </row>
    <row r="9" spans="1:26" ht="17.25" x14ac:dyDescent="0.15">
      <c r="A9" s="31" t="str">
        <f>引用表!A9&amp;"_4"</f>
        <v>tuotatianwang_4</v>
      </c>
      <c r="B9" s="28">
        <f>IF(VLOOKUP(A9,[1]技能配置!$B$3:$AW$170,3,FALSE)="",0,1)+IF(VLOOKUP(A9,[1]技能配置!$B$3:$AW$170,4,FALSE)="",0,1)+IF(VLOOKUP(A9,[1]技能配置!$B$3:$AW$170,5,FALSE)="",0,1)+IF(VLOOKUP(A9,[1]技能配置!$B$3:$AW$170,6,FALSE)="",0,1)+IF(VLOOKUP(A9,[1]技能配置!$B$3:$AW$170,7,FALSE)="",0,1)</f>
        <v>1</v>
      </c>
      <c r="C9" s="28" t="str">
        <f>IF(VLOOKUP(A9,[1]技能配置!$B$3:$AW$170,3,FALSE)&lt;&gt;"",MID(A9,1,SEARCH("_",A9,1))&amp;IF(MID(A9,SEARCH("_",A9,1)+1,1)+0=0,"attack","skill0"&amp;MID(A9,SEARCH("_",A9,1)+1,1))&amp;"_q","[]")</f>
        <v>[]</v>
      </c>
      <c r="D9" s="28" t="str">
        <f>IF(VLOOKUP(A9,[1]技能配置!$B$3:$AW$170,4,FALSE)&lt;&gt;"",MID(A9,1,SEARCH("_",A9,1))&amp;IF(MID(A9,SEARCH("_",A9,1)+1,1)+0=0,"attack","skill0"&amp;MID(A9,SEARCH("_",A9,1)+1,1)),"[]")</f>
        <v>tuotatianwang_skill04</v>
      </c>
      <c r="E9" s="28" t="str">
        <f>IF(VLOOKUP(A9,[1]技能配置!$B$3:$AW$170,5,FALSE)&lt;&gt;"",MID(A9,1,SEARCH("_",A9,1))&amp;IF(MID(A9,SEARCH("_",A9,1)+1,1)+0=0,"attack","skill0"&amp;MID(A9,SEARCH("_",A9,1)+1,1))&amp;"_f","[]")</f>
        <v>[]</v>
      </c>
      <c r="F9" s="28" t="str">
        <f>IF(VLOOKUP(A9,[1]技能配置!$B$3:$AW$170,6,FALSE)&lt;&gt;"",MID(A9,1,SEARCH("_",A9,1))&amp;IF(MID(A9,SEARCH("_",A9,1)+1,1)+0=0,"attack","skill0"&amp;MID(A9,SEARCH("_",A9,1)+1,1))&amp;"_b","[]")</f>
        <v>[]</v>
      </c>
      <c r="G9" s="28" t="str">
        <f>IF(VLOOKUP(A9,[1]技能配置!$B$3:$AW$170,7,FALSE)&lt;&gt;"",MID(A9,1,SEARCH("_",A9,1))&amp;IF(MID(A9,SEARCH("_",A9,1)+1,1)+0=0,"attack","skill0"&amp;MID(A9,SEARCH("_",A9,1)+1,1))&amp;"_buff","[]")</f>
        <v>[]</v>
      </c>
      <c r="H9" s="28"/>
      <c r="I9" s="28"/>
      <c r="J9" s="28"/>
      <c r="Z9" s="29"/>
    </row>
    <row r="10" spans="1:26" x14ac:dyDescent="0.15">
      <c r="A10" s="28"/>
      <c r="B10" s="28"/>
      <c r="C10" s="28"/>
      <c r="D10" s="28"/>
      <c r="E10" s="28"/>
      <c r="F10" s="28"/>
      <c r="G10" s="28"/>
      <c r="H10" s="28"/>
      <c r="I10" s="28"/>
      <c r="J10" s="28"/>
      <c r="Z10" s="29"/>
    </row>
    <row r="11" spans="1:26" ht="17.25" x14ac:dyDescent="0.15">
      <c r="A11" s="31"/>
      <c r="B11" s="28"/>
      <c r="C11" s="28"/>
      <c r="D11" s="28"/>
      <c r="E11" s="28"/>
      <c r="F11" s="28"/>
      <c r="G11" s="28"/>
      <c r="H11" s="28"/>
      <c r="I11" s="28"/>
      <c r="J11" s="28"/>
      <c r="Z11" s="29"/>
    </row>
    <row r="12" spans="1:26" ht="17.25" x14ac:dyDescent="0.15">
      <c r="A12" s="31"/>
      <c r="B12" s="28"/>
      <c r="C12" s="28"/>
      <c r="D12" s="28"/>
      <c r="E12" s="28"/>
      <c r="F12" s="28"/>
      <c r="G12" s="28"/>
      <c r="H12" s="28"/>
      <c r="I12" s="28"/>
      <c r="J12" s="28"/>
      <c r="Z12" s="29"/>
    </row>
    <row r="13" spans="1:26" ht="17.25" x14ac:dyDescent="0.15">
      <c r="A13" s="31"/>
      <c r="B13" s="28"/>
      <c r="C13" s="28"/>
      <c r="D13" s="28"/>
      <c r="E13" s="35"/>
      <c r="F13" s="28"/>
      <c r="G13" s="28"/>
      <c r="H13" s="28"/>
      <c r="I13" s="28"/>
      <c r="J13" s="28"/>
      <c r="Z13" s="29"/>
    </row>
    <row r="14" spans="1:26" ht="17.25" x14ac:dyDescent="0.15">
      <c r="A14" s="20"/>
      <c r="H14" s="28"/>
      <c r="Z14" s="29"/>
    </row>
    <row r="15" spans="1:26" ht="17.25" x14ac:dyDescent="0.15">
      <c r="A15" s="20"/>
      <c r="Z15" s="29"/>
    </row>
    <row r="16" spans="1:26" ht="17.25" x14ac:dyDescent="0.15">
      <c r="A16" s="20"/>
      <c r="Z16" s="29"/>
    </row>
    <row r="17" spans="1:26" ht="17.25" x14ac:dyDescent="0.15">
      <c r="A17" s="20"/>
      <c r="Z17" s="29"/>
    </row>
    <row r="18" spans="1:26" ht="17.25" x14ac:dyDescent="0.15">
      <c r="A18" s="20"/>
      <c r="Z18" s="29"/>
    </row>
    <row r="19" spans="1:26" ht="17.25" x14ac:dyDescent="0.15">
      <c r="A19" s="20"/>
      <c r="Z19" s="29"/>
    </row>
    <row r="20" spans="1:26" ht="17.25" x14ac:dyDescent="0.15">
      <c r="A20" s="20"/>
      <c r="Z20" s="29"/>
    </row>
    <row r="21" spans="1:26" ht="17.25" x14ac:dyDescent="0.15">
      <c r="A21" s="20"/>
      <c r="Z21" s="29"/>
    </row>
    <row r="22" spans="1:26" ht="17.25" x14ac:dyDescent="0.15">
      <c r="A22" s="20"/>
      <c r="Z22" s="29"/>
    </row>
    <row r="23" spans="1:26" ht="17.25" x14ac:dyDescent="0.15">
      <c r="A23" s="20"/>
      <c r="Z23" s="29"/>
    </row>
    <row r="24" spans="1:26" ht="17.25" x14ac:dyDescent="0.15">
      <c r="A24" s="20"/>
      <c r="Z24" s="29"/>
    </row>
    <row r="25" spans="1:26" ht="17.25" x14ac:dyDescent="0.15">
      <c r="A25" s="20"/>
      <c r="Z25" s="29"/>
    </row>
    <row r="26" spans="1:26" ht="17.25" x14ac:dyDescent="0.15">
      <c r="A26" s="20"/>
      <c r="Z26" s="29"/>
    </row>
    <row r="27" spans="1:26" ht="17.25" x14ac:dyDescent="0.15">
      <c r="A27" s="20"/>
      <c r="Z27" s="29"/>
    </row>
    <row r="28" spans="1:26" ht="17.25" x14ac:dyDescent="0.15">
      <c r="A28" s="20"/>
      <c r="Z28" s="29"/>
    </row>
    <row r="29" spans="1:26" ht="17.25" x14ac:dyDescent="0.15">
      <c r="A29" s="20"/>
      <c r="Z29" s="29"/>
    </row>
    <row r="30" spans="1:26" ht="17.25" x14ac:dyDescent="0.15">
      <c r="A30" s="20"/>
      <c r="Z30" s="29"/>
    </row>
    <row r="31" spans="1:26" ht="17.25" x14ac:dyDescent="0.15">
      <c r="A31" s="20"/>
      <c r="Z31" s="29"/>
    </row>
    <row r="32" spans="1:26" ht="17.25" x14ac:dyDescent="0.15">
      <c r="A32" s="20"/>
      <c r="Z32" s="29"/>
    </row>
    <row r="33" spans="1:26" ht="17.25" x14ac:dyDescent="0.15">
      <c r="A33" s="20"/>
      <c r="Z33" s="29"/>
    </row>
    <row r="34" spans="1:26" ht="17.25" x14ac:dyDescent="0.15">
      <c r="A34" s="20"/>
      <c r="Z34" s="29"/>
    </row>
    <row r="35" spans="1:26" ht="17.25" x14ac:dyDescent="0.15">
      <c r="A35" s="20"/>
      <c r="Z35" s="29"/>
    </row>
    <row r="36" spans="1:26" ht="17.25" x14ac:dyDescent="0.15">
      <c r="A36" s="20"/>
      <c r="Z36" s="29"/>
    </row>
    <row r="37" spans="1:26" ht="17.25" x14ac:dyDescent="0.15">
      <c r="A37" s="20"/>
      <c r="Z37" s="29"/>
    </row>
    <row r="38" spans="1:26" ht="17.25" x14ac:dyDescent="0.15">
      <c r="A38" s="20"/>
      <c r="Z38" s="29"/>
    </row>
    <row r="39" spans="1:26" ht="17.25" x14ac:dyDescent="0.15">
      <c r="A39" s="20"/>
      <c r="Z39" s="29"/>
    </row>
    <row r="40" spans="1:26" ht="17.25" x14ac:dyDescent="0.15">
      <c r="A40" s="20"/>
      <c r="Z40" s="29"/>
    </row>
    <row r="41" spans="1:26" ht="17.25" x14ac:dyDescent="0.15">
      <c r="A41" s="20"/>
      <c r="Z41" s="29"/>
    </row>
    <row r="42" spans="1:26" ht="17.25" x14ac:dyDescent="0.15">
      <c r="A42" s="20"/>
      <c r="Z42" s="29"/>
    </row>
    <row r="43" spans="1:26" ht="17.25" x14ac:dyDescent="0.15">
      <c r="A43" s="20"/>
      <c r="Z43" s="29"/>
    </row>
    <row r="44" spans="1:26" ht="17.25" x14ac:dyDescent="0.15">
      <c r="A44" s="20"/>
      <c r="Z44" s="29"/>
    </row>
    <row r="45" spans="1:26" ht="17.25" x14ac:dyDescent="0.15">
      <c r="A45" s="20"/>
      <c r="Z45" s="29"/>
    </row>
    <row r="46" spans="1:26" ht="17.25" x14ac:dyDescent="0.15">
      <c r="A46" s="20"/>
      <c r="Z46" s="29"/>
    </row>
    <row r="47" spans="1:26" ht="17.25" x14ac:dyDescent="0.15">
      <c r="A47" s="20"/>
      <c r="Z47" s="29"/>
    </row>
    <row r="48" spans="1:26" ht="17.25" x14ac:dyDescent="0.15">
      <c r="A48" s="20"/>
      <c r="Z48" s="29"/>
    </row>
    <row r="49" spans="1:26" ht="17.25" x14ac:dyDescent="0.15">
      <c r="A49" s="20"/>
      <c r="Z49" s="29"/>
    </row>
    <row r="50" spans="1:26" ht="17.25" x14ac:dyDescent="0.15">
      <c r="A50" s="30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4" spans="1:26" ht="17.25" x14ac:dyDescent="0.15">
      <c r="H54" s="20"/>
    </row>
    <row r="55" spans="1:26" ht="17.25" x14ac:dyDescent="0.15">
      <c r="H55" s="20"/>
    </row>
    <row r="56" spans="1:26" ht="17.25" x14ac:dyDescent="0.15">
      <c r="H56" s="20"/>
    </row>
    <row r="57" spans="1:26" ht="17.25" x14ac:dyDescent="0.15">
      <c r="H57" s="20"/>
    </row>
    <row r="58" spans="1:26" ht="17.25" x14ac:dyDescent="0.15">
      <c r="H58" s="20"/>
    </row>
    <row r="59" spans="1:26" ht="17.25" x14ac:dyDescent="0.15">
      <c r="H59" s="20"/>
    </row>
    <row r="60" spans="1:26" ht="17.25" x14ac:dyDescent="0.15">
      <c r="H60" s="20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22"/>
  <sheetViews>
    <sheetView workbookViewId="0">
      <selection activeCell="I29" sqref="I29"/>
    </sheetView>
  </sheetViews>
  <sheetFormatPr defaultRowHeight="14.25" x14ac:dyDescent="0.15"/>
  <cols>
    <col min="1" max="1" width="17.25" bestFit="1" customWidth="1"/>
  </cols>
  <sheetData>
    <row r="2" spans="1:24" x14ac:dyDescent="0.15">
      <c r="A2" t="s">
        <v>1505</v>
      </c>
      <c r="B2" t="s">
        <v>1506</v>
      </c>
      <c r="C2" t="s">
        <v>71</v>
      </c>
      <c r="D2">
        <v>0.73299999999999998</v>
      </c>
      <c r="E2">
        <v>0</v>
      </c>
      <c r="F2">
        <v>1</v>
      </c>
      <c r="G2">
        <v>0</v>
      </c>
      <c r="H2">
        <v>1</v>
      </c>
      <c r="I2" t="s">
        <v>27</v>
      </c>
      <c r="J2" t="s">
        <v>27</v>
      </c>
      <c r="K2">
        <v>5</v>
      </c>
      <c r="L2" t="s">
        <v>1504</v>
      </c>
      <c r="M2">
        <v>1</v>
      </c>
      <c r="N2">
        <v>0</v>
      </c>
      <c r="O2" t="s">
        <v>27</v>
      </c>
      <c r="P2" t="s">
        <v>27</v>
      </c>
      <c r="Q2" t="s">
        <v>27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7" spans="1:24" x14ac:dyDescent="0.15">
      <c r="A7" t="s">
        <v>1507</v>
      </c>
      <c r="B7" t="s">
        <v>1508</v>
      </c>
      <c r="C7" t="s">
        <v>72</v>
      </c>
      <c r="D7">
        <v>1.667</v>
      </c>
      <c r="E7">
        <v>0</v>
      </c>
      <c r="F7">
        <v>1</v>
      </c>
      <c r="G7">
        <v>0</v>
      </c>
      <c r="H7">
        <v>1</v>
      </c>
      <c r="I7" t="s">
        <v>27</v>
      </c>
      <c r="J7" t="s">
        <v>27</v>
      </c>
      <c r="K7">
        <v>5</v>
      </c>
      <c r="L7" t="s">
        <v>1504</v>
      </c>
      <c r="M7">
        <v>3</v>
      </c>
      <c r="N7">
        <v>0</v>
      </c>
      <c r="O7" t="s">
        <v>27</v>
      </c>
      <c r="P7" t="s">
        <v>27</v>
      </c>
      <c r="Q7" t="s">
        <v>27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11" spans="1:24" x14ac:dyDescent="0.15">
      <c r="A11" t="s">
        <v>1509</v>
      </c>
      <c r="B11" t="s">
        <v>1510</v>
      </c>
      <c r="C11" t="s">
        <v>73</v>
      </c>
      <c r="D11">
        <v>1.667</v>
      </c>
      <c r="E11">
        <v>0</v>
      </c>
      <c r="F11">
        <v>0</v>
      </c>
      <c r="G11">
        <v>0</v>
      </c>
      <c r="H11">
        <v>0</v>
      </c>
      <c r="I11" t="s">
        <v>27</v>
      </c>
      <c r="J11" t="s">
        <v>1511</v>
      </c>
      <c r="K11">
        <v>5</v>
      </c>
      <c r="L11" t="s">
        <v>1504</v>
      </c>
      <c r="M11">
        <v>2</v>
      </c>
      <c r="N11">
        <v>0</v>
      </c>
      <c r="O11" t="s">
        <v>27</v>
      </c>
      <c r="P11" t="s">
        <v>27</v>
      </c>
      <c r="Q11" t="s">
        <v>27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15">
      <c r="A12" t="s">
        <v>1512</v>
      </c>
      <c r="B12" t="s">
        <v>1510</v>
      </c>
      <c r="C12" t="s">
        <v>73</v>
      </c>
      <c r="D12">
        <v>1.667</v>
      </c>
      <c r="E12">
        <v>0</v>
      </c>
      <c r="F12">
        <v>1</v>
      </c>
      <c r="G12">
        <v>0</v>
      </c>
      <c r="H12">
        <v>1</v>
      </c>
      <c r="I12" t="s">
        <v>27</v>
      </c>
      <c r="J12" t="s">
        <v>605</v>
      </c>
      <c r="K12">
        <v>5</v>
      </c>
      <c r="L12" t="s">
        <v>1504</v>
      </c>
      <c r="M12">
        <v>1</v>
      </c>
      <c r="N12">
        <v>0</v>
      </c>
      <c r="O12" t="s">
        <v>27</v>
      </c>
      <c r="P12" t="s">
        <v>27</v>
      </c>
      <c r="Q12" t="s">
        <v>27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15">
      <c r="A13" t="s">
        <v>1513</v>
      </c>
      <c r="B13" t="s">
        <v>1510</v>
      </c>
      <c r="C13" t="s">
        <v>73</v>
      </c>
      <c r="D13">
        <v>1.667</v>
      </c>
      <c r="E13">
        <v>0</v>
      </c>
      <c r="F13">
        <v>1</v>
      </c>
      <c r="G13">
        <v>0</v>
      </c>
      <c r="H13">
        <v>1</v>
      </c>
      <c r="I13" t="s">
        <v>27</v>
      </c>
      <c r="J13" t="s">
        <v>1514</v>
      </c>
      <c r="K13">
        <v>5</v>
      </c>
      <c r="L13" t="s">
        <v>1504</v>
      </c>
      <c r="M13">
        <v>1</v>
      </c>
      <c r="N13" t="s">
        <v>1504</v>
      </c>
      <c r="O13" t="s">
        <v>1504</v>
      </c>
      <c r="P13" t="s">
        <v>27</v>
      </c>
      <c r="Q13" t="s">
        <v>27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15">
      <c r="A14" t="s">
        <v>1515</v>
      </c>
      <c r="B14" t="s">
        <v>1510</v>
      </c>
      <c r="C14" t="s">
        <v>27</v>
      </c>
      <c r="D14">
        <v>0</v>
      </c>
      <c r="E14">
        <v>0</v>
      </c>
      <c r="F14">
        <v>11</v>
      </c>
      <c r="G14">
        <v>0</v>
      </c>
      <c r="H14">
        <v>0</v>
      </c>
      <c r="I14" t="s">
        <v>27</v>
      </c>
      <c r="J14" t="s">
        <v>1516</v>
      </c>
      <c r="K14">
        <v>5</v>
      </c>
      <c r="L14">
        <v>0</v>
      </c>
      <c r="M14">
        <v>2</v>
      </c>
      <c r="N14">
        <v>0</v>
      </c>
      <c r="O14" t="s">
        <v>27</v>
      </c>
      <c r="P14" t="s">
        <v>27</v>
      </c>
      <c r="Q14" t="s">
        <v>27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15">
      <c r="A15" t="s">
        <v>1509</v>
      </c>
      <c r="B15" t="s">
        <v>1510</v>
      </c>
      <c r="C15" t="s">
        <v>27</v>
      </c>
      <c r="D15">
        <v>0</v>
      </c>
      <c r="E15">
        <v>0</v>
      </c>
      <c r="F15">
        <v>1</v>
      </c>
      <c r="G15">
        <v>0</v>
      </c>
      <c r="H15">
        <v>0</v>
      </c>
      <c r="I15" t="s">
        <v>27</v>
      </c>
      <c r="J15" t="s">
        <v>1517</v>
      </c>
      <c r="K15">
        <v>5</v>
      </c>
      <c r="L15">
        <v>0</v>
      </c>
      <c r="M15">
        <v>2</v>
      </c>
      <c r="N15" t="s">
        <v>1504</v>
      </c>
      <c r="O15" t="s">
        <v>27</v>
      </c>
      <c r="P15" t="s">
        <v>27</v>
      </c>
      <c r="Q15" t="s">
        <v>27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22" spans="1:24" x14ac:dyDescent="0.15">
      <c r="A22" t="s">
        <v>1518</v>
      </c>
      <c r="B22" t="s">
        <v>1519</v>
      </c>
      <c r="C22" t="s">
        <v>72</v>
      </c>
      <c r="D22">
        <v>2.3330000000000002</v>
      </c>
      <c r="E22">
        <v>0</v>
      </c>
      <c r="F22">
        <v>1</v>
      </c>
      <c r="G22">
        <v>0</v>
      </c>
      <c r="H22">
        <v>1</v>
      </c>
      <c r="I22" t="s">
        <v>27</v>
      </c>
      <c r="J22" t="s">
        <v>27</v>
      </c>
      <c r="K22">
        <v>5</v>
      </c>
      <c r="L22" t="s">
        <v>1504</v>
      </c>
      <c r="M22">
        <v>1</v>
      </c>
      <c r="N22">
        <v>0</v>
      </c>
      <c r="O22" t="s">
        <v>27</v>
      </c>
      <c r="P22" t="s">
        <v>27</v>
      </c>
      <c r="Q22" t="s">
        <v>27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引用表</vt:lpstr>
      <vt:lpstr>起手特效</vt:lpstr>
      <vt:lpstr>主要特效</vt:lpstr>
      <vt:lpstr>辅助特效</vt:lpstr>
      <vt:lpstr>命中特效</vt:lpstr>
      <vt:lpstr>buff特效</vt:lpstr>
      <vt:lpstr>特效配置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2015-06-16T11:24:00Z</dcterms:created>
  <dcterms:modified xsi:type="dcterms:W3CDTF">2018-02-10T11:05:16Z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2052-9.1.0.5184</vt:lpwstr>
  </property>
</Properties>
</file>