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0" windowWidth="28800" windowHeight="4395"/>
  </bookViews>
  <sheets>
    <sheet name="Sheet1" sheetId="1" r:id="rId1"/>
    <sheet name="Sheet3" sheetId="3" r:id="rId2"/>
  </sheets>
  <functionGroups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xlnm._FilterDatabase" localSheetId="0" hidden="1">Sheet1!$A$3:$O$695</definedName>
    <definedName name="_xlnm._FilterDatabase" localSheetId="1" hidden="1">Sheet3!$B$1:$F$1</definedName>
  </definedNames>
  <calcPr calcId="125725" concurrentCalc="0"/>
</workbook>
</file>

<file path=xl/calcChain.xml><?xml version="1.0" encoding="utf-8"?>
<calcChain xmlns="http://schemas.openxmlformats.org/spreadsheetml/2006/main">
  <c r="H2" i="3"/>
  <c r="H3"/>
  <c r="H4"/>
  <c r="H5"/>
  <c r="H6"/>
  <c r="H7"/>
  <c r="H8"/>
  <c r="H9"/>
  <c r="H10"/>
  <c r="H11"/>
  <c r="H12"/>
  <c r="H13"/>
  <c r="H14"/>
  <c r="H15"/>
  <c r="H1"/>
  <c r="B455" i="1"/>
  <c r="B456"/>
  <c r="B457"/>
  <c r="B458"/>
  <c r="B459"/>
  <c r="B460"/>
  <c r="B461"/>
  <c r="B462"/>
  <c r="B463"/>
  <c r="B464"/>
  <c r="B465"/>
  <c r="B466"/>
  <c r="B467"/>
  <c r="B468"/>
  <c r="Q454"/>
  <c r="B454"/>
  <c r="D45" i="3"/>
  <c r="F45"/>
  <c r="E45"/>
  <c r="D44"/>
  <c r="F44"/>
  <c r="E44"/>
  <c r="D43"/>
  <c r="F43"/>
  <c r="E43"/>
  <c r="D42"/>
  <c r="F42"/>
  <c r="E42"/>
  <c r="D41"/>
  <c r="F41"/>
  <c r="E41"/>
  <c r="D40"/>
  <c r="F40"/>
  <c r="E40"/>
  <c r="D39"/>
  <c r="F39"/>
  <c r="E39"/>
  <c r="D38"/>
  <c r="F38"/>
  <c r="E38"/>
  <c r="D37"/>
  <c r="F37"/>
  <c r="E37"/>
  <c r="D36"/>
  <c r="F36"/>
  <c r="E36"/>
  <c r="D35"/>
  <c r="F35"/>
  <c r="E35"/>
  <c r="D34"/>
  <c r="F34"/>
  <c r="E34"/>
  <c r="D33"/>
  <c r="F33"/>
  <c r="E33"/>
  <c r="D32"/>
  <c r="F32"/>
  <c r="E32"/>
  <c r="D31"/>
  <c r="F31"/>
  <c r="E31"/>
  <c r="D30"/>
  <c r="F30"/>
  <c r="E30"/>
  <c r="D29"/>
  <c r="F29"/>
  <c r="E29"/>
  <c r="D28"/>
  <c r="F28"/>
  <c r="E28"/>
  <c r="D27"/>
  <c r="F27"/>
  <c r="E27"/>
  <c r="D26"/>
  <c r="F26"/>
  <c r="E26"/>
  <c r="D25"/>
  <c r="F25"/>
  <c r="E25"/>
  <c r="D24"/>
  <c r="F24"/>
  <c r="E24"/>
  <c r="D23"/>
  <c r="F23"/>
  <c r="E23"/>
  <c r="D22"/>
  <c r="F22"/>
  <c r="E22"/>
  <c r="D21"/>
  <c r="F21"/>
  <c r="E21"/>
  <c r="D20"/>
  <c r="F20"/>
  <c r="E20"/>
  <c r="D19"/>
  <c r="F19"/>
  <c r="E19"/>
  <c r="D18"/>
  <c r="F18"/>
  <c r="E18"/>
  <c r="D17"/>
  <c r="F17"/>
  <c r="E17"/>
  <c r="D16"/>
  <c r="F16"/>
  <c r="E16"/>
  <c r="D15"/>
  <c r="F15"/>
  <c r="E15"/>
  <c r="D14"/>
  <c r="F14"/>
  <c r="E14"/>
  <c r="D13"/>
  <c r="F13"/>
  <c r="E13"/>
  <c r="D12"/>
  <c r="F12"/>
  <c r="E12"/>
  <c r="D11"/>
  <c r="F11"/>
  <c r="E11"/>
  <c r="D10"/>
  <c r="F10"/>
  <c r="E10"/>
  <c r="D9"/>
  <c r="F9"/>
  <c r="E9"/>
  <c r="D8"/>
  <c r="F8"/>
  <c r="E8"/>
  <c r="D7"/>
  <c r="F7"/>
  <c r="E7"/>
  <c r="D6"/>
  <c r="F6"/>
  <c r="E6"/>
  <c r="D5"/>
  <c r="F5"/>
  <c r="E5"/>
  <c r="D4"/>
  <c r="F4"/>
  <c r="E4"/>
  <c r="E3"/>
  <c r="D3"/>
  <c r="E2"/>
  <c r="D2"/>
  <c r="B695" i="1"/>
  <c r="B694"/>
  <c r="B693"/>
  <c r="B692"/>
  <c r="B691"/>
  <c r="B690"/>
  <c r="B689"/>
  <c r="B688"/>
  <c r="B687"/>
  <c r="B686"/>
  <c r="B685"/>
  <c r="B684"/>
  <c r="B683"/>
  <c r="B682"/>
  <c r="B681"/>
  <c r="B680"/>
  <c r="R679"/>
  <c r="B679"/>
  <c r="R678"/>
  <c r="B678"/>
  <c r="R677"/>
  <c r="B677"/>
  <c r="R676"/>
  <c r="B676"/>
  <c r="R675"/>
  <c r="B675"/>
  <c r="R674"/>
  <c r="B674"/>
  <c r="R673"/>
  <c r="B673"/>
  <c r="R672"/>
  <c r="B672"/>
  <c r="R671"/>
  <c r="B671"/>
  <c r="R670"/>
  <c r="B670"/>
  <c r="R669"/>
  <c r="B669"/>
  <c r="R668"/>
  <c r="B668"/>
  <c r="R667"/>
  <c r="B667"/>
  <c r="R666"/>
  <c r="B666"/>
  <c r="R665"/>
  <c r="B665"/>
  <c r="R664"/>
  <c r="B664"/>
  <c r="R663"/>
  <c r="B663"/>
  <c r="R661"/>
  <c r="R662"/>
  <c r="B662"/>
  <c r="B661"/>
  <c r="R659"/>
  <c r="R660"/>
  <c r="B660"/>
  <c r="B659"/>
  <c r="R658"/>
  <c r="B658"/>
  <c r="R657"/>
  <c r="B657"/>
  <c r="R656"/>
  <c r="B656"/>
  <c r="R655"/>
  <c r="B655"/>
  <c r="Q635"/>
  <c r="R635"/>
  <c r="Q636"/>
  <c r="R636"/>
  <c r="Q637"/>
  <c r="R637"/>
  <c r="Q638"/>
  <c r="R638"/>
  <c r="Q639"/>
  <c r="R639"/>
  <c r="Q640"/>
  <c r="R640"/>
  <c r="Q641"/>
  <c r="R641"/>
  <c r="Q642"/>
  <c r="R642"/>
  <c r="Q643"/>
  <c r="R643"/>
  <c r="Q644"/>
  <c r="R644"/>
  <c r="Q645"/>
  <c r="R645"/>
  <c r="Q646"/>
  <c r="R646"/>
  <c r="Q647"/>
  <c r="R647"/>
  <c r="Q648"/>
  <c r="R648"/>
  <c r="Q649"/>
  <c r="R649"/>
  <c r="Q650"/>
  <c r="R650"/>
  <c r="Q651"/>
  <c r="R651"/>
  <c r="Q652"/>
  <c r="R652"/>
  <c r="Q653"/>
  <c r="R653"/>
  <c r="Q654"/>
  <c r="R654"/>
  <c r="B654"/>
  <c r="B653"/>
  <c r="B652"/>
  <c r="B651"/>
  <c r="B650"/>
  <c r="B649"/>
  <c r="B648"/>
  <c r="B647"/>
  <c r="B646"/>
  <c r="B645"/>
  <c r="B644"/>
  <c r="B643"/>
  <c r="B642"/>
  <c r="B641"/>
  <c r="B640"/>
  <c r="B639"/>
  <c r="B638"/>
  <c r="B637"/>
  <c r="B636"/>
  <c r="B635"/>
  <c r="B634"/>
  <c r="B633"/>
  <c r="B632"/>
  <c r="B631"/>
  <c r="B630"/>
  <c r="B629"/>
  <c r="B628"/>
  <c r="B627"/>
  <c r="B626"/>
  <c r="B625"/>
  <c r="B624"/>
  <c r="B623"/>
  <c r="B622"/>
  <c r="B621"/>
  <c r="B620"/>
  <c r="B619"/>
  <c r="B618"/>
  <c r="B617"/>
  <c r="B616"/>
  <c r="B615"/>
  <c r="R611"/>
  <c r="R612"/>
  <c r="R613"/>
  <c r="R614"/>
  <c r="B614"/>
  <c r="B613"/>
  <c r="B612"/>
  <c r="B611"/>
  <c r="R607"/>
  <c r="R608"/>
  <c r="R609"/>
  <c r="R610"/>
  <c r="B610"/>
  <c r="B609"/>
  <c r="B608"/>
  <c r="B607"/>
  <c r="R603"/>
  <c r="R604"/>
  <c r="R605"/>
  <c r="R606"/>
  <c r="B606"/>
  <c r="B605"/>
  <c r="B604"/>
  <c r="B603"/>
  <c r="R599"/>
  <c r="R600"/>
  <c r="R601"/>
  <c r="R602"/>
  <c r="B602"/>
  <c r="B601"/>
  <c r="B600"/>
  <c r="B599"/>
  <c r="R584"/>
  <c r="R585"/>
  <c r="R586"/>
  <c r="R587"/>
  <c r="R588"/>
  <c r="R589"/>
  <c r="R590"/>
  <c r="R591"/>
  <c r="R592"/>
  <c r="R593"/>
  <c r="R594"/>
  <c r="R595"/>
  <c r="R596"/>
  <c r="R597"/>
  <c r="R598"/>
  <c r="B598"/>
  <c r="B597"/>
  <c r="B596"/>
  <c r="B595"/>
  <c r="B594"/>
  <c r="B593"/>
  <c r="B592"/>
  <c r="B591"/>
  <c r="B590"/>
  <c r="B589"/>
  <c r="B588"/>
  <c r="B587"/>
  <c r="B586"/>
  <c r="B585"/>
  <c r="B584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B583"/>
  <c r="B582"/>
  <c r="B581"/>
  <c r="B580"/>
  <c r="B579"/>
  <c r="B578"/>
  <c r="B577"/>
  <c r="B576"/>
  <c r="B575"/>
  <c r="B574"/>
  <c r="B573"/>
  <c r="B572"/>
  <c r="B571"/>
  <c r="B570"/>
  <c r="B569"/>
  <c r="B568"/>
  <c r="B567"/>
  <c r="B566"/>
  <c r="B565"/>
  <c r="B564"/>
  <c r="B563"/>
  <c r="B562"/>
  <c r="R547"/>
  <c r="R548"/>
  <c r="R549"/>
  <c r="R550"/>
  <c r="R551"/>
  <c r="R552"/>
  <c r="R553"/>
  <c r="R554"/>
  <c r="R555"/>
  <c r="R556"/>
  <c r="R557"/>
  <c r="R558"/>
  <c r="R559"/>
  <c r="R560"/>
  <c r="R561"/>
  <c r="B561"/>
  <c r="B560"/>
  <c r="B559"/>
  <c r="B558"/>
  <c r="B557"/>
  <c r="B556"/>
  <c r="B555"/>
  <c r="B554"/>
  <c r="B553"/>
  <c r="B552"/>
  <c r="B551"/>
  <c r="B550"/>
  <c r="B549"/>
  <c r="B548"/>
  <c r="B547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B546"/>
  <c r="B545"/>
  <c r="B544"/>
  <c r="B543"/>
  <c r="B542"/>
  <c r="B541"/>
  <c r="B540"/>
  <c r="B539"/>
  <c r="B538"/>
  <c r="B537"/>
  <c r="B536"/>
  <c r="B535"/>
  <c r="B534"/>
  <c r="B533"/>
  <c r="B532"/>
  <c r="B531"/>
  <c r="B530"/>
  <c r="B529"/>
  <c r="B528"/>
  <c r="B527"/>
  <c r="B526"/>
  <c r="B525"/>
  <c r="B524"/>
  <c r="B523"/>
  <c r="B522"/>
  <c r="B521"/>
  <c r="B520"/>
  <c r="B519"/>
  <c r="B518"/>
  <c r="B517"/>
  <c r="B516"/>
  <c r="B515"/>
  <c r="B514"/>
  <c r="B513"/>
  <c r="B512"/>
  <c r="B511"/>
  <c r="B510"/>
  <c r="B509"/>
  <c r="B508"/>
  <c r="B507"/>
  <c r="B506"/>
  <c r="B505"/>
  <c r="B504"/>
  <c r="B503"/>
  <c r="B502"/>
  <c r="B501"/>
  <c r="B500"/>
  <c r="B499"/>
  <c r="B498"/>
  <c r="B497"/>
  <c r="B496"/>
  <c r="B495"/>
  <c r="B494"/>
  <c r="B493"/>
  <c r="B492"/>
  <c r="B491"/>
  <c r="B490"/>
  <c r="B489"/>
  <c r="B488"/>
  <c r="B487"/>
  <c r="B486"/>
  <c r="B485"/>
  <c r="B484"/>
  <c r="B483"/>
  <c r="B482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B453"/>
  <c r="B452"/>
  <c r="B451"/>
  <c r="B450"/>
  <c r="B449"/>
  <c r="B448"/>
  <c r="B447"/>
  <c r="B446"/>
  <c r="B445"/>
  <c r="B444"/>
  <c r="B443"/>
  <c r="B442"/>
  <c r="B441"/>
  <c r="B440"/>
  <c r="B439"/>
  <c r="B438"/>
  <c r="B437"/>
  <c r="B436"/>
  <c r="B435"/>
  <c r="B434"/>
  <c r="B433"/>
  <c r="B432"/>
  <c r="B431"/>
  <c r="B430"/>
  <c r="B429"/>
  <c r="B428"/>
  <c r="B427"/>
  <c r="B426"/>
  <c r="B425"/>
  <c r="B424"/>
  <c r="B423"/>
  <c r="B422"/>
  <c r="B421"/>
  <c r="B420"/>
  <c r="B419"/>
  <c r="B418"/>
  <c r="B417"/>
  <c r="B416"/>
  <c r="B415"/>
  <c r="B414"/>
  <c r="B413"/>
  <c r="B412"/>
  <c r="B411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6"/>
  <c r="B385"/>
  <c r="B384"/>
  <c r="B383"/>
  <c r="B382"/>
  <c r="B381"/>
  <c r="B380"/>
  <c r="B379"/>
  <c r="B378"/>
  <c r="B377"/>
  <c r="B376"/>
  <c r="B375"/>
  <c r="B374"/>
  <c r="B373"/>
  <c r="B372"/>
  <c r="B371"/>
  <c r="B370"/>
  <c r="B369"/>
  <c r="B368"/>
  <c r="B367"/>
  <c r="B366"/>
  <c r="B365"/>
  <c r="B364"/>
  <c r="G363"/>
  <c r="B363"/>
  <c r="B362"/>
  <c r="B361"/>
  <c r="B360"/>
  <c r="B359"/>
  <c r="B358"/>
  <c r="B357"/>
  <c r="B356"/>
  <c r="B355"/>
  <c r="B354"/>
  <c r="R352"/>
  <c r="R353"/>
  <c r="Q353"/>
  <c r="B353"/>
  <c r="Q352"/>
  <c r="B352"/>
  <c r="R351"/>
  <c r="Q351"/>
  <c r="B351"/>
  <c r="R350"/>
  <c r="Q350"/>
  <c r="B350"/>
  <c r="R348"/>
  <c r="R349"/>
  <c r="Q349"/>
  <c r="B349"/>
  <c r="Q348"/>
  <c r="B348"/>
  <c r="R346"/>
  <c r="R347"/>
  <c r="Q347"/>
  <c r="B347"/>
  <c r="Q346"/>
  <c r="B346"/>
  <c r="R345"/>
  <c r="Q345"/>
  <c r="B345"/>
  <c r="R344"/>
  <c r="Q344"/>
  <c r="B344"/>
  <c r="R342"/>
  <c r="R343"/>
  <c r="Q343"/>
  <c r="B343"/>
  <c r="Q342"/>
  <c r="B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A108"/>
  <c r="A162"/>
  <c r="A216"/>
  <c r="A270"/>
  <c r="A324"/>
  <c r="R324"/>
  <c r="A109"/>
  <c r="A163"/>
  <c r="A217"/>
  <c r="A271"/>
  <c r="A325"/>
  <c r="R325"/>
  <c r="A110"/>
  <c r="A164"/>
  <c r="A218"/>
  <c r="A272"/>
  <c r="A326"/>
  <c r="R326"/>
  <c r="A111"/>
  <c r="A165"/>
  <c r="A219"/>
  <c r="A273"/>
  <c r="A327"/>
  <c r="R327"/>
  <c r="A112"/>
  <c r="A166"/>
  <c r="A220"/>
  <c r="A274"/>
  <c r="A328"/>
  <c r="R328"/>
  <c r="A113"/>
  <c r="A167"/>
  <c r="A221"/>
  <c r="A275"/>
  <c r="A329"/>
  <c r="R329"/>
  <c r="A114"/>
  <c r="A168"/>
  <c r="A222"/>
  <c r="A276"/>
  <c r="A330"/>
  <c r="R330"/>
  <c r="A115"/>
  <c r="A169"/>
  <c r="A223"/>
  <c r="A277"/>
  <c r="A331"/>
  <c r="R331"/>
  <c r="A116"/>
  <c r="A170"/>
  <c r="A224"/>
  <c r="A278"/>
  <c r="A332"/>
  <c r="R332"/>
  <c r="A117"/>
  <c r="A171"/>
  <c r="A225"/>
  <c r="A279"/>
  <c r="A333"/>
  <c r="R333"/>
  <c r="A118"/>
  <c r="A172"/>
  <c r="A226"/>
  <c r="A280"/>
  <c r="A334"/>
  <c r="R334"/>
  <c r="A119"/>
  <c r="A173"/>
  <c r="A227"/>
  <c r="A281"/>
  <c r="A335"/>
  <c r="R335"/>
  <c r="A120"/>
  <c r="A174"/>
  <c r="A228"/>
  <c r="A282"/>
  <c r="A336"/>
  <c r="R336"/>
  <c r="A121"/>
  <c r="A175"/>
  <c r="A229"/>
  <c r="A283"/>
  <c r="A337"/>
  <c r="R337"/>
  <c r="A122"/>
  <c r="A176"/>
  <c r="A230"/>
  <c r="A284"/>
  <c r="A338"/>
  <c r="R338"/>
  <c r="A123"/>
  <c r="A177"/>
  <c r="A231"/>
  <c r="A285"/>
  <c r="A339"/>
  <c r="R339"/>
  <c r="A124"/>
  <c r="A178"/>
  <c r="A232"/>
  <c r="A286"/>
  <c r="A340"/>
  <c r="R340"/>
  <c r="A125"/>
  <c r="A179"/>
  <c r="A233"/>
  <c r="A287"/>
  <c r="A341"/>
  <c r="R341"/>
  <c r="Q341"/>
  <c r="B341"/>
  <c r="Q340"/>
  <c r="B340"/>
  <c r="Q339"/>
  <c r="B339"/>
  <c r="Q338"/>
  <c r="B338"/>
  <c r="Q337"/>
  <c r="B337"/>
  <c r="Q336"/>
  <c r="B336"/>
  <c r="Q335"/>
  <c r="B335"/>
  <c r="Q334"/>
  <c r="B334"/>
  <c r="Q333"/>
  <c r="B333"/>
  <c r="Q332"/>
  <c r="B332"/>
  <c r="Q331"/>
  <c r="B331"/>
  <c r="Q330"/>
  <c r="B330"/>
  <c r="Q329"/>
  <c r="B329"/>
  <c r="Q328"/>
  <c r="B328"/>
  <c r="Q327"/>
  <c r="B327"/>
  <c r="Q326"/>
  <c r="B326"/>
  <c r="Q325"/>
  <c r="B325"/>
  <c r="Q324"/>
  <c r="B324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A87"/>
  <c r="A141"/>
  <c r="A195"/>
  <c r="A249"/>
  <c r="A303"/>
  <c r="R303"/>
  <c r="A88"/>
  <c r="A142"/>
  <c r="A196"/>
  <c r="A250"/>
  <c r="A304"/>
  <c r="R304"/>
  <c r="A89"/>
  <c r="A143"/>
  <c r="A197"/>
  <c r="A251"/>
  <c r="A305"/>
  <c r="R305"/>
  <c r="A90"/>
  <c r="A144"/>
  <c r="A198"/>
  <c r="A252"/>
  <c r="A306"/>
  <c r="R306"/>
  <c r="A91"/>
  <c r="A145"/>
  <c r="A199"/>
  <c r="A253"/>
  <c r="A307"/>
  <c r="R307"/>
  <c r="A92"/>
  <c r="A146"/>
  <c r="A200"/>
  <c r="A254"/>
  <c r="A308"/>
  <c r="R308"/>
  <c r="A93"/>
  <c r="A147"/>
  <c r="A201"/>
  <c r="A255"/>
  <c r="A309"/>
  <c r="R309"/>
  <c r="A94"/>
  <c r="A148"/>
  <c r="A202"/>
  <c r="A256"/>
  <c r="A310"/>
  <c r="R310"/>
  <c r="A95"/>
  <c r="A149"/>
  <c r="A203"/>
  <c r="A257"/>
  <c r="A311"/>
  <c r="R311"/>
  <c r="A96"/>
  <c r="A150"/>
  <c r="A204"/>
  <c r="A258"/>
  <c r="A312"/>
  <c r="R312"/>
  <c r="A97"/>
  <c r="A151"/>
  <c r="A205"/>
  <c r="A259"/>
  <c r="A313"/>
  <c r="R313"/>
  <c r="A98"/>
  <c r="A152"/>
  <c r="A206"/>
  <c r="A260"/>
  <c r="A314"/>
  <c r="R314"/>
  <c r="A99"/>
  <c r="A153"/>
  <c r="A207"/>
  <c r="A261"/>
  <c r="A315"/>
  <c r="R315"/>
  <c r="A100"/>
  <c r="A154"/>
  <c r="A208"/>
  <c r="A262"/>
  <c r="A316"/>
  <c r="R316"/>
  <c r="A101"/>
  <c r="A155"/>
  <c r="A209"/>
  <c r="A263"/>
  <c r="A317"/>
  <c r="R317"/>
  <c r="A102"/>
  <c r="A156"/>
  <c r="A210"/>
  <c r="A264"/>
  <c r="A318"/>
  <c r="R318"/>
  <c r="A103"/>
  <c r="A157"/>
  <c r="A211"/>
  <c r="A265"/>
  <c r="A319"/>
  <c r="R319"/>
  <c r="A104"/>
  <c r="A158"/>
  <c r="A212"/>
  <c r="A266"/>
  <c r="A320"/>
  <c r="R320"/>
  <c r="A105"/>
  <c r="A159"/>
  <c r="A213"/>
  <c r="A267"/>
  <c r="A321"/>
  <c r="R321"/>
  <c r="A106"/>
  <c r="A160"/>
  <c r="A214"/>
  <c r="A268"/>
  <c r="A322"/>
  <c r="R322"/>
  <c r="A107"/>
  <c r="A161"/>
  <c r="A215"/>
  <c r="A269"/>
  <c r="A323"/>
  <c r="R323"/>
  <c r="Q323"/>
  <c r="B323"/>
  <c r="Q322"/>
  <c r="B322"/>
  <c r="Q321"/>
  <c r="B321"/>
  <c r="Q320"/>
  <c r="B320"/>
  <c r="Q319"/>
  <c r="B319"/>
  <c r="Q318"/>
  <c r="B318"/>
  <c r="Q317"/>
  <c r="B317"/>
  <c r="Q316"/>
  <c r="B316"/>
  <c r="Q315"/>
  <c r="B315"/>
  <c r="Q314"/>
  <c r="B314"/>
  <c r="Q313"/>
  <c r="B313"/>
  <c r="Q312"/>
  <c r="B312"/>
  <c r="Q311"/>
  <c r="B311"/>
  <c r="Q310"/>
  <c r="B310"/>
  <c r="Q309"/>
  <c r="B309"/>
  <c r="Q308"/>
  <c r="B308"/>
  <c r="Q307"/>
  <c r="B307"/>
  <c r="Q306"/>
  <c r="B306"/>
  <c r="Q305"/>
  <c r="B305"/>
  <c r="Q304"/>
  <c r="B304"/>
  <c r="Q303"/>
  <c r="B303"/>
  <c r="P301"/>
  <c r="P300"/>
  <c r="P299"/>
  <c r="P298"/>
  <c r="P297"/>
  <c r="P296"/>
  <c r="P295"/>
  <c r="P294"/>
  <c r="P293"/>
  <c r="P292"/>
  <c r="P291"/>
  <c r="P290"/>
  <c r="P289"/>
  <c r="P288"/>
  <c r="P287"/>
  <c r="A72"/>
  <c r="A126"/>
  <c r="A180"/>
  <c r="A234"/>
  <c r="A288"/>
  <c r="R288"/>
  <c r="A73"/>
  <c r="A127"/>
  <c r="A181"/>
  <c r="A235"/>
  <c r="A289"/>
  <c r="R289"/>
  <c r="A74"/>
  <c r="A128"/>
  <c r="A182"/>
  <c r="A236"/>
  <c r="A290"/>
  <c r="R290"/>
  <c r="A75"/>
  <c r="A129"/>
  <c r="A183"/>
  <c r="A237"/>
  <c r="A291"/>
  <c r="R291"/>
  <c r="A76"/>
  <c r="A130"/>
  <c r="A184"/>
  <c r="A238"/>
  <c r="A292"/>
  <c r="R292"/>
  <c r="A77"/>
  <c r="A131"/>
  <c r="A185"/>
  <c r="A239"/>
  <c r="A293"/>
  <c r="R293"/>
  <c r="A78"/>
  <c r="A132"/>
  <c r="A186"/>
  <c r="A240"/>
  <c r="A294"/>
  <c r="R294"/>
  <c r="A79"/>
  <c r="A133"/>
  <c r="A187"/>
  <c r="A241"/>
  <c r="A295"/>
  <c r="R295"/>
  <c r="A80"/>
  <c r="A134"/>
  <c r="A188"/>
  <c r="A242"/>
  <c r="A296"/>
  <c r="R296"/>
  <c r="A81"/>
  <c r="A135"/>
  <c r="A189"/>
  <c r="A243"/>
  <c r="A297"/>
  <c r="R297"/>
  <c r="A82"/>
  <c r="A136"/>
  <c r="A190"/>
  <c r="A244"/>
  <c r="A298"/>
  <c r="R298"/>
  <c r="A83"/>
  <c r="A137"/>
  <c r="A191"/>
  <c r="A245"/>
  <c r="A299"/>
  <c r="R299"/>
  <c r="A84"/>
  <c r="A138"/>
  <c r="A192"/>
  <c r="A246"/>
  <c r="A300"/>
  <c r="R300"/>
  <c r="A85"/>
  <c r="A139"/>
  <c r="A193"/>
  <c r="A247"/>
  <c r="A301"/>
  <c r="R301"/>
  <c r="A86"/>
  <c r="A140"/>
  <c r="A194"/>
  <c r="A248"/>
  <c r="A302"/>
  <c r="R302"/>
  <c r="Q302"/>
  <c r="B302"/>
  <c r="Q301"/>
  <c r="B301"/>
  <c r="Q300"/>
  <c r="B300"/>
  <c r="Q299"/>
  <c r="B299"/>
  <c r="Q298"/>
  <c r="B298"/>
  <c r="Q297"/>
  <c r="B297"/>
  <c r="Q296"/>
  <c r="B296"/>
  <c r="Q295"/>
  <c r="B295"/>
  <c r="Q294"/>
  <c r="B294"/>
  <c r="Q293"/>
  <c r="B293"/>
  <c r="Q292"/>
  <c r="B292"/>
  <c r="Q291"/>
  <c r="B291"/>
  <c r="Q290"/>
  <c r="B290"/>
  <c r="Q289"/>
  <c r="B289"/>
  <c r="Q288"/>
  <c r="B288"/>
  <c r="P286"/>
  <c r="P285"/>
  <c r="P284"/>
  <c r="P283"/>
  <c r="P282"/>
  <c r="P281"/>
  <c r="P280"/>
  <c r="P279"/>
  <c r="P278"/>
  <c r="P277"/>
  <c r="P276"/>
  <c r="P275"/>
  <c r="P274"/>
  <c r="P273"/>
  <c r="P272"/>
  <c r="P271"/>
  <c r="P270"/>
  <c r="P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Q287"/>
  <c r="B287"/>
  <c r="Q286"/>
  <c r="B286"/>
  <c r="Q285"/>
  <c r="B285"/>
  <c r="Q284"/>
  <c r="B284"/>
  <c r="Q283"/>
  <c r="B283"/>
  <c r="Q282"/>
  <c r="B282"/>
  <c r="Q281"/>
  <c r="B281"/>
  <c r="Q280"/>
  <c r="B280"/>
  <c r="Q279"/>
  <c r="B279"/>
  <c r="Q278"/>
  <c r="B278"/>
  <c r="Q277"/>
  <c r="B277"/>
  <c r="Q276"/>
  <c r="B276"/>
  <c r="Q275"/>
  <c r="B275"/>
  <c r="Q274"/>
  <c r="B274"/>
  <c r="Q273"/>
  <c r="B273"/>
  <c r="Q272"/>
  <c r="B272"/>
  <c r="Q271"/>
  <c r="B271"/>
  <c r="Q270"/>
  <c r="B270"/>
  <c r="P268"/>
  <c r="P267"/>
  <c r="P266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Q269"/>
  <c r="B269"/>
  <c r="Q268"/>
  <c r="B268"/>
  <c r="Q267"/>
  <c r="B267"/>
  <c r="Q266"/>
  <c r="B266"/>
  <c r="Q265"/>
  <c r="B265"/>
  <c r="Q264"/>
  <c r="B264"/>
  <c r="Q263"/>
  <c r="B263"/>
  <c r="Q262"/>
  <c r="B262"/>
  <c r="Q261"/>
  <c r="B261"/>
  <c r="Q260"/>
  <c r="B260"/>
  <c r="Q259"/>
  <c r="B259"/>
  <c r="Q258"/>
  <c r="B258"/>
  <c r="Q257"/>
  <c r="B257"/>
  <c r="Q256"/>
  <c r="B256"/>
  <c r="Q255"/>
  <c r="B255"/>
  <c r="Q254"/>
  <c r="B254"/>
  <c r="Q253"/>
  <c r="B253"/>
  <c r="Q252"/>
  <c r="B252"/>
  <c r="Q251"/>
  <c r="B251"/>
  <c r="Q250"/>
  <c r="B250"/>
  <c r="Q249"/>
  <c r="B249"/>
  <c r="P247"/>
  <c r="P246"/>
  <c r="P245"/>
  <c r="P244"/>
  <c r="P243"/>
  <c r="P242"/>
  <c r="P241"/>
  <c r="P240"/>
  <c r="P239"/>
  <c r="P238"/>
  <c r="P237"/>
  <c r="P236"/>
  <c r="P235"/>
  <c r="P234"/>
  <c r="P233"/>
  <c r="R234"/>
  <c r="R235"/>
  <c r="R236"/>
  <c r="R237"/>
  <c r="R238"/>
  <c r="R239"/>
  <c r="R240"/>
  <c r="R241"/>
  <c r="R242"/>
  <c r="R243"/>
  <c r="R244"/>
  <c r="R245"/>
  <c r="R246"/>
  <c r="R247"/>
  <c r="R248"/>
  <c r="Q248"/>
  <c r="B248"/>
  <c r="Q247"/>
  <c r="B247"/>
  <c r="Q246"/>
  <c r="B246"/>
  <c r="Q245"/>
  <c r="B245"/>
  <c r="Q244"/>
  <c r="B244"/>
  <c r="Q243"/>
  <c r="B243"/>
  <c r="Q242"/>
  <c r="B242"/>
  <c r="Q241"/>
  <c r="B241"/>
  <c r="Q240"/>
  <c r="B240"/>
  <c r="Q239"/>
  <c r="B239"/>
  <c r="Q238"/>
  <c r="B238"/>
  <c r="Q237"/>
  <c r="B237"/>
  <c r="Q236"/>
  <c r="B236"/>
  <c r="Q235"/>
  <c r="B235"/>
  <c r="Q234"/>
  <c r="B234"/>
  <c r="P232"/>
  <c r="R233"/>
  <c r="Q233"/>
  <c r="B233"/>
  <c r="P231"/>
  <c r="R232"/>
  <c r="Q232"/>
  <c r="B232"/>
  <c r="P230"/>
  <c r="R231"/>
  <c r="Q231"/>
  <c r="B231"/>
  <c r="P229"/>
  <c r="R230"/>
  <c r="Q230"/>
  <c r="B230"/>
  <c r="P228"/>
  <c r="R229"/>
  <c r="Q229"/>
  <c r="B229"/>
  <c r="P227"/>
  <c r="R228"/>
  <c r="Q228"/>
  <c r="B228"/>
  <c r="P226"/>
  <c r="R227"/>
  <c r="Q227"/>
  <c r="B227"/>
  <c r="P225"/>
  <c r="R226"/>
  <c r="Q226"/>
  <c r="B226"/>
  <c r="P224"/>
  <c r="R225"/>
  <c r="Q225"/>
  <c r="B225"/>
  <c r="P223"/>
  <c r="R224"/>
  <c r="Q224"/>
  <c r="B224"/>
  <c r="P222"/>
  <c r="R223"/>
  <c r="Q223"/>
  <c r="B223"/>
  <c r="P221"/>
  <c r="R222"/>
  <c r="Q222"/>
  <c r="B222"/>
  <c r="P220"/>
  <c r="R221"/>
  <c r="Q221"/>
  <c r="B221"/>
  <c r="P219"/>
  <c r="R220"/>
  <c r="Q220"/>
  <c r="B220"/>
  <c r="P218"/>
  <c r="R219"/>
  <c r="Q219"/>
  <c r="B219"/>
  <c r="P217"/>
  <c r="R218"/>
  <c r="Q218"/>
  <c r="B218"/>
  <c r="P216"/>
  <c r="R217"/>
  <c r="Q217"/>
  <c r="B217"/>
  <c r="P215"/>
  <c r="R216"/>
  <c r="Q216"/>
  <c r="B216"/>
  <c r="P214"/>
  <c r="R215"/>
  <c r="Q215"/>
  <c r="B215"/>
  <c r="P213"/>
  <c r="R214"/>
  <c r="Q214"/>
  <c r="B214"/>
  <c r="P212"/>
  <c r="R213"/>
  <c r="Q213"/>
  <c r="B213"/>
  <c r="P211"/>
  <c r="R212"/>
  <c r="Q212"/>
  <c r="B212"/>
  <c r="P210"/>
  <c r="R211"/>
  <c r="Q211"/>
  <c r="B211"/>
  <c r="P209"/>
  <c r="R210"/>
  <c r="Q210"/>
  <c r="B210"/>
  <c r="P208"/>
  <c r="R209"/>
  <c r="Q209"/>
  <c r="B209"/>
  <c r="P207"/>
  <c r="R208"/>
  <c r="Q208"/>
  <c r="B208"/>
  <c r="P206"/>
  <c r="R207"/>
  <c r="Q207"/>
  <c r="B207"/>
  <c r="P205"/>
  <c r="R206"/>
  <c r="Q206"/>
  <c r="B206"/>
  <c r="P204"/>
  <c r="R205"/>
  <c r="Q205"/>
  <c r="B205"/>
  <c r="P203"/>
  <c r="R204"/>
  <c r="Q204"/>
  <c r="B204"/>
  <c r="P202"/>
  <c r="R203"/>
  <c r="Q203"/>
  <c r="B203"/>
  <c r="P201"/>
  <c r="R202"/>
  <c r="Q202"/>
  <c r="B202"/>
  <c r="P200"/>
  <c r="R201"/>
  <c r="Q201"/>
  <c r="B201"/>
  <c r="P199"/>
  <c r="R200"/>
  <c r="Q200"/>
  <c r="B200"/>
  <c r="P198"/>
  <c r="R199"/>
  <c r="Q199"/>
  <c r="B199"/>
  <c r="P197"/>
  <c r="R198"/>
  <c r="Q198"/>
  <c r="B198"/>
  <c r="P196"/>
  <c r="R197"/>
  <c r="Q197"/>
  <c r="B197"/>
  <c r="P195"/>
  <c r="R196"/>
  <c r="Q196"/>
  <c r="B196"/>
  <c r="P194"/>
  <c r="R195"/>
  <c r="Q195"/>
  <c r="B195"/>
  <c r="P193"/>
  <c r="R194"/>
  <c r="Q194"/>
  <c r="B194"/>
  <c r="P192"/>
  <c r="R193"/>
  <c r="Q193"/>
  <c r="B193"/>
  <c r="P191"/>
  <c r="R192"/>
  <c r="Q192"/>
  <c r="B192"/>
  <c r="P190"/>
  <c r="R191"/>
  <c r="Q191"/>
  <c r="B191"/>
  <c r="P189"/>
  <c r="R190"/>
  <c r="Q190"/>
  <c r="B190"/>
  <c r="P188"/>
  <c r="R189"/>
  <c r="Q189"/>
  <c r="B189"/>
  <c r="P187"/>
  <c r="R188"/>
  <c r="Q188"/>
  <c r="B188"/>
  <c r="P186"/>
  <c r="R187"/>
  <c r="Q187"/>
  <c r="B187"/>
  <c r="P185"/>
  <c r="R186"/>
  <c r="Q186"/>
  <c r="B186"/>
  <c r="P184"/>
  <c r="R185"/>
  <c r="Q185"/>
  <c r="B185"/>
  <c r="P183"/>
  <c r="R184"/>
  <c r="Q184"/>
  <c r="B184"/>
  <c r="P182"/>
  <c r="R183"/>
  <c r="Q183"/>
  <c r="B183"/>
  <c r="P181"/>
  <c r="R182"/>
  <c r="Q182"/>
  <c r="B182"/>
  <c r="P180"/>
  <c r="R181"/>
  <c r="Q181"/>
  <c r="B181"/>
  <c r="P179"/>
  <c r="R180"/>
  <c r="Q180"/>
  <c r="B180"/>
  <c r="P178"/>
  <c r="R179"/>
  <c r="Q179"/>
  <c r="B179"/>
  <c r="P177"/>
  <c r="R178"/>
  <c r="Q178"/>
  <c r="B178"/>
  <c r="P176"/>
  <c r="R177"/>
  <c r="Q177"/>
  <c r="B177"/>
  <c r="P175"/>
  <c r="R176"/>
  <c r="Q176"/>
  <c r="B176"/>
  <c r="P174"/>
  <c r="R175"/>
  <c r="Q175"/>
  <c r="B175"/>
  <c r="P173"/>
  <c r="R174"/>
  <c r="Q174"/>
  <c r="B174"/>
  <c r="P172"/>
  <c r="R173"/>
  <c r="Q173"/>
  <c r="B173"/>
  <c r="P171"/>
  <c r="R172"/>
  <c r="Q172"/>
  <c r="B172"/>
  <c r="P170"/>
  <c r="R171"/>
  <c r="Q171"/>
  <c r="B171"/>
  <c r="P169"/>
  <c r="R170"/>
  <c r="Q170"/>
  <c r="B170"/>
  <c r="P168"/>
  <c r="R169"/>
  <c r="Q169"/>
  <c r="B169"/>
  <c r="P167"/>
  <c r="R168"/>
  <c r="Q168"/>
  <c r="B168"/>
  <c r="P166"/>
  <c r="R167"/>
  <c r="Q167"/>
  <c r="B167"/>
  <c r="P165"/>
  <c r="R166"/>
  <c r="Q166"/>
  <c r="B166"/>
  <c r="P164"/>
  <c r="R165"/>
  <c r="Q165"/>
  <c r="B165"/>
  <c r="P163"/>
  <c r="R164"/>
  <c r="Q164"/>
  <c r="B164"/>
  <c r="P162"/>
  <c r="R163"/>
  <c r="Q163"/>
  <c r="B163"/>
  <c r="P161"/>
  <c r="R162"/>
  <c r="Q162"/>
  <c r="B162"/>
  <c r="P160"/>
  <c r="R161"/>
  <c r="Q161"/>
  <c r="B161"/>
  <c r="P159"/>
  <c r="R160"/>
  <c r="Q160"/>
  <c r="B160"/>
  <c r="P158"/>
  <c r="R159"/>
  <c r="Q159"/>
  <c r="B159"/>
  <c r="P157"/>
  <c r="R158"/>
  <c r="Q158"/>
  <c r="B158"/>
  <c r="P156"/>
  <c r="R157"/>
  <c r="Q157"/>
  <c r="B157"/>
  <c r="P155"/>
  <c r="R156"/>
  <c r="Q156"/>
  <c r="B156"/>
  <c r="P154"/>
  <c r="R155"/>
  <c r="Q155"/>
  <c r="B155"/>
  <c r="P153"/>
  <c r="R154"/>
  <c r="Q154"/>
  <c r="B154"/>
  <c r="P152"/>
  <c r="R153"/>
  <c r="Q153"/>
  <c r="B153"/>
  <c r="P151"/>
  <c r="R152"/>
  <c r="Q152"/>
  <c r="B152"/>
  <c r="P150"/>
  <c r="R151"/>
  <c r="Q151"/>
  <c r="B151"/>
  <c r="P149"/>
  <c r="R150"/>
  <c r="Q150"/>
  <c r="B150"/>
  <c r="P148"/>
  <c r="R149"/>
  <c r="Q149"/>
  <c r="B149"/>
  <c r="P147"/>
  <c r="R148"/>
  <c r="Q148"/>
  <c r="B148"/>
  <c r="P146"/>
  <c r="R147"/>
  <c r="Q147"/>
  <c r="B147"/>
  <c r="P145"/>
  <c r="R146"/>
  <c r="Q146"/>
  <c r="B146"/>
  <c r="P144"/>
  <c r="R145"/>
  <c r="Q145"/>
  <c r="B145"/>
  <c r="P143"/>
  <c r="R144"/>
  <c r="Q144"/>
  <c r="B144"/>
  <c r="P142"/>
  <c r="R143"/>
  <c r="Q143"/>
  <c r="B143"/>
  <c r="P141"/>
  <c r="R142"/>
  <c r="Q142"/>
  <c r="B142"/>
  <c r="P140"/>
  <c r="R141"/>
  <c r="Q141"/>
  <c r="B141"/>
  <c r="P139"/>
  <c r="R140"/>
  <c r="Q140"/>
  <c r="B140"/>
  <c r="P138"/>
  <c r="R139"/>
  <c r="Q139"/>
  <c r="B139"/>
  <c r="P137"/>
  <c r="R138"/>
  <c r="Q138"/>
  <c r="B138"/>
  <c r="P136"/>
  <c r="R137"/>
  <c r="Q137"/>
  <c r="B137"/>
  <c r="P135"/>
  <c r="R136"/>
  <c r="Q136"/>
  <c r="B136"/>
  <c r="P134"/>
  <c r="R135"/>
  <c r="Q135"/>
  <c r="B135"/>
  <c r="P133"/>
  <c r="R134"/>
  <c r="Q134"/>
  <c r="B134"/>
  <c r="P132"/>
  <c r="R133"/>
  <c r="Q133"/>
  <c r="B133"/>
  <c r="P131"/>
  <c r="R132"/>
  <c r="Q132"/>
  <c r="B132"/>
  <c r="P130"/>
  <c r="R131"/>
  <c r="Q131"/>
  <c r="B131"/>
  <c r="P129"/>
  <c r="R130"/>
  <c r="Q130"/>
  <c r="B130"/>
  <c r="P128"/>
  <c r="R129"/>
  <c r="Q129"/>
  <c r="B129"/>
  <c r="P127"/>
  <c r="R128"/>
  <c r="Q128"/>
  <c r="B128"/>
  <c r="P126"/>
  <c r="R127"/>
  <c r="Q127"/>
  <c r="B127"/>
  <c r="P125"/>
  <c r="R126"/>
  <c r="Q126"/>
  <c r="B126"/>
  <c r="P124"/>
  <c r="R125"/>
  <c r="Q125"/>
  <c r="B125"/>
  <c r="P123"/>
  <c r="R124"/>
  <c r="Q124"/>
  <c r="B124"/>
  <c r="P122"/>
  <c r="R123"/>
  <c r="Q123"/>
  <c r="B123"/>
  <c r="P121"/>
  <c r="R122"/>
  <c r="Q122"/>
  <c r="B122"/>
  <c r="P120"/>
  <c r="R121"/>
  <c r="Q121"/>
  <c r="B121"/>
  <c r="P119"/>
  <c r="R120"/>
  <c r="Q120"/>
  <c r="B120"/>
  <c r="P118"/>
  <c r="R119"/>
  <c r="Q119"/>
  <c r="B119"/>
  <c r="P117"/>
  <c r="R118"/>
  <c r="Q118"/>
  <c r="B118"/>
  <c r="P116"/>
  <c r="R117"/>
  <c r="Q117"/>
  <c r="B117"/>
  <c r="P115"/>
  <c r="R116"/>
  <c r="Q116"/>
  <c r="B116"/>
  <c r="P114"/>
  <c r="R115"/>
  <c r="Q115"/>
  <c r="B115"/>
  <c r="P113"/>
  <c r="R114"/>
  <c r="Q114"/>
  <c r="B114"/>
  <c r="P112"/>
  <c r="R113"/>
  <c r="Q113"/>
  <c r="B113"/>
  <c r="P111"/>
  <c r="R112"/>
  <c r="Q112"/>
  <c r="B112"/>
  <c r="P110"/>
  <c r="R111"/>
  <c r="Q111"/>
  <c r="B111"/>
  <c r="P109"/>
  <c r="R110"/>
  <c r="Q110"/>
  <c r="B110"/>
  <c r="P108"/>
  <c r="R109"/>
  <c r="Q109"/>
  <c r="B109"/>
  <c r="P107"/>
  <c r="R108"/>
  <c r="Q108"/>
  <c r="B108"/>
  <c r="P106"/>
  <c r="R107"/>
  <c r="Q107"/>
  <c r="B107"/>
  <c r="P105"/>
  <c r="R106"/>
  <c r="Q106"/>
  <c r="B106"/>
  <c r="P104"/>
  <c r="R105"/>
  <c r="Q105"/>
  <c r="B105"/>
  <c r="P103"/>
  <c r="R104"/>
  <c r="Q104"/>
  <c r="B104"/>
  <c r="P102"/>
  <c r="R103"/>
  <c r="Q103"/>
  <c r="B103"/>
  <c r="P101"/>
  <c r="R102"/>
  <c r="Q102"/>
  <c r="B102"/>
  <c r="P100"/>
  <c r="R101"/>
  <c r="Q101"/>
  <c r="B101"/>
  <c r="P99"/>
  <c r="R100"/>
  <c r="Q100"/>
  <c r="B100"/>
  <c r="P98"/>
  <c r="R99"/>
  <c r="Q99"/>
  <c r="B99"/>
  <c r="P97"/>
  <c r="R98"/>
  <c r="Q98"/>
  <c r="B98"/>
  <c r="P96"/>
  <c r="R97"/>
  <c r="Q97"/>
  <c r="B97"/>
  <c r="P95"/>
  <c r="R96"/>
  <c r="Q96"/>
  <c r="B96"/>
  <c r="P94"/>
  <c r="R95"/>
  <c r="Q95"/>
  <c r="B95"/>
  <c r="P93"/>
  <c r="R94"/>
  <c r="Q94"/>
  <c r="B94"/>
  <c r="P92"/>
  <c r="R93"/>
  <c r="Q93"/>
  <c r="B93"/>
  <c r="P91"/>
  <c r="R92"/>
  <c r="Q92"/>
  <c r="B92"/>
  <c r="P90"/>
  <c r="R91"/>
  <c r="Q91"/>
  <c r="B91"/>
  <c r="P89"/>
  <c r="R90"/>
  <c r="Q90"/>
  <c r="B90"/>
  <c r="P88"/>
  <c r="R89"/>
  <c r="Q89"/>
  <c r="B89"/>
  <c r="P87"/>
  <c r="R88"/>
  <c r="Q88"/>
  <c r="B88"/>
  <c r="P86"/>
  <c r="R87"/>
  <c r="Q87"/>
  <c r="B87"/>
  <c r="P85"/>
  <c r="R86"/>
  <c r="Q86"/>
  <c r="B86"/>
  <c r="P84"/>
  <c r="R85"/>
  <c r="Q85"/>
  <c r="B85"/>
  <c r="P83"/>
  <c r="R84"/>
  <c r="Q84"/>
  <c r="B84"/>
  <c r="P82"/>
  <c r="R83"/>
  <c r="Q83"/>
  <c r="B83"/>
  <c r="P81"/>
  <c r="R82"/>
  <c r="Q82"/>
  <c r="B82"/>
  <c r="P80"/>
  <c r="R81"/>
  <c r="Q81"/>
  <c r="B81"/>
  <c r="P79"/>
  <c r="R80"/>
  <c r="Q80"/>
  <c r="B80"/>
  <c r="P78"/>
  <c r="R79"/>
  <c r="Q79"/>
  <c r="B79"/>
  <c r="P77"/>
  <c r="R78"/>
  <c r="Q78"/>
  <c r="B78"/>
  <c r="P76"/>
  <c r="R77"/>
  <c r="Q77"/>
  <c r="B77"/>
  <c r="P75"/>
  <c r="R76"/>
  <c r="Q76"/>
  <c r="B76"/>
  <c r="P74"/>
  <c r="R75"/>
  <c r="Q75"/>
  <c r="B75"/>
  <c r="P73"/>
  <c r="R74"/>
  <c r="Q74"/>
  <c r="B74"/>
  <c r="P72"/>
  <c r="R73"/>
  <c r="Q73"/>
  <c r="B73"/>
  <c r="P71"/>
  <c r="R72"/>
  <c r="Q72"/>
  <c r="B72"/>
  <c r="P70"/>
  <c r="R71"/>
  <c r="Q71"/>
  <c r="B71"/>
  <c r="P69"/>
  <c r="R70"/>
  <c r="Q70"/>
  <c r="B70"/>
  <c r="P68"/>
  <c r="R69"/>
  <c r="Q69"/>
  <c r="B69"/>
  <c r="P67"/>
  <c r="R68"/>
  <c r="Q68"/>
  <c r="B68"/>
  <c r="P66"/>
  <c r="R67"/>
  <c r="Q67"/>
  <c r="B67"/>
  <c r="P65"/>
  <c r="R66"/>
  <c r="Q66"/>
  <c r="B66"/>
  <c r="P64"/>
  <c r="R65"/>
  <c r="Q65"/>
  <c r="B65"/>
  <c r="P63"/>
  <c r="R64"/>
  <c r="Q64"/>
  <c r="B64"/>
  <c r="P62"/>
  <c r="R63"/>
  <c r="Q63"/>
  <c r="B63"/>
  <c r="P61"/>
  <c r="R62"/>
  <c r="Q62"/>
  <c r="B62"/>
  <c r="P60"/>
  <c r="R61"/>
  <c r="Q61"/>
  <c r="B61"/>
  <c r="P59"/>
  <c r="R60"/>
  <c r="Q60"/>
  <c r="B60"/>
  <c r="P58"/>
  <c r="R59"/>
  <c r="Q59"/>
  <c r="B59"/>
  <c r="P57"/>
  <c r="R58"/>
  <c r="Q58"/>
  <c r="B58"/>
  <c r="P56"/>
  <c r="R57"/>
  <c r="Q57"/>
  <c r="B57"/>
  <c r="P55"/>
  <c r="R56"/>
  <c r="Q56"/>
  <c r="B56"/>
  <c r="P54"/>
  <c r="R55"/>
  <c r="Q55"/>
  <c r="B55"/>
  <c r="P53"/>
  <c r="R54"/>
  <c r="Q54"/>
  <c r="B54"/>
  <c r="P52"/>
  <c r="R53"/>
  <c r="Q53"/>
  <c r="B53"/>
  <c r="P51"/>
  <c r="R52"/>
  <c r="Q52"/>
  <c r="B52"/>
  <c r="P50"/>
  <c r="R51"/>
  <c r="Q51"/>
  <c r="B51"/>
  <c r="P49"/>
  <c r="R50"/>
  <c r="Q50"/>
  <c r="B50"/>
  <c r="P48"/>
  <c r="R49"/>
  <c r="Q49"/>
  <c r="B49"/>
  <c r="P47"/>
  <c r="R48"/>
  <c r="Q48"/>
  <c r="B48"/>
  <c r="P46"/>
  <c r="R47"/>
  <c r="Q47"/>
  <c r="B47"/>
  <c r="P45"/>
  <c r="R46"/>
  <c r="Q46"/>
  <c r="B46"/>
  <c r="P44"/>
  <c r="R45"/>
  <c r="Q45"/>
  <c r="B45"/>
  <c r="P43"/>
  <c r="R44"/>
  <c r="Q44"/>
  <c r="B44"/>
  <c r="P42"/>
  <c r="R43"/>
  <c r="Q43"/>
  <c r="B43"/>
  <c r="P41"/>
  <c r="R42"/>
  <c r="Q42"/>
  <c r="B42"/>
  <c r="P40"/>
  <c r="R41"/>
  <c r="Q41"/>
  <c r="B41"/>
  <c r="P39"/>
  <c r="R40"/>
  <c r="Q40"/>
  <c r="B40"/>
  <c r="P38"/>
  <c r="R39"/>
  <c r="Q39"/>
  <c r="B39"/>
  <c r="P37"/>
  <c r="R38"/>
  <c r="Q38"/>
  <c r="B38"/>
  <c r="P36"/>
  <c r="R37"/>
  <c r="Q37"/>
  <c r="B37"/>
  <c r="P35"/>
  <c r="R36"/>
  <c r="Q36"/>
  <c r="B36"/>
  <c r="P34"/>
  <c r="R35"/>
  <c r="Q35"/>
  <c r="B35"/>
  <c r="P33"/>
  <c r="R34"/>
  <c r="Q34"/>
  <c r="B34"/>
  <c r="P32"/>
  <c r="R33"/>
  <c r="Q33"/>
  <c r="B33"/>
  <c r="P31"/>
  <c r="R32"/>
  <c r="Q32"/>
  <c r="B32"/>
  <c r="P30"/>
  <c r="R31"/>
  <c r="Q31"/>
  <c r="B31"/>
  <c r="P29"/>
  <c r="R30"/>
  <c r="Q30"/>
  <c r="B30"/>
  <c r="P28"/>
  <c r="R29"/>
  <c r="Q29"/>
  <c r="B29"/>
  <c r="P27"/>
  <c r="R28"/>
  <c r="Q28"/>
  <c r="B28"/>
  <c r="P26"/>
  <c r="R27"/>
  <c r="Q27"/>
  <c r="B27"/>
  <c r="P25"/>
  <c r="R26"/>
  <c r="Q26"/>
  <c r="B26"/>
  <c r="P24"/>
  <c r="R25"/>
  <c r="Q25"/>
  <c r="B25"/>
  <c r="P23"/>
  <c r="R24"/>
  <c r="Q24"/>
  <c r="B24"/>
  <c r="P22"/>
  <c r="R23"/>
  <c r="Q23"/>
  <c r="B23"/>
  <c r="P21"/>
  <c r="R22"/>
  <c r="Q22"/>
  <c r="B22"/>
  <c r="P20"/>
  <c r="R21"/>
  <c r="Q21"/>
  <c r="B21"/>
  <c r="P19"/>
  <c r="R20"/>
  <c r="Q20"/>
  <c r="B20"/>
  <c r="P18"/>
  <c r="R19"/>
  <c r="Q19"/>
  <c r="B19"/>
  <c r="R18"/>
  <c r="Q18"/>
  <c r="B18"/>
</calcChain>
</file>

<file path=xl/sharedStrings.xml><?xml version="1.0" encoding="utf-8"?>
<sst xmlns="http://schemas.openxmlformats.org/spreadsheetml/2006/main" count="683" uniqueCount="112">
  <si>
    <t>store_goods</t>
  </si>
  <si>
    <t>s</t>
  </si>
  <si>
    <t>初级涅槃攻击结晶</t>
  </si>
  <si>
    <t>初级涅槃防御结晶</t>
  </si>
  <si>
    <t>初级涅槃生命结晶</t>
  </si>
  <si>
    <t>高级涅槃攻击结晶</t>
  </si>
  <si>
    <t>高级涅槃防御结晶</t>
  </si>
  <si>
    <t>高级涅槃生命结晶</t>
  </si>
  <si>
    <t>[]</t>
  </si>
  <si>
    <t>中级涅槃攻击结晶</t>
  </si>
  <si>
    <t>中级涅槃防御结晶</t>
  </si>
  <si>
    <t>中级涅槃生命结晶</t>
  </si>
  <si>
    <t>极品涅槃攻击结晶</t>
  </si>
  <si>
    <t>极品涅槃防御结晶</t>
  </si>
  <si>
    <t>极品涅槃生命结晶</t>
  </si>
  <si>
    <t>物品ID
根据type读取列表
1）调用game_items的id
2）调用game_equipment的id
4）调用game_fabao的id
5）调用hero_main的id</t>
    <phoneticPr fontId="3" type="noConversion"/>
  </si>
  <si>
    <t>tips</t>
    <phoneticPr fontId="3" type="noConversion"/>
  </si>
  <si>
    <t>huobi</t>
    <phoneticPr fontId="3" type="noConversion"/>
  </si>
  <si>
    <t>type</t>
    <phoneticPr fontId="3" type="noConversion"/>
  </si>
  <si>
    <t>item_id</t>
    <phoneticPr fontId="3" type="noConversion"/>
  </si>
  <si>
    <t>in_store</t>
    <phoneticPr fontId="3" type="noConversion"/>
  </si>
  <si>
    <t>s</t>
    <phoneticPr fontId="3" type="noConversion"/>
  </si>
  <si>
    <t>i</t>
    <phoneticPr fontId="3" type="noConversion"/>
  </si>
  <si>
    <t>[]</t>
    <phoneticPr fontId="3" type="noConversion"/>
  </si>
  <si>
    <t>精力之心</t>
  </si>
  <si>
    <t>price</t>
    <phoneticPr fontId="3" type="noConversion"/>
  </si>
  <si>
    <t>cost_type</t>
    <phoneticPr fontId="3" type="noConversion"/>
  </si>
  <si>
    <t>huobi_id</t>
    <phoneticPr fontId="3" type="noConversion"/>
  </si>
  <si>
    <t>购买消耗货币类型
1=道具（game_items）
4=资源（currency）</t>
    <phoneticPr fontId="3" type="noConversion"/>
  </si>
  <si>
    <t xml:space="preserve">购买商品消耗货币的数值
</t>
    <phoneticPr fontId="3" type="noConversion"/>
  </si>
  <si>
    <t>购买商品消耗货币数值的类型
cost_type=0,固定价格，直接取后列的value值
cost_type=1,变动价格，读取store_goods_cost的type，然后根据当前的购买次数找对应的价格</t>
    <phoneticPr fontId="3" type="noConversion"/>
  </si>
  <si>
    <t>xiangou_type</t>
    <phoneticPr fontId="3" type="noConversion"/>
  </si>
  <si>
    <t>xiangou_value</t>
    <phoneticPr fontId="3" type="noConversion"/>
  </si>
  <si>
    <t>原价
填写原价价格
0-无原价</t>
    <phoneticPr fontId="3" type="noConversion"/>
  </si>
  <si>
    <t>huobi_num</t>
    <phoneticPr fontId="3" type="noConversion"/>
  </si>
  <si>
    <t>高级经验药</t>
  </si>
  <si>
    <t>蓝色经验法宝</t>
  </si>
  <si>
    <t>法宝精炼石</t>
  </si>
  <si>
    <t>装备精炼石</t>
  </si>
  <si>
    <t>神兵强化石</t>
  </si>
  <si>
    <t>物品类型
1=道具
2=装备
4=货币
5=伙伴
6=法宝</t>
  </si>
  <si>
    <t>限购次数类型
0-不限制购买次数
1-限购次数为固定数值
2-限购次数读取top_limit的id
3-永久限购次数</t>
    <phoneticPr fontId="3" type="noConversion"/>
  </si>
  <si>
    <t>限购次数
0-不限制购买次数
1-限购次数为固定数值
2-限购次数读取top_limit的id
3-永久限购次数(填固定数值)</t>
    <phoneticPr fontId="3" type="noConversion"/>
  </si>
  <si>
    <t>label</t>
    <phoneticPr fontId="3" type="noConversion"/>
  </si>
  <si>
    <t>1513</t>
  </si>
  <si>
    <t>10015</t>
  </si>
  <si>
    <t>凤鸣折翼剑碎片</t>
  </si>
  <si>
    <t>龙麟碎霜扇碎片</t>
  </si>
  <si>
    <t>红莲岩泉碎片</t>
  </si>
  <si>
    <t>斗神镇狱棒碎片</t>
  </si>
  <si>
    <t>三尖两刃刀碎片</t>
  </si>
  <si>
    <t>玲珑天晶塔碎片</t>
  </si>
  <si>
    <t>明王摧城碎片</t>
  </si>
  <si>
    <t>上宝沁金钯碎片</t>
  </si>
  <si>
    <t>昆仑神木珠碎片</t>
  </si>
  <si>
    <t>浮沉三世碎片</t>
  </si>
  <si>
    <t>斩鬼流岩碎片</t>
  </si>
  <si>
    <t>修罗开山斧碎片</t>
  </si>
  <si>
    <t>如意金箍棒碎片</t>
  </si>
  <si>
    <t>如意鸾凤簪碎片</t>
  </si>
  <si>
    <t>绝魂领悟碎片</t>
  </si>
  <si>
    <t>降妖宝杖碎片</t>
  </si>
  <si>
    <t>天慧法杖碎片</t>
  </si>
  <si>
    <t>深海碎霜碎片</t>
  </si>
  <si>
    <t>焚焰溯流碎片</t>
  </si>
  <si>
    <t>追风紫罗带碎片</t>
  </si>
  <si>
    <t>碧海定沁丹碎片</t>
  </si>
  <si>
    <t>沉星芭蕉扇碎片</t>
  </si>
  <si>
    <t>白骨幡碎片</t>
  </si>
  <si>
    <t>紫青玄铁剑碎片</t>
  </si>
  <si>
    <t>羊脂玉净瓶碎片</t>
  </si>
  <si>
    <t>龙凤双环碎片</t>
  </si>
  <si>
    <t>真火子母枪碎片</t>
  </si>
  <si>
    <t>渊微凡尘碎片</t>
  </si>
  <si>
    <t>海王戟碎片</t>
  </si>
  <si>
    <t>混世蛇矛碎片</t>
  </si>
  <si>
    <t>流星拳碎片</t>
  </si>
  <si>
    <t>人参糖葫芦碎片</t>
  </si>
  <si>
    <t>逆流白龙吟碎片</t>
  </si>
  <si>
    <t>猕猴斩魄刀碎片</t>
  </si>
  <si>
    <t>判官笔碎片</t>
  </si>
  <si>
    <t>琴瑟琵琶碎片</t>
  </si>
  <si>
    <t>肚脐蛛网碎片</t>
  </si>
  <si>
    <t>相思醉碎片</t>
  </si>
  <si>
    <t>太白拂尘碎片</t>
  </si>
  <si>
    <t>羊角画戟碎片</t>
  </si>
  <si>
    <t>凝神花碎片</t>
  </si>
  <si>
    <t>九环锡杖碎片</t>
  </si>
  <si>
    <t>吊莲仙灯碎片</t>
  </si>
  <si>
    <t>落樱神斧碎片</t>
  </si>
  <si>
    <t>武将</t>
    <phoneticPr fontId="3" type="noConversion"/>
  </si>
  <si>
    <t>资质</t>
    <phoneticPr fontId="3" type="noConversion"/>
  </si>
  <si>
    <t>武将ID</t>
    <phoneticPr fontId="3" type="noConversion"/>
  </si>
  <si>
    <t>洗炼丹</t>
  </si>
  <si>
    <t>神兵进阶石</t>
  </si>
  <si>
    <t>蟠桃</t>
  </si>
  <si>
    <t>高级法宝碎片箱</t>
  </si>
  <si>
    <t>高级装备碎片箱</t>
  </si>
  <si>
    <t>梦魇挑战令</t>
  </si>
  <si>
    <t>商铺刷新令</t>
  </si>
  <si>
    <t xml:space="preserve">备注 </t>
    <phoneticPr fontId="3" type="noConversion"/>
  </si>
  <si>
    <t>铜钱x10000</t>
    <phoneticPr fontId="3" type="noConversion"/>
  </si>
  <si>
    <t>唯一ID[字符串]
普通商店1001~2000（标红的不能改ID）
伙伴商店2001~3000
竞技场商店3001~4000
装备商店4001~5000
涅槃商店5001~6000
帮派商店6001-7000
开服7日活动-半价限购7000-7999</t>
    <phoneticPr fontId="3" type="noConversion"/>
  </si>
  <si>
    <r>
      <t xml:space="preserve">限购ID
满足条件才可购买      </t>
    </r>
    <r>
      <rPr>
        <sz val="10"/>
        <color rgb="FFFF0000"/>
        <rFont val="微软雅黑"/>
        <family val="2"/>
        <charset val="134"/>
      </rPr>
      <t>调用game_limit的id</t>
    </r>
    <phoneticPr fontId="3" type="noConversion"/>
  </si>
  <si>
    <t>商品包含的物品数量</t>
    <phoneticPr fontId="3" type="noConversion"/>
  </si>
  <si>
    <t>是否需要放在商店里（在商店里出现才能购买）</t>
    <phoneticPr fontId="3" type="noConversion"/>
  </si>
  <si>
    <t>limit</t>
    <phoneticPr fontId="3" type="noConversion"/>
  </si>
  <si>
    <t>num</t>
    <phoneticPr fontId="3" type="noConversion"/>
  </si>
  <si>
    <t>[]</t>
    <phoneticPr fontId="3" type="noConversion"/>
  </si>
  <si>
    <t>标签
0-无标签
1-打折（现价/原价，最多保留1位小数）
2-羁绊（与自己当前阵上的3个伙伴产生羁绊就会显示羁绊标签）
3-推荐（填了就显示“推荐”标签）
4-上阵（用于判断"神兵"碎片相关的标签）</t>
    <phoneticPr fontId="3" type="noConversion"/>
  </si>
  <si>
    <t>货币的具体id
根据前面的type来决定
1=道具（game_items）
4=资源（currency）</t>
    <phoneticPr fontId="3" type="noConversion"/>
  </si>
  <si>
    <t>[]</t>
    <phoneticPr fontId="3" type="noConversion"/>
  </si>
</sst>
</file>

<file path=xl/styles.xml><?xml version="1.0" encoding="utf-8"?>
<styleSheet xmlns="http://schemas.openxmlformats.org/spreadsheetml/2006/main">
  <fonts count="23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0"/>
      <color rgb="FFFF000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 tint="-0.34998626667073579"/>
      <name val="微软雅黑"/>
      <family val="2"/>
      <charset val="134"/>
    </font>
    <font>
      <b/>
      <sz val="10"/>
      <color theme="0" tint="-0.34998626667073579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0"/>
      <color theme="1" tint="0.34998626667073579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0"/>
      <name val="微软雅黑"/>
      <family val="2"/>
      <charset val="134"/>
    </font>
    <font>
      <sz val="10"/>
      <color theme="0" tint="-0.499984740745262"/>
      <name val="微软雅黑"/>
      <family val="2"/>
      <charset val="134"/>
    </font>
    <font>
      <b/>
      <sz val="10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theme="1"/>
      <name val="宋体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4">
    <xf numFmtId="0" fontId="0" fillId="0" borderId="0">
      <alignment vertical="center"/>
    </xf>
    <xf numFmtId="0" fontId="7" fillId="0" borderId="0"/>
    <xf numFmtId="0" fontId="20" fillId="0" borderId="0">
      <alignment vertical="center"/>
    </xf>
    <xf numFmtId="0" fontId="20" fillId="0" borderId="0">
      <alignment vertical="center"/>
    </xf>
    <xf numFmtId="0" fontId="2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20" fillId="0" borderId="0">
      <alignment vertical="center"/>
    </xf>
    <xf numFmtId="0" fontId="21" fillId="19" borderId="0" applyNumberFormat="0" applyBorder="0" applyAlignment="0" applyProtection="0">
      <alignment vertical="center"/>
    </xf>
    <xf numFmtId="0" fontId="20" fillId="0" borderId="0">
      <alignment vertical="center"/>
    </xf>
    <xf numFmtId="0" fontId="21" fillId="19" borderId="0" applyNumberFormat="0" applyBorder="0" applyAlignment="0" applyProtection="0">
      <alignment vertical="center"/>
    </xf>
    <xf numFmtId="0" fontId="20" fillId="0" borderId="0">
      <alignment vertical="center"/>
    </xf>
    <xf numFmtId="0" fontId="21" fillId="19" borderId="0" applyNumberFormat="0" applyBorder="0" applyAlignment="0" applyProtection="0">
      <alignment vertical="center"/>
    </xf>
    <xf numFmtId="0" fontId="20" fillId="0" borderId="0">
      <alignment vertical="center"/>
    </xf>
    <xf numFmtId="0" fontId="21" fillId="19" borderId="0" applyNumberFormat="0" applyBorder="0" applyAlignment="0" applyProtection="0">
      <alignment vertical="center"/>
    </xf>
    <xf numFmtId="0" fontId="20" fillId="0" borderId="0">
      <alignment vertical="center"/>
    </xf>
    <xf numFmtId="0" fontId="21" fillId="19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2" fillId="0" borderId="0"/>
  </cellStyleXfs>
  <cellXfs count="235">
    <xf numFmtId="0" fontId="0" fillId="0" borderId="0" xfId="0" applyAlignment="1"/>
    <xf numFmtId="0" fontId="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vertical="center" wrapText="1"/>
    </xf>
    <xf numFmtId="0" fontId="6" fillId="3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vertical="center" wrapText="1"/>
    </xf>
    <xf numFmtId="49" fontId="4" fillId="0" borderId="1" xfId="0" applyNumberFormat="1" applyFont="1" applyBorder="1" applyAlignment="1">
      <alignment vertical="center" wrapText="1"/>
    </xf>
    <xf numFmtId="0" fontId="4" fillId="0" borderId="1" xfId="0" applyFont="1" applyBorder="1" applyAlignment="1">
      <alignment vertical="center"/>
    </xf>
    <xf numFmtId="0" fontId="4" fillId="9" borderId="1" xfId="0" applyFont="1" applyFill="1" applyBorder="1" applyAlignment="1">
      <alignment vertical="center"/>
    </xf>
    <xf numFmtId="0" fontId="4" fillId="7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vertical="center"/>
    </xf>
    <xf numFmtId="0" fontId="4" fillId="11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12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 wrapText="1"/>
    </xf>
    <xf numFmtId="49" fontId="11" fillId="8" borderId="1" xfId="0" applyNumberFormat="1" applyFont="1" applyFill="1" applyBorder="1" applyAlignment="1">
      <alignment vertical="center" wrapText="1"/>
    </xf>
    <xf numFmtId="0" fontId="4" fillId="0" borderId="1" xfId="0" applyNumberFormat="1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4" fillId="0" borderId="1" xfId="0" applyNumberFormat="1" applyFont="1" applyBorder="1" applyAlignment="1">
      <alignment vertical="center"/>
    </xf>
    <xf numFmtId="0" fontId="4" fillId="9" borderId="1" xfId="0" applyNumberFormat="1" applyFont="1" applyFill="1" applyBorder="1" applyAlignment="1">
      <alignment vertical="center" wrapText="1"/>
    </xf>
    <xf numFmtId="0" fontId="6" fillId="9" borderId="1" xfId="0" applyFont="1" applyFill="1" applyBorder="1" applyAlignment="1">
      <alignment vertical="center"/>
    </xf>
    <xf numFmtId="0" fontId="4" fillId="7" borderId="1" xfId="0" applyNumberFormat="1" applyFont="1" applyFill="1" applyBorder="1" applyAlignment="1">
      <alignment vertical="center" wrapText="1"/>
    </xf>
    <xf numFmtId="0" fontId="6" fillId="7" borderId="1" xfId="0" applyFont="1" applyFill="1" applyBorder="1" applyAlignment="1">
      <alignment vertical="center"/>
    </xf>
    <xf numFmtId="0" fontId="4" fillId="12" borderId="1" xfId="0" applyFont="1" applyFill="1" applyBorder="1" applyAlignment="1">
      <alignment vertical="center" wrapText="1"/>
    </xf>
    <xf numFmtId="0" fontId="5" fillId="12" borderId="1" xfId="0" applyNumberFormat="1" applyFont="1" applyFill="1" applyBorder="1" applyAlignment="1"/>
    <xf numFmtId="0" fontId="6" fillId="12" borderId="1" xfId="0" applyFont="1" applyFill="1" applyBorder="1" applyAlignment="1">
      <alignment vertical="center"/>
    </xf>
    <xf numFmtId="0" fontId="5" fillId="9" borderId="1" xfId="0" applyNumberFormat="1" applyFont="1" applyFill="1" applyBorder="1" applyAlignment="1"/>
    <xf numFmtId="0" fontId="4" fillId="10" borderId="1" xfId="0" applyNumberFormat="1" applyFont="1" applyFill="1" applyBorder="1" applyAlignment="1">
      <alignment vertical="center" wrapText="1"/>
    </xf>
    <xf numFmtId="0" fontId="5" fillId="10" borderId="1" xfId="0" applyNumberFormat="1" applyFont="1" applyFill="1" applyBorder="1" applyAlignment="1"/>
    <xf numFmtId="0" fontId="6" fillId="10" borderId="1" xfId="0" applyFont="1" applyFill="1" applyBorder="1" applyAlignment="1">
      <alignment vertical="center"/>
    </xf>
    <xf numFmtId="0" fontId="4" fillId="11" borderId="1" xfId="0" applyNumberFormat="1" applyFont="1" applyFill="1" applyBorder="1" applyAlignment="1">
      <alignment vertical="center" wrapText="1"/>
    </xf>
    <xf numFmtId="0" fontId="5" fillId="11" borderId="1" xfId="0" applyNumberFormat="1" applyFont="1" applyFill="1" applyBorder="1" applyAlignment="1"/>
    <xf numFmtId="0" fontId="6" fillId="11" borderId="1" xfId="0" applyFont="1" applyFill="1" applyBorder="1" applyAlignment="1">
      <alignment vertical="center"/>
    </xf>
    <xf numFmtId="0" fontId="6" fillId="6" borderId="1" xfId="0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4" borderId="1" xfId="0" applyNumberFormat="1" applyFont="1" applyFill="1" applyBorder="1" applyAlignment="1">
      <alignment vertical="center" wrapText="1"/>
    </xf>
    <xf numFmtId="0" fontId="4" fillId="5" borderId="1" xfId="0" applyNumberFormat="1" applyFont="1" applyFill="1" applyBorder="1" applyAlignment="1">
      <alignment vertical="center" wrapText="1"/>
    </xf>
    <xf numFmtId="0" fontId="4" fillId="2" borderId="1" xfId="0" applyNumberFormat="1" applyFont="1" applyFill="1" applyBorder="1" applyAlignment="1">
      <alignment vertical="center" wrapText="1"/>
    </xf>
    <xf numFmtId="0" fontId="6" fillId="3" borderId="1" xfId="0" applyNumberFormat="1" applyFont="1" applyFill="1" applyBorder="1" applyAlignment="1">
      <alignment vertical="center"/>
    </xf>
    <xf numFmtId="0" fontId="9" fillId="8" borderId="1" xfId="0" applyNumberFormat="1" applyFont="1" applyFill="1" applyBorder="1" applyAlignment="1">
      <alignment vertical="center" wrapText="1"/>
    </xf>
    <xf numFmtId="0" fontId="4" fillId="9" borderId="1" xfId="0" applyNumberFormat="1" applyFont="1" applyFill="1" applyBorder="1" applyAlignment="1">
      <alignment vertical="center"/>
    </xf>
    <xf numFmtId="0" fontId="4" fillId="7" borderId="1" xfId="0" applyNumberFormat="1" applyFont="1" applyFill="1" applyBorder="1" applyAlignment="1">
      <alignment vertical="center"/>
    </xf>
    <xf numFmtId="0" fontId="4" fillId="12" borderId="1" xfId="0" applyNumberFormat="1" applyFont="1" applyFill="1" applyBorder="1" applyAlignment="1">
      <alignment vertical="center"/>
    </xf>
    <xf numFmtId="0" fontId="4" fillId="10" borderId="1" xfId="0" applyNumberFormat="1" applyFont="1" applyFill="1" applyBorder="1" applyAlignment="1">
      <alignment vertical="center"/>
    </xf>
    <xf numFmtId="0" fontId="4" fillId="11" borderId="1" xfId="0" applyNumberFormat="1" applyFont="1" applyFill="1" applyBorder="1" applyAlignment="1">
      <alignment vertical="center"/>
    </xf>
    <xf numFmtId="0" fontId="4" fillId="6" borderId="1" xfId="0" applyNumberFormat="1" applyFont="1" applyFill="1" applyBorder="1" applyAlignment="1">
      <alignment vertical="center"/>
    </xf>
    <xf numFmtId="0" fontId="4" fillId="5" borderId="1" xfId="0" applyNumberFormat="1" applyFont="1" applyFill="1" applyBorder="1" applyAlignment="1">
      <alignment vertical="center"/>
    </xf>
    <xf numFmtId="0" fontId="4" fillId="4" borderId="1" xfId="0" applyNumberFormat="1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49" fontId="9" fillId="8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13" borderId="1" xfId="0" applyNumberFormat="1" applyFont="1" applyFill="1" applyBorder="1" applyAlignment="1">
      <alignment vertical="center" wrapText="1"/>
    </xf>
    <xf numFmtId="0" fontId="4" fillId="13" borderId="1" xfId="0" applyFont="1" applyFill="1" applyBorder="1" applyAlignment="1">
      <alignment vertical="center"/>
    </xf>
    <xf numFmtId="0" fontId="4" fillId="13" borderId="1" xfId="0" applyNumberFormat="1" applyFont="1" applyFill="1" applyBorder="1" applyAlignment="1">
      <alignment vertical="center"/>
    </xf>
    <xf numFmtId="0" fontId="6" fillId="13" borderId="1" xfId="0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14" borderId="1" xfId="0" applyNumberFormat="1" applyFont="1" applyFill="1" applyBorder="1" applyAlignment="1">
      <alignment vertical="center" wrapText="1"/>
    </xf>
    <xf numFmtId="0" fontId="4" fillId="14" borderId="1" xfId="0" applyFont="1" applyFill="1" applyBorder="1" applyAlignment="1">
      <alignment vertical="center"/>
    </xf>
    <xf numFmtId="0" fontId="4" fillId="14" borderId="1" xfId="0" applyNumberFormat="1" applyFont="1" applyFill="1" applyBorder="1" applyAlignment="1">
      <alignment vertical="center"/>
    </xf>
    <xf numFmtId="0" fontId="6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6" fillId="3" borderId="1" xfId="0" applyNumberFormat="1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9" fillId="8" borderId="1" xfId="0" applyNumberFormat="1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Border="1" applyAlignment="1">
      <alignment horizontal="center" vertical="center" wrapText="1"/>
    </xf>
    <xf numFmtId="0" fontId="12" fillId="0" borderId="1" xfId="0" applyNumberFormat="1" applyFont="1" applyBorder="1" applyAlignment="1">
      <alignment horizontal="center" vertical="center" wrapText="1"/>
    </xf>
    <xf numFmtId="0" fontId="4" fillId="0" borderId="1" xfId="0" applyNumberFormat="1" applyFont="1" applyBorder="1" applyAlignment="1">
      <alignment horizontal="center" vertical="center"/>
    </xf>
    <xf numFmtId="0" fontId="12" fillId="0" borderId="1" xfId="0" applyNumberFormat="1" applyFont="1" applyBorder="1" applyAlignment="1">
      <alignment horizontal="center" vertical="center"/>
    </xf>
    <xf numFmtId="49" fontId="4" fillId="13" borderId="1" xfId="0" applyNumberFormat="1" applyFont="1" applyFill="1" applyBorder="1" applyAlignment="1">
      <alignment horizontal="center" vertical="center" wrapText="1"/>
    </xf>
    <xf numFmtId="0" fontId="4" fillId="13" borderId="1" xfId="0" applyNumberFormat="1" applyFont="1" applyFill="1" applyBorder="1" applyAlignment="1">
      <alignment horizontal="center" vertical="center" wrapText="1"/>
    </xf>
    <xf numFmtId="0" fontId="12" fillId="13" borderId="1" xfId="0" applyNumberFormat="1" applyFont="1" applyFill="1" applyBorder="1" applyAlignment="1">
      <alignment horizontal="center" vertical="center" wrapText="1"/>
    </xf>
    <xf numFmtId="49" fontId="4" fillId="11" borderId="1" xfId="0" applyNumberFormat="1" applyFont="1" applyFill="1" applyBorder="1" applyAlignment="1">
      <alignment horizontal="center" vertical="center" wrapText="1"/>
    </xf>
    <xf numFmtId="0" fontId="4" fillId="11" borderId="1" xfId="0" applyNumberFormat="1" applyFont="1" applyFill="1" applyBorder="1" applyAlignment="1">
      <alignment horizontal="center" vertical="center" wrapText="1"/>
    </xf>
    <xf numFmtId="0" fontId="12" fillId="11" borderId="1" xfId="0" applyNumberFormat="1" applyFont="1" applyFill="1" applyBorder="1" applyAlignment="1">
      <alignment horizontal="center" vertical="center" wrapText="1"/>
    </xf>
    <xf numFmtId="49" fontId="4" fillId="10" borderId="1" xfId="0" applyNumberFormat="1" applyFont="1" applyFill="1" applyBorder="1" applyAlignment="1">
      <alignment horizontal="center" vertical="center" wrapText="1"/>
    </xf>
    <xf numFmtId="0" fontId="4" fillId="10" borderId="1" xfId="0" applyNumberFormat="1" applyFont="1" applyFill="1" applyBorder="1" applyAlignment="1">
      <alignment horizontal="center" vertical="center" wrapText="1"/>
    </xf>
    <xf numFmtId="0" fontId="12" fillId="10" borderId="1" xfId="0" applyNumberFormat="1" applyFont="1" applyFill="1" applyBorder="1" applyAlignment="1">
      <alignment horizontal="center" vertical="center" wrapText="1"/>
    </xf>
    <xf numFmtId="49" fontId="4" fillId="14" borderId="1" xfId="0" applyNumberFormat="1" applyFont="1" applyFill="1" applyBorder="1" applyAlignment="1">
      <alignment horizontal="center" vertical="center" wrapText="1"/>
    </xf>
    <xf numFmtId="0" fontId="4" fillId="14" borderId="1" xfId="0" applyNumberFormat="1" applyFont="1" applyFill="1" applyBorder="1" applyAlignment="1">
      <alignment horizontal="center" vertical="center" wrapText="1"/>
    </xf>
    <xf numFmtId="0" fontId="12" fillId="14" borderId="1" xfId="0" applyNumberFormat="1" applyFont="1" applyFill="1" applyBorder="1" applyAlignment="1">
      <alignment horizontal="center" vertical="center" wrapText="1"/>
    </xf>
    <xf numFmtId="49" fontId="4" fillId="7" borderId="1" xfId="0" applyNumberFormat="1" applyFont="1" applyFill="1" applyBorder="1" applyAlignment="1">
      <alignment horizontal="center" vertical="center" wrapText="1"/>
    </xf>
    <xf numFmtId="0" fontId="4" fillId="7" borderId="1" xfId="0" applyNumberFormat="1" applyFont="1" applyFill="1" applyBorder="1" applyAlignment="1">
      <alignment horizontal="center" vertical="center" wrapText="1"/>
    </xf>
    <xf numFmtId="0" fontId="12" fillId="7" borderId="1" xfId="0" applyNumberFormat="1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  <xf numFmtId="0" fontId="12" fillId="12" borderId="1" xfId="0" applyNumberFormat="1" applyFont="1" applyFill="1" applyBorder="1" applyAlignment="1">
      <alignment horizontal="center" vertical="center" wrapText="1"/>
    </xf>
    <xf numFmtId="0" fontId="4" fillId="9" borderId="1" xfId="0" applyNumberFormat="1" applyFont="1" applyFill="1" applyBorder="1" applyAlignment="1">
      <alignment horizontal="center" vertical="center" wrapText="1"/>
    </xf>
    <xf numFmtId="0" fontId="12" fillId="9" borderId="1" xfId="0" applyNumberFormat="1" applyFont="1" applyFill="1" applyBorder="1" applyAlignment="1">
      <alignment horizontal="center" vertical="center" wrapText="1"/>
    </xf>
    <xf numFmtId="49" fontId="4" fillId="9" borderId="1" xfId="0" applyNumberFormat="1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/>
    </xf>
    <xf numFmtId="0" fontId="4" fillId="7" borderId="1" xfId="0" applyNumberFormat="1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 wrapText="1"/>
    </xf>
    <xf numFmtId="0" fontId="4" fillId="6" borderId="1" xfId="0" applyNumberFormat="1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 wrapText="1"/>
    </xf>
    <xf numFmtId="0" fontId="4" fillId="5" borderId="1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>
      <alignment horizontal="center" vertical="center" wrapText="1"/>
    </xf>
    <xf numFmtId="0" fontId="12" fillId="4" borderId="1" xfId="0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 wrapText="1"/>
    </xf>
    <xf numFmtId="0" fontId="12" fillId="5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5" fillId="13" borderId="1" xfId="0" applyNumberFormat="1" applyFont="1" applyFill="1" applyBorder="1" applyAlignment="1"/>
    <xf numFmtId="0" fontId="5" fillId="1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49" fontId="9" fillId="8" borderId="1" xfId="0" applyNumberFormat="1" applyFont="1" applyFill="1" applyBorder="1" applyAlignment="1">
      <alignment horizontal="left" vertical="center" wrapText="1"/>
    </xf>
    <xf numFmtId="49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1" xfId="0" applyNumberFormat="1" applyFont="1" applyBorder="1" applyAlignment="1">
      <alignment horizontal="left" vertical="center" wrapText="1"/>
    </xf>
    <xf numFmtId="0" fontId="4" fillId="0" borderId="1" xfId="0" applyNumberFormat="1" applyFont="1" applyBorder="1" applyAlignment="1">
      <alignment horizontal="left" vertical="center"/>
    </xf>
    <xf numFmtId="0" fontId="4" fillId="13" borderId="1" xfId="0" applyFont="1" applyFill="1" applyBorder="1" applyAlignment="1">
      <alignment horizontal="left" vertical="center"/>
    </xf>
    <xf numFmtId="0" fontId="4" fillId="13" borderId="1" xfId="0" applyNumberFormat="1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left" vertical="center"/>
    </xf>
    <xf numFmtId="0" fontId="4" fillId="14" borderId="1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left" vertical="center"/>
    </xf>
    <xf numFmtId="0" fontId="4" fillId="12" borderId="1" xfId="0" applyFont="1" applyFill="1" applyBorder="1" applyAlignment="1">
      <alignment horizontal="left" vertical="center"/>
    </xf>
    <xf numFmtId="0" fontId="4" fillId="9" borderId="1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15" borderId="1" xfId="0" applyNumberFormat="1" applyFont="1" applyFill="1" applyBorder="1" applyAlignment="1">
      <alignment vertical="center" wrapText="1"/>
    </xf>
    <xf numFmtId="0" fontId="4" fillId="15" borderId="1" xfId="0" applyFont="1" applyFill="1" applyBorder="1" applyAlignment="1">
      <alignment vertical="center"/>
    </xf>
    <xf numFmtId="0" fontId="4" fillId="15" borderId="1" xfId="0" applyNumberFormat="1" applyFont="1" applyFill="1" applyBorder="1" applyAlignment="1">
      <alignment vertical="center"/>
    </xf>
    <xf numFmtId="0" fontId="6" fillId="15" borderId="1" xfId="0" applyFont="1" applyFill="1" applyBorder="1" applyAlignment="1">
      <alignment vertical="center"/>
    </xf>
    <xf numFmtId="49" fontId="4" fillId="15" borderId="1" xfId="0" applyNumberFormat="1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horizontal="center" vertical="center"/>
    </xf>
    <xf numFmtId="0" fontId="4" fillId="15" borderId="1" xfId="0" applyNumberFormat="1" applyFont="1" applyFill="1" applyBorder="1" applyAlignment="1">
      <alignment horizontal="center" vertical="center" wrapText="1"/>
    </xf>
    <xf numFmtId="0" fontId="12" fillId="15" borderId="1" xfId="0" applyNumberFormat="1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horizontal="left" vertical="center"/>
    </xf>
    <xf numFmtId="0" fontId="4" fillId="13" borderId="1" xfId="0" applyNumberFormat="1" applyFont="1" applyFill="1" applyBorder="1" applyAlignment="1">
      <alignment horizontal="center" vertical="center"/>
    </xf>
    <xf numFmtId="0" fontId="12" fillId="13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vertical="center"/>
    </xf>
    <xf numFmtId="0" fontId="13" fillId="7" borderId="1" xfId="0" applyNumberFormat="1" applyFont="1" applyFill="1" applyBorder="1" applyAlignment="1">
      <alignment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/>
    </xf>
    <xf numFmtId="0" fontId="13" fillId="7" borderId="1" xfId="0" applyNumberFormat="1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left" vertical="center"/>
    </xf>
    <xf numFmtId="0" fontId="4" fillId="16" borderId="1" xfId="0" applyFont="1" applyFill="1" applyBorder="1" applyAlignment="1">
      <alignment vertical="center"/>
    </xf>
    <xf numFmtId="0" fontId="4" fillId="16" borderId="1" xfId="0" applyNumberFormat="1" applyFont="1" applyFill="1" applyBorder="1" applyAlignment="1">
      <alignment vertical="center"/>
    </xf>
    <xf numFmtId="49" fontId="4" fillId="16" borderId="1" xfId="0" applyNumberFormat="1" applyFont="1" applyFill="1" applyBorder="1" applyAlignment="1">
      <alignment horizontal="center" vertical="center" wrapText="1"/>
    </xf>
    <xf numFmtId="0" fontId="4" fillId="16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left" vertical="center"/>
    </xf>
    <xf numFmtId="0" fontId="5" fillId="13" borderId="1" xfId="0" applyNumberFormat="1" applyFont="1" applyFill="1" applyBorder="1" applyAlignment="1">
      <alignment vertical="center"/>
    </xf>
    <xf numFmtId="0" fontId="6" fillId="16" borderId="1" xfId="0" applyFont="1" applyFill="1" applyBorder="1" applyAlignment="1">
      <alignment vertical="center"/>
    </xf>
    <xf numFmtId="0" fontId="12" fillId="16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/>
    <xf numFmtId="0" fontId="2" fillId="11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4" fillId="13" borderId="1" xfId="0" applyFont="1" applyFill="1" applyBorder="1" applyAlignment="1"/>
    <xf numFmtId="0" fontId="2" fillId="13" borderId="0" xfId="0" applyFont="1" applyFill="1" applyAlignment="1">
      <alignment horizontal="center" vertical="center"/>
    </xf>
    <xf numFmtId="0" fontId="4" fillId="12" borderId="1" xfId="0" applyFont="1" applyFill="1" applyBorder="1" applyAlignment="1"/>
    <xf numFmtId="0" fontId="2" fillId="12" borderId="0" xfId="0" applyFont="1" applyFill="1" applyAlignment="1">
      <alignment horizontal="center" vertical="center"/>
    </xf>
    <xf numFmtId="0" fontId="4" fillId="11" borderId="1" xfId="0" applyNumberFormat="1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4" fillId="12" borderId="1" xfId="0" applyNumberFormat="1" applyFont="1" applyFill="1" applyBorder="1" applyAlignment="1">
      <alignment horizontal="center" vertical="center" wrapText="1"/>
    </xf>
    <xf numFmtId="0" fontId="4" fillId="17" borderId="1" xfId="0" applyNumberFormat="1" applyFont="1" applyFill="1" applyBorder="1" applyAlignment="1">
      <alignment vertical="center" wrapText="1"/>
    </xf>
    <xf numFmtId="0" fontId="4" fillId="17" borderId="1" xfId="0" applyNumberFormat="1" applyFont="1" applyFill="1" applyBorder="1" applyAlignment="1">
      <alignment vertical="center"/>
    </xf>
    <xf numFmtId="0" fontId="4" fillId="17" borderId="1" xfId="0" applyFont="1" applyFill="1" applyBorder="1" applyAlignment="1">
      <alignment vertical="center"/>
    </xf>
    <xf numFmtId="0" fontId="6" fillId="17" borderId="1" xfId="0" applyFont="1" applyFill="1" applyBorder="1" applyAlignment="1">
      <alignment vertical="center"/>
    </xf>
    <xf numFmtId="49" fontId="4" fillId="17" borderId="1" xfId="0" applyNumberFormat="1" applyFont="1" applyFill="1" applyBorder="1" applyAlignment="1">
      <alignment horizontal="center" vertical="center" wrapText="1"/>
    </xf>
    <xf numFmtId="0" fontId="4" fillId="17" borderId="1" xfId="0" applyFont="1" applyFill="1" applyBorder="1" applyAlignment="1">
      <alignment horizontal="center" vertical="center"/>
    </xf>
    <xf numFmtId="0" fontId="4" fillId="17" borderId="1" xfId="0" applyNumberFormat="1" applyFont="1" applyFill="1" applyBorder="1" applyAlignment="1">
      <alignment horizontal="center" vertical="center" wrapText="1"/>
    </xf>
    <xf numFmtId="0" fontId="4" fillId="17" borderId="1" xfId="0" applyFont="1" applyFill="1" applyBorder="1" applyAlignment="1">
      <alignment horizontal="left" vertical="center"/>
    </xf>
    <xf numFmtId="0" fontId="4" fillId="17" borderId="1" xfId="0" applyNumberFormat="1" applyFont="1" applyFill="1" applyBorder="1" applyAlignment="1">
      <alignment horizontal="center" vertical="center"/>
    </xf>
    <xf numFmtId="0" fontId="15" fillId="17" borderId="1" xfId="0" applyNumberFormat="1" applyFont="1" applyFill="1" applyBorder="1" applyAlignment="1">
      <alignment horizontal="center" vertical="center" wrapText="1"/>
    </xf>
    <xf numFmtId="0" fontId="15" fillId="10" borderId="1" xfId="0" applyNumberFormat="1" applyFont="1" applyFill="1" applyBorder="1" applyAlignment="1">
      <alignment horizontal="center" vertical="center" wrapText="1"/>
    </xf>
    <xf numFmtId="0" fontId="4" fillId="10" borderId="1" xfId="0" applyNumberFormat="1" applyFont="1" applyFill="1" applyBorder="1" applyAlignment="1">
      <alignment horizontal="center" vertical="center"/>
    </xf>
    <xf numFmtId="0" fontId="12" fillId="17" borderId="1" xfId="0" applyNumberFormat="1" applyFont="1" applyFill="1" applyBorder="1" applyAlignment="1">
      <alignment horizontal="center" vertical="center" wrapText="1"/>
    </xf>
    <xf numFmtId="0" fontId="4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vertical="center"/>
    </xf>
    <xf numFmtId="0" fontId="16" fillId="0" borderId="1" xfId="0" applyNumberFormat="1" applyFont="1" applyBorder="1" applyAlignment="1">
      <alignment vertical="center" wrapText="1"/>
    </xf>
    <xf numFmtId="49" fontId="16" fillId="0" borderId="1" xfId="0" applyNumberFormat="1" applyFont="1" applyBorder="1" applyAlignment="1">
      <alignment horizontal="center" vertical="center" wrapText="1"/>
    </xf>
    <xf numFmtId="0" fontId="16" fillId="0" borderId="1" xfId="0" applyNumberFormat="1" applyFont="1" applyBorder="1" applyAlignment="1">
      <alignment horizontal="center" vertical="center" wrapText="1"/>
    </xf>
    <xf numFmtId="49" fontId="16" fillId="0" borderId="1" xfId="0" applyNumberFormat="1" applyFont="1" applyBorder="1" applyAlignment="1">
      <alignment horizontal="left" vertical="center" wrapText="1"/>
    </xf>
    <xf numFmtId="49" fontId="16" fillId="0" borderId="1" xfId="0" applyNumberFormat="1" applyFont="1" applyBorder="1" applyAlignment="1">
      <alignment vertical="center" wrapText="1"/>
    </xf>
    <xf numFmtId="0" fontId="16" fillId="0" borderId="1" xfId="0" applyNumberFormat="1" applyFont="1" applyBorder="1" applyAlignment="1">
      <alignment vertical="center"/>
    </xf>
    <xf numFmtId="0" fontId="16" fillId="0" borderId="1" xfId="0" applyFont="1" applyBorder="1" applyAlignment="1">
      <alignment horizontal="left" vertical="center"/>
    </xf>
    <xf numFmtId="0" fontId="16" fillId="0" borderId="1" xfId="0" applyNumberFormat="1" applyFont="1" applyBorder="1" applyAlignment="1">
      <alignment horizontal="left" vertical="center" wrapText="1"/>
    </xf>
    <xf numFmtId="0" fontId="17" fillId="0" borderId="1" xfId="0" applyNumberFormat="1" applyFont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0" fontId="17" fillId="0" borderId="1" xfId="0" applyNumberFormat="1" applyFont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left" vertical="center" wrapText="1"/>
    </xf>
    <xf numFmtId="0" fontId="17" fillId="0" borderId="1" xfId="0" applyNumberFormat="1" applyFont="1" applyBorder="1" applyAlignment="1">
      <alignment horizontal="left" vertical="center" wrapText="1"/>
    </xf>
    <xf numFmtId="49" fontId="17" fillId="0" borderId="1" xfId="0" applyNumberFormat="1" applyFont="1" applyBorder="1" applyAlignment="1">
      <alignment vertical="center" wrapText="1"/>
    </xf>
    <xf numFmtId="0" fontId="5" fillId="12" borderId="1" xfId="0" applyFont="1" applyFill="1" applyBorder="1" applyAlignment="1">
      <alignment vertical="center"/>
    </xf>
    <xf numFmtId="0" fontId="5" fillId="11" borderId="1" xfId="0" applyFont="1" applyFill="1" applyBorder="1" applyAlignment="1">
      <alignment vertical="center"/>
    </xf>
    <xf numFmtId="0" fontId="5" fillId="18" borderId="1" xfId="0" applyFont="1" applyFill="1" applyBorder="1" applyAlignment="1">
      <alignment vertical="center"/>
    </xf>
    <xf numFmtId="0" fontId="5" fillId="12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18" fillId="18" borderId="1" xfId="0" applyFont="1" applyFill="1" applyBorder="1" applyAlignment="1">
      <alignment horizontal="center" vertical="center"/>
    </xf>
    <xf numFmtId="0" fontId="5" fillId="7" borderId="1" xfId="0" applyNumberFormat="1" applyFont="1" applyFill="1" applyBorder="1" applyAlignment="1"/>
    <xf numFmtId="0" fontId="5" fillId="7" borderId="1" xfId="0" applyFont="1" applyFill="1" applyBorder="1" applyAlignment="1">
      <alignment horizontal="center" vertical="center"/>
    </xf>
    <xf numFmtId="0" fontId="5" fillId="17" borderId="1" xfId="0" applyNumberFormat="1" applyFont="1" applyFill="1" applyBorder="1" applyAlignment="1"/>
    <xf numFmtId="0" fontId="12" fillId="17" borderId="1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vertical="center"/>
    </xf>
    <xf numFmtId="0" fontId="5" fillId="16" borderId="1" xfId="0" applyFont="1" applyFill="1" applyBorder="1" applyAlignment="1">
      <alignment horizontal="center" vertical="center"/>
    </xf>
    <xf numFmtId="0" fontId="18" fillId="16" borderId="1" xfId="0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vertical="center"/>
    </xf>
    <xf numFmtId="0" fontId="8" fillId="0" borderId="1" xfId="0" applyNumberFormat="1" applyFont="1" applyBorder="1" applyAlignment="1">
      <alignment vertical="center" wrapText="1"/>
    </xf>
    <xf numFmtId="0" fontId="12" fillId="7" borderId="1" xfId="0" applyNumberFormat="1" applyFont="1" applyFill="1" applyBorder="1" applyAlignment="1">
      <alignment vertical="center"/>
    </xf>
    <xf numFmtId="0" fontId="17" fillId="16" borderId="1" xfId="0" applyFont="1" applyFill="1" applyBorder="1" applyAlignment="1"/>
    <xf numFmtId="0" fontId="17" fillId="9" borderId="1" xfId="0" applyFont="1" applyFill="1" applyBorder="1" applyAlignment="1"/>
    <xf numFmtId="0" fontId="17" fillId="16" borderId="1" xfId="0" applyNumberFormat="1" applyFont="1" applyFill="1" applyBorder="1" applyAlignment="1">
      <alignment horizontal="center" vertical="center"/>
    </xf>
    <xf numFmtId="0" fontId="19" fillId="16" borderId="1" xfId="0" applyFont="1" applyFill="1" applyBorder="1" applyAlignment="1">
      <alignment horizontal="center"/>
    </xf>
    <xf numFmtId="0" fontId="17" fillId="9" borderId="1" xfId="0" applyNumberFormat="1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/>
    </xf>
    <xf numFmtId="0" fontId="7" fillId="0" borderId="0" xfId="1"/>
    <xf numFmtId="0" fontId="4" fillId="0" borderId="1" xfId="0" applyFont="1" applyBorder="1" applyAlignment="1"/>
    <xf numFmtId="0" fontId="5" fillId="11" borderId="1" xfId="23" applyFont="1" applyFill="1" applyBorder="1" applyAlignment="1">
      <alignment horizontal="center" vertical="center"/>
    </xf>
  </cellXfs>
  <cellStyles count="24">
    <cellStyle name="差 2" xfId="4"/>
    <cellStyle name="差 3" xfId="7"/>
    <cellStyle name="差 4" xfId="9"/>
    <cellStyle name="差 5" xfId="11"/>
    <cellStyle name="差 6" xfId="13"/>
    <cellStyle name="差 7" xfId="15"/>
    <cellStyle name="常规" xfId="0" builtinId="0"/>
    <cellStyle name="常规 10" xfId="23"/>
    <cellStyle name="常规 11" xfId="17"/>
    <cellStyle name="常规 13" xfId="20"/>
    <cellStyle name="常规 2" xfId="1"/>
    <cellStyle name="常规 2 2" xfId="3"/>
    <cellStyle name="常规 2 3" xfId="2"/>
    <cellStyle name="常规 2 4" xfId="18"/>
    <cellStyle name="常规 2 5" xfId="19"/>
    <cellStyle name="常规 2 6" xfId="21"/>
    <cellStyle name="常规 3" xfId="5"/>
    <cellStyle name="常规 3 2" xfId="22"/>
    <cellStyle name="常规 4" xfId="6"/>
    <cellStyle name="常规 5" xfId="8"/>
    <cellStyle name="常规 6" xfId="10"/>
    <cellStyle name="常规 7" xfId="12"/>
    <cellStyle name="常规 8" xfId="14"/>
    <cellStyle name="常规 9" xfId="16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_item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ero_ma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asheng/&#31574;&#21010;/&#25968;&#20540;/&#25968;&#20540;&#35774;&#23450;/&#32844;&#19994;&#23450;&#20301;&#21644;&#25216;&#33021;&#26041;&#21521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urrency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game_equipmen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game_fabao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game_shenbing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</sheetNames>
    <sheetDataSet>
      <sheetData sheetId="0">
        <row r="1">
          <cell r="A1" t="str">
            <v>物品ID
角色碎片10001~11000
装备碎片11001~12000
灵饰碎片12001~13000
涅槃碎片13001~14000
道具14001~15000
精炼16001~16500
主角进阶16501-17000</v>
          </cell>
          <cell r="B1" t="str">
            <v>物品名称
[字符串]</v>
          </cell>
          <cell r="C1" t="str">
            <v>物品描述
不要加引号</v>
          </cell>
        </row>
        <row r="2">
          <cell r="A2" t="str">
            <v>items_id</v>
          </cell>
          <cell r="B2" t="str">
            <v>name</v>
          </cell>
          <cell r="C2" t="str">
            <v>role</v>
          </cell>
        </row>
        <row r="3">
          <cell r="A3" t="str">
            <v>s</v>
          </cell>
          <cell r="B3" t="str">
            <v>s</v>
          </cell>
          <cell r="C3" t="str">
            <v>s</v>
          </cell>
        </row>
        <row r="4">
          <cell r="A4">
            <v>10001</v>
          </cell>
          <cell r="B4" t="str">
            <v>二郎神碎片</v>
          </cell>
          <cell r="C4" t="str">
            <v>集齐120个二郎神碎片可以合成二郎神</v>
          </cell>
        </row>
        <row r="5">
          <cell r="A5">
            <v>10002</v>
          </cell>
          <cell r="B5" t="str">
            <v>哪吒碎片</v>
          </cell>
          <cell r="C5" t="str">
            <v>集齐100个哪吒碎片可以合成哪吒</v>
          </cell>
        </row>
        <row r="6">
          <cell r="A6">
            <v>10003</v>
          </cell>
          <cell r="B6" t="str">
            <v>嫦娥碎片</v>
          </cell>
          <cell r="C6" t="str">
            <v>集齐100个嫦娥碎片可以合成嫦娥</v>
          </cell>
        </row>
        <row r="7">
          <cell r="A7">
            <v>10004</v>
          </cell>
          <cell r="B7" t="str">
            <v>玉皇大帝碎片</v>
          </cell>
          <cell r="C7" t="str">
            <v>集齐80个玉皇大帝碎片可以合成玉皇大帝</v>
          </cell>
        </row>
        <row r="8">
          <cell r="A8">
            <v>10005</v>
          </cell>
          <cell r="B8" t="str">
            <v>王母娘娘碎片</v>
          </cell>
          <cell r="C8" t="str">
            <v>集齐120个王母娘娘碎片可以合成王母娘娘</v>
          </cell>
        </row>
        <row r="9">
          <cell r="A9">
            <v>10006</v>
          </cell>
          <cell r="B9" t="str">
            <v>太白金星碎片</v>
          </cell>
          <cell r="C9" t="str">
            <v>集齐80个太白金星碎片可以合成太白金星</v>
          </cell>
        </row>
        <row r="10">
          <cell r="A10">
            <v>10007</v>
          </cell>
          <cell r="B10" t="str">
            <v>赤脚大仙碎片</v>
          </cell>
          <cell r="C10" t="str">
            <v>集齐80个赤脚大仙碎片可以合成赤脚大仙</v>
          </cell>
        </row>
        <row r="11">
          <cell r="A11">
            <v>10008</v>
          </cell>
          <cell r="B11" t="str">
            <v>托塔天王碎片</v>
          </cell>
          <cell r="C11" t="str">
            <v>集齐100个托塔天王碎片可以合成托塔天王</v>
          </cell>
        </row>
        <row r="12">
          <cell r="A12">
            <v>10009</v>
          </cell>
          <cell r="B12" t="str">
            <v>九天玄女碎片</v>
          </cell>
          <cell r="C12" t="str">
            <v>集齐80个九天玄女碎片可以合成九天玄女</v>
          </cell>
        </row>
        <row r="13">
          <cell r="A13">
            <v>10010</v>
          </cell>
          <cell r="B13" t="str">
            <v>红孩儿碎片</v>
          </cell>
          <cell r="C13" t="str">
            <v>集齐80个红孩儿碎片可以合成红孩儿</v>
          </cell>
        </row>
        <row r="14">
          <cell r="A14">
            <v>10011</v>
          </cell>
          <cell r="B14" t="str">
            <v>铁扇公主碎片</v>
          </cell>
          <cell r="C14" t="str">
            <v>集齐100个铁扇公主碎片可以合成铁扇公主</v>
          </cell>
        </row>
        <row r="15">
          <cell r="A15">
            <v>10012</v>
          </cell>
          <cell r="B15" t="str">
            <v>牛魔王碎片</v>
          </cell>
          <cell r="C15" t="str">
            <v>集齐100个牛魔王碎片可以合成牛魔王</v>
          </cell>
        </row>
        <row r="16">
          <cell r="A16">
            <v>10013</v>
          </cell>
          <cell r="B16" t="str">
            <v>虎力大仙碎片</v>
          </cell>
          <cell r="C16" t="str">
            <v>集齐100个虎力大仙碎片可以合成虎力大仙</v>
          </cell>
        </row>
        <row r="17">
          <cell r="A17">
            <v>10014</v>
          </cell>
          <cell r="B17" t="str">
            <v>鹿力大仙碎片</v>
          </cell>
          <cell r="C17" t="str">
            <v>集齐80个鹿力大仙碎片可以合成鹿力大仙</v>
          </cell>
        </row>
        <row r="18">
          <cell r="A18">
            <v>10015</v>
          </cell>
          <cell r="B18" t="str">
            <v>羊力大仙碎片</v>
          </cell>
          <cell r="C18" t="str">
            <v>集齐100个羊力大仙碎片可以合成羊力大仙</v>
          </cell>
        </row>
        <row r="19">
          <cell r="A19">
            <v>10016</v>
          </cell>
          <cell r="B19" t="str">
            <v>白骨夫人碎片</v>
          </cell>
          <cell r="C19" t="str">
            <v>集齐80个白骨夫人碎片可以合成白骨夫人</v>
          </cell>
        </row>
        <row r="20">
          <cell r="A20">
            <v>10017</v>
          </cell>
          <cell r="B20" t="str">
            <v>六耳猕猴碎片</v>
          </cell>
          <cell r="C20" t="str">
            <v>集齐80个六耳猕猴碎片可以合成六耳猕猴</v>
          </cell>
        </row>
        <row r="21">
          <cell r="A21">
            <v>10018</v>
          </cell>
          <cell r="B21" t="str">
            <v>混沌碎片</v>
          </cell>
          <cell r="C21" t="str">
            <v>集齐40个混沌碎片可以合成混沌</v>
          </cell>
        </row>
        <row r="22">
          <cell r="A22">
            <v>10019</v>
          </cell>
          <cell r="B22" t="str">
            <v>孙悟空碎片</v>
          </cell>
          <cell r="C22" t="str">
            <v>集齐120个孙悟空碎片可以合成孙悟空</v>
          </cell>
        </row>
        <row r="23">
          <cell r="A23">
            <v>10020</v>
          </cell>
          <cell r="B23" t="str">
            <v>猪八戒碎片</v>
          </cell>
          <cell r="C23" t="str">
            <v>集齐100个猪八戒碎片可以合成猪八戒</v>
          </cell>
        </row>
        <row r="24">
          <cell r="A24">
            <v>10021</v>
          </cell>
          <cell r="B24" t="str">
            <v>紫霞仙子碎片</v>
          </cell>
          <cell r="C24" t="str">
            <v>集齐120个紫霞仙子碎片可以合成紫霞仙子</v>
          </cell>
        </row>
        <row r="25">
          <cell r="A25">
            <v>10022</v>
          </cell>
          <cell r="B25" t="str">
            <v>唐三藏碎片</v>
          </cell>
          <cell r="C25" t="str">
            <v>集齐80个唐三藏碎片可以合成唐三藏</v>
          </cell>
        </row>
        <row r="26">
          <cell r="A26">
            <v>10023</v>
          </cell>
          <cell r="B26" t="str">
            <v>小白龙碎片</v>
          </cell>
          <cell r="C26" t="str">
            <v>集齐80个小白龙碎片可以合成小白龙</v>
          </cell>
        </row>
        <row r="27">
          <cell r="A27">
            <v>10024</v>
          </cell>
          <cell r="B27" t="str">
            <v>沙和尚碎片</v>
          </cell>
          <cell r="C27" t="str">
            <v>集齐120个沙和尚碎片可以合成沙和尚</v>
          </cell>
        </row>
        <row r="28">
          <cell r="A28">
            <v>10025</v>
          </cell>
          <cell r="B28" t="str">
            <v>迦叶碎片</v>
          </cell>
          <cell r="C28" t="str">
            <v>集齐80个迦叶碎片可以合成迦叶</v>
          </cell>
        </row>
        <row r="29">
          <cell r="A29">
            <v>10026</v>
          </cell>
          <cell r="B29" t="str">
            <v>文殊菩萨碎片</v>
          </cell>
          <cell r="C29" t="str">
            <v>集齐80个文殊菩萨碎片可以合成文殊菩萨</v>
          </cell>
        </row>
        <row r="30">
          <cell r="A30">
            <v>10027</v>
          </cell>
          <cell r="B30" t="str">
            <v>弥勒佛碎片</v>
          </cell>
          <cell r="C30" t="str">
            <v>集齐100个弥勒佛碎片可以合成弥勒佛</v>
          </cell>
        </row>
        <row r="31">
          <cell r="A31">
            <v>10028</v>
          </cell>
          <cell r="B31" t="str">
            <v>赛太岁碎片</v>
          </cell>
          <cell r="C31" t="str">
            <v>集齐40个赛太岁碎片可以合成赛太岁</v>
          </cell>
        </row>
        <row r="32">
          <cell r="A32">
            <v>10030</v>
          </cell>
          <cell r="B32" t="str">
            <v>地藏王碎片</v>
          </cell>
          <cell r="C32" t="str">
            <v>集齐40个地藏王碎片可以合成地藏王</v>
          </cell>
        </row>
        <row r="33">
          <cell r="A33">
            <v>10031</v>
          </cell>
          <cell r="B33" t="str">
            <v>蝎子精碎片</v>
          </cell>
          <cell r="C33" t="str">
            <v>集齐80个蝎子精碎片可以合成蝎子精</v>
          </cell>
        </row>
        <row r="34">
          <cell r="A34">
            <v>10032</v>
          </cell>
          <cell r="B34" t="str">
            <v>混世魔王碎片</v>
          </cell>
          <cell r="C34" t="str">
            <v>集齐80个混世魔王碎片可以合成混世魔王</v>
          </cell>
        </row>
        <row r="35">
          <cell r="A35">
            <v>10033</v>
          </cell>
          <cell r="B35" t="str">
            <v>雷公碎片</v>
          </cell>
          <cell r="C35" t="str">
            <v>集齐40个雷公碎片可以合成雷公</v>
          </cell>
        </row>
        <row r="36">
          <cell r="A36">
            <v>10034</v>
          </cell>
          <cell r="B36" t="str">
            <v>泾河龙王碎片</v>
          </cell>
          <cell r="C36" t="str">
            <v>集齐40个泾河龙王碎片可以合成泾河龙王</v>
          </cell>
        </row>
        <row r="37">
          <cell r="A37">
            <v>10035</v>
          </cell>
          <cell r="B37" t="str">
            <v>东海龙王碎片</v>
          </cell>
          <cell r="C37" t="str">
            <v>集齐80个东海龙王碎片可以合成东海龙王</v>
          </cell>
        </row>
        <row r="38">
          <cell r="A38">
            <v>10036</v>
          </cell>
          <cell r="B38" t="str">
            <v>白龙公主碎片</v>
          </cell>
          <cell r="C38" t="str">
            <v>集齐40个白龙公主碎片可以合成白龙公主</v>
          </cell>
        </row>
        <row r="39">
          <cell r="A39">
            <v>10037</v>
          </cell>
          <cell r="B39" t="str">
            <v>蜘蛛精碎片</v>
          </cell>
          <cell r="C39" t="str">
            <v>集齐80个蜘蛛精碎片可以合成蜘蛛精</v>
          </cell>
        </row>
        <row r="40">
          <cell r="A40">
            <v>10038</v>
          </cell>
          <cell r="B40" t="str">
            <v>玉面夫人碎片</v>
          </cell>
          <cell r="C40" t="str">
            <v>集齐40个玉面夫人碎片可以合成玉面夫人</v>
          </cell>
        </row>
        <row r="41">
          <cell r="A41">
            <v>10039</v>
          </cell>
          <cell r="B41" t="str">
            <v>金钱豹王碎片</v>
          </cell>
          <cell r="C41" t="str">
            <v>集齐40个金钱豹王碎片可以合成金钱豹王</v>
          </cell>
        </row>
        <row r="42">
          <cell r="A42">
            <v>10040</v>
          </cell>
          <cell r="B42" t="str">
            <v>墨鱼精碎片</v>
          </cell>
          <cell r="C42" t="str">
            <v>集齐40个墨鱼精碎片可以合成墨鱼精</v>
          </cell>
        </row>
        <row r="43">
          <cell r="A43">
            <v>10041</v>
          </cell>
          <cell r="B43" t="str">
            <v>玉兔碎片</v>
          </cell>
          <cell r="C43" t="str">
            <v>集齐40个玉兔碎片可以合成玉兔</v>
          </cell>
        </row>
        <row r="44">
          <cell r="A44">
            <v>10042</v>
          </cell>
          <cell r="B44" t="str">
            <v>狮人-光启碎片</v>
          </cell>
          <cell r="C44" t="str">
            <v>集齐10个狮人-光启碎片可以合成狮人-光启</v>
          </cell>
        </row>
        <row r="45">
          <cell r="A45">
            <v>10043</v>
          </cell>
          <cell r="B45" t="str">
            <v>狮人-立辉碎片</v>
          </cell>
          <cell r="C45" t="str">
            <v>集齐10个狮人-立辉碎片可以合成狮人-立辉</v>
          </cell>
        </row>
        <row r="46">
          <cell r="A46">
            <v>10046</v>
          </cell>
          <cell r="B46" t="str">
            <v>石人-博达碎片</v>
          </cell>
          <cell r="C46" t="str">
            <v>集齐10个石人-博达碎片可以合成石人-博达</v>
          </cell>
        </row>
        <row r="47">
          <cell r="A47">
            <v>10047</v>
          </cell>
          <cell r="B47" t="str">
            <v>石人-离落碎片</v>
          </cell>
          <cell r="C47" t="str">
            <v>集齐10个石人-离落碎片可以合成石人-离落</v>
          </cell>
        </row>
        <row r="48">
          <cell r="A48">
            <v>10048</v>
          </cell>
          <cell r="B48" t="str">
            <v>石人-安和碎片</v>
          </cell>
          <cell r="C48" t="str">
            <v>集齐10个石人-安和碎片可以合成石人-安和</v>
          </cell>
        </row>
        <row r="49">
          <cell r="A49">
            <v>10052</v>
          </cell>
          <cell r="B49" t="str">
            <v>黑熊精碎片</v>
          </cell>
          <cell r="C49" t="str">
            <v>集齐40个黑熊精碎片可以合成黑熊精</v>
          </cell>
        </row>
        <row r="50">
          <cell r="A50">
            <v>10053</v>
          </cell>
          <cell r="B50" t="str">
            <v>夜叉-金利碎片</v>
          </cell>
          <cell r="C50" t="str">
            <v>集齐10个夜叉-金利碎片可以合成夜叉-金利</v>
          </cell>
        </row>
        <row r="51">
          <cell r="A51">
            <v>10054</v>
          </cell>
          <cell r="B51" t="str">
            <v>夜叉-碧涛碎片</v>
          </cell>
          <cell r="C51" t="str">
            <v>集齐10个夜叉-碧涛碎片可以合成夜叉-碧涛</v>
          </cell>
        </row>
        <row r="52">
          <cell r="A52">
            <v>10055</v>
          </cell>
          <cell r="B52" t="str">
            <v>蟒精-雅芙碎片</v>
          </cell>
          <cell r="C52" t="str">
            <v>集齐10个蟒精-雅芙碎片可以合成蟒精-雅芙</v>
          </cell>
        </row>
        <row r="53">
          <cell r="A53">
            <v>10056</v>
          </cell>
          <cell r="B53" t="str">
            <v>蟒精-依娜碎片</v>
          </cell>
          <cell r="C53" t="str">
            <v>集齐10个蟒精-依娜碎片可以合成蟒精-依娜</v>
          </cell>
        </row>
        <row r="54">
          <cell r="A54">
            <v>10057</v>
          </cell>
          <cell r="B54" t="str">
            <v>狐狸-优璇碎片</v>
          </cell>
          <cell r="C54" t="str">
            <v>集齐10个狐狸-优璇碎片可以合成狐狸-优璇</v>
          </cell>
        </row>
        <row r="55">
          <cell r="A55">
            <v>10058</v>
          </cell>
          <cell r="B55" t="str">
            <v>狐狸-茹雪碎片</v>
          </cell>
          <cell r="C55" t="str">
            <v>集齐10个狐狸-茹雪碎片可以合成狐狸-茹雪</v>
          </cell>
        </row>
        <row r="56">
          <cell r="A56">
            <v>10059</v>
          </cell>
          <cell r="B56" t="str">
            <v>狐狸-若火碎片</v>
          </cell>
          <cell r="C56" t="str">
            <v>集齐10个狐狸-若火碎片可以合成狐狸-若火</v>
          </cell>
        </row>
        <row r="57">
          <cell r="A57">
            <v>10062</v>
          </cell>
          <cell r="B57" t="str">
            <v>鲛人-嫦曦碎片</v>
          </cell>
          <cell r="C57" t="str">
            <v>集齐10个鲛人-嫦曦碎片可以合成鲛人-嫦曦</v>
          </cell>
        </row>
        <row r="58">
          <cell r="A58">
            <v>10063</v>
          </cell>
          <cell r="B58" t="str">
            <v>鲛人-月婵碎片</v>
          </cell>
          <cell r="C58" t="str">
            <v>集齐10个鲛人-月婵碎片可以合成鲛人-月婵</v>
          </cell>
        </row>
        <row r="59">
          <cell r="A59">
            <v>10064</v>
          </cell>
          <cell r="B59" t="str">
            <v>天兵-金斌碎片</v>
          </cell>
          <cell r="C59" t="str">
            <v>集齐10个天兵-金斌碎片可以合成天兵-金斌</v>
          </cell>
        </row>
        <row r="60">
          <cell r="A60">
            <v>10065</v>
          </cell>
          <cell r="B60" t="str">
            <v>天兵-政仲碎片</v>
          </cell>
          <cell r="C60" t="str">
            <v>集齐10个天兵-政仲碎片可以合成天兵-政仲</v>
          </cell>
        </row>
        <row r="61">
          <cell r="A61">
            <v>10066</v>
          </cell>
          <cell r="B61" t="str">
            <v>天兵-火夕碎片</v>
          </cell>
          <cell r="C61" t="str">
            <v>集齐10个天兵-火夕碎片可以合成天兵-火夕</v>
          </cell>
        </row>
        <row r="62">
          <cell r="A62">
            <v>10067</v>
          </cell>
          <cell r="B62" t="str">
            <v>狼人-霍金碎片</v>
          </cell>
          <cell r="C62" t="str">
            <v>集齐10个狼人-霍金碎片可以合成狼人-霍金</v>
          </cell>
        </row>
        <row r="63">
          <cell r="A63">
            <v>10068</v>
          </cell>
          <cell r="B63" t="str">
            <v>狼人-霍文碎片</v>
          </cell>
          <cell r="C63" t="str">
            <v>集齐10个狼人-霍文碎片可以合成狼人-霍文</v>
          </cell>
        </row>
        <row r="64">
          <cell r="A64">
            <v>10069</v>
          </cell>
          <cell r="B64" t="str">
            <v>狼人-霍达碎片</v>
          </cell>
          <cell r="C64" t="str">
            <v>集齐10个狼人-霍达碎片可以合成狼人-霍达</v>
          </cell>
        </row>
        <row r="65">
          <cell r="A65">
            <v>10070</v>
          </cell>
          <cell r="B65" t="str">
            <v>狼人-霍格碎片</v>
          </cell>
          <cell r="C65" t="str">
            <v>集齐10个狼人-霍格碎片可以合成狼人-霍格</v>
          </cell>
        </row>
        <row r="66">
          <cell r="A66">
            <v>10071</v>
          </cell>
          <cell r="B66" t="str">
            <v>狼人-霍武碎片</v>
          </cell>
          <cell r="C66" t="str">
            <v>集齐10个狼人-霍武碎片可以合成狼人-霍武</v>
          </cell>
        </row>
        <row r="67">
          <cell r="A67">
            <v>10076</v>
          </cell>
          <cell r="B67" t="str">
            <v>骷髅-德明碎片</v>
          </cell>
          <cell r="C67" t="str">
            <v>集齐10个骷髅-德明碎片可以合成骷髅-德明</v>
          </cell>
        </row>
        <row r="68">
          <cell r="A68">
            <v>10077</v>
          </cell>
          <cell r="B68" t="str">
            <v>骷髅-奇伟碎片</v>
          </cell>
          <cell r="C68" t="str">
            <v>集齐10个骷髅-奇伟碎片可以合成骷髅-奇伟</v>
          </cell>
        </row>
        <row r="69">
          <cell r="A69">
            <v>10078</v>
          </cell>
          <cell r="B69" t="str">
            <v>骷髅-德元碎片</v>
          </cell>
          <cell r="C69" t="str">
            <v>集齐10个骷髅-德元碎片可以合成骷髅-德元</v>
          </cell>
        </row>
        <row r="70">
          <cell r="A70">
            <v>10079</v>
          </cell>
          <cell r="B70" t="str">
            <v>骷髅-彭泽碎片</v>
          </cell>
          <cell r="C70" t="str">
            <v>集齐10个骷髅-彭泽碎片可以合成骷髅-彭泽</v>
          </cell>
        </row>
        <row r="71">
          <cell r="A71">
            <v>10080</v>
          </cell>
          <cell r="B71" t="str">
            <v>蜘蛛-元瑶碎片</v>
          </cell>
          <cell r="C71" t="str">
            <v>集齐10个蜘蛛-元瑶碎片可以合成蜘蛛-元瑶</v>
          </cell>
        </row>
        <row r="72">
          <cell r="A72">
            <v>10081</v>
          </cell>
          <cell r="B72" t="str">
            <v>蜘蛛-怜寒碎片</v>
          </cell>
          <cell r="C72" t="str">
            <v>集齐10个蜘蛛-怜寒碎片可以合成蜘蛛-怜寒</v>
          </cell>
        </row>
        <row r="73">
          <cell r="A73">
            <v>10082</v>
          </cell>
          <cell r="B73" t="str">
            <v>蜘蛛-盼香碎片</v>
          </cell>
          <cell r="C73" t="str">
            <v>集齐10个蜘蛛-盼香碎片可以合成蜘蛛-盼香</v>
          </cell>
        </row>
        <row r="74">
          <cell r="A74">
            <v>10085</v>
          </cell>
          <cell r="B74" t="str">
            <v>女鬼-歆瑶碎片</v>
          </cell>
          <cell r="C74" t="str">
            <v>集齐10个女鬼-歆瑶碎片可以合成女鬼-歆瑶</v>
          </cell>
        </row>
        <row r="75">
          <cell r="A75">
            <v>10086</v>
          </cell>
          <cell r="B75" t="str">
            <v>女鬼-桑榆碎片</v>
          </cell>
          <cell r="C75" t="str">
            <v>集齐10个女鬼-桑榆碎片可以合成女鬼-桑榆</v>
          </cell>
        </row>
        <row r="76">
          <cell r="A76">
            <v>10087</v>
          </cell>
          <cell r="B76" t="str">
            <v>女鬼-语嫣碎片</v>
          </cell>
          <cell r="C76" t="str">
            <v>集齐10个女鬼-语嫣碎片可以合成女鬼-语嫣</v>
          </cell>
        </row>
        <row r="77">
          <cell r="A77">
            <v>10088</v>
          </cell>
          <cell r="B77" t="str">
            <v>女鬼-凌菲碎片</v>
          </cell>
          <cell r="C77" t="str">
            <v>集齐10个女鬼-凌菲碎片可以合成女鬼-凌菲</v>
          </cell>
        </row>
        <row r="78">
          <cell r="A78">
            <v>10092</v>
          </cell>
          <cell r="B78" t="str">
            <v>琴仙碎片</v>
          </cell>
          <cell r="C78" t="str">
            <v>集齐40个琴仙碎片可以合成琴仙</v>
          </cell>
        </row>
        <row r="79">
          <cell r="A79">
            <v>10093</v>
          </cell>
          <cell r="B79" t="str">
            <v>猴兵碎片</v>
          </cell>
          <cell r="C79" t="str">
            <v>集齐10个猴兵碎片可以合成猴兵</v>
          </cell>
        </row>
        <row r="80">
          <cell r="A80">
            <v>10094</v>
          </cell>
          <cell r="B80" t="str">
            <v>山贼碎片</v>
          </cell>
          <cell r="C80" t="str">
            <v>集齐10个山贼碎片可以合成山贼</v>
          </cell>
        </row>
        <row r="81">
          <cell r="A81">
            <v>10101</v>
          </cell>
          <cell r="B81" t="str">
            <v>阎罗王碎片</v>
          </cell>
          <cell r="C81" t="str">
            <v>集齐80个阎罗王碎片可以合成阎罗王</v>
          </cell>
        </row>
        <row r="82">
          <cell r="A82">
            <v>10102</v>
          </cell>
          <cell r="B82" t="str">
            <v>人参娃碎片</v>
          </cell>
          <cell r="C82" t="str">
            <v>集齐80个人参娃碎片可以合成人参娃</v>
          </cell>
        </row>
        <row r="83">
          <cell r="A83">
            <v>10103</v>
          </cell>
          <cell r="B83" t="str">
            <v>鬼使黑碎片</v>
          </cell>
          <cell r="C83" t="str">
            <v>集齐40个鬼使黑碎片可以合成鬼使黑</v>
          </cell>
        </row>
        <row r="84">
          <cell r="A84">
            <v>10104</v>
          </cell>
          <cell r="B84" t="str">
            <v>鬼使白碎片</v>
          </cell>
          <cell r="C84" t="str">
            <v>集齐40个鬼使白碎片可以合成鬼使白</v>
          </cell>
        </row>
        <row r="85">
          <cell r="A85">
            <v>10105</v>
          </cell>
          <cell r="B85" t="str">
            <v>马面碎片</v>
          </cell>
          <cell r="C85" t="str">
            <v>集齐40个马面碎片可以合成马面</v>
          </cell>
        </row>
        <row r="86">
          <cell r="A86">
            <v>10106</v>
          </cell>
          <cell r="B86" t="str">
            <v>牛头碎片</v>
          </cell>
          <cell r="C86" t="str">
            <v>集齐40个牛头碎片可以合成牛头</v>
          </cell>
        </row>
        <row r="87">
          <cell r="A87">
            <v>10107</v>
          </cell>
          <cell r="B87" t="str">
            <v>引魂仙子碎片</v>
          </cell>
          <cell r="C87" t="str">
            <v>集齐80个引魂仙子碎片可以合成引魂仙子</v>
          </cell>
        </row>
        <row r="88">
          <cell r="A88">
            <v>10108</v>
          </cell>
          <cell r="B88" t="str">
            <v>彩蝶仙童碎片</v>
          </cell>
          <cell r="C88" t="str">
            <v>集齐80个彩蝶仙童碎片可以合成彩蝶仙童</v>
          </cell>
        </row>
        <row r="89">
          <cell r="A89">
            <v>10111</v>
          </cell>
          <cell r="B89" t="str">
            <v>斗战胜佛碎片</v>
          </cell>
          <cell r="C89" t="str">
            <v>集齐120个斗战胜佛碎片可以合成斗战胜佛</v>
          </cell>
        </row>
        <row r="90">
          <cell r="A90">
            <v>10112</v>
          </cell>
          <cell r="B90" t="str">
            <v>金蝉子碎片</v>
          </cell>
          <cell r="C90" t="str">
            <v>集齐100个金蝉子碎片可以合成金蝉子</v>
          </cell>
        </row>
        <row r="91">
          <cell r="A91">
            <v>10113</v>
          </cell>
          <cell r="B91" t="str">
            <v>龙帝碎片</v>
          </cell>
          <cell r="C91" t="str">
            <v>集齐100个龙帝碎片可以合成龙帝</v>
          </cell>
        </row>
        <row r="92">
          <cell r="A92">
            <v>10114</v>
          </cell>
          <cell r="B92" t="str">
            <v>八部天龙碎片</v>
          </cell>
          <cell r="C92" t="str">
            <v>集齐100个八部天龙碎片可以合成八部天龙</v>
          </cell>
        </row>
        <row r="93">
          <cell r="A93">
            <v>10115</v>
          </cell>
          <cell r="B93" t="str">
            <v>观世音碎片</v>
          </cell>
          <cell r="C93" t="str">
            <v>集齐100个观世音碎片可以合成观世音</v>
          </cell>
        </row>
        <row r="94">
          <cell r="A94">
            <v>10116</v>
          </cell>
          <cell r="B94" t="str">
            <v>女儿国国王碎片</v>
          </cell>
          <cell r="C94" t="str">
            <v>集齐80个女儿国国王碎片可以合成女儿国国王</v>
          </cell>
        </row>
        <row r="95">
          <cell r="A95">
            <v>10117</v>
          </cell>
          <cell r="B95" t="str">
            <v>虾兵碎片</v>
          </cell>
          <cell r="C95" t="str">
            <v>集齐10个虾兵碎片可以合成虾兵</v>
          </cell>
        </row>
        <row r="96">
          <cell r="A96">
            <v>10118</v>
          </cell>
          <cell r="B96" t="str">
            <v>白无常碎片</v>
          </cell>
          <cell r="C96" t="str">
            <v>集齐100个白无常碎片可以合成白无常</v>
          </cell>
        </row>
        <row r="97">
          <cell r="A97">
            <v>10119</v>
          </cell>
          <cell r="B97" t="str">
            <v>黑无常碎片</v>
          </cell>
          <cell r="C97" t="str">
            <v>集齐100个黑无常碎片可以合成黑无常</v>
          </cell>
        </row>
        <row r="98">
          <cell r="A98">
            <v>10120</v>
          </cell>
          <cell r="B98" t="str">
            <v>九头虫碎片</v>
          </cell>
          <cell r="C98" t="str">
            <v>集齐120个九头虫碎片可以合成九头虫</v>
          </cell>
        </row>
        <row r="99">
          <cell r="A99">
            <v>10121</v>
          </cell>
          <cell r="B99" t="str">
            <v>镇元大仙碎片</v>
          </cell>
          <cell r="C99" t="str">
            <v>集齐120个镇元大仙碎片可以合成镇元大仙</v>
          </cell>
        </row>
        <row r="100">
          <cell r="A100">
            <v>10122</v>
          </cell>
          <cell r="B100" t="str">
            <v>如来佛祖碎片</v>
          </cell>
          <cell r="C100" t="str">
            <v>集齐120个如来佛祖碎片可以合成如来佛祖</v>
          </cell>
        </row>
        <row r="101">
          <cell r="A101">
            <v>10123</v>
          </cell>
          <cell r="B101" t="str">
            <v>孔雀大明王碎片</v>
          </cell>
          <cell r="C101" t="str">
            <v>集齐120个孔雀大明王碎片可以合成孔雀大明王</v>
          </cell>
        </row>
        <row r="102">
          <cell r="A102">
            <v>10124</v>
          </cell>
          <cell r="B102" t="str">
            <v>观世音碎片(废弃)</v>
          </cell>
          <cell r="C102" t="str">
            <v>集齐100个观世音碎片可以合成观世音</v>
          </cell>
        </row>
        <row r="103">
          <cell r="A103">
            <v>10125</v>
          </cell>
          <cell r="B103" t="str">
            <v>观世阴碎片</v>
          </cell>
          <cell r="C103" t="str">
            <v>集齐120个观世阴碎片可以合成观世阴</v>
          </cell>
        </row>
        <row r="104">
          <cell r="A104">
            <v>10126</v>
          </cell>
          <cell r="B104" t="str">
            <v>扇子精碎片</v>
          </cell>
          <cell r="C104" t="str">
            <v>集齐40个扇子精碎片可以合成扇子精</v>
          </cell>
        </row>
        <row r="105">
          <cell r="A105">
            <v>10127</v>
          </cell>
          <cell r="B105" t="str">
            <v>太上老君碎片</v>
          </cell>
          <cell r="C105" t="str">
            <v>集齐120个太上老君碎片可以合成太上老君</v>
          </cell>
        </row>
        <row r="106">
          <cell r="A106">
            <v>10401</v>
          </cell>
          <cell r="B106" t="str">
            <v>侍女碎片</v>
          </cell>
          <cell r="C106" t="str">
            <v>集齐10个侍女碎片可以合成侍女</v>
          </cell>
        </row>
        <row r="107">
          <cell r="A107">
            <v>10402</v>
          </cell>
          <cell r="B107" t="str">
            <v>强盗碎片</v>
          </cell>
          <cell r="C107" t="str">
            <v>集齐10个强盗碎片可以合成强盗</v>
          </cell>
        </row>
        <row r="108">
          <cell r="A108">
            <v>10403</v>
          </cell>
          <cell r="B108" t="str">
            <v>野猪怪碎片</v>
          </cell>
          <cell r="C108" t="str">
            <v>集齐10个野猪怪碎片可以合成野猪怪</v>
          </cell>
        </row>
        <row r="109">
          <cell r="A109">
            <v>10404</v>
          </cell>
          <cell r="B109" t="str">
            <v>蟹将碎片</v>
          </cell>
          <cell r="C109" t="str">
            <v>集齐40个蟹将碎片可以合成蟹将</v>
          </cell>
        </row>
        <row r="110">
          <cell r="A110">
            <v>10405</v>
          </cell>
          <cell r="B110" t="str">
            <v>狂豹碎片</v>
          </cell>
          <cell r="C110" t="str">
            <v>集齐10个狂豹碎片可以合成狂豹</v>
          </cell>
        </row>
        <row r="111">
          <cell r="A111">
            <v>10406</v>
          </cell>
          <cell r="B111" t="str">
            <v>护卫碎片</v>
          </cell>
          <cell r="C111" t="str">
            <v>集齐10个护卫碎片可以合成护卫</v>
          </cell>
        </row>
        <row r="112">
          <cell r="A112">
            <v>10407</v>
          </cell>
          <cell r="B112" t="str">
            <v>龟丞相碎片</v>
          </cell>
          <cell r="C112" t="str">
            <v>集齐10个龟丞相碎片可以合成龟丞相</v>
          </cell>
        </row>
        <row r="113">
          <cell r="A113">
            <v>10408</v>
          </cell>
          <cell r="B113" t="str">
            <v>炎魔碎片</v>
          </cell>
          <cell r="C113" t="str">
            <v>集齐10个炎魔碎片可以合成炎魔</v>
          </cell>
        </row>
        <row r="114">
          <cell r="A114">
            <v>10409</v>
          </cell>
          <cell r="B114" t="str">
            <v>天将碎片</v>
          </cell>
          <cell r="C114" t="str">
            <v>集齐10个天将碎片可以合成天将</v>
          </cell>
        </row>
        <row r="115">
          <cell r="A115">
            <v>11001</v>
          </cell>
          <cell r="B115" t="str">
            <v>赤血战甲碎片</v>
          </cell>
          <cell r="C115" t="str">
            <v>20个赤血战甲碎片可合成赤血战甲</v>
          </cell>
        </row>
        <row r="116">
          <cell r="A116">
            <v>11002</v>
          </cell>
          <cell r="B116" t="str">
            <v>青锋长剑碎片</v>
          </cell>
          <cell r="C116" t="str">
            <v>20个青锋长剑碎片可合成青锋长剑</v>
          </cell>
        </row>
        <row r="117">
          <cell r="A117">
            <v>11003</v>
          </cell>
          <cell r="B117" t="str">
            <v>雁虞头盔碎片</v>
          </cell>
          <cell r="C117" t="str">
            <v>20个雁虞头盔碎片可合成雁虞头盔</v>
          </cell>
        </row>
        <row r="118">
          <cell r="A118">
            <v>11004</v>
          </cell>
          <cell r="B118" t="str">
            <v>无影战靴碎片</v>
          </cell>
          <cell r="C118" t="str">
            <v>20个无影战靴碎片可合成无影战靴</v>
          </cell>
        </row>
        <row r="119">
          <cell r="A119">
            <v>11005</v>
          </cell>
          <cell r="B119" t="str">
            <v>破魔战甲碎片</v>
          </cell>
          <cell r="C119" t="str">
            <v>20个破魔战甲碎片可合成破魔战甲</v>
          </cell>
        </row>
        <row r="120">
          <cell r="A120">
            <v>11006</v>
          </cell>
          <cell r="B120" t="str">
            <v>破魔长剑碎片</v>
          </cell>
          <cell r="C120" t="str">
            <v>20个破魔长剑碎片可合成破魔长剑</v>
          </cell>
        </row>
        <row r="121">
          <cell r="A121">
            <v>11007</v>
          </cell>
          <cell r="B121" t="str">
            <v>破魔头盔碎片</v>
          </cell>
          <cell r="C121" t="str">
            <v>20个破魔头盔碎片可合成破魔头盔</v>
          </cell>
        </row>
        <row r="122">
          <cell r="A122">
            <v>11008</v>
          </cell>
          <cell r="B122" t="str">
            <v>破魔战靴碎片</v>
          </cell>
          <cell r="C122" t="str">
            <v>20个破魔战靴碎片可合成破魔战靴</v>
          </cell>
        </row>
        <row r="123">
          <cell r="A123">
            <v>11009</v>
          </cell>
          <cell r="B123" t="str">
            <v>护卫战甲碎片</v>
          </cell>
          <cell r="C123" t="str">
            <v>20个护卫战甲碎片可合成护卫战甲</v>
          </cell>
        </row>
        <row r="124">
          <cell r="A124">
            <v>11010</v>
          </cell>
          <cell r="B124" t="str">
            <v>护卫长剑碎片</v>
          </cell>
          <cell r="C124" t="str">
            <v>20个护卫长剑碎片可合成护卫长剑</v>
          </cell>
        </row>
        <row r="125">
          <cell r="A125">
            <v>11011</v>
          </cell>
          <cell r="B125" t="str">
            <v>护卫头盔碎片</v>
          </cell>
          <cell r="C125" t="str">
            <v>20个护卫头盔碎片可合成护卫头盔</v>
          </cell>
        </row>
        <row r="126">
          <cell r="A126">
            <v>11012</v>
          </cell>
          <cell r="B126" t="str">
            <v>护卫战靴碎片</v>
          </cell>
          <cell r="C126" t="str">
            <v>20个护卫战靴碎片可合成护卫战靴</v>
          </cell>
        </row>
        <row r="127">
          <cell r="A127">
            <v>11013</v>
          </cell>
          <cell r="B127" t="str">
            <v>连云战甲碎片</v>
          </cell>
          <cell r="C127" t="str">
            <v>30个连云战甲碎片可合成连云战甲</v>
          </cell>
        </row>
        <row r="128">
          <cell r="A128">
            <v>11014</v>
          </cell>
          <cell r="B128" t="str">
            <v>紫阳长剑碎片</v>
          </cell>
          <cell r="C128" t="str">
            <v>30个紫阳长剑碎片可合成紫阳长剑</v>
          </cell>
        </row>
        <row r="129">
          <cell r="A129">
            <v>11015</v>
          </cell>
          <cell r="B129" t="str">
            <v>耀日头盔碎片</v>
          </cell>
          <cell r="C129" t="str">
            <v>30个耀日头盔碎片可合成耀日头盔</v>
          </cell>
        </row>
        <row r="130">
          <cell r="A130">
            <v>11016</v>
          </cell>
          <cell r="B130" t="str">
            <v>雷霆战靴碎片</v>
          </cell>
          <cell r="C130" t="str">
            <v>30个雷霆战靴碎片可合成雷霆战靴</v>
          </cell>
        </row>
        <row r="131">
          <cell r="A131">
            <v>11017</v>
          </cell>
          <cell r="B131" t="str">
            <v>封魔战甲碎片</v>
          </cell>
          <cell r="C131" t="str">
            <v>30个封魔战甲碎片可合成封魔战甲</v>
          </cell>
        </row>
        <row r="132">
          <cell r="A132">
            <v>11018</v>
          </cell>
          <cell r="B132" t="str">
            <v>封魔长剑碎片</v>
          </cell>
          <cell r="C132" t="str">
            <v>30个封魔长剑碎片可合成封魔长剑</v>
          </cell>
        </row>
        <row r="133">
          <cell r="A133">
            <v>11019</v>
          </cell>
          <cell r="B133" t="str">
            <v>封魔头盔碎片</v>
          </cell>
          <cell r="C133" t="str">
            <v>30个封魔头盔碎片可合成封魔头盔</v>
          </cell>
        </row>
        <row r="134">
          <cell r="A134">
            <v>11020</v>
          </cell>
          <cell r="B134" t="str">
            <v>封魔战靴碎片</v>
          </cell>
          <cell r="C134" t="str">
            <v>30个封魔战靴碎片可合成封魔战靴</v>
          </cell>
        </row>
        <row r="135">
          <cell r="A135">
            <v>11021</v>
          </cell>
          <cell r="B135" t="str">
            <v>磐石战甲碎片</v>
          </cell>
          <cell r="C135" t="str">
            <v>30个磐石战甲碎片可合成磐石战甲</v>
          </cell>
        </row>
        <row r="136">
          <cell r="A136">
            <v>11022</v>
          </cell>
          <cell r="B136" t="str">
            <v>磐石长剑碎片</v>
          </cell>
          <cell r="C136" t="str">
            <v>30个磐石长剑碎片可合成磐石长剑</v>
          </cell>
        </row>
        <row r="137">
          <cell r="A137">
            <v>11023</v>
          </cell>
          <cell r="B137" t="str">
            <v>磐石头盔碎片</v>
          </cell>
          <cell r="C137" t="str">
            <v>30个磐石头盔碎片可合成磐石头盔</v>
          </cell>
        </row>
        <row r="138">
          <cell r="A138">
            <v>11024</v>
          </cell>
          <cell r="B138" t="str">
            <v>磐石战靴碎片</v>
          </cell>
          <cell r="C138" t="str">
            <v>30个磐石战靴碎片可合成磐石战靴</v>
          </cell>
        </row>
        <row r="139">
          <cell r="A139">
            <v>11025</v>
          </cell>
          <cell r="B139" t="str">
            <v>血魔战甲碎片</v>
          </cell>
          <cell r="C139" t="str">
            <v>40个血魔战甲碎片可合成血魔战甲</v>
          </cell>
        </row>
        <row r="140">
          <cell r="A140">
            <v>11026</v>
          </cell>
          <cell r="B140" t="str">
            <v>赤霄长剑碎片</v>
          </cell>
          <cell r="C140" t="str">
            <v>40个赤霄长剑碎片可合成赤霄长剑</v>
          </cell>
        </row>
        <row r="141">
          <cell r="A141">
            <v>11027</v>
          </cell>
          <cell r="B141" t="str">
            <v>麒麟头盔碎片</v>
          </cell>
          <cell r="C141" t="str">
            <v>40个麒麟头盔碎片可合成麒麟头盔</v>
          </cell>
        </row>
        <row r="142">
          <cell r="A142">
            <v>11028</v>
          </cell>
          <cell r="B142" t="str">
            <v>兽魂战靴碎片</v>
          </cell>
          <cell r="C142" t="str">
            <v>40个兽魂战靴碎片可合成兽魂战靴</v>
          </cell>
        </row>
        <row r="143">
          <cell r="A143">
            <v>11029</v>
          </cell>
          <cell r="B143" t="str">
            <v>降魔战甲碎片</v>
          </cell>
          <cell r="C143" t="str">
            <v>40个降魔战甲碎片可合成降魔战甲</v>
          </cell>
        </row>
        <row r="144">
          <cell r="A144">
            <v>11030</v>
          </cell>
          <cell r="B144" t="str">
            <v>降魔长剑碎片</v>
          </cell>
          <cell r="C144" t="str">
            <v>40个降魔长剑碎片可合成降魔长剑</v>
          </cell>
        </row>
        <row r="145">
          <cell r="A145">
            <v>11031</v>
          </cell>
          <cell r="B145" t="str">
            <v>降魔头盔碎片</v>
          </cell>
          <cell r="C145" t="str">
            <v>40个降魔头盔碎片可合成降魔头盔</v>
          </cell>
        </row>
        <row r="146">
          <cell r="A146">
            <v>11032</v>
          </cell>
          <cell r="B146" t="str">
            <v>降魔战靴碎片</v>
          </cell>
          <cell r="C146" t="str">
            <v>40个降魔战靴碎片可合成降魔战靴</v>
          </cell>
        </row>
        <row r="147">
          <cell r="A147">
            <v>11033</v>
          </cell>
          <cell r="B147" t="str">
            <v>天罡战甲碎片</v>
          </cell>
          <cell r="C147" t="str">
            <v>40个天罡战甲碎片可合成天罡战甲</v>
          </cell>
        </row>
        <row r="148">
          <cell r="A148">
            <v>11034</v>
          </cell>
          <cell r="B148" t="str">
            <v>天罡长剑碎片</v>
          </cell>
          <cell r="C148" t="str">
            <v>40个天罡长剑碎片可合成天罡长剑</v>
          </cell>
        </row>
        <row r="149">
          <cell r="A149">
            <v>11035</v>
          </cell>
          <cell r="B149" t="str">
            <v>天罡头盔碎片</v>
          </cell>
          <cell r="C149" t="str">
            <v>40个天罡头盔碎片可合成天罡头盔</v>
          </cell>
        </row>
        <row r="150">
          <cell r="A150">
            <v>11036</v>
          </cell>
          <cell r="B150" t="str">
            <v>天罡战靴碎片</v>
          </cell>
          <cell r="C150" t="str">
            <v>40个天罡战靴碎片可合成天罡战靴</v>
          </cell>
        </row>
        <row r="151">
          <cell r="A151">
            <v>11037</v>
          </cell>
          <cell r="B151" t="str">
            <v>蚩尤战甲碎片</v>
          </cell>
          <cell r="C151" t="str">
            <v>60个蚩尤战甲碎片可合成蚩尤战甲</v>
          </cell>
        </row>
        <row r="152">
          <cell r="A152">
            <v>11038</v>
          </cell>
          <cell r="B152" t="str">
            <v>蚩尤长剑碎片</v>
          </cell>
          <cell r="C152" t="str">
            <v>60个蚩尤长剑碎片可合成蚩尤长剑</v>
          </cell>
        </row>
        <row r="153">
          <cell r="A153">
            <v>11039</v>
          </cell>
          <cell r="B153" t="str">
            <v>蚩尤头盔碎片</v>
          </cell>
          <cell r="C153" t="str">
            <v>60个蚩尤头盔碎片可合成蚩尤头盔</v>
          </cell>
        </row>
        <row r="154">
          <cell r="A154">
            <v>11040</v>
          </cell>
          <cell r="B154" t="str">
            <v>蚩尤战靴碎片</v>
          </cell>
          <cell r="C154" t="str">
            <v>60个蚩尤战靴碎片可合成蚩尤战靴</v>
          </cell>
        </row>
        <row r="155">
          <cell r="A155">
            <v>12001</v>
          </cell>
          <cell r="B155" t="str">
            <v>寻音铃碎片壹</v>
          </cell>
          <cell r="C155" t="str">
            <v>寻音铃碎片壹</v>
          </cell>
        </row>
        <row r="156">
          <cell r="A156">
            <v>12002</v>
          </cell>
          <cell r="B156" t="str">
            <v>寻音铃碎片贰</v>
          </cell>
          <cell r="C156" t="str">
            <v>寻音铃碎片贰</v>
          </cell>
        </row>
        <row r="157">
          <cell r="A157">
            <v>12003</v>
          </cell>
          <cell r="B157" t="str">
            <v>寻音铃碎片叁</v>
          </cell>
          <cell r="C157" t="str">
            <v>寻音铃碎片叁</v>
          </cell>
        </row>
        <row r="158">
          <cell r="A158">
            <v>12004</v>
          </cell>
          <cell r="B158" t="str">
            <v>照妖镜碎片壹</v>
          </cell>
          <cell r="C158" t="str">
            <v>照妖镜碎片壹</v>
          </cell>
        </row>
        <row r="159">
          <cell r="A159">
            <v>12005</v>
          </cell>
          <cell r="B159" t="str">
            <v>照妖镜碎片贰</v>
          </cell>
          <cell r="C159" t="str">
            <v>照妖镜碎片贰</v>
          </cell>
        </row>
        <row r="160">
          <cell r="A160">
            <v>12006</v>
          </cell>
          <cell r="B160" t="str">
            <v>照妖镜碎片叁</v>
          </cell>
          <cell r="C160" t="str">
            <v>照妖镜碎片叁</v>
          </cell>
        </row>
        <row r="161">
          <cell r="A161">
            <v>12007</v>
          </cell>
          <cell r="B161" t="str">
            <v>照妖镜碎片壹</v>
          </cell>
          <cell r="C161" t="str">
            <v>照妖镜碎片壹</v>
          </cell>
        </row>
        <row r="162">
          <cell r="A162">
            <v>12008</v>
          </cell>
          <cell r="B162" t="str">
            <v>照妖镜碎片贰</v>
          </cell>
          <cell r="C162" t="str">
            <v>照妖镜碎片贰</v>
          </cell>
        </row>
        <row r="163">
          <cell r="A163">
            <v>12009</v>
          </cell>
          <cell r="B163" t="str">
            <v>照妖镜碎片叁</v>
          </cell>
          <cell r="C163" t="str">
            <v>照妖镜碎片叁</v>
          </cell>
        </row>
        <row r="164">
          <cell r="A164">
            <v>12010</v>
          </cell>
          <cell r="B164" t="str">
            <v>幌金绳碎片壹</v>
          </cell>
          <cell r="C164" t="str">
            <v>幌金绳碎片壹</v>
          </cell>
        </row>
        <row r="165">
          <cell r="A165">
            <v>12011</v>
          </cell>
          <cell r="B165" t="str">
            <v>幌金绳碎片贰</v>
          </cell>
          <cell r="C165" t="str">
            <v>幌金绳碎片贰</v>
          </cell>
        </row>
        <row r="166">
          <cell r="A166">
            <v>12012</v>
          </cell>
          <cell r="B166" t="str">
            <v>幌金绳碎片叁</v>
          </cell>
          <cell r="C166" t="str">
            <v>幌金绳碎片叁</v>
          </cell>
        </row>
        <row r="167">
          <cell r="A167">
            <v>12013</v>
          </cell>
          <cell r="B167" t="str">
            <v>樱月铃碎片壹</v>
          </cell>
          <cell r="C167" t="str">
            <v>樱月铃碎片壹</v>
          </cell>
        </row>
        <row r="168">
          <cell r="A168">
            <v>12014</v>
          </cell>
          <cell r="B168" t="str">
            <v>樱月铃碎片贰</v>
          </cell>
          <cell r="C168" t="str">
            <v>樱月铃碎片贰</v>
          </cell>
        </row>
        <row r="169">
          <cell r="A169">
            <v>12015</v>
          </cell>
          <cell r="B169" t="str">
            <v>樱月铃碎片叁</v>
          </cell>
          <cell r="C169" t="str">
            <v>樱月铃碎片叁</v>
          </cell>
        </row>
        <row r="170">
          <cell r="A170">
            <v>12016</v>
          </cell>
          <cell r="B170" t="str">
            <v>樱月铃碎片肆</v>
          </cell>
          <cell r="C170" t="str">
            <v>樱月铃碎片肆</v>
          </cell>
        </row>
        <row r="171">
          <cell r="A171">
            <v>12017</v>
          </cell>
          <cell r="B171" t="str">
            <v>八卦镜碎片壹</v>
          </cell>
          <cell r="C171" t="str">
            <v>八卦镜碎片壹</v>
          </cell>
        </row>
        <row r="172">
          <cell r="A172">
            <v>12018</v>
          </cell>
          <cell r="B172" t="str">
            <v>八卦镜碎片贰</v>
          </cell>
          <cell r="C172" t="str">
            <v>八卦镜碎片贰</v>
          </cell>
        </row>
        <row r="173">
          <cell r="A173">
            <v>12019</v>
          </cell>
          <cell r="B173" t="str">
            <v>八卦镜碎片叁</v>
          </cell>
          <cell r="C173" t="str">
            <v>八卦镜碎片叁</v>
          </cell>
        </row>
        <row r="174">
          <cell r="A174">
            <v>12020</v>
          </cell>
          <cell r="B174" t="str">
            <v>八卦镜碎片肆</v>
          </cell>
          <cell r="C174" t="str">
            <v>八卦镜碎片肆</v>
          </cell>
        </row>
        <row r="175">
          <cell r="A175">
            <v>12021</v>
          </cell>
          <cell r="B175" t="str">
            <v>迷蝶铃碎片壹</v>
          </cell>
          <cell r="C175" t="str">
            <v>迷蝶铃碎片壹</v>
          </cell>
        </row>
        <row r="176">
          <cell r="A176">
            <v>12022</v>
          </cell>
          <cell r="B176" t="str">
            <v>迷蝶铃碎片贰</v>
          </cell>
          <cell r="C176" t="str">
            <v>迷蝶铃碎片贰</v>
          </cell>
        </row>
        <row r="177">
          <cell r="A177">
            <v>12023</v>
          </cell>
          <cell r="B177" t="str">
            <v>迷蝶铃碎片叁</v>
          </cell>
          <cell r="C177" t="str">
            <v>迷蝶铃碎片叁</v>
          </cell>
        </row>
        <row r="178">
          <cell r="A178">
            <v>12024</v>
          </cell>
          <cell r="B178" t="str">
            <v>迷蝶铃碎片肆</v>
          </cell>
          <cell r="C178" t="str">
            <v>迷蝶铃碎片肆</v>
          </cell>
        </row>
        <row r="179">
          <cell r="A179">
            <v>12025</v>
          </cell>
          <cell r="B179" t="str">
            <v>龙纹镜碎片壹</v>
          </cell>
          <cell r="C179" t="str">
            <v>龙纹镜碎片壹</v>
          </cell>
        </row>
        <row r="180">
          <cell r="A180">
            <v>12026</v>
          </cell>
          <cell r="B180" t="str">
            <v>龙纹镜碎片贰</v>
          </cell>
          <cell r="C180" t="str">
            <v>龙纹镜碎片贰</v>
          </cell>
        </row>
        <row r="181">
          <cell r="A181">
            <v>12027</v>
          </cell>
          <cell r="B181" t="str">
            <v>龙纹镜碎片叁</v>
          </cell>
          <cell r="C181" t="str">
            <v>龙纹镜碎片叁</v>
          </cell>
        </row>
        <row r="182">
          <cell r="A182">
            <v>12028</v>
          </cell>
          <cell r="B182" t="str">
            <v>龙纹镜碎片肆</v>
          </cell>
          <cell r="C182" t="str">
            <v>龙纹镜碎片肆</v>
          </cell>
        </row>
        <row r="183">
          <cell r="A183">
            <v>12029</v>
          </cell>
          <cell r="B183" t="str">
            <v>点星芒碎片壹</v>
          </cell>
          <cell r="C183" t="str">
            <v>点星芒碎片壹</v>
          </cell>
        </row>
        <row r="184">
          <cell r="A184">
            <v>12030</v>
          </cell>
          <cell r="B184" t="str">
            <v>点星芒碎片贰</v>
          </cell>
          <cell r="C184" t="str">
            <v>点星芒碎片贰</v>
          </cell>
        </row>
        <row r="185">
          <cell r="A185">
            <v>12031</v>
          </cell>
          <cell r="B185" t="str">
            <v>点星芒碎片叁</v>
          </cell>
          <cell r="C185" t="str">
            <v>点星芒碎片叁</v>
          </cell>
        </row>
        <row r="186">
          <cell r="A186">
            <v>12032</v>
          </cell>
          <cell r="B186" t="str">
            <v>点星芒碎片肆</v>
          </cell>
          <cell r="C186" t="str">
            <v>点星芒碎片肆</v>
          </cell>
        </row>
        <row r="187">
          <cell r="A187">
            <v>12033</v>
          </cell>
          <cell r="B187" t="str">
            <v>金玉缘碎片壹</v>
          </cell>
          <cell r="C187" t="str">
            <v>金玉缘碎片壹</v>
          </cell>
        </row>
        <row r="188">
          <cell r="A188">
            <v>12034</v>
          </cell>
          <cell r="B188" t="str">
            <v>金玉缘碎片贰</v>
          </cell>
          <cell r="C188" t="str">
            <v>金玉缘碎片贰</v>
          </cell>
        </row>
        <row r="189">
          <cell r="A189">
            <v>12035</v>
          </cell>
          <cell r="B189" t="str">
            <v>金玉缘碎片叁</v>
          </cell>
          <cell r="C189" t="str">
            <v>金玉缘碎片叁</v>
          </cell>
        </row>
        <row r="190">
          <cell r="A190">
            <v>12036</v>
          </cell>
          <cell r="B190" t="str">
            <v>金玉缘碎片肆</v>
          </cell>
          <cell r="C190" t="str">
            <v>金玉缘碎片肆</v>
          </cell>
        </row>
        <row r="191">
          <cell r="A191">
            <v>12037</v>
          </cell>
          <cell r="B191" t="str">
            <v>紫金铃碎片壹</v>
          </cell>
          <cell r="C191" t="str">
            <v>紫金铃碎片壹</v>
          </cell>
        </row>
        <row r="192">
          <cell r="A192">
            <v>12038</v>
          </cell>
          <cell r="B192" t="str">
            <v>紫金铃碎片贰</v>
          </cell>
          <cell r="C192" t="str">
            <v>紫金铃碎片贰</v>
          </cell>
        </row>
        <row r="193">
          <cell r="A193">
            <v>12039</v>
          </cell>
          <cell r="B193" t="str">
            <v>紫金铃碎片叁</v>
          </cell>
          <cell r="C193" t="str">
            <v>紫金铃碎片叁</v>
          </cell>
        </row>
        <row r="194">
          <cell r="A194">
            <v>12040</v>
          </cell>
          <cell r="B194" t="str">
            <v>紫金铃碎片肆</v>
          </cell>
          <cell r="C194" t="str">
            <v>紫金铃碎片肆</v>
          </cell>
        </row>
        <row r="195">
          <cell r="A195">
            <v>12041</v>
          </cell>
          <cell r="B195" t="str">
            <v>紫金铃碎片伍</v>
          </cell>
          <cell r="C195" t="str">
            <v>紫金铃碎片伍</v>
          </cell>
        </row>
        <row r="196">
          <cell r="A196">
            <v>12042</v>
          </cell>
          <cell r="B196" t="str">
            <v>阴阳镜碎片壹</v>
          </cell>
          <cell r="C196" t="str">
            <v>阴阳镜碎片壹</v>
          </cell>
        </row>
        <row r="197">
          <cell r="A197">
            <v>12043</v>
          </cell>
          <cell r="B197" t="str">
            <v>阴阳镜碎片贰</v>
          </cell>
          <cell r="C197" t="str">
            <v>阴阳镜碎片贰</v>
          </cell>
        </row>
        <row r="198">
          <cell r="A198">
            <v>12044</v>
          </cell>
          <cell r="B198" t="str">
            <v>阴阳镜碎片叁</v>
          </cell>
          <cell r="C198" t="str">
            <v>阴阳镜碎片叁</v>
          </cell>
        </row>
        <row r="199">
          <cell r="A199">
            <v>12045</v>
          </cell>
          <cell r="B199" t="str">
            <v>阴阳镜碎片肆</v>
          </cell>
          <cell r="C199" t="str">
            <v>阴阳镜碎片肆</v>
          </cell>
        </row>
        <row r="200">
          <cell r="A200">
            <v>12046</v>
          </cell>
          <cell r="B200" t="str">
            <v>阴阳镜碎片伍</v>
          </cell>
          <cell r="C200" t="str">
            <v>阴阳镜碎片伍</v>
          </cell>
        </row>
        <row r="201">
          <cell r="A201">
            <v>12047</v>
          </cell>
          <cell r="B201" t="str">
            <v>幻光铃碎片壹</v>
          </cell>
          <cell r="C201" t="str">
            <v>幻光铃碎片壹</v>
          </cell>
        </row>
        <row r="202">
          <cell r="A202">
            <v>12048</v>
          </cell>
          <cell r="B202" t="str">
            <v>幻光铃碎片贰</v>
          </cell>
          <cell r="C202" t="str">
            <v>幻光铃碎片贰</v>
          </cell>
        </row>
        <row r="203">
          <cell r="A203">
            <v>12049</v>
          </cell>
          <cell r="B203" t="str">
            <v>幻光铃碎片叁</v>
          </cell>
          <cell r="C203" t="str">
            <v>幻光铃碎片叁</v>
          </cell>
        </row>
        <row r="204">
          <cell r="A204">
            <v>12050</v>
          </cell>
          <cell r="B204" t="str">
            <v>幻光铃碎片肆</v>
          </cell>
          <cell r="C204" t="str">
            <v>幻光铃碎片肆</v>
          </cell>
        </row>
        <row r="205">
          <cell r="A205">
            <v>12051</v>
          </cell>
          <cell r="B205" t="str">
            <v>幻光铃碎片伍</v>
          </cell>
          <cell r="C205" t="str">
            <v>幻光铃碎片伍</v>
          </cell>
        </row>
        <row r="206">
          <cell r="A206">
            <v>12052</v>
          </cell>
          <cell r="B206" t="str">
            <v>混元镜碎片壹</v>
          </cell>
          <cell r="C206" t="str">
            <v>混元镜碎片壹</v>
          </cell>
        </row>
        <row r="207">
          <cell r="A207">
            <v>12053</v>
          </cell>
          <cell r="B207" t="str">
            <v>混元镜碎片贰</v>
          </cell>
          <cell r="C207" t="str">
            <v>混元镜碎片贰</v>
          </cell>
        </row>
        <row r="208">
          <cell r="A208">
            <v>12054</v>
          </cell>
          <cell r="B208" t="str">
            <v>混元镜碎片叁</v>
          </cell>
          <cell r="C208" t="str">
            <v>混元镜碎片叁</v>
          </cell>
        </row>
        <row r="209">
          <cell r="A209">
            <v>12055</v>
          </cell>
          <cell r="B209" t="str">
            <v>混元镜碎片肆</v>
          </cell>
          <cell r="C209" t="str">
            <v>混元镜碎片肆</v>
          </cell>
        </row>
        <row r="210">
          <cell r="A210">
            <v>12056</v>
          </cell>
          <cell r="B210" t="str">
            <v>混元镜碎片伍</v>
          </cell>
          <cell r="C210" t="str">
            <v>混元镜碎片伍</v>
          </cell>
        </row>
        <row r="211">
          <cell r="A211">
            <v>12057</v>
          </cell>
          <cell r="B211" t="str">
            <v>鎏金点翠碎片壹</v>
          </cell>
          <cell r="C211" t="str">
            <v>鎏金点翠碎片壹</v>
          </cell>
        </row>
        <row r="212">
          <cell r="A212">
            <v>12058</v>
          </cell>
          <cell r="B212" t="str">
            <v>鎏金点翠碎片贰</v>
          </cell>
          <cell r="C212" t="str">
            <v>鎏金点翠碎片贰</v>
          </cell>
        </row>
        <row r="213">
          <cell r="A213">
            <v>12059</v>
          </cell>
          <cell r="B213" t="str">
            <v>鎏金点翠碎片叁</v>
          </cell>
          <cell r="C213" t="str">
            <v>鎏金点翠碎片叁</v>
          </cell>
        </row>
        <row r="214">
          <cell r="A214">
            <v>12060</v>
          </cell>
          <cell r="B214" t="str">
            <v>鎏金点翠碎片肆</v>
          </cell>
          <cell r="C214" t="str">
            <v>鎏金点翠碎片肆</v>
          </cell>
        </row>
        <row r="215">
          <cell r="A215">
            <v>12061</v>
          </cell>
          <cell r="B215" t="str">
            <v>鎏金点翠碎片伍</v>
          </cell>
          <cell r="C215" t="str">
            <v>鎏金点翠碎片伍</v>
          </cell>
        </row>
        <row r="216">
          <cell r="A216">
            <v>12062</v>
          </cell>
          <cell r="B216" t="str">
            <v>紫金曼陀碎片壹</v>
          </cell>
          <cell r="C216" t="str">
            <v>紫金曼陀碎片壹</v>
          </cell>
        </row>
        <row r="217">
          <cell r="A217">
            <v>12063</v>
          </cell>
          <cell r="B217" t="str">
            <v>紫金曼陀碎片贰</v>
          </cell>
          <cell r="C217" t="str">
            <v>紫金曼陀碎片贰</v>
          </cell>
        </row>
        <row r="218">
          <cell r="A218">
            <v>12064</v>
          </cell>
          <cell r="B218" t="str">
            <v>紫金曼陀碎片叁</v>
          </cell>
          <cell r="C218" t="str">
            <v>紫金曼陀碎片叁</v>
          </cell>
        </row>
        <row r="219">
          <cell r="A219">
            <v>12065</v>
          </cell>
          <cell r="B219" t="str">
            <v>紫金曼陀碎片肆</v>
          </cell>
          <cell r="C219" t="str">
            <v>紫金曼陀碎片肆</v>
          </cell>
        </row>
        <row r="220">
          <cell r="A220">
            <v>12066</v>
          </cell>
          <cell r="B220" t="str">
            <v>紫金曼陀碎片伍</v>
          </cell>
          <cell r="C220" t="str">
            <v>紫金曼陀碎片伍</v>
          </cell>
        </row>
        <row r="221">
          <cell r="A221">
            <v>12067</v>
          </cell>
          <cell r="B221" t="str">
            <v>蓝色经验法宝碎片壹</v>
          </cell>
          <cell r="C221" t="str">
            <v>蓝色经验法宝碎片壹</v>
          </cell>
        </row>
        <row r="222">
          <cell r="A222">
            <v>12068</v>
          </cell>
          <cell r="B222" t="str">
            <v>蓝色经验法宝碎片贰</v>
          </cell>
          <cell r="C222" t="str">
            <v>蓝色经验法宝碎片贰</v>
          </cell>
        </row>
        <row r="223">
          <cell r="A223">
            <v>12069</v>
          </cell>
          <cell r="B223" t="str">
            <v>蓝色经验法宝碎片叁</v>
          </cell>
          <cell r="C223" t="str">
            <v>蓝色经验法宝碎片叁</v>
          </cell>
        </row>
        <row r="224">
          <cell r="A224">
            <v>12070</v>
          </cell>
          <cell r="B224" t="str">
            <v>紫色经验法宝碎片壹</v>
          </cell>
          <cell r="C224" t="str">
            <v>紫色经验法宝碎片壹</v>
          </cell>
        </row>
        <row r="225">
          <cell r="A225">
            <v>12071</v>
          </cell>
          <cell r="B225" t="str">
            <v>紫色经验法宝碎片贰</v>
          </cell>
          <cell r="C225" t="str">
            <v>紫色经验法宝碎片贰</v>
          </cell>
        </row>
        <row r="226">
          <cell r="A226">
            <v>12072</v>
          </cell>
          <cell r="B226" t="str">
            <v>紫色经验法宝碎片叁</v>
          </cell>
          <cell r="C226" t="str">
            <v>紫色经验法宝碎片叁</v>
          </cell>
        </row>
        <row r="227">
          <cell r="A227">
            <v>12073</v>
          </cell>
          <cell r="B227" t="str">
            <v>紫色经验法宝碎片肆</v>
          </cell>
          <cell r="C227" t="str">
            <v>紫色经验法宝碎片肆</v>
          </cell>
        </row>
        <row r="228">
          <cell r="A228">
            <v>12074</v>
          </cell>
          <cell r="B228" t="str">
            <v>橙色经验法宝碎片壹</v>
          </cell>
          <cell r="C228" t="str">
            <v>橙色经验法宝碎片壹</v>
          </cell>
        </row>
        <row r="229">
          <cell r="A229">
            <v>12075</v>
          </cell>
          <cell r="B229" t="str">
            <v>橙色经验法宝碎片贰</v>
          </cell>
          <cell r="C229" t="str">
            <v>橙色经验法宝碎片贰</v>
          </cell>
        </row>
        <row r="230">
          <cell r="A230">
            <v>12076</v>
          </cell>
          <cell r="B230" t="str">
            <v>橙色经验法宝碎片叁</v>
          </cell>
          <cell r="C230" t="str">
            <v>橙色经验法宝碎片叁</v>
          </cell>
        </row>
        <row r="231">
          <cell r="A231">
            <v>12077</v>
          </cell>
          <cell r="B231" t="str">
            <v>橙色经验法宝碎片肆</v>
          </cell>
          <cell r="C231" t="str">
            <v>橙色经验法宝碎片肆</v>
          </cell>
        </row>
        <row r="232">
          <cell r="A232">
            <v>12078</v>
          </cell>
          <cell r="B232" t="str">
            <v>橙色经验法宝碎片伍</v>
          </cell>
          <cell r="C232" t="str">
            <v>橙色经验法宝碎片伍</v>
          </cell>
        </row>
        <row r="233">
          <cell r="A233">
            <v>12079</v>
          </cell>
          <cell r="B233" t="str">
            <v>红色经验法宝碎片壹</v>
          </cell>
          <cell r="C233" t="str">
            <v>红色经验法宝碎片壹</v>
          </cell>
        </row>
        <row r="234">
          <cell r="A234">
            <v>12080</v>
          </cell>
          <cell r="B234" t="str">
            <v>红色经验法宝碎片贰</v>
          </cell>
          <cell r="C234" t="str">
            <v>红色经验法宝碎片贰</v>
          </cell>
        </row>
        <row r="235">
          <cell r="A235">
            <v>12081</v>
          </cell>
          <cell r="B235" t="str">
            <v>红色经验法宝碎片叁</v>
          </cell>
          <cell r="C235" t="str">
            <v>红色经验法宝碎片叁</v>
          </cell>
        </row>
        <row r="236">
          <cell r="A236">
            <v>12082</v>
          </cell>
          <cell r="B236" t="str">
            <v>红色经验法宝碎片肆</v>
          </cell>
          <cell r="C236" t="str">
            <v>红色经验法宝碎片肆</v>
          </cell>
        </row>
        <row r="237">
          <cell r="A237">
            <v>12083</v>
          </cell>
          <cell r="B237" t="str">
            <v>红色经验法宝碎片伍</v>
          </cell>
          <cell r="C237" t="str">
            <v>红色经验法宝碎片伍</v>
          </cell>
        </row>
        <row r="238">
          <cell r="A238">
            <v>12084</v>
          </cell>
          <cell r="B238" t="str">
            <v>红色经验法宝碎片陆</v>
          </cell>
          <cell r="C238" t="str">
            <v>红色经验法宝碎片陆</v>
          </cell>
        </row>
        <row r="239">
          <cell r="A239">
            <v>12085</v>
          </cell>
          <cell r="B239" t="str">
            <v>七星宣花铃碎片壹</v>
          </cell>
          <cell r="C239" t="str">
            <v>七星宣花铃碎片壹</v>
          </cell>
        </row>
        <row r="240">
          <cell r="A240">
            <v>12086</v>
          </cell>
          <cell r="B240" t="str">
            <v>七星宣花铃碎片贰</v>
          </cell>
          <cell r="C240" t="str">
            <v>七星宣花铃碎片贰</v>
          </cell>
        </row>
        <row r="241">
          <cell r="A241">
            <v>12087</v>
          </cell>
          <cell r="B241" t="str">
            <v>七星宣花铃碎片叁</v>
          </cell>
          <cell r="C241" t="str">
            <v>七星宣花铃碎片叁</v>
          </cell>
        </row>
        <row r="242">
          <cell r="A242">
            <v>12088</v>
          </cell>
          <cell r="B242" t="str">
            <v>七星宣花铃碎片肆</v>
          </cell>
          <cell r="C242" t="str">
            <v>七星宣花铃碎片肆</v>
          </cell>
        </row>
        <row r="243">
          <cell r="A243">
            <v>12089</v>
          </cell>
          <cell r="B243" t="str">
            <v>七星宣花铃碎片伍</v>
          </cell>
          <cell r="C243" t="str">
            <v>七星宣花铃碎片伍</v>
          </cell>
        </row>
        <row r="244">
          <cell r="A244">
            <v>12090</v>
          </cell>
          <cell r="B244" t="str">
            <v>七星宣花铃碎片陆</v>
          </cell>
          <cell r="C244" t="str">
            <v>七星宣花铃碎片陆</v>
          </cell>
        </row>
        <row r="245">
          <cell r="A245">
            <v>12091</v>
          </cell>
          <cell r="B245" t="str">
            <v>太极清源镜碎片壹</v>
          </cell>
          <cell r="C245" t="str">
            <v>太极清源镜碎片壹</v>
          </cell>
        </row>
        <row r="246">
          <cell r="A246">
            <v>12092</v>
          </cell>
          <cell r="B246" t="str">
            <v>太极清源镜碎片贰</v>
          </cell>
          <cell r="C246" t="str">
            <v>太极清源镜碎片贰</v>
          </cell>
        </row>
        <row r="247">
          <cell r="A247">
            <v>12093</v>
          </cell>
          <cell r="B247" t="str">
            <v>太极清源镜碎片叁</v>
          </cell>
          <cell r="C247" t="str">
            <v>太极清源镜碎片叁</v>
          </cell>
        </row>
        <row r="248">
          <cell r="A248">
            <v>12094</v>
          </cell>
          <cell r="B248" t="str">
            <v>太极清源镜碎片肆</v>
          </cell>
          <cell r="C248" t="str">
            <v>太极清源镜碎片肆</v>
          </cell>
        </row>
        <row r="249">
          <cell r="A249">
            <v>12095</v>
          </cell>
          <cell r="B249" t="str">
            <v>太极清源镜碎片伍</v>
          </cell>
          <cell r="C249" t="str">
            <v>太极清源镜碎片伍</v>
          </cell>
        </row>
        <row r="250">
          <cell r="A250">
            <v>12096</v>
          </cell>
          <cell r="B250" t="str">
            <v>太极清源镜碎片陆</v>
          </cell>
          <cell r="C250" t="str">
            <v>太极清源镜碎片陆</v>
          </cell>
        </row>
        <row r="251">
          <cell r="A251">
            <v>12097</v>
          </cell>
          <cell r="B251" t="str">
            <v>天翎幻音铃碎片壹</v>
          </cell>
          <cell r="C251" t="str">
            <v>天翎幻音铃碎片壹</v>
          </cell>
        </row>
        <row r="252">
          <cell r="A252">
            <v>12098</v>
          </cell>
          <cell r="B252" t="str">
            <v>天翎幻音铃碎片贰</v>
          </cell>
          <cell r="C252" t="str">
            <v>天翎幻音铃碎片贰</v>
          </cell>
        </row>
        <row r="253">
          <cell r="A253">
            <v>12099</v>
          </cell>
          <cell r="B253" t="str">
            <v>天翎幻音铃碎片叁</v>
          </cell>
          <cell r="C253" t="str">
            <v>天翎幻音铃碎片叁</v>
          </cell>
        </row>
        <row r="254">
          <cell r="A254">
            <v>12100</v>
          </cell>
          <cell r="B254" t="str">
            <v>天翎幻音铃碎片肆</v>
          </cell>
          <cell r="C254" t="str">
            <v>天翎幻音铃碎片肆</v>
          </cell>
        </row>
        <row r="255">
          <cell r="A255">
            <v>12101</v>
          </cell>
          <cell r="B255" t="str">
            <v>天翎幻音铃碎片伍</v>
          </cell>
          <cell r="C255" t="str">
            <v>天翎幻音铃碎片伍</v>
          </cell>
        </row>
        <row r="256">
          <cell r="A256">
            <v>12102</v>
          </cell>
          <cell r="B256" t="str">
            <v>天翎幻音铃碎片陆</v>
          </cell>
          <cell r="C256" t="str">
            <v>天翎幻音铃碎片陆</v>
          </cell>
        </row>
        <row r="257">
          <cell r="A257">
            <v>12103</v>
          </cell>
          <cell r="B257" t="str">
            <v>羲皇八门镜碎片壹</v>
          </cell>
          <cell r="C257" t="str">
            <v>羲皇八门镜碎片壹</v>
          </cell>
        </row>
        <row r="258">
          <cell r="A258">
            <v>12104</v>
          </cell>
          <cell r="B258" t="str">
            <v>羲皇八门镜碎片贰</v>
          </cell>
          <cell r="C258" t="str">
            <v>羲皇八门镜碎片贰</v>
          </cell>
        </row>
        <row r="259">
          <cell r="A259">
            <v>12105</v>
          </cell>
          <cell r="B259" t="str">
            <v>羲皇八门镜碎片叁</v>
          </cell>
          <cell r="C259" t="str">
            <v>羲皇八门镜碎片叁</v>
          </cell>
        </row>
        <row r="260">
          <cell r="A260">
            <v>12106</v>
          </cell>
          <cell r="B260" t="str">
            <v>羲皇八门镜碎片肆</v>
          </cell>
          <cell r="C260" t="str">
            <v>羲皇八门镜碎片肆</v>
          </cell>
        </row>
        <row r="261">
          <cell r="A261">
            <v>12107</v>
          </cell>
          <cell r="B261" t="str">
            <v>羲皇八门镜碎片伍</v>
          </cell>
          <cell r="C261" t="str">
            <v>羲皇八门镜碎片伍</v>
          </cell>
        </row>
        <row r="262">
          <cell r="A262">
            <v>12108</v>
          </cell>
          <cell r="B262" t="str">
            <v>羲皇八门镜碎片陆</v>
          </cell>
          <cell r="C262" t="str">
            <v>羲皇八门镜碎片陆</v>
          </cell>
        </row>
        <row r="263">
          <cell r="A263">
            <v>13001</v>
          </cell>
          <cell r="B263" t="str">
            <v>铜钱宝箱-1</v>
          </cell>
          <cell r="C263" t="str">
            <v>打开获得1000铜钱</v>
          </cell>
        </row>
        <row r="264">
          <cell r="A264">
            <v>13002</v>
          </cell>
          <cell r="B264" t="str">
            <v>铜钱宝箱-2</v>
          </cell>
          <cell r="C264" t="str">
            <v>打开获得1000铜钱</v>
          </cell>
        </row>
        <row r="265">
          <cell r="A265">
            <v>13003</v>
          </cell>
          <cell r="B265" t="str">
            <v>铜钱宝箱-3</v>
          </cell>
          <cell r="C265" t="str">
            <v>打开获得1000铜钱</v>
          </cell>
        </row>
        <row r="266">
          <cell r="A266">
            <v>13004</v>
          </cell>
          <cell r="B266" t="str">
            <v>铜钱宝箱-4</v>
          </cell>
          <cell r="C266" t="str">
            <v>打开获得1000铜钱</v>
          </cell>
        </row>
        <row r="267">
          <cell r="A267">
            <v>13005</v>
          </cell>
          <cell r="B267" t="str">
            <v>铜钱宝箱-5</v>
          </cell>
          <cell r="C267" t="str">
            <v>打开获得1000铜钱</v>
          </cell>
        </row>
        <row r="268">
          <cell r="A268">
            <v>13006</v>
          </cell>
          <cell r="B268" t="str">
            <v>铜钱宝箱-6</v>
          </cell>
          <cell r="C268" t="str">
            <v>打开获得1000铜钱</v>
          </cell>
        </row>
        <row r="269">
          <cell r="A269">
            <v>13007</v>
          </cell>
          <cell r="B269" t="str">
            <v>铜钱宝箱-7</v>
          </cell>
          <cell r="C269" t="str">
            <v>打开获得1000铜钱</v>
          </cell>
        </row>
        <row r="270">
          <cell r="A270">
            <v>13008</v>
          </cell>
          <cell r="B270" t="str">
            <v>铜钱宝箱-8</v>
          </cell>
          <cell r="C270" t="str">
            <v>打开获得1000铜钱</v>
          </cell>
        </row>
        <row r="271">
          <cell r="A271">
            <v>13009</v>
          </cell>
          <cell r="B271" t="str">
            <v>铜钱宝箱-9</v>
          </cell>
          <cell r="C271" t="str">
            <v>打开获得1000铜钱</v>
          </cell>
        </row>
        <row r="272">
          <cell r="A272">
            <v>13010</v>
          </cell>
          <cell r="B272" t="str">
            <v>铜钱宝箱-10</v>
          </cell>
          <cell r="C272" t="str">
            <v>打开获得1000铜钱</v>
          </cell>
        </row>
        <row r="273">
          <cell r="A273">
            <v>13011</v>
          </cell>
          <cell r="B273" t="str">
            <v>铜钱宝箱-11</v>
          </cell>
          <cell r="C273" t="str">
            <v>打开获得1000铜钱</v>
          </cell>
        </row>
        <row r="274">
          <cell r="A274">
            <v>13012</v>
          </cell>
          <cell r="B274" t="str">
            <v>铜钱宝箱-12</v>
          </cell>
          <cell r="C274" t="str">
            <v>打开获得1000铜钱</v>
          </cell>
        </row>
        <row r="275">
          <cell r="A275">
            <v>14001</v>
          </cell>
          <cell r="B275" t="str">
            <v>初级经验药</v>
          </cell>
          <cell r="C275" t="str">
            <v>增加伙伴经验500</v>
          </cell>
        </row>
        <row r="276">
          <cell r="A276">
            <v>14002</v>
          </cell>
          <cell r="B276" t="str">
            <v>中级经验药</v>
          </cell>
          <cell r="C276" t="str">
            <v>增加伙伴经验2500</v>
          </cell>
        </row>
        <row r="277">
          <cell r="A277">
            <v>14003</v>
          </cell>
          <cell r="B277" t="str">
            <v>高级经验药</v>
          </cell>
          <cell r="C277" t="str">
            <v>增加伙伴经验5000</v>
          </cell>
        </row>
        <row r="278">
          <cell r="A278">
            <v>14004</v>
          </cell>
          <cell r="B278" t="str">
            <v>极品经验药</v>
          </cell>
          <cell r="C278" t="str">
            <v>增加伙伴经验10000</v>
          </cell>
        </row>
        <row r="279">
          <cell r="A279">
            <v>14005</v>
          </cell>
          <cell r="B279" t="str">
            <v>普通聚仙令</v>
          </cell>
          <cell r="C279" t="str">
            <v>可免费普通聚仙一次</v>
          </cell>
        </row>
        <row r="280">
          <cell r="A280">
            <v>14006</v>
          </cell>
          <cell r="B280" t="str">
            <v>顶级聚仙令</v>
          </cell>
          <cell r="C280" t="str">
            <v>可免费顶级聚仙一次</v>
          </cell>
        </row>
        <row r="281">
          <cell r="A281">
            <v>14007</v>
          </cell>
          <cell r="B281" t="str">
            <v>铜钱宝箱-13</v>
          </cell>
          <cell r="C281" t="str">
            <v>打开获得1000铜钱</v>
          </cell>
        </row>
        <row r="282">
          <cell r="A282">
            <v>14008</v>
          </cell>
          <cell r="B282" t="str">
            <v>铜钱宝箱-14</v>
          </cell>
          <cell r="C282" t="str">
            <v>打开获得1000铜钱</v>
          </cell>
        </row>
        <row r="283">
          <cell r="A283">
            <v>14009</v>
          </cell>
          <cell r="B283" t="str">
            <v>铜钱宝箱-15</v>
          </cell>
          <cell r="C283" t="str">
            <v>打开获得1000铜钱</v>
          </cell>
        </row>
        <row r="284">
          <cell r="A284">
            <v>14101</v>
          </cell>
          <cell r="B284" t="str">
            <v>蟠桃</v>
          </cell>
          <cell r="C284" t="str">
            <v>食用可增加25点体力</v>
          </cell>
        </row>
        <row r="285">
          <cell r="A285">
            <v>14102</v>
          </cell>
          <cell r="B285" t="str">
            <v>商铺刷新令</v>
          </cell>
          <cell r="C285" t="str">
            <v>用于刷新商铺的商品</v>
          </cell>
        </row>
        <row r="286">
          <cell r="A286">
            <v>14103</v>
          </cell>
          <cell r="B286" t="str">
            <v>铜钱宝箱-16</v>
          </cell>
          <cell r="C286" t="str">
            <v>打开获得1000铜钱</v>
          </cell>
        </row>
        <row r="287">
          <cell r="A287">
            <v>14104</v>
          </cell>
          <cell r="B287" t="str">
            <v>技能卷轴</v>
          </cell>
          <cell r="C287" t="str">
            <v>用于升级伙伴技能</v>
          </cell>
        </row>
        <row r="288">
          <cell r="A288">
            <v>14106</v>
          </cell>
          <cell r="B288" t="str">
            <v>洗炼丹</v>
          </cell>
          <cell r="C288" t="str">
            <v>角色洗炼的必要材料</v>
          </cell>
        </row>
        <row r="289">
          <cell r="A289">
            <v>14107</v>
          </cell>
          <cell r="B289" t="str">
            <v>进阶丹</v>
          </cell>
          <cell r="C289" t="str">
            <v>角色进阶的必要材料</v>
          </cell>
        </row>
        <row r="290">
          <cell r="A290">
            <v>14108</v>
          </cell>
          <cell r="B290" t="str">
            <v>精力之心</v>
          </cell>
          <cell r="C290" t="str">
            <v>恢复10点精力</v>
          </cell>
        </row>
        <row r="291">
          <cell r="A291">
            <v>14109</v>
          </cell>
          <cell r="B291" t="str">
            <v>铜钱宝箱-17</v>
          </cell>
          <cell r="C291" t="str">
            <v>打开获得1000铜钱</v>
          </cell>
        </row>
        <row r="292">
          <cell r="A292">
            <v>14110</v>
          </cell>
          <cell r="B292" t="str">
            <v>迎战券</v>
          </cell>
          <cell r="C292" t="str">
            <v>增加大闹三界挑战次数</v>
          </cell>
        </row>
        <row r="293">
          <cell r="A293">
            <v>14201</v>
          </cell>
          <cell r="B293" t="str">
            <v>法宝精炼石</v>
          </cell>
          <cell r="C293" t="str">
            <v>法宝精炼必要道具</v>
          </cell>
        </row>
        <row r="294">
          <cell r="A294">
            <v>14202</v>
          </cell>
          <cell r="B294" t="str">
            <v>铜钱宝箱-18</v>
          </cell>
          <cell r="C294" t="str">
            <v>打开获得1000铜钱</v>
          </cell>
        </row>
        <row r="295">
          <cell r="A295">
            <v>14203</v>
          </cell>
          <cell r="B295" t="str">
            <v>铜钱宝箱-19</v>
          </cell>
          <cell r="C295" t="str">
            <v>打开获得1000铜钱</v>
          </cell>
        </row>
        <row r="296">
          <cell r="A296">
            <v>14204</v>
          </cell>
          <cell r="B296" t="str">
            <v>铜钱宝箱-20</v>
          </cell>
          <cell r="C296" t="str">
            <v>打开获得1000铜钱</v>
          </cell>
        </row>
        <row r="297">
          <cell r="A297">
            <v>14205</v>
          </cell>
          <cell r="B297" t="str">
            <v>铜钱宝箱-21</v>
          </cell>
          <cell r="C297" t="str">
            <v>打开获得1000铜钱</v>
          </cell>
        </row>
        <row r="298">
          <cell r="A298">
            <v>14206</v>
          </cell>
          <cell r="B298" t="str">
            <v>铜钱宝箱-22</v>
          </cell>
          <cell r="C298" t="str">
            <v>打开获得1000铜钱</v>
          </cell>
        </row>
        <row r="299">
          <cell r="A299">
            <v>14207</v>
          </cell>
          <cell r="B299" t="str">
            <v>铜钱宝箱-23</v>
          </cell>
          <cell r="C299" t="str">
            <v>打开获得1000铜钱</v>
          </cell>
        </row>
        <row r="300">
          <cell r="A300">
            <v>14208</v>
          </cell>
          <cell r="B300" t="str">
            <v>铜钱（无用的东西）</v>
          </cell>
          <cell r="C300" t="str">
            <v>铜钱</v>
          </cell>
        </row>
        <row r="301">
          <cell r="A301">
            <v>14209</v>
          </cell>
          <cell r="B301" t="str">
            <v>器魂（无用的东西）</v>
          </cell>
          <cell r="C301" t="str">
            <v>器魂</v>
          </cell>
        </row>
        <row r="302">
          <cell r="A302">
            <v>14210</v>
          </cell>
          <cell r="B302" t="str">
            <v>大闹三界宝箱</v>
          </cell>
          <cell r="C302" t="str">
            <v>获得装备精炼道具（原来的，已经弃用了）</v>
          </cell>
        </row>
        <row r="303">
          <cell r="A303">
            <v>14211</v>
          </cell>
          <cell r="B303" t="str">
            <v>梦魇挑战令</v>
          </cell>
          <cell r="C303" t="str">
            <v>增加梦魇入侵挑战次数</v>
          </cell>
        </row>
        <row r="304">
          <cell r="A304">
            <v>14299</v>
          </cell>
          <cell r="B304" t="str">
            <v>初级法宝碎片箱</v>
          </cell>
          <cell r="C304" t="str">
            <v>打开获取法宝碎片</v>
          </cell>
        </row>
        <row r="305">
          <cell r="A305">
            <v>14300</v>
          </cell>
          <cell r="B305" t="str">
            <v>初级装备碎片箱</v>
          </cell>
          <cell r="C305" t="str">
            <v>打开获取装备碎片</v>
          </cell>
        </row>
        <row r="306">
          <cell r="A306">
            <v>14301</v>
          </cell>
          <cell r="B306" t="str">
            <v>蓝色装备碎片箱</v>
          </cell>
          <cell r="C306" t="str">
            <v>随机获取蓝品装备碎片</v>
          </cell>
        </row>
        <row r="307">
          <cell r="A307">
            <v>14302</v>
          </cell>
          <cell r="B307" t="str">
            <v>紫色装备碎片箱</v>
          </cell>
          <cell r="C307" t="str">
            <v>随机获得紫品装备碎片</v>
          </cell>
        </row>
        <row r="308">
          <cell r="A308">
            <v>14303</v>
          </cell>
          <cell r="B308" t="str">
            <v>橙色装备碎片箱</v>
          </cell>
          <cell r="C308" t="str">
            <v>随机获得橙品装备碎片</v>
          </cell>
        </row>
        <row r="309">
          <cell r="A309">
            <v>14304</v>
          </cell>
          <cell r="B309" t="str">
            <v>测试装备碎片箱</v>
          </cell>
          <cell r="C309" t="str">
            <v>杨頔</v>
          </cell>
        </row>
        <row r="310">
          <cell r="A310">
            <v>14305</v>
          </cell>
          <cell r="B310" t="str">
            <v>中级法宝碎片箱</v>
          </cell>
          <cell r="C310" t="str">
            <v>打开获取法宝碎片</v>
          </cell>
        </row>
        <row r="311">
          <cell r="A311">
            <v>14306</v>
          </cell>
          <cell r="B311" t="str">
            <v>高级法宝碎片箱</v>
          </cell>
          <cell r="C311" t="str">
            <v>打开获取法宝碎片</v>
          </cell>
        </row>
        <row r="312">
          <cell r="A312">
            <v>14307</v>
          </cell>
          <cell r="B312" t="str">
            <v>蓝色伙伴碎片箱</v>
          </cell>
          <cell r="C312" t="str">
            <v>打开获得蓝品伙伴碎片</v>
          </cell>
        </row>
        <row r="313">
          <cell r="A313">
            <v>14308</v>
          </cell>
          <cell r="B313" t="str">
            <v>紫色伙伴碎片箱</v>
          </cell>
          <cell r="C313" t="str">
            <v>打开获得紫品伙伴碎片</v>
          </cell>
        </row>
        <row r="314">
          <cell r="A314">
            <v>14309</v>
          </cell>
          <cell r="B314" t="str">
            <v>橙13伙伴碎片箱</v>
          </cell>
          <cell r="C314" t="str">
            <v>随机获得1个橙13伙伴碎片</v>
          </cell>
        </row>
        <row r="315">
          <cell r="A315">
            <v>14310</v>
          </cell>
          <cell r="B315" t="str">
            <v>橙16伙伴碎片箱</v>
          </cell>
          <cell r="C315" t="str">
            <v>随机获得1个橙16伙伴碎片</v>
          </cell>
        </row>
        <row r="316">
          <cell r="A316">
            <v>14311</v>
          </cell>
          <cell r="B316" t="str">
            <v>橙色伙伴碎片箱</v>
          </cell>
          <cell r="C316" t="str">
            <v>随机获得1个橙色伙伴碎片</v>
          </cell>
        </row>
        <row r="317">
          <cell r="A317">
            <v>14312</v>
          </cell>
          <cell r="B317" t="str">
            <v>橙色攻击法宝碎片箱</v>
          </cell>
          <cell r="C317" t="str">
            <v>获得橙色攻击法宝碎片</v>
          </cell>
        </row>
        <row r="318">
          <cell r="A318">
            <v>14313</v>
          </cell>
          <cell r="B318" t="str">
            <v>橙色防御法宝碎片箱</v>
          </cell>
          <cell r="C318" t="str">
            <v>获得橙色防御法宝碎片</v>
          </cell>
        </row>
        <row r="319">
          <cell r="A319">
            <v>14314</v>
          </cell>
          <cell r="B319" t="str">
            <v>中级装备碎片箱</v>
          </cell>
          <cell r="C319" t="str">
            <v>打开获取装备碎片</v>
          </cell>
        </row>
        <row r="320">
          <cell r="A320">
            <v>14315</v>
          </cell>
          <cell r="B320" t="str">
            <v>高级装备碎片箱</v>
          </cell>
          <cell r="C320" t="str">
            <v>随机获取高品质装备碎片，一定几率获得完整蓝装</v>
          </cell>
        </row>
        <row r="321">
          <cell r="A321">
            <v>14316</v>
          </cell>
          <cell r="B321" t="str">
            <v>蓝色法宝碎片箱</v>
          </cell>
          <cell r="C321" t="str">
            <v>获得蓝品法宝碎片</v>
          </cell>
        </row>
        <row r="322">
          <cell r="A322">
            <v>14317</v>
          </cell>
          <cell r="B322" t="str">
            <v>紫色法宝碎片箱</v>
          </cell>
          <cell r="C322" t="str">
            <v>获得紫品法宝碎片</v>
          </cell>
        </row>
        <row r="323">
          <cell r="A323">
            <v>14318</v>
          </cell>
          <cell r="B323" t="str">
            <v>橙色法宝碎片箱</v>
          </cell>
          <cell r="C323" t="str">
            <v>获得橙品法宝碎片</v>
          </cell>
        </row>
        <row r="324">
          <cell r="A324">
            <v>14319</v>
          </cell>
          <cell r="B324" t="str">
            <v>蓝色经验法宝碎片箱</v>
          </cell>
          <cell r="C324" t="str">
            <v>获得蓝品经验法宝碎片</v>
          </cell>
        </row>
        <row r="325">
          <cell r="A325">
            <v>14320</v>
          </cell>
          <cell r="B325" t="str">
            <v>紫色经验法宝碎片箱</v>
          </cell>
          <cell r="C325" t="str">
            <v>获得紫品经验法宝碎片</v>
          </cell>
        </row>
        <row r="326">
          <cell r="A326">
            <v>14321</v>
          </cell>
          <cell r="B326" t="str">
            <v>橙色经验法宝碎片箱</v>
          </cell>
          <cell r="C326" t="str">
            <v>获得橙品经验法宝碎片</v>
          </cell>
        </row>
        <row r="327">
          <cell r="A327">
            <v>14322</v>
          </cell>
          <cell r="B327" t="str">
            <v>聚魂珠</v>
          </cell>
          <cell r="C327" t="str">
            <v>打开后随机获得5~15点魂珠</v>
          </cell>
        </row>
        <row r="328">
          <cell r="A328">
            <v>14400</v>
          </cell>
          <cell r="B328" t="str">
            <v>铜钱宝箱</v>
          </cell>
          <cell r="C328" t="str">
            <v>打开获得10000铜钱</v>
          </cell>
        </row>
        <row r="329">
          <cell r="A329">
            <v>14401</v>
          </cell>
          <cell r="B329" t="str">
            <v>装备魔魂宝箱</v>
          </cell>
          <cell r="C329" t="str">
            <v>打开获取魔魂</v>
          </cell>
        </row>
        <row r="330">
          <cell r="A330">
            <v>14402</v>
          </cell>
          <cell r="B330" t="str">
            <v>元灵晶石宝箱</v>
          </cell>
          <cell r="C330" t="str">
            <v>测试用</v>
          </cell>
        </row>
        <row r="331">
          <cell r="A331">
            <v>14403</v>
          </cell>
          <cell r="B331" t="str">
            <v>法宝精炼宝箱</v>
          </cell>
          <cell r="C331" t="str">
            <v>测试用</v>
          </cell>
        </row>
        <row r="332">
          <cell r="A332">
            <v>14404</v>
          </cell>
          <cell r="B332" t="str">
            <v>技能书宝箱</v>
          </cell>
          <cell r="C332" t="str">
            <v>测试用</v>
          </cell>
        </row>
        <row r="333">
          <cell r="A333">
            <v>14405</v>
          </cell>
          <cell r="B333" t="str">
            <v>VIP经验卡</v>
          </cell>
          <cell r="C333" t="str">
            <v>获得100点VIP经验值</v>
          </cell>
        </row>
        <row r="334">
          <cell r="A334">
            <v>14406</v>
          </cell>
          <cell r="B334" t="str">
            <v>玩家经验</v>
          </cell>
          <cell r="C334" t="str">
            <v>获得10000点玩家经验值</v>
          </cell>
        </row>
        <row r="335">
          <cell r="A335">
            <v>14407</v>
          </cell>
          <cell r="B335" t="str">
            <v>大闹三界宝箱</v>
          </cell>
          <cell r="C335" t="str">
            <v>打开后可以一定几率获得洗炼丹和洗炼突破丹</v>
          </cell>
        </row>
        <row r="336">
          <cell r="A336">
            <v>14408</v>
          </cell>
          <cell r="B336" t="str">
            <v>琥珀</v>
          </cell>
          <cell r="C336" t="str">
            <v>在琥珀商铺中兑换稀有物品的道具</v>
          </cell>
        </row>
        <row r="337">
          <cell r="A337">
            <v>14409</v>
          </cell>
          <cell r="B337" t="str">
            <v>元旦彩蛋</v>
          </cell>
          <cell r="C337" t="str">
            <v>使用后有惊喜，欢欢喜喜过新年！</v>
          </cell>
        </row>
        <row r="338">
          <cell r="A338">
            <v>14410</v>
          </cell>
          <cell r="B338" t="str">
            <v>铜钱礼包（测试）</v>
          </cell>
          <cell r="C338" t="str">
            <v>测试用，开启获得200万铜钱</v>
          </cell>
        </row>
        <row r="339">
          <cell r="A339">
            <v>14411</v>
          </cell>
          <cell r="B339" t="str">
            <v>元宝礼包（测试）</v>
          </cell>
          <cell r="C339" t="str">
            <v>测试用，开启获得1万元宝</v>
          </cell>
        </row>
        <row r="340">
          <cell r="A340">
            <v>14412</v>
          </cell>
          <cell r="B340" t="str">
            <v>新服彩蛋</v>
          </cell>
          <cell r="C340" t="str">
            <v>欢迎来到《大圣不取经》，使用后有惊喜！</v>
          </cell>
        </row>
        <row r="341">
          <cell r="A341">
            <v>14413</v>
          </cell>
          <cell r="B341" t="str">
            <v>腊八粥</v>
          </cell>
          <cell r="C341" t="str">
            <v>秘制而成的腊八粥，可在腊八兑换活动中换取稀有物品！</v>
          </cell>
        </row>
        <row r="342">
          <cell r="A342">
            <v>14414</v>
          </cell>
          <cell r="B342" t="str">
            <v>小拳拳</v>
          </cell>
          <cell r="C342" t="str">
            <v>节日的祝福，使用后获得惊喜小礼品！</v>
          </cell>
        </row>
        <row r="343">
          <cell r="A343">
            <v>14415</v>
          </cell>
          <cell r="B343" t="str">
            <v>红色伙伴精华</v>
          </cell>
          <cell r="C343" t="str">
            <v>兑换红色伙伴的珍惜材料</v>
          </cell>
        </row>
        <row r="344">
          <cell r="A344">
            <v>14416</v>
          </cell>
          <cell r="B344" t="str">
            <v>红色装备精华</v>
          </cell>
          <cell r="C344" t="str">
            <v>兑换红色装备的珍惜材料</v>
          </cell>
        </row>
        <row r="345">
          <cell r="A345">
            <v>14417</v>
          </cell>
          <cell r="B345" t="str">
            <v>红色神兵精华</v>
          </cell>
          <cell r="C345" t="str">
            <v>兑换红色神兵碎片的珍惜材料</v>
          </cell>
        </row>
        <row r="346">
          <cell r="A346">
            <v>14418</v>
          </cell>
          <cell r="B346" t="str">
            <v>第一帮会礼包</v>
          </cell>
          <cell r="C346" t="str">
            <v>打开后获得帮会贡献*2000，威望*2000，元宝*300</v>
          </cell>
        </row>
        <row r="347">
          <cell r="A347">
            <v>14419</v>
          </cell>
          <cell r="B347" t="str">
            <v>第二帮会礼包</v>
          </cell>
          <cell r="C347" t="str">
            <v>打开后获得帮会贡献*1500，威望*1500，元宝*250</v>
          </cell>
        </row>
        <row r="348">
          <cell r="A348">
            <v>14420</v>
          </cell>
          <cell r="B348" t="str">
            <v>第三帮会礼包</v>
          </cell>
          <cell r="C348" t="str">
            <v>打开后获得帮会贡献*1000，威望*1000，元宝*200</v>
          </cell>
        </row>
        <row r="349">
          <cell r="A349">
            <v>14421</v>
          </cell>
          <cell r="B349" t="str">
            <v>第1帮会礼包（跨服）</v>
          </cell>
          <cell r="C349" t="str">
            <v>打开后获得帮会贡献*2000，威望*1000，元宝*200</v>
          </cell>
        </row>
        <row r="350">
          <cell r="A350">
            <v>14422</v>
          </cell>
          <cell r="B350" t="str">
            <v>第2-3帮会礼包（跨服）</v>
          </cell>
          <cell r="C350" t="str">
            <v>打开后获得帮会贡献*1800，威望*800，元宝*150</v>
          </cell>
        </row>
        <row r="351">
          <cell r="A351">
            <v>14423</v>
          </cell>
          <cell r="B351" t="str">
            <v>第4-5帮会礼包（跨服）</v>
          </cell>
          <cell r="C351" t="str">
            <v>打开后获得帮会贡献*1500，威望*500，元宝*150</v>
          </cell>
        </row>
        <row r="352">
          <cell r="A352">
            <v>14424</v>
          </cell>
          <cell r="B352" t="str">
            <v>第6-10帮会礼包（跨服）</v>
          </cell>
          <cell r="C352" t="str">
            <v>打开后获得帮会贡献*1500，威望*500，元宝*100</v>
          </cell>
        </row>
        <row r="353">
          <cell r="A353">
            <v>14425</v>
          </cell>
          <cell r="B353" t="str">
            <v>红玫瑰</v>
          </cell>
          <cell r="C353" t="str">
            <v>情人节玫瑰，可随机开出惊喜礼物。</v>
          </cell>
        </row>
        <row r="354">
          <cell r="A354">
            <v>14426</v>
          </cell>
          <cell r="B354" t="str">
            <v>春节礼盒</v>
          </cell>
          <cell r="C354" t="str">
            <v>迎新年特制礼盒，打开后可以获得惊喜礼物。</v>
          </cell>
        </row>
        <row r="355">
          <cell r="A355">
            <v>14427</v>
          </cell>
          <cell r="B355" t="str">
            <v>春节红包</v>
          </cell>
          <cell r="C355" t="str">
            <v>新年特制红包，有几率获得18元宝、88元宝或888元宝惊喜过新年。</v>
          </cell>
        </row>
        <row r="356">
          <cell r="A356">
            <v>14428</v>
          </cell>
          <cell r="B356" t="str">
            <v>饺子</v>
          </cell>
          <cell r="C356" t="str">
            <v>充满年味的饺子，在节日兑换中使用。</v>
          </cell>
        </row>
        <row r="357">
          <cell r="A357">
            <v>14429</v>
          </cell>
          <cell r="B357" t="str">
            <v>中国结</v>
          </cell>
          <cell r="C357" t="str">
            <v>代表着团结幸福平安的中国结，在节日兑换中使用。</v>
          </cell>
        </row>
        <row r="358">
          <cell r="A358">
            <v>14430</v>
          </cell>
          <cell r="B358" t="str">
            <v>红灯笼</v>
          </cell>
          <cell r="C358" t="str">
            <v>欢庆佳节！在节日兑换中使用。</v>
          </cell>
        </row>
        <row r="359">
          <cell r="A359">
            <v>14431</v>
          </cell>
          <cell r="B359" t="str">
            <v>炮竹</v>
          </cell>
          <cell r="C359" t="str">
            <v>庆贺用的炮竹，在节日兑换中使用。</v>
          </cell>
        </row>
        <row r="360">
          <cell r="A360">
            <v>14432</v>
          </cell>
          <cell r="B360" t="str">
            <v>汤圆</v>
          </cell>
          <cell r="C360" t="str">
            <v>欢度元宵！在节日兑换中使用。</v>
          </cell>
        </row>
        <row r="361">
          <cell r="A361">
            <v>14433</v>
          </cell>
          <cell r="B361" t="str">
            <v>元宵礼盒</v>
          </cell>
          <cell r="C361" t="str">
            <v>庆佳节特制礼盒，打开后可以获得惊喜礼物。</v>
          </cell>
        </row>
        <row r="362">
          <cell r="A362">
            <v>14501</v>
          </cell>
          <cell r="B362" t="str">
            <v>紫色伙伴宝箱</v>
          </cell>
          <cell r="C362" t="str">
            <v>随机获得紫品伙伴</v>
          </cell>
        </row>
        <row r="363">
          <cell r="A363">
            <v>14502</v>
          </cell>
          <cell r="B363" t="str">
            <v>橙色伙伴宝箱</v>
          </cell>
          <cell r="C363" t="str">
            <v>随机获得橙品伙伴</v>
          </cell>
        </row>
        <row r="364">
          <cell r="A364">
            <v>14503</v>
          </cell>
          <cell r="B364" t="str">
            <v>极品橙色伙伴宝箱</v>
          </cell>
          <cell r="C364" t="str">
            <v>随机获得橙品伙伴</v>
          </cell>
        </row>
        <row r="365">
          <cell r="A365">
            <v>14504</v>
          </cell>
          <cell r="B365" t="str">
            <v>全套蓝色散装宝箱</v>
          </cell>
          <cell r="C365" t="str">
            <v>获得整套蓝色散件装备（4件）</v>
          </cell>
        </row>
        <row r="366">
          <cell r="A366">
            <v>14505</v>
          </cell>
          <cell r="B366" t="str">
            <v>橙16伙伴碎片选择箱</v>
          </cell>
          <cell r="C366" t="str">
            <v>选择橙16品伙伴碎片</v>
          </cell>
        </row>
        <row r="367">
          <cell r="A367">
            <v>14506</v>
          </cell>
          <cell r="B367" t="str">
            <v>橙13伙伴碎片选择箱</v>
          </cell>
          <cell r="C367" t="str">
            <v>选择橙13品伙伴碎片</v>
          </cell>
        </row>
        <row r="368">
          <cell r="A368">
            <v>14507</v>
          </cell>
          <cell r="B368" t="str">
            <v>橙16仙将碎片选择箱</v>
          </cell>
          <cell r="C368" t="str">
            <v>选择16品仙族伙伴碎片</v>
          </cell>
        </row>
        <row r="369">
          <cell r="A369">
            <v>14508</v>
          </cell>
          <cell r="B369" t="str">
            <v>橙16佛将碎片选择箱</v>
          </cell>
          <cell r="C369" t="str">
            <v>选择16品佛族伙伴碎片</v>
          </cell>
        </row>
        <row r="370">
          <cell r="A370">
            <v>14509</v>
          </cell>
          <cell r="B370" t="str">
            <v>橙16妖将碎片选择箱</v>
          </cell>
          <cell r="C370" t="str">
            <v>选择16品妖族伙伴碎片</v>
          </cell>
        </row>
        <row r="371">
          <cell r="A371">
            <v>14510</v>
          </cell>
          <cell r="B371" t="str">
            <v>橙13仙将碎片选择箱</v>
          </cell>
          <cell r="C371" t="str">
            <v>选择13品仙族伙伴碎片</v>
          </cell>
        </row>
        <row r="372">
          <cell r="A372">
            <v>14511</v>
          </cell>
          <cell r="B372" t="str">
            <v>橙13佛将碎片选择箱</v>
          </cell>
          <cell r="C372" t="str">
            <v>选择13品佛族伙伴碎片</v>
          </cell>
        </row>
        <row r="373">
          <cell r="A373">
            <v>14512</v>
          </cell>
          <cell r="B373" t="str">
            <v>橙13妖将碎片选择箱</v>
          </cell>
          <cell r="C373" t="str">
            <v>选择13品妖族伙伴碎片</v>
          </cell>
        </row>
        <row r="374">
          <cell r="A374">
            <v>14513</v>
          </cell>
          <cell r="B374" t="str">
            <v>橙色装备碎片选择箱</v>
          </cell>
          <cell r="C374" t="str">
            <v>选择1个橙色装备碎片</v>
          </cell>
        </row>
        <row r="375">
          <cell r="A375">
            <v>14514</v>
          </cell>
          <cell r="B375" t="str">
            <v>橙色法宝碎片选择箱</v>
          </cell>
          <cell r="C375" t="str">
            <v>选择1个橙色法宝碎片</v>
          </cell>
        </row>
        <row r="376">
          <cell r="A376">
            <v>14515</v>
          </cell>
          <cell r="B376" t="str">
            <v>橙16防御伙伴选择箱</v>
          </cell>
          <cell r="C376" t="str">
            <v>打开后可以任意选择一名橙色16品质防御职业伙伴</v>
          </cell>
        </row>
        <row r="377">
          <cell r="A377">
            <v>14516</v>
          </cell>
          <cell r="B377" t="str">
            <v>橙16输出伙伴选择箱</v>
          </cell>
          <cell r="C377" t="str">
            <v>打开后可以任意选择一名橙色16品质输出职业伙伴</v>
          </cell>
        </row>
        <row r="378">
          <cell r="A378">
            <v>14517</v>
          </cell>
          <cell r="B378" t="str">
            <v>橙16伙伴选择箱</v>
          </cell>
          <cell r="C378" t="str">
            <v>打开后可以任意选择一名橙色16品质伙伴</v>
          </cell>
        </row>
        <row r="379">
          <cell r="A379">
            <v>14518</v>
          </cell>
          <cell r="B379" t="str">
            <v>橙16伙伴随机箱</v>
          </cell>
          <cell r="C379" t="str">
            <v>打开后将会随机获得一名橙色16品质的伙伴</v>
          </cell>
        </row>
        <row r="380">
          <cell r="A380">
            <v>14519</v>
          </cell>
          <cell r="B380" t="str">
            <v>橙13防御伙伴选择箱</v>
          </cell>
          <cell r="C380" t="str">
            <v>打开后可以任意选择一名橙色13品质防御职业伙伴</v>
          </cell>
        </row>
        <row r="381">
          <cell r="A381">
            <v>14520</v>
          </cell>
          <cell r="B381" t="str">
            <v>橙13输出伙伴选择箱</v>
          </cell>
          <cell r="C381" t="str">
            <v>打开后可以任意选择一名橙色13品质输出职业伙伴</v>
          </cell>
        </row>
        <row r="382">
          <cell r="A382">
            <v>14521</v>
          </cell>
          <cell r="B382" t="str">
            <v>橙13辅助伙伴选择箱</v>
          </cell>
          <cell r="C382" t="str">
            <v>打开后可以任意选择一名橙色13品质辅助职业伙伴</v>
          </cell>
        </row>
        <row r="383">
          <cell r="A383">
            <v>14522</v>
          </cell>
          <cell r="B383" t="str">
            <v>橙13伙伴选择箱</v>
          </cell>
          <cell r="C383" t="str">
            <v>打开后可以任意选择一名橙色13品质伙伴</v>
          </cell>
        </row>
        <row r="384">
          <cell r="A384">
            <v>14523</v>
          </cell>
          <cell r="B384" t="str">
            <v>橙13伙伴随机箱</v>
          </cell>
          <cell r="C384" t="str">
            <v>打开后将会随机获得一名橙色13品质的伙伴</v>
          </cell>
        </row>
        <row r="385">
          <cell r="A385">
            <v>14524</v>
          </cell>
          <cell r="B385" t="str">
            <v>橙装碎片随机箱</v>
          </cell>
          <cell r="C385" t="str">
            <v>打开后可以随机获得一枚橙色装备碎片</v>
          </cell>
        </row>
        <row r="386">
          <cell r="A386">
            <v>14525</v>
          </cell>
          <cell r="B386" t="str">
            <v>橙色散装碎片选择箱</v>
          </cell>
          <cell r="C386" t="str">
            <v>打开后可以任意选择一枚散件橙色装备碎片</v>
          </cell>
        </row>
        <row r="387">
          <cell r="A387">
            <v>14526</v>
          </cell>
          <cell r="B387" t="str">
            <v>橙色散装选择箱</v>
          </cell>
          <cell r="C387" t="str">
            <v>可选一件散件橙色装备（无套装属性）</v>
          </cell>
        </row>
        <row r="388">
          <cell r="A388">
            <v>14527</v>
          </cell>
          <cell r="B388" t="str">
            <v>降魔套装选择箱</v>
          </cell>
          <cell r="C388" t="str">
            <v>可选一件降魔装备（橙色）</v>
          </cell>
        </row>
        <row r="389">
          <cell r="A389">
            <v>14528</v>
          </cell>
          <cell r="B389" t="str">
            <v>天罡套装选择箱</v>
          </cell>
          <cell r="C389" t="str">
            <v>可选一件天罡装备（橙色）</v>
          </cell>
        </row>
        <row r="390">
          <cell r="A390">
            <v>14529</v>
          </cell>
          <cell r="B390" t="str">
            <v>橙色装备随机箱</v>
          </cell>
          <cell r="C390" t="str">
            <v>打开后可以随机获一件橙色装备</v>
          </cell>
        </row>
        <row r="391">
          <cell r="A391">
            <v>14530</v>
          </cell>
          <cell r="B391" t="str">
            <v>紫色散装选择箱</v>
          </cell>
          <cell r="C391" t="str">
            <v>可选一件散件紫色装备（无套装属性）</v>
          </cell>
        </row>
        <row r="392">
          <cell r="A392">
            <v>14531</v>
          </cell>
          <cell r="B392" t="str">
            <v>封魔套装选择箱</v>
          </cell>
          <cell r="C392" t="str">
            <v>可选一件封魔装备（紫色）</v>
          </cell>
        </row>
        <row r="393">
          <cell r="A393">
            <v>14532</v>
          </cell>
          <cell r="B393" t="str">
            <v>磐石套装选择箱</v>
          </cell>
          <cell r="C393" t="str">
            <v>可选一件磐石装备（紫色）</v>
          </cell>
        </row>
        <row r="394">
          <cell r="A394">
            <v>14533</v>
          </cell>
          <cell r="B394" t="str">
            <v>破魔套装宝箱</v>
          </cell>
          <cell r="C394" t="str">
            <v>打开获得整套的破魔装备（4件）</v>
          </cell>
        </row>
        <row r="395">
          <cell r="A395">
            <v>14534</v>
          </cell>
          <cell r="B395" t="str">
            <v>护卫套装宝箱</v>
          </cell>
          <cell r="C395" t="str">
            <v>打开获得整套的护卫装备（4件）</v>
          </cell>
        </row>
        <row r="396">
          <cell r="A396">
            <v>14535</v>
          </cell>
          <cell r="B396" t="str">
            <v>橙色法宝选择箱</v>
          </cell>
          <cell r="C396" t="str">
            <v>可选一件橙色法宝</v>
          </cell>
        </row>
        <row r="397">
          <cell r="A397">
            <v>14536</v>
          </cell>
          <cell r="B397" t="str">
            <v>橙色套装选择箱</v>
          </cell>
          <cell r="C397" t="str">
            <v>打开后选择获得降魔套装选择箱x1或天罡套装选择箱x1</v>
          </cell>
        </row>
        <row r="398">
          <cell r="A398">
            <v>14537</v>
          </cell>
          <cell r="B398" t="str">
            <v>橙13伙伴随机*1 蓝色套装*1</v>
          </cell>
          <cell r="C398" t="str">
            <v>打开后可以获得橙13品武将随机箱*1，雁虞套装宝箱*1</v>
          </cell>
        </row>
        <row r="399">
          <cell r="A399">
            <v>14538</v>
          </cell>
          <cell r="B399" t="str">
            <v>高级法宝碎片*20 精力之心*2</v>
          </cell>
          <cell r="C399" t="str">
            <v>打开后可以获得高级法宝碎片箱*20（有几率开出橙色法宝碎片），精力之心*2</v>
          </cell>
        </row>
        <row r="400">
          <cell r="A400">
            <v>14539</v>
          </cell>
          <cell r="B400" t="str">
            <v>高级法宝碎片*30 进阶丹*1000</v>
          </cell>
          <cell r="C400" t="str">
            <v>打开后可以获得高级法宝碎片箱*30（有几率开出橙色法宝碎片），进阶丹*1000</v>
          </cell>
        </row>
        <row r="401">
          <cell r="A401">
            <v>14540</v>
          </cell>
          <cell r="B401" t="str">
            <v>橙色装备碎片*20 神兵进阶石*400</v>
          </cell>
          <cell r="C401" t="str">
            <v>打开后可以获得橙色装备碎片箱*20，神兵进阶石*400</v>
          </cell>
        </row>
        <row r="402">
          <cell r="A402">
            <v>14541</v>
          </cell>
          <cell r="B402" t="str">
            <v>橙色装备选择箱*1 神兵进阶石*400</v>
          </cell>
          <cell r="C402" t="str">
            <v>打开后可以获得橙色装备选择箱箱*1，神兵进阶石*400</v>
          </cell>
        </row>
        <row r="403">
          <cell r="A403">
            <v>14542</v>
          </cell>
          <cell r="B403" t="str">
            <v>橙色装备碎片*10 装备精炼石*800 洗练突破丹*100</v>
          </cell>
          <cell r="C403" t="str">
            <v>打开后可以获得橙色装备碎片箱*10，装备精炼石*800，洗练突破丹*100</v>
          </cell>
        </row>
        <row r="404">
          <cell r="A404">
            <v>14543</v>
          </cell>
          <cell r="B404" t="str">
            <v>橙色装备碎片*20 装备精炼石*1200 洗练突破丹*200</v>
          </cell>
          <cell r="C404" t="str">
            <v>打开后可以获得橙色装备碎片箱*20，装备精炼石*1200，洗练突破丹*200</v>
          </cell>
        </row>
        <row r="405">
          <cell r="A405">
            <v>14544</v>
          </cell>
          <cell r="B405" t="str">
            <v>橙13伙伴碎片选择箱*60 精魄*2000 刷新令*150</v>
          </cell>
          <cell r="C405" t="str">
            <v>打开后可以获得橙13品武将碎片选择箱*60，精魄*2000，刷新令*150</v>
          </cell>
        </row>
        <row r="406">
          <cell r="A406">
            <v>14545</v>
          </cell>
          <cell r="B406" t="str">
            <v>橙13伙伴碎片选择箱*100 精魄*3000 刷新令*200</v>
          </cell>
          <cell r="C406" t="str">
            <v>打开后可以获得橙13品武将碎片选择箱*100，精魄*3000，刷新令*200</v>
          </cell>
        </row>
        <row r="407">
          <cell r="A407">
            <v>14546</v>
          </cell>
          <cell r="B407" t="str">
            <v>橙色法宝随机箱*15 法宝精炼石*1000</v>
          </cell>
          <cell r="C407" t="str">
            <v>打开后可以获得橙色法宝随机箱*15，法宝精炼石*1000</v>
          </cell>
        </row>
        <row r="408">
          <cell r="A408">
            <v>14547</v>
          </cell>
          <cell r="B408" t="str">
            <v>橙色法宝随机箱*20 法宝精炼石*1200</v>
          </cell>
          <cell r="C408" t="str">
            <v>打开后可以获得橙色法宝随机箱*20，法宝精炼石*1200</v>
          </cell>
        </row>
        <row r="409">
          <cell r="A409">
            <v>14548</v>
          </cell>
          <cell r="B409" t="str">
            <v>橙色法宝选择箱*10 神兵精华*80</v>
          </cell>
          <cell r="C409" t="str">
            <v>打开后可以获得橙色法宝选择箱*10，神兵精华*80</v>
          </cell>
        </row>
        <row r="410">
          <cell r="A410">
            <v>14549</v>
          </cell>
          <cell r="B410" t="str">
            <v>橙色装备选择箱*1 神兵精华*120</v>
          </cell>
          <cell r="C410" t="str">
            <v>打开后可以获得橙色装备选择箱*1，神兵精华*120</v>
          </cell>
        </row>
        <row r="411">
          <cell r="A411">
            <v>14550</v>
          </cell>
          <cell r="B411" t="str">
            <v>橙色法宝随机箱</v>
          </cell>
          <cell r="C411" t="str">
            <v>打开后可以随机获得一件橙色法宝</v>
          </cell>
        </row>
        <row r="412">
          <cell r="A412">
            <v>14551</v>
          </cell>
          <cell r="B412" t="str">
            <v>高级法宝随机箱</v>
          </cell>
          <cell r="C412" t="str">
            <v>打开后有几率获得橙色法宝</v>
          </cell>
        </row>
        <row r="413">
          <cell r="A413">
            <v>14552</v>
          </cell>
          <cell r="B413" t="str">
            <v>橙色装备选择箱</v>
          </cell>
          <cell r="C413" t="str">
            <v>打开后可以任意选择橙色装备一件</v>
          </cell>
        </row>
        <row r="414">
          <cell r="A414">
            <v>14553</v>
          </cell>
          <cell r="B414" t="str">
            <v>橙色防御伙伴礼包</v>
          </cell>
          <cell r="C414" t="str">
            <v>打开后可以在混世魔王，东海龙王，迦叶中选择一个</v>
          </cell>
        </row>
        <row r="415">
          <cell r="A415">
            <v>14554</v>
          </cell>
          <cell r="B415" t="str">
            <v>(孙悟空,紫霞,哪吒)三选一</v>
          </cell>
          <cell r="C415" t="str">
            <v>打开后可以在孙悟空，紫霞，哪吒中选择一个</v>
          </cell>
        </row>
        <row r="416">
          <cell r="A416">
            <v>14555</v>
          </cell>
          <cell r="B416" t="str">
            <v>首充极品橙将选择箱</v>
          </cell>
          <cell r="C416" t="str">
            <v>打开后可以在彩蝶仙童，女儿国国王，太白金星中选择一个</v>
          </cell>
        </row>
        <row r="417">
          <cell r="A417">
            <v>14556</v>
          </cell>
          <cell r="B417" t="str">
            <v>紫色法宝随机箱</v>
          </cell>
          <cell r="C417" t="str">
            <v>打开后随机获得1个带属性的紫色法宝</v>
          </cell>
        </row>
        <row r="418">
          <cell r="A418">
            <v>14557</v>
          </cell>
          <cell r="B418" t="str">
            <v>橙13伙伴随机箱</v>
          </cell>
          <cell r="C418" t="str">
            <v>打开后可以随机获得一个橙13伙伴</v>
          </cell>
        </row>
        <row r="419">
          <cell r="A419">
            <v>14558</v>
          </cell>
          <cell r="B419" t="str">
            <v>橙16辅助伙伴选择箱</v>
          </cell>
          <cell r="C419" t="str">
            <v>打开后可以任意选择一名橙色16品质辅助职业伙伴</v>
          </cell>
        </row>
        <row r="420">
          <cell r="A420">
            <v>14559</v>
          </cell>
          <cell r="B420" t="str">
            <v>红色仙将选择箱</v>
          </cell>
          <cell r="C420" t="str">
            <v>选择1个红色仙族伙伴</v>
          </cell>
        </row>
        <row r="421">
          <cell r="A421">
            <v>14560</v>
          </cell>
          <cell r="B421" t="str">
            <v>红色佛将选择箱</v>
          </cell>
          <cell r="C421" t="str">
            <v>选择1个红色佛族伙伴</v>
          </cell>
        </row>
        <row r="422">
          <cell r="A422">
            <v>14561</v>
          </cell>
          <cell r="B422" t="str">
            <v>红色妖将选择箱</v>
          </cell>
          <cell r="C422" t="str">
            <v>选择1个红色妖族伙伴</v>
          </cell>
        </row>
        <row r="423">
          <cell r="A423">
            <v>14562</v>
          </cell>
          <cell r="B423" t="str">
            <v>红色伙伴选择箱</v>
          </cell>
          <cell r="C423" t="str">
            <v>根据阵营选择1个红色伙伴</v>
          </cell>
        </row>
        <row r="424">
          <cell r="A424">
            <v>14563</v>
          </cell>
          <cell r="B424" t="str">
            <v>红色伙伴随机箱</v>
          </cell>
          <cell r="C424" t="str">
            <v>打开后随机获得1个红色伙伴</v>
          </cell>
        </row>
        <row r="425">
          <cell r="A425">
            <v>14564</v>
          </cell>
          <cell r="B425" t="str">
            <v>红色仙将碎片选择箱</v>
          </cell>
          <cell r="C425" t="str">
            <v>选择1个红色仙族伙伴碎片</v>
          </cell>
        </row>
        <row r="426">
          <cell r="A426">
            <v>14565</v>
          </cell>
          <cell r="B426" t="str">
            <v>红色佛将碎片选择箱</v>
          </cell>
          <cell r="C426" t="str">
            <v>选择1个红色佛族伙伴碎片</v>
          </cell>
        </row>
        <row r="427">
          <cell r="A427">
            <v>14566</v>
          </cell>
          <cell r="B427" t="str">
            <v>红色妖将碎片选择箱</v>
          </cell>
          <cell r="C427" t="str">
            <v>选择1个红色妖族伙伴碎片</v>
          </cell>
        </row>
        <row r="428">
          <cell r="A428">
            <v>14567</v>
          </cell>
          <cell r="B428" t="str">
            <v>红色伙伴碎片选择箱</v>
          </cell>
          <cell r="C428" t="str">
            <v>选择1个红色伙伴碎片</v>
          </cell>
        </row>
        <row r="429">
          <cell r="A429">
            <v>14568</v>
          </cell>
          <cell r="B429" t="str">
            <v>红色伙伴碎片随机箱</v>
          </cell>
          <cell r="C429" t="str">
            <v>打开后随机获得1个红色伙伴碎片</v>
          </cell>
        </row>
        <row r="430">
          <cell r="A430">
            <v>14569</v>
          </cell>
          <cell r="B430" t="str">
            <v>近战红将选择箱</v>
          </cell>
          <cell r="C430" t="str">
            <v>选择1个近战型红色伙伴</v>
          </cell>
        </row>
        <row r="431">
          <cell r="A431">
            <v>14570</v>
          </cell>
          <cell r="B431" t="str">
            <v>远程红将选择箱</v>
          </cell>
          <cell r="C431" t="str">
            <v>选择1个远程型红色伙伴</v>
          </cell>
        </row>
        <row r="432">
          <cell r="A432">
            <v>14571</v>
          </cell>
          <cell r="B432" t="str">
            <v>红色伙伴选择箱</v>
          </cell>
          <cell r="C432" t="str">
            <v>根据职业选择1个红色伙伴</v>
          </cell>
        </row>
        <row r="433">
          <cell r="A433">
            <v>14572</v>
          </cell>
          <cell r="B433" t="str">
            <v>红色神兵碎片选择箱</v>
          </cell>
          <cell r="C433" t="str">
            <v>根据阵营选择1个红色神兵碎片</v>
          </cell>
        </row>
        <row r="434">
          <cell r="A434">
            <v>14573</v>
          </cell>
          <cell r="B434" t="str">
            <v>橙16神兵碎片选择箱</v>
          </cell>
          <cell r="C434" t="str">
            <v>根据阵营选择橙16品神兵碎片</v>
          </cell>
        </row>
        <row r="435">
          <cell r="A435">
            <v>14574</v>
          </cell>
          <cell r="B435" t="str">
            <v>橙13神兵碎片选择箱</v>
          </cell>
          <cell r="C435" t="str">
            <v>根据阵营选择橙13品神兵碎片</v>
          </cell>
        </row>
        <row r="436">
          <cell r="A436">
            <v>14575</v>
          </cell>
          <cell r="B436" t="str">
            <v>橙16仙将神兵选择箱</v>
          </cell>
          <cell r="C436" t="str">
            <v>选择一个16品仙族神兵碎片</v>
          </cell>
        </row>
        <row r="437">
          <cell r="A437">
            <v>14576</v>
          </cell>
          <cell r="B437" t="str">
            <v>橙16佛将神兵选择箱</v>
          </cell>
          <cell r="C437" t="str">
            <v>选择一个16品佛族神兵碎片</v>
          </cell>
        </row>
        <row r="438">
          <cell r="A438">
            <v>14577</v>
          </cell>
          <cell r="B438" t="str">
            <v>橙16妖将神兵选择箱</v>
          </cell>
          <cell r="C438" t="str">
            <v>选择一个16品妖族神兵碎片</v>
          </cell>
        </row>
        <row r="439">
          <cell r="A439">
            <v>14578</v>
          </cell>
          <cell r="B439" t="str">
            <v>橙13仙将神兵选择箱</v>
          </cell>
          <cell r="C439" t="str">
            <v>选择一个13品仙族神兵碎片</v>
          </cell>
        </row>
        <row r="440">
          <cell r="A440">
            <v>14579</v>
          </cell>
          <cell r="B440" t="str">
            <v>橙13佛将神兵选择箱</v>
          </cell>
          <cell r="C440" t="str">
            <v>选择一个13品佛族神兵碎片</v>
          </cell>
        </row>
        <row r="441">
          <cell r="A441">
            <v>14580</v>
          </cell>
          <cell r="B441" t="str">
            <v>橙13妖将神兵选择箱</v>
          </cell>
          <cell r="C441" t="str">
            <v>选择一个13品妖族神兵碎片</v>
          </cell>
        </row>
        <row r="442">
          <cell r="A442">
            <v>14581</v>
          </cell>
          <cell r="B442" t="str">
            <v>红色神兵碎片随机箱</v>
          </cell>
          <cell r="C442" t="str">
            <v>随机获得1个红色神兵碎片</v>
          </cell>
        </row>
        <row r="443">
          <cell r="A443">
            <v>14582</v>
          </cell>
          <cell r="B443" t="str">
            <v>橙16神兵碎片随机箱</v>
          </cell>
          <cell r="C443" t="str">
            <v>随机获得1个橙16神兵碎片</v>
          </cell>
        </row>
        <row r="444">
          <cell r="A444">
            <v>14583</v>
          </cell>
          <cell r="B444" t="str">
            <v>橙13神兵碎片随机箱</v>
          </cell>
          <cell r="C444" t="str">
            <v>随机获得1个橙13神兵碎片</v>
          </cell>
        </row>
        <row r="445">
          <cell r="A445">
            <v>14584</v>
          </cell>
          <cell r="B445" t="str">
            <v>近战红将碎片选择箱</v>
          </cell>
          <cell r="C445" t="str">
            <v>选择1个近战型红色伙伴碎片</v>
          </cell>
        </row>
        <row r="446">
          <cell r="A446">
            <v>14585</v>
          </cell>
          <cell r="B446" t="str">
            <v>远程红将碎片选择箱</v>
          </cell>
          <cell r="C446" t="str">
            <v>选择1个远程型红色伙伴碎片</v>
          </cell>
        </row>
        <row r="447">
          <cell r="A447">
            <v>14586</v>
          </cell>
          <cell r="B447" t="str">
            <v>红色法宝碎片选择箱</v>
          </cell>
          <cell r="C447" t="str">
            <v>选择获得1个红色法宝碎片</v>
          </cell>
        </row>
        <row r="448">
          <cell r="A448">
            <v>14587</v>
          </cell>
          <cell r="B448" t="str">
            <v>红色法宝选择箱</v>
          </cell>
          <cell r="C448" t="str">
            <v>选择获得1个红色法宝</v>
          </cell>
        </row>
        <row r="449">
          <cell r="A449">
            <v>14588</v>
          </cell>
          <cell r="B449" t="str">
            <v>红色装备碎片选择箱</v>
          </cell>
          <cell r="C449" t="str">
            <v>选择获得1个红色装备碎片</v>
          </cell>
        </row>
        <row r="450">
          <cell r="A450">
            <v>14589</v>
          </cell>
          <cell r="B450" t="str">
            <v>红色装备选择箱</v>
          </cell>
          <cell r="C450" t="str">
            <v>选择获得1个红色装备</v>
          </cell>
        </row>
        <row r="451">
          <cell r="A451">
            <v>14590</v>
          </cell>
          <cell r="B451" t="str">
            <v>猴毛</v>
          </cell>
          <cell r="C451" t="str">
            <v>可以抵扣任意1次72变转换消耗</v>
          </cell>
        </row>
        <row r="452">
          <cell r="A452">
            <v>15001</v>
          </cell>
          <cell r="B452" t="str">
            <v>铜钱宝箱-24</v>
          </cell>
          <cell r="C452" t="str">
            <v>打开获得1000铜钱</v>
          </cell>
        </row>
        <row r="453">
          <cell r="A453">
            <v>15002</v>
          </cell>
          <cell r="B453" t="str">
            <v>铜钱宝箱-25</v>
          </cell>
          <cell r="C453" t="str">
            <v>打开获得1000铜钱</v>
          </cell>
        </row>
        <row r="454">
          <cell r="A454">
            <v>15003</v>
          </cell>
          <cell r="B454" t="str">
            <v>铜钱宝箱-26</v>
          </cell>
          <cell r="C454" t="str">
            <v>打开获得1000铜钱</v>
          </cell>
        </row>
        <row r="455">
          <cell r="A455">
            <v>15004</v>
          </cell>
          <cell r="B455" t="str">
            <v>铜钱宝箱-27</v>
          </cell>
          <cell r="C455" t="str">
            <v>打开获得1000铜钱</v>
          </cell>
        </row>
        <row r="456">
          <cell r="A456">
            <v>16001</v>
          </cell>
          <cell r="B456" t="str">
            <v>百炼陨石</v>
          </cell>
          <cell r="C456" t="str">
            <v>精炼武器道具</v>
          </cell>
        </row>
        <row r="457">
          <cell r="A457">
            <v>16002</v>
          </cell>
          <cell r="B457" t="str">
            <v>附灵玉石</v>
          </cell>
          <cell r="C457" t="str">
            <v>精炼护甲道具</v>
          </cell>
        </row>
        <row r="458">
          <cell r="A458">
            <v>16003</v>
          </cell>
          <cell r="B458" t="str">
            <v>九天晶石</v>
          </cell>
          <cell r="C458" t="str">
            <v>精炼头盔道具</v>
          </cell>
        </row>
        <row r="459">
          <cell r="A459">
            <v>16004</v>
          </cell>
          <cell r="B459" t="str">
            <v>飞星灵石</v>
          </cell>
          <cell r="C459" t="str">
            <v>精炼鞋道具</v>
          </cell>
        </row>
        <row r="460">
          <cell r="A460">
            <v>16005</v>
          </cell>
          <cell r="B460" t="str">
            <v>装备精炼石</v>
          </cell>
          <cell r="C460" t="str">
            <v>装备精炼必需的材料</v>
          </cell>
        </row>
        <row r="461">
          <cell r="A461">
            <v>16006</v>
          </cell>
          <cell r="B461" t="str">
            <v>核心精炼石</v>
          </cell>
          <cell r="C461" t="str">
            <v>装备核心精炼石</v>
          </cell>
        </row>
        <row r="462">
          <cell r="A462">
            <v>16007</v>
          </cell>
          <cell r="B462" t="str">
            <v>专属装备精炼箱</v>
          </cell>
          <cell r="C462" t="str">
            <v>获得装备专属精炼石</v>
          </cell>
        </row>
        <row r="463">
          <cell r="A463">
            <v>16008</v>
          </cell>
          <cell r="B463" t="str">
            <v>普通伙伴进阶箱</v>
          </cell>
          <cell r="C463" t="str">
            <v>精炼专有道具</v>
          </cell>
        </row>
        <row r="464">
          <cell r="A464">
            <v>16009</v>
          </cell>
          <cell r="B464" t="str">
            <v>困难伙伴进阶箱</v>
          </cell>
          <cell r="C464" t="str">
            <v>精炼专有道具</v>
          </cell>
        </row>
        <row r="465">
          <cell r="A465">
            <v>16010</v>
          </cell>
          <cell r="B465" t="str">
            <v>洗炼突破丹</v>
          </cell>
          <cell r="C465" t="str">
            <v>角色洗炼突破的材料</v>
          </cell>
        </row>
        <row r="466">
          <cell r="A466">
            <v>16011</v>
          </cell>
          <cell r="B466" t="str">
            <v>天雷符</v>
          </cell>
          <cell r="C466" t="str">
            <v>元灵重塑专属灵符</v>
          </cell>
        </row>
        <row r="467">
          <cell r="A467">
            <v>16501</v>
          </cell>
          <cell r="B467" t="str">
            <v>洗髓丹</v>
          </cell>
          <cell r="C467" t="str">
            <v>3阶蓝材料1</v>
          </cell>
        </row>
        <row r="468">
          <cell r="A468">
            <v>16502</v>
          </cell>
          <cell r="B468" t="str">
            <v>易经丹</v>
          </cell>
          <cell r="C468" t="str">
            <v>3阶蓝材料2</v>
          </cell>
        </row>
        <row r="469">
          <cell r="A469">
            <v>16503</v>
          </cell>
          <cell r="B469" t="str">
            <v>武神真元</v>
          </cell>
          <cell r="C469" t="str">
            <v>主角进阶丹</v>
          </cell>
        </row>
        <row r="470">
          <cell r="A470">
            <v>16600</v>
          </cell>
          <cell r="B470" t="str">
            <v>vip0礼包</v>
          </cell>
          <cell r="C470" t="str">
            <v>vip0登陆奖励</v>
          </cell>
        </row>
        <row r="471">
          <cell r="A471">
            <v>16601</v>
          </cell>
          <cell r="B471" t="str">
            <v>vip1礼包</v>
          </cell>
          <cell r="C471" t="str">
            <v>vip1登陆奖励</v>
          </cell>
        </row>
        <row r="472">
          <cell r="A472">
            <v>16602</v>
          </cell>
          <cell r="B472" t="str">
            <v>vip2礼包</v>
          </cell>
          <cell r="C472" t="str">
            <v>vip2登陆奖励</v>
          </cell>
        </row>
        <row r="473">
          <cell r="A473">
            <v>16603</v>
          </cell>
          <cell r="B473" t="str">
            <v>vip3礼包</v>
          </cell>
          <cell r="C473" t="str">
            <v>vip3登陆奖励</v>
          </cell>
        </row>
        <row r="474">
          <cell r="A474">
            <v>16604</v>
          </cell>
          <cell r="B474" t="str">
            <v>vip4礼包</v>
          </cell>
          <cell r="C474" t="str">
            <v>vip4登陆奖励</v>
          </cell>
        </row>
        <row r="475">
          <cell r="A475">
            <v>16605</v>
          </cell>
          <cell r="B475" t="str">
            <v>vip5礼包</v>
          </cell>
          <cell r="C475" t="str">
            <v>vip5登陆奖励</v>
          </cell>
        </row>
        <row r="476">
          <cell r="A476">
            <v>16606</v>
          </cell>
          <cell r="B476" t="str">
            <v>vip6礼包</v>
          </cell>
          <cell r="C476" t="str">
            <v>vip6登陆奖励</v>
          </cell>
        </row>
        <row r="477">
          <cell r="A477">
            <v>16607</v>
          </cell>
          <cell r="B477" t="str">
            <v>vip7礼包</v>
          </cell>
          <cell r="C477" t="str">
            <v>vip7登陆奖励</v>
          </cell>
        </row>
        <row r="478">
          <cell r="A478">
            <v>16608</v>
          </cell>
          <cell r="B478" t="str">
            <v>vip8礼包</v>
          </cell>
          <cell r="C478" t="str">
            <v>vip8登陆奖励</v>
          </cell>
        </row>
        <row r="479">
          <cell r="A479">
            <v>16609</v>
          </cell>
          <cell r="B479" t="str">
            <v>vip9礼包</v>
          </cell>
          <cell r="C479" t="str">
            <v>vip9登陆奖励</v>
          </cell>
        </row>
        <row r="480">
          <cell r="A480">
            <v>16610</v>
          </cell>
          <cell r="B480" t="str">
            <v>vip10礼包</v>
          </cell>
          <cell r="C480" t="str">
            <v>vip10登陆奖励</v>
          </cell>
        </row>
        <row r="481">
          <cell r="A481">
            <v>16611</v>
          </cell>
          <cell r="B481" t="str">
            <v>vip11礼包</v>
          </cell>
          <cell r="C481" t="str">
            <v>vip11登陆奖励</v>
          </cell>
        </row>
        <row r="482">
          <cell r="A482">
            <v>16612</v>
          </cell>
          <cell r="B482" t="str">
            <v>vip12礼包</v>
          </cell>
          <cell r="C482" t="str">
            <v>vip12登陆奖励</v>
          </cell>
        </row>
        <row r="483">
          <cell r="A483">
            <v>16613</v>
          </cell>
          <cell r="B483" t="str">
            <v>vip13礼包</v>
          </cell>
          <cell r="C483" t="str">
            <v>vip13登陆奖励</v>
          </cell>
        </row>
        <row r="484">
          <cell r="A484">
            <v>16614</v>
          </cell>
          <cell r="B484" t="str">
            <v>vip14礼包</v>
          </cell>
          <cell r="C484" t="str">
            <v>vip14登陆奖励</v>
          </cell>
        </row>
        <row r="485">
          <cell r="A485">
            <v>16615</v>
          </cell>
          <cell r="B485" t="str">
            <v>vip15礼包</v>
          </cell>
          <cell r="C485" t="str">
            <v>vip15登陆奖励</v>
          </cell>
        </row>
        <row r="486">
          <cell r="A486">
            <v>17000</v>
          </cell>
          <cell r="B486" t="str">
            <v>神兵强化石</v>
          </cell>
          <cell r="C486" t="str">
            <v>神兵强化必需的材料</v>
          </cell>
        </row>
        <row r="487">
          <cell r="A487">
            <v>17001</v>
          </cell>
          <cell r="B487" t="str">
            <v>神兵进阶石</v>
          </cell>
          <cell r="C487" t="str">
            <v>神兵进阶主要的材料</v>
          </cell>
        </row>
        <row r="488">
          <cell r="A488">
            <v>17002</v>
          </cell>
          <cell r="B488" t="str">
            <v>神兵精华</v>
          </cell>
          <cell r="C488" t="str">
            <v>神兵进阶必需的材料（无产出，不投放）</v>
          </cell>
        </row>
        <row r="489">
          <cell r="A489">
            <v>17101</v>
          </cell>
          <cell r="B489" t="str">
            <v>凤鸣折翼剑碎片</v>
          </cell>
          <cell r="C489" t="str">
            <v>女主角的神兵碎片</v>
          </cell>
        </row>
        <row r="490">
          <cell r="A490">
            <v>17102</v>
          </cell>
          <cell r="B490" t="str">
            <v>主角神兵碎片</v>
          </cell>
          <cell r="C490" t="str">
            <v>主角的神兵碎片</v>
          </cell>
        </row>
        <row r="491">
          <cell r="A491">
            <v>17103</v>
          </cell>
          <cell r="B491" t="str">
            <v>红莲岩泉碎片</v>
          </cell>
          <cell r="C491" t="str">
            <v>哪吒的神兵碎片</v>
          </cell>
        </row>
        <row r="492">
          <cell r="A492">
            <v>17104</v>
          </cell>
          <cell r="B492" t="str">
            <v>斗神镇狱棒碎片</v>
          </cell>
          <cell r="C492" t="str">
            <v>斗战胜佛的神兵碎片</v>
          </cell>
        </row>
        <row r="493">
          <cell r="A493">
            <v>17105</v>
          </cell>
          <cell r="B493" t="str">
            <v>三尖两刃刀碎片</v>
          </cell>
          <cell r="C493" t="str">
            <v>二郎神的神兵碎片</v>
          </cell>
        </row>
        <row r="494">
          <cell r="A494">
            <v>17106</v>
          </cell>
          <cell r="B494" t="str">
            <v>玲珑天晶塔碎片</v>
          </cell>
          <cell r="C494" t="str">
            <v>托塔天王的神兵碎片</v>
          </cell>
        </row>
        <row r="495">
          <cell r="A495">
            <v>17107</v>
          </cell>
          <cell r="B495" t="str">
            <v>明王摧城碎片</v>
          </cell>
          <cell r="C495" t="str">
            <v>虎力大仙的神兵碎片</v>
          </cell>
        </row>
        <row r="496">
          <cell r="A496">
            <v>17108</v>
          </cell>
          <cell r="B496" t="str">
            <v>上宝沁金钯碎片</v>
          </cell>
          <cell r="C496" t="str">
            <v>猪八戒的神兵碎片</v>
          </cell>
        </row>
        <row r="497">
          <cell r="A497">
            <v>17109</v>
          </cell>
          <cell r="B497" t="str">
            <v>昆仑神木珠碎片</v>
          </cell>
          <cell r="C497" t="str">
            <v>弥勒佛的神兵碎片</v>
          </cell>
        </row>
        <row r="498">
          <cell r="A498">
            <v>17110</v>
          </cell>
          <cell r="B498" t="str">
            <v>浮沉三世碎片</v>
          </cell>
          <cell r="C498" t="str">
            <v>金蝉子的神兵碎片</v>
          </cell>
        </row>
        <row r="499">
          <cell r="A499">
            <v>17111</v>
          </cell>
          <cell r="B499" t="str">
            <v>斩鬼流岩碎片</v>
          </cell>
          <cell r="C499" t="str">
            <v>黑无常的神兵碎片</v>
          </cell>
        </row>
        <row r="500">
          <cell r="A500">
            <v>17112</v>
          </cell>
          <cell r="B500" t="str">
            <v>修罗开山斧碎片</v>
          </cell>
          <cell r="C500" t="str">
            <v>牛魔王的神兵碎片</v>
          </cell>
        </row>
        <row r="501">
          <cell r="A501">
            <v>17113</v>
          </cell>
          <cell r="B501" t="str">
            <v>如意金箍棒碎片</v>
          </cell>
          <cell r="C501" t="str">
            <v>孙悟空的神兵碎片</v>
          </cell>
        </row>
        <row r="502">
          <cell r="A502">
            <v>17114</v>
          </cell>
          <cell r="B502" t="str">
            <v>如意鸾凤簪碎片</v>
          </cell>
          <cell r="C502" t="str">
            <v>王母娘娘的神兵碎片</v>
          </cell>
        </row>
        <row r="503">
          <cell r="A503">
            <v>17115</v>
          </cell>
          <cell r="B503" t="str">
            <v>绝魂领悟碎片</v>
          </cell>
          <cell r="C503" t="str">
            <v>白无常的神兵碎片</v>
          </cell>
        </row>
        <row r="504">
          <cell r="A504">
            <v>17116</v>
          </cell>
          <cell r="B504" t="str">
            <v>降妖宝杖碎片</v>
          </cell>
          <cell r="C504" t="str">
            <v>沙和尚的神兵碎片</v>
          </cell>
        </row>
        <row r="505">
          <cell r="A505">
            <v>17117</v>
          </cell>
          <cell r="B505" t="str">
            <v>天慧法杖碎片</v>
          </cell>
          <cell r="C505" t="str">
            <v>文殊菩萨的神兵碎片</v>
          </cell>
        </row>
        <row r="506">
          <cell r="A506">
            <v>17118</v>
          </cell>
          <cell r="B506" t="str">
            <v>深海碎霜碎片</v>
          </cell>
          <cell r="C506" t="str">
            <v>龙帝的神兵碎片</v>
          </cell>
        </row>
        <row r="507">
          <cell r="A507">
            <v>17119</v>
          </cell>
          <cell r="B507" t="str">
            <v>焚焰溯流碎片</v>
          </cell>
          <cell r="C507" t="str">
            <v>八部天龙的神兵碎片</v>
          </cell>
        </row>
        <row r="508">
          <cell r="A508">
            <v>17120</v>
          </cell>
          <cell r="B508" t="str">
            <v>追风紫罗带碎片</v>
          </cell>
          <cell r="C508" t="str">
            <v>嫦娥的神兵碎片</v>
          </cell>
        </row>
        <row r="509">
          <cell r="A509">
            <v>17121</v>
          </cell>
          <cell r="B509" t="str">
            <v>碧海定沁丹碎片</v>
          </cell>
          <cell r="C509" t="str">
            <v>九天玄女的神兵碎片</v>
          </cell>
        </row>
        <row r="510">
          <cell r="A510">
            <v>17122</v>
          </cell>
          <cell r="B510" t="str">
            <v>沉星芭蕉扇碎片</v>
          </cell>
          <cell r="C510" t="str">
            <v>铁扇公主的神兵碎片</v>
          </cell>
        </row>
        <row r="511">
          <cell r="A511">
            <v>17123</v>
          </cell>
          <cell r="B511" t="str">
            <v>白骨幡碎片</v>
          </cell>
          <cell r="C511" t="str">
            <v>白骨夫人的神兵碎片</v>
          </cell>
        </row>
        <row r="512">
          <cell r="A512">
            <v>17124</v>
          </cell>
          <cell r="B512" t="str">
            <v>紫青玄铁剑碎片</v>
          </cell>
          <cell r="C512" t="str">
            <v>紫霞仙子的神兵碎片</v>
          </cell>
        </row>
        <row r="513">
          <cell r="A513">
            <v>17125</v>
          </cell>
          <cell r="B513" t="str">
            <v>羊脂玉净瓶碎片</v>
          </cell>
          <cell r="C513" t="str">
            <v>观世音的神兵碎片</v>
          </cell>
        </row>
        <row r="514">
          <cell r="A514">
            <v>17126</v>
          </cell>
          <cell r="B514" t="str">
            <v>龙凤双环碎片</v>
          </cell>
          <cell r="C514" t="str">
            <v>鹿力大仙的神兵碎片</v>
          </cell>
        </row>
        <row r="515">
          <cell r="A515">
            <v>17127</v>
          </cell>
          <cell r="B515" t="str">
            <v>真火子母枪碎片</v>
          </cell>
          <cell r="C515" t="str">
            <v>红孩儿的神兵碎片</v>
          </cell>
        </row>
        <row r="516">
          <cell r="A516">
            <v>17128</v>
          </cell>
          <cell r="B516" t="str">
            <v>渊微凡尘碎片</v>
          </cell>
          <cell r="C516" t="str">
            <v>玉皇大帝的神兵碎片</v>
          </cell>
        </row>
        <row r="517">
          <cell r="A517">
            <v>17129</v>
          </cell>
          <cell r="B517" t="str">
            <v>海王戟碎片</v>
          </cell>
          <cell r="C517" t="str">
            <v>东海龙王的神兵碎片</v>
          </cell>
        </row>
        <row r="518">
          <cell r="A518">
            <v>17130</v>
          </cell>
          <cell r="B518" t="str">
            <v>混世蛇矛碎片</v>
          </cell>
          <cell r="C518" t="str">
            <v>混世魔王的神兵碎片</v>
          </cell>
        </row>
        <row r="519">
          <cell r="A519">
            <v>17131</v>
          </cell>
          <cell r="B519" t="str">
            <v>流星拳碎片</v>
          </cell>
          <cell r="C519" t="str">
            <v>迦叶的神兵碎片</v>
          </cell>
        </row>
        <row r="520">
          <cell r="A520">
            <v>17132</v>
          </cell>
          <cell r="B520" t="str">
            <v>人参糖葫芦碎片</v>
          </cell>
          <cell r="C520" t="str">
            <v>人参娃的神兵碎片</v>
          </cell>
        </row>
        <row r="521">
          <cell r="A521">
            <v>17133</v>
          </cell>
          <cell r="B521" t="str">
            <v>逆流白龙吟碎片</v>
          </cell>
          <cell r="C521" t="str">
            <v>小白龙的神兵碎片</v>
          </cell>
        </row>
        <row r="522">
          <cell r="A522">
            <v>17134</v>
          </cell>
          <cell r="B522" t="str">
            <v>猕猴斩魄刀碎片</v>
          </cell>
          <cell r="C522" t="str">
            <v>六耳猕猴的神兵碎片</v>
          </cell>
        </row>
        <row r="523">
          <cell r="A523">
            <v>17135</v>
          </cell>
          <cell r="B523" t="str">
            <v>判官笔碎片</v>
          </cell>
          <cell r="C523" t="str">
            <v>阎罗王的神兵碎片</v>
          </cell>
        </row>
        <row r="524">
          <cell r="A524">
            <v>17136</v>
          </cell>
          <cell r="B524" t="str">
            <v>琴瑟琵琶碎片</v>
          </cell>
          <cell r="C524" t="str">
            <v>蝎子精的神兵碎片</v>
          </cell>
        </row>
        <row r="525">
          <cell r="A525">
            <v>17137</v>
          </cell>
          <cell r="B525" t="str">
            <v>肚脐蛛网碎片</v>
          </cell>
          <cell r="C525" t="str">
            <v>蜘蛛精的神兵碎片</v>
          </cell>
        </row>
        <row r="526">
          <cell r="A526">
            <v>17138</v>
          </cell>
          <cell r="B526" t="str">
            <v>相思醉碎片</v>
          </cell>
          <cell r="C526" t="str">
            <v>女儿国国王的神兵碎片</v>
          </cell>
        </row>
        <row r="527">
          <cell r="A527">
            <v>17139</v>
          </cell>
          <cell r="B527" t="str">
            <v>太白金剑碎片</v>
          </cell>
          <cell r="C527" t="str">
            <v>太白金星的神兵碎片</v>
          </cell>
        </row>
        <row r="528">
          <cell r="A528">
            <v>17140</v>
          </cell>
          <cell r="B528" t="str">
            <v>羊角画戟碎片</v>
          </cell>
          <cell r="C528" t="str">
            <v>羊力大仙的神兵碎片</v>
          </cell>
        </row>
        <row r="529">
          <cell r="A529">
            <v>17141</v>
          </cell>
          <cell r="B529" t="str">
            <v>凝神花碎片</v>
          </cell>
          <cell r="C529" t="str">
            <v>彩蝶仙童的神兵碎片</v>
          </cell>
        </row>
        <row r="530">
          <cell r="A530">
            <v>17142</v>
          </cell>
          <cell r="B530" t="str">
            <v>九环锡杖碎片</v>
          </cell>
          <cell r="C530" t="str">
            <v>唐三藏的神兵碎片</v>
          </cell>
        </row>
        <row r="531">
          <cell r="A531">
            <v>17143</v>
          </cell>
          <cell r="B531" t="str">
            <v>吊莲仙灯碎片</v>
          </cell>
          <cell r="C531" t="str">
            <v>引魂仙子的神兵碎片</v>
          </cell>
        </row>
        <row r="532">
          <cell r="A532">
            <v>17144</v>
          </cell>
          <cell r="B532" t="str">
            <v>落樱神斧碎片</v>
          </cell>
          <cell r="C532" t="str">
            <v>赤脚大仙的神兵碎片</v>
          </cell>
        </row>
        <row r="533">
          <cell r="A533">
            <v>14591</v>
          </cell>
          <cell r="B533" t="str">
            <v>10级善恶功德宝箱</v>
          </cell>
          <cell r="C533" t="str">
            <v>打开后可以随机获得一件任意品质10级装备</v>
          </cell>
        </row>
        <row r="534">
          <cell r="A534">
            <v>14592</v>
          </cell>
          <cell r="B534" t="str">
            <v>20级善恶功德宝箱</v>
          </cell>
          <cell r="C534" t="str">
            <v>打开后可以随机获得一件任意品质20级装备</v>
          </cell>
        </row>
        <row r="535">
          <cell r="A535">
            <v>14593</v>
          </cell>
          <cell r="B535" t="str">
            <v>30级善恶功德宝箱</v>
          </cell>
          <cell r="C535" t="str">
            <v>打开后可以随机获得一件任意品质30级装备</v>
          </cell>
        </row>
        <row r="536">
          <cell r="A536">
            <v>14594</v>
          </cell>
          <cell r="B536" t="str">
            <v>40级天妖乱世宝箱</v>
          </cell>
          <cell r="C536" t="str">
            <v>打开后可以随机获得一件任意品质40级装备</v>
          </cell>
        </row>
        <row r="537">
          <cell r="A537">
            <v>14595</v>
          </cell>
          <cell r="B537" t="str">
            <v>50级天妖乱世宝箱</v>
          </cell>
          <cell r="C537" t="str">
            <v>打开后可以随机获得一件任意品质50级装备</v>
          </cell>
        </row>
        <row r="538">
          <cell r="A538">
            <v>14596</v>
          </cell>
          <cell r="B538" t="str">
            <v>60级天妖乱世宝箱</v>
          </cell>
          <cell r="C538" t="str">
            <v>打开后可以随机获得一件任意品质60级装备</v>
          </cell>
        </row>
        <row r="539">
          <cell r="A539">
            <v>14597</v>
          </cell>
          <cell r="B539" t="str">
            <v>70级五帝玲珑宝箱</v>
          </cell>
          <cell r="C539" t="str">
            <v>打开后可以随机获得一件任意品质70级装备</v>
          </cell>
        </row>
        <row r="540">
          <cell r="A540">
            <v>14598</v>
          </cell>
          <cell r="B540" t="str">
            <v>80级五帝玲珑宝箱</v>
          </cell>
          <cell r="C540" t="str">
            <v>打开后可以随机获得一件任意品质80级装备</v>
          </cell>
        </row>
        <row r="541">
          <cell r="A541">
            <v>14599</v>
          </cell>
          <cell r="B541" t="str">
            <v>90级五帝玲珑宝箱</v>
          </cell>
          <cell r="C541" t="str">
            <v>打开后可以随机获得一件任意品质90级装备</v>
          </cell>
        </row>
        <row r="542">
          <cell r="A542">
            <v>14600</v>
          </cell>
          <cell r="B542" t="str">
            <v>100级五帝玲珑宝箱</v>
          </cell>
          <cell r="C542" t="str">
            <v>打开后可以随机获得一件任意品质100级装备</v>
          </cell>
        </row>
        <row r="543">
          <cell r="A543">
            <v>14601</v>
          </cell>
          <cell r="B543" t="str">
            <v>110级天地秩序宝箱</v>
          </cell>
          <cell r="C543" t="str">
            <v>打开后可以随机获得一件任意品质110级装备</v>
          </cell>
        </row>
        <row r="544">
          <cell r="A544">
            <v>14602</v>
          </cell>
          <cell r="B544" t="str">
            <v>120级天地秩序宝箱</v>
          </cell>
          <cell r="C544" t="str">
            <v>打开后可以随机获得一件任意品质120级装备</v>
          </cell>
        </row>
        <row r="545">
          <cell r="A545">
            <v>14603</v>
          </cell>
          <cell r="B545" t="str">
            <v>130级天地秩序宝箱</v>
          </cell>
          <cell r="C545" t="str">
            <v>打开后可以随机获得一件任意品质130级装备</v>
          </cell>
        </row>
        <row r="546">
          <cell r="A546">
            <v>14604</v>
          </cell>
          <cell r="B546" t="str">
            <v>140级大道法则宝箱</v>
          </cell>
          <cell r="C546" t="str">
            <v>打开后可以随机获得一件任意品质140级装备</v>
          </cell>
        </row>
        <row r="547">
          <cell r="A547">
            <v>14605</v>
          </cell>
          <cell r="B547" t="str">
            <v>150级大道法则宝箱</v>
          </cell>
          <cell r="C547" t="str">
            <v>打开后可以随机获得一件任意品质150级装备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3"/>
      <sheetName val="Sheet2"/>
      <sheetName val="Sheet4"/>
      <sheetName val="Sheet5"/>
    </sheetNames>
    <sheetDataSet>
      <sheetData sheetId="0">
        <row r="1">
          <cell r="A1" t="str">
            <v>英雄ID
[字符串]
调用角色的唯一ID
1101-1500伙伴
1500-2000特殊伙伴（助战或者新手引导）
2000以上临时伙伴</v>
          </cell>
          <cell r="B1" t="str">
            <v>英雄名称
[字符串]</v>
          </cell>
          <cell r="C1" t="str">
            <v>英雄描述|英雄语录
[字符串]</v>
          </cell>
          <cell r="D1" t="str">
            <v>英雄是否在祭坛显示
[整型]
1=开放
2=隐藏无用</v>
          </cell>
          <cell r="E1" t="str">
            <v>英雄类型
1=仙
2=妖
3=佛
4=不显示
6=主角
可控制聚仙的显示，对应聚仙预览里面的标签</v>
          </cell>
          <cell r="F1" t="str">
            <v>战斗定位
1=辅助
2=远程
3=近战
4=防御
5=主角</v>
          </cell>
          <cell r="G1" t="str">
            <v>英雄职业描述(直接调用game_jobs表格里面的id)
1=辅助型
2=法攻型
3=物攻型
4=防御型</v>
          </cell>
          <cell r="H1" t="str">
            <v>职业介绍
直接填文字</v>
          </cell>
          <cell r="I1" t="str">
            <v>角色最大等级</v>
          </cell>
          <cell r="J1" t="str">
            <v>普通攻击
调用skill_main里面的id</v>
          </cell>
          <cell r="K1" t="str">
            <v>技能最大等级</v>
          </cell>
          <cell r="L1" t="str">
            <v>技能ID
[字符串数组]
调用skill_main里面的id</v>
          </cell>
          <cell r="M1" t="str">
            <v>公共技能ID
[字符串数组]
调用skill_main里面的id</v>
          </cell>
          <cell r="N1" t="str">
            <v>头像图片ID
[字符串数组]
调用game_res里面的id</v>
          </cell>
          <cell r="O1" t="str">
            <v>边框资源ID
[字符串]
调用game_res里面的id
此字段未用到，伙伴边框由伙伴品质决定。</v>
          </cell>
          <cell r="P1" t="str">
            <v>资源ID
调用game_res里面的id</v>
          </cell>
          <cell r="Q1" t="str">
            <v>在UI界面上模型缩放比例
默认大小=1（不缩放）
&lt;1--缩小
&gt;1--放大</v>
          </cell>
          <cell r="R1" t="str">
            <v>特效触发时机|特效ID[字符串数组]0=不触发1=出生时|表现包ID2=死亡时|表现包ID5=英雄面板独有7=英雄自带特效（永不删除）</v>
          </cell>
          <cell r="S1" t="str">
            <v xml:space="preserve">皮肤包ID(多个皮肤逗号隔开，根据填写顺序排列)
[字符串]
</v>
          </cell>
          <cell r="T1" t="str">
            <v>音效包ID
[字符串]</v>
          </cell>
          <cell r="U1" t="str">
            <v>初始品质
0=无品质
1=绿色
2=蓝色
3=紫色
4=橙13
5=橙16
6=红色</v>
          </cell>
          <cell r="BH1" t="str">
            <v xml:space="preserve">吞噬时消耗的金币
</v>
          </cell>
        </row>
        <row r="2">
          <cell r="A2" t="str">
            <v>npc_id</v>
          </cell>
          <cell r="B2" t="str">
            <v>name</v>
          </cell>
          <cell r="C2" t="str">
            <v>description</v>
          </cell>
          <cell r="D2" t="str">
            <v>hidden</v>
          </cell>
          <cell r="E2" t="str">
            <v>character_type</v>
          </cell>
          <cell r="F2" t="str">
            <v>combat_positioning</v>
          </cell>
          <cell r="G2" t="str">
            <v>hero_jobs</v>
          </cell>
          <cell r="H2" t="str">
            <v>job_desc</v>
          </cell>
          <cell r="I2" t="str">
            <v>lvl_max</v>
          </cell>
          <cell r="J2" t="str">
            <v>attack_id</v>
          </cell>
          <cell r="K2" t="str">
            <v>skill_max</v>
          </cell>
          <cell r="L2" t="str">
            <v>skill_id</v>
          </cell>
          <cell r="M2" t="str">
            <v>common_skill_id</v>
          </cell>
          <cell r="N2" t="str">
            <v>avatar_icon</v>
          </cell>
          <cell r="O2" t="str">
            <v>hero_biankuang</v>
          </cell>
          <cell r="P2" t="str">
            <v>model_id</v>
          </cell>
          <cell r="Q2" t="str">
            <v>ui_model_scale</v>
          </cell>
          <cell r="R2" t="str">
            <v>effect_id</v>
          </cell>
          <cell r="S2" t="str">
            <v>skin_id</v>
          </cell>
          <cell r="T2" t="str">
            <v>music_id</v>
          </cell>
          <cell r="U2" t="str">
            <v>pinzhi</v>
          </cell>
          <cell r="BH2" t="str">
            <v>npc_costjinbi</v>
          </cell>
        </row>
        <row r="3">
          <cell r="A3" t="str">
            <v>s</v>
          </cell>
          <cell r="B3" t="str">
            <v>s</v>
          </cell>
          <cell r="C3" t="str">
            <v>s</v>
          </cell>
          <cell r="D3" t="str">
            <v>i</v>
          </cell>
          <cell r="E3" t="str">
            <v>i</v>
          </cell>
          <cell r="F3" t="str">
            <v>i</v>
          </cell>
          <cell r="G3" t="str">
            <v>s</v>
          </cell>
          <cell r="H3" t="str">
            <v>s</v>
          </cell>
          <cell r="I3" t="str">
            <v>i</v>
          </cell>
          <cell r="J3" t="str">
            <v>s</v>
          </cell>
          <cell r="K3" t="str">
            <v>i</v>
          </cell>
          <cell r="L3" t="str">
            <v>s</v>
          </cell>
          <cell r="M3" t="str">
            <v>s</v>
          </cell>
          <cell r="N3" t="str">
            <v>s</v>
          </cell>
          <cell r="O3" t="str">
            <v>s</v>
          </cell>
          <cell r="P3" t="str">
            <v>s</v>
          </cell>
          <cell r="Q3" t="str">
            <v>n</v>
          </cell>
          <cell r="R3" t="str">
            <v>s</v>
          </cell>
          <cell r="S3" t="str">
            <v>s</v>
          </cell>
          <cell r="T3" t="str">
            <v>s</v>
          </cell>
          <cell r="U3" t="str">
            <v>i</v>
          </cell>
          <cell r="BH3" t="str">
            <v>i</v>
          </cell>
        </row>
        <row r="4">
          <cell r="A4" t="str">
            <v>player</v>
          </cell>
          <cell r="B4" t="str">
            <v>女主角</v>
          </cell>
          <cell r="C4" t="str">
            <v>待我元灵重生，方可逆转未来</v>
          </cell>
          <cell r="D4">
            <v>1</v>
          </cell>
          <cell r="E4">
            <v>6</v>
          </cell>
          <cell r="F4">
            <v>5</v>
          </cell>
          <cell r="G4">
            <v>2</v>
          </cell>
          <cell r="H4" t="str">
            <v>主角，使用上阵伙伴赋予的专属技能战斗</v>
          </cell>
          <cell r="I4">
            <v>150</v>
          </cell>
          <cell r="J4" t="str">
            <v>nvzhujue_attack</v>
          </cell>
          <cell r="K4">
            <v>10</v>
          </cell>
          <cell r="L4" t="str">
            <v>[]</v>
          </cell>
          <cell r="M4" t="str">
            <v>common_fangyu,common_chaofeng</v>
          </cell>
          <cell r="N4" t="str">
            <v>head_nvzhujue</v>
          </cell>
          <cell r="O4" t="str">
            <v>lvsebiankuang</v>
          </cell>
          <cell r="P4" t="str">
            <v>nvzhujue_actor</v>
          </cell>
          <cell r="Q4">
            <v>1</v>
          </cell>
          <cell r="R4" t="str">
            <v>[]</v>
          </cell>
          <cell r="S4" t="str">
            <v>[]</v>
          </cell>
          <cell r="T4" t="str">
            <v>[]</v>
          </cell>
          <cell r="U4">
            <v>4</v>
          </cell>
          <cell r="BH4" t="str">
            <v>0</v>
          </cell>
        </row>
        <row r="5">
          <cell r="A5" t="str">
            <v>player2</v>
          </cell>
          <cell r="B5" t="str">
            <v>男主角</v>
          </cell>
          <cell r="C5" t="str">
            <v>我要逆天改命，重写西游真经</v>
          </cell>
          <cell r="D5">
            <v>1</v>
          </cell>
          <cell r="E5">
            <v>6</v>
          </cell>
          <cell r="F5">
            <v>5</v>
          </cell>
          <cell r="G5">
            <v>2</v>
          </cell>
          <cell r="H5" t="str">
            <v>主角，使用上阵伙伴赋予的专属技能战斗</v>
          </cell>
          <cell r="I5">
            <v>150</v>
          </cell>
          <cell r="J5" t="str">
            <v>nanzhujue_attack</v>
          </cell>
          <cell r="K5">
            <v>10</v>
          </cell>
          <cell r="L5" t="str">
            <v>[]</v>
          </cell>
          <cell r="M5" t="str">
            <v>common_fangyu,common_chaofeng</v>
          </cell>
          <cell r="N5" t="str">
            <v>head_nanzhujue</v>
          </cell>
          <cell r="O5" t="str">
            <v>lvsebiankuang</v>
          </cell>
          <cell r="P5" t="str">
            <v>nanzhujue_actor</v>
          </cell>
          <cell r="Q5">
            <v>0.9</v>
          </cell>
          <cell r="R5" t="str">
            <v>[]</v>
          </cell>
          <cell r="S5" t="str">
            <v>[]</v>
          </cell>
          <cell r="T5" t="str">
            <v>[]</v>
          </cell>
          <cell r="U5">
            <v>4</v>
          </cell>
          <cell r="BH5" t="str">
            <v>0</v>
          </cell>
        </row>
        <row r="6">
          <cell r="A6">
            <v>1102</v>
          </cell>
          <cell r="B6" t="str">
            <v>哪吒</v>
          </cell>
          <cell r="C6" t="str">
            <v>有两个不争气的哥哥，是我人生最大的败笔！</v>
          </cell>
          <cell r="D6">
            <v>1</v>
          </cell>
          <cell r="E6">
            <v>1</v>
          </cell>
          <cell r="F6">
            <v>3</v>
          </cell>
          <cell r="G6">
            <v>3</v>
          </cell>
          <cell r="H6" t="str">
            <v>物攻型，负责物理输出</v>
          </cell>
          <cell r="I6">
            <v>150</v>
          </cell>
          <cell r="J6" t="str">
            <v>nezha_attack</v>
          </cell>
          <cell r="K6">
            <v>10</v>
          </cell>
          <cell r="L6" t="str">
            <v>nezha_skill01,nezha_skill02,nezha_skill03,nezha_skill04</v>
          </cell>
          <cell r="M6" t="str">
            <v>common_fangyu,common_chaofeng</v>
          </cell>
          <cell r="N6" t="str">
            <v>head_nezha</v>
          </cell>
          <cell r="O6" t="str">
            <v>chengsebiankuang</v>
          </cell>
          <cell r="P6" t="str">
            <v>nezha_actor</v>
          </cell>
          <cell r="Q6">
            <v>1</v>
          </cell>
          <cell r="R6" t="str">
            <v>[]</v>
          </cell>
          <cell r="S6" t="str">
            <v>[]</v>
          </cell>
          <cell r="T6" t="str">
            <v>[]</v>
          </cell>
          <cell r="U6">
            <v>5</v>
          </cell>
          <cell r="BH6">
            <v>4000</v>
          </cell>
        </row>
        <row r="7">
          <cell r="A7">
            <v>1211</v>
          </cell>
          <cell r="B7" t="str">
            <v>斗战胜佛</v>
          </cell>
          <cell r="C7" t="str">
            <v>天若赐我辉煌，我定比天猖狂</v>
          </cell>
          <cell r="D7">
            <v>1</v>
          </cell>
          <cell r="E7">
            <v>3</v>
          </cell>
          <cell r="F7">
            <v>3</v>
          </cell>
          <cell r="G7">
            <v>3</v>
          </cell>
          <cell r="H7" t="str">
            <v>物攻型，负责物理输出</v>
          </cell>
          <cell r="I7">
            <v>150</v>
          </cell>
          <cell r="J7" t="str">
            <v>douzhanshengfo_attack</v>
          </cell>
          <cell r="K7">
            <v>10</v>
          </cell>
          <cell r="L7" t="str">
            <v>douzhanshengfo_skill01,douzhanshengfo_skill02,douzhanshengfo_skill03,douzhanshengfo_skill04</v>
          </cell>
          <cell r="M7" t="str">
            <v>common_fangyu,common_chaofeng</v>
          </cell>
          <cell r="N7" t="str">
            <v>head_douzhanshengfo</v>
          </cell>
          <cell r="O7" t="str">
            <v>chengsebiankuang</v>
          </cell>
          <cell r="P7" t="str">
            <v>douzhanshengfo_actor</v>
          </cell>
          <cell r="Q7">
            <v>1</v>
          </cell>
          <cell r="R7" t="str">
            <v>[]</v>
          </cell>
          <cell r="S7" t="str">
            <v>[]</v>
          </cell>
          <cell r="T7" t="str">
            <v>[]</v>
          </cell>
          <cell r="U7">
            <v>6</v>
          </cell>
          <cell r="BH7">
            <v>4000</v>
          </cell>
        </row>
        <row r="8">
          <cell r="A8">
            <v>1101</v>
          </cell>
          <cell r="B8" t="str">
            <v>二郎神</v>
          </cell>
          <cell r="C8" t="str">
            <v>二郎神在此，妖孽休得猖狂！</v>
          </cell>
          <cell r="D8">
            <v>1</v>
          </cell>
          <cell r="E8">
            <v>1</v>
          </cell>
          <cell r="F8">
            <v>3</v>
          </cell>
          <cell r="G8">
            <v>3</v>
          </cell>
          <cell r="H8" t="str">
            <v>物攻型，负责物理输出</v>
          </cell>
          <cell r="I8">
            <v>150</v>
          </cell>
          <cell r="J8" t="str">
            <v>erlangshen_attack</v>
          </cell>
          <cell r="K8">
            <v>10</v>
          </cell>
          <cell r="L8" t="str">
            <v>erlangshen_skill01,erlangshen_skill02,erlangshen_skill03,erlangshen_skill04</v>
          </cell>
          <cell r="M8" t="str">
            <v>common_fangyu,common_chaofeng</v>
          </cell>
          <cell r="N8" t="str">
            <v>head_erlangshen</v>
          </cell>
          <cell r="O8" t="str">
            <v>chengsebiankuang</v>
          </cell>
          <cell r="P8" t="str">
            <v>erlangshen_actor</v>
          </cell>
          <cell r="Q8">
            <v>1</v>
          </cell>
          <cell r="R8" t="str">
            <v>[]</v>
          </cell>
          <cell r="S8" t="str">
            <v>[]</v>
          </cell>
          <cell r="T8" t="str">
            <v>[]</v>
          </cell>
          <cell r="U8">
            <v>6</v>
          </cell>
          <cell r="BH8">
            <v>4000</v>
          </cell>
        </row>
        <row r="9">
          <cell r="A9">
            <v>1108</v>
          </cell>
          <cell r="B9" t="str">
            <v>托塔天王</v>
          </cell>
          <cell r="C9" t="str">
            <v>百分百空手接白刃。我不会。</v>
          </cell>
          <cell r="D9">
            <v>1</v>
          </cell>
          <cell r="E9">
            <v>1</v>
          </cell>
          <cell r="F9">
            <v>4</v>
          </cell>
          <cell r="G9">
            <v>4</v>
          </cell>
          <cell r="H9" t="str">
            <v>防御型，俗称肉盾，生命值高，防御力强</v>
          </cell>
          <cell r="I9">
            <v>150</v>
          </cell>
          <cell r="J9" t="str">
            <v>tuotatianwang_attack</v>
          </cell>
          <cell r="K9">
            <v>10</v>
          </cell>
          <cell r="L9" t="str">
            <v>tuotatianwang_skill01,tuotatianwang_skill02,tuotatianwang_skill03,tuotatianwang_skill04</v>
          </cell>
          <cell r="M9" t="str">
            <v>common_fangyu,common_chaofeng</v>
          </cell>
          <cell r="N9" t="str">
            <v>head_tuotatianwang</v>
          </cell>
          <cell r="O9" t="str">
            <v>chengsebiankuang</v>
          </cell>
          <cell r="P9" t="str">
            <v>tuotatianwang_actor</v>
          </cell>
          <cell r="Q9">
            <v>1</v>
          </cell>
          <cell r="R9" t="str">
            <v>[]</v>
          </cell>
          <cell r="S9" t="str">
            <v>[]</v>
          </cell>
          <cell r="T9" t="str">
            <v>[]</v>
          </cell>
          <cell r="U9">
            <v>5</v>
          </cell>
          <cell r="BH9">
            <v>4000</v>
          </cell>
        </row>
        <row r="10">
          <cell r="A10">
            <v>1113</v>
          </cell>
          <cell r="B10" t="str">
            <v>虎力大仙</v>
          </cell>
          <cell r="C10" t="str">
            <v>买鞋的钱，都拿来强化拳套了。</v>
          </cell>
          <cell r="D10">
            <v>1</v>
          </cell>
          <cell r="E10">
            <v>2</v>
          </cell>
          <cell r="F10">
            <v>4</v>
          </cell>
          <cell r="G10">
            <v>4</v>
          </cell>
          <cell r="H10" t="str">
            <v>防御型，俗称肉盾，生命值高，防御力强</v>
          </cell>
          <cell r="I10">
            <v>150</v>
          </cell>
          <cell r="J10" t="str">
            <v>hulidaxian_attack</v>
          </cell>
          <cell r="K10">
            <v>10</v>
          </cell>
          <cell r="L10" t="str">
            <v>hulidaxian_skill01,hulidaxian_skill02,hulidaxian_skill03,hulidaxian_skill04</v>
          </cell>
          <cell r="M10" t="str">
            <v>common_fangyu,common_chaofeng</v>
          </cell>
          <cell r="N10" t="str">
            <v>head_hulidaxian</v>
          </cell>
          <cell r="O10" t="str">
            <v>chengsebiankuang</v>
          </cell>
          <cell r="P10" t="str">
            <v>hulidaxian_actor</v>
          </cell>
          <cell r="Q10">
            <v>1</v>
          </cell>
          <cell r="R10" t="str">
            <v>[]</v>
          </cell>
          <cell r="S10" t="str">
            <v>[]</v>
          </cell>
          <cell r="T10" t="str">
            <v>[]</v>
          </cell>
          <cell r="U10">
            <v>5</v>
          </cell>
          <cell r="BH10">
            <v>4000</v>
          </cell>
        </row>
        <row r="11">
          <cell r="A11">
            <v>1120</v>
          </cell>
          <cell r="B11" t="str">
            <v>猪八戒</v>
          </cell>
          <cell r="C11" t="str">
            <v>想当年，我可是大名鼎鼎天蓬元帅！</v>
          </cell>
          <cell r="D11">
            <v>1</v>
          </cell>
          <cell r="E11">
            <v>2</v>
          </cell>
          <cell r="F11">
            <v>4</v>
          </cell>
          <cell r="G11">
            <v>4</v>
          </cell>
          <cell r="H11" t="str">
            <v>防御型，俗称肉盾，生命值高，防御力强</v>
          </cell>
          <cell r="I11">
            <v>150</v>
          </cell>
          <cell r="J11" t="str">
            <v>zhubajie_attack</v>
          </cell>
          <cell r="K11">
            <v>10</v>
          </cell>
          <cell r="L11" t="str">
            <v>zhubajie_skill01,zhubajie_skill02,zhubajie_skill03,zhubajie_skill04</v>
          </cell>
          <cell r="M11" t="str">
            <v>common_fangyu,common_chaofeng</v>
          </cell>
          <cell r="N11" t="str">
            <v>head_zhubajie</v>
          </cell>
          <cell r="O11" t="str">
            <v>chengsebiankuang</v>
          </cell>
          <cell r="P11" t="str">
            <v>zhubajie_actor</v>
          </cell>
          <cell r="Q11">
            <v>1</v>
          </cell>
          <cell r="R11" t="str">
            <v>[]</v>
          </cell>
          <cell r="S11" t="str">
            <v>[]</v>
          </cell>
          <cell r="T11" t="str">
            <v>[]</v>
          </cell>
          <cell r="U11">
            <v>5</v>
          </cell>
          <cell r="BH11">
            <v>4000</v>
          </cell>
        </row>
        <row r="12">
          <cell r="A12">
            <v>1127</v>
          </cell>
          <cell r="B12" t="str">
            <v>弥勒佛</v>
          </cell>
          <cell r="C12" t="str">
            <v>做人呢，既要有肚，也要有量！</v>
          </cell>
          <cell r="D12">
            <v>1</v>
          </cell>
          <cell r="E12">
            <v>3</v>
          </cell>
          <cell r="F12">
            <v>4</v>
          </cell>
          <cell r="G12">
            <v>4</v>
          </cell>
          <cell r="H12" t="str">
            <v>防御型，俗称肉盾，生命值高，防御力强</v>
          </cell>
          <cell r="I12">
            <v>150</v>
          </cell>
          <cell r="J12" t="str">
            <v>milefo_attack</v>
          </cell>
          <cell r="K12">
            <v>10</v>
          </cell>
          <cell r="L12" t="str">
            <v>milefo_skill01,milefo_skill02,milefo_skill03,milefo_skill04</v>
          </cell>
          <cell r="M12" t="str">
            <v>common_fangyu,common_chaofeng</v>
          </cell>
          <cell r="N12" t="str">
            <v>head_milefo</v>
          </cell>
          <cell r="O12" t="str">
            <v>chengsebiankuang</v>
          </cell>
          <cell r="P12" t="str">
            <v>milefo_actor</v>
          </cell>
          <cell r="Q12">
            <v>1</v>
          </cell>
          <cell r="R12" t="str">
            <v>[]</v>
          </cell>
          <cell r="S12" t="str">
            <v>[]</v>
          </cell>
          <cell r="T12" t="str">
            <v>[]</v>
          </cell>
          <cell r="U12">
            <v>5</v>
          </cell>
          <cell r="BH12">
            <v>4000</v>
          </cell>
        </row>
        <row r="13">
          <cell r="A13">
            <v>1212</v>
          </cell>
          <cell r="B13" t="str">
            <v>金蝉子</v>
          </cell>
          <cell r="C13" t="str">
            <v>想见如来？先得过我这关！</v>
          </cell>
          <cell r="D13">
            <v>1</v>
          </cell>
          <cell r="E13">
            <v>3</v>
          </cell>
          <cell r="F13">
            <v>4</v>
          </cell>
          <cell r="G13">
            <v>4</v>
          </cell>
          <cell r="H13" t="str">
            <v>防御型，俗称肉盾，生命值高，防御力强</v>
          </cell>
          <cell r="I13">
            <v>150</v>
          </cell>
          <cell r="J13" t="str">
            <v>jinchanzi_attack</v>
          </cell>
          <cell r="K13">
            <v>10</v>
          </cell>
          <cell r="L13" t="str">
            <v>jinchanzi_skill01,jinchanzi_skill02,jinchanzi_skill03,jinchanzi_skill04</v>
          </cell>
          <cell r="M13" t="str">
            <v>common_fangyu,common_chaofeng</v>
          </cell>
          <cell r="N13" t="str">
            <v>head_jinchanzi</v>
          </cell>
          <cell r="O13" t="str">
            <v>chengsebiankuang</v>
          </cell>
          <cell r="P13" t="str">
            <v>jinchanzi_actor</v>
          </cell>
          <cell r="Q13">
            <v>1</v>
          </cell>
          <cell r="R13" t="str">
            <v>[]</v>
          </cell>
          <cell r="S13" t="str">
            <v>[]</v>
          </cell>
          <cell r="T13" t="str">
            <v>[]</v>
          </cell>
          <cell r="U13">
            <v>5</v>
          </cell>
          <cell r="BH13">
            <v>4000</v>
          </cell>
        </row>
        <row r="14">
          <cell r="A14">
            <v>1219</v>
          </cell>
          <cell r="B14" t="str">
            <v>黑无常</v>
          </cell>
          <cell r="C14" t="str">
            <v>妖刀村雨，有死无生！</v>
          </cell>
          <cell r="D14">
            <v>1</v>
          </cell>
          <cell r="E14">
            <v>1</v>
          </cell>
          <cell r="F14">
            <v>4</v>
          </cell>
          <cell r="G14">
            <v>4</v>
          </cell>
          <cell r="H14" t="str">
            <v>防御型，俗称肉盾，生命值高，防御力强</v>
          </cell>
          <cell r="I14">
            <v>150</v>
          </cell>
          <cell r="J14" t="str">
            <v>heiwuchang_attack</v>
          </cell>
          <cell r="K14">
            <v>10</v>
          </cell>
          <cell r="L14" t="str">
            <v>heiwuchang_skill01,heiwuchang_skill02,heiwuchang_skill03,heiwuchang_skill04</v>
          </cell>
          <cell r="M14" t="str">
            <v>common_fangyu,common_chaofeng</v>
          </cell>
          <cell r="N14" t="str">
            <v>head_heiwuchang</v>
          </cell>
          <cell r="O14" t="str">
            <v>chengsebiankuang</v>
          </cell>
          <cell r="P14" t="str">
            <v>heiwuchang_actor</v>
          </cell>
          <cell r="Q14">
            <v>1</v>
          </cell>
          <cell r="R14" t="str">
            <v>[]</v>
          </cell>
          <cell r="S14" t="str">
            <v>[]</v>
          </cell>
          <cell r="T14" t="str">
            <v>[]</v>
          </cell>
          <cell r="U14">
            <v>5</v>
          </cell>
          <cell r="BH14">
            <v>4000</v>
          </cell>
        </row>
        <row r="15">
          <cell r="A15">
            <v>1112</v>
          </cell>
          <cell r="B15" t="str">
            <v>牛魔王</v>
          </cell>
          <cell r="C15" t="str">
            <v>死猴子，竟敢勾引我老婆！</v>
          </cell>
          <cell r="D15">
            <v>1</v>
          </cell>
          <cell r="E15">
            <v>2</v>
          </cell>
          <cell r="F15">
            <v>3</v>
          </cell>
          <cell r="G15">
            <v>3</v>
          </cell>
          <cell r="H15" t="str">
            <v>物攻型，负责物理输出</v>
          </cell>
          <cell r="I15">
            <v>150</v>
          </cell>
          <cell r="J15" t="str">
            <v>niumowang_attack</v>
          </cell>
          <cell r="K15">
            <v>10</v>
          </cell>
          <cell r="L15" t="str">
            <v>niumowang_skill01,niumowang_skill02,niumowang_skill03,niumowang_skill04</v>
          </cell>
          <cell r="M15" t="str">
            <v>common_fangyu,common_chaofeng</v>
          </cell>
          <cell r="N15" t="str">
            <v>head_niumowang</v>
          </cell>
          <cell r="O15" t="str">
            <v>chengsebiankuang</v>
          </cell>
          <cell r="P15" t="str">
            <v>niumowang_actor</v>
          </cell>
          <cell r="Q15">
            <v>1</v>
          </cell>
          <cell r="R15" t="str">
            <v>[]</v>
          </cell>
          <cell r="S15" t="str">
            <v>[]</v>
          </cell>
          <cell r="T15" t="str">
            <v>[]</v>
          </cell>
          <cell r="U15">
            <v>5</v>
          </cell>
          <cell r="BH15">
            <v>4000</v>
          </cell>
        </row>
        <row r="16">
          <cell r="A16">
            <v>1119</v>
          </cell>
          <cell r="B16" t="str">
            <v>孙悟空</v>
          </cell>
          <cell r="C16" t="str">
            <v>俺老孙要去拯救世界，取经这种事，别找俺！</v>
          </cell>
          <cell r="D16">
            <v>1</v>
          </cell>
          <cell r="E16">
            <v>2</v>
          </cell>
          <cell r="F16">
            <v>3</v>
          </cell>
          <cell r="G16">
            <v>3</v>
          </cell>
          <cell r="H16" t="str">
            <v>物攻型，负责物理输出</v>
          </cell>
          <cell r="I16">
            <v>150</v>
          </cell>
          <cell r="J16" t="str">
            <v>sunwukong_attack</v>
          </cell>
          <cell r="K16">
            <v>10</v>
          </cell>
          <cell r="L16" t="str">
            <v>sunwukong_skill01,sunwukong_skill02,sunwukong_skill03,sunwukong_skill04</v>
          </cell>
          <cell r="M16" t="str">
            <v>common_fangyu,common_chaofeng</v>
          </cell>
          <cell r="N16" t="str">
            <v>head_sunwukong</v>
          </cell>
          <cell r="O16" t="str">
            <v>chengsebiankuang</v>
          </cell>
          <cell r="P16" t="str">
            <v>sunwukong_actor</v>
          </cell>
          <cell r="Q16">
            <v>1</v>
          </cell>
          <cell r="R16" t="str">
            <v>[]</v>
          </cell>
          <cell r="S16" t="str">
            <v>[]</v>
          </cell>
          <cell r="T16" t="str">
            <v>[]</v>
          </cell>
          <cell r="U16">
            <v>6</v>
          </cell>
          <cell r="BH16">
            <v>4000</v>
          </cell>
        </row>
        <row r="17">
          <cell r="A17">
            <v>1105</v>
          </cell>
          <cell r="B17" t="str">
            <v>王母娘娘</v>
          </cell>
          <cell r="C17" t="str">
            <v>没有什么地方可以跟我的瑶池相比。</v>
          </cell>
          <cell r="D17">
            <v>1</v>
          </cell>
          <cell r="E17">
            <v>1</v>
          </cell>
          <cell r="F17">
            <v>2</v>
          </cell>
          <cell r="G17">
            <v>2</v>
          </cell>
          <cell r="H17" t="str">
            <v>法攻型，负责法术输出</v>
          </cell>
          <cell r="I17">
            <v>150</v>
          </cell>
          <cell r="J17" t="str">
            <v>wangmuniangniang_attack</v>
          </cell>
          <cell r="K17">
            <v>10</v>
          </cell>
          <cell r="L17" t="str">
            <v>wangmuniangniang_skill01,wangmuniangniang_skill02,wangmuniangniang_skill03,wangmuniangniang_skill04</v>
          </cell>
          <cell r="M17" t="str">
            <v>common_fangyu,common_chaofeng</v>
          </cell>
          <cell r="N17" t="str">
            <v>head_wangmuniangniang</v>
          </cell>
          <cell r="O17" t="str">
            <v>chengsebiankuang</v>
          </cell>
          <cell r="P17" t="str">
            <v>wangmuniangniang_actor</v>
          </cell>
          <cell r="Q17">
            <v>1</v>
          </cell>
          <cell r="R17" t="str">
            <v>[]</v>
          </cell>
          <cell r="S17" t="str">
            <v>[]</v>
          </cell>
          <cell r="T17" t="str">
            <v>[]</v>
          </cell>
          <cell r="U17">
            <v>6</v>
          </cell>
          <cell r="BH17">
            <v>4000</v>
          </cell>
        </row>
        <row r="18">
          <cell r="A18">
            <v>1218</v>
          </cell>
          <cell r="B18" t="str">
            <v>白无常</v>
          </cell>
          <cell r="C18" t="str">
            <v>灵魂就是要被禁锢的。</v>
          </cell>
          <cell r="D18">
            <v>1</v>
          </cell>
          <cell r="E18">
            <v>1</v>
          </cell>
          <cell r="F18">
            <v>2</v>
          </cell>
          <cell r="G18">
            <v>2</v>
          </cell>
          <cell r="H18" t="str">
            <v>法攻型，负责法术输出</v>
          </cell>
          <cell r="I18">
            <v>150</v>
          </cell>
          <cell r="J18" t="str">
            <v>baiwuchang_attack</v>
          </cell>
          <cell r="K18">
            <v>10</v>
          </cell>
          <cell r="L18" t="str">
            <v>baiwuchang_skill01,baiwuchang_skill02,baiwuchang_skill03,baiwuchang_skill04</v>
          </cell>
          <cell r="M18" t="str">
            <v>common_fangyu,common_chaofeng</v>
          </cell>
          <cell r="N18" t="str">
            <v>head_baiwuchang</v>
          </cell>
          <cell r="O18" t="str">
            <v>chengsebiankuang</v>
          </cell>
          <cell r="P18" t="str">
            <v>baiwuchang_actor</v>
          </cell>
          <cell r="Q18">
            <v>1</v>
          </cell>
          <cell r="R18" t="str">
            <v>[]</v>
          </cell>
          <cell r="S18" t="str">
            <v>[]</v>
          </cell>
          <cell r="T18" t="str">
            <v>[]</v>
          </cell>
          <cell r="U18">
            <v>5</v>
          </cell>
          <cell r="BH18">
            <v>4000</v>
          </cell>
        </row>
        <row r="19">
          <cell r="A19">
            <v>1124</v>
          </cell>
          <cell r="B19" t="str">
            <v>沙和尚</v>
          </cell>
          <cell r="C19" t="str">
            <v>大师兄，妖怪被师傅捉走啦~</v>
          </cell>
          <cell r="D19">
            <v>1</v>
          </cell>
          <cell r="E19">
            <v>2</v>
          </cell>
          <cell r="F19">
            <v>2</v>
          </cell>
          <cell r="G19">
            <v>2</v>
          </cell>
          <cell r="H19" t="str">
            <v>法攻型，负责法术输出</v>
          </cell>
          <cell r="I19">
            <v>150</v>
          </cell>
          <cell r="J19" t="str">
            <v>shaheshang_attack</v>
          </cell>
          <cell r="K19">
            <v>10</v>
          </cell>
          <cell r="L19" t="str">
            <v>shaheshang_skill01,shaheshang_skill02,shaheshang_skill03,shaheshang_skill04</v>
          </cell>
          <cell r="M19" t="str">
            <v>common_fangyu,common_chaofeng</v>
          </cell>
          <cell r="N19" t="str">
            <v>head_shaheshang</v>
          </cell>
          <cell r="O19" t="str">
            <v>chengsebiankuang</v>
          </cell>
          <cell r="P19" t="str">
            <v>shaheshang_actor</v>
          </cell>
          <cell r="Q19">
            <v>1</v>
          </cell>
          <cell r="R19" t="str">
            <v>[]</v>
          </cell>
          <cell r="S19" t="str">
            <v>[]</v>
          </cell>
          <cell r="T19" t="str">
            <v>[]</v>
          </cell>
          <cell r="U19">
            <v>6</v>
          </cell>
          <cell r="BH19">
            <v>4000</v>
          </cell>
        </row>
        <row r="20">
          <cell r="A20">
            <v>1126</v>
          </cell>
          <cell r="B20" t="str">
            <v>文殊菩萨</v>
          </cell>
          <cell r="C20" t="str">
            <v>紫霞，你区区一根灯芯，也配拥有幸福？</v>
          </cell>
          <cell r="D20">
            <v>1</v>
          </cell>
          <cell r="E20">
            <v>3</v>
          </cell>
          <cell r="F20">
            <v>1</v>
          </cell>
          <cell r="G20">
            <v>1</v>
          </cell>
          <cell r="H20" t="str">
            <v>辅助型，提供支援或给受伤的队友疗伤</v>
          </cell>
          <cell r="I20">
            <v>150</v>
          </cell>
          <cell r="J20" t="str">
            <v>wenshupusa_attack</v>
          </cell>
          <cell r="K20">
            <v>10</v>
          </cell>
          <cell r="L20" t="str">
            <v>wenshupusa_skill01,wenshupusa_skill02,wenshupusa_skill03,wenshupusa_skill04</v>
          </cell>
          <cell r="M20" t="str">
            <v>common_fangyu,common_chaofeng</v>
          </cell>
          <cell r="N20" t="str">
            <v>head_wenshupusa</v>
          </cell>
          <cell r="O20" t="str">
            <v>chengsebiankuang</v>
          </cell>
          <cell r="P20" t="str">
            <v>wenshupusa_actor</v>
          </cell>
          <cell r="Q20">
            <v>1</v>
          </cell>
          <cell r="R20" t="str">
            <v>[]</v>
          </cell>
          <cell r="S20" t="str">
            <v>[]</v>
          </cell>
          <cell r="T20" t="str">
            <v>[]</v>
          </cell>
          <cell r="U20">
            <v>4</v>
          </cell>
          <cell r="BH20">
            <v>4000</v>
          </cell>
        </row>
        <row r="21">
          <cell r="A21">
            <v>1213</v>
          </cell>
          <cell r="B21" t="str">
            <v>龙帝</v>
          </cell>
          <cell r="C21" t="str">
            <v>颤抖吧凡人，本大爷天生就浪！</v>
          </cell>
          <cell r="D21">
            <v>1</v>
          </cell>
          <cell r="E21">
            <v>3</v>
          </cell>
          <cell r="F21">
            <v>2</v>
          </cell>
          <cell r="G21">
            <v>2</v>
          </cell>
          <cell r="H21" t="str">
            <v>法攻型，负责法术输出</v>
          </cell>
          <cell r="I21">
            <v>150</v>
          </cell>
          <cell r="J21" t="str">
            <v>longdi_attack</v>
          </cell>
          <cell r="K21">
            <v>10</v>
          </cell>
          <cell r="L21" t="str">
            <v>longdi_skill01,longdi_skill02,longdi_skill03,longdi_skill04</v>
          </cell>
          <cell r="M21" t="str">
            <v>common_fangyu,common_chaofeng</v>
          </cell>
          <cell r="N21" t="str">
            <v>head_longdi</v>
          </cell>
          <cell r="O21" t="str">
            <v>chengsebiankuang</v>
          </cell>
          <cell r="P21" t="str">
            <v>longdi_actor</v>
          </cell>
          <cell r="Q21">
            <v>1</v>
          </cell>
          <cell r="R21" t="str">
            <v>[]</v>
          </cell>
          <cell r="S21" t="str">
            <v>[]</v>
          </cell>
          <cell r="T21" t="str">
            <v>[]</v>
          </cell>
          <cell r="U21">
            <v>5</v>
          </cell>
          <cell r="BH21">
            <v>4000</v>
          </cell>
        </row>
        <row r="22">
          <cell r="A22">
            <v>1214</v>
          </cell>
          <cell r="B22" t="str">
            <v>八部天龙</v>
          </cell>
          <cell r="C22" t="str">
            <v>纵行山河万里，肆意九州五岳</v>
          </cell>
          <cell r="D22">
            <v>1</v>
          </cell>
          <cell r="E22">
            <v>3</v>
          </cell>
          <cell r="F22">
            <v>3</v>
          </cell>
          <cell r="G22">
            <v>3</v>
          </cell>
          <cell r="H22" t="str">
            <v>物攻型，负责物理输出</v>
          </cell>
          <cell r="I22">
            <v>150</v>
          </cell>
          <cell r="J22" t="str">
            <v>babutianlong_attack</v>
          </cell>
          <cell r="K22">
            <v>10</v>
          </cell>
          <cell r="L22" t="str">
            <v>babutianlong_skill01,babutianlong_skill02,babutianlong_skill03,babutianlong_skill04</v>
          </cell>
          <cell r="M22" t="str">
            <v>common_fangyu,common_chaofeng</v>
          </cell>
          <cell r="N22" t="str">
            <v>head_babutianlong</v>
          </cell>
          <cell r="O22" t="str">
            <v>chengsebiankuang</v>
          </cell>
          <cell r="P22" t="str">
            <v>babutianlong_actor</v>
          </cell>
          <cell r="Q22">
            <v>1</v>
          </cell>
          <cell r="R22" t="str">
            <v>[]</v>
          </cell>
          <cell r="S22" t="str">
            <v>[]</v>
          </cell>
          <cell r="T22" t="str">
            <v>[]</v>
          </cell>
          <cell r="U22">
            <v>5</v>
          </cell>
          <cell r="BH22">
            <v>4000</v>
          </cell>
        </row>
        <row r="23">
          <cell r="A23">
            <v>1103</v>
          </cell>
          <cell r="B23" t="str">
            <v>嫦娥</v>
          </cell>
          <cell r="C23" t="str">
            <v>后羿又被拉去打排位了，好寂寞啊~</v>
          </cell>
          <cell r="D23">
            <v>1</v>
          </cell>
          <cell r="E23">
            <v>1</v>
          </cell>
          <cell r="F23">
            <v>1</v>
          </cell>
          <cell r="G23">
            <v>1</v>
          </cell>
          <cell r="H23" t="str">
            <v>辅助型，提供支援或给受伤的队友疗伤</v>
          </cell>
          <cell r="I23">
            <v>150</v>
          </cell>
          <cell r="J23" t="str">
            <v>change_attack</v>
          </cell>
          <cell r="K23">
            <v>10</v>
          </cell>
          <cell r="L23" t="str">
            <v>change_skill01,change_skill02,change_skill03,change_skill04</v>
          </cell>
          <cell r="M23" t="str">
            <v>common_fangyu,common_chaofeng</v>
          </cell>
          <cell r="N23" t="str">
            <v>head_change</v>
          </cell>
          <cell r="O23" t="str">
            <v>chengsebiankuang</v>
          </cell>
          <cell r="P23" t="str">
            <v>change_actor</v>
          </cell>
          <cell r="Q23">
            <v>1</v>
          </cell>
          <cell r="R23" t="str">
            <v>[]</v>
          </cell>
          <cell r="S23" t="str">
            <v>[]</v>
          </cell>
          <cell r="T23" t="str">
            <v>[]</v>
          </cell>
          <cell r="U23">
            <v>5</v>
          </cell>
          <cell r="BH23">
            <v>4000</v>
          </cell>
        </row>
        <row r="24">
          <cell r="A24">
            <v>1109</v>
          </cell>
          <cell r="B24" t="str">
            <v>九天玄女</v>
          </cell>
          <cell r="C24" t="str">
            <v xml:space="preserve">我的美貌，岂是嫦娥所能比的！ </v>
          </cell>
          <cell r="D24">
            <v>1</v>
          </cell>
          <cell r="E24">
            <v>1</v>
          </cell>
          <cell r="F24">
            <v>1</v>
          </cell>
          <cell r="G24">
            <v>1</v>
          </cell>
          <cell r="H24" t="str">
            <v>辅助型，提供支援或给受伤的队友疗伤</v>
          </cell>
          <cell r="I24">
            <v>150</v>
          </cell>
          <cell r="J24" t="str">
            <v>jiutianxuannv_attack</v>
          </cell>
          <cell r="K24">
            <v>10</v>
          </cell>
          <cell r="L24" t="str">
            <v>jiutianxuannv_skill01,jiutianxuannv_skill02,jiutianxuannv_skill03,jiutianxuannv_skill04</v>
          </cell>
          <cell r="M24" t="str">
            <v>common_fangyu,common_chaofeng</v>
          </cell>
          <cell r="N24" t="str">
            <v>head_jiutianxuannv</v>
          </cell>
          <cell r="O24" t="str">
            <v>chengsebiankuang</v>
          </cell>
          <cell r="P24" t="str">
            <v>jiutianxuannv_actor</v>
          </cell>
          <cell r="Q24">
            <v>1</v>
          </cell>
          <cell r="R24" t="str">
            <v>[]</v>
          </cell>
          <cell r="S24" t="str">
            <v>[]</v>
          </cell>
          <cell r="T24" t="str">
            <v>[]</v>
          </cell>
          <cell r="U24">
            <v>4</v>
          </cell>
          <cell r="BH24">
            <v>4000</v>
          </cell>
        </row>
        <row r="25">
          <cell r="A25">
            <v>1111</v>
          </cell>
          <cell r="B25" t="str">
            <v>铁扇公主</v>
          </cell>
          <cell r="C25" t="str">
            <v>之前还喊人家小甜甜，现在怎的喊我牛夫人了？</v>
          </cell>
          <cell r="D25">
            <v>1</v>
          </cell>
          <cell r="E25">
            <v>2</v>
          </cell>
          <cell r="F25">
            <v>2</v>
          </cell>
          <cell r="G25">
            <v>2</v>
          </cell>
          <cell r="H25" t="str">
            <v>法攻型，负责法术输出</v>
          </cell>
          <cell r="I25">
            <v>150</v>
          </cell>
          <cell r="J25" t="str">
            <v>tieshangongzhu_attack</v>
          </cell>
          <cell r="K25">
            <v>10</v>
          </cell>
          <cell r="L25" t="str">
            <v>tieshangongzhu_skill01,tieshangongzhu_skill02,tieshangongzhu_skill03,tieshangongzhu_skill04</v>
          </cell>
          <cell r="M25" t="str">
            <v>common_fangyu,common_chaofeng</v>
          </cell>
          <cell r="N25" t="str">
            <v>head_tieshangongzhu</v>
          </cell>
          <cell r="O25" t="str">
            <v>chengsebiankuang</v>
          </cell>
          <cell r="P25" t="str">
            <v>tieshangongzhu_actor</v>
          </cell>
          <cell r="Q25">
            <v>1</v>
          </cell>
          <cell r="R25" t="str">
            <v>[]</v>
          </cell>
          <cell r="S25" t="str">
            <v>[]</v>
          </cell>
          <cell r="T25" t="str">
            <v>[]</v>
          </cell>
          <cell r="U25">
            <v>5</v>
          </cell>
          <cell r="BH25">
            <v>4000</v>
          </cell>
        </row>
        <row r="26">
          <cell r="A26">
            <v>1116</v>
          </cell>
          <cell r="B26" t="str">
            <v>白骨夫人</v>
          </cell>
          <cell r="C26" t="str">
            <v>唐僧肉，我吃定了！</v>
          </cell>
          <cell r="D26">
            <v>1</v>
          </cell>
          <cell r="E26">
            <v>2</v>
          </cell>
          <cell r="F26">
            <v>1</v>
          </cell>
          <cell r="G26">
            <v>1</v>
          </cell>
          <cell r="H26" t="str">
            <v>辅助型，提供支援或给受伤的队友疗伤</v>
          </cell>
          <cell r="I26">
            <v>150</v>
          </cell>
          <cell r="J26" t="str">
            <v>baigufuren_attack</v>
          </cell>
          <cell r="K26">
            <v>10</v>
          </cell>
          <cell r="L26" t="str">
            <v>baigufuren_skill01,baigufuren_skill02,baigufuren_skill03,baigufuren_skill04</v>
          </cell>
          <cell r="M26" t="str">
            <v>common_fangyu,common_chaofeng</v>
          </cell>
          <cell r="N26" t="str">
            <v>head_baigufuren</v>
          </cell>
          <cell r="O26" t="str">
            <v>chengsebiankuang</v>
          </cell>
          <cell r="P26" t="str">
            <v>baigufuren_actor</v>
          </cell>
          <cell r="Q26">
            <v>1</v>
          </cell>
          <cell r="R26" t="str">
            <v>[]</v>
          </cell>
          <cell r="S26" t="str">
            <v>[]</v>
          </cell>
          <cell r="T26" t="str">
            <v>[]</v>
          </cell>
          <cell r="U26">
            <v>4</v>
          </cell>
          <cell r="BH26">
            <v>4000</v>
          </cell>
        </row>
        <row r="27">
          <cell r="A27">
            <v>1121</v>
          </cell>
          <cell r="B27" t="str">
            <v>紫霞仙子</v>
          </cell>
          <cell r="C27" t="str">
            <v>我的意中人是一个盖世英雄！</v>
          </cell>
          <cell r="D27">
            <v>1</v>
          </cell>
          <cell r="E27">
            <v>3</v>
          </cell>
          <cell r="F27">
            <v>2</v>
          </cell>
          <cell r="G27">
            <v>2</v>
          </cell>
          <cell r="H27" t="str">
            <v>法攻型，负责法术输出</v>
          </cell>
          <cell r="I27">
            <v>150</v>
          </cell>
          <cell r="J27" t="str">
            <v>zixiaxianzi_attack</v>
          </cell>
          <cell r="K27">
            <v>10</v>
          </cell>
          <cell r="L27" t="str">
            <v>zixiaxianzi_skill01,zixiaxianzi_skill02,zixiaxianzi_skill03,zixiaxianzi_skill04</v>
          </cell>
          <cell r="M27" t="str">
            <v>common_fangyu,common_chaofeng</v>
          </cell>
          <cell r="N27" t="str">
            <v>head_zixiaxianzi</v>
          </cell>
          <cell r="O27" t="str">
            <v>chengsebiankuang</v>
          </cell>
          <cell r="P27" t="str">
            <v>zixiaxianzi_actor</v>
          </cell>
          <cell r="Q27">
            <v>1.1000000000000001</v>
          </cell>
          <cell r="R27" t="str">
            <v>[]</v>
          </cell>
          <cell r="S27" t="str">
            <v>[]</v>
          </cell>
          <cell r="T27" t="str">
            <v>[]</v>
          </cell>
          <cell r="U27">
            <v>6</v>
          </cell>
          <cell r="BH27">
            <v>4000</v>
          </cell>
        </row>
        <row r="28">
          <cell r="A28">
            <v>1215</v>
          </cell>
          <cell r="B28" t="str">
            <v>观世音</v>
          </cell>
          <cell r="C28" t="str">
            <v>拯救世界，那是悟空的事，我只要看着就好。</v>
          </cell>
          <cell r="D28">
            <v>1</v>
          </cell>
          <cell r="E28">
            <v>3</v>
          </cell>
          <cell r="F28">
            <v>1</v>
          </cell>
          <cell r="G28">
            <v>1</v>
          </cell>
          <cell r="H28" t="str">
            <v>辅助型，提供支援或给受伤的队友疗伤</v>
          </cell>
          <cell r="I28">
            <v>150</v>
          </cell>
          <cell r="J28" t="str">
            <v>guanshiyin_attack</v>
          </cell>
          <cell r="K28">
            <v>10</v>
          </cell>
          <cell r="L28" t="str">
            <v>guanshiyin_skill01,guanshiyin_skill02,guanshiyin_skill03,guanshiyin_skill04</v>
          </cell>
          <cell r="M28" t="str">
            <v>common_fangyu,common_chaofeng</v>
          </cell>
          <cell r="N28" t="str">
            <v>head_guanshiyin</v>
          </cell>
          <cell r="O28" t="str">
            <v>chengsebiankuang</v>
          </cell>
          <cell r="P28" t="str">
            <v>guanshiyin_actor</v>
          </cell>
          <cell r="Q28">
            <v>1</v>
          </cell>
          <cell r="R28" t="str">
            <v>[]</v>
          </cell>
          <cell r="S28" t="str">
            <v>[]</v>
          </cell>
          <cell r="T28" t="str">
            <v>[]</v>
          </cell>
          <cell r="U28">
            <v>5</v>
          </cell>
          <cell r="BH28">
            <v>4000</v>
          </cell>
        </row>
        <row r="29">
          <cell r="A29">
            <v>1114</v>
          </cell>
          <cell r="B29" t="str">
            <v>鹿力大仙</v>
          </cell>
          <cell r="C29" t="str">
            <v>我家那笨兄长不知道又去哪里装神仙了！</v>
          </cell>
          <cell r="D29">
            <v>1</v>
          </cell>
          <cell r="E29">
            <v>2</v>
          </cell>
          <cell r="F29">
            <v>3</v>
          </cell>
          <cell r="G29">
            <v>3</v>
          </cell>
          <cell r="H29" t="str">
            <v>物攻型，负责物理输出</v>
          </cell>
          <cell r="I29">
            <v>150</v>
          </cell>
          <cell r="J29" t="str">
            <v>lulidaxian_attack</v>
          </cell>
          <cell r="K29">
            <v>10</v>
          </cell>
          <cell r="L29" t="str">
            <v>lulidaxian_skill01,lulidaxian_skill02,lulidaxian_skill03,lulidaxian_skill04</v>
          </cell>
          <cell r="M29" t="str">
            <v>common_fangyu,common_chaofeng</v>
          </cell>
          <cell r="N29" t="str">
            <v>head_lulidaxian</v>
          </cell>
          <cell r="O29" t="str">
            <v>chengsebiankuang</v>
          </cell>
          <cell r="P29" t="str">
            <v>lulidaxian_actor</v>
          </cell>
          <cell r="Q29">
            <v>1</v>
          </cell>
          <cell r="R29" t="str">
            <v>[]</v>
          </cell>
          <cell r="S29" t="str">
            <v>[]</v>
          </cell>
          <cell r="T29" t="str">
            <v>[]</v>
          </cell>
          <cell r="U29">
            <v>4</v>
          </cell>
          <cell r="BH29">
            <v>4000</v>
          </cell>
        </row>
        <row r="30">
          <cell r="A30">
            <v>1110</v>
          </cell>
          <cell r="B30" t="str">
            <v>红孩儿</v>
          </cell>
          <cell r="C30" t="str">
            <v>你是猴子请来搞笑的么？</v>
          </cell>
          <cell r="D30">
            <v>1</v>
          </cell>
          <cell r="E30">
            <v>3</v>
          </cell>
          <cell r="F30">
            <v>3</v>
          </cell>
          <cell r="G30">
            <v>3</v>
          </cell>
          <cell r="H30" t="str">
            <v>物攻型，负责物理输出</v>
          </cell>
          <cell r="I30">
            <v>150</v>
          </cell>
          <cell r="J30" t="str">
            <v>honghaier_attack</v>
          </cell>
          <cell r="K30">
            <v>10</v>
          </cell>
          <cell r="L30" t="str">
            <v>honghaier_skill01,honghaier_skill02,honghaier_skill03,honghaier_skill04</v>
          </cell>
          <cell r="M30" t="str">
            <v>common_fangyu,common_chaofeng</v>
          </cell>
          <cell r="N30" t="str">
            <v>head_honghaier</v>
          </cell>
          <cell r="O30" t="str">
            <v>chengsebiankuang</v>
          </cell>
          <cell r="P30" t="str">
            <v>honghaier_actor</v>
          </cell>
          <cell r="Q30">
            <v>1</v>
          </cell>
          <cell r="R30" t="str">
            <v>[]</v>
          </cell>
          <cell r="S30" t="str">
            <v>[]</v>
          </cell>
          <cell r="T30" t="str">
            <v>[]</v>
          </cell>
          <cell r="U30">
            <v>4</v>
          </cell>
          <cell r="BH30">
            <v>4000</v>
          </cell>
        </row>
        <row r="31">
          <cell r="A31">
            <v>1104</v>
          </cell>
          <cell r="B31" t="str">
            <v>玉皇大帝</v>
          </cell>
          <cell r="C31" t="str">
            <v>如来，早晚我会取代你！</v>
          </cell>
          <cell r="D31">
            <v>1</v>
          </cell>
          <cell r="E31">
            <v>1</v>
          </cell>
          <cell r="F31">
            <v>3</v>
          </cell>
          <cell r="G31">
            <v>3</v>
          </cell>
          <cell r="H31" t="str">
            <v>物攻型，负责物理输出</v>
          </cell>
          <cell r="I31">
            <v>150</v>
          </cell>
          <cell r="J31" t="str">
            <v>yuhuangdadi_attack</v>
          </cell>
          <cell r="K31">
            <v>10</v>
          </cell>
          <cell r="L31" t="str">
            <v>yuhuangdadi_skill01,yuhuangdadi_skill02,yuhuangdadi_skill03,yuhuangdadi_skill04</v>
          </cell>
          <cell r="M31" t="str">
            <v>common_fangyu,common_chaofeng</v>
          </cell>
          <cell r="N31" t="str">
            <v>head_yuhuangdadi</v>
          </cell>
          <cell r="O31" t="str">
            <v>chengsebiankuang</v>
          </cell>
          <cell r="P31" t="str">
            <v>yuhuangdadi_actor</v>
          </cell>
          <cell r="Q31">
            <v>1</v>
          </cell>
          <cell r="R31" t="str">
            <v>[]</v>
          </cell>
          <cell r="S31" t="str">
            <v>[]</v>
          </cell>
          <cell r="T31" t="str">
            <v>[]</v>
          </cell>
          <cell r="U31">
            <v>4</v>
          </cell>
          <cell r="BH31">
            <v>4000</v>
          </cell>
        </row>
        <row r="32">
          <cell r="A32">
            <v>1135</v>
          </cell>
          <cell r="B32" t="str">
            <v>东海龙王</v>
          </cell>
          <cell r="C32" t="str">
            <v>哪吒！孙猴子！你们究竟和我东海有什么仇！</v>
          </cell>
          <cell r="D32">
            <v>1</v>
          </cell>
          <cell r="E32">
            <v>1</v>
          </cell>
          <cell r="F32">
            <v>4</v>
          </cell>
          <cell r="G32">
            <v>4</v>
          </cell>
          <cell r="H32" t="str">
            <v>防御型，俗称肉盾，生命值高，防御力强</v>
          </cell>
          <cell r="I32">
            <v>150</v>
          </cell>
          <cell r="J32" t="str">
            <v>donghailongwang_attack</v>
          </cell>
          <cell r="K32">
            <v>10</v>
          </cell>
          <cell r="L32" t="str">
            <v>donghailongwang_skill01,donghailongwang_skill02,donghailongwang_skill03,donghailongwang_skill04</v>
          </cell>
          <cell r="M32" t="str">
            <v>common_fangyu,common_chaofeng</v>
          </cell>
          <cell r="N32" t="str">
            <v>head_donghailongwang</v>
          </cell>
          <cell r="O32" t="str">
            <v>chengsebiankuang</v>
          </cell>
          <cell r="P32" t="str">
            <v>donghailongwang_actor</v>
          </cell>
          <cell r="Q32">
            <v>1</v>
          </cell>
          <cell r="R32" t="str">
            <v>[]</v>
          </cell>
          <cell r="S32" t="str">
            <v>[]</v>
          </cell>
          <cell r="T32" t="str">
            <v>[]</v>
          </cell>
          <cell r="U32">
            <v>4</v>
          </cell>
          <cell r="BH32">
            <v>1000</v>
          </cell>
        </row>
        <row r="33">
          <cell r="A33">
            <v>1132</v>
          </cell>
          <cell r="B33" t="str">
            <v>混世魔王</v>
          </cell>
          <cell r="C33" t="str">
            <v>终于轮到本大爷上场了！</v>
          </cell>
          <cell r="D33">
            <v>1</v>
          </cell>
          <cell r="E33">
            <v>2</v>
          </cell>
          <cell r="F33">
            <v>4</v>
          </cell>
          <cell r="G33">
            <v>4</v>
          </cell>
          <cell r="H33" t="str">
            <v>防御型，俗称肉盾，生命值高，防御力强</v>
          </cell>
          <cell r="I33">
            <v>150</v>
          </cell>
          <cell r="J33" t="str">
            <v>hunshimowang_attack</v>
          </cell>
          <cell r="K33">
            <v>10</v>
          </cell>
          <cell r="L33" t="str">
            <v>hunshimowang_skill01,hunshimowang_skill02,hunshimowang_skill03,hunshimowang_skill04</v>
          </cell>
          <cell r="M33" t="str">
            <v>common_fangyu,common_chaofeng</v>
          </cell>
          <cell r="N33" t="str">
            <v>head_hunshimowang</v>
          </cell>
          <cell r="O33" t="str">
            <v>chengsebiankuang</v>
          </cell>
          <cell r="P33" t="str">
            <v>hunshimowang_actor</v>
          </cell>
          <cell r="Q33">
            <v>1</v>
          </cell>
          <cell r="R33" t="str">
            <v>[]</v>
          </cell>
          <cell r="S33" t="str">
            <v>[]</v>
          </cell>
          <cell r="T33" t="str">
            <v>[]</v>
          </cell>
          <cell r="U33">
            <v>4</v>
          </cell>
          <cell r="BH33">
            <v>1000</v>
          </cell>
        </row>
        <row r="34">
          <cell r="A34">
            <v>1125</v>
          </cell>
          <cell r="B34" t="str">
            <v>迦叶</v>
          </cell>
          <cell r="C34" t="str">
            <v>论拳法，那老虎头怎么能和我比！</v>
          </cell>
          <cell r="D34">
            <v>1</v>
          </cell>
          <cell r="E34">
            <v>3</v>
          </cell>
          <cell r="F34">
            <v>4</v>
          </cell>
          <cell r="G34">
            <v>4</v>
          </cell>
          <cell r="H34" t="str">
            <v>防御型，俗称肉盾，生命值高，防御力强</v>
          </cell>
          <cell r="I34">
            <v>150</v>
          </cell>
          <cell r="J34" t="str">
            <v>jiaye_attack</v>
          </cell>
          <cell r="K34">
            <v>10</v>
          </cell>
          <cell r="L34" t="str">
            <v>jiaye_skill01,jiaye_skill02,jiaye_skill03,jiaye_skill04</v>
          </cell>
          <cell r="M34" t="str">
            <v>common_fangyu,common_chaofeng</v>
          </cell>
          <cell r="N34" t="str">
            <v>head_jiaye</v>
          </cell>
          <cell r="O34" t="str">
            <v>chengsebiankuang</v>
          </cell>
          <cell r="P34" t="str">
            <v>jiaye_actor</v>
          </cell>
          <cell r="Q34">
            <v>1</v>
          </cell>
          <cell r="R34" t="str">
            <v>[]</v>
          </cell>
          <cell r="S34" t="str">
            <v>[]</v>
          </cell>
          <cell r="T34" t="str">
            <v>[]</v>
          </cell>
          <cell r="U34">
            <v>4</v>
          </cell>
          <cell r="BH34">
            <v>4000</v>
          </cell>
        </row>
        <row r="35">
          <cell r="A35">
            <v>1202</v>
          </cell>
          <cell r="B35" t="str">
            <v>人参娃</v>
          </cell>
          <cell r="C35" t="str">
            <v>别看人家个子小，我厉害着呢！</v>
          </cell>
          <cell r="D35">
            <v>1</v>
          </cell>
          <cell r="E35">
            <v>3</v>
          </cell>
          <cell r="F35">
            <v>3</v>
          </cell>
          <cell r="G35">
            <v>3</v>
          </cell>
          <cell r="H35" t="str">
            <v>物攻型，负责物理输出</v>
          </cell>
          <cell r="I35">
            <v>150</v>
          </cell>
          <cell r="J35" t="str">
            <v>renshenwa_attack</v>
          </cell>
          <cell r="K35">
            <v>10</v>
          </cell>
          <cell r="L35" t="str">
            <v>renshenwa_skill01,renshenwa_skill02,renshenwa_skill03,renshenwa_skill04</v>
          </cell>
          <cell r="M35" t="str">
            <v>common_fangyu,common_chaofeng</v>
          </cell>
          <cell r="N35" t="str">
            <v>head_renshenwa</v>
          </cell>
          <cell r="O35" t="str">
            <v>chengsebiankuang</v>
          </cell>
          <cell r="P35" t="str">
            <v>renshenwa_actor</v>
          </cell>
          <cell r="Q35">
            <v>1</v>
          </cell>
          <cell r="R35" t="str">
            <v>[]</v>
          </cell>
          <cell r="S35" t="str">
            <v>[]</v>
          </cell>
          <cell r="T35" t="str">
            <v>[]</v>
          </cell>
          <cell r="U35">
            <v>4</v>
          </cell>
          <cell r="BH35">
            <v>4000</v>
          </cell>
        </row>
        <row r="36">
          <cell r="A36">
            <v>1123</v>
          </cell>
          <cell r="B36" t="str">
            <v>小白龙</v>
          </cell>
          <cell r="C36" t="str">
            <v>我是真正的白马王子！</v>
          </cell>
          <cell r="D36">
            <v>1</v>
          </cell>
          <cell r="E36">
            <v>1</v>
          </cell>
          <cell r="F36">
            <v>3</v>
          </cell>
          <cell r="G36">
            <v>3</v>
          </cell>
          <cell r="H36" t="str">
            <v>物攻型，负责物理输出</v>
          </cell>
          <cell r="I36">
            <v>150</v>
          </cell>
          <cell r="J36" t="str">
            <v>xiaobailong_attack</v>
          </cell>
          <cell r="K36">
            <v>10</v>
          </cell>
          <cell r="L36" t="str">
            <v>xiaobailong_skill01,xiaobailong_skill02,xiaobailong_skill03,xiaobailong_skill04</v>
          </cell>
          <cell r="M36" t="str">
            <v>common_fangyu,common_chaofeng</v>
          </cell>
          <cell r="N36" t="str">
            <v>head_xiaobailong</v>
          </cell>
          <cell r="O36" t="str">
            <v>chengsebiankuang</v>
          </cell>
          <cell r="P36" t="str">
            <v>xiaobailong_actor</v>
          </cell>
          <cell r="Q36">
            <v>1</v>
          </cell>
          <cell r="R36" t="str">
            <v>[]</v>
          </cell>
          <cell r="S36" t="str">
            <v>[]</v>
          </cell>
          <cell r="T36" t="str">
            <v>[]</v>
          </cell>
          <cell r="U36">
            <v>4</v>
          </cell>
          <cell r="BH36">
            <v>4000</v>
          </cell>
        </row>
        <row r="37">
          <cell r="A37">
            <v>1117</v>
          </cell>
          <cell r="B37" t="str">
            <v>六耳猕猴</v>
          </cell>
          <cell r="C37" t="str">
            <v>大家来猜猜，谁才是真正的齐天大圣！</v>
          </cell>
          <cell r="D37">
            <v>1</v>
          </cell>
          <cell r="E37">
            <v>2</v>
          </cell>
          <cell r="F37">
            <v>4</v>
          </cell>
          <cell r="G37">
            <v>4</v>
          </cell>
          <cell r="H37" t="str">
            <v>防御型，俗称肉盾，生命值高，防御力强</v>
          </cell>
          <cell r="I37">
            <v>150</v>
          </cell>
          <cell r="J37" t="str">
            <v>liuermihou_attack</v>
          </cell>
          <cell r="K37">
            <v>10</v>
          </cell>
          <cell r="L37" t="str">
            <v>liuermihou_skill01,liuermihou_skill02,liuermihou_skill03,liuermihou_skill04</v>
          </cell>
          <cell r="M37" t="str">
            <v>common_fangyu,common_chaofeng</v>
          </cell>
          <cell r="N37" t="str">
            <v>head_liuermihou</v>
          </cell>
          <cell r="O37" t="str">
            <v>chengsebiankuang</v>
          </cell>
          <cell r="P37" t="str">
            <v>liuermihou_actor</v>
          </cell>
          <cell r="Q37">
            <v>1</v>
          </cell>
          <cell r="R37" t="str">
            <v>[]</v>
          </cell>
          <cell r="S37" t="str">
            <v>[]</v>
          </cell>
          <cell r="T37" t="str">
            <v>[]</v>
          </cell>
          <cell r="U37">
            <v>4</v>
          </cell>
          <cell r="BH37">
            <v>4000</v>
          </cell>
        </row>
        <row r="38">
          <cell r="A38">
            <v>1201</v>
          </cell>
          <cell r="B38" t="str">
            <v>阎罗王</v>
          </cell>
          <cell r="C38" t="str">
            <v>本王让你三更死，谁敢留你到五更？</v>
          </cell>
          <cell r="D38">
            <v>1</v>
          </cell>
          <cell r="E38">
            <v>1</v>
          </cell>
          <cell r="F38">
            <v>2</v>
          </cell>
          <cell r="G38">
            <v>2</v>
          </cell>
          <cell r="H38" t="str">
            <v>法攻型，负责法术输出</v>
          </cell>
          <cell r="I38">
            <v>150</v>
          </cell>
          <cell r="J38" t="str">
            <v>yanluowang_attack</v>
          </cell>
          <cell r="K38">
            <v>10</v>
          </cell>
          <cell r="L38" t="str">
            <v>yanluowang_skill01,yanluowang_skill02,yanluowang_skill03,yanluowang_skill04</v>
          </cell>
          <cell r="M38" t="str">
            <v>common_fangyu,common_chaofeng</v>
          </cell>
          <cell r="N38" t="str">
            <v>head_yanluowang</v>
          </cell>
          <cell r="O38" t="str">
            <v>chengsebiankuang</v>
          </cell>
          <cell r="P38" t="str">
            <v>yanluowang_actor</v>
          </cell>
          <cell r="Q38">
            <v>1</v>
          </cell>
          <cell r="R38" t="str">
            <v>[]</v>
          </cell>
          <cell r="S38" t="str">
            <v>[]</v>
          </cell>
          <cell r="T38" t="str">
            <v>[]</v>
          </cell>
          <cell r="U38">
            <v>4</v>
          </cell>
          <cell r="BH38">
            <v>4000</v>
          </cell>
        </row>
        <row r="39">
          <cell r="A39">
            <v>1131</v>
          </cell>
          <cell r="B39" t="str">
            <v>蝎子精</v>
          </cell>
          <cell r="C39" t="str">
            <v>纵使拨断琴弦，也等不到你归期了么？</v>
          </cell>
          <cell r="D39">
            <v>1</v>
          </cell>
          <cell r="E39">
            <v>2</v>
          </cell>
          <cell r="F39">
            <v>2</v>
          </cell>
          <cell r="G39">
            <v>2</v>
          </cell>
          <cell r="H39" t="str">
            <v>法攻型，负责法术输出</v>
          </cell>
          <cell r="I39">
            <v>150</v>
          </cell>
          <cell r="J39" t="str">
            <v>xiezijing_attack</v>
          </cell>
          <cell r="K39">
            <v>10</v>
          </cell>
          <cell r="L39" t="str">
            <v>xiezijing_skill01,xiezijing_skill02,xiezijing_skill03,xiezijing_skill04</v>
          </cell>
          <cell r="M39" t="str">
            <v>common_fangyu,common_chaofeng</v>
          </cell>
          <cell r="N39" t="str">
            <v>head_xiezijing</v>
          </cell>
          <cell r="O39" t="str">
            <v>chengsebiankuang</v>
          </cell>
          <cell r="P39" t="str">
            <v>xiezijing_actor</v>
          </cell>
          <cell r="Q39">
            <v>1</v>
          </cell>
          <cell r="R39" t="str">
            <v>[]</v>
          </cell>
          <cell r="S39" t="str">
            <v>[]</v>
          </cell>
          <cell r="T39" t="str">
            <v>[]</v>
          </cell>
          <cell r="U39">
            <v>4</v>
          </cell>
          <cell r="BH39">
            <v>1000</v>
          </cell>
        </row>
        <row r="40">
          <cell r="A40">
            <v>1137</v>
          </cell>
          <cell r="B40" t="str">
            <v>蜘蛛精</v>
          </cell>
          <cell r="C40" t="str">
            <v>为了我的美貌，奉献你的全部吧。</v>
          </cell>
          <cell r="D40">
            <v>1</v>
          </cell>
          <cell r="E40">
            <v>2</v>
          </cell>
          <cell r="F40">
            <v>3</v>
          </cell>
          <cell r="G40">
            <v>3</v>
          </cell>
          <cell r="H40" t="str">
            <v>物攻型，负责物理输出</v>
          </cell>
          <cell r="I40">
            <v>150</v>
          </cell>
          <cell r="J40" t="str">
            <v>zhizhujing_attack</v>
          </cell>
          <cell r="K40">
            <v>10</v>
          </cell>
          <cell r="L40" t="str">
            <v>zhizhujing_skill01,zhizhujing_skill02,zhizhujing_skill03,zhizhujing_skill04</v>
          </cell>
          <cell r="M40" t="str">
            <v>common_fangyu,common_chaofeng</v>
          </cell>
          <cell r="N40" t="str">
            <v>head_zhizhujing</v>
          </cell>
          <cell r="O40" t="str">
            <v>chengsebiankuang</v>
          </cell>
          <cell r="P40" t="str">
            <v>zhizhujing_actor</v>
          </cell>
          <cell r="Q40">
            <v>0.8</v>
          </cell>
          <cell r="R40" t="str">
            <v>[]</v>
          </cell>
          <cell r="S40" t="str">
            <v>[]</v>
          </cell>
          <cell r="T40" t="str">
            <v>[]</v>
          </cell>
          <cell r="U40">
            <v>4</v>
          </cell>
          <cell r="BH40">
            <v>1000</v>
          </cell>
        </row>
        <row r="41">
          <cell r="A41">
            <v>1216</v>
          </cell>
          <cell r="B41" t="str">
            <v>女儿国国王</v>
          </cell>
          <cell r="C41" t="str">
            <v>御弟哥哥，你就从了朕吧！</v>
          </cell>
          <cell r="D41">
            <v>1</v>
          </cell>
          <cell r="E41">
            <v>3</v>
          </cell>
          <cell r="F41">
            <v>2</v>
          </cell>
          <cell r="G41">
            <v>2</v>
          </cell>
          <cell r="H41" t="str">
            <v>法攻型，负责法术输出</v>
          </cell>
          <cell r="I41">
            <v>150</v>
          </cell>
          <cell r="J41" t="str">
            <v>nverguoguowang_attack</v>
          </cell>
          <cell r="K41">
            <v>10</v>
          </cell>
          <cell r="L41" t="str">
            <v>nverguoguowang_skill01,nverguoguowang_skill02,nverguoguowang_skill03,nverguoguowang_skill04</v>
          </cell>
          <cell r="M41" t="str">
            <v>common_fangyu,common_chaofeng</v>
          </cell>
          <cell r="N41" t="str">
            <v>head_nverguoguowang</v>
          </cell>
          <cell r="O41" t="str">
            <v>chengsebiankuang</v>
          </cell>
          <cell r="P41" t="str">
            <v>nverguoguowang_actor</v>
          </cell>
          <cell r="Q41">
            <v>1</v>
          </cell>
          <cell r="R41" t="str">
            <v>[]</v>
          </cell>
          <cell r="S41" t="str">
            <v>[]</v>
          </cell>
          <cell r="T41" t="str">
            <v>[]</v>
          </cell>
          <cell r="U41">
            <v>4</v>
          </cell>
          <cell r="BH41">
            <v>4000</v>
          </cell>
        </row>
        <row r="42">
          <cell r="A42">
            <v>1106</v>
          </cell>
          <cell r="B42" t="str">
            <v>太白金星</v>
          </cell>
          <cell r="C42" t="str">
            <v>腹黑？那是因为我脸白~</v>
          </cell>
          <cell r="D42">
            <v>1</v>
          </cell>
          <cell r="E42">
            <v>1</v>
          </cell>
          <cell r="F42">
            <v>3</v>
          </cell>
          <cell r="G42">
            <v>3</v>
          </cell>
          <cell r="H42" t="str">
            <v>法攻型，负责法术输出</v>
          </cell>
          <cell r="I42">
            <v>150</v>
          </cell>
          <cell r="J42" t="str">
            <v>taibaijinxing_attack</v>
          </cell>
          <cell r="K42">
            <v>10</v>
          </cell>
          <cell r="L42" t="str">
            <v>taibaijinxing_skill01,taibaijinxing_skill02,taibaijinxing_skill03,taibaijinxing_skill04</v>
          </cell>
          <cell r="M42" t="str">
            <v>common_fangyu,common_chaofeng</v>
          </cell>
          <cell r="N42" t="str">
            <v>head_taibaijinxing</v>
          </cell>
          <cell r="O42" t="str">
            <v>chengsebiankuang</v>
          </cell>
          <cell r="P42" t="str">
            <v>taibaijinxing_actor</v>
          </cell>
          <cell r="Q42">
            <v>1</v>
          </cell>
          <cell r="R42" t="str">
            <v>[]</v>
          </cell>
          <cell r="S42" t="str">
            <v>[]</v>
          </cell>
          <cell r="T42" t="str">
            <v>[]</v>
          </cell>
          <cell r="U42">
            <v>4</v>
          </cell>
          <cell r="BH42">
            <v>4000</v>
          </cell>
        </row>
        <row r="43">
          <cell r="A43">
            <v>1115</v>
          </cell>
          <cell r="B43" t="str">
            <v>羊力大仙</v>
          </cell>
          <cell r="C43" t="str">
            <v>哥哥，你怎么又受伤了？我会心疼的。</v>
          </cell>
          <cell r="D43">
            <v>1</v>
          </cell>
          <cell r="E43">
            <v>2</v>
          </cell>
          <cell r="F43">
            <v>1</v>
          </cell>
          <cell r="G43">
            <v>1</v>
          </cell>
          <cell r="H43" t="str">
            <v>辅助型，提供支援或给受伤的队友疗伤</v>
          </cell>
          <cell r="I43">
            <v>150</v>
          </cell>
          <cell r="J43" t="str">
            <v>yanglidaxian_attack</v>
          </cell>
          <cell r="K43">
            <v>10</v>
          </cell>
          <cell r="L43" t="str">
            <v>yanglidaxian_skill01,yanglidaxian_skill02,yanglidaxian_skill03,yanglidaxian_skill04</v>
          </cell>
          <cell r="M43" t="str">
            <v>common_fangyu,common_chaofeng</v>
          </cell>
          <cell r="N43" t="str">
            <v>head_yanglidaxian</v>
          </cell>
          <cell r="O43" t="str">
            <v>chengsebiankuang</v>
          </cell>
          <cell r="P43" t="str">
            <v>yanglidaxian_actor</v>
          </cell>
          <cell r="Q43">
            <v>1</v>
          </cell>
          <cell r="R43" t="str">
            <v>[]</v>
          </cell>
          <cell r="S43" t="str">
            <v>[]</v>
          </cell>
          <cell r="T43" t="str">
            <v>[]</v>
          </cell>
          <cell r="U43">
            <v>5</v>
          </cell>
          <cell r="BH43">
            <v>4000</v>
          </cell>
        </row>
        <row r="44">
          <cell r="A44">
            <v>1208</v>
          </cell>
          <cell r="B44" t="str">
            <v>彩蝶仙童</v>
          </cell>
          <cell r="C44" t="str">
            <v>哇~我闻到了春天的味道。</v>
          </cell>
          <cell r="D44">
            <v>1</v>
          </cell>
          <cell r="E44">
            <v>2</v>
          </cell>
          <cell r="F44">
            <v>2</v>
          </cell>
          <cell r="G44">
            <v>2</v>
          </cell>
          <cell r="H44" t="str">
            <v>法攻型，负责法术输出</v>
          </cell>
          <cell r="I44">
            <v>150</v>
          </cell>
          <cell r="J44" t="str">
            <v>caidiexiantong_attack</v>
          </cell>
          <cell r="K44">
            <v>10</v>
          </cell>
          <cell r="L44" t="str">
            <v>caidiexiantong_skill01,caidiexiantong_skill02,caidiexiantong_skill03,caidiexiantong_skill04</v>
          </cell>
          <cell r="M44" t="str">
            <v>common_fangyu,common_chaofeng</v>
          </cell>
          <cell r="N44" t="str">
            <v>head_caidiexiantong</v>
          </cell>
          <cell r="O44" t="str">
            <v>chengsebiankuang</v>
          </cell>
          <cell r="P44" t="str">
            <v>caidiexiantong_actor</v>
          </cell>
          <cell r="Q44">
            <v>1</v>
          </cell>
          <cell r="R44" t="str">
            <v>[]</v>
          </cell>
          <cell r="S44" t="str">
            <v>[]</v>
          </cell>
          <cell r="T44" t="str">
            <v>[]</v>
          </cell>
          <cell r="U44">
            <v>4</v>
          </cell>
          <cell r="BH44">
            <v>4000</v>
          </cell>
        </row>
        <row r="45">
          <cell r="A45">
            <v>1122</v>
          </cell>
          <cell r="B45" t="str">
            <v>唐三藏</v>
          </cell>
          <cell r="C45" t="str">
            <v>都说我的肉能长生不老，要不我自己试试？</v>
          </cell>
          <cell r="D45">
            <v>1</v>
          </cell>
          <cell r="E45">
            <v>3</v>
          </cell>
          <cell r="F45">
            <v>4</v>
          </cell>
          <cell r="G45">
            <v>4</v>
          </cell>
          <cell r="H45" t="str">
            <v>防御型，俗称肉盾，生命值高，防御力强</v>
          </cell>
          <cell r="I45">
            <v>150</v>
          </cell>
          <cell r="J45" t="str">
            <v>tangsanzang_attack</v>
          </cell>
          <cell r="K45">
            <v>10</v>
          </cell>
          <cell r="L45" t="str">
            <v>tangsanzang_skill01,tangsanzang_skill02,tangsanzang_skill03,tangsanzang_skill04</v>
          </cell>
          <cell r="M45" t="str">
            <v>common_fangyu,common_chaofeng</v>
          </cell>
          <cell r="N45" t="str">
            <v>head_tangsanzang</v>
          </cell>
          <cell r="O45" t="str">
            <v>chengsebiankuang</v>
          </cell>
          <cell r="P45" t="str">
            <v>tangsanzang_actor</v>
          </cell>
          <cell r="Q45">
            <v>1</v>
          </cell>
          <cell r="R45" t="str">
            <v>[]</v>
          </cell>
          <cell r="S45" t="str">
            <v>[]</v>
          </cell>
          <cell r="T45" t="str">
            <v>[]</v>
          </cell>
          <cell r="U45">
            <v>4</v>
          </cell>
          <cell r="BH45">
            <v>4000</v>
          </cell>
        </row>
        <row r="46">
          <cell r="A46">
            <v>1207</v>
          </cell>
          <cell r="B46" t="str">
            <v>引魂仙子</v>
          </cell>
          <cell r="C46" t="str">
            <v>别害怕，我是你的引魂灯。</v>
          </cell>
          <cell r="D46">
            <v>1</v>
          </cell>
          <cell r="E46">
            <v>3</v>
          </cell>
          <cell r="F46">
            <v>2</v>
          </cell>
          <cell r="G46">
            <v>2</v>
          </cell>
          <cell r="H46" t="str">
            <v>法攻型，负责法术输出</v>
          </cell>
          <cell r="I46">
            <v>150</v>
          </cell>
          <cell r="J46" t="str">
            <v>yinhunxianzi_attack</v>
          </cell>
          <cell r="K46">
            <v>10</v>
          </cell>
          <cell r="L46" t="str">
            <v>yinhunxianzi_skill01,yinhunxianzi_skill02,yinhunxianzi_skill03,yinhunxianzi_skill04</v>
          </cell>
          <cell r="M46" t="str">
            <v>common_fangyu,common_chaofeng</v>
          </cell>
          <cell r="N46" t="str">
            <v>head_yinhunxianzi</v>
          </cell>
          <cell r="O46" t="str">
            <v>chengsebiankuang</v>
          </cell>
          <cell r="P46" t="str">
            <v>yinhunxianzi_actor</v>
          </cell>
          <cell r="Q46">
            <v>1</v>
          </cell>
          <cell r="R46" t="str">
            <v>[]</v>
          </cell>
          <cell r="S46" t="str">
            <v>[]</v>
          </cell>
          <cell r="T46" t="str">
            <v>[]</v>
          </cell>
          <cell r="U46">
            <v>4</v>
          </cell>
          <cell r="BH46">
            <v>4000</v>
          </cell>
        </row>
        <row r="47">
          <cell r="A47">
            <v>1139</v>
          </cell>
          <cell r="B47" t="str">
            <v>金钱豹王</v>
          </cell>
          <cell r="C47" t="str">
            <v>想跑？没我快！</v>
          </cell>
          <cell r="D47">
            <v>1</v>
          </cell>
          <cell r="E47">
            <v>2</v>
          </cell>
          <cell r="F47">
            <v>3</v>
          </cell>
          <cell r="G47">
            <v>3</v>
          </cell>
          <cell r="H47" t="str">
            <v>物攻型，负责物理输出</v>
          </cell>
          <cell r="I47">
            <v>150</v>
          </cell>
          <cell r="J47" t="str">
            <v>jinqianbaowang_attack</v>
          </cell>
          <cell r="K47">
            <v>10</v>
          </cell>
          <cell r="L47" t="str">
            <v>jinqianbaowang_skill01,jinqianbaowang_skill02,jinqianbaowang_skill03,jinqianbaowang_skill04</v>
          </cell>
          <cell r="M47" t="str">
            <v>common_fangyu,common_chaofeng</v>
          </cell>
          <cell r="N47" t="str">
            <v>head_jinqianbaowang</v>
          </cell>
          <cell r="O47" t="str">
            <v>zisebiankuang</v>
          </cell>
          <cell r="P47" t="str">
            <v>jinqianbaowang_actor</v>
          </cell>
          <cell r="Q47">
            <v>1</v>
          </cell>
          <cell r="R47" t="str">
            <v>[]</v>
          </cell>
          <cell r="S47" t="str">
            <v>[]</v>
          </cell>
          <cell r="T47" t="str">
            <v>[]</v>
          </cell>
          <cell r="U47">
            <v>3</v>
          </cell>
          <cell r="BH47">
            <v>1000</v>
          </cell>
        </row>
        <row r="48">
          <cell r="A48">
            <v>1140</v>
          </cell>
          <cell r="B48" t="str">
            <v>墨鱼精</v>
          </cell>
          <cell r="C48" t="str">
            <v>我会是你的死刑执行者！</v>
          </cell>
          <cell r="D48">
            <v>1</v>
          </cell>
          <cell r="E48">
            <v>2</v>
          </cell>
          <cell r="F48">
            <v>3</v>
          </cell>
          <cell r="G48">
            <v>3</v>
          </cell>
          <cell r="H48" t="str">
            <v>物攻型，负责物理输出</v>
          </cell>
          <cell r="I48">
            <v>150</v>
          </cell>
          <cell r="J48" t="str">
            <v>moyujing_attack</v>
          </cell>
          <cell r="K48">
            <v>10</v>
          </cell>
          <cell r="L48" t="str">
            <v>moyujing_skill01,moyujing_skill02,moyujing_skill03,moyujing_skill04</v>
          </cell>
          <cell r="M48" t="str">
            <v>common_fangyu,common_chaofeng</v>
          </cell>
          <cell r="N48" t="str">
            <v>head_moyujing</v>
          </cell>
          <cell r="O48" t="str">
            <v>zisebiankuang</v>
          </cell>
          <cell r="P48" t="str">
            <v>moyujing_actor</v>
          </cell>
          <cell r="Q48">
            <v>1</v>
          </cell>
          <cell r="R48" t="str">
            <v>[]</v>
          </cell>
          <cell r="S48" t="str">
            <v>[]</v>
          </cell>
          <cell r="T48" t="str">
            <v>[]</v>
          </cell>
          <cell r="U48">
            <v>3</v>
          </cell>
          <cell r="BH48">
            <v>1000</v>
          </cell>
        </row>
        <row r="49">
          <cell r="A49">
            <v>1107</v>
          </cell>
          <cell r="B49" t="str">
            <v>赤脚大仙</v>
          </cell>
          <cell r="C49" t="str">
            <v>光脚的有时候真怕穿鞋的！</v>
          </cell>
          <cell r="D49">
            <v>1</v>
          </cell>
          <cell r="E49">
            <v>1</v>
          </cell>
          <cell r="F49">
            <v>4</v>
          </cell>
          <cell r="G49">
            <v>4</v>
          </cell>
          <cell r="H49" t="str">
            <v>防御型，俗称肉盾，生命值高，防御力强</v>
          </cell>
          <cell r="I49">
            <v>150</v>
          </cell>
          <cell r="J49" t="str">
            <v>chijiaodaxian_attack</v>
          </cell>
          <cell r="K49">
            <v>10</v>
          </cell>
          <cell r="L49" t="str">
            <v>chijiaodaxian_skill01,chijiaodaxian_skill02,chijiaodaxian_skill03,chijiaodaxian_skill04</v>
          </cell>
          <cell r="M49" t="str">
            <v>common_fangyu,common_chaofeng</v>
          </cell>
          <cell r="N49" t="str">
            <v>head_chijiaodaxian</v>
          </cell>
          <cell r="O49" t="str">
            <v>chengsebiankuang</v>
          </cell>
          <cell r="P49" t="str">
            <v>chijiaodaxian_actor</v>
          </cell>
          <cell r="Q49">
            <v>1</v>
          </cell>
          <cell r="R49" t="str">
            <v>[]</v>
          </cell>
          <cell r="S49" t="str">
            <v>[]</v>
          </cell>
          <cell r="T49" t="str">
            <v>[]</v>
          </cell>
          <cell r="U49">
            <v>4</v>
          </cell>
          <cell r="BH49">
            <v>4000</v>
          </cell>
        </row>
        <row r="50">
          <cell r="A50">
            <v>1134</v>
          </cell>
          <cell r="B50" t="str">
            <v>泾河龙王</v>
          </cell>
          <cell r="C50" t="str">
            <v>正义，是我们前进的动力！</v>
          </cell>
          <cell r="D50">
            <v>1</v>
          </cell>
          <cell r="E50">
            <v>1</v>
          </cell>
          <cell r="F50">
            <v>4</v>
          </cell>
          <cell r="G50">
            <v>4</v>
          </cell>
          <cell r="H50" t="str">
            <v>防御型，俗称肉盾，生命值高，防御力强</v>
          </cell>
          <cell r="I50">
            <v>150</v>
          </cell>
          <cell r="J50" t="str">
            <v>jinghelongwang_attack</v>
          </cell>
          <cell r="K50">
            <v>10</v>
          </cell>
          <cell r="L50" t="str">
            <v>jinghelongwang_skill01,jinghelongwang_skill02,jinghelongwang_skill03,jinghelongwang_skill04</v>
          </cell>
          <cell r="M50" t="str">
            <v>common_fangyu,common_chaofeng</v>
          </cell>
          <cell r="N50" t="str">
            <v>head_jinghelongwang</v>
          </cell>
          <cell r="O50" t="str">
            <v>zisebiankuang</v>
          </cell>
          <cell r="P50" t="str">
            <v>jinghelongwang_actor</v>
          </cell>
          <cell r="Q50">
            <v>1</v>
          </cell>
          <cell r="R50" t="str">
            <v>[]</v>
          </cell>
          <cell r="S50" t="str">
            <v>[]</v>
          </cell>
          <cell r="T50" t="str">
            <v>[]</v>
          </cell>
          <cell r="U50">
            <v>3</v>
          </cell>
          <cell r="BH50">
            <v>1000</v>
          </cell>
        </row>
        <row r="51">
          <cell r="A51">
            <v>1206</v>
          </cell>
          <cell r="B51" t="str">
            <v>牛头</v>
          </cell>
          <cell r="C51" t="str">
            <v>在地府打杂，不是一般人干的来的。</v>
          </cell>
          <cell r="D51">
            <v>1</v>
          </cell>
          <cell r="E51">
            <v>1</v>
          </cell>
          <cell r="F51">
            <v>3</v>
          </cell>
          <cell r="G51">
            <v>3</v>
          </cell>
          <cell r="H51" t="str">
            <v>物攻型，负责物理输出</v>
          </cell>
          <cell r="I51">
            <v>150</v>
          </cell>
          <cell r="J51" t="str">
            <v>niutou_attack</v>
          </cell>
          <cell r="K51">
            <v>10</v>
          </cell>
          <cell r="L51" t="str">
            <v>niutou_skill01,niutou_skill02,niutou_skill03,niutou_skill04</v>
          </cell>
          <cell r="M51" t="str">
            <v>common_fangyu,common_chaofeng</v>
          </cell>
          <cell r="N51" t="str">
            <v>head_niutou</v>
          </cell>
          <cell r="O51" t="str">
            <v>zisebiankuang</v>
          </cell>
          <cell r="P51" t="str">
            <v>niutou_actor</v>
          </cell>
          <cell r="Q51">
            <v>1</v>
          </cell>
          <cell r="R51" t="str">
            <v>[]</v>
          </cell>
          <cell r="S51" t="str">
            <v>[]</v>
          </cell>
          <cell r="T51" t="str">
            <v>[]</v>
          </cell>
          <cell r="U51">
            <v>3</v>
          </cell>
          <cell r="BH51">
            <v>1000</v>
          </cell>
        </row>
        <row r="52">
          <cell r="A52">
            <v>1130</v>
          </cell>
          <cell r="B52" t="str">
            <v>地藏王</v>
          </cell>
          <cell r="C52" t="str">
            <v>所有的生灵在生死面前，都是苍白的。</v>
          </cell>
          <cell r="D52">
            <v>1</v>
          </cell>
          <cell r="E52">
            <v>3</v>
          </cell>
          <cell r="F52">
            <v>4</v>
          </cell>
          <cell r="G52">
            <v>4</v>
          </cell>
          <cell r="H52" t="str">
            <v>防御型，俗称肉盾，生命值高，防御力强</v>
          </cell>
          <cell r="I52">
            <v>150</v>
          </cell>
          <cell r="J52" t="str">
            <v>dizangwang_attack</v>
          </cell>
          <cell r="K52">
            <v>10</v>
          </cell>
          <cell r="L52" t="str">
            <v>dizangwang_skill01,dizangwang_skill02,dizangwang_skill03,dizangwang_skill04</v>
          </cell>
          <cell r="M52" t="str">
            <v>common_fangyu,common_chaofeng</v>
          </cell>
          <cell r="N52" t="str">
            <v>head_dizangwang</v>
          </cell>
          <cell r="O52" t="str">
            <v>chengsebiankuang</v>
          </cell>
          <cell r="P52" t="str">
            <v>dizangwang_actor</v>
          </cell>
          <cell r="Q52">
            <v>1</v>
          </cell>
          <cell r="R52" t="str">
            <v>[]</v>
          </cell>
          <cell r="S52" t="str">
            <v>[]</v>
          </cell>
          <cell r="T52" t="str">
            <v>[]</v>
          </cell>
          <cell r="U52">
            <v>3</v>
          </cell>
          <cell r="BH52">
            <v>1000</v>
          </cell>
        </row>
        <row r="53">
          <cell r="A53">
            <v>1203</v>
          </cell>
          <cell r="B53" t="str">
            <v>鬼使黑</v>
          </cell>
          <cell r="C53" t="str">
            <v>不要再挣扎了，没用的。</v>
          </cell>
          <cell r="D53">
            <v>1</v>
          </cell>
          <cell r="E53">
            <v>1</v>
          </cell>
          <cell r="F53">
            <v>2</v>
          </cell>
          <cell r="G53">
            <v>2</v>
          </cell>
          <cell r="H53" t="str">
            <v>法攻型，负责法术输出</v>
          </cell>
          <cell r="I53">
            <v>150</v>
          </cell>
          <cell r="J53" t="str">
            <v>guishihei_attack</v>
          </cell>
          <cell r="K53">
            <v>10</v>
          </cell>
          <cell r="L53" t="str">
            <v>guishihei_skill01,guishihei_skill02,guishihei_skill03,guishihei_skill04</v>
          </cell>
          <cell r="M53" t="str">
            <v>common_fangyu,common_chaofeng</v>
          </cell>
          <cell r="N53" t="str">
            <v>head_guishihei</v>
          </cell>
          <cell r="O53" t="str">
            <v>zisebiankuang</v>
          </cell>
          <cell r="P53" t="str">
            <v>guishihei_actor</v>
          </cell>
          <cell r="Q53">
            <v>1</v>
          </cell>
          <cell r="R53" t="str">
            <v>[]</v>
          </cell>
          <cell r="S53" t="str">
            <v>[]</v>
          </cell>
          <cell r="T53" t="str">
            <v>[]</v>
          </cell>
          <cell r="U53">
            <v>3</v>
          </cell>
          <cell r="BH53">
            <v>1000</v>
          </cell>
        </row>
        <row r="54">
          <cell r="A54">
            <v>1205</v>
          </cell>
          <cell r="B54" t="str">
            <v>马面</v>
          </cell>
          <cell r="C54" t="str">
            <v>勾魂，可是个辛苦活</v>
          </cell>
          <cell r="D54">
            <v>1</v>
          </cell>
          <cell r="E54">
            <v>1</v>
          </cell>
          <cell r="F54">
            <v>3</v>
          </cell>
          <cell r="G54">
            <v>3</v>
          </cell>
          <cell r="H54" t="str">
            <v>物攻型，负责物理输出</v>
          </cell>
          <cell r="I54">
            <v>150</v>
          </cell>
          <cell r="J54" t="str">
            <v>mamian_attack</v>
          </cell>
          <cell r="K54">
            <v>10</v>
          </cell>
          <cell r="L54" t="str">
            <v>mamian_skill01,mamian_skill02,mamian_skill03,mamian_skill04</v>
          </cell>
          <cell r="M54" t="str">
            <v>common_fangyu,common_chaofeng</v>
          </cell>
          <cell r="N54" t="str">
            <v>head_mamian</v>
          </cell>
          <cell r="O54" t="str">
            <v>zisebiankuang</v>
          </cell>
          <cell r="P54" t="str">
            <v>mamian_actor</v>
          </cell>
          <cell r="Q54">
            <v>1</v>
          </cell>
          <cell r="R54" t="str">
            <v>[]</v>
          </cell>
          <cell r="S54" t="str">
            <v>[]</v>
          </cell>
          <cell r="T54" t="str">
            <v>[]</v>
          </cell>
          <cell r="U54">
            <v>3</v>
          </cell>
          <cell r="BH54">
            <v>1000</v>
          </cell>
        </row>
        <row r="55">
          <cell r="A55">
            <v>1133</v>
          </cell>
          <cell r="B55" t="str">
            <v>雷公</v>
          </cell>
          <cell r="C55" t="str">
            <v>雷动九天！</v>
          </cell>
          <cell r="D55">
            <v>1</v>
          </cell>
          <cell r="E55">
            <v>1</v>
          </cell>
          <cell r="F55">
            <v>2</v>
          </cell>
          <cell r="G55">
            <v>2</v>
          </cell>
          <cell r="H55" t="str">
            <v>法攻型，负责法术输出</v>
          </cell>
          <cell r="I55">
            <v>150</v>
          </cell>
          <cell r="J55" t="str">
            <v>leigong_attack</v>
          </cell>
          <cell r="K55">
            <v>10</v>
          </cell>
          <cell r="L55" t="str">
            <v>leigong_skill01,leigong_skill02,leigong_skill03,leigong_skill04</v>
          </cell>
          <cell r="M55" t="str">
            <v>common_fangyu,common_chaofeng</v>
          </cell>
          <cell r="N55" t="str">
            <v>head_leigong</v>
          </cell>
          <cell r="O55" t="str">
            <v>zisebiankuang</v>
          </cell>
          <cell r="P55" t="str">
            <v>leigong_actor</v>
          </cell>
          <cell r="Q55">
            <v>1</v>
          </cell>
          <cell r="R55" t="str">
            <v>[]</v>
          </cell>
          <cell r="S55" t="str">
            <v>[]</v>
          </cell>
          <cell r="T55" t="str">
            <v>[]</v>
          </cell>
          <cell r="U55">
            <v>3</v>
          </cell>
          <cell r="BH55">
            <v>1000</v>
          </cell>
        </row>
        <row r="56">
          <cell r="A56">
            <v>1204</v>
          </cell>
          <cell r="B56" t="str">
            <v>鬼使白</v>
          </cell>
          <cell r="C56" t="str">
            <v>时辰已到，上路吧！</v>
          </cell>
          <cell r="D56">
            <v>1</v>
          </cell>
          <cell r="E56">
            <v>1</v>
          </cell>
          <cell r="F56">
            <v>2</v>
          </cell>
          <cell r="G56">
            <v>2</v>
          </cell>
          <cell r="H56" t="str">
            <v>法攻型，负责法术输出</v>
          </cell>
          <cell r="I56">
            <v>150</v>
          </cell>
          <cell r="J56" t="str">
            <v>guishibai_attack</v>
          </cell>
          <cell r="K56">
            <v>10</v>
          </cell>
          <cell r="L56" t="str">
            <v>guishibai_skill01,guishibai_skill02,guishibai_skill03,guishibai_skill04</v>
          </cell>
          <cell r="M56" t="str">
            <v>common_fangyu,common_chaofeng</v>
          </cell>
          <cell r="N56" t="str">
            <v>head_guishibai</v>
          </cell>
          <cell r="O56" t="str">
            <v>zisebiankuang</v>
          </cell>
          <cell r="P56" t="str">
            <v>guishibai_actor</v>
          </cell>
          <cell r="Q56">
            <v>1</v>
          </cell>
          <cell r="R56" t="str">
            <v>[]</v>
          </cell>
          <cell r="S56" t="str">
            <v>[]</v>
          </cell>
          <cell r="T56" t="str">
            <v>[]</v>
          </cell>
          <cell r="U56">
            <v>3</v>
          </cell>
          <cell r="BH56">
            <v>1000</v>
          </cell>
        </row>
        <row r="57">
          <cell r="A57">
            <v>1128</v>
          </cell>
          <cell r="B57" t="str">
            <v>赛太岁</v>
          </cell>
          <cell r="C57" t="str">
            <v>金圣宫娘娘可真漂亮！</v>
          </cell>
          <cell r="D57">
            <v>1</v>
          </cell>
          <cell r="E57">
            <v>3</v>
          </cell>
          <cell r="F57">
            <v>2</v>
          </cell>
          <cell r="G57">
            <v>1</v>
          </cell>
          <cell r="H57" t="str">
            <v>法攻型，负责法术输出</v>
          </cell>
          <cell r="I57">
            <v>150</v>
          </cell>
          <cell r="J57" t="str">
            <v>saitaisui_attack</v>
          </cell>
          <cell r="K57">
            <v>10</v>
          </cell>
          <cell r="L57" t="str">
            <v>saitaisui_skill01,saitaisui_skill02,leigong_skill03,saitaisui_skill04</v>
          </cell>
          <cell r="M57" t="str">
            <v>common_fangyu,common_chaofeng</v>
          </cell>
          <cell r="N57" t="str">
            <v>head_saitaisui</v>
          </cell>
          <cell r="O57" t="str">
            <v>zisebiankuang</v>
          </cell>
          <cell r="P57" t="str">
            <v>saitaisui_actor</v>
          </cell>
          <cell r="Q57">
            <v>1</v>
          </cell>
          <cell r="R57" t="str">
            <v>[]</v>
          </cell>
          <cell r="S57" t="str">
            <v>[]</v>
          </cell>
          <cell r="T57" t="str">
            <v>[]</v>
          </cell>
          <cell r="U57">
            <v>3</v>
          </cell>
          <cell r="BH57">
            <v>1000</v>
          </cell>
        </row>
        <row r="58">
          <cell r="A58">
            <v>1118</v>
          </cell>
          <cell r="B58" t="str">
            <v>混沌</v>
          </cell>
          <cell r="C58" t="str">
            <v>王母娘娘也要让我三分！</v>
          </cell>
          <cell r="D58">
            <v>1</v>
          </cell>
          <cell r="E58">
            <v>3</v>
          </cell>
          <cell r="F58">
            <v>2</v>
          </cell>
          <cell r="G58">
            <v>3</v>
          </cell>
          <cell r="H58" t="str">
            <v>法攻型，负责法术输出</v>
          </cell>
          <cell r="I58">
            <v>150</v>
          </cell>
          <cell r="J58" t="str">
            <v>hundun_attack</v>
          </cell>
          <cell r="K58">
            <v>10</v>
          </cell>
          <cell r="L58" t="str">
            <v>hundun_skill01,hundun_skill02,hundun_skill03,hundun_skill04</v>
          </cell>
          <cell r="M58" t="str">
            <v>common_fangyu,common_chaofeng</v>
          </cell>
          <cell r="N58" t="str">
            <v>head_hundun</v>
          </cell>
          <cell r="O58" t="str">
            <v>chengsebiankuang</v>
          </cell>
          <cell r="P58" t="str">
            <v>hundun_actor</v>
          </cell>
          <cell r="Q58">
            <v>1</v>
          </cell>
          <cell r="R58" t="str">
            <v>[]</v>
          </cell>
          <cell r="S58" t="str">
            <v>[]</v>
          </cell>
          <cell r="T58" t="str">
            <v>[]</v>
          </cell>
          <cell r="U58">
            <v>3</v>
          </cell>
          <cell r="BH58">
            <v>4000</v>
          </cell>
        </row>
        <row r="59">
          <cell r="A59">
            <v>1136</v>
          </cell>
          <cell r="B59" t="str">
            <v>白龙公主</v>
          </cell>
          <cell r="C59" t="str">
            <v>不知道白龙哥哥过得好不好？</v>
          </cell>
          <cell r="D59">
            <v>1</v>
          </cell>
          <cell r="E59">
            <v>3</v>
          </cell>
          <cell r="F59">
            <v>1</v>
          </cell>
          <cell r="G59">
            <v>1</v>
          </cell>
          <cell r="H59" t="str">
            <v>辅助型，提供支援或给受伤的队友疗伤</v>
          </cell>
          <cell r="I59">
            <v>150</v>
          </cell>
          <cell r="J59" t="str">
            <v>bailonggongzhu_attack</v>
          </cell>
          <cell r="K59">
            <v>10</v>
          </cell>
          <cell r="L59" t="str">
            <v>bailonggongzhu_skill01,bailonggongzhu_skill02,bailonggongzhu_skill03,bailonggongzhu_skill04</v>
          </cell>
          <cell r="M59" t="str">
            <v>common_fangyu,common_chaofeng</v>
          </cell>
          <cell r="N59" t="str">
            <v>head_bailonggongzhu</v>
          </cell>
          <cell r="O59" t="str">
            <v>zisebiankuang</v>
          </cell>
          <cell r="P59" t="str">
            <v>bailonggongzhu_actor</v>
          </cell>
          <cell r="Q59">
            <v>1</v>
          </cell>
          <cell r="R59" t="str">
            <v>[]</v>
          </cell>
          <cell r="S59" t="str">
            <v>[]</v>
          </cell>
          <cell r="T59" t="str">
            <v>[]</v>
          </cell>
          <cell r="U59">
            <v>3</v>
          </cell>
          <cell r="BH59">
            <v>1000</v>
          </cell>
        </row>
        <row r="60">
          <cell r="A60">
            <v>1141</v>
          </cell>
          <cell r="B60" t="str">
            <v>玉兔</v>
          </cell>
          <cell r="C60" t="str">
            <v>猪八戒那个吃货，又来抢我月饼了！</v>
          </cell>
          <cell r="D60">
            <v>1</v>
          </cell>
          <cell r="E60">
            <v>2</v>
          </cell>
          <cell r="F60">
            <v>1</v>
          </cell>
          <cell r="G60">
            <v>1</v>
          </cell>
          <cell r="H60" t="str">
            <v>辅助型，提供支援或给受伤的队友疗伤</v>
          </cell>
          <cell r="I60">
            <v>150</v>
          </cell>
          <cell r="J60" t="str">
            <v>yutu_attack</v>
          </cell>
          <cell r="K60">
            <v>10</v>
          </cell>
          <cell r="L60" t="str">
            <v>yutu_skill01,yutu_skill02,yutu_skill03,yutu_skill04</v>
          </cell>
          <cell r="M60" t="str">
            <v>common_fangyu,common_chaofeng</v>
          </cell>
          <cell r="N60" t="str">
            <v>head_yutu</v>
          </cell>
          <cell r="O60" t="str">
            <v>zisebiankuang</v>
          </cell>
          <cell r="P60" t="str">
            <v>yutu_actor</v>
          </cell>
          <cell r="Q60">
            <v>0.8</v>
          </cell>
          <cell r="R60" t="str">
            <v>[]</v>
          </cell>
          <cell r="S60" t="str">
            <v>[]</v>
          </cell>
          <cell r="T60" t="str">
            <v>[]</v>
          </cell>
          <cell r="U60">
            <v>3</v>
          </cell>
          <cell r="BH60">
            <v>1000</v>
          </cell>
        </row>
        <row r="61">
          <cell r="A61">
            <v>1138</v>
          </cell>
          <cell r="B61" t="str">
            <v>玉面夫人</v>
          </cell>
          <cell r="C61" t="str">
            <v>我要通过征服男人，来征服这个世界。</v>
          </cell>
          <cell r="D61">
            <v>1</v>
          </cell>
          <cell r="E61">
            <v>2</v>
          </cell>
          <cell r="F61">
            <v>2</v>
          </cell>
          <cell r="G61">
            <v>3</v>
          </cell>
          <cell r="H61" t="str">
            <v>物攻型，负责物理输出</v>
          </cell>
          <cell r="I61">
            <v>150</v>
          </cell>
          <cell r="J61" t="str">
            <v>yumianfuren_attack</v>
          </cell>
          <cell r="K61">
            <v>10</v>
          </cell>
          <cell r="L61" t="str">
            <v>yumianfuren_skill01,yumianfuren_skill02,yumianfuren_skill03,yumianfuren_skill04</v>
          </cell>
          <cell r="M61" t="str">
            <v>common_fangyu,common_chaofeng</v>
          </cell>
          <cell r="N61" t="str">
            <v>head_yumianfuren</v>
          </cell>
          <cell r="O61" t="str">
            <v>zisebiankuang</v>
          </cell>
          <cell r="P61" t="str">
            <v>yumianfuren_actor</v>
          </cell>
          <cell r="Q61">
            <v>1</v>
          </cell>
          <cell r="R61" t="str">
            <v>[]</v>
          </cell>
          <cell r="S61" t="str">
            <v>[]</v>
          </cell>
          <cell r="T61" t="str">
            <v>[]</v>
          </cell>
          <cell r="U61">
            <v>3</v>
          </cell>
          <cell r="BH61">
            <v>1000</v>
          </cell>
        </row>
        <row r="62">
          <cell r="A62">
            <v>1152</v>
          </cell>
          <cell r="B62" t="str">
            <v>黑熊精</v>
          </cell>
          <cell r="C62" t="str">
            <v>再说我可爱，我就跟你急啦！</v>
          </cell>
          <cell r="D62">
            <v>1</v>
          </cell>
          <cell r="E62">
            <v>3</v>
          </cell>
          <cell r="F62">
            <v>4</v>
          </cell>
          <cell r="G62">
            <v>4</v>
          </cell>
          <cell r="H62" t="str">
            <v>防御型，俗称肉盾，生命值高，防御力强</v>
          </cell>
          <cell r="I62">
            <v>150</v>
          </cell>
          <cell r="J62" t="str">
            <v>heixiongjing_attack</v>
          </cell>
          <cell r="K62">
            <v>10</v>
          </cell>
          <cell r="L62" t="str">
            <v>tuqiangfanghu_skill01,heixiongjing_skill02,saitaisui_skill03,saitaisui_skill04</v>
          </cell>
          <cell r="M62" t="str">
            <v>common_fangyu,common_chaofeng</v>
          </cell>
          <cell r="N62" t="str">
            <v>head_heixiongjing</v>
          </cell>
          <cell r="O62" t="str">
            <v>lansebiankuang</v>
          </cell>
          <cell r="P62" t="str">
            <v>heixiongjing_actor</v>
          </cell>
          <cell r="Q62">
            <v>1</v>
          </cell>
          <cell r="R62" t="str">
            <v>[]</v>
          </cell>
          <cell r="S62" t="str">
            <v>[]</v>
          </cell>
          <cell r="T62" t="str">
            <v>[]</v>
          </cell>
          <cell r="U62">
            <v>3</v>
          </cell>
          <cell r="BH62">
            <v>400</v>
          </cell>
        </row>
        <row r="63">
          <cell r="A63">
            <v>1192</v>
          </cell>
          <cell r="B63" t="str">
            <v>琴仙</v>
          </cell>
          <cell r="C63" t="str">
            <v>烟雨缥缈中，抚琴九天之上。</v>
          </cell>
          <cell r="D63">
            <v>1</v>
          </cell>
          <cell r="E63">
            <v>3</v>
          </cell>
          <cell r="F63">
            <v>2</v>
          </cell>
          <cell r="G63">
            <v>2</v>
          </cell>
          <cell r="H63" t="str">
            <v>法攻型，负责法术输出</v>
          </cell>
          <cell r="I63">
            <v>150</v>
          </cell>
          <cell r="J63" t="str">
            <v>qinxian_attack</v>
          </cell>
          <cell r="K63">
            <v>10</v>
          </cell>
          <cell r="L63" t="str">
            <v>shengguangshuiyu_skill01,leigong_skill02,leigong_skill03,leigong_skill04</v>
          </cell>
          <cell r="M63" t="str">
            <v>common_fangyu,common_chaofeng</v>
          </cell>
          <cell r="N63" t="str">
            <v>head_qinxian</v>
          </cell>
          <cell r="O63" t="str">
            <v>lansebiankuang</v>
          </cell>
          <cell r="P63" t="str">
            <v>qinxian_actor</v>
          </cell>
          <cell r="Q63">
            <v>1</v>
          </cell>
          <cell r="R63" t="str">
            <v>[]</v>
          </cell>
          <cell r="S63" t="str">
            <v>[]</v>
          </cell>
          <cell r="T63" t="str">
            <v>[]</v>
          </cell>
          <cell r="U63">
            <v>3</v>
          </cell>
          <cell r="BH63">
            <v>400</v>
          </cell>
        </row>
        <row r="64">
          <cell r="A64">
            <v>1504</v>
          </cell>
          <cell r="B64" t="str">
            <v>蟹将</v>
          </cell>
          <cell r="C64" t="str">
            <v>虾兵虾兵，我是蟹将！</v>
          </cell>
          <cell r="D64">
            <v>1</v>
          </cell>
          <cell r="E64">
            <v>2</v>
          </cell>
          <cell r="F64">
            <v>4</v>
          </cell>
          <cell r="G64">
            <v>4</v>
          </cell>
          <cell r="H64" t="str">
            <v>防御型，俗称肉盾，生命值高，防御力强</v>
          </cell>
          <cell r="I64">
            <v>150</v>
          </cell>
          <cell r="J64" t="str">
            <v>xiejiang_attack_L</v>
          </cell>
          <cell r="K64">
            <v>10</v>
          </cell>
          <cell r="L64" t="str">
            <v>bingbao_skill01,leigong_skill02,leigong_skill03,leigong_skill04</v>
          </cell>
          <cell r="M64" t="str">
            <v>common_fangyu,common_chaofeng</v>
          </cell>
          <cell r="N64" t="str">
            <v>head_xiejiang</v>
          </cell>
          <cell r="O64" t="str">
            <v>lvsebiankuang</v>
          </cell>
          <cell r="P64" t="str">
            <v>xiejiang_actor</v>
          </cell>
          <cell r="Q64">
            <v>1</v>
          </cell>
          <cell r="R64" t="str">
            <v>[]</v>
          </cell>
          <cell r="S64" t="str">
            <v>[]</v>
          </cell>
          <cell r="T64" t="str">
            <v>[]</v>
          </cell>
          <cell r="U64">
            <v>3</v>
          </cell>
          <cell r="BH64">
            <v>100</v>
          </cell>
        </row>
        <row r="65">
          <cell r="A65">
            <v>1142</v>
          </cell>
          <cell r="B65" t="str">
            <v>狮人-光启</v>
          </cell>
          <cell r="C65" t="str">
            <v>我很丑，可是我很温柔。</v>
          </cell>
          <cell r="D65">
            <v>1</v>
          </cell>
          <cell r="E65">
            <v>4</v>
          </cell>
          <cell r="F65">
            <v>4</v>
          </cell>
          <cell r="G65">
            <v>4</v>
          </cell>
          <cell r="H65" t="str">
            <v>防御型，俗称肉盾，生命值高，防御力强</v>
          </cell>
          <cell r="I65">
            <v>150</v>
          </cell>
          <cell r="J65" t="str">
            <v>shiren_attack</v>
          </cell>
          <cell r="K65">
            <v>10</v>
          </cell>
          <cell r="L65" t="str">
            <v>huoniao_skill01,huo_shiren_skill02</v>
          </cell>
          <cell r="M65" t="str">
            <v>common_fangyu,common_chaofeng</v>
          </cell>
          <cell r="N65" t="str">
            <v>head_shiren_guangqi</v>
          </cell>
          <cell r="O65" t="str">
            <v>lansebiankuang</v>
          </cell>
          <cell r="P65" t="str">
            <v>shiren_guangqi_actor</v>
          </cell>
          <cell r="Q65">
            <v>1</v>
          </cell>
          <cell r="R65" t="str">
            <v>[]</v>
          </cell>
          <cell r="S65" t="str">
            <v>[]</v>
          </cell>
          <cell r="T65" t="str">
            <v>[]</v>
          </cell>
          <cell r="U65">
            <v>2</v>
          </cell>
          <cell r="BH65">
            <v>400</v>
          </cell>
        </row>
        <row r="66">
          <cell r="A66">
            <v>1143</v>
          </cell>
          <cell r="B66" t="str">
            <v>狮人-立辉</v>
          </cell>
          <cell r="C66" t="str">
            <v>我很丑，可是我很温柔。</v>
          </cell>
          <cell r="D66">
            <v>1</v>
          </cell>
          <cell r="E66">
            <v>4</v>
          </cell>
          <cell r="F66">
            <v>4</v>
          </cell>
          <cell r="G66">
            <v>4</v>
          </cell>
          <cell r="H66" t="str">
            <v>防御型，俗称肉盾，生命值高，防御力强</v>
          </cell>
          <cell r="I66">
            <v>150</v>
          </cell>
          <cell r="J66" t="str">
            <v>shiren_attack</v>
          </cell>
          <cell r="K66">
            <v>10</v>
          </cell>
          <cell r="L66" t="str">
            <v>feishazoushi_skill01,tu_shiren_skill02</v>
          </cell>
          <cell r="M66" t="str">
            <v>common_fangyu,common_chaofeng</v>
          </cell>
          <cell r="N66" t="str">
            <v>head_shiren_lihui</v>
          </cell>
          <cell r="O66" t="str">
            <v>lansebiankuang</v>
          </cell>
          <cell r="P66" t="str">
            <v>shiren_lihui_actor</v>
          </cell>
          <cell r="Q66">
            <v>1</v>
          </cell>
          <cell r="R66" t="str">
            <v>[]</v>
          </cell>
          <cell r="S66" t="str">
            <v>[]</v>
          </cell>
          <cell r="T66" t="str">
            <v>[]</v>
          </cell>
          <cell r="U66">
            <v>2</v>
          </cell>
          <cell r="BH66">
            <v>400</v>
          </cell>
        </row>
        <row r="67">
          <cell r="A67">
            <v>1146</v>
          </cell>
          <cell r="B67" t="str">
            <v>石人-博达</v>
          </cell>
          <cell r="C67" t="str">
            <v>一，二，三！我们都是石头人！</v>
          </cell>
          <cell r="D67">
            <v>1</v>
          </cell>
          <cell r="E67">
            <v>4</v>
          </cell>
          <cell r="F67">
            <v>4</v>
          </cell>
          <cell r="G67">
            <v>4</v>
          </cell>
          <cell r="H67" t="str">
            <v>防御型，俗称肉盾，生命值高，防御力强</v>
          </cell>
          <cell r="I67">
            <v>150</v>
          </cell>
          <cell r="J67" t="str">
            <v>shitouren_attack</v>
          </cell>
          <cell r="K67">
            <v>10</v>
          </cell>
          <cell r="L67" t="str">
            <v>zhongchui_skill01,jin_shitouren_skill02</v>
          </cell>
          <cell r="M67" t="str">
            <v>common_fangyu,common_chaofeng</v>
          </cell>
          <cell r="N67" t="str">
            <v>head_shiren_boda</v>
          </cell>
          <cell r="O67" t="str">
            <v>lansebiankuang</v>
          </cell>
          <cell r="P67" t="str">
            <v>shiren_boda_actor</v>
          </cell>
          <cell r="Q67">
            <v>1</v>
          </cell>
          <cell r="R67" t="str">
            <v>[]</v>
          </cell>
          <cell r="S67" t="str">
            <v>[]</v>
          </cell>
          <cell r="T67" t="str">
            <v>[]</v>
          </cell>
          <cell r="U67">
            <v>2</v>
          </cell>
          <cell r="BH67">
            <v>400</v>
          </cell>
        </row>
        <row r="68">
          <cell r="A68">
            <v>1147</v>
          </cell>
          <cell r="B68" t="str">
            <v>石人-离落</v>
          </cell>
          <cell r="C68" t="str">
            <v>一，二，三！我们都是石头人！</v>
          </cell>
          <cell r="D68">
            <v>1</v>
          </cell>
          <cell r="E68">
            <v>4</v>
          </cell>
          <cell r="F68">
            <v>4</v>
          </cell>
          <cell r="G68">
            <v>4</v>
          </cell>
          <cell r="H68" t="str">
            <v>防御型，俗称肉盾，生命值高，防御力强</v>
          </cell>
          <cell r="I68">
            <v>150</v>
          </cell>
          <cell r="J68" t="str">
            <v>shitouren_attack</v>
          </cell>
          <cell r="K68">
            <v>10</v>
          </cell>
          <cell r="L68" t="str">
            <v>zhangqidutan_skill01,mu_shitouren_skill02</v>
          </cell>
          <cell r="M68" t="str">
            <v>common_fangyu,common_chaofeng</v>
          </cell>
          <cell r="N68" t="str">
            <v>head_shiren_liluo</v>
          </cell>
          <cell r="O68" t="str">
            <v>lansebiankuang</v>
          </cell>
          <cell r="P68" t="str">
            <v>shiren_liluo_actor</v>
          </cell>
          <cell r="Q68">
            <v>1</v>
          </cell>
          <cell r="R68" t="str">
            <v>[]</v>
          </cell>
          <cell r="S68" t="str">
            <v>[]</v>
          </cell>
          <cell r="T68" t="str">
            <v>[]</v>
          </cell>
          <cell r="U68">
            <v>2</v>
          </cell>
          <cell r="BH68">
            <v>400</v>
          </cell>
        </row>
        <row r="69">
          <cell r="A69">
            <v>1148</v>
          </cell>
          <cell r="B69" t="str">
            <v>石人-安和</v>
          </cell>
          <cell r="C69" t="str">
            <v>一，二，三！我们都是石头人！</v>
          </cell>
          <cell r="D69">
            <v>1</v>
          </cell>
          <cell r="E69">
            <v>4</v>
          </cell>
          <cell r="F69">
            <v>4</v>
          </cell>
          <cell r="G69">
            <v>4</v>
          </cell>
          <cell r="H69" t="str">
            <v>防御型，俗称肉盾，生命值高，防御力强</v>
          </cell>
          <cell r="I69">
            <v>150</v>
          </cell>
          <cell r="J69" t="str">
            <v>shitouren_attack</v>
          </cell>
          <cell r="K69">
            <v>10</v>
          </cell>
          <cell r="L69" t="str">
            <v>tuqiangfanghu_skill01,tu_shitouren_skill02</v>
          </cell>
          <cell r="M69" t="str">
            <v>common_fangyu,common_chaofeng</v>
          </cell>
          <cell r="N69" t="str">
            <v>head_shiren_anhe</v>
          </cell>
          <cell r="O69" t="str">
            <v>lansebiankuang</v>
          </cell>
          <cell r="P69" t="str">
            <v>shiren_anhe_actor</v>
          </cell>
          <cell r="Q69">
            <v>1</v>
          </cell>
          <cell r="R69" t="str">
            <v>[]</v>
          </cell>
          <cell r="S69" t="str">
            <v>[]</v>
          </cell>
          <cell r="T69" t="str">
            <v>[]</v>
          </cell>
          <cell r="U69">
            <v>2</v>
          </cell>
          <cell r="BH69">
            <v>400</v>
          </cell>
        </row>
        <row r="70">
          <cell r="A70">
            <v>1155</v>
          </cell>
          <cell r="B70" t="str">
            <v>蟒精-雅芙</v>
          </cell>
          <cell r="C70" t="str">
            <v>箭无虚发！</v>
          </cell>
          <cell r="D70">
            <v>1</v>
          </cell>
          <cell r="E70">
            <v>4</v>
          </cell>
          <cell r="F70">
            <v>2</v>
          </cell>
          <cell r="G70">
            <v>3</v>
          </cell>
          <cell r="H70" t="str">
            <v>物攻型，负责物理输出</v>
          </cell>
          <cell r="I70">
            <v>150</v>
          </cell>
          <cell r="J70" t="str">
            <v>damangjing_attack</v>
          </cell>
          <cell r="K70">
            <v>10</v>
          </cell>
          <cell r="L70" t="str">
            <v>jisufeijian_skill01,jin_damangjing_skill02</v>
          </cell>
          <cell r="M70" t="str">
            <v>common_fangyu,common_chaofeng</v>
          </cell>
          <cell r="N70" t="str">
            <v>head_mangjing_yafu</v>
          </cell>
          <cell r="O70" t="str">
            <v>lansebiankuang</v>
          </cell>
          <cell r="P70" t="str">
            <v>mangjing_yafu_actor</v>
          </cell>
          <cell r="Q70">
            <v>1</v>
          </cell>
          <cell r="R70" t="str">
            <v>[]</v>
          </cell>
          <cell r="S70" t="str">
            <v>[]</v>
          </cell>
          <cell r="T70" t="str">
            <v>[]</v>
          </cell>
          <cell r="U70">
            <v>2</v>
          </cell>
          <cell r="BH70">
            <v>400</v>
          </cell>
        </row>
        <row r="71">
          <cell r="A71">
            <v>1156</v>
          </cell>
          <cell r="B71" t="str">
            <v>蟒精-依娜</v>
          </cell>
          <cell r="C71" t="str">
            <v>箭无虚发！</v>
          </cell>
          <cell r="D71">
            <v>1</v>
          </cell>
          <cell r="E71">
            <v>4</v>
          </cell>
          <cell r="F71">
            <v>2</v>
          </cell>
          <cell r="G71">
            <v>3</v>
          </cell>
          <cell r="H71" t="str">
            <v>物攻型，负责物理输出</v>
          </cell>
          <cell r="I71">
            <v>150</v>
          </cell>
          <cell r="J71" t="str">
            <v>damangjing_attack</v>
          </cell>
          <cell r="K71">
            <v>10</v>
          </cell>
          <cell r="L71" t="str">
            <v>dujianyu_skill01,mu_damangjing_skill02</v>
          </cell>
          <cell r="M71" t="str">
            <v>common_fangyu,common_chaofeng</v>
          </cell>
          <cell r="N71" t="str">
            <v>head_mangjing_yina</v>
          </cell>
          <cell r="O71" t="str">
            <v>lansebiankuang</v>
          </cell>
          <cell r="P71" t="str">
            <v>mangjing_yina_actor</v>
          </cell>
          <cell r="Q71">
            <v>1</v>
          </cell>
          <cell r="R71" t="str">
            <v>[]</v>
          </cell>
          <cell r="S71" t="str">
            <v>[]</v>
          </cell>
          <cell r="T71" t="str">
            <v>[]</v>
          </cell>
          <cell r="U71">
            <v>2</v>
          </cell>
          <cell r="BH71">
            <v>400</v>
          </cell>
        </row>
        <row r="72">
          <cell r="A72">
            <v>1157</v>
          </cell>
          <cell r="B72" t="str">
            <v>狐狸-优璇</v>
          </cell>
          <cell r="C72" t="str">
            <v>什么时候才能见到妲己姐姐呢？</v>
          </cell>
          <cell r="D72">
            <v>1</v>
          </cell>
          <cell r="E72">
            <v>4</v>
          </cell>
          <cell r="F72">
            <v>3</v>
          </cell>
          <cell r="G72">
            <v>3</v>
          </cell>
          <cell r="H72" t="str">
            <v>物攻型，负责物理输出</v>
          </cell>
          <cell r="I72">
            <v>150</v>
          </cell>
          <cell r="J72" t="str">
            <v>humeiren_attack</v>
          </cell>
          <cell r="K72">
            <v>10</v>
          </cell>
          <cell r="L72" t="str">
            <v>zhangqidutan_skill01,mu_humeiren_skill02</v>
          </cell>
          <cell r="M72" t="str">
            <v>common_fangyu,common_chaofeng</v>
          </cell>
          <cell r="N72" t="str">
            <v>head_huli_youxuan</v>
          </cell>
          <cell r="O72" t="str">
            <v>lansebiankuang</v>
          </cell>
          <cell r="P72" t="str">
            <v>huli_youxuan_actor</v>
          </cell>
          <cell r="Q72">
            <v>1</v>
          </cell>
          <cell r="R72" t="str">
            <v>[]</v>
          </cell>
          <cell r="S72" t="str">
            <v>[]</v>
          </cell>
          <cell r="T72" t="str">
            <v>[]</v>
          </cell>
          <cell r="U72">
            <v>2</v>
          </cell>
          <cell r="BH72">
            <v>400</v>
          </cell>
        </row>
        <row r="73">
          <cell r="A73">
            <v>1158</v>
          </cell>
          <cell r="B73" t="str">
            <v>狐狸-茹雪</v>
          </cell>
          <cell r="C73" t="str">
            <v>什么时候才能见到妲己姐姐呢？</v>
          </cell>
          <cell r="D73">
            <v>1</v>
          </cell>
          <cell r="E73">
            <v>4</v>
          </cell>
          <cell r="F73">
            <v>3</v>
          </cell>
          <cell r="G73">
            <v>3</v>
          </cell>
          <cell r="H73" t="str">
            <v>物攻型，负责物理输出</v>
          </cell>
          <cell r="I73">
            <v>150</v>
          </cell>
          <cell r="J73" t="str">
            <v>humeiren_attack</v>
          </cell>
          <cell r="K73">
            <v>10</v>
          </cell>
          <cell r="L73" t="str">
            <v>bingbao_skill01,shui_humeiren_skill02</v>
          </cell>
          <cell r="M73" t="str">
            <v>common_fangyu,common_chaofeng</v>
          </cell>
          <cell r="N73" t="str">
            <v>head_huli_ruxue</v>
          </cell>
          <cell r="O73" t="str">
            <v>lansebiankuang</v>
          </cell>
          <cell r="P73" t="str">
            <v>huli_ruxue_actor</v>
          </cell>
          <cell r="Q73">
            <v>1</v>
          </cell>
          <cell r="R73" t="str">
            <v>[]</v>
          </cell>
          <cell r="S73" t="str">
            <v>[]</v>
          </cell>
          <cell r="T73" t="str">
            <v>[]</v>
          </cell>
          <cell r="U73">
            <v>2</v>
          </cell>
          <cell r="BH73">
            <v>400</v>
          </cell>
        </row>
        <row r="74">
          <cell r="A74">
            <v>1159</v>
          </cell>
          <cell r="B74" t="str">
            <v>狐狸-若火</v>
          </cell>
          <cell r="C74" t="str">
            <v>什么时候才能见到妲己姐姐呢？</v>
          </cell>
          <cell r="D74">
            <v>1</v>
          </cell>
          <cell r="E74">
            <v>4</v>
          </cell>
          <cell r="F74">
            <v>3</v>
          </cell>
          <cell r="G74">
            <v>3</v>
          </cell>
          <cell r="H74" t="str">
            <v>物攻型，负责物理输出</v>
          </cell>
          <cell r="I74">
            <v>150</v>
          </cell>
          <cell r="J74" t="str">
            <v>humeiren_attack</v>
          </cell>
          <cell r="K74">
            <v>10</v>
          </cell>
          <cell r="L74" t="str">
            <v>huoqiuzhadan_skill01,huo_humeiren_skill02</v>
          </cell>
          <cell r="M74" t="str">
            <v>common_fangyu,common_chaofeng</v>
          </cell>
          <cell r="N74" t="str">
            <v>head_huli_ruohuo</v>
          </cell>
          <cell r="O74" t="str">
            <v>lansebiankuang</v>
          </cell>
          <cell r="P74" t="str">
            <v>huli_ruohuo_actor</v>
          </cell>
          <cell r="Q74">
            <v>1</v>
          </cell>
          <cell r="R74" t="str">
            <v>[]</v>
          </cell>
          <cell r="S74" t="str">
            <v>[]</v>
          </cell>
          <cell r="T74" t="str">
            <v>[]</v>
          </cell>
          <cell r="U74">
            <v>2</v>
          </cell>
          <cell r="BH74">
            <v>400</v>
          </cell>
        </row>
        <row r="75">
          <cell r="A75">
            <v>1162</v>
          </cell>
          <cell r="B75" t="str">
            <v>鲛人-嫦曦</v>
          </cell>
          <cell r="C75" t="str">
            <v>来听听我的安魂曲吧。</v>
          </cell>
          <cell r="D75">
            <v>1</v>
          </cell>
          <cell r="E75">
            <v>4</v>
          </cell>
          <cell r="F75">
            <v>2</v>
          </cell>
          <cell r="G75">
            <v>2</v>
          </cell>
          <cell r="H75" t="str">
            <v>法攻型，负责法术输出</v>
          </cell>
          <cell r="I75">
            <v>150</v>
          </cell>
          <cell r="J75" t="str">
            <v>jiaoren_attack</v>
          </cell>
          <cell r="K75">
            <v>10</v>
          </cell>
          <cell r="L75" t="str">
            <v>lijianxueren_skill01,jin_jiaoren_skill02</v>
          </cell>
          <cell r="M75" t="str">
            <v>common_fangyu,common_chaofeng</v>
          </cell>
          <cell r="N75" t="str">
            <v>head_jiaoren_changxi</v>
          </cell>
          <cell r="O75" t="str">
            <v>lansebiankuang</v>
          </cell>
          <cell r="P75" t="str">
            <v>jiaoren_yuechan_actor</v>
          </cell>
          <cell r="Q75">
            <v>1</v>
          </cell>
          <cell r="R75" t="str">
            <v>[]</v>
          </cell>
          <cell r="S75" t="str">
            <v>[]</v>
          </cell>
          <cell r="T75" t="str">
            <v>[]</v>
          </cell>
          <cell r="U75">
            <v>2</v>
          </cell>
          <cell r="BH75">
            <v>400</v>
          </cell>
        </row>
        <row r="76">
          <cell r="A76">
            <v>1163</v>
          </cell>
          <cell r="B76" t="str">
            <v>鲛人-月婵</v>
          </cell>
          <cell r="C76" t="str">
            <v>来听听我的安魂曲吧。</v>
          </cell>
          <cell r="D76">
            <v>1</v>
          </cell>
          <cell r="E76">
            <v>4</v>
          </cell>
          <cell r="F76">
            <v>2</v>
          </cell>
          <cell r="G76">
            <v>2</v>
          </cell>
          <cell r="H76" t="str">
            <v>法攻型，负责法术输出</v>
          </cell>
          <cell r="I76">
            <v>150</v>
          </cell>
          <cell r="J76" t="str">
            <v>jiaoren_attack</v>
          </cell>
          <cell r="K76">
            <v>10</v>
          </cell>
          <cell r="L76" t="str">
            <v>baofengxue_skill01,shui_jiaoren_skill02</v>
          </cell>
          <cell r="M76" t="str">
            <v>common_fangyu,common_chaofeng</v>
          </cell>
          <cell r="N76" t="str">
            <v>head_jiaoren_yuechan</v>
          </cell>
          <cell r="O76" t="str">
            <v>lansebiankuang</v>
          </cell>
          <cell r="P76" t="str">
            <v>jiaoren_yuechan_actor</v>
          </cell>
          <cell r="Q76">
            <v>1</v>
          </cell>
          <cell r="R76" t="str">
            <v>[]</v>
          </cell>
          <cell r="S76" t="str">
            <v>[]</v>
          </cell>
          <cell r="T76" t="str">
            <v>[]</v>
          </cell>
          <cell r="U76">
            <v>2</v>
          </cell>
          <cell r="BH76">
            <v>400</v>
          </cell>
        </row>
        <row r="77">
          <cell r="A77">
            <v>1153</v>
          </cell>
          <cell r="B77" t="str">
            <v>夜叉-金利</v>
          </cell>
          <cell r="C77" t="str">
            <v>巡海夜叉就是我！怕了吧！</v>
          </cell>
          <cell r="D77">
            <v>1</v>
          </cell>
          <cell r="E77">
            <v>4</v>
          </cell>
          <cell r="F77">
            <v>3</v>
          </cell>
          <cell r="G77">
            <v>3</v>
          </cell>
          <cell r="H77" t="str">
            <v>物攻型，负责物理输出</v>
          </cell>
          <cell r="I77">
            <v>150</v>
          </cell>
          <cell r="J77" t="str">
            <v>yecha_attack</v>
          </cell>
          <cell r="K77">
            <v>10</v>
          </cell>
          <cell r="L77" t="str">
            <v>jianqi_skill01</v>
          </cell>
          <cell r="M77" t="str">
            <v>common_fangyu,common_chaofeng</v>
          </cell>
          <cell r="N77" t="str">
            <v>head_yecha_jinli</v>
          </cell>
          <cell r="O77" t="str">
            <v>lvsebiankuang</v>
          </cell>
          <cell r="P77" t="str">
            <v>yecha_jinli_actor</v>
          </cell>
          <cell r="Q77">
            <v>1</v>
          </cell>
          <cell r="R77" t="str">
            <v>[]</v>
          </cell>
          <cell r="S77" t="str">
            <v>[]</v>
          </cell>
          <cell r="T77" t="str">
            <v>[]</v>
          </cell>
          <cell r="U77">
            <v>1</v>
          </cell>
          <cell r="BH77">
            <v>400</v>
          </cell>
        </row>
        <row r="78">
          <cell r="A78">
            <v>1154</v>
          </cell>
          <cell r="B78" t="str">
            <v>夜叉-碧涛</v>
          </cell>
          <cell r="C78" t="str">
            <v>巡海夜叉就是我！怕了吧！</v>
          </cell>
          <cell r="D78">
            <v>1</v>
          </cell>
          <cell r="E78">
            <v>4</v>
          </cell>
          <cell r="F78">
            <v>3</v>
          </cell>
          <cell r="G78">
            <v>3</v>
          </cell>
          <cell r="H78" t="str">
            <v>物攻型，负责物理输出</v>
          </cell>
          <cell r="I78">
            <v>150</v>
          </cell>
          <cell r="J78" t="str">
            <v>yecha_attack</v>
          </cell>
          <cell r="K78">
            <v>10</v>
          </cell>
          <cell r="L78" t="str">
            <v>shuiwuqinshi_skill01</v>
          </cell>
          <cell r="M78" t="str">
            <v>common_fangyu,common_chaofeng</v>
          </cell>
          <cell r="N78" t="str">
            <v>head_yecha_bitao</v>
          </cell>
          <cell r="O78" t="str">
            <v>lvsebiankuang</v>
          </cell>
          <cell r="P78" t="str">
            <v>yecha_bitao_actor</v>
          </cell>
          <cell r="Q78">
            <v>1</v>
          </cell>
          <cell r="R78" t="str">
            <v>[]</v>
          </cell>
          <cell r="S78" t="str">
            <v>[]</v>
          </cell>
          <cell r="T78" t="str">
            <v>[]</v>
          </cell>
          <cell r="U78">
            <v>1</v>
          </cell>
          <cell r="BH78">
            <v>400</v>
          </cell>
        </row>
        <row r="79">
          <cell r="A79">
            <v>1164</v>
          </cell>
          <cell r="B79" t="str">
            <v>天兵-金斌</v>
          </cell>
          <cell r="C79" t="str">
            <v>缥缈天宫，由我来守护！</v>
          </cell>
          <cell r="D79">
            <v>1</v>
          </cell>
          <cell r="E79">
            <v>4</v>
          </cell>
          <cell r="F79">
            <v>3</v>
          </cell>
          <cell r="G79">
            <v>3</v>
          </cell>
          <cell r="H79" t="str">
            <v>物攻型，负责物理输出</v>
          </cell>
          <cell r="I79">
            <v>150</v>
          </cell>
          <cell r="J79" t="str">
            <v>tianbing_attack</v>
          </cell>
          <cell r="K79">
            <v>10</v>
          </cell>
          <cell r="L79" t="str">
            <v>jianqi_skill01</v>
          </cell>
          <cell r="M79" t="str">
            <v>common_fangyu,common_chaofeng</v>
          </cell>
          <cell r="N79" t="str">
            <v>head_tianbing_jinbing</v>
          </cell>
          <cell r="O79" t="str">
            <v>lvsebiankuang</v>
          </cell>
          <cell r="P79" t="str">
            <v>tianbing_jinbing_actor</v>
          </cell>
          <cell r="Q79">
            <v>1</v>
          </cell>
          <cell r="R79" t="str">
            <v>[]</v>
          </cell>
          <cell r="S79" t="str">
            <v>[]</v>
          </cell>
          <cell r="T79" t="str">
            <v>[]</v>
          </cell>
          <cell r="U79">
            <v>1</v>
          </cell>
          <cell r="BH79">
            <v>100</v>
          </cell>
        </row>
        <row r="80">
          <cell r="A80">
            <v>1165</v>
          </cell>
          <cell r="B80" t="str">
            <v>天兵-政仲</v>
          </cell>
          <cell r="C80" t="str">
            <v>缥缈天宫，由我来守护！</v>
          </cell>
          <cell r="D80">
            <v>1</v>
          </cell>
          <cell r="E80">
            <v>4</v>
          </cell>
          <cell r="F80">
            <v>3</v>
          </cell>
          <cell r="G80">
            <v>3</v>
          </cell>
          <cell r="H80" t="str">
            <v>物攻型，负责物理输出</v>
          </cell>
          <cell r="I80">
            <v>150</v>
          </cell>
          <cell r="J80" t="str">
            <v>tianbing_attack</v>
          </cell>
          <cell r="K80">
            <v>10</v>
          </cell>
          <cell r="L80" t="str">
            <v>leiji_skill01</v>
          </cell>
          <cell r="M80" t="str">
            <v>common_fangyu,common_chaofeng</v>
          </cell>
          <cell r="N80" t="str">
            <v>head_tianbing_zhengzhong</v>
          </cell>
          <cell r="O80" t="str">
            <v>lvsebiankuang</v>
          </cell>
          <cell r="P80" t="str">
            <v>tianbing_zhengzhong_actor</v>
          </cell>
          <cell r="Q80">
            <v>1</v>
          </cell>
          <cell r="R80" t="str">
            <v>[]</v>
          </cell>
          <cell r="S80" t="str">
            <v>[]</v>
          </cell>
          <cell r="T80" t="str">
            <v>[]</v>
          </cell>
          <cell r="U80">
            <v>1</v>
          </cell>
          <cell r="BH80">
            <v>100</v>
          </cell>
        </row>
        <row r="81">
          <cell r="A81">
            <v>1166</v>
          </cell>
          <cell r="B81" t="str">
            <v>天兵-火夕</v>
          </cell>
          <cell r="C81" t="str">
            <v>缥缈天宫，由我来守护！</v>
          </cell>
          <cell r="D81">
            <v>1</v>
          </cell>
          <cell r="E81">
            <v>4</v>
          </cell>
          <cell r="F81">
            <v>3</v>
          </cell>
          <cell r="G81">
            <v>3</v>
          </cell>
          <cell r="H81" t="str">
            <v>物攻型，负责物理输出</v>
          </cell>
          <cell r="I81">
            <v>150</v>
          </cell>
          <cell r="J81" t="str">
            <v>tianbing_attack</v>
          </cell>
          <cell r="K81">
            <v>10</v>
          </cell>
          <cell r="L81" t="str">
            <v>huoniao_skill01</v>
          </cell>
          <cell r="M81" t="str">
            <v>common_fangyu,common_chaofeng</v>
          </cell>
          <cell r="N81" t="str">
            <v>head_tianbing_huoxi</v>
          </cell>
          <cell r="O81" t="str">
            <v>lvsebiankuang</v>
          </cell>
          <cell r="P81" t="str">
            <v>tianbing_huoxi_actor</v>
          </cell>
          <cell r="Q81">
            <v>1</v>
          </cell>
          <cell r="R81" t="str">
            <v>[]</v>
          </cell>
          <cell r="S81" t="str">
            <v>[]</v>
          </cell>
          <cell r="T81" t="str">
            <v>[]</v>
          </cell>
          <cell r="U81">
            <v>1</v>
          </cell>
          <cell r="BH81">
            <v>100</v>
          </cell>
        </row>
        <row r="82">
          <cell r="A82">
            <v>1167</v>
          </cell>
          <cell r="B82" t="str">
            <v>狼人-霍金</v>
          </cell>
          <cell r="C82" t="str">
            <v>来呀！我们打一架吧！</v>
          </cell>
          <cell r="D82">
            <v>1</v>
          </cell>
          <cell r="E82">
            <v>4</v>
          </cell>
          <cell r="F82">
            <v>4</v>
          </cell>
          <cell r="G82">
            <v>4</v>
          </cell>
          <cell r="H82" t="str">
            <v>防御型，俗称肉盾，生命值高，防御力强</v>
          </cell>
          <cell r="I82">
            <v>150</v>
          </cell>
          <cell r="J82" t="str">
            <v>langren_attack</v>
          </cell>
          <cell r="K82">
            <v>10</v>
          </cell>
          <cell r="L82" t="str">
            <v>lijianxueren_skill01</v>
          </cell>
          <cell r="M82" t="str">
            <v>common_fangyu,common_chaofeng</v>
          </cell>
          <cell r="N82" t="str">
            <v>head_langren_huojing</v>
          </cell>
          <cell r="O82" t="str">
            <v>lvsebiankuang</v>
          </cell>
          <cell r="P82" t="str">
            <v>langren_huojing_actor</v>
          </cell>
          <cell r="Q82">
            <v>1</v>
          </cell>
          <cell r="R82" t="str">
            <v>[]</v>
          </cell>
          <cell r="S82" t="str">
            <v>[]</v>
          </cell>
          <cell r="T82" t="str">
            <v>[]</v>
          </cell>
          <cell r="U82">
            <v>1</v>
          </cell>
          <cell r="BH82">
            <v>100</v>
          </cell>
        </row>
        <row r="83">
          <cell r="A83">
            <v>1168</v>
          </cell>
          <cell r="B83" t="str">
            <v>狼人-霍文</v>
          </cell>
          <cell r="C83" t="str">
            <v>来呀！我们打一架吧！</v>
          </cell>
          <cell r="D83">
            <v>1</v>
          </cell>
          <cell r="E83">
            <v>4</v>
          </cell>
          <cell r="F83">
            <v>4</v>
          </cell>
          <cell r="G83">
            <v>4</v>
          </cell>
          <cell r="H83" t="str">
            <v>防御型，俗称肉盾，生命值高，防御力强</v>
          </cell>
          <cell r="I83">
            <v>150</v>
          </cell>
          <cell r="J83" t="str">
            <v>langren_attack</v>
          </cell>
          <cell r="K83">
            <v>10</v>
          </cell>
          <cell r="L83" t="str">
            <v>yingyan_skill01</v>
          </cell>
          <cell r="M83" t="str">
            <v>common_fangyu,common_chaofeng</v>
          </cell>
          <cell r="N83" t="str">
            <v>head_langren_huowen</v>
          </cell>
          <cell r="O83" t="str">
            <v>lvsebiankuang</v>
          </cell>
          <cell r="P83" t="str">
            <v>langren_huowen_actor</v>
          </cell>
          <cell r="Q83">
            <v>1</v>
          </cell>
          <cell r="R83" t="str">
            <v>[]</v>
          </cell>
          <cell r="S83" t="str">
            <v>[]</v>
          </cell>
          <cell r="T83" t="str">
            <v>[]</v>
          </cell>
          <cell r="U83">
            <v>1</v>
          </cell>
          <cell r="BH83">
            <v>100</v>
          </cell>
        </row>
        <row r="84">
          <cell r="A84">
            <v>1169</v>
          </cell>
          <cell r="B84" t="str">
            <v>狼人-霍达</v>
          </cell>
          <cell r="C84" t="str">
            <v>来呀！我们打一架吧！</v>
          </cell>
          <cell r="D84">
            <v>1</v>
          </cell>
          <cell r="E84">
            <v>4</v>
          </cell>
          <cell r="F84">
            <v>4</v>
          </cell>
          <cell r="G84">
            <v>4</v>
          </cell>
          <cell r="H84" t="str">
            <v>防御型，俗称肉盾，生命值高，防御力强</v>
          </cell>
          <cell r="I84">
            <v>150</v>
          </cell>
          <cell r="J84" t="str">
            <v>langren_attack</v>
          </cell>
          <cell r="K84">
            <v>10</v>
          </cell>
          <cell r="L84" t="str">
            <v>bingbao_skill01</v>
          </cell>
          <cell r="M84" t="str">
            <v>common_fangyu,common_chaofeng</v>
          </cell>
          <cell r="N84" t="str">
            <v>head_langren_huoda</v>
          </cell>
          <cell r="O84" t="str">
            <v>lvsebiankuang</v>
          </cell>
          <cell r="P84" t="str">
            <v>langren_huoda_actor</v>
          </cell>
          <cell r="Q84">
            <v>1</v>
          </cell>
          <cell r="R84" t="str">
            <v>[]</v>
          </cell>
          <cell r="S84" t="str">
            <v>[]</v>
          </cell>
          <cell r="T84" t="str">
            <v>[]</v>
          </cell>
          <cell r="U84">
            <v>1</v>
          </cell>
          <cell r="BH84">
            <v>100</v>
          </cell>
        </row>
        <row r="85">
          <cell r="A85">
            <v>1170</v>
          </cell>
          <cell r="B85" t="str">
            <v>狼人-霍格</v>
          </cell>
          <cell r="C85" t="str">
            <v>来呀！我们打一架吧！</v>
          </cell>
          <cell r="D85">
            <v>1</v>
          </cell>
          <cell r="E85">
            <v>4</v>
          </cell>
          <cell r="F85">
            <v>4</v>
          </cell>
          <cell r="G85">
            <v>4</v>
          </cell>
          <cell r="H85" t="str">
            <v>防御型，俗称肉盾，生命值高，防御力强</v>
          </cell>
          <cell r="I85">
            <v>150</v>
          </cell>
          <cell r="J85" t="str">
            <v>langren_attack</v>
          </cell>
          <cell r="K85">
            <v>10</v>
          </cell>
          <cell r="L85" t="str">
            <v>rexuebaofa_skill01</v>
          </cell>
          <cell r="M85" t="str">
            <v>common_fangyu,common_chaofeng</v>
          </cell>
          <cell r="N85" t="str">
            <v>head_langren_huoge</v>
          </cell>
          <cell r="O85" t="str">
            <v>lvsebiankuang</v>
          </cell>
          <cell r="P85" t="str">
            <v>langren_huoge_actor</v>
          </cell>
          <cell r="Q85">
            <v>1</v>
          </cell>
          <cell r="R85" t="str">
            <v>[]</v>
          </cell>
          <cell r="S85" t="str">
            <v>[]</v>
          </cell>
          <cell r="T85" t="str">
            <v>[]</v>
          </cell>
          <cell r="U85">
            <v>1</v>
          </cell>
          <cell r="BH85">
            <v>100</v>
          </cell>
        </row>
        <row r="86">
          <cell r="A86">
            <v>1171</v>
          </cell>
          <cell r="B86" t="str">
            <v>狼人-霍武</v>
          </cell>
          <cell r="C86" t="str">
            <v>来呀！我们打一架吧！</v>
          </cell>
          <cell r="D86">
            <v>1</v>
          </cell>
          <cell r="E86">
            <v>4</v>
          </cell>
          <cell r="F86">
            <v>4</v>
          </cell>
          <cell r="G86">
            <v>4</v>
          </cell>
          <cell r="H86" t="str">
            <v>防御型，俗称肉盾，生命值高，防御力强</v>
          </cell>
          <cell r="I86">
            <v>150</v>
          </cell>
          <cell r="J86" t="str">
            <v>langren_attack</v>
          </cell>
          <cell r="K86">
            <v>10</v>
          </cell>
          <cell r="L86" t="str">
            <v>dicituxi_skill01</v>
          </cell>
          <cell r="M86" t="str">
            <v>common_fangyu,common_chaofeng</v>
          </cell>
          <cell r="N86" t="str">
            <v>head_langren_huowu</v>
          </cell>
          <cell r="O86" t="str">
            <v>lvsebiankuang</v>
          </cell>
          <cell r="P86" t="str">
            <v>langren_huowu_actor</v>
          </cell>
          <cell r="Q86">
            <v>1</v>
          </cell>
          <cell r="R86" t="str">
            <v>[]</v>
          </cell>
          <cell r="S86" t="str">
            <v>[]</v>
          </cell>
          <cell r="T86" t="str">
            <v>[]</v>
          </cell>
          <cell r="U86">
            <v>1</v>
          </cell>
          <cell r="BH86">
            <v>100</v>
          </cell>
        </row>
        <row r="87">
          <cell r="A87">
            <v>1176</v>
          </cell>
          <cell r="B87" t="str">
            <v>骷髅-德明</v>
          </cell>
          <cell r="C87" t="str">
            <v>理想总是很丰满，奈何现实太过骨感！</v>
          </cell>
          <cell r="D87">
            <v>1</v>
          </cell>
          <cell r="E87">
            <v>4</v>
          </cell>
          <cell r="F87">
            <v>3</v>
          </cell>
          <cell r="G87">
            <v>3</v>
          </cell>
          <cell r="H87" t="str">
            <v>物攻型，负责物理输出</v>
          </cell>
          <cell r="I87">
            <v>150</v>
          </cell>
          <cell r="J87" t="str">
            <v>kuloubing_attack</v>
          </cell>
          <cell r="K87">
            <v>10</v>
          </cell>
          <cell r="L87" t="str">
            <v>duchi_skill01</v>
          </cell>
          <cell r="M87" t="str">
            <v>common_fangyu,common_chaofeng</v>
          </cell>
          <cell r="N87" t="str">
            <v>head_kulou_deming</v>
          </cell>
          <cell r="O87" t="str">
            <v>lvsebiankuang</v>
          </cell>
          <cell r="P87" t="str">
            <v>kulou_deming_actor</v>
          </cell>
          <cell r="Q87">
            <v>1</v>
          </cell>
          <cell r="R87" t="str">
            <v>[]</v>
          </cell>
          <cell r="S87" t="str">
            <v>[]</v>
          </cell>
          <cell r="T87" t="str">
            <v>[]</v>
          </cell>
          <cell r="U87">
            <v>1</v>
          </cell>
          <cell r="BH87">
            <v>100</v>
          </cell>
        </row>
        <row r="88">
          <cell r="A88">
            <v>1177</v>
          </cell>
          <cell r="B88" t="str">
            <v>骷髅-奇伟</v>
          </cell>
          <cell r="C88" t="str">
            <v>理想总是很丰满，奈何现实太过骨感！</v>
          </cell>
          <cell r="D88">
            <v>1</v>
          </cell>
          <cell r="E88">
            <v>4</v>
          </cell>
          <cell r="F88">
            <v>3</v>
          </cell>
          <cell r="G88">
            <v>3</v>
          </cell>
          <cell r="H88" t="str">
            <v>物攻型，负责物理输出</v>
          </cell>
          <cell r="I88">
            <v>150</v>
          </cell>
          <cell r="J88" t="str">
            <v>kuloubing_attack</v>
          </cell>
          <cell r="K88">
            <v>10</v>
          </cell>
          <cell r="L88" t="str">
            <v>shuiwuqinshi_skill01</v>
          </cell>
          <cell r="M88" t="str">
            <v>common_fangyu,common_chaofeng</v>
          </cell>
          <cell r="N88" t="str">
            <v>head_kulou_qiwei</v>
          </cell>
          <cell r="O88" t="str">
            <v>lvsebiankuang</v>
          </cell>
          <cell r="P88" t="str">
            <v>kulou_qiwei_actor</v>
          </cell>
          <cell r="Q88">
            <v>1</v>
          </cell>
          <cell r="R88" t="str">
            <v>[]</v>
          </cell>
          <cell r="S88" t="str">
            <v>[]</v>
          </cell>
          <cell r="T88" t="str">
            <v>[]</v>
          </cell>
          <cell r="U88">
            <v>1</v>
          </cell>
          <cell r="BH88">
            <v>100</v>
          </cell>
        </row>
        <row r="89">
          <cell r="A89">
            <v>1178</v>
          </cell>
          <cell r="B89" t="str">
            <v>骷髅-德元</v>
          </cell>
          <cell r="C89" t="str">
            <v>理想总是很丰满，奈何现实太过骨感！</v>
          </cell>
          <cell r="D89">
            <v>1</v>
          </cell>
          <cell r="E89">
            <v>4</v>
          </cell>
          <cell r="F89">
            <v>3</v>
          </cell>
          <cell r="G89">
            <v>3</v>
          </cell>
          <cell r="H89" t="str">
            <v>物攻型，负责物理输出</v>
          </cell>
          <cell r="I89">
            <v>150</v>
          </cell>
          <cell r="J89" t="str">
            <v>kuloubing_attack</v>
          </cell>
          <cell r="K89">
            <v>10</v>
          </cell>
          <cell r="L89" t="str">
            <v>rexuebaofa_skill01</v>
          </cell>
          <cell r="M89" t="str">
            <v>common_fangyu,common_chaofeng</v>
          </cell>
          <cell r="N89" t="str">
            <v>head_kulou_deyuan</v>
          </cell>
          <cell r="O89" t="str">
            <v>lvsebiankuang</v>
          </cell>
          <cell r="P89" t="str">
            <v>kulou_deyuan_actor</v>
          </cell>
          <cell r="Q89">
            <v>1</v>
          </cell>
          <cell r="R89" t="str">
            <v>[]</v>
          </cell>
          <cell r="S89" t="str">
            <v>[]</v>
          </cell>
          <cell r="T89" t="str">
            <v>[]</v>
          </cell>
          <cell r="U89">
            <v>1</v>
          </cell>
          <cell r="BH89">
            <v>100</v>
          </cell>
        </row>
        <row r="90">
          <cell r="A90">
            <v>1179</v>
          </cell>
          <cell r="B90" t="str">
            <v>骷髅-彭泽</v>
          </cell>
          <cell r="C90" t="str">
            <v>理想总是很丰满，奈何现实太过骨感！</v>
          </cell>
          <cell r="D90">
            <v>1</v>
          </cell>
          <cell r="E90">
            <v>4</v>
          </cell>
          <cell r="F90">
            <v>3</v>
          </cell>
          <cell r="G90">
            <v>3</v>
          </cell>
          <cell r="H90" t="str">
            <v>物攻型，负责物理输出</v>
          </cell>
          <cell r="I90">
            <v>150</v>
          </cell>
          <cell r="J90" t="str">
            <v>kuloubing_attack</v>
          </cell>
          <cell r="K90">
            <v>10</v>
          </cell>
          <cell r="L90" t="str">
            <v>feishazoushi_skill01</v>
          </cell>
          <cell r="M90" t="str">
            <v>common_fangyu,common_chaofeng</v>
          </cell>
          <cell r="N90" t="str">
            <v>head_kulou_pengze</v>
          </cell>
          <cell r="O90" t="str">
            <v>lvsebiankuang</v>
          </cell>
          <cell r="P90" t="str">
            <v>kulou_pengze_actor</v>
          </cell>
          <cell r="Q90">
            <v>1</v>
          </cell>
          <cell r="R90" t="str">
            <v>[]</v>
          </cell>
          <cell r="S90" t="str">
            <v>[]</v>
          </cell>
          <cell r="T90" t="str">
            <v>[]</v>
          </cell>
          <cell r="U90">
            <v>1</v>
          </cell>
          <cell r="BH90">
            <v>100</v>
          </cell>
        </row>
        <row r="91">
          <cell r="A91">
            <v>1180</v>
          </cell>
          <cell r="B91" t="str">
            <v>蜘蛛-元瑶</v>
          </cell>
          <cell r="C91" t="str">
            <v>小看我可是会丢了性命的！</v>
          </cell>
          <cell r="D91">
            <v>1</v>
          </cell>
          <cell r="E91">
            <v>4</v>
          </cell>
          <cell r="F91">
            <v>2</v>
          </cell>
          <cell r="G91">
            <v>2</v>
          </cell>
          <cell r="H91" t="str">
            <v>法攻型，负责法术输出</v>
          </cell>
          <cell r="I91">
            <v>150</v>
          </cell>
          <cell r="J91" t="str">
            <v>zhizhu_attack</v>
          </cell>
          <cell r="K91">
            <v>10</v>
          </cell>
          <cell r="L91" t="str">
            <v>jianqi_skill01</v>
          </cell>
          <cell r="M91" t="str">
            <v>common_fangyu,common_chaofeng</v>
          </cell>
          <cell r="N91" t="str">
            <v>head_zhizhu_yuanyao</v>
          </cell>
          <cell r="O91" t="str">
            <v>lvsebiankuang</v>
          </cell>
          <cell r="P91" t="str">
            <v>zhizhu_yuanyao_actor</v>
          </cell>
          <cell r="Q91">
            <v>1</v>
          </cell>
          <cell r="R91" t="str">
            <v>[]</v>
          </cell>
          <cell r="S91" t="str">
            <v>[]</v>
          </cell>
          <cell r="T91" t="str">
            <v>[]</v>
          </cell>
          <cell r="U91">
            <v>1</v>
          </cell>
          <cell r="BH91">
            <v>100</v>
          </cell>
        </row>
        <row r="92">
          <cell r="A92">
            <v>1181</v>
          </cell>
          <cell r="B92" t="str">
            <v>蜘蛛-怜寒</v>
          </cell>
          <cell r="C92" t="str">
            <v>小看我可是会丢了性命的！</v>
          </cell>
          <cell r="D92">
            <v>1</v>
          </cell>
          <cell r="E92">
            <v>4</v>
          </cell>
          <cell r="F92">
            <v>2</v>
          </cell>
          <cell r="G92">
            <v>2</v>
          </cell>
          <cell r="H92" t="str">
            <v>法攻型，负责法术输出</v>
          </cell>
          <cell r="I92">
            <v>150</v>
          </cell>
          <cell r="J92" t="str">
            <v>zhizhu_attack</v>
          </cell>
          <cell r="K92">
            <v>10</v>
          </cell>
          <cell r="L92" t="str">
            <v>shuiwuqinshi_skill01</v>
          </cell>
          <cell r="M92" t="str">
            <v>common_fangyu,common_chaofeng</v>
          </cell>
          <cell r="N92" t="str">
            <v>head_zhizhu_lianhan</v>
          </cell>
          <cell r="O92" t="str">
            <v>lvsebiankuang</v>
          </cell>
          <cell r="P92" t="str">
            <v>zhizhu_lianhan_actor</v>
          </cell>
          <cell r="Q92">
            <v>1</v>
          </cell>
          <cell r="R92" t="str">
            <v>[]</v>
          </cell>
          <cell r="S92" t="str">
            <v>[]</v>
          </cell>
          <cell r="T92" t="str">
            <v>[]</v>
          </cell>
          <cell r="U92">
            <v>1</v>
          </cell>
          <cell r="BH92">
            <v>100</v>
          </cell>
        </row>
        <row r="93">
          <cell r="A93">
            <v>1182</v>
          </cell>
          <cell r="B93" t="str">
            <v>蜘蛛-盼香</v>
          </cell>
          <cell r="C93" t="str">
            <v>小看我可是会丢了性命的！</v>
          </cell>
          <cell r="D93">
            <v>1</v>
          </cell>
          <cell r="E93">
            <v>4</v>
          </cell>
          <cell r="F93">
            <v>2</v>
          </cell>
          <cell r="G93">
            <v>2</v>
          </cell>
          <cell r="H93" t="str">
            <v>法攻型，负责法术输出</v>
          </cell>
          <cell r="I93">
            <v>150</v>
          </cell>
          <cell r="J93" t="str">
            <v>zhizhu_attack</v>
          </cell>
          <cell r="K93">
            <v>10</v>
          </cell>
          <cell r="L93" t="str">
            <v>dicituxi_skill01</v>
          </cell>
          <cell r="M93" t="str">
            <v>common_fangyu,common_chaofeng</v>
          </cell>
          <cell r="N93" t="str">
            <v>head_zhizhu_panxiang</v>
          </cell>
          <cell r="O93" t="str">
            <v>lvsebiankuang</v>
          </cell>
          <cell r="P93" t="str">
            <v>zhizhu_panxiang_actor</v>
          </cell>
          <cell r="Q93">
            <v>1</v>
          </cell>
          <cell r="R93" t="str">
            <v>[]</v>
          </cell>
          <cell r="S93" t="str">
            <v>[]</v>
          </cell>
          <cell r="T93" t="str">
            <v>[]</v>
          </cell>
          <cell r="U93">
            <v>1</v>
          </cell>
          <cell r="BH93">
            <v>100</v>
          </cell>
        </row>
        <row r="94">
          <cell r="A94">
            <v>1185</v>
          </cell>
          <cell r="B94" t="str">
            <v>女鬼-歆瑶</v>
          </cell>
          <cell r="C94" t="str">
            <v>想试试鬼爪的厉害么？</v>
          </cell>
          <cell r="D94">
            <v>1</v>
          </cell>
          <cell r="E94">
            <v>4</v>
          </cell>
          <cell r="F94">
            <v>3</v>
          </cell>
          <cell r="G94">
            <v>3</v>
          </cell>
          <cell r="H94" t="str">
            <v>物攻型，负责物理输出</v>
          </cell>
          <cell r="I94">
            <v>150</v>
          </cell>
          <cell r="J94" t="str">
            <v>nvgui_attack</v>
          </cell>
          <cell r="K94">
            <v>10</v>
          </cell>
          <cell r="L94" t="str">
            <v>lijianxueren_skill01</v>
          </cell>
          <cell r="M94" t="str">
            <v>common_fangyu,common_chaofeng</v>
          </cell>
          <cell r="N94" t="str">
            <v>head_nvgui_xinyao</v>
          </cell>
          <cell r="O94" t="str">
            <v>lvsebiankuang</v>
          </cell>
          <cell r="P94" t="str">
            <v>nvgui_xinyao_actor</v>
          </cell>
          <cell r="Q94">
            <v>1</v>
          </cell>
          <cell r="R94" t="str">
            <v>[]</v>
          </cell>
          <cell r="S94" t="str">
            <v>[]</v>
          </cell>
          <cell r="T94" t="str">
            <v>[]</v>
          </cell>
          <cell r="U94">
            <v>1</v>
          </cell>
          <cell r="BH94">
            <v>100</v>
          </cell>
        </row>
        <row r="95">
          <cell r="A95">
            <v>1186</v>
          </cell>
          <cell r="B95" t="str">
            <v>女鬼-桑榆</v>
          </cell>
          <cell r="C95" t="str">
            <v>想试试鬼爪的厉害么？</v>
          </cell>
          <cell r="D95">
            <v>1</v>
          </cell>
          <cell r="E95">
            <v>4</v>
          </cell>
          <cell r="F95">
            <v>3</v>
          </cell>
          <cell r="G95">
            <v>3</v>
          </cell>
          <cell r="H95" t="str">
            <v>物攻型，负责物理输出</v>
          </cell>
          <cell r="I95">
            <v>150</v>
          </cell>
          <cell r="J95" t="str">
            <v>nvgui_attack</v>
          </cell>
          <cell r="K95">
            <v>10</v>
          </cell>
          <cell r="L95" t="str">
            <v>duchi_skill01</v>
          </cell>
          <cell r="M95" t="str">
            <v>common_fangyu,common_chaofeng</v>
          </cell>
          <cell r="N95" t="str">
            <v>head_nvgui_sangyu</v>
          </cell>
          <cell r="O95" t="str">
            <v>lvsebiankuang</v>
          </cell>
          <cell r="P95" t="str">
            <v>nvgui_sangyu_actor</v>
          </cell>
          <cell r="Q95">
            <v>1</v>
          </cell>
          <cell r="R95" t="str">
            <v>[]</v>
          </cell>
          <cell r="S95" t="str">
            <v>[]</v>
          </cell>
          <cell r="T95" t="str">
            <v>[]</v>
          </cell>
          <cell r="U95">
            <v>1</v>
          </cell>
          <cell r="BH95">
            <v>100</v>
          </cell>
        </row>
        <row r="96">
          <cell r="A96">
            <v>1187</v>
          </cell>
          <cell r="B96" t="str">
            <v>女鬼-语嫣</v>
          </cell>
          <cell r="C96" t="str">
            <v>想试试鬼爪的厉害么？</v>
          </cell>
          <cell r="D96">
            <v>1</v>
          </cell>
          <cell r="E96">
            <v>4</v>
          </cell>
          <cell r="F96">
            <v>3</v>
          </cell>
          <cell r="G96">
            <v>3</v>
          </cell>
          <cell r="H96" t="str">
            <v>物攻型，负责物理输出</v>
          </cell>
          <cell r="I96">
            <v>150</v>
          </cell>
          <cell r="J96" t="str">
            <v>nvgui_attack</v>
          </cell>
          <cell r="K96">
            <v>10</v>
          </cell>
          <cell r="L96" t="str">
            <v>baofengxue_skill01</v>
          </cell>
          <cell r="M96" t="str">
            <v>common_fangyu,common_chaofeng</v>
          </cell>
          <cell r="N96" t="str">
            <v>head_nvgui_yuyan</v>
          </cell>
          <cell r="O96" t="str">
            <v>lvsebiankuang</v>
          </cell>
          <cell r="P96" t="str">
            <v>nvgui_yuyan_actor</v>
          </cell>
          <cell r="Q96">
            <v>1</v>
          </cell>
          <cell r="R96" t="str">
            <v>[]</v>
          </cell>
          <cell r="S96" t="str">
            <v>[]</v>
          </cell>
          <cell r="T96" t="str">
            <v>[]</v>
          </cell>
          <cell r="U96">
            <v>1</v>
          </cell>
          <cell r="BH96">
            <v>100</v>
          </cell>
        </row>
        <row r="97">
          <cell r="A97">
            <v>1188</v>
          </cell>
          <cell r="B97" t="str">
            <v>女鬼-凌菲</v>
          </cell>
          <cell r="C97" t="str">
            <v>想试试鬼爪的厉害么？</v>
          </cell>
          <cell r="D97">
            <v>1</v>
          </cell>
          <cell r="E97">
            <v>4</v>
          </cell>
          <cell r="F97">
            <v>3</v>
          </cell>
          <cell r="G97">
            <v>3</v>
          </cell>
          <cell r="H97" t="str">
            <v>物攻型，负责物理输出</v>
          </cell>
          <cell r="I97">
            <v>150</v>
          </cell>
          <cell r="J97" t="str">
            <v>nvgui_attack</v>
          </cell>
          <cell r="K97">
            <v>10</v>
          </cell>
          <cell r="L97" t="str">
            <v>diyuhuohai_skill01</v>
          </cell>
          <cell r="M97" t="str">
            <v>common_fangyu,common_chaofeng</v>
          </cell>
          <cell r="N97" t="str">
            <v>head_nvgui_lingfei</v>
          </cell>
          <cell r="O97" t="str">
            <v>lvsebiankuang</v>
          </cell>
          <cell r="P97" t="str">
            <v>nvgui_lingfei_actor</v>
          </cell>
          <cell r="Q97">
            <v>1</v>
          </cell>
          <cell r="R97" t="str">
            <v>[]</v>
          </cell>
          <cell r="S97" t="str">
            <v>[]</v>
          </cell>
          <cell r="T97" t="str">
            <v>[]</v>
          </cell>
          <cell r="U97">
            <v>1</v>
          </cell>
          <cell r="BH97">
            <v>100</v>
          </cell>
        </row>
        <row r="98">
          <cell r="A98">
            <v>1193</v>
          </cell>
          <cell r="B98" t="str">
            <v>猴兵</v>
          </cell>
          <cell r="C98" t="str">
            <v>嘿嘿，想要我的桃子么？</v>
          </cell>
          <cell r="D98">
            <v>1</v>
          </cell>
          <cell r="E98">
            <v>4</v>
          </cell>
          <cell r="F98">
            <v>3</v>
          </cell>
          <cell r="G98">
            <v>3</v>
          </cell>
          <cell r="H98" t="str">
            <v>物攻型，负责物理输出</v>
          </cell>
          <cell r="I98">
            <v>150</v>
          </cell>
          <cell r="J98" t="str">
            <v>houbing_attack</v>
          </cell>
          <cell r="K98">
            <v>10</v>
          </cell>
          <cell r="L98" t="str">
            <v>feishazoushi_skill01</v>
          </cell>
          <cell r="M98" t="str">
            <v>common_fangyu,common_chaofeng</v>
          </cell>
          <cell r="N98" t="str">
            <v>head_houbing</v>
          </cell>
          <cell r="O98" t="str">
            <v>lvsebiankuang</v>
          </cell>
          <cell r="P98" t="str">
            <v>houbing_actor</v>
          </cell>
          <cell r="Q98">
            <v>1</v>
          </cell>
          <cell r="R98" t="str">
            <v>[]</v>
          </cell>
          <cell r="S98" t="str">
            <v>[]</v>
          </cell>
          <cell r="T98" t="str">
            <v>[]</v>
          </cell>
          <cell r="U98">
            <v>1</v>
          </cell>
          <cell r="BH98">
            <v>100</v>
          </cell>
        </row>
        <row r="99">
          <cell r="A99">
            <v>1194</v>
          </cell>
          <cell r="B99" t="str">
            <v>山贼</v>
          </cell>
          <cell r="C99" t="str">
            <v>快给我留下买路财！</v>
          </cell>
          <cell r="D99">
            <v>1</v>
          </cell>
          <cell r="E99">
            <v>4</v>
          </cell>
          <cell r="F99">
            <v>2</v>
          </cell>
          <cell r="G99">
            <v>3</v>
          </cell>
          <cell r="H99" t="str">
            <v>物攻型，负责物理输出</v>
          </cell>
          <cell r="I99">
            <v>150</v>
          </cell>
          <cell r="J99" t="str">
            <v>shanzei_attack</v>
          </cell>
          <cell r="K99">
            <v>10</v>
          </cell>
          <cell r="L99" t="str">
            <v>jisufeijian_skill01</v>
          </cell>
          <cell r="M99" t="str">
            <v>common_fangyu,common_chaofeng</v>
          </cell>
          <cell r="N99" t="str">
            <v>head_shanzei</v>
          </cell>
          <cell r="O99" t="str">
            <v>lvsebiankuang</v>
          </cell>
          <cell r="P99" t="str">
            <v>shanzei_actor</v>
          </cell>
          <cell r="Q99">
            <v>1</v>
          </cell>
          <cell r="R99" t="str">
            <v>[]</v>
          </cell>
          <cell r="S99" t="str">
            <v>[]</v>
          </cell>
          <cell r="T99" t="str">
            <v>[]</v>
          </cell>
          <cell r="U99">
            <v>1</v>
          </cell>
          <cell r="BH99">
            <v>100</v>
          </cell>
        </row>
        <row r="100">
          <cell r="A100">
            <v>1217</v>
          </cell>
          <cell r="B100" t="str">
            <v>虾兵</v>
          </cell>
          <cell r="C100" t="str">
            <v>蟹将蟹将，我是虾兵！</v>
          </cell>
          <cell r="D100">
            <v>1</v>
          </cell>
          <cell r="E100">
            <v>4</v>
          </cell>
          <cell r="F100">
            <v>3</v>
          </cell>
          <cell r="G100">
            <v>3</v>
          </cell>
          <cell r="H100" t="str">
            <v>物攻型，负责物理输出</v>
          </cell>
          <cell r="I100">
            <v>150</v>
          </cell>
          <cell r="J100" t="str">
            <v>xiabing_attack</v>
          </cell>
          <cell r="K100">
            <v>10</v>
          </cell>
          <cell r="L100" t="str">
            <v>baofengxue_skill01</v>
          </cell>
          <cell r="M100" t="str">
            <v>common_fangyu,common_chaofeng</v>
          </cell>
          <cell r="N100" t="str">
            <v>head_xiabing</v>
          </cell>
          <cell r="O100" t="str">
            <v>lvsebiankuang</v>
          </cell>
          <cell r="P100" t="str">
            <v>xiabing_actor</v>
          </cell>
          <cell r="Q100">
            <v>1</v>
          </cell>
          <cell r="R100" t="str">
            <v>[]</v>
          </cell>
          <cell r="S100" t="str">
            <v>[]</v>
          </cell>
          <cell r="T100" t="str">
            <v>[]</v>
          </cell>
          <cell r="U100">
            <v>1</v>
          </cell>
          <cell r="BH100">
            <v>100</v>
          </cell>
        </row>
        <row r="101">
          <cell r="A101">
            <v>1501</v>
          </cell>
          <cell r="B101" t="str">
            <v>侍女</v>
          </cell>
          <cell r="C101" t="str">
            <v>女婢请安了！</v>
          </cell>
          <cell r="D101">
            <v>1</v>
          </cell>
          <cell r="E101">
            <v>4</v>
          </cell>
          <cell r="F101">
            <v>2</v>
          </cell>
          <cell r="G101">
            <v>2</v>
          </cell>
          <cell r="H101" t="str">
            <v>法攻型，负责法术输出</v>
          </cell>
          <cell r="I101">
            <v>150</v>
          </cell>
          <cell r="J101" t="str">
            <v>shinv_attack</v>
          </cell>
          <cell r="K101">
            <v>10</v>
          </cell>
          <cell r="L101" t="str">
            <v>yingyan_skill01</v>
          </cell>
          <cell r="M101" t="str">
            <v>common_fangyu,common_chaofeng</v>
          </cell>
          <cell r="N101" t="str">
            <v>head_shinv</v>
          </cell>
          <cell r="O101" t="str">
            <v>llvsebiankuang</v>
          </cell>
          <cell r="P101" t="str">
            <v>shinv_actor</v>
          </cell>
          <cell r="Q101">
            <v>1</v>
          </cell>
          <cell r="R101" t="str">
            <v>[]</v>
          </cell>
          <cell r="S101" t="str">
            <v>[]</v>
          </cell>
          <cell r="T101" t="str">
            <v>[]</v>
          </cell>
          <cell r="U101">
            <v>1</v>
          </cell>
          <cell r="BH101">
            <v>100</v>
          </cell>
        </row>
        <row r="102">
          <cell r="A102">
            <v>1502</v>
          </cell>
          <cell r="B102" t="str">
            <v>强盗</v>
          </cell>
          <cell r="C102" t="str">
            <v>留下买路财！</v>
          </cell>
          <cell r="D102">
            <v>1</v>
          </cell>
          <cell r="E102">
            <v>4</v>
          </cell>
          <cell r="F102">
            <v>3</v>
          </cell>
          <cell r="G102">
            <v>3</v>
          </cell>
          <cell r="H102" t="str">
            <v>物攻型，负责物理输出</v>
          </cell>
          <cell r="I102">
            <v>150</v>
          </cell>
          <cell r="J102" t="str">
            <v>qiangdao_attack</v>
          </cell>
          <cell r="K102">
            <v>10</v>
          </cell>
          <cell r="L102" t="str">
            <v>zhongchui_skill01</v>
          </cell>
          <cell r="M102" t="str">
            <v>common_fangyu,common_chaofeng</v>
          </cell>
          <cell r="N102" t="str">
            <v>head_qiangdao</v>
          </cell>
          <cell r="O102" t="str">
            <v>llvsebiankuang</v>
          </cell>
          <cell r="P102" t="str">
            <v>qiangdao_actor</v>
          </cell>
          <cell r="Q102">
            <v>1</v>
          </cell>
          <cell r="R102" t="str">
            <v>[]</v>
          </cell>
          <cell r="S102" t="str">
            <v>[]</v>
          </cell>
          <cell r="T102" t="str">
            <v>[]</v>
          </cell>
          <cell r="U102">
            <v>1</v>
          </cell>
          <cell r="BH102">
            <v>100</v>
          </cell>
        </row>
        <row r="103">
          <cell r="A103">
            <v>1503</v>
          </cell>
          <cell r="B103" t="str">
            <v>野猪怪</v>
          </cell>
          <cell r="C103" t="str">
            <v>哼哼！不许喊俺老猪蓬蓬！</v>
          </cell>
          <cell r="D103">
            <v>1</v>
          </cell>
          <cell r="E103">
            <v>4</v>
          </cell>
          <cell r="F103">
            <v>3</v>
          </cell>
          <cell r="G103">
            <v>3</v>
          </cell>
          <cell r="H103" t="str">
            <v>物攻型，负责物理输出</v>
          </cell>
          <cell r="I103">
            <v>150</v>
          </cell>
          <cell r="J103" t="str">
            <v>yezhuguai_attack</v>
          </cell>
          <cell r="K103">
            <v>10</v>
          </cell>
          <cell r="L103" t="str">
            <v>jinganghuti_skill01</v>
          </cell>
          <cell r="M103" t="str">
            <v>common_fangyu,common_chaofeng</v>
          </cell>
          <cell r="N103" t="str">
            <v>head_yezhuguai</v>
          </cell>
          <cell r="O103" t="str">
            <v>llvsebiankuang</v>
          </cell>
          <cell r="P103" t="str">
            <v>yezhuguai_actor</v>
          </cell>
          <cell r="Q103">
            <v>1</v>
          </cell>
          <cell r="R103" t="str">
            <v>[]</v>
          </cell>
          <cell r="S103" t="str">
            <v>[]</v>
          </cell>
          <cell r="T103" t="str">
            <v>[]</v>
          </cell>
          <cell r="U103">
            <v>1</v>
          </cell>
          <cell r="BH103">
            <v>100</v>
          </cell>
        </row>
        <row r="104">
          <cell r="A104">
            <v>1505</v>
          </cell>
          <cell r="B104" t="str">
            <v>狂豹</v>
          </cell>
          <cell r="C104" t="str">
            <v>嗷嗷嗷~~~~被老子的英姿吓傻了么？</v>
          </cell>
          <cell r="D104">
            <v>1</v>
          </cell>
          <cell r="E104">
            <v>4</v>
          </cell>
          <cell r="F104">
            <v>3</v>
          </cell>
          <cell r="G104">
            <v>3</v>
          </cell>
          <cell r="H104" t="str">
            <v>物攻型，负责物理输出</v>
          </cell>
          <cell r="I104">
            <v>150</v>
          </cell>
          <cell r="J104" t="str">
            <v>kuangbao_attack</v>
          </cell>
          <cell r="K104">
            <v>10</v>
          </cell>
          <cell r="L104" t="str">
            <v>rexuebaofa_skill01</v>
          </cell>
          <cell r="M104" t="str">
            <v>common_fangyu,common_chaofeng</v>
          </cell>
          <cell r="N104" t="str">
            <v>head_kuangbao</v>
          </cell>
          <cell r="O104" t="str">
            <v>lansebiankuang</v>
          </cell>
          <cell r="P104" t="str">
            <v>kuangbao_actor</v>
          </cell>
          <cell r="Q104">
            <v>1</v>
          </cell>
          <cell r="R104" t="str">
            <v>[]</v>
          </cell>
          <cell r="S104" t="str">
            <v>[]</v>
          </cell>
          <cell r="T104" t="str">
            <v>[]</v>
          </cell>
          <cell r="U104">
            <v>2</v>
          </cell>
          <cell r="BH104">
            <v>400</v>
          </cell>
        </row>
        <row r="105">
          <cell r="A105">
            <v>1506</v>
          </cell>
          <cell r="B105" t="str">
            <v>护卫</v>
          </cell>
          <cell r="C105" t="str">
            <v>收了保护费你就是我的人了!</v>
          </cell>
          <cell r="D105">
            <v>1</v>
          </cell>
          <cell r="E105">
            <v>4</v>
          </cell>
          <cell r="F105">
            <v>3</v>
          </cell>
          <cell r="G105">
            <v>3</v>
          </cell>
          <cell r="H105" t="str">
            <v>物攻型，负责物理输出</v>
          </cell>
          <cell r="I105">
            <v>150</v>
          </cell>
          <cell r="J105" t="str">
            <v>huwei_attack</v>
          </cell>
          <cell r="K105">
            <v>10</v>
          </cell>
          <cell r="L105" t="str">
            <v>dicituxi_skill01</v>
          </cell>
          <cell r="M105" t="str">
            <v>common_fangyu,common_chaofeng</v>
          </cell>
          <cell r="N105" t="str">
            <v>head_huwei</v>
          </cell>
          <cell r="O105" t="str">
            <v>lansebiankuang</v>
          </cell>
          <cell r="P105" t="str">
            <v>huwei_actor</v>
          </cell>
          <cell r="Q105">
            <v>1</v>
          </cell>
          <cell r="R105" t="str">
            <v>[]</v>
          </cell>
          <cell r="S105" t="str">
            <v>[]</v>
          </cell>
          <cell r="T105" t="str">
            <v>[]</v>
          </cell>
          <cell r="U105">
            <v>2</v>
          </cell>
          <cell r="BH105">
            <v>400</v>
          </cell>
        </row>
        <row r="106">
          <cell r="A106">
            <v>1507</v>
          </cell>
          <cell r="B106" t="str">
            <v>龟丞相</v>
          </cell>
          <cell r="C106" t="str">
            <v>老臣都一把年纪了，你们下手轻点！</v>
          </cell>
          <cell r="D106">
            <v>1</v>
          </cell>
          <cell r="E106">
            <v>4</v>
          </cell>
          <cell r="F106">
            <v>2</v>
          </cell>
          <cell r="G106">
            <v>2</v>
          </cell>
          <cell r="H106" t="str">
            <v>法攻型，负责法术输出</v>
          </cell>
          <cell r="I106">
            <v>150</v>
          </cell>
          <cell r="J106" t="str">
            <v>guichengxiang_attack</v>
          </cell>
          <cell r="K106">
            <v>10</v>
          </cell>
          <cell r="L106" t="str">
            <v>baofengxue_skill01</v>
          </cell>
          <cell r="M106" t="str">
            <v>common_fangyu,common_chaofeng</v>
          </cell>
          <cell r="N106" t="str">
            <v>head_guichengxiang</v>
          </cell>
          <cell r="O106" t="str">
            <v>lansebiankuang</v>
          </cell>
          <cell r="P106" t="str">
            <v>guichengxiang_actor</v>
          </cell>
          <cell r="Q106">
            <v>1</v>
          </cell>
          <cell r="R106" t="str">
            <v>[]</v>
          </cell>
          <cell r="S106" t="str">
            <v>[]</v>
          </cell>
          <cell r="T106" t="str">
            <v>[]</v>
          </cell>
          <cell r="U106">
            <v>2</v>
          </cell>
          <cell r="BH106">
            <v>400</v>
          </cell>
        </row>
        <row r="107">
          <cell r="A107">
            <v>1508</v>
          </cell>
          <cell r="B107" t="str">
            <v>炎魔</v>
          </cell>
          <cell r="C107" t="str">
            <v>我是火焰的主宰！</v>
          </cell>
          <cell r="D107">
            <v>1</v>
          </cell>
          <cell r="E107">
            <v>4</v>
          </cell>
          <cell r="F107">
            <v>3</v>
          </cell>
          <cell r="G107">
            <v>3</v>
          </cell>
          <cell r="H107" t="str">
            <v>物攻型，负责物理输出</v>
          </cell>
          <cell r="I107">
            <v>150</v>
          </cell>
          <cell r="J107" t="str">
            <v>yanmo_attack</v>
          </cell>
          <cell r="K107">
            <v>10</v>
          </cell>
          <cell r="L107" t="str">
            <v>huoqiuzhadan_skill01</v>
          </cell>
          <cell r="M107" t="str">
            <v>common_fangyu,common_chaofeng</v>
          </cell>
          <cell r="N107" t="str">
            <v>head_yanmo</v>
          </cell>
          <cell r="O107" t="str">
            <v>lansebiankuang</v>
          </cell>
          <cell r="P107" t="str">
            <v>yanmo_actor</v>
          </cell>
          <cell r="Q107">
            <v>1</v>
          </cell>
          <cell r="R107" t="str">
            <v>[]</v>
          </cell>
          <cell r="S107" t="str">
            <v>[]</v>
          </cell>
          <cell r="T107" t="str">
            <v>[]</v>
          </cell>
          <cell r="U107">
            <v>2</v>
          </cell>
          <cell r="BH107">
            <v>400</v>
          </cell>
        </row>
        <row r="108">
          <cell r="A108">
            <v>2018</v>
          </cell>
          <cell r="B108" t="str">
            <v>天将</v>
          </cell>
          <cell r="C108" t="str">
            <v>缥缈天宫，由我来守护！</v>
          </cell>
          <cell r="D108">
            <v>1</v>
          </cell>
          <cell r="E108">
            <v>4</v>
          </cell>
          <cell r="F108">
            <v>3</v>
          </cell>
          <cell r="G108">
            <v>3</v>
          </cell>
          <cell r="H108" t="str">
            <v>物攻型，负责物理输出</v>
          </cell>
          <cell r="I108">
            <v>150</v>
          </cell>
          <cell r="J108" t="str">
            <v>tianjiang_attack</v>
          </cell>
          <cell r="K108">
            <v>10</v>
          </cell>
          <cell r="L108" t="str">
            <v>taishanyading_skill01,tianjiang_skill02</v>
          </cell>
          <cell r="M108" t="str">
            <v>common_fangyu,common_chaofeng</v>
          </cell>
          <cell r="N108" t="str">
            <v>head_tianjiang</v>
          </cell>
          <cell r="O108" t="str">
            <v>lansebiankuang</v>
          </cell>
          <cell r="P108" t="str">
            <v>tianjiang_actor</v>
          </cell>
          <cell r="Q108">
            <v>1</v>
          </cell>
          <cell r="R108" t="str">
            <v>[]</v>
          </cell>
          <cell r="S108" t="str">
            <v>[]</v>
          </cell>
          <cell r="T108" t="str">
            <v>[]</v>
          </cell>
          <cell r="U108">
            <v>2</v>
          </cell>
          <cell r="BH108">
            <v>400</v>
          </cell>
        </row>
        <row r="109">
          <cell r="A109">
            <v>1220</v>
          </cell>
          <cell r="B109" t="str">
            <v>九头虫</v>
          </cell>
          <cell r="C109" t="str">
            <v>[]</v>
          </cell>
          <cell r="D109">
            <v>1</v>
          </cell>
          <cell r="E109">
            <v>4</v>
          </cell>
          <cell r="F109">
            <v>2</v>
          </cell>
          <cell r="G109">
            <v>2</v>
          </cell>
          <cell r="H109" t="str">
            <v>法攻型，负责法术输出</v>
          </cell>
          <cell r="I109">
            <v>150</v>
          </cell>
          <cell r="J109" t="str">
            <v>wenshupusa_attack</v>
          </cell>
          <cell r="K109">
            <v>10</v>
          </cell>
          <cell r="L109" t="str">
            <v>wenshupusa_skill01,wenshupusa_skill02,wenshupusa_skill03,wenshupusa_skill04</v>
          </cell>
          <cell r="M109" t="str">
            <v>common_fangyu,common_chaofeng</v>
          </cell>
          <cell r="N109" t="str">
            <v>head_chijiaodaxian</v>
          </cell>
          <cell r="O109" t="str">
            <v>chengsebiankuang</v>
          </cell>
          <cell r="P109" t="str">
            <v>jiaye_actor</v>
          </cell>
          <cell r="Q109">
            <v>1</v>
          </cell>
          <cell r="R109" t="str">
            <v>[]</v>
          </cell>
          <cell r="S109" t="str">
            <v>[]</v>
          </cell>
          <cell r="T109" t="str">
            <v>[]</v>
          </cell>
          <cell r="U109">
            <v>6</v>
          </cell>
          <cell r="BH109">
            <v>4000</v>
          </cell>
        </row>
        <row r="110">
          <cell r="A110">
            <v>1221</v>
          </cell>
          <cell r="B110" t="str">
            <v>镇元大仙</v>
          </cell>
          <cell r="C110" t="str">
            <v>[]</v>
          </cell>
          <cell r="D110">
            <v>1</v>
          </cell>
          <cell r="E110">
            <v>4</v>
          </cell>
          <cell r="F110">
            <v>2</v>
          </cell>
          <cell r="G110">
            <v>2</v>
          </cell>
          <cell r="H110" t="str">
            <v>法攻型，负责法术输出</v>
          </cell>
          <cell r="I110">
            <v>150</v>
          </cell>
          <cell r="J110" t="str">
            <v>wenshupusa_attack</v>
          </cell>
          <cell r="K110">
            <v>10</v>
          </cell>
          <cell r="L110" t="str">
            <v>wenshupusa_skill01,wenshupusa_skill02,wenshupusa_skill03,wenshupusa_skill04</v>
          </cell>
          <cell r="M110" t="str">
            <v>common_fangyu,common_chaofeng</v>
          </cell>
          <cell r="N110" t="str">
            <v>head_chijiaodaxian</v>
          </cell>
          <cell r="O110" t="str">
            <v>chengsebiankuang</v>
          </cell>
          <cell r="P110" t="str">
            <v>jiaye_actor</v>
          </cell>
          <cell r="Q110">
            <v>1</v>
          </cell>
          <cell r="R110" t="str">
            <v>[]</v>
          </cell>
          <cell r="S110" t="str">
            <v>[]</v>
          </cell>
          <cell r="T110" t="str">
            <v>[]</v>
          </cell>
          <cell r="U110">
            <v>6</v>
          </cell>
          <cell r="BH110">
            <v>4000</v>
          </cell>
        </row>
        <row r="111">
          <cell r="A111">
            <v>1222</v>
          </cell>
          <cell r="B111" t="str">
            <v>如来佛祖</v>
          </cell>
          <cell r="C111" t="str">
            <v>[]</v>
          </cell>
          <cell r="D111">
            <v>1</v>
          </cell>
          <cell r="E111">
            <v>4</v>
          </cell>
          <cell r="F111">
            <v>2</v>
          </cell>
          <cell r="G111">
            <v>2</v>
          </cell>
          <cell r="H111" t="str">
            <v>法攻型，负责法术输出</v>
          </cell>
          <cell r="I111">
            <v>150</v>
          </cell>
          <cell r="J111" t="str">
            <v>wenshupusa_attack</v>
          </cell>
          <cell r="K111">
            <v>10</v>
          </cell>
          <cell r="L111" t="str">
            <v>wenshupusa_skill01,wenshupusa_skill02,wenshupusa_skill03,wenshupusa_skill04</v>
          </cell>
          <cell r="M111" t="str">
            <v>common_fangyu,common_chaofeng</v>
          </cell>
          <cell r="N111" t="str">
            <v>head_chijiaodaxian</v>
          </cell>
          <cell r="O111" t="str">
            <v>chengsebiankuang</v>
          </cell>
          <cell r="P111" t="str">
            <v>jiaye_actor</v>
          </cell>
          <cell r="Q111">
            <v>1</v>
          </cell>
          <cell r="R111" t="str">
            <v>[]</v>
          </cell>
          <cell r="S111" t="str">
            <v>[]</v>
          </cell>
          <cell r="T111" t="str">
            <v>[]</v>
          </cell>
          <cell r="U111">
            <v>6</v>
          </cell>
          <cell r="BH111">
            <v>4000</v>
          </cell>
        </row>
        <row r="112">
          <cell r="A112">
            <v>1223</v>
          </cell>
          <cell r="B112" t="str">
            <v>孔雀大明王</v>
          </cell>
          <cell r="C112" t="str">
            <v>[]</v>
          </cell>
          <cell r="D112">
            <v>1</v>
          </cell>
          <cell r="E112">
            <v>4</v>
          </cell>
          <cell r="F112">
            <v>5</v>
          </cell>
          <cell r="G112">
            <v>2</v>
          </cell>
          <cell r="H112" t="str">
            <v>法攻型，负责法术输出</v>
          </cell>
          <cell r="I112">
            <v>150</v>
          </cell>
          <cell r="J112" t="str">
            <v>nanzhujue_attack</v>
          </cell>
          <cell r="K112">
            <v>10</v>
          </cell>
          <cell r="L112" t="str">
            <v>[]</v>
          </cell>
          <cell r="M112" t="str">
            <v>common_fangyu,common_chaofeng</v>
          </cell>
          <cell r="N112" t="str">
            <v>head_kongquedamingwang</v>
          </cell>
          <cell r="O112" t="str">
            <v>chengsebiankuang</v>
          </cell>
          <cell r="P112" t="str">
            <v>kongquedamingwang_actor</v>
          </cell>
          <cell r="Q112">
            <v>1</v>
          </cell>
          <cell r="R112" t="str">
            <v>[]</v>
          </cell>
          <cell r="S112" t="str">
            <v>[]</v>
          </cell>
          <cell r="T112" t="str">
            <v>[]</v>
          </cell>
          <cell r="U112">
            <v>6</v>
          </cell>
          <cell r="BH112" t="str">
            <v>0</v>
          </cell>
        </row>
        <row r="113">
          <cell r="A113">
            <v>1224</v>
          </cell>
          <cell r="B113" t="str">
            <v>观世音(废弃)</v>
          </cell>
          <cell r="C113" t="str">
            <v>[]</v>
          </cell>
          <cell r="D113">
            <v>1</v>
          </cell>
          <cell r="E113">
            <v>4</v>
          </cell>
          <cell r="F113">
            <v>2</v>
          </cell>
          <cell r="G113">
            <v>2</v>
          </cell>
          <cell r="H113" t="str">
            <v>法攻型，负责法术输出</v>
          </cell>
          <cell r="I113">
            <v>150</v>
          </cell>
          <cell r="J113" t="str">
            <v>wenshupusa_attack</v>
          </cell>
          <cell r="K113">
            <v>10</v>
          </cell>
          <cell r="L113" t="str">
            <v>wenshupusa_skill01,wenshupusa_skill02,wenshupusa_skill03,wenshupusa_skill04</v>
          </cell>
          <cell r="M113" t="str">
            <v>common_fangyu,common_chaofeng</v>
          </cell>
          <cell r="N113" t="str">
            <v>head_chijiaodaxian</v>
          </cell>
          <cell r="O113" t="str">
            <v>chengsebiankuang</v>
          </cell>
          <cell r="P113" t="str">
            <v>jiaye_actor</v>
          </cell>
          <cell r="Q113">
            <v>1</v>
          </cell>
          <cell r="R113" t="str">
            <v>[]</v>
          </cell>
          <cell r="S113" t="str">
            <v>[]</v>
          </cell>
          <cell r="T113" t="str">
            <v>[]</v>
          </cell>
          <cell r="U113">
            <v>5</v>
          </cell>
          <cell r="BH113">
            <v>4000</v>
          </cell>
        </row>
        <row r="114">
          <cell r="A114">
            <v>1225</v>
          </cell>
          <cell r="B114" t="str">
            <v>观世阴</v>
          </cell>
          <cell r="C114" t="str">
            <v>[]</v>
          </cell>
          <cell r="D114">
            <v>1</v>
          </cell>
          <cell r="E114">
            <v>4</v>
          </cell>
          <cell r="F114">
            <v>2</v>
          </cell>
          <cell r="G114">
            <v>2</v>
          </cell>
          <cell r="H114" t="str">
            <v>法攻型，负责法术输出</v>
          </cell>
          <cell r="I114">
            <v>150</v>
          </cell>
          <cell r="J114" t="str">
            <v>wenshupusa_attack</v>
          </cell>
          <cell r="K114">
            <v>10</v>
          </cell>
          <cell r="L114" t="str">
            <v>wenshupusa_skill01,wenshupusa_skill02,wenshupusa_skill03,wenshupusa_skill04</v>
          </cell>
          <cell r="M114" t="str">
            <v>common_fangyu,common_chaofeng</v>
          </cell>
          <cell r="N114" t="str">
            <v>head_chijiaodaxian</v>
          </cell>
          <cell r="O114" t="str">
            <v>chengsebiankuang</v>
          </cell>
          <cell r="P114" t="str">
            <v>jiaye_actor</v>
          </cell>
          <cell r="Q114">
            <v>1</v>
          </cell>
          <cell r="R114" t="str">
            <v>[]</v>
          </cell>
          <cell r="S114" t="str">
            <v>[]</v>
          </cell>
          <cell r="T114" t="str">
            <v>[]</v>
          </cell>
          <cell r="U114">
            <v>6</v>
          </cell>
          <cell r="BH114">
            <v>4000</v>
          </cell>
        </row>
        <row r="115">
          <cell r="A115">
            <v>1226</v>
          </cell>
          <cell r="B115" t="str">
            <v>扇子精</v>
          </cell>
          <cell r="C115" t="str">
            <v>我的扇子只比芭蕉扇小一点点儿~</v>
          </cell>
          <cell r="D115">
            <v>1</v>
          </cell>
          <cell r="E115">
            <v>2</v>
          </cell>
          <cell r="F115">
            <v>2</v>
          </cell>
          <cell r="G115">
            <v>2</v>
          </cell>
          <cell r="H115" t="str">
            <v>法攻型，负责法术输出</v>
          </cell>
          <cell r="I115">
            <v>150</v>
          </cell>
          <cell r="J115" t="str">
            <v>shanzijing_attack</v>
          </cell>
          <cell r="K115">
            <v>10</v>
          </cell>
          <cell r="L115" t="str">
            <v>shanzijing_skill01,shanzijing_skill02,shanzijing_skill03,shanzijing_skill04</v>
          </cell>
          <cell r="M115" t="str">
            <v>common_fangyu,common_chaofeng</v>
          </cell>
          <cell r="N115" t="str">
            <v>head_shanzijing</v>
          </cell>
          <cell r="O115" t="str">
            <v>zisebiankuang</v>
          </cell>
          <cell r="P115" t="str">
            <v>shanzijing_actor</v>
          </cell>
          <cell r="Q115">
            <v>1</v>
          </cell>
          <cell r="R115" t="str">
            <v>[]</v>
          </cell>
          <cell r="S115" t="str">
            <v>[]</v>
          </cell>
          <cell r="T115" t="str">
            <v>[]</v>
          </cell>
          <cell r="U115">
            <v>3</v>
          </cell>
          <cell r="BH115">
            <v>4000</v>
          </cell>
        </row>
        <row r="116">
          <cell r="A116">
            <v>1227</v>
          </cell>
          <cell r="B116" t="str">
            <v>太上老君</v>
          </cell>
          <cell r="C116" t="str">
            <v>[]</v>
          </cell>
          <cell r="D116">
            <v>1</v>
          </cell>
          <cell r="E116">
            <v>4</v>
          </cell>
          <cell r="F116">
            <v>2</v>
          </cell>
          <cell r="G116">
            <v>2</v>
          </cell>
          <cell r="H116" t="str">
            <v>法攻型，负责法术输出</v>
          </cell>
          <cell r="I116">
            <v>150</v>
          </cell>
          <cell r="J116" t="str">
            <v>wenshupusa_attack</v>
          </cell>
          <cell r="K116">
            <v>10</v>
          </cell>
          <cell r="L116" t="str">
            <v>wenshupusa_skill01,wenshupusa_skill02,wenshupusa_skill03,wenshupusa_skill04</v>
          </cell>
          <cell r="M116" t="str">
            <v>common_fangyu,common_chaofeng</v>
          </cell>
          <cell r="N116" t="str">
            <v>head_chijiaodaxian</v>
          </cell>
          <cell r="O116" t="str">
            <v>chengsebiankuang</v>
          </cell>
          <cell r="P116" t="str">
            <v>jiaye_actor</v>
          </cell>
          <cell r="Q116">
            <v>1</v>
          </cell>
          <cell r="R116" t="str">
            <v>[]</v>
          </cell>
          <cell r="S116" t="str">
            <v>[]</v>
          </cell>
          <cell r="T116" t="str">
            <v>[]</v>
          </cell>
          <cell r="U116">
            <v>6</v>
          </cell>
          <cell r="BH116">
            <v>4000</v>
          </cell>
        </row>
        <row r="117">
          <cell r="A117">
            <v>1801</v>
          </cell>
          <cell r="B117" t="str">
            <v>紫霞仙子</v>
          </cell>
          <cell r="C117" t="str">
            <v>新手引导</v>
          </cell>
          <cell r="D117">
            <v>1</v>
          </cell>
          <cell r="E117">
            <v>4</v>
          </cell>
          <cell r="F117">
            <v>3</v>
          </cell>
          <cell r="G117">
            <v>3</v>
          </cell>
          <cell r="H117" t="str">
            <v>物攻型，负责物理输出</v>
          </cell>
          <cell r="I117">
            <v>150</v>
          </cell>
          <cell r="J117" t="str">
            <v>zixiaxianzi_attack</v>
          </cell>
          <cell r="K117">
            <v>10</v>
          </cell>
          <cell r="L117" t="str">
            <v>zixiaxianzi_skill06,zixiaxianzi_skill07,zixiaxianzi_skill05</v>
          </cell>
          <cell r="M117" t="str">
            <v>common_fangyu,common_chaofeng</v>
          </cell>
          <cell r="N117" t="str">
            <v>head_zixiaxianzi</v>
          </cell>
          <cell r="O117" t="str">
            <v>chengsebiankuang</v>
          </cell>
          <cell r="P117" t="str">
            <v>zixiaxianzi_actor</v>
          </cell>
          <cell r="Q117">
            <v>1</v>
          </cell>
          <cell r="R117" t="str">
            <v>[]</v>
          </cell>
          <cell r="S117" t="str">
            <v>[]</v>
          </cell>
          <cell r="T117" t="str">
            <v>[]</v>
          </cell>
          <cell r="U117">
            <v>6</v>
          </cell>
          <cell r="BH117">
            <v>4000</v>
          </cell>
        </row>
        <row r="118">
          <cell r="A118">
            <v>1802</v>
          </cell>
          <cell r="B118" t="str">
            <v>铁扇公主</v>
          </cell>
          <cell r="C118" t="str">
            <v>新手引导</v>
          </cell>
          <cell r="D118">
            <v>1</v>
          </cell>
          <cell r="E118">
            <v>4</v>
          </cell>
          <cell r="F118">
            <v>3</v>
          </cell>
          <cell r="G118">
            <v>3</v>
          </cell>
          <cell r="H118" t="str">
            <v>物攻型，负责物理输出</v>
          </cell>
          <cell r="I118">
            <v>150</v>
          </cell>
          <cell r="J118" t="str">
            <v>tieshangongzhu_attack</v>
          </cell>
          <cell r="K118">
            <v>10</v>
          </cell>
          <cell r="L118" t="str">
            <v>tieshangongzhu_skill01,zixiaxianzi_skill05</v>
          </cell>
          <cell r="M118" t="str">
            <v>common_fangyu,common_chaofeng</v>
          </cell>
          <cell r="N118" t="str">
            <v>head_tieshangongzhu</v>
          </cell>
          <cell r="O118" t="str">
            <v>chengsebiankuang</v>
          </cell>
          <cell r="P118" t="str">
            <v>tieshangongzhu_actor</v>
          </cell>
          <cell r="Q118">
            <v>1</v>
          </cell>
          <cell r="R118" t="str">
            <v>[]</v>
          </cell>
          <cell r="S118" t="str">
            <v>[]</v>
          </cell>
          <cell r="T118" t="str">
            <v>[]</v>
          </cell>
          <cell r="U118">
            <v>6</v>
          </cell>
          <cell r="BH118">
            <v>4000</v>
          </cell>
        </row>
        <row r="119">
          <cell r="A119">
            <v>1803</v>
          </cell>
          <cell r="B119" t="str">
            <v>孙悟空</v>
          </cell>
          <cell r="C119" t="str">
            <v>新手引导</v>
          </cell>
          <cell r="D119">
            <v>1</v>
          </cell>
          <cell r="E119">
            <v>4</v>
          </cell>
          <cell r="F119">
            <v>3</v>
          </cell>
          <cell r="G119">
            <v>3</v>
          </cell>
          <cell r="H119" t="str">
            <v>物攻型，负责物理输出</v>
          </cell>
          <cell r="I119">
            <v>150</v>
          </cell>
          <cell r="J119" t="str">
            <v>sunwukong_attack</v>
          </cell>
          <cell r="K119">
            <v>10</v>
          </cell>
          <cell r="L119" t="str">
            <v>sunwukong_skill051,sunwukong_skill05,sunwukong_skill06,sunwukong_skill07</v>
          </cell>
          <cell r="M119" t="str">
            <v>common_fangyu,common_chaofeng</v>
          </cell>
          <cell r="N119" t="str">
            <v>head_sunwukong</v>
          </cell>
          <cell r="O119" t="str">
            <v>chengsebiankuang</v>
          </cell>
          <cell r="P119" t="str">
            <v>sunwukong_actor</v>
          </cell>
          <cell r="Q119">
            <v>1</v>
          </cell>
          <cell r="R119" t="str">
            <v>[]</v>
          </cell>
          <cell r="S119" t="str">
            <v>[]</v>
          </cell>
          <cell r="T119" t="str">
            <v>[]</v>
          </cell>
          <cell r="U119">
            <v>6</v>
          </cell>
          <cell r="BH119">
            <v>4000</v>
          </cell>
        </row>
        <row r="120">
          <cell r="BH120"/>
        </row>
        <row r="121">
          <cell r="C121"/>
          <cell r="L121"/>
          <cell r="BH121"/>
        </row>
        <row r="122">
          <cell r="C122"/>
          <cell r="L122"/>
          <cell r="BH122"/>
        </row>
        <row r="123">
          <cell r="C123"/>
          <cell r="L123"/>
          <cell r="BH123"/>
        </row>
        <row r="124">
          <cell r="C124"/>
          <cell r="L124"/>
          <cell r="BH124"/>
        </row>
        <row r="125">
          <cell r="C125"/>
          <cell r="L125"/>
          <cell r="BH125"/>
        </row>
        <row r="126">
          <cell r="C126"/>
          <cell r="L126"/>
          <cell r="BH126"/>
        </row>
        <row r="127">
          <cell r="C127"/>
          <cell r="L127"/>
          <cell r="BH127"/>
        </row>
        <row r="128">
          <cell r="C128"/>
          <cell r="L128"/>
          <cell r="BH128"/>
        </row>
        <row r="129">
          <cell r="C129"/>
          <cell r="L129"/>
          <cell r="BH129"/>
        </row>
        <row r="130">
          <cell r="C130"/>
          <cell r="L130"/>
          <cell r="BH130"/>
        </row>
      </sheetData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武将技能"/>
      <sheetName val="伙伴品质"/>
      <sheetName val="阵营推荐"/>
      <sheetName val="羁绊"/>
      <sheetName val="橙16技能"/>
      <sheetName val="橙13+紫将技能"/>
      <sheetName val="羁绊属性"/>
    </sheetNames>
    <sheetDataSet>
      <sheetData sheetId="0"/>
      <sheetData sheetId="1">
        <row r="1">
          <cell r="A1" t="str">
            <v xml:space="preserve">英雄ID
</v>
          </cell>
          <cell r="B1" t="str">
            <v>英雄名称
[字符串]</v>
          </cell>
        </row>
        <row r="2">
          <cell r="A2">
            <v>1211</v>
          </cell>
          <cell r="B2" t="str">
            <v>斗战胜佛</v>
          </cell>
        </row>
        <row r="3">
          <cell r="A3">
            <v>1121</v>
          </cell>
          <cell r="B3" t="str">
            <v>紫霞仙子</v>
          </cell>
        </row>
        <row r="4">
          <cell r="A4">
            <v>1101</v>
          </cell>
          <cell r="B4" t="str">
            <v>二郎神</v>
          </cell>
        </row>
        <row r="5">
          <cell r="A5">
            <v>1105</v>
          </cell>
          <cell r="B5" t="str">
            <v>王母娘娘</v>
          </cell>
        </row>
        <row r="6">
          <cell r="A6">
            <v>1119</v>
          </cell>
          <cell r="B6" t="str">
            <v>孙悟空</v>
          </cell>
        </row>
        <row r="7">
          <cell r="A7">
            <v>1124</v>
          </cell>
          <cell r="B7" t="str">
            <v>沙和尚</v>
          </cell>
        </row>
        <row r="8">
          <cell r="A8">
            <v>1127</v>
          </cell>
          <cell r="B8" t="str">
            <v>弥勒佛</v>
          </cell>
        </row>
        <row r="9">
          <cell r="A9">
            <v>1212</v>
          </cell>
          <cell r="B9" t="str">
            <v>金蝉子</v>
          </cell>
        </row>
        <row r="10">
          <cell r="A10">
            <v>1213</v>
          </cell>
          <cell r="B10" t="str">
            <v>龙帝</v>
          </cell>
        </row>
        <row r="11">
          <cell r="A11">
            <v>1214</v>
          </cell>
          <cell r="B11" t="str">
            <v>八部天龙</v>
          </cell>
        </row>
        <row r="12">
          <cell r="A12">
            <v>1215</v>
          </cell>
          <cell r="B12" t="str">
            <v>观世音</v>
          </cell>
        </row>
        <row r="13">
          <cell r="A13">
            <v>1108</v>
          </cell>
          <cell r="B13" t="str">
            <v>托塔天王</v>
          </cell>
        </row>
        <row r="14">
          <cell r="A14">
            <v>1219</v>
          </cell>
          <cell r="B14" t="str">
            <v>黑无常</v>
          </cell>
        </row>
        <row r="15">
          <cell r="A15">
            <v>1102</v>
          </cell>
          <cell r="B15" t="str">
            <v>哪吒</v>
          </cell>
        </row>
        <row r="16">
          <cell r="A16">
            <v>1218</v>
          </cell>
          <cell r="B16" t="str">
            <v>白无常</v>
          </cell>
        </row>
        <row r="17">
          <cell r="A17">
            <v>1103</v>
          </cell>
          <cell r="B17" t="str">
            <v>嫦娥</v>
          </cell>
        </row>
        <row r="18">
          <cell r="A18">
            <v>1111</v>
          </cell>
          <cell r="B18" t="str">
            <v>铁扇公主</v>
          </cell>
        </row>
        <row r="19">
          <cell r="A19">
            <v>1112</v>
          </cell>
          <cell r="B19" t="str">
            <v>牛魔王</v>
          </cell>
        </row>
        <row r="20">
          <cell r="A20">
            <v>1113</v>
          </cell>
          <cell r="B20" t="str">
            <v>虎力大仙</v>
          </cell>
        </row>
        <row r="21">
          <cell r="A21">
            <v>1120</v>
          </cell>
          <cell r="B21" t="str">
            <v>猪八戒</v>
          </cell>
        </row>
        <row r="22">
          <cell r="A22">
            <v>1115</v>
          </cell>
          <cell r="B22" t="str">
            <v>羊力大仙</v>
          </cell>
        </row>
        <row r="23">
          <cell r="A23">
            <v>1126</v>
          </cell>
          <cell r="B23" t="str">
            <v>文殊菩萨</v>
          </cell>
        </row>
        <row r="24">
          <cell r="A24">
            <v>1122</v>
          </cell>
          <cell r="B24" t="str">
            <v>唐三藏</v>
          </cell>
        </row>
        <row r="25">
          <cell r="A25">
            <v>1125</v>
          </cell>
          <cell r="B25" t="str">
            <v>迦叶</v>
          </cell>
        </row>
        <row r="26">
          <cell r="A26">
            <v>1110</v>
          </cell>
          <cell r="B26" t="str">
            <v>红孩儿</v>
          </cell>
        </row>
        <row r="27">
          <cell r="A27">
            <v>1216</v>
          </cell>
          <cell r="B27" t="str">
            <v>女儿国国王</v>
          </cell>
        </row>
        <row r="28">
          <cell r="A28">
            <v>1202</v>
          </cell>
          <cell r="B28" t="str">
            <v>人参娃</v>
          </cell>
        </row>
        <row r="29">
          <cell r="A29">
            <v>1207</v>
          </cell>
          <cell r="B29" t="str">
            <v>引魂仙子</v>
          </cell>
        </row>
        <row r="30">
          <cell r="A30">
            <v>1109</v>
          </cell>
          <cell r="B30" t="str">
            <v>九天玄女</v>
          </cell>
        </row>
        <row r="31">
          <cell r="A31">
            <v>1104</v>
          </cell>
          <cell r="B31" t="str">
            <v>玉皇大帝</v>
          </cell>
        </row>
        <row r="32">
          <cell r="A32">
            <v>1107</v>
          </cell>
          <cell r="B32" t="str">
            <v>赤脚大仙</v>
          </cell>
        </row>
        <row r="33">
          <cell r="A33">
            <v>1135</v>
          </cell>
          <cell r="B33" t="str">
            <v>东海龙王</v>
          </cell>
        </row>
        <row r="34">
          <cell r="A34">
            <v>1123</v>
          </cell>
          <cell r="B34" t="str">
            <v>小白龙</v>
          </cell>
        </row>
        <row r="35">
          <cell r="A35">
            <v>1201</v>
          </cell>
          <cell r="B35" t="str">
            <v>阎罗王</v>
          </cell>
        </row>
        <row r="36">
          <cell r="A36">
            <v>1106</v>
          </cell>
          <cell r="B36" t="str">
            <v>太白金星</v>
          </cell>
        </row>
        <row r="37">
          <cell r="A37">
            <v>1116</v>
          </cell>
          <cell r="B37" t="str">
            <v>白骨夫人</v>
          </cell>
        </row>
        <row r="38">
          <cell r="A38">
            <v>1117</v>
          </cell>
          <cell r="B38" t="str">
            <v>六耳猕猴</v>
          </cell>
        </row>
        <row r="39">
          <cell r="A39">
            <v>1114</v>
          </cell>
          <cell r="B39" t="str">
            <v>鹿力大仙</v>
          </cell>
        </row>
        <row r="40">
          <cell r="A40">
            <v>1132</v>
          </cell>
          <cell r="B40" t="str">
            <v>混世魔王</v>
          </cell>
        </row>
        <row r="41">
          <cell r="A41">
            <v>1131</v>
          </cell>
          <cell r="B41" t="str">
            <v>蝎子精</v>
          </cell>
        </row>
        <row r="42">
          <cell r="A42">
            <v>1137</v>
          </cell>
          <cell r="B42" t="str">
            <v>蜘蛛精</v>
          </cell>
        </row>
        <row r="43">
          <cell r="A43">
            <v>1208</v>
          </cell>
          <cell r="B43" t="str">
            <v>彩蝶仙童</v>
          </cell>
        </row>
        <row r="44">
          <cell r="A44">
            <v>1130</v>
          </cell>
          <cell r="B44" t="str">
            <v>地藏王</v>
          </cell>
        </row>
        <row r="45">
          <cell r="A45">
            <v>1118</v>
          </cell>
          <cell r="B45" t="str">
            <v>混沌</v>
          </cell>
        </row>
        <row r="46">
          <cell r="A46">
            <v>1136</v>
          </cell>
          <cell r="B46" t="str">
            <v>白龙公主</v>
          </cell>
        </row>
        <row r="47">
          <cell r="A47">
            <v>1128</v>
          </cell>
          <cell r="B47" t="str">
            <v>赛太岁</v>
          </cell>
        </row>
        <row r="48">
          <cell r="A48">
            <v>1192</v>
          </cell>
          <cell r="B48" t="str">
            <v>琴仙</v>
          </cell>
        </row>
        <row r="49">
          <cell r="A49">
            <v>1152</v>
          </cell>
          <cell r="B49" t="str">
            <v>黑熊精</v>
          </cell>
        </row>
        <row r="50">
          <cell r="A50">
            <v>1134</v>
          </cell>
          <cell r="B50" t="str">
            <v>泾河龙王</v>
          </cell>
        </row>
        <row r="51">
          <cell r="A51">
            <v>1133</v>
          </cell>
          <cell r="B51" t="str">
            <v>雷公</v>
          </cell>
        </row>
        <row r="52">
          <cell r="A52">
            <v>1203</v>
          </cell>
          <cell r="B52" t="str">
            <v>鬼使黑</v>
          </cell>
        </row>
        <row r="53">
          <cell r="A53">
            <v>1204</v>
          </cell>
          <cell r="B53" t="str">
            <v>鬼使白</v>
          </cell>
        </row>
        <row r="54">
          <cell r="A54">
            <v>1206</v>
          </cell>
          <cell r="B54" t="str">
            <v>牛头</v>
          </cell>
        </row>
        <row r="55">
          <cell r="A55">
            <v>1205</v>
          </cell>
          <cell r="B55" t="str">
            <v>马面</v>
          </cell>
        </row>
        <row r="56">
          <cell r="A56">
            <v>1139</v>
          </cell>
          <cell r="B56" t="str">
            <v>金钱豹王</v>
          </cell>
        </row>
        <row r="57">
          <cell r="A57">
            <v>1140</v>
          </cell>
          <cell r="B57" t="str">
            <v>墨鱼精</v>
          </cell>
        </row>
        <row r="58">
          <cell r="A58">
            <v>1138</v>
          </cell>
          <cell r="B58" t="str">
            <v>玉面夫人</v>
          </cell>
        </row>
        <row r="59">
          <cell r="A59">
            <v>1226</v>
          </cell>
          <cell r="B59" t="str">
            <v>扇子精</v>
          </cell>
        </row>
        <row r="60">
          <cell r="A60">
            <v>1141</v>
          </cell>
          <cell r="B60" t="str">
            <v>玉兔</v>
          </cell>
        </row>
        <row r="61">
          <cell r="A61">
            <v>1504</v>
          </cell>
          <cell r="B61" t="str">
            <v>蟹将</v>
          </cell>
        </row>
        <row r="62">
          <cell r="A62">
            <v>1142</v>
          </cell>
          <cell r="B62" t="str">
            <v>狮人-光启</v>
          </cell>
        </row>
        <row r="63">
          <cell r="A63">
            <v>1143</v>
          </cell>
          <cell r="B63" t="str">
            <v>狮人-立辉</v>
          </cell>
        </row>
        <row r="64">
          <cell r="A64">
            <v>1146</v>
          </cell>
          <cell r="B64" t="str">
            <v>石人-博达</v>
          </cell>
        </row>
        <row r="65">
          <cell r="A65">
            <v>1147</v>
          </cell>
          <cell r="B65" t="str">
            <v>石人-离落</v>
          </cell>
        </row>
        <row r="66">
          <cell r="A66">
            <v>1148</v>
          </cell>
          <cell r="B66" t="str">
            <v>石人-安和</v>
          </cell>
        </row>
        <row r="67">
          <cell r="A67">
            <v>1155</v>
          </cell>
          <cell r="B67" t="str">
            <v>蟒精-雅芙</v>
          </cell>
        </row>
        <row r="68">
          <cell r="A68">
            <v>1156</v>
          </cell>
          <cell r="B68" t="str">
            <v>蟒精-依娜</v>
          </cell>
        </row>
        <row r="69">
          <cell r="A69">
            <v>1157</v>
          </cell>
          <cell r="B69" t="str">
            <v>狐狸-优璇</v>
          </cell>
        </row>
        <row r="70">
          <cell r="A70">
            <v>1158</v>
          </cell>
          <cell r="B70" t="str">
            <v>狐狸-茹雪</v>
          </cell>
        </row>
        <row r="71">
          <cell r="A71">
            <v>1159</v>
          </cell>
          <cell r="B71" t="str">
            <v>狐狸-若火</v>
          </cell>
        </row>
        <row r="72">
          <cell r="A72">
            <v>1162</v>
          </cell>
          <cell r="B72" t="str">
            <v>鲛人-嫦曦</v>
          </cell>
        </row>
        <row r="73">
          <cell r="A73">
            <v>1163</v>
          </cell>
          <cell r="B73" t="str">
            <v>鲛人-月婵</v>
          </cell>
        </row>
        <row r="74">
          <cell r="A74">
            <v>1505</v>
          </cell>
          <cell r="B74" t="str">
            <v>狂豹</v>
          </cell>
        </row>
        <row r="75">
          <cell r="A75">
            <v>1506</v>
          </cell>
          <cell r="B75" t="str">
            <v>护卫</v>
          </cell>
        </row>
        <row r="76">
          <cell r="A76">
            <v>1507</v>
          </cell>
          <cell r="B76" t="str">
            <v>龟丞相</v>
          </cell>
        </row>
        <row r="77">
          <cell r="A77">
            <v>1508</v>
          </cell>
          <cell r="B77" t="str">
            <v>炎魔</v>
          </cell>
        </row>
        <row r="78">
          <cell r="A78">
            <v>2018</v>
          </cell>
          <cell r="B78" t="str">
            <v>天将</v>
          </cell>
        </row>
        <row r="79">
          <cell r="A79">
            <v>1153</v>
          </cell>
          <cell r="B79" t="str">
            <v>夜叉-金利</v>
          </cell>
        </row>
        <row r="80">
          <cell r="A80">
            <v>1154</v>
          </cell>
          <cell r="B80" t="str">
            <v>夜叉-碧涛</v>
          </cell>
        </row>
        <row r="81">
          <cell r="A81">
            <v>1164</v>
          </cell>
          <cell r="B81" t="str">
            <v>天兵-金斌</v>
          </cell>
        </row>
        <row r="82">
          <cell r="A82">
            <v>1165</v>
          </cell>
          <cell r="B82" t="str">
            <v>天兵-政仲</v>
          </cell>
        </row>
        <row r="83">
          <cell r="A83">
            <v>1166</v>
          </cell>
          <cell r="B83" t="str">
            <v>天兵-火夕</v>
          </cell>
        </row>
        <row r="84">
          <cell r="A84">
            <v>1167</v>
          </cell>
          <cell r="B84" t="str">
            <v>狼人-霍金</v>
          </cell>
        </row>
        <row r="85">
          <cell r="A85">
            <v>1168</v>
          </cell>
          <cell r="B85" t="str">
            <v>狼人-霍文</v>
          </cell>
        </row>
        <row r="86">
          <cell r="A86">
            <v>1169</v>
          </cell>
          <cell r="B86" t="str">
            <v>狼人-霍达</v>
          </cell>
        </row>
        <row r="87">
          <cell r="A87">
            <v>1170</v>
          </cell>
          <cell r="B87" t="str">
            <v>狼人-霍格</v>
          </cell>
        </row>
        <row r="88">
          <cell r="A88">
            <v>1171</v>
          </cell>
          <cell r="B88" t="str">
            <v>狼人-霍武</v>
          </cell>
        </row>
        <row r="89">
          <cell r="A89">
            <v>1176</v>
          </cell>
          <cell r="B89" t="str">
            <v>骷髅-德明</v>
          </cell>
        </row>
        <row r="90">
          <cell r="A90">
            <v>1177</v>
          </cell>
          <cell r="B90" t="str">
            <v>骷髅-奇伟</v>
          </cell>
        </row>
        <row r="91">
          <cell r="A91">
            <v>1178</v>
          </cell>
          <cell r="B91" t="str">
            <v>骷髅-德元</v>
          </cell>
        </row>
        <row r="92">
          <cell r="A92">
            <v>1179</v>
          </cell>
          <cell r="B92" t="str">
            <v>骷髅-彭泽</v>
          </cell>
        </row>
        <row r="93">
          <cell r="A93">
            <v>1180</v>
          </cell>
          <cell r="B93" t="str">
            <v>蜘蛛-元瑶</v>
          </cell>
        </row>
        <row r="94">
          <cell r="A94">
            <v>1181</v>
          </cell>
          <cell r="B94" t="str">
            <v>蜘蛛-怜寒</v>
          </cell>
        </row>
        <row r="95">
          <cell r="A95">
            <v>1182</v>
          </cell>
          <cell r="B95" t="str">
            <v>蜘蛛-盼香</v>
          </cell>
        </row>
        <row r="96">
          <cell r="A96">
            <v>1185</v>
          </cell>
          <cell r="B96" t="str">
            <v>女鬼-歆瑶</v>
          </cell>
        </row>
        <row r="97">
          <cell r="A97">
            <v>1186</v>
          </cell>
          <cell r="B97" t="str">
            <v>女鬼-桑榆</v>
          </cell>
        </row>
        <row r="98">
          <cell r="A98">
            <v>1187</v>
          </cell>
          <cell r="B98" t="str">
            <v>女鬼-语嫣</v>
          </cell>
        </row>
        <row r="99">
          <cell r="A99">
            <v>1188</v>
          </cell>
          <cell r="B99" t="str">
            <v>女鬼-凌菲</v>
          </cell>
        </row>
        <row r="100">
          <cell r="A100">
            <v>1193</v>
          </cell>
          <cell r="B100" t="str">
            <v>猴兵</v>
          </cell>
        </row>
        <row r="101">
          <cell r="A101">
            <v>1194</v>
          </cell>
          <cell r="B101" t="str">
            <v>山贼</v>
          </cell>
        </row>
        <row r="102">
          <cell r="A102">
            <v>1217</v>
          </cell>
          <cell r="B102" t="str">
            <v>虾兵</v>
          </cell>
        </row>
        <row r="103">
          <cell r="A103">
            <v>1501</v>
          </cell>
          <cell r="B103" t="str">
            <v>侍女</v>
          </cell>
        </row>
        <row r="104">
          <cell r="A104">
            <v>1502</v>
          </cell>
          <cell r="B104" t="str">
            <v>强盗</v>
          </cell>
        </row>
        <row r="105">
          <cell r="A105">
            <v>1503</v>
          </cell>
          <cell r="B105" t="str">
            <v>野猪怪</v>
          </cell>
        </row>
        <row r="106">
          <cell r="A106"/>
          <cell r="B106"/>
        </row>
        <row r="107">
          <cell r="A107"/>
          <cell r="B107"/>
        </row>
        <row r="108">
          <cell r="A108"/>
          <cell r="B108"/>
        </row>
        <row r="109">
          <cell r="A109"/>
          <cell r="B109"/>
        </row>
        <row r="110">
          <cell r="A110"/>
          <cell r="B110"/>
        </row>
        <row r="111">
          <cell r="A111"/>
          <cell r="B111"/>
        </row>
        <row r="112">
          <cell r="A112"/>
          <cell r="B112"/>
        </row>
        <row r="113">
          <cell r="A113"/>
          <cell r="B113"/>
        </row>
        <row r="114">
          <cell r="A114"/>
          <cell r="B114"/>
        </row>
        <row r="115">
          <cell r="A115"/>
          <cell r="B115"/>
        </row>
      </sheetData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货币类型
1.金币（游戏基础货币）
2.钻石（充值货币）
3.玄铁（装备分解和大雁塔获得用于兑换装备）
4.仙魂（角色分解获得用于伙伴商店）
5.斗魂（灵台斗法获得用于荣誉商店）
6.悬赏玉牌（未使用）
7.行会贡献（行会贡献获得用于行会商店）
8.涅槃宝玉（通天路和涅槃道具分解获得用于涅槃商店）
9.宠物随礼（未使用）
10exp（关卡任务等处获得，主角经验）
11历练徽章（未使用）
12体力（自动回复和体力药水获得主角关卡挑战的主要消耗）
13精力（自动回复和精力药水获得主角用于各种玩法的主要消耗）
14.血战迎战券</v>
          </cell>
          <cell r="B1" t="str">
            <v>货币名称</v>
          </cell>
        </row>
        <row r="2">
          <cell r="A2" t="str">
            <v>currency_id</v>
          </cell>
          <cell r="B2" t="str">
            <v>name</v>
          </cell>
        </row>
        <row r="3">
          <cell r="A3" t="str">
            <v>s</v>
          </cell>
          <cell r="B3" t="str">
            <v>s</v>
          </cell>
        </row>
        <row r="4">
          <cell r="A4">
            <v>1</v>
          </cell>
          <cell r="B4" t="str">
            <v>铜钱</v>
          </cell>
        </row>
        <row r="5">
          <cell r="A5">
            <v>2</v>
          </cell>
          <cell r="B5" t="str">
            <v>元宝</v>
          </cell>
        </row>
        <row r="6">
          <cell r="A6">
            <v>3</v>
          </cell>
          <cell r="B6" t="str">
            <v>陨铁</v>
          </cell>
        </row>
        <row r="7">
          <cell r="A7">
            <v>4</v>
          </cell>
          <cell r="B7" t="str">
            <v>精魄</v>
          </cell>
        </row>
        <row r="8">
          <cell r="A8">
            <v>5</v>
          </cell>
          <cell r="B8" t="str">
            <v>斗神玉</v>
          </cell>
        </row>
        <row r="9">
          <cell r="A9">
            <v>6</v>
          </cell>
          <cell r="B9" t="str">
            <v>购买金币次数</v>
          </cell>
        </row>
        <row r="10">
          <cell r="A10">
            <v>7</v>
          </cell>
          <cell r="B10" t="str">
            <v>购买体力次数</v>
          </cell>
        </row>
        <row r="11">
          <cell r="A11">
            <v>8</v>
          </cell>
          <cell r="B11" t="str">
            <v>聚魂石</v>
          </cell>
        </row>
        <row r="12">
          <cell r="A12">
            <v>9</v>
          </cell>
          <cell r="B12" t="str">
            <v>购买精力次数</v>
          </cell>
        </row>
        <row r="13">
          <cell r="A13">
            <v>10</v>
          </cell>
          <cell r="B13" t="str">
            <v>主角经验</v>
          </cell>
        </row>
        <row r="14">
          <cell r="A14">
            <v>11</v>
          </cell>
          <cell r="B14" t="str">
            <v>膜拜次数</v>
          </cell>
        </row>
        <row r="15">
          <cell r="A15">
            <v>12</v>
          </cell>
          <cell r="B15" t="str">
            <v>体力</v>
          </cell>
        </row>
        <row r="16">
          <cell r="A16">
            <v>13</v>
          </cell>
          <cell r="B16" t="str">
            <v>精力</v>
          </cell>
        </row>
        <row r="17">
          <cell r="A17">
            <v>14</v>
          </cell>
          <cell r="B17" t="str">
            <v>迎战券</v>
          </cell>
        </row>
        <row r="18">
          <cell r="A18">
            <v>15</v>
          </cell>
          <cell r="B18" t="str">
            <v>大雁塔重置次数</v>
          </cell>
        </row>
        <row r="19">
          <cell r="A19">
            <v>16</v>
          </cell>
          <cell r="B19" t="str">
            <v>普通聚仙免费抽奖次数</v>
          </cell>
        </row>
        <row r="20">
          <cell r="A20">
            <v>17</v>
          </cell>
          <cell r="B20" t="str">
            <v>高级聚仙免费抽奖次数</v>
          </cell>
        </row>
        <row r="21">
          <cell r="A21">
            <v>18</v>
          </cell>
          <cell r="B21" t="str">
            <v>刷新次数</v>
          </cell>
        </row>
        <row r="22">
          <cell r="A22">
            <v>19</v>
          </cell>
          <cell r="B22" t="str">
            <v>涅槃商铺刷新次数</v>
          </cell>
        </row>
        <row r="23">
          <cell r="A23">
            <v>20</v>
          </cell>
          <cell r="B23" t="str">
            <v>免费迎战次数</v>
          </cell>
        </row>
        <row r="24">
          <cell r="A24">
            <v>21</v>
          </cell>
          <cell r="B24" t="str">
            <v>血战消耗钻石的次数</v>
          </cell>
        </row>
        <row r="25">
          <cell r="A25">
            <v>22</v>
          </cell>
          <cell r="B25" t="str">
            <v>帮派精力获取次数</v>
          </cell>
        </row>
        <row r="26">
          <cell r="A26">
            <v>23</v>
          </cell>
          <cell r="B26" t="str">
            <v>帮派捐献次数</v>
          </cell>
        </row>
        <row r="27">
          <cell r="A27">
            <v>24</v>
          </cell>
          <cell r="B27" t="str">
            <v>好友赠送体力次数</v>
          </cell>
        </row>
        <row r="28">
          <cell r="A28">
            <v>25</v>
          </cell>
          <cell r="B28" t="str">
            <v>好友领取体力次数</v>
          </cell>
        </row>
        <row r="29">
          <cell r="A29">
            <v>26</v>
          </cell>
          <cell r="B29" t="str">
            <v>VIP经验</v>
          </cell>
        </row>
        <row r="30">
          <cell r="A30">
            <v>27</v>
          </cell>
          <cell r="B30" t="str">
            <v>征战关卡重置次数</v>
          </cell>
        </row>
        <row r="31">
          <cell r="A31">
            <v>28</v>
          </cell>
          <cell r="B31" t="str">
            <v>免费招财次数</v>
          </cell>
        </row>
        <row r="32">
          <cell r="A32">
            <v>29</v>
          </cell>
          <cell r="B32" t="str">
            <v>梦魂沙</v>
          </cell>
        </row>
        <row r="33">
          <cell r="A33">
            <v>30</v>
          </cell>
          <cell r="B33" t="str">
            <v>威望</v>
          </cell>
        </row>
        <row r="34">
          <cell r="A34">
            <v>33</v>
          </cell>
          <cell r="B34" t="str">
            <v>梦魇挑战次数</v>
          </cell>
        </row>
        <row r="35">
          <cell r="A35">
            <v>35</v>
          </cell>
          <cell r="B35" t="str">
            <v>累计普通抽将次数(免费的+道具消耗的)</v>
          </cell>
        </row>
        <row r="36">
          <cell r="A36">
            <v>36</v>
          </cell>
          <cell r="B36" t="str">
            <v>累计钻石抽奖次数(免费的+钻石消耗的)</v>
          </cell>
        </row>
        <row r="37">
          <cell r="A37">
            <v>37</v>
          </cell>
          <cell r="B37" t="str">
            <v>帮会贡献</v>
          </cell>
        </row>
        <row r="38">
          <cell r="A38">
            <v>38</v>
          </cell>
          <cell r="B38" t="str">
            <v>云母石</v>
          </cell>
        </row>
        <row r="39">
          <cell r="A39">
            <v>39</v>
          </cell>
          <cell r="B39" t="str">
            <v>妖灵</v>
          </cell>
        </row>
        <row r="40">
          <cell r="A40">
            <v>40</v>
          </cell>
          <cell r="B40" t="str">
            <v>斗法次数</v>
          </cell>
        </row>
        <row r="41">
          <cell r="A41">
            <v>41</v>
          </cell>
          <cell r="B41" t="str">
            <v>聚仙币</v>
          </cell>
        </row>
        <row r="42">
          <cell r="A42">
            <v>42</v>
          </cell>
          <cell r="B42" t="str">
            <v>刷新次数</v>
          </cell>
        </row>
        <row r="43">
          <cell r="A43">
            <v>43</v>
          </cell>
          <cell r="B43" t="str">
            <v>幸运轮盘免费次数</v>
          </cell>
        </row>
        <row r="44">
          <cell r="A44">
            <v>44</v>
          </cell>
          <cell r="B44" t="str">
            <v>幸运轮盘可转次数</v>
          </cell>
        </row>
        <row r="45">
          <cell r="A45">
            <v>45</v>
          </cell>
          <cell r="B45" t="str">
            <v>魂珠</v>
          </cell>
        </row>
        <row r="46">
          <cell r="A46">
            <v>46</v>
          </cell>
          <cell r="B46" t="str">
            <v>全服BOSS挑战次数</v>
          </cell>
        </row>
        <row r="47">
          <cell r="A47">
            <v>47</v>
          </cell>
          <cell r="B47" t="str">
            <v>猴毛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</sheetNames>
    <sheetDataSet>
      <sheetData sheetId="0">
        <row r="1">
          <cell r="A1" t="str">
            <v>装备ID
[字符串]</v>
          </cell>
          <cell r="B1" t="str">
            <v>装备名称
[字符串]</v>
          </cell>
        </row>
        <row r="2">
          <cell r="A2" t="str">
            <v>zhuangbei_id</v>
          </cell>
          <cell r="B2" t="str">
            <v>name</v>
          </cell>
        </row>
        <row r="3">
          <cell r="A3" t="str">
            <v>s</v>
          </cell>
          <cell r="B3" t="str">
            <v>s</v>
          </cell>
        </row>
        <row r="4">
          <cell r="A4">
            <v>2100</v>
          </cell>
          <cell r="B4" t="str">
            <v>火云道衣(10级)</v>
          </cell>
        </row>
        <row r="5">
          <cell r="A5">
            <v>2101</v>
          </cell>
          <cell r="B5" t="str">
            <v>四象仙甲(20级)</v>
          </cell>
        </row>
        <row r="6">
          <cell r="A6">
            <v>2102</v>
          </cell>
          <cell r="B6" t="str">
            <v>刑天战甲(30级)</v>
          </cell>
        </row>
        <row r="7">
          <cell r="A7">
            <v>2103</v>
          </cell>
          <cell r="B7" t="str">
            <v>盘古开天甲(40级)</v>
          </cell>
        </row>
        <row r="8">
          <cell r="A8">
            <v>2104</v>
          </cell>
          <cell r="B8" t="str">
            <v>蛟龙覆海甲(50级)</v>
          </cell>
        </row>
        <row r="9">
          <cell r="A9">
            <v>2105</v>
          </cell>
          <cell r="B9" t="str">
            <v>震天将神铠(60级)</v>
          </cell>
        </row>
        <row r="10">
          <cell r="A10">
            <v>2106</v>
          </cell>
          <cell r="B10" t="str">
            <v>大自在修罗甲(70级)</v>
          </cell>
        </row>
        <row r="11">
          <cell r="A11">
            <v>2081</v>
          </cell>
          <cell r="B11" t="str">
            <v>蚩尤魔神甲(80级)</v>
          </cell>
        </row>
        <row r="12">
          <cell r="A12">
            <v>2107</v>
          </cell>
          <cell r="B12" t="str">
            <v>轩辕帝王铠(90级)</v>
          </cell>
        </row>
        <row r="13">
          <cell r="A13">
            <v>2108</v>
          </cell>
          <cell r="B13" t="str">
            <v>佛祖宝象袈裟(100级)</v>
          </cell>
        </row>
        <row r="14">
          <cell r="A14">
            <v>2109</v>
          </cell>
          <cell r="B14" t="str">
            <v>太清圣极甲(110级)</v>
          </cell>
        </row>
        <row r="15">
          <cell r="A15">
            <v>2110</v>
          </cell>
          <cell r="B15" t="str">
            <v>光暗仙魔铠(120级)</v>
          </cell>
        </row>
        <row r="16">
          <cell r="A16">
            <v>2111</v>
          </cell>
          <cell r="B16" t="str">
            <v>日月星辰铠130级)</v>
          </cell>
        </row>
        <row r="17">
          <cell r="A17">
            <v>2112</v>
          </cell>
          <cell r="B17" t="str">
            <v>大道无极铠(140级)</v>
          </cell>
        </row>
        <row r="18">
          <cell r="A18">
            <v>2113</v>
          </cell>
          <cell r="B18" t="str">
            <v>万古不灭铠(150级)</v>
          </cell>
        </row>
        <row r="19">
          <cell r="A19">
            <v>2114</v>
          </cell>
          <cell r="B19" t="str">
            <v>七星剑(10级)</v>
          </cell>
        </row>
        <row r="20">
          <cell r="A20">
            <v>2115</v>
          </cell>
          <cell r="B20" t="str">
            <v>倚天剑(20级)</v>
          </cell>
        </row>
        <row r="21">
          <cell r="A21">
            <v>2116</v>
          </cell>
          <cell r="B21" t="str">
            <v>屠龙刀(30级)</v>
          </cell>
        </row>
        <row r="22">
          <cell r="A22">
            <v>2117</v>
          </cell>
          <cell r="B22" t="str">
            <v>九齿钉耙(40级)</v>
          </cell>
        </row>
        <row r="23">
          <cell r="A23">
            <v>2118</v>
          </cell>
          <cell r="B23" t="str">
            <v>三尖两刃刀(50级)</v>
          </cell>
        </row>
        <row r="24">
          <cell r="A24">
            <v>2119</v>
          </cell>
          <cell r="B24" t="str">
            <v>中央戊己杏黄旗(60级)</v>
          </cell>
        </row>
        <row r="25">
          <cell r="A25">
            <v>2120</v>
          </cell>
          <cell r="B25" t="str">
            <v>冰漓剑(70级)</v>
          </cell>
        </row>
        <row r="26">
          <cell r="A26">
            <v>2082</v>
          </cell>
          <cell r="B26" t="str">
            <v>蚩尤魔神剑(80级)</v>
          </cell>
        </row>
        <row r="27">
          <cell r="A27">
            <v>2121</v>
          </cell>
          <cell r="B27" t="str">
            <v>射日神弓(90级)</v>
          </cell>
        </row>
        <row r="28">
          <cell r="A28">
            <v>2122</v>
          </cell>
          <cell r="B28" t="str">
            <v>蜀山仙灵剑(100级)</v>
          </cell>
        </row>
        <row r="29">
          <cell r="A29">
            <v>2123</v>
          </cell>
          <cell r="B29" t="str">
            <v>轩辕神剑(110级)</v>
          </cell>
        </row>
        <row r="30">
          <cell r="A30">
            <v>2124</v>
          </cell>
          <cell r="B30" t="str">
            <v>太阴日月神刀(120级)</v>
          </cell>
        </row>
        <row r="31">
          <cell r="A31">
            <v>2125</v>
          </cell>
          <cell r="B31" t="str">
            <v>星空凤舞杖(130级)</v>
          </cell>
        </row>
        <row r="32">
          <cell r="A32">
            <v>2126</v>
          </cell>
          <cell r="B32" t="str">
            <v>诛仙弓(140级)</v>
          </cell>
        </row>
        <row r="33">
          <cell r="A33">
            <v>2127</v>
          </cell>
          <cell r="B33" t="str">
            <v>彼约胜利剑(150级)</v>
          </cell>
        </row>
        <row r="34">
          <cell r="A34">
            <v>2128</v>
          </cell>
          <cell r="B34" t="str">
            <v>道法头冠(10级)</v>
          </cell>
        </row>
        <row r="35">
          <cell r="A35">
            <v>2129</v>
          </cell>
          <cell r="B35" t="str">
            <v>仙晶战盔(20级)</v>
          </cell>
        </row>
        <row r="36">
          <cell r="A36">
            <v>2130</v>
          </cell>
          <cell r="B36" t="str">
            <v>凤翅紫金冠(30级)</v>
          </cell>
        </row>
        <row r="37">
          <cell r="A37">
            <v>2131</v>
          </cell>
          <cell r="B37" t="str">
            <v>刑天战盔(40级)</v>
          </cell>
        </row>
        <row r="38">
          <cell r="A38">
            <v>2132</v>
          </cell>
          <cell r="B38" t="str">
            <v>虚无幻神帽(50级)</v>
          </cell>
        </row>
        <row r="39">
          <cell r="A39">
            <v>2133</v>
          </cell>
          <cell r="B39" t="str">
            <v>清源妙道冠(60级)</v>
          </cell>
        </row>
        <row r="40">
          <cell r="A40">
            <v>2134</v>
          </cell>
          <cell r="B40" t="str">
            <v>光明普照冠(70级)</v>
          </cell>
        </row>
        <row r="41">
          <cell r="A41">
            <v>2083</v>
          </cell>
          <cell r="B41" t="str">
            <v>蚩尤魔神冠(80级)</v>
          </cell>
        </row>
        <row r="42">
          <cell r="A42">
            <v>2135</v>
          </cell>
          <cell r="B42" t="str">
            <v>上清圣法冠(90级)</v>
          </cell>
        </row>
        <row r="43">
          <cell r="A43">
            <v>2136</v>
          </cell>
          <cell r="B43" t="str">
            <v>弑圣修罗面(100级)</v>
          </cell>
        </row>
        <row r="44">
          <cell r="A44">
            <v>2137</v>
          </cell>
          <cell r="B44" t="str">
            <v>天元星辰巾(110级)</v>
          </cell>
        </row>
        <row r="45">
          <cell r="A45">
            <v>2138</v>
          </cell>
          <cell r="B45" t="str">
            <v>金乌妖皇冠(120级)</v>
          </cell>
        </row>
        <row r="46">
          <cell r="A46">
            <v>2139</v>
          </cell>
          <cell r="B46" t="str">
            <v>降魔佛冠(130级)</v>
          </cell>
        </row>
        <row r="47">
          <cell r="A47">
            <v>2140</v>
          </cell>
          <cell r="B47" t="str">
            <v>霊源仙法冠(140级)</v>
          </cell>
        </row>
        <row r="48">
          <cell r="A48">
            <v>2141</v>
          </cell>
          <cell r="B48" t="str">
            <v>皇极至尊盔(150级)</v>
          </cell>
        </row>
        <row r="49">
          <cell r="A49">
            <v>2142</v>
          </cell>
          <cell r="B49" t="str">
            <v>道法鞋(10级)</v>
          </cell>
        </row>
        <row r="50">
          <cell r="A50">
            <v>2143</v>
          </cell>
          <cell r="B50" t="str">
            <v>火云道履(20级)</v>
          </cell>
        </row>
        <row r="51">
          <cell r="A51">
            <v>2144</v>
          </cell>
          <cell r="B51" t="str">
            <v>藕丝步云履(30级)</v>
          </cell>
        </row>
        <row r="52">
          <cell r="A52">
            <v>2145</v>
          </cell>
          <cell r="B52" t="str">
            <v>冰梦鞋(40级)</v>
          </cell>
        </row>
        <row r="53">
          <cell r="A53">
            <v>2146</v>
          </cell>
          <cell r="B53" t="str">
            <v>刑天战靴(50级)</v>
          </cell>
        </row>
        <row r="54">
          <cell r="A54">
            <v>2147</v>
          </cell>
          <cell r="B54" t="str">
            <v>镇地千重鞋(60级)</v>
          </cell>
        </row>
        <row r="55">
          <cell r="A55">
            <v>2148</v>
          </cell>
          <cell r="B55" t="str">
            <v>梦幻天履(70级)</v>
          </cell>
        </row>
        <row r="56">
          <cell r="A56">
            <v>2084</v>
          </cell>
          <cell r="B56" t="str">
            <v>蚩尤魔神靴(80级)</v>
          </cell>
        </row>
        <row r="57">
          <cell r="A57">
            <v>2149</v>
          </cell>
          <cell r="B57" t="str">
            <v>风火轮(90级)</v>
          </cell>
        </row>
        <row r="58">
          <cell r="A58">
            <v>2150</v>
          </cell>
          <cell r="B58" t="str">
            <v>自在逍遥靴(100级)</v>
          </cell>
        </row>
        <row r="59">
          <cell r="A59">
            <v>2151</v>
          </cell>
          <cell r="B59" t="str">
            <v>燃灯佛法履(110级)</v>
          </cell>
        </row>
        <row r="60">
          <cell r="A60">
            <v>2152</v>
          </cell>
          <cell r="B60" t="str">
            <v>巨灵神足(120级)</v>
          </cell>
        </row>
        <row r="61">
          <cell r="A61">
            <v>2153</v>
          </cell>
          <cell r="B61" t="str">
            <v>玉清圣道履(130级)</v>
          </cell>
        </row>
        <row r="62">
          <cell r="A62">
            <v>2154</v>
          </cell>
          <cell r="B62" t="str">
            <v>仙道传承法靴(140级)</v>
          </cell>
        </row>
        <row r="63">
          <cell r="A63">
            <v>2155</v>
          </cell>
          <cell r="B63" t="str">
            <v>伏羲造物靴(150级)</v>
          </cell>
        </row>
        <row r="64">
          <cell r="A64">
            <v>2156</v>
          </cell>
          <cell r="B64" t="str">
            <v>天罡战甲(10级)</v>
          </cell>
        </row>
        <row r="65">
          <cell r="A65">
            <v>2157</v>
          </cell>
          <cell r="B65" t="str">
            <v>天罡战甲(20级)</v>
          </cell>
        </row>
        <row r="66">
          <cell r="A66">
            <v>2158</v>
          </cell>
          <cell r="B66" t="str">
            <v>天罡战甲(30级)</v>
          </cell>
        </row>
        <row r="67">
          <cell r="A67">
            <v>2159</v>
          </cell>
          <cell r="B67" t="str">
            <v>天罡战甲(40级)</v>
          </cell>
        </row>
        <row r="68">
          <cell r="A68">
            <v>2069</v>
          </cell>
          <cell r="B68" t="str">
            <v>天罡战甲(50级)</v>
          </cell>
        </row>
        <row r="69">
          <cell r="A69">
            <v>2160</v>
          </cell>
          <cell r="B69" t="str">
            <v>天罡战甲(60级)</v>
          </cell>
        </row>
        <row r="70">
          <cell r="A70">
            <v>2161</v>
          </cell>
          <cell r="B70" t="str">
            <v>天罡战甲(70级)</v>
          </cell>
        </row>
        <row r="71">
          <cell r="A71">
            <v>2162</v>
          </cell>
          <cell r="B71" t="str">
            <v>天罡战甲(80级)</v>
          </cell>
        </row>
        <row r="72">
          <cell r="A72">
            <v>2163</v>
          </cell>
          <cell r="B72" t="str">
            <v>天罡战甲(90级)</v>
          </cell>
        </row>
        <row r="73">
          <cell r="A73">
            <v>2164</v>
          </cell>
          <cell r="B73" t="str">
            <v>天罡战甲(100级)</v>
          </cell>
        </row>
        <row r="74">
          <cell r="A74">
            <v>2165</v>
          </cell>
          <cell r="B74" t="str">
            <v>天罡战甲(110级)</v>
          </cell>
        </row>
        <row r="75">
          <cell r="A75">
            <v>2166</v>
          </cell>
          <cell r="B75" t="str">
            <v>天罡战甲(120级)</v>
          </cell>
        </row>
        <row r="76">
          <cell r="A76">
            <v>2167</v>
          </cell>
          <cell r="B76" t="str">
            <v>天罡战甲(130级)</v>
          </cell>
        </row>
        <row r="77">
          <cell r="A77">
            <v>2168</v>
          </cell>
          <cell r="B77" t="str">
            <v>天罡战甲(140级)</v>
          </cell>
        </row>
        <row r="78">
          <cell r="A78">
            <v>2169</v>
          </cell>
          <cell r="B78" t="str">
            <v>天罡战甲(150级)</v>
          </cell>
        </row>
        <row r="79">
          <cell r="A79">
            <v>2170</v>
          </cell>
          <cell r="B79" t="str">
            <v>天罡长剑(10级)</v>
          </cell>
        </row>
        <row r="80">
          <cell r="A80">
            <v>2171</v>
          </cell>
          <cell r="B80" t="str">
            <v>天罡长剑(20级)</v>
          </cell>
        </row>
        <row r="81">
          <cell r="A81">
            <v>2172</v>
          </cell>
          <cell r="B81" t="str">
            <v>天罡长剑(30级)</v>
          </cell>
        </row>
        <row r="82">
          <cell r="A82">
            <v>2173</v>
          </cell>
          <cell r="B82" t="str">
            <v>天罡长剑(40级)</v>
          </cell>
        </row>
        <row r="83">
          <cell r="A83">
            <v>2070</v>
          </cell>
          <cell r="B83" t="str">
            <v>天罡长剑(50级)</v>
          </cell>
        </row>
        <row r="84">
          <cell r="A84">
            <v>2174</v>
          </cell>
          <cell r="B84" t="str">
            <v>天罡长剑(60级)</v>
          </cell>
        </row>
        <row r="85">
          <cell r="A85">
            <v>2175</v>
          </cell>
          <cell r="B85" t="str">
            <v>天罡长剑(70级)</v>
          </cell>
        </row>
        <row r="86">
          <cell r="A86">
            <v>2176</v>
          </cell>
          <cell r="B86" t="str">
            <v>天罡长剑(80级)</v>
          </cell>
        </row>
        <row r="87">
          <cell r="A87">
            <v>2177</v>
          </cell>
          <cell r="B87" t="str">
            <v>天罡长剑(90级)</v>
          </cell>
        </row>
        <row r="88">
          <cell r="A88">
            <v>2178</v>
          </cell>
          <cell r="B88" t="str">
            <v>天罡长剑(100级)</v>
          </cell>
        </row>
        <row r="89">
          <cell r="A89">
            <v>2179</v>
          </cell>
          <cell r="B89" t="str">
            <v>天罡长剑(110级)</v>
          </cell>
        </row>
        <row r="90">
          <cell r="A90">
            <v>2180</v>
          </cell>
          <cell r="B90" t="str">
            <v>天罡长剑(120级)</v>
          </cell>
        </row>
        <row r="91">
          <cell r="A91">
            <v>2181</v>
          </cell>
          <cell r="B91" t="str">
            <v>天罡长剑(130级)</v>
          </cell>
        </row>
        <row r="92">
          <cell r="A92">
            <v>2182</v>
          </cell>
          <cell r="B92" t="str">
            <v>天罡长剑(140级)</v>
          </cell>
        </row>
        <row r="93">
          <cell r="A93">
            <v>2183</v>
          </cell>
          <cell r="B93" t="str">
            <v>天罡长剑(150级)</v>
          </cell>
        </row>
        <row r="94">
          <cell r="A94">
            <v>2184</v>
          </cell>
          <cell r="B94" t="str">
            <v>天罡头盔(10级)</v>
          </cell>
        </row>
        <row r="95">
          <cell r="A95">
            <v>2185</v>
          </cell>
          <cell r="B95" t="str">
            <v>天罡头盔(20级)</v>
          </cell>
        </row>
        <row r="96">
          <cell r="A96">
            <v>2186</v>
          </cell>
          <cell r="B96" t="str">
            <v>天罡头盔(30级)</v>
          </cell>
        </row>
        <row r="97">
          <cell r="A97">
            <v>2187</v>
          </cell>
          <cell r="B97" t="str">
            <v>天罡头盔(40级)</v>
          </cell>
        </row>
        <row r="98">
          <cell r="A98">
            <v>2071</v>
          </cell>
          <cell r="B98" t="str">
            <v>天罡头盔(50级)</v>
          </cell>
        </row>
        <row r="99">
          <cell r="A99">
            <v>2188</v>
          </cell>
          <cell r="B99" t="str">
            <v>天罡头盔(60级)</v>
          </cell>
        </row>
        <row r="100">
          <cell r="A100">
            <v>2189</v>
          </cell>
          <cell r="B100" t="str">
            <v>天罡头盔(70级)</v>
          </cell>
        </row>
        <row r="101">
          <cell r="A101">
            <v>2190</v>
          </cell>
          <cell r="B101" t="str">
            <v>天罡头盔(80级)</v>
          </cell>
        </row>
        <row r="102">
          <cell r="A102">
            <v>2191</v>
          </cell>
          <cell r="B102" t="str">
            <v>天罡头盔(90级)</v>
          </cell>
        </row>
        <row r="103">
          <cell r="A103">
            <v>2192</v>
          </cell>
          <cell r="B103" t="str">
            <v>天罡头盔(100级)</v>
          </cell>
        </row>
        <row r="104">
          <cell r="A104">
            <v>2193</v>
          </cell>
          <cell r="B104" t="str">
            <v>天罡头盔(110级)</v>
          </cell>
        </row>
        <row r="105">
          <cell r="A105">
            <v>2194</v>
          </cell>
          <cell r="B105" t="str">
            <v>天罡头盔(120级)</v>
          </cell>
        </row>
        <row r="106">
          <cell r="A106">
            <v>2195</v>
          </cell>
          <cell r="B106" t="str">
            <v>天罡头盔(130级)</v>
          </cell>
        </row>
        <row r="107">
          <cell r="A107">
            <v>2196</v>
          </cell>
          <cell r="B107" t="str">
            <v>天罡头盔(140级)</v>
          </cell>
        </row>
        <row r="108">
          <cell r="A108">
            <v>2197</v>
          </cell>
          <cell r="B108" t="str">
            <v>天罡头盔(150级)</v>
          </cell>
        </row>
        <row r="109">
          <cell r="A109">
            <v>2198</v>
          </cell>
          <cell r="B109" t="str">
            <v>天罡战靴(10级)</v>
          </cell>
        </row>
        <row r="110">
          <cell r="A110">
            <v>2199</v>
          </cell>
          <cell r="B110" t="str">
            <v>天罡战靴(20级)</v>
          </cell>
        </row>
        <row r="111">
          <cell r="A111">
            <v>2200</v>
          </cell>
          <cell r="B111" t="str">
            <v>天罡战靴(30级)</v>
          </cell>
        </row>
        <row r="112">
          <cell r="A112">
            <v>2201</v>
          </cell>
          <cell r="B112" t="str">
            <v>天罡战靴(40级)</v>
          </cell>
        </row>
        <row r="113">
          <cell r="A113">
            <v>2072</v>
          </cell>
          <cell r="B113" t="str">
            <v>天罡战靴(50级)</v>
          </cell>
        </row>
        <row r="114">
          <cell r="A114">
            <v>2202</v>
          </cell>
          <cell r="B114" t="str">
            <v>天罡战靴(60级)</v>
          </cell>
        </row>
        <row r="115">
          <cell r="A115">
            <v>2203</v>
          </cell>
          <cell r="B115" t="str">
            <v>天罡战靴(70级)</v>
          </cell>
        </row>
        <row r="116">
          <cell r="A116">
            <v>2204</v>
          </cell>
          <cell r="B116" t="str">
            <v>天罡战靴(80级)</v>
          </cell>
        </row>
        <row r="117">
          <cell r="A117">
            <v>2205</v>
          </cell>
          <cell r="B117" t="str">
            <v>天罡战靴(90级)</v>
          </cell>
        </row>
        <row r="118">
          <cell r="A118">
            <v>2206</v>
          </cell>
          <cell r="B118" t="str">
            <v>天罡战靴(100级)</v>
          </cell>
        </row>
        <row r="119">
          <cell r="A119">
            <v>2207</v>
          </cell>
          <cell r="B119" t="str">
            <v>天罡战靴(110级)</v>
          </cell>
        </row>
        <row r="120">
          <cell r="A120">
            <v>2208</v>
          </cell>
          <cell r="B120" t="str">
            <v>天罡战靴(120级)</v>
          </cell>
        </row>
        <row r="121">
          <cell r="A121">
            <v>2209</v>
          </cell>
          <cell r="B121" t="str">
            <v>天罡战靴(130级)</v>
          </cell>
        </row>
        <row r="122">
          <cell r="A122">
            <v>2210</v>
          </cell>
          <cell r="B122" t="str">
            <v>天罡战靴(140级)</v>
          </cell>
        </row>
        <row r="123">
          <cell r="A123">
            <v>2211</v>
          </cell>
          <cell r="B123" t="str">
            <v>天罡战靴(150级)</v>
          </cell>
        </row>
        <row r="124">
          <cell r="A124">
            <v>2212</v>
          </cell>
          <cell r="B124" t="str">
            <v>降魔战甲(10级)</v>
          </cell>
        </row>
        <row r="125">
          <cell r="A125">
            <v>2213</v>
          </cell>
          <cell r="B125" t="str">
            <v>降魔战甲(20级)</v>
          </cell>
        </row>
        <row r="126">
          <cell r="A126">
            <v>2214</v>
          </cell>
          <cell r="B126" t="str">
            <v>降魔战甲(30级)</v>
          </cell>
        </row>
        <row r="127">
          <cell r="A127">
            <v>2215</v>
          </cell>
          <cell r="B127" t="str">
            <v>降魔战甲(40级)</v>
          </cell>
        </row>
        <row r="128">
          <cell r="A128">
            <v>2065</v>
          </cell>
          <cell r="B128" t="str">
            <v>降魔战甲(50级)</v>
          </cell>
        </row>
        <row r="129">
          <cell r="A129">
            <v>2216</v>
          </cell>
          <cell r="B129" t="str">
            <v>降魔战甲(60级)</v>
          </cell>
        </row>
        <row r="130">
          <cell r="A130">
            <v>2217</v>
          </cell>
          <cell r="B130" t="str">
            <v>降魔战甲(70级)</v>
          </cell>
        </row>
        <row r="131">
          <cell r="A131">
            <v>2218</v>
          </cell>
          <cell r="B131" t="str">
            <v>降魔战甲(80级)</v>
          </cell>
        </row>
        <row r="132">
          <cell r="A132">
            <v>2219</v>
          </cell>
          <cell r="B132" t="str">
            <v>降魔战甲(90级)</v>
          </cell>
        </row>
        <row r="133">
          <cell r="A133">
            <v>2220</v>
          </cell>
          <cell r="B133" t="str">
            <v>降魔战甲(100级)</v>
          </cell>
        </row>
        <row r="134">
          <cell r="A134">
            <v>2221</v>
          </cell>
          <cell r="B134" t="str">
            <v>降魔战甲(110级)</v>
          </cell>
        </row>
        <row r="135">
          <cell r="A135">
            <v>2222</v>
          </cell>
          <cell r="B135" t="str">
            <v>降魔战甲(120级)</v>
          </cell>
        </row>
        <row r="136">
          <cell r="A136">
            <v>2223</v>
          </cell>
          <cell r="B136" t="str">
            <v>降魔战甲(130级)</v>
          </cell>
        </row>
        <row r="137">
          <cell r="A137">
            <v>2224</v>
          </cell>
          <cell r="B137" t="str">
            <v>降魔战甲(140级)</v>
          </cell>
        </row>
        <row r="138">
          <cell r="A138">
            <v>2225</v>
          </cell>
          <cell r="B138" t="str">
            <v>降魔战甲(150级)</v>
          </cell>
        </row>
        <row r="139">
          <cell r="A139">
            <v>2226</v>
          </cell>
          <cell r="B139" t="str">
            <v>降魔长剑(10级)</v>
          </cell>
        </row>
        <row r="140">
          <cell r="A140">
            <v>2227</v>
          </cell>
          <cell r="B140" t="str">
            <v>降魔长剑(20级)</v>
          </cell>
        </row>
        <row r="141">
          <cell r="A141">
            <v>2228</v>
          </cell>
          <cell r="B141" t="str">
            <v>降魔长剑(30级)</v>
          </cell>
        </row>
        <row r="142">
          <cell r="A142">
            <v>2229</v>
          </cell>
          <cell r="B142" t="str">
            <v>降魔长剑(40级)</v>
          </cell>
        </row>
        <row r="143">
          <cell r="A143">
            <v>2066</v>
          </cell>
          <cell r="B143" t="str">
            <v>降魔长剑(50级)</v>
          </cell>
        </row>
        <row r="144">
          <cell r="A144">
            <v>2230</v>
          </cell>
          <cell r="B144" t="str">
            <v>降魔长剑(60级)</v>
          </cell>
        </row>
        <row r="145">
          <cell r="A145">
            <v>2231</v>
          </cell>
          <cell r="B145" t="str">
            <v>降魔长剑(70级)</v>
          </cell>
        </row>
        <row r="146">
          <cell r="A146">
            <v>2232</v>
          </cell>
          <cell r="B146" t="str">
            <v>降魔长剑(80级)</v>
          </cell>
        </row>
        <row r="147">
          <cell r="A147">
            <v>2233</v>
          </cell>
          <cell r="B147" t="str">
            <v>降魔长剑(90级)</v>
          </cell>
        </row>
        <row r="148">
          <cell r="A148">
            <v>2234</v>
          </cell>
          <cell r="B148" t="str">
            <v>降魔长剑(100级)</v>
          </cell>
        </row>
        <row r="149">
          <cell r="A149">
            <v>2235</v>
          </cell>
          <cell r="B149" t="str">
            <v>降魔长剑(110级)</v>
          </cell>
        </row>
        <row r="150">
          <cell r="A150">
            <v>2236</v>
          </cell>
          <cell r="B150" t="str">
            <v>降魔长剑(120级)</v>
          </cell>
        </row>
        <row r="151">
          <cell r="A151">
            <v>2237</v>
          </cell>
          <cell r="B151" t="str">
            <v>降魔长剑(130级)</v>
          </cell>
        </row>
        <row r="152">
          <cell r="A152">
            <v>2238</v>
          </cell>
          <cell r="B152" t="str">
            <v>降魔长剑(140级)</v>
          </cell>
        </row>
        <row r="153">
          <cell r="A153">
            <v>2239</v>
          </cell>
          <cell r="B153" t="str">
            <v>降魔长剑(150级)</v>
          </cell>
        </row>
        <row r="154">
          <cell r="A154">
            <v>2240</v>
          </cell>
          <cell r="B154" t="str">
            <v>降魔头盔(10级)</v>
          </cell>
        </row>
        <row r="155">
          <cell r="A155">
            <v>2241</v>
          </cell>
          <cell r="B155" t="str">
            <v>降魔头盔(20级)</v>
          </cell>
        </row>
        <row r="156">
          <cell r="A156">
            <v>2242</v>
          </cell>
          <cell r="B156" t="str">
            <v>降魔头盔(30级)</v>
          </cell>
        </row>
        <row r="157">
          <cell r="A157">
            <v>2243</v>
          </cell>
          <cell r="B157" t="str">
            <v>降魔头盔(40级)</v>
          </cell>
        </row>
        <row r="158">
          <cell r="A158">
            <v>2067</v>
          </cell>
          <cell r="B158" t="str">
            <v>降魔头盔(50级)</v>
          </cell>
        </row>
        <row r="159">
          <cell r="A159">
            <v>2244</v>
          </cell>
          <cell r="B159" t="str">
            <v>降魔头盔(60级)</v>
          </cell>
        </row>
        <row r="160">
          <cell r="A160">
            <v>2245</v>
          </cell>
          <cell r="B160" t="str">
            <v>降魔头盔(70级)</v>
          </cell>
        </row>
        <row r="161">
          <cell r="A161">
            <v>2246</v>
          </cell>
          <cell r="B161" t="str">
            <v>降魔头盔(80级)</v>
          </cell>
        </row>
        <row r="162">
          <cell r="A162">
            <v>2247</v>
          </cell>
          <cell r="B162" t="str">
            <v>降魔头盔(90级)</v>
          </cell>
        </row>
        <row r="163">
          <cell r="A163">
            <v>2248</v>
          </cell>
          <cell r="B163" t="str">
            <v>降魔头盔(100级)</v>
          </cell>
        </row>
        <row r="164">
          <cell r="A164">
            <v>2249</v>
          </cell>
          <cell r="B164" t="str">
            <v>降魔头盔(110级)</v>
          </cell>
        </row>
        <row r="165">
          <cell r="A165">
            <v>2250</v>
          </cell>
          <cell r="B165" t="str">
            <v>降魔头盔(120级)</v>
          </cell>
        </row>
        <row r="166">
          <cell r="A166">
            <v>2251</v>
          </cell>
          <cell r="B166" t="str">
            <v>降魔头盔(130级)</v>
          </cell>
        </row>
        <row r="167">
          <cell r="A167">
            <v>2252</v>
          </cell>
          <cell r="B167" t="str">
            <v>降魔头盔(140级)</v>
          </cell>
        </row>
        <row r="168">
          <cell r="A168">
            <v>2253</v>
          </cell>
          <cell r="B168" t="str">
            <v>降魔头盔(150级)</v>
          </cell>
        </row>
        <row r="169">
          <cell r="A169">
            <v>2254</v>
          </cell>
          <cell r="B169" t="str">
            <v>降魔战靴(10级)</v>
          </cell>
        </row>
        <row r="170">
          <cell r="A170">
            <v>2255</v>
          </cell>
          <cell r="B170" t="str">
            <v>降魔战靴(20级)</v>
          </cell>
        </row>
        <row r="171">
          <cell r="A171">
            <v>2256</v>
          </cell>
          <cell r="B171" t="str">
            <v>降魔战靴(30级)</v>
          </cell>
        </row>
        <row r="172">
          <cell r="A172">
            <v>2257</v>
          </cell>
          <cell r="B172" t="str">
            <v>降魔战靴(40级)</v>
          </cell>
        </row>
        <row r="173">
          <cell r="A173">
            <v>2068</v>
          </cell>
          <cell r="B173" t="str">
            <v>降魔战靴(50级)</v>
          </cell>
        </row>
        <row r="174">
          <cell r="A174">
            <v>2258</v>
          </cell>
          <cell r="B174" t="str">
            <v>降魔战靴(60级)</v>
          </cell>
        </row>
        <row r="175">
          <cell r="A175">
            <v>2259</v>
          </cell>
          <cell r="B175" t="str">
            <v>降魔战靴(70级)</v>
          </cell>
        </row>
        <row r="176">
          <cell r="A176">
            <v>2260</v>
          </cell>
          <cell r="B176" t="str">
            <v>降魔战靴(80级)</v>
          </cell>
        </row>
        <row r="177">
          <cell r="A177">
            <v>2261</v>
          </cell>
          <cell r="B177" t="str">
            <v>降魔战靴(90级)</v>
          </cell>
        </row>
        <row r="178">
          <cell r="A178">
            <v>2262</v>
          </cell>
          <cell r="B178" t="str">
            <v>降魔战靴(100级)</v>
          </cell>
        </row>
        <row r="179">
          <cell r="A179">
            <v>2263</v>
          </cell>
          <cell r="B179" t="str">
            <v>降魔战靴(110级)</v>
          </cell>
        </row>
        <row r="180">
          <cell r="A180">
            <v>2264</v>
          </cell>
          <cell r="B180" t="str">
            <v>降魔战靴(120级)</v>
          </cell>
        </row>
        <row r="181">
          <cell r="A181">
            <v>2265</v>
          </cell>
          <cell r="B181" t="str">
            <v>降魔战靴(130级)</v>
          </cell>
        </row>
        <row r="182">
          <cell r="A182">
            <v>2266</v>
          </cell>
          <cell r="B182" t="str">
            <v>降魔战靴(140级)</v>
          </cell>
        </row>
        <row r="183">
          <cell r="A183">
            <v>2267</v>
          </cell>
          <cell r="B183" t="str">
            <v>降魔战靴(150级)</v>
          </cell>
        </row>
        <row r="184">
          <cell r="A184">
            <v>2268</v>
          </cell>
          <cell r="B184" t="str">
            <v>血魔战甲(10级)</v>
          </cell>
        </row>
        <row r="185">
          <cell r="A185">
            <v>2269</v>
          </cell>
          <cell r="B185" t="str">
            <v>血魔战甲(20级)</v>
          </cell>
        </row>
        <row r="186">
          <cell r="A186">
            <v>2270</v>
          </cell>
          <cell r="B186" t="str">
            <v>血魔战甲(30级)</v>
          </cell>
        </row>
        <row r="187">
          <cell r="A187">
            <v>2061</v>
          </cell>
          <cell r="B187" t="str">
            <v>血魔战甲(40级)</v>
          </cell>
        </row>
        <row r="188">
          <cell r="A188">
            <v>2271</v>
          </cell>
          <cell r="B188" t="str">
            <v>血魔战甲(50级)</v>
          </cell>
        </row>
        <row r="189">
          <cell r="A189">
            <v>2272</v>
          </cell>
          <cell r="B189" t="str">
            <v>血魔战甲(60级)</v>
          </cell>
        </row>
        <row r="190">
          <cell r="A190">
            <v>2273</v>
          </cell>
          <cell r="B190" t="str">
            <v>血魔战甲(70级)</v>
          </cell>
        </row>
        <row r="191">
          <cell r="A191">
            <v>2274</v>
          </cell>
          <cell r="B191" t="str">
            <v>血魔战甲(80级)</v>
          </cell>
        </row>
        <row r="192">
          <cell r="A192">
            <v>2275</v>
          </cell>
          <cell r="B192" t="str">
            <v>血魔战甲(90级)</v>
          </cell>
        </row>
        <row r="193">
          <cell r="A193">
            <v>2276</v>
          </cell>
          <cell r="B193" t="str">
            <v>血魔战甲(100级)</v>
          </cell>
        </row>
        <row r="194">
          <cell r="A194">
            <v>2277</v>
          </cell>
          <cell r="B194" t="str">
            <v>血魔战甲(110级)</v>
          </cell>
        </row>
        <row r="195">
          <cell r="A195">
            <v>2278</v>
          </cell>
          <cell r="B195" t="str">
            <v>血魔战甲(120级)</v>
          </cell>
        </row>
        <row r="196">
          <cell r="A196">
            <v>2279</v>
          </cell>
          <cell r="B196" t="str">
            <v>血魔战甲(130级)</v>
          </cell>
        </row>
        <row r="197">
          <cell r="A197">
            <v>2280</v>
          </cell>
          <cell r="B197" t="str">
            <v>血魔战甲(140级)</v>
          </cell>
        </row>
        <row r="198">
          <cell r="A198">
            <v>2281</v>
          </cell>
          <cell r="B198" t="str">
            <v>血魔战甲(150级)</v>
          </cell>
        </row>
        <row r="199">
          <cell r="A199">
            <v>2282</v>
          </cell>
          <cell r="B199" t="str">
            <v>赤霄长剑(10级)</v>
          </cell>
        </row>
        <row r="200">
          <cell r="A200">
            <v>2283</v>
          </cell>
          <cell r="B200" t="str">
            <v>赤霄长剑(20级)</v>
          </cell>
        </row>
        <row r="201">
          <cell r="A201">
            <v>2284</v>
          </cell>
          <cell r="B201" t="str">
            <v>赤霄长剑(30级)</v>
          </cell>
        </row>
        <row r="202">
          <cell r="A202">
            <v>2062</v>
          </cell>
          <cell r="B202" t="str">
            <v>赤霄长剑(40级)</v>
          </cell>
        </row>
        <row r="203">
          <cell r="A203">
            <v>2285</v>
          </cell>
          <cell r="B203" t="str">
            <v>赤霄长剑(50级)</v>
          </cell>
        </row>
        <row r="204">
          <cell r="A204">
            <v>2286</v>
          </cell>
          <cell r="B204" t="str">
            <v>赤霄长剑(60级)</v>
          </cell>
        </row>
        <row r="205">
          <cell r="A205">
            <v>2287</v>
          </cell>
          <cell r="B205" t="str">
            <v>赤霄长剑(70级)</v>
          </cell>
        </row>
        <row r="206">
          <cell r="A206">
            <v>2288</v>
          </cell>
          <cell r="B206" t="str">
            <v>赤霄长剑(80级)</v>
          </cell>
        </row>
        <row r="207">
          <cell r="A207">
            <v>2289</v>
          </cell>
          <cell r="B207" t="str">
            <v>赤霄长剑(90级)</v>
          </cell>
        </row>
        <row r="208">
          <cell r="A208">
            <v>2290</v>
          </cell>
          <cell r="B208" t="str">
            <v>赤霄长剑(100级)</v>
          </cell>
        </row>
        <row r="209">
          <cell r="A209">
            <v>2291</v>
          </cell>
          <cell r="B209" t="str">
            <v>赤霄长剑(110级)</v>
          </cell>
        </row>
        <row r="210">
          <cell r="A210">
            <v>2292</v>
          </cell>
          <cell r="B210" t="str">
            <v>赤霄长剑(120级)</v>
          </cell>
        </row>
        <row r="211">
          <cell r="A211">
            <v>2293</v>
          </cell>
          <cell r="B211" t="str">
            <v>赤霄长剑(130级)</v>
          </cell>
        </row>
        <row r="212">
          <cell r="A212">
            <v>2294</v>
          </cell>
          <cell r="B212" t="str">
            <v>赤霄长剑(140级)</v>
          </cell>
        </row>
        <row r="213">
          <cell r="A213">
            <v>2295</v>
          </cell>
          <cell r="B213" t="str">
            <v>赤霄长剑(150级)</v>
          </cell>
        </row>
        <row r="214">
          <cell r="A214">
            <v>2296</v>
          </cell>
          <cell r="B214" t="str">
            <v>麒麟头盔(10级)</v>
          </cell>
        </row>
        <row r="215">
          <cell r="A215">
            <v>2297</v>
          </cell>
          <cell r="B215" t="str">
            <v>麒麟头盔(20级)</v>
          </cell>
        </row>
        <row r="216">
          <cell r="A216">
            <v>2298</v>
          </cell>
          <cell r="B216" t="str">
            <v>麒麟头盔(30级)</v>
          </cell>
        </row>
        <row r="217">
          <cell r="A217">
            <v>2063</v>
          </cell>
          <cell r="B217" t="str">
            <v>麒麟头盔(40级)</v>
          </cell>
        </row>
        <row r="218">
          <cell r="A218">
            <v>2299</v>
          </cell>
          <cell r="B218" t="str">
            <v>麒麟头盔(50级)</v>
          </cell>
        </row>
        <row r="219">
          <cell r="A219">
            <v>2300</v>
          </cell>
          <cell r="B219" t="str">
            <v>麒麟头盔(60级)</v>
          </cell>
        </row>
        <row r="220">
          <cell r="A220">
            <v>2301</v>
          </cell>
          <cell r="B220" t="str">
            <v>麒麟头盔(70级)</v>
          </cell>
        </row>
        <row r="221">
          <cell r="A221">
            <v>2302</v>
          </cell>
          <cell r="B221" t="str">
            <v>麒麟头盔(80级)</v>
          </cell>
        </row>
        <row r="222">
          <cell r="A222">
            <v>2303</v>
          </cell>
          <cell r="B222" t="str">
            <v>麒麟头盔(90级)</v>
          </cell>
        </row>
        <row r="223">
          <cell r="A223">
            <v>2304</v>
          </cell>
          <cell r="B223" t="str">
            <v>麒麟头盔(100级)</v>
          </cell>
        </row>
        <row r="224">
          <cell r="A224">
            <v>2305</v>
          </cell>
          <cell r="B224" t="str">
            <v>麒麟头盔(110级)</v>
          </cell>
        </row>
        <row r="225">
          <cell r="A225">
            <v>2306</v>
          </cell>
          <cell r="B225" t="str">
            <v>麒麟头盔(120级)</v>
          </cell>
        </row>
        <row r="226">
          <cell r="A226">
            <v>2307</v>
          </cell>
          <cell r="B226" t="str">
            <v>麒麟头盔(130级)</v>
          </cell>
        </row>
        <row r="227">
          <cell r="A227">
            <v>2308</v>
          </cell>
          <cell r="B227" t="str">
            <v>麒麟头盔(140级)</v>
          </cell>
        </row>
        <row r="228">
          <cell r="A228">
            <v>2309</v>
          </cell>
          <cell r="B228" t="str">
            <v>麒麟头盔(150级)</v>
          </cell>
        </row>
        <row r="229">
          <cell r="A229">
            <v>2310</v>
          </cell>
          <cell r="B229" t="str">
            <v>兽魂战靴(10级)</v>
          </cell>
        </row>
        <row r="230">
          <cell r="A230">
            <v>2311</v>
          </cell>
          <cell r="B230" t="str">
            <v>兽魂战靴(20级)</v>
          </cell>
        </row>
        <row r="231">
          <cell r="A231">
            <v>2312</v>
          </cell>
          <cell r="B231" t="str">
            <v>兽魂战靴(30级)</v>
          </cell>
        </row>
        <row r="232">
          <cell r="A232">
            <v>2064</v>
          </cell>
          <cell r="B232" t="str">
            <v>兽魂战靴(40级)</v>
          </cell>
        </row>
        <row r="233">
          <cell r="A233">
            <v>2313</v>
          </cell>
          <cell r="B233" t="str">
            <v>兽魂战靴(50级)</v>
          </cell>
        </row>
        <row r="234">
          <cell r="A234">
            <v>2314</v>
          </cell>
          <cell r="B234" t="str">
            <v>兽魂战靴(60级)</v>
          </cell>
        </row>
        <row r="235">
          <cell r="A235">
            <v>2315</v>
          </cell>
          <cell r="B235" t="str">
            <v>兽魂战靴(70级)</v>
          </cell>
        </row>
        <row r="236">
          <cell r="A236">
            <v>2316</v>
          </cell>
          <cell r="B236" t="str">
            <v>兽魂战靴(80级)</v>
          </cell>
        </row>
        <row r="237">
          <cell r="A237">
            <v>2317</v>
          </cell>
          <cell r="B237" t="str">
            <v>兽魂战靴(90级)</v>
          </cell>
        </row>
        <row r="238">
          <cell r="A238">
            <v>2318</v>
          </cell>
          <cell r="B238" t="str">
            <v>兽魂战靴(100级)</v>
          </cell>
        </row>
        <row r="239">
          <cell r="A239">
            <v>2319</v>
          </cell>
          <cell r="B239" t="str">
            <v>兽魂战靴(110级)</v>
          </cell>
        </row>
        <row r="240">
          <cell r="A240">
            <v>2320</v>
          </cell>
          <cell r="B240" t="str">
            <v>兽魂战靴(120级)</v>
          </cell>
        </row>
        <row r="241">
          <cell r="A241">
            <v>2321</v>
          </cell>
          <cell r="B241" t="str">
            <v>兽魂战靴(130级)</v>
          </cell>
        </row>
        <row r="242">
          <cell r="A242">
            <v>2322</v>
          </cell>
          <cell r="B242" t="str">
            <v>兽魂战靴(140级)</v>
          </cell>
        </row>
        <row r="243">
          <cell r="A243">
            <v>2323</v>
          </cell>
          <cell r="B243" t="str">
            <v>兽魂战靴(150级)</v>
          </cell>
        </row>
        <row r="244">
          <cell r="A244">
            <v>2324</v>
          </cell>
          <cell r="B244" t="str">
            <v>磐石战甲(10级)</v>
          </cell>
        </row>
        <row r="245">
          <cell r="A245">
            <v>2325</v>
          </cell>
          <cell r="B245" t="str">
            <v>磐石战甲(20级)</v>
          </cell>
        </row>
        <row r="246">
          <cell r="A246">
            <v>2049</v>
          </cell>
          <cell r="B246" t="str">
            <v>磐石战甲(30级)</v>
          </cell>
        </row>
        <row r="247">
          <cell r="A247">
            <v>2326</v>
          </cell>
          <cell r="B247" t="str">
            <v>磐石战甲(40级)</v>
          </cell>
        </row>
        <row r="248">
          <cell r="A248">
            <v>2327</v>
          </cell>
          <cell r="B248" t="str">
            <v>磐石战甲(50级)</v>
          </cell>
        </row>
        <row r="249">
          <cell r="A249">
            <v>2328</v>
          </cell>
          <cell r="B249" t="str">
            <v>磐石战甲(60级)</v>
          </cell>
        </row>
        <row r="250">
          <cell r="A250">
            <v>2329</v>
          </cell>
          <cell r="B250" t="str">
            <v>磐石战甲(70级)</v>
          </cell>
        </row>
        <row r="251">
          <cell r="A251">
            <v>2330</v>
          </cell>
          <cell r="B251" t="str">
            <v>磐石战甲(80级)</v>
          </cell>
        </row>
        <row r="252">
          <cell r="A252">
            <v>2331</v>
          </cell>
          <cell r="B252" t="str">
            <v>磐石战甲(90级)</v>
          </cell>
        </row>
        <row r="253">
          <cell r="A253">
            <v>2332</v>
          </cell>
          <cell r="B253" t="str">
            <v>磐石战甲(100级)</v>
          </cell>
        </row>
        <row r="254">
          <cell r="A254">
            <v>2333</v>
          </cell>
          <cell r="B254" t="str">
            <v>磐石战甲(110级)</v>
          </cell>
        </row>
        <row r="255">
          <cell r="A255">
            <v>2334</v>
          </cell>
          <cell r="B255" t="str">
            <v>磐石战甲(120级)</v>
          </cell>
        </row>
        <row r="256">
          <cell r="A256">
            <v>2335</v>
          </cell>
          <cell r="B256" t="str">
            <v>磐石战甲(130级)</v>
          </cell>
        </row>
        <row r="257">
          <cell r="A257">
            <v>2336</v>
          </cell>
          <cell r="B257" t="str">
            <v>磐石战甲(140级)</v>
          </cell>
        </row>
        <row r="258">
          <cell r="A258">
            <v>2337</v>
          </cell>
          <cell r="B258" t="str">
            <v>磐石战甲(150级)</v>
          </cell>
        </row>
        <row r="259">
          <cell r="A259">
            <v>2338</v>
          </cell>
          <cell r="B259" t="str">
            <v>磐石长剑(10级)</v>
          </cell>
        </row>
        <row r="260">
          <cell r="A260">
            <v>2339</v>
          </cell>
          <cell r="B260" t="str">
            <v>磐石长剑(20级)</v>
          </cell>
        </row>
        <row r="261">
          <cell r="A261">
            <v>2050</v>
          </cell>
          <cell r="B261" t="str">
            <v>磐石长剑(30级)</v>
          </cell>
        </row>
        <row r="262">
          <cell r="A262">
            <v>2340</v>
          </cell>
          <cell r="B262" t="str">
            <v>磐石长剑(40级)</v>
          </cell>
        </row>
        <row r="263">
          <cell r="A263">
            <v>2341</v>
          </cell>
          <cell r="B263" t="str">
            <v>磐石长剑(50级)</v>
          </cell>
        </row>
        <row r="264">
          <cell r="A264">
            <v>2342</v>
          </cell>
          <cell r="B264" t="str">
            <v>磐石长剑(60级)</v>
          </cell>
        </row>
        <row r="265">
          <cell r="A265">
            <v>2343</v>
          </cell>
          <cell r="B265" t="str">
            <v>磐石长剑(70级)</v>
          </cell>
        </row>
        <row r="266">
          <cell r="A266">
            <v>2344</v>
          </cell>
          <cell r="B266" t="str">
            <v>磐石长剑(80级)</v>
          </cell>
        </row>
        <row r="267">
          <cell r="A267">
            <v>2345</v>
          </cell>
          <cell r="B267" t="str">
            <v>磐石长剑(90级)</v>
          </cell>
        </row>
        <row r="268">
          <cell r="A268">
            <v>2346</v>
          </cell>
          <cell r="B268" t="str">
            <v>磐石长剑(100级)</v>
          </cell>
        </row>
        <row r="269">
          <cell r="A269">
            <v>2347</v>
          </cell>
          <cell r="B269" t="str">
            <v>磐石长剑(110级)</v>
          </cell>
        </row>
        <row r="270">
          <cell r="A270">
            <v>2348</v>
          </cell>
          <cell r="B270" t="str">
            <v>磐石长剑(120级)</v>
          </cell>
        </row>
        <row r="271">
          <cell r="A271">
            <v>2349</v>
          </cell>
          <cell r="B271" t="str">
            <v>磐石长剑(130级)</v>
          </cell>
        </row>
        <row r="272">
          <cell r="A272">
            <v>2350</v>
          </cell>
          <cell r="B272" t="str">
            <v>磐石长剑(140级)</v>
          </cell>
        </row>
        <row r="273">
          <cell r="A273">
            <v>2351</v>
          </cell>
          <cell r="B273" t="str">
            <v>磐石长剑(150级)</v>
          </cell>
        </row>
        <row r="274">
          <cell r="A274">
            <v>2352</v>
          </cell>
          <cell r="B274" t="str">
            <v>磐石头盔(10级)</v>
          </cell>
        </row>
        <row r="275">
          <cell r="A275">
            <v>2353</v>
          </cell>
          <cell r="B275" t="str">
            <v>磐石头盔(20级)</v>
          </cell>
        </row>
        <row r="276">
          <cell r="A276">
            <v>2051</v>
          </cell>
          <cell r="B276" t="str">
            <v>磐石头盔(30级)</v>
          </cell>
        </row>
        <row r="277">
          <cell r="A277">
            <v>2354</v>
          </cell>
          <cell r="B277" t="str">
            <v>磐石头盔(40级)</v>
          </cell>
        </row>
        <row r="278">
          <cell r="A278">
            <v>2355</v>
          </cell>
          <cell r="B278" t="str">
            <v>磐石头盔(50级)</v>
          </cell>
        </row>
        <row r="279">
          <cell r="A279">
            <v>2356</v>
          </cell>
          <cell r="B279" t="str">
            <v>磐石头盔(60级)</v>
          </cell>
        </row>
        <row r="280">
          <cell r="A280">
            <v>2357</v>
          </cell>
          <cell r="B280" t="str">
            <v>磐石头盔(70级)</v>
          </cell>
        </row>
        <row r="281">
          <cell r="A281">
            <v>2358</v>
          </cell>
          <cell r="B281" t="str">
            <v>磐石头盔(80级)</v>
          </cell>
        </row>
        <row r="282">
          <cell r="A282">
            <v>2359</v>
          </cell>
          <cell r="B282" t="str">
            <v>磐石头盔(90级)</v>
          </cell>
        </row>
        <row r="283">
          <cell r="A283">
            <v>2360</v>
          </cell>
          <cell r="B283" t="str">
            <v>磐石头盔(100级)</v>
          </cell>
        </row>
        <row r="284">
          <cell r="A284">
            <v>2361</v>
          </cell>
          <cell r="B284" t="str">
            <v>磐石头盔(110级)</v>
          </cell>
        </row>
        <row r="285">
          <cell r="A285">
            <v>2362</v>
          </cell>
          <cell r="B285" t="str">
            <v>磐石头盔(120级)</v>
          </cell>
        </row>
        <row r="286">
          <cell r="A286">
            <v>2363</v>
          </cell>
          <cell r="B286" t="str">
            <v>磐石头盔(130级)</v>
          </cell>
        </row>
        <row r="287">
          <cell r="A287">
            <v>2364</v>
          </cell>
          <cell r="B287" t="str">
            <v>磐石头盔(140级)</v>
          </cell>
        </row>
        <row r="288">
          <cell r="A288">
            <v>2365</v>
          </cell>
          <cell r="B288" t="str">
            <v>磐石头盔(150级)</v>
          </cell>
        </row>
        <row r="289">
          <cell r="A289">
            <v>2366</v>
          </cell>
          <cell r="B289" t="str">
            <v>磐石战靴(10级)</v>
          </cell>
        </row>
        <row r="290">
          <cell r="A290">
            <v>2367</v>
          </cell>
          <cell r="B290" t="str">
            <v>磐石战靴(20级)</v>
          </cell>
        </row>
        <row r="291">
          <cell r="A291">
            <v>2052</v>
          </cell>
          <cell r="B291" t="str">
            <v>磐石战靴(30级)</v>
          </cell>
        </row>
        <row r="292">
          <cell r="A292">
            <v>2368</v>
          </cell>
          <cell r="B292" t="str">
            <v>磐石战靴(40级)</v>
          </cell>
        </row>
        <row r="293">
          <cell r="A293">
            <v>2369</v>
          </cell>
          <cell r="B293" t="str">
            <v>磐石战靴(50级)</v>
          </cell>
        </row>
        <row r="294">
          <cell r="A294">
            <v>2370</v>
          </cell>
          <cell r="B294" t="str">
            <v>磐石战靴(60级)</v>
          </cell>
        </row>
        <row r="295">
          <cell r="A295">
            <v>2371</v>
          </cell>
          <cell r="B295" t="str">
            <v>磐石战靴(70级)</v>
          </cell>
        </row>
        <row r="296">
          <cell r="A296">
            <v>2372</v>
          </cell>
          <cell r="B296" t="str">
            <v>磐石战靴(80级)</v>
          </cell>
        </row>
        <row r="297">
          <cell r="A297">
            <v>2373</v>
          </cell>
          <cell r="B297" t="str">
            <v>磐石战靴(90级)</v>
          </cell>
        </row>
        <row r="298">
          <cell r="A298">
            <v>2374</v>
          </cell>
          <cell r="B298" t="str">
            <v>磐石战靴(100级)</v>
          </cell>
        </row>
        <row r="299">
          <cell r="A299">
            <v>2375</v>
          </cell>
          <cell r="B299" t="str">
            <v>磐石战靴(110级)</v>
          </cell>
        </row>
        <row r="300">
          <cell r="A300">
            <v>2376</v>
          </cell>
          <cell r="B300" t="str">
            <v>磐石战靴(120级)</v>
          </cell>
        </row>
        <row r="301">
          <cell r="A301">
            <v>2377</v>
          </cell>
          <cell r="B301" t="str">
            <v>磐石战靴(130级)</v>
          </cell>
        </row>
        <row r="302">
          <cell r="A302">
            <v>2378</v>
          </cell>
          <cell r="B302" t="str">
            <v>磐石战靴(140级)</v>
          </cell>
        </row>
        <row r="303">
          <cell r="A303">
            <v>2379</v>
          </cell>
          <cell r="B303" t="str">
            <v>磐石战靴(150级)</v>
          </cell>
        </row>
        <row r="304">
          <cell r="A304">
            <v>2380</v>
          </cell>
          <cell r="B304" t="str">
            <v>连云战甲(10级)</v>
          </cell>
        </row>
        <row r="305">
          <cell r="A305">
            <v>2381</v>
          </cell>
          <cell r="B305" t="str">
            <v>连云战甲(20级)</v>
          </cell>
        </row>
        <row r="306">
          <cell r="A306">
            <v>2041</v>
          </cell>
          <cell r="B306" t="str">
            <v>连云战甲(30级)</v>
          </cell>
        </row>
        <row r="307">
          <cell r="A307">
            <v>2382</v>
          </cell>
          <cell r="B307" t="str">
            <v>连云战甲(40级)</v>
          </cell>
        </row>
        <row r="308">
          <cell r="A308">
            <v>2383</v>
          </cell>
          <cell r="B308" t="str">
            <v>连云战甲(50级)</v>
          </cell>
        </row>
        <row r="309">
          <cell r="A309">
            <v>2384</v>
          </cell>
          <cell r="B309" t="str">
            <v>连云战甲(60级)</v>
          </cell>
        </row>
        <row r="310">
          <cell r="A310">
            <v>2385</v>
          </cell>
          <cell r="B310" t="str">
            <v>连云战甲(70级)</v>
          </cell>
        </row>
        <row r="311">
          <cell r="A311">
            <v>2386</v>
          </cell>
          <cell r="B311" t="str">
            <v>连云战甲(80级)</v>
          </cell>
        </row>
        <row r="312">
          <cell r="A312">
            <v>2387</v>
          </cell>
          <cell r="B312" t="str">
            <v>连云战甲(90级)</v>
          </cell>
        </row>
        <row r="313">
          <cell r="A313">
            <v>2388</v>
          </cell>
          <cell r="B313" t="str">
            <v>连云战甲(100级)</v>
          </cell>
        </row>
        <row r="314">
          <cell r="A314">
            <v>2389</v>
          </cell>
          <cell r="B314" t="str">
            <v>连云战甲(110级)</v>
          </cell>
        </row>
        <row r="315">
          <cell r="A315">
            <v>2390</v>
          </cell>
          <cell r="B315" t="str">
            <v>连云战甲(120级)</v>
          </cell>
        </row>
        <row r="316">
          <cell r="A316">
            <v>2391</v>
          </cell>
          <cell r="B316" t="str">
            <v>连云战甲(130级)</v>
          </cell>
        </row>
        <row r="317">
          <cell r="A317">
            <v>2392</v>
          </cell>
          <cell r="B317" t="str">
            <v>连云战甲(140级)</v>
          </cell>
        </row>
        <row r="318">
          <cell r="A318">
            <v>2393</v>
          </cell>
          <cell r="B318" t="str">
            <v>连云战甲(150级)</v>
          </cell>
        </row>
        <row r="319">
          <cell r="A319">
            <v>2394</v>
          </cell>
          <cell r="B319" t="str">
            <v>紫阳长剑(10级)</v>
          </cell>
        </row>
        <row r="320">
          <cell r="A320">
            <v>2395</v>
          </cell>
          <cell r="B320" t="str">
            <v>紫阳长剑(20级)</v>
          </cell>
        </row>
        <row r="321">
          <cell r="A321">
            <v>2042</v>
          </cell>
          <cell r="B321" t="str">
            <v>紫阳长剑(30级)</v>
          </cell>
        </row>
        <row r="322">
          <cell r="A322">
            <v>2396</v>
          </cell>
          <cell r="B322" t="str">
            <v>紫阳长剑(40级)</v>
          </cell>
        </row>
        <row r="323">
          <cell r="A323">
            <v>2397</v>
          </cell>
          <cell r="B323" t="str">
            <v>紫阳长剑(50级)</v>
          </cell>
        </row>
        <row r="324">
          <cell r="A324">
            <v>2398</v>
          </cell>
          <cell r="B324" t="str">
            <v>紫阳长剑(60级)</v>
          </cell>
        </row>
        <row r="325">
          <cell r="A325">
            <v>2399</v>
          </cell>
          <cell r="B325" t="str">
            <v>紫阳长剑(70级)</v>
          </cell>
        </row>
        <row r="326">
          <cell r="A326">
            <v>2400</v>
          </cell>
          <cell r="B326" t="str">
            <v>紫阳长剑(80级)</v>
          </cell>
        </row>
        <row r="327">
          <cell r="A327">
            <v>2401</v>
          </cell>
          <cell r="B327" t="str">
            <v>紫阳长剑(90级)</v>
          </cell>
        </row>
        <row r="328">
          <cell r="A328">
            <v>2402</v>
          </cell>
          <cell r="B328" t="str">
            <v>紫阳长剑(100级)</v>
          </cell>
        </row>
        <row r="329">
          <cell r="A329">
            <v>2403</v>
          </cell>
          <cell r="B329" t="str">
            <v>紫阳长剑(110级)</v>
          </cell>
        </row>
        <row r="330">
          <cell r="A330">
            <v>2404</v>
          </cell>
          <cell r="B330" t="str">
            <v>紫阳长剑(120级)</v>
          </cell>
        </row>
        <row r="331">
          <cell r="A331">
            <v>2405</v>
          </cell>
          <cell r="B331" t="str">
            <v>紫阳长剑(130级)</v>
          </cell>
        </row>
        <row r="332">
          <cell r="A332">
            <v>2406</v>
          </cell>
          <cell r="B332" t="str">
            <v>紫阳长剑(140级)</v>
          </cell>
        </row>
        <row r="333">
          <cell r="A333">
            <v>2407</v>
          </cell>
          <cell r="B333" t="str">
            <v>紫阳长剑(150级)</v>
          </cell>
        </row>
        <row r="334">
          <cell r="A334">
            <v>2408</v>
          </cell>
          <cell r="B334" t="str">
            <v>耀日头盔(10级)</v>
          </cell>
        </row>
        <row r="335">
          <cell r="A335">
            <v>2409</v>
          </cell>
          <cell r="B335" t="str">
            <v>耀日头盔(20级)</v>
          </cell>
        </row>
        <row r="336">
          <cell r="A336">
            <v>2043</v>
          </cell>
          <cell r="B336" t="str">
            <v>耀日头盔(30级)</v>
          </cell>
        </row>
        <row r="337">
          <cell r="A337">
            <v>2410</v>
          </cell>
          <cell r="B337" t="str">
            <v>耀日头盔(40级)</v>
          </cell>
        </row>
        <row r="338">
          <cell r="A338">
            <v>2411</v>
          </cell>
          <cell r="B338" t="str">
            <v>耀日头盔(50级)</v>
          </cell>
        </row>
        <row r="339">
          <cell r="A339">
            <v>2412</v>
          </cell>
          <cell r="B339" t="str">
            <v>耀日头盔(60级)</v>
          </cell>
        </row>
        <row r="340">
          <cell r="A340">
            <v>2413</v>
          </cell>
          <cell r="B340" t="str">
            <v>耀日头盔(70级)</v>
          </cell>
        </row>
        <row r="341">
          <cell r="A341">
            <v>2414</v>
          </cell>
          <cell r="B341" t="str">
            <v>耀日头盔(80级)</v>
          </cell>
        </row>
        <row r="342">
          <cell r="A342">
            <v>2415</v>
          </cell>
          <cell r="B342" t="str">
            <v>耀日头盔(90级)</v>
          </cell>
        </row>
        <row r="343">
          <cell r="A343">
            <v>2416</v>
          </cell>
          <cell r="B343" t="str">
            <v>耀日头盔(100级)</v>
          </cell>
        </row>
        <row r="344">
          <cell r="A344">
            <v>2417</v>
          </cell>
          <cell r="B344" t="str">
            <v>耀日头盔(110级)</v>
          </cell>
        </row>
        <row r="345">
          <cell r="A345">
            <v>2418</v>
          </cell>
          <cell r="B345" t="str">
            <v>耀日头盔(120级)</v>
          </cell>
        </row>
        <row r="346">
          <cell r="A346">
            <v>2419</v>
          </cell>
          <cell r="B346" t="str">
            <v>耀日头盔(130级)</v>
          </cell>
        </row>
        <row r="347">
          <cell r="A347">
            <v>2420</v>
          </cell>
          <cell r="B347" t="str">
            <v>耀日头盔(140级)</v>
          </cell>
        </row>
        <row r="348">
          <cell r="A348">
            <v>2421</v>
          </cell>
          <cell r="B348" t="str">
            <v>耀日头盔(150级)</v>
          </cell>
        </row>
        <row r="349">
          <cell r="A349">
            <v>2422</v>
          </cell>
          <cell r="B349" t="str">
            <v>雷霆战靴(10级)</v>
          </cell>
        </row>
        <row r="350">
          <cell r="A350">
            <v>2423</v>
          </cell>
          <cell r="B350" t="str">
            <v>雷霆战靴(20级)</v>
          </cell>
        </row>
        <row r="351">
          <cell r="A351">
            <v>2044</v>
          </cell>
          <cell r="B351" t="str">
            <v>雷霆战靴(30级)</v>
          </cell>
        </row>
        <row r="352">
          <cell r="A352">
            <v>2424</v>
          </cell>
          <cell r="B352" t="str">
            <v>雷霆战靴(40级)</v>
          </cell>
        </row>
        <row r="353">
          <cell r="A353">
            <v>2425</v>
          </cell>
          <cell r="B353" t="str">
            <v>雷霆战靴(50级)</v>
          </cell>
        </row>
        <row r="354">
          <cell r="A354">
            <v>2426</v>
          </cell>
          <cell r="B354" t="str">
            <v>雷霆战靴(60级)</v>
          </cell>
        </row>
        <row r="355">
          <cell r="A355">
            <v>2427</v>
          </cell>
          <cell r="B355" t="str">
            <v>雷霆战靴(70级)</v>
          </cell>
        </row>
        <row r="356">
          <cell r="A356">
            <v>2428</v>
          </cell>
          <cell r="B356" t="str">
            <v>雷霆战靴(80级)</v>
          </cell>
        </row>
        <row r="357">
          <cell r="A357">
            <v>2429</v>
          </cell>
          <cell r="B357" t="str">
            <v>雷霆战靴(90级)</v>
          </cell>
        </row>
        <row r="358">
          <cell r="A358">
            <v>2430</v>
          </cell>
          <cell r="B358" t="str">
            <v>雷霆战靴(100级)</v>
          </cell>
        </row>
        <row r="359">
          <cell r="A359">
            <v>2431</v>
          </cell>
          <cell r="B359" t="str">
            <v>雷霆战靴(110级)</v>
          </cell>
        </row>
        <row r="360">
          <cell r="A360">
            <v>2432</v>
          </cell>
          <cell r="B360" t="str">
            <v>雷霆战靴(120级)</v>
          </cell>
        </row>
        <row r="361">
          <cell r="A361">
            <v>2433</v>
          </cell>
          <cell r="B361" t="str">
            <v>雷霆战靴(130级)</v>
          </cell>
        </row>
        <row r="362">
          <cell r="A362">
            <v>2434</v>
          </cell>
          <cell r="B362" t="str">
            <v>雷霆战靴(140级)</v>
          </cell>
        </row>
        <row r="363">
          <cell r="A363">
            <v>2435</v>
          </cell>
          <cell r="B363" t="str">
            <v>雷霆战靴(150级)</v>
          </cell>
        </row>
        <row r="364">
          <cell r="A364">
            <v>2436</v>
          </cell>
          <cell r="B364" t="str">
            <v>护卫战甲(10级)</v>
          </cell>
        </row>
        <row r="365">
          <cell r="A365">
            <v>2029</v>
          </cell>
          <cell r="B365" t="str">
            <v>护卫战甲(20级)</v>
          </cell>
        </row>
        <row r="366">
          <cell r="A366">
            <v>2437</v>
          </cell>
          <cell r="B366" t="str">
            <v>护卫战甲(30级)</v>
          </cell>
        </row>
        <row r="367">
          <cell r="A367">
            <v>2438</v>
          </cell>
          <cell r="B367" t="str">
            <v>护卫战甲(40级)</v>
          </cell>
        </row>
        <row r="368">
          <cell r="A368">
            <v>2439</v>
          </cell>
          <cell r="B368" t="str">
            <v>护卫战甲(50级)</v>
          </cell>
        </row>
        <row r="369">
          <cell r="A369">
            <v>2440</v>
          </cell>
          <cell r="B369" t="str">
            <v>护卫战甲(60级)</v>
          </cell>
        </row>
        <row r="370">
          <cell r="A370">
            <v>2441</v>
          </cell>
          <cell r="B370" t="str">
            <v>护卫战甲(70级)</v>
          </cell>
        </row>
        <row r="371">
          <cell r="A371">
            <v>2442</v>
          </cell>
          <cell r="B371" t="str">
            <v>护卫战甲(80级)</v>
          </cell>
        </row>
        <row r="372">
          <cell r="A372">
            <v>2443</v>
          </cell>
          <cell r="B372" t="str">
            <v>护卫战甲(90级)</v>
          </cell>
        </row>
        <row r="373">
          <cell r="A373">
            <v>2444</v>
          </cell>
          <cell r="B373" t="str">
            <v>护卫战甲(100级)</v>
          </cell>
        </row>
        <row r="374">
          <cell r="A374">
            <v>2445</v>
          </cell>
          <cell r="B374" t="str">
            <v>护卫战甲(110级)</v>
          </cell>
        </row>
        <row r="375">
          <cell r="A375">
            <v>2446</v>
          </cell>
          <cell r="B375" t="str">
            <v>护卫战甲(120级)</v>
          </cell>
        </row>
        <row r="376">
          <cell r="A376">
            <v>2447</v>
          </cell>
          <cell r="B376" t="str">
            <v>护卫战甲(130级)</v>
          </cell>
        </row>
        <row r="377">
          <cell r="A377">
            <v>2448</v>
          </cell>
          <cell r="B377" t="str">
            <v>护卫战甲(140级)</v>
          </cell>
        </row>
        <row r="378">
          <cell r="A378">
            <v>2449</v>
          </cell>
          <cell r="B378" t="str">
            <v>护卫战甲(150级)</v>
          </cell>
        </row>
        <row r="379">
          <cell r="A379">
            <v>2450</v>
          </cell>
          <cell r="B379" t="str">
            <v>护卫长剑(10级)</v>
          </cell>
        </row>
        <row r="380">
          <cell r="A380">
            <v>2030</v>
          </cell>
          <cell r="B380" t="str">
            <v>护卫长剑(20级)</v>
          </cell>
        </row>
        <row r="381">
          <cell r="A381">
            <v>2451</v>
          </cell>
          <cell r="B381" t="str">
            <v>护卫长剑(30级)</v>
          </cell>
        </row>
        <row r="382">
          <cell r="A382">
            <v>2452</v>
          </cell>
          <cell r="B382" t="str">
            <v>护卫长剑(40级)</v>
          </cell>
        </row>
        <row r="383">
          <cell r="A383">
            <v>2453</v>
          </cell>
          <cell r="B383" t="str">
            <v>护卫长剑(50级)</v>
          </cell>
        </row>
        <row r="384">
          <cell r="A384">
            <v>2454</v>
          </cell>
          <cell r="B384" t="str">
            <v>护卫长剑(60级)</v>
          </cell>
        </row>
        <row r="385">
          <cell r="A385">
            <v>2455</v>
          </cell>
          <cell r="B385" t="str">
            <v>护卫长剑(70级)</v>
          </cell>
        </row>
        <row r="386">
          <cell r="A386">
            <v>2456</v>
          </cell>
          <cell r="B386" t="str">
            <v>护卫长剑(80级)</v>
          </cell>
        </row>
        <row r="387">
          <cell r="A387">
            <v>2457</v>
          </cell>
          <cell r="B387" t="str">
            <v>护卫长剑(90级)</v>
          </cell>
        </row>
        <row r="388">
          <cell r="A388">
            <v>2458</v>
          </cell>
          <cell r="B388" t="str">
            <v>护卫长剑(100级)</v>
          </cell>
        </row>
        <row r="389">
          <cell r="A389">
            <v>2459</v>
          </cell>
          <cell r="B389" t="str">
            <v>护卫长剑(110级)</v>
          </cell>
        </row>
        <row r="390">
          <cell r="A390">
            <v>2460</v>
          </cell>
          <cell r="B390" t="str">
            <v>护卫长剑(120级)</v>
          </cell>
        </row>
        <row r="391">
          <cell r="A391">
            <v>2461</v>
          </cell>
          <cell r="B391" t="str">
            <v>护卫长剑(130级)</v>
          </cell>
        </row>
        <row r="392">
          <cell r="A392">
            <v>2462</v>
          </cell>
          <cell r="B392" t="str">
            <v>护卫长剑(140级)</v>
          </cell>
        </row>
        <row r="393">
          <cell r="A393">
            <v>2463</v>
          </cell>
          <cell r="B393" t="str">
            <v>护卫长剑(150级)</v>
          </cell>
        </row>
        <row r="394">
          <cell r="A394">
            <v>2464</v>
          </cell>
          <cell r="B394" t="str">
            <v>护卫头盔(10级)</v>
          </cell>
        </row>
        <row r="395">
          <cell r="A395">
            <v>2031</v>
          </cell>
          <cell r="B395" t="str">
            <v>护卫头盔(20级)</v>
          </cell>
        </row>
        <row r="396">
          <cell r="A396">
            <v>2465</v>
          </cell>
          <cell r="B396" t="str">
            <v>护卫头盔(30级)</v>
          </cell>
        </row>
        <row r="397">
          <cell r="A397">
            <v>2466</v>
          </cell>
          <cell r="B397" t="str">
            <v>护卫头盔(40级)</v>
          </cell>
        </row>
        <row r="398">
          <cell r="A398">
            <v>2467</v>
          </cell>
          <cell r="B398" t="str">
            <v>护卫头盔(50级)</v>
          </cell>
        </row>
        <row r="399">
          <cell r="A399">
            <v>2468</v>
          </cell>
          <cell r="B399" t="str">
            <v>护卫头盔(60级)</v>
          </cell>
        </row>
        <row r="400">
          <cell r="A400">
            <v>2469</v>
          </cell>
          <cell r="B400" t="str">
            <v>护卫头盔(70级)</v>
          </cell>
        </row>
        <row r="401">
          <cell r="A401">
            <v>2470</v>
          </cell>
          <cell r="B401" t="str">
            <v>护卫头盔(80级)</v>
          </cell>
        </row>
        <row r="402">
          <cell r="A402">
            <v>2471</v>
          </cell>
          <cell r="B402" t="str">
            <v>护卫头盔(90级)</v>
          </cell>
        </row>
        <row r="403">
          <cell r="A403">
            <v>2472</v>
          </cell>
          <cell r="B403" t="str">
            <v>护卫头盔(100级)</v>
          </cell>
        </row>
        <row r="404">
          <cell r="A404">
            <v>2473</v>
          </cell>
          <cell r="B404" t="str">
            <v>护卫头盔(110级)</v>
          </cell>
        </row>
        <row r="405">
          <cell r="A405">
            <v>2474</v>
          </cell>
          <cell r="B405" t="str">
            <v>护卫头盔(120级)</v>
          </cell>
        </row>
        <row r="406">
          <cell r="A406">
            <v>2475</v>
          </cell>
          <cell r="B406" t="str">
            <v>护卫头盔(130级)</v>
          </cell>
        </row>
        <row r="407">
          <cell r="A407">
            <v>2476</v>
          </cell>
          <cell r="B407" t="str">
            <v>护卫头盔(140级)</v>
          </cell>
        </row>
        <row r="408">
          <cell r="A408">
            <v>2477</v>
          </cell>
          <cell r="B408" t="str">
            <v>护卫头盔(150级)</v>
          </cell>
        </row>
        <row r="409">
          <cell r="A409">
            <v>2478</v>
          </cell>
          <cell r="B409" t="str">
            <v>护卫战靴(10级)</v>
          </cell>
        </row>
        <row r="410">
          <cell r="A410">
            <v>2032</v>
          </cell>
          <cell r="B410" t="str">
            <v>护卫战靴(20级)</v>
          </cell>
        </row>
        <row r="411">
          <cell r="A411">
            <v>2479</v>
          </cell>
          <cell r="B411" t="str">
            <v>护卫战靴(30级)</v>
          </cell>
        </row>
        <row r="412">
          <cell r="A412">
            <v>2480</v>
          </cell>
          <cell r="B412" t="str">
            <v>护卫战靴(40级)</v>
          </cell>
        </row>
        <row r="413">
          <cell r="A413">
            <v>2481</v>
          </cell>
          <cell r="B413" t="str">
            <v>护卫战靴(50级)</v>
          </cell>
        </row>
        <row r="414">
          <cell r="A414">
            <v>2482</v>
          </cell>
          <cell r="B414" t="str">
            <v>护卫战靴(60级)</v>
          </cell>
        </row>
        <row r="415">
          <cell r="A415">
            <v>2483</v>
          </cell>
          <cell r="B415" t="str">
            <v>护卫战靴(70级)</v>
          </cell>
        </row>
        <row r="416">
          <cell r="A416">
            <v>2484</v>
          </cell>
          <cell r="B416" t="str">
            <v>护卫战靴(80级)</v>
          </cell>
        </row>
        <row r="417">
          <cell r="A417">
            <v>2485</v>
          </cell>
          <cell r="B417" t="str">
            <v>护卫战靴(90级)</v>
          </cell>
        </row>
        <row r="418">
          <cell r="A418">
            <v>2486</v>
          </cell>
          <cell r="B418" t="str">
            <v>护卫战靴(100级)</v>
          </cell>
        </row>
        <row r="419">
          <cell r="A419">
            <v>2487</v>
          </cell>
          <cell r="B419" t="str">
            <v>护卫战靴(110级)</v>
          </cell>
        </row>
        <row r="420">
          <cell r="A420">
            <v>2488</v>
          </cell>
          <cell r="B420" t="str">
            <v>护卫战靴(120级)</v>
          </cell>
        </row>
        <row r="421">
          <cell r="A421">
            <v>2489</v>
          </cell>
          <cell r="B421" t="str">
            <v>护卫战靴(130级)</v>
          </cell>
        </row>
        <row r="422">
          <cell r="A422">
            <v>2490</v>
          </cell>
          <cell r="B422" t="str">
            <v>护卫战靴(140级)</v>
          </cell>
        </row>
        <row r="423">
          <cell r="A423">
            <v>2491</v>
          </cell>
          <cell r="B423" t="str">
            <v>护卫战靴(150级)</v>
          </cell>
        </row>
        <row r="424">
          <cell r="A424">
            <v>2492</v>
          </cell>
          <cell r="B424" t="str">
            <v>破魔战甲(10级)</v>
          </cell>
        </row>
        <row r="425">
          <cell r="A425">
            <v>2025</v>
          </cell>
          <cell r="B425" t="str">
            <v>破魔战甲(20级)</v>
          </cell>
        </row>
        <row r="426">
          <cell r="A426">
            <v>2493</v>
          </cell>
          <cell r="B426" t="str">
            <v>破魔战甲(30级)</v>
          </cell>
        </row>
        <row r="427">
          <cell r="A427">
            <v>2494</v>
          </cell>
          <cell r="B427" t="str">
            <v>破魔战甲(40级)</v>
          </cell>
        </row>
        <row r="428">
          <cell r="A428">
            <v>2495</v>
          </cell>
          <cell r="B428" t="str">
            <v>破魔战甲(50级)</v>
          </cell>
        </row>
        <row r="429">
          <cell r="A429">
            <v>2496</v>
          </cell>
          <cell r="B429" t="str">
            <v>破魔战甲(60级)</v>
          </cell>
        </row>
        <row r="430">
          <cell r="A430">
            <v>2497</v>
          </cell>
          <cell r="B430" t="str">
            <v>破魔战甲(70级)</v>
          </cell>
        </row>
        <row r="431">
          <cell r="A431">
            <v>2498</v>
          </cell>
          <cell r="B431" t="str">
            <v>破魔战甲(80级)</v>
          </cell>
        </row>
        <row r="432">
          <cell r="A432">
            <v>2499</v>
          </cell>
          <cell r="B432" t="str">
            <v>破魔战甲(90级)</v>
          </cell>
        </row>
        <row r="433">
          <cell r="A433">
            <v>2500</v>
          </cell>
          <cell r="B433" t="str">
            <v>破魔战甲(100级)</v>
          </cell>
        </row>
        <row r="434">
          <cell r="A434">
            <v>2501</v>
          </cell>
          <cell r="B434" t="str">
            <v>破魔战甲(110级)</v>
          </cell>
        </row>
        <row r="435">
          <cell r="A435">
            <v>2502</v>
          </cell>
          <cell r="B435" t="str">
            <v>破魔战甲(120级)</v>
          </cell>
        </row>
        <row r="436">
          <cell r="A436">
            <v>2503</v>
          </cell>
          <cell r="B436" t="str">
            <v>破魔战甲(130级)</v>
          </cell>
        </row>
        <row r="437">
          <cell r="A437">
            <v>2504</v>
          </cell>
          <cell r="B437" t="str">
            <v>破魔战甲(140级)</v>
          </cell>
        </row>
        <row r="438">
          <cell r="A438">
            <v>2505</v>
          </cell>
          <cell r="B438" t="str">
            <v>破魔战甲(150级)</v>
          </cell>
        </row>
        <row r="439">
          <cell r="A439">
            <v>2506</v>
          </cell>
          <cell r="B439" t="str">
            <v>破魔长剑(10级)</v>
          </cell>
        </row>
        <row r="440">
          <cell r="A440">
            <v>2026</v>
          </cell>
          <cell r="B440" t="str">
            <v>破魔长剑(20级)</v>
          </cell>
        </row>
        <row r="441">
          <cell r="A441">
            <v>2507</v>
          </cell>
          <cell r="B441" t="str">
            <v>破魔长剑(30级)</v>
          </cell>
        </row>
        <row r="442">
          <cell r="A442">
            <v>2508</v>
          </cell>
          <cell r="B442" t="str">
            <v>破魔长剑(40级)</v>
          </cell>
        </row>
        <row r="443">
          <cell r="A443">
            <v>2509</v>
          </cell>
          <cell r="B443" t="str">
            <v>破魔长剑(50级)</v>
          </cell>
        </row>
        <row r="444">
          <cell r="A444">
            <v>2510</v>
          </cell>
          <cell r="B444" t="str">
            <v>破魔长剑(60级)</v>
          </cell>
        </row>
        <row r="445">
          <cell r="A445">
            <v>2511</v>
          </cell>
          <cell r="B445" t="str">
            <v>破魔长剑(70级)</v>
          </cell>
        </row>
        <row r="446">
          <cell r="A446">
            <v>2512</v>
          </cell>
          <cell r="B446" t="str">
            <v>破魔长剑(80级)</v>
          </cell>
        </row>
        <row r="447">
          <cell r="A447">
            <v>2513</v>
          </cell>
          <cell r="B447" t="str">
            <v>破魔长剑(90级)</v>
          </cell>
        </row>
        <row r="448">
          <cell r="A448">
            <v>2514</v>
          </cell>
          <cell r="B448" t="str">
            <v>破魔长剑(100级)</v>
          </cell>
        </row>
        <row r="449">
          <cell r="A449">
            <v>2515</v>
          </cell>
          <cell r="B449" t="str">
            <v>破魔长剑(110级)</v>
          </cell>
        </row>
        <row r="450">
          <cell r="A450">
            <v>2516</v>
          </cell>
          <cell r="B450" t="str">
            <v>破魔长剑(120级)</v>
          </cell>
        </row>
        <row r="451">
          <cell r="A451">
            <v>2517</v>
          </cell>
          <cell r="B451" t="str">
            <v>破魔长剑(130级)</v>
          </cell>
        </row>
        <row r="452">
          <cell r="A452">
            <v>2518</v>
          </cell>
          <cell r="B452" t="str">
            <v>破魔长剑(140级)</v>
          </cell>
        </row>
        <row r="453">
          <cell r="A453">
            <v>2519</v>
          </cell>
          <cell r="B453" t="str">
            <v>破魔长剑(150级)</v>
          </cell>
        </row>
        <row r="454">
          <cell r="A454">
            <v>2520</v>
          </cell>
          <cell r="B454" t="str">
            <v>破魔头盔(10级)</v>
          </cell>
        </row>
        <row r="455">
          <cell r="A455">
            <v>2027</v>
          </cell>
          <cell r="B455" t="str">
            <v>破魔头盔(20级)</v>
          </cell>
        </row>
        <row r="456">
          <cell r="A456">
            <v>2521</v>
          </cell>
          <cell r="B456" t="str">
            <v>破魔头盔(30级)</v>
          </cell>
        </row>
        <row r="457">
          <cell r="A457">
            <v>2522</v>
          </cell>
          <cell r="B457" t="str">
            <v>破魔头盔(40级)</v>
          </cell>
        </row>
        <row r="458">
          <cell r="A458">
            <v>2523</v>
          </cell>
          <cell r="B458" t="str">
            <v>破魔头盔(50级)</v>
          </cell>
        </row>
        <row r="459">
          <cell r="A459">
            <v>2524</v>
          </cell>
          <cell r="B459" t="str">
            <v>破魔头盔(60级)</v>
          </cell>
        </row>
        <row r="460">
          <cell r="A460">
            <v>2525</v>
          </cell>
          <cell r="B460" t="str">
            <v>破魔头盔(70级)</v>
          </cell>
        </row>
        <row r="461">
          <cell r="A461">
            <v>2526</v>
          </cell>
          <cell r="B461" t="str">
            <v>破魔头盔(80级)</v>
          </cell>
        </row>
        <row r="462">
          <cell r="A462">
            <v>2527</v>
          </cell>
          <cell r="B462" t="str">
            <v>破魔头盔(90级)</v>
          </cell>
        </row>
        <row r="463">
          <cell r="A463">
            <v>2528</v>
          </cell>
          <cell r="B463" t="str">
            <v>破魔头盔(100级)</v>
          </cell>
        </row>
        <row r="464">
          <cell r="A464">
            <v>2529</v>
          </cell>
          <cell r="B464" t="str">
            <v>破魔头盔(110级)</v>
          </cell>
        </row>
        <row r="465">
          <cell r="A465">
            <v>2530</v>
          </cell>
          <cell r="B465" t="str">
            <v>破魔头盔(120级)</v>
          </cell>
        </row>
        <row r="466">
          <cell r="A466">
            <v>2531</v>
          </cell>
          <cell r="B466" t="str">
            <v>破魔头盔(130级)</v>
          </cell>
        </row>
        <row r="467">
          <cell r="A467">
            <v>2532</v>
          </cell>
          <cell r="B467" t="str">
            <v>破魔头盔(140级)</v>
          </cell>
        </row>
        <row r="468">
          <cell r="A468">
            <v>2533</v>
          </cell>
          <cell r="B468" t="str">
            <v>破魔头盔(150级)</v>
          </cell>
        </row>
        <row r="469">
          <cell r="A469">
            <v>2534</v>
          </cell>
          <cell r="B469" t="str">
            <v>破魔战靴(10级)</v>
          </cell>
        </row>
        <row r="470">
          <cell r="A470">
            <v>2028</v>
          </cell>
          <cell r="B470" t="str">
            <v>破魔战靴(20级)</v>
          </cell>
        </row>
        <row r="471">
          <cell r="A471">
            <v>2535</v>
          </cell>
          <cell r="B471" t="str">
            <v>破魔战靴(30级)</v>
          </cell>
        </row>
        <row r="472">
          <cell r="A472">
            <v>2536</v>
          </cell>
          <cell r="B472" t="str">
            <v>破魔战靴(40级)</v>
          </cell>
        </row>
        <row r="473">
          <cell r="A473">
            <v>2537</v>
          </cell>
          <cell r="B473" t="str">
            <v>破魔战靴(50级)</v>
          </cell>
        </row>
        <row r="474">
          <cell r="A474">
            <v>2538</v>
          </cell>
          <cell r="B474" t="str">
            <v>破魔战靴(60级)</v>
          </cell>
        </row>
        <row r="475">
          <cell r="A475">
            <v>2539</v>
          </cell>
          <cell r="B475" t="str">
            <v>破魔战靴(70级)</v>
          </cell>
        </row>
        <row r="476">
          <cell r="A476">
            <v>2540</v>
          </cell>
          <cell r="B476" t="str">
            <v>破魔战靴(80级)</v>
          </cell>
        </row>
        <row r="477">
          <cell r="A477">
            <v>2541</v>
          </cell>
          <cell r="B477" t="str">
            <v>破魔战靴(90级)</v>
          </cell>
        </row>
        <row r="478">
          <cell r="A478">
            <v>2542</v>
          </cell>
          <cell r="B478" t="str">
            <v>破魔战靴(100级)</v>
          </cell>
        </row>
        <row r="479">
          <cell r="A479">
            <v>2543</v>
          </cell>
          <cell r="B479" t="str">
            <v>破魔战靴(110级)</v>
          </cell>
        </row>
        <row r="480">
          <cell r="A480">
            <v>2544</v>
          </cell>
          <cell r="B480" t="str">
            <v>破魔战靴(120级)</v>
          </cell>
        </row>
        <row r="481">
          <cell r="A481">
            <v>2545</v>
          </cell>
          <cell r="B481" t="str">
            <v>破魔战靴(130级)</v>
          </cell>
        </row>
        <row r="482">
          <cell r="A482">
            <v>2546</v>
          </cell>
          <cell r="B482" t="str">
            <v>破魔战靴(140级)</v>
          </cell>
        </row>
        <row r="483">
          <cell r="A483">
            <v>2547</v>
          </cell>
          <cell r="B483" t="str">
            <v>破魔战靴(150级)</v>
          </cell>
        </row>
        <row r="484">
          <cell r="A484">
            <v>2548</v>
          </cell>
          <cell r="B484" t="str">
            <v>赤血战甲(10级)</v>
          </cell>
        </row>
        <row r="485">
          <cell r="A485">
            <v>2021</v>
          </cell>
          <cell r="B485" t="str">
            <v>赤血战甲(20级)</v>
          </cell>
        </row>
        <row r="486">
          <cell r="A486">
            <v>2549</v>
          </cell>
          <cell r="B486" t="str">
            <v>赤血战甲(30级)</v>
          </cell>
        </row>
        <row r="487">
          <cell r="A487">
            <v>2550</v>
          </cell>
          <cell r="B487" t="str">
            <v>赤血战甲(40级)</v>
          </cell>
        </row>
        <row r="488">
          <cell r="A488">
            <v>2551</v>
          </cell>
          <cell r="B488" t="str">
            <v>赤血战甲(50级)</v>
          </cell>
        </row>
        <row r="489">
          <cell r="A489">
            <v>2552</v>
          </cell>
          <cell r="B489" t="str">
            <v>赤血战甲(60级)</v>
          </cell>
        </row>
        <row r="490">
          <cell r="A490">
            <v>2553</v>
          </cell>
          <cell r="B490" t="str">
            <v>赤血战甲(70级)</v>
          </cell>
        </row>
        <row r="491">
          <cell r="A491">
            <v>2554</v>
          </cell>
          <cell r="B491" t="str">
            <v>赤血战甲(80级)</v>
          </cell>
        </row>
        <row r="492">
          <cell r="A492">
            <v>2555</v>
          </cell>
          <cell r="B492" t="str">
            <v>赤血战甲(90级)</v>
          </cell>
        </row>
        <row r="493">
          <cell r="A493">
            <v>2556</v>
          </cell>
          <cell r="B493" t="str">
            <v>赤血战甲(100级)</v>
          </cell>
        </row>
        <row r="494">
          <cell r="A494">
            <v>2557</v>
          </cell>
          <cell r="B494" t="str">
            <v>赤血战甲(110级)</v>
          </cell>
        </row>
        <row r="495">
          <cell r="A495">
            <v>2558</v>
          </cell>
          <cell r="B495" t="str">
            <v>赤血战甲(120级)</v>
          </cell>
        </row>
        <row r="496">
          <cell r="A496">
            <v>2559</v>
          </cell>
          <cell r="B496" t="str">
            <v>赤血战甲(130级)</v>
          </cell>
        </row>
        <row r="497">
          <cell r="A497">
            <v>2560</v>
          </cell>
          <cell r="B497" t="str">
            <v>赤血战甲(140级)</v>
          </cell>
        </row>
        <row r="498">
          <cell r="A498">
            <v>2561</v>
          </cell>
          <cell r="B498" t="str">
            <v>赤血战甲(150级)</v>
          </cell>
        </row>
        <row r="499">
          <cell r="A499">
            <v>2562</v>
          </cell>
          <cell r="B499" t="str">
            <v>青锋长剑(10级)</v>
          </cell>
        </row>
        <row r="500">
          <cell r="A500">
            <v>2022</v>
          </cell>
          <cell r="B500" t="str">
            <v>青锋长剑(20级)</v>
          </cell>
        </row>
        <row r="501">
          <cell r="A501">
            <v>2563</v>
          </cell>
          <cell r="B501" t="str">
            <v>青锋长剑(30级)</v>
          </cell>
        </row>
        <row r="502">
          <cell r="A502">
            <v>2564</v>
          </cell>
          <cell r="B502" t="str">
            <v>青锋长剑(40级)</v>
          </cell>
        </row>
        <row r="503">
          <cell r="A503">
            <v>2565</v>
          </cell>
          <cell r="B503" t="str">
            <v>青锋长剑(50级)</v>
          </cell>
        </row>
        <row r="504">
          <cell r="A504">
            <v>2566</v>
          </cell>
          <cell r="B504" t="str">
            <v>青锋长剑(60级)</v>
          </cell>
        </row>
        <row r="505">
          <cell r="A505">
            <v>2567</v>
          </cell>
          <cell r="B505" t="str">
            <v>青锋长剑(70级)</v>
          </cell>
        </row>
        <row r="506">
          <cell r="A506">
            <v>2568</v>
          </cell>
          <cell r="B506" t="str">
            <v>青锋长剑(80级)</v>
          </cell>
        </row>
        <row r="507">
          <cell r="A507">
            <v>2569</v>
          </cell>
          <cell r="B507" t="str">
            <v>青锋长剑(90级)</v>
          </cell>
        </row>
        <row r="508">
          <cell r="A508">
            <v>2570</v>
          </cell>
          <cell r="B508" t="str">
            <v>青锋长剑(100级)</v>
          </cell>
        </row>
        <row r="509">
          <cell r="A509">
            <v>2571</v>
          </cell>
          <cell r="B509" t="str">
            <v>青锋长剑(110级)</v>
          </cell>
        </row>
        <row r="510">
          <cell r="A510">
            <v>2572</v>
          </cell>
          <cell r="B510" t="str">
            <v>青锋长剑(120级)</v>
          </cell>
        </row>
        <row r="511">
          <cell r="A511">
            <v>2573</v>
          </cell>
          <cell r="B511" t="str">
            <v>青锋长剑(130级)</v>
          </cell>
        </row>
        <row r="512">
          <cell r="A512">
            <v>2574</v>
          </cell>
          <cell r="B512" t="str">
            <v>青锋长剑(140级)</v>
          </cell>
        </row>
        <row r="513">
          <cell r="A513">
            <v>2575</v>
          </cell>
          <cell r="B513" t="str">
            <v>青锋长剑(150级)</v>
          </cell>
        </row>
        <row r="514">
          <cell r="A514">
            <v>2576</v>
          </cell>
          <cell r="B514" t="str">
            <v>雁虞头盔(10级)</v>
          </cell>
        </row>
        <row r="515">
          <cell r="A515">
            <v>2023</v>
          </cell>
          <cell r="B515" t="str">
            <v>雁虞头盔(20级)</v>
          </cell>
        </row>
        <row r="516">
          <cell r="A516">
            <v>2577</v>
          </cell>
          <cell r="B516" t="str">
            <v>雁虞头盔(30级)</v>
          </cell>
        </row>
        <row r="517">
          <cell r="A517">
            <v>2578</v>
          </cell>
          <cell r="B517" t="str">
            <v>雁虞头盔(40级)</v>
          </cell>
        </row>
        <row r="518">
          <cell r="A518">
            <v>2579</v>
          </cell>
          <cell r="B518" t="str">
            <v>雁虞头盔(50级)</v>
          </cell>
        </row>
        <row r="519">
          <cell r="A519">
            <v>2580</v>
          </cell>
          <cell r="B519" t="str">
            <v>雁虞头盔(60级)</v>
          </cell>
        </row>
        <row r="520">
          <cell r="A520">
            <v>2581</v>
          </cell>
          <cell r="B520" t="str">
            <v>雁虞头盔(70级)</v>
          </cell>
        </row>
        <row r="521">
          <cell r="A521">
            <v>2582</v>
          </cell>
          <cell r="B521" t="str">
            <v>雁虞头盔(80级)</v>
          </cell>
        </row>
        <row r="522">
          <cell r="A522">
            <v>2583</v>
          </cell>
          <cell r="B522" t="str">
            <v>雁虞头盔(90级)</v>
          </cell>
        </row>
        <row r="523">
          <cell r="A523">
            <v>2584</v>
          </cell>
          <cell r="B523" t="str">
            <v>雁虞头盔(100级)</v>
          </cell>
        </row>
        <row r="524">
          <cell r="A524">
            <v>2585</v>
          </cell>
          <cell r="B524" t="str">
            <v>雁虞头盔(110级)</v>
          </cell>
        </row>
        <row r="525">
          <cell r="A525">
            <v>2586</v>
          </cell>
          <cell r="B525" t="str">
            <v>雁虞头盔(120级)</v>
          </cell>
        </row>
        <row r="526">
          <cell r="A526">
            <v>2587</v>
          </cell>
          <cell r="B526" t="str">
            <v>雁虞头盔(130级)</v>
          </cell>
        </row>
        <row r="527">
          <cell r="A527">
            <v>2588</v>
          </cell>
          <cell r="B527" t="str">
            <v>雁虞头盔(140级)</v>
          </cell>
        </row>
        <row r="528">
          <cell r="A528">
            <v>2589</v>
          </cell>
          <cell r="B528" t="str">
            <v>雁虞头盔(150级)</v>
          </cell>
        </row>
        <row r="529">
          <cell r="A529">
            <v>2590</v>
          </cell>
          <cell r="B529" t="str">
            <v>无影战靴(10级)</v>
          </cell>
        </row>
        <row r="530">
          <cell r="A530">
            <v>2024</v>
          </cell>
          <cell r="B530" t="str">
            <v>无影战靴(20级)</v>
          </cell>
        </row>
        <row r="531">
          <cell r="A531">
            <v>2591</v>
          </cell>
          <cell r="B531" t="str">
            <v>无影战靴(30级)</v>
          </cell>
        </row>
        <row r="532">
          <cell r="A532">
            <v>2592</v>
          </cell>
          <cell r="B532" t="str">
            <v>无影战靴(40级)</v>
          </cell>
        </row>
        <row r="533">
          <cell r="A533">
            <v>2593</v>
          </cell>
          <cell r="B533" t="str">
            <v>无影战靴(50级)</v>
          </cell>
        </row>
        <row r="534">
          <cell r="A534">
            <v>2594</v>
          </cell>
          <cell r="B534" t="str">
            <v>无影战靴(60级)</v>
          </cell>
        </row>
        <row r="535">
          <cell r="A535">
            <v>2595</v>
          </cell>
          <cell r="B535" t="str">
            <v>无影战靴(70级)</v>
          </cell>
        </row>
        <row r="536">
          <cell r="A536">
            <v>2596</v>
          </cell>
          <cell r="B536" t="str">
            <v>无影战靴(80级)</v>
          </cell>
        </row>
        <row r="537">
          <cell r="A537">
            <v>2597</v>
          </cell>
          <cell r="B537" t="str">
            <v>无影战靴(90级)</v>
          </cell>
        </row>
        <row r="538">
          <cell r="A538">
            <v>2598</v>
          </cell>
          <cell r="B538" t="str">
            <v>无影战靴(100级)</v>
          </cell>
        </row>
        <row r="539">
          <cell r="A539">
            <v>2599</v>
          </cell>
          <cell r="B539" t="str">
            <v>无影战靴(110级)</v>
          </cell>
        </row>
        <row r="540">
          <cell r="A540">
            <v>2600</v>
          </cell>
          <cell r="B540" t="str">
            <v>无影战靴(120级)</v>
          </cell>
        </row>
        <row r="541">
          <cell r="A541">
            <v>2601</v>
          </cell>
          <cell r="B541" t="str">
            <v>无影战靴(130级)</v>
          </cell>
        </row>
        <row r="542">
          <cell r="A542">
            <v>2602</v>
          </cell>
          <cell r="B542" t="str">
            <v>无影战靴(140级)</v>
          </cell>
        </row>
        <row r="543">
          <cell r="A543">
            <v>2603</v>
          </cell>
          <cell r="B543" t="str">
            <v>无影战靴(150级)</v>
          </cell>
        </row>
        <row r="544">
          <cell r="A544">
            <v>2001</v>
          </cell>
          <cell r="B544" t="str">
            <v>宽恕战铠(10级)</v>
          </cell>
        </row>
        <row r="545">
          <cell r="A545">
            <v>2604</v>
          </cell>
          <cell r="B545" t="str">
            <v>宽恕战铠(20级)</v>
          </cell>
        </row>
        <row r="546">
          <cell r="A546">
            <v>2605</v>
          </cell>
          <cell r="B546" t="str">
            <v>宽恕战铠(30级)</v>
          </cell>
        </row>
        <row r="547">
          <cell r="A547">
            <v>2606</v>
          </cell>
          <cell r="B547" t="str">
            <v>宽恕战铠(40级)</v>
          </cell>
        </row>
        <row r="548">
          <cell r="A548">
            <v>2607</v>
          </cell>
          <cell r="B548" t="str">
            <v>宽恕战铠(50级)</v>
          </cell>
        </row>
        <row r="549">
          <cell r="A549">
            <v>2608</v>
          </cell>
          <cell r="B549" t="str">
            <v>宽恕战铠(60级)</v>
          </cell>
        </row>
        <row r="550">
          <cell r="A550">
            <v>2609</v>
          </cell>
          <cell r="B550" t="str">
            <v>宽恕战铠(70级)</v>
          </cell>
        </row>
        <row r="551">
          <cell r="A551">
            <v>2610</v>
          </cell>
          <cell r="B551" t="str">
            <v>宽恕战铠(80级)</v>
          </cell>
        </row>
        <row r="552">
          <cell r="A552">
            <v>2611</v>
          </cell>
          <cell r="B552" t="str">
            <v>宽恕战铠(90级)</v>
          </cell>
        </row>
        <row r="553">
          <cell r="A553">
            <v>2612</v>
          </cell>
          <cell r="B553" t="str">
            <v>宽恕战铠(100级)</v>
          </cell>
        </row>
        <row r="554">
          <cell r="A554">
            <v>2613</v>
          </cell>
          <cell r="B554" t="str">
            <v>宽恕战铠(110级)</v>
          </cell>
        </row>
        <row r="555">
          <cell r="A555">
            <v>2614</v>
          </cell>
          <cell r="B555" t="str">
            <v>宽恕战铠(120级)</v>
          </cell>
        </row>
        <row r="556">
          <cell r="A556">
            <v>2615</v>
          </cell>
          <cell r="B556" t="str">
            <v>宽恕战铠(130级)</v>
          </cell>
        </row>
        <row r="557">
          <cell r="A557">
            <v>2616</v>
          </cell>
          <cell r="B557" t="str">
            <v>宽恕战铠(140级)</v>
          </cell>
        </row>
        <row r="558">
          <cell r="A558">
            <v>2617</v>
          </cell>
          <cell r="B558" t="str">
            <v>宽恕战铠(150级)</v>
          </cell>
        </row>
        <row r="559">
          <cell r="A559">
            <v>2002</v>
          </cell>
          <cell r="B559" t="str">
            <v>宽恕道剑(10级)</v>
          </cell>
        </row>
        <row r="560">
          <cell r="A560">
            <v>2618</v>
          </cell>
          <cell r="B560" t="str">
            <v>宽恕道剑(20级)</v>
          </cell>
        </row>
        <row r="561">
          <cell r="A561">
            <v>2619</v>
          </cell>
          <cell r="B561" t="str">
            <v>宽恕道剑(30级)</v>
          </cell>
        </row>
        <row r="562">
          <cell r="A562">
            <v>2620</v>
          </cell>
          <cell r="B562" t="str">
            <v>宽恕道剑(40级)</v>
          </cell>
        </row>
        <row r="563">
          <cell r="A563">
            <v>2621</v>
          </cell>
          <cell r="B563" t="str">
            <v>宽恕道剑(50级)</v>
          </cell>
        </row>
        <row r="564">
          <cell r="A564">
            <v>2622</v>
          </cell>
          <cell r="B564" t="str">
            <v>宽恕道剑(60级)</v>
          </cell>
        </row>
        <row r="565">
          <cell r="A565">
            <v>2623</v>
          </cell>
          <cell r="B565" t="str">
            <v>宽恕道剑(70级)</v>
          </cell>
        </row>
        <row r="566">
          <cell r="A566">
            <v>2624</v>
          </cell>
          <cell r="B566" t="str">
            <v>宽恕道剑(80级)</v>
          </cell>
        </row>
        <row r="567">
          <cell r="A567">
            <v>2625</v>
          </cell>
          <cell r="B567" t="str">
            <v>宽恕道剑(90级)</v>
          </cell>
        </row>
        <row r="568">
          <cell r="A568">
            <v>2626</v>
          </cell>
          <cell r="B568" t="str">
            <v>宽恕道剑(100级)</v>
          </cell>
        </row>
        <row r="569">
          <cell r="A569">
            <v>2627</v>
          </cell>
          <cell r="B569" t="str">
            <v>宽恕道剑(110级)</v>
          </cell>
        </row>
        <row r="570">
          <cell r="A570">
            <v>2628</v>
          </cell>
          <cell r="B570" t="str">
            <v>宽恕道剑(120级)</v>
          </cell>
        </row>
        <row r="571">
          <cell r="A571">
            <v>2629</v>
          </cell>
          <cell r="B571" t="str">
            <v>宽恕道剑(130级)</v>
          </cell>
        </row>
        <row r="572">
          <cell r="A572">
            <v>2630</v>
          </cell>
          <cell r="B572" t="str">
            <v>宽恕道剑(140级)</v>
          </cell>
        </row>
        <row r="573">
          <cell r="A573">
            <v>2631</v>
          </cell>
          <cell r="B573" t="str">
            <v>宽恕道剑(150级)</v>
          </cell>
        </row>
        <row r="574">
          <cell r="A574">
            <v>2003</v>
          </cell>
          <cell r="B574" t="str">
            <v>宽恕头盔(10级)</v>
          </cell>
        </row>
        <row r="575">
          <cell r="A575">
            <v>2632</v>
          </cell>
          <cell r="B575" t="str">
            <v>宽恕头盔(20级)</v>
          </cell>
        </row>
        <row r="576">
          <cell r="A576">
            <v>2633</v>
          </cell>
          <cell r="B576" t="str">
            <v>宽恕头盔(30级)</v>
          </cell>
        </row>
        <row r="577">
          <cell r="A577">
            <v>2634</v>
          </cell>
          <cell r="B577" t="str">
            <v>宽恕头盔(40级)</v>
          </cell>
        </row>
        <row r="578">
          <cell r="A578">
            <v>2635</v>
          </cell>
          <cell r="B578" t="str">
            <v>宽恕头盔(50级)</v>
          </cell>
        </row>
        <row r="579">
          <cell r="A579">
            <v>2636</v>
          </cell>
          <cell r="B579" t="str">
            <v>宽恕头盔(60级)</v>
          </cell>
        </row>
        <row r="580">
          <cell r="A580">
            <v>2637</v>
          </cell>
          <cell r="B580" t="str">
            <v>宽恕头盔(70级)</v>
          </cell>
        </row>
        <row r="581">
          <cell r="A581">
            <v>2638</v>
          </cell>
          <cell r="B581" t="str">
            <v>宽恕头盔(80级)</v>
          </cell>
        </row>
        <row r="582">
          <cell r="A582">
            <v>2639</v>
          </cell>
          <cell r="B582" t="str">
            <v>宽恕头盔(90级)</v>
          </cell>
        </row>
        <row r="583">
          <cell r="A583">
            <v>2640</v>
          </cell>
          <cell r="B583" t="str">
            <v>宽恕头盔(100级)</v>
          </cell>
        </row>
        <row r="584">
          <cell r="A584">
            <v>2641</v>
          </cell>
          <cell r="B584" t="str">
            <v>宽恕头盔(110级)</v>
          </cell>
        </row>
        <row r="585">
          <cell r="A585">
            <v>2642</v>
          </cell>
          <cell r="B585" t="str">
            <v>宽恕头盔(120级)</v>
          </cell>
        </row>
        <row r="586">
          <cell r="A586">
            <v>2643</v>
          </cell>
          <cell r="B586" t="str">
            <v>宽恕头盔(130级)</v>
          </cell>
        </row>
        <row r="587">
          <cell r="A587">
            <v>2644</v>
          </cell>
          <cell r="B587" t="str">
            <v>宽恕头盔(140级)</v>
          </cell>
        </row>
        <row r="588">
          <cell r="A588">
            <v>2645</v>
          </cell>
          <cell r="B588" t="str">
            <v>宽恕头盔(150级)</v>
          </cell>
        </row>
        <row r="589">
          <cell r="A589">
            <v>2004</v>
          </cell>
          <cell r="B589" t="str">
            <v>宽恕战履(10级)</v>
          </cell>
        </row>
        <row r="590">
          <cell r="A590">
            <v>2646</v>
          </cell>
          <cell r="B590" t="str">
            <v>宽恕战履(20级)</v>
          </cell>
        </row>
        <row r="591">
          <cell r="A591">
            <v>2647</v>
          </cell>
          <cell r="B591" t="str">
            <v>宽恕战履(30级)</v>
          </cell>
        </row>
        <row r="592">
          <cell r="A592">
            <v>2648</v>
          </cell>
          <cell r="B592" t="str">
            <v>宽恕战履(40级)</v>
          </cell>
        </row>
        <row r="593">
          <cell r="A593">
            <v>2649</v>
          </cell>
          <cell r="B593" t="str">
            <v>宽恕战履(50级)</v>
          </cell>
        </row>
        <row r="594">
          <cell r="A594">
            <v>2650</v>
          </cell>
          <cell r="B594" t="str">
            <v>宽恕战履(60级)</v>
          </cell>
        </row>
        <row r="595">
          <cell r="A595">
            <v>2651</v>
          </cell>
          <cell r="B595" t="str">
            <v>宽恕战履(70级)</v>
          </cell>
        </row>
        <row r="596">
          <cell r="A596">
            <v>2652</v>
          </cell>
          <cell r="B596" t="str">
            <v>宽恕战履(80级)</v>
          </cell>
        </row>
        <row r="597">
          <cell r="A597">
            <v>2653</v>
          </cell>
          <cell r="B597" t="str">
            <v>宽恕战履(90级)</v>
          </cell>
        </row>
        <row r="598">
          <cell r="A598">
            <v>2654</v>
          </cell>
          <cell r="B598" t="str">
            <v>宽恕战履(100级)</v>
          </cell>
        </row>
        <row r="599">
          <cell r="A599">
            <v>2655</v>
          </cell>
          <cell r="B599" t="str">
            <v>宽恕战履(110级)</v>
          </cell>
        </row>
        <row r="600">
          <cell r="A600">
            <v>2656</v>
          </cell>
          <cell r="B600" t="str">
            <v>宽恕战履(120级)</v>
          </cell>
        </row>
        <row r="601">
          <cell r="A601">
            <v>2657</v>
          </cell>
          <cell r="B601" t="str">
            <v>宽恕战履(130级)</v>
          </cell>
        </row>
        <row r="602">
          <cell r="A602">
            <v>2658</v>
          </cell>
          <cell r="B602" t="str">
            <v>宽恕战履(140级)</v>
          </cell>
        </row>
        <row r="603">
          <cell r="A603">
            <v>2659</v>
          </cell>
          <cell r="B603" t="str">
            <v>宽恕战履(150级)</v>
          </cell>
        </row>
        <row r="604">
          <cell r="A604">
            <v>2901</v>
          </cell>
          <cell r="B604" t="str">
            <v>GM战甲</v>
          </cell>
        </row>
        <row r="605">
          <cell r="A605">
            <v>2902</v>
          </cell>
          <cell r="B605" t="str">
            <v>GM长剑</v>
          </cell>
        </row>
        <row r="606">
          <cell r="A606">
            <v>2903</v>
          </cell>
          <cell r="B606" t="str">
            <v>GM头盔</v>
          </cell>
        </row>
        <row r="607">
          <cell r="A607">
            <v>2904</v>
          </cell>
          <cell r="B607" t="str">
            <v>GM战靴</v>
          </cell>
        </row>
        <row r="608">
          <cell r="A608">
            <v>2660</v>
          </cell>
          <cell r="B608" t="str">
            <v>封魔战甲(10级)</v>
          </cell>
        </row>
        <row r="609">
          <cell r="A609">
            <v>2661</v>
          </cell>
          <cell r="B609" t="str">
            <v>封魔战甲(20级)</v>
          </cell>
        </row>
        <row r="610">
          <cell r="A610">
            <v>2045</v>
          </cell>
          <cell r="B610" t="str">
            <v>封魔战甲(30级)</v>
          </cell>
        </row>
        <row r="611">
          <cell r="A611">
            <v>2662</v>
          </cell>
          <cell r="B611" t="str">
            <v>封魔战甲(40级)</v>
          </cell>
        </row>
        <row r="612">
          <cell r="A612">
            <v>2663</v>
          </cell>
          <cell r="B612" t="str">
            <v>封魔战甲(50级)</v>
          </cell>
        </row>
        <row r="613">
          <cell r="A613">
            <v>2664</v>
          </cell>
          <cell r="B613" t="str">
            <v>封魔战甲(60级)</v>
          </cell>
        </row>
        <row r="614">
          <cell r="A614">
            <v>2665</v>
          </cell>
          <cell r="B614" t="str">
            <v>封魔战甲(70级)</v>
          </cell>
        </row>
        <row r="615">
          <cell r="A615">
            <v>2666</v>
          </cell>
          <cell r="B615" t="str">
            <v>封魔战甲(80级)</v>
          </cell>
        </row>
        <row r="616">
          <cell r="A616">
            <v>2667</v>
          </cell>
          <cell r="B616" t="str">
            <v>封魔战甲(90级)</v>
          </cell>
        </row>
        <row r="617">
          <cell r="A617">
            <v>2668</v>
          </cell>
          <cell r="B617" t="str">
            <v>封魔战甲(100级)</v>
          </cell>
        </row>
        <row r="618">
          <cell r="A618">
            <v>2669</v>
          </cell>
          <cell r="B618" t="str">
            <v>封魔战甲(110级)</v>
          </cell>
        </row>
        <row r="619">
          <cell r="A619">
            <v>2670</v>
          </cell>
          <cell r="B619" t="str">
            <v>封魔战甲(120级)</v>
          </cell>
        </row>
        <row r="620">
          <cell r="A620">
            <v>2671</v>
          </cell>
          <cell r="B620" t="str">
            <v>封魔战甲(130级)</v>
          </cell>
        </row>
        <row r="621">
          <cell r="A621">
            <v>2672</v>
          </cell>
          <cell r="B621" t="str">
            <v>封魔战甲(140级)</v>
          </cell>
        </row>
        <row r="622">
          <cell r="A622">
            <v>2673</v>
          </cell>
          <cell r="B622" t="str">
            <v>封魔战甲(150级)</v>
          </cell>
        </row>
        <row r="623">
          <cell r="A623">
            <v>2674</v>
          </cell>
          <cell r="B623" t="str">
            <v>封魔长剑(10级)</v>
          </cell>
        </row>
        <row r="624">
          <cell r="A624">
            <v>2675</v>
          </cell>
          <cell r="B624" t="str">
            <v>封魔长剑(20级)</v>
          </cell>
        </row>
        <row r="625">
          <cell r="A625">
            <v>2046</v>
          </cell>
          <cell r="B625" t="str">
            <v>封魔长剑(30级)</v>
          </cell>
        </row>
        <row r="626">
          <cell r="A626">
            <v>2676</v>
          </cell>
          <cell r="B626" t="str">
            <v>封魔长剑(40级)</v>
          </cell>
        </row>
        <row r="627">
          <cell r="A627">
            <v>2677</v>
          </cell>
          <cell r="B627" t="str">
            <v>封魔长剑(50级)</v>
          </cell>
        </row>
        <row r="628">
          <cell r="A628">
            <v>2678</v>
          </cell>
          <cell r="B628" t="str">
            <v>封魔长剑(60级)</v>
          </cell>
        </row>
        <row r="629">
          <cell r="A629">
            <v>2679</v>
          </cell>
          <cell r="B629" t="str">
            <v>封魔长剑(70级)</v>
          </cell>
        </row>
        <row r="630">
          <cell r="A630">
            <v>2680</v>
          </cell>
          <cell r="B630" t="str">
            <v>封魔长剑(80级)</v>
          </cell>
        </row>
        <row r="631">
          <cell r="A631">
            <v>2681</v>
          </cell>
          <cell r="B631" t="str">
            <v>封魔长剑(90级)</v>
          </cell>
        </row>
        <row r="632">
          <cell r="A632">
            <v>2682</v>
          </cell>
          <cell r="B632" t="str">
            <v>封魔长剑(100级)</v>
          </cell>
        </row>
        <row r="633">
          <cell r="A633">
            <v>2683</v>
          </cell>
          <cell r="B633" t="str">
            <v>封魔长剑(110级)</v>
          </cell>
        </row>
        <row r="634">
          <cell r="A634">
            <v>2684</v>
          </cell>
          <cell r="B634" t="str">
            <v>封魔长剑(120级)</v>
          </cell>
        </row>
        <row r="635">
          <cell r="A635">
            <v>2685</v>
          </cell>
          <cell r="B635" t="str">
            <v>封魔长剑(130级)</v>
          </cell>
        </row>
        <row r="636">
          <cell r="A636">
            <v>2686</v>
          </cell>
          <cell r="B636" t="str">
            <v>封魔长剑(140级)</v>
          </cell>
        </row>
        <row r="637">
          <cell r="A637">
            <v>2687</v>
          </cell>
          <cell r="B637" t="str">
            <v>封魔长剑(150级)</v>
          </cell>
        </row>
        <row r="638">
          <cell r="A638">
            <v>2688</v>
          </cell>
          <cell r="B638" t="str">
            <v>封魔头盔(10级)</v>
          </cell>
        </row>
        <row r="639">
          <cell r="A639">
            <v>2689</v>
          </cell>
          <cell r="B639" t="str">
            <v>封魔头盔(20级)</v>
          </cell>
        </row>
        <row r="640">
          <cell r="A640">
            <v>2047</v>
          </cell>
          <cell r="B640" t="str">
            <v>封魔头盔(30级)</v>
          </cell>
        </row>
        <row r="641">
          <cell r="A641">
            <v>2690</v>
          </cell>
          <cell r="B641" t="str">
            <v>封魔头盔(40级)</v>
          </cell>
        </row>
        <row r="642">
          <cell r="A642">
            <v>2691</v>
          </cell>
          <cell r="B642" t="str">
            <v>封魔头盔(50级)</v>
          </cell>
        </row>
        <row r="643">
          <cell r="A643">
            <v>2692</v>
          </cell>
          <cell r="B643" t="str">
            <v>封魔头盔(60级)</v>
          </cell>
        </row>
        <row r="644">
          <cell r="A644">
            <v>2693</v>
          </cell>
          <cell r="B644" t="str">
            <v>封魔头盔(70级)</v>
          </cell>
        </row>
        <row r="645">
          <cell r="A645">
            <v>2694</v>
          </cell>
          <cell r="B645" t="str">
            <v>封魔头盔(80级)</v>
          </cell>
        </row>
        <row r="646">
          <cell r="A646">
            <v>2695</v>
          </cell>
          <cell r="B646" t="str">
            <v>封魔头盔(90级)</v>
          </cell>
        </row>
        <row r="647">
          <cell r="A647">
            <v>2696</v>
          </cell>
          <cell r="B647" t="str">
            <v>封魔头盔(100级)</v>
          </cell>
        </row>
        <row r="648">
          <cell r="A648">
            <v>2697</v>
          </cell>
          <cell r="B648" t="str">
            <v>封魔头盔(110级)</v>
          </cell>
        </row>
        <row r="649">
          <cell r="A649">
            <v>2698</v>
          </cell>
          <cell r="B649" t="str">
            <v>封魔头盔(120级)</v>
          </cell>
        </row>
        <row r="650">
          <cell r="A650">
            <v>2699</v>
          </cell>
          <cell r="B650" t="str">
            <v>封魔头盔(130级)</v>
          </cell>
        </row>
        <row r="651">
          <cell r="A651">
            <v>2700</v>
          </cell>
          <cell r="B651" t="str">
            <v>封魔头盔(140级)</v>
          </cell>
        </row>
        <row r="652">
          <cell r="A652">
            <v>2701</v>
          </cell>
          <cell r="B652" t="str">
            <v>封魔头盔(150级)</v>
          </cell>
        </row>
        <row r="653">
          <cell r="A653">
            <v>2702</v>
          </cell>
          <cell r="B653" t="str">
            <v>封魔战靴(10级)</v>
          </cell>
        </row>
        <row r="654">
          <cell r="A654">
            <v>2703</v>
          </cell>
          <cell r="B654" t="str">
            <v>封魔战靴(20级)</v>
          </cell>
        </row>
        <row r="655">
          <cell r="A655">
            <v>2048</v>
          </cell>
          <cell r="B655" t="str">
            <v>封魔战靴(30级)</v>
          </cell>
        </row>
        <row r="656">
          <cell r="A656">
            <v>2704</v>
          </cell>
          <cell r="B656" t="str">
            <v>封魔战靴(40级)</v>
          </cell>
        </row>
        <row r="657">
          <cell r="A657">
            <v>2705</v>
          </cell>
          <cell r="B657" t="str">
            <v>封魔战靴(50级)</v>
          </cell>
        </row>
        <row r="658">
          <cell r="A658">
            <v>2706</v>
          </cell>
          <cell r="B658" t="str">
            <v>封魔战靴(60级)</v>
          </cell>
        </row>
        <row r="659">
          <cell r="A659">
            <v>2707</v>
          </cell>
          <cell r="B659" t="str">
            <v>封魔战靴(70级)</v>
          </cell>
        </row>
        <row r="660">
          <cell r="A660">
            <v>2708</v>
          </cell>
          <cell r="B660" t="str">
            <v>封魔战靴(80级)</v>
          </cell>
        </row>
        <row r="661">
          <cell r="A661">
            <v>2709</v>
          </cell>
          <cell r="B661" t="str">
            <v>封魔战靴(90级)</v>
          </cell>
        </row>
        <row r="662">
          <cell r="A662">
            <v>2710</v>
          </cell>
          <cell r="B662" t="str">
            <v>封魔战靴(100级)</v>
          </cell>
        </row>
        <row r="663">
          <cell r="A663">
            <v>2711</v>
          </cell>
          <cell r="B663" t="str">
            <v>封魔战靴(110级)</v>
          </cell>
        </row>
        <row r="664">
          <cell r="A664">
            <v>2712</v>
          </cell>
          <cell r="B664" t="str">
            <v>封魔战靴(120级)</v>
          </cell>
        </row>
        <row r="665">
          <cell r="A665">
            <v>2713</v>
          </cell>
          <cell r="B665" t="str">
            <v>封魔战靴(130级)</v>
          </cell>
        </row>
        <row r="666">
          <cell r="A666">
            <v>2714</v>
          </cell>
          <cell r="B666" t="str">
            <v>封魔战靴(140级)</v>
          </cell>
        </row>
        <row r="667">
          <cell r="A667">
            <v>2715</v>
          </cell>
          <cell r="B667" t="str">
            <v>封魔战靴(150级)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法宝ID
[字符串]</v>
          </cell>
          <cell r="B1" t="str">
            <v>法宝名称
[字符串]</v>
          </cell>
        </row>
        <row r="2">
          <cell r="A2" t="str">
            <v>fabao_id</v>
          </cell>
          <cell r="B2" t="str">
            <v>name</v>
          </cell>
        </row>
        <row r="3">
          <cell r="A3" t="str">
            <v>s</v>
          </cell>
          <cell r="B3" t="str">
            <v>s</v>
          </cell>
        </row>
        <row r="4">
          <cell r="A4">
            <v>3001</v>
          </cell>
          <cell r="B4" t="str">
            <v>寻音铃</v>
          </cell>
        </row>
        <row r="5">
          <cell r="A5">
            <v>3002</v>
          </cell>
          <cell r="B5" t="str">
            <v>照妖镜</v>
          </cell>
        </row>
        <row r="6">
          <cell r="A6">
            <v>3005</v>
          </cell>
          <cell r="B6" t="str">
            <v>樱月铃</v>
          </cell>
        </row>
        <row r="7">
          <cell r="A7">
            <v>3006</v>
          </cell>
          <cell r="B7" t="str">
            <v>八卦镜</v>
          </cell>
        </row>
        <row r="8">
          <cell r="A8">
            <v>3007</v>
          </cell>
          <cell r="B8" t="str">
            <v>迷蝶铃</v>
          </cell>
        </row>
        <row r="9">
          <cell r="A9">
            <v>3008</v>
          </cell>
          <cell r="B9" t="str">
            <v>龙纹镜</v>
          </cell>
        </row>
        <row r="10">
          <cell r="A10">
            <v>3011</v>
          </cell>
          <cell r="B10" t="str">
            <v>紫金铃</v>
          </cell>
        </row>
        <row r="11">
          <cell r="A11">
            <v>3012</v>
          </cell>
          <cell r="B11" t="str">
            <v>阴阳镜</v>
          </cell>
        </row>
        <row r="12">
          <cell r="A12">
            <v>3013</v>
          </cell>
          <cell r="B12" t="str">
            <v>幻光铃</v>
          </cell>
        </row>
        <row r="13">
          <cell r="A13">
            <v>3014</v>
          </cell>
          <cell r="B13" t="str">
            <v>混元镜</v>
          </cell>
        </row>
        <row r="14">
          <cell r="A14">
            <v>3017</v>
          </cell>
          <cell r="B14" t="str">
            <v>七星宣花铃</v>
          </cell>
        </row>
        <row r="15">
          <cell r="A15">
            <v>3018</v>
          </cell>
          <cell r="B15" t="str">
            <v>太极清源镜</v>
          </cell>
        </row>
        <row r="16">
          <cell r="A16">
            <v>3019</v>
          </cell>
          <cell r="B16" t="str">
            <v>天翎幻音铃</v>
          </cell>
        </row>
        <row r="17">
          <cell r="A17">
            <v>3020</v>
          </cell>
          <cell r="B17" t="str">
            <v>羲皇八门镜</v>
          </cell>
        </row>
        <row r="18">
          <cell r="A18">
            <v>4501</v>
          </cell>
          <cell r="B18" t="str">
            <v>蓝色经验法宝</v>
          </cell>
        </row>
        <row r="19">
          <cell r="A19">
            <v>4502</v>
          </cell>
          <cell r="B19" t="str">
            <v>紫色经验法宝</v>
          </cell>
        </row>
        <row r="20">
          <cell r="A20">
            <v>4503</v>
          </cell>
          <cell r="B20" t="str">
            <v>橙色经验法宝</v>
          </cell>
        </row>
        <row r="21">
          <cell r="A21">
            <v>4504</v>
          </cell>
          <cell r="B21" t="str">
            <v>红色经验法宝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</sheetNames>
    <sheetDataSet>
      <sheetData sheetId="0">
        <row r="1">
          <cell r="A1" t="str">
            <v>神兵ID
[字符串]</v>
          </cell>
          <cell r="B1" t="str">
            <v>角色</v>
          </cell>
          <cell r="C1" t="str">
            <v>备注字段</v>
          </cell>
        </row>
        <row r="2">
          <cell r="A2" t="str">
            <v>id</v>
          </cell>
          <cell r="B2" t="str">
            <v>name_old</v>
          </cell>
          <cell r="C2" t="str">
            <v>name</v>
          </cell>
        </row>
        <row r="3">
          <cell r="A3" t="str">
            <v>s</v>
          </cell>
          <cell r="B3" t="str">
            <v>s</v>
          </cell>
          <cell r="C3" t="str">
            <v>s</v>
          </cell>
        </row>
        <row r="4">
          <cell r="A4">
            <v>1001</v>
          </cell>
          <cell r="B4" t="str">
            <v>女主角</v>
          </cell>
          <cell r="C4" t="str">
            <v>凤鸣折翼剑</v>
          </cell>
        </row>
        <row r="5">
          <cell r="A5">
            <v>1002</v>
          </cell>
          <cell r="B5" t="str">
            <v>男主角</v>
          </cell>
          <cell r="C5" t="str">
            <v>龙麟碎霜扇</v>
          </cell>
        </row>
        <row r="6">
          <cell r="A6">
            <v>1102</v>
          </cell>
          <cell r="B6" t="str">
            <v>哪吒</v>
          </cell>
          <cell r="C6" t="str">
            <v>红莲岩泉</v>
          </cell>
        </row>
        <row r="7">
          <cell r="A7">
            <v>1211</v>
          </cell>
          <cell r="B7" t="str">
            <v>斗战胜佛</v>
          </cell>
          <cell r="C7" t="str">
            <v>斗神镇狱棒</v>
          </cell>
        </row>
        <row r="8">
          <cell r="A8">
            <v>1101</v>
          </cell>
          <cell r="B8" t="str">
            <v>二郎神</v>
          </cell>
          <cell r="C8" t="str">
            <v>三尖两刃刀</v>
          </cell>
        </row>
        <row r="9">
          <cell r="A9">
            <v>1108</v>
          </cell>
          <cell r="B9" t="str">
            <v>托塔天王</v>
          </cell>
          <cell r="C9" t="str">
            <v>玲珑天晶塔</v>
          </cell>
        </row>
        <row r="10">
          <cell r="A10">
            <v>1113</v>
          </cell>
          <cell r="B10" t="str">
            <v>虎力大仙</v>
          </cell>
          <cell r="C10" t="str">
            <v>明王摧城</v>
          </cell>
        </row>
        <row r="11">
          <cell r="A11">
            <v>1120</v>
          </cell>
          <cell r="B11" t="str">
            <v>猪八戒</v>
          </cell>
          <cell r="C11" t="str">
            <v>上宝沁金钯</v>
          </cell>
        </row>
        <row r="12">
          <cell r="A12">
            <v>1127</v>
          </cell>
          <cell r="B12" t="str">
            <v>弥勒佛</v>
          </cell>
          <cell r="C12" t="str">
            <v>昆仑神木珠</v>
          </cell>
        </row>
        <row r="13">
          <cell r="A13">
            <v>1212</v>
          </cell>
          <cell r="B13" t="str">
            <v>金蝉子</v>
          </cell>
          <cell r="C13" t="str">
            <v>浮沉三世</v>
          </cell>
        </row>
        <row r="14">
          <cell r="A14">
            <v>1219</v>
          </cell>
          <cell r="B14" t="str">
            <v>黑无常</v>
          </cell>
          <cell r="C14" t="str">
            <v>斩鬼流岩</v>
          </cell>
        </row>
        <row r="15">
          <cell r="A15">
            <v>1112</v>
          </cell>
          <cell r="B15" t="str">
            <v>牛魔王</v>
          </cell>
          <cell r="C15" t="str">
            <v>修罗开山斧</v>
          </cell>
        </row>
        <row r="16">
          <cell r="A16">
            <v>1119</v>
          </cell>
          <cell r="B16" t="str">
            <v>孙悟空</v>
          </cell>
          <cell r="C16" t="str">
            <v>如意金箍棒</v>
          </cell>
        </row>
        <row r="17">
          <cell r="A17">
            <v>1105</v>
          </cell>
          <cell r="B17" t="str">
            <v>王母娘娘</v>
          </cell>
          <cell r="C17" t="str">
            <v>如意鸾凤簪</v>
          </cell>
        </row>
        <row r="18">
          <cell r="A18">
            <v>1218</v>
          </cell>
          <cell r="B18" t="str">
            <v>白无常</v>
          </cell>
          <cell r="C18" t="str">
            <v>绝魂领悟</v>
          </cell>
        </row>
        <row r="19">
          <cell r="A19">
            <v>1124</v>
          </cell>
          <cell r="B19" t="str">
            <v>沙和尚</v>
          </cell>
          <cell r="C19" t="str">
            <v>降妖宝杖</v>
          </cell>
        </row>
        <row r="20">
          <cell r="A20">
            <v>1126</v>
          </cell>
          <cell r="B20" t="str">
            <v>文殊菩萨</v>
          </cell>
          <cell r="C20" t="str">
            <v>天慧法杖</v>
          </cell>
        </row>
        <row r="21">
          <cell r="A21">
            <v>1213</v>
          </cell>
          <cell r="B21" t="str">
            <v>龙帝</v>
          </cell>
          <cell r="C21" t="str">
            <v>深海碎霜</v>
          </cell>
        </row>
        <row r="22">
          <cell r="A22">
            <v>1214</v>
          </cell>
          <cell r="B22" t="str">
            <v>八部天龙</v>
          </cell>
          <cell r="C22" t="str">
            <v>焚焰溯流</v>
          </cell>
        </row>
        <row r="23">
          <cell r="A23">
            <v>1103</v>
          </cell>
          <cell r="B23" t="str">
            <v>嫦娥</v>
          </cell>
          <cell r="C23" t="str">
            <v>追风紫罗带</v>
          </cell>
        </row>
        <row r="24">
          <cell r="A24">
            <v>1109</v>
          </cell>
          <cell r="B24" t="str">
            <v>九天玄女</v>
          </cell>
          <cell r="C24" t="str">
            <v>碧海定沁丹</v>
          </cell>
        </row>
        <row r="25">
          <cell r="A25">
            <v>1111</v>
          </cell>
          <cell r="B25" t="str">
            <v>铁扇公主</v>
          </cell>
          <cell r="C25" t="str">
            <v>沉星芭蕉扇</v>
          </cell>
        </row>
        <row r="26">
          <cell r="A26">
            <v>1116</v>
          </cell>
          <cell r="B26" t="str">
            <v>白骨夫人</v>
          </cell>
          <cell r="C26" t="str">
            <v>白骨幡</v>
          </cell>
        </row>
        <row r="27">
          <cell r="A27">
            <v>1121</v>
          </cell>
          <cell r="B27" t="str">
            <v>紫霞仙子</v>
          </cell>
          <cell r="C27" t="str">
            <v>紫青玄铁剑</v>
          </cell>
        </row>
        <row r="28">
          <cell r="A28">
            <v>1215</v>
          </cell>
          <cell r="B28" t="str">
            <v>观世音</v>
          </cell>
          <cell r="C28" t="str">
            <v>羊脂玉净瓶</v>
          </cell>
        </row>
        <row r="29">
          <cell r="A29">
            <v>1114</v>
          </cell>
          <cell r="B29" t="str">
            <v>鹿力大仙</v>
          </cell>
          <cell r="C29" t="str">
            <v>龙凤双环</v>
          </cell>
        </row>
        <row r="30">
          <cell r="A30">
            <v>1110</v>
          </cell>
          <cell r="B30" t="str">
            <v>红孩儿</v>
          </cell>
          <cell r="C30" t="str">
            <v>真火子母枪</v>
          </cell>
        </row>
        <row r="31">
          <cell r="A31">
            <v>1104</v>
          </cell>
          <cell r="B31" t="str">
            <v>玉皇大帝</v>
          </cell>
          <cell r="C31" t="str">
            <v>渊微凡尘</v>
          </cell>
        </row>
        <row r="32">
          <cell r="A32">
            <v>1135</v>
          </cell>
          <cell r="B32" t="str">
            <v>东海龙王</v>
          </cell>
          <cell r="C32" t="str">
            <v>海王戟</v>
          </cell>
        </row>
        <row r="33">
          <cell r="A33">
            <v>1132</v>
          </cell>
          <cell r="B33" t="str">
            <v>混世魔王</v>
          </cell>
          <cell r="C33" t="str">
            <v>混世蛇矛</v>
          </cell>
        </row>
        <row r="34">
          <cell r="A34">
            <v>1125</v>
          </cell>
          <cell r="B34" t="str">
            <v>迦叶</v>
          </cell>
          <cell r="C34" t="str">
            <v>流星拳</v>
          </cell>
        </row>
        <row r="35">
          <cell r="A35">
            <v>1202</v>
          </cell>
          <cell r="B35" t="str">
            <v>人参娃</v>
          </cell>
          <cell r="C35" t="str">
            <v>人参糖葫芦</v>
          </cell>
        </row>
        <row r="36">
          <cell r="A36">
            <v>1123</v>
          </cell>
          <cell r="B36" t="str">
            <v>小白龙</v>
          </cell>
          <cell r="C36" t="str">
            <v>逆流白龙吟</v>
          </cell>
        </row>
        <row r="37">
          <cell r="A37">
            <v>1117</v>
          </cell>
          <cell r="B37" t="str">
            <v>六耳猕猴</v>
          </cell>
          <cell r="C37" t="str">
            <v>猕猴斩魄刀</v>
          </cell>
        </row>
        <row r="38">
          <cell r="A38">
            <v>1201</v>
          </cell>
          <cell r="B38" t="str">
            <v>阎罗王</v>
          </cell>
          <cell r="C38" t="str">
            <v>判官笔</v>
          </cell>
        </row>
        <row r="39">
          <cell r="A39">
            <v>1131</v>
          </cell>
          <cell r="B39" t="str">
            <v>蝎子精</v>
          </cell>
          <cell r="C39" t="str">
            <v>琴瑟琵琶</v>
          </cell>
        </row>
        <row r="40">
          <cell r="A40">
            <v>1137</v>
          </cell>
          <cell r="B40" t="str">
            <v>蜘蛛精</v>
          </cell>
          <cell r="C40" t="str">
            <v>肚脐蛛网</v>
          </cell>
        </row>
        <row r="41">
          <cell r="A41">
            <v>1216</v>
          </cell>
          <cell r="B41" t="str">
            <v>女儿国国王</v>
          </cell>
          <cell r="C41" t="str">
            <v>相思醉</v>
          </cell>
        </row>
        <row r="42">
          <cell r="A42">
            <v>1106</v>
          </cell>
          <cell r="B42" t="str">
            <v>太白金星</v>
          </cell>
          <cell r="C42" t="str">
            <v>太白金剑</v>
          </cell>
        </row>
        <row r="43">
          <cell r="A43">
            <v>1115</v>
          </cell>
          <cell r="B43" t="str">
            <v>羊力大仙</v>
          </cell>
          <cell r="C43" t="str">
            <v>羊角画戟</v>
          </cell>
        </row>
        <row r="44">
          <cell r="A44">
            <v>1208</v>
          </cell>
          <cell r="B44" t="str">
            <v>彩蝶仙童</v>
          </cell>
          <cell r="C44" t="str">
            <v>凝神花</v>
          </cell>
        </row>
        <row r="45">
          <cell r="A45">
            <v>1122</v>
          </cell>
          <cell r="B45" t="str">
            <v>唐三藏</v>
          </cell>
          <cell r="C45" t="str">
            <v>九环锡杖</v>
          </cell>
        </row>
        <row r="46">
          <cell r="A46">
            <v>1207</v>
          </cell>
          <cell r="B46" t="str">
            <v>引魂仙子</v>
          </cell>
          <cell r="C46" t="str">
            <v>吊莲仙灯</v>
          </cell>
        </row>
        <row r="47">
          <cell r="A47">
            <v>1107</v>
          </cell>
          <cell r="B47" t="str">
            <v>赤脚大仙</v>
          </cell>
          <cell r="C47" t="str">
            <v>落樱神斧</v>
          </cell>
        </row>
        <row r="48">
          <cell r="A48">
            <v>100000</v>
          </cell>
          <cell r="B48" t="str">
            <v>暴走孙悟空</v>
          </cell>
          <cell r="C48" t="str">
            <v>暴走孙悟空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695"/>
  <sheetViews>
    <sheetView tabSelected="1" workbookViewId="0">
      <pane xSplit="2" ySplit="3" topLeftCell="G450" activePane="bottomRight" state="frozen"/>
      <selection pane="topRight" activeCell="C1" sqref="C1"/>
      <selection pane="bottomLeft" activeCell="A4" sqref="A4"/>
      <selection pane="bottomRight" activeCell="B458" sqref="B458"/>
    </sheetView>
  </sheetViews>
  <sheetFormatPr defaultColWidth="9" defaultRowHeight="16.5"/>
  <cols>
    <col min="1" max="1" width="41.875" style="7" customWidth="1"/>
    <col min="2" max="2" width="19.875" style="21" bestFit="1" customWidth="1"/>
    <col min="3" max="3" width="33.25" style="21" customWidth="1"/>
    <col min="4" max="5" width="20.375" style="7" bestFit="1" customWidth="1"/>
    <col min="6" max="6" width="40.875" style="7" customWidth="1"/>
    <col min="7" max="7" width="20.375" style="21" bestFit="1" customWidth="1"/>
    <col min="8" max="8" width="11.375" style="20" bestFit="1" customWidth="1"/>
    <col min="9" max="10" width="25.125" style="20" bestFit="1" customWidth="1"/>
    <col min="11" max="11" width="15.125" style="55" bestFit="1" customWidth="1"/>
    <col min="12" max="12" width="8" style="55" bestFit="1" customWidth="1"/>
    <col min="13" max="13" width="25.125" style="82" bestFit="1" customWidth="1"/>
    <col min="14" max="14" width="15" style="55" bestFit="1" customWidth="1"/>
    <col min="15" max="15" width="18.625" style="119" bestFit="1" customWidth="1"/>
    <col min="16" max="16" width="9" style="126"/>
    <col min="17" max="17" width="9.875" style="126" customWidth="1"/>
    <col min="18" max="19" width="9" style="126"/>
    <col min="20" max="16384" width="9" style="7"/>
  </cols>
  <sheetData>
    <row r="1" spans="1:23" s="3" customFormat="1" ht="132">
      <c r="A1" s="3" t="s">
        <v>102</v>
      </c>
      <c r="B1" s="40" t="s">
        <v>100</v>
      </c>
      <c r="C1" s="40" t="s">
        <v>109</v>
      </c>
      <c r="D1" s="3" t="s">
        <v>28</v>
      </c>
      <c r="E1" s="3" t="s">
        <v>110</v>
      </c>
      <c r="F1" s="3" t="s">
        <v>30</v>
      </c>
      <c r="G1" s="40" t="s">
        <v>29</v>
      </c>
      <c r="H1" s="16" t="s">
        <v>33</v>
      </c>
      <c r="I1" s="16" t="s">
        <v>41</v>
      </c>
      <c r="J1" s="16" t="s">
        <v>42</v>
      </c>
      <c r="K1" s="51" t="s">
        <v>103</v>
      </c>
      <c r="L1" s="51" t="s">
        <v>40</v>
      </c>
      <c r="M1" s="74" t="s">
        <v>15</v>
      </c>
      <c r="N1" s="51" t="s">
        <v>104</v>
      </c>
      <c r="O1" s="75" t="s">
        <v>105</v>
      </c>
      <c r="P1" s="122"/>
      <c r="Q1" s="122"/>
      <c r="R1" s="122"/>
      <c r="S1" s="122"/>
    </row>
    <row r="2" spans="1:23" s="4" customFormat="1">
      <c r="A2" s="4" t="s">
        <v>0</v>
      </c>
      <c r="B2" s="223" t="s">
        <v>16</v>
      </c>
      <c r="C2" s="41" t="s">
        <v>43</v>
      </c>
      <c r="D2" s="4" t="s">
        <v>17</v>
      </c>
      <c r="E2" s="4" t="s">
        <v>27</v>
      </c>
      <c r="F2" s="4" t="s">
        <v>26</v>
      </c>
      <c r="G2" s="41" t="s">
        <v>34</v>
      </c>
      <c r="H2" s="4" t="s">
        <v>25</v>
      </c>
      <c r="I2" s="4" t="s">
        <v>31</v>
      </c>
      <c r="J2" s="4" t="s">
        <v>32</v>
      </c>
      <c r="K2" s="52" t="s">
        <v>106</v>
      </c>
      <c r="L2" s="52" t="s">
        <v>18</v>
      </c>
      <c r="M2" s="76" t="s">
        <v>19</v>
      </c>
      <c r="N2" s="52" t="s">
        <v>107</v>
      </c>
      <c r="O2" s="77" t="s">
        <v>20</v>
      </c>
      <c r="P2" s="123"/>
      <c r="Q2" s="123"/>
      <c r="R2" s="123"/>
      <c r="S2" s="123"/>
    </row>
    <row r="3" spans="1:23" s="5" customFormat="1">
      <c r="A3" s="5" t="s">
        <v>1</v>
      </c>
      <c r="B3" s="42" t="s">
        <v>21</v>
      </c>
      <c r="C3" s="42" t="s">
        <v>22</v>
      </c>
      <c r="D3" s="5" t="s">
        <v>21</v>
      </c>
      <c r="E3" s="5" t="s">
        <v>21</v>
      </c>
      <c r="F3" s="5" t="s">
        <v>22</v>
      </c>
      <c r="G3" s="42" t="s">
        <v>21</v>
      </c>
      <c r="H3" s="17" t="s">
        <v>22</v>
      </c>
      <c r="I3" s="17" t="s">
        <v>22</v>
      </c>
      <c r="J3" s="17" t="s">
        <v>22</v>
      </c>
      <c r="K3" s="53" t="s">
        <v>21</v>
      </c>
      <c r="L3" s="53" t="s">
        <v>22</v>
      </c>
      <c r="M3" s="78" t="s">
        <v>21</v>
      </c>
      <c r="N3" s="53" t="s">
        <v>22</v>
      </c>
      <c r="O3" s="79" t="s">
        <v>22</v>
      </c>
      <c r="P3" s="124"/>
      <c r="Q3" s="124"/>
      <c r="R3" s="124"/>
      <c r="S3" s="124"/>
    </row>
    <row r="4" spans="1:23" s="196" customFormat="1">
      <c r="A4" s="192">
        <v>1001</v>
      </c>
      <c r="B4" s="224" t="s">
        <v>95</v>
      </c>
      <c r="C4" s="192">
        <v>1</v>
      </c>
      <c r="D4" s="192">
        <v>4</v>
      </c>
      <c r="E4" s="192">
        <v>2</v>
      </c>
      <c r="F4" s="192">
        <v>1</v>
      </c>
      <c r="G4" s="192">
        <v>1001</v>
      </c>
      <c r="H4" s="190">
        <v>25</v>
      </c>
      <c r="I4" s="190">
        <v>2</v>
      </c>
      <c r="J4" s="190">
        <v>1</v>
      </c>
      <c r="K4" s="193" t="s">
        <v>23</v>
      </c>
      <c r="L4" s="194">
        <v>1</v>
      </c>
      <c r="M4" s="194">
        <v>14101</v>
      </c>
      <c r="N4" s="194">
        <v>1</v>
      </c>
      <c r="O4" s="194">
        <v>1</v>
      </c>
      <c r="P4" s="195"/>
      <c r="Q4" s="195"/>
      <c r="R4" s="195"/>
      <c r="S4" s="195"/>
    </row>
    <row r="5" spans="1:23" s="191" customFormat="1">
      <c r="A5" s="192">
        <v>1002</v>
      </c>
      <c r="B5" s="224" t="s">
        <v>24</v>
      </c>
      <c r="C5" s="192">
        <v>1</v>
      </c>
      <c r="D5" s="191">
        <v>4</v>
      </c>
      <c r="E5" s="191">
        <v>2</v>
      </c>
      <c r="F5" s="192">
        <v>1</v>
      </c>
      <c r="G5" s="197">
        <v>1002</v>
      </c>
      <c r="H5" s="190">
        <v>25</v>
      </c>
      <c r="I5" s="191">
        <v>2</v>
      </c>
      <c r="J5" s="191">
        <v>2</v>
      </c>
      <c r="K5" s="193" t="s">
        <v>23</v>
      </c>
      <c r="L5" s="194">
        <v>1</v>
      </c>
      <c r="M5" s="194">
        <v>14108</v>
      </c>
      <c r="N5" s="194">
        <v>1</v>
      </c>
      <c r="O5" s="194">
        <v>1</v>
      </c>
      <c r="P5" s="198"/>
      <c r="Q5" s="198"/>
      <c r="R5" s="198"/>
      <c r="S5" s="198"/>
    </row>
    <row r="6" spans="1:23" s="196" customFormat="1">
      <c r="A6" s="192">
        <v>1003</v>
      </c>
      <c r="B6" s="224" t="s">
        <v>98</v>
      </c>
      <c r="C6" s="192">
        <v>1</v>
      </c>
      <c r="D6" s="192">
        <v>4</v>
      </c>
      <c r="E6" s="192">
        <v>2</v>
      </c>
      <c r="F6" s="192">
        <v>1</v>
      </c>
      <c r="G6" s="192">
        <v>1008</v>
      </c>
      <c r="H6" s="190">
        <v>10</v>
      </c>
      <c r="I6" s="191">
        <v>2</v>
      </c>
      <c r="J6" s="190">
        <v>8</v>
      </c>
      <c r="K6" s="194">
        <v>10032</v>
      </c>
      <c r="L6" s="194">
        <v>1</v>
      </c>
      <c r="M6" s="194">
        <v>14211</v>
      </c>
      <c r="N6" s="194">
        <v>1</v>
      </c>
      <c r="O6" s="194">
        <v>1</v>
      </c>
      <c r="P6" s="195"/>
      <c r="Q6" s="195"/>
      <c r="R6" s="199"/>
      <c r="S6" s="199"/>
      <c r="T6" s="192"/>
      <c r="U6" s="192"/>
      <c r="V6" s="192"/>
      <c r="W6" s="192"/>
    </row>
    <row r="7" spans="1:23" s="206" customFormat="1">
      <c r="A7" s="200">
        <v>1004</v>
      </c>
      <c r="B7" s="200" t="s">
        <v>101</v>
      </c>
      <c r="C7" s="200">
        <v>1</v>
      </c>
      <c r="D7" s="200">
        <v>4</v>
      </c>
      <c r="E7" s="200">
        <v>2</v>
      </c>
      <c r="F7" s="200">
        <v>1</v>
      </c>
      <c r="G7" s="200">
        <v>1003</v>
      </c>
      <c r="H7" s="201">
        <v>10</v>
      </c>
      <c r="I7" s="201">
        <v>2</v>
      </c>
      <c r="J7" s="201">
        <v>7</v>
      </c>
      <c r="K7" s="202" t="s">
        <v>23</v>
      </c>
      <c r="L7" s="203">
        <v>4</v>
      </c>
      <c r="M7" s="203">
        <v>1</v>
      </c>
      <c r="N7" s="203">
        <v>10000</v>
      </c>
      <c r="O7" s="203">
        <v>1</v>
      </c>
      <c r="P7" s="204"/>
      <c r="Q7" s="204"/>
      <c r="R7" s="205"/>
      <c r="S7" s="205"/>
      <c r="T7" s="200"/>
      <c r="U7" s="200"/>
      <c r="V7" s="200"/>
      <c r="W7" s="200"/>
    </row>
    <row r="8" spans="1:23" s="6" customFormat="1">
      <c r="A8" s="18">
        <v>1005</v>
      </c>
      <c r="B8" s="18" t="s">
        <v>35</v>
      </c>
      <c r="C8" s="18">
        <v>1</v>
      </c>
      <c r="D8" s="18">
        <v>4</v>
      </c>
      <c r="E8" s="18">
        <v>2</v>
      </c>
      <c r="F8" s="18">
        <v>1</v>
      </c>
      <c r="G8" s="18">
        <v>1004</v>
      </c>
      <c r="H8" s="19">
        <v>40</v>
      </c>
      <c r="I8" s="19">
        <v>2</v>
      </c>
      <c r="J8" s="19">
        <v>3</v>
      </c>
      <c r="K8" s="54" t="s">
        <v>23</v>
      </c>
      <c r="L8" s="80">
        <v>1</v>
      </c>
      <c r="M8" s="80">
        <v>14003</v>
      </c>
      <c r="N8" s="80">
        <v>1</v>
      </c>
      <c r="O8" s="81">
        <v>1</v>
      </c>
      <c r="P8" s="125"/>
      <c r="Q8" s="125"/>
      <c r="R8" s="127"/>
      <c r="S8" s="127"/>
      <c r="T8" s="18"/>
      <c r="U8" s="18"/>
      <c r="V8" s="18"/>
      <c r="W8" s="18"/>
    </row>
    <row r="9" spans="1:23" s="6" customFormat="1">
      <c r="A9" s="18">
        <v>1006</v>
      </c>
      <c r="B9" s="18" t="s">
        <v>36</v>
      </c>
      <c r="C9" s="18">
        <v>1</v>
      </c>
      <c r="D9" s="18">
        <v>4</v>
      </c>
      <c r="E9" s="18">
        <v>2</v>
      </c>
      <c r="F9" s="18">
        <v>1</v>
      </c>
      <c r="G9" s="18">
        <v>1005</v>
      </c>
      <c r="H9" s="19">
        <v>25</v>
      </c>
      <c r="I9" s="19">
        <v>2</v>
      </c>
      <c r="J9" s="19">
        <v>4</v>
      </c>
      <c r="K9" s="54" t="s">
        <v>23</v>
      </c>
      <c r="L9" s="80">
        <v>6</v>
      </c>
      <c r="M9" s="80">
        <v>4501</v>
      </c>
      <c r="N9" s="80">
        <v>1</v>
      </c>
      <c r="O9" s="81">
        <v>1</v>
      </c>
      <c r="P9" s="125"/>
      <c r="Q9" s="125"/>
      <c r="R9" s="127"/>
      <c r="S9" s="127"/>
      <c r="T9" s="18"/>
      <c r="U9" s="18"/>
      <c r="V9" s="18"/>
      <c r="W9" s="18"/>
    </row>
    <row r="10" spans="1:23">
      <c r="A10" s="18">
        <v>1007</v>
      </c>
      <c r="B10" s="18" t="s">
        <v>96</v>
      </c>
      <c r="C10" s="18">
        <v>1</v>
      </c>
      <c r="D10" s="7">
        <v>4</v>
      </c>
      <c r="E10" s="7">
        <v>2</v>
      </c>
      <c r="F10" s="18">
        <v>1</v>
      </c>
      <c r="G10" s="18">
        <v>1006</v>
      </c>
      <c r="H10" s="20">
        <v>150</v>
      </c>
      <c r="I10" s="20">
        <v>2</v>
      </c>
      <c r="J10" s="20">
        <v>5</v>
      </c>
      <c r="K10" s="54" t="s">
        <v>45</v>
      </c>
      <c r="L10" s="80">
        <v>1</v>
      </c>
      <c r="M10" s="80">
        <v>14306</v>
      </c>
      <c r="N10" s="80">
        <v>1</v>
      </c>
      <c r="O10" s="81">
        <v>1</v>
      </c>
      <c r="R10" s="128"/>
      <c r="S10" s="128"/>
      <c r="T10" s="21"/>
      <c r="U10" s="21"/>
      <c r="V10" s="21"/>
      <c r="W10" s="21"/>
    </row>
    <row r="11" spans="1:23">
      <c r="A11" s="18">
        <v>1008</v>
      </c>
      <c r="B11" s="18" t="s">
        <v>97</v>
      </c>
      <c r="C11" s="18">
        <v>1</v>
      </c>
      <c r="D11" s="7">
        <v>4</v>
      </c>
      <c r="E11" s="7">
        <v>2</v>
      </c>
      <c r="F11" s="18">
        <v>1</v>
      </c>
      <c r="G11" s="18">
        <v>1007</v>
      </c>
      <c r="H11" s="20">
        <v>80</v>
      </c>
      <c r="I11" s="20">
        <v>2</v>
      </c>
      <c r="J11" s="20">
        <v>6</v>
      </c>
      <c r="K11" s="54" t="s">
        <v>45</v>
      </c>
      <c r="L11" s="80">
        <v>1</v>
      </c>
      <c r="M11" s="80">
        <v>14315</v>
      </c>
      <c r="N11" s="80">
        <v>1</v>
      </c>
      <c r="O11" s="81">
        <v>1</v>
      </c>
      <c r="R11" s="128"/>
      <c r="S11" s="128"/>
      <c r="T11" s="21"/>
      <c r="U11" s="21"/>
      <c r="V11" s="21"/>
      <c r="W11" s="21"/>
    </row>
    <row r="12" spans="1:23">
      <c r="A12" s="18">
        <v>1009</v>
      </c>
      <c r="B12" s="18" t="s">
        <v>37</v>
      </c>
      <c r="C12" s="18">
        <v>0</v>
      </c>
      <c r="D12" s="7">
        <v>4</v>
      </c>
      <c r="E12" s="7">
        <v>2</v>
      </c>
      <c r="F12" s="21">
        <v>0</v>
      </c>
      <c r="G12" s="21">
        <v>5</v>
      </c>
      <c r="H12" s="20">
        <v>0</v>
      </c>
      <c r="I12" s="20">
        <v>1</v>
      </c>
      <c r="J12" s="20">
        <v>500</v>
      </c>
      <c r="K12" s="54" t="s">
        <v>23</v>
      </c>
      <c r="L12" s="82">
        <v>1</v>
      </c>
      <c r="M12" s="82">
        <v>14201</v>
      </c>
      <c r="N12" s="82">
        <v>1</v>
      </c>
      <c r="O12" s="83">
        <v>1</v>
      </c>
      <c r="R12" s="128"/>
      <c r="S12" s="128"/>
      <c r="T12" s="21"/>
      <c r="U12" s="21"/>
      <c r="V12" s="21"/>
      <c r="W12" s="21"/>
    </row>
    <row r="13" spans="1:23">
      <c r="A13" s="18">
        <v>1010</v>
      </c>
      <c r="B13" s="18" t="s">
        <v>38</v>
      </c>
      <c r="C13" s="18">
        <v>0</v>
      </c>
      <c r="D13" s="7">
        <v>4</v>
      </c>
      <c r="E13" s="7">
        <v>2</v>
      </c>
      <c r="F13" s="18">
        <v>0</v>
      </c>
      <c r="G13" s="21">
        <v>5</v>
      </c>
      <c r="H13" s="20">
        <v>0</v>
      </c>
      <c r="I13" s="20">
        <v>1</v>
      </c>
      <c r="J13" s="20">
        <v>500</v>
      </c>
      <c r="K13" s="54" t="s">
        <v>23</v>
      </c>
      <c r="L13" s="80">
        <v>1</v>
      </c>
      <c r="M13" s="80">
        <v>16005</v>
      </c>
      <c r="N13" s="80">
        <v>1</v>
      </c>
      <c r="O13" s="81">
        <v>1</v>
      </c>
      <c r="R13" s="128"/>
      <c r="S13" s="128"/>
      <c r="T13" s="21"/>
      <c r="U13" s="21"/>
      <c r="V13" s="21"/>
      <c r="W13" s="21"/>
    </row>
    <row r="14" spans="1:23">
      <c r="A14" s="18">
        <v>1011</v>
      </c>
      <c r="B14" s="18" t="s">
        <v>39</v>
      </c>
      <c r="C14" s="18">
        <v>0</v>
      </c>
      <c r="D14" s="7">
        <v>4</v>
      </c>
      <c r="E14" s="7">
        <v>2</v>
      </c>
      <c r="F14" s="18">
        <v>0</v>
      </c>
      <c r="G14" s="21">
        <v>1</v>
      </c>
      <c r="H14" s="20">
        <v>0</v>
      </c>
      <c r="I14" s="20">
        <v>1</v>
      </c>
      <c r="J14" s="20">
        <v>1000</v>
      </c>
      <c r="K14" s="54" t="s">
        <v>23</v>
      </c>
      <c r="L14" s="80">
        <v>1</v>
      </c>
      <c r="M14" s="80">
        <v>17000</v>
      </c>
      <c r="N14" s="80">
        <v>1</v>
      </c>
      <c r="O14" s="81">
        <v>1</v>
      </c>
      <c r="R14" s="128"/>
      <c r="S14" s="128"/>
      <c r="T14" s="21"/>
      <c r="U14" s="21"/>
      <c r="V14" s="21"/>
      <c r="W14" s="21"/>
    </row>
    <row r="15" spans="1:23">
      <c r="A15" s="18">
        <v>1012</v>
      </c>
      <c r="B15" s="18" t="s">
        <v>94</v>
      </c>
      <c r="C15" s="18">
        <v>0</v>
      </c>
      <c r="D15" s="7">
        <v>4</v>
      </c>
      <c r="E15" s="7">
        <v>2</v>
      </c>
      <c r="F15" s="18">
        <v>0</v>
      </c>
      <c r="G15" s="21">
        <v>5</v>
      </c>
      <c r="H15" s="20">
        <v>0</v>
      </c>
      <c r="I15" s="19">
        <v>1</v>
      </c>
      <c r="J15" s="20">
        <v>500</v>
      </c>
      <c r="K15" s="54" t="s">
        <v>23</v>
      </c>
      <c r="L15" s="80">
        <v>1</v>
      </c>
      <c r="M15" s="80">
        <v>17001</v>
      </c>
      <c r="N15" s="80">
        <v>1</v>
      </c>
      <c r="O15" s="81">
        <v>1</v>
      </c>
      <c r="R15" s="128"/>
      <c r="S15" s="128"/>
      <c r="T15" s="21"/>
      <c r="U15" s="21"/>
      <c r="V15" s="21"/>
      <c r="W15" s="21"/>
    </row>
    <row r="16" spans="1:23">
      <c r="A16" s="18">
        <v>1013</v>
      </c>
      <c r="B16" s="18" t="s">
        <v>93</v>
      </c>
      <c r="C16" s="18">
        <v>0</v>
      </c>
      <c r="D16" s="7">
        <v>4</v>
      </c>
      <c r="E16" s="7">
        <v>2</v>
      </c>
      <c r="F16" s="18">
        <v>0</v>
      </c>
      <c r="G16" s="18">
        <v>5</v>
      </c>
      <c r="H16" s="20">
        <v>0</v>
      </c>
      <c r="I16" s="20">
        <v>1</v>
      </c>
      <c r="J16" s="20">
        <v>500</v>
      </c>
      <c r="K16" s="80">
        <v>10040</v>
      </c>
      <c r="L16" s="80">
        <v>1</v>
      </c>
      <c r="M16" s="80">
        <v>14106</v>
      </c>
      <c r="N16" s="80">
        <v>1</v>
      </c>
      <c r="O16" s="81">
        <v>1</v>
      </c>
      <c r="R16" s="128"/>
      <c r="S16" s="128"/>
      <c r="T16" s="21"/>
      <c r="U16" s="21"/>
      <c r="V16" s="21"/>
      <c r="W16" s="21"/>
    </row>
    <row r="17" spans="1:23">
      <c r="A17" s="18">
        <v>1014</v>
      </c>
      <c r="B17" s="18" t="s">
        <v>99</v>
      </c>
      <c r="C17" s="18">
        <v>0</v>
      </c>
      <c r="D17" s="7">
        <v>4</v>
      </c>
      <c r="E17" s="7">
        <v>2</v>
      </c>
      <c r="F17" s="18">
        <v>0</v>
      </c>
      <c r="G17" s="21">
        <v>20</v>
      </c>
      <c r="H17" s="20">
        <v>0</v>
      </c>
      <c r="I17" s="20">
        <v>0</v>
      </c>
      <c r="J17" s="20">
        <v>0</v>
      </c>
      <c r="K17" s="54" t="s">
        <v>108</v>
      </c>
      <c r="L17" s="80">
        <v>1</v>
      </c>
      <c r="M17" s="80">
        <v>14102</v>
      </c>
      <c r="N17" s="80">
        <v>1</v>
      </c>
      <c r="O17" s="81">
        <v>1</v>
      </c>
      <c r="R17" s="128"/>
      <c r="S17" s="128"/>
      <c r="T17" s="21"/>
      <c r="U17" s="21"/>
      <c r="V17" s="21"/>
      <c r="W17" s="21"/>
    </row>
    <row r="18" spans="1:23" s="65" customFormat="1">
      <c r="A18" s="64">
        <v>2000</v>
      </c>
      <c r="B18" s="66" t="str">
        <f>VLOOKUP($M18,[1]Sheet1!$A:$B,2,0)&amp;"x"&amp;$N18</f>
        <v>弥勒佛碎片x5</v>
      </c>
      <c r="C18" s="66">
        <v>2</v>
      </c>
      <c r="D18" s="65">
        <v>4</v>
      </c>
      <c r="E18" s="65">
        <v>4</v>
      </c>
      <c r="F18" s="66">
        <v>0</v>
      </c>
      <c r="G18" s="66">
        <v>200</v>
      </c>
      <c r="H18" s="67">
        <v>0</v>
      </c>
      <c r="I18" s="67">
        <v>1</v>
      </c>
      <c r="J18" s="67">
        <v>1</v>
      </c>
      <c r="K18" s="84" t="s">
        <v>108</v>
      </c>
      <c r="L18" s="85">
        <v>1</v>
      </c>
      <c r="M18" s="85">
        <v>10027</v>
      </c>
      <c r="N18" s="68">
        <v>5</v>
      </c>
      <c r="O18" s="86">
        <v>1</v>
      </c>
      <c r="P18" s="129" t="e">
        <f>INDEX([2]Sheet1!$U:$U,MATCH($M18,[2]Sheet1!$BH:$BH,0),1)</f>
        <v>#N/A</v>
      </c>
      <c r="Q18" s="129">
        <f t="shared" ref="Q18:Q69" si="0">E18</f>
        <v>4</v>
      </c>
      <c r="R18" s="130" t="e">
        <f>IF($P18&lt;&gt;$P16,"["&amp;$A18&amp;",1]",$R16&amp;IF($O18=1,",["&amp;$A18&amp;",1]",""))</f>
        <v>#N/A</v>
      </c>
      <c r="S18" s="130"/>
      <c r="T18" s="66"/>
      <c r="U18" s="66"/>
      <c r="V18" s="66"/>
      <c r="W18" s="66"/>
    </row>
    <row r="19" spans="1:23" s="65" customFormat="1">
      <c r="A19" s="64">
        <v>2001</v>
      </c>
      <c r="B19" s="66" t="str">
        <f>VLOOKUP($M19,[1]Sheet1!$A:$B,2,0)&amp;"x"&amp;$N19</f>
        <v>金蝉子碎片x5</v>
      </c>
      <c r="C19" s="66">
        <v>2</v>
      </c>
      <c r="D19" s="65">
        <v>4</v>
      </c>
      <c r="E19" s="65">
        <v>4</v>
      </c>
      <c r="F19" s="66">
        <v>0</v>
      </c>
      <c r="G19" s="66">
        <v>200</v>
      </c>
      <c r="H19" s="67">
        <v>0</v>
      </c>
      <c r="I19" s="67">
        <v>1</v>
      </c>
      <c r="J19" s="67">
        <v>1</v>
      </c>
      <c r="K19" s="84" t="s">
        <v>108</v>
      </c>
      <c r="L19" s="85">
        <v>1</v>
      </c>
      <c r="M19" s="85">
        <v>10112</v>
      </c>
      <c r="N19" s="68">
        <v>5</v>
      </c>
      <c r="O19" s="86">
        <v>1</v>
      </c>
      <c r="P19" s="129" t="e">
        <f>INDEX([2]Sheet1!$U:$U,MATCH($M19,[2]Sheet1!$BH:$BH,0),1)</f>
        <v>#N/A</v>
      </c>
      <c r="Q19" s="129">
        <f t="shared" si="0"/>
        <v>4</v>
      </c>
      <c r="R19" s="130" t="e">
        <f t="shared" ref="R19:R82" si="1">IF($P19&lt;&gt;$P18,"["&amp;$A19&amp;",1]",$R18&amp;IF($O19=1,",["&amp;$A19&amp;",1]",""))</f>
        <v>#N/A</v>
      </c>
      <c r="S19" s="129"/>
    </row>
    <row r="20" spans="1:23" s="65" customFormat="1">
      <c r="A20" s="64">
        <v>2002</v>
      </c>
      <c r="B20" s="66" t="str">
        <f>VLOOKUP($M20,[1]Sheet1!$A:$B,2,0)&amp;"x"&amp;$N20</f>
        <v>龙帝碎片x5</v>
      </c>
      <c r="C20" s="66">
        <v>2</v>
      </c>
      <c r="D20" s="65">
        <v>4</v>
      </c>
      <c r="E20" s="65">
        <v>4</v>
      </c>
      <c r="F20" s="66">
        <v>0</v>
      </c>
      <c r="G20" s="66">
        <v>200</v>
      </c>
      <c r="H20" s="67">
        <v>0</v>
      </c>
      <c r="I20" s="67">
        <v>1</v>
      </c>
      <c r="J20" s="67">
        <v>1</v>
      </c>
      <c r="K20" s="84" t="s">
        <v>108</v>
      </c>
      <c r="L20" s="85">
        <v>1</v>
      </c>
      <c r="M20" s="85">
        <v>10113</v>
      </c>
      <c r="N20" s="68">
        <v>5</v>
      </c>
      <c r="O20" s="86">
        <v>1</v>
      </c>
      <c r="P20" s="129" t="e">
        <f>INDEX([2]Sheet1!$U:$U,MATCH($M20,[2]Sheet1!$BH:$BH,0),1)</f>
        <v>#N/A</v>
      </c>
      <c r="Q20" s="129">
        <f t="shared" si="0"/>
        <v>4</v>
      </c>
      <c r="R20" s="130" t="e">
        <f t="shared" si="1"/>
        <v>#N/A</v>
      </c>
      <c r="S20" s="129"/>
    </row>
    <row r="21" spans="1:23" s="65" customFormat="1">
      <c r="A21" s="64">
        <v>2003</v>
      </c>
      <c r="B21" s="66" t="str">
        <f>VLOOKUP($M21,[1]Sheet1!$A:$B,2,0)&amp;"x"&amp;$N21</f>
        <v>八部天龙碎片x5</v>
      </c>
      <c r="C21" s="66">
        <v>2</v>
      </c>
      <c r="D21" s="65">
        <v>4</v>
      </c>
      <c r="E21" s="65">
        <v>4</v>
      </c>
      <c r="F21" s="66">
        <v>0</v>
      </c>
      <c r="G21" s="66">
        <v>200</v>
      </c>
      <c r="H21" s="67">
        <v>0</v>
      </c>
      <c r="I21" s="67">
        <v>1</v>
      </c>
      <c r="J21" s="67">
        <v>1</v>
      </c>
      <c r="K21" s="84" t="s">
        <v>108</v>
      </c>
      <c r="L21" s="85">
        <v>1</v>
      </c>
      <c r="M21" s="85">
        <v>10114</v>
      </c>
      <c r="N21" s="68">
        <v>5</v>
      </c>
      <c r="O21" s="86">
        <v>1</v>
      </c>
      <c r="P21" s="129" t="e">
        <f>INDEX([2]Sheet1!$U:$U,MATCH($M21,[2]Sheet1!$BH:$BH,0),1)</f>
        <v>#N/A</v>
      </c>
      <c r="Q21" s="129">
        <f t="shared" si="0"/>
        <v>4</v>
      </c>
      <c r="R21" s="130" t="e">
        <f t="shared" si="1"/>
        <v>#N/A</v>
      </c>
      <c r="S21" s="129"/>
    </row>
    <row r="22" spans="1:23" s="65" customFormat="1">
      <c r="A22" s="64">
        <v>2004</v>
      </c>
      <c r="B22" s="66" t="str">
        <f>VLOOKUP($M22,[1]Sheet1!$A:$B,2,0)&amp;"x"&amp;$N22</f>
        <v>观世音碎片x5</v>
      </c>
      <c r="C22" s="66">
        <v>2</v>
      </c>
      <c r="D22" s="65">
        <v>4</v>
      </c>
      <c r="E22" s="65">
        <v>4</v>
      </c>
      <c r="F22" s="66">
        <v>0</v>
      </c>
      <c r="G22" s="66">
        <v>200</v>
      </c>
      <c r="H22" s="67">
        <v>0</v>
      </c>
      <c r="I22" s="67">
        <v>1</v>
      </c>
      <c r="J22" s="67">
        <v>1</v>
      </c>
      <c r="K22" s="84" t="s">
        <v>108</v>
      </c>
      <c r="L22" s="85">
        <v>1</v>
      </c>
      <c r="M22" s="85">
        <v>10115</v>
      </c>
      <c r="N22" s="68">
        <v>5</v>
      </c>
      <c r="O22" s="86">
        <v>1</v>
      </c>
      <c r="P22" s="129" t="e">
        <f>INDEX([2]Sheet1!$U:$U,MATCH($M22,[2]Sheet1!$BH:$BH,0),1)</f>
        <v>#N/A</v>
      </c>
      <c r="Q22" s="129">
        <f t="shared" si="0"/>
        <v>4</v>
      </c>
      <c r="R22" s="130" t="e">
        <f t="shared" si="1"/>
        <v>#N/A</v>
      </c>
      <c r="S22" s="129"/>
    </row>
    <row r="23" spans="1:23" s="65" customFormat="1">
      <c r="A23" s="64">
        <v>2005</v>
      </c>
      <c r="B23" s="66" t="str">
        <f>VLOOKUP($M23,[1]Sheet1!$A:$B,2,0)&amp;"x"&amp;$N23</f>
        <v>托塔天王碎片x5</v>
      </c>
      <c r="C23" s="66">
        <v>2</v>
      </c>
      <c r="D23" s="65">
        <v>4</v>
      </c>
      <c r="E23" s="65">
        <v>4</v>
      </c>
      <c r="F23" s="66">
        <v>0</v>
      </c>
      <c r="G23" s="66">
        <v>200</v>
      </c>
      <c r="H23" s="67">
        <v>0</v>
      </c>
      <c r="I23" s="67">
        <v>1</v>
      </c>
      <c r="J23" s="67">
        <v>1</v>
      </c>
      <c r="K23" s="84" t="s">
        <v>108</v>
      </c>
      <c r="L23" s="85">
        <v>1</v>
      </c>
      <c r="M23" s="85">
        <v>10008</v>
      </c>
      <c r="N23" s="68">
        <v>5</v>
      </c>
      <c r="O23" s="86">
        <v>1</v>
      </c>
      <c r="P23" s="129" t="e">
        <f>INDEX([2]Sheet1!$U:$U,MATCH($M23,[2]Sheet1!$BH:$BH,0),1)</f>
        <v>#N/A</v>
      </c>
      <c r="Q23" s="129">
        <f t="shared" si="0"/>
        <v>4</v>
      </c>
      <c r="R23" s="130" t="e">
        <f t="shared" si="1"/>
        <v>#N/A</v>
      </c>
      <c r="S23" s="129"/>
    </row>
    <row r="24" spans="1:23" s="65" customFormat="1">
      <c r="A24" s="64">
        <v>2006</v>
      </c>
      <c r="B24" s="66" t="str">
        <f>VLOOKUP($M24,[1]Sheet1!$A:$B,2,0)&amp;"x"&amp;$N24</f>
        <v>黑无常碎片x5</v>
      </c>
      <c r="C24" s="66">
        <v>2</v>
      </c>
      <c r="D24" s="65">
        <v>4</v>
      </c>
      <c r="E24" s="65">
        <v>4</v>
      </c>
      <c r="F24" s="66">
        <v>0</v>
      </c>
      <c r="G24" s="66">
        <v>200</v>
      </c>
      <c r="H24" s="67">
        <v>0</v>
      </c>
      <c r="I24" s="67">
        <v>1</v>
      </c>
      <c r="J24" s="67">
        <v>1</v>
      </c>
      <c r="K24" s="84" t="s">
        <v>108</v>
      </c>
      <c r="L24" s="85">
        <v>1</v>
      </c>
      <c r="M24" s="85">
        <v>10119</v>
      </c>
      <c r="N24" s="68">
        <v>5</v>
      </c>
      <c r="O24" s="86">
        <v>1</v>
      </c>
      <c r="P24" s="129" t="e">
        <f>INDEX([2]Sheet1!$U:$U,MATCH($M24,[2]Sheet1!$BH:$BH,0),1)</f>
        <v>#N/A</v>
      </c>
      <c r="Q24" s="129">
        <f t="shared" si="0"/>
        <v>4</v>
      </c>
      <c r="R24" s="130" t="e">
        <f t="shared" si="1"/>
        <v>#N/A</v>
      </c>
      <c r="S24" s="129"/>
    </row>
    <row r="25" spans="1:23" s="65" customFormat="1">
      <c r="A25" s="64">
        <v>2007</v>
      </c>
      <c r="B25" s="66" t="str">
        <f>VLOOKUP($M25,[1]Sheet1!$A:$B,2,0)&amp;"x"&amp;$N25</f>
        <v>哪吒碎片x5</v>
      </c>
      <c r="C25" s="66">
        <v>2</v>
      </c>
      <c r="D25" s="65">
        <v>4</v>
      </c>
      <c r="E25" s="65">
        <v>4</v>
      </c>
      <c r="F25" s="66">
        <v>0</v>
      </c>
      <c r="G25" s="66">
        <v>200</v>
      </c>
      <c r="H25" s="67">
        <v>0</v>
      </c>
      <c r="I25" s="67">
        <v>1</v>
      </c>
      <c r="J25" s="67">
        <v>1</v>
      </c>
      <c r="K25" s="84" t="s">
        <v>108</v>
      </c>
      <c r="L25" s="85">
        <v>1</v>
      </c>
      <c r="M25" s="85">
        <v>10002</v>
      </c>
      <c r="N25" s="68">
        <v>5</v>
      </c>
      <c r="O25" s="86">
        <v>1</v>
      </c>
      <c r="P25" s="129" t="e">
        <f>INDEX([2]Sheet1!$U:$U,MATCH($M25,[2]Sheet1!$BH:$BH,0),1)</f>
        <v>#N/A</v>
      </c>
      <c r="Q25" s="129">
        <f t="shared" si="0"/>
        <v>4</v>
      </c>
      <c r="R25" s="130" t="e">
        <f t="shared" si="1"/>
        <v>#N/A</v>
      </c>
      <c r="S25" s="129"/>
    </row>
    <row r="26" spans="1:23" s="65" customFormat="1">
      <c r="A26" s="64">
        <v>2008</v>
      </c>
      <c r="B26" s="66" t="str">
        <f>VLOOKUP($M26,[1]Sheet1!$A:$B,2,0)&amp;"x"&amp;$N26</f>
        <v>白无常碎片x5</v>
      </c>
      <c r="C26" s="66">
        <v>2</v>
      </c>
      <c r="D26" s="65">
        <v>4</v>
      </c>
      <c r="E26" s="65">
        <v>4</v>
      </c>
      <c r="F26" s="66">
        <v>0</v>
      </c>
      <c r="G26" s="66">
        <v>200</v>
      </c>
      <c r="H26" s="67">
        <v>0</v>
      </c>
      <c r="I26" s="67">
        <v>1</v>
      </c>
      <c r="J26" s="67">
        <v>1</v>
      </c>
      <c r="K26" s="84" t="s">
        <v>108</v>
      </c>
      <c r="L26" s="85">
        <v>1</v>
      </c>
      <c r="M26" s="85">
        <v>10118</v>
      </c>
      <c r="N26" s="68">
        <v>5</v>
      </c>
      <c r="O26" s="86">
        <v>1</v>
      </c>
      <c r="P26" s="129" t="e">
        <f>INDEX([2]Sheet1!$U:$U,MATCH($M26,[2]Sheet1!$BH:$BH,0),1)</f>
        <v>#N/A</v>
      </c>
      <c r="Q26" s="129">
        <f t="shared" si="0"/>
        <v>4</v>
      </c>
      <c r="R26" s="130" t="e">
        <f t="shared" si="1"/>
        <v>#N/A</v>
      </c>
      <c r="S26" s="129"/>
    </row>
    <row r="27" spans="1:23" s="65" customFormat="1">
      <c r="A27" s="64">
        <v>2009</v>
      </c>
      <c r="B27" s="66" t="str">
        <f>VLOOKUP($M27,[1]Sheet1!$A:$B,2,0)&amp;"x"&amp;$N27</f>
        <v>嫦娥碎片x5</v>
      </c>
      <c r="C27" s="66">
        <v>2</v>
      </c>
      <c r="D27" s="65">
        <v>4</v>
      </c>
      <c r="E27" s="65">
        <v>4</v>
      </c>
      <c r="F27" s="66">
        <v>0</v>
      </c>
      <c r="G27" s="66">
        <v>200</v>
      </c>
      <c r="H27" s="67">
        <v>0</v>
      </c>
      <c r="I27" s="67">
        <v>1</v>
      </c>
      <c r="J27" s="67">
        <v>1</v>
      </c>
      <c r="K27" s="84" t="s">
        <v>108</v>
      </c>
      <c r="L27" s="85">
        <v>1</v>
      </c>
      <c r="M27" s="85">
        <v>10003</v>
      </c>
      <c r="N27" s="68">
        <v>5</v>
      </c>
      <c r="O27" s="86">
        <v>1</v>
      </c>
      <c r="P27" s="129" t="e">
        <f>INDEX([2]Sheet1!$U:$U,MATCH($M27,[2]Sheet1!$BH:$BH,0),1)</f>
        <v>#N/A</v>
      </c>
      <c r="Q27" s="129">
        <f t="shared" si="0"/>
        <v>4</v>
      </c>
      <c r="R27" s="130" t="e">
        <f t="shared" si="1"/>
        <v>#N/A</v>
      </c>
      <c r="S27" s="129"/>
    </row>
    <row r="28" spans="1:23" s="65" customFormat="1">
      <c r="A28" s="64">
        <v>2010</v>
      </c>
      <c r="B28" s="66" t="str">
        <f>VLOOKUP($M28,[1]Sheet1!$A:$B,2,0)&amp;"x"&amp;$N28</f>
        <v>铁扇公主碎片x5</v>
      </c>
      <c r="C28" s="66">
        <v>2</v>
      </c>
      <c r="D28" s="65">
        <v>4</v>
      </c>
      <c r="E28" s="65">
        <v>4</v>
      </c>
      <c r="F28" s="66">
        <v>0</v>
      </c>
      <c r="G28" s="66">
        <v>200</v>
      </c>
      <c r="H28" s="67">
        <v>0</v>
      </c>
      <c r="I28" s="67">
        <v>1</v>
      </c>
      <c r="J28" s="67">
        <v>1</v>
      </c>
      <c r="K28" s="84" t="s">
        <v>108</v>
      </c>
      <c r="L28" s="85">
        <v>1</v>
      </c>
      <c r="M28" s="85">
        <v>10011</v>
      </c>
      <c r="N28" s="68">
        <v>5</v>
      </c>
      <c r="O28" s="86">
        <v>1</v>
      </c>
      <c r="P28" s="129" t="e">
        <f>INDEX([2]Sheet1!$U:$U,MATCH($M28,[2]Sheet1!$BH:$BH,0),1)</f>
        <v>#N/A</v>
      </c>
      <c r="Q28" s="129">
        <f t="shared" si="0"/>
        <v>4</v>
      </c>
      <c r="R28" s="130" t="e">
        <f t="shared" si="1"/>
        <v>#N/A</v>
      </c>
      <c r="S28" s="129"/>
    </row>
    <row r="29" spans="1:23" s="65" customFormat="1">
      <c r="A29" s="64">
        <v>2011</v>
      </c>
      <c r="B29" s="66" t="str">
        <f>VLOOKUP($M29,[1]Sheet1!$A:$B,2,0)&amp;"x"&amp;$N29</f>
        <v>牛魔王碎片x5</v>
      </c>
      <c r="C29" s="66">
        <v>2</v>
      </c>
      <c r="D29" s="65">
        <v>4</v>
      </c>
      <c r="E29" s="65">
        <v>4</v>
      </c>
      <c r="F29" s="66">
        <v>0</v>
      </c>
      <c r="G29" s="66">
        <v>200</v>
      </c>
      <c r="H29" s="67">
        <v>0</v>
      </c>
      <c r="I29" s="67">
        <v>1</v>
      </c>
      <c r="J29" s="67">
        <v>1</v>
      </c>
      <c r="K29" s="84" t="s">
        <v>108</v>
      </c>
      <c r="L29" s="85">
        <v>1</v>
      </c>
      <c r="M29" s="85">
        <v>10012</v>
      </c>
      <c r="N29" s="68">
        <v>5</v>
      </c>
      <c r="O29" s="86">
        <v>1</v>
      </c>
      <c r="P29" s="129" t="e">
        <f>INDEX([2]Sheet1!$U:$U,MATCH($M29,[2]Sheet1!$BH:$BH,0),1)</f>
        <v>#N/A</v>
      </c>
      <c r="Q29" s="129">
        <f t="shared" si="0"/>
        <v>4</v>
      </c>
      <c r="R29" s="130" t="e">
        <f t="shared" si="1"/>
        <v>#N/A</v>
      </c>
      <c r="S29" s="129"/>
    </row>
    <row r="30" spans="1:23" s="65" customFormat="1">
      <c r="A30" s="64">
        <v>2012</v>
      </c>
      <c r="B30" s="66" t="str">
        <f>VLOOKUP($M30,[1]Sheet1!$A:$B,2,0)&amp;"x"&amp;$N30</f>
        <v>虎力大仙碎片x5</v>
      </c>
      <c r="C30" s="66">
        <v>2</v>
      </c>
      <c r="D30" s="65">
        <v>4</v>
      </c>
      <c r="E30" s="65">
        <v>4</v>
      </c>
      <c r="F30" s="66">
        <v>0</v>
      </c>
      <c r="G30" s="66">
        <v>200</v>
      </c>
      <c r="H30" s="67">
        <v>0</v>
      </c>
      <c r="I30" s="67">
        <v>1</v>
      </c>
      <c r="J30" s="67">
        <v>1</v>
      </c>
      <c r="K30" s="84" t="s">
        <v>108</v>
      </c>
      <c r="L30" s="85">
        <v>1</v>
      </c>
      <c r="M30" s="85">
        <v>10013</v>
      </c>
      <c r="N30" s="68">
        <v>5</v>
      </c>
      <c r="O30" s="86">
        <v>1</v>
      </c>
      <c r="P30" s="129" t="e">
        <f>INDEX([2]Sheet1!$U:$U,MATCH($M30,[2]Sheet1!$BH:$BH,0),1)</f>
        <v>#N/A</v>
      </c>
      <c r="Q30" s="129">
        <f t="shared" si="0"/>
        <v>4</v>
      </c>
      <c r="R30" s="130" t="e">
        <f t="shared" si="1"/>
        <v>#N/A</v>
      </c>
      <c r="S30" s="129"/>
    </row>
    <row r="31" spans="1:23" s="65" customFormat="1">
      <c r="A31" s="64">
        <v>2013</v>
      </c>
      <c r="B31" s="66" t="str">
        <f>VLOOKUP($M31,[1]Sheet1!$A:$B,2,0)&amp;"x"&amp;$N31</f>
        <v>猪八戒碎片x5</v>
      </c>
      <c r="C31" s="66">
        <v>2</v>
      </c>
      <c r="D31" s="65">
        <v>4</v>
      </c>
      <c r="E31" s="65">
        <v>4</v>
      </c>
      <c r="F31" s="66">
        <v>0</v>
      </c>
      <c r="G31" s="66">
        <v>200</v>
      </c>
      <c r="H31" s="67">
        <v>0</v>
      </c>
      <c r="I31" s="67">
        <v>1</v>
      </c>
      <c r="J31" s="67">
        <v>1</v>
      </c>
      <c r="K31" s="84" t="s">
        <v>108</v>
      </c>
      <c r="L31" s="85">
        <v>1</v>
      </c>
      <c r="M31" s="85">
        <v>10020</v>
      </c>
      <c r="N31" s="68">
        <v>5</v>
      </c>
      <c r="O31" s="86">
        <v>1</v>
      </c>
      <c r="P31" s="129" t="e">
        <f>INDEX([2]Sheet1!$U:$U,MATCH($M31,[2]Sheet1!$BH:$BH,0),1)</f>
        <v>#N/A</v>
      </c>
      <c r="Q31" s="129">
        <f t="shared" si="0"/>
        <v>4</v>
      </c>
      <c r="R31" s="130" t="e">
        <f t="shared" si="1"/>
        <v>#N/A</v>
      </c>
      <c r="S31" s="129"/>
    </row>
    <row r="32" spans="1:23" s="65" customFormat="1">
      <c r="A32" s="64">
        <v>2014</v>
      </c>
      <c r="B32" s="66" t="str">
        <f>VLOOKUP($M32,[1]Sheet1!$A:$B,2,0)&amp;"x"&amp;$N32</f>
        <v>羊力大仙碎片x5</v>
      </c>
      <c r="C32" s="66">
        <v>2</v>
      </c>
      <c r="D32" s="65">
        <v>4</v>
      </c>
      <c r="E32" s="65">
        <v>4</v>
      </c>
      <c r="F32" s="66">
        <v>0</v>
      </c>
      <c r="G32" s="66">
        <v>200</v>
      </c>
      <c r="H32" s="67">
        <v>0</v>
      </c>
      <c r="I32" s="67">
        <v>1</v>
      </c>
      <c r="J32" s="67">
        <v>1</v>
      </c>
      <c r="K32" s="84" t="s">
        <v>108</v>
      </c>
      <c r="L32" s="85">
        <v>1</v>
      </c>
      <c r="M32" s="85">
        <v>10015</v>
      </c>
      <c r="N32" s="68">
        <v>5</v>
      </c>
      <c r="O32" s="86">
        <v>1</v>
      </c>
      <c r="P32" s="129" t="e">
        <f>INDEX([2]Sheet1!$U:$U,MATCH($M32,[2]Sheet1!$BH:$BH,0),1)</f>
        <v>#N/A</v>
      </c>
      <c r="Q32" s="129">
        <f t="shared" si="0"/>
        <v>4</v>
      </c>
      <c r="R32" s="130" t="e">
        <f t="shared" si="1"/>
        <v>#N/A</v>
      </c>
      <c r="S32" s="129"/>
    </row>
    <row r="33" spans="1:19" s="11" customFormat="1">
      <c r="A33" s="33">
        <v>2051</v>
      </c>
      <c r="B33" s="47" t="str">
        <f>VLOOKUP($M33,[1]Sheet1!$A:$B,2,0)&amp;"x"&amp;$N33</f>
        <v>文殊菩萨碎片x5</v>
      </c>
      <c r="C33" s="47">
        <v>2</v>
      </c>
      <c r="D33" s="11">
        <v>4</v>
      </c>
      <c r="E33" s="11">
        <v>4</v>
      </c>
      <c r="F33" s="47">
        <v>0</v>
      </c>
      <c r="G33" s="47">
        <v>175</v>
      </c>
      <c r="H33" s="35">
        <v>0</v>
      </c>
      <c r="I33" s="35">
        <v>1</v>
      </c>
      <c r="J33" s="35">
        <v>1</v>
      </c>
      <c r="K33" s="87" t="s">
        <v>108</v>
      </c>
      <c r="L33" s="88">
        <v>1</v>
      </c>
      <c r="M33" s="88">
        <v>10026</v>
      </c>
      <c r="N33" s="60">
        <v>5</v>
      </c>
      <c r="O33" s="89">
        <v>1</v>
      </c>
      <c r="P33" s="131" t="e">
        <f>INDEX([2]Sheet1!$U:$U,MATCH($M33,[2]Sheet1!$BH:$BH,0),1)</f>
        <v>#N/A</v>
      </c>
      <c r="Q33" s="131">
        <f t="shared" si="0"/>
        <v>4</v>
      </c>
      <c r="R33" s="131" t="e">
        <f t="shared" si="1"/>
        <v>#N/A</v>
      </c>
      <c r="S33" s="131"/>
    </row>
    <row r="34" spans="1:19" s="11" customFormat="1">
      <c r="A34" s="33">
        <v>2052</v>
      </c>
      <c r="B34" s="47" t="str">
        <f>VLOOKUP($M34,[1]Sheet1!$A:$B,2,0)&amp;"x"&amp;$N34</f>
        <v>唐三藏碎片x5</v>
      </c>
      <c r="C34" s="47">
        <v>2</v>
      </c>
      <c r="D34" s="11">
        <v>4</v>
      </c>
      <c r="E34" s="11">
        <v>4</v>
      </c>
      <c r="F34" s="47">
        <v>0</v>
      </c>
      <c r="G34" s="47">
        <v>175</v>
      </c>
      <c r="H34" s="35">
        <v>0</v>
      </c>
      <c r="I34" s="35">
        <v>1</v>
      </c>
      <c r="J34" s="35">
        <v>1</v>
      </c>
      <c r="K34" s="87" t="s">
        <v>108</v>
      </c>
      <c r="L34" s="88">
        <v>1</v>
      </c>
      <c r="M34" s="88">
        <v>10022</v>
      </c>
      <c r="N34" s="60">
        <v>5</v>
      </c>
      <c r="O34" s="89">
        <v>1</v>
      </c>
      <c r="P34" s="131" t="e">
        <f>INDEX([2]Sheet1!$U:$U,MATCH($M34,[2]Sheet1!$BH:$BH,0),1)</f>
        <v>#N/A</v>
      </c>
      <c r="Q34" s="131">
        <f t="shared" si="0"/>
        <v>4</v>
      </c>
      <c r="R34" s="131" t="e">
        <f t="shared" si="1"/>
        <v>#N/A</v>
      </c>
      <c r="S34" s="131"/>
    </row>
    <row r="35" spans="1:19" s="11" customFormat="1">
      <c r="A35" s="33">
        <v>2053</v>
      </c>
      <c r="B35" s="47" t="str">
        <f>VLOOKUP($M35,[1]Sheet1!$A:$B,2,0)&amp;"x"&amp;$N35</f>
        <v>迦叶碎片x5</v>
      </c>
      <c r="C35" s="47">
        <v>2</v>
      </c>
      <c r="D35" s="11">
        <v>4</v>
      </c>
      <c r="E35" s="11">
        <v>4</v>
      </c>
      <c r="F35" s="47">
        <v>0</v>
      </c>
      <c r="G35" s="47">
        <v>175</v>
      </c>
      <c r="H35" s="35">
        <v>0</v>
      </c>
      <c r="I35" s="35">
        <v>1</v>
      </c>
      <c r="J35" s="35">
        <v>1</v>
      </c>
      <c r="K35" s="87" t="s">
        <v>108</v>
      </c>
      <c r="L35" s="88">
        <v>1</v>
      </c>
      <c r="M35" s="88">
        <v>10025</v>
      </c>
      <c r="N35" s="60">
        <v>5</v>
      </c>
      <c r="O35" s="89">
        <v>1</v>
      </c>
      <c r="P35" s="131" t="e">
        <f>INDEX([2]Sheet1!$U:$U,MATCH($M35,[2]Sheet1!$BH:$BH,0),1)</f>
        <v>#N/A</v>
      </c>
      <c r="Q35" s="131">
        <f t="shared" si="0"/>
        <v>4</v>
      </c>
      <c r="R35" s="131" t="e">
        <f t="shared" si="1"/>
        <v>#N/A</v>
      </c>
      <c r="S35" s="131"/>
    </row>
    <row r="36" spans="1:19" s="11" customFormat="1">
      <c r="A36" s="33">
        <v>2054</v>
      </c>
      <c r="B36" s="47" t="str">
        <f>VLOOKUP($M36,[1]Sheet1!$A:$B,2,0)&amp;"x"&amp;$N36</f>
        <v>红孩儿碎片x5</v>
      </c>
      <c r="C36" s="47">
        <v>2</v>
      </c>
      <c r="D36" s="11">
        <v>4</v>
      </c>
      <c r="E36" s="11">
        <v>4</v>
      </c>
      <c r="F36" s="47">
        <v>0</v>
      </c>
      <c r="G36" s="47">
        <v>175</v>
      </c>
      <c r="H36" s="35">
        <v>0</v>
      </c>
      <c r="I36" s="35">
        <v>1</v>
      </c>
      <c r="J36" s="35">
        <v>1</v>
      </c>
      <c r="K36" s="87" t="s">
        <v>108</v>
      </c>
      <c r="L36" s="88">
        <v>1</v>
      </c>
      <c r="M36" s="88">
        <v>10010</v>
      </c>
      <c r="N36" s="60">
        <v>5</v>
      </c>
      <c r="O36" s="89">
        <v>1</v>
      </c>
      <c r="P36" s="131" t="e">
        <f>INDEX([2]Sheet1!$U:$U,MATCH($M36,[2]Sheet1!$BH:$BH,0),1)</f>
        <v>#N/A</v>
      </c>
      <c r="Q36" s="131">
        <f t="shared" si="0"/>
        <v>4</v>
      </c>
      <c r="R36" s="131" t="e">
        <f t="shared" si="1"/>
        <v>#N/A</v>
      </c>
      <c r="S36" s="131"/>
    </row>
    <row r="37" spans="1:19" s="11" customFormat="1">
      <c r="A37" s="33">
        <v>2055</v>
      </c>
      <c r="B37" s="47" t="str">
        <f>VLOOKUP($M37,[1]Sheet1!$A:$B,2,0)&amp;"x"&amp;$N37</f>
        <v>女儿国国王碎片x5</v>
      </c>
      <c r="C37" s="47">
        <v>2</v>
      </c>
      <c r="D37" s="11">
        <v>4</v>
      </c>
      <c r="E37" s="11">
        <v>4</v>
      </c>
      <c r="F37" s="47">
        <v>0</v>
      </c>
      <c r="G37" s="47">
        <v>175</v>
      </c>
      <c r="H37" s="35">
        <v>0</v>
      </c>
      <c r="I37" s="35">
        <v>1</v>
      </c>
      <c r="J37" s="35">
        <v>1</v>
      </c>
      <c r="K37" s="87" t="s">
        <v>108</v>
      </c>
      <c r="L37" s="88">
        <v>1</v>
      </c>
      <c r="M37" s="88">
        <v>10116</v>
      </c>
      <c r="N37" s="60">
        <v>5</v>
      </c>
      <c r="O37" s="89">
        <v>1</v>
      </c>
      <c r="P37" s="131" t="e">
        <f>INDEX([2]Sheet1!$U:$U,MATCH($M37,[2]Sheet1!$BH:$BH,0),1)</f>
        <v>#N/A</v>
      </c>
      <c r="Q37" s="131">
        <f t="shared" si="0"/>
        <v>4</v>
      </c>
      <c r="R37" s="131" t="e">
        <f t="shared" si="1"/>
        <v>#N/A</v>
      </c>
      <c r="S37" s="131"/>
    </row>
    <row r="38" spans="1:19" s="11" customFormat="1">
      <c r="A38" s="33">
        <v>2056</v>
      </c>
      <c r="B38" s="47" t="str">
        <f>VLOOKUP($M38,[1]Sheet1!$A:$B,2,0)&amp;"x"&amp;$N38</f>
        <v>人参娃碎片x5</v>
      </c>
      <c r="C38" s="47">
        <v>2</v>
      </c>
      <c r="D38" s="11">
        <v>4</v>
      </c>
      <c r="E38" s="11">
        <v>4</v>
      </c>
      <c r="F38" s="47">
        <v>0</v>
      </c>
      <c r="G38" s="47">
        <v>175</v>
      </c>
      <c r="H38" s="35">
        <v>0</v>
      </c>
      <c r="I38" s="35">
        <v>1</v>
      </c>
      <c r="J38" s="35">
        <v>1</v>
      </c>
      <c r="K38" s="87" t="s">
        <v>108</v>
      </c>
      <c r="L38" s="88">
        <v>1</v>
      </c>
      <c r="M38" s="88">
        <v>10102</v>
      </c>
      <c r="N38" s="60">
        <v>5</v>
      </c>
      <c r="O38" s="89">
        <v>1</v>
      </c>
      <c r="P38" s="131" t="e">
        <f>INDEX([2]Sheet1!$U:$U,MATCH($M38,[2]Sheet1!$BH:$BH,0),1)</f>
        <v>#N/A</v>
      </c>
      <c r="Q38" s="131">
        <f t="shared" si="0"/>
        <v>4</v>
      </c>
      <c r="R38" s="131" t="e">
        <f t="shared" si="1"/>
        <v>#N/A</v>
      </c>
      <c r="S38" s="131"/>
    </row>
    <row r="39" spans="1:19" s="11" customFormat="1">
      <c r="A39" s="33">
        <v>2057</v>
      </c>
      <c r="B39" s="47" t="str">
        <f>VLOOKUP($M39,[1]Sheet1!$A:$B,2,0)&amp;"x"&amp;$N39</f>
        <v>引魂仙子碎片x5</v>
      </c>
      <c r="C39" s="47">
        <v>2</v>
      </c>
      <c r="D39" s="11">
        <v>4</v>
      </c>
      <c r="E39" s="11">
        <v>4</v>
      </c>
      <c r="F39" s="47">
        <v>0</v>
      </c>
      <c r="G39" s="47">
        <v>175</v>
      </c>
      <c r="H39" s="35">
        <v>0</v>
      </c>
      <c r="I39" s="35">
        <v>1</v>
      </c>
      <c r="J39" s="35">
        <v>1</v>
      </c>
      <c r="K39" s="87" t="s">
        <v>108</v>
      </c>
      <c r="L39" s="88">
        <v>1</v>
      </c>
      <c r="M39" s="88">
        <v>10107</v>
      </c>
      <c r="N39" s="60">
        <v>5</v>
      </c>
      <c r="O39" s="89">
        <v>1</v>
      </c>
      <c r="P39" s="131" t="e">
        <f>INDEX([2]Sheet1!$U:$U,MATCH($M39,[2]Sheet1!$BH:$BH,0),1)</f>
        <v>#N/A</v>
      </c>
      <c r="Q39" s="131">
        <f t="shared" si="0"/>
        <v>4</v>
      </c>
      <c r="R39" s="131" t="e">
        <f t="shared" si="1"/>
        <v>#N/A</v>
      </c>
      <c r="S39" s="131"/>
    </row>
    <row r="40" spans="1:19" s="11" customFormat="1">
      <c r="A40" s="33">
        <v>2058</v>
      </c>
      <c r="B40" s="47" t="str">
        <f>VLOOKUP($M40,[1]Sheet1!$A:$B,2,0)&amp;"x"&amp;$N40</f>
        <v>九天玄女碎片x5</v>
      </c>
      <c r="C40" s="47">
        <v>2</v>
      </c>
      <c r="D40" s="11">
        <v>4</v>
      </c>
      <c r="E40" s="11">
        <v>4</v>
      </c>
      <c r="F40" s="47">
        <v>0</v>
      </c>
      <c r="G40" s="47">
        <v>175</v>
      </c>
      <c r="H40" s="35">
        <v>0</v>
      </c>
      <c r="I40" s="35">
        <v>1</v>
      </c>
      <c r="J40" s="35">
        <v>1</v>
      </c>
      <c r="K40" s="87" t="s">
        <v>108</v>
      </c>
      <c r="L40" s="88">
        <v>1</v>
      </c>
      <c r="M40" s="88">
        <v>10009</v>
      </c>
      <c r="N40" s="60">
        <v>5</v>
      </c>
      <c r="O40" s="89">
        <v>1</v>
      </c>
      <c r="P40" s="131" t="e">
        <f>INDEX([2]Sheet1!$U:$U,MATCH($M40,[2]Sheet1!$BH:$BH,0),1)</f>
        <v>#N/A</v>
      </c>
      <c r="Q40" s="131">
        <f t="shared" si="0"/>
        <v>4</v>
      </c>
      <c r="R40" s="131" t="e">
        <f t="shared" si="1"/>
        <v>#N/A</v>
      </c>
      <c r="S40" s="131"/>
    </row>
    <row r="41" spans="1:19" s="11" customFormat="1">
      <c r="A41" s="33">
        <v>2059</v>
      </c>
      <c r="B41" s="47" t="str">
        <f>VLOOKUP($M41,[1]Sheet1!$A:$B,2,0)&amp;"x"&amp;$N41</f>
        <v>玉皇大帝碎片x5</v>
      </c>
      <c r="C41" s="47">
        <v>2</v>
      </c>
      <c r="D41" s="11">
        <v>4</v>
      </c>
      <c r="E41" s="11">
        <v>4</v>
      </c>
      <c r="F41" s="47">
        <v>0</v>
      </c>
      <c r="G41" s="47">
        <v>175</v>
      </c>
      <c r="H41" s="35">
        <v>0</v>
      </c>
      <c r="I41" s="35">
        <v>1</v>
      </c>
      <c r="J41" s="35">
        <v>1</v>
      </c>
      <c r="K41" s="87" t="s">
        <v>108</v>
      </c>
      <c r="L41" s="88">
        <v>1</v>
      </c>
      <c r="M41" s="88">
        <v>10004</v>
      </c>
      <c r="N41" s="60">
        <v>5</v>
      </c>
      <c r="O41" s="89">
        <v>1</v>
      </c>
      <c r="P41" s="131" t="e">
        <f>INDEX([2]Sheet1!$U:$U,MATCH($M41,[2]Sheet1!$BH:$BH,0),1)</f>
        <v>#N/A</v>
      </c>
      <c r="Q41" s="131">
        <f t="shared" si="0"/>
        <v>4</v>
      </c>
      <c r="R41" s="131" t="e">
        <f t="shared" si="1"/>
        <v>#N/A</v>
      </c>
      <c r="S41" s="131"/>
    </row>
    <row r="42" spans="1:19" s="11" customFormat="1">
      <c r="A42" s="33">
        <v>2060</v>
      </c>
      <c r="B42" s="47" t="str">
        <f>VLOOKUP($M42,[1]Sheet1!$A:$B,2,0)&amp;"x"&amp;$N42</f>
        <v>赤脚大仙碎片x5</v>
      </c>
      <c r="C42" s="47">
        <v>2</v>
      </c>
      <c r="D42" s="11">
        <v>4</v>
      </c>
      <c r="E42" s="11">
        <v>4</v>
      </c>
      <c r="F42" s="47">
        <v>0</v>
      </c>
      <c r="G42" s="47">
        <v>175</v>
      </c>
      <c r="H42" s="35">
        <v>0</v>
      </c>
      <c r="I42" s="35">
        <v>1</v>
      </c>
      <c r="J42" s="35">
        <v>1</v>
      </c>
      <c r="K42" s="87" t="s">
        <v>108</v>
      </c>
      <c r="L42" s="88">
        <v>1</v>
      </c>
      <c r="M42" s="88">
        <v>10007</v>
      </c>
      <c r="N42" s="60">
        <v>5</v>
      </c>
      <c r="O42" s="89">
        <v>1</v>
      </c>
      <c r="P42" s="131" t="e">
        <f>INDEX([2]Sheet1!$U:$U,MATCH($M42,[2]Sheet1!$BH:$BH,0),1)</f>
        <v>#N/A</v>
      </c>
      <c r="Q42" s="131">
        <f t="shared" si="0"/>
        <v>4</v>
      </c>
      <c r="R42" s="131" t="e">
        <f t="shared" si="1"/>
        <v>#N/A</v>
      </c>
      <c r="S42" s="131"/>
    </row>
    <row r="43" spans="1:19" s="11" customFormat="1">
      <c r="A43" s="33">
        <v>2061</v>
      </c>
      <c r="B43" s="47" t="str">
        <f>VLOOKUP($M43,[1]Sheet1!$A:$B,2,0)&amp;"x"&amp;$N43</f>
        <v>东海龙王碎片x5</v>
      </c>
      <c r="C43" s="47">
        <v>2</v>
      </c>
      <c r="D43" s="11">
        <v>4</v>
      </c>
      <c r="E43" s="11">
        <v>4</v>
      </c>
      <c r="F43" s="47">
        <v>0</v>
      </c>
      <c r="G43" s="47">
        <v>175</v>
      </c>
      <c r="H43" s="35">
        <v>0</v>
      </c>
      <c r="I43" s="35">
        <v>1</v>
      </c>
      <c r="J43" s="35">
        <v>1</v>
      </c>
      <c r="K43" s="87" t="s">
        <v>108</v>
      </c>
      <c r="L43" s="88">
        <v>1</v>
      </c>
      <c r="M43" s="88">
        <v>10035</v>
      </c>
      <c r="N43" s="60">
        <v>5</v>
      </c>
      <c r="O43" s="89">
        <v>1</v>
      </c>
      <c r="P43" s="131" t="e">
        <f>INDEX([2]Sheet1!$U:$U,MATCH($M43,[2]Sheet1!$BH:$BH,0),1)</f>
        <v>#N/A</v>
      </c>
      <c r="Q43" s="131">
        <f t="shared" si="0"/>
        <v>4</v>
      </c>
      <c r="R43" s="131" t="e">
        <f t="shared" si="1"/>
        <v>#N/A</v>
      </c>
      <c r="S43" s="131"/>
    </row>
    <row r="44" spans="1:19" s="11" customFormat="1">
      <c r="A44" s="33">
        <v>2062</v>
      </c>
      <c r="B44" s="47" t="str">
        <f>VLOOKUP($M44,[1]Sheet1!$A:$B,2,0)&amp;"x"&amp;$N44</f>
        <v>小白龙碎片x5</v>
      </c>
      <c r="C44" s="47">
        <v>2</v>
      </c>
      <c r="D44" s="11">
        <v>4</v>
      </c>
      <c r="E44" s="11">
        <v>4</v>
      </c>
      <c r="F44" s="47">
        <v>0</v>
      </c>
      <c r="G44" s="47">
        <v>175</v>
      </c>
      <c r="H44" s="35">
        <v>0</v>
      </c>
      <c r="I44" s="35">
        <v>1</v>
      </c>
      <c r="J44" s="35">
        <v>1</v>
      </c>
      <c r="K44" s="87" t="s">
        <v>108</v>
      </c>
      <c r="L44" s="88">
        <v>1</v>
      </c>
      <c r="M44" s="88">
        <v>10023</v>
      </c>
      <c r="N44" s="60">
        <v>5</v>
      </c>
      <c r="O44" s="89">
        <v>1</v>
      </c>
      <c r="P44" s="131" t="e">
        <f>INDEX([2]Sheet1!$U:$U,MATCH($M44,[2]Sheet1!$BH:$BH,0),1)</f>
        <v>#N/A</v>
      </c>
      <c r="Q44" s="131">
        <f t="shared" si="0"/>
        <v>4</v>
      </c>
      <c r="R44" s="131" t="e">
        <f t="shared" si="1"/>
        <v>#N/A</v>
      </c>
      <c r="S44" s="131"/>
    </row>
    <row r="45" spans="1:19" s="11" customFormat="1">
      <c r="A45" s="33">
        <v>2063</v>
      </c>
      <c r="B45" s="47" t="str">
        <f>VLOOKUP($M45,[1]Sheet1!$A:$B,2,0)&amp;"x"&amp;$N45</f>
        <v>阎罗王碎片x5</v>
      </c>
      <c r="C45" s="47">
        <v>2</v>
      </c>
      <c r="D45" s="11">
        <v>4</v>
      </c>
      <c r="E45" s="11">
        <v>4</v>
      </c>
      <c r="F45" s="47">
        <v>0</v>
      </c>
      <c r="G45" s="47">
        <v>175</v>
      </c>
      <c r="H45" s="35">
        <v>0</v>
      </c>
      <c r="I45" s="35">
        <v>1</v>
      </c>
      <c r="J45" s="35">
        <v>1</v>
      </c>
      <c r="K45" s="87" t="s">
        <v>108</v>
      </c>
      <c r="L45" s="88">
        <v>1</v>
      </c>
      <c r="M45" s="88">
        <v>10101</v>
      </c>
      <c r="N45" s="60">
        <v>5</v>
      </c>
      <c r="O45" s="89">
        <v>1</v>
      </c>
      <c r="P45" s="131" t="e">
        <f>INDEX([2]Sheet1!$U:$U,MATCH($M45,[2]Sheet1!$BH:$BH,0),1)</f>
        <v>#N/A</v>
      </c>
      <c r="Q45" s="131">
        <f t="shared" si="0"/>
        <v>4</v>
      </c>
      <c r="R45" s="131" t="e">
        <f t="shared" si="1"/>
        <v>#N/A</v>
      </c>
      <c r="S45" s="131"/>
    </row>
    <row r="46" spans="1:19" s="11" customFormat="1">
      <c r="A46" s="33">
        <v>2064</v>
      </c>
      <c r="B46" s="47" t="str">
        <f>VLOOKUP($M46,[1]Sheet1!$A:$B,2,0)&amp;"x"&amp;$N46</f>
        <v>太白金星碎片x5</v>
      </c>
      <c r="C46" s="47">
        <v>2</v>
      </c>
      <c r="D46" s="11">
        <v>4</v>
      </c>
      <c r="E46" s="11">
        <v>4</v>
      </c>
      <c r="F46" s="47">
        <v>0</v>
      </c>
      <c r="G46" s="47">
        <v>175</v>
      </c>
      <c r="H46" s="35">
        <v>0</v>
      </c>
      <c r="I46" s="35">
        <v>1</v>
      </c>
      <c r="J46" s="35">
        <v>1</v>
      </c>
      <c r="K46" s="87" t="s">
        <v>108</v>
      </c>
      <c r="L46" s="88">
        <v>1</v>
      </c>
      <c r="M46" s="88">
        <v>10006</v>
      </c>
      <c r="N46" s="60">
        <v>5</v>
      </c>
      <c r="O46" s="89">
        <v>1</v>
      </c>
      <c r="P46" s="131" t="e">
        <f>INDEX([2]Sheet1!$U:$U,MATCH($M46,[2]Sheet1!$BH:$BH,0),1)</f>
        <v>#N/A</v>
      </c>
      <c r="Q46" s="131">
        <f t="shared" si="0"/>
        <v>4</v>
      </c>
      <c r="R46" s="131" t="e">
        <f t="shared" si="1"/>
        <v>#N/A</v>
      </c>
      <c r="S46" s="131"/>
    </row>
    <row r="47" spans="1:19" s="11" customFormat="1">
      <c r="A47" s="33">
        <v>2065</v>
      </c>
      <c r="B47" s="47" t="str">
        <f>VLOOKUP($M47,[1]Sheet1!$A:$B,2,0)&amp;"x"&amp;$N47</f>
        <v>白骨夫人碎片x5</v>
      </c>
      <c r="C47" s="47">
        <v>2</v>
      </c>
      <c r="D47" s="11">
        <v>4</v>
      </c>
      <c r="E47" s="11">
        <v>4</v>
      </c>
      <c r="F47" s="47">
        <v>0</v>
      </c>
      <c r="G47" s="47">
        <v>175</v>
      </c>
      <c r="H47" s="35">
        <v>0</v>
      </c>
      <c r="I47" s="35">
        <v>1</v>
      </c>
      <c r="J47" s="35">
        <v>1</v>
      </c>
      <c r="K47" s="87" t="s">
        <v>108</v>
      </c>
      <c r="L47" s="88">
        <v>1</v>
      </c>
      <c r="M47" s="88">
        <v>10016</v>
      </c>
      <c r="N47" s="60">
        <v>5</v>
      </c>
      <c r="O47" s="89">
        <v>1</v>
      </c>
      <c r="P47" s="131" t="e">
        <f>INDEX([2]Sheet1!$U:$U,MATCH($M47,[2]Sheet1!$BH:$BH,0),1)</f>
        <v>#N/A</v>
      </c>
      <c r="Q47" s="131">
        <f t="shared" si="0"/>
        <v>4</v>
      </c>
      <c r="R47" s="131" t="e">
        <f t="shared" si="1"/>
        <v>#N/A</v>
      </c>
      <c r="S47" s="131"/>
    </row>
    <row r="48" spans="1:19" s="11" customFormat="1">
      <c r="A48" s="33">
        <v>2066</v>
      </c>
      <c r="B48" s="47" t="str">
        <f>VLOOKUP($M48,[1]Sheet1!$A:$B,2,0)&amp;"x"&amp;$N48</f>
        <v>六耳猕猴碎片x5</v>
      </c>
      <c r="C48" s="47">
        <v>2</v>
      </c>
      <c r="D48" s="11">
        <v>4</v>
      </c>
      <c r="E48" s="11">
        <v>4</v>
      </c>
      <c r="F48" s="47">
        <v>0</v>
      </c>
      <c r="G48" s="47">
        <v>175</v>
      </c>
      <c r="H48" s="35">
        <v>0</v>
      </c>
      <c r="I48" s="35">
        <v>1</v>
      </c>
      <c r="J48" s="35">
        <v>1</v>
      </c>
      <c r="K48" s="87" t="s">
        <v>108</v>
      </c>
      <c r="L48" s="88">
        <v>1</v>
      </c>
      <c r="M48" s="88">
        <v>10017</v>
      </c>
      <c r="N48" s="60">
        <v>5</v>
      </c>
      <c r="O48" s="89">
        <v>1</v>
      </c>
      <c r="P48" s="131" t="e">
        <f>INDEX([2]Sheet1!$U:$U,MATCH($M48,[2]Sheet1!$BH:$BH,0),1)</f>
        <v>#N/A</v>
      </c>
      <c r="Q48" s="131">
        <f t="shared" si="0"/>
        <v>4</v>
      </c>
      <c r="R48" s="131" t="e">
        <f t="shared" si="1"/>
        <v>#N/A</v>
      </c>
      <c r="S48" s="131"/>
    </row>
    <row r="49" spans="1:19" s="11" customFormat="1">
      <c r="A49" s="33">
        <v>2067</v>
      </c>
      <c r="B49" s="47" t="str">
        <f>VLOOKUP($M49,[1]Sheet1!$A:$B,2,0)&amp;"x"&amp;$N49</f>
        <v>鹿力大仙碎片x5</v>
      </c>
      <c r="C49" s="47">
        <v>2</v>
      </c>
      <c r="D49" s="11">
        <v>4</v>
      </c>
      <c r="E49" s="11">
        <v>4</v>
      </c>
      <c r="F49" s="47">
        <v>0</v>
      </c>
      <c r="G49" s="47">
        <v>175</v>
      </c>
      <c r="H49" s="35">
        <v>0</v>
      </c>
      <c r="I49" s="35">
        <v>1</v>
      </c>
      <c r="J49" s="35">
        <v>1</v>
      </c>
      <c r="K49" s="87" t="s">
        <v>108</v>
      </c>
      <c r="L49" s="88">
        <v>1</v>
      </c>
      <c r="M49" s="88">
        <v>10014</v>
      </c>
      <c r="N49" s="60">
        <v>5</v>
      </c>
      <c r="O49" s="89">
        <v>1</v>
      </c>
      <c r="P49" s="131" t="e">
        <f>INDEX([2]Sheet1!$U:$U,MATCH($M49,[2]Sheet1!$BH:$BH,0),1)</f>
        <v>#N/A</v>
      </c>
      <c r="Q49" s="131">
        <f t="shared" si="0"/>
        <v>4</v>
      </c>
      <c r="R49" s="131" t="e">
        <f t="shared" si="1"/>
        <v>#N/A</v>
      </c>
      <c r="S49" s="131"/>
    </row>
    <row r="50" spans="1:19" s="11" customFormat="1">
      <c r="A50" s="33">
        <v>2068</v>
      </c>
      <c r="B50" s="47" t="str">
        <f>VLOOKUP($M50,[1]Sheet1!$A:$B,2,0)&amp;"x"&amp;$N50</f>
        <v>混世魔王碎片x5</v>
      </c>
      <c r="C50" s="47">
        <v>2</v>
      </c>
      <c r="D50" s="11">
        <v>4</v>
      </c>
      <c r="E50" s="11">
        <v>4</v>
      </c>
      <c r="F50" s="47">
        <v>0</v>
      </c>
      <c r="G50" s="47">
        <v>175</v>
      </c>
      <c r="H50" s="35">
        <v>0</v>
      </c>
      <c r="I50" s="35">
        <v>1</v>
      </c>
      <c r="J50" s="35">
        <v>1</v>
      </c>
      <c r="K50" s="87" t="s">
        <v>108</v>
      </c>
      <c r="L50" s="60">
        <v>1</v>
      </c>
      <c r="M50" s="88">
        <v>10032</v>
      </c>
      <c r="N50" s="60">
        <v>5</v>
      </c>
      <c r="O50" s="89">
        <v>1</v>
      </c>
      <c r="P50" s="131" t="e">
        <f>INDEX([2]Sheet1!$U:$U,MATCH($M50,[2]Sheet1!$BH:$BH,0),1)</f>
        <v>#N/A</v>
      </c>
      <c r="Q50" s="131">
        <f t="shared" si="0"/>
        <v>4</v>
      </c>
      <c r="R50" s="131" t="e">
        <f t="shared" si="1"/>
        <v>#N/A</v>
      </c>
      <c r="S50" s="131"/>
    </row>
    <row r="51" spans="1:19" s="11" customFormat="1">
      <c r="A51" s="33">
        <v>2069</v>
      </c>
      <c r="B51" s="47" t="str">
        <f>VLOOKUP($M51,[1]Sheet1!$A:$B,2,0)&amp;"x"&amp;$N51</f>
        <v>蝎子精碎片x5</v>
      </c>
      <c r="C51" s="47">
        <v>2</v>
      </c>
      <c r="D51" s="11">
        <v>4</v>
      </c>
      <c r="E51" s="11">
        <v>4</v>
      </c>
      <c r="F51" s="47">
        <v>0</v>
      </c>
      <c r="G51" s="47">
        <v>175</v>
      </c>
      <c r="H51" s="35">
        <v>0</v>
      </c>
      <c r="I51" s="35">
        <v>1</v>
      </c>
      <c r="J51" s="35">
        <v>1</v>
      </c>
      <c r="K51" s="87" t="s">
        <v>108</v>
      </c>
      <c r="L51" s="88">
        <v>1</v>
      </c>
      <c r="M51" s="88">
        <v>10031</v>
      </c>
      <c r="N51" s="60">
        <v>5</v>
      </c>
      <c r="O51" s="89">
        <v>1</v>
      </c>
      <c r="P51" s="131" t="e">
        <f>INDEX([2]Sheet1!$U:$U,MATCH($M51,[2]Sheet1!$BH:$BH,0),1)</f>
        <v>#N/A</v>
      </c>
      <c r="Q51" s="131">
        <f t="shared" ref="Q51:Q53" si="2">E51</f>
        <v>4</v>
      </c>
      <c r="R51" s="131" t="e">
        <f t="shared" si="1"/>
        <v>#N/A</v>
      </c>
      <c r="S51" s="131"/>
    </row>
    <row r="52" spans="1:19" s="11" customFormat="1">
      <c r="A52" s="33">
        <v>2070</v>
      </c>
      <c r="B52" s="47" t="str">
        <f>VLOOKUP($M52,[1]Sheet1!$A:$B,2,0)&amp;"x"&amp;$N52</f>
        <v>蜘蛛精碎片x5</v>
      </c>
      <c r="C52" s="47">
        <v>2</v>
      </c>
      <c r="D52" s="11">
        <v>4</v>
      </c>
      <c r="E52" s="11">
        <v>4</v>
      </c>
      <c r="F52" s="47">
        <v>0</v>
      </c>
      <c r="G52" s="47">
        <v>175</v>
      </c>
      <c r="H52" s="35">
        <v>0</v>
      </c>
      <c r="I52" s="35">
        <v>1</v>
      </c>
      <c r="J52" s="35">
        <v>1</v>
      </c>
      <c r="K52" s="87" t="s">
        <v>108</v>
      </c>
      <c r="L52" s="88">
        <v>1</v>
      </c>
      <c r="M52" s="88">
        <v>10037</v>
      </c>
      <c r="N52" s="60">
        <v>5</v>
      </c>
      <c r="O52" s="89">
        <v>1</v>
      </c>
      <c r="P52" s="131" t="e">
        <f>INDEX([2]Sheet1!$U:$U,MATCH($M52,[2]Sheet1!$BH:$BH,0),1)</f>
        <v>#N/A</v>
      </c>
      <c r="Q52" s="131">
        <f t="shared" si="2"/>
        <v>4</v>
      </c>
      <c r="R52" s="131" t="e">
        <f t="shared" si="1"/>
        <v>#N/A</v>
      </c>
      <c r="S52" s="131"/>
    </row>
    <row r="53" spans="1:19" s="11" customFormat="1">
      <c r="A53" s="33">
        <v>2071</v>
      </c>
      <c r="B53" s="47" t="str">
        <f>VLOOKUP($M53,[1]Sheet1!$A:$B,2,0)&amp;"x"&amp;$N53</f>
        <v>彩蝶仙童碎片x5</v>
      </c>
      <c r="C53" s="47">
        <v>2</v>
      </c>
      <c r="D53" s="11">
        <v>4</v>
      </c>
      <c r="E53" s="11">
        <v>4</v>
      </c>
      <c r="F53" s="47">
        <v>0</v>
      </c>
      <c r="G53" s="47">
        <v>175</v>
      </c>
      <c r="H53" s="35">
        <v>0</v>
      </c>
      <c r="I53" s="35">
        <v>1</v>
      </c>
      <c r="J53" s="35">
        <v>1</v>
      </c>
      <c r="K53" s="87" t="s">
        <v>108</v>
      </c>
      <c r="L53" s="88">
        <v>1</v>
      </c>
      <c r="M53" s="88">
        <v>10108</v>
      </c>
      <c r="N53" s="60">
        <v>5</v>
      </c>
      <c r="O53" s="89">
        <v>1</v>
      </c>
      <c r="P53" s="131" t="e">
        <f>INDEX([2]Sheet1!$U:$U,MATCH($M53,[2]Sheet1!$BH:$BH,0),1)</f>
        <v>#N/A</v>
      </c>
      <c r="Q53" s="131">
        <f t="shared" si="2"/>
        <v>4</v>
      </c>
      <c r="R53" s="131" t="e">
        <f t="shared" si="1"/>
        <v>#N/A</v>
      </c>
      <c r="S53" s="131"/>
    </row>
    <row r="54" spans="1:19" s="10" customFormat="1">
      <c r="A54" s="30">
        <v>2100</v>
      </c>
      <c r="B54" s="46" t="str">
        <f>VLOOKUP($M54,[1]Sheet1!$A:$B,2,0)&amp;"x"&amp;$N54</f>
        <v>地藏王碎片x5</v>
      </c>
      <c r="C54" s="46">
        <v>2</v>
      </c>
      <c r="D54" s="10">
        <v>4</v>
      </c>
      <c r="E54" s="10">
        <v>4</v>
      </c>
      <c r="F54" s="46">
        <v>0</v>
      </c>
      <c r="G54" s="46">
        <v>100</v>
      </c>
      <c r="H54" s="32">
        <v>0</v>
      </c>
      <c r="I54" s="32">
        <v>1</v>
      </c>
      <c r="J54" s="32">
        <v>1</v>
      </c>
      <c r="K54" s="90" t="s">
        <v>108</v>
      </c>
      <c r="L54" s="91">
        <v>1</v>
      </c>
      <c r="M54" s="91">
        <v>10030</v>
      </c>
      <c r="N54" s="59">
        <v>5</v>
      </c>
      <c r="O54" s="92">
        <v>1</v>
      </c>
      <c r="P54" s="132" t="e">
        <f>INDEX([2]Sheet1!$U:$U,MATCH($M54,[2]Sheet1!$BH:$BH,0),1)</f>
        <v>#N/A</v>
      </c>
      <c r="Q54" s="132">
        <f t="shared" si="0"/>
        <v>4</v>
      </c>
      <c r="R54" s="132" t="e">
        <f t="shared" si="1"/>
        <v>#N/A</v>
      </c>
      <c r="S54" s="132"/>
    </row>
    <row r="55" spans="1:19" s="10" customFormat="1">
      <c r="A55" s="30">
        <v>2101</v>
      </c>
      <c r="B55" s="46" t="str">
        <f>VLOOKUP($M55,[1]Sheet1!$A:$B,2,0)&amp;"x"&amp;$N55</f>
        <v>混沌碎片x5</v>
      </c>
      <c r="C55" s="46">
        <v>2</v>
      </c>
      <c r="D55" s="10">
        <v>4</v>
      </c>
      <c r="E55" s="10">
        <v>4</v>
      </c>
      <c r="F55" s="46">
        <v>0</v>
      </c>
      <c r="G55" s="46">
        <v>100</v>
      </c>
      <c r="H55" s="32">
        <v>0</v>
      </c>
      <c r="I55" s="32">
        <v>1</v>
      </c>
      <c r="J55" s="32">
        <v>1</v>
      </c>
      <c r="K55" s="90" t="s">
        <v>108</v>
      </c>
      <c r="L55" s="91">
        <v>1</v>
      </c>
      <c r="M55" s="91">
        <v>10018</v>
      </c>
      <c r="N55" s="59">
        <v>5</v>
      </c>
      <c r="O55" s="92">
        <v>1</v>
      </c>
      <c r="P55" s="132" t="e">
        <f>INDEX([2]Sheet1!$U:$U,MATCH($M55,[2]Sheet1!$BH:$BH,0),1)</f>
        <v>#N/A</v>
      </c>
      <c r="Q55" s="132">
        <f t="shared" si="0"/>
        <v>4</v>
      </c>
      <c r="R55" s="132" t="e">
        <f t="shared" si="1"/>
        <v>#N/A</v>
      </c>
      <c r="S55" s="132"/>
    </row>
    <row r="56" spans="1:19" s="10" customFormat="1">
      <c r="A56" s="30">
        <v>2102</v>
      </c>
      <c r="B56" s="46" t="str">
        <f>VLOOKUP($M56,[1]Sheet1!$A:$B,2,0)&amp;"x"&amp;$N56</f>
        <v>白龙公主碎片x5</v>
      </c>
      <c r="C56" s="46">
        <v>2</v>
      </c>
      <c r="D56" s="10">
        <v>4</v>
      </c>
      <c r="E56" s="10">
        <v>4</v>
      </c>
      <c r="F56" s="46">
        <v>0</v>
      </c>
      <c r="G56" s="46">
        <v>100</v>
      </c>
      <c r="H56" s="32">
        <v>0</v>
      </c>
      <c r="I56" s="32">
        <v>1</v>
      </c>
      <c r="J56" s="32">
        <v>1</v>
      </c>
      <c r="K56" s="90" t="s">
        <v>108</v>
      </c>
      <c r="L56" s="91">
        <v>1</v>
      </c>
      <c r="M56" s="91">
        <v>10036</v>
      </c>
      <c r="N56" s="59">
        <v>5</v>
      </c>
      <c r="O56" s="92">
        <v>1</v>
      </c>
      <c r="P56" s="132" t="e">
        <f>INDEX([2]Sheet1!$U:$U,MATCH($M56,[2]Sheet1!$BH:$BH,0),1)</f>
        <v>#N/A</v>
      </c>
      <c r="Q56" s="132">
        <f t="shared" si="0"/>
        <v>4</v>
      </c>
      <c r="R56" s="132" t="e">
        <f t="shared" si="1"/>
        <v>#N/A</v>
      </c>
      <c r="S56" s="132"/>
    </row>
    <row r="57" spans="1:19" s="10" customFormat="1">
      <c r="A57" s="30">
        <v>2103</v>
      </c>
      <c r="B57" s="46" t="str">
        <f>VLOOKUP($M57,[1]Sheet1!$A:$B,2,0)&amp;"x"&amp;$N57</f>
        <v>赛太岁碎片x5</v>
      </c>
      <c r="C57" s="46">
        <v>2</v>
      </c>
      <c r="D57" s="10">
        <v>4</v>
      </c>
      <c r="E57" s="10">
        <v>4</v>
      </c>
      <c r="F57" s="46">
        <v>0</v>
      </c>
      <c r="G57" s="46">
        <v>100</v>
      </c>
      <c r="H57" s="32">
        <v>0</v>
      </c>
      <c r="I57" s="32">
        <v>1</v>
      </c>
      <c r="J57" s="32">
        <v>1</v>
      </c>
      <c r="K57" s="90" t="s">
        <v>108</v>
      </c>
      <c r="L57" s="91">
        <v>1</v>
      </c>
      <c r="M57" s="91">
        <v>10028</v>
      </c>
      <c r="N57" s="59">
        <v>5</v>
      </c>
      <c r="O57" s="92">
        <v>1</v>
      </c>
      <c r="P57" s="132" t="e">
        <f>INDEX([2]Sheet1!$U:$U,MATCH($M57,[2]Sheet1!$BH:$BH,0),1)</f>
        <v>#N/A</v>
      </c>
      <c r="Q57" s="132">
        <f t="shared" si="0"/>
        <v>4</v>
      </c>
      <c r="R57" s="132" t="e">
        <f t="shared" si="1"/>
        <v>#N/A</v>
      </c>
      <c r="S57" s="132"/>
    </row>
    <row r="58" spans="1:19" s="10" customFormat="1">
      <c r="A58" s="30">
        <v>2104</v>
      </c>
      <c r="B58" s="46" t="str">
        <f>VLOOKUP($M58,[1]Sheet1!$A:$B,2,0)&amp;"x"&amp;$N58</f>
        <v>琴仙碎片x5</v>
      </c>
      <c r="C58" s="46">
        <v>2</v>
      </c>
      <c r="D58" s="10">
        <v>4</v>
      </c>
      <c r="E58" s="10">
        <v>4</v>
      </c>
      <c r="F58" s="46">
        <v>0</v>
      </c>
      <c r="G58" s="46">
        <v>100</v>
      </c>
      <c r="H58" s="32">
        <v>0</v>
      </c>
      <c r="I58" s="32">
        <v>1</v>
      </c>
      <c r="J58" s="32">
        <v>1</v>
      </c>
      <c r="K58" s="90" t="s">
        <v>108</v>
      </c>
      <c r="L58" s="91">
        <v>1</v>
      </c>
      <c r="M58" s="91">
        <v>10092</v>
      </c>
      <c r="N58" s="59">
        <v>5</v>
      </c>
      <c r="O58" s="92">
        <v>1</v>
      </c>
      <c r="P58" s="132" t="e">
        <f>INDEX([2]Sheet1!$U:$U,MATCH($M58,[2]Sheet1!$BH:$BH,0),1)</f>
        <v>#N/A</v>
      </c>
      <c r="Q58" s="132">
        <f t="shared" si="0"/>
        <v>4</v>
      </c>
      <c r="R58" s="132" t="e">
        <f t="shared" si="1"/>
        <v>#N/A</v>
      </c>
      <c r="S58" s="132"/>
    </row>
    <row r="59" spans="1:19" s="10" customFormat="1">
      <c r="A59" s="30">
        <v>2105</v>
      </c>
      <c r="B59" s="46" t="str">
        <f>VLOOKUP($M59,[1]Sheet1!$A:$B,2,0)&amp;"x"&amp;$N59</f>
        <v>黑熊精碎片x5</v>
      </c>
      <c r="C59" s="46">
        <v>2</v>
      </c>
      <c r="D59" s="10">
        <v>4</v>
      </c>
      <c r="E59" s="10">
        <v>4</v>
      </c>
      <c r="F59" s="46">
        <v>0</v>
      </c>
      <c r="G59" s="46">
        <v>100</v>
      </c>
      <c r="H59" s="32">
        <v>0</v>
      </c>
      <c r="I59" s="32">
        <v>1</v>
      </c>
      <c r="J59" s="32">
        <v>1</v>
      </c>
      <c r="K59" s="90" t="s">
        <v>108</v>
      </c>
      <c r="L59" s="91">
        <v>1</v>
      </c>
      <c r="M59" s="91">
        <v>10052</v>
      </c>
      <c r="N59" s="59">
        <v>5</v>
      </c>
      <c r="O59" s="92">
        <v>1</v>
      </c>
      <c r="P59" s="132" t="e">
        <f>INDEX([2]Sheet1!$U:$U,MATCH($M59,[2]Sheet1!$BH:$BH,0),1)</f>
        <v>#N/A</v>
      </c>
      <c r="Q59" s="132">
        <f t="shared" si="0"/>
        <v>4</v>
      </c>
      <c r="R59" s="132" t="e">
        <f t="shared" si="1"/>
        <v>#N/A</v>
      </c>
      <c r="S59" s="132"/>
    </row>
    <row r="60" spans="1:19" s="10" customFormat="1">
      <c r="A60" s="30">
        <v>2106</v>
      </c>
      <c r="B60" s="46" t="str">
        <f>VLOOKUP($M60,[1]Sheet1!$A:$B,2,0)&amp;"x"&amp;$N60</f>
        <v>泾河龙王碎片x5</v>
      </c>
      <c r="C60" s="46">
        <v>2</v>
      </c>
      <c r="D60" s="10">
        <v>4</v>
      </c>
      <c r="E60" s="10">
        <v>4</v>
      </c>
      <c r="F60" s="46">
        <v>0</v>
      </c>
      <c r="G60" s="46">
        <v>100</v>
      </c>
      <c r="H60" s="32">
        <v>0</v>
      </c>
      <c r="I60" s="32">
        <v>1</v>
      </c>
      <c r="J60" s="32">
        <v>1</v>
      </c>
      <c r="K60" s="90" t="s">
        <v>108</v>
      </c>
      <c r="L60" s="91">
        <v>1</v>
      </c>
      <c r="M60" s="91">
        <v>10034</v>
      </c>
      <c r="N60" s="59">
        <v>5</v>
      </c>
      <c r="O60" s="92">
        <v>1</v>
      </c>
      <c r="P60" s="132" t="e">
        <f>INDEX([2]Sheet1!$U:$U,MATCH($M60,[2]Sheet1!$BH:$BH,0),1)</f>
        <v>#N/A</v>
      </c>
      <c r="Q60" s="132">
        <f t="shared" si="0"/>
        <v>4</v>
      </c>
      <c r="R60" s="132" t="e">
        <f t="shared" si="1"/>
        <v>#N/A</v>
      </c>
      <c r="S60" s="132"/>
    </row>
    <row r="61" spans="1:19" s="10" customFormat="1">
      <c r="A61" s="30">
        <v>2107</v>
      </c>
      <c r="B61" s="46" t="str">
        <f>VLOOKUP($M61,[1]Sheet1!$A:$B,2,0)&amp;"x"&amp;$N61</f>
        <v>雷公碎片x5</v>
      </c>
      <c r="C61" s="46">
        <v>2</v>
      </c>
      <c r="D61" s="10">
        <v>4</v>
      </c>
      <c r="E61" s="10">
        <v>4</v>
      </c>
      <c r="F61" s="46">
        <v>0</v>
      </c>
      <c r="G61" s="46">
        <v>100</v>
      </c>
      <c r="H61" s="32">
        <v>0</v>
      </c>
      <c r="I61" s="32">
        <v>1</v>
      </c>
      <c r="J61" s="32">
        <v>1</v>
      </c>
      <c r="K61" s="90" t="s">
        <v>108</v>
      </c>
      <c r="L61" s="91">
        <v>1</v>
      </c>
      <c r="M61" s="91">
        <v>10033</v>
      </c>
      <c r="N61" s="59">
        <v>5</v>
      </c>
      <c r="O61" s="92">
        <v>1</v>
      </c>
      <c r="P61" s="132" t="e">
        <f>INDEX([2]Sheet1!$U:$U,MATCH($M61,[2]Sheet1!$BH:$BH,0),1)</f>
        <v>#N/A</v>
      </c>
      <c r="Q61" s="132">
        <f t="shared" si="0"/>
        <v>4</v>
      </c>
      <c r="R61" s="132" t="e">
        <f t="shared" si="1"/>
        <v>#N/A</v>
      </c>
      <c r="S61" s="132"/>
    </row>
    <row r="62" spans="1:19" s="10" customFormat="1">
      <c r="A62" s="30">
        <v>2108</v>
      </c>
      <c r="B62" s="46" t="str">
        <f>VLOOKUP($M62,[1]Sheet1!$A:$B,2,0)&amp;"x"&amp;$N62</f>
        <v>鬼使黑碎片x5</v>
      </c>
      <c r="C62" s="46">
        <v>2</v>
      </c>
      <c r="D62" s="10">
        <v>4</v>
      </c>
      <c r="E62" s="10">
        <v>4</v>
      </c>
      <c r="F62" s="46">
        <v>0</v>
      </c>
      <c r="G62" s="46">
        <v>100</v>
      </c>
      <c r="H62" s="32">
        <v>0</v>
      </c>
      <c r="I62" s="32">
        <v>1</v>
      </c>
      <c r="J62" s="32">
        <v>1</v>
      </c>
      <c r="K62" s="90" t="s">
        <v>108</v>
      </c>
      <c r="L62" s="91">
        <v>1</v>
      </c>
      <c r="M62" s="91">
        <v>10103</v>
      </c>
      <c r="N62" s="59">
        <v>5</v>
      </c>
      <c r="O62" s="92">
        <v>1</v>
      </c>
      <c r="P62" s="132" t="e">
        <f>INDEX([2]Sheet1!$U:$U,MATCH($M62,[2]Sheet1!$BH:$BH,0),1)</f>
        <v>#N/A</v>
      </c>
      <c r="Q62" s="132">
        <f t="shared" si="0"/>
        <v>4</v>
      </c>
      <c r="R62" s="132" t="e">
        <f t="shared" si="1"/>
        <v>#N/A</v>
      </c>
      <c r="S62" s="132"/>
    </row>
    <row r="63" spans="1:19" s="10" customFormat="1">
      <c r="A63" s="30">
        <v>2109</v>
      </c>
      <c r="B63" s="46" t="str">
        <f>VLOOKUP($M63,[1]Sheet1!$A:$B,2,0)&amp;"x"&amp;$N63</f>
        <v>鬼使白碎片x5</v>
      </c>
      <c r="C63" s="46">
        <v>2</v>
      </c>
      <c r="D63" s="10">
        <v>4</v>
      </c>
      <c r="E63" s="10">
        <v>4</v>
      </c>
      <c r="F63" s="46">
        <v>0</v>
      </c>
      <c r="G63" s="46">
        <v>100</v>
      </c>
      <c r="H63" s="32">
        <v>0</v>
      </c>
      <c r="I63" s="32">
        <v>1</v>
      </c>
      <c r="J63" s="32">
        <v>1</v>
      </c>
      <c r="K63" s="90" t="s">
        <v>108</v>
      </c>
      <c r="L63" s="91">
        <v>1</v>
      </c>
      <c r="M63" s="91">
        <v>10104</v>
      </c>
      <c r="N63" s="59">
        <v>5</v>
      </c>
      <c r="O63" s="92">
        <v>1</v>
      </c>
      <c r="P63" s="132" t="e">
        <f>INDEX([2]Sheet1!$U:$U,MATCH($M63,[2]Sheet1!$BH:$BH,0),1)</f>
        <v>#N/A</v>
      </c>
      <c r="Q63" s="132">
        <f t="shared" si="0"/>
        <v>4</v>
      </c>
      <c r="R63" s="132" t="e">
        <f t="shared" si="1"/>
        <v>#N/A</v>
      </c>
      <c r="S63" s="132"/>
    </row>
    <row r="64" spans="1:19" s="10" customFormat="1">
      <c r="A64" s="30">
        <v>2110</v>
      </c>
      <c r="B64" s="46" t="str">
        <f>VLOOKUP($M64,[1]Sheet1!$A:$B,2,0)&amp;"x"&amp;$N64</f>
        <v>牛头碎片x5</v>
      </c>
      <c r="C64" s="46">
        <v>2</v>
      </c>
      <c r="D64" s="10">
        <v>4</v>
      </c>
      <c r="E64" s="10">
        <v>4</v>
      </c>
      <c r="F64" s="46">
        <v>0</v>
      </c>
      <c r="G64" s="46">
        <v>100</v>
      </c>
      <c r="H64" s="32">
        <v>0</v>
      </c>
      <c r="I64" s="32">
        <v>1</v>
      </c>
      <c r="J64" s="32">
        <v>1</v>
      </c>
      <c r="K64" s="90" t="s">
        <v>108</v>
      </c>
      <c r="L64" s="91">
        <v>1</v>
      </c>
      <c r="M64" s="91">
        <v>10106</v>
      </c>
      <c r="N64" s="59">
        <v>5</v>
      </c>
      <c r="O64" s="92">
        <v>1</v>
      </c>
      <c r="P64" s="132" t="e">
        <f>INDEX([2]Sheet1!$U:$U,MATCH($M64,[2]Sheet1!$BH:$BH,0),1)</f>
        <v>#N/A</v>
      </c>
      <c r="Q64" s="132">
        <f t="shared" si="0"/>
        <v>4</v>
      </c>
      <c r="R64" s="132" t="e">
        <f t="shared" si="1"/>
        <v>#N/A</v>
      </c>
      <c r="S64" s="132"/>
    </row>
    <row r="65" spans="1:23" s="10" customFormat="1">
      <c r="A65" s="30">
        <v>2111</v>
      </c>
      <c r="B65" s="46" t="str">
        <f>VLOOKUP($M65,[1]Sheet1!$A:$B,2,0)&amp;"x"&amp;$N65</f>
        <v>马面碎片x5</v>
      </c>
      <c r="C65" s="46">
        <v>2</v>
      </c>
      <c r="D65" s="10">
        <v>4</v>
      </c>
      <c r="E65" s="10">
        <v>4</v>
      </c>
      <c r="F65" s="46">
        <v>0</v>
      </c>
      <c r="G65" s="46">
        <v>100</v>
      </c>
      <c r="H65" s="32">
        <v>0</v>
      </c>
      <c r="I65" s="32">
        <v>1</v>
      </c>
      <c r="J65" s="32">
        <v>1</v>
      </c>
      <c r="K65" s="90" t="s">
        <v>108</v>
      </c>
      <c r="L65" s="91">
        <v>1</v>
      </c>
      <c r="M65" s="91">
        <v>10105</v>
      </c>
      <c r="N65" s="59">
        <v>5</v>
      </c>
      <c r="O65" s="92">
        <v>1</v>
      </c>
      <c r="P65" s="132" t="e">
        <f>INDEX([2]Sheet1!$U:$U,MATCH($M65,[2]Sheet1!$BH:$BH,0),1)</f>
        <v>#N/A</v>
      </c>
      <c r="Q65" s="132">
        <f t="shared" si="0"/>
        <v>4</v>
      </c>
      <c r="R65" s="132" t="e">
        <f t="shared" si="1"/>
        <v>#N/A</v>
      </c>
      <c r="S65" s="132"/>
    </row>
    <row r="66" spans="1:23" s="10" customFormat="1">
      <c r="A66" s="30">
        <v>2112</v>
      </c>
      <c r="B66" s="46" t="str">
        <f>VLOOKUP($M66,[1]Sheet1!$A:$B,2,0)&amp;"x"&amp;$N66</f>
        <v>金钱豹王碎片x5</v>
      </c>
      <c r="C66" s="46">
        <v>2</v>
      </c>
      <c r="D66" s="10">
        <v>4</v>
      </c>
      <c r="E66" s="10">
        <v>4</v>
      </c>
      <c r="F66" s="46">
        <v>0</v>
      </c>
      <c r="G66" s="46">
        <v>100</v>
      </c>
      <c r="H66" s="32">
        <v>0</v>
      </c>
      <c r="I66" s="32">
        <v>1</v>
      </c>
      <c r="J66" s="32">
        <v>1</v>
      </c>
      <c r="K66" s="90" t="s">
        <v>108</v>
      </c>
      <c r="L66" s="91">
        <v>1</v>
      </c>
      <c r="M66" s="91">
        <v>10039</v>
      </c>
      <c r="N66" s="59">
        <v>5</v>
      </c>
      <c r="O66" s="92">
        <v>1</v>
      </c>
      <c r="P66" s="132" t="e">
        <f>INDEX([2]Sheet1!$U:$U,MATCH($M66,[2]Sheet1!$BH:$BH,0),1)</f>
        <v>#N/A</v>
      </c>
      <c r="Q66" s="132">
        <f t="shared" si="0"/>
        <v>4</v>
      </c>
      <c r="R66" s="132" t="e">
        <f t="shared" si="1"/>
        <v>#N/A</v>
      </c>
      <c r="S66" s="132"/>
    </row>
    <row r="67" spans="1:23" s="10" customFormat="1">
      <c r="A67" s="30">
        <v>2113</v>
      </c>
      <c r="B67" s="46" t="str">
        <f>VLOOKUP($M67,[1]Sheet1!$A:$B,2,0)&amp;"x"&amp;$N67</f>
        <v>墨鱼精碎片x5</v>
      </c>
      <c r="C67" s="46">
        <v>2</v>
      </c>
      <c r="D67" s="10">
        <v>4</v>
      </c>
      <c r="E67" s="10">
        <v>4</v>
      </c>
      <c r="F67" s="46">
        <v>0</v>
      </c>
      <c r="G67" s="46">
        <v>100</v>
      </c>
      <c r="H67" s="32">
        <v>0</v>
      </c>
      <c r="I67" s="32">
        <v>1</v>
      </c>
      <c r="J67" s="32">
        <v>1</v>
      </c>
      <c r="K67" s="90" t="s">
        <v>108</v>
      </c>
      <c r="L67" s="91">
        <v>1</v>
      </c>
      <c r="M67" s="91">
        <v>10040</v>
      </c>
      <c r="N67" s="59">
        <v>5</v>
      </c>
      <c r="O67" s="92">
        <v>1</v>
      </c>
      <c r="P67" s="132" t="e">
        <f>INDEX([2]Sheet1!$U:$U,MATCH($M67,[2]Sheet1!$BH:$BH,0),1)</f>
        <v>#N/A</v>
      </c>
      <c r="Q67" s="132">
        <f t="shared" si="0"/>
        <v>4</v>
      </c>
      <c r="R67" s="132" t="e">
        <f t="shared" si="1"/>
        <v>#N/A</v>
      </c>
      <c r="S67" s="132"/>
    </row>
    <row r="68" spans="1:23" s="10" customFormat="1">
      <c r="A68" s="30">
        <v>2114</v>
      </c>
      <c r="B68" s="46" t="str">
        <f>VLOOKUP($M68,[1]Sheet1!$A:$B,2,0)&amp;"x"&amp;$N68</f>
        <v>玉面夫人碎片x5</v>
      </c>
      <c r="C68" s="46">
        <v>2</v>
      </c>
      <c r="D68" s="10">
        <v>4</v>
      </c>
      <c r="E68" s="10">
        <v>4</v>
      </c>
      <c r="F68" s="46">
        <v>0</v>
      </c>
      <c r="G68" s="46">
        <v>100</v>
      </c>
      <c r="H68" s="32">
        <v>0</v>
      </c>
      <c r="I68" s="32">
        <v>1</v>
      </c>
      <c r="J68" s="32">
        <v>1</v>
      </c>
      <c r="K68" s="90" t="s">
        <v>108</v>
      </c>
      <c r="L68" s="91">
        <v>1</v>
      </c>
      <c r="M68" s="91">
        <v>10038</v>
      </c>
      <c r="N68" s="59">
        <v>5</v>
      </c>
      <c r="O68" s="92">
        <v>1</v>
      </c>
      <c r="P68" s="132" t="e">
        <f>INDEX([2]Sheet1!$U:$U,MATCH($M68,[2]Sheet1!$BH:$BH,0),1)</f>
        <v>#N/A</v>
      </c>
      <c r="Q68" s="132">
        <f t="shared" si="0"/>
        <v>4</v>
      </c>
      <c r="R68" s="132" t="e">
        <f t="shared" si="1"/>
        <v>#N/A</v>
      </c>
      <c r="S68" s="132"/>
    </row>
    <row r="69" spans="1:23" s="10" customFormat="1">
      <c r="A69" s="30">
        <v>2115</v>
      </c>
      <c r="B69" s="46" t="str">
        <f>VLOOKUP($M69,[1]Sheet1!$A:$B,2,0)&amp;"x"&amp;$N69</f>
        <v>扇子精碎片x5</v>
      </c>
      <c r="C69" s="46">
        <v>2</v>
      </c>
      <c r="D69" s="10">
        <v>4</v>
      </c>
      <c r="E69" s="10">
        <v>4</v>
      </c>
      <c r="F69" s="46">
        <v>0</v>
      </c>
      <c r="G69" s="46">
        <v>100</v>
      </c>
      <c r="H69" s="32">
        <v>0</v>
      </c>
      <c r="I69" s="32">
        <v>1</v>
      </c>
      <c r="J69" s="32">
        <v>1</v>
      </c>
      <c r="K69" s="90" t="s">
        <v>108</v>
      </c>
      <c r="L69" s="91">
        <v>1</v>
      </c>
      <c r="M69" s="91">
        <v>10126</v>
      </c>
      <c r="N69" s="59">
        <v>5</v>
      </c>
      <c r="O69" s="92">
        <v>1</v>
      </c>
      <c r="P69" s="132" t="e">
        <f>INDEX([2]Sheet1!$U:$U,MATCH($M69,[2]Sheet1!$BH:$BH,0),1)</f>
        <v>#N/A</v>
      </c>
      <c r="Q69" s="132">
        <f t="shared" si="0"/>
        <v>4</v>
      </c>
      <c r="R69" s="132" t="e">
        <f t="shared" si="1"/>
        <v>#N/A</v>
      </c>
      <c r="S69" s="132"/>
    </row>
    <row r="70" spans="1:23" s="10" customFormat="1">
      <c r="A70" s="30">
        <v>2116</v>
      </c>
      <c r="B70" s="46" t="str">
        <f>VLOOKUP($M70,[1]Sheet1!$A:$B,2,0)&amp;"x"&amp;$N70</f>
        <v>玉兔碎片x5</v>
      </c>
      <c r="C70" s="46">
        <v>2</v>
      </c>
      <c r="D70" s="10">
        <v>4</v>
      </c>
      <c r="E70" s="10">
        <v>4</v>
      </c>
      <c r="F70" s="46">
        <v>0</v>
      </c>
      <c r="G70" s="46">
        <v>100</v>
      </c>
      <c r="H70" s="32">
        <v>0</v>
      </c>
      <c r="I70" s="32">
        <v>1</v>
      </c>
      <c r="J70" s="32">
        <v>1</v>
      </c>
      <c r="K70" s="90" t="s">
        <v>108</v>
      </c>
      <c r="L70" s="91">
        <v>1</v>
      </c>
      <c r="M70" s="91">
        <v>10041</v>
      </c>
      <c r="N70" s="59">
        <v>5</v>
      </c>
      <c r="O70" s="92">
        <v>1</v>
      </c>
      <c r="P70" s="132" t="e">
        <f>INDEX([2]Sheet1!$U:$U,MATCH($M70,[2]Sheet1!$BH:$BH,0),1)</f>
        <v>#N/A</v>
      </c>
      <c r="Q70" s="132">
        <f t="shared" ref="Q70:Q123" si="3">E70</f>
        <v>4</v>
      </c>
      <c r="R70" s="132" t="e">
        <f t="shared" si="1"/>
        <v>#N/A</v>
      </c>
      <c r="S70" s="132"/>
    </row>
    <row r="71" spans="1:23" s="10" customFormat="1">
      <c r="A71" s="30">
        <v>2117</v>
      </c>
      <c r="B71" s="46" t="str">
        <f>VLOOKUP($M71,[1]Sheet1!$A:$B,2,0)&amp;"x"&amp;$N71</f>
        <v>蟹将碎片x5</v>
      </c>
      <c r="C71" s="46">
        <v>2</v>
      </c>
      <c r="D71" s="10">
        <v>4</v>
      </c>
      <c r="E71" s="10">
        <v>4</v>
      </c>
      <c r="F71" s="46">
        <v>0</v>
      </c>
      <c r="G71" s="46">
        <v>100</v>
      </c>
      <c r="H71" s="32">
        <v>0</v>
      </c>
      <c r="I71" s="32">
        <v>1</v>
      </c>
      <c r="J71" s="32">
        <v>1</v>
      </c>
      <c r="K71" s="90" t="s">
        <v>108</v>
      </c>
      <c r="L71" s="91">
        <v>1</v>
      </c>
      <c r="M71" s="91">
        <v>10404</v>
      </c>
      <c r="N71" s="59">
        <v>5</v>
      </c>
      <c r="O71" s="92">
        <v>1</v>
      </c>
      <c r="P71" s="132" t="e">
        <f>INDEX([2]Sheet1!$U:$U,MATCH($M71,[2]Sheet1!$BH:$BH,0),1)</f>
        <v>#N/A</v>
      </c>
      <c r="Q71" s="132">
        <f t="shared" si="3"/>
        <v>4</v>
      </c>
      <c r="R71" s="132" t="e">
        <f t="shared" si="1"/>
        <v>#N/A</v>
      </c>
      <c r="S71" s="132"/>
    </row>
    <row r="72" spans="1:23" s="65" customFormat="1">
      <c r="A72" s="64">
        <f t="shared" ref="A72:A135" si="4">A18+150</f>
        <v>2150</v>
      </c>
      <c r="B72" s="66" t="str">
        <f>VLOOKUP($M72,[1]Sheet1!$A:$B,2,0)&amp;"x"&amp;$N72</f>
        <v>弥勒佛碎片x10</v>
      </c>
      <c r="C72" s="66">
        <v>2</v>
      </c>
      <c r="D72" s="65">
        <v>4</v>
      </c>
      <c r="E72" s="65">
        <v>4</v>
      </c>
      <c r="F72" s="66">
        <v>0</v>
      </c>
      <c r="G72" s="66">
        <v>400</v>
      </c>
      <c r="H72" s="67">
        <v>0</v>
      </c>
      <c r="I72" s="67">
        <v>1</v>
      </c>
      <c r="J72" s="67">
        <v>1</v>
      </c>
      <c r="K72" s="84" t="s">
        <v>108</v>
      </c>
      <c r="L72" s="85">
        <v>1</v>
      </c>
      <c r="M72" s="85">
        <v>10027</v>
      </c>
      <c r="N72" s="68">
        <v>10</v>
      </c>
      <c r="O72" s="86">
        <v>1</v>
      </c>
      <c r="P72" s="129" t="e">
        <f>INDEX([2]Sheet1!$U:$U,MATCH($M72,[2]Sheet1!$BH:$BH,0),1)</f>
        <v>#N/A</v>
      </c>
      <c r="Q72" s="129">
        <f t="shared" si="3"/>
        <v>4</v>
      </c>
      <c r="R72" s="130" t="e">
        <f t="shared" si="1"/>
        <v>#N/A</v>
      </c>
      <c r="S72" s="130"/>
      <c r="T72" s="66"/>
      <c r="U72" s="66"/>
      <c r="V72" s="66"/>
      <c r="W72" s="66"/>
    </row>
    <row r="73" spans="1:23" s="65" customFormat="1">
      <c r="A73" s="64">
        <f t="shared" si="4"/>
        <v>2151</v>
      </c>
      <c r="B73" s="66" t="str">
        <f>VLOOKUP($M73,[1]Sheet1!$A:$B,2,0)&amp;"x"&amp;$N73</f>
        <v>金蝉子碎片x10</v>
      </c>
      <c r="C73" s="66">
        <v>2</v>
      </c>
      <c r="D73" s="65">
        <v>4</v>
      </c>
      <c r="E73" s="65">
        <v>4</v>
      </c>
      <c r="F73" s="66">
        <v>0</v>
      </c>
      <c r="G73" s="66">
        <v>400</v>
      </c>
      <c r="H73" s="67">
        <v>0</v>
      </c>
      <c r="I73" s="67">
        <v>1</v>
      </c>
      <c r="J73" s="67">
        <v>1</v>
      </c>
      <c r="K73" s="84" t="s">
        <v>108</v>
      </c>
      <c r="L73" s="85">
        <v>1</v>
      </c>
      <c r="M73" s="85">
        <v>10112</v>
      </c>
      <c r="N73" s="68">
        <v>10</v>
      </c>
      <c r="O73" s="86">
        <v>1</v>
      </c>
      <c r="P73" s="129" t="e">
        <f>INDEX([2]Sheet1!$U:$U,MATCH($M73,[2]Sheet1!$BH:$BH,0),1)</f>
        <v>#N/A</v>
      </c>
      <c r="Q73" s="129">
        <f t="shared" si="3"/>
        <v>4</v>
      </c>
      <c r="R73" s="130" t="e">
        <f t="shared" si="1"/>
        <v>#N/A</v>
      </c>
      <c r="S73" s="129"/>
    </row>
    <row r="74" spans="1:23" s="65" customFormat="1">
      <c r="A74" s="64">
        <f t="shared" si="4"/>
        <v>2152</v>
      </c>
      <c r="B74" s="66" t="str">
        <f>VLOOKUP($M74,[1]Sheet1!$A:$B,2,0)&amp;"x"&amp;$N74</f>
        <v>龙帝碎片x10</v>
      </c>
      <c r="C74" s="66">
        <v>2</v>
      </c>
      <c r="D74" s="65">
        <v>4</v>
      </c>
      <c r="E74" s="65">
        <v>4</v>
      </c>
      <c r="F74" s="66">
        <v>0</v>
      </c>
      <c r="G74" s="66">
        <v>400</v>
      </c>
      <c r="H74" s="67">
        <v>0</v>
      </c>
      <c r="I74" s="67">
        <v>1</v>
      </c>
      <c r="J74" s="67">
        <v>1</v>
      </c>
      <c r="K74" s="84" t="s">
        <v>108</v>
      </c>
      <c r="L74" s="85">
        <v>1</v>
      </c>
      <c r="M74" s="85">
        <v>10113</v>
      </c>
      <c r="N74" s="68">
        <v>10</v>
      </c>
      <c r="O74" s="86">
        <v>1</v>
      </c>
      <c r="P74" s="129" t="e">
        <f>INDEX([2]Sheet1!$U:$U,MATCH($M74,[2]Sheet1!$BH:$BH,0),1)</f>
        <v>#N/A</v>
      </c>
      <c r="Q74" s="129">
        <f t="shared" si="3"/>
        <v>4</v>
      </c>
      <c r="R74" s="130" t="e">
        <f t="shared" si="1"/>
        <v>#N/A</v>
      </c>
      <c r="S74" s="129"/>
    </row>
    <row r="75" spans="1:23" s="65" customFormat="1">
      <c r="A75" s="64">
        <f t="shared" si="4"/>
        <v>2153</v>
      </c>
      <c r="B75" s="66" t="str">
        <f>VLOOKUP($M75,[1]Sheet1!$A:$B,2,0)&amp;"x"&amp;$N75</f>
        <v>八部天龙碎片x10</v>
      </c>
      <c r="C75" s="66">
        <v>2</v>
      </c>
      <c r="D75" s="65">
        <v>4</v>
      </c>
      <c r="E75" s="65">
        <v>4</v>
      </c>
      <c r="F75" s="66">
        <v>0</v>
      </c>
      <c r="G75" s="66">
        <v>400</v>
      </c>
      <c r="H75" s="67">
        <v>0</v>
      </c>
      <c r="I75" s="67">
        <v>1</v>
      </c>
      <c r="J75" s="67">
        <v>1</v>
      </c>
      <c r="K75" s="84" t="s">
        <v>108</v>
      </c>
      <c r="L75" s="85">
        <v>1</v>
      </c>
      <c r="M75" s="85">
        <v>10114</v>
      </c>
      <c r="N75" s="68">
        <v>10</v>
      </c>
      <c r="O75" s="86">
        <v>1</v>
      </c>
      <c r="P75" s="129" t="e">
        <f>INDEX([2]Sheet1!$U:$U,MATCH($M75,[2]Sheet1!$BH:$BH,0),1)</f>
        <v>#N/A</v>
      </c>
      <c r="Q75" s="129">
        <f t="shared" si="3"/>
        <v>4</v>
      </c>
      <c r="R75" s="130" t="e">
        <f t="shared" si="1"/>
        <v>#N/A</v>
      </c>
      <c r="S75" s="129"/>
    </row>
    <row r="76" spans="1:23" s="65" customFormat="1">
      <c r="A76" s="64">
        <f t="shared" si="4"/>
        <v>2154</v>
      </c>
      <c r="B76" s="66" t="str">
        <f>VLOOKUP($M76,[1]Sheet1!$A:$B,2,0)&amp;"x"&amp;$N76</f>
        <v>观世音碎片x10</v>
      </c>
      <c r="C76" s="66">
        <v>2</v>
      </c>
      <c r="D76" s="65">
        <v>4</v>
      </c>
      <c r="E76" s="65">
        <v>4</v>
      </c>
      <c r="F76" s="66">
        <v>0</v>
      </c>
      <c r="G76" s="66">
        <v>400</v>
      </c>
      <c r="H76" s="67">
        <v>0</v>
      </c>
      <c r="I76" s="67">
        <v>1</v>
      </c>
      <c r="J76" s="67">
        <v>1</v>
      </c>
      <c r="K76" s="84" t="s">
        <v>108</v>
      </c>
      <c r="L76" s="85">
        <v>1</v>
      </c>
      <c r="M76" s="85">
        <v>10115</v>
      </c>
      <c r="N76" s="68">
        <v>10</v>
      </c>
      <c r="O76" s="86">
        <v>1</v>
      </c>
      <c r="P76" s="129" t="e">
        <f>INDEX([2]Sheet1!$U:$U,MATCH($M76,[2]Sheet1!$BH:$BH,0),1)</f>
        <v>#N/A</v>
      </c>
      <c r="Q76" s="129">
        <f t="shared" si="3"/>
        <v>4</v>
      </c>
      <c r="R76" s="130" t="e">
        <f t="shared" si="1"/>
        <v>#N/A</v>
      </c>
      <c r="S76" s="129"/>
    </row>
    <row r="77" spans="1:23" s="65" customFormat="1">
      <c r="A77" s="64">
        <f t="shared" si="4"/>
        <v>2155</v>
      </c>
      <c r="B77" s="66" t="str">
        <f>VLOOKUP($M77,[1]Sheet1!$A:$B,2,0)&amp;"x"&amp;$N77</f>
        <v>托塔天王碎片x10</v>
      </c>
      <c r="C77" s="66">
        <v>2</v>
      </c>
      <c r="D77" s="65">
        <v>4</v>
      </c>
      <c r="E77" s="65">
        <v>4</v>
      </c>
      <c r="F77" s="66">
        <v>0</v>
      </c>
      <c r="G77" s="66">
        <v>400</v>
      </c>
      <c r="H77" s="67">
        <v>0</v>
      </c>
      <c r="I77" s="67">
        <v>1</v>
      </c>
      <c r="J77" s="67">
        <v>1</v>
      </c>
      <c r="K77" s="84" t="s">
        <v>108</v>
      </c>
      <c r="L77" s="85">
        <v>1</v>
      </c>
      <c r="M77" s="85">
        <v>10008</v>
      </c>
      <c r="N77" s="68">
        <v>10</v>
      </c>
      <c r="O77" s="86">
        <v>1</v>
      </c>
      <c r="P77" s="129" t="e">
        <f>INDEX([2]Sheet1!$U:$U,MATCH($M77,[2]Sheet1!$BH:$BH,0),1)</f>
        <v>#N/A</v>
      </c>
      <c r="Q77" s="129">
        <f t="shared" si="3"/>
        <v>4</v>
      </c>
      <c r="R77" s="130" t="e">
        <f t="shared" si="1"/>
        <v>#N/A</v>
      </c>
      <c r="S77" s="129"/>
    </row>
    <row r="78" spans="1:23" s="65" customFormat="1">
      <c r="A78" s="64">
        <f t="shared" si="4"/>
        <v>2156</v>
      </c>
      <c r="B78" s="66" t="str">
        <f>VLOOKUP($M78,[1]Sheet1!$A:$B,2,0)&amp;"x"&amp;$N78</f>
        <v>黑无常碎片x10</v>
      </c>
      <c r="C78" s="66">
        <v>2</v>
      </c>
      <c r="D78" s="65">
        <v>4</v>
      </c>
      <c r="E78" s="65">
        <v>4</v>
      </c>
      <c r="F78" s="66">
        <v>0</v>
      </c>
      <c r="G78" s="66">
        <v>400</v>
      </c>
      <c r="H78" s="67">
        <v>0</v>
      </c>
      <c r="I78" s="67">
        <v>1</v>
      </c>
      <c r="J78" s="67">
        <v>1</v>
      </c>
      <c r="K78" s="84" t="s">
        <v>108</v>
      </c>
      <c r="L78" s="85">
        <v>1</v>
      </c>
      <c r="M78" s="85">
        <v>10119</v>
      </c>
      <c r="N78" s="68">
        <v>10</v>
      </c>
      <c r="O78" s="86">
        <v>1</v>
      </c>
      <c r="P78" s="129" t="e">
        <f>INDEX([2]Sheet1!$U:$U,MATCH($M78,[2]Sheet1!$BH:$BH,0),1)</f>
        <v>#N/A</v>
      </c>
      <c r="Q78" s="129">
        <f t="shared" si="3"/>
        <v>4</v>
      </c>
      <c r="R78" s="130" t="e">
        <f t="shared" si="1"/>
        <v>#N/A</v>
      </c>
      <c r="S78" s="129"/>
    </row>
    <row r="79" spans="1:23" s="65" customFormat="1">
      <c r="A79" s="64">
        <f t="shared" si="4"/>
        <v>2157</v>
      </c>
      <c r="B79" s="66" t="str">
        <f>VLOOKUP($M79,[1]Sheet1!$A:$B,2,0)&amp;"x"&amp;$N79</f>
        <v>哪吒碎片x10</v>
      </c>
      <c r="C79" s="66">
        <v>2</v>
      </c>
      <c r="D79" s="65">
        <v>4</v>
      </c>
      <c r="E79" s="65">
        <v>4</v>
      </c>
      <c r="F79" s="66">
        <v>0</v>
      </c>
      <c r="G79" s="66">
        <v>400</v>
      </c>
      <c r="H79" s="67">
        <v>0</v>
      </c>
      <c r="I79" s="67">
        <v>1</v>
      </c>
      <c r="J79" s="67">
        <v>1</v>
      </c>
      <c r="K79" s="84" t="s">
        <v>108</v>
      </c>
      <c r="L79" s="85">
        <v>1</v>
      </c>
      <c r="M79" s="85">
        <v>10002</v>
      </c>
      <c r="N79" s="68">
        <v>10</v>
      </c>
      <c r="O79" s="86">
        <v>1</v>
      </c>
      <c r="P79" s="129" t="e">
        <f>INDEX([2]Sheet1!$U:$U,MATCH($M79,[2]Sheet1!$BH:$BH,0),1)</f>
        <v>#N/A</v>
      </c>
      <c r="Q79" s="129">
        <f t="shared" si="3"/>
        <v>4</v>
      </c>
      <c r="R79" s="130" t="e">
        <f t="shared" si="1"/>
        <v>#N/A</v>
      </c>
      <c r="S79" s="129"/>
    </row>
    <row r="80" spans="1:23" s="65" customFormat="1">
      <c r="A80" s="64">
        <f t="shared" si="4"/>
        <v>2158</v>
      </c>
      <c r="B80" s="66" t="str">
        <f>VLOOKUP($M80,[1]Sheet1!$A:$B,2,0)&amp;"x"&amp;$N80</f>
        <v>白无常碎片x10</v>
      </c>
      <c r="C80" s="66">
        <v>2</v>
      </c>
      <c r="D80" s="65">
        <v>4</v>
      </c>
      <c r="E80" s="65">
        <v>4</v>
      </c>
      <c r="F80" s="66">
        <v>0</v>
      </c>
      <c r="G80" s="66">
        <v>400</v>
      </c>
      <c r="H80" s="67">
        <v>0</v>
      </c>
      <c r="I80" s="67">
        <v>1</v>
      </c>
      <c r="J80" s="67">
        <v>1</v>
      </c>
      <c r="K80" s="84" t="s">
        <v>108</v>
      </c>
      <c r="L80" s="85">
        <v>1</v>
      </c>
      <c r="M80" s="85">
        <v>10118</v>
      </c>
      <c r="N80" s="68">
        <v>10</v>
      </c>
      <c r="O80" s="86">
        <v>1</v>
      </c>
      <c r="P80" s="129" t="e">
        <f>INDEX([2]Sheet1!$U:$U,MATCH($M80,[2]Sheet1!$BH:$BH,0),1)</f>
        <v>#N/A</v>
      </c>
      <c r="Q80" s="129">
        <f t="shared" si="3"/>
        <v>4</v>
      </c>
      <c r="R80" s="130" t="e">
        <f t="shared" si="1"/>
        <v>#N/A</v>
      </c>
      <c r="S80" s="129"/>
    </row>
    <row r="81" spans="1:19" s="65" customFormat="1">
      <c r="A81" s="64">
        <f t="shared" si="4"/>
        <v>2159</v>
      </c>
      <c r="B81" s="66" t="str">
        <f>VLOOKUP($M81,[1]Sheet1!$A:$B,2,0)&amp;"x"&amp;$N81</f>
        <v>嫦娥碎片x10</v>
      </c>
      <c r="C81" s="66">
        <v>2</v>
      </c>
      <c r="D81" s="65">
        <v>4</v>
      </c>
      <c r="E81" s="65">
        <v>4</v>
      </c>
      <c r="F81" s="66">
        <v>0</v>
      </c>
      <c r="G81" s="66">
        <v>400</v>
      </c>
      <c r="H81" s="67">
        <v>0</v>
      </c>
      <c r="I81" s="67">
        <v>1</v>
      </c>
      <c r="J81" s="67">
        <v>1</v>
      </c>
      <c r="K81" s="84" t="s">
        <v>108</v>
      </c>
      <c r="L81" s="85">
        <v>1</v>
      </c>
      <c r="M81" s="85">
        <v>10003</v>
      </c>
      <c r="N81" s="68">
        <v>10</v>
      </c>
      <c r="O81" s="86">
        <v>1</v>
      </c>
      <c r="P81" s="129" t="e">
        <f>INDEX([2]Sheet1!$U:$U,MATCH($M81,[2]Sheet1!$BH:$BH,0),1)</f>
        <v>#N/A</v>
      </c>
      <c r="Q81" s="129">
        <f t="shared" si="3"/>
        <v>4</v>
      </c>
      <c r="R81" s="130" t="e">
        <f t="shared" si="1"/>
        <v>#N/A</v>
      </c>
      <c r="S81" s="129"/>
    </row>
    <row r="82" spans="1:19" s="65" customFormat="1">
      <c r="A82" s="64">
        <f t="shared" si="4"/>
        <v>2160</v>
      </c>
      <c r="B82" s="66" t="str">
        <f>VLOOKUP($M82,[1]Sheet1!$A:$B,2,0)&amp;"x"&amp;$N82</f>
        <v>铁扇公主碎片x10</v>
      </c>
      <c r="C82" s="66">
        <v>2</v>
      </c>
      <c r="D82" s="65">
        <v>4</v>
      </c>
      <c r="E82" s="65">
        <v>4</v>
      </c>
      <c r="F82" s="66">
        <v>0</v>
      </c>
      <c r="G82" s="66">
        <v>400</v>
      </c>
      <c r="H82" s="67">
        <v>0</v>
      </c>
      <c r="I82" s="67">
        <v>1</v>
      </c>
      <c r="J82" s="67">
        <v>1</v>
      </c>
      <c r="K82" s="84" t="s">
        <v>108</v>
      </c>
      <c r="L82" s="85">
        <v>1</v>
      </c>
      <c r="M82" s="85">
        <v>10011</v>
      </c>
      <c r="N82" s="68">
        <v>10</v>
      </c>
      <c r="O82" s="86">
        <v>1</v>
      </c>
      <c r="P82" s="129" t="e">
        <f>INDEX([2]Sheet1!$U:$U,MATCH($M82,[2]Sheet1!$BH:$BH,0),1)</f>
        <v>#N/A</v>
      </c>
      <c r="Q82" s="129">
        <f t="shared" si="3"/>
        <v>4</v>
      </c>
      <c r="R82" s="130" t="e">
        <f t="shared" si="1"/>
        <v>#N/A</v>
      </c>
      <c r="S82" s="129"/>
    </row>
    <row r="83" spans="1:19" s="65" customFormat="1">
      <c r="A83" s="64">
        <f t="shared" si="4"/>
        <v>2161</v>
      </c>
      <c r="B83" s="66" t="str">
        <f>VLOOKUP($M83,[1]Sheet1!$A:$B,2,0)&amp;"x"&amp;$N83</f>
        <v>牛魔王碎片x10</v>
      </c>
      <c r="C83" s="66">
        <v>2</v>
      </c>
      <c r="D83" s="65">
        <v>4</v>
      </c>
      <c r="E83" s="65">
        <v>4</v>
      </c>
      <c r="F83" s="66">
        <v>0</v>
      </c>
      <c r="G83" s="66">
        <v>400</v>
      </c>
      <c r="H83" s="67">
        <v>0</v>
      </c>
      <c r="I83" s="67">
        <v>1</v>
      </c>
      <c r="J83" s="67">
        <v>1</v>
      </c>
      <c r="K83" s="84" t="s">
        <v>108</v>
      </c>
      <c r="L83" s="85">
        <v>1</v>
      </c>
      <c r="M83" s="85">
        <v>10012</v>
      </c>
      <c r="N83" s="68">
        <v>10</v>
      </c>
      <c r="O83" s="86">
        <v>1</v>
      </c>
      <c r="P83" s="129" t="e">
        <f>INDEX([2]Sheet1!$U:$U,MATCH($M83,[2]Sheet1!$BH:$BH,0),1)</f>
        <v>#N/A</v>
      </c>
      <c r="Q83" s="129">
        <f t="shared" si="3"/>
        <v>4</v>
      </c>
      <c r="R83" s="130" t="e">
        <f t="shared" ref="R83:R146" si="5">IF($P83&lt;&gt;$P82,"["&amp;$A83&amp;",1]",$R82&amp;IF($O83=1,",["&amp;$A83&amp;",1]",""))</f>
        <v>#N/A</v>
      </c>
      <c r="S83" s="129"/>
    </row>
    <row r="84" spans="1:19" s="65" customFormat="1">
      <c r="A84" s="64">
        <f t="shared" si="4"/>
        <v>2162</v>
      </c>
      <c r="B84" s="66" t="str">
        <f>VLOOKUP($M84,[1]Sheet1!$A:$B,2,0)&amp;"x"&amp;$N84</f>
        <v>虎力大仙碎片x10</v>
      </c>
      <c r="C84" s="66">
        <v>2</v>
      </c>
      <c r="D84" s="65">
        <v>4</v>
      </c>
      <c r="E84" s="65">
        <v>4</v>
      </c>
      <c r="F84" s="66">
        <v>0</v>
      </c>
      <c r="G84" s="66">
        <v>400</v>
      </c>
      <c r="H84" s="67">
        <v>0</v>
      </c>
      <c r="I84" s="67">
        <v>1</v>
      </c>
      <c r="J84" s="67">
        <v>1</v>
      </c>
      <c r="K84" s="84" t="s">
        <v>108</v>
      </c>
      <c r="L84" s="85">
        <v>1</v>
      </c>
      <c r="M84" s="85">
        <v>10013</v>
      </c>
      <c r="N84" s="68">
        <v>10</v>
      </c>
      <c r="O84" s="86">
        <v>1</v>
      </c>
      <c r="P84" s="129" t="e">
        <f>INDEX([2]Sheet1!$U:$U,MATCH($M84,[2]Sheet1!$BH:$BH,0),1)</f>
        <v>#N/A</v>
      </c>
      <c r="Q84" s="129">
        <f t="shared" si="3"/>
        <v>4</v>
      </c>
      <c r="R84" s="130" t="e">
        <f t="shared" si="5"/>
        <v>#N/A</v>
      </c>
      <c r="S84" s="129"/>
    </row>
    <row r="85" spans="1:19" s="65" customFormat="1">
      <c r="A85" s="64">
        <f t="shared" si="4"/>
        <v>2163</v>
      </c>
      <c r="B85" s="66" t="str">
        <f>VLOOKUP($M85,[1]Sheet1!$A:$B,2,0)&amp;"x"&amp;$N85</f>
        <v>猪八戒碎片x10</v>
      </c>
      <c r="C85" s="66">
        <v>2</v>
      </c>
      <c r="D85" s="65">
        <v>4</v>
      </c>
      <c r="E85" s="65">
        <v>4</v>
      </c>
      <c r="F85" s="66">
        <v>0</v>
      </c>
      <c r="G85" s="66">
        <v>400</v>
      </c>
      <c r="H85" s="67">
        <v>0</v>
      </c>
      <c r="I85" s="67">
        <v>1</v>
      </c>
      <c r="J85" s="67">
        <v>1</v>
      </c>
      <c r="K85" s="84" t="s">
        <v>108</v>
      </c>
      <c r="L85" s="85">
        <v>1</v>
      </c>
      <c r="M85" s="85">
        <v>10020</v>
      </c>
      <c r="N85" s="68">
        <v>10</v>
      </c>
      <c r="O85" s="86">
        <v>1</v>
      </c>
      <c r="P85" s="129" t="e">
        <f>INDEX([2]Sheet1!$U:$U,MATCH($M85,[2]Sheet1!$BH:$BH,0),1)</f>
        <v>#N/A</v>
      </c>
      <c r="Q85" s="129">
        <f t="shared" si="3"/>
        <v>4</v>
      </c>
      <c r="R85" s="130" t="e">
        <f t="shared" si="5"/>
        <v>#N/A</v>
      </c>
      <c r="S85" s="129"/>
    </row>
    <row r="86" spans="1:19" s="65" customFormat="1">
      <c r="A86" s="64">
        <f t="shared" si="4"/>
        <v>2164</v>
      </c>
      <c r="B86" s="66" t="str">
        <f>VLOOKUP($M86,[1]Sheet1!$A:$B,2,0)&amp;"x"&amp;$N86</f>
        <v>羊力大仙碎片x10</v>
      </c>
      <c r="C86" s="66">
        <v>2</v>
      </c>
      <c r="D86" s="65">
        <v>4</v>
      </c>
      <c r="E86" s="65">
        <v>4</v>
      </c>
      <c r="F86" s="66">
        <v>0</v>
      </c>
      <c r="G86" s="66">
        <v>400</v>
      </c>
      <c r="H86" s="67">
        <v>0</v>
      </c>
      <c r="I86" s="67">
        <v>1</v>
      </c>
      <c r="J86" s="67">
        <v>1</v>
      </c>
      <c r="K86" s="84" t="s">
        <v>108</v>
      </c>
      <c r="L86" s="85">
        <v>1</v>
      </c>
      <c r="M86" s="85">
        <v>10015</v>
      </c>
      <c r="N86" s="68">
        <v>10</v>
      </c>
      <c r="O86" s="86">
        <v>1</v>
      </c>
      <c r="P86" s="129" t="e">
        <f>INDEX([2]Sheet1!$U:$U,MATCH($M86,[2]Sheet1!$BH:$BH,0),1)</f>
        <v>#N/A</v>
      </c>
      <c r="Q86" s="129">
        <f t="shared" si="3"/>
        <v>4</v>
      </c>
      <c r="R86" s="130" t="e">
        <f t="shared" si="5"/>
        <v>#N/A</v>
      </c>
      <c r="S86" s="129"/>
    </row>
    <row r="87" spans="1:19" s="11" customFormat="1">
      <c r="A87" s="33">
        <f t="shared" si="4"/>
        <v>2201</v>
      </c>
      <c r="B87" s="47" t="str">
        <f>VLOOKUP($M87,[1]Sheet1!$A:$B,2,0)&amp;"x"&amp;$N87</f>
        <v>文殊菩萨碎片x10</v>
      </c>
      <c r="C87" s="47">
        <v>2</v>
      </c>
      <c r="D87" s="11">
        <v>4</v>
      </c>
      <c r="E87" s="11">
        <v>4</v>
      </c>
      <c r="F87" s="47">
        <v>0</v>
      </c>
      <c r="G87" s="47">
        <v>350</v>
      </c>
      <c r="H87" s="35">
        <v>0</v>
      </c>
      <c r="I87" s="35">
        <v>1</v>
      </c>
      <c r="J87" s="35">
        <v>1</v>
      </c>
      <c r="K87" s="87" t="s">
        <v>108</v>
      </c>
      <c r="L87" s="88">
        <v>1</v>
      </c>
      <c r="M87" s="88">
        <v>10026</v>
      </c>
      <c r="N87" s="60">
        <v>10</v>
      </c>
      <c r="O87" s="89">
        <v>1</v>
      </c>
      <c r="P87" s="131" t="e">
        <f>INDEX([2]Sheet1!$U:$U,MATCH($M87,[2]Sheet1!$BH:$BH,0),1)</f>
        <v>#N/A</v>
      </c>
      <c r="Q87" s="131">
        <f t="shared" si="3"/>
        <v>4</v>
      </c>
      <c r="R87" s="131" t="e">
        <f t="shared" si="5"/>
        <v>#N/A</v>
      </c>
      <c r="S87" s="131"/>
    </row>
    <row r="88" spans="1:19" s="11" customFormat="1">
      <c r="A88" s="33">
        <f t="shared" si="4"/>
        <v>2202</v>
      </c>
      <c r="B88" s="47" t="str">
        <f>VLOOKUP($M88,[1]Sheet1!$A:$B,2,0)&amp;"x"&amp;$N88</f>
        <v>唐三藏碎片x10</v>
      </c>
      <c r="C88" s="47">
        <v>2</v>
      </c>
      <c r="D88" s="11">
        <v>4</v>
      </c>
      <c r="E88" s="11">
        <v>4</v>
      </c>
      <c r="F88" s="47">
        <v>0</v>
      </c>
      <c r="G88" s="47">
        <v>350</v>
      </c>
      <c r="H88" s="35">
        <v>0</v>
      </c>
      <c r="I88" s="35">
        <v>1</v>
      </c>
      <c r="J88" s="35">
        <v>1</v>
      </c>
      <c r="K88" s="87" t="s">
        <v>108</v>
      </c>
      <c r="L88" s="88">
        <v>1</v>
      </c>
      <c r="M88" s="88">
        <v>10022</v>
      </c>
      <c r="N88" s="60">
        <v>10</v>
      </c>
      <c r="O88" s="89">
        <v>1</v>
      </c>
      <c r="P88" s="131" t="e">
        <f>INDEX([2]Sheet1!$U:$U,MATCH($M88,[2]Sheet1!$BH:$BH,0),1)</f>
        <v>#N/A</v>
      </c>
      <c r="Q88" s="131">
        <f t="shared" si="3"/>
        <v>4</v>
      </c>
      <c r="R88" s="131" t="e">
        <f t="shared" si="5"/>
        <v>#N/A</v>
      </c>
      <c r="S88" s="131"/>
    </row>
    <row r="89" spans="1:19" s="11" customFormat="1">
      <c r="A89" s="33">
        <f t="shared" si="4"/>
        <v>2203</v>
      </c>
      <c r="B89" s="47" t="str">
        <f>VLOOKUP($M89,[1]Sheet1!$A:$B,2,0)&amp;"x"&amp;$N89</f>
        <v>迦叶碎片x10</v>
      </c>
      <c r="C89" s="47">
        <v>2</v>
      </c>
      <c r="D89" s="11">
        <v>4</v>
      </c>
      <c r="E89" s="11">
        <v>4</v>
      </c>
      <c r="F89" s="47">
        <v>0</v>
      </c>
      <c r="G89" s="47">
        <v>350</v>
      </c>
      <c r="H89" s="35">
        <v>0</v>
      </c>
      <c r="I89" s="35">
        <v>1</v>
      </c>
      <c r="J89" s="35">
        <v>1</v>
      </c>
      <c r="K89" s="87" t="s">
        <v>108</v>
      </c>
      <c r="L89" s="88">
        <v>1</v>
      </c>
      <c r="M89" s="88">
        <v>10025</v>
      </c>
      <c r="N89" s="60">
        <v>10</v>
      </c>
      <c r="O89" s="89">
        <v>1</v>
      </c>
      <c r="P89" s="131" t="e">
        <f>INDEX([2]Sheet1!$U:$U,MATCH($M89,[2]Sheet1!$BH:$BH,0),1)</f>
        <v>#N/A</v>
      </c>
      <c r="Q89" s="131">
        <f t="shared" si="3"/>
        <v>4</v>
      </c>
      <c r="R89" s="131" t="e">
        <f t="shared" si="5"/>
        <v>#N/A</v>
      </c>
      <c r="S89" s="131"/>
    </row>
    <row r="90" spans="1:19" s="11" customFormat="1">
      <c r="A90" s="33">
        <f t="shared" si="4"/>
        <v>2204</v>
      </c>
      <c r="B90" s="47" t="str">
        <f>VLOOKUP($M90,[1]Sheet1!$A:$B,2,0)&amp;"x"&amp;$N90</f>
        <v>红孩儿碎片x10</v>
      </c>
      <c r="C90" s="47">
        <v>2</v>
      </c>
      <c r="D90" s="11">
        <v>4</v>
      </c>
      <c r="E90" s="11">
        <v>4</v>
      </c>
      <c r="F90" s="47">
        <v>0</v>
      </c>
      <c r="G90" s="47">
        <v>350</v>
      </c>
      <c r="H90" s="35">
        <v>0</v>
      </c>
      <c r="I90" s="35">
        <v>1</v>
      </c>
      <c r="J90" s="35">
        <v>1</v>
      </c>
      <c r="K90" s="87" t="s">
        <v>108</v>
      </c>
      <c r="L90" s="88">
        <v>1</v>
      </c>
      <c r="M90" s="88">
        <v>10010</v>
      </c>
      <c r="N90" s="60">
        <v>10</v>
      </c>
      <c r="O90" s="89">
        <v>1</v>
      </c>
      <c r="P90" s="131" t="e">
        <f>INDEX([2]Sheet1!$U:$U,MATCH($M90,[2]Sheet1!$BH:$BH,0),1)</f>
        <v>#N/A</v>
      </c>
      <c r="Q90" s="131">
        <f t="shared" si="3"/>
        <v>4</v>
      </c>
      <c r="R90" s="131" t="e">
        <f t="shared" si="5"/>
        <v>#N/A</v>
      </c>
      <c r="S90" s="131"/>
    </row>
    <row r="91" spans="1:19" s="11" customFormat="1">
      <c r="A91" s="33">
        <f t="shared" si="4"/>
        <v>2205</v>
      </c>
      <c r="B91" s="47" t="str">
        <f>VLOOKUP($M91,[1]Sheet1!$A:$B,2,0)&amp;"x"&amp;$N91</f>
        <v>女儿国国王碎片x10</v>
      </c>
      <c r="C91" s="47">
        <v>2</v>
      </c>
      <c r="D91" s="11">
        <v>4</v>
      </c>
      <c r="E91" s="11">
        <v>4</v>
      </c>
      <c r="F91" s="47">
        <v>0</v>
      </c>
      <c r="G91" s="47">
        <v>350</v>
      </c>
      <c r="H91" s="35">
        <v>0</v>
      </c>
      <c r="I91" s="35">
        <v>1</v>
      </c>
      <c r="J91" s="35">
        <v>1</v>
      </c>
      <c r="K91" s="87" t="s">
        <v>108</v>
      </c>
      <c r="L91" s="88">
        <v>1</v>
      </c>
      <c r="M91" s="88">
        <v>10116</v>
      </c>
      <c r="N91" s="60">
        <v>10</v>
      </c>
      <c r="O91" s="89">
        <v>1</v>
      </c>
      <c r="P91" s="131" t="e">
        <f>INDEX([2]Sheet1!$U:$U,MATCH($M91,[2]Sheet1!$BH:$BH,0),1)</f>
        <v>#N/A</v>
      </c>
      <c r="Q91" s="131">
        <f t="shared" si="3"/>
        <v>4</v>
      </c>
      <c r="R91" s="131" t="e">
        <f t="shared" si="5"/>
        <v>#N/A</v>
      </c>
      <c r="S91" s="131"/>
    </row>
    <row r="92" spans="1:19" s="11" customFormat="1">
      <c r="A92" s="33">
        <f t="shared" si="4"/>
        <v>2206</v>
      </c>
      <c r="B92" s="47" t="str">
        <f>VLOOKUP($M92,[1]Sheet1!$A:$B,2,0)&amp;"x"&amp;$N92</f>
        <v>人参娃碎片x10</v>
      </c>
      <c r="C92" s="47">
        <v>2</v>
      </c>
      <c r="D92" s="11">
        <v>4</v>
      </c>
      <c r="E92" s="11">
        <v>4</v>
      </c>
      <c r="F92" s="47">
        <v>0</v>
      </c>
      <c r="G92" s="47">
        <v>350</v>
      </c>
      <c r="H92" s="35">
        <v>0</v>
      </c>
      <c r="I92" s="35">
        <v>1</v>
      </c>
      <c r="J92" s="35">
        <v>1</v>
      </c>
      <c r="K92" s="87" t="s">
        <v>108</v>
      </c>
      <c r="L92" s="88">
        <v>1</v>
      </c>
      <c r="M92" s="88">
        <v>10102</v>
      </c>
      <c r="N92" s="60">
        <v>10</v>
      </c>
      <c r="O92" s="89">
        <v>1</v>
      </c>
      <c r="P92" s="131" t="e">
        <f>INDEX([2]Sheet1!$U:$U,MATCH($M92,[2]Sheet1!$BH:$BH,0),1)</f>
        <v>#N/A</v>
      </c>
      <c r="Q92" s="131">
        <f t="shared" si="3"/>
        <v>4</v>
      </c>
      <c r="R92" s="131" t="e">
        <f t="shared" si="5"/>
        <v>#N/A</v>
      </c>
      <c r="S92" s="131"/>
    </row>
    <row r="93" spans="1:19" s="11" customFormat="1">
      <c r="A93" s="33">
        <f t="shared" si="4"/>
        <v>2207</v>
      </c>
      <c r="B93" s="47" t="str">
        <f>VLOOKUP($M93,[1]Sheet1!$A:$B,2,0)&amp;"x"&amp;$N93</f>
        <v>引魂仙子碎片x10</v>
      </c>
      <c r="C93" s="47">
        <v>2</v>
      </c>
      <c r="D93" s="11">
        <v>4</v>
      </c>
      <c r="E93" s="11">
        <v>4</v>
      </c>
      <c r="F93" s="47">
        <v>0</v>
      </c>
      <c r="G93" s="47">
        <v>350</v>
      </c>
      <c r="H93" s="35">
        <v>0</v>
      </c>
      <c r="I93" s="35">
        <v>1</v>
      </c>
      <c r="J93" s="35">
        <v>1</v>
      </c>
      <c r="K93" s="87" t="s">
        <v>108</v>
      </c>
      <c r="L93" s="88">
        <v>1</v>
      </c>
      <c r="M93" s="88">
        <v>10107</v>
      </c>
      <c r="N93" s="60">
        <v>10</v>
      </c>
      <c r="O93" s="89">
        <v>1</v>
      </c>
      <c r="P93" s="131" t="e">
        <f>INDEX([2]Sheet1!$U:$U,MATCH($M93,[2]Sheet1!$BH:$BH,0),1)</f>
        <v>#N/A</v>
      </c>
      <c r="Q93" s="131">
        <f t="shared" si="3"/>
        <v>4</v>
      </c>
      <c r="R93" s="131" t="e">
        <f t="shared" si="5"/>
        <v>#N/A</v>
      </c>
      <c r="S93" s="131"/>
    </row>
    <row r="94" spans="1:19" s="11" customFormat="1">
      <c r="A94" s="33">
        <f t="shared" si="4"/>
        <v>2208</v>
      </c>
      <c r="B94" s="47" t="str">
        <f>VLOOKUP($M94,[1]Sheet1!$A:$B,2,0)&amp;"x"&amp;$N94</f>
        <v>九天玄女碎片x10</v>
      </c>
      <c r="C94" s="47">
        <v>2</v>
      </c>
      <c r="D94" s="11">
        <v>4</v>
      </c>
      <c r="E94" s="11">
        <v>4</v>
      </c>
      <c r="F94" s="47">
        <v>0</v>
      </c>
      <c r="G94" s="47">
        <v>350</v>
      </c>
      <c r="H94" s="35">
        <v>0</v>
      </c>
      <c r="I94" s="35">
        <v>1</v>
      </c>
      <c r="J94" s="35">
        <v>1</v>
      </c>
      <c r="K94" s="87" t="s">
        <v>108</v>
      </c>
      <c r="L94" s="88">
        <v>1</v>
      </c>
      <c r="M94" s="88">
        <v>10009</v>
      </c>
      <c r="N94" s="60">
        <v>10</v>
      </c>
      <c r="O94" s="89">
        <v>1</v>
      </c>
      <c r="P94" s="131" t="e">
        <f>INDEX([2]Sheet1!$U:$U,MATCH($M94,[2]Sheet1!$BH:$BH,0),1)</f>
        <v>#N/A</v>
      </c>
      <c r="Q94" s="131">
        <f t="shared" si="3"/>
        <v>4</v>
      </c>
      <c r="R94" s="131" t="e">
        <f t="shared" si="5"/>
        <v>#N/A</v>
      </c>
      <c r="S94" s="131"/>
    </row>
    <row r="95" spans="1:19" s="11" customFormat="1">
      <c r="A95" s="33">
        <f t="shared" si="4"/>
        <v>2209</v>
      </c>
      <c r="B95" s="47" t="str">
        <f>VLOOKUP($M95,[1]Sheet1!$A:$B,2,0)&amp;"x"&amp;$N95</f>
        <v>玉皇大帝碎片x10</v>
      </c>
      <c r="C95" s="47">
        <v>2</v>
      </c>
      <c r="D95" s="11">
        <v>4</v>
      </c>
      <c r="E95" s="11">
        <v>4</v>
      </c>
      <c r="F95" s="47">
        <v>0</v>
      </c>
      <c r="G95" s="47">
        <v>350</v>
      </c>
      <c r="H95" s="35">
        <v>0</v>
      </c>
      <c r="I95" s="35">
        <v>1</v>
      </c>
      <c r="J95" s="35">
        <v>1</v>
      </c>
      <c r="K95" s="87" t="s">
        <v>108</v>
      </c>
      <c r="L95" s="88">
        <v>1</v>
      </c>
      <c r="M95" s="88">
        <v>10004</v>
      </c>
      <c r="N95" s="60">
        <v>10</v>
      </c>
      <c r="O95" s="89">
        <v>1</v>
      </c>
      <c r="P95" s="131" t="e">
        <f>INDEX([2]Sheet1!$U:$U,MATCH($M95,[2]Sheet1!$BH:$BH,0),1)</f>
        <v>#N/A</v>
      </c>
      <c r="Q95" s="131">
        <f t="shared" si="3"/>
        <v>4</v>
      </c>
      <c r="R95" s="131" t="e">
        <f t="shared" si="5"/>
        <v>#N/A</v>
      </c>
      <c r="S95" s="131"/>
    </row>
    <row r="96" spans="1:19" s="11" customFormat="1">
      <c r="A96" s="33">
        <f t="shared" si="4"/>
        <v>2210</v>
      </c>
      <c r="B96" s="47" t="str">
        <f>VLOOKUP($M96,[1]Sheet1!$A:$B,2,0)&amp;"x"&amp;$N96</f>
        <v>赤脚大仙碎片x10</v>
      </c>
      <c r="C96" s="47">
        <v>2</v>
      </c>
      <c r="D96" s="11">
        <v>4</v>
      </c>
      <c r="E96" s="11">
        <v>4</v>
      </c>
      <c r="F96" s="47">
        <v>0</v>
      </c>
      <c r="G96" s="47">
        <v>350</v>
      </c>
      <c r="H96" s="35">
        <v>0</v>
      </c>
      <c r="I96" s="35">
        <v>1</v>
      </c>
      <c r="J96" s="35">
        <v>1</v>
      </c>
      <c r="K96" s="87" t="s">
        <v>108</v>
      </c>
      <c r="L96" s="88">
        <v>1</v>
      </c>
      <c r="M96" s="88">
        <v>10007</v>
      </c>
      <c r="N96" s="60">
        <v>10</v>
      </c>
      <c r="O96" s="89">
        <v>1</v>
      </c>
      <c r="P96" s="131" t="e">
        <f>INDEX([2]Sheet1!$U:$U,MATCH($M96,[2]Sheet1!$BH:$BH,0),1)</f>
        <v>#N/A</v>
      </c>
      <c r="Q96" s="131">
        <f t="shared" si="3"/>
        <v>4</v>
      </c>
      <c r="R96" s="131" t="e">
        <f t="shared" si="5"/>
        <v>#N/A</v>
      </c>
      <c r="S96" s="131"/>
    </row>
    <row r="97" spans="1:19" s="11" customFormat="1">
      <c r="A97" s="33">
        <f t="shared" si="4"/>
        <v>2211</v>
      </c>
      <c r="B97" s="47" t="str">
        <f>VLOOKUP($M97,[1]Sheet1!$A:$B,2,0)&amp;"x"&amp;$N97</f>
        <v>东海龙王碎片x10</v>
      </c>
      <c r="C97" s="47">
        <v>2</v>
      </c>
      <c r="D97" s="11">
        <v>4</v>
      </c>
      <c r="E97" s="11">
        <v>4</v>
      </c>
      <c r="F97" s="47">
        <v>0</v>
      </c>
      <c r="G97" s="47">
        <v>350</v>
      </c>
      <c r="H97" s="35">
        <v>0</v>
      </c>
      <c r="I97" s="35">
        <v>1</v>
      </c>
      <c r="J97" s="35">
        <v>1</v>
      </c>
      <c r="K97" s="87" t="s">
        <v>108</v>
      </c>
      <c r="L97" s="88">
        <v>1</v>
      </c>
      <c r="M97" s="88">
        <v>10035</v>
      </c>
      <c r="N97" s="60">
        <v>10</v>
      </c>
      <c r="O97" s="89">
        <v>1</v>
      </c>
      <c r="P97" s="131" t="e">
        <f>INDEX([2]Sheet1!$U:$U,MATCH($M97,[2]Sheet1!$BH:$BH,0),1)</f>
        <v>#N/A</v>
      </c>
      <c r="Q97" s="131">
        <f t="shared" si="3"/>
        <v>4</v>
      </c>
      <c r="R97" s="131" t="e">
        <f t="shared" si="5"/>
        <v>#N/A</v>
      </c>
      <c r="S97" s="131"/>
    </row>
    <row r="98" spans="1:19" s="11" customFormat="1">
      <c r="A98" s="33">
        <f t="shared" si="4"/>
        <v>2212</v>
      </c>
      <c r="B98" s="47" t="str">
        <f>VLOOKUP($M98,[1]Sheet1!$A:$B,2,0)&amp;"x"&amp;$N98</f>
        <v>小白龙碎片x10</v>
      </c>
      <c r="C98" s="47">
        <v>2</v>
      </c>
      <c r="D98" s="11">
        <v>4</v>
      </c>
      <c r="E98" s="11">
        <v>4</v>
      </c>
      <c r="F98" s="47">
        <v>0</v>
      </c>
      <c r="G98" s="47">
        <v>350</v>
      </c>
      <c r="H98" s="35">
        <v>0</v>
      </c>
      <c r="I98" s="35">
        <v>1</v>
      </c>
      <c r="J98" s="35">
        <v>1</v>
      </c>
      <c r="K98" s="87" t="s">
        <v>108</v>
      </c>
      <c r="L98" s="88">
        <v>1</v>
      </c>
      <c r="M98" s="88">
        <v>10023</v>
      </c>
      <c r="N98" s="60">
        <v>10</v>
      </c>
      <c r="O98" s="89">
        <v>1</v>
      </c>
      <c r="P98" s="131" t="e">
        <f>INDEX([2]Sheet1!$U:$U,MATCH($M98,[2]Sheet1!$BH:$BH,0),1)</f>
        <v>#N/A</v>
      </c>
      <c r="Q98" s="131">
        <f t="shared" si="3"/>
        <v>4</v>
      </c>
      <c r="R98" s="131" t="e">
        <f t="shared" si="5"/>
        <v>#N/A</v>
      </c>
      <c r="S98" s="131"/>
    </row>
    <row r="99" spans="1:19" s="11" customFormat="1">
      <c r="A99" s="33">
        <f t="shared" si="4"/>
        <v>2213</v>
      </c>
      <c r="B99" s="47" t="str">
        <f>VLOOKUP($M99,[1]Sheet1!$A:$B,2,0)&amp;"x"&amp;$N99</f>
        <v>阎罗王碎片x10</v>
      </c>
      <c r="C99" s="47">
        <v>2</v>
      </c>
      <c r="D99" s="11">
        <v>4</v>
      </c>
      <c r="E99" s="11">
        <v>4</v>
      </c>
      <c r="F99" s="47">
        <v>0</v>
      </c>
      <c r="G99" s="47">
        <v>350</v>
      </c>
      <c r="H99" s="35">
        <v>0</v>
      </c>
      <c r="I99" s="35">
        <v>1</v>
      </c>
      <c r="J99" s="35">
        <v>1</v>
      </c>
      <c r="K99" s="87" t="s">
        <v>108</v>
      </c>
      <c r="L99" s="88">
        <v>1</v>
      </c>
      <c r="M99" s="88">
        <v>10101</v>
      </c>
      <c r="N99" s="60">
        <v>10</v>
      </c>
      <c r="O99" s="89">
        <v>1</v>
      </c>
      <c r="P99" s="131" t="e">
        <f>INDEX([2]Sheet1!$U:$U,MATCH($M99,[2]Sheet1!$BH:$BH,0),1)</f>
        <v>#N/A</v>
      </c>
      <c r="Q99" s="131">
        <f t="shared" si="3"/>
        <v>4</v>
      </c>
      <c r="R99" s="131" t="e">
        <f t="shared" si="5"/>
        <v>#N/A</v>
      </c>
      <c r="S99" s="131"/>
    </row>
    <row r="100" spans="1:19" s="11" customFormat="1">
      <c r="A100" s="33">
        <f t="shared" si="4"/>
        <v>2214</v>
      </c>
      <c r="B100" s="47" t="str">
        <f>VLOOKUP($M100,[1]Sheet1!$A:$B,2,0)&amp;"x"&amp;$N100</f>
        <v>太白金星碎片x10</v>
      </c>
      <c r="C100" s="47">
        <v>2</v>
      </c>
      <c r="D100" s="11">
        <v>4</v>
      </c>
      <c r="E100" s="11">
        <v>4</v>
      </c>
      <c r="F100" s="47">
        <v>0</v>
      </c>
      <c r="G100" s="47">
        <v>350</v>
      </c>
      <c r="H100" s="35">
        <v>0</v>
      </c>
      <c r="I100" s="35">
        <v>1</v>
      </c>
      <c r="J100" s="35">
        <v>1</v>
      </c>
      <c r="K100" s="87" t="s">
        <v>108</v>
      </c>
      <c r="L100" s="88">
        <v>1</v>
      </c>
      <c r="M100" s="88">
        <v>10006</v>
      </c>
      <c r="N100" s="60">
        <v>10</v>
      </c>
      <c r="O100" s="89">
        <v>1</v>
      </c>
      <c r="P100" s="131" t="e">
        <f>INDEX([2]Sheet1!$U:$U,MATCH($M100,[2]Sheet1!$BH:$BH,0),1)</f>
        <v>#N/A</v>
      </c>
      <c r="Q100" s="131">
        <f t="shared" si="3"/>
        <v>4</v>
      </c>
      <c r="R100" s="131" t="e">
        <f t="shared" si="5"/>
        <v>#N/A</v>
      </c>
      <c r="S100" s="131"/>
    </row>
    <row r="101" spans="1:19" s="11" customFormat="1">
      <c r="A101" s="33">
        <f t="shared" si="4"/>
        <v>2215</v>
      </c>
      <c r="B101" s="47" t="str">
        <f>VLOOKUP($M101,[1]Sheet1!$A:$B,2,0)&amp;"x"&amp;$N101</f>
        <v>白骨夫人碎片x10</v>
      </c>
      <c r="C101" s="47">
        <v>2</v>
      </c>
      <c r="D101" s="11">
        <v>4</v>
      </c>
      <c r="E101" s="11">
        <v>4</v>
      </c>
      <c r="F101" s="47">
        <v>0</v>
      </c>
      <c r="G101" s="47">
        <v>350</v>
      </c>
      <c r="H101" s="35">
        <v>0</v>
      </c>
      <c r="I101" s="35">
        <v>1</v>
      </c>
      <c r="J101" s="35">
        <v>1</v>
      </c>
      <c r="K101" s="87" t="s">
        <v>108</v>
      </c>
      <c r="L101" s="88">
        <v>1</v>
      </c>
      <c r="M101" s="88">
        <v>10016</v>
      </c>
      <c r="N101" s="60">
        <v>10</v>
      </c>
      <c r="O101" s="89">
        <v>1</v>
      </c>
      <c r="P101" s="131" t="e">
        <f>INDEX([2]Sheet1!$U:$U,MATCH($M101,[2]Sheet1!$BH:$BH,0),1)</f>
        <v>#N/A</v>
      </c>
      <c r="Q101" s="131">
        <f t="shared" si="3"/>
        <v>4</v>
      </c>
      <c r="R101" s="131" t="e">
        <f t="shared" si="5"/>
        <v>#N/A</v>
      </c>
      <c r="S101" s="131"/>
    </row>
    <row r="102" spans="1:19" s="11" customFormat="1">
      <c r="A102" s="33">
        <f t="shared" si="4"/>
        <v>2216</v>
      </c>
      <c r="B102" s="47" t="str">
        <f>VLOOKUP($M102,[1]Sheet1!$A:$B,2,0)&amp;"x"&amp;$N102</f>
        <v>六耳猕猴碎片x10</v>
      </c>
      <c r="C102" s="47">
        <v>2</v>
      </c>
      <c r="D102" s="11">
        <v>4</v>
      </c>
      <c r="E102" s="11">
        <v>4</v>
      </c>
      <c r="F102" s="47">
        <v>0</v>
      </c>
      <c r="G102" s="47">
        <v>350</v>
      </c>
      <c r="H102" s="35">
        <v>0</v>
      </c>
      <c r="I102" s="35">
        <v>1</v>
      </c>
      <c r="J102" s="35">
        <v>1</v>
      </c>
      <c r="K102" s="87" t="s">
        <v>108</v>
      </c>
      <c r="L102" s="88">
        <v>1</v>
      </c>
      <c r="M102" s="88">
        <v>10017</v>
      </c>
      <c r="N102" s="60">
        <v>10</v>
      </c>
      <c r="O102" s="89">
        <v>1</v>
      </c>
      <c r="P102" s="131" t="e">
        <f>INDEX([2]Sheet1!$U:$U,MATCH($M102,[2]Sheet1!$BH:$BH,0),1)</f>
        <v>#N/A</v>
      </c>
      <c r="Q102" s="131">
        <f t="shared" si="3"/>
        <v>4</v>
      </c>
      <c r="R102" s="131" t="e">
        <f t="shared" si="5"/>
        <v>#N/A</v>
      </c>
      <c r="S102" s="131"/>
    </row>
    <row r="103" spans="1:19" s="11" customFormat="1">
      <c r="A103" s="33">
        <f t="shared" si="4"/>
        <v>2217</v>
      </c>
      <c r="B103" s="47" t="str">
        <f>VLOOKUP($M103,[1]Sheet1!$A:$B,2,0)&amp;"x"&amp;$N103</f>
        <v>鹿力大仙碎片x10</v>
      </c>
      <c r="C103" s="47">
        <v>2</v>
      </c>
      <c r="D103" s="11">
        <v>4</v>
      </c>
      <c r="E103" s="11">
        <v>4</v>
      </c>
      <c r="F103" s="47">
        <v>0</v>
      </c>
      <c r="G103" s="47">
        <v>350</v>
      </c>
      <c r="H103" s="35">
        <v>0</v>
      </c>
      <c r="I103" s="35">
        <v>1</v>
      </c>
      <c r="J103" s="35">
        <v>1</v>
      </c>
      <c r="K103" s="87" t="s">
        <v>108</v>
      </c>
      <c r="L103" s="88">
        <v>1</v>
      </c>
      <c r="M103" s="88">
        <v>10014</v>
      </c>
      <c r="N103" s="60">
        <v>10</v>
      </c>
      <c r="O103" s="89">
        <v>1</v>
      </c>
      <c r="P103" s="131" t="e">
        <f>INDEX([2]Sheet1!$U:$U,MATCH($M103,[2]Sheet1!$BH:$BH,0),1)</f>
        <v>#N/A</v>
      </c>
      <c r="Q103" s="131">
        <f t="shared" si="3"/>
        <v>4</v>
      </c>
      <c r="R103" s="131" t="e">
        <f t="shared" si="5"/>
        <v>#N/A</v>
      </c>
      <c r="S103" s="131"/>
    </row>
    <row r="104" spans="1:19" s="11" customFormat="1">
      <c r="A104" s="33">
        <f t="shared" si="4"/>
        <v>2218</v>
      </c>
      <c r="B104" s="47" t="str">
        <f>VLOOKUP($M104,[1]Sheet1!$A:$B,2,0)&amp;"x"&amp;$N104</f>
        <v>混世魔王碎片x10</v>
      </c>
      <c r="C104" s="47">
        <v>2</v>
      </c>
      <c r="D104" s="11">
        <v>4</v>
      </c>
      <c r="E104" s="11">
        <v>4</v>
      </c>
      <c r="F104" s="47">
        <v>0</v>
      </c>
      <c r="G104" s="47">
        <v>350</v>
      </c>
      <c r="H104" s="35">
        <v>0</v>
      </c>
      <c r="I104" s="35">
        <v>1</v>
      </c>
      <c r="J104" s="35">
        <v>1</v>
      </c>
      <c r="K104" s="87" t="s">
        <v>108</v>
      </c>
      <c r="L104" s="60">
        <v>1</v>
      </c>
      <c r="M104" s="88">
        <v>10032</v>
      </c>
      <c r="N104" s="60">
        <v>10</v>
      </c>
      <c r="O104" s="89">
        <v>1</v>
      </c>
      <c r="P104" s="131" t="e">
        <f>INDEX([2]Sheet1!$U:$U,MATCH($M104,[2]Sheet1!$BH:$BH,0),1)</f>
        <v>#N/A</v>
      </c>
      <c r="Q104" s="131">
        <f t="shared" si="3"/>
        <v>4</v>
      </c>
      <c r="R104" s="131" t="e">
        <f t="shared" si="5"/>
        <v>#N/A</v>
      </c>
      <c r="S104" s="131"/>
    </row>
    <row r="105" spans="1:19" s="11" customFormat="1">
      <c r="A105" s="33">
        <f t="shared" si="4"/>
        <v>2219</v>
      </c>
      <c r="B105" s="47" t="str">
        <f>VLOOKUP($M105,[1]Sheet1!$A:$B,2,0)&amp;"x"&amp;$N105</f>
        <v>蝎子精碎片x10</v>
      </c>
      <c r="C105" s="47">
        <v>2</v>
      </c>
      <c r="D105" s="11">
        <v>4</v>
      </c>
      <c r="E105" s="11">
        <v>4</v>
      </c>
      <c r="F105" s="47">
        <v>0</v>
      </c>
      <c r="G105" s="47">
        <v>350</v>
      </c>
      <c r="H105" s="35">
        <v>0</v>
      </c>
      <c r="I105" s="35">
        <v>1</v>
      </c>
      <c r="J105" s="35">
        <v>1</v>
      </c>
      <c r="K105" s="87" t="s">
        <v>108</v>
      </c>
      <c r="L105" s="88">
        <v>1</v>
      </c>
      <c r="M105" s="88">
        <v>10031</v>
      </c>
      <c r="N105" s="60">
        <v>10</v>
      </c>
      <c r="O105" s="89">
        <v>1</v>
      </c>
      <c r="P105" s="131" t="e">
        <f>INDEX([2]Sheet1!$U:$U,MATCH($M105,[2]Sheet1!$BH:$BH,0),1)</f>
        <v>#N/A</v>
      </c>
      <c r="Q105" s="131">
        <f t="shared" si="3"/>
        <v>4</v>
      </c>
      <c r="R105" s="131" t="e">
        <f t="shared" si="5"/>
        <v>#N/A</v>
      </c>
      <c r="S105" s="131"/>
    </row>
    <row r="106" spans="1:19" s="11" customFormat="1">
      <c r="A106" s="33">
        <f t="shared" si="4"/>
        <v>2220</v>
      </c>
      <c r="B106" s="47" t="str">
        <f>VLOOKUP($M106,[1]Sheet1!$A:$B,2,0)&amp;"x"&amp;$N106</f>
        <v>蜘蛛精碎片x10</v>
      </c>
      <c r="C106" s="47">
        <v>2</v>
      </c>
      <c r="D106" s="11">
        <v>4</v>
      </c>
      <c r="E106" s="11">
        <v>4</v>
      </c>
      <c r="F106" s="47">
        <v>0</v>
      </c>
      <c r="G106" s="47">
        <v>350</v>
      </c>
      <c r="H106" s="35">
        <v>0</v>
      </c>
      <c r="I106" s="35">
        <v>1</v>
      </c>
      <c r="J106" s="35">
        <v>1</v>
      </c>
      <c r="K106" s="87" t="s">
        <v>108</v>
      </c>
      <c r="L106" s="88">
        <v>1</v>
      </c>
      <c r="M106" s="88">
        <v>10037</v>
      </c>
      <c r="N106" s="60">
        <v>10</v>
      </c>
      <c r="O106" s="89">
        <v>1</v>
      </c>
      <c r="P106" s="131" t="e">
        <f>INDEX([2]Sheet1!$U:$U,MATCH($M106,[2]Sheet1!$BH:$BH,0),1)</f>
        <v>#N/A</v>
      </c>
      <c r="Q106" s="131">
        <f t="shared" si="3"/>
        <v>4</v>
      </c>
      <c r="R106" s="131" t="e">
        <f t="shared" si="5"/>
        <v>#N/A</v>
      </c>
      <c r="S106" s="131"/>
    </row>
    <row r="107" spans="1:19" s="11" customFormat="1">
      <c r="A107" s="33">
        <f t="shared" si="4"/>
        <v>2221</v>
      </c>
      <c r="B107" s="47" t="str">
        <f>VLOOKUP($M107,[1]Sheet1!$A:$B,2,0)&amp;"x"&amp;$N107</f>
        <v>彩蝶仙童碎片x10</v>
      </c>
      <c r="C107" s="47">
        <v>2</v>
      </c>
      <c r="D107" s="11">
        <v>4</v>
      </c>
      <c r="E107" s="11">
        <v>4</v>
      </c>
      <c r="F107" s="47">
        <v>0</v>
      </c>
      <c r="G107" s="47">
        <v>350</v>
      </c>
      <c r="H107" s="35">
        <v>0</v>
      </c>
      <c r="I107" s="35">
        <v>1</v>
      </c>
      <c r="J107" s="35">
        <v>1</v>
      </c>
      <c r="K107" s="87" t="s">
        <v>108</v>
      </c>
      <c r="L107" s="88">
        <v>1</v>
      </c>
      <c r="M107" s="88">
        <v>10108</v>
      </c>
      <c r="N107" s="60">
        <v>10</v>
      </c>
      <c r="O107" s="89">
        <v>1</v>
      </c>
      <c r="P107" s="131" t="e">
        <f>INDEX([2]Sheet1!$U:$U,MATCH($M107,[2]Sheet1!$BH:$BH,0),1)</f>
        <v>#N/A</v>
      </c>
      <c r="Q107" s="131">
        <f t="shared" si="3"/>
        <v>4</v>
      </c>
      <c r="R107" s="131" t="e">
        <f t="shared" si="5"/>
        <v>#N/A</v>
      </c>
      <c r="S107" s="131"/>
    </row>
    <row r="108" spans="1:19" s="10" customFormat="1">
      <c r="A108" s="30">
        <f t="shared" si="4"/>
        <v>2250</v>
      </c>
      <c r="B108" s="46" t="str">
        <f>VLOOKUP($M108,[1]Sheet1!$A:$B,2,0)&amp;"x"&amp;$N108</f>
        <v>地藏王碎片x10</v>
      </c>
      <c r="C108" s="46">
        <v>2</v>
      </c>
      <c r="D108" s="10">
        <v>4</v>
      </c>
      <c r="E108" s="10">
        <v>4</v>
      </c>
      <c r="F108" s="46">
        <v>0</v>
      </c>
      <c r="G108" s="46">
        <v>200</v>
      </c>
      <c r="H108" s="32">
        <v>0</v>
      </c>
      <c r="I108" s="32">
        <v>1</v>
      </c>
      <c r="J108" s="32">
        <v>1</v>
      </c>
      <c r="K108" s="90" t="s">
        <v>108</v>
      </c>
      <c r="L108" s="91">
        <v>1</v>
      </c>
      <c r="M108" s="91">
        <v>10030</v>
      </c>
      <c r="N108" s="59">
        <v>10</v>
      </c>
      <c r="O108" s="92">
        <v>1</v>
      </c>
      <c r="P108" s="132" t="e">
        <f>INDEX([2]Sheet1!$U:$U,MATCH($M108,[2]Sheet1!$BH:$BH,0),1)</f>
        <v>#N/A</v>
      </c>
      <c r="Q108" s="132">
        <f t="shared" si="3"/>
        <v>4</v>
      </c>
      <c r="R108" s="132" t="e">
        <f t="shared" si="5"/>
        <v>#N/A</v>
      </c>
      <c r="S108" s="132"/>
    </row>
    <row r="109" spans="1:19" s="10" customFormat="1">
      <c r="A109" s="30">
        <f t="shared" si="4"/>
        <v>2251</v>
      </c>
      <c r="B109" s="46" t="str">
        <f>VLOOKUP($M109,[1]Sheet1!$A:$B,2,0)&amp;"x"&amp;$N109</f>
        <v>混沌碎片x10</v>
      </c>
      <c r="C109" s="46">
        <v>2</v>
      </c>
      <c r="D109" s="10">
        <v>4</v>
      </c>
      <c r="E109" s="10">
        <v>4</v>
      </c>
      <c r="F109" s="46">
        <v>0</v>
      </c>
      <c r="G109" s="46">
        <v>200</v>
      </c>
      <c r="H109" s="32">
        <v>0</v>
      </c>
      <c r="I109" s="32">
        <v>1</v>
      </c>
      <c r="J109" s="32">
        <v>1</v>
      </c>
      <c r="K109" s="90" t="s">
        <v>108</v>
      </c>
      <c r="L109" s="91">
        <v>1</v>
      </c>
      <c r="M109" s="91">
        <v>10018</v>
      </c>
      <c r="N109" s="59">
        <v>10</v>
      </c>
      <c r="O109" s="92">
        <v>1</v>
      </c>
      <c r="P109" s="132" t="e">
        <f>INDEX([2]Sheet1!$U:$U,MATCH($M109,[2]Sheet1!$BH:$BH,0),1)</f>
        <v>#N/A</v>
      </c>
      <c r="Q109" s="132">
        <f t="shared" si="3"/>
        <v>4</v>
      </c>
      <c r="R109" s="132" t="e">
        <f t="shared" si="5"/>
        <v>#N/A</v>
      </c>
      <c r="S109" s="132"/>
    </row>
    <row r="110" spans="1:19" s="10" customFormat="1">
      <c r="A110" s="30">
        <f t="shared" si="4"/>
        <v>2252</v>
      </c>
      <c r="B110" s="46" t="str">
        <f>VLOOKUP($M110,[1]Sheet1!$A:$B,2,0)&amp;"x"&amp;$N110</f>
        <v>白龙公主碎片x10</v>
      </c>
      <c r="C110" s="46">
        <v>2</v>
      </c>
      <c r="D110" s="10">
        <v>4</v>
      </c>
      <c r="E110" s="10">
        <v>4</v>
      </c>
      <c r="F110" s="46">
        <v>0</v>
      </c>
      <c r="G110" s="46">
        <v>200</v>
      </c>
      <c r="H110" s="32">
        <v>0</v>
      </c>
      <c r="I110" s="32">
        <v>1</v>
      </c>
      <c r="J110" s="32">
        <v>1</v>
      </c>
      <c r="K110" s="90" t="s">
        <v>108</v>
      </c>
      <c r="L110" s="91">
        <v>1</v>
      </c>
      <c r="M110" s="91">
        <v>10036</v>
      </c>
      <c r="N110" s="59">
        <v>10</v>
      </c>
      <c r="O110" s="92">
        <v>1</v>
      </c>
      <c r="P110" s="132" t="e">
        <f>INDEX([2]Sheet1!$U:$U,MATCH($M110,[2]Sheet1!$BH:$BH,0),1)</f>
        <v>#N/A</v>
      </c>
      <c r="Q110" s="132">
        <f t="shared" si="3"/>
        <v>4</v>
      </c>
      <c r="R110" s="132" t="e">
        <f t="shared" si="5"/>
        <v>#N/A</v>
      </c>
      <c r="S110" s="132"/>
    </row>
    <row r="111" spans="1:19" s="10" customFormat="1">
      <c r="A111" s="30">
        <f t="shared" si="4"/>
        <v>2253</v>
      </c>
      <c r="B111" s="46" t="str">
        <f>VLOOKUP($M111,[1]Sheet1!$A:$B,2,0)&amp;"x"&amp;$N111</f>
        <v>赛太岁碎片x10</v>
      </c>
      <c r="C111" s="46">
        <v>2</v>
      </c>
      <c r="D111" s="10">
        <v>4</v>
      </c>
      <c r="E111" s="10">
        <v>4</v>
      </c>
      <c r="F111" s="46">
        <v>0</v>
      </c>
      <c r="G111" s="46">
        <v>200</v>
      </c>
      <c r="H111" s="32">
        <v>0</v>
      </c>
      <c r="I111" s="32">
        <v>1</v>
      </c>
      <c r="J111" s="32">
        <v>1</v>
      </c>
      <c r="K111" s="90" t="s">
        <v>108</v>
      </c>
      <c r="L111" s="91">
        <v>1</v>
      </c>
      <c r="M111" s="91">
        <v>10028</v>
      </c>
      <c r="N111" s="59">
        <v>10</v>
      </c>
      <c r="O111" s="92">
        <v>1</v>
      </c>
      <c r="P111" s="132" t="e">
        <f>INDEX([2]Sheet1!$U:$U,MATCH($M111,[2]Sheet1!$BH:$BH,0),1)</f>
        <v>#N/A</v>
      </c>
      <c r="Q111" s="132">
        <f t="shared" si="3"/>
        <v>4</v>
      </c>
      <c r="R111" s="132" t="e">
        <f t="shared" si="5"/>
        <v>#N/A</v>
      </c>
      <c r="S111" s="132"/>
    </row>
    <row r="112" spans="1:19" s="10" customFormat="1">
      <c r="A112" s="30">
        <f t="shared" si="4"/>
        <v>2254</v>
      </c>
      <c r="B112" s="46" t="str">
        <f>VLOOKUP($M112,[1]Sheet1!$A:$B,2,0)&amp;"x"&amp;$N112</f>
        <v>琴仙碎片x10</v>
      </c>
      <c r="C112" s="46">
        <v>2</v>
      </c>
      <c r="D112" s="10">
        <v>4</v>
      </c>
      <c r="E112" s="10">
        <v>4</v>
      </c>
      <c r="F112" s="46">
        <v>0</v>
      </c>
      <c r="G112" s="46">
        <v>200</v>
      </c>
      <c r="H112" s="32">
        <v>0</v>
      </c>
      <c r="I112" s="32">
        <v>1</v>
      </c>
      <c r="J112" s="32">
        <v>1</v>
      </c>
      <c r="K112" s="90" t="s">
        <v>108</v>
      </c>
      <c r="L112" s="91">
        <v>1</v>
      </c>
      <c r="M112" s="91">
        <v>10092</v>
      </c>
      <c r="N112" s="59">
        <v>10</v>
      </c>
      <c r="O112" s="92">
        <v>1</v>
      </c>
      <c r="P112" s="132" t="e">
        <f>INDEX([2]Sheet1!$U:$U,MATCH($M112,[2]Sheet1!$BH:$BH,0),1)</f>
        <v>#N/A</v>
      </c>
      <c r="Q112" s="132">
        <f t="shared" si="3"/>
        <v>4</v>
      </c>
      <c r="R112" s="132" t="e">
        <f t="shared" si="5"/>
        <v>#N/A</v>
      </c>
      <c r="S112" s="132"/>
    </row>
    <row r="113" spans="1:23" s="10" customFormat="1">
      <c r="A113" s="30">
        <f t="shared" si="4"/>
        <v>2255</v>
      </c>
      <c r="B113" s="46" t="str">
        <f>VLOOKUP($M113,[1]Sheet1!$A:$B,2,0)&amp;"x"&amp;$N113</f>
        <v>黑熊精碎片x10</v>
      </c>
      <c r="C113" s="46">
        <v>2</v>
      </c>
      <c r="D113" s="10">
        <v>4</v>
      </c>
      <c r="E113" s="10">
        <v>4</v>
      </c>
      <c r="F113" s="46">
        <v>0</v>
      </c>
      <c r="G113" s="46">
        <v>200</v>
      </c>
      <c r="H113" s="32">
        <v>0</v>
      </c>
      <c r="I113" s="32">
        <v>1</v>
      </c>
      <c r="J113" s="32">
        <v>1</v>
      </c>
      <c r="K113" s="90" t="s">
        <v>108</v>
      </c>
      <c r="L113" s="91">
        <v>1</v>
      </c>
      <c r="M113" s="91">
        <v>10052</v>
      </c>
      <c r="N113" s="59">
        <v>10</v>
      </c>
      <c r="O113" s="92">
        <v>1</v>
      </c>
      <c r="P113" s="132" t="e">
        <f>INDEX([2]Sheet1!$U:$U,MATCH($M113,[2]Sheet1!$BH:$BH,0),1)</f>
        <v>#N/A</v>
      </c>
      <c r="Q113" s="132">
        <f t="shared" si="3"/>
        <v>4</v>
      </c>
      <c r="R113" s="132" t="e">
        <f t="shared" si="5"/>
        <v>#N/A</v>
      </c>
      <c r="S113" s="132"/>
    </row>
    <row r="114" spans="1:23" s="10" customFormat="1">
      <c r="A114" s="30">
        <f t="shared" si="4"/>
        <v>2256</v>
      </c>
      <c r="B114" s="46" t="str">
        <f>VLOOKUP($M114,[1]Sheet1!$A:$B,2,0)&amp;"x"&amp;$N114</f>
        <v>泾河龙王碎片x10</v>
      </c>
      <c r="C114" s="46">
        <v>2</v>
      </c>
      <c r="D114" s="10">
        <v>4</v>
      </c>
      <c r="E114" s="10">
        <v>4</v>
      </c>
      <c r="F114" s="46">
        <v>0</v>
      </c>
      <c r="G114" s="46">
        <v>200</v>
      </c>
      <c r="H114" s="32">
        <v>0</v>
      </c>
      <c r="I114" s="32">
        <v>1</v>
      </c>
      <c r="J114" s="32">
        <v>1</v>
      </c>
      <c r="K114" s="90" t="s">
        <v>108</v>
      </c>
      <c r="L114" s="91">
        <v>1</v>
      </c>
      <c r="M114" s="91">
        <v>10034</v>
      </c>
      <c r="N114" s="59">
        <v>10</v>
      </c>
      <c r="O114" s="92">
        <v>1</v>
      </c>
      <c r="P114" s="132" t="e">
        <f>INDEX([2]Sheet1!$U:$U,MATCH($M114,[2]Sheet1!$BH:$BH,0),1)</f>
        <v>#N/A</v>
      </c>
      <c r="Q114" s="132">
        <f t="shared" si="3"/>
        <v>4</v>
      </c>
      <c r="R114" s="132" t="e">
        <f t="shared" si="5"/>
        <v>#N/A</v>
      </c>
      <c r="S114" s="132"/>
    </row>
    <row r="115" spans="1:23" s="10" customFormat="1">
      <c r="A115" s="30">
        <f t="shared" si="4"/>
        <v>2257</v>
      </c>
      <c r="B115" s="46" t="str">
        <f>VLOOKUP($M115,[1]Sheet1!$A:$B,2,0)&amp;"x"&amp;$N115</f>
        <v>雷公碎片x10</v>
      </c>
      <c r="C115" s="46">
        <v>2</v>
      </c>
      <c r="D115" s="10">
        <v>4</v>
      </c>
      <c r="E115" s="10">
        <v>4</v>
      </c>
      <c r="F115" s="46">
        <v>0</v>
      </c>
      <c r="G115" s="46">
        <v>200</v>
      </c>
      <c r="H115" s="32">
        <v>0</v>
      </c>
      <c r="I115" s="32">
        <v>1</v>
      </c>
      <c r="J115" s="32">
        <v>1</v>
      </c>
      <c r="K115" s="90" t="s">
        <v>108</v>
      </c>
      <c r="L115" s="91">
        <v>1</v>
      </c>
      <c r="M115" s="91">
        <v>10033</v>
      </c>
      <c r="N115" s="59">
        <v>10</v>
      </c>
      <c r="O115" s="92">
        <v>1</v>
      </c>
      <c r="P115" s="132" t="e">
        <f>INDEX([2]Sheet1!$U:$U,MATCH($M115,[2]Sheet1!$BH:$BH,0),1)</f>
        <v>#N/A</v>
      </c>
      <c r="Q115" s="132">
        <f t="shared" si="3"/>
        <v>4</v>
      </c>
      <c r="R115" s="132" t="e">
        <f t="shared" si="5"/>
        <v>#N/A</v>
      </c>
      <c r="S115" s="132"/>
    </row>
    <row r="116" spans="1:23" s="10" customFormat="1">
      <c r="A116" s="30">
        <f t="shared" si="4"/>
        <v>2258</v>
      </c>
      <c r="B116" s="46" t="str">
        <f>VLOOKUP($M116,[1]Sheet1!$A:$B,2,0)&amp;"x"&amp;$N116</f>
        <v>鬼使黑碎片x10</v>
      </c>
      <c r="C116" s="46">
        <v>2</v>
      </c>
      <c r="D116" s="10">
        <v>4</v>
      </c>
      <c r="E116" s="10">
        <v>4</v>
      </c>
      <c r="F116" s="46">
        <v>0</v>
      </c>
      <c r="G116" s="46">
        <v>200</v>
      </c>
      <c r="H116" s="32">
        <v>0</v>
      </c>
      <c r="I116" s="32">
        <v>1</v>
      </c>
      <c r="J116" s="32">
        <v>1</v>
      </c>
      <c r="K116" s="90" t="s">
        <v>108</v>
      </c>
      <c r="L116" s="91">
        <v>1</v>
      </c>
      <c r="M116" s="91">
        <v>10103</v>
      </c>
      <c r="N116" s="59">
        <v>10</v>
      </c>
      <c r="O116" s="92">
        <v>1</v>
      </c>
      <c r="P116" s="132" t="e">
        <f>INDEX([2]Sheet1!$U:$U,MATCH($M116,[2]Sheet1!$BH:$BH,0),1)</f>
        <v>#N/A</v>
      </c>
      <c r="Q116" s="132">
        <f t="shared" si="3"/>
        <v>4</v>
      </c>
      <c r="R116" s="132" t="e">
        <f t="shared" si="5"/>
        <v>#N/A</v>
      </c>
      <c r="S116" s="132"/>
    </row>
    <row r="117" spans="1:23" s="10" customFormat="1">
      <c r="A117" s="30">
        <f t="shared" si="4"/>
        <v>2259</v>
      </c>
      <c r="B117" s="46" t="str">
        <f>VLOOKUP($M117,[1]Sheet1!$A:$B,2,0)&amp;"x"&amp;$N117</f>
        <v>鬼使白碎片x10</v>
      </c>
      <c r="C117" s="46">
        <v>2</v>
      </c>
      <c r="D117" s="10">
        <v>4</v>
      </c>
      <c r="E117" s="10">
        <v>4</v>
      </c>
      <c r="F117" s="46">
        <v>0</v>
      </c>
      <c r="G117" s="46">
        <v>200</v>
      </c>
      <c r="H117" s="32">
        <v>0</v>
      </c>
      <c r="I117" s="32">
        <v>1</v>
      </c>
      <c r="J117" s="32">
        <v>1</v>
      </c>
      <c r="K117" s="90" t="s">
        <v>108</v>
      </c>
      <c r="L117" s="91">
        <v>1</v>
      </c>
      <c r="M117" s="91">
        <v>10104</v>
      </c>
      <c r="N117" s="59">
        <v>10</v>
      </c>
      <c r="O117" s="92">
        <v>1</v>
      </c>
      <c r="P117" s="132" t="e">
        <f>INDEX([2]Sheet1!$U:$U,MATCH($M117,[2]Sheet1!$BH:$BH,0),1)</f>
        <v>#N/A</v>
      </c>
      <c r="Q117" s="132">
        <f t="shared" si="3"/>
        <v>4</v>
      </c>
      <c r="R117" s="132" t="e">
        <f t="shared" si="5"/>
        <v>#N/A</v>
      </c>
      <c r="S117" s="132"/>
    </row>
    <row r="118" spans="1:23" s="10" customFormat="1">
      <c r="A118" s="30">
        <f t="shared" si="4"/>
        <v>2260</v>
      </c>
      <c r="B118" s="46" t="str">
        <f>VLOOKUP($M118,[1]Sheet1!$A:$B,2,0)&amp;"x"&amp;$N118</f>
        <v>牛头碎片x10</v>
      </c>
      <c r="C118" s="46">
        <v>2</v>
      </c>
      <c r="D118" s="10">
        <v>4</v>
      </c>
      <c r="E118" s="10">
        <v>4</v>
      </c>
      <c r="F118" s="46">
        <v>0</v>
      </c>
      <c r="G118" s="46">
        <v>200</v>
      </c>
      <c r="H118" s="32">
        <v>0</v>
      </c>
      <c r="I118" s="32">
        <v>1</v>
      </c>
      <c r="J118" s="32">
        <v>1</v>
      </c>
      <c r="K118" s="90" t="s">
        <v>108</v>
      </c>
      <c r="L118" s="91">
        <v>1</v>
      </c>
      <c r="M118" s="91">
        <v>10106</v>
      </c>
      <c r="N118" s="59">
        <v>10</v>
      </c>
      <c r="O118" s="92">
        <v>1</v>
      </c>
      <c r="P118" s="132" t="e">
        <f>INDEX([2]Sheet1!$U:$U,MATCH($M118,[2]Sheet1!$BH:$BH,0),1)</f>
        <v>#N/A</v>
      </c>
      <c r="Q118" s="132">
        <f t="shared" si="3"/>
        <v>4</v>
      </c>
      <c r="R118" s="132" t="e">
        <f t="shared" si="5"/>
        <v>#N/A</v>
      </c>
      <c r="S118" s="132"/>
    </row>
    <row r="119" spans="1:23" s="10" customFormat="1">
      <c r="A119" s="30">
        <f t="shared" si="4"/>
        <v>2261</v>
      </c>
      <c r="B119" s="46" t="str">
        <f>VLOOKUP($M119,[1]Sheet1!$A:$B,2,0)&amp;"x"&amp;$N119</f>
        <v>马面碎片x10</v>
      </c>
      <c r="C119" s="46">
        <v>2</v>
      </c>
      <c r="D119" s="10">
        <v>4</v>
      </c>
      <c r="E119" s="10">
        <v>4</v>
      </c>
      <c r="F119" s="46">
        <v>0</v>
      </c>
      <c r="G119" s="46">
        <v>200</v>
      </c>
      <c r="H119" s="32">
        <v>0</v>
      </c>
      <c r="I119" s="32">
        <v>1</v>
      </c>
      <c r="J119" s="32">
        <v>1</v>
      </c>
      <c r="K119" s="90" t="s">
        <v>108</v>
      </c>
      <c r="L119" s="91">
        <v>1</v>
      </c>
      <c r="M119" s="91">
        <v>10105</v>
      </c>
      <c r="N119" s="59">
        <v>10</v>
      </c>
      <c r="O119" s="92">
        <v>1</v>
      </c>
      <c r="P119" s="132" t="e">
        <f>INDEX([2]Sheet1!$U:$U,MATCH($M119,[2]Sheet1!$BH:$BH,0),1)</f>
        <v>#N/A</v>
      </c>
      <c r="Q119" s="132">
        <f t="shared" si="3"/>
        <v>4</v>
      </c>
      <c r="R119" s="132" t="e">
        <f t="shared" si="5"/>
        <v>#N/A</v>
      </c>
      <c r="S119" s="132"/>
    </row>
    <row r="120" spans="1:23" s="10" customFormat="1">
      <c r="A120" s="30">
        <f t="shared" si="4"/>
        <v>2262</v>
      </c>
      <c r="B120" s="46" t="str">
        <f>VLOOKUP($M120,[1]Sheet1!$A:$B,2,0)&amp;"x"&amp;$N120</f>
        <v>金钱豹王碎片x10</v>
      </c>
      <c r="C120" s="46">
        <v>2</v>
      </c>
      <c r="D120" s="10">
        <v>4</v>
      </c>
      <c r="E120" s="10">
        <v>4</v>
      </c>
      <c r="F120" s="46">
        <v>0</v>
      </c>
      <c r="G120" s="46">
        <v>200</v>
      </c>
      <c r="H120" s="32">
        <v>0</v>
      </c>
      <c r="I120" s="32">
        <v>1</v>
      </c>
      <c r="J120" s="32">
        <v>1</v>
      </c>
      <c r="K120" s="90" t="s">
        <v>108</v>
      </c>
      <c r="L120" s="91">
        <v>1</v>
      </c>
      <c r="M120" s="91">
        <v>10039</v>
      </c>
      <c r="N120" s="59">
        <v>10</v>
      </c>
      <c r="O120" s="92">
        <v>1</v>
      </c>
      <c r="P120" s="132" t="e">
        <f>INDEX([2]Sheet1!$U:$U,MATCH($M120,[2]Sheet1!$BH:$BH,0),1)</f>
        <v>#N/A</v>
      </c>
      <c r="Q120" s="132">
        <f t="shared" si="3"/>
        <v>4</v>
      </c>
      <c r="R120" s="132" t="e">
        <f t="shared" si="5"/>
        <v>#N/A</v>
      </c>
      <c r="S120" s="132"/>
    </row>
    <row r="121" spans="1:23" s="10" customFormat="1">
      <c r="A121" s="30">
        <f t="shared" si="4"/>
        <v>2263</v>
      </c>
      <c r="B121" s="46" t="str">
        <f>VLOOKUP($M121,[1]Sheet1!$A:$B,2,0)&amp;"x"&amp;$N121</f>
        <v>墨鱼精碎片x10</v>
      </c>
      <c r="C121" s="46">
        <v>2</v>
      </c>
      <c r="D121" s="10">
        <v>4</v>
      </c>
      <c r="E121" s="10">
        <v>4</v>
      </c>
      <c r="F121" s="46">
        <v>0</v>
      </c>
      <c r="G121" s="46">
        <v>200</v>
      </c>
      <c r="H121" s="32">
        <v>0</v>
      </c>
      <c r="I121" s="32">
        <v>1</v>
      </c>
      <c r="J121" s="32">
        <v>1</v>
      </c>
      <c r="K121" s="90" t="s">
        <v>108</v>
      </c>
      <c r="L121" s="91">
        <v>1</v>
      </c>
      <c r="M121" s="91">
        <v>10040</v>
      </c>
      <c r="N121" s="59">
        <v>10</v>
      </c>
      <c r="O121" s="92">
        <v>1</v>
      </c>
      <c r="P121" s="132" t="e">
        <f>INDEX([2]Sheet1!$U:$U,MATCH($M121,[2]Sheet1!$BH:$BH,0),1)</f>
        <v>#N/A</v>
      </c>
      <c r="Q121" s="132">
        <f t="shared" si="3"/>
        <v>4</v>
      </c>
      <c r="R121" s="132" t="e">
        <f t="shared" si="5"/>
        <v>#N/A</v>
      </c>
      <c r="S121" s="132"/>
    </row>
    <row r="122" spans="1:23" s="10" customFormat="1">
      <c r="A122" s="30">
        <f t="shared" si="4"/>
        <v>2264</v>
      </c>
      <c r="B122" s="46" t="str">
        <f>VLOOKUP($M122,[1]Sheet1!$A:$B,2,0)&amp;"x"&amp;$N122</f>
        <v>玉面夫人碎片x10</v>
      </c>
      <c r="C122" s="46">
        <v>2</v>
      </c>
      <c r="D122" s="10">
        <v>4</v>
      </c>
      <c r="E122" s="10">
        <v>4</v>
      </c>
      <c r="F122" s="46">
        <v>0</v>
      </c>
      <c r="G122" s="46">
        <v>200</v>
      </c>
      <c r="H122" s="32">
        <v>0</v>
      </c>
      <c r="I122" s="32">
        <v>1</v>
      </c>
      <c r="J122" s="32">
        <v>1</v>
      </c>
      <c r="K122" s="90" t="s">
        <v>108</v>
      </c>
      <c r="L122" s="91">
        <v>1</v>
      </c>
      <c r="M122" s="91">
        <v>10038</v>
      </c>
      <c r="N122" s="59">
        <v>10</v>
      </c>
      <c r="O122" s="92">
        <v>1</v>
      </c>
      <c r="P122" s="132" t="e">
        <f>INDEX([2]Sheet1!$U:$U,MATCH($M122,[2]Sheet1!$BH:$BH,0),1)</f>
        <v>#N/A</v>
      </c>
      <c r="Q122" s="132">
        <f t="shared" si="3"/>
        <v>4</v>
      </c>
      <c r="R122" s="132" t="e">
        <f t="shared" si="5"/>
        <v>#N/A</v>
      </c>
      <c r="S122" s="132"/>
    </row>
    <row r="123" spans="1:23" s="10" customFormat="1">
      <c r="A123" s="30">
        <f t="shared" si="4"/>
        <v>2265</v>
      </c>
      <c r="B123" s="46" t="str">
        <f>VLOOKUP($M123,[1]Sheet1!$A:$B,2,0)&amp;"x"&amp;$N123</f>
        <v>扇子精碎片x10</v>
      </c>
      <c r="C123" s="46">
        <v>2</v>
      </c>
      <c r="D123" s="10">
        <v>4</v>
      </c>
      <c r="E123" s="10">
        <v>4</v>
      </c>
      <c r="F123" s="46">
        <v>0</v>
      </c>
      <c r="G123" s="46">
        <v>200</v>
      </c>
      <c r="H123" s="32">
        <v>0</v>
      </c>
      <c r="I123" s="32">
        <v>1</v>
      </c>
      <c r="J123" s="32">
        <v>1</v>
      </c>
      <c r="K123" s="90" t="s">
        <v>108</v>
      </c>
      <c r="L123" s="91">
        <v>1</v>
      </c>
      <c r="M123" s="91">
        <v>10126</v>
      </c>
      <c r="N123" s="59">
        <v>10</v>
      </c>
      <c r="O123" s="92">
        <v>1</v>
      </c>
      <c r="P123" s="132" t="e">
        <f>INDEX([2]Sheet1!$U:$U,MATCH($M123,[2]Sheet1!$BH:$BH,0),1)</f>
        <v>#N/A</v>
      </c>
      <c r="Q123" s="132">
        <f t="shared" si="3"/>
        <v>4</v>
      </c>
      <c r="R123" s="132" t="e">
        <f t="shared" si="5"/>
        <v>#N/A</v>
      </c>
      <c r="S123" s="132"/>
    </row>
    <row r="124" spans="1:23" s="10" customFormat="1">
      <c r="A124" s="30">
        <f t="shared" si="4"/>
        <v>2266</v>
      </c>
      <c r="B124" s="46" t="str">
        <f>VLOOKUP($M124,[1]Sheet1!$A:$B,2,0)&amp;"x"&amp;$N124</f>
        <v>玉兔碎片x10</v>
      </c>
      <c r="C124" s="46">
        <v>2</v>
      </c>
      <c r="D124" s="10">
        <v>4</v>
      </c>
      <c r="E124" s="10">
        <v>4</v>
      </c>
      <c r="F124" s="46">
        <v>0</v>
      </c>
      <c r="G124" s="46">
        <v>200</v>
      </c>
      <c r="H124" s="32">
        <v>0</v>
      </c>
      <c r="I124" s="32">
        <v>1</v>
      </c>
      <c r="J124" s="32">
        <v>1</v>
      </c>
      <c r="K124" s="90" t="s">
        <v>108</v>
      </c>
      <c r="L124" s="91">
        <v>1</v>
      </c>
      <c r="M124" s="91">
        <v>10041</v>
      </c>
      <c r="N124" s="59">
        <v>10</v>
      </c>
      <c r="O124" s="92">
        <v>1</v>
      </c>
      <c r="P124" s="132" t="e">
        <f>INDEX([2]Sheet1!$U:$U,MATCH($M124,[2]Sheet1!$BH:$BH,0),1)</f>
        <v>#N/A</v>
      </c>
      <c r="Q124" s="132">
        <f t="shared" ref="Q124:Q181" si="6">E124</f>
        <v>4</v>
      </c>
      <c r="R124" s="132" t="e">
        <f t="shared" si="5"/>
        <v>#N/A</v>
      </c>
      <c r="S124" s="132"/>
    </row>
    <row r="125" spans="1:23" s="10" customFormat="1">
      <c r="A125" s="30">
        <f t="shared" si="4"/>
        <v>2267</v>
      </c>
      <c r="B125" s="46" t="str">
        <f>VLOOKUP($M125,[1]Sheet1!$A:$B,2,0)&amp;"x"&amp;$N125</f>
        <v>蟹将碎片x10</v>
      </c>
      <c r="C125" s="46">
        <v>2</v>
      </c>
      <c r="D125" s="10">
        <v>4</v>
      </c>
      <c r="E125" s="10">
        <v>4</v>
      </c>
      <c r="F125" s="46">
        <v>0</v>
      </c>
      <c r="G125" s="46">
        <v>200</v>
      </c>
      <c r="H125" s="32">
        <v>0</v>
      </c>
      <c r="I125" s="32">
        <v>1</v>
      </c>
      <c r="J125" s="32">
        <v>1</v>
      </c>
      <c r="K125" s="90" t="s">
        <v>108</v>
      </c>
      <c r="L125" s="91">
        <v>1</v>
      </c>
      <c r="M125" s="91">
        <v>10404</v>
      </c>
      <c r="N125" s="59">
        <v>10</v>
      </c>
      <c r="O125" s="92">
        <v>1</v>
      </c>
      <c r="P125" s="132" t="e">
        <f>INDEX([2]Sheet1!$U:$U,MATCH($M125,[2]Sheet1!$BH:$BH,0),1)</f>
        <v>#N/A</v>
      </c>
      <c r="Q125" s="132">
        <f t="shared" si="6"/>
        <v>4</v>
      </c>
      <c r="R125" s="132" t="e">
        <f t="shared" si="5"/>
        <v>#N/A</v>
      </c>
      <c r="S125" s="132"/>
    </row>
    <row r="126" spans="1:23" s="65" customFormat="1">
      <c r="A126" s="64">
        <f t="shared" si="4"/>
        <v>2300</v>
      </c>
      <c r="B126" s="66" t="str">
        <f>VLOOKUP($M126,[1]Sheet1!$A:$B,2,0)&amp;"x"&amp;$N126</f>
        <v>弥勒佛碎片x5</v>
      </c>
      <c r="C126" s="66">
        <v>2</v>
      </c>
      <c r="D126" s="65">
        <v>4</v>
      </c>
      <c r="E126" s="65">
        <v>2</v>
      </c>
      <c r="F126" s="66">
        <v>0</v>
      </c>
      <c r="G126" s="66">
        <v>200</v>
      </c>
      <c r="H126" s="67">
        <v>0</v>
      </c>
      <c r="I126" s="67">
        <v>1</v>
      </c>
      <c r="J126" s="67">
        <v>1</v>
      </c>
      <c r="K126" s="84" t="s">
        <v>108</v>
      </c>
      <c r="L126" s="85">
        <v>1</v>
      </c>
      <c r="M126" s="85">
        <v>10027</v>
      </c>
      <c r="N126" s="68">
        <v>5</v>
      </c>
      <c r="O126" s="86">
        <v>1</v>
      </c>
      <c r="P126" s="129" t="e">
        <f>INDEX([2]Sheet1!$U:$U,MATCH($M126,[2]Sheet1!$BH:$BH,0),1)</f>
        <v>#N/A</v>
      </c>
      <c r="Q126" s="129">
        <f t="shared" si="6"/>
        <v>2</v>
      </c>
      <c r="R126" s="130" t="e">
        <f t="shared" si="5"/>
        <v>#N/A</v>
      </c>
      <c r="S126" s="130"/>
      <c r="T126" s="66"/>
      <c r="U126" s="66"/>
      <c r="V126" s="66"/>
      <c r="W126" s="66"/>
    </row>
    <row r="127" spans="1:23" s="65" customFormat="1">
      <c r="A127" s="64">
        <f t="shared" si="4"/>
        <v>2301</v>
      </c>
      <c r="B127" s="66" t="str">
        <f>VLOOKUP($M127,[1]Sheet1!$A:$B,2,0)&amp;"x"&amp;$N127</f>
        <v>金蝉子碎片x5</v>
      </c>
      <c r="C127" s="66">
        <v>2</v>
      </c>
      <c r="D127" s="65">
        <v>4</v>
      </c>
      <c r="E127" s="65">
        <v>2</v>
      </c>
      <c r="F127" s="66">
        <v>0</v>
      </c>
      <c r="G127" s="66">
        <v>200</v>
      </c>
      <c r="H127" s="67">
        <v>0</v>
      </c>
      <c r="I127" s="67">
        <v>1</v>
      </c>
      <c r="J127" s="67">
        <v>1</v>
      </c>
      <c r="K127" s="84" t="s">
        <v>108</v>
      </c>
      <c r="L127" s="85">
        <v>1</v>
      </c>
      <c r="M127" s="85">
        <v>10112</v>
      </c>
      <c r="N127" s="68">
        <v>5</v>
      </c>
      <c r="O127" s="86">
        <v>1</v>
      </c>
      <c r="P127" s="129" t="e">
        <f>INDEX([2]Sheet1!$U:$U,MATCH($M127,[2]Sheet1!$BH:$BH,0),1)</f>
        <v>#N/A</v>
      </c>
      <c r="Q127" s="129">
        <f t="shared" si="6"/>
        <v>2</v>
      </c>
      <c r="R127" s="130" t="e">
        <f t="shared" si="5"/>
        <v>#N/A</v>
      </c>
      <c r="S127" s="129"/>
    </row>
    <row r="128" spans="1:23" s="65" customFormat="1">
      <c r="A128" s="64">
        <f t="shared" si="4"/>
        <v>2302</v>
      </c>
      <c r="B128" s="66" t="str">
        <f>VLOOKUP($M128,[1]Sheet1!$A:$B,2,0)&amp;"x"&amp;$N128</f>
        <v>龙帝碎片x5</v>
      </c>
      <c r="C128" s="66">
        <v>2</v>
      </c>
      <c r="D128" s="65">
        <v>4</v>
      </c>
      <c r="E128" s="65">
        <v>2</v>
      </c>
      <c r="F128" s="66">
        <v>0</v>
      </c>
      <c r="G128" s="66">
        <v>200</v>
      </c>
      <c r="H128" s="67">
        <v>0</v>
      </c>
      <c r="I128" s="67">
        <v>1</v>
      </c>
      <c r="J128" s="67">
        <v>1</v>
      </c>
      <c r="K128" s="84" t="s">
        <v>108</v>
      </c>
      <c r="L128" s="85">
        <v>1</v>
      </c>
      <c r="M128" s="85">
        <v>10113</v>
      </c>
      <c r="N128" s="68">
        <v>5</v>
      </c>
      <c r="O128" s="86">
        <v>1</v>
      </c>
      <c r="P128" s="129" t="e">
        <f>INDEX([2]Sheet1!$U:$U,MATCH($M128,[2]Sheet1!$BH:$BH,0),1)</f>
        <v>#N/A</v>
      </c>
      <c r="Q128" s="129">
        <f t="shared" si="6"/>
        <v>2</v>
      </c>
      <c r="R128" s="130" t="e">
        <f t="shared" si="5"/>
        <v>#N/A</v>
      </c>
      <c r="S128" s="129"/>
    </row>
    <row r="129" spans="1:19" s="65" customFormat="1">
      <c r="A129" s="64">
        <f t="shared" si="4"/>
        <v>2303</v>
      </c>
      <c r="B129" s="66" t="str">
        <f>VLOOKUP($M129,[1]Sheet1!$A:$B,2,0)&amp;"x"&amp;$N129</f>
        <v>八部天龙碎片x5</v>
      </c>
      <c r="C129" s="66">
        <v>2</v>
      </c>
      <c r="D129" s="65">
        <v>4</v>
      </c>
      <c r="E129" s="65">
        <v>2</v>
      </c>
      <c r="F129" s="66">
        <v>0</v>
      </c>
      <c r="G129" s="66">
        <v>200</v>
      </c>
      <c r="H129" s="67">
        <v>0</v>
      </c>
      <c r="I129" s="67">
        <v>1</v>
      </c>
      <c r="J129" s="67">
        <v>1</v>
      </c>
      <c r="K129" s="84" t="s">
        <v>108</v>
      </c>
      <c r="L129" s="85">
        <v>1</v>
      </c>
      <c r="M129" s="85">
        <v>10114</v>
      </c>
      <c r="N129" s="68">
        <v>5</v>
      </c>
      <c r="O129" s="86">
        <v>1</v>
      </c>
      <c r="P129" s="129" t="e">
        <f>INDEX([2]Sheet1!$U:$U,MATCH($M129,[2]Sheet1!$BH:$BH,0),1)</f>
        <v>#N/A</v>
      </c>
      <c r="Q129" s="129">
        <f t="shared" si="6"/>
        <v>2</v>
      </c>
      <c r="R129" s="130" t="e">
        <f t="shared" si="5"/>
        <v>#N/A</v>
      </c>
      <c r="S129" s="129"/>
    </row>
    <row r="130" spans="1:19" s="65" customFormat="1">
      <c r="A130" s="64">
        <f t="shared" si="4"/>
        <v>2304</v>
      </c>
      <c r="B130" s="66" t="str">
        <f>VLOOKUP($M130,[1]Sheet1!$A:$B,2,0)&amp;"x"&amp;$N130</f>
        <v>观世音碎片x5</v>
      </c>
      <c r="C130" s="66">
        <v>2</v>
      </c>
      <c r="D130" s="65">
        <v>4</v>
      </c>
      <c r="E130" s="65">
        <v>2</v>
      </c>
      <c r="F130" s="66">
        <v>0</v>
      </c>
      <c r="G130" s="66">
        <v>200</v>
      </c>
      <c r="H130" s="67">
        <v>0</v>
      </c>
      <c r="I130" s="67">
        <v>1</v>
      </c>
      <c r="J130" s="67">
        <v>1</v>
      </c>
      <c r="K130" s="84" t="s">
        <v>108</v>
      </c>
      <c r="L130" s="85">
        <v>1</v>
      </c>
      <c r="M130" s="85">
        <v>10115</v>
      </c>
      <c r="N130" s="68">
        <v>5</v>
      </c>
      <c r="O130" s="86">
        <v>1</v>
      </c>
      <c r="P130" s="129" t="e">
        <f>INDEX([2]Sheet1!$U:$U,MATCH($M130,[2]Sheet1!$BH:$BH,0),1)</f>
        <v>#N/A</v>
      </c>
      <c r="Q130" s="129">
        <f t="shared" si="6"/>
        <v>2</v>
      </c>
      <c r="R130" s="130" t="e">
        <f t="shared" si="5"/>
        <v>#N/A</v>
      </c>
      <c r="S130" s="129"/>
    </row>
    <row r="131" spans="1:19" s="65" customFormat="1">
      <c r="A131" s="64">
        <f t="shared" si="4"/>
        <v>2305</v>
      </c>
      <c r="B131" s="66" t="str">
        <f>VLOOKUP($M131,[1]Sheet1!$A:$B,2,0)&amp;"x"&amp;$N131</f>
        <v>托塔天王碎片x5</v>
      </c>
      <c r="C131" s="66">
        <v>2</v>
      </c>
      <c r="D131" s="65">
        <v>4</v>
      </c>
      <c r="E131" s="65">
        <v>2</v>
      </c>
      <c r="F131" s="66">
        <v>0</v>
      </c>
      <c r="G131" s="66">
        <v>200</v>
      </c>
      <c r="H131" s="67">
        <v>0</v>
      </c>
      <c r="I131" s="67">
        <v>1</v>
      </c>
      <c r="J131" s="67">
        <v>1</v>
      </c>
      <c r="K131" s="84" t="s">
        <v>108</v>
      </c>
      <c r="L131" s="85">
        <v>1</v>
      </c>
      <c r="M131" s="85">
        <v>10008</v>
      </c>
      <c r="N131" s="68">
        <v>5</v>
      </c>
      <c r="O131" s="86">
        <v>1</v>
      </c>
      <c r="P131" s="129" t="e">
        <f>INDEX([2]Sheet1!$U:$U,MATCH($M131,[2]Sheet1!$BH:$BH,0),1)</f>
        <v>#N/A</v>
      </c>
      <c r="Q131" s="129">
        <f t="shared" si="6"/>
        <v>2</v>
      </c>
      <c r="R131" s="130" t="e">
        <f t="shared" si="5"/>
        <v>#N/A</v>
      </c>
      <c r="S131" s="129"/>
    </row>
    <row r="132" spans="1:19" s="65" customFormat="1">
      <c r="A132" s="64">
        <f t="shared" si="4"/>
        <v>2306</v>
      </c>
      <c r="B132" s="66" t="str">
        <f>VLOOKUP($M132,[1]Sheet1!$A:$B,2,0)&amp;"x"&amp;$N132</f>
        <v>黑无常碎片x5</v>
      </c>
      <c r="C132" s="66">
        <v>2</v>
      </c>
      <c r="D132" s="65">
        <v>4</v>
      </c>
      <c r="E132" s="65">
        <v>2</v>
      </c>
      <c r="F132" s="66">
        <v>0</v>
      </c>
      <c r="G132" s="66">
        <v>200</v>
      </c>
      <c r="H132" s="67">
        <v>0</v>
      </c>
      <c r="I132" s="67">
        <v>1</v>
      </c>
      <c r="J132" s="67">
        <v>1</v>
      </c>
      <c r="K132" s="84" t="s">
        <v>108</v>
      </c>
      <c r="L132" s="85">
        <v>1</v>
      </c>
      <c r="M132" s="85">
        <v>10119</v>
      </c>
      <c r="N132" s="68">
        <v>5</v>
      </c>
      <c r="O132" s="86">
        <v>1</v>
      </c>
      <c r="P132" s="129" t="e">
        <f>INDEX([2]Sheet1!$U:$U,MATCH($M132,[2]Sheet1!$BH:$BH,0),1)</f>
        <v>#N/A</v>
      </c>
      <c r="Q132" s="129">
        <f t="shared" si="6"/>
        <v>2</v>
      </c>
      <c r="R132" s="130" t="e">
        <f t="shared" si="5"/>
        <v>#N/A</v>
      </c>
      <c r="S132" s="129"/>
    </row>
    <row r="133" spans="1:19" s="65" customFormat="1">
      <c r="A133" s="64">
        <f t="shared" si="4"/>
        <v>2307</v>
      </c>
      <c r="B133" s="66" t="str">
        <f>VLOOKUP($M133,[1]Sheet1!$A:$B,2,0)&amp;"x"&amp;$N133</f>
        <v>哪吒碎片x5</v>
      </c>
      <c r="C133" s="66">
        <v>2</v>
      </c>
      <c r="D133" s="65">
        <v>4</v>
      </c>
      <c r="E133" s="65">
        <v>2</v>
      </c>
      <c r="F133" s="66">
        <v>0</v>
      </c>
      <c r="G133" s="66">
        <v>200</v>
      </c>
      <c r="H133" s="67">
        <v>0</v>
      </c>
      <c r="I133" s="67">
        <v>1</v>
      </c>
      <c r="J133" s="67">
        <v>1</v>
      </c>
      <c r="K133" s="84" t="s">
        <v>108</v>
      </c>
      <c r="L133" s="85">
        <v>1</v>
      </c>
      <c r="M133" s="85">
        <v>10002</v>
      </c>
      <c r="N133" s="68">
        <v>5</v>
      </c>
      <c r="O133" s="86">
        <v>1</v>
      </c>
      <c r="P133" s="129" t="e">
        <f>INDEX([2]Sheet1!$U:$U,MATCH($M133,[2]Sheet1!$BH:$BH,0),1)</f>
        <v>#N/A</v>
      </c>
      <c r="Q133" s="129">
        <f t="shared" si="6"/>
        <v>2</v>
      </c>
      <c r="R133" s="130" t="e">
        <f t="shared" si="5"/>
        <v>#N/A</v>
      </c>
      <c r="S133" s="129"/>
    </row>
    <row r="134" spans="1:19" s="65" customFormat="1">
      <c r="A134" s="64">
        <f t="shared" si="4"/>
        <v>2308</v>
      </c>
      <c r="B134" s="66" t="str">
        <f>VLOOKUP($M134,[1]Sheet1!$A:$B,2,0)&amp;"x"&amp;$N134</f>
        <v>白无常碎片x5</v>
      </c>
      <c r="C134" s="66">
        <v>2</v>
      </c>
      <c r="D134" s="65">
        <v>4</v>
      </c>
      <c r="E134" s="65">
        <v>2</v>
      </c>
      <c r="F134" s="66">
        <v>0</v>
      </c>
      <c r="G134" s="66">
        <v>200</v>
      </c>
      <c r="H134" s="67">
        <v>0</v>
      </c>
      <c r="I134" s="67">
        <v>1</v>
      </c>
      <c r="J134" s="67">
        <v>1</v>
      </c>
      <c r="K134" s="84" t="s">
        <v>108</v>
      </c>
      <c r="L134" s="85">
        <v>1</v>
      </c>
      <c r="M134" s="85">
        <v>10118</v>
      </c>
      <c r="N134" s="68">
        <v>5</v>
      </c>
      <c r="O134" s="86">
        <v>1</v>
      </c>
      <c r="P134" s="129" t="e">
        <f>INDEX([2]Sheet1!$U:$U,MATCH($M134,[2]Sheet1!$BH:$BH,0),1)</f>
        <v>#N/A</v>
      </c>
      <c r="Q134" s="129">
        <f t="shared" si="6"/>
        <v>2</v>
      </c>
      <c r="R134" s="130" t="e">
        <f t="shared" si="5"/>
        <v>#N/A</v>
      </c>
      <c r="S134" s="129"/>
    </row>
    <row r="135" spans="1:19" s="65" customFormat="1">
      <c r="A135" s="64">
        <f t="shared" si="4"/>
        <v>2309</v>
      </c>
      <c r="B135" s="66" t="str">
        <f>VLOOKUP($M135,[1]Sheet1!$A:$B,2,0)&amp;"x"&amp;$N135</f>
        <v>嫦娥碎片x5</v>
      </c>
      <c r="C135" s="66">
        <v>2</v>
      </c>
      <c r="D135" s="65">
        <v>4</v>
      </c>
      <c r="E135" s="65">
        <v>2</v>
      </c>
      <c r="F135" s="66">
        <v>0</v>
      </c>
      <c r="G135" s="66">
        <v>200</v>
      </c>
      <c r="H135" s="67">
        <v>0</v>
      </c>
      <c r="I135" s="67">
        <v>1</v>
      </c>
      <c r="J135" s="67">
        <v>1</v>
      </c>
      <c r="K135" s="84" t="s">
        <v>108</v>
      </c>
      <c r="L135" s="85">
        <v>1</v>
      </c>
      <c r="M135" s="85">
        <v>10003</v>
      </c>
      <c r="N135" s="68">
        <v>5</v>
      </c>
      <c r="O135" s="86">
        <v>1</v>
      </c>
      <c r="P135" s="129" t="e">
        <f>INDEX([2]Sheet1!$U:$U,MATCH($M135,[2]Sheet1!$BH:$BH,0),1)</f>
        <v>#N/A</v>
      </c>
      <c r="Q135" s="129">
        <f t="shared" si="6"/>
        <v>2</v>
      </c>
      <c r="R135" s="130" t="e">
        <f t="shared" si="5"/>
        <v>#N/A</v>
      </c>
      <c r="S135" s="129"/>
    </row>
    <row r="136" spans="1:19" s="65" customFormat="1">
      <c r="A136" s="64">
        <f t="shared" ref="A136:A199" si="7">A82+150</f>
        <v>2310</v>
      </c>
      <c r="B136" s="66" t="str">
        <f>VLOOKUP($M136,[1]Sheet1!$A:$B,2,0)&amp;"x"&amp;$N136</f>
        <v>铁扇公主碎片x5</v>
      </c>
      <c r="C136" s="66">
        <v>2</v>
      </c>
      <c r="D136" s="65">
        <v>4</v>
      </c>
      <c r="E136" s="65">
        <v>2</v>
      </c>
      <c r="F136" s="66">
        <v>0</v>
      </c>
      <c r="G136" s="66">
        <v>200</v>
      </c>
      <c r="H136" s="67">
        <v>0</v>
      </c>
      <c r="I136" s="67">
        <v>1</v>
      </c>
      <c r="J136" s="67">
        <v>1</v>
      </c>
      <c r="K136" s="84" t="s">
        <v>108</v>
      </c>
      <c r="L136" s="85">
        <v>1</v>
      </c>
      <c r="M136" s="85">
        <v>10011</v>
      </c>
      <c r="N136" s="68">
        <v>5</v>
      </c>
      <c r="O136" s="86">
        <v>1</v>
      </c>
      <c r="P136" s="129" t="e">
        <f>INDEX([2]Sheet1!$U:$U,MATCH($M136,[2]Sheet1!$BH:$BH,0),1)</f>
        <v>#N/A</v>
      </c>
      <c r="Q136" s="129">
        <f t="shared" si="6"/>
        <v>2</v>
      </c>
      <c r="R136" s="130" t="e">
        <f t="shared" si="5"/>
        <v>#N/A</v>
      </c>
      <c r="S136" s="129"/>
    </row>
    <row r="137" spans="1:19" s="65" customFormat="1">
      <c r="A137" s="64">
        <f t="shared" si="7"/>
        <v>2311</v>
      </c>
      <c r="B137" s="66" t="str">
        <f>VLOOKUP($M137,[1]Sheet1!$A:$B,2,0)&amp;"x"&amp;$N137</f>
        <v>牛魔王碎片x5</v>
      </c>
      <c r="C137" s="66">
        <v>2</v>
      </c>
      <c r="D137" s="65">
        <v>4</v>
      </c>
      <c r="E137" s="65">
        <v>2</v>
      </c>
      <c r="F137" s="66">
        <v>0</v>
      </c>
      <c r="G137" s="66">
        <v>200</v>
      </c>
      <c r="H137" s="67">
        <v>0</v>
      </c>
      <c r="I137" s="67">
        <v>1</v>
      </c>
      <c r="J137" s="67">
        <v>1</v>
      </c>
      <c r="K137" s="84" t="s">
        <v>108</v>
      </c>
      <c r="L137" s="85">
        <v>1</v>
      </c>
      <c r="M137" s="85">
        <v>10012</v>
      </c>
      <c r="N137" s="68">
        <v>5</v>
      </c>
      <c r="O137" s="86">
        <v>1</v>
      </c>
      <c r="P137" s="129" t="e">
        <f>INDEX([2]Sheet1!$U:$U,MATCH($M137,[2]Sheet1!$BH:$BH,0),1)</f>
        <v>#N/A</v>
      </c>
      <c r="Q137" s="129">
        <f t="shared" si="6"/>
        <v>2</v>
      </c>
      <c r="R137" s="130" t="e">
        <f t="shared" si="5"/>
        <v>#N/A</v>
      </c>
      <c r="S137" s="129"/>
    </row>
    <row r="138" spans="1:19" s="65" customFormat="1">
      <c r="A138" s="64">
        <f t="shared" si="7"/>
        <v>2312</v>
      </c>
      <c r="B138" s="66" t="str">
        <f>VLOOKUP($M138,[1]Sheet1!$A:$B,2,0)&amp;"x"&amp;$N138</f>
        <v>虎力大仙碎片x5</v>
      </c>
      <c r="C138" s="66">
        <v>2</v>
      </c>
      <c r="D138" s="65">
        <v>4</v>
      </c>
      <c r="E138" s="65">
        <v>2</v>
      </c>
      <c r="F138" s="66">
        <v>0</v>
      </c>
      <c r="G138" s="66">
        <v>200</v>
      </c>
      <c r="H138" s="67">
        <v>0</v>
      </c>
      <c r="I138" s="67">
        <v>1</v>
      </c>
      <c r="J138" s="67">
        <v>1</v>
      </c>
      <c r="K138" s="84" t="s">
        <v>108</v>
      </c>
      <c r="L138" s="85">
        <v>1</v>
      </c>
      <c r="M138" s="85">
        <v>10013</v>
      </c>
      <c r="N138" s="68">
        <v>5</v>
      </c>
      <c r="O138" s="86">
        <v>1</v>
      </c>
      <c r="P138" s="129" t="e">
        <f>INDEX([2]Sheet1!$U:$U,MATCH($M138,[2]Sheet1!$BH:$BH,0),1)</f>
        <v>#N/A</v>
      </c>
      <c r="Q138" s="129">
        <f t="shared" si="6"/>
        <v>2</v>
      </c>
      <c r="R138" s="130" t="e">
        <f t="shared" si="5"/>
        <v>#N/A</v>
      </c>
      <c r="S138" s="129"/>
    </row>
    <row r="139" spans="1:19" s="65" customFormat="1">
      <c r="A139" s="64">
        <f t="shared" si="7"/>
        <v>2313</v>
      </c>
      <c r="B139" s="66" t="str">
        <f>VLOOKUP($M139,[1]Sheet1!$A:$B,2,0)&amp;"x"&amp;$N139</f>
        <v>猪八戒碎片x5</v>
      </c>
      <c r="C139" s="66">
        <v>2</v>
      </c>
      <c r="D139" s="65">
        <v>4</v>
      </c>
      <c r="E139" s="65">
        <v>2</v>
      </c>
      <c r="F139" s="66">
        <v>0</v>
      </c>
      <c r="G139" s="66">
        <v>200</v>
      </c>
      <c r="H139" s="67">
        <v>0</v>
      </c>
      <c r="I139" s="67">
        <v>1</v>
      </c>
      <c r="J139" s="67">
        <v>1</v>
      </c>
      <c r="K139" s="84" t="s">
        <v>108</v>
      </c>
      <c r="L139" s="85">
        <v>1</v>
      </c>
      <c r="M139" s="85">
        <v>10020</v>
      </c>
      <c r="N139" s="68">
        <v>5</v>
      </c>
      <c r="O139" s="86">
        <v>1</v>
      </c>
      <c r="P139" s="129" t="e">
        <f>INDEX([2]Sheet1!$U:$U,MATCH($M139,[2]Sheet1!$BH:$BH,0),1)</f>
        <v>#N/A</v>
      </c>
      <c r="Q139" s="129">
        <f t="shared" si="6"/>
        <v>2</v>
      </c>
      <c r="R139" s="130" t="e">
        <f t="shared" si="5"/>
        <v>#N/A</v>
      </c>
      <c r="S139" s="129"/>
    </row>
    <row r="140" spans="1:19" s="65" customFormat="1">
      <c r="A140" s="64">
        <f t="shared" si="7"/>
        <v>2314</v>
      </c>
      <c r="B140" s="66" t="str">
        <f>VLOOKUP($M140,[1]Sheet1!$A:$B,2,0)&amp;"x"&amp;$N140</f>
        <v>羊力大仙碎片x5</v>
      </c>
      <c r="C140" s="66">
        <v>2</v>
      </c>
      <c r="D140" s="65">
        <v>4</v>
      </c>
      <c r="E140" s="65">
        <v>2</v>
      </c>
      <c r="F140" s="66">
        <v>0</v>
      </c>
      <c r="G140" s="66">
        <v>200</v>
      </c>
      <c r="H140" s="67">
        <v>0</v>
      </c>
      <c r="I140" s="67">
        <v>1</v>
      </c>
      <c r="J140" s="67">
        <v>1</v>
      </c>
      <c r="K140" s="84" t="s">
        <v>108</v>
      </c>
      <c r="L140" s="85">
        <v>1</v>
      </c>
      <c r="M140" s="85">
        <v>10015</v>
      </c>
      <c r="N140" s="68">
        <v>5</v>
      </c>
      <c r="O140" s="86">
        <v>1</v>
      </c>
      <c r="P140" s="129" t="e">
        <f>INDEX([2]Sheet1!$U:$U,MATCH($M140,[2]Sheet1!$BH:$BH,0),1)</f>
        <v>#N/A</v>
      </c>
      <c r="Q140" s="129">
        <f t="shared" si="6"/>
        <v>2</v>
      </c>
      <c r="R140" s="130" t="e">
        <f t="shared" si="5"/>
        <v>#N/A</v>
      </c>
      <c r="S140" s="129"/>
    </row>
    <row r="141" spans="1:19" s="11" customFormat="1">
      <c r="A141" s="33">
        <f t="shared" si="7"/>
        <v>2351</v>
      </c>
      <c r="B141" s="47" t="str">
        <f>VLOOKUP($M141,[1]Sheet1!$A:$B,2,0)&amp;"x"&amp;$N141</f>
        <v>文殊菩萨碎片x5</v>
      </c>
      <c r="C141" s="47">
        <v>2</v>
      </c>
      <c r="D141" s="11">
        <v>4</v>
      </c>
      <c r="E141" s="11">
        <v>2</v>
      </c>
      <c r="F141" s="47">
        <v>0</v>
      </c>
      <c r="G141" s="47">
        <v>175</v>
      </c>
      <c r="H141" s="35">
        <v>0</v>
      </c>
      <c r="I141" s="35">
        <v>1</v>
      </c>
      <c r="J141" s="35">
        <v>1</v>
      </c>
      <c r="K141" s="87" t="s">
        <v>108</v>
      </c>
      <c r="L141" s="88">
        <v>1</v>
      </c>
      <c r="M141" s="88">
        <v>10026</v>
      </c>
      <c r="N141" s="60">
        <v>5</v>
      </c>
      <c r="O141" s="89">
        <v>1</v>
      </c>
      <c r="P141" s="131" t="e">
        <f>INDEX([2]Sheet1!$U:$U,MATCH($M141,[2]Sheet1!$BH:$BH,0),1)</f>
        <v>#N/A</v>
      </c>
      <c r="Q141" s="131">
        <f t="shared" si="6"/>
        <v>2</v>
      </c>
      <c r="R141" s="131" t="e">
        <f t="shared" si="5"/>
        <v>#N/A</v>
      </c>
      <c r="S141" s="131"/>
    </row>
    <row r="142" spans="1:19" s="11" customFormat="1">
      <c r="A142" s="33">
        <f t="shared" si="7"/>
        <v>2352</v>
      </c>
      <c r="B142" s="47" t="str">
        <f>VLOOKUP($M142,[1]Sheet1!$A:$B,2,0)&amp;"x"&amp;$N142</f>
        <v>唐三藏碎片x5</v>
      </c>
      <c r="C142" s="47">
        <v>2</v>
      </c>
      <c r="D142" s="11">
        <v>4</v>
      </c>
      <c r="E142" s="11">
        <v>2</v>
      </c>
      <c r="F142" s="47">
        <v>0</v>
      </c>
      <c r="G142" s="47">
        <v>175</v>
      </c>
      <c r="H142" s="35">
        <v>0</v>
      </c>
      <c r="I142" s="35">
        <v>1</v>
      </c>
      <c r="J142" s="35">
        <v>1</v>
      </c>
      <c r="K142" s="87" t="s">
        <v>108</v>
      </c>
      <c r="L142" s="88">
        <v>1</v>
      </c>
      <c r="M142" s="88">
        <v>10022</v>
      </c>
      <c r="N142" s="60">
        <v>5</v>
      </c>
      <c r="O142" s="89">
        <v>1</v>
      </c>
      <c r="P142" s="131" t="e">
        <f>INDEX([2]Sheet1!$U:$U,MATCH($M142,[2]Sheet1!$BH:$BH,0),1)</f>
        <v>#N/A</v>
      </c>
      <c r="Q142" s="131">
        <f t="shared" si="6"/>
        <v>2</v>
      </c>
      <c r="R142" s="131" t="e">
        <f t="shared" si="5"/>
        <v>#N/A</v>
      </c>
      <c r="S142" s="131"/>
    </row>
    <row r="143" spans="1:19" s="11" customFormat="1">
      <c r="A143" s="33">
        <f t="shared" si="7"/>
        <v>2353</v>
      </c>
      <c r="B143" s="47" t="str">
        <f>VLOOKUP($M143,[1]Sheet1!$A:$B,2,0)&amp;"x"&amp;$N143</f>
        <v>迦叶碎片x5</v>
      </c>
      <c r="C143" s="47">
        <v>2</v>
      </c>
      <c r="D143" s="11">
        <v>4</v>
      </c>
      <c r="E143" s="11">
        <v>2</v>
      </c>
      <c r="F143" s="47">
        <v>0</v>
      </c>
      <c r="G143" s="47">
        <v>175</v>
      </c>
      <c r="H143" s="35">
        <v>0</v>
      </c>
      <c r="I143" s="35">
        <v>1</v>
      </c>
      <c r="J143" s="35">
        <v>1</v>
      </c>
      <c r="K143" s="87" t="s">
        <v>108</v>
      </c>
      <c r="L143" s="88">
        <v>1</v>
      </c>
      <c r="M143" s="88">
        <v>10025</v>
      </c>
      <c r="N143" s="60">
        <v>5</v>
      </c>
      <c r="O143" s="89">
        <v>1</v>
      </c>
      <c r="P143" s="131" t="e">
        <f>INDEX([2]Sheet1!$U:$U,MATCH($M143,[2]Sheet1!$BH:$BH,0),1)</f>
        <v>#N/A</v>
      </c>
      <c r="Q143" s="131">
        <f t="shared" si="6"/>
        <v>2</v>
      </c>
      <c r="R143" s="131" t="e">
        <f t="shared" si="5"/>
        <v>#N/A</v>
      </c>
      <c r="S143" s="131"/>
    </row>
    <row r="144" spans="1:19" s="11" customFormat="1">
      <c r="A144" s="33">
        <f t="shared" si="7"/>
        <v>2354</v>
      </c>
      <c r="B144" s="47" t="str">
        <f>VLOOKUP($M144,[1]Sheet1!$A:$B,2,0)&amp;"x"&amp;$N144</f>
        <v>红孩儿碎片x5</v>
      </c>
      <c r="C144" s="47">
        <v>2</v>
      </c>
      <c r="D144" s="11">
        <v>4</v>
      </c>
      <c r="E144" s="11">
        <v>2</v>
      </c>
      <c r="F144" s="47">
        <v>0</v>
      </c>
      <c r="G144" s="47">
        <v>175</v>
      </c>
      <c r="H144" s="35">
        <v>0</v>
      </c>
      <c r="I144" s="35">
        <v>1</v>
      </c>
      <c r="J144" s="35">
        <v>1</v>
      </c>
      <c r="K144" s="87" t="s">
        <v>108</v>
      </c>
      <c r="L144" s="88">
        <v>1</v>
      </c>
      <c r="M144" s="88">
        <v>10010</v>
      </c>
      <c r="N144" s="60">
        <v>5</v>
      </c>
      <c r="O144" s="89">
        <v>1</v>
      </c>
      <c r="P144" s="131" t="e">
        <f>INDEX([2]Sheet1!$U:$U,MATCH($M144,[2]Sheet1!$BH:$BH,0),1)</f>
        <v>#N/A</v>
      </c>
      <c r="Q144" s="131">
        <f t="shared" si="6"/>
        <v>2</v>
      </c>
      <c r="R144" s="131" t="e">
        <f t="shared" si="5"/>
        <v>#N/A</v>
      </c>
      <c r="S144" s="131"/>
    </row>
    <row r="145" spans="1:19" s="11" customFormat="1">
      <c r="A145" s="33">
        <f t="shared" si="7"/>
        <v>2355</v>
      </c>
      <c r="B145" s="47" t="str">
        <f>VLOOKUP($M145,[1]Sheet1!$A:$B,2,0)&amp;"x"&amp;$N145</f>
        <v>女儿国国王碎片x5</v>
      </c>
      <c r="C145" s="47">
        <v>2</v>
      </c>
      <c r="D145" s="11">
        <v>4</v>
      </c>
      <c r="E145" s="11">
        <v>2</v>
      </c>
      <c r="F145" s="47">
        <v>0</v>
      </c>
      <c r="G145" s="47">
        <v>175</v>
      </c>
      <c r="H145" s="35">
        <v>0</v>
      </c>
      <c r="I145" s="35">
        <v>1</v>
      </c>
      <c r="J145" s="35">
        <v>1</v>
      </c>
      <c r="K145" s="87" t="s">
        <v>108</v>
      </c>
      <c r="L145" s="88">
        <v>1</v>
      </c>
      <c r="M145" s="88">
        <v>10116</v>
      </c>
      <c r="N145" s="60">
        <v>5</v>
      </c>
      <c r="O145" s="89">
        <v>1</v>
      </c>
      <c r="P145" s="131" t="e">
        <f>INDEX([2]Sheet1!$U:$U,MATCH($M145,[2]Sheet1!$BH:$BH,0),1)</f>
        <v>#N/A</v>
      </c>
      <c r="Q145" s="131">
        <f t="shared" si="6"/>
        <v>2</v>
      </c>
      <c r="R145" s="131" t="e">
        <f t="shared" si="5"/>
        <v>#N/A</v>
      </c>
      <c r="S145" s="131"/>
    </row>
    <row r="146" spans="1:19" s="11" customFormat="1">
      <c r="A146" s="33">
        <f t="shared" si="7"/>
        <v>2356</v>
      </c>
      <c r="B146" s="47" t="str">
        <f>VLOOKUP($M146,[1]Sheet1!$A:$B,2,0)&amp;"x"&amp;$N146</f>
        <v>人参娃碎片x5</v>
      </c>
      <c r="C146" s="47">
        <v>2</v>
      </c>
      <c r="D146" s="11">
        <v>4</v>
      </c>
      <c r="E146" s="11">
        <v>2</v>
      </c>
      <c r="F146" s="47">
        <v>0</v>
      </c>
      <c r="G146" s="47">
        <v>175</v>
      </c>
      <c r="H146" s="35">
        <v>0</v>
      </c>
      <c r="I146" s="35">
        <v>1</v>
      </c>
      <c r="J146" s="35">
        <v>1</v>
      </c>
      <c r="K146" s="87" t="s">
        <v>108</v>
      </c>
      <c r="L146" s="88">
        <v>1</v>
      </c>
      <c r="M146" s="88">
        <v>10102</v>
      </c>
      <c r="N146" s="60">
        <v>5</v>
      </c>
      <c r="O146" s="89">
        <v>1</v>
      </c>
      <c r="P146" s="131" t="e">
        <f>INDEX([2]Sheet1!$U:$U,MATCH($M146,[2]Sheet1!$BH:$BH,0),1)</f>
        <v>#N/A</v>
      </c>
      <c r="Q146" s="131">
        <f t="shared" si="6"/>
        <v>2</v>
      </c>
      <c r="R146" s="131" t="e">
        <f t="shared" si="5"/>
        <v>#N/A</v>
      </c>
      <c r="S146" s="131"/>
    </row>
    <row r="147" spans="1:19" s="11" customFormat="1">
      <c r="A147" s="33">
        <f t="shared" si="7"/>
        <v>2357</v>
      </c>
      <c r="B147" s="47" t="str">
        <f>VLOOKUP($M147,[1]Sheet1!$A:$B,2,0)&amp;"x"&amp;$N147</f>
        <v>引魂仙子碎片x5</v>
      </c>
      <c r="C147" s="47">
        <v>2</v>
      </c>
      <c r="D147" s="11">
        <v>4</v>
      </c>
      <c r="E147" s="11">
        <v>2</v>
      </c>
      <c r="F147" s="47">
        <v>0</v>
      </c>
      <c r="G147" s="47">
        <v>175</v>
      </c>
      <c r="H147" s="35">
        <v>0</v>
      </c>
      <c r="I147" s="35">
        <v>1</v>
      </c>
      <c r="J147" s="35">
        <v>1</v>
      </c>
      <c r="K147" s="87" t="s">
        <v>108</v>
      </c>
      <c r="L147" s="88">
        <v>1</v>
      </c>
      <c r="M147" s="88">
        <v>10107</v>
      </c>
      <c r="N147" s="60">
        <v>5</v>
      </c>
      <c r="O147" s="89">
        <v>1</v>
      </c>
      <c r="P147" s="131" t="e">
        <f>INDEX([2]Sheet1!$U:$U,MATCH($M147,[2]Sheet1!$BH:$BH,0),1)</f>
        <v>#N/A</v>
      </c>
      <c r="Q147" s="131">
        <f t="shared" si="6"/>
        <v>2</v>
      </c>
      <c r="R147" s="131" t="e">
        <f t="shared" ref="R147:R210" si="8">IF($P147&lt;&gt;$P146,"["&amp;$A147&amp;",1]",$R146&amp;IF($O147=1,",["&amp;$A147&amp;",1]",""))</f>
        <v>#N/A</v>
      </c>
      <c r="S147" s="131"/>
    </row>
    <row r="148" spans="1:19" s="11" customFormat="1">
      <c r="A148" s="33">
        <f t="shared" si="7"/>
        <v>2358</v>
      </c>
      <c r="B148" s="47" t="str">
        <f>VLOOKUP($M148,[1]Sheet1!$A:$B,2,0)&amp;"x"&amp;$N148</f>
        <v>九天玄女碎片x5</v>
      </c>
      <c r="C148" s="47">
        <v>2</v>
      </c>
      <c r="D148" s="11">
        <v>4</v>
      </c>
      <c r="E148" s="11">
        <v>2</v>
      </c>
      <c r="F148" s="47">
        <v>0</v>
      </c>
      <c r="G148" s="47">
        <v>175</v>
      </c>
      <c r="H148" s="35">
        <v>0</v>
      </c>
      <c r="I148" s="35">
        <v>1</v>
      </c>
      <c r="J148" s="35">
        <v>1</v>
      </c>
      <c r="K148" s="87" t="s">
        <v>108</v>
      </c>
      <c r="L148" s="88">
        <v>1</v>
      </c>
      <c r="M148" s="88">
        <v>10009</v>
      </c>
      <c r="N148" s="60">
        <v>5</v>
      </c>
      <c r="O148" s="89">
        <v>1</v>
      </c>
      <c r="P148" s="131" t="e">
        <f>INDEX([2]Sheet1!$U:$U,MATCH($M148,[2]Sheet1!$BH:$BH,0),1)</f>
        <v>#N/A</v>
      </c>
      <c r="Q148" s="131">
        <f t="shared" si="6"/>
        <v>2</v>
      </c>
      <c r="R148" s="131" t="e">
        <f t="shared" si="8"/>
        <v>#N/A</v>
      </c>
      <c r="S148" s="131"/>
    </row>
    <row r="149" spans="1:19" s="11" customFormat="1">
      <c r="A149" s="33">
        <f t="shared" si="7"/>
        <v>2359</v>
      </c>
      <c r="B149" s="47" t="str">
        <f>VLOOKUP($M149,[1]Sheet1!$A:$B,2,0)&amp;"x"&amp;$N149</f>
        <v>玉皇大帝碎片x5</v>
      </c>
      <c r="C149" s="47">
        <v>2</v>
      </c>
      <c r="D149" s="11">
        <v>4</v>
      </c>
      <c r="E149" s="11">
        <v>2</v>
      </c>
      <c r="F149" s="47">
        <v>0</v>
      </c>
      <c r="G149" s="47">
        <v>175</v>
      </c>
      <c r="H149" s="35">
        <v>0</v>
      </c>
      <c r="I149" s="35">
        <v>1</v>
      </c>
      <c r="J149" s="35">
        <v>1</v>
      </c>
      <c r="K149" s="87" t="s">
        <v>108</v>
      </c>
      <c r="L149" s="88">
        <v>1</v>
      </c>
      <c r="M149" s="88">
        <v>10004</v>
      </c>
      <c r="N149" s="60">
        <v>5</v>
      </c>
      <c r="O149" s="89">
        <v>1</v>
      </c>
      <c r="P149" s="131" t="e">
        <f>INDEX([2]Sheet1!$U:$U,MATCH($M149,[2]Sheet1!$BH:$BH,0),1)</f>
        <v>#N/A</v>
      </c>
      <c r="Q149" s="131">
        <f t="shared" si="6"/>
        <v>2</v>
      </c>
      <c r="R149" s="131" t="e">
        <f t="shared" si="8"/>
        <v>#N/A</v>
      </c>
      <c r="S149" s="131"/>
    </row>
    <row r="150" spans="1:19" s="11" customFormat="1">
      <c r="A150" s="33">
        <f t="shared" si="7"/>
        <v>2360</v>
      </c>
      <c r="B150" s="47" t="str">
        <f>VLOOKUP($M150,[1]Sheet1!$A:$B,2,0)&amp;"x"&amp;$N150</f>
        <v>赤脚大仙碎片x5</v>
      </c>
      <c r="C150" s="47">
        <v>2</v>
      </c>
      <c r="D150" s="11">
        <v>4</v>
      </c>
      <c r="E150" s="11">
        <v>2</v>
      </c>
      <c r="F150" s="47">
        <v>0</v>
      </c>
      <c r="G150" s="47">
        <v>175</v>
      </c>
      <c r="H150" s="35">
        <v>0</v>
      </c>
      <c r="I150" s="35">
        <v>1</v>
      </c>
      <c r="J150" s="35">
        <v>1</v>
      </c>
      <c r="K150" s="87" t="s">
        <v>108</v>
      </c>
      <c r="L150" s="88">
        <v>1</v>
      </c>
      <c r="M150" s="88">
        <v>10007</v>
      </c>
      <c r="N150" s="60">
        <v>5</v>
      </c>
      <c r="O150" s="89">
        <v>1</v>
      </c>
      <c r="P150" s="131" t="e">
        <f>INDEX([2]Sheet1!$U:$U,MATCH($M150,[2]Sheet1!$BH:$BH,0),1)</f>
        <v>#N/A</v>
      </c>
      <c r="Q150" s="131">
        <f t="shared" si="6"/>
        <v>2</v>
      </c>
      <c r="R150" s="131" t="e">
        <f t="shared" si="8"/>
        <v>#N/A</v>
      </c>
      <c r="S150" s="131"/>
    </row>
    <row r="151" spans="1:19" s="11" customFormat="1">
      <c r="A151" s="33">
        <f t="shared" si="7"/>
        <v>2361</v>
      </c>
      <c r="B151" s="47" t="str">
        <f>VLOOKUP($M151,[1]Sheet1!$A:$B,2,0)&amp;"x"&amp;$N151</f>
        <v>东海龙王碎片x5</v>
      </c>
      <c r="C151" s="47">
        <v>2</v>
      </c>
      <c r="D151" s="11">
        <v>4</v>
      </c>
      <c r="E151" s="11">
        <v>2</v>
      </c>
      <c r="F151" s="47">
        <v>0</v>
      </c>
      <c r="G151" s="47">
        <v>175</v>
      </c>
      <c r="H151" s="35">
        <v>0</v>
      </c>
      <c r="I151" s="35">
        <v>1</v>
      </c>
      <c r="J151" s="35">
        <v>1</v>
      </c>
      <c r="K151" s="87" t="s">
        <v>108</v>
      </c>
      <c r="L151" s="88">
        <v>1</v>
      </c>
      <c r="M151" s="88">
        <v>10035</v>
      </c>
      <c r="N151" s="60">
        <v>5</v>
      </c>
      <c r="O151" s="89">
        <v>1</v>
      </c>
      <c r="P151" s="131" t="e">
        <f>INDEX([2]Sheet1!$U:$U,MATCH($M151,[2]Sheet1!$BH:$BH,0),1)</f>
        <v>#N/A</v>
      </c>
      <c r="Q151" s="131">
        <f t="shared" si="6"/>
        <v>2</v>
      </c>
      <c r="R151" s="131" t="e">
        <f t="shared" si="8"/>
        <v>#N/A</v>
      </c>
      <c r="S151" s="131"/>
    </row>
    <row r="152" spans="1:19" s="11" customFormat="1">
      <c r="A152" s="33">
        <f t="shared" si="7"/>
        <v>2362</v>
      </c>
      <c r="B152" s="47" t="str">
        <f>VLOOKUP($M152,[1]Sheet1!$A:$B,2,0)&amp;"x"&amp;$N152</f>
        <v>小白龙碎片x5</v>
      </c>
      <c r="C152" s="47">
        <v>2</v>
      </c>
      <c r="D152" s="11">
        <v>4</v>
      </c>
      <c r="E152" s="11">
        <v>2</v>
      </c>
      <c r="F152" s="47">
        <v>0</v>
      </c>
      <c r="G152" s="47">
        <v>175</v>
      </c>
      <c r="H152" s="35">
        <v>0</v>
      </c>
      <c r="I152" s="35">
        <v>1</v>
      </c>
      <c r="J152" s="35">
        <v>1</v>
      </c>
      <c r="K152" s="87" t="s">
        <v>108</v>
      </c>
      <c r="L152" s="88">
        <v>1</v>
      </c>
      <c r="M152" s="88">
        <v>10023</v>
      </c>
      <c r="N152" s="60">
        <v>5</v>
      </c>
      <c r="O152" s="89">
        <v>1</v>
      </c>
      <c r="P152" s="131" t="e">
        <f>INDEX([2]Sheet1!$U:$U,MATCH($M152,[2]Sheet1!$BH:$BH,0),1)</f>
        <v>#N/A</v>
      </c>
      <c r="Q152" s="131">
        <f t="shared" si="6"/>
        <v>2</v>
      </c>
      <c r="R152" s="131" t="e">
        <f t="shared" si="8"/>
        <v>#N/A</v>
      </c>
      <c r="S152" s="131"/>
    </row>
    <row r="153" spans="1:19" s="11" customFormat="1">
      <c r="A153" s="33">
        <f t="shared" si="7"/>
        <v>2363</v>
      </c>
      <c r="B153" s="47" t="str">
        <f>VLOOKUP($M153,[1]Sheet1!$A:$B,2,0)&amp;"x"&amp;$N153</f>
        <v>阎罗王碎片x5</v>
      </c>
      <c r="C153" s="47">
        <v>2</v>
      </c>
      <c r="D153" s="11">
        <v>4</v>
      </c>
      <c r="E153" s="11">
        <v>2</v>
      </c>
      <c r="F153" s="47">
        <v>0</v>
      </c>
      <c r="G153" s="47">
        <v>175</v>
      </c>
      <c r="H153" s="35">
        <v>0</v>
      </c>
      <c r="I153" s="35">
        <v>1</v>
      </c>
      <c r="J153" s="35">
        <v>1</v>
      </c>
      <c r="K153" s="87" t="s">
        <v>108</v>
      </c>
      <c r="L153" s="88">
        <v>1</v>
      </c>
      <c r="M153" s="88">
        <v>10101</v>
      </c>
      <c r="N153" s="60">
        <v>5</v>
      </c>
      <c r="O153" s="89">
        <v>1</v>
      </c>
      <c r="P153" s="131" t="e">
        <f>INDEX([2]Sheet1!$U:$U,MATCH($M153,[2]Sheet1!$BH:$BH,0),1)</f>
        <v>#N/A</v>
      </c>
      <c r="Q153" s="131">
        <f t="shared" si="6"/>
        <v>2</v>
      </c>
      <c r="R153" s="131" t="e">
        <f t="shared" si="8"/>
        <v>#N/A</v>
      </c>
      <c r="S153" s="131"/>
    </row>
    <row r="154" spans="1:19" s="11" customFormat="1">
      <c r="A154" s="33">
        <f t="shared" si="7"/>
        <v>2364</v>
      </c>
      <c r="B154" s="47" t="str">
        <f>VLOOKUP($M154,[1]Sheet1!$A:$B,2,0)&amp;"x"&amp;$N154</f>
        <v>太白金星碎片x5</v>
      </c>
      <c r="C154" s="47">
        <v>2</v>
      </c>
      <c r="D154" s="11">
        <v>4</v>
      </c>
      <c r="E154" s="11">
        <v>2</v>
      </c>
      <c r="F154" s="47">
        <v>0</v>
      </c>
      <c r="G154" s="47">
        <v>175</v>
      </c>
      <c r="H154" s="35">
        <v>0</v>
      </c>
      <c r="I154" s="35">
        <v>1</v>
      </c>
      <c r="J154" s="35">
        <v>1</v>
      </c>
      <c r="K154" s="87" t="s">
        <v>108</v>
      </c>
      <c r="L154" s="88">
        <v>1</v>
      </c>
      <c r="M154" s="88">
        <v>10006</v>
      </c>
      <c r="N154" s="60">
        <v>5</v>
      </c>
      <c r="O154" s="89">
        <v>1</v>
      </c>
      <c r="P154" s="131" t="e">
        <f>INDEX([2]Sheet1!$U:$U,MATCH($M154,[2]Sheet1!$BH:$BH,0),1)</f>
        <v>#N/A</v>
      </c>
      <c r="Q154" s="131">
        <f t="shared" si="6"/>
        <v>2</v>
      </c>
      <c r="R154" s="131" t="e">
        <f t="shared" si="8"/>
        <v>#N/A</v>
      </c>
      <c r="S154" s="131"/>
    </row>
    <row r="155" spans="1:19" s="11" customFormat="1">
      <c r="A155" s="33">
        <f t="shared" si="7"/>
        <v>2365</v>
      </c>
      <c r="B155" s="47" t="str">
        <f>VLOOKUP($M155,[1]Sheet1!$A:$B,2,0)&amp;"x"&amp;$N155</f>
        <v>白骨夫人碎片x5</v>
      </c>
      <c r="C155" s="47">
        <v>2</v>
      </c>
      <c r="D155" s="11">
        <v>4</v>
      </c>
      <c r="E155" s="11">
        <v>2</v>
      </c>
      <c r="F155" s="47">
        <v>0</v>
      </c>
      <c r="G155" s="47">
        <v>175</v>
      </c>
      <c r="H155" s="35">
        <v>0</v>
      </c>
      <c r="I155" s="35">
        <v>1</v>
      </c>
      <c r="J155" s="35">
        <v>1</v>
      </c>
      <c r="K155" s="87" t="s">
        <v>108</v>
      </c>
      <c r="L155" s="88">
        <v>1</v>
      </c>
      <c r="M155" s="88">
        <v>10016</v>
      </c>
      <c r="N155" s="60">
        <v>5</v>
      </c>
      <c r="O155" s="89">
        <v>1</v>
      </c>
      <c r="P155" s="131" t="e">
        <f>INDEX([2]Sheet1!$U:$U,MATCH($M155,[2]Sheet1!$BH:$BH,0),1)</f>
        <v>#N/A</v>
      </c>
      <c r="Q155" s="131">
        <f t="shared" si="6"/>
        <v>2</v>
      </c>
      <c r="R155" s="131" t="e">
        <f t="shared" si="8"/>
        <v>#N/A</v>
      </c>
      <c r="S155" s="131"/>
    </row>
    <row r="156" spans="1:19" s="11" customFormat="1">
      <c r="A156" s="33">
        <f t="shared" si="7"/>
        <v>2366</v>
      </c>
      <c r="B156" s="47" t="str">
        <f>VLOOKUP($M156,[1]Sheet1!$A:$B,2,0)&amp;"x"&amp;$N156</f>
        <v>六耳猕猴碎片x5</v>
      </c>
      <c r="C156" s="47">
        <v>2</v>
      </c>
      <c r="D156" s="11">
        <v>4</v>
      </c>
      <c r="E156" s="11">
        <v>2</v>
      </c>
      <c r="F156" s="47">
        <v>0</v>
      </c>
      <c r="G156" s="47">
        <v>175</v>
      </c>
      <c r="H156" s="35">
        <v>0</v>
      </c>
      <c r="I156" s="35">
        <v>1</v>
      </c>
      <c r="J156" s="35">
        <v>1</v>
      </c>
      <c r="K156" s="87" t="s">
        <v>108</v>
      </c>
      <c r="L156" s="88">
        <v>1</v>
      </c>
      <c r="M156" s="88">
        <v>10017</v>
      </c>
      <c r="N156" s="60">
        <v>5</v>
      </c>
      <c r="O156" s="89">
        <v>1</v>
      </c>
      <c r="P156" s="131" t="e">
        <f>INDEX([2]Sheet1!$U:$U,MATCH($M156,[2]Sheet1!$BH:$BH,0),1)</f>
        <v>#N/A</v>
      </c>
      <c r="Q156" s="131">
        <f t="shared" si="6"/>
        <v>2</v>
      </c>
      <c r="R156" s="131" t="e">
        <f t="shared" si="8"/>
        <v>#N/A</v>
      </c>
      <c r="S156" s="131"/>
    </row>
    <row r="157" spans="1:19" s="11" customFormat="1">
      <c r="A157" s="33">
        <f t="shared" si="7"/>
        <v>2367</v>
      </c>
      <c r="B157" s="47" t="str">
        <f>VLOOKUP($M157,[1]Sheet1!$A:$B,2,0)&amp;"x"&amp;$N157</f>
        <v>鹿力大仙碎片x5</v>
      </c>
      <c r="C157" s="47">
        <v>2</v>
      </c>
      <c r="D157" s="11">
        <v>4</v>
      </c>
      <c r="E157" s="11">
        <v>2</v>
      </c>
      <c r="F157" s="47">
        <v>0</v>
      </c>
      <c r="G157" s="47">
        <v>175</v>
      </c>
      <c r="H157" s="35">
        <v>0</v>
      </c>
      <c r="I157" s="35">
        <v>1</v>
      </c>
      <c r="J157" s="35">
        <v>1</v>
      </c>
      <c r="K157" s="87" t="s">
        <v>108</v>
      </c>
      <c r="L157" s="88">
        <v>1</v>
      </c>
      <c r="M157" s="88">
        <v>10014</v>
      </c>
      <c r="N157" s="60">
        <v>5</v>
      </c>
      <c r="O157" s="89">
        <v>1</v>
      </c>
      <c r="P157" s="131" t="e">
        <f>INDEX([2]Sheet1!$U:$U,MATCH($M157,[2]Sheet1!$BH:$BH,0),1)</f>
        <v>#N/A</v>
      </c>
      <c r="Q157" s="131">
        <f t="shared" si="6"/>
        <v>2</v>
      </c>
      <c r="R157" s="131" t="e">
        <f t="shared" si="8"/>
        <v>#N/A</v>
      </c>
      <c r="S157" s="131"/>
    </row>
    <row r="158" spans="1:19" s="11" customFormat="1">
      <c r="A158" s="33">
        <f t="shared" si="7"/>
        <v>2368</v>
      </c>
      <c r="B158" s="47" t="str">
        <f>VLOOKUP($M158,[1]Sheet1!$A:$B,2,0)&amp;"x"&amp;$N158</f>
        <v>混世魔王碎片x5</v>
      </c>
      <c r="C158" s="47">
        <v>2</v>
      </c>
      <c r="D158" s="11">
        <v>4</v>
      </c>
      <c r="E158" s="11">
        <v>2</v>
      </c>
      <c r="F158" s="47">
        <v>0</v>
      </c>
      <c r="G158" s="47">
        <v>175</v>
      </c>
      <c r="H158" s="35">
        <v>0</v>
      </c>
      <c r="I158" s="35">
        <v>1</v>
      </c>
      <c r="J158" s="35">
        <v>1</v>
      </c>
      <c r="K158" s="87" t="s">
        <v>108</v>
      </c>
      <c r="L158" s="60">
        <v>1</v>
      </c>
      <c r="M158" s="88">
        <v>10032</v>
      </c>
      <c r="N158" s="60">
        <v>5</v>
      </c>
      <c r="O158" s="89">
        <v>1</v>
      </c>
      <c r="P158" s="131" t="e">
        <f>INDEX([2]Sheet1!$U:$U,MATCH($M158,[2]Sheet1!$BH:$BH,0),1)</f>
        <v>#N/A</v>
      </c>
      <c r="Q158" s="131">
        <f t="shared" si="6"/>
        <v>2</v>
      </c>
      <c r="R158" s="131" t="e">
        <f t="shared" si="8"/>
        <v>#N/A</v>
      </c>
      <c r="S158" s="131"/>
    </row>
    <row r="159" spans="1:19" s="11" customFormat="1">
      <c r="A159" s="33">
        <f t="shared" si="7"/>
        <v>2369</v>
      </c>
      <c r="B159" s="47" t="str">
        <f>VLOOKUP($M159,[1]Sheet1!$A:$B,2,0)&amp;"x"&amp;$N159</f>
        <v>蝎子精碎片x5</v>
      </c>
      <c r="C159" s="47">
        <v>2</v>
      </c>
      <c r="D159" s="11">
        <v>4</v>
      </c>
      <c r="E159" s="11">
        <v>2</v>
      </c>
      <c r="F159" s="47">
        <v>0</v>
      </c>
      <c r="G159" s="47">
        <v>175</v>
      </c>
      <c r="H159" s="35">
        <v>0</v>
      </c>
      <c r="I159" s="35">
        <v>1</v>
      </c>
      <c r="J159" s="35">
        <v>1</v>
      </c>
      <c r="K159" s="87" t="s">
        <v>108</v>
      </c>
      <c r="L159" s="88">
        <v>1</v>
      </c>
      <c r="M159" s="88">
        <v>10031</v>
      </c>
      <c r="N159" s="60">
        <v>5</v>
      </c>
      <c r="O159" s="89">
        <v>1</v>
      </c>
      <c r="P159" s="131" t="e">
        <f>INDEX([2]Sheet1!$U:$U,MATCH($M159,[2]Sheet1!$BH:$BH,0),1)</f>
        <v>#N/A</v>
      </c>
      <c r="Q159" s="131">
        <f t="shared" si="6"/>
        <v>2</v>
      </c>
      <c r="R159" s="131" t="e">
        <f t="shared" si="8"/>
        <v>#N/A</v>
      </c>
      <c r="S159" s="131"/>
    </row>
    <row r="160" spans="1:19" s="11" customFormat="1">
      <c r="A160" s="33">
        <f t="shared" si="7"/>
        <v>2370</v>
      </c>
      <c r="B160" s="47" t="str">
        <f>VLOOKUP($M160,[1]Sheet1!$A:$B,2,0)&amp;"x"&amp;$N160</f>
        <v>蜘蛛精碎片x5</v>
      </c>
      <c r="C160" s="47">
        <v>2</v>
      </c>
      <c r="D160" s="11">
        <v>4</v>
      </c>
      <c r="E160" s="11">
        <v>2</v>
      </c>
      <c r="F160" s="47">
        <v>0</v>
      </c>
      <c r="G160" s="47">
        <v>175</v>
      </c>
      <c r="H160" s="35">
        <v>0</v>
      </c>
      <c r="I160" s="35">
        <v>1</v>
      </c>
      <c r="J160" s="35">
        <v>1</v>
      </c>
      <c r="K160" s="87" t="s">
        <v>108</v>
      </c>
      <c r="L160" s="88">
        <v>1</v>
      </c>
      <c r="M160" s="88">
        <v>10037</v>
      </c>
      <c r="N160" s="60">
        <v>5</v>
      </c>
      <c r="O160" s="89">
        <v>1</v>
      </c>
      <c r="P160" s="131" t="e">
        <f>INDEX([2]Sheet1!$U:$U,MATCH($M160,[2]Sheet1!$BH:$BH,0),1)</f>
        <v>#N/A</v>
      </c>
      <c r="Q160" s="131">
        <f t="shared" si="6"/>
        <v>2</v>
      </c>
      <c r="R160" s="131" t="e">
        <f t="shared" si="8"/>
        <v>#N/A</v>
      </c>
      <c r="S160" s="131"/>
    </row>
    <row r="161" spans="1:19" s="11" customFormat="1">
      <c r="A161" s="33">
        <f t="shared" si="7"/>
        <v>2371</v>
      </c>
      <c r="B161" s="47" t="str">
        <f>VLOOKUP($M161,[1]Sheet1!$A:$B,2,0)&amp;"x"&amp;$N161</f>
        <v>彩蝶仙童碎片x5</v>
      </c>
      <c r="C161" s="47">
        <v>2</v>
      </c>
      <c r="D161" s="11">
        <v>4</v>
      </c>
      <c r="E161" s="11">
        <v>2</v>
      </c>
      <c r="F161" s="47">
        <v>0</v>
      </c>
      <c r="G161" s="47">
        <v>175</v>
      </c>
      <c r="H161" s="35">
        <v>0</v>
      </c>
      <c r="I161" s="35">
        <v>1</v>
      </c>
      <c r="J161" s="35">
        <v>1</v>
      </c>
      <c r="K161" s="87" t="s">
        <v>108</v>
      </c>
      <c r="L161" s="88">
        <v>1</v>
      </c>
      <c r="M161" s="88">
        <v>10108</v>
      </c>
      <c r="N161" s="60">
        <v>5</v>
      </c>
      <c r="O161" s="89">
        <v>1</v>
      </c>
      <c r="P161" s="131" t="e">
        <f>INDEX([2]Sheet1!$U:$U,MATCH($M161,[2]Sheet1!$BH:$BH,0),1)</f>
        <v>#N/A</v>
      </c>
      <c r="Q161" s="131">
        <f t="shared" si="6"/>
        <v>2</v>
      </c>
      <c r="R161" s="131" t="e">
        <f t="shared" si="8"/>
        <v>#N/A</v>
      </c>
      <c r="S161" s="131"/>
    </row>
    <row r="162" spans="1:19" s="10" customFormat="1">
      <c r="A162" s="30">
        <f t="shared" si="7"/>
        <v>2400</v>
      </c>
      <c r="B162" s="46" t="str">
        <f>VLOOKUP($M162,[1]Sheet1!$A:$B,2,0)&amp;"x"&amp;$N162</f>
        <v>地藏王碎片x5</v>
      </c>
      <c r="C162" s="46">
        <v>2</v>
      </c>
      <c r="D162" s="10">
        <v>4</v>
      </c>
      <c r="E162" s="10">
        <v>2</v>
      </c>
      <c r="F162" s="46">
        <v>0</v>
      </c>
      <c r="G162" s="46">
        <v>100</v>
      </c>
      <c r="H162" s="32">
        <v>0</v>
      </c>
      <c r="I162" s="32">
        <v>1</v>
      </c>
      <c r="J162" s="32">
        <v>1</v>
      </c>
      <c r="K162" s="90" t="s">
        <v>108</v>
      </c>
      <c r="L162" s="91">
        <v>1</v>
      </c>
      <c r="M162" s="91">
        <v>10030</v>
      </c>
      <c r="N162" s="59">
        <v>5</v>
      </c>
      <c r="O162" s="92">
        <v>1</v>
      </c>
      <c r="P162" s="132" t="e">
        <f>INDEX([2]Sheet1!$U:$U,MATCH($M162,[2]Sheet1!$BH:$BH,0),1)</f>
        <v>#N/A</v>
      </c>
      <c r="Q162" s="132">
        <f t="shared" si="6"/>
        <v>2</v>
      </c>
      <c r="R162" s="132" t="e">
        <f t="shared" si="8"/>
        <v>#N/A</v>
      </c>
      <c r="S162" s="132"/>
    </row>
    <row r="163" spans="1:19" s="10" customFormat="1">
      <c r="A163" s="30">
        <f t="shared" si="7"/>
        <v>2401</v>
      </c>
      <c r="B163" s="46" t="str">
        <f>VLOOKUP($M163,[1]Sheet1!$A:$B,2,0)&amp;"x"&amp;$N163</f>
        <v>混沌碎片x5</v>
      </c>
      <c r="C163" s="46">
        <v>2</v>
      </c>
      <c r="D163" s="10">
        <v>4</v>
      </c>
      <c r="E163" s="10">
        <v>2</v>
      </c>
      <c r="F163" s="46">
        <v>0</v>
      </c>
      <c r="G163" s="46">
        <v>100</v>
      </c>
      <c r="H163" s="32">
        <v>0</v>
      </c>
      <c r="I163" s="32">
        <v>1</v>
      </c>
      <c r="J163" s="32">
        <v>1</v>
      </c>
      <c r="K163" s="90" t="s">
        <v>108</v>
      </c>
      <c r="L163" s="91">
        <v>1</v>
      </c>
      <c r="M163" s="91">
        <v>10018</v>
      </c>
      <c r="N163" s="59">
        <v>5</v>
      </c>
      <c r="O163" s="92">
        <v>1</v>
      </c>
      <c r="P163" s="132" t="e">
        <f>INDEX([2]Sheet1!$U:$U,MATCH($M163,[2]Sheet1!$BH:$BH,0),1)</f>
        <v>#N/A</v>
      </c>
      <c r="Q163" s="132">
        <f t="shared" si="6"/>
        <v>2</v>
      </c>
      <c r="R163" s="132" t="e">
        <f t="shared" si="8"/>
        <v>#N/A</v>
      </c>
      <c r="S163" s="132"/>
    </row>
    <row r="164" spans="1:19" s="10" customFormat="1">
      <c r="A164" s="30">
        <f t="shared" si="7"/>
        <v>2402</v>
      </c>
      <c r="B164" s="46" t="str">
        <f>VLOOKUP($M164,[1]Sheet1!$A:$B,2,0)&amp;"x"&amp;$N164</f>
        <v>白龙公主碎片x5</v>
      </c>
      <c r="C164" s="46">
        <v>2</v>
      </c>
      <c r="D164" s="10">
        <v>4</v>
      </c>
      <c r="E164" s="10">
        <v>2</v>
      </c>
      <c r="F164" s="46">
        <v>0</v>
      </c>
      <c r="G164" s="46">
        <v>100</v>
      </c>
      <c r="H164" s="32">
        <v>0</v>
      </c>
      <c r="I164" s="32">
        <v>1</v>
      </c>
      <c r="J164" s="32">
        <v>1</v>
      </c>
      <c r="K164" s="90" t="s">
        <v>108</v>
      </c>
      <c r="L164" s="91">
        <v>1</v>
      </c>
      <c r="M164" s="91">
        <v>10036</v>
      </c>
      <c r="N164" s="59">
        <v>5</v>
      </c>
      <c r="O164" s="92">
        <v>1</v>
      </c>
      <c r="P164" s="132" t="e">
        <f>INDEX([2]Sheet1!$U:$U,MATCH($M164,[2]Sheet1!$BH:$BH,0),1)</f>
        <v>#N/A</v>
      </c>
      <c r="Q164" s="132">
        <f t="shared" si="6"/>
        <v>2</v>
      </c>
      <c r="R164" s="132" t="e">
        <f t="shared" si="8"/>
        <v>#N/A</v>
      </c>
      <c r="S164" s="132"/>
    </row>
    <row r="165" spans="1:19" s="10" customFormat="1">
      <c r="A165" s="30">
        <f t="shared" si="7"/>
        <v>2403</v>
      </c>
      <c r="B165" s="46" t="str">
        <f>VLOOKUP($M165,[1]Sheet1!$A:$B,2,0)&amp;"x"&amp;$N165</f>
        <v>赛太岁碎片x5</v>
      </c>
      <c r="C165" s="46">
        <v>2</v>
      </c>
      <c r="D165" s="10">
        <v>4</v>
      </c>
      <c r="E165" s="10">
        <v>2</v>
      </c>
      <c r="F165" s="46">
        <v>0</v>
      </c>
      <c r="G165" s="46">
        <v>100</v>
      </c>
      <c r="H165" s="32">
        <v>0</v>
      </c>
      <c r="I165" s="32">
        <v>1</v>
      </c>
      <c r="J165" s="32">
        <v>1</v>
      </c>
      <c r="K165" s="90" t="s">
        <v>108</v>
      </c>
      <c r="L165" s="91">
        <v>1</v>
      </c>
      <c r="M165" s="91">
        <v>10028</v>
      </c>
      <c r="N165" s="59">
        <v>5</v>
      </c>
      <c r="O165" s="92">
        <v>1</v>
      </c>
      <c r="P165" s="132" t="e">
        <f>INDEX([2]Sheet1!$U:$U,MATCH($M165,[2]Sheet1!$BH:$BH,0),1)</f>
        <v>#N/A</v>
      </c>
      <c r="Q165" s="132">
        <f t="shared" si="6"/>
        <v>2</v>
      </c>
      <c r="R165" s="132" t="e">
        <f t="shared" si="8"/>
        <v>#N/A</v>
      </c>
      <c r="S165" s="132"/>
    </row>
    <row r="166" spans="1:19" s="10" customFormat="1">
      <c r="A166" s="30">
        <f t="shared" si="7"/>
        <v>2404</v>
      </c>
      <c r="B166" s="46" t="str">
        <f>VLOOKUP($M166,[1]Sheet1!$A:$B,2,0)&amp;"x"&amp;$N166</f>
        <v>琴仙碎片x5</v>
      </c>
      <c r="C166" s="46">
        <v>2</v>
      </c>
      <c r="D166" s="10">
        <v>4</v>
      </c>
      <c r="E166" s="10">
        <v>2</v>
      </c>
      <c r="F166" s="46">
        <v>0</v>
      </c>
      <c r="G166" s="46">
        <v>100</v>
      </c>
      <c r="H166" s="32">
        <v>0</v>
      </c>
      <c r="I166" s="32">
        <v>1</v>
      </c>
      <c r="J166" s="32">
        <v>1</v>
      </c>
      <c r="K166" s="90" t="s">
        <v>108</v>
      </c>
      <c r="L166" s="91">
        <v>1</v>
      </c>
      <c r="M166" s="91">
        <v>10092</v>
      </c>
      <c r="N166" s="59">
        <v>5</v>
      </c>
      <c r="O166" s="92">
        <v>1</v>
      </c>
      <c r="P166" s="132" t="e">
        <f>INDEX([2]Sheet1!$U:$U,MATCH($M166,[2]Sheet1!$BH:$BH,0),1)</f>
        <v>#N/A</v>
      </c>
      <c r="Q166" s="132">
        <f t="shared" si="6"/>
        <v>2</v>
      </c>
      <c r="R166" s="132" t="e">
        <f t="shared" si="8"/>
        <v>#N/A</v>
      </c>
      <c r="S166" s="132"/>
    </row>
    <row r="167" spans="1:19" s="10" customFormat="1">
      <c r="A167" s="30">
        <f t="shared" si="7"/>
        <v>2405</v>
      </c>
      <c r="B167" s="46" t="str">
        <f>VLOOKUP($M167,[1]Sheet1!$A:$B,2,0)&amp;"x"&amp;$N167</f>
        <v>黑熊精碎片x5</v>
      </c>
      <c r="C167" s="46">
        <v>2</v>
      </c>
      <c r="D167" s="10">
        <v>4</v>
      </c>
      <c r="E167" s="10">
        <v>2</v>
      </c>
      <c r="F167" s="46">
        <v>0</v>
      </c>
      <c r="G167" s="46">
        <v>100</v>
      </c>
      <c r="H167" s="32">
        <v>0</v>
      </c>
      <c r="I167" s="32">
        <v>1</v>
      </c>
      <c r="J167" s="32">
        <v>1</v>
      </c>
      <c r="K167" s="90" t="s">
        <v>108</v>
      </c>
      <c r="L167" s="91">
        <v>1</v>
      </c>
      <c r="M167" s="91">
        <v>10052</v>
      </c>
      <c r="N167" s="59">
        <v>5</v>
      </c>
      <c r="O167" s="92">
        <v>1</v>
      </c>
      <c r="P167" s="132" t="e">
        <f>INDEX([2]Sheet1!$U:$U,MATCH($M167,[2]Sheet1!$BH:$BH,0),1)</f>
        <v>#N/A</v>
      </c>
      <c r="Q167" s="132">
        <f t="shared" si="6"/>
        <v>2</v>
      </c>
      <c r="R167" s="132" t="e">
        <f t="shared" si="8"/>
        <v>#N/A</v>
      </c>
      <c r="S167" s="132"/>
    </row>
    <row r="168" spans="1:19" s="10" customFormat="1">
      <c r="A168" s="30">
        <f t="shared" si="7"/>
        <v>2406</v>
      </c>
      <c r="B168" s="46" t="str">
        <f>VLOOKUP($M168,[1]Sheet1!$A:$B,2,0)&amp;"x"&amp;$N168</f>
        <v>泾河龙王碎片x5</v>
      </c>
      <c r="C168" s="46">
        <v>2</v>
      </c>
      <c r="D168" s="10">
        <v>4</v>
      </c>
      <c r="E168" s="10">
        <v>2</v>
      </c>
      <c r="F168" s="46">
        <v>0</v>
      </c>
      <c r="G168" s="46">
        <v>100</v>
      </c>
      <c r="H168" s="32">
        <v>0</v>
      </c>
      <c r="I168" s="32">
        <v>1</v>
      </c>
      <c r="J168" s="32">
        <v>1</v>
      </c>
      <c r="K168" s="90" t="s">
        <v>108</v>
      </c>
      <c r="L168" s="91">
        <v>1</v>
      </c>
      <c r="M168" s="91">
        <v>10034</v>
      </c>
      <c r="N168" s="59">
        <v>5</v>
      </c>
      <c r="O168" s="92">
        <v>1</v>
      </c>
      <c r="P168" s="132" t="e">
        <f>INDEX([2]Sheet1!$U:$U,MATCH($M168,[2]Sheet1!$BH:$BH,0),1)</f>
        <v>#N/A</v>
      </c>
      <c r="Q168" s="132">
        <f t="shared" si="6"/>
        <v>2</v>
      </c>
      <c r="R168" s="132" t="e">
        <f t="shared" si="8"/>
        <v>#N/A</v>
      </c>
      <c r="S168" s="132"/>
    </row>
    <row r="169" spans="1:19" s="10" customFormat="1">
      <c r="A169" s="30">
        <f t="shared" si="7"/>
        <v>2407</v>
      </c>
      <c r="B169" s="46" t="str">
        <f>VLOOKUP($M169,[1]Sheet1!$A:$B,2,0)&amp;"x"&amp;$N169</f>
        <v>雷公碎片x5</v>
      </c>
      <c r="C169" s="46">
        <v>2</v>
      </c>
      <c r="D169" s="10">
        <v>4</v>
      </c>
      <c r="E169" s="10">
        <v>2</v>
      </c>
      <c r="F169" s="46">
        <v>0</v>
      </c>
      <c r="G169" s="46">
        <v>100</v>
      </c>
      <c r="H169" s="32">
        <v>0</v>
      </c>
      <c r="I169" s="32">
        <v>1</v>
      </c>
      <c r="J169" s="32">
        <v>1</v>
      </c>
      <c r="K169" s="90" t="s">
        <v>108</v>
      </c>
      <c r="L169" s="91">
        <v>1</v>
      </c>
      <c r="M169" s="91">
        <v>10033</v>
      </c>
      <c r="N169" s="59">
        <v>5</v>
      </c>
      <c r="O169" s="92">
        <v>1</v>
      </c>
      <c r="P169" s="132" t="e">
        <f>INDEX([2]Sheet1!$U:$U,MATCH($M169,[2]Sheet1!$BH:$BH,0),1)</f>
        <v>#N/A</v>
      </c>
      <c r="Q169" s="132">
        <f t="shared" si="6"/>
        <v>2</v>
      </c>
      <c r="R169" s="132" t="e">
        <f t="shared" si="8"/>
        <v>#N/A</v>
      </c>
      <c r="S169" s="132"/>
    </row>
    <row r="170" spans="1:19" s="10" customFormat="1">
      <c r="A170" s="30">
        <f t="shared" si="7"/>
        <v>2408</v>
      </c>
      <c r="B170" s="46" t="str">
        <f>VLOOKUP($M170,[1]Sheet1!$A:$B,2,0)&amp;"x"&amp;$N170</f>
        <v>鬼使黑碎片x5</v>
      </c>
      <c r="C170" s="46">
        <v>2</v>
      </c>
      <c r="D170" s="10">
        <v>4</v>
      </c>
      <c r="E170" s="10">
        <v>2</v>
      </c>
      <c r="F170" s="46">
        <v>0</v>
      </c>
      <c r="G170" s="46">
        <v>100</v>
      </c>
      <c r="H170" s="32">
        <v>0</v>
      </c>
      <c r="I170" s="32">
        <v>1</v>
      </c>
      <c r="J170" s="32">
        <v>1</v>
      </c>
      <c r="K170" s="90" t="s">
        <v>108</v>
      </c>
      <c r="L170" s="91">
        <v>1</v>
      </c>
      <c r="M170" s="91">
        <v>10103</v>
      </c>
      <c r="N170" s="59">
        <v>5</v>
      </c>
      <c r="O170" s="92">
        <v>1</v>
      </c>
      <c r="P170" s="132" t="e">
        <f>INDEX([2]Sheet1!$U:$U,MATCH($M170,[2]Sheet1!$BH:$BH,0),1)</f>
        <v>#N/A</v>
      </c>
      <c r="Q170" s="132">
        <f t="shared" si="6"/>
        <v>2</v>
      </c>
      <c r="R170" s="132" t="e">
        <f t="shared" si="8"/>
        <v>#N/A</v>
      </c>
      <c r="S170" s="132"/>
    </row>
    <row r="171" spans="1:19" s="10" customFormat="1">
      <c r="A171" s="30">
        <f t="shared" si="7"/>
        <v>2409</v>
      </c>
      <c r="B171" s="46" t="str">
        <f>VLOOKUP($M171,[1]Sheet1!$A:$B,2,0)&amp;"x"&amp;$N171</f>
        <v>鬼使白碎片x5</v>
      </c>
      <c r="C171" s="46">
        <v>2</v>
      </c>
      <c r="D171" s="10">
        <v>4</v>
      </c>
      <c r="E171" s="10">
        <v>2</v>
      </c>
      <c r="F171" s="46">
        <v>0</v>
      </c>
      <c r="G171" s="46">
        <v>100</v>
      </c>
      <c r="H171" s="32">
        <v>0</v>
      </c>
      <c r="I171" s="32">
        <v>1</v>
      </c>
      <c r="J171" s="32">
        <v>1</v>
      </c>
      <c r="K171" s="90" t="s">
        <v>108</v>
      </c>
      <c r="L171" s="91">
        <v>1</v>
      </c>
      <c r="M171" s="91">
        <v>10104</v>
      </c>
      <c r="N171" s="59">
        <v>5</v>
      </c>
      <c r="O171" s="92">
        <v>1</v>
      </c>
      <c r="P171" s="132" t="e">
        <f>INDEX([2]Sheet1!$U:$U,MATCH($M171,[2]Sheet1!$BH:$BH,0),1)</f>
        <v>#N/A</v>
      </c>
      <c r="Q171" s="132">
        <f t="shared" si="6"/>
        <v>2</v>
      </c>
      <c r="R171" s="132" t="e">
        <f t="shared" si="8"/>
        <v>#N/A</v>
      </c>
      <c r="S171" s="132"/>
    </row>
    <row r="172" spans="1:19" s="10" customFormat="1">
      <c r="A172" s="30">
        <f t="shared" si="7"/>
        <v>2410</v>
      </c>
      <c r="B172" s="46" t="str">
        <f>VLOOKUP($M172,[1]Sheet1!$A:$B,2,0)&amp;"x"&amp;$N172</f>
        <v>牛头碎片x5</v>
      </c>
      <c r="C172" s="46">
        <v>2</v>
      </c>
      <c r="D172" s="10">
        <v>4</v>
      </c>
      <c r="E172" s="10">
        <v>2</v>
      </c>
      <c r="F172" s="46">
        <v>0</v>
      </c>
      <c r="G172" s="46">
        <v>100</v>
      </c>
      <c r="H172" s="32">
        <v>0</v>
      </c>
      <c r="I172" s="32">
        <v>1</v>
      </c>
      <c r="J172" s="32">
        <v>1</v>
      </c>
      <c r="K172" s="90" t="s">
        <v>108</v>
      </c>
      <c r="L172" s="91">
        <v>1</v>
      </c>
      <c r="M172" s="91">
        <v>10106</v>
      </c>
      <c r="N172" s="59">
        <v>5</v>
      </c>
      <c r="O172" s="92">
        <v>1</v>
      </c>
      <c r="P172" s="132" t="e">
        <f>INDEX([2]Sheet1!$U:$U,MATCH($M172,[2]Sheet1!$BH:$BH,0),1)</f>
        <v>#N/A</v>
      </c>
      <c r="Q172" s="132">
        <f t="shared" si="6"/>
        <v>2</v>
      </c>
      <c r="R172" s="132" t="e">
        <f t="shared" si="8"/>
        <v>#N/A</v>
      </c>
      <c r="S172" s="132"/>
    </row>
    <row r="173" spans="1:19" s="10" customFormat="1">
      <c r="A173" s="30">
        <f t="shared" si="7"/>
        <v>2411</v>
      </c>
      <c r="B173" s="46" t="str">
        <f>VLOOKUP($M173,[1]Sheet1!$A:$B,2,0)&amp;"x"&amp;$N173</f>
        <v>马面碎片x5</v>
      </c>
      <c r="C173" s="46">
        <v>2</v>
      </c>
      <c r="D173" s="10">
        <v>4</v>
      </c>
      <c r="E173" s="10">
        <v>2</v>
      </c>
      <c r="F173" s="46">
        <v>0</v>
      </c>
      <c r="G173" s="46">
        <v>100</v>
      </c>
      <c r="H173" s="32">
        <v>0</v>
      </c>
      <c r="I173" s="32">
        <v>1</v>
      </c>
      <c r="J173" s="32">
        <v>1</v>
      </c>
      <c r="K173" s="90" t="s">
        <v>108</v>
      </c>
      <c r="L173" s="91">
        <v>1</v>
      </c>
      <c r="M173" s="91">
        <v>10105</v>
      </c>
      <c r="N173" s="59">
        <v>5</v>
      </c>
      <c r="O173" s="92">
        <v>1</v>
      </c>
      <c r="P173" s="132" t="e">
        <f>INDEX([2]Sheet1!$U:$U,MATCH($M173,[2]Sheet1!$BH:$BH,0),1)</f>
        <v>#N/A</v>
      </c>
      <c r="Q173" s="132">
        <f t="shared" si="6"/>
        <v>2</v>
      </c>
      <c r="R173" s="132" t="e">
        <f t="shared" si="8"/>
        <v>#N/A</v>
      </c>
      <c r="S173" s="132"/>
    </row>
    <row r="174" spans="1:19" s="10" customFormat="1">
      <c r="A174" s="30">
        <f t="shared" si="7"/>
        <v>2412</v>
      </c>
      <c r="B174" s="46" t="str">
        <f>VLOOKUP($M174,[1]Sheet1!$A:$B,2,0)&amp;"x"&amp;$N174</f>
        <v>金钱豹王碎片x5</v>
      </c>
      <c r="C174" s="46">
        <v>2</v>
      </c>
      <c r="D174" s="10">
        <v>4</v>
      </c>
      <c r="E174" s="10">
        <v>2</v>
      </c>
      <c r="F174" s="46">
        <v>0</v>
      </c>
      <c r="G174" s="46">
        <v>100</v>
      </c>
      <c r="H174" s="32">
        <v>0</v>
      </c>
      <c r="I174" s="32">
        <v>1</v>
      </c>
      <c r="J174" s="32">
        <v>1</v>
      </c>
      <c r="K174" s="90" t="s">
        <v>108</v>
      </c>
      <c r="L174" s="91">
        <v>1</v>
      </c>
      <c r="M174" s="91">
        <v>10039</v>
      </c>
      <c r="N174" s="59">
        <v>5</v>
      </c>
      <c r="O174" s="92">
        <v>1</v>
      </c>
      <c r="P174" s="132" t="e">
        <f>INDEX([2]Sheet1!$U:$U,MATCH($M174,[2]Sheet1!$BH:$BH,0),1)</f>
        <v>#N/A</v>
      </c>
      <c r="Q174" s="132">
        <f t="shared" si="6"/>
        <v>2</v>
      </c>
      <c r="R174" s="132" t="e">
        <f t="shared" si="8"/>
        <v>#N/A</v>
      </c>
      <c r="S174" s="132"/>
    </row>
    <row r="175" spans="1:19" s="10" customFormat="1">
      <c r="A175" s="30">
        <f t="shared" si="7"/>
        <v>2413</v>
      </c>
      <c r="B175" s="46" t="str">
        <f>VLOOKUP($M175,[1]Sheet1!$A:$B,2,0)&amp;"x"&amp;$N175</f>
        <v>墨鱼精碎片x5</v>
      </c>
      <c r="C175" s="46">
        <v>2</v>
      </c>
      <c r="D175" s="10">
        <v>4</v>
      </c>
      <c r="E175" s="10">
        <v>2</v>
      </c>
      <c r="F175" s="46">
        <v>0</v>
      </c>
      <c r="G175" s="46">
        <v>100</v>
      </c>
      <c r="H175" s="32">
        <v>0</v>
      </c>
      <c r="I175" s="32">
        <v>1</v>
      </c>
      <c r="J175" s="32">
        <v>1</v>
      </c>
      <c r="K175" s="90" t="s">
        <v>108</v>
      </c>
      <c r="L175" s="91">
        <v>1</v>
      </c>
      <c r="M175" s="91">
        <v>10040</v>
      </c>
      <c r="N175" s="59">
        <v>5</v>
      </c>
      <c r="O175" s="92">
        <v>1</v>
      </c>
      <c r="P175" s="132" t="e">
        <f>INDEX([2]Sheet1!$U:$U,MATCH($M175,[2]Sheet1!$BH:$BH,0),1)</f>
        <v>#N/A</v>
      </c>
      <c r="Q175" s="132">
        <f t="shared" si="6"/>
        <v>2</v>
      </c>
      <c r="R175" s="132" t="e">
        <f t="shared" si="8"/>
        <v>#N/A</v>
      </c>
      <c r="S175" s="132"/>
    </row>
    <row r="176" spans="1:19" s="10" customFormat="1">
      <c r="A176" s="30">
        <f t="shared" si="7"/>
        <v>2414</v>
      </c>
      <c r="B176" s="46" t="str">
        <f>VLOOKUP($M176,[1]Sheet1!$A:$B,2,0)&amp;"x"&amp;$N176</f>
        <v>玉面夫人碎片x5</v>
      </c>
      <c r="C176" s="46">
        <v>2</v>
      </c>
      <c r="D176" s="10">
        <v>4</v>
      </c>
      <c r="E176" s="10">
        <v>2</v>
      </c>
      <c r="F176" s="46">
        <v>0</v>
      </c>
      <c r="G176" s="46">
        <v>100</v>
      </c>
      <c r="H176" s="32">
        <v>0</v>
      </c>
      <c r="I176" s="32">
        <v>1</v>
      </c>
      <c r="J176" s="32">
        <v>1</v>
      </c>
      <c r="K176" s="90" t="s">
        <v>108</v>
      </c>
      <c r="L176" s="91">
        <v>1</v>
      </c>
      <c r="M176" s="91">
        <v>10038</v>
      </c>
      <c r="N176" s="59">
        <v>5</v>
      </c>
      <c r="O176" s="92">
        <v>1</v>
      </c>
      <c r="P176" s="132" t="e">
        <f>INDEX([2]Sheet1!$U:$U,MATCH($M176,[2]Sheet1!$BH:$BH,0),1)</f>
        <v>#N/A</v>
      </c>
      <c r="Q176" s="132">
        <f t="shared" si="6"/>
        <v>2</v>
      </c>
      <c r="R176" s="132" t="e">
        <f t="shared" si="8"/>
        <v>#N/A</v>
      </c>
      <c r="S176" s="132"/>
    </row>
    <row r="177" spans="1:23" s="10" customFormat="1">
      <c r="A177" s="30">
        <f t="shared" si="7"/>
        <v>2415</v>
      </c>
      <c r="B177" s="46" t="str">
        <f>VLOOKUP($M177,[1]Sheet1!$A:$B,2,0)&amp;"x"&amp;$N177</f>
        <v>扇子精碎片x5</v>
      </c>
      <c r="C177" s="46">
        <v>2</v>
      </c>
      <c r="D177" s="10">
        <v>4</v>
      </c>
      <c r="E177" s="10">
        <v>2</v>
      </c>
      <c r="F177" s="46">
        <v>0</v>
      </c>
      <c r="G177" s="46">
        <v>100</v>
      </c>
      <c r="H177" s="32">
        <v>0</v>
      </c>
      <c r="I177" s="32">
        <v>1</v>
      </c>
      <c r="J177" s="32">
        <v>1</v>
      </c>
      <c r="K177" s="90" t="s">
        <v>108</v>
      </c>
      <c r="L177" s="91">
        <v>1</v>
      </c>
      <c r="M177" s="91">
        <v>10126</v>
      </c>
      <c r="N177" s="59">
        <v>5</v>
      </c>
      <c r="O177" s="92">
        <v>1</v>
      </c>
      <c r="P177" s="132" t="e">
        <f>INDEX([2]Sheet1!$U:$U,MATCH($M177,[2]Sheet1!$BH:$BH,0),1)</f>
        <v>#N/A</v>
      </c>
      <c r="Q177" s="132">
        <f t="shared" si="6"/>
        <v>2</v>
      </c>
      <c r="R177" s="132" t="e">
        <f t="shared" si="8"/>
        <v>#N/A</v>
      </c>
      <c r="S177" s="132"/>
    </row>
    <row r="178" spans="1:23" s="10" customFormat="1">
      <c r="A178" s="30">
        <f t="shared" si="7"/>
        <v>2416</v>
      </c>
      <c r="B178" s="46" t="str">
        <f>VLOOKUP($M178,[1]Sheet1!$A:$B,2,0)&amp;"x"&amp;$N178</f>
        <v>玉兔碎片x5</v>
      </c>
      <c r="C178" s="46">
        <v>2</v>
      </c>
      <c r="D178" s="10">
        <v>4</v>
      </c>
      <c r="E178" s="10">
        <v>2</v>
      </c>
      <c r="F178" s="46">
        <v>0</v>
      </c>
      <c r="G178" s="46">
        <v>100</v>
      </c>
      <c r="H178" s="32">
        <v>0</v>
      </c>
      <c r="I178" s="32">
        <v>1</v>
      </c>
      <c r="J178" s="32">
        <v>1</v>
      </c>
      <c r="K178" s="90" t="s">
        <v>108</v>
      </c>
      <c r="L178" s="91">
        <v>1</v>
      </c>
      <c r="M178" s="91">
        <v>10041</v>
      </c>
      <c r="N178" s="59">
        <v>5</v>
      </c>
      <c r="O178" s="92">
        <v>1</v>
      </c>
      <c r="P178" s="132" t="e">
        <f>INDEX([2]Sheet1!$U:$U,MATCH($M178,[2]Sheet1!$BH:$BH,0),1)</f>
        <v>#N/A</v>
      </c>
      <c r="Q178" s="132">
        <f t="shared" si="6"/>
        <v>2</v>
      </c>
      <c r="R178" s="132" t="e">
        <f t="shared" si="8"/>
        <v>#N/A</v>
      </c>
      <c r="S178" s="132"/>
    </row>
    <row r="179" spans="1:23" s="10" customFormat="1">
      <c r="A179" s="30">
        <f t="shared" si="7"/>
        <v>2417</v>
      </c>
      <c r="B179" s="46" t="str">
        <f>VLOOKUP($M179,[1]Sheet1!$A:$B,2,0)&amp;"x"&amp;$N179</f>
        <v>蟹将碎片x5</v>
      </c>
      <c r="C179" s="46">
        <v>2</v>
      </c>
      <c r="D179" s="10">
        <v>4</v>
      </c>
      <c r="E179" s="10">
        <v>2</v>
      </c>
      <c r="F179" s="46">
        <v>0</v>
      </c>
      <c r="G179" s="46">
        <v>100</v>
      </c>
      <c r="H179" s="32">
        <v>0</v>
      </c>
      <c r="I179" s="32">
        <v>1</v>
      </c>
      <c r="J179" s="32">
        <v>1</v>
      </c>
      <c r="K179" s="90" t="s">
        <v>108</v>
      </c>
      <c r="L179" s="91">
        <v>1</v>
      </c>
      <c r="M179" s="91">
        <v>10404</v>
      </c>
      <c r="N179" s="59">
        <v>5</v>
      </c>
      <c r="O179" s="92">
        <v>1</v>
      </c>
      <c r="P179" s="132" t="e">
        <f>INDEX([2]Sheet1!$U:$U,MATCH($M179,[2]Sheet1!$BH:$BH,0),1)</f>
        <v>#N/A</v>
      </c>
      <c r="Q179" s="132">
        <f t="shared" si="6"/>
        <v>2</v>
      </c>
      <c r="R179" s="132" t="e">
        <f t="shared" si="8"/>
        <v>#N/A</v>
      </c>
      <c r="S179" s="132"/>
    </row>
    <row r="180" spans="1:23" s="65" customFormat="1">
      <c r="A180" s="64">
        <f t="shared" si="7"/>
        <v>2450</v>
      </c>
      <c r="B180" s="66" t="str">
        <f>VLOOKUP($M180,[1]Sheet1!$A:$B,2,0)&amp;"x"&amp;$N180</f>
        <v>弥勒佛碎片x10</v>
      </c>
      <c r="C180" s="66">
        <v>2</v>
      </c>
      <c r="D180" s="65">
        <v>4</v>
      </c>
      <c r="E180" s="65">
        <v>2</v>
      </c>
      <c r="F180" s="66">
        <v>0</v>
      </c>
      <c r="G180" s="66">
        <v>400</v>
      </c>
      <c r="H180" s="67">
        <v>0</v>
      </c>
      <c r="I180" s="67">
        <v>1</v>
      </c>
      <c r="J180" s="67">
        <v>1</v>
      </c>
      <c r="K180" s="84" t="s">
        <v>108</v>
      </c>
      <c r="L180" s="85">
        <v>1</v>
      </c>
      <c r="M180" s="85">
        <v>10027</v>
      </c>
      <c r="N180" s="68">
        <v>10</v>
      </c>
      <c r="O180" s="86">
        <v>1</v>
      </c>
      <c r="P180" s="129" t="e">
        <f>INDEX([2]Sheet1!$U:$U,MATCH($M180,[2]Sheet1!$BH:$BH,0),1)</f>
        <v>#N/A</v>
      </c>
      <c r="Q180" s="129">
        <f t="shared" si="6"/>
        <v>2</v>
      </c>
      <c r="R180" s="130" t="e">
        <f t="shared" si="8"/>
        <v>#N/A</v>
      </c>
      <c r="S180" s="130"/>
      <c r="T180" s="66"/>
      <c r="U180" s="66"/>
      <c r="V180" s="66"/>
      <c r="W180" s="66"/>
    </row>
    <row r="181" spans="1:23" s="65" customFormat="1">
      <c r="A181" s="64">
        <f t="shared" si="7"/>
        <v>2451</v>
      </c>
      <c r="B181" s="66" t="str">
        <f>VLOOKUP($M181,[1]Sheet1!$A:$B,2,0)&amp;"x"&amp;$N181</f>
        <v>金蝉子碎片x10</v>
      </c>
      <c r="C181" s="66">
        <v>2</v>
      </c>
      <c r="D181" s="65">
        <v>4</v>
      </c>
      <c r="E181" s="65">
        <v>2</v>
      </c>
      <c r="F181" s="66">
        <v>0</v>
      </c>
      <c r="G181" s="66">
        <v>400</v>
      </c>
      <c r="H181" s="67">
        <v>0</v>
      </c>
      <c r="I181" s="67">
        <v>1</v>
      </c>
      <c r="J181" s="67">
        <v>1</v>
      </c>
      <c r="K181" s="84" t="s">
        <v>108</v>
      </c>
      <c r="L181" s="85">
        <v>1</v>
      </c>
      <c r="M181" s="85">
        <v>10112</v>
      </c>
      <c r="N181" s="68">
        <v>10</v>
      </c>
      <c r="O181" s="86">
        <v>1</v>
      </c>
      <c r="P181" s="129" t="e">
        <f>INDEX([2]Sheet1!$U:$U,MATCH($M181,[2]Sheet1!$BH:$BH,0),1)</f>
        <v>#N/A</v>
      </c>
      <c r="Q181" s="129">
        <f t="shared" si="6"/>
        <v>2</v>
      </c>
      <c r="R181" s="130" t="e">
        <f t="shared" si="8"/>
        <v>#N/A</v>
      </c>
      <c r="S181" s="129"/>
    </row>
    <row r="182" spans="1:23" s="65" customFormat="1">
      <c r="A182" s="64">
        <f t="shared" si="7"/>
        <v>2452</v>
      </c>
      <c r="B182" s="66" t="str">
        <f>VLOOKUP($M182,[1]Sheet1!$A:$B,2,0)&amp;"x"&amp;$N182</f>
        <v>龙帝碎片x10</v>
      </c>
      <c r="C182" s="66">
        <v>2</v>
      </c>
      <c r="D182" s="65">
        <v>4</v>
      </c>
      <c r="E182" s="65">
        <v>2</v>
      </c>
      <c r="F182" s="66">
        <v>0</v>
      </c>
      <c r="G182" s="66">
        <v>400</v>
      </c>
      <c r="H182" s="67">
        <v>0</v>
      </c>
      <c r="I182" s="67">
        <v>1</v>
      </c>
      <c r="J182" s="67">
        <v>1</v>
      </c>
      <c r="K182" s="84" t="s">
        <v>108</v>
      </c>
      <c r="L182" s="85">
        <v>1</v>
      </c>
      <c r="M182" s="85">
        <v>10113</v>
      </c>
      <c r="N182" s="68">
        <v>10</v>
      </c>
      <c r="O182" s="86">
        <v>1</v>
      </c>
      <c r="P182" s="129" t="e">
        <f>INDEX([2]Sheet1!$U:$U,MATCH($M182,[2]Sheet1!$BH:$BH,0),1)</f>
        <v>#N/A</v>
      </c>
      <c r="Q182" s="129">
        <f t="shared" ref="Q182:Q233" si="9">E182</f>
        <v>2</v>
      </c>
      <c r="R182" s="130" t="e">
        <f t="shared" si="8"/>
        <v>#N/A</v>
      </c>
      <c r="S182" s="129"/>
    </row>
    <row r="183" spans="1:23" s="65" customFormat="1">
      <c r="A183" s="64">
        <f t="shared" si="7"/>
        <v>2453</v>
      </c>
      <c r="B183" s="66" t="str">
        <f>VLOOKUP($M183,[1]Sheet1!$A:$B,2,0)&amp;"x"&amp;$N183</f>
        <v>八部天龙碎片x10</v>
      </c>
      <c r="C183" s="66">
        <v>2</v>
      </c>
      <c r="D183" s="65">
        <v>4</v>
      </c>
      <c r="E183" s="65">
        <v>2</v>
      </c>
      <c r="F183" s="66">
        <v>0</v>
      </c>
      <c r="G183" s="66">
        <v>400</v>
      </c>
      <c r="H183" s="67">
        <v>0</v>
      </c>
      <c r="I183" s="67">
        <v>1</v>
      </c>
      <c r="J183" s="67">
        <v>1</v>
      </c>
      <c r="K183" s="84" t="s">
        <v>108</v>
      </c>
      <c r="L183" s="85">
        <v>1</v>
      </c>
      <c r="M183" s="85">
        <v>10114</v>
      </c>
      <c r="N183" s="68">
        <v>10</v>
      </c>
      <c r="O183" s="86">
        <v>1</v>
      </c>
      <c r="P183" s="129" t="e">
        <f>INDEX([2]Sheet1!$U:$U,MATCH($M183,[2]Sheet1!$BH:$BH,0),1)</f>
        <v>#N/A</v>
      </c>
      <c r="Q183" s="129">
        <f t="shared" si="9"/>
        <v>2</v>
      </c>
      <c r="R183" s="130" t="e">
        <f t="shared" si="8"/>
        <v>#N/A</v>
      </c>
      <c r="S183" s="129"/>
    </row>
    <row r="184" spans="1:23" s="65" customFormat="1">
      <c r="A184" s="64">
        <f t="shared" si="7"/>
        <v>2454</v>
      </c>
      <c r="B184" s="66" t="str">
        <f>VLOOKUP($M184,[1]Sheet1!$A:$B,2,0)&amp;"x"&amp;$N184</f>
        <v>观世音碎片x10</v>
      </c>
      <c r="C184" s="66">
        <v>2</v>
      </c>
      <c r="D184" s="65">
        <v>4</v>
      </c>
      <c r="E184" s="65">
        <v>2</v>
      </c>
      <c r="F184" s="66">
        <v>0</v>
      </c>
      <c r="G184" s="66">
        <v>400</v>
      </c>
      <c r="H184" s="67">
        <v>0</v>
      </c>
      <c r="I184" s="67">
        <v>1</v>
      </c>
      <c r="J184" s="67">
        <v>1</v>
      </c>
      <c r="K184" s="84" t="s">
        <v>108</v>
      </c>
      <c r="L184" s="85">
        <v>1</v>
      </c>
      <c r="M184" s="85">
        <v>10115</v>
      </c>
      <c r="N184" s="68">
        <v>10</v>
      </c>
      <c r="O184" s="86">
        <v>1</v>
      </c>
      <c r="P184" s="129" t="e">
        <f>INDEX([2]Sheet1!$U:$U,MATCH($M184,[2]Sheet1!$BH:$BH,0),1)</f>
        <v>#N/A</v>
      </c>
      <c r="Q184" s="129">
        <f t="shared" si="9"/>
        <v>2</v>
      </c>
      <c r="R184" s="130" t="e">
        <f t="shared" si="8"/>
        <v>#N/A</v>
      </c>
      <c r="S184" s="129"/>
    </row>
    <row r="185" spans="1:23" s="65" customFormat="1">
      <c r="A185" s="64">
        <f t="shared" si="7"/>
        <v>2455</v>
      </c>
      <c r="B185" s="66" t="str">
        <f>VLOOKUP($M185,[1]Sheet1!$A:$B,2,0)&amp;"x"&amp;$N185</f>
        <v>托塔天王碎片x10</v>
      </c>
      <c r="C185" s="66">
        <v>2</v>
      </c>
      <c r="D185" s="65">
        <v>4</v>
      </c>
      <c r="E185" s="65">
        <v>2</v>
      </c>
      <c r="F185" s="66">
        <v>0</v>
      </c>
      <c r="G185" s="66">
        <v>400</v>
      </c>
      <c r="H185" s="67">
        <v>0</v>
      </c>
      <c r="I185" s="67">
        <v>1</v>
      </c>
      <c r="J185" s="67">
        <v>1</v>
      </c>
      <c r="K185" s="84" t="s">
        <v>108</v>
      </c>
      <c r="L185" s="85">
        <v>1</v>
      </c>
      <c r="M185" s="85">
        <v>10008</v>
      </c>
      <c r="N185" s="68">
        <v>10</v>
      </c>
      <c r="O185" s="86">
        <v>1</v>
      </c>
      <c r="P185" s="129" t="e">
        <f>INDEX([2]Sheet1!$U:$U,MATCH($M185,[2]Sheet1!$BH:$BH,0),1)</f>
        <v>#N/A</v>
      </c>
      <c r="Q185" s="129">
        <f t="shared" si="9"/>
        <v>2</v>
      </c>
      <c r="R185" s="130" t="e">
        <f t="shared" si="8"/>
        <v>#N/A</v>
      </c>
      <c r="S185" s="129"/>
    </row>
    <row r="186" spans="1:23" s="65" customFormat="1">
      <c r="A186" s="64">
        <f t="shared" si="7"/>
        <v>2456</v>
      </c>
      <c r="B186" s="66" t="str">
        <f>VLOOKUP($M186,[1]Sheet1!$A:$B,2,0)&amp;"x"&amp;$N186</f>
        <v>黑无常碎片x10</v>
      </c>
      <c r="C186" s="66">
        <v>2</v>
      </c>
      <c r="D186" s="65">
        <v>4</v>
      </c>
      <c r="E186" s="65">
        <v>2</v>
      </c>
      <c r="F186" s="66">
        <v>0</v>
      </c>
      <c r="G186" s="66">
        <v>400</v>
      </c>
      <c r="H186" s="67">
        <v>0</v>
      </c>
      <c r="I186" s="67">
        <v>1</v>
      </c>
      <c r="J186" s="67">
        <v>1</v>
      </c>
      <c r="K186" s="84" t="s">
        <v>108</v>
      </c>
      <c r="L186" s="85">
        <v>1</v>
      </c>
      <c r="M186" s="85">
        <v>10119</v>
      </c>
      <c r="N186" s="68">
        <v>10</v>
      </c>
      <c r="O186" s="86">
        <v>1</v>
      </c>
      <c r="P186" s="129" t="e">
        <f>INDEX([2]Sheet1!$U:$U,MATCH($M186,[2]Sheet1!$BH:$BH,0),1)</f>
        <v>#N/A</v>
      </c>
      <c r="Q186" s="129">
        <f t="shared" si="9"/>
        <v>2</v>
      </c>
      <c r="R186" s="130" t="e">
        <f t="shared" si="8"/>
        <v>#N/A</v>
      </c>
      <c r="S186" s="129"/>
    </row>
    <row r="187" spans="1:23" s="65" customFormat="1">
      <c r="A187" s="64">
        <f t="shared" si="7"/>
        <v>2457</v>
      </c>
      <c r="B187" s="66" t="str">
        <f>VLOOKUP($M187,[1]Sheet1!$A:$B,2,0)&amp;"x"&amp;$N187</f>
        <v>哪吒碎片x10</v>
      </c>
      <c r="C187" s="66">
        <v>2</v>
      </c>
      <c r="D187" s="65">
        <v>4</v>
      </c>
      <c r="E187" s="65">
        <v>2</v>
      </c>
      <c r="F187" s="66">
        <v>0</v>
      </c>
      <c r="G187" s="66">
        <v>400</v>
      </c>
      <c r="H187" s="67">
        <v>0</v>
      </c>
      <c r="I187" s="67">
        <v>1</v>
      </c>
      <c r="J187" s="67">
        <v>1</v>
      </c>
      <c r="K187" s="84" t="s">
        <v>108</v>
      </c>
      <c r="L187" s="85">
        <v>1</v>
      </c>
      <c r="M187" s="85">
        <v>10002</v>
      </c>
      <c r="N187" s="68">
        <v>10</v>
      </c>
      <c r="O187" s="86">
        <v>1</v>
      </c>
      <c r="P187" s="129" t="e">
        <f>INDEX([2]Sheet1!$U:$U,MATCH($M187,[2]Sheet1!$BH:$BH,0),1)</f>
        <v>#N/A</v>
      </c>
      <c r="Q187" s="129">
        <f t="shared" si="9"/>
        <v>2</v>
      </c>
      <c r="R187" s="130" t="e">
        <f t="shared" si="8"/>
        <v>#N/A</v>
      </c>
      <c r="S187" s="129"/>
    </row>
    <row r="188" spans="1:23" s="65" customFormat="1">
      <c r="A188" s="64">
        <f t="shared" si="7"/>
        <v>2458</v>
      </c>
      <c r="B188" s="66" t="str">
        <f>VLOOKUP($M188,[1]Sheet1!$A:$B,2,0)&amp;"x"&amp;$N188</f>
        <v>白无常碎片x10</v>
      </c>
      <c r="C188" s="66">
        <v>2</v>
      </c>
      <c r="D188" s="65">
        <v>4</v>
      </c>
      <c r="E188" s="65">
        <v>2</v>
      </c>
      <c r="F188" s="66">
        <v>0</v>
      </c>
      <c r="G188" s="66">
        <v>400</v>
      </c>
      <c r="H188" s="67">
        <v>0</v>
      </c>
      <c r="I188" s="67">
        <v>1</v>
      </c>
      <c r="J188" s="67">
        <v>1</v>
      </c>
      <c r="K188" s="84" t="s">
        <v>108</v>
      </c>
      <c r="L188" s="85">
        <v>1</v>
      </c>
      <c r="M188" s="85">
        <v>10118</v>
      </c>
      <c r="N188" s="68">
        <v>10</v>
      </c>
      <c r="O188" s="86">
        <v>1</v>
      </c>
      <c r="P188" s="129" t="e">
        <f>INDEX([2]Sheet1!$U:$U,MATCH($M188,[2]Sheet1!$BH:$BH,0),1)</f>
        <v>#N/A</v>
      </c>
      <c r="Q188" s="129">
        <f t="shared" si="9"/>
        <v>2</v>
      </c>
      <c r="R188" s="130" t="e">
        <f t="shared" si="8"/>
        <v>#N/A</v>
      </c>
      <c r="S188" s="129"/>
    </row>
    <row r="189" spans="1:23" s="65" customFormat="1">
      <c r="A189" s="64">
        <f t="shared" si="7"/>
        <v>2459</v>
      </c>
      <c r="B189" s="66" t="str">
        <f>VLOOKUP($M189,[1]Sheet1!$A:$B,2,0)&amp;"x"&amp;$N189</f>
        <v>嫦娥碎片x10</v>
      </c>
      <c r="C189" s="66">
        <v>2</v>
      </c>
      <c r="D189" s="65">
        <v>4</v>
      </c>
      <c r="E189" s="65">
        <v>2</v>
      </c>
      <c r="F189" s="66">
        <v>0</v>
      </c>
      <c r="G189" s="66">
        <v>400</v>
      </c>
      <c r="H189" s="67">
        <v>0</v>
      </c>
      <c r="I189" s="67">
        <v>1</v>
      </c>
      <c r="J189" s="67">
        <v>1</v>
      </c>
      <c r="K189" s="84" t="s">
        <v>108</v>
      </c>
      <c r="L189" s="85">
        <v>1</v>
      </c>
      <c r="M189" s="85">
        <v>10003</v>
      </c>
      <c r="N189" s="68">
        <v>10</v>
      </c>
      <c r="O189" s="86">
        <v>1</v>
      </c>
      <c r="P189" s="129" t="e">
        <f>INDEX([2]Sheet1!$U:$U,MATCH($M189,[2]Sheet1!$BH:$BH,0),1)</f>
        <v>#N/A</v>
      </c>
      <c r="Q189" s="129">
        <f t="shared" si="9"/>
        <v>2</v>
      </c>
      <c r="R189" s="130" t="e">
        <f t="shared" si="8"/>
        <v>#N/A</v>
      </c>
      <c r="S189" s="129"/>
    </row>
    <row r="190" spans="1:23" s="65" customFormat="1">
      <c r="A190" s="64">
        <f t="shared" si="7"/>
        <v>2460</v>
      </c>
      <c r="B190" s="66" t="str">
        <f>VLOOKUP($M190,[1]Sheet1!$A:$B,2,0)&amp;"x"&amp;$N190</f>
        <v>铁扇公主碎片x10</v>
      </c>
      <c r="C190" s="66">
        <v>2</v>
      </c>
      <c r="D190" s="65">
        <v>4</v>
      </c>
      <c r="E190" s="65">
        <v>2</v>
      </c>
      <c r="F190" s="66">
        <v>0</v>
      </c>
      <c r="G190" s="66">
        <v>400</v>
      </c>
      <c r="H190" s="67">
        <v>0</v>
      </c>
      <c r="I190" s="67">
        <v>1</v>
      </c>
      <c r="J190" s="67">
        <v>1</v>
      </c>
      <c r="K190" s="84" t="s">
        <v>108</v>
      </c>
      <c r="L190" s="85">
        <v>1</v>
      </c>
      <c r="M190" s="85">
        <v>10011</v>
      </c>
      <c r="N190" s="68">
        <v>10</v>
      </c>
      <c r="O190" s="86">
        <v>1</v>
      </c>
      <c r="P190" s="129" t="e">
        <f>INDEX([2]Sheet1!$U:$U,MATCH($M190,[2]Sheet1!$BH:$BH,0),1)</f>
        <v>#N/A</v>
      </c>
      <c r="Q190" s="129">
        <f t="shared" si="9"/>
        <v>2</v>
      </c>
      <c r="R190" s="130" t="e">
        <f t="shared" si="8"/>
        <v>#N/A</v>
      </c>
      <c r="S190" s="129"/>
    </row>
    <row r="191" spans="1:23" s="65" customFormat="1">
      <c r="A191" s="64">
        <f t="shared" si="7"/>
        <v>2461</v>
      </c>
      <c r="B191" s="66" t="str">
        <f>VLOOKUP($M191,[1]Sheet1!$A:$B,2,0)&amp;"x"&amp;$N191</f>
        <v>牛魔王碎片x10</v>
      </c>
      <c r="C191" s="66">
        <v>2</v>
      </c>
      <c r="D191" s="65">
        <v>4</v>
      </c>
      <c r="E191" s="65">
        <v>2</v>
      </c>
      <c r="F191" s="66">
        <v>0</v>
      </c>
      <c r="G191" s="66">
        <v>400</v>
      </c>
      <c r="H191" s="67">
        <v>0</v>
      </c>
      <c r="I191" s="67">
        <v>1</v>
      </c>
      <c r="J191" s="67">
        <v>1</v>
      </c>
      <c r="K191" s="84" t="s">
        <v>108</v>
      </c>
      <c r="L191" s="85">
        <v>1</v>
      </c>
      <c r="M191" s="85">
        <v>10012</v>
      </c>
      <c r="N191" s="68">
        <v>10</v>
      </c>
      <c r="O191" s="86">
        <v>1</v>
      </c>
      <c r="P191" s="129" t="e">
        <f>INDEX([2]Sheet1!$U:$U,MATCH($M191,[2]Sheet1!$BH:$BH,0),1)</f>
        <v>#N/A</v>
      </c>
      <c r="Q191" s="129">
        <f t="shared" si="9"/>
        <v>2</v>
      </c>
      <c r="R191" s="130" t="e">
        <f t="shared" si="8"/>
        <v>#N/A</v>
      </c>
      <c r="S191" s="129"/>
    </row>
    <row r="192" spans="1:23" s="65" customFormat="1">
      <c r="A192" s="64">
        <f t="shared" si="7"/>
        <v>2462</v>
      </c>
      <c r="B192" s="66" t="str">
        <f>VLOOKUP($M192,[1]Sheet1!$A:$B,2,0)&amp;"x"&amp;$N192</f>
        <v>虎力大仙碎片x10</v>
      </c>
      <c r="C192" s="66">
        <v>2</v>
      </c>
      <c r="D192" s="65">
        <v>4</v>
      </c>
      <c r="E192" s="65">
        <v>2</v>
      </c>
      <c r="F192" s="66">
        <v>0</v>
      </c>
      <c r="G192" s="66">
        <v>400</v>
      </c>
      <c r="H192" s="67">
        <v>0</v>
      </c>
      <c r="I192" s="67">
        <v>1</v>
      </c>
      <c r="J192" s="67">
        <v>1</v>
      </c>
      <c r="K192" s="84" t="s">
        <v>108</v>
      </c>
      <c r="L192" s="85">
        <v>1</v>
      </c>
      <c r="M192" s="85">
        <v>10013</v>
      </c>
      <c r="N192" s="68">
        <v>10</v>
      </c>
      <c r="O192" s="86">
        <v>1</v>
      </c>
      <c r="P192" s="129" t="e">
        <f>INDEX([2]Sheet1!$U:$U,MATCH($M192,[2]Sheet1!$BH:$BH,0),1)</f>
        <v>#N/A</v>
      </c>
      <c r="Q192" s="129">
        <f t="shared" si="9"/>
        <v>2</v>
      </c>
      <c r="R192" s="130" t="e">
        <f t="shared" si="8"/>
        <v>#N/A</v>
      </c>
      <c r="S192" s="129"/>
    </row>
    <row r="193" spans="1:19" s="65" customFormat="1">
      <c r="A193" s="64">
        <f t="shared" si="7"/>
        <v>2463</v>
      </c>
      <c r="B193" s="66" t="str">
        <f>VLOOKUP($M193,[1]Sheet1!$A:$B,2,0)&amp;"x"&amp;$N193</f>
        <v>猪八戒碎片x10</v>
      </c>
      <c r="C193" s="66">
        <v>2</v>
      </c>
      <c r="D193" s="65">
        <v>4</v>
      </c>
      <c r="E193" s="65">
        <v>2</v>
      </c>
      <c r="F193" s="66">
        <v>0</v>
      </c>
      <c r="G193" s="66">
        <v>400</v>
      </c>
      <c r="H193" s="67">
        <v>0</v>
      </c>
      <c r="I193" s="67">
        <v>1</v>
      </c>
      <c r="J193" s="67">
        <v>1</v>
      </c>
      <c r="K193" s="84" t="s">
        <v>108</v>
      </c>
      <c r="L193" s="85">
        <v>1</v>
      </c>
      <c r="M193" s="85">
        <v>10020</v>
      </c>
      <c r="N193" s="68">
        <v>10</v>
      </c>
      <c r="O193" s="86">
        <v>1</v>
      </c>
      <c r="P193" s="129" t="e">
        <f>INDEX([2]Sheet1!$U:$U,MATCH($M193,[2]Sheet1!$BH:$BH,0),1)</f>
        <v>#N/A</v>
      </c>
      <c r="Q193" s="129">
        <f t="shared" si="9"/>
        <v>2</v>
      </c>
      <c r="R193" s="130" t="e">
        <f t="shared" si="8"/>
        <v>#N/A</v>
      </c>
      <c r="S193" s="129"/>
    </row>
    <row r="194" spans="1:19" s="65" customFormat="1">
      <c r="A194" s="64">
        <f t="shared" si="7"/>
        <v>2464</v>
      </c>
      <c r="B194" s="66" t="str">
        <f>VLOOKUP($M194,[1]Sheet1!$A:$B,2,0)&amp;"x"&amp;$N194</f>
        <v>羊力大仙碎片x10</v>
      </c>
      <c r="C194" s="66">
        <v>2</v>
      </c>
      <c r="D194" s="65">
        <v>4</v>
      </c>
      <c r="E194" s="65">
        <v>2</v>
      </c>
      <c r="F194" s="66">
        <v>0</v>
      </c>
      <c r="G194" s="66">
        <v>400</v>
      </c>
      <c r="H194" s="67">
        <v>0</v>
      </c>
      <c r="I194" s="67">
        <v>1</v>
      </c>
      <c r="J194" s="67">
        <v>1</v>
      </c>
      <c r="K194" s="84" t="s">
        <v>108</v>
      </c>
      <c r="L194" s="85">
        <v>1</v>
      </c>
      <c r="M194" s="85">
        <v>10015</v>
      </c>
      <c r="N194" s="68">
        <v>10</v>
      </c>
      <c r="O194" s="86">
        <v>1</v>
      </c>
      <c r="P194" s="129" t="e">
        <f>INDEX([2]Sheet1!$U:$U,MATCH($M194,[2]Sheet1!$BH:$BH,0),1)</f>
        <v>#N/A</v>
      </c>
      <c r="Q194" s="129">
        <f t="shared" si="9"/>
        <v>2</v>
      </c>
      <c r="R194" s="130" t="e">
        <f t="shared" si="8"/>
        <v>#N/A</v>
      </c>
      <c r="S194" s="129"/>
    </row>
    <row r="195" spans="1:19" s="11" customFormat="1">
      <c r="A195" s="33">
        <f t="shared" si="7"/>
        <v>2501</v>
      </c>
      <c r="B195" s="47" t="str">
        <f>VLOOKUP($M195,[1]Sheet1!$A:$B,2,0)&amp;"x"&amp;$N195</f>
        <v>文殊菩萨碎片x10</v>
      </c>
      <c r="C195" s="47">
        <v>2</v>
      </c>
      <c r="D195" s="11">
        <v>4</v>
      </c>
      <c r="E195" s="11">
        <v>2</v>
      </c>
      <c r="F195" s="47">
        <v>0</v>
      </c>
      <c r="G195" s="47">
        <v>350</v>
      </c>
      <c r="H195" s="35">
        <v>0</v>
      </c>
      <c r="I195" s="35">
        <v>1</v>
      </c>
      <c r="J195" s="35">
        <v>1</v>
      </c>
      <c r="K195" s="87" t="s">
        <v>108</v>
      </c>
      <c r="L195" s="88">
        <v>1</v>
      </c>
      <c r="M195" s="88">
        <v>10026</v>
      </c>
      <c r="N195" s="60">
        <v>10</v>
      </c>
      <c r="O195" s="89">
        <v>1</v>
      </c>
      <c r="P195" s="131" t="e">
        <f>INDEX([2]Sheet1!$U:$U,MATCH($M195,[2]Sheet1!$BH:$BH,0),1)</f>
        <v>#N/A</v>
      </c>
      <c r="Q195" s="131">
        <f t="shared" si="9"/>
        <v>2</v>
      </c>
      <c r="R195" s="131" t="e">
        <f t="shared" si="8"/>
        <v>#N/A</v>
      </c>
      <c r="S195" s="131"/>
    </row>
    <row r="196" spans="1:19" s="11" customFormat="1">
      <c r="A196" s="33">
        <f t="shared" si="7"/>
        <v>2502</v>
      </c>
      <c r="B196" s="47" t="str">
        <f>VLOOKUP($M196,[1]Sheet1!$A:$B,2,0)&amp;"x"&amp;$N196</f>
        <v>唐三藏碎片x10</v>
      </c>
      <c r="C196" s="47">
        <v>2</v>
      </c>
      <c r="D196" s="11">
        <v>4</v>
      </c>
      <c r="E196" s="11">
        <v>2</v>
      </c>
      <c r="F196" s="47">
        <v>0</v>
      </c>
      <c r="G196" s="47">
        <v>350</v>
      </c>
      <c r="H196" s="35">
        <v>0</v>
      </c>
      <c r="I196" s="35">
        <v>1</v>
      </c>
      <c r="J196" s="35">
        <v>1</v>
      </c>
      <c r="K196" s="87" t="s">
        <v>108</v>
      </c>
      <c r="L196" s="88">
        <v>1</v>
      </c>
      <c r="M196" s="88">
        <v>10022</v>
      </c>
      <c r="N196" s="60">
        <v>10</v>
      </c>
      <c r="O196" s="89">
        <v>1</v>
      </c>
      <c r="P196" s="131" t="e">
        <f>INDEX([2]Sheet1!$U:$U,MATCH($M196,[2]Sheet1!$BH:$BH,0),1)</f>
        <v>#N/A</v>
      </c>
      <c r="Q196" s="131">
        <f t="shared" si="9"/>
        <v>2</v>
      </c>
      <c r="R196" s="131" t="e">
        <f t="shared" si="8"/>
        <v>#N/A</v>
      </c>
      <c r="S196" s="131"/>
    </row>
    <row r="197" spans="1:19" s="11" customFormat="1">
      <c r="A197" s="33">
        <f t="shared" si="7"/>
        <v>2503</v>
      </c>
      <c r="B197" s="47" t="str">
        <f>VLOOKUP($M197,[1]Sheet1!$A:$B,2,0)&amp;"x"&amp;$N197</f>
        <v>迦叶碎片x10</v>
      </c>
      <c r="C197" s="47">
        <v>2</v>
      </c>
      <c r="D197" s="11">
        <v>4</v>
      </c>
      <c r="E197" s="11">
        <v>2</v>
      </c>
      <c r="F197" s="47">
        <v>0</v>
      </c>
      <c r="G197" s="47">
        <v>350</v>
      </c>
      <c r="H197" s="35">
        <v>0</v>
      </c>
      <c r="I197" s="35">
        <v>1</v>
      </c>
      <c r="J197" s="35">
        <v>1</v>
      </c>
      <c r="K197" s="87" t="s">
        <v>108</v>
      </c>
      <c r="L197" s="88">
        <v>1</v>
      </c>
      <c r="M197" s="88">
        <v>10025</v>
      </c>
      <c r="N197" s="60">
        <v>10</v>
      </c>
      <c r="O197" s="89">
        <v>1</v>
      </c>
      <c r="P197" s="131" t="e">
        <f>INDEX([2]Sheet1!$U:$U,MATCH($M197,[2]Sheet1!$BH:$BH,0),1)</f>
        <v>#N/A</v>
      </c>
      <c r="Q197" s="131">
        <f t="shared" si="9"/>
        <v>2</v>
      </c>
      <c r="R197" s="131" t="e">
        <f t="shared" si="8"/>
        <v>#N/A</v>
      </c>
      <c r="S197" s="131"/>
    </row>
    <row r="198" spans="1:19" s="11" customFormat="1">
      <c r="A198" s="33">
        <f t="shared" si="7"/>
        <v>2504</v>
      </c>
      <c r="B198" s="47" t="str">
        <f>VLOOKUP($M198,[1]Sheet1!$A:$B,2,0)&amp;"x"&amp;$N198</f>
        <v>红孩儿碎片x10</v>
      </c>
      <c r="C198" s="47">
        <v>2</v>
      </c>
      <c r="D198" s="11">
        <v>4</v>
      </c>
      <c r="E198" s="11">
        <v>2</v>
      </c>
      <c r="F198" s="47">
        <v>0</v>
      </c>
      <c r="G198" s="47">
        <v>350</v>
      </c>
      <c r="H198" s="35">
        <v>0</v>
      </c>
      <c r="I198" s="35">
        <v>1</v>
      </c>
      <c r="J198" s="35">
        <v>1</v>
      </c>
      <c r="K198" s="87" t="s">
        <v>108</v>
      </c>
      <c r="L198" s="88">
        <v>1</v>
      </c>
      <c r="M198" s="88">
        <v>10010</v>
      </c>
      <c r="N198" s="60">
        <v>10</v>
      </c>
      <c r="O198" s="89">
        <v>1</v>
      </c>
      <c r="P198" s="131" t="e">
        <f>INDEX([2]Sheet1!$U:$U,MATCH($M198,[2]Sheet1!$BH:$BH,0),1)</f>
        <v>#N/A</v>
      </c>
      <c r="Q198" s="131">
        <f t="shared" si="9"/>
        <v>2</v>
      </c>
      <c r="R198" s="131" t="e">
        <f t="shared" si="8"/>
        <v>#N/A</v>
      </c>
      <c r="S198" s="131"/>
    </row>
    <row r="199" spans="1:19" s="11" customFormat="1">
      <c r="A199" s="33">
        <f t="shared" si="7"/>
        <v>2505</v>
      </c>
      <c r="B199" s="47" t="str">
        <f>VLOOKUP($M199,[1]Sheet1!$A:$B,2,0)&amp;"x"&amp;$N199</f>
        <v>女儿国国王碎片x10</v>
      </c>
      <c r="C199" s="47">
        <v>2</v>
      </c>
      <c r="D199" s="11">
        <v>4</v>
      </c>
      <c r="E199" s="11">
        <v>2</v>
      </c>
      <c r="F199" s="47">
        <v>0</v>
      </c>
      <c r="G199" s="47">
        <v>350</v>
      </c>
      <c r="H199" s="35">
        <v>0</v>
      </c>
      <c r="I199" s="35">
        <v>1</v>
      </c>
      <c r="J199" s="35">
        <v>1</v>
      </c>
      <c r="K199" s="87" t="s">
        <v>108</v>
      </c>
      <c r="L199" s="88">
        <v>1</v>
      </c>
      <c r="M199" s="88">
        <v>10116</v>
      </c>
      <c r="N199" s="60">
        <v>10</v>
      </c>
      <c r="O199" s="89">
        <v>1</v>
      </c>
      <c r="P199" s="131" t="e">
        <f>INDEX([2]Sheet1!$U:$U,MATCH($M199,[2]Sheet1!$BH:$BH,0),1)</f>
        <v>#N/A</v>
      </c>
      <c r="Q199" s="131">
        <f t="shared" si="9"/>
        <v>2</v>
      </c>
      <c r="R199" s="131" t="e">
        <f t="shared" si="8"/>
        <v>#N/A</v>
      </c>
      <c r="S199" s="131"/>
    </row>
    <row r="200" spans="1:19" s="11" customFormat="1">
      <c r="A200" s="33">
        <f t="shared" ref="A200:A263" si="10">A146+150</f>
        <v>2506</v>
      </c>
      <c r="B200" s="47" t="str">
        <f>VLOOKUP($M200,[1]Sheet1!$A:$B,2,0)&amp;"x"&amp;$N200</f>
        <v>人参娃碎片x10</v>
      </c>
      <c r="C200" s="47">
        <v>2</v>
      </c>
      <c r="D200" s="11">
        <v>4</v>
      </c>
      <c r="E200" s="11">
        <v>2</v>
      </c>
      <c r="F200" s="47">
        <v>0</v>
      </c>
      <c r="G200" s="47">
        <v>350</v>
      </c>
      <c r="H200" s="35">
        <v>0</v>
      </c>
      <c r="I200" s="35">
        <v>1</v>
      </c>
      <c r="J200" s="35">
        <v>1</v>
      </c>
      <c r="K200" s="87" t="s">
        <v>108</v>
      </c>
      <c r="L200" s="88">
        <v>1</v>
      </c>
      <c r="M200" s="88">
        <v>10102</v>
      </c>
      <c r="N200" s="60">
        <v>10</v>
      </c>
      <c r="O200" s="89">
        <v>1</v>
      </c>
      <c r="P200" s="131" t="e">
        <f>INDEX([2]Sheet1!$U:$U,MATCH($M200,[2]Sheet1!$BH:$BH,0),1)</f>
        <v>#N/A</v>
      </c>
      <c r="Q200" s="131">
        <f t="shared" si="9"/>
        <v>2</v>
      </c>
      <c r="R200" s="131" t="e">
        <f t="shared" si="8"/>
        <v>#N/A</v>
      </c>
      <c r="S200" s="131"/>
    </row>
    <row r="201" spans="1:19" s="11" customFormat="1">
      <c r="A201" s="33">
        <f t="shared" si="10"/>
        <v>2507</v>
      </c>
      <c r="B201" s="47" t="str">
        <f>VLOOKUP($M201,[1]Sheet1!$A:$B,2,0)&amp;"x"&amp;$N201</f>
        <v>引魂仙子碎片x10</v>
      </c>
      <c r="C201" s="47">
        <v>2</v>
      </c>
      <c r="D201" s="11">
        <v>4</v>
      </c>
      <c r="E201" s="11">
        <v>2</v>
      </c>
      <c r="F201" s="47">
        <v>0</v>
      </c>
      <c r="G201" s="47">
        <v>350</v>
      </c>
      <c r="H201" s="35">
        <v>0</v>
      </c>
      <c r="I201" s="35">
        <v>1</v>
      </c>
      <c r="J201" s="35">
        <v>1</v>
      </c>
      <c r="K201" s="87" t="s">
        <v>108</v>
      </c>
      <c r="L201" s="88">
        <v>1</v>
      </c>
      <c r="M201" s="88">
        <v>10107</v>
      </c>
      <c r="N201" s="60">
        <v>10</v>
      </c>
      <c r="O201" s="89">
        <v>1</v>
      </c>
      <c r="P201" s="131" t="e">
        <f>INDEX([2]Sheet1!$U:$U,MATCH($M201,[2]Sheet1!$BH:$BH,0),1)</f>
        <v>#N/A</v>
      </c>
      <c r="Q201" s="131">
        <f t="shared" si="9"/>
        <v>2</v>
      </c>
      <c r="R201" s="131" t="e">
        <f t="shared" si="8"/>
        <v>#N/A</v>
      </c>
      <c r="S201" s="131"/>
    </row>
    <row r="202" spans="1:19" s="11" customFormat="1">
      <c r="A202" s="33">
        <f t="shared" si="10"/>
        <v>2508</v>
      </c>
      <c r="B202" s="47" t="str">
        <f>VLOOKUP($M202,[1]Sheet1!$A:$B,2,0)&amp;"x"&amp;$N202</f>
        <v>九天玄女碎片x10</v>
      </c>
      <c r="C202" s="47">
        <v>2</v>
      </c>
      <c r="D202" s="11">
        <v>4</v>
      </c>
      <c r="E202" s="11">
        <v>2</v>
      </c>
      <c r="F202" s="47">
        <v>0</v>
      </c>
      <c r="G202" s="47">
        <v>350</v>
      </c>
      <c r="H202" s="35">
        <v>0</v>
      </c>
      <c r="I202" s="35">
        <v>1</v>
      </c>
      <c r="J202" s="35">
        <v>1</v>
      </c>
      <c r="K202" s="87" t="s">
        <v>108</v>
      </c>
      <c r="L202" s="88">
        <v>1</v>
      </c>
      <c r="M202" s="88">
        <v>10009</v>
      </c>
      <c r="N202" s="60">
        <v>10</v>
      </c>
      <c r="O202" s="89">
        <v>1</v>
      </c>
      <c r="P202" s="131" t="e">
        <f>INDEX([2]Sheet1!$U:$U,MATCH($M202,[2]Sheet1!$BH:$BH,0),1)</f>
        <v>#N/A</v>
      </c>
      <c r="Q202" s="131">
        <f t="shared" si="9"/>
        <v>2</v>
      </c>
      <c r="R202" s="131" t="e">
        <f t="shared" si="8"/>
        <v>#N/A</v>
      </c>
      <c r="S202" s="131"/>
    </row>
    <row r="203" spans="1:19" s="11" customFormat="1">
      <c r="A203" s="33">
        <f t="shared" si="10"/>
        <v>2509</v>
      </c>
      <c r="B203" s="47" t="str">
        <f>VLOOKUP($M203,[1]Sheet1!$A:$B,2,0)&amp;"x"&amp;$N203</f>
        <v>玉皇大帝碎片x10</v>
      </c>
      <c r="C203" s="47">
        <v>2</v>
      </c>
      <c r="D203" s="11">
        <v>4</v>
      </c>
      <c r="E203" s="11">
        <v>2</v>
      </c>
      <c r="F203" s="47">
        <v>0</v>
      </c>
      <c r="G203" s="47">
        <v>350</v>
      </c>
      <c r="H203" s="35">
        <v>0</v>
      </c>
      <c r="I203" s="35">
        <v>1</v>
      </c>
      <c r="J203" s="35">
        <v>1</v>
      </c>
      <c r="K203" s="87" t="s">
        <v>108</v>
      </c>
      <c r="L203" s="88">
        <v>1</v>
      </c>
      <c r="M203" s="88">
        <v>10004</v>
      </c>
      <c r="N203" s="60">
        <v>10</v>
      </c>
      <c r="O203" s="89">
        <v>1</v>
      </c>
      <c r="P203" s="131" t="e">
        <f>INDEX([2]Sheet1!$U:$U,MATCH($M203,[2]Sheet1!$BH:$BH,0),1)</f>
        <v>#N/A</v>
      </c>
      <c r="Q203" s="131">
        <f t="shared" si="9"/>
        <v>2</v>
      </c>
      <c r="R203" s="131" t="e">
        <f t="shared" si="8"/>
        <v>#N/A</v>
      </c>
      <c r="S203" s="131"/>
    </row>
    <row r="204" spans="1:19" s="11" customFormat="1">
      <c r="A204" s="33">
        <f t="shared" si="10"/>
        <v>2510</v>
      </c>
      <c r="B204" s="47" t="str">
        <f>VLOOKUP($M204,[1]Sheet1!$A:$B,2,0)&amp;"x"&amp;$N204</f>
        <v>赤脚大仙碎片x10</v>
      </c>
      <c r="C204" s="47">
        <v>2</v>
      </c>
      <c r="D204" s="11">
        <v>4</v>
      </c>
      <c r="E204" s="11">
        <v>2</v>
      </c>
      <c r="F204" s="47">
        <v>0</v>
      </c>
      <c r="G204" s="47">
        <v>350</v>
      </c>
      <c r="H204" s="35">
        <v>0</v>
      </c>
      <c r="I204" s="35">
        <v>1</v>
      </c>
      <c r="J204" s="35">
        <v>1</v>
      </c>
      <c r="K204" s="87" t="s">
        <v>108</v>
      </c>
      <c r="L204" s="88">
        <v>1</v>
      </c>
      <c r="M204" s="88">
        <v>10007</v>
      </c>
      <c r="N204" s="60">
        <v>10</v>
      </c>
      <c r="O204" s="89">
        <v>1</v>
      </c>
      <c r="P204" s="131" t="e">
        <f>INDEX([2]Sheet1!$U:$U,MATCH($M204,[2]Sheet1!$BH:$BH,0),1)</f>
        <v>#N/A</v>
      </c>
      <c r="Q204" s="131">
        <f t="shared" si="9"/>
        <v>2</v>
      </c>
      <c r="R204" s="131" t="e">
        <f t="shared" si="8"/>
        <v>#N/A</v>
      </c>
      <c r="S204" s="131"/>
    </row>
    <row r="205" spans="1:19" s="11" customFormat="1">
      <c r="A205" s="33">
        <f t="shared" si="10"/>
        <v>2511</v>
      </c>
      <c r="B205" s="47" t="str">
        <f>VLOOKUP($M205,[1]Sheet1!$A:$B,2,0)&amp;"x"&amp;$N205</f>
        <v>东海龙王碎片x10</v>
      </c>
      <c r="C205" s="47">
        <v>2</v>
      </c>
      <c r="D205" s="11">
        <v>4</v>
      </c>
      <c r="E205" s="11">
        <v>2</v>
      </c>
      <c r="F205" s="47">
        <v>0</v>
      </c>
      <c r="G205" s="47">
        <v>350</v>
      </c>
      <c r="H205" s="35">
        <v>0</v>
      </c>
      <c r="I205" s="35">
        <v>1</v>
      </c>
      <c r="J205" s="35">
        <v>1</v>
      </c>
      <c r="K205" s="87" t="s">
        <v>108</v>
      </c>
      <c r="L205" s="88">
        <v>1</v>
      </c>
      <c r="M205" s="88">
        <v>10035</v>
      </c>
      <c r="N205" s="60">
        <v>10</v>
      </c>
      <c r="O205" s="89">
        <v>1</v>
      </c>
      <c r="P205" s="131" t="e">
        <f>INDEX([2]Sheet1!$U:$U,MATCH($M205,[2]Sheet1!$BH:$BH,0),1)</f>
        <v>#N/A</v>
      </c>
      <c r="Q205" s="131">
        <f t="shared" si="9"/>
        <v>2</v>
      </c>
      <c r="R205" s="131" t="e">
        <f t="shared" si="8"/>
        <v>#N/A</v>
      </c>
      <c r="S205" s="131"/>
    </row>
    <row r="206" spans="1:19" s="11" customFormat="1">
      <c r="A206" s="33">
        <f t="shared" si="10"/>
        <v>2512</v>
      </c>
      <c r="B206" s="47" t="str">
        <f>VLOOKUP($M206,[1]Sheet1!$A:$B,2,0)&amp;"x"&amp;$N206</f>
        <v>小白龙碎片x10</v>
      </c>
      <c r="C206" s="47">
        <v>2</v>
      </c>
      <c r="D206" s="11">
        <v>4</v>
      </c>
      <c r="E206" s="11">
        <v>2</v>
      </c>
      <c r="F206" s="47">
        <v>0</v>
      </c>
      <c r="G206" s="47">
        <v>350</v>
      </c>
      <c r="H206" s="35">
        <v>0</v>
      </c>
      <c r="I206" s="35">
        <v>1</v>
      </c>
      <c r="J206" s="35">
        <v>1</v>
      </c>
      <c r="K206" s="87" t="s">
        <v>108</v>
      </c>
      <c r="L206" s="88">
        <v>1</v>
      </c>
      <c r="M206" s="88">
        <v>10023</v>
      </c>
      <c r="N206" s="60">
        <v>10</v>
      </c>
      <c r="O206" s="89">
        <v>1</v>
      </c>
      <c r="P206" s="131" t="e">
        <f>INDEX([2]Sheet1!$U:$U,MATCH($M206,[2]Sheet1!$BH:$BH,0),1)</f>
        <v>#N/A</v>
      </c>
      <c r="Q206" s="131">
        <f t="shared" si="9"/>
        <v>2</v>
      </c>
      <c r="R206" s="131" t="e">
        <f t="shared" si="8"/>
        <v>#N/A</v>
      </c>
      <c r="S206" s="131"/>
    </row>
    <row r="207" spans="1:19" s="11" customFormat="1">
      <c r="A207" s="33">
        <f t="shared" si="10"/>
        <v>2513</v>
      </c>
      <c r="B207" s="47" t="str">
        <f>VLOOKUP($M207,[1]Sheet1!$A:$B,2,0)&amp;"x"&amp;$N207</f>
        <v>阎罗王碎片x10</v>
      </c>
      <c r="C207" s="47">
        <v>2</v>
      </c>
      <c r="D207" s="11">
        <v>4</v>
      </c>
      <c r="E207" s="11">
        <v>2</v>
      </c>
      <c r="F207" s="47">
        <v>0</v>
      </c>
      <c r="G207" s="47">
        <v>350</v>
      </c>
      <c r="H207" s="35">
        <v>0</v>
      </c>
      <c r="I207" s="35">
        <v>1</v>
      </c>
      <c r="J207" s="35">
        <v>1</v>
      </c>
      <c r="K207" s="87" t="s">
        <v>108</v>
      </c>
      <c r="L207" s="88">
        <v>1</v>
      </c>
      <c r="M207" s="88">
        <v>10101</v>
      </c>
      <c r="N207" s="60">
        <v>10</v>
      </c>
      <c r="O207" s="89">
        <v>1</v>
      </c>
      <c r="P207" s="131" t="e">
        <f>INDEX([2]Sheet1!$U:$U,MATCH($M207,[2]Sheet1!$BH:$BH,0),1)</f>
        <v>#N/A</v>
      </c>
      <c r="Q207" s="131">
        <f t="shared" si="9"/>
        <v>2</v>
      </c>
      <c r="R207" s="131" t="e">
        <f t="shared" si="8"/>
        <v>#N/A</v>
      </c>
      <c r="S207" s="131"/>
    </row>
    <row r="208" spans="1:19" s="11" customFormat="1">
      <c r="A208" s="33">
        <f t="shared" si="10"/>
        <v>2514</v>
      </c>
      <c r="B208" s="47" t="str">
        <f>VLOOKUP($M208,[1]Sheet1!$A:$B,2,0)&amp;"x"&amp;$N208</f>
        <v>太白金星碎片x10</v>
      </c>
      <c r="C208" s="47">
        <v>2</v>
      </c>
      <c r="D208" s="11">
        <v>4</v>
      </c>
      <c r="E208" s="11">
        <v>2</v>
      </c>
      <c r="F208" s="47">
        <v>0</v>
      </c>
      <c r="G208" s="47">
        <v>350</v>
      </c>
      <c r="H208" s="35">
        <v>0</v>
      </c>
      <c r="I208" s="35">
        <v>1</v>
      </c>
      <c r="J208" s="35">
        <v>1</v>
      </c>
      <c r="K208" s="87" t="s">
        <v>108</v>
      </c>
      <c r="L208" s="88">
        <v>1</v>
      </c>
      <c r="M208" s="88">
        <v>10006</v>
      </c>
      <c r="N208" s="60">
        <v>10</v>
      </c>
      <c r="O208" s="89">
        <v>1</v>
      </c>
      <c r="P208" s="131" t="e">
        <f>INDEX([2]Sheet1!$U:$U,MATCH($M208,[2]Sheet1!$BH:$BH,0),1)</f>
        <v>#N/A</v>
      </c>
      <c r="Q208" s="131">
        <f t="shared" si="9"/>
        <v>2</v>
      </c>
      <c r="R208" s="131" t="e">
        <f t="shared" si="8"/>
        <v>#N/A</v>
      </c>
      <c r="S208" s="131"/>
    </row>
    <row r="209" spans="1:19" s="11" customFormat="1">
      <c r="A209" s="33">
        <f t="shared" si="10"/>
        <v>2515</v>
      </c>
      <c r="B209" s="47" t="str">
        <f>VLOOKUP($M209,[1]Sheet1!$A:$B,2,0)&amp;"x"&amp;$N209</f>
        <v>白骨夫人碎片x10</v>
      </c>
      <c r="C209" s="47">
        <v>2</v>
      </c>
      <c r="D209" s="11">
        <v>4</v>
      </c>
      <c r="E209" s="11">
        <v>2</v>
      </c>
      <c r="F209" s="47">
        <v>0</v>
      </c>
      <c r="G209" s="47">
        <v>350</v>
      </c>
      <c r="H209" s="35">
        <v>0</v>
      </c>
      <c r="I209" s="35">
        <v>1</v>
      </c>
      <c r="J209" s="35">
        <v>1</v>
      </c>
      <c r="K209" s="87" t="s">
        <v>108</v>
      </c>
      <c r="L209" s="88">
        <v>1</v>
      </c>
      <c r="M209" s="88">
        <v>10016</v>
      </c>
      <c r="N209" s="60">
        <v>10</v>
      </c>
      <c r="O209" s="89">
        <v>1</v>
      </c>
      <c r="P209" s="131" t="e">
        <f>INDEX([2]Sheet1!$U:$U,MATCH($M209,[2]Sheet1!$BH:$BH,0),1)</f>
        <v>#N/A</v>
      </c>
      <c r="Q209" s="131">
        <f t="shared" si="9"/>
        <v>2</v>
      </c>
      <c r="R209" s="131" t="e">
        <f t="shared" si="8"/>
        <v>#N/A</v>
      </c>
      <c r="S209" s="131"/>
    </row>
    <row r="210" spans="1:19" s="11" customFormat="1">
      <c r="A210" s="33">
        <f t="shared" si="10"/>
        <v>2516</v>
      </c>
      <c r="B210" s="47" t="str">
        <f>VLOOKUP($M210,[1]Sheet1!$A:$B,2,0)&amp;"x"&amp;$N210</f>
        <v>六耳猕猴碎片x10</v>
      </c>
      <c r="C210" s="47">
        <v>2</v>
      </c>
      <c r="D210" s="11">
        <v>4</v>
      </c>
      <c r="E210" s="11">
        <v>2</v>
      </c>
      <c r="F210" s="47">
        <v>0</v>
      </c>
      <c r="G210" s="47">
        <v>350</v>
      </c>
      <c r="H210" s="35">
        <v>0</v>
      </c>
      <c r="I210" s="35">
        <v>1</v>
      </c>
      <c r="J210" s="35">
        <v>1</v>
      </c>
      <c r="K210" s="87" t="s">
        <v>108</v>
      </c>
      <c r="L210" s="88">
        <v>1</v>
      </c>
      <c r="M210" s="88">
        <v>10017</v>
      </c>
      <c r="N210" s="60">
        <v>10</v>
      </c>
      <c r="O210" s="89">
        <v>1</v>
      </c>
      <c r="P210" s="131" t="e">
        <f>INDEX([2]Sheet1!$U:$U,MATCH($M210,[2]Sheet1!$BH:$BH,0),1)</f>
        <v>#N/A</v>
      </c>
      <c r="Q210" s="131">
        <f t="shared" si="9"/>
        <v>2</v>
      </c>
      <c r="R210" s="131" t="e">
        <f t="shared" si="8"/>
        <v>#N/A</v>
      </c>
      <c r="S210" s="131"/>
    </row>
    <row r="211" spans="1:19" s="11" customFormat="1">
      <c r="A211" s="33">
        <f t="shared" si="10"/>
        <v>2517</v>
      </c>
      <c r="B211" s="47" t="str">
        <f>VLOOKUP($M211,[1]Sheet1!$A:$B,2,0)&amp;"x"&amp;$N211</f>
        <v>鹿力大仙碎片x10</v>
      </c>
      <c r="C211" s="47">
        <v>2</v>
      </c>
      <c r="D211" s="11">
        <v>4</v>
      </c>
      <c r="E211" s="11">
        <v>2</v>
      </c>
      <c r="F211" s="47">
        <v>0</v>
      </c>
      <c r="G211" s="47">
        <v>350</v>
      </c>
      <c r="H211" s="35">
        <v>0</v>
      </c>
      <c r="I211" s="35">
        <v>1</v>
      </c>
      <c r="J211" s="35">
        <v>1</v>
      </c>
      <c r="K211" s="87" t="s">
        <v>108</v>
      </c>
      <c r="L211" s="88">
        <v>1</v>
      </c>
      <c r="M211" s="88">
        <v>10014</v>
      </c>
      <c r="N211" s="60">
        <v>10</v>
      </c>
      <c r="O211" s="89">
        <v>1</v>
      </c>
      <c r="P211" s="131" t="e">
        <f>INDEX([2]Sheet1!$U:$U,MATCH($M211,[2]Sheet1!$BH:$BH,0),1)</f>
        <v>#N/A</v>
      </c>
      <c r="Q211" s="131">
        <f t="shared" si="9"/>
        <v>2</v>
      </c>
      <c r="R211" s="131" t="e">
        <f t="shared" ref="R211:R274" si="11">IF($P211&lt;&gt;$P210,"["&amp;$A211&amp;",1]",$R210&amp;IF($O211=1,",["&amp;$A211&amp;",1]",""))</f>
        <v>#N/A</v>
      </c>
      <c r="S211" s="131"/>
    </row>
    <row r="212" spans="1:19" s="11" customFormat="1">
      <c r="A212" s="33">
        <f t="shared" si="10"/>
        <v>2518</v>
      </c>
      <c r="B212" s="47" t="str">
        <f>VLOOKUP($M212,[1]Sheet1!$A:$B,2,0)&amp;"x"&amp;$N212</f>
        <v>混世魔王碎片x10</v>
      </c>
      <c r="C212" s="47">
        <v>2</v>
      </c>
      <c r="D212" s="11">
        <v>4</v>
      </c>
      <c r="E212" s="11">
        <v>2</v>
      </c>
      <c r="F212" s="47">
        <v>0</v>
      </c>
      <c r="G212" s="47">
        <v>350</v>
      </c>
      <c r="H212" s="35">
        <v>0</v>
      </c>
      <c r="I212" s="35">
        <v>1</v>
      </c>
      <c r="J212" s="35">
        <v>1</v>
      </c>
      <c r="K212" s="87" t="s">
        <v>108</v>
      </c>
      <c r="L212" s="60">
        <v>1</v>
      </c>
      <c r="M212" s="88">
        <v>10032</v>
      </c>
      <c r="N212" s="60">
        <v>10</v>
      </c>
      <c r="O212" s="89">
        <v>1</v>
      </c>
      <c r="P212" s="131" t="e">
        <f>INDEX([2]Sheet1!$U:$U,MATCH($M212,[2]Sheet1!$BH:$BH,0),1)</f>
        <v>#N/A</v>
      </c>
      <c r="Q212" s="131">
        <f t="shared" si="9"/>
        <v>2</v>
      </c>
      <c r="R212" s="131" t="e">
        <f t="shared" si="11"/>
        <v>#N/A</v>
      </c>
      <c r="S212" s="131"/>
    </row>
    <row r="213" spans="1:19" s="11" customFormat="1">
      <c r="A213" s="33">
        <f t="shared" si="10"/>
        <v>2519</v>
      </c>
      <c r="B213" s="47" t="str">
        <f>VLOOKUP($M213,[1]Sheet1!$A:$B,2,0)&amp;"x"&amp;$N213</f>
        <v>蝎子精碎片x10</v>
      </c>
      <c r="C213" s="47">
        <v>2</v>
      </c>
      <c r="D213" s="11">
        <v>4</v>
      </c>
      <c r="E213" s="11">
        <v>2</v>
      </c>
      <c r="F213" s="47">
        <v>0</v>
      </c>
      <c r="G213" s="47">
        <v>350</v>
      </c>
      <c r="H213" s="35">
        <v>0</v>
      </c>
      <c r="I213" s="35">
        <v>1</v>
      </c>
      <c r="J213" s="35">
        <v>1</v>
      </c>
      <c r="K213" s="87" t="s">
        <v>108</v>
      </c>
      <c r="L213" s="88">
        <v>1</v>
      </c>
      <c r="M213" s="88">
        <v>10031</v>
      </c>
      <c r="N213" s="60">
        <v>10</v>
      </c>
      <c r="O213" s="89">
        <v>1</v>
      </c>
      <c r="P213" s="131" t="e">
        <f>INDEX([2]Sheet1!$U:$U,MATCH($M213,[2]Sheet1!$BH:$BH,0),1)</f>
        <v>#N/A</v>
      </c>
      <c r="Q213" s="131">
        <f t="shared" si="9"/>
        <v>2</v>
      </c>
      <c r="R213" s="131" t="e">
        <f t="shared" si="11"/>
        <v>#N/A</v>
      </c>
      <c r="S213" s="131"/>
    </row>
    <row r="214" spans="1:19" s="11" customFormat="1">
      <c r="A214" s="33">
        <f t="shared" si="10"/>
        <v>2520</v>
      </c>
      <c r="B214" s="47" t="str">
        <f>VLOOKUP($M214,[1]Sheet1!$A:$B,2,0)&amp;"x"&amp;$N214</f>
        <v>蜘蛛精碎片x10</v>
      </c>
      <c r="C214" s="47">
        <v>2</v>
      </c>
      <c r="D214" s="11">
        <v>4</v>
      </c>
      <c r="E214" s="11">
        <v>2</v>
      </c>
      <c r="F214" s="47">
        <v>0</v>
      </c>
      <c r="G214" s="47">
        <v>350</v>
      </c>
      <c r="H214" s="35">
        <v>0</v>
      </c>
      <c r="I214" s="35">
        <v>1</v>
      </c>
      <c r="J214" s="35">
        <v>1</v>
      </c>
      <c r="K214" s="87" t="s">
        <v>108</v>
      </c>
      <c r="L214" s="88">
        <v>1</v>
      </c>
      <c r="M214" s="88">
        <v>10037</v>
      </c>
      <c r="N214" s="60">
        <v>10</v>
      </c>
      <c r="O214" s="89">
        <v>1</v>
      </c>
      <c r="P214" s="131" t="e">
        <f>INDEX([2]Sheet1!$U:$U,MATCH($M214,[2]Sheet1!$BH:$BH,0),1)</f>
        <v>#N/A</v>
      </c>
      <c r="Q214" s="131">
        <f t="shared" si="9"/>
        <v>2</v>
      </c>
      <c r="R214" s="131" t="e">
        <f t="shared" si="11"/>
        <v>#N/A</v>
      </c>
      <c r="S214" s="131"/>
    </row>
    <row r="215" spans="1:19" s="11" customFormat="1">
      <c r="A215" s="33">
        <f t="shared" si="10"/>
        <v>2521</v>
      </c>
      <c r="B215" s="47" t="str">
        <f>VLOOKUP($M215,[1]Sheet1!$A:$B,2,0)&amp;"x"&amp;$N215</f>
        <v>彩蝶仙童碎片x10</v>
      </c>
      <c r="C215" s="47">
        <v>2</v>
      </c>
      <c r="D215" s="11">
        <v>4</v>
      </c>
      <c r="E215" s="11">
        <v>2</v>
      </c>
      <c r="F215" s="47">
        <v>0</v>
      </c>
      <c r="G215" s="47">
        <v>350</v>
      </c>
      <c r="H215" s="35">
        <v>0</v>
      </c>
      <c r="I215" s="35">
        <v>1</v>
      </c>
      <c r="J215" s="35">
        <v>1</v>
      </c>
      <c r="K215" s="87" t="s">
        <v>108</v>
      </c>
      <c r="L215" s="88">
        <v>1</v>
      </c>
      <c r="M215" s="88">
        <v>10108</v>
      </c>
      <c r="N215" s="60">
        <v>10</v>
      </c>
      <c r="O215" s="89">
        <v>1</v>
      </c>
      <c r="P215" s="131" t="e">
        <f>INDEX([2]Sheet1!$U:$U,MATCH($M215,[2]Sheet1!$BH:$BH,0),1)</f>
        <v>#N/A</v>
      </c>
      <c r="Q215" s="131">
        <f t="shared" si="9"/>
        <v>2</v>
      </c>
      <c r="R215" s="131" t="e">
        <f t="shared" si="11"/>
        <v>#N/A</v>
      </c>
      <c r="S215" s="131"/>
    </row>
    <row r="216" spans="1:19" s="10" customFormat="1">
      <c r="A216" s="30">
        <f t="shared" si="10"/>
        <v>2550</v>
      </c>
      <c r="B216" s="46" t="str">
        <f>VLOOKUP($M216,[1]Sheet1!$A:$B,2,0)&amp;"x"&amp;$N216</f>
        <v>地藏王碎片x10</v>
      </c>
      <c r="C216" s="46">
        <v>2</v>
      </c>
      <c r="D216" s="10">
        <v>4</v>
      </c>
      <c r="E216" s="10">
        <v>2</v>
      </c>
      <c r="F216" s="46">
        <v>0</v>
      </c>
      <c r="G216" s="46">
        <v>200</v>
      </c>
      <c r="H216" s="32">
        <v>0</v>
      </c>
      <c r="I216" s="32">
        <v>1</v>
      </c>
      <c r="J216" s="32">
        <v>1</v>
      </c>
      <c r="K216" s="90" t="s">
        <v>108</v>
      </c>
      <c r="L216" s="91">
        <v>1</v>
      </c>
      <c r="M216" s="91">
        <v>10030</v>
      </c>
      <c r="N216" s="59">
        <v>10</v>
      </c>
      <c r="O216" s="92">
        <v>1</v>
      </c>
      <c r="P216" s="132" t="e">
        <f>INDEX([2]Sheet1!$U:$U,MATCH($M216,[2]Sheet1!$BH:$BH,0),1)</f>
        <v>#N/A</v>
      </c>
      <c r="Q216" s="132">
        <f t="shared" si="9"/>
        <v>2</v>
      </c>
      <c r="R216" s="132" t="e">
        <f t="shared" si="11"/>
        <v>#N/A</v>
      </c>
      <c r="S216" s="132"/>
    </row>
    <row r="217" spans="1:19" s="10" customFormat="1">
      <c r="A217" s="30">
        <f t="shared" si="10"/>
        <v>2551</v>
      </c>
      <c r="B217" s="46" t="str">
        <f>VLOOKUP($M217,[1]Sheet1!$A:$B,2,0)&amp;"x"&amp;$N217</f>
        <v>混沌碎片x10</v>
      </c>
      <c r="C217" s="46">
        <v>2</v>
      </c>
      <c r="D217" s="10">
        <v>4</v>
      </c>
      <c r="E217" s="10">
        <v>2</v>
      </c>
      <c r="F217" s="46">
        <v>0</v>
      </c>
      <c r="G217" s="46">
        <v>200</v>
      </c>
      <c r="H217" s="32">
        <v>0</v>
      </c>
      <c r="I217" s="32">
        <v>1</v>
      </c>
      <c r="J217" s="32">
        <v>1</v>
      </c>
      <c r="K217" s="90" t="s">
        <v>108</v>
      </c>
      <c r="L217" s="91">
        <v>1</v>
      </c>
      <c r="M217" s="91">
        <v>10018</v>
      </c>
      <c r="N217" s="59">
        <v>10</v>
      </c>
      <c r="O217" s="92">
        <v>1</v>
      </c>
      <c r="P217" s="132" t="e">
        <f>INDEX([2]Sheet1!$U:$U,MATCH($M217,[2]Sheet1!$BH:$BH,0),1)</f>
        <v>#N/A</v>
      </c>
      <c r="Q217" s="132">
        <f t="shared" si="9"/>
        <v>2</v>
      </c>
      <c r="R217" s="132" t="e">
        <f t="shared" si="11"/>
        <v>#N/A</v>
      </c>
      <c r="S217" s="132"/>
    </row>
    <row r="218" spans="1:19" s="10" customFormat="1">
      <c r="A218" s="30">
        <f t="shared" si="10"/>
        <v>2552</v>
      </c>
      <c r="B218" s="46" t="str">
        <f>VLOOKUP($M218,[1]Sheet1!$A:$B,2,0)&amp;"x"&amp;$N218</f>
        <v>白龙公主碎片x10</v>
      </c>
      <c r="C218" s="46">
        <v>2</v>
      </c>
      <c r="D218" s="10">
        <v>4</v>
      </c>
      <c r="E218" s="10">
        <v>2</v>
      </c>
      <c r="F218" s="46">
        <v>0</v>
      </c>
      <c r="G218" s="46">
        <v>200</v>
      </c>
      <c r="H218" s="32">
        <v>0</v>
      </c>
      <c r="I218" s="32">
        <v>1</v>
      </c>
      <c r="J218" s="32">
        <v>1</v>
      </c>
      <c r="K218" s="90" t="s">
        <v>108</v>
      </c>
      <c r="L218" s="91">
        <v>1</v>
      </c>
      <c r="M218" s="91">
        <v>10036</v>
      </c>
      <c r="N218" s="59">
        <v>10</v>
      </c>
      <c r="O218" s="92">
        <v>1</v>
      </c>
      <c r="P218" s="132" t="e">
        <f>INDEX([2]Sheet1!$U:$U,MATCH($M218,[2]Sheet1!$BH:$BH,0),1)</f>
        <v>#N/A</v>
      </c>
      <c r="Q218" s="132">
        <f t="shared" si="9"/>
        <v>2</v>
      </c>
      <c r="R218" s="132" t="e">
        <f t="shared" si="11"/>
        <v>#N/A</v>
      </c>
      <c r="S218" s="132"/>
    </row>
    <row r="219" spans="1:19" s="10" customFormat="1">
      <c r="A219" s="30">
        <f t="shared" si="10"/>
        <v>2553</v>
      </c>
      <c r="B219" s="46" t="str">
        <f>VLOOKUP($M219,[1]Sheet1!$A:$B,2,0)&amp;"x"&amp;$N219</f>
        <v>赛太岁碎片x10</v>
      </c>
      <c r="C219" s="46">
        <v>2</v>
      </c>
      <c r="D219" s="10">
        <v>4</v>
      </c>
      <c r="E219" s="10">
        <v>2</v>
      </c>
      <c r="F219" s="46">
        <v>0</v>
      </c>
      <c r="G219" s="46">
        <v>200</v>
      </c>
      <c r="H219" s="32">
        <v>0</v>
      </c>
      <c r="I219" s="32">
        <v>1</v>
      </c>
      <c r="J219" s="32">
        <v>1</v>
      </c>
      <c r="K219" s="90" t="s">
        <v>108</v>
      </c>
      <c r="L219" s="91">
        <v>1</v>
      </c>
      <c r="M219" s="91">
        <v>10028</v>
      </c>
      <c r="N219" s="59">
        <v>10</v>
      </c>
      <c r="O219" s="92">
        <v>1</v>
      </c>
      <c r="P219" s="132" t="e">
        <f>INDEX([2]Sheet1!$U:$U,MATCH($M219,[2]Sheet1!$BH:$BH,0),1)</f>
        <v>#N/A</v>
      </c>
      <c r="Q219" s="132">
        <f t="shared" si="9"/>
        <v>2</v>
      </c>
      <c r="R219" s="132" t="e">
        <f t="shared" si="11"/>
        <v>#N/A</v>
      </c>
      <c r="S219" s="132"/>
    </row>
    <row r="220" spans="1:19" s="10" customFormat="1">
      <c r="A220" s="30">
        <f t="shared" si="10"/>
        <v>2554</v>
      </c>
      <c r="B220" s="46" t="str">
        <f>VLOOKUP($M220,[1]Sheet1!$A:$B,2,0)&amp;"x"&amp;$N220</f>
        <v>琴仙碎片x10</v>
      </c>
      <c r="C220" s="46">
        <v>2</v>
      </c>
      <c r="D220" s="10">
        <v>4</v>
      </c>
      <c r="E220" s="10">
        <v>2</v>
      </c>
      <c r="F220" s="46">
        <v>0</v>
      </c>
      <c r="G220" s="46">
        <v>200</v>
      </c>
      <c r="H220" s="32">
        <v>0</v>
      </c>
      <c r="I220" s="32">
        <v>1</v>
      </c>
      <c r="J220" s="32">
        <v>1</v>
      </c>
      <c r="K220" s="90" t="s">
        <v>108</v>
      </c>
      <c r="L220" s="91">
        <v>1</v>
      </c>
      <c r="M220" s="91">
        <v>10092</v>
      </c>
      <c r="N220" s="59">
        <v>10</v>
      </c>
      <c r="O220" s="92">
        <v>1</v>
      </c>
      <c r="P220" s="132" t="e">
        <f>INDEX([2]Sheet1!$U:$U,MATCH($M220,[2]Sheet1!$BH:$BH,0),1)</f>
        <v>#N/A</v>
      </c>
      <c r="Q220" s="132">
        <f t="shared" si="9"/>
        <v>2</v>
      </c>
      <c r="R220" s="132" t="e">
        <f t="shared" si="11"/>
        <v>#N/A</v>
      </c>
      <c r="S220" s="132"/>
    </row>
    <row r="221" spans="1:19" s="10" customFormat="1">
      <c r="A221" s="30">
        <f t="shared" si="10"/>
        <v>2555</v>
      </c>
      <c r="B221" s="46" t="str">
        <f>VLOOKUP($M221,[1]Sheet1!$A:$B,2,0)&amp;"x"&amp;$N221</f>
        <v>黑熊精碎片x10</v>
      </c>
      <c r="C221" s="46">
        <v>2</v>
      </c>
      <c r="D221" s="10">
        <v>4</v>
      </c>
      <c r="E221" s="10">
        <v>2</v>
      </c>
      <c r="F221" s="46">
        <v>0</v>
      </c>
      <c r="G221" s="46">
        <v>200</v>
      </c>
      <c r="H221" s="32">
        <v>0</v>
      </c>
      <c r="I221" s="32">
        <v>1</v>
      </c>
      <c r="J221" s="32">
        <v>1</v>
      </c>
      <c r="K221" s="90" t="s">
        <v>108</v>
      </c>
      <c r="L221" s="91">
        <v>1</v>
      </c>
      <c r="M221" s="91">
        <v>10052</v>
      </c>
      <c r="N221" s="59">
        <v>10</v>
      </c>
      <c r="O221" s="92">
        <v>1</v>
      </c>
      <c r="P221" s="132" t="e">
        <f>INDEX([2]Sheet1!$U:$U,MATCH($M221,[2]Sheet1!$BH:$BH,0),1)</f>
        <v>#N/A</v>
      </c>
      <c r="Q221" s="132">
        <f t="shared" si="9"/>
        <v>2</v>
      </c>
      <c r="R221" s="132" t="e">
        <f t="shared" si="11"/>
        <v>#N/A</v>
      </c>
      <c r="S221" s="132"/>
    </row>
    <row r="222" spans="1:19" s="10" customFormat="1">
      <c r="A222" s="30">
        <f t="shared" si="10"/>
        <v>2556</v>
      </c>
      <c r="B222" s="46" t="str">
        <f>VLOOKUP($M222,[1]Sheet1!$A:$B,2,0)&amp;"x"&amp;$N222</f>
        <v>泾河龙王碎片x10</v>
      </c>
      <c r="C222" s="46">
        <v>2</v>
      </c>
      <c r="D222" s="10">
        <v>4</v>
      </c>
      <c r="E222" s="10">
        <v>2</v>
      </c>
      <c r="F222" s="46">
        <v>0</v>
      </c>
      <c r="G222" s="46">
        <v>200</v>
      </c>
      <c r="H222" s="32">
        <v>0</v>
      </c>
      <c r="I222" s="32">
        <v>1</v>
      </c>
      <c r="J222" s="32">
        <v>1</v>
      </c>
      <c r="K222" s="90" t="s">
        <v>108</v>
      </c>
      <c r="L222" s="91">
        <v>1</v>
      </c>
      <c r="M222" s="91">
        <v>10034</v>
      </c>
      <c r="N222" s="59">
        <v>10</v>
      </c>
      <c r="O222" s="92">
        <v>1</v>
      </c>
      <c r="P222" s="132" t="e">
        <f>INDEX([2]Sheet1!$U:$U,MATCH($M222,[2]Sheet1!$BH:$BH,0),1)</f>
        <v>#N/A</v>
      </c>
      <c r="Q222" s="132">
        <f t="shared" si="9"/>
        <v>2</v>
      </c>
      <c r="R222" s="132" t="e">
        <f t="shared" si="11"/>
        <v>#N/A</v>
      </c>
      <c r="S222" s="132"/>
    </row>
    <row r="223" spans="1:19" s="10" customFormat="1">
      <c r="A223" s="30">
        <f t="shared" si="10"/>
        <v>2557</v>
      </c>
      <c r="B223" s="46" t="str">
        <f>VLOOKUP($M223,[1]Sheet1!$A:$B,2,0)&amp;"x"&amp;$N223</f>
        <v>雷公碎片x10</v>
      </c>
      <c r="C223" s="46">
        <v>2</v>
      </c>
      <c r="D223" s="10">
        <v>4</v>
      </c>
      <c r="E223" s="10">
        <v>2</v>
      </c>
      <c r="F223" s="46">
        <v>0</v>
      </c>
      <c r="G223" s="46">
        <v>200</v>
      </c>
      <c r="H223" s="32">
        <v>0</v>
      </c>
      <c r="I223" s="32">
        <v>1</v>
      </c>
      <c r="J223" s="32">
        <v>1</v>
      </c>
      <c r="K223" s="90" t="s">
        <v>108</v>
      </c>
      <c r="L223" s="91">
        <v>1</v>
      </c>
      <c r="M223" s="91">
        <v>10033</v>
      </c>
      <c r="N223" s="59">
        <v>10</v>
      </c>
      <c r="O223" s="92">
        <v>1</v>
      </c>
      <c r="P223" s="132" t="e">
        <f>INDEX([2]Sheet1!$U:$U,MATCH($M223,[2]Sheet1!$BH:$BH,0),1)</f>
        <v>#N/A</v>
      </c>
      <c r="Q223" s="132">
        <f t="shared" si="9"/>
        <v>2</v>
      </c>
      <c r="R223" s="132" t="e">
        <f t="shared" si="11"/>
        <v>#N/A</v>
      </c>
      <c r="S223" s="132"/>
    </row>
    <row r="224" spans="1:19" s="10" customFormat="1">
      <c r="A224" s="30">
        <f t="shared" si="10"/>
        <v>2558</v>
      </c>
      <c r="B224" s="46" t="str">
        <f>VLOOKUP($M224,[1]Sheet1!$A:$B,2,0)&amp;"x"&amp;$N224</f>
        <v>鬼使黑碎片x10</v>
      </c>
      <c r="C224" s="46">
        <v>2</v>
      </c>
      <c r="D224" s="10">
        <v>4</v>
      </c>
      <c r="E224" s="10">
        <v>2</v>
      </c>
      <c r="F224" s="46">
        <v>0</v>
      </c>
      <c r="G224" s="46">
        <v>200</v>
      </c>
      <c r="H224" s="32">
        <v>0</v>
      </c>
      <c r="I224" s="32">
        <v>1</v>
      </c>
      <c r="J224" s="32">
        <v>1</v>
      </c>
      <c r="K224" s="90" t="s">
        <v>108</v>
      </c>
      <c r="L224" s="91">
        <v>1</v>
      </c>
      <c r="M224" s="91">
        <v>10103</v>
      </c>
      <c r="N224" s="59">
        <v>10</v>
      </c>
      <c r="O224" s="92">
        <v>1</v>
      </c>
      <c r="P224" s="132" t="e">
        <f>INDEX([2]Sheet1!$U:$U,MATCH($M224,[2]Sheet1!$BH:$BH,0),1)</f>
        <v>#N/A</v>
      </c>
      <c r="Q224" s="132">
        <f t="shared" si="9"/>
        <v>2</v>
      </c>
      <c r="R224" s="132" t="e">
        <f t="shared" si="11"/>
        <v>#N/A</v>
      </c>
      <c r="S224" s="132"/>
    </row>
    <row r="225" spans="1:19" s="10" customFormat="1">
      <c r="A225" s="30">
        <f t="shared" si="10"/>
        <v>2559</v>
      </c>
      <c r="B225" s="46" t="str">
        <f>VLOOKUP($M225,[1]Sheet1!$A:$B,2,0)&amp;"x"&amp;$N225</f>
        <v>鬼使白碎片x10</v>
      </c>
      <c r="C225" s="46">
        <v>2</v>
      </c>
      <c r="D225" s="10">
        <v>4</v>
      </c>
      <c r="E225" s="10">
        <v>2</v>
      </c>
      <c r="F225" s="46">
        <v>0</v>
      </c>
      <c r="G225" s="46">
        <v>200</v>
      </c>
      <c r="H225" s="32">
        <v>0</v>
      </c>
      <c r="I225" s="32">
        <v>1</v>
      </c>
      <c r="J225" s="32">
        <v>1</v>
      </c>
      <c r="K225" s="90" t="s">
        <v>108</v>
      </c>
      <c r="L225" s="91">
        <v>1</v>
      </c>
      <c r="M225" s="91">
        <v>10104</v>
      </c>
      <c r="N225" s="59">
        <v>10</v>
      </c>
      <c r="O225" s="92">
        <v>1</v>
      </c>
      <c r="P225" s="132" t="e">
        <f>INDEX([2]Sheet1!$U:$U,MATCH($M225,[2]Sheet1!$BH:$BH,0),1)</f>
        <v>#N/A</v>
      </c>
      <c r="Q225" s="132">
        <f t="shared" si="9"/>
        <v>2</v>
      </c>
      <c r="R225" s="132" t="e">
        <f t="shared" si="11"/>
        <v>#N/A</v>
      </c>
      <c r="S225" s="132"/>
    </row>
    <row r="226" spans="1:19" s="10" customFormat="1">
      <c r="A226" s="30">
        <f t="shared" si="10"/>
        <v>2560</v>
      </c>
      <c r="B226" s="46" t="str">
        <f>VLOOKUP($M226,[1]Sheet1!$A:$B,2,0)&amp;"x"&amp;$N226</f>
        <v>牛头碎片x10</v>
      </c>
      <c r="C226" s="46">
        <v>2</v>
      </c>
      <c r="D226" s="10">
        <v>4</v>
      </c>
      <c r="E226" s="10">
        <v>2</v>
      </c>
      <c r="F226" s="46">
        <v>0</v>
      </c>
      <c r="G226" s="46">
        <v>200</v>
      </c>
      <c r="H226" s="32">
        <v>0</v>
      </c>
      <c r="I226" s="32">
        <v>1</v>
      </c>
      <c r="J226" s="32">
        <v>1</v>
      </c>
      <c r="K226" s="90" t="s">
        <v>108</v>
      </c>
      <c r="L226" s="91">
        <v>1</v>
      </c>
      <c r="M226" s="91">
        <v>10106</v>
      </c>
      <c r="N226" s="59">
        <v>10</v>
      </c>
      <c r="O226" s="92">
        <v>1</v>
      </c>
      <c r="P226" s="132" t="e">
        <f>INDEX([2]Sheet1!$U:$U,MATCH($M226,[2]Sheet1!$BH:$BH,0),1)</f>
        <v>#N/A</v>
      </c>
      <c r="Q226" s="132">
        <f t="shared" si="9"/>
        <v>2</v>
      </c>
      <c r="R226" s="132" t="e">
        <f t="shared" si="11"/>
        <v>#N/A</v>
      </c>
      <c r="S226" s="132"/>
    </row>
    <row r="227" spans="1:19" s="10" customFormat="1">
      <c r="A227" s="30">
        <f t="shared" si="10"/>
        <v>2561</v>
      </c>
      <c r="B227" s="46" t="str">
        <f>VLOOKUP($M227,[1]Sheet1!$A:$B,2,0)&amp;"x"&amp;$N227</f>
        <v>马面碎片x10</v>
      </c>
      <c r="C227" s="46">
        <v>2</v>
      </c>
      <c r="D227" s="10">
        <v>4</v>
      </c>
      <c r="E227" s="10">
        <v>2</v>
      </c>
      <c r="F227" s="46">
        <v>0</v>
      </c>
      <c r="G227" s="46">
        <v>200</v>
      </c>
      <c r="H227" s="32">
        <v>0</v>
      </c>
      <c r="I227" s="32">
        <v>1</v>
      </c>
      <c r="J227" s="32">
        <v>1</v>
      </c>
      <c r="K227" s="90" t="s">
        <v>108</v>
      </c>
      <c r="L227" s="91">
        <v>1</v>
      </c>
      <c r="M227" s="91">
        <v>10105</v>
      </c>
      <c r="N227" s="59">
        <v>10</v>
      </c>
      <c r="O227" s="92">
        <v>1</v>
      </c>
      <c r="P227" s="132" t="e">
        <f>INDEX([2]Sheet1!$U:$U,MATCH($M227,[2]Sheet1!$BH:$BH,0),1)</f>
        <v>#N/A</v>
      </c>
      <c r="Q227" s="132">
        <f t="shared" si="9"/>
        <v>2</v>
      </c>
      <c r="R227" s="132" t="e">
        <f t="shared" si="11"/>
        <v>#N/A</v>
      </c>
      <c r="S227" s="132"/>
    </row>
    <row r="228" spans="1:19" s="10" customFormat="1">
      <c r="A228" s="30">
        <f t="shared" si="10"/>
        <v>2562</v>
      </c>
      <c r="B228" s="46" t="str">
        <f>VLOOKUP($M228,[1]Sheet1!$A:$B,2,0)&amp;"x"&amp;$N228</f>
        <v>金钱豹王碎片x10</v>
      </c>
      <c r="C228" s="46">
        <v>2</v>
      </c>
      <c r="D228" s="10">
        <v>4</v>
      </c>
      <c r="E228" s="10">
        <v>2</v>
      </c>
      <c r="F228" s="46">
        <v>0</v>
      </c>
      <c r="G228" s="46">
        <v>200</v>
      </c>
      <c r="H228" s="32">
        <v>0</v>
      </c>
      <c r="I228" s="32">
        <v>1</v>
      </c>
      <c r="J228" s="32">
        <v>1</v>
      </c>
      <c r="K228" s="90" t="s">
        <v>108</v>
      </c>
      <c r="L228" s="91">
        <v>1</v>
      </c>
      <c r="M228" s="91">
        <v>10039</v>
      </c>
      <c r="N228" s="59">
        <v>10</v>
      </c>
      <c r="O228" s="92">
        <v>1</v>
      </c>
      <c r="P228" s="132" t="e">
        <f>INDEX([2]Sheet1!$U:$U,MATCH($M228,[2]Sheet1!$BH:$BH,0),1)</f>
        <v>#N/A</v>
      </c>
      <c r="Q228" s="132">
        <f t="shared" si="9"/>
        <v>2</v>
      </c>
      <c r="R228" s="132" t="e">
        <f t="shared" si="11"/>
        <v>#N/A</v>
      </c>
      <c r="S228" s="132"/>
    </row>
    <row r="229" spans="1:19" s="10" customFormat="1">
      <c r="A229" s="30">
        <f t="shared" si="10"/>
        <v>2563</v>
      </c>
      <c r="B229" s="46" t="str">
        <f>VLOOKUP($M229,[1]Sheet1!$A:$B,2,0)&amp;"x"&amp;$N229</f>
        <v>墨鱼精碎片x10</v>
      </c>
      <c r="C229" s="46">
        <v>2</v>
      </c>
      <c r="D229" s="10">
        <v>4</v>
      </c>
      <c r="E229" s="10">
        <v>2</v>
      </c>
      <c r="F229" s="46">
        <v>0</v>
      </c>
      <c r="G229" s="46">
        <v>200</v>
      </c>
      <c r="H229" s="32">
        <v>0</v>
      </c>
      <c r="I229" s="32">
        <v>1</v>
      </c>
      <c r="J229" s="32">
        <v>1</v>
      </c>
      <c r="K229" s="90" t="s">
        <v>108</v>
      </c>
      <c r="L229" s="91">
        <v>1</v>
      </c>
      <c r="M229" s="91">
        <v>10040</v>
      </c>
      <c r="N229" s="59">
        <v>10</v>
      </c>
      <c r="O229" s="92">
        <v>1</v>
      </c>
      <c r="P229" s="132" t="e">
        <f>INDEX([2]Sheet1!$U:$U,MATCH($M229,[2]Sheet1!$BH:$BH,0),1)</f>
        <v>#N/A</v>
      </c>
      <c r="Q229" s="132">
        <f t="shared" si="9"/>
        <v>2</v>
      </c>
      <c r="R229" s="132" t="e">
        <f t="shared" si="11"/>
        <v>#N/A</v>
      </c>
      <c r="S229" s="132"/>
    </row>
    <row r="230" spans="1:19" s="10" customFormat="1">
      <c r="A230" s="30">
        <f t="shared" si="10"/>
        <v>2564</v>
      </c>
      <c r="B230" s="46" t="str">
        <f>VLOOKUP($M230,[1]Sheet1!$A:$B,2,0)&amp;"x"&amp;$N230</f>
        <v>玉面夫人碎片x10</v>
      </c>
      <c r="C230" s="46">
        <v>2</v>
      </c>
      <c r="D230" s="10">
        <v>4</v>
      </c>
      <c r="E230" s="10">
        <v>2</v>
      </c>
      <c r="F230" s="46">
        <v>0</v>
      </c>
      <c r="G230" s="46">
        <v>200</v>
      </c>
      <c r="H230" s="32">
        <v>0</v>
      </c>
      <c r="I230" s="32">
        <v>1</v>
      </c>
      <c r="J230" s="32">
        <v>1</v>
      </c>
      <c r="K230" s="90" t="s">
        <v>108</v>
      </c>
      <c r="L230" s="91">
        <v>1</v>
      </c>
      <c r="M230" s="91">
        <v>10038</v>
      </c>
      <c r="N230" s="59">
        <v>10</v>
      </c>
      <c r="O230" s="92">
        <v>1</v>
      </c>
      <c r="P230" s="132" t="e">
        <f>INDEX([2]Sheet1!$U:$U,MATCH($M230,[2]Sheet1!$BH:$BH,0),1)</f>
        <v>#N/A</v>
      </c>
      <c r="Q230" s="132">
        <f t="shared" si="9"/>
        <v>2</v>
      </c>
      <c r="R230" s="132" t="e">
        <f t="shared" si="11"/>
        <v>#N/A</v>
      </c>
      <c r="S230" s="132"/>
    </row>
    <row r="231" spans="1:19" s="10" customFormat="1">
      <c r="A231" s="30">
        <f t="shared" si="10"/>
        <v>2565</v>
      </c>
      <c r="B231" s="46" t="str">
        <f>VLOOKUP($M231,[1]Sheet1!$A:$B,2,0)&amp;"x"&amp;$N231</f>
        <v>扇子精碎片x10</v>
      </c>
      <c r="C231" s="46">
        <v>2</v>
      </c>
      <c r="D231" s="10">
        <v>4</v>
      </c>
      <c r="E231" s="10">
        <v>2</v>
      </c>
      <c r="F231" s="46">
        <v>0</v>
      </c>
      <c r="G231" s="46">
        <v>200</v>
      </c>
      <c r="H231" s="32">
        <v>0</v>
      </c>
      <c r="I231" s="32">
        <v>1</v>
      </c>
      <c r="J231" s="32">
        <v>1</v>
      </c>
      <c r="K231" s="90" t="s">
        <v>108</v>
      </c>
      <c r="L231" s="91">
        <v>1</v>
      </c>
      <c r="M231" s="91">
        <v>10126</v>
      </c>
      <c r="N231" s="59">
        <v>10</v>
      </c>
      <c r="O231" s="92">
        <v>1</v>
      </c>
      <c r="P231" s="132" t="e">
        <f>INDEX([2]Sheet1!$U:$U,MATCH($M231,[2]Sheet1!$BH:$BH,0),1)</f>
        <v>#N/A</v>
      </c>
      <c r="Q231" s="132">
        <f t="shared" si="9"/>
        <v>2</v>
      </c>
      <c r="R231" s="132" t="e">
        <f t="shared" si="11"/>
        <v>#N/A</v>
      </c>
      <c r="S231" s="132"/>
    </row>
    <row r="232" spans="1:19" s="10" customFormat="1">
      <c r="A232" s="30">
        <f t="shared" si="10"/>
        <v>2566</v>
      </c>
      <c r="B232" s="46" t="str">
        <f>VLOOKUP($M232,[1]Sheet1!$A:$B,2,0)&amp;"x"&amp;$N232</f>
        <v>玉兔碎片x10</v>
      </c>
      <c r="C232" s="46">
        <v>2</v>
      </c>
      <c r="D232" s="10">
        <v>4</v>
      </c>
      <c r="E232" s="10">
        <v>2</v>
      </c>
      <c r="F232" s="46">
        <v>0</v>
      </c>
      <c r="G232" s="46">
        <v>200</v>
      </c>
      <c r="H232" s="32">
        <v>0</v>
      </c>
      <c r="I232" s="32">
        <v>1</v>
      </c>
      <c r="J232" s="32">
        <v>1</v>
      </c>
      <c r="K232" s="90" t="s">
        <v>108</v>
      </c>
      <c r="L232" s="91">
        <v>1</v>
      </c>
      <c r="M232" s="91">
        <v>10041</v>
      </c>
      <c r="N232" s="59">
        <v>10</v>
      </c>
      <c r="O232" s="92">
        <v>1</v>
      </c>
      <c r="P232" s="132" t="e">
        <f>INDEX([2]Sheet1!$U:$U,MATCH($M232,[2]Sheet1!$BH:$BH,0),1)</f>
        <v>#N/A</v>
      </c>
      <c r="Q232" s="132">
        <f t="shared" si="9"/>
        <v>2</v>
      </c>
      <c r="R232" s="132" t="e">
        <f t="shared" si="11"/>
        <v>#N/A</v>
      </c>
      <c r="S232" s="132"/>
    </row>
    <row r="233" spans="1:19" s="10" customFormat="1">
      <c r="A233" s="30">
        <f t="shared" si="10"/>
        <v>2567</v>
      </c>
      <c r="B233" s="46" t="str">
        <f>VLOOKUP($M233,[1]Sheet1!$A:$B,2,0)&amp;"x"&amp;$N233</f>
        <v>蟹将碎片x10</v>
      </c>
      <c r="C233" s="46">
        <v>2</v>
      </c>
      <c r="D233" s="10">
        <v>4</v>
      </c>
      <c r="E233" s="10">
        <v>2</v>
      </c>
      <c r="F233" s="46">
        <v>0</v>
      </c>
      <c r="G233" s="46">
        <v>200</v>
      </c>
      <c r="H233" s="32">
        <v>0</v>
      </c>
      <c r="I233" s="32">
        <v>1</v>
      </c>
      <c r="J233" s="32">
        <v>1</v>
      </c>
      <c r="K233" s="90" t="s">
        <v>108</v>
      </c>
      <c r="L233" s="91">
        <v>1</v>
      </c>
      <c r="M233" s="91">
        <v>10404</v>
      </c>
      <c r="N233" s="59">
        <v>10</v>
      </c>
      <c r="O233" s="92">
        <v>1</v>
      </c>
      <c r="P233" s="132" t="e">
        <f>INDEX([2]Sheet1!$U:$U,MATCH($M233,[2]Sheet1!$BH:$BH,0),1)</f>
        <v>#N/A</v>
      </c>
      <c r="Q233" s="132">
        <f t="shared" si="9"/>
        <v>2</v>
      </c>
      <c r="R233" s="132" t="e">
        <f t="shared" si="11"/>
        <v>#N/A</v>
      </c>
      <c r="S233" s="132"/>
    </row>
    <row r="234" spans="1:19" s="65" customFormat="1">
      <c r="A234" s="64">
        <f t="shared" si="10"/>
        <v>2600</v>
      </c>
      <c r="B234" s="66" t="str">
        <f>VLOOKUP($M234,[3]伙伴品质!$A:$B,2,0)</f>
        <v>弥勒佛</v>
      </c>
      <c r="C234" s="66">
        <v>2</v>
      </c>
      <c r="D234" s="65">
        <v>4</v>
      </c>
      <c r="E234" s="65">
        <v>4</v>
      </c>
      <c r="F234" s="66">
        <v>0</v>
      </c>
      <c r="G234" s="66">
        <v>4000</v>
      </c>
      <c r="H234" s="67">
        <v>0</v>
      </c>
      <c r="I234" s="67">
        <v>1</v>
      </c>
      <c r="J234" s="67">
        <v>1</v>
      </c>
      <c r="K234" s="84" t="s">
        <v>108</v>
      </c>
      <c r="L234" s="85">
        <v>5</v>
      </c>
      <c r="M234" s="85">
        <v>1127</v>
      </c>
      <c r="N234" s="68">
        <v>1</v>
      </c>
      <c r="O234" s="86">
        <v>1</v>
      </c>
      <c r="P234" s="129">
        <f>INDEX([2]Sheet1!$U:$U,MATCH($M234,[2]Sheet1!$A:$A,0),1)</f>
        <v>5</v>
      </c>
      <c r="Q234" s="129">
        <f t="shared" ref="Q234:Q265" si="12">E234</f>
        <v>4</v>
      </c>
      <c r="R234" s="129" t="e">
        <f t="shared" si="11"/>
        <v>#N/A</v>
      </c>
      <c r="S234" s="129"/>
    </row>
    <row r="235" spans="1:19" s="65" customFormat="1">
      <c r="A235" s="64">
        <f t="shared" si="10"/>
        <v>2601</v>
      </c>
      <c r="B235" s="66" t="str">
        <f>VLOOKUP($M235,[3]伙伴品质!$A:$B,2,0)</f>
        <v>金蝉子</v>
      </c>
      <c r="C235" s="66">
        <v>2</v>
      </c>
      <c r="D235" s="65">
        <v>4</v>
      </c>
      <c r="E235" s="65">
        <v>4</v>
      </c>
      <c r="F235" s="66">
        <v>0</v>
      </c>
      <c r="G235" s="66">
        <v>4000</v>
      </c>
      <c r="H235" s="67">
        <v>0</v>
      </c>
      <c r="I235" s="67">
        <v>1</v>
      </c>
      <c r="J235" s="67">
        <v>1</v>
      </c>
      <c r="K235" s="84" t="s">
        <v>108</v>
      </c>
      <c r="L235" s="85">
        <v>5</v>
      </c>
      <c r="M235" s="85">
        <v>1212</v>
      </c>
      <c r="N235" s="68">
        <v>1</v>
      </c>
      <c r="O235" s="86">
        <v>1</v>
      </c>
      <c r="P235" s="129">
        <f>INDEX([2]Sheet1!$U:$U,MATCH($M235,[2]Sheet1!$A:$A,0),1)</f>
        <v>5</v>
      </c>
      <c r="Q235" s="129">
        <f t="shared" si="12"/>
        <v>4</v>
      </c>
      <c r="R235" s="129" t="e">
        <f t="shared" si="11"/>
        <v>#N/A</v>
      </c>
      <c r="S235" s="129"/>
    </row>
    <row r="236" spans="1:19" s="65" customFormat="1">
      <c r="A236" s="64">
        <f t="shared" si="10"/>
        <v>2602</v>
      </c>
      <c r="B236" s="66" t="str">
        <f>VLOOKUP($M236,[3]伙伴品质!$A:$B,2,0)</f>
        <v>龙帝</v>
      </c>
      <c r="C236" s="66">
        <v>2</v>
      </c>
      <c r="D236" s="65">
        <v>4</v>
      </c>
      <c r="E236" s="65">
        <v>4</v>
      </c>
      <c r="F236" s="66">
        <v>0</v>
      </c>
      <c r="G236" s="66">
        <v>4000</v>
      </c>
      <c r="H236" s="67">
        <v>0</v>
      </c>
      <c r="I236" s="67">
        <v>1</v>
      </c>
      <c r="J236" s="67">
        <v>1</v>
      </c>
      <c r="K236" s="84" t="s">
        <v>108</v>
      </c>
      <c r="L236" s="85">
        <v>5</v>
      </c>
      <c r="M236" s="85">
        <v>1213</v>
      </c>
      <c r="N236" s="68">
        <v>1</v>
      </c>
      <c r="O236" s="86">
        <v>1</v>
      </c>
      <c r="P236" s="129">
        <f>INDEX([2]Sheet1!$U:$U,MATCH($M236,[2]Sheet1!$A:$A,0),1)</f>
        <v>5</v>
      </c>
      <c r="Q236" s="129">
        <f t="shared" si="12"/>
        <v>4</v>
      </c>
      <c r="R236" s="129" t="e">
        <f t="shared" si="11"/>
        <v>#N/A</v>
      </c>
      <c r="S236" s="129"/>
    </row>
    <row r="237" spans="1:19" s="65" customFormat="1">
      <c r="A237" s="64">
        <f t="shared" si="10"/>
        <v>2603</v>
      </c>
      <c r="B237" s="66" t="str">
        <f>VLOOKUP($M237,[3]伙伴品质!$A:$B,2,0)</f>
        <v>八部天龙</v>
      </c>
      <c r="C237" s="66">
        <v>2</v>
      </c>
      <c r="D237" s="65">
        <v>4</v>
      </c>
      <c r="E237" s="65">
        <v>4</v>
      </c>
      <c r="F237" s="66">
        <v>0</v>
      </c>
      <c r="G237" s="66">
        <v>4000</v>
      </c>
      <c r="H237" s="67">
        <v>0</v>
      </c>
      <c r="I237" s="67">
        <v>1</v>
      </c>
      <c r="J237" s="67">
        <v>1</v>
      </c>
      <c r="K237" s="84" t="s">
        <v>108</v>
      </c>
      <c r="L237" s="85">
        <v>5</v>
      </c>
      <c r="M237" s="85">
        <v>1214</v>
      </c>
      <c r="N237" s="68">
        <v>1</v>
      </c>
      <c r="O237" s="86">
        <v>1</v>
      </c>
      <c r="P237" s="129">
        <f>INDEX([2]Sheet1!$U:$U,MATCH($M237,[2]Sheet1!$A:$A,0),1)</f>
        <v>5</v>
      </c>
      <c r="Q237" s="129">
        <f t="shared" si="12"/>
        <v>4</v>
      </c>
      <c r="R237" s="129" t="e">
        <f t="shared" si="11"/>
        <v>#N/A</v>
      </c>
      <c r="S237" s="129"/>
    </row>
    <row r="238" spans="1:19" s="65" customFormat="1">
      <c r="A238" s="64">
        <f t="shared" si="10"/>
        <v>2604</v>
      </c>
      <c r="B238" s="66" t="str">
        <f>VLOOKUP($M238,[3]伙伴品质!$A:$B,2,0)</f>
        <v>观世音</v>
      </c>
      <c r="C238" s="66">
        <v>2</v>
      </c>
      <c r="D238" s="65">
        <v>4</v>
      </c>
      <c r="E238" s="65">
        <v>4</v>
      </c>
      <c r="F238" s="66">
        <v>0</v>
      </c>
      <c r="G238" s="66">
        <v>4000</v>
      </c>
      <c r="H238" s="67">
        <v>0</v>
      </c>
      <c r="I238" s="67">
        <v>1</v>
      </c>
      <c r="J238" s="67">
        <v>1</v>
      </c>
      <c r="K238" s="84" t="s">
        <v>108</v>
      </c>
      <c r="L238" s="85">
        <v>5</v>
      </c>
      <c r="M238" s="85">
        <v>1215</v>
      </c>
      <c r="N238" s="68">
        <v>1</v>
      </c>
      <c r="O238" s="86">
        <v>1</v>
      </c>
      <c r="P238" s="129">
        <f>INDEX([2]Sheet1!$U:$U,MATCH($M238,[2]Sheet1!$A:$A,0),1)</f>
        <v>5</v>
      </c>
      <c r="Q238" s="129">
        <f t="shared" si="12"/>
        <v>4</v>
      </c>
      <c r="R238" s="129" t="e">
        <f t="shared" si="11"/>
        <v>#N/A</v>
      </c>
      <c r="S238" s="129"/>
    </row>
    <row r="239" spans="1:19" s="65" customFormat="1">
      <c r="A239" s="64">
        <f t="shared" si="10"/>
        <v>2605</v>
      </c>
      <c r="B239" s="66" t="str">
        <f>VLOOKUP($M239,[3]伙伴品质!$A:$B,2,0)</f>
        <v>托塔天王</v>
      </c>
      <c r="C239" s="66">
        <v>2</v>
      </c>
      <c r="D239" s="65">
        <v>4</v>
      </c>
      <c r="E239" s="65">
        <v>4</v>
      </c>
      <c r="F239" s="66">
        <v>0</v>
      </c>
      <c r="G239" s="66">
        <v>4000</v>
      </c>
      <c r="H239" s="67">
        <v>0</v>
      </c>
      <c r="I239" s="67">
        <v>1</v>
      </c>
      <c r="J239" s="67">
        <v>1</v>
      </c>
      <c r="K239" s="84" t="s">
        <v>108</v>
      </c>
      <c r="L239" s="85">
        <v>5</v>
      </c>
      <c r="M239" s="85">
        <v>1108</v>
      </c>
      <c r="N239" s="68">
        <v>1</v>
      </c>
      <c r="O239" s="86">
        <v>1</v>
      </c>
      <c r="P239" s="129">
        <f>INDEX([2]Sheet1!$U:$U,MATCH($M239,[2]Sheet1!$A:$A,0),1)</f>
        <v>5</v>
      </c>
      <c r="Q239" s="129">
        <f t="shared" si="12"/>
        <v>4</v>
      </c>
      <c r="R239" s="129" t="e">
        <f t="shared" si="11"/>
        <v>#N/A</v>
      </c>
      <c r="S239" s="129"/>
    </row>
    <row r="240" spans="1:19" s="65" customFormat="1">
      <c r="A240" s="64">
        <f t="shared" si="10"/>
        <v>2606</v>
      </c>
      <c r="B240" s="66" t="str">
        <f>VLOOKUP($M240,[3]伙伴品质!$A:$B,2,0)</f>
        <v>黑无常</v>
      </c>
      <c r="C240" s="66">
        <v>2</v>
      </c>
      <c r="D240" s="65">
        <v>4</v>
      </c>
      <c r="E240" s="65">
        <v>4</v>
      </c>
      <c r="F240" s="66">
        <v>0</v>
      </c>
      <c r="G240" s="66">
        <v>4000</v>
      </c>
      <c r="H240" s="67">
        <v>0</v>
      </c>
      <c r="I240" s="67">
        <v>1</v>
      </c>
      <c r="J240" s="67">
        <v>1</v>
      </c>
      <c r="K240" s="84" t="s">
        <v>108</v>
      </c>
      <c r="L240" s="85">
        <v>5</v>
      </c>
      <c r="M240" s="85">
        <v>1219</v>
      </c>
      <c r="N240" s="68">
        <v>1</v>
      </c>
      <c r="O240" s="86">
        <v>1</v>
      </c>
      <c r="P240" s="129">
        <f>INDEX([2]Sheet1!$U:$U,MATCH($M240,[2]Sheet1!$A:$A,0),1)</f>
        <v>5</v>
      </c>
      <c r="Q240" s="129">
        <f t="shared" si="12"/>
        <v>4</v>
      </c>
      <c r="R240" s="129" t="e">
        <f t="shared" si="11"/>
        <v>#N/A</v>
      </c>
      <c r="S240" s="129"/>
    </row>
    <row r="241" spans="1:19" s="65" customFormat="1">
      <c r="A241" s="64">
        <f t="shared" si="10"/>
        <v>2607</v>
      </c>
      <c r="B241" s="66" t="str">
        <f>VLOOKUP($M241,[3]伙伴品质!$A:$B,2,0)</f>
        <v>哪吒</v>
      </c>
      <c r="C241" s="66">
        <v>2</v>
      </c>
      <c r="D241" s="65">
        <v>4</v>
      </c>
      <c r="E241" s="65">
        <v>4</v>
      </c>
      <c r="F241" s="66">
        <v>0</v>
      </c>
      <c r="G241" s="66">
        <v>4000</v>
      </c>
      <c r="H241" s="67">
        <v>0</v>
      </c>
      <c r="I241" s="67">
        <v>1</v>
      </c>
      <c r="J241" s="67">
        <v>1</v>
      </c>
      <c r="K241" s="84" t="s">
        <v>108</v>
      </c>
      <c r="L241" s="85">
        <v>5</v>
      </c>
      <c r="M241" s="85">
        <v>1102</v>
      </c>
      <c r="N241" s="68">
        <v>1</v>
      </c>
      <c r="O241" s="86">
        <v>1</v>
      </c>
      <c r="P241" s="129">
        <f>INDEX([2]Sheet1!$U:$U,MATCH($M241,[2]Sheet1!$A:$A,0),1)</f>
        <v>5</v>
      </c>
      <c r="Q241" s="129">
        <f t="shared" si="12"/>
        <v>4</v>
      </c>
      <c r="R241" s="129" t="e">
        <f t="shared" si="11"/>
        <v>#N/A</v>
      </c>
      <c r="S241" s="129"/>
    </row>
    <row r="242" spans="1:19" s="65" customFormat="1">
      <c r="A242" s="64">
        <f t="shared" si="10"/>
        <v>2608</v>
      </c>
      <c r="B242" s="66" t="str">
        <f>VLOOKUP($M242,[3]伙伴品质!$A:$B,2,0)</f>
        <v>白无常</v>
      </c>
      <c r="C242" s="66">
        <v>2</v>
      </c>
      <c r="D242" s="65">
        <v>4</v>
      </c>
      <c r="E242" s="65">
        <v>4</v>
      </c>
      <c r="F242" s="66">
        <v>0</v>
      </c>
      <c r="G242" s="66">
        <v>4000</v>
      </c>
      <c r="H242" s="67">
        <v>0</v>
      </c>
      <c r="I242" s="67">
        <v>1</v>
      </c>
      <c r="J242" s="67">
        <v>1</v>
      </c>
      <c r="K242" s="84" t="s">
        <v>108</v>
      </c>
      <c r="L242" s="85">
        <v>5</v>
      </c>
      <c r="M242" s="85">
        <v>1218</v>
      </c>
      <c r="N242" s="68">
        <v>1</v>
      </c>
      <c r="O242" s="86">
        <v>1</v>
      </c>
      <c r="P242" s="129">
        <f>INDEX([2]Sheet1!$U:$U,MATCH($M242,[2]Sheet1!$A:$A,0),1)</f>
        <v>5</v>
      </c>
      <c r="Q242" s="129">
        <f t="shared" si="12"/>
        <v>4</v>
      </c>
      <c r="R242" s="129" t="e">
        <f t="shared" si="11"/>
        <v>#N/A</v>
      </c>
      <c r="S242" s="129"/>
    </row>
    <row r="243" spans="1:19" s="65" customFormat="1">
      <c r="A243" s="64">
        <f t="shared" si="10"/>
        <v>2609</v>
      </c>
      <c r="B243" s="66" t="str">
        <f>VLOOKUP($M243,[3]伙伴品质!$A:$B,2,0)</f>
        <v>嫦娥</v>
      </c>
      <c r="C243" s="66">
        <v>2</v>
      </c>
      <c r="D243" s="65">
        <v>4</v>
      </c>
      <c r="E243" s="65">
        <v>4</v>
      </c>
      <c r="F243" s="66">
        <v>0</v>
      </c>
      <c r="G243" s="66">
        <v>4000</v>
      </c>
      <c r="H243" s="67">
        <v>0</v>
      </c>
      <c r="I243" s="67">
        <v>1</v>
      </c>
      <c r="J243" s="67">
        <v>1</v>
      </c>
      <c r="K243" s="84" t="s">
        <v>108</v>
      </c>
      <c r="L243" s="85">
        <v>5</v>
      </c>
      <c r="M243" s="85">
        <v>1103</v>
      </c>
      <c r="N243" s="68">
        <v>1</v>
      </c>
      <c r="O243" s="86">
        <v>1</v>
      </c>
      <c r="P243" s="129">
        <f>INDEX([2]Sheet1!$U:$U,MATCH($M243,[2]Sheet1!$A:$A,0),1)</f>
        <v>5</v>
      </c>
      <c r="Q243" s="129">
        <f t="shared" si="12"/>
        <v>4</v>
      </c>
      <c r="R243" s="129" t="e">
        <f t="shared" si="11"/>
        <v>#N/A</v>
      </c>
      <c r="S243" s="129"/>
    </row>
    <row r="244" spans="1:19" s="65" customFormat="1">
      <c r="A244" s="64">
        <f t="shared" si="10"/>
        <v>2610</v>
      </c>
      <c r="B244" s="66" t="str">
        <f>VLOOKUP($M244,[3]伙伴品质!$A:$B,2,0)</f>
        <v>铁扇公主</v>
      </c>
      <c r="C244" s="66">
        <v>2</v>
      </c>
      <c r="D244" s="65">
        <v>4</v>
      </c>
      <c r="E244" s="65">
        <v>4</v>
      </c>
      <c r="F244" s="66">
        <v>0</v>
      </c>
      <c r="G244" s="66">
        <v>4000</v>
      </c>
      <c r="H244" s="67">
        <v>0</v>
      </c>
      <c r="I244" s="67">
        <v>1</v>
      </c>
      <c r="J244" s="67">
        <v>1</v>
      </c>
      <c r="K244" s="84" t="s">
        <v>108</v>
      </c>
      <c r="L244" s="85">
        <v>5</v>
      </c>
      <c r="M244" s="85">
        <v>1111</v>
      </c>
      <c r="N244" s="68">
        <v>1</v>
      </c>
      <c r="O244" s="86">
        <v>1</v>
      </c>
      <c r="P244" s="129">
        <f>INDEX([2]Sheet1!$U:$U,MATCH($M244,[2]Sheet1!$A:$A,0),1)</f>
        <v>5</v>
      </c>
      <c r="Q244" s="129">
        <f t="shared" si="12"/>
        <v>4</v>
      </c>
      <c r="R244" s="129" t="e">
        <f t="shared" si="11"/>
        <v>#N/A</v>
      </c>
      <c r="S244" s="129"/>
    </row>
    <row r="245" spans="1:19" s="65" customFormat="1">
      <c r="A245" s="64">
        <f t="shared" si="10"/>
        <v>2611</v>
      </c>
      <c r="B245" s="66" t="str">
        <f>VLOOKUP($M245,[3]伙伴品质!$A:$B,2,0)</f>
        <v>牛魔王</v>
      </c>
      <c r="C245" s="66">
        <v>2</v>
      </c>
      <c r="D245" s="65">
        <v>4</v>
      </c>
      <c r="E245" s="65">
        <v>4</v>
      </c>
      <c r="F245" s="66">
        <v>0</v>
      </c>
      <c r="G245" s="66">
        <v>4000</v>
      </c>
      <c r="H245" s="67">
        <v>0</v>
      </c>
      <c r="I245" s="67">
        <v>1</v>
      </c>
      <c r="J245" s="67">
        <v>1</v>
      </c>
      <c r="K245" s="84" t="s">
        <v>108</v>
      </c>
      <c r="L245" s="85">
        <v>5</v>
      </c>
      <c r="M245" s="85">
        <v>1112</v>
      </c>
      <c r="N245" s="68">
        <v>1</v>
      </c>
      <c r="O245" s="86">
        <v>1</v>
      </c>
      <c r="P245" s="129">
        <f>INDEX([2]Sheet1!$U:$U,MATCH($M245,[2]Sheet1!$A:$A,0),1)</f>
        <v>5</v>
      </c>
      <c r="Q245" s="129">
        <f t="shared" si="12"/>
        <v>4</v>
      </c>
      <c r="R245" s="129" t="e">
        <f t="shared" si="11"/>
        <v>#N/A</v>
      </c>
      <c r="S245" s="129"/>
    </row>
    <row r="246" spans="1:19" s="65" customFormat="1">
      <c r="A246" s="64">
        <f t="shared" si="10"/>
        <v>2612</v>
      </c>
      <c r="B246" s="66" t="str">
        <f>VLOOKUP($M246,[3]伙伴品质!$A:$B,2,0)</f>
        <v>虎力大仙</v>
      </c>
      <c r="C246" s="66">
        <v>2</v>
      </c>
      <c r="D246" s="65">
        <v>4</v>
      </c>
      <c r="E246" s="65">
        <v>4</v>
      </c>
      <c r="F246" s="66">
        <v>0</v>
      </c>
      <c r="G246" s="66">
        <v>4000</v>
      </c>
      <c r="H246" s="67">
        <v>0</v>
      </c>
      <c r="I246" s="67">
        <v>1</v>
      </c>
      <c r="J246" s="67">
        <v>1</v>
      </c>
      <c r="K246" s="84" t="s">
        <v>108</v>
      </c>
      <c r="L246" s="85">
        <v>5</v>
      </c>
      <c r="M246" s="85">
        <v>1113</v>
      </c>
      <c r="N246" s="68">
        <v>1</v>
      </c>
      <c r="O246" s="86">
        <v>1</v>
      </c>
      <c r="P246" s="129">
        <f>INDEX([2]Sheet1!$U:$U,MATCH($M246,[2]Sheet1!$A:$A,0),1)</f>
        <v>5</v>
      </c>
      <c r="Q246" s="129">
        <f t="shared" si="12"/>
        <v>4</v>
      </c>
      <c r="R246" s="129" t="e">
        <f t="shared" si="11"/>
        <v>#N/A</v>
      </c>
      <c r="S246" s="129"/>
    </row>
    <row r="247" spans="1:19" s="65" customFormat="1">
      <c r="A247" s="64">
        <f t="shared" si="10"/>
        <v>2613</v>
      </c>
      <c r="B247" s="66" t="str">
        <f>VLOOKUP($M247,[3]伙伴品质!$A:$B,2,0)</f>
        <v>猪八戒</v>
      </c>
      <c r="C247" s="66">
        <v>2</v>
      </c>
      <c r="D247" s="65">
        <v>4</v>
      </c>
      <c r="E247" s="65">
        <v>4</v>
      </c>
      <c r="F247" s="66">
        <v>0</v>
      </c>
      <c r="G247" s="66">
        <v>4000</v>
      </c>
      <c r="H247" s="67">
        <v>0</v>
      </c>
      <c r="I247" s="67">
        <v>1</v>
      </c>
      <c r="J247" s="67">
        <v>1</v>
      </c>
      <c r="K247" s="84" t="s">
        <v>108</v>
      </c>
      <c r="L247" s="85">
        <v>5</v>
      </c>
      <c r="M247" s="85">
        <v>1120</v>
      </c>
      <c r="N247" s="68">
        <v>1</v>
      </c>
      <c r="O247" s="86">
        <v>1</v>
      </c>
      <c r="P247" s="129">
        <f>INDEX([2]Sheet1!$U:$U,MATCH($M247,[2]Sheet1!$A:$A,0),1)</f>
        <v>5</v>
      </c>
      <c r="Q247" s="129">
        <f t="shared" si="12"/>
        <v>4</v>
      </c>
      <c r="R247" s="129" t="e">
        <f t="shared" si="11"/>
        <v>#N/A</v>
      </c>
      <c r="S247" s="129"/>
    </row>
    <row r="248" spans="1:19" s="65" customFormat="1">
      <c r="A248" s="64">
        <f t="shared" si="10"/>
        <v>2614</v>
      </c>
      <c r="B248" s="66" t="str">
        <f>VLOOKUP($M248,[3]伙伴品质!$A:$B,2,0)</f>
        <v>羊力大仙</v>
      </c>
      <c r="C248" s="66">
        <v>2</v>
      </c>
      <c r="D248" s="65">
        <v>4</v>
      </c>
      <c r="E248" s="65">
        <v>4</v>
      </c>
      <c r="F248" s="66">
        <v>0</v>
      </c>
      <c r="G248" s="66">
        <v>4000</v>
      </c>
      <c r="H248" s="67">
        <v>0</v>
      </c>
      <c r="I248" s="67">
        <v>1</v>
      </c>
      <c r="J248" s="67">
        <v>1</v>
      </c>
      <c r="K248" s="84" t="s">
        <v>108</v>
      </c>
      <c r="L248" s="85">
        <v>5</v>
      </c>
      <c r="M248" s="85">
        <v>1115</v>
      </c>
      <c r="N248" s="68">
        <v>1</v>
      </c>
      <c r="O248" s="86">
        <v>1</v>
      </c>
      <c r="P248" s="129">
        <f>INDEX([2]Sheet1!$U:$U,MATCH($M248,[2]Sheet1!$A:$A,0),1)</f>
        <v>5</v>
      </c>
      <c r="Q248" s="129">
        <f t="shared" si="12"/>
        <v>4</v>
      </c>
      <c r="R248" s="129" t="e">
        <f t="shared" si="11"/>
        <v>#N/A</v>
      </c>
      <c r="S248" s="129"/>
    </row>
    <row r="249" spans="1:19" s="11" customFormat="1">
      <c r="A249" s="33">
        <f t="shared" si="10"/>
        <v>2651</v>
      </c>
      <c r="B249" s="47" t="str">
        <f>VLOOKUP($M249,[3]伙伴品质!$A:$B,2,0)</f>
        <v>文殊菩萨</v>
      </c>
      <c r="C249" s="47">
        <v>2</v>
      </c>
      <c r="D249" s="11">
        <v>4</v>
      </c>
      <c r="E249" s="11">
        <v>4</v>
      </c>
      <c r="F249" s="47">
        <v>0</v>
      </c>
      <c r="G249" s="47">
        <v>2800</v>
      </c>
      <c r="H249" s="35">
        <v>0</v>
      </c>
      <c r="I249" s="35">
        <v>1</v>
      </c>
      <c r="J249" s="35">
        <v>1</v>
      </c>
      <c r="K249" s="87" t="s">
        <v>108</v>
      </c>
      <c r="L249" s="88">
        <v>5</v>
      </c>
      <c r="M249" s="88">
        <v>1126</v>
      </c>
      <c r="N249" s="60">
        <v>1</v>
      </c>
      <c r="O249" s="89">
        <v>1</v>
      </c>
      <c r="P249" s="131">
        <f>INDEX([2]Sheet1!$U:$U,MATCH($M249,[2]Sheet1!$A:$A,0),1)</f>
        <v>4</v>
      </c>
      <c r="Q249" s="131">
        <f t="shared" si="12"/>
        <v>4</v>
      </c>
      <c r="R249" s="131" t="str">
        <f t="shared" si="11"/>
        <v>[2651,1]</v>
      </c>
      <c r="S249" s="131"/>
    </row>
    <row r="250" spans="1:19" s="11" customFormat="1">
      <c r="A250" s="33">
        <f t="shared" si="10"/>
        <v>2652</v>
      </c>
      <c r="B250" s="47" t="str">
        <f>VLOOKUP($M250,[3]伙伴品质!$A:$B,2,0)</f>
        <v>唐三藏</v>
      </c>
      <c r="C250" s="47">
        <v>2</v>
      </c>
      <c r="D250" s="11">
        <v>4</v>
      </c>
      <c r="E250" s="11">
        <v>4</v>
      </c>
      <c r="F250" s="47">
        <v>0</v>
      </c>
      <c r="G250" s="47">
        <v>2800</v>
      </c>
      <c r="H250" s="35">
        <v>0</v>
      </c>
      <c r="I250" s="35">
        <v>1</v>
      </c>
      <c r="J250" s="35">
        <v>1</v>
      </c>
      <c r="K250" s="87" t="s">
        <v>108</v>
      </c>
      <c r="L250" s="88">
        <v>5</v>
      </c>
      <c r="M250" s="88">
        <v>1122</v>
      </c>
      <c r="N250" s="60">
        <v>1</v>
      </c>
      <c r="O250" s="89">
        <v>1</v>
      </c>
      <c r="P250" s="131">
        <f>INDEX([2]Sheet1!$U:$U,MATCH($M250,[2]Sheet1!$A:$A,0),1)</f>
        <v>4</v>
      </c>
      <c r="Q250" s="131">
        <f t="shared" si="12"/>
        <v>4</v>
      </c>
      <c r="R250" s="131" t="str">
        <f t="shared" si="11"/>
        <v>[2651,1],[2652,1]</v>
      </c>
      <c r="S250" s="131"/>
    </row>
    <row r="251" spans="1:19" s="11" customFormat="1">
      <c r="A251" s="33">
        <f t="shared" si="10"/>
        <v>2653</v>
      </c>
      <c r="B251" s="47" t="str">
        <f>VLOOKUP($M251,[3]伙伴品质!$A:$B,2,0)</f>
        <v>迦叶</v>
      </c>
      <c r="C251" s="47">
        <v>2</v>
      </c>
      <c r="D251" s="11">
        <v>4</v>
      </c>
      <c r="E251" s="11">
        <v>4</v>
      </c>
      <c r="F251" s="47">
        <v>0</v>
      </c>
      <c r="G251" s="47">
        <v>2800</v>
      </c>
      <c r="H251" s="35">
        <v>0</v>
      </c>
      <c r="I251" s="35">
        <v>1</v>
      </c>
      <c r="J251" s="35">
        <v>1</v>
      </c>
      <c r="K251" s="87" t="s">
        <v>108</v>
      </c>
      <c r="L251" s="88">
        <v>5</v>
      </c>
      <c r="M251" s="88">
        <v>1125</v>
      </c>
      <c r="N251" s="60">
        <v>1</v>
      </c>
      <c r="O251" s="89">
        <v>1</v>
      </c>
      <c r="P251" s="131">
        <f>INDEX([2]Sheet1!$U:$U,MATCH($M251,[2]Sheet1!$A:$A,0),1)</f>
        <v>4</v>
      </c>
      <c r="Q251" s="131">
        <f t="shared" si="12"/>
        <v>4</v>
      </c>
      <c r="R251" s="131" t="str">
        <f t="shared" si="11"/>
        <v>[2651,1],[2652,1],[2653,1]</v>
      </c>
      <c r="S251" s="131"/>
    </row>
    <row r="252" spans="1:19" s="11" customFormat="1">
      <c r="A252" s="33">
        <f t="shared" si="10"/>
        <v>2654</v>
      </c>
      <c r="B252" s="47" t="str">
        <f>VLOOKUP($M252,[3]伙伴品质!$A:$B,2,0)</f>
        <v>红孩儿</v>
      </c>
      <c r="C252" s="47">
        <v>2</v>
      </c>
      <c r="D252" s="11">
        <v>4</v>
      </c>
      <c r="E252" s="11">
        <v>4</v>
      </c>
      <c r="F252" s="47">
        <v>0</v>
      </c>
      <c r="G252" s="47">
        <v>2800</v>
      </c>
      <c r="H252" s="35">
        <v>0</v>
      </c>
      <c r="I252" s="35">
        <v>1</v>
      </c>
      <c r="J252" s="35">
        <v>1</v>
      </c>
      <c r="K252" s="87" t="s">
        <v>108</v>
      </c>
      <c r="L252" s="88">
        <v>5</v>
      </c>
      <c r="M252" s="88">
        <v>1110</v>
      </c>
      <c r="N252" s="60">
        <v>1</v>
      </c>
      <c r="O252" s="89">
        <v>1</v>
      </c>
      <c r="P252" s="131">
        <f>INDEX([2]Sheet1!$U:$U,MATCH($M252,[2]Sheet1!$A:$A,0),1)</f>
        <v>4</v>
      </c>
      <c r="Q252" s="131">
        <f t="shared" si="12"/>
        <v>4</v>
      </c>
      <c r="R252" s="131" t="str">
        <f t="shared" si="11"/>
        <v>[2651,1],[2652,1],[2653,1],[2654,1]</v>
      </c>
      <c r="S252" s="131"/>
    </row>
    <row r="253" spans="1:19" s="11" customFormat="1">
      <c r="A253" s="33">
        <f t="shared" si="10"/>
        <v>2655</v>
      </c>
      <c r="B253" s="47" t="str">
        <f>VLOOKUP($M253,[3]伙伴品质!$A:$B,2,0)</f>
        <v>女儿国国王</v>
      </c>
      <c r="C253" s="47">
        <v>2</v>
      </c>
      <c r="D253" s="11">
        <v>4</v>
      </c>
      <c r="E253" s="11">
        <v>4</v>
      </c>
      <c r="F253" s="47">
        <v>0</v>
      </c>
      <c r="G253" s="47">
        <v>2800</v>
      </c>
      <c r="H253" s="35">
        <v>0</v>
      </c>
      <c r="I253" s="35">
        <v>1</v>
      </c>
      <c r="J253" s="35">
        <v>1</v>
      </c>
      <c r="K253" s="87" t="s">
        <v>108</v>
      </c>
      <c r="L253" s="88">
        <v>5</v>
      </c>
      <c r="M253" s="88">
        <v>1216</v>
      </c>
      <c r="N253" s="60">
        <v>1</v>
      </c>
      <c r="O253" s="89">
        <v>1</v>
      </c>
      <c r="P253" s="131">
        <f>INDEX([2]Sheet1!$U:$U,MATCH($M253,[2]Sheet1!$A:$A,0),1)</f>
        <v>4</v>
      </c>
      <c r="Q253" s="131">
        <f t="shared" si="12"/>
        <v>4</v>
      </c>
      <c r="R253" s="131" t="str">
        <f t="shared" si="11"/>
        <v>[2651,1],[2652,1],[2653,1],[2654,1],[2655,1]</v>
      </c>
      <c r="S253" s="131"/>
    </row>
    <row r="254" spans="1:19" s="11" customFormat="1">
      <c r="A254" s="33">
        <f t="shared" si="10"/>
        <v>2656</v>
      </c>
      <c r="B254" s="47" t="str">
        <f>VLOOKUP($M254,[3]伙伴品质!$A:$B,2,0)</f>
        <v>人参娃</v>
      </c>
      <c r="C254" s="47">
        <v>2</v>
      </c>
      <c r="D254" s="11">
        <v>4</v>
      </c>
      <c r="E254" s="11">
        <v>4</v>
      </c>
      <c r="F254" s="47">
        <v>0</v>
      </c>
      <c r="G254" s="47">
        <v>2800</v>
      </c>
      <c r="H254" s="35">
        <v>0</v>
      </c>
      <c r="I254" s="35">
        <v>1</v>
      </c>
      <c r="J254" s="35">
        <v>1</v>
      </c>
      <c r="K254" s="87" t="s">
        <v>108</v>
      </c>
      <c r="L254" s="88">
        <v>5</v>
      </c>
      <c r="M254" s="88">
        <v>1202</v>
      </c>
      <c r="N254" s="60">
        <v>1</v>
      </c>
      <c r="O254" s="89">
        <v>1</v>
      </c>
      <c r="P254" s="131">
        <f>INDEX([2]Sheet1!$U:$U,MATCH($M254,[2]Sheet1!$A:$A,0),1)</f>
        <v>4</v>
      </c>
      <c r="Q254" s="131">
        <f t="shared" si="12"/>
        <v>4</v>
      </c>
      <c r="R254" s="131" t="str">
        <f t="shared" si="11"/>
        <v>[2651,1],[2652,1],[2653,1],[2654,1],[2655,1],[2656,1]</v>
      </c>
      <c r="S254" s="131"/>
    </row>
    <row r="255" spans="1:19" s="11" customFormat="1">
      <c r="A255" s="33">
        <f t="shared" si="10"/>
        <v>2657</v>
      </c>
      <c r="B255" s="47" t="str">
        <f>VLOOKUP($M255,[3]伙伴品质!$A:$B,2,0)</f>
        <v>引魂仙子</v>
      </c>
      <c r="C255" s="47">
        <v>2</v>
      </c>
      <c r="D255" s="11">
        <v>4</v>
      </c>
      <c r="E255" s="11">
        <v>4</v>
      </c>
      <c r="F255" s="47">
        <v>0</v>
      </c>
      <c r="G255" s="47">
        <v>2800</v>
      </c>
      <c r="H255" s="35">
        <v>0</v>
      </c>
      <c r="I255" s="35">
        <v>1</v>
      </c>
      <c r="J255" s="35">
        <v>1</v>
      </c>
      <c r="K255" s="87" t="s">
        <v>108</v>
      </c>
      <c r="L255" s="88">
        <v>5</v>
      </c>
      <c r="M255" s="88">
        <v>1207</v>
      </c>
      <c r="N255" s="60">
        <v>1</v>
      </c>
      <c r="O255" s="89">
        <v>1</v>
      </c>
      <c r="P255" s="131">
        <f>INDEX([2]Sheet1!$U:$U,MATCH($M255,[2]Sheet1!$A:$A,0),1)</f>
        <v>4</v>
      </c>
      <c r="Q255" s="131">
        <f t="shared" si="12"/>
        <v>4</v>
      </c>
      <c r="R255" s="131" t="str">
        <f t="shared" si="11"/>
        <v>[2651,1],[2652,1],[2653,1],[2654,1],[2655,1],[2656,1],[2657,1]</v>
      </c>
      <c r="S255" s="131"/>
    </row>
    <row r="256" spans="1:19" s="11" customFormat="1">
      <c r="A256" s="33">
        <f t="shared" si="10"/>
        <v>2658</v>
      </c>
      <c r="B256" s="47" t="str">
        <f>VLOOKUP($M256,[3]伙伴品质!$A:$B,2,0)</f>
        <v>九天玄女</v>
      </c>
      <c r="C256" s="47">
        <v>2</v>
      </c>
      <c r="D256" s="11">
        <v>4</v>
      </c>
      <c r="E256" s="11">
        <v>4</v>
      </c>
      <c r="F256" s="47">
        <v>0</v>
      </c>
      <c r="G256" s="47">
        <v>2800</v>
      </c>
      <c r="H256" s="35">
        <v>0</v>
      </c>
      <c r="I256" s="35">
        <v>1</v>
      </c>
      <c r="J256" s="35">
        <v>1</v>
      </c>
      <c r="K256" s="87" t="s">
        <v>108</v>
      </c>
      <c r="L256" s="88">
        <v>5</v>
      </c>
      <c r="M256" s="88">
        <v>1109</v>
      </c>
      <c r="N256" s="60">
        <v>1</v>
      </c>
      <c r="O256" s="89">
        <v>1</v>
      </c>
      <c r="P256" s="131">
        <f>INDEX([2]Sheet1!$U:$U,MATCH($M256,[2]Sheet1!$A:$A,0),1)</f>
        <v>4</v>
      </c>
      <c r="Q256" s="131">
        <f t="shared" si="12"/>
        <v>4</v>
      </c>
      <c r="R256" s="131" t="str">
        <f t="shared" si="11"/>
        <v>[2651,1],[2652,1],[2653,1],[2654,1],[2655,1],[2656,1],[2657,1],[2658,1]</v>
      </c>
      <c r="S256" s="131"/>
    </row>
    <row r="257" spans="1:19" s="11" customFormat="1">
      <c r="A257" s="33">
        <f t="shared" si="10"/>
        <v>2659</v>
      </c>
      <c r="B257" s="47" t="str">
        <f>VLOOKUP($M257,[3]伙伴品质!$A:$B,2,0)</f>
        <v>玉皇大帝</v>
      </c>
      <c r="C257" s="47">
        <v>2</v>
      </c>
      <c r="D257" s="11">
        <v>4</v>
      </c>
      <c r="E257" s="11">
        <v>4</v>
      </c>
      <c r="F257" s="47">
        <v>0</v>
      </c>
      <c r="G257" s="47">
        <v>2800</v>
      </c>
      <c r="H257" s="35">
        <v>0</v>
      </c>
      <c r="I257" s="35">
        <v>1</v>
      </c>
      <c r="J257" s="35">
        <v>1</v>
      </c>
      <c r="K257" s="87" t="s">
        <v>108</v>
      </c>
      <c r="L257" s="88">
        <v>5</v>
      </c>
      <c r="M257" s="88">
        <v>1104</v>
      </c>
      <c r="N257" s="60">
        <v>1</v>
      </c>
      <c r="O257" s="89">
        <v>1</v>
      </c>
      <c r="P257" s="131">
        <f>INDEX([2]Sheet1!$U:$U,MATCH($M257,[2]Sheet1!$A:$A,0),1)</f>
        <v>4</v>
      </c>
      <c r="Q257" s="131">
        <f t="shared" si="12"/>
        <v>4</v>
      </c>
      <c r="R257" s="131" t="str">
        <f t="shared" si="11"/>
        <v>[2651,1],[2652,1],[2653,1],[2654,1],[2655,1],[2656,1],[2657,1],[2658,1],[2659,1]</v>
      </c>
      <c r="S257" s="131"/>
    </row>
    <row r="258" spans="1:19" s="11" customFormat="1">
      <c r="A258" s="33">
        <f t="shared" si="10"/>
        <v>2660</v>
      </c>
      <c r="B258" s="47" t="str">
        <f>VLOOKUP($M258,[3]伙伴品质!$A:$B,2,0)</f>
        <v>赤脚大仙</v>
      </c>
      <c r="C258" s="47">
        <v>2</v>
      </c>
      <c r="D258" s="11">
        <v>4</v>
      </c>
      <c r="E258" s="11">
        <v>4</v>
      </c>
      <c r="F258" s="47">
        <v>0</v>
      </c>
      <c r="G258" s="47">
        <v>2800</v>
      </c>
      <c r="H258" s="35">
        <v>0</v>
      </c>
      <c r="I258" s="35">
        <v>1</v>
      </c>
      <c r="J258" s="35">
        <v>1</v>
      </c>
      <c r="K258" s="87" t="s">
        <v>108</v>
      </c>
      <c r="L258" s="88">
        <v>5</v>
      </c>
      <c r="M258" s="88">
        <v>1107</v>
      </c>
      <c r="N258" s="60">
        <v>1</v>
      </c>
      <c r="O258" s="89">
        <v>1</v>
      </c>
      <c r="P258" s="131">
        <f>INDEX([2]Sheet1!$U:$U,MATCH($M258,[2]Sheet1!$A:$A,0),1)</f>
        <v>4</v>
      </c>
      <c r="Q258" s="131">
        <f t="shared" si="12"/>
        <v>4</v>
      </c>
      <c r="R258" s="131" t="str">
        <f t="shared" si="11"/>
        <v>[2651,1],[2652,1],[2653,1],[2654,1],[2655,1],[2656,1],[2657,1],[2658,1],[2659,1],[2660,1]</v>
      </c>
      <c r="S258" s="131"/>
    </row>
    <row r="259" spans="1:19" s="11" customFormat="1">
      <c r="A259" s="33">
        <f t="shared" si="10"/>
        <v>2661</v>
      </c>
      <c r="B259" s="47" t="str">
        <f>VLOOKUP($M259,[3]伙伴品质!$A:$B,2,0)</f>
        <v>东海龙王</v>
      </c>
      <c r="C259" s="47">
        <v>2</v>
      </c>
      <c r="D259" s="11">
        <v>4</v>
      </c>
      <c r="E259" s="11">
        <v>4</v>
      </c>
      <c r="F259" s="47">
        <v>0</v>
      </c>
      <c r="G259" s="47">
        <v>2800</v>
      </c>
      <c r="H259" s="35">
        <v>0</v>
      </c>
      <c r="I259" s="35">
        <v>1</v>
      </c>
      <c r="J259" s="35">
        <v>1</v>
      </c>
      <c r="K259" s="87" t="s">
        <v>108</v>
      </c>
      <c r="L259" s="88">
        <v>5</v>
      </c>
      <c r="M259" s="88">
        <v>1135</v>
      </c>
      <c r="N259" s="60">
        <v>1</v>
      </c>
      <c r="O259" s="89">
        <v>1</v>
      </c>
      <c r="P259" s="131">
        <f>INDEX([2]Sheet1!$U:$U,MATCH($M259,[2]Sheet1!$A:$A,0),1)</f>
        <v>4</v>
      </c>
      <c r="Q259" s="131">
        <f t="shared" si="12"/>
        <v>4</v>
      </c>
      <c r="R259" s="131" t="str">
        <f t="shared" si="11"/>
        <v>[2651,1],[2652,1],[2653,1],[2654,1],[2655,1],[2656,1],[2657,1],[2658,1],[2659,1],[2660,1],[2661,1]</v>
      </c>
      <c r="S259" s="131"/>
    </row>
    <row r="260" spans="1:19" s="11" customFormat="1">
      <c r="A260" s="33">
        <f t="shared" si="10"/>
        <v>2662</v>
      </c>
      <c r="B260" s="47" t="str">
        <f>VLOOKUP($M260,[3]伙伴品质!$A:$B,2,0)</f>
        <v>小白龙</v>
      </c>
      <c r="C260" s="47">
        <v>2</v>
      </c>
      <c r="D260" s="11">
        <v>4</v>
      </c>
      <c r="E260" s="11">
        <v>4</v>
      </c>
      <c r="F260" s="47">
        <v>0</v>
      </c>
      <c r="G260" s="47">
        <v>2800</v>
      </c>
      <c r="H260" s="35">
        <v>0</v>
      </c>
      <c r="I260" s="35">
        <v>1</v>
      </c>
      <c r="J260" s="35">
        <v>1</v>
      </c>
      <c r="K260" s="87" t="s">
        <v>108</v>
      </c>
      <c r="L260" s="88">
        <v>5</v>
      </c>
      <c r="M260" s="88">
        <v>1123</v>
      </c>
      <c r="N260" s="60">
        <v>1</v>
      </c>
      <c r="O260" s="89">
        <v>1</v>
      </c>
      <c r="P260" s="131">
        <f>INDEX([2]Sheet1!$U:$U,MATCH($M260,[2]Sheet1!$A:$A,0),1)</f>
        <v>4</v>
      </c>
      <c r="Q260" s="131">
        <f t="shared" si="12"/>
        <v>4</v>
      </c>
      <c r="R260" s="131" t="str">
        <f t="shared" si="11"/>
        <v>[2651,1],[2652,1],[2653,1],[2654,1],[2655,1],[2656,1],[2657,1],[2658,1],[2659,1],[2660,1],[2661,1],[2662,1]</v>
      </c>
      <c r="S260" s="131"/>
    </row>
    <row r="261" spans="1:19" s="11" customFormat="1">
      <c r="A261" s="33">
        <f t="shared" si="10"/>
        <v>2663</v>
      </c>
      <c r="B261" s="47" t="str">
        <f>VLOOKUP($M261,[3]伙伴品质!$A:$B,2,0)</f>
        <v>阎罗王</v>
      </c>
      <c r="C261" s="47">
        <v>2</v>
      </c>
      <c r="D261" s="11">
        <v>4</v>
      </c>
      <c r="E261" s="11">
        <v>4</v>
      </c>
      <c r="F261" s="47">
        <v>0</v>
      </c>
      <c r="G261" s="47">
        <v>2800</v>
      </c>
      <c r="H261" s="35">
        <v>0</v>
      </c>
      <c r="I261" s="35">
        <v>1</v>
      </c>
      <c r="J261" s="35">
        <v>1</v>
      </c>
      <c r="K261" s="87" t="s">
        <v>108</v>
      </c>
      <c r="L261" s="88">
        <v>5</v>
      </c>
      <c r="M261" s="88">
        <v>1201</v>
      </c>
      <c r="N261" s="60">
        <v>1</v>
      </c>
      <c r="O261" s="89">
        <v>1</v>
      </c>
      <c r="P261" s="131">
        <f>INDEX([2]Sheet1!$U:$U,MATCH($M261,[2]Sheet1!$A:$A,0),1)</f>
        <v>4</v>
      </c>
      <c r="Q261" s="131">
        <f t="shared" si="12"/>
        <v>4</v>
      </c>
      <c r="R261" s="131" t="str">
        <f t="shared" si="11"/>
        <v>[2651,1],[2652,1],[2653,1],[2654,1],[2655,1],[2656,1],[2657,1],[2658,1],[2659,1],[2660,1],[2661,1],[2662,1],[2663,1]</v>
      </c>
      <c r="S261" s="131"/>
    </row>
    <row r="262" spans="1:19" s="11" customFormat="1">
      <c r="A262" s="33">
        <f t="shared" si="10"/>
        <v>2664</v>
      </c>
      <c r="B262" s="47" t="str">
        <f>VLOOKUP($M262,[3]伙伴品质!$A:$B,2,0)</f>
        <v>太白金星</v>
      </c>
      <c r="C262" s="47">
        <v>2</v>
      </c>
      <c r="D262" s="11">
        <v>4</v>
      </c>
      <c r="E262" s="11">
        <v>4</v>
      </c>
      <c r="F262" s="47">
        <v>0</v>
      </c>
      <c r="G262" s="47">
        <v>2800</v>
      </c>
      <c r="H262" s="35">
        <v>0</v>
      </c>
      <c r="I262" s="35">
        <v>1</v>
      </c>
      <c r="J262" s="35">
        <v>1</v>
      </c>
      <c r="K262" s="87" t="s">
        <v>108</v>
      </c>
      <c r="L262" s="88">
        <v>5</v>
      </c>
      <c r="M262" s="88">
        <v>1106</v>
      </c>
      <c r="N262" s="60">
        <v>1</v>
      </c>
      <c r="O262" s="89">
        <v>1</v>
      </c>
      <c r="P262" s="131">
        <f>INDEX([2]Sheet1!$U:$U,MATCH($M262,[2]Sheet1!$A:$A,0),1)</f>
        <v>4</v>
      </c>
      <c r="Q262" s="131">
        <f t="shared" si="12"/>
        <v>4</v>
      </c>
      <c r="R262" s="131" t="str">
        <f t="shared" si="11"/>
        <v>[2651,1],[2652,1],[2653,1],[2654,1],[2655,1],[2656,1],[2657,1],[2658,1],[2659,1],[2660,1],[2661,1],[2662,1],[2663,1],[2664,1]</v>
      </c>
      <c r="S262" s="131"/>
    </row>
    <row r="263" spans="1:19" s="11" customFormat="1">
      <c r="A263" s="33">
        <f t="shared" si="10"/>
        <v>2665</v>
      </c>
      <c r="B263" s="47" t="str">
        <f>VLOOKUP($M263,[3]伙伴品质!$A:$B,2,0)</f>
        <v>白骨夫人</v>
      </c>
      <c r="C263" s="47">
        <v>2</v>
      </c>
      <c r="D263" s="11">
        <v>4</v>
      </c>
      <c r="E263" s="11">
        <v>4</v>
      </c>
      <c r="F263" s="47">
        <v>0</v>
      </c>
      <c r="G263" s="47">
        <v>2800</v>
      </c>
      <c r="H263" s="35">
        <v>0</v>
      </c>
      <c r="I263" s="35">
        <v>1</v>
      </c>
      <c r="J263" s="35">
        <v>1</v>
      </c>
      <c r="K263" s="87" t="s">
        <v>108</v>
      </c>
      <c r="L263" s="88">
        <v>5</v>
      </c>
      <c r="M263" s="88">
        <v>1116</v>
      </c>
      <c r="N263" s="60">
        <v>1</v>
      </c>
      <c r="O263" s="89">
        <v>1</v>
      </c>
      <c r="P263" s="131">
        <f>INDEX([2]Sheet1!$U:$U,MATCH($M263,[2]Sheet1!$A:$A,0),1)</f>
        <v>4</v>
      </c>
      <c r="Q263" s="131">
        <f t="shared" si="12"/>
        <v>4</v>
      </c>
      <c r="R263" s="131" t="str">
        <f t="shared" si="11"/>
        <v>[2651,1],[2652,1],[2653,1],[2654,1],[2655,1],[2656,1],[2657,1],[2658,1],[2659,1],[2660,1],[2661,1],[2662,1],[2663,1],[2664,1],[2665,1]</v>
      </c>
      <c r="S263" s="131"/>
    </row>
    <row r="264" spans="1:19" s="11" customFormat="1">
      <c r="A264" s="33">
        <f t="shared" ref="A264:A327" si="13">A210+150</f>
        <v>2666</v>
      </c>
      <c r="B264" s="47" t="str">
        <f>VLOOKUP($M264,[3]伙伴品质!$A:$B,2,0)</f>
        <v>六耳猕猴</v>
      </c>
      <c r="C264" s="47">
        <v>2</v>
      </c>
      <c r="D264" s="11">
        <v>4</v>
      </c>
      <c r="E264" s="11">
        <v>4</v>
      </c>
      <c r="F264" s="47">
        <v>0</v>
      </c>
      <c r="G264" s="47">
        <v>2800</v>
      </c>
      <c r="H264" s="35">
        <v>0</v>
      </c>
      <c r="I264" s="35">
        <v>1</v>
      </c>
      <c r="J264" s="35">
        <v>1</v>
      </c>
      <c r="K264" s="87" t="s">
        <v>108</v>
      </c>
      <c r="L264" s="88">
        <v>5</v>
      </c>
      <c r="M264" s="88">
        <v>1117</v>
      </c>
      <c r="N264" s="60">
        <v>1</v>
      </c>
      <c r="O264" s="89">
        <v>1</v>
      </c>
      <c r="P264" s="131">
        <f>INDEX([2]Sheet1!$U:$U,MATCH($M264,[2]Sheet1!$A:$A,0),1)</f>
        <v>4</v>
      </c>
      <c r="Q264" s="131">
        <f t="shared" si="12"/>
        <v>4</v>
      </c>
      <c r="R264" s="131" t="str">
        <f t="shared" si="11"/>
        <v>[2651,1],[2652,1],[2653,1],[2654,1],[2655,1],[2656,1],[2657,1],[2658,1],[2659,1],[2660,1],[2661,1],[2662,1],[2663,1],[2664,1],[2665,1],[2666,1]</v>
      </c>
      <c r="S264" s="131"/>
    </row>
    <row r="265" spans="1:19" s="11" customFormat="1">
      <c r="A265" s="33">
        <f t="shared" si="13"/>
        <v>2667</v>
      </c>
      <c r="B265" s="47" t="str">
        <f>VLOOKUP($M265,[3]伙伴品质!$A:$B,2,0)</f>
        <v>鹿力大仙</v>
      </c>
      <c r="C265" s="47">
        <v>2</v>
      </c>
      <c r="D265" s="11">
        <v>4</v>
      </c>
      <c r="E265" s="11">
        <v>4</v>
      </c>
      <c r="F265" s="47">
        <v>0</v>
      </c>
      <c r="G265" s="47">
        <v>2800</v>
      </c>
      <c r="H265" s="35">
        <v>0</v>
      </c>
      <c r="I265" s="35">
        <v>1</v>
      </c>
      <c r="J265" s="35">
        <v>1</v>
      </c>
      <c r="K265" s="87" t="s">
        <v>108</v>
      </c>
      <c r="L265" s="88">
        <v>5</v>
      </c>
      <c r="M265" s="88">
        <v>1114</v>
      </c>
      <c r="N265" s="60">
        <v>1</v>
      </c>
      <c r="O265" s="89">
        <v>1</v>
      </c>
      <c r="P265" s="131">
        <f>INDEX([2]Sheet1!$U:$U,MATCH($M265,[2]Sheet1!$A:$A,0),1)</f>
        <v>4</v>
      </c>
      <c r="Q265" s="131">
        <f t="shared" si="12"/>
        <v>4</v>
      </c>
      <c r="R265" s="131" t="str">
        <f t="shared" si="11"/>
        <v>[2651,1],[2652,1],[2653,1],[2654,1],[2655,1],[2656,1],[2657,1],[2658,1],[2659,1],[2660,1],[2661,1],[2662,1],[2663,1],[2664,1],[2665,1],[2666,1],[2667,1]</v>
      </c>
      <c r="S265" s="131"/>
    </row>
    <row r="266" spans="1:19" s="11" customFormat="1">
      <c r="A266" s="33">
        <f t="shared" si="13"/>
        <v>2668</v>
      </c>
      <c r="B266" s="47" t="str">
        <f>VLOOKUP($M266,[3]伙伴品质!$A:$B,2,0)</f>
        <v>混世魔王</v>
      </c>
      <c r="C266" s="47">
        <v>2</v>
      </c>
      <c r="D266" s="11">
        <v>4</v>
      </c>
      <c r="E266" s="11">
        <v>4</v>
      </c>
      <c r="F266" s="47">
        <v>0</v>
      </c>
      <c r="G266" s="47">
        <v>2800</v>
      </c>
      <c r="H266" s="35">
        <v>0</v>
      </c>
      <c r="I266" s="35">
        <v>1</v>
      </c>
      <c r="J266" s="35">
        <v>1</v>
      </c>
      <c r="K266" s="87" t="s">
        <v>108</v>
      </c>
      <c r="L266" s="88">
        <v>5</v>
      </c>
      <c r="M266" s="88">
        <v>1132</v>
      </c>
      <c r="N266" s="60">
        <v>1</v>
      </c>
      <c r="O266" s="89">
        <v>1</v>
      </c>
      <c r="P266" s="131">
        <f>INDEX([2]Sheet1!$U:$U,MATCH($M266,[2]Sheet1!$A:$A,0),1)</f>
        <v>4</v>
      </c>
      <c r="Q266" s="131">
        <f t="shared" ref="Q266:Q351" si="14">E266</f>
        <v>4</v>
      </c>
      <c r="R266" s="131" t="str">
        <f t="shared" si="11"/>
        <v>[2651,1],[2652,1],[2653,1],[2654,1],[2655,1],[2656,1],[2657,1],[2658,1],[2659,1],[2660,1],[2661,1],[2662,1],[2663,1],[2664,1],[2665,1],[2666,1],[2667,1],[2668,1]</v>
      </c>
      <c r="S266" s="131"/>
    </row>
    <row r="267" spans="1:19" s="11" customFormat="1">
      <c r="A267" s="33">
        <f t="shared" si="13"/>
        <v>2669</v>
      </c>
      <c r="B267" s="47" t="str">
        <f>VLOOKUP($M267,[3]伙伴品质!$A:$B,2,0)</f>
        <v>蝎子精</v>
      </c>
      <c r="C267" s="47">
        <v>2</v>
      </c>
      <c r="D267" s="11">
        <v>4</v>
      </c>
      <c r="E267" s="11">
        <v>4</v>
      </c>
      <c r="F267" s="47">
        <v>0</v>
      </c>
      <c r="G267" s="47">
        <v>2800</v>
      </c>
      <c r="H267" s="35">
        <v>0</v>
      </c>
      <c r="I267" s="35">
        <v>1</v>
      </c>
      <c r="J267" s="35">
        <v>1</v>
      </c>
      <c r="K267" s="87" t="s">
        <v>108</v>
      </c>
      <c r="L267" s="88">
        <v>5</v>
      </c>
      <c r="M267" s="88">
        <v>1131</v>
      </c>
      <c r="N267" s="60">
        <v>1</v>
      </c>
      <c r="O267" s="89">
        <v>1</v>
      </c>
      <c r="P267" s="131">
        <f>INDEX([2]Sheet1!$U:$U,MATCH($M267,[2]Sheet1!$A:$A,0),1)</f>
        <v>4</v>
      </c>
      <c r="Q267" s="131">
        <f t="shared" si="14"/>
        <v>4</v>
      </c>
      <c r="R267" s="131" t="str">
        <f t="shared" si="11"/>
        <v>[2651,1],[2652,1],[2653,1],[2654,1],[2655,1],[2656,1],[2657,1],[2658,1],[2659,1],[2660,1],[2661,1],[2662,1],[2663,1],[2664,1],[2665,1],[2666,1],[2667,1],[2668,1],[2669,1]</v>
      </c>
      <c r="S267" s="131"/>
    </row>
    <row r="268" spans="1:19" s="11" customFormat="1">
      <c r="A268" s="33">
        <f t="shared" si="13"/>
        <v>2670</v>
      </c>
      <c r="B268" s="47" t="str">
        <f>VLOOKUP($M268,[3]伙伴品质!$A:$B,2,0)</f>
        <v>蜘蛛精</v>
      </c>
      <c r="C268" s="47">
        <v>2</v>
      </c>
      <c r="D268" s="11">
        <v>4</v>
      </c>
      <c r="E268" s="11">
        <v>4</v>
      </c>
      <c r="F268" s="47">
        <v>0</v>
      </c>
      <c r="G268" s="47">
        <v>2800</v>
      </c>
      <c r="H268" s="35">
        <v>0</v>
      </c>
      <c r="I268" s="35">
        <v>1</v>
      </c>
      <c r="J268" s="35">
        <v>1</v>
      </c>
      <c r="K268" s="87" t="s">
        <v>108</v>
      </c>
      <c r="L268" s="88">
        <v>5</v>
      </c>
      <c r="M268" s="88">
        <v>1137</v>
      </c>
      <c r="N268" s="60">
        <v>1</v>
      </c>
      <c r="O268" s="89">
        <v>1</v>
      </c>
      <c r="P268" s="131">
        <f>INDEX([2]Sheet1!$U:$U,MATCH($M268,[2]Sheet1!$A:$A,0),1)</f>
        <v>4</v>
      </c>
      <c r="Q268" s="131">
        <f t="shared" si="14"/>
        <v>4</v>
      </c>
      <c r="R268" s="131" t="str">
        <f t="shared" si="11"/>
        <v>[2651,1],[2652,1],[2653,1],[2654,1],[2655,1],[2656,1],[2657,1],[2658,1],[2659,1],[2660,1],[2661,1],[2662,1],[2663,1],[2664,1],[2665,1],[2666,1],[2667,1],[2668,1],[2669,1],[2670,1]</v>
      </c>
      <c r="S268" s="131"/>
    </row>
    <row r="269" spans="1:19" s="11" customFormat="1">
      <c r="A269" s="33">
        <f t="shared" si="13"/>
        <v>2671</v>
      </c>
      <c r="B269" s="47" t="str">
        <f>VLOOKUP($M269,[3]伙伴品质!$A:$B,2,0)</f>
        <v>彩蝶仙童</v>
      </c>
      <c r="C269" s="47">
        <v>2</v>
      </c>
      <c r="D269" s="11">
        <v>4</v>
      </c>
      <c r="E269" s="11">
        <v>4</v>
      </c>
      <c r="F269" s="47">
        <v>0</v>
      </c>
      <c r="G269" s="47">
        <v>2800</v>
      </c>
      <c r="H269" s="35">
        <v>0</v>
      </c>
      <c r="I269" s="35">
        <v>1</v>
      </c>
      <c r="J269" s="35">
        <v>1</v>
      </c>
      <c r="K269" s="87" t="s">
        <v>108</v>
      </c>
      <c r="L269" s="88">
        <v>5</v>
      </c>
      <c r="M269" s="88">
        <v>1208</v>
      </c>
      <c r="N269" s="60">
        <v>1</v>
      </c>
      <c r="O269" s="89">
        <v>1</v>
      </c>
      <c r="P269" s="131">
        <f>INDEX([2]Sheet1!$U:$U,MATCH($M269,[2]Sheet1!$A:$A,0),1)</f>
        <v>4</v>
      </c>
      <c r="Q269" s="131">
        <f t="shared" si="14"/>
        <v>4</v>
      </c>
      <c r="R269" s="131" t="str">
        <f t="shared" si="11"/>
        <v>[2651,1],[2652,1],[2653,1],[2654,1],[2655,1],[2656,1],[2657,1],[2658,1],[2659,1],[2660,1],[2661,1],[2662,1],[2663,1],[2664,1],[2665,1],[2666,1],[2667,1],[2668,1],[2669,1],[2670,1],[2671,1]</v>
      </c>
      <c r="S269" s="131"/>
    </row>
    <row r="270" spans="1:19" s="10" customFormat="1">
      <c r="A270" s="30">
        <f t="shared" si="13"/>
        <v>2700</v>
      </c>
      <c r="B270" s="46" t="str">
        <f>VLOOKUP($M270,[3]伙伴品质!$A:$B,2,0)</f>
        <v>地藏王</v>
      </c>
      <c r="C270" s="46">
        <v>2</v>
      </c>
      <c r="D270" s="10">
        <v>4</v>
      </c>
      <c r="E270" s="10">
        <v>4</v>
      </c>
      <c r="F270" s="46">
        <v>0</v>
      </c>
      <c r="G270" s="46">
        <v>800</v>
      </c>
      <c r="H270" s="32">
        <v>0</v>
      </c>
      <c r="I270" s="32">
        <v>1</v>
      </c>
      <c r="J270" s="32">
        <v>1</v>
      </c>
      <c r="K270" s="90" t="s">
        <v>108</v>
      </c>
      <c r="L270" s="91">
        <v>5</v>
      </c>
      <c r="M270" s="91">
        <v>1130</v>
      </c>
      <c r="N270" s="59">
        <v>1</v>
      </c>
      <c r="O270" s="92">
        <v>1</v>
      </c>
      <c r="P270" s="132">
        <f>INDEX([2]Sheet1!$U:$U,MATCH($M270,[2]Sheet1!$A:$A,0),1)</f>
        <v>3</v>
      </c>
      <c r="Q270" s="132">
        <f t="shared" si="14"/>
        <v>4</v>
      </c>
      <c r="R270" s="132" t="str">
        <f t="shared" si="11"/>
        <v>[2700,1]</v>
      </c>
      <c r="S270" s="132"/>
    </row>
    <row r="271" spans="1:19" s="10" customFormat="1">
      <c r="A271" s="30">
        <f t="shared" si="13"/>
        <v>2701</v>
      </c>
      <c r="B271" s="46" t="str">
        <f>VLOOKUP($M271,[3]伙伴品质!$A:$B,2,0)</f>
        <v>混沌</v>
      </c>
      <c r="C271" s="46">
        <v>2</v>
      </c>
      <c r="D271" s="10">
        <v>4</v>
      </c>
      <c r="E271" s="10">
        <v>4</v>
      </c>
      <c r="F271" s="46">
        <v>0</v>
      </c>
      <c r="G271" s="46">
        <v>800</v>
      </c>
      <c r="H271" s="32">
        <v>0</v>
      </c>
      <c r="I271" s="32">
        <v>1</v>
      </c>
      <c r="J271" s="32">
        <v>1</v>
      </c>
      <c r="K271" s="90" t="s">
        <v>108</v>
      </c>
      <c r="L271" s="91">
        <v>5</v>
      </c>
      <c r="M271" s="91">
        <v>1118</v>
      </c>
      <c r="N271" s="59">
        <v>1</v>
      </c>
      <c r="O271" s="92">
        <v>1</v>
      </c>
      <c r="P271" s="132">
        <f>INDEX([2]Sheet1!$U:$U,MATCH($M271,[2]Sheet1!$A:$A,0),1)</f>
        <v>3</v>
      </c>
      <c r="Q271" s="132">
        <f t="shared" si="14"/>
        <v>4</v>
      </c>
      <c r="R271" s="132" t="str">
        <f t="shared" si="11"/>
        <v>[2700,1],[2701,1]</v>
      </c>
      <c r="S271" s="132"/>
    </row>
    <row r="272" spans="1:19" s="10" customFormat="1">
      <c r="A272" s="30">
        <f t="shared" si="13"/>
        <v>2702</v>
      </c>
      <c r="B272" s="46" t="str">
        <f>VLOOKUP($M272,[3]伙伴品质!$A:$B,2,0)</f>
        <v>白龙公主</v>
      </c>
      <c r="C272" s="46">
        <v>2</v>
      </c>
      <c r="D272" s="10">
        <v>4</v>
      </c>
      <c r="E272" s="10">
        <v>4</v>
      </c>
      <c r="F272" s="46">
        <v>0</v>
      </c>
      <c r="G272" s="46">
        <v>800</v>
      </c>
      <c r="H272" s="32">
        <v>0</v>
      </c>
      <c r="I272" s="32">
        <v>1</v>
      </c>
      <c r="J272" s="32">
        <v>1</v>
      </c>
      <c r="K272" s="90" t="s">
        <v>108</v>
      </c>
      <c r="L272" s="91">
        <v>5</v>
      </c>
      <c r="M272" s="91">
        <v>1136</v>
      </c>
      <c r="N272" s="59">
        <v>1</v>
      </c>
      <c r="O272" s="92">
        <v>1</v>
      </c>
      <c r="P272" s="132">
        <f>INDEX([2]Sheet1!$U:$U,MATCH($M272,[2]Sheet1!$A:$A,0),1)</f>
        <v>3</v>
      </c>
      <c r="Q272" s="132">
        <f t="shared" si="14"/>
        <v>4</v>
      </c>
      <c r="R272" s="132" t="str">
        <f t="shared" si="11"/>
        <v>[2700,1],[2701,1],[2702,1]</v>
      </c>
      <c r="S272" s="132"/>
    </row>
    <row r="273" spans="1:19" s="10" customFormat="1">
      <c r="A273" s="30">
        <f t="shared" si="13"/>
        <v>2703</v>
      </c>
      <c r="B273" s="46" t="str">
        <f>VLOOKUP($M273,[3]伙伴品质!$A:$B,2,0)</f>
        <v>赛太岁</v>
      </c>
      <c r="C273" s="46">
        <v>2</v>
      </c>
      <c r="D273" s="10">
        <v>4</v>
      </c>
      <c r="E273" s="10">
        <v>4</v>
      </c>
      <c r="F273" s="46">
        <v>0</v>
      </c>
      <c r="G273" s="46">
        <v>800</v>
      </c>
      <c r="H273" s="32">
        <v>0</v>
      </c>
      <c r="I273" s="32">
        <v>1</v>
      </c>
      <c r="J273" s="32">
        <v>1</v>
      </c>
      <c r="K273" s="90" t="s">
        <v>108</v>
      </c>
      <c r="L273" s="91">
        <v>5</v>
      </c>
      <c r="M273" s="91">
        <v>1128</v>
      </c>
      <c r="N273" s="59">
        <v>1</v>
      </c>
      <c r="O273" s="92">
        <v>1</v>
      </c>
      <c r="P273" s="132">
        <f>INDEX([2]Sheet1!$U:$U,MATCH($M273,[2]Sheet1!$A:$A,0),1)</f>
        <v>3</v>
      </c>
      <c r="Q273" s="132">
        <f t="shared" si="14"/>
        <v>4</v>
      </c>
      <c r="R273" s="132" t="str">
        <f t="shared" si="11"/>
        <v>[2700,1],[2701,1],[2702,1],[2703,1]</v>
      </c>
      <c r="S273" s="132"/>
    </row>
    <row r="274" spans="1:19" s="10" customFormat="1">
      <c r="A274" s="30">
        <f t="shared" si="13"/>
        <v>2704</v>
      </c>
      <c r="B274" s="46" t="str">
        <f>VLOOKUP($M274,[3]伙伴品质!$A:$B,2,0)</f>
        <v>琴仙</v>
      </c>
      <c r="C274" s="46">
        <v>2</v>
      </c>
      <c r="D274" s="10">
        <v>4</v>
      </c>
      <c r="E274" s="10">
        <v>4</v>
      </c>
      <c r="F274" s="46">
        <v>0</v>
      </c>
      <c r="G274" s="46">
        <v>800</v>
      </c>
      <c r="H274" s="32">
        <v>0</v>
      </c>
      <c r="I274" s="32">
        <v>1</v>
      </c>
      <c r="J274" s="32">
        <v>1</v>
      </c>
      <c r="K274" s="90" t="s">
        <v>108</v>
      </c>
      <c r="L274" s="91">
        <v>5</v>
      </c>
      <c r="M274" s="91">
        <v>1192</v>
      </c>
      <c r="N274" s="59">
        <v>1</v>
      </c>
      <c r="O274" s="92">
        <v>1</v>
      </c>
      <c r="P274" s="132">
        <f>INDEX([2]Sheet1!$U:$U,MATCH($M274,[2]Sheet1!$A:$A,0),1)</f>
        <v>3</v>
      </c>
      <c r="Q274" s="132">
        <f t="shared" si="14"/>
        <v>4</v>
      </c>
      <c r="R274" s="132" t="str">
        <f t="shared" si="11"/>
        <v>[2700,1],[2701,1],[2702,1],[2703,1],[2704,1]</v>
      </c>
      <c r="S274" s="132"/>
    </row>
    <row r="275" spans="1:19" s="10" customFormat="1">
      <c r="A275" s="30">
        <f t="shared" si="13"/>
        <v>2705</v>
      </c>
      <c r="B275" s="46" t="str">
        <f>VLOOKUP($M275,[3]伙伴品质!$A:$B,2,0)</f>
        <v>黑熊精</v>
      </c>
      <c r="C275" s="46">
        <v>2</v>
      </c>
      <c r="D275" s="10">
        <v>4</v>
      </c>
      <c r="E275" s="10">
        <v>4</v>
      </c>
      <c r="F275" s="46">
        <v>0</v>
      </c>
      <c r="G275" s="46">
        <v>800</v>
      </c>
      <c r="H275" s="32">
        <v>0</v>
      </c>
      <c r="I275" s="32">
        <v>1</v>
      </c>
      <c r="J275" s="32">
        <v>1</v>
      </c>
      <c r="K275" s="90" t="s">
        <v>108</v>
      </c>
      <c r="L275" s="91">
        <v>5</v>
      </c>
      <c r="M275" s="91">
        <v>1152</v>
      </c>
      <c r="N275" s="59">
        <v>1</v>
      </c>
      <c r="O275" s="92">
        <v>1</v>
      </c>
      <c r="P275" s="132">
        <f>INDEX([2]Sheet1!$U:$U,MATCH($M275,[2]Sheet1!$A:$A,0),1)</f>
        <v>3</v>
      </c>
      <c r="Q275" s="132">
        <f t="shared" si="14"/>
        <v>4</v>
      </c>
      <c r="R275" s="132" t="str">
        <f t="shared" ref="R275:R338" si="15">IF($P275&lt;&gt;$P274,"["&amp;$A275&amp;",1]",$R274&amp;IF($O275=1,",["&amp;$A275&amp;",1]",""))</f>
        <v>[2700,1],[2701,1],[2702,1],[2703,1],[2704,1],[2705,1]</v>
      </c>
      <c r="S275" s="132"/>
    </row>
    <row r="276" spans="1:19" s="10" customFormat="1">
      <c r="A276" s="30">
        <f t="shared" si="13"/>
        <v>2706</v>
      </c>
      <c r="B276" s="46" t="str">
        <f>VLOOKUP($M276,[3]伙伴品质!$A:$B,2,0)</f>
        <v>泾河龙王</v>
      </c>
      <c r="C276" s="46">
        <v>2</v>
      </c>
      <c r="D276" s="10">
        <v>4</v>
      </c>
      <c r="E276" s="10">
        <v>4</v>
      </c>
      <c r="F276" s="46">
        <v>0</v>
      </c>
      <c r="G276" s="46">
        <v>800</v>
      </c>
      <c r="H276" s="32">
        <v>0</v>
      </c>
      <c r="I276" s="32">
        <v>1</v>
      </c>
      <c r="J276" s="32">
        <v>1</v>
      </c>
      <c r="K276" s="90" t="s">
        <v>108</v>
      </c>
      <c r="L276" s="91">
        <v>5</v>
      </c>
      <c r="M276" s="91">
        <v>1134</v>
      </c>
      <c r="N276" s="59">
        <v>1</v>
      </c>
      <c r="O276" s="92">
        <v>1</v>
      </c>
      <c r="P276" s="132">
        <f>INDEX([2]Sheet1!$U:$U,MATCH($M276,[2]Sheet1!$A:$A,0),1)</f>
        <v>3</v>
      </c>
      <c r="Q276" s="132">
        <f t="shared" si="14"/>
        <v>4</v>
      </c>
      <c r="R276" s="132" t="str">
        <f t="shared" si="15"/>
        <v>[2700,1],[2701,1],[2702,1],[2703,1],[2704,1],[2705,1],[2706,1]</v>
      </c>
      <c r="S276" s="132"/>
    </row>
    <row r="277" spans="1:19" s="10" customFormat="1">
      <c r="A277" s="30">
        <f t="shared" si="13"/>
        <v>2707</v>
      </c>
      <c r="B277" s="46" t="str">
        <f>VLOOKUP($M277,[3]伙伴品质!$A:$B,2,0)</f>
        <v>雷公</v>
      </c>
      <c r="C277" s="46">
        <v>2</v>
      </c>
      <c r="D277" s="10">
        <v>4</v>
      </c>
      <c r="E277" s="10">
        <v>4</v>
      </c>
      <c r="F277" s="46">
        <v>0</v>
      </c>
      <c r="G277" s="46">
        <v>800</v>
      </c>
      <c r="H277" s="32">
        <v>0</v>
      </c>
      <c r="I277" s="32">
        <v>1</v>
      </c>
      <c r="J277" s="32">
        <v>1</v>
      </c>
      <c r="K277" s="90" t="s">
        <v>108</v>
      </c>
      <c r="L277" s="91">
        <v>5</v>
      </c>
      <c r="M277" s="91">
        <v>1133</v>
      </c>
      <c r="N277" s="59">
        <v>1</v>
      </c>
      <c r="O277" s="92">
        <v>1</v>
      </c>
      <c r="P277" s="132">
        <f>INDEX([2]Sheet1!$U:$U,MATCH($M277,[2]Sheet1!$A:$A,0),1)</f>
        <v>3</v>
      </c>
      <c r="Q277" s="132">
        <f t="shared" si="14"/>
        <v>4</v>
      </c>
      <c r="R277" s="132" t="str">
        <f t="shared" si="15"/>
        <v>[2700,1],[2701,1],[2702,1],[2703,1],[2704,1],[2705,1],[2706,1],[2707,1]</v>
      </c>
      <c r="S277" s="132"/>
    </row>
    <row r="278" spans="1:19" s="10" customFormat="1">
      <c r="A278" s="30">
        <f t="shared" si="13"/>
        <v>2708</v>
      </c>
      <c r="B278" s="46" t="str">
        <f>VLOOKUP($M278,[3]伙伴品质!$A:$B,2,0)</f>
        <v>鬼使黑</v>
      </c>
      <c r="C278" s="46">
        <v>2</v>
      </c>
      <c r="D278" s="10">
        <v>4</v>
      </c>
      <c r="E278" s="10">
        <v>4</v>
      </c>
      <c r="F278" s="46">
        <v>0</v>
      </c>
      <c r="G278" s="46">
        <v>800</v>
      </c>
      <c r="H278" s="32">
        <v>0</v>
      </c>
      <c r="I278" s="32">
        <v>1</v>
      </c>
      <c r="J278" s="32">
        <v>1</v>
      </c>
      <c r="K278" s="90" t="s">
        <v>108</v>
      </c>
      <c r="L278" s="91">
        <v>5</v>
      </c>
      <c r="M278" s="91">
        <v>1203</v>
      </c>
      <c r="N278" s="59">
        <v>1</v>
      </c>
      <c r="O278" s="92">
        <v>1</v>
      </c>
      <c r="P278" s="132">
        <f>INDEX([2]Sheet1!$U:$U,MATCH($M278,[2]Sheet1!$A:$A,0),1)</f>
        <v>3</v>
      </c>
      <c r="Q278" s="132">
        <f t="shared" si="14"/>
        <v>4</v>
      </c>
      <c r="R278" s="132" t="str">
        <f t="shared" si="15"/>
        <v>[2700,1],[2701,1],[2702,1],[2703,1],[2704,1],[2705,1],[2706,1],[2707,1],[2708,1]</v>
      </c>
      <c r="S278" s="132"/>
    </row>
    <row r="279" spans="1:19" s="10" customFormat="1">
      <c r="A279" s="30">
        <f t="shared" si="13"/>
        <v>2709</v>
      </c>
      <c r="B279" s="46" t="str">
        <f>VLOOKUP($M279,[3]伙伴品质!$A:$B,2,0)</f>
        <v>鬼使白</v>
      </c>
      <c r="C279" s="46">
        <v>2</v>
      </c>
      <c r="D279" s="10">
        <v>4</v>
      </c>
      <c r="E279" s="10">
        <v>4</v>
      </c>
      <c r="F279" s="46">
        <v>0</v>
      </c>
      <c r="G279" s="46">
        <v>800</v>
      </c>
      <c r="H279" s="32">
        <v>0</v>
      </c>
      <c r="I279" s="32">
        <v>1</v>
      </c>
      <c r="J279" s="32">
        <v>1</v>
      </c>
      <c r="K279" s="90" t="s">
        <v>108</v>
      </c>
      <c r="L279" s="91">
        <v>5</v>
      </c>
      <c r="M279" s="91">
        <v>1204</v>
      </c>
      <c r="N279" s="59">
        <v>1</v>
      </c>
      <c r="O279" s="92">
        <v>1</v>
      </c>
      <c r="P279" s="132">
        <f>INDEX([2]Sheet1!$U:$U,MATCH($M279,[2]Sheet1!$A:$A,0),1)</f>
        <v>3</v>
      </c>
      <c r="Q279" s="132">
        <f t="shared" si="14"/>
        <v>4</v>
      </c>
      <c r="R279" s="132" t="str">
        <f t="shared" si="15"/>
        <v>[2700,1],[2701,1],[2702,1],[2703,1],[2704,1],[2705,1],[2706,1],[2707,1],[2708,1],[2709,1]</v>
      </c>
      <c r="S279" s="132"/>
    </row>
    <row r="280" spans="1:19" s="10" customFormat="1">
      <c r="A280" s="30">
        <f t="shared" si="13"/>
        <v>2710</v>
      </c>
      <c r="B280" s="46" t="str">
        <f>VLOOKUP($M280,[3]伙伴品质!$A:$B,2,0)</f>
        <v>牛头</v>
      </c>
      <c r="C280" s="46">
        <v>2</v>
      </c>
      <c r="D280" s="10">
        <v>4</v>
      </c>
      <c r="E280" s="10">
        <v>4</v>
      </c>
      <c r="F280" s="46">
        <v>0</v>
      </c>
      <c r="G280" s="46">
        <v>800</v>
      </c>
      <c r="H280" s="32">
        <v>0</v>
      </c>
      <c r="I280" s="32">
        <v>1</v>
      </c>
      <c r="J280" s="32">
        <v>1</v>
      </c>
      <c r="K280" s="90" t="s">
        <v>108</v>
      </c>
      <c r="L280" s="91">
        <v>5</v>
      </c>
      <c r="M280" s="91">
        <v>1206</v>
      </c>
      <c r="N280" s="59">
        <v>1</v>
      </c>
      <c r="O280" s="92">
        <v>1</v>
      </c>
      <c r="P280" s="132">
        <f>INDEX([2]Sheet1!$U:$U,MATCH($M280,[2]Sheet1!$A:$A,0),1)</f>
        <v>3</v>
      </c>
      <c r="Q280" s="132">
        <f t="shared" si="14"/>
        <v>4</v>
      </c>
      <c r="R280" s="132" t="str">
        <f t="shared" si="15"/>
        <v>[2700,1],[2701,1],[2702,1],[2703,1],[2704,1],[2705,1],[2706,1],[2707,1],[2708,1],[2709,1],[2710,1]</v>
      </c>
      <c r="S280" s="132"/>
    </row>
    <row r="281" spans="1:19" s="10" customFormat="1">
      <c r="A281" s="30">
        <f t="shared" si="13"/>
        <v>2711</v>
      </c>
      <c r="B281" s="46" t="str">
        <f>VLOOKUP($M281,[3]伙伴品质!$A:$B,2,0)</f>
        <v>马面</v>
      </c>
      <c r="C281" s="46">
        <v>2</v>
      </c>
      <c r="D281" s="10">
        <v>4</v>
      </c>
      <c r="E281" s="10">
        <v>4</v>
      </c>
      <c r="F281" s="46">
        <v>0</v>
      </c>
      <c r="G281" s="46">
        <v>800</v>
      </c>
      <c r="H281" s="32">
        <v>0</v>
      </c>
      <c r="I281" s="32">
        <v>1</v>
      </c>
      <c r="J281" s="32">
        <v>1</v>
      </c>
      <c r="K281" s="90" t="s">
        <v>108</v>
      </c>
      <c r="L281" s="91">
        <v>5</v>
      </c>
      <c r="M281" s="91">
        <v>1205</v>
      </c>
      <c r="N281" s="59">
        <v>1</v>
      </c>
      <c r="O281" s="92">
        <v>1</v>
      </c>
      <c r="P281" s="132">
        <f>INDEX([2]Sheet1!$U:$U,MATCH($M281,[2]Sheet1!$A:$A,0),1)</f>
        <v>3</v>
      </c>
      <c r="Q281" s="132">
        <f t="shared" si="14"/>
        <v>4</v>
      </c>
      <c r="R281" s="132" t="str">
        <f t="shared" si="15"/>
        <v>[2700,1],[2701,1],[2702,1],[2703,1],[2704,1],[2705,1],[2706,1],[2707,1],[2708,1],[2709,1],[2710,1],[2711,1]</v>
      </c>
      <c r="S281" s="132"/>
    </row>
    <row r="282" spans="1:19" s="10" customFormat="1">
      <c r="A282" s="30">
        <f t="shared" si="13"/>
        <v>2712</v>
      </c>
      <c r="B282" s="46" t="str">
        <f>VLOOKUP($M282,[3]伙伴品质!$A:$B,2,0)</f>
        <v>金钱豹王</v>
      </c>
      <c r="C282" s="46">
        <v>2</v>
      </c>
      <c r="D282" s="10">
        <v>4</v>
      </c>
      <c r="E282" s="10">
        <v>4</v>
      </c>
      <c r="F282" s="46">
        <v>0</v>
      </c>
      <c r="G282" s="46">
        <v>800</v>
      </c>
      <c r="H282" s="32">
        <v>0</v>
      </c>
      <c r="I282" s="32">
        <v>1</v>
      </c>
      <c r="J282" s="32">
        <v>1</v>
      </c>
      <c r="K282" s="90" t="s">
        <v>108</v>
      </c>
      <c r="L282" s="91">
        <v>5</v>
      </c>
      <c r="M282" s="91">
        <v>1139</v>
      </c>
      <c r="N282" s="59">
        <v>1</v>
      </c>
      <c r="O282" s="92">
        <v>1</v>
      </c>
      <c r="P282" s="132">
        <f>INDEX([2]Sheet1!$U:$U,MATCH($M282,[2]Sheet1!$A:$A,0),1)</f>
        <v>3</v>
      </c>
      <c r="Q282" s="132">
        <f t="shared" si="14"/>
        <v>4</v>
      </c>
      <c r="R282" s="132" t="str">
        <f t="shared" si="15"/>
        <v>[2700,1],[2701,1],[2702,1],[2703,1],[2704,1],[2705,1],[2706,1],[2707,1],[2708,1],[2709,1],[2710,1],[2711,1],[2712,1]</v>
      </c>
      <c r="S282" s="132"/>
    </row>
    <row r="283" spans="1:19" s="10" customFormat="1">
      <c r="A283" s="30">
        <f t="shared" si="13"/>
        <v>2713</v>
      </c>
      <c r="B283" s="46" t="str">
        <f>VLOOKUP($M283,[3]伙伴品质!$A:$B,2,0)</f>
        <v>墨鱼精</v>
      </c>
      <c r="C283" s="46">
        <v>2</v>
      </c>
      <c r="D283" s="10">
        <v>4</v>
      </c>
      <c r="E283" s="10">
        <v>4</v>
      </c>
      <c r="F283" s="46">
        <v>0</v>
      </c>
      <c r="G283" s="46">
        <v>800</v>
      </c>
      <c r="H283" s="32">
        <v>0</v>
      </c>
      <c r="I283" s="32">
        <v>1</v>
      </c>
      <c r="J283" s="32">
        <v>1</v>
      </c>
      <c r="K283" s="90" t="s">
        <v>108</v>
      </c>
      <c r="L283" s="91">
        <v>5</v>
      </c>
      <c r="M283" s="91">
        <v>1140</v>
      </c>
      <c r="N283" s="59">
        <v>1</v>
      </c>
      <c r="O283" s="92">
        <v>1</v>
      </c>
      <c r="P283" s="132">
        <f>INDEX([2]Sheet1!$U:$U,MATCH($M283,[2]Sheet1!$A:$A,0),1)</f>
        <v>3</v>
      </c>
      <c r="Q283" s="132">
        <f t="shared" si="14"/>
        <v>4</v>
      </c>
      <c r="R283" s="132" t="str">
        <f t="shared" si="15"/>
        <v>[2700,1],[2701,1],[2702,1],[2703,1],[2704,1],[2705,1],[2706,1],[2707,1],[2708,1],[2709,1],[2710,1],[2711,1],[2712,1],[2713,1]</v>
      </c>
      <c r="S283" s="132"/>
    </row>
    <row r="284" spans="1:19" s="10" customFormat="1">
      <c r="A284" s="30">
        <f t="shared" si="13"/>
        <v>2714</v>
      </c>
      <c r="B284" s="46" t="str">
        <f>VLOOKUP($M284,[3]伙伴品质!$A:$B,2,0)</f>
        <v>玉面夫人</v>
      </c>
      <c r="C284" s="46">
        <v>2</v>
      </c>
      <c r="D284" s="10">
        <v>4</v>
      </c>
      <c r="E284" s="10">
        <v>4</v>
      </c>
      <c r="F284" s="46">
        <v>0</v>
      </c>
      <c r="G284" s="46">
        <v>800</v>
      </c>
      <c r="H284" s="32">
        <v>0</v>
      </c>
      <c r="I284" s="32">
        <v>1</v>
      </c>
      <c r="J284" s="32">
        <v>1</v>
      </c>
      <c r="K284" s="90" t="s">
        <v>108</v>
      </c>
      <c r="L284" s="91">
        <v>5</v>
      </c>
      <c r="M284" s="91">
        <v>1138</v>
      </c>
      <c r="N284" s="59">
        <v>1</v>
      </c>
      <c r="O284" s="92">
        <v>1</v>
      </c>
      <c r="P284" s="132">
        <f>INDEX([2]Sheet1!$U:$U,MATCH($M284,[2]Sheet1!$A:$A,0),1)</f>
        <v>3</v>
      </c>
      <c r="Q284" s="132">
        <f t="shared" si="14"/>
        <v>4</v>
      </c>
      <c r="R284" s="132" t="str">
        <f t="shared" si="15"/>
        <v>[2700,1],[2701,1],[2702,1],[2703,1],[2704,1],[2705,1],[2706,1],[2707,1],[2708,1],[2709,1],[2710,1],[2711,1],[2712,1],[2713,1],[2714,1]</v>
      </c>
      <c r="S284" s="132"/>
    </row>
    <row r="285" spans="1:19" s="10" customFormat="1">
      <c r="A285" s="30">
        <f t="shared" si="13"/>
        <v>2715</v>
      </c>
      <c r="B285" s="46" t="str">
        <f>VLOOKUP($M285,[3]伙伴品质!$A:$B,2,0)</f>
        <v>扇子精</v>
      </c>
      <c r="C285" s="46">
        <v>2</v>
      </c>
      <c r="D285" s="10">
        <v>4</v>
      </c>
      <c r="E285" s="10">
        <v>4</v>
      </c>
      <c r="F285" s="46">
        <v>0</v>
      </c>
      <c r="G285" s="46">
        <v>800</v>
      </c>
      <c r="H285" s="32">
        <v>0</v>
      </c>
      <c r="I285" s="32">
        <v>1</v>
      </c>
      <c r="J285" s="32">
        <v>1</v>
      </c>
      <c r="K285" s="90" t="s">
        <v>108</v>
      </c>
      <c r="L285" s="91">
        <v>5</v>
      </c>
      <c r="M285" s="91">
        <v>1226</v>
      </c>
      <c r="N285" s="59">
        <v>1</v>
      </c>
      <c r="O285" s="92">
        <v>1</v>
      </c>
      <c r="P285" s="132">
        <f>INDEX([2]Sheet1!$U:$U,MATCH($M285,[2]Sheet1!$A:$A,0),1)</f>
        <v>3</v>
      </c>
      <c r="Q285" s="132">
        <f t="shared" ref="Q285:Q338" si="16">E285</f>
        <v>4</v>
      </c>
      <c r="R285" s="132" t="str">
        <f t="shared" si="15"/>
        <v>[2700,1],[2701,1],[2702,1],[2703,1],[2704,1],[2705,1],[2706,1],[2707,1],[2708,1],[2709,1],[2710,1],[2711,1],[2712,1],[2713,1],[2714,1],[2715,1]</v>
      </c>
      <c r="S285" s="132"/>
    </row>
    <row r="286" spans="1:19" s="10" customFormat="1">
      <c r="A286" s="30">
        <f t="shared" si="13"/>
        <v>2716</v>
      </c>
      <c r="B286" s="46" t="str">
        <f>VLOOKUP($M286,[3]伙伴品质!$A:$B,2,0)</f>
        <v>玉兔</v>
      </c>
      <c r="C286" s="46">
        <v>2</v>
      </c>
      <c r="D286" s="10">
        <v>4</v>
      </c>
      <c r="E286" s="10">
        <v>4</v>
      </c>
      <c r="F286" s="46">
        <v>0</v>
      </c>
      <c r="G286" s="46">
        <v>800</v>
      </c>
      <c r="H286" s="32">
        <v>0</v>
      </c>
      <c r="I286" s="32">
        <v>1</v>
      </c>
      <c r="J286" s="32">
        <v>1</v>
      </c>
      <c r="K286" s="90" t="s">
        <v>108</v>
      </c>
      <c r="L286" s="91">
        <v>5</v>
      </c>
      <c r="M286" s="91">
        <v>1141</v>
      </c>
      <c r="N286" s="59">
        <v>1</v>
      </c>
      <c r="O286" s="92">
        <v>1</v>
      </c>
      <c r="P286" s="132">
        <f>INDEX([2]Sheet1!$U:$U,MATCH($M286,[2]Sheet1!$A:$A,0),1)</f>
        <v>3</v>
      </c>
      <c r="Q286" s="132">
        <f t="shared" si="16"/>
        <v>4</v>
      </c>
      <c r="R286" s="132" t="str">
        <f t="shared" si="15"/>
        <v>[2700,1],[2701,1],[2702,1],[2703,1],[2704,1],[2705,1],[2706,1],[2707,1],[2708,1],[2709,1],[2710,1],[2711,1],[2712,1],[2713,1],[2714,1],[2715,1],[2716,1]</v>
      </c>
      <c r="S286" s="132"/>
    </row>
    <row r="287" spans="1:19" s="10" customFormat="1">
      <c r="A287" s="30">
        <f t="shared" si="13"/>
        <v>2717</v>
      </c>
      <c r="B287" s="46" t="str">
        <f>VLOOKUP($M287,[3]伙伴品质!$A:$B,2,0)</f>
        <v>蟹将</v>
      </c>
      <c r="C287" s="46">
        <v>2</v>
      </c>
      <c r="D287" s="10">
        <v>4</v>
      </c>
      <c r="E287" s="10">
        <v>4</v>
      </c>
      <c r="F287" s="46">
        <v>0</v>
      </c>
      <c r="G287" s="46">
        <v>800</v>
      </c>
      <c r="H287" s="32">
        <v>0</v>
      </c>
      <c r="I287" s="32">
        <v>1</v>
      </c>
      <c r="J287" s="32">
        <v>1</v>
      </c>
      <c r="K287" s="90" t="s">
        <v>108</v>
      </c>
      <c r="L287" s="91">
        <v>5</v>
      </c>
      <c r="M287" s="91">
        <v>1504</v>
      </c>
      <c r="N287" s="59">
        <v>1</v>
      </c>
      <c r="O287" s="92">
        <v>1</v>
      </c>
      <c r="P287" s="132">
        <f>INDEX([2]Sheet1!$U:$U,MATCH($M287,[2]Sheet1!$A:$A,0),1)</f>
        <v>3</v>
      </c>
      <c r="Q287" s="132">
        <f t="shared" si="16"/>
        <v>4</v>
      </c>
      <c r="R287" s="132" t="str">
        <f t="shared" si="15"/>
        <v>[2700,1],[2701,1],[2702,1],[2703,1],[2704,1],[2705,1],[2706,1],[2707,1],[2708,1],[2709,1],[2710,1],[2711,1],[2712,1],[2713,1],[2714,1],[2715,1],[2716,1],[2717,1]</v>
      </c>
      <c r="S287" s="132"/>
    </row>
    <row r="288" spans="1:19" s="65" customFormat="1">
      <c r="A288" s="64">
        <f t="shared" si="13"/>
        <v>2750</v>
      </c>
      <c r="B288" s="66" t="str">
        <f>VLOOKUP($M288,[3]伙伴品质!$A:$B,2,0)</f>
        <v>弥勒佛</v>
      </c>
      <c r="C288" s="66">
        <v>2</v>
      </c>
      <c r="D288" s="65">
        <v>4</v>
      </c>
      <c r="E288" s="65">
        <v>2</v>
      </c>
      <c r="F288" s="66">
        <v>0</v>
      </c>
      <c r="G288" s="66">
        <v>4000</v>
      </c>
      <c r="H288" s="67">
        <v>0</v>
      </c>
      <c r="I288" s="67">
        <v>1</v>
      </c>
      <c r="J288" s="67">
        <v>1</v>
      </c>
      <c r="K288" s="84" t="s">
        <v>108</v>
      </c>
      <c r="L288" s="85">
        <v>5</v>
      </c>
      <c r="M288" s="85">
        <v>1127</v>
      </c>
      <c r="N288" s="68">
        <v>1</v>
      </c>
      <c r="O288" s="86">
        <v>1</v>
      </c>
      <c r="P288" s="129">
        <f>INDEX([2]Sheet1!$U:$U,MATCH($M288,[2]Sheet1!$A:$A,0),1)</f>
        <v>5</v>
      </c>
      <c r="Q288" s="129">
        <f t="shared" si="16"/>
        <v>2</v>
      </c>
      <c r="R288" s="129" t="str">
        <f t="shared" si="15"/>
        <v>[2750,1]</v>
      </c>
      <c r="S288" s="129"/>
    </row>
    <row r="289" spans="1:19" s="65" customFormat="1">
      <c r="A289" s="64">
        <f t="shared" si="13"/>
        <v>2751</v>
      </c>
      <c r="B289" s="66" t="str">
        <f>VLOOKUP($M289,[3]伙伴品质!$A:$B,2,0)</f>
        <v>金蝉子</v>
      </c>
      <c r="C289" s="66">
        <v>2</v>
      </c>
      <c r="D289" s="65">
        <v>4</v>
      </c>
      <c r="E289" s="65">
        <v>2</v>
      </c>
      <c r="F289" s="66">
        <v>0</v>
      </c>
      <c r="G289" s="66">
        <v>4000</v>
      </c>
      <c r="H289" s="67">
        <v>0</v>
      </c>
      <c r="I289" s="67">
        <v>1</v>
      </c>
      <c r="J289" s="67">
        <v>1</v>
      </c>
      <c r="K289" s="84" t="s">
        <v>108</v>
      </c>
      <c r="L289" s="85">
        <v>5</v>
      </c>
      <c r="M289" s="85">
        <v>1212</v>
      </c>
      <c r="N289" s="68">
        <v>1</v>
      </c>
      <c r="O289" s="86">
        <v>1</v>
      </c>
      <c r="P289" s="129">
        <f>INDEX([2]Sheet1!$U:$U,MATCH($M289,[2]Sheet1!$A:$A,0),1)</f>
        <v>5</v>
      </c>
      <c r="Q289" s="129">
        <f t="shared" si="16"/>
        <v>2</v>
      </c>
      <c r="R289" s="129" t="str">
        <f t="shared" si="15"/>
        <v>[2750,1],[2751,1]</v>
      </c>
      <c r="S289" s="129"/>
    </row>
    <row r="290" spans="1:19" s="65" customFormat="1">
      <c r="A290" s="64">
        <f t="shared" si="13"/>
        <v>2752</v>
      </c>
      <c r="B290" s="66" t="str">
        <f>VLOOKUP($M290,[3]伙伴品质!$A:$B,2,0)</f>
        <v>龙帝</v>
      </c>
      <c r="C290" s="66">
        <v>2</v>
      </c>
      <c r="D290" s="65">
        <v>4</v>
      </c>
      <c r="E290" s="65">
        <v>2</v>
      </c>
      <c r="F290" s="66">
        <v>0</v>
      </c>
      <c r="G290" s="66">
        <v>4000</v>
      </c>
      <c r="H290" s="67">
        <v>0</v>
      </c>
      <c r="I290" s="67">
        <v>1</v>
      </c>
      <c r="J290" s="67">
        <v>1</v>
      </c>
      <c r="K290" s="84" t="s">
        <v>108</v>
      </c>
      <c r="L290" s="85">
        <v>5</v>
      </c>
      <c r="M290" s="85">
        <v>1213</v>
      </c>
      <c r="N290" s="68">
        <v>1</v>
      </c>
      <c r="O290" s="86">
        <v>1</v>
      </c>
      <c r="P290" s="129">
        <f>INDEX([2]Sheet1!$U:$U,MATCH($M290,[2]Sheet1!$A:$A,0),1)</f>
        <v>5</v>
      </c>
      <c r="Q290" s="129">
        <f t="shared" si="16"/>
        <v>2</v>
      </c>
      <c r="R290" s="129" t="str">
        <f t="shared" si="15"/>
        <v>[2750,1],[2751,1],[2752,1]</v>
      </c>
      <c r="S290" s="129"/>
    </row>
    <row r="291" spans="1:19" s="65" customFormat="1">
      <c r="A291" s="64">
        <f t="shared" si="13"/>
        <v>2753</v>
      </c>
      <c r="B291" s="66" t="str">
        <f>VLOOKUP($M291,[3]伙伴品质!$A:$B,2,0)</f>
        <v>八部天龙</v>
      </c>
      <c r="C291" s="66">
        <v>2</v>
      </c>
      <c r="D291" s="65">
        <v>4</v>
      </c>
      <c r="E291" s="65">
        <v>2</v>
      </c>
      <c r="F291" s="66">
        <v>0</v>
      </c>
      <c r="G291" s="66">
        <v>4000</v>
      </c>
      <c r="H291" s="67">
        <v>0</v>
      </c>
      <c r="I291" s="67">
        <v>1</v>
      </c>
      <c r="J291" s="67">
        <v>1</v>
      </c>
      <c r="K291" s="84" t="s">
        <v>108</v>
      </c>
      <c r="L291" s="85">
        <v>5</v>
      </c>
      <c r="M291" s="85">
        <v>1214</v>
      </c>
      <c r="N291" s="68">
        <v>1</v>
      </c>
      <c r="O291" s="86">
        <v>1</v>
      </c>
      <c r="P291" s="129">
        <f>INDEX([2]Sheet1!$U:$U,MATCH($M291,[2]Sheet1!$A:$A,0),1)</f>
        <v>5</v>
      </c>
      <c r="Q291" s="129">
        <f t="shared" si="16"/>
        <v>2</v>
      </c>
      <c r="R291" s="129" t="str">
        <f t="shared" si="15"/>
        <v>[2750,1],[2751,1],[2752,1],[2753,1]</v>
      </c>
      <c r="S291" s="129"/>
    </row>
    <row r="292" spans="1:19" s="65" customFormat="1">
      <c r="A292" s="64">
        <f t="shared" si="13"/>
        <v>2754</v>
      </c>
      <c r="B292" s="66" t="str">
        <f>VLOOKUP($M292,[3]伙伴品质!$A:$B,2,0)</f>
        <v>观世音</v>
      </c>
      <c r="C292" s="66">
        <v>2</v>
      </c>
      <c r="D292" s="65">
        <v>4</v>
      </c>
      <c r="E292" s="65">
        <v>2</v>
      </c>
      <c r="F292" s="66">
        <v>0</v>
      </c>
      <c r="G292" s="66">
        <v>4000</v>
      </c>
      <c r="H292" s="67">
        <v>0</v>
      </c>
      <c r="I292" s="67">
        <v>1</v>
      </c>
      <c r="J292" s="67">
        <v>1</v>
      </c>
      <c r="K292" s="84" t="s">
        <v>108</v>
      </c>
      <c r="L292" s="85">
        <v>5</v>
      </c>
      <c r="M292" s="85">
        <v>1215</v>
      </c>
      <c r="N292" s="68">
        <v>1</v>
      </c>
      <c r="O292" s="86">
        <v>1</v>
      </c>
      <c r="P292" s="129">
        <f>INDEX([2]Sheet1!$U:$U,MATCH($M292,[2]Sheet1!$A:$A,0),1)</f>
        <v>5</v>
      </c>
      <c r="Q292" s="129">
        <f t="shared" si="16"/>
        <v>2</v>
      </c>
      <c r="R292" s="129" t="str">
        <f t="shared" si="15"/>
        <v>[2750,1],[2751,1],[2752,1],[2753,1],[2754,1]</v>
      </c>
      <c r="S292" s="129"/>
    </row>
    <row r="293" spans="1:19" s="65" customFormat="1">
      <c r="A293" s="64">
        <f t="shared" si="13"/>
        <v>2755</v>
      </c>
      <c r="B293" s="66" t="str">
        <f>VLOOKUP($M293,[3]伙伴品质!$A:$B,2,0)</f>
        <v>托塔天王</v>
      </c>
      <c r="C293" s="66">
        <v>2</v>
      </c>
      <c r="D293" s="65">
        <v>4</v>
      </c>
      <c r="E293" s="65">
        <v>2</v>
      </c>
      <c r="F293" s="66">
        <v>0</v>
      </c>
      <c r="G293" s="66">
        <v>4000</v>
      </c>
      <c r="H293" s="67">
        <v>0</v>
      </c>
      <c r="I293" s="67">
        <v>1</v>
      </c>
      <c r="J293" s="67">
        <v>1</v>
      </c>
      <c r="K293" s="84" t="s">
        <v>108</v>
      </c>
      <c r="L293" s="85">
        <v>5</v>
      </c>
      <c r="M293" s="85">
        <v>1108</v>
      </c>
      <c r="N293" s="68">
        <v>1</v>
      </c>
      <c r="O293" s="86">
        <v>1</v>
      </c>
      <c r="P293" s="129">
        <f>INDEX([2]Sheet1!$U:$U,MATCH($M293,[2]Sheet1!$A:$A,0),1)</f>
        <v>5</v>
      </c>
      <c r="Q293" s="129">
        <f t="shared" si="16"/>
        <v>2</v>
      </c>
      <c r="R293" s="129" t="str">
        <f t="shared" si="15"/>
        <v>[2750,1],[2751,1],[2752,1],[2753,1],[2754,1],[2755,1]</v>
      </c>
      <c r="S293" s="129"/>
    </row>
    <row r="294" spans="1:19" s="65" customFormat="1">
      <c r="A294" s="64">
        <f t="shared" si="13"/>
        <v>2756</v>
      </c>
      <c r="B294" s="66" t="str">
        <f>VLOOKUP($M294,[3]伙伴品质!$A:$B,2,0)</f>
        <v>黑无常</v>
      </c>
      <c r="C294" s="66">
        <v>2</v>
      </c>
      <c r="D294" s="65">
        <v>4</v>
      </c>
      <c r="E294" s="65">
        <v>2</v>
      </c>
      <c r="F294" s="66">
        <v>0</v>
      </c>
      <c r="G294" s="66">
        <v>4000</v>
      </c>
      <c r="H294" s="67">
        <v>0</v>
      </c>
      <c r="I294" s="67">
        <v>1</v>
      </c>
      <c r="J294" s="67">
        <v>1</v>
      </c>
      <c r="K294" s="84" t="s">
        <v>108</v>
      </c>
      <c r="L294" s="85">
        <v>5</v>
      </c>
      <c r="M294" s="85">
        <v>1219</v>
      </c>
      <c r="N294" s="68">
        <v>1</v>
      </c>
      <c r="O294" s="86">
        <v>1</v>
      </c>
      <c r="P294" s="129">
        <f>INDEX([2]Sheet1!$U:$U,MATCH($M294,[2]Sheet1!$A:$A,0),1)</f>
        <v>5</v>
      </c>
      <c r="Q294" s="129">
        <f t="shared" si="16"/>
        <v>2</v>
      </c>
      <c r="R294" s="129" t="str">
        <f t="shared" si="15"/>
        <v>[2750,1],[2751,1],[2752,1],[2753,1],[2754,1],[2755,1],[2756,1]</v>
      </c>
      <c r="S294" s="129"/>
    </row>
    <row r="295" spans="1:19" s="65" customFormat="1">
      <c r="A295" s="64">
        <f t="shared" si="13"/>
        <v>2757</v>
      </c>
      <c r="B295" s="66" t="str">
        <f>VLOOKUP($M295,[3]伙伴品质!$A:$B,2,0)</f>
        <v>哪吒</v>
      </c>
      <c r="C295" s="66">
        <v>2</v>
      </c>
      <c r="D295" s="65">
        <v>4</v>
      </c>
      <c r="E295" s="65">
        <v>2</v>
      </c>
      <c r="F295" s="66">
        <v>0</v>
      </c>
      <c r="G295" s="66">
        <v>4000</v>
      </c>
      <c r="H295" s="67">
        <v>0</v>
      </c>
      <c r="I295" s="67">
        <v>1</v>
      </c>
      <c r="J295" s="67">
        <v>1</v>
      </c>
      <c r="K295" s="84" t="s">
        <v>108</v>
      </c>
      <c r="L295" s="85">
        <v>5</v>
      </c>
      <c r="M295" s="85">
        <v>1102</v>
      </c>
      <c r="N295" s="68">
        <v>1</v>
      </c>
      <c r="O295" s="86">
        <v>1</v>
      </c>
      <c r="P295" s="129">
        <f>INDEX([2]Sheet1!$U:$U,MATCH($M295,[2]Sheet1!$A:$A,0),1)</f>
        <v>5</v>
      </c>
      <c r="Q295" s="129">
        <f t="shared" si="16"/>
        <v>2</v>
      </c>
      <c r="R295" s="129" t="str">
        <f t="shared" si="15"/>
        <v>[2750,1],[2751,1],[2752,1],[2753,1],[2754,1],[2755,1],[2756,1],[2757,1]</v>
      </c>
      <c r="S295" s="129"/>
    </row>
    <row r="296" spans="1:19" s="65" customFormat="1">
      <c r="A296" s="64">
        <f t="shared" si="13"/>
        <v>2758</v>
      </c>
      <c r="B296" s="66" t="str">
        <f>VLOOKUP($M296,[3]伙伴品质!$A:$B,2,0)</f>
        <v>白无常</v>
      </c>
      <c r="C296" s="66">
        <v>2</v>
      </c>
      <c r="D296" s="65">
        <v>4</v>
      </c>
      <c r="E296" s="65">
        <v>2</v>
      </c>
      <c r="F296" s="66">
        <v>0</v>
      </c>
      <c r="G296" s="66">
        <v>4000</v>
      </c>
      <c r="H296" s="67">
        <v>0</v>
      </c>
      <c r="I296" s="67">
        <v>1</v>
      </c>
      <c r="J296" s="67">
        <v>1</v>
      </c>
      <c r="K296" s="84" t="s">
        <v>108</v>
      </c>
      <c r="L296" s="85">
        <v>5</v>
      </c>
      <c r="M296" s="85">
        <v>1218</v>
      </c>
      <c r="N296" s="68">
        <v>1</v>
      </c>
      <c r="O296" s="86">
        <v>1</v>
      </c>
      <c r="P296" s="129">
        <f>INDEX([2]Sheet1!$U:$U,MATCH($M296,[2]Sheet1!$A:$A,0),1)</f>
        <v>5</v>
      </c>
      <c r="Q296" s="129">
        <f t="shared" si="16"/>
        <v>2</v>
      </c>
      <c r="R296" s="129" t="str">
        <f t="shared" si="15"/>
        <v>[2750,1],[2751,1],[2752,1],[2753,1],[2754,1],[2755,1],[2756,1],[2757,1],[2758,1]</v>
      </c>
      <c r="S296" s="129"/>
    </row>
    <row r="297" spans="1:19" s="65" customFormat="1">
      <c r="A297" s="64">
        <f t="shared" si="13"/>
        <v>2759</v>
      </c>
      <c r="B297" s="66" t="str">
        <f>VLOOKUP($M297,[3]伙伴品质!$A:$B,2,0)</f>
        <v>嫦娥</v>
      </c>
      <c r="C297" s="66">
        <v>2</v>
      </c>
      <c r="D297" s="65">
        <v>4</v>
      </c>
      <c r="E297" s="65">
        <v>2</v>
      </c>
      <c r="F297" s="66">
        <v>0</v>
      </c>
      <c r="G297" s="66">
        <v>4000</v>
      </c>
      <c r="H297" s="67">
        <v>0</v>
      </c>
      <c r="I297" s="67">
        <v>1</v>
      </c>
      <c r="J297" s="67">
        <v>1</v>
      </c>
      <c r="K297" s="84" t="s">
        <v>108</v>
      </c>
      <c r="L297" s="85">
        <v>5</v>
      </c>
      <c r="M297" s="85">
        <v>1103</v>
      </c>
      <c r="N297" s="68">
        <v>1</v>
      </c>
      <c r="O297" s="86">
        <v>1</v>
      </c>
      <c r="P297" s="129">
        <f>INDEX([2]Sheet1!$U:$U,MATCH($M297,[2]Sheet1!$A:$A,0),1)</f>
        <v>5</v>
      </c>
      <c r="Q297" s="129">
        <f t="shared" si="16"/>
        <v>2</v>
      </c>
      <c r="R297" s="129" t="str">
        <f t="shared" si="15"/>
        <v>[2750,1],[2751,1],[2752,1],[2753,1],[2754,1],[2755,1],[2756,1],[2757,1],[2758,1],[2759,1]</v>
      </c>
      <c r="S297" s="129"/>
    </row>
    <row r="298" spans="1:19" s="65" customFormat="1">
      <c r="A298" s="64">
        <f t="shared" si="13"/>
        <v>2760</v>
      </c>
      <c r="B298" s="66" t="str">
        <f>VLOOKUP($M298,[3]伙伴品质!$A:$B,2,0)</f>
        <v>铁扇公主</v>
      </c>
      <c r="C298" s="66">
        <v>2</v>
      </c>
      <c r="D298" s="65">
        <v>4</v>
      </c>
      <c r="E298" s="65">
        <v>2</v>
      </c>
      <c r="F298" s="66">
        <v>0</v>
      </c>
      <c r="G298" s="66">
        <v>4000</v>
      </c>
      <c r="H298" s="67">
        <v>0</v>
      </c>
      <c r="I298" s="67">
        <v>1</v>
      </c>
      <c r="J298" s="67">
        <v>1</v>
      </c>
      <c r="K298" s="84" t="s">
        <v>108</v>
      </c>
      <c r="L298" s="85">
        <v>5</v>
      </c>
      <c r="M298" s="85">
        <v>1111</v>
      </c>
      <c r="N298" s="68">
        <v>1</v>
      </c>
      <c r="O298" s="86">
        <v>1</v>
      </c>
      <c r="P298" s="129">
        <f>INDEX([2]Sheet1!$U:$U,MATCH($M298,[2]Sheet1!$A:$A,0),1)</f>
        <v>5</v>
      </c>
      <c r="Q298" s="129">
        <f t="shared" si="16"/>
        <v>2</v>
      </c>
      <c r="R298" s="129" t="str">
        <f t="shared" si="15"/>
        <v>[2750,1],[2751,1],[2752,1],[2753,1],[2754,1],[2755,1],[2756,1],[2757,1],[2758,1],[2759,1],[2760,1]</v>
      </c>
      <c r="S298" s="129"/>
    </row>
    <row r="299" spans="1:19" s="65" customFormat="1">
      <c r="A299" s="64">
        <f t="shared" si="13"/>
        <v>2761</v>
      </c>
      <c r="B299" s="66" t="str">
        <f>VLOOKUP($M299,[3]伙伴品质!$A:$B,2,0)</f>
        <v>牛魔王</v>
      </c>
      <c r="C299" s="66">
        <v>2</v>
      </c>
      <c r="D299" s="65">
        <v>4</v>
      </c>
      <c r="E299" s="65">
        <v>2</v>
      </c>
      <c r="F299" s="66">
        <v>0</v>
      </c>
      <c r="G299" s="66">
        <v>4000</v>
      </c>
      <c r="H299" s="67">
        <v>0</v>
      </c>
      <c r="I299" s="67">
        <v>1</v>
      </c>
      <c r="J299" s="67">
        <v>1</v>
      </c>
      <c r="K299" s="84" t="s">
        <v>108</v>
      </c>
      <c r="L299" s="85">
        <v>5</v>
      </c>
      <c r="M299" s="85">
        <v>1112</v>
      </c>
      <c r="N299" s="68">
        <v>1</v>
      </c>
      <c r="O299" s="86">
        <v>1</v>
      </c>
      <c r="P299" s="129">
        <f>INDEX([2]Sheet1!$U:$U,MATCH($M299,[2]Sheet1!$A:$A,0),1)</f>
        <v>5</v>
      </c>
      <c r="Q299" s="129">
        <f t="shared" si="16"/>
        <v>2</v>
      </c>
      <c r="R299" s="129" t="str">
        <f t="shared" si="15"/>
        <v>[2750,1],[2751,1],[2752,1],[2753,1],[2754,1],[2755,1],[2756,1],[2757,1],[2758,1],[2759,1],[2760,1],[2761,1]</v>
      </c>
      <c r="S299" s="129"/>
    </row>
    <row r="300" spans="1:19" s="65" customFormat="1">
      <c r="A300" s="64">
        <f t="shared" si="13"/>
        <v>2762</v>
      </c>
      <c r="B300" s="66" t="str">
        <f>VLOOKUP($M300,[3]伙伴品质!$A:$B,2,0)</f>
        <v>虎力大仙</v>
      </c>
      <c r="C300" s="66">
        <v>2</v>
      </c>
      <c r="D300" s="65">
        <v>4</v>
      </c>
      <c r="E300" s="65">
        <v>2</v>
      </c>
      <c r="F300" s="66">
        <v>0</v>
      </c>
      <c r="G300" s="66">
        <v>4000</v>
      </c>
      <c r="H300" s="67">
        <v>0</v>
      </c>
      <c r="I300" s="67">
        <v>1</v>
      </c>
      <c r="J300" s="67">
        <v>1</v>
      </c>
      <c r="K300" s="84" t="s">
        <v>108</v>
      </c>
      <c r="L300" s="85">
        <v>5</v>
      </c>
      <c r="M300" s="85">
        <v>1113</v>
      </c>
      <c r="N300" s="68">
        <v>1</v>
      </c>
      <c r="O300" s="86">
        <v>1</v>
      </c>
      <c r="P300" s="129">
        <f>INDEX([2]Sheet1!$U:$U,MATCH($M300,[2]Sheet1!$A:$A,0),1)</f>
        <v>5</v>
      </c>
      <c r="Q300" s="129">
        <f t="shared" si="16"/>
        <v>2</v>
      </c>
      <c r="R300" s="129" t="str">
        <f t="shared" si="15"/>
        <v>[2750,1],[2751,1],[2752,1],[2753,1],[2754,1],[2755,1],[2756,1],[2757,1],[2758,1],[2759,1],[2760,1],[2761,1],[2762,1]</v>
      </c>
      <c r="S300" s="129"/>
    </row>
    <row r="301" spans="1:19" s="65" customFormat="1">
      <c r="A301" s="64">
        <f t="shared" si="13"/>
        <v>2763</v>
      </c>
      <c r="B301" s="66" t="str">
        <f>VLOOKUP($M301,[3]伙伴品质!$A:$B,2,0)</f>
        <v>猪八戒</v>
      </c>
      <c r="C301" s="66">
        <v>2</v>
      </c>
      <c r="D301" s="65">
        <v>4</v>
      </c>
      <c r="E301" s="65">
        <v>2</v>
      </c>
      <c r="F301" s="66">
        <v>0</v>
      </c>
      <c r="G301" s="66">
        <v>4000</v>
      </c>
      <c r="H301" s="67">
        <v>0</v>
      </c>
      <c r="I301" s="67">
        <v>1</v>
      </c>
      <c r="J301" s="67">
        <v>1</v>
      </c>
      <c r="K301" s="84" t="s">
        <v>108</v>
      </c>
      <c r="L301" s="85">
        <v>5</v>
      </c>
      <c r="M301" s="85">
        <v>1120</v>
      </c>
      <c r="N301" s="68">
        <v>1</v>
      </c>
      <c r="O301" s="86">
        <v>1</v>
      </c>
      <c r="P301" s="129">
        <f>INDEX([2]Sheet1!$U:$U,MATCH($M301,[2]Sheet1!$A:$A,0),1)</f>
        <v>5</v>
      </c>
      <c r="Q301" s="129">
        <f t="shared" si="16"/>
        <v>2</v>
      </c>
      <c r="R301" s="129" t="str">
        <f t="shared" si="15"/>
        <v>[2750,1],[2751,1],[2752,1],[2753,1],[2754,1],[2755,1],[2756,1],[2757,1],[2758,1],[2759,1],[2760,1],[2761,1],[2762,1],[2763,1]</v>
      </c>
      <c r="S301" s="129"/>
    </row>
    <row r="302" spans="1:19" s="65" customFormat="1">
      <c r="A302" s="64">
        <f t="shared" si="13"/>
        <v>2764</v>
      </c>
      <c r="B302" s="66" t="str">
        <f>VLOOKUP($M302,[3]伙伴品质!$A:$B,2,0)</f>
        <v>羊力大仙</v>
      </c>
      <c r="C302" s="66">
        <v>2</v>
      </c>
      <c r="D302" s="65">
        <v>4</v>
      </c>
      <c r="E302" s="65">
        <v>2</v>
      </c>
      <c r="F302" s="66">
        <v>0</v>
      </c>
      <c r="G302" s="66">
        <v>4000</v>
      </c>
      <c r="H302" s="67">
        <v>0</v>
      </c>
      <c r="I302" s="67">
        <v>1</v>
      </c>
      <c r="J302" s="67">
        <v>1</v>
      </c>
      <c r="K302" s="84" t="s">
        <v>108</v>
      </c>
      <c r="L302" s="85">
        <v>5</v>
      </c>
      <c r="M302" s="85">
        <v>1115</v>
      </c>
      <c r="N302" s="68">
        <v>1</v>
      </c>
      <c r="O302" s="86">
        <v>1</v>
      </c>
      <c r="P302" s="129">
        <f>INDEX([2]Sheet1!$U:$U,MATCH($M302,[2]Sheet1!$A:$A,0),1)</f>
        <v>5</v>
      </c>
      <c r="Q302" s="129">
        <f t="shared" si="16"/>
        <v>2</v>
      </c>
      <c r="R302" s="129" t="str">
        <f t="shared" si="15"/>
        <v>[2750,1],[2751,1],[2752,1],[2753,1],[2754,1],[2755,1],[2756,1],[2757,1],[2758,1],[2759,1],[2760,1],[2761,1],[2762,1],[2763,1],[2764,1]</v>
      </c>
      <c r="S302" s="129"/>
    </row>
    <row r="303" spans="1:19" s="11" customFormat="1">
      <c r="A303" s="33">
        <f t="shared" si="13"/>
        <v>2801</v>
      </c>
      <c r="B303" s="47" t="str">
        <f>VLOOKUP($M303,[3]伙伴品质!$A:$B,2,0)</f>
        <v>文殊菩萨</v>
      </c>
      <c r="C303" s="47">
        <v>2</v>
      </c>
      <c r="D303" s="11">
        <v>4</v>
      </c>
      <c r="E303" s="11">
        <v>2</v>
      </c>
      <c r="F303" s="47">
        <v>0</v>
      </c>
      <c r="G303" s="47">
        <v>2800</v>
      </c>
      <c r="H303" s="35">
        <v>0</v>
      </c>
      <c r="I303" s="35">
        <v>1</v>
      </c>
      <c r="J303" s="35">
        <v>1</v>
      </c>
      <c r="K303" s="87" t="s">
        <v>108</v>
      </c>
      <c r="L303" s="88">
        <v>5</v>
      </c>
      <c r="M303" s="88">
        <v>1126</v>
      </c>
      <c r="N303" s="60">
        <v>1</v>
      </c>
      <c r="O303" s="89">
        <v>1</v>
      </c>
      <c r="P303" s="131">
        <f>INDEX([2]Sheet1!$U:$U,MATCH($M303,[2]Sheet1!$A:$A,0),1)</f>
        <v>4</v>
      </c>
      <c r="Q303" s="131">
        <f t="shared" si="16"/>
        <v>2</v>
      </c>
      <c r="R303" s="131" t="str">
        <f t="shared" si="15"/>
        <v>[2801,1]</v>
      </c>
      <c r="S303" s="131"/>
    </row>
    <row r="304" spans="1:19" s="11" customFormat="1">
      <c r="A304" s="33">
        <f t="shared" si="13"/>
        <v>2802</v>
      </c>
      <c r="B304" s="47" t="str">
        <f>VLOOKUP($M304,[3]伙伴品质!$A:$B,2,0)</f>
        <v>唐三藏</v>
      </c>
      <c r="C304" s="47">
        <v>2</v>
      </c>
      <c r="D304" s="11">
        <v>4</v>
      </c>
      <c r="E304" s="11">
        <v>2</v>
      </c>
      <c r="F304" s="47">
        <v>0</v>
      </c>
      <c r="G304" s="47">
        <v>2800</v>
      </c>
      <c r="H304" s="35">
        <v>0</v>
      </c>
      <c r="I304" s="35">
        <v>1</v>
      </c>
      <c r="J304" s="35">
        <v>1</v>
      </c>
      <c r="K304" s="87" t="s">
        <v>108</v>
      </c>
      <c r="L304" s="88">
        <v>5</v>
      </c>
      <c r="M304" s="88">
        <v>1122</v>
      </c>
      <c r="N304" s="60">
        <v>1</v>
      </c>
      <c r="O304" s="89">
        <v>1</v>
      </c>
      <c r="P304" s="131">
        <f>INDEX([2]Sheet1!$U:$U,MATCH($M304,[2]Sheet1!$A:$A,0),1)</f>
        <v>4</v>
      </c>
      <c r="Q304" s="131">
        <f t="shared" si="16"/>
        <v>2</v>
      </c>
      <c r="R304" s="131" t="str">
        <f t="shared" si="15"/>
        <v>[2801,1],[2802,1]</v>
      </c>
      <c r="S304" s="131"/>
    </row>
    <row r="305" spans="1:19" s="11" customFormat="1">
      <c r="A305" s="33">
        <f t="shared" si="13"/>
        <v>2803</v>
      </c>
      <c r="B305" s="47" t="str">
        <f>VLOOKUP($M305,[3]伙伴品质!$A:$B,2,0)</f>
        <v>迦叶</v>
      </c>
      <c r="C305" s="47">
        <v>2</v>
      </c>
      <c r="D305" s="11">
        <v>4</v>
      </c>
      <c r="E305" s="11">
        <v>2</v>
      </c>
      <c r="F305" s="47">
        <v>0</v>
      </c>
      <c r="G305" s="47">
        <v>2800</v>
      </c>
      <c r="H305" s="35">
        <v>0</v>
      </c>
      <c r="I305" s="35">
        <v>1</v>
      </c>
      <c r="J305" s="35">
        <v>1</v>
      </c>
      <c r="K305" s="87" t="s">
        <v>108</v>
      </c>
      <c r="L305" s="88">
        <v>5</v>
      </c>
      <c r="M305" s="88">
        <v>1125</v>
      </c>
      <c r="N305" s="60">
        <v>1</v>
      </c>
      <c r="O305" s="89">
        <v>1</v>
      </c>
      <c r="P305" s="131">
        <f>INDEX([2]Sheet1!$U:$U,MATCH($M305,[2]Sheet1!$A:$A,0),1)</f>
        <v>4</v>
      </c>
      <c r="Q305" s="131">
        <f t="shared" si="16"/>
        <v>2</v>
      </c>
      <c r="R305" s="131" t="str">
        <f t="shared" si="15"/>
        <v>[2801,1],[2802,1],[2803,1]</v>
      </c>
      <c r="S305" s="131"/>
    </row>
    <row r="306" spans="1:19" s="11" customFormat="1">
      <c r="A306" s="33">
        <f t="shared" si="13"/>
        <v>2804</v>
      </c>
      <c r="B306" s="47" t="str">
        <f>VLOOKUP($M306,[3]伙伴品质!$A:$B,2,0)</f>
        <v>红孩儿</v>
      </c>
      <c r="C306" s="47">
        <v>2</v>
      </c>
      <c r="D306" s="11">
        <v>4</v>
      </c>
      <c r="E306" s="11">
        <v>2</v>
      </c>
      <c r="F306" s="47">
        <v>0</v>
      </c>
      <c r="G306" s="47">
        <v>2800</v>
      </c>
      <c r="H306" s="35">
        <v>0</v>
      </c>
      <c r="I306" s="35">
        <v>1</v>
      </c>
      <c r="J306" s="35">
        <v>1</v>
      </c>
      <c r="K306" s="87" t="s">
        <v>108</v>
      </c>
      <c r="L306" s="88">
        <v>5</v>
      </c>
      <c r="M306" s="88">
        <v>1110</v>
      </c>
      <c r="N306" s="60">
        <v>1</v>
      </c>
      <c r="O306" s="89">
        <v>1</v>
      </c>
      <c r="P306" s="131">
        <f>INDEX([2]Sheet1!$U:$U,MATCH($M306,[2]Sheet1!$A:$A,0),1)</f>
        <v>4</v>
      </c>
      <c r="Q306" s="131">
        <f t="shared" si="16"/>
        <v>2</v>
      </c>
      <c r="R306" s="131" t="str">
        <f t="shared" si="15"/>
        <v>[2801,1],[2802,1],[2803,1],[2804,1]</v>
      </c>
      <c r="S306" s="131"/>
    </row>
    <row r="307" spans="1:19" s="11" customFormat="1">
      <c r="A307" s="33">
        <f t="shared" si="13"/>
        <v>2805</v>
      </c>
      <c r="B307" s="47" t="str">
        <f>VLOOKUP($M307,[3]伙伴品质!$A:$B,2,0)</f>
        <v>女儿国国王</v>
      </c>
      <c r="C307" s="47">
        <v>2</v>
      </c>
      <c r="D307" s="11">
        <v>4</v>
      </c>
      <c r="E307" s="11">
        <v>2</v>
      </c>
      <c r="F307" s="47">
        <v>0</v>
      </c>
      <c r="G307" s="47">
        <v>2800</v>
      </c>
      <c r="H307" s="35">
        <v>0</v>
      </c>
      <c r="I307" s="35">
        <v>1</v>
      </c>
      <c r="J307" s="35">
        <v>1</v>
      </c>
      <c r="K307" s="87" t="s">
        <v>108</v>
      </c>
      <c r="L307" s="88">
        <v>5</v>
      </c>
      <c r="M307" s="88">
        <v>1216</v>
      </c>
      <c r="N307" s="60">
        <v>1</v>
      </c>
      <c r="O307" s="89">
        <v>1</v>
      </c>
      <c r="P307" s="131">
        <f>INDEX([2]Sheet1!$U:$U,MATCH($M307,[2]Sheet1!$A:$A,0),1)</f>
        <v>4</v>
      </c>
      <c r="Q307" s="131">
        <f t="shared" si="16"/>
        <v>2</v>
      </c>
      <c r="R307" s="131" t="str">
        <f t="shared" si="15"/>
        <v>[2801,1],[2802,1],[2803,1],[2804,1],[2805,1]</v>
      </c>
      <c r="S307" s="131"/>
    </row>
    <row r="308" spans="1:19" s="11" customFormat="1">
      <c r="A308" s="33">
        <f t="shared" si="13"/>
        <v>2806</v>
      </c>
      <c r="B308" s="47" t="str">
        <f>VLOOKUP($M308,[3]伙伴品质!$A:$B,2,0)</f>
        <v>人参娃</v>
      </c>
      <c r="C308" s="47">
        <v>2</v>
      </c>
      <c r="D308" s="11">
        <v>4</v>
      </c>
      <c r="E308" s="11">
        <v>2</v>
      </c>
      <c r="F308" s="47">
        <v>0</v>
      </c>
      <c r="G308" s="47">
        <v>2800</v>
      </c>
      <c r="H308" s="35">
        <v>0</v>
      </c>
      <c r="I308" s="35">
        <v>1</v>
      </c>
      <c r="J308" s="35">
        <v>1</v>
      </c>
      <c r="K308" s="87" t="s">
        <v>108</v>
      </c>
      <c r="L308" s="88">
        <v>5</v>
      </c>
      <c r="M308" s="88">
        <v>1202</v>
      </c>
      <c r="N308" s="60">
        <v>1</v>
      </c>
      <c r="O308" s="89">
        <v>1</v>
      </c>
      <c r="P308" s="131">
        <f>INDEX([2]Sheet1!$U:$U,MATCH($M308,[2]Sheet1!$A:$A,0),1)</f>
        <v>4</v>
      </c>
      <c r="Q308" s="131">
        <f t="shared" si="16"/>
        <v>2</v>
      </c>
      <c r="R308" s="131" t="str">
        <f t="shared" si="15"/>
        <v>[2801,1],[2802,1],[2803,1],[2804,1],[2805,1],[2806,1]</v>
      </c>
      <c r="S308" s="131"/>
    </row>
    <row r="309" spans="1:19" s="11" customFormat="1">
      <c r="A309" s="33">
        <f t="shared" si="13"/>
        <v>2807</v>
      </c>
      <c r="B309" s="47" t="str">
        <f>VLOOKUP($M309,[3]伙伴品质!$A:$B,2,0)</f>
        <v>引魂仙子</v>
      </c>
      <c r="C309" s="47">
        <v>2</v>
      </c>
      <c r="D309" s="11">
        <v>4</v>
      </c>
      <c r="E309" s="11">
        <v>2</v>
      </c>
      <c r="F309" s="47">
        <v>0</v>
      </c>
      <c r="G309" s="47">
        <v>2800</v>
      </c>
      <c r="H309" s="35">
        <v>0</v>
      </c>
      <c r="I309" s="35">
        <v>1</v>
      </c>
      <c r="J309" s="35">
        <v>1</v>
      </c>
      <c r="K309" s="87" t="s">
        <v>108</v>
      </c>
      <c r="L309" s="88">
        <v>5</v>
      </c>
      <c r="M309" s="88">
        <v>1207</v>
      </c>
      <c r="N309" s="60">
        <v>1</v>
      </c>
      <c r="O309" s="89">
        <v>1</v>
      </c>
      <c r="P309" s="131">
        <f>INDEX([2]Sheet1!$U:$U,MATCH($M309,[2]Sheet1!$A:$A,0),1)</f>
        <v>4</v>
      </c>
      <c r="Q309" s="131">
        <f t="shared" si="16"/>
        <v>2</v>
      </c>
      <c r="R309" s="131" t="str">
        <f t="shared" si="15"/>
        <v>[2801,1],[2802,1],[2803,1],[2804,1],[2805,1],[2806,1],[2807,1]</v>
      </c>
      <c r="S309" s="131"/>
    </row>
    <row r="310" spans="1:19" s="11" customFormat="1">
      <c r="A310" s="33">
        <f t="shared" si="13"/>
        <v>2808</v>
      </c>
      <c r="B310" s="47" t="str">
        <f>VLOOKUP($M310,[3]伙伴品质!$A:$B,2,0)</f>
        <v>九天玄女</v>
      </c>
      <c r="C310" s="47">
        <v>2</v>
      </c>
      <c r="D310" s="11">
        <v>4</v>
      </c>
      <c r="E310" s="11">
        <v>2</v>
      </c>
      <c r="F310" s="47">
        <v>0</v>
      </c>
      <c r="G310" s="47">
        <v>2800</v>
      </c>
      <c r="H310" s="35">
        <v>0</v>
      </c>
      <c r="I310" s="35">
        <v>1</v>
      </c>
      <c r="J310" s="35">
        <v>1</v>
      </c>
      <c r="K310" s="87" t="s">
        <v>108</v>
      </c>
      <c r="L310" s="88">
        <v>5</v>
      </c>
      <c r="M310" s="88">
        <v>1109</v>
      </c>
      <c r="N310" s="60">
        <v>1</v>
      </c>
      <c r="O310" s="89">
        <v>1</v>
      </c>
      <c r="P310" s="131">
        <f>INDEX([2]Sheet1!$U:$U,MATCH($M310,[2]Sheet1!$A:$A,0),1)</f>
        <v>4</v>
      </c>
      <c r="Q310" s="131">
        <f t="shared" si="16"/>
        <v>2</v>
      </c>
      <c r="R310" s="131" t="str">
        <f t="shared" si="15"/>
        <v>[2801,1],[2802,1],[2803,1],[2804,1],[2805,1],[2806,1],[2807,1],[2808,1]</v>
      </c>
      <c r="S310" s="131"/>
    </row>
    <row r="311" spans="1:19" s="11" customFormat="1">
      <c r="A311" s="33">
        <f t="shared" si="13"/>
        <v>2809</v>
      </c>
      <c r="B311" s="47" t="str">
        <f>VLOOKUP($M311,[3]伙伴品质!$A:$B,2,0)</f>
        <v>玉皇大帝</v>
      </c>
      <c r="C311" s="47">
        <v>2</v>
      </c>
      <c r="D311" s="11">
        <v>4</v>
      </c>
      <c r="E311" s="11">
        <v>2</v>
      </c>
      <c r="F311" s="47">
        <v>0</v>
      </c>
      <c r="G311" s="47">
        <v>2800</v>
      </c>
      <c r="H311" s="35">
        <v>0</v>
      </c>
      <c r="I311" s="35">
        <v>1</v>
      </c>
      <c r="J311" s="35">
        <v>1</v>
      </c>
      <c r="K311" s="87" t="s">
        <v>108</v>
      </c>
      <c r="L311" s="88">
        <v>5</v>
      </c>
      <c r="M311" s="88">
        <v>1104</v>
      </c>
      <c r="N311" s="60">
        <v>1</v>
      </c>
      <c r="O311" s="89">
        <v>1</v>
      </c>
      <c r="P311" s="131">
        <f>INDEX([2]Sheet1!$U:$U,MATCH($M311,[2]Sheet1!$A:$A,0),1)</f>
        <v>4</v>
      </c>
      <c r="Q311" s="131">
        <f t="shared" si="16"/>
        <v>2</v>
      </c>
      <c r="R311" s="131" t="str">
        <f t="shared" si="15"/>
        <v>[2801,1],[2802,1],[2803,1],[2804,1],[2805,1],[2806,1],[2807,1],[2808,1],[2809,1]</v>
      </c>
      <c r="S311" s="131"/>
    </row>
    <row r="312" spans="1:19" s="11" customFormat="1">
      <c r="A312" s="33">
        <f t="shared" si="13"/>
        <v>2810</v>
      </c>
      <c r="B312" s="47" t="str">
        <f>VLOOKUP($M312,[3]伙伴品质!$A:$B,2,0)</f>
        <v>赤脚大仙</v>
      </c>
      <c r="C312" s="47">
        <v>2</v>
      </c>
      <c r="D312" s="11">
        <v>4</v>
      </c>
      <c r="E312" s="11">
        <v>2</v>
      </c>
      <c r="F312" s="47">
        <v>0</v>
      </c>
      <c r="G312" s="47">
        <v>2800</v>
      </c>
      <c r="H312" s="35">
        <v>0</v>
      </c>
      <c r="I312" s="35">
        <v>1</v>
      </c>
      <c r="J312" s="35">
        <v>1</v>
      </c>
      <c r="K312" s="87" t="s">
        <v>108</v>
      </c>
      <c r="L312" s="88">
        <v>5</v>
      </c>
      <c r="M312" s="88">
        <v>1107</v>
      </c>
      <c r="N312" s="60">
        <v>1</v>
      </c>
      <c r="O312" s="89">
        <v>1</v>
      </c>
      <c r="P312" s="131">
        <f>INDEX([2]Sheet1!$U:$U,MATCH($M312,[2]Sheet1!$A:$A,0),1)</f>
        <v>4</v>
      </c>
      <c r="Q312" s="131">
        <f t="shared" si="16"/>
        <v>2</v>
      </c>
      <c r="R312" s="131" t="str">
        <f t="shared" si="15"/>
        <v>[2801,1],[2802,1],[2803,1],[2804,1],[2805,1],[2806,1],[2807,1],[2808,1],[2809,1],[2810,1]</v>
      </c>
      <c r="S312" s="131"/>
    </row>
    <row r="313" spans="1:19" s="11" customFormat="1">
      <c r="A313" s="33">
        <f t="shared" si="13"/>
        <v>2811</v>
      </c>
      <c r="B313" s="47" t="str">
        <f>VLOOKUP($M313,[3]伙伴品质!$A:$B,2,0)</f>
        <v>东海龙王</v>
      </c>
      <c r="C313" s="47">
        <v>2</v>
      </c>
      <c r="D313" s="11">
        <v>4</v>
      </c>
      <c r="E313" s="11">
        <v>2</v>
      </c>
      <c r="F313" s="47">
        <v>0</v>
      </c>
      <c r="G313" s="47">
        <v>2800</v>
      </c>
      <c r="H313" s="35">
        <v>0</v>
      </c>
      <c r="I313" s="35">
        <v>1</v>
      </c>
      <c r="J313" s="35">
        <v>1</v>
      </c>
      <c r="K313" s="87" t="s">
        <v>108</v>
      </c>
      <c r="L313" s="88">
        <v>5</v>
      </c>
      <c r="M313" s="88">
        <v>1135</v>
      </c>
      <c r="N313" s="60">
        <v>1</v>
      </c>
      <c r="O313" s="89">
        <v>1</v>
      </c>
      <c r="P313" s="131">
        <f>INDEX([2]Sheet1!$U:$U,MATCH($M313,[2]Sheet1!$A:$A,0),1)</f>
        <v>4</v>
      </c>
      <c r="Q313" s="131">
        <f t="shared" si="16"/>
        <v>2</v>
      </c>
      <c r="R313" s="131" t="str">
        <f t="shared" si="15"/>
        <v>[2801,1],[2802,1],[2803,1],[2804,1],[2805,1],[2806,1],[2807,1],[2808,1],[2809,1],[2810,1],[2811,1]</v>
      </c>
      <c r="S313" s="131"/>
    </row>
    <row r="314" spans="1:19" s="11" customFormat="1">
      <c r="A314" s="33">
        <f t="shared" si="13"/>
        <v>2812</v>
      </c>
      <c r="B314" s="47" t="str">
        <f>VLOOKUP($M314,[3]伙伴品质!$A:$B,2,0)</f>
        <v>小白龙</v>
      </c>
      <c r="C314" s="47">
        <v>2</v>
      </c>
      <c r="D314" s="11">
        <v>4</v>
      </c>
      <c r="E314" s="11">
        <v>2</v>
      </c>
      <c r="F314" s="47">
        <v>0</v>
      </c>
      <c r="G314" s="47">
        <v>2800</v>
      </c>
      <c r="H314" s="35">
        <v>0</v>
      </c>
      <c r="I314" s="35">
        <v>1</v>
      </c>
      <c r="J314" s="35">
        <v>1</v>
      </c>
      <c r="K314" s="87" t="s">
        <v>108</v>
      </c>
      <c r="L314" s="88">
        <v>5</v>
      </c>
      <c r="M314" s="88">
        <v>1123</v>
      </c>
      <c r="N314" s="60">
        <v>1</v>
      </c>
      <c r="O314" s="89">
        <v>1</v>
      </c>
      <c r="P314" s="131">
        <f>INDEX([2]Sheet1!$U:$U,MATCH($M314,[2]Sheet1!$A:$A,0),1)</f>
        <v>4</v>
      </c>
      <c r="Q314" s="131">
        <f t="shared" si="16"/>
        <v>2</v>
      </c>
      <c r="R314" s="131" t="str">
        <f t="shared" si="15"/>
        <v>[2801,1],[2802,1],[2803,1],[2804,1],[2805,1],[2806,1],[2807,1],[2808,1],[2809,1],[2810,1],[2811,1],[2812,1]</v>
      </c>
      <c r="S314" s="131"/>
    </row>
    <row r="315" spans="1:19" s="11" customFormat="1">
      <c r="A315" s="33">
        <f t="shared" si="13"/>
        <v>2813</v>
      </c>
      <c r="B315" s="47" t="str">
        <f>VLOOKUP($M315,[3]伙伴品质!$A:$B,2,0)</f>
        <v>阎罗王</v>
      </c>
      <c r="C315" s="47">
        <v>2</v>
      </c>
      <c r="D315" s="11">
        <v>4</v>
      </c>
      <c r="E315" s="11">
        <v>2</v>
      </c>
      <c r="F315" s="47">
        <v>0</v>
      </c>
      <c r="G315" s="47">
        <v>2800</v>
      </c>
      <c r="H315" s="35">
        <v>0</v>
      </c>
      <c r="I315" s="35">
        <v>1</v>
      </c>
      <c r="J315" s="35">
        <v>1</v>
      </c>
      <c r="K315" s="87" t="s">
        <v>108</v>
      </c>
      <c r="L315" s="88">
        <v>5</v>
      </c>
      <c r="M315" s="88">
        <v>1201</v>
      </c>
      <c r="N315" s="60">
        <v>1</v>
      </c>
      <c r="O315" s="89">
        <v>1</v>
      </c>
      <c r="P315" s="131">
        <f>INDEX([2]Sheet1!$U:$U,MATCH($M315,[2]Sheet1!$A:$A,0),1)</f>
        <v>4</v>
      </c>
      <c r="Q315" s="131">
        <f t="shared" si="16"/>
        <v>2</v>
      </c>
      <c r="R315" s="131" t="str">
        <f t="shared" si="15"/>
        <v>[2801,1],[2802,1],[2803,1],[2804,1],[2805,1],[2806,1],[2807,1],[2808,1],[2809,1],[2810,1],[2811,1],[2812,1],[2813,1]</v>
      </c>
      <c r="S315" s="131"/>
    </row>
    <row r="316" spans="1:19" s="11" customFormat="1">
      <c r="A316" s="33">
        <f t="shared" si="13"/>
        <v>2814</v>
      </c>
      <c r="B316" s="47" t="str">
        <f>VLOOKUP($M316,[3]伙伴品质!$A:$B,2,0)</f>
        <v>太白金星</v>
      </c>
      <c r="C316" s="47">
        <v>2</v>
      </c>
      <c r="D316" s="11">
        <v>4</v>
      </c>
      <c r="E316" s="11">
        <v>2</v>
      </c>
      <c r="F316" s="47">
        <v>0</v>
      </c>
      <c r="G316" s="47">
        <v>2800</v>
      </c>
      <c r="H316" s="35">
        <v>0</v>
      </c>
      <c r="I316" s="35">
        <v>1</v>
      </c>
      <c r="J316" s="35">
        <v>1</v>
      </c>
      <c r="K316" s="87" t="s">
        <v>108</v>
      </c>
      <c r="L316" s="88">
        <v>5</v>
      </c>
      <c r="M316" s="88">
        <v>1106</v>
      </c>
      <c r="N316" s="60">
        <v>1</v>
      </c>
      <c r="O316" s="89">
        <v>1</v>
      </c>
      <c r="P316" s="131">
        <f>INDEX([2]Sheet1!$U:$U,MATCH($M316,[2]Sheet1!$A:$A,0),1)</f>
        <v>4</v>
      </c>
      <c r="Q316" s="131">
        <f t="shared" si="16"/>
        <v>2</v>
      </c>
      <c r="R316" s="131" t="str">
        <f t="shared" si="15"/>
        <v>[2801,1],[2802,1],[2803,1],[2804,1],[2805,1],[2806,1],[2807,1],[2808,1],[2809,1],[2810,1],[2811,1],[2812,1],[2813,1],[2814,1]</v>
      </c>
      <c r="S316" s="131"/>
    </row>
    <row r="317" spans="1:19" s="11" customFormat="1">
      <c r="A317" s="33">
        <f t="shared" si="13"/>
        <v>2815</v>
      </c>
      <c r="B317" s="47" t="str">
        <f>VLOOKUP($M317,[3]伙伴品质!$A:$B,2,0)</f>
        <v>白骨夫人</v>
      </c>
      <c r="C317" s="47">
        <v>2</v>
      </c>
      <c r="D317" s="11">
        <v>4</v>
      </c>
      <c r="E317" s="11">
        <v>2</v>
      </c>
      <c r="F317" s="47">
        <v>0</v>
      </c>
      <c r="G317" s="47">
        <v>2800</v>
      </c>
      <c r="H317" s="35">
        <v>0</v>
      </c>
      <c r="I317" s="35">
        <v>1</v>
      </c>
      <c r="J317" s="35">
        <v>1</v>
      </c>
      <c r="K317" s="87" t="s">
        <v>108</v>
      </c>
      <c r="L317" s="88">
        <v>5</v>
      </c>
      <c r="M317" s="88">
        <v>1116</v>
      </c>
      <c r="N317" s="60">
        <v>1</v>
      </c>
      <c r="O317" s="89">
        <v>1</v>
      </c>
      <c r="P317" s="131">
        <f>INDEX([2]Sheet1!$U:$U,MATCH($M317,[2]Sheet1!$A:$A,0),1)</f>
        <v>4</v>
      </c>
      <c r="Q317" s="131">
        <f t="shared" si="16"/>
        <v>2</v>
      </c>
      <c r="R317" s="131" t="str">
        <f t="shared" si="15"/>
        <v>[2801,1],[2802,1],[2803,1],[2804,1],[2805,1],[2806,1],[2807,1],[2808,1],[2809,1],[2810,1],[2811,1],[2812,1],[2813,1],[2814,1],[2815,1]</v>
      </c>
      <c r="S317" s="131"/>
    </row>
    <row r="318" spans="1:19" s="11" customFormat="1">
      <c r="A318" s="33">
        <f t="shared" si="13"/>
        <v>2816</v>
      </c>
      <c r="B318" s="47" t="str">
        <f>VLOOKUP($M318,[3]伙伴品质!$A:$B,2,0)</f>
        <v>六耳猕猴</v>
      </c>
      <c r="C318" s="47">
        <v>2</v>
      </c>
      <c r="D318" s="11">
        <v>4</v>
      </c>
      <c r="E318" s="11">
        <v>2</v>
      </c>
      <c r="F318" s="47">
        <v>0</v>
      </c>
      <c r="G318" s="47">
        <v>2800</v>
      </c>
      <c r="H318" s="35">
        <v>0</v>
      </c>
      <c r="I318" s="35">
        <v>1</v>
      </c>
      <c r="J318" s="35">
        <v>1</v>
      </c>
      <c r="K318" s="87" t="s">
        <v>108</v>
      </c>
      <c r="L318" s="88">
        <v>5</v>
      </c>
      <c r="M318" s="88">
        <v>1117</v>
      </c>
      <c r="N318" s="60">
        <v>1</v>
      </c>
      <c r="O318" s="89">
        <v>1</v>
      </c>
      <c r="P318" s="131">
        <f>INDEX([2]Sheet1!$U:$U,MATCH($M318,[2]Sheet1!$A:$A,0),1)</f>
        <v>4</v>
      </c>
      <c r="Q318" s="131">
        <f t="shared" si="16"/>
        <v>2</v>
      </c>
      <c r="R318" s="131" t="str">
        <f t="shared" si="15"/>
        <v>[2801,1],[2802,1],[2803,1],[2804,1],[2805,1],[2806,1],[2807,1],[2808,1],[2809,1],[2810,1],[2811,1],[2812,1],[2813,1],[2814,1],[2815,1],[2816,1]</v>
      </c>
      <c r="S318" s="131"/>
    </row>
    <row r="319" spans="1:19" s="11" customFormat="1">
      <c r="A319" s="33">
        <f t="shared" si="13"/>
        <v>2817</v>
      </c>
      <c r="B319" s="47" t="str">
        <f>VLOOKUP($M319,[3]伙伴品质!$A:$B,2,0)</f>
        <v>鹿力大仙</v>
      </c>
      <c r="C319" s="47">
        <v>2</v>
      </c>
      <c r="D319" s="11">
        <v>4</v>
      </c>
      <c r="E319" s="11">
        <v>2</v>
      </c>
      <c r="F319" s="47">
        <v>0</v>
      </c>
      <c r="G319" s="47">
        <v>2800</v>
      </c>
      <c r="H319" s="35">
        <v>0</v>
      </c>
      <c r="I319" s="35">
        <v>1</v>
      </c>
      <c r="J319" s="35">
        <v>1</v>
      </c>
      <c r="K319" s="87" t="s">
        <v>108</v>
      </c>
      <c r="L319" s="88">
        <v>5</v>
      </c>
      <c r="M319" s="88">
        <v>1114</v>
      </c>
      <c r="N319" s="60">
        <v>1</v>
      </c>
      <c r="O319" s="89">
        <v>1</v>
      </c>
      <c r="P319" s="131">
        <f>INDEX([2]Sheet1!$U:$U,MATCH($M319,[2]Sheet1!$A:$A,0),1)</f>
        <v>4</v>
      </c>
      <c r="Q319" s="131">
        <f t="shared" si="16"/>
        <v>2</v>
      </c>
      <c r="R319" s="131" t="str">
        <f t="shared" si="15"/>
        <v>[2801,1],[2802,1],[2803,1],[2804,1],[2805,1],[2806,1],[2807,1],[2808,1],[2809,1],[2810,1],[2811,1],[2812,1],[2813,1],[2814,1],[2815,1],[2816,1],[2817,1]</v>
      </c>
      <c r="S319" s="131"/>
    </row>
    <row r="320" spans="1:19" s="11" customFormat="1">
      <c r="A320" s="33">
        <f t="shared" si="13"/>
        <v>2818</v>
      </c>
      <c r="B320" s="47" t="str">
        <f>VLOOKUP($M320,[3]伙伴品质!$A:$B,2,0)</f>
        <v>混世魔王</v>
      </c>
      <c r="C320" s="47">
        <v>2</v>
      </c>
      <c r="D320" s="11">
        <v>4</v>
      </c>
      <c r="E320" s="11">
        <v>2</v>
      </c>
      <c r="F320" s="47">
        <v>0</v>
      </c>
      <c r="G320" s="47">
        <v>2800</v>
      </c>
      <c r="H320" s="35">
        <v>0</v>
      </c>
      <c r="I320" s="35">
        <v>1</v>
      </c>
      <c r="J320" s="35">
        <v>1</v>
      </c>
      <c r="K320" s="87" t="s">
        <v>108</v>
      </c>
      <c r="L320" s="88">
        <v>5</v>
      </c>
      <c r="M320" s="88">
        <v>1132</v>
      </c>
      <c r="N320" s="60">
        <v>1</v>
      </c>
      <c r="O320" s="89">
        <v>1</v>
      </c>
      <c r="P320" s="131">
        <f>INDEX([2]Sheet1!$U:$U,MATCH($M320,[2]Sheet1!$A:$A,0),1)</f>
        <v>4</v>
      </c>
      <c r="Q320" s="131">
        <f t="shared" si="16"/>
        <v>2</v>
      </c>
      <c r="R320" s="131" t="str">
        <f t="shared" si="15"/>
        <v>[2801,1],[2802,1],[2803,1],[2804,1],[2805,1],[2806,1],[2807,1],[2808,1],[2809,1],[2810,1],[2811,1],[2812,1],[2813,1],[2814,1],[2815,1],[2816,1],[2817,1],[2818,1]</v>
      </c>
      <c r="S320" s="131"/>
    </row>
    <row r="321" spans="1:19" s="11" customFormat="1">
      <c r="A321" s="33">
        <f t="shared" si="13"/>
        <v>2819</v>
      </c>
      <c r="B321" s="47" t="str">
        <f>VLOOKUP($M321,[3]伙伴品质!$A:$B,2,0)</f>
        <v>蝎子精</v>
      </c>
      <c r="C321" s="47">
        <v>2</v>
      </c>
      <c r="D321" s="11">
        <v>4</v>
      </c>
      <c r="E321" s="11">
        <v>2</v>
      </c>
      <c r="F321" s="47">
        <v>0</v>
      </c>
      <c r="G321" s="47">
        <v>2800</v>
      </c>
      <c r="H321" s="35">
        <v>0</v>
      </c>
      <c r="I321" s="35">
        <v>1</v>
      </c>
      <c r="J321" s="35">
        <v>1</v>
      </c>
      <c r="K321" s="87" t="s">
        <v>108</v>
      </c>
      <c r="L321" s="88">
        <v>5</v>
      </c>
      <c r="M321" s="88">
        <v>1131</v>
      </c>
      <c r="N321" s="60">
        <v>1</v>
      </c>
      <c r="O321" s="89">
        <v>1</v>
      </c>
      <c r="P321" s="131">
        <f>INDEX([2]Sheet1!$U:$U,MATCH($M321,[2]Sheet1!$A:$A,0),1)</f>
        <v>4</v>
      </c>
      <c r="Q321" s="131">
        <f t="shared" si="16"/>
        <v>2</v>
      </c>
      <c r="R321" s="131" t="str">
        <f t="shared" si="15"/>
        <v>[2801,1],[2802,1],[2803,1],[2804,1],[2805,1],[2806,1],[2807,1],[2808,1],[2809,1],[2810,1],[2811,1],[2812,1],[2813,1],[2814,1],[2815,1],[2816,1],[2817,1],[2818,1],[2819,1]</v>
      </c>
      <c r="S321" s="131"/>
    </row>
    <row r="322" spans="1:19" s="11" customFormat="1">
      <c r="A322" s="33">
        <f t="shared" si="13"/>
        <v>2820</v>
      </c>
      <c r="B322" s="47" t="str">
        <f>VLOOKUP($M322,[3]伙伴品质!$A:$B,2,0)</f>
        <v>蜘蛛精</v>
      </c>
      <c r="C322" s="47">
        <v>2</v>
      </c>
      <c r="D322" s="11">
        <v>4</v>
      </c>
      <c r="E322" s="11">
        <v>2</v>
      </c>
      <c r="F322" s="47">
        <v>0</v>
      </c>
      <c r="G322" s="47">
        <v>2800</v>
      </c>
      <c r="H322" s="35">
        <v>0</v>
      </c>
      <c r="I322" s="35">
        <v>1</v>
      </c>
      <c r="J322" s="35">
        <v>1</v>
      </c>
      <c r="K322" s="87" t="s">
        <v>108</v>
      </c>
      <c r="L322" s="88">
        <v>5</v>
      </c>
      <c r="M322" s="88">
        <v>1137</v>
      </c>
      <c r="N322" s="60">
        <v>1</v>
      </c>
      <c r="O322" s="89">
        <v>1</v>
      </c>
      <c r="P322" s="131">
        <f>INDEX([2]Sheet1!$U:$U,MATCH($M322,[2]Sheet1!$A:$A,0),1)</f>
        <v>4</v>
      </c>
      <c r="Q322" s="131">
        <f t="shared" si="16"/>
        <v>2</v>
      </c>
      <c r="R322" s="131" t="str">
        <f t="shared" si="15"/>
        <v>[2801,1],[2802,1],[2803,1],[2804,1],[2805,1],[2806,1],[2807,1],[2808,1],[2809,1],[2810,1],[2811,1],[2812,1],[2813,1],[2814,1],[2815,1],[2816,1],[2817,1],[2818,1],[2819,1],[2820,1]</v>
      </c>
      <c r="S322" s="131"/>
    </row>
    <row r="323" spans="1:19" s="11" customFormat="1">
      <c r="A323" s="33">
        <f t="shared" si="13"/>
        <v>2821</v>
      </c>
      <c r="B323" s="47" t="str">
        <f>VLOOKUP($M323,[3]伙伴品质!$A:$B,2,0)</f>
        <v>彩蝶仙童</v>
      </c>
      <c r="C323" s="47">
        <v>2</v>
      </c>
      <c r="D323" s="11">
        <v>4</v>
      </c>
      <c r="E323" s="11">
        <v>2</v>
      </c>
      <c r="F323" s="47">
        <v>0</v>
      </c>
      <c r="G323" s="47">
        <v>2800</v>
      </c>
      <c r="H323" s="35">
        <v>0</v>
      </c>
      <c r="I323" s="35">
        <v>1</v>
      </c>
      <c r="J323" s="35">
        <v>1</v>
      </c>
      <c r="K323" s="87" t="s">
        <v>108</v>
      </c>
      <c r="L323" s="88">
        <v>5</v>
      </c>
      <c r="M323" s="88">
        <v>1208</v>
      </c>
      <c r="N323" s="60">
        <v>1</v>
      </c>
      <c r="O323" s="89">
        <v>1</v>
      </c>
      <c r="P323" s="131">
        <f>INDEX([2]Sheet1!$U:$U,MATCH($M323,[2]Sheet1!$A:$A,0),1)</f>
        <v>4</v>
      </c>
      <c r="Q323" s="131">
        <f t="shared" si="16"/>
        <v>2</v>
      </c>
      <c r="R323" s="131" t="str">
        <f t="shared" si="15"/>
        <v>[2801,1],[2802,1],[2803,1],[2804,1],[2805,1],[2806,1],[2807,1],[2808,1],[2809,1],[2810,1],[2811,1],[2812,1],[2813,1],[2814,1],[2815,1],[2816,1],[2817,1],[2818,1],[2819,1],[2820,1],[2821,1]</v>
      </c>
      <c r="S323" s="131"/>
    </row>
    <row r="324" spans="1:19" s="10" customFormat="1">
      <c r="A324" s="30">
        <f t="shared" si="13"/>
        <v>2850</v>
      </c>
      <c r="B324" s="46" t="str">
        <f>VLOOKUP($M324,[3]伙伴品质!$A:$B,2,0)</f>
        <v>地藏王</v>
      </c>
      <c r="C324" s="46">
        <v>2</v>
      </c>
      <c r="D324" s="10">
        <v>4</v>
      </c>
      <c r="E324" s="10">
        <v>2</v>
      </c>
      <c r="F324" s="46">
        <v>0</v>
      </c>
      <c r="G324" s="46">
        <v>800</v>
      </c>
      <c r="H324" s="32">
        <v>0</v>
      </c>
      <c r="I324" s="32">
        <v>1</v>
      </c>
      <c r="J324" s="32">
        <v>1</v>
      </c>
      <c r="K324" s="90" t="s">
        <v>108</v>
      </c>
      <c r="L324" s="91">
        <v>5</v>
      </c>
      <c r="M324" s="91">
        <v>1130</v>
      </c>
      <c r="N324" s="59">
        <v>1</v>
      </c>
      <c r="O324" s="92">
        <v>1</v>
      </c>
      <c r="P324" s="132">
        <f>INDEX([2]Sheet1!$U:$U,MATCH($M324,[2]Sheet1!$A:$A,0),1)</f>
        <v>3</v>
      </c>
      <c r="Q324" s="132">
        <f t="shared" si="16"/>
        <v>2</v>
      </c>
      <c r="R324" s="132" t="str">
        <f t="shared" si="15"/>
        <v>[2850,1]</v>
      </c>
      <c r="S324" s="132"/>
    </row>
    <row r="325" spans="1:19" s="10" customFormat="1">
      <c r="A325" s="30">
        <f t="shared" si="13"/>
        <v>2851</v>
      </c>
      <c r="B325" s="46" t="str">
        <f>VLOOKUP($M325,[3]伙伴品质!$A:$B,2,0)</f>
        <v>混沌</v>
      </c>
      <c r="C325" s="46">
        <v>2</v>
      </c>
      <c r="D325" s="10">
        <v>4</v>
      </c>
      <c r="E325" s="10">
        <v>2</v>
      </c>
      <c r="F325" s="46">
        <v>0</v>
      </c>
      <c r="G325" s="46">
        <v>800</v>
      </c>
      <c r="H325" s="32">
        <v>0</v>
      </c>
      <c r="I325" s="32">
        <v>1</v>
      </c>
      <c r="J325" s="32">
        <v>1</v>
      </c>
      <c r="K325" s="90" t="s">
        <v>108</v>
      </c>
      <c r="L325" s="91">
        <v>5</v>
      </c>
      <c r="M325" s="91">
        <v>1118</v>
      </c>
      <c r="N325" s="59">
        <v>1</v>
      </c>
      <c r="O325" s="92">
        <v>1</v>
      </c>
      <c r="P325" s="132">
        <f>INDEX([2]Sheet1!$U:$U,MATCH($M325,[2]Sheet1!$A:$A,0),1)</f>
        <v>3</v>
      </c>
      <c r="Q325" s="132">
        <f t="shared" si="16"/>
        <v>2</v>
      </c>
      <c r="R325" s="132" t="str">
        <f t="shared" si="15"/>
        <v>[2850,1],[2851,1]</v>
      </c>
      <c r="S325" s="132"/>
    </row>
    <row r="326" spans="1:19" s="10" customFormat="1">
      <c r="A326" s="30">
        <f t="shared" si="13"/>
        <v>2852</v>
      </c>
      <c r="B326" s="46" t="str">
        <f>VLOOKUP($M326,[3]伙伴品质!$A:$B,2,0)</f>
        <v>白龙公主</v>
      </c>
      <c r="C326" s="46">
        <v>2</v>
      </c>
      <c r="D326" s="10">
        <v>4</v>
      </c>
      <c r="E326" s="10">
        <v>2</v>
      </c>
      <c r="F326" s="46">
        <v>0</v>
      </c>
      <c r="G326" s="46">
        <v>800</v>
      </c>
      <c r="H326" s="32">
        <v>0</v>
      </c>
      <c r="I326" s="32">
        <v>1</v>
      </c>
      <c r="J326" s="32">
        <v>1</v>
      </c>
      <c r="K326" s="90" t="s">
        <v>108</v>
      </c>
      <c r="L326" s="91">
        <v>5</v>
      </c>
      <c r="M326" s="91">
        <v>1136</v>
      </c>
      <c r="N326" s="59">
        <v>1</v>
      </c>
      <c r="O326" s="92">
        <v>1</v>
      </c>
      <c r="P326" s="132">
        <f>INDEX([2]Sheet1!$U:$U,MATCH($M326,[2]Sheet1!$A:$A,0),1)</f>
        <v>3</v>
      </c>
      <c r="Q326" s="132">
        <f t="shared" si="16"/>
        <v>2</v>
      </c>
      <c r="R326" s="132" t="str">
        <f t="shared" si="15"/>
        <v>[2850,1],[2851,1],[2852,1]</v>
      </c>
      <c r="S326" s="132"/>
    </row>
    <row r="327" spans="1:19" s="10" customFormat="1">
      <c r="A327" s="30">
        <f t="shared" si="13"/>
        <v>2853</v>
      </c>
      <c r="B327" s="46" t="str">
        <f>VLOOKUP($M327,[3]伙伴品质!$A:$B,2,0)</f>
        <v>赛太岁</v>
      </c>
      <c r="C327" s="46">
        <v>2</v>
      </c>
      <c r="D327" s="10">
        <v>4</v>
      </c>
      <c r="E327" s="10">
        <v>2</v>
      </c>
      <c r="F327" s="46">
        <v>0</v>
      </c>
      <c r="G327" s="46">
        <v>800</v>
      </c>
      <c r="H327" s="32">
        <v>0</v>
      </c>
      <c r="I327" s="32">
        <v>1</v>
      </c>
      <c r="J327" s="32">
        <v>1</v>
      </c>
      <c r="K327" s="90" t="s">
        <v>108</v>
      </c>
      <c r="L327" s="91">
        <v>5</v>
      </c>
      <c r="M327" s="91">
        <v>1128</v>
      </c>
      <c r="N327" s="59">
        <v>1</v>
      </c>
      <c r="O327" s="92">
        <v>1</v>
      </c>
      <c r="P327" s="132">
        <f>INDEX([2]Sheet1!$U:$U,MATCH($M327,[2]Sheet1!$A:$A,0),1)</f>
        <v>3</v>
      </c>
      <c r="Q327" s="132">
        <f t="shared" si="16"/>
        <v>2</v>
      </c>
      <c r="R327" s="132" t="str">
        <f t="shared" si="15"/>
        <v>[2850,1],[2851,1],[2852,1],[2853,1]</v>
      </c>
      <c r="S327" s="132"/>
    </row>
    <row r="328" spans="1:19" s="10" customFormat="1">
      <c r="A328" s="30">
        <f t="shared" ref="A328:A341" si="17">A274+150</f>
        <v>2854</v>
      </c>
      <c r="B328" s="46" t="str">
        <f>VLOOKUP($M328,[3]伙伴品质!$A:$B,2,0)</f>
        <v>琴仙</v>
      </c>
      <c r="C328" s="46">
        <v>2</v>
      </c>
      <c r="D328" s="10">
        <v>4</v>
      </c>
      <c r="E328" s="10">
        <v>2</v>
      </c>
      <c r="F328" s="46">
        <v>0</v>
      </c>
      <c r="G328" s="46">
        <v>800</v>
      </c>
      <c r="H328" s="32">
        <v>0</v>
      </c>
      <c r="I328" s="32">
        <v>1</v>
      </c>
      <c r="J328" s="32">
        <v>1</v>
      </c>
      <c r="K328" s="90" t="s">
        <v>108</v>
      </c>
      <c r="L328" s="91">
        <v>5</v>
      </c>
      <c r="M328" s="91">
        <v>1192</v>
      </c>
      <c r="N328" s="59">
        <v>1</v>
      </c>
      <c r="O328" s="92">
        <v>1</v>
      </c>
      <c r="P328" s="132">
        <f>INDEX([2]Sheet1!$U:$U,MATCH($M328,[2]Sheet1!$A:$A,0),1)</f>
        <v>3</v>
      </c>
      <c r="Q328" s="132">
        <f t="shared" si="16"/>
        <v>2</v>
      </c>
      <c r="R328" s="132" t="str">
        <f t="shared" si="15"/>
        <v>[2850,1],[2851,1],[2852,1],[2853,1],[2854,1]</v>
      </c>
      <c r="S328" s="132"/>
    </row>
    <row r="329" spans="1:19" s="10" customFormat="1">
      <c r="A329" s="30">
        <f t="shared" si="17"/>
        <v>2855</v>
      </c>
      <c r="B329" s="46" t="str">
        <f>VLOOKUP($M329,[3]伙伴品质!$A:$B,2,0)</f>
        <v>黑熊精</v>
      </c>
      <c r="C329" s="46">
        <v>2</v>
      </c>
      <c r="D329" s="10">
        <v>4</v>
      </c>
      <c r="E329" s="10">
        <v>2</v>
      </c>
      <c r="F329" s="46">
        <v>0</v>
      </c>
      <c r="G329" s="46">
        <v>800</v>
      </c>
      <c r="H329" s="32">
        <v>0</v>
      </c>
      <c r="I329" s="32">
        <v>1</v>
      </c>
      <c r="J329" s="32">
        <v>1</v>
      </c>
      <c r="K329" s="90" t="s">
        <v>108</v>
      </c>
      <c r="L329" s="91">
        <v>5</v>
      </c>
      <c r="M329" s="91">
        <v>1152</v>
      </c>
      <c r="N329" s="59">
        <v>1</v>
      </c>
      <c r="O329" s="92">
        <v>1</v>
      </c>
      <c r="P329" s="132">
        <f>INDEX([2]Sheet1!$U:$U,MATCH($M329,[2]Sheet1!$A:$A,0),1)</f>
        <v>3</v>
      </c>
      <c r="Q329" s="132">
        <f t="shared" si="16"/>
        <v>2</v>
      </c>
      <c r="R329" s="132" t="str">
        <f t="shared" si="15"/>
        <v>[2850,1],[2851,1],[2852,1],[2853,1],[2854,1],[2855,1]</v>
      </c>
      <c r="S329" s="132"/>
    </row>
    <row r="330" spans="1:19" s="10" customFormat="1">
      <c r="A330" s="30">
        <f t="shared" si="17"/>
        <v>2856</v>
      </c>
      <c r="B330" s="46" t="str">
        <f>VLOOKUP($M330,[3]伙伴品质!$A:$B,2,0)</f>
        <v>泾河龙王</v>
      </c>
      <c r="C330" s="46">
        <v>2</v>
      </c>
      <c r="D330" s="10">
        <v>4</v>
      </c>
      <c r="E330" s="10">
        <v>2</v>
      </c>
      <c r="F330" s="46">
        <v>0</v>
      </c>
      <c r="G330" s="46">
        <v>800</v>
      </c>
      <c r="H330" s="32">
        <v>0</v>
      </c>
      <c r="I330" s="32">
        <v>1</v>
      </c>
      <c r="J330" s="32">
        <v>1</v>
      </c>
      <c r="K330" s="90" t="s">
        <v>108</v>
      </c>
      <c r="L330" s="91">
        <v>5</v>
      </c>
      <c r="M330" s="91">
        <v>1134</v>
      </c>
      <c r="N330" s="59">
        <v>1</v>
      </c>
      <c r="O330" s="92">
        <v>1</v>
      </c>
      <c r="P330" s="132">
        <f>INDEX([2]Sheet1!$U:$U,MATCH($M330,[2]Sheet1!$A:$A,0),1)</f>
        <v>3</v>
      </c>
      <c r="Q330" s="132">
        <f t="shared" si="16"/>
        <v>2</v>
      </c>
      <c r="R330" s="132" t="str">
        <f t="shared" si="15"/>
        <v>[2850,1],[2851,1],[2852,1],[2853,1],[2854,1],[2855,1],[2856,1]</v>
      </c>
      <c r="S330" s="132"/>
    </row>
    <row r="331" spans="1:19" s="10" customFormat="1">
      <c r="A331" s="30">
        <f t="shared" si="17"/>
        <v>2857</v>
      </c>
      <c r="B331" s="46" t="str">
        <f>VLOOKUP($M331,[3]伙伴品质!$A:$B,2,0)</f>
        <v>雷公</v>
      </c>
      <c r="C331" s="46">
        <v>2</v>
      </c>
      <c r="D331" s="10">
        <v>4</v>
      </c>
      <c r="E331" s="10">
        <v>2</v>
      </c>
      <c r="F331" s="46">
        <v>0</v>
      </c>
      <c r="G331" s="46">
        <v>800</v>
      </c>
      <c r="H331" s="32">
        <v>0</v>
      </c>
      <c r="I331" s="32">
        <v>1</v>
      </c>
      <c r="J331" s="32">
        <v>1</v>
      </c>
      <c r="K331" s="90" t="s">
        <v>108</v>
      </c>
      <c r="L331" s="91">
        <v>5</v>
      </c>
      <c r="M331" s="91">
        <v>1133</v>
      </c>
      <c r="N331" s="59">
        <v>1</v>
      </c>
      <c r="O331" s="92">
        <v>1</v>
      </c>
      <c r="P331" s="132">
        <f>INDEX([2]Sheet1!$U:$U,MATCH($M331,[2]Sheet1!$A:$A,0),1)</f>
        <v>3</v>
      </c>
      <c r="Q331" s="132">
        <f t="shared" si="16"/>
        <v>2</v>
      </c>
      <c r="R331" s="132" t="str">
        <f t="shared" si="15"/>
        <v>[2850,1],[2851,1],[2852,1],[2853,1],[2854,1],[2855,1],[2856,1],[2857,1]</v>
      </c>
      <c r="S331" s="132"/>
    </row>
    <row r="332" spans="1:19" s="10" customFormat="1">
      <c r="A332" s="30">
        <f t="shared" si="17"/>
        <v>2858</v>
      </c>
      <c r="B332" s="46" t="str">
        <f>VLOOKUP($M332,[3]伙伴品质!$A:$B,2,0)</f>
        <v>鬼使黑</v>
      </c>
      <c r="C332" s="46">
        <v>2</v>
      </c>
      <c r="D332" s="10">
        <v>4</v>
      </c>
      <c r="E332" s="10">
        <v>2</v>
      </c>
      <c r="F332" s="46">
        <v>0</v>
      </c>
      <c r="G332" s="46">
        <v>800</v>
      </c>
      <c r="H332" s="32">
        <v>0</v>
      </c>
      <c r="I332" s="32">
        <v>1</v>
      </c>
      <c r="J332" s="32">
        <v>1</v>
      </c>
      <c r="K332" s="90" t="s">
        <v>108</v>
      </c>
      <c r="L332" s="91">
        <v>5</v>
      </c>
      <c r="M332" s="91">
        <v>1203</v>
      </c>
      <c r="N332" s="59">
        <v>1</v>
      </c>
      <c r="O332" s="92">
        <v>1</v>
      </c>
      <c r="P332" s="132">
        <f>INDEX([2]Sheet1!$U:$U,MATCH($M332,[2]Sheet1!$A:$A,0),1)</f>
        <v>3</v>
      </c>
      <c r="Q332" s="132">
        <f t="shared" si="16"/>
        <v>2</v>
      </c>
      <c r="R332" s="132" t="str">
        <f t="shared" si="15"/>
        <v>[2850,1],[2851,1],[2852,1],[2853,1],[2854,1],[2855,1],[2856,1],[2857,1],[2858,1]</v>
      </c>
      <c r="S332" s="132"/>
    </row>
    <row r="333" spans="1:19" s="10" customFormat="1">
      <c r="A333" s="30">
        <f t="shared" si="17"/>
        <v>2859</v>
      </c>
      <c r="B333" s="46" t="str">
        <f>VLOOKUP($M333,[3]伙伴品质!$A:$B,2,0)</f>
        <v>鬼使白</v>
      </c>
      <c r="C333" s="46">
        <v>2</v>
      </c>
      <c r="D333" s="10">
        <v>4</v>
      </c>
      <c r="E333" s="10">
        <v>2</v>
      </c>
      <c r="F333" s="46">
        <v>0</v>
      </c>
      <c r="G333" s="46">
        <v>800</v>
      </c>
      <c r="H333" s="32">
        <v>0</v>
      </c>
      <c r="I333" s="32">
        <v>1</v>
      </c>
      <c r="J333" s="32">
        <v>1</v>
      </c>
      <c r="K333" s="90" t="s">
        <v>108</v>
      </c>
      <c r="L333" s="91">
        <v>5</v>
      </c>
      <c r="M333" s="91">
        <v>1204</v>
      </c>
      <c r="N333" s="59">
        <v>1</v>
      </c>
      <c r="O333" s="92">
        <v>1</v>
      </c>
      <c r="P333" s="132">
        <f>INDEX([2]Sheet1!$U:$U,MATCH($M333,[2]Sheet1!$A:$A,0),1)</f>
        <v>3</v>
      </c>
      <c r="Q333" s="132">
        <f t="shared" si="16"/>
        <v>2</v>
      </c>
      <c r="R333" s="132" t="str">
        <f t="shared" si="15"/>
        <v>[2850,1],[2851,1],[2852,1],[2853,1],[2854,1],[2855,1],[2856,1],[2857,1],[2858,1],[2859,1]</v>
      </c>
      <c r="S333" s="132"/>
    </row>
    <row r="334" spans="1:19" s="10" customFormat="1">
      <c r="A334" s="30">
        <f t="shared" si="17"/>
        <v>2860</v>
      </c>
      <c r="B334" s="46" t="str">
        <f>VLOOKUP($M334,[3]伙伴品质!$A:$B,2,0)</f>
        <v>牛头</v>
      </c>
      <c r="C334" s="46">
        <v>2</v>
      </c>
      <c r="D334" s="10">
        <v>4</v>
      </c>
      <c r="E334" s="10">
        <v>2</v>
      </c>
      <c r="F334" s="46">
        <v>0</v>
      </c>
      <c r="G334" s="46">
        <v>800</v>
      </c>
      <c r="H334" s="32">
        <v>0</v>
      </c>
      <c r="I334" s="32">
        <v>1</v>
      </c>
      <c r="J334" s="32">
        <v>1</v>
      </c>
      <c r="K334" s="90" t="s">
        <v>108</v>
      </c>
      <c r="L334" s="91">
        <v>5</v>
      </c>
      <c r="M334" s="91">
        <v>1206</v>
      </c>
      <c r="N334" s="59">
        <v>1</v>
      </c>
      <c r="O334" s="92">
        <v>1</v>
      </c>
      <c r="P334" s="132">
        <f>INDEX([2]Sheet1!$U:$U,MATCH($M334,[2]Sheet1!$A:$A,0),1)</f>
        <v>3</v>
      </c>
      <c r="Q334" s="132">
        <f t="shared" si="16"/>
        <v>2</v>
      </c>
      <c r="R334" s="132" t="str">
        <f t="shared" si="15"/>
        <v>[2850,1],[2851,1],[2852,1],[2853,1],[2854,1],[2855,1],[2856,1],[2857,1],[2858,1],[2859,1],[2860,1]</v>
      </c>
      <c r="S334" s="132"/>
    </row>
    <row r="335" spans="1:19" s="10" customFormat="1">
      <c r="A335" s="30">
        <f t="shared" si="17"/>
        <v>2861</v>
      </c>
      <c r="B335" s="46" t="str">
        <f>VLOOKUP($M335,[3]伙伴品质!$A:$B,2,0)</f>
        <v>马面</v>
      </c>
      <c r="C335" s="46">
        <v>2</v>
      </c>
      <c r="D335" s="10">
        <v>4</v>
      </c>
      <c r="E335" s="10">
        <v>2</v>
      </c>
      <c r="F335" s="46">
        <v>0</v>
      </c>
      <c r="G335" s="46">
        <v>800</v>
      </c>
      <c r="H335" s="32">
        <v>0</v>
      </c>
      <c r="I335" s="32">
        <v>1</v>
      </c>
      <c r="J335" s="32">
        <v>1</v>
      </c>
      <c r="K335" s="90" t="s">
        <v>108</v>
      </c>
      <c r="L335" s="91">
        <v>5</v>
      </c>
      <c r="M335" s="91">
        <v>1205</v>
      </c>
      <c r="N335" s="59">
        <v>1</v>
      </c>
      <c r="O335" s="92">
        <v>1</v>
      </c>
      <c r="P335" s="132">
        <f>INDEX([2]Sheet1!$U:$U,MATCH($M335,[2]Sheet1!$A:$A,0),1)</f>
        <v>3</v>
      </c>
      <c r="Q335" s="132">
        <f t="shared" si="16"/>
        <v>2</v>
      </c>
      <c r="R335" s="132" t="str">
        <f t="shared" si="15"/>
        <v>[2850,1],[2851,1],[2852,1],[2853,1],[2854,1],[2855,1],[2856,1],[2857,1],[2858,1],[2859,1],[2860,1],[2861,1]</v>
      </c>
      <c r="S335" s="132"/>
    </row>
    <row r="336" spans="1:19" s="10" customFormat="1">
      <c r="A336" s="30">
        <f t="shared" si="17"/>
        <v>2862</v>
      </c>
      <c r="B336" s="46" t="str">
        <f>VLOOKUP($M336,[3]伙伴品质!$A:$B,2,0)</f>
        <v>金钱豹王</v>
      </c>
      <c r="C336" s="46">
        <v>2</v>
      </c>
      <c r="D336" s="10">
        <v>4</v>
      </c>
      <c r="E336" s="10">
        <v>2</v>
      </c>
      <c r="F336" s="46">
        <v>0</v>
      </c>
      <c r="G336" s="46">
        <v>800</v>
      </c>
      <c r="H336" s="32">
        <v>0</v>
      </c>
      <c r="I336" s="32">
        <v>1</v>
      </c>
      <c r="J336" s="32">
        <v>1</v>
      </c>
      <c r="K336" s="90" t="s">
        <v>108</v>
      </c>
      <c r="L336" s="91">
        <v>5</v>
      </c>
      <c r="M336" s="91">
        <v>1139</v>
      </c>
      <c r="N336" s="59">
        <v>1</v>
      </c>
      <c r="O336" s="92">
        <v>1</v>
      </c>
      <c r="P336" s="132">
        <f>INDEX([2]Sheet1!$U:$U,MATCH($M336,[2]Sheet1!$A:$A,0),1)</f>
        <v>3</v>
      </c>
      <c r="Q336" s="132">
        <f t="shared" si="16"/>
        <v>2</v>
      </c>
      <c r="R336" s="132" t="str">
        <f t="shared" si="15"/>
        <v>[2850,1],[2851,1],[2852,1],[2853,1],[2854,1],[2855,1],[2856,1],[2857,1],[2858,1],[2859,1],[2860,1],[2861,1],[2862,1]</v>
      </c>
      <c r="S336" s="132"/>
    </row>
    <row r="337" spans="1:19" s="10" customFormat="1">
      <c r="A337" s="30">
        <f t="shared" si="17"/>
        <v>2863</v>
      </c>
      <c r="B337" s="46" t="str">
        <f>VLOOKUP($M337,[3]伙伴品质!$A:$B,2,0)</f>
        <v>墨鱼精</v>
      </c>
      <c r="C337" s="46">
        <v>2</v>
      </c>
      <c r="D337" s="10">
        <v>4</v>
      </c>
      <c r="E337" s="10">
        <v>2</v>
      </c>
      <c r="F337" s="46">
        <v>0</v>
      </c>
      <c r="G337" s="46">
        <v>800</v>
      </c>
      <c r="H337" s="32">
        <v>0</v>
      </c>
      <c r="I337" s="32">
        <v>1</v>
      </c>
      <c r="J337" s="32">
        <v>1</v>
      </c>
      <c r="K337" s="90" t="s">
        <v>108</v>
      </c>
      <c r="L337" s="91">
        <v>5</v>
      </c>
      <c r="M337" s="91">
        <v>1140</v>
      </c>
      <c r="N337" s="59">
        <v>1</v>
      </c>
      <c r="O337" s="92">
        <v>1</v>
      </c>
      <c r="P337" s="132">
        <f>INDEX([2]Sheet1!$U:$U,MATCH($M337,[2]Sheet1!$A:$A,0),1)</f>
        <v>3</v>
      </c>
      <c r="Q337" s="132">
        <f t="shared" si="16"/>
        <v>2</v>
      </c>
      <c r="R337" s="132" t="str">
        <f t="shared" si="15"/>
        <v>[2850,1],[2851,1],[2852,1],[2853,1],[2854,1],[2855,1],[2856,1],[2857,1],[2858,1],[2859,1],[2860,1],[2861,1],[2862,1],[2863,1]</v>
      </c>
      <c r="S337" s="132"/>
    </row>
    <row r="338" spans="1:19" s="10" customFormat="1">
      <c r="A338" s="30">
        <f t="shared" si="17"/>
        <v>2864</v>
      </c>
      <c r="B338" s="46" t="str">
        <f>VLOOKUP($M338,[3]伙伴品质!$A:$B,2,0)</f>
        <v>玉面夫人</v>
      </c>
      <c r="C338" s="46">
        <v>2</v>
      </c>
      <c r="D338" s="10">
        <v>4</v>
      </c>
      <c r="E338" s="10">
        <v>2</v>
      </c>
      <c r="F338" s="46">
        <v>0</v>
      </c>
      <c r="G338" s="46">
        <v>800</v>
      </c>
      <c r="H338" s="32">
        <v>0</v>
      </c>
      <c r="I338" s="32">
        <v>1</v>
      </c>
      <c r="J338" s="32">
        <v>1</v>
      </c>
      <c r="K338" s="90" t="s">
        <v>108</v>
      </c>
      <c r="L338" s="91">
        <v>5</v>
      </c>
      <c r="M338" s="91">
        <v>1138</v>
      </c>
      <c r="N338" s="59">
        <v>1</v>
      </c>
      <c r="O338" s="92">
        <v>1</v>
      </c>
      <c r="P338" s="132">
        <f>INDEX([2]Sheet1!$U:$U,MATCH($M338,[2]Sheet1!$A:$A,0),1)</f>
        <v>3</v>
      </c>
      <c r="Q338" s="132">
        <f t="shared" si="16"/>
        <v>2</v>
      </c>
      <c r="R338" s="132" t="str">
        <f t="shared" si="15"/>
        <v>[2850,1],[2851,1],[2852,1],[2853,1],[2854,1],[2855,1],[2856,1],[2857,1],[2858,1],[2859,1],[2860,1],[2861,1],[2862,1],[2863,1],[2864,1]</v>
      </c>
      <c r="S338" s="132"/>
    </row>
    <row r="339" spans="1:19" s="10" customFormat="1">
      <c r="A339" s="30">
        <f t="shared" si="17"/>
        <v>2865</v>
      </c>
      <c r="B339" s="46" t="str">
        <f>VLOOKUP($M339,[3]伙伴品质!$A:$B,2,0)</f>
        <v>扇子精</v>
      </c>
      <c r="C339" s="46">
        <v>2</v>
      </c>
      <c r="D339" s="10">
        <v>4</v>
      </c>
      <c r="E339" s="10">
        <v>2</v>
      </c>
      <c r="F339" s="46">
        <v>0</v>
      </c>
      <c r="G339" s="46">
        <v>800</v>
      </c>
      <c r="H339" s="32">
        <v>0</v>
      </c>
      <c r="I339" s="32">
        <v>1</v>
      </c>
      <c r="J339" s="32">
        <v>1</v>
      </c>
      <c r="K339" s="90" t="s">
        <v>108</v>
      </c>
      <c r="L339" s="91">
        <v>5</v>
      </c>
      <c r="M339" s="91">
        <v>1226</v>
      </c>
      <c r="N339" s="59">
        <v>1</v>
      </c>
      <c r="O339" s="92">
        <v>1</v>
      </c>
      <c r="P339" s="132">
        <f>INDEX([2]Sheet1!$U:$U,MATCH($M339,[2]Sheet1!$A:$A,0),1)</f>
        <v>3</v>
      </c>
      <c r="Q339" s="132">
        <f t="shared" ref="Q339:Q341" si="18">E339</f>
        <v>2</v>
      </c>
      <c r="R339" s="132" t="str">
        <f t="shared" ref="R339:R341" si="19">IF($P339&lt;&gt;$P338,"["&amp;$A339&amp;",1]",$R338&amp;IF($O339=1,",["&amp;$A339&amp;",1]",""))</f>
        <v>[2850,1],[2851,1],[2852,1],[2853,1],[2854,1],[2855,1],[2856,1],[2857,1],[2858,1],[2859,1],[2860,1],[2861,1],[2862,1],[2863,1],[2864,1],[2865,1]</v>
      </c>
      <c r="S339" s="132"/>
    </row>
    <row r="340" spans="1:19" s="10" customFormat="1">
      <c r="A340" s="30">
        <f t="shared" si="17"/>
        <v>2866</v>
      </c>
      <c r="B340" s="46" t="str">
        <f>VLOOKUP($M340,[3]伙伴品质!$A:$B,2,0)</f>
        <v>玉兔</v>
      </c>
      <c r="C340" s="46">
        <v>2</v>
      </c>
      <c r="D340" s="10">
        <v>4</v>
      </c>
      <c r="E340" s="10">
        <v>2</v>
      </c>
      <c r="F340" s="46">
        <v>0</v>
      </c>
      <c r="G340" s="46">
        <v>800</v>
      </c>
      <c r="H340" s="32">
        <v>0</v>
      </c>
      <c r="I340" s="32">
        <v>1</v>
      </c>
      <c r="J340" s="32">
        <v>1</v>
      </c>
      <c r="K340" s="90" t="s">
        <v>108</v>
      </c>
      <c r="L340" s="91">
        <v>5</v>
      </c>
      <c r="M340" s="91">
        <v>1141</v>
      </c>
      <c r="N340" s="59">
        <v>1</v>
      </c>
      <c r="O340" s="92">
        <v>1</v>
      </c>
      <c r="P340" s="132">
        <f>INDEX([2]Sheet1!$U:$U,MATCH($M340,[2]Sheet1!$A:$A,0),1)</f>
        <v>3</v>
      </c>
      <c r="Q340" s="132">
        <f t="shared" si="18"/>
        <v>2</v>
      </c>
      <c r="R340" s="132" t="str">
        <f t="shared" si="19"/>
        <v>[2850,1],[2851,1],[2852,1],[2853,1],[2854,1],[2855,1],[2856,1],[2857,1],[2858,1],[2859,1],[2860,1],[2861,1],[2862,1],[2863,1],[2864,1],[2865,1],[2866,1]</v>
      </c>
      <c r="S340" s="132"/>
    </row>
    <row r="341" spans="1:19" s="10" customFormat="1">
      <c r="A341" s="30">
        <f t="shared" si="17"/>
        <v>2867</v>
      </c>
      <c r="B341" s="46" t="str">
        <f>VLOOKUP($M341,[3]伙伴品质!$A:$B,2,0)</f>
        <v>蟹将</v>
      </c>
      <c r="C341" s="46">
        <v>2</v>
      </c>
      <c r="D341" s="10">
        <v>4</v>
      </c>
      <c r="E341" s="10">
        <v>2</v>
      </c>
      <c r="F341" s="46">
        <v>0</v>
      </c>
      <c r="G341" s="46">
        <v>800</v>
      </c>
      <c r="H341" s="32">
        <v>0</v>
      </c>
      <c r="I341" s="32">
        <v>1</v>
      </c>
      <c r="J341" s="32">
        <v>1</v>
      </c>
      <c r="K341" s="90" t="s">
        <v>108</v>
      </c>
      <c r="L341" s="91">
        <v>5</v>
      </c>
      <c r="M341" s="91">
        <v>1504</v>
      </c>
      <c r="N341" s="59">
        <v>1</v>
      </c>
      <c r="O341" s="92">
        <v>1</v>
      </c>
      <c r="P341" s="132">
        <f>INDEX([2]Sheet1!$U:$U,MATCH($M341,[2]Sheet1!$A:$A,0),1)</f>
        <v>3</v>
      </c>
      <c r="Q341" s="132">
        <f t="shared" si="18"/>
        <v>2</v>
      </c>
      <c r="R341" s="132" t="str">
        <f t="shared" si="19"/>
        <v>[2850,1],[2851,1],[2852,1],[2853,1],[2854,1],[2855,1],[2856,1],[2857,1],[2858,1],[2859,1],[2860,1],[2861,1],[2862,1],[2863,1],[2864,1],[2865,1],[2866,1],[2867,1]</v>
      </c>
      <c r="S341" s="132"/>
    </row>
    <row r="342" spans="1:19" s="70" customFormat="1">
      <c r="A342" s="69">
        <v>2900</v>
      </c>
      <c r="B342" s="71" t="str">
        <f>VLOOKUP($M342,[1]Sheet1!$A:$C,2,0)&amp;"x"&amp;N342</f>
        <v>进阶丹x50</v>
      </c>
      <c r="C342" s="71">
        <v>0</v>
      </c>
      <c r="D342" s="70">
        <v>4</v>
      </c>
      <c r="E342" s="70">
        <v>4</v>
      </c>
      <c r="F342" s="71">
        <v>0</v>
      </c>
      <c r="G342" s="71">
        <v>50</v>
      </c>
      <c r="H342" s="72">
        <v>0</v>
      </c>
      <c r="I342" s="72">
        <v>1</v>
      </c>
      <c r="J342" s="72">
        <v>1</v>
      </c>
      <c r="K342" s="93" t="s">
        <v>8</v>
      </c>
      <c r="L342" s="73">
        <v>1</v>
      </c>
      <c r="M342" s="94">
        <v>14107</v>
      </c>
      <c r="N342" s="73">
        <v>50</v>
      </c>
      <c r="O342" s="95">
        <v>1</v>
      </c>
      <c r="P342" s="133"/>
      <c r="Q342" s="133">
        <f t="shared" si="14"/>
        <v>4</v>
      </c>
      <c r="R342" s="133" t="str">
        <f>IF($M342&lt;&gt;$M341,"["&amp;$A342&amp;",1]",$R341&amp;IF($O342=1,",["&amp;$A342&amp;",1]",""))</f>
        <v>[2900,1]</v>
      </c>
      <c r="S342" s="133"/>
    </row>
    <row r="343" spans="1:19" s="70" customFormat="1">
      <c r="A343" s="69">
        <v>2901</v>
      </c>
      <c r="B343" s="71" t="str">
        <f>VLOOKUP($M343,[1]Sheet1!$A:$C,2,0)&amp;"x"&amp;N343</f>
        <v>进阶丹x100</v>
      </c>
      <c r="C343" s="71">
        <v>0</v>
      </c>
      <c r="D343" s="70">
        <v>4</v>
      </c>
      <c r="E343" s="70">
        <v>4</v>
      </c>
      <c r="F343" s="71">
        <v>0</v>
      </c>
      <c r="G343" s="71">
        <v>100</v>
      </c>
      <c r="H343" s="72">
        <v>0</v>
      </c>
      <c r="I343" s="72">
        <v>1</v>
      </c>
      <c r="J343" s="72">
        <v>1</v>
      </c>
      <c r="K343" s="93" t="s">
        <v>8</v>
      </c>
      <c r="L343" s="73">
        <v>1</v>
      </c>
      <c r="M343" s="94">
        <v>14107</v>
      </c>
      <c r="N343" s="73">
        <v>100</v>
      </c>
      <c r="O343" s="95">
        <v>1</v>
      </c>
      <c r="P343" s="133"/>
      <c r="Q343" s="133">
        <f t="shared" si="14"/>
        <v>4</v>
      </c>
      <c r="R343" s="133" t="str">
        <f t="shared" ref="R343:R353" si="20">IF($M343&lt;&gt;$M342,"["&amp;$A343&amp;",1]",$R342&amp;IF($O343=1,",["&amp;$A343&amp;",1]",""))</f>
        <v>[2900,1],[2901,1]</v>
      </c>
      <c r="S343" s="133"/>
    </row>
    <row r="344" spans="1:19" s="10" customFormat="1">
      <c r="A344" s="30">
        <v>2902</v>
      </c>
      <c r="B344" s="46" t="str">
        <f>VLOOKUP($M344,[1]Sheet1!$A:$C,2,0)&amp;"x"&amp;N344</f>
        <v>高级经验药x1</v>
      </c>
      <c r="C344" s="46">
        <v>0</v>
      </c>
      <c r="D344" s="10">
        <v>4</v>
      </c>
      <c r="E344" s="10">
        <v>4</v>
      </c>
      <c r="F344" s="46">
        <v>0</v>
      </c>
      <c r="G344" s="46">
        <v>40</v>
      </c>
      <c r="H344" s="32">
        <v>0</v>
      </c>
      <c r="I344" s="32">
        <v>1</v>
      </c>
      <c r="J344" s="32">
        <v>1</v>
      </c>
      <c r="K344" s="90" t="s">
        <v>8</v>
      </c>
      <c r="L344" s="59">
        <v>1</v>
      </c>
      <c r="M344" s="91">
        <v>14003</v>
      </c>
      <c r="N344" s="59">
        <v>1</v>
      </c>
      <c r="O344" s="92">
        <v>1</v>
      </c>
      <c r="P344" s="132"/>
      <c r="Q344" s="132">
        <f t="shared" si="14"/>
        <v>4</v>
      </c>
      <c r="R344" s="132" t="str">
        <f t="shared" si="20"/>
        <v>[2902,1]</v>
      </c>
      <c r="S344" s="132"/>
    </row>
    <row r="345" spans="1:19" s="65" customFormat="1">
      <c r="A345" s="64">
        <v>2903</v>
      </c>
      <c r="B345" s="66" t="str">
        <f>VLOOKUP($M345,[1]Sheet1!$A:$C,2,0)&amp;"x"&amp;N345</f>
        <v>极品经验药x1</v>
      </c>
      <c r="C345" s="66">
        <v>0</v>
      </c>
      <c r="D345" s="65">
        <v>4</v>
      </c>
      <c r="E345" s="65">
        <v>4</v>
      </c>
      <c r="F345" s="66">
        <v>0</v>
      </c>
      <c r="G345" s="66">
        <v>80</v>
      </c>
      <c r="H345" s="67">
        <v>0</v>
      </c>
      <c r="I345" s="67">
        <v>1</v>
      </c>
      <c r="J345" s="67">
        <v>1</v>
      </c>
      <c r="K345" s="84" t="s">
        <v>8</v>
      </c>
      <c r="L345" s="68">
        <v>1</v>
      </c>
      <c r="M345" s="85">
        <v>14004</v>
      </c>
      <c r="N345" s="68">
        <v>1</v>
      </c>
      <c r="O345" s="86">
        <v>1</v>
      </c>
      <c r="P345" s="129"/>
      <c r="Q345" s="129">
        <f t="shared" si="14"/>
        <v>4</v>
      </c>
      <c r="R345" s="129" t="str">
        <f t="shared" si="20"/>
        <v>[2903,1]</v>
      </c>
      <c r="S345" s="129"/>
    </row>
    <row r="346" spans="1:19" s="8" customFormat="1">
      <c r="A346" s="22">
        <v>2904</v>
      </c>
      <c r="B346" s="43" t="str">
        <f>VLOOKUP($M346,[1]Sheet1!$A:$C,2,0)&amp;"x"&amp;N346</f>
        <v>洗炼丹x2</v>
      </c>
      <c r="C346" s="43">
        <v>0</v>
      </c>
      <c r="D346" s="8">
        <v>4</v>
      </c>
      <c r="E346" s="8">
        <v>4</v>
      </c>
      <c r="F346" s="43">
        <v>0</v>
      </c>
      <c r="G346" s="43">
        <v>10</v>
      </c>
      <c r="H346" s="23">
        <v>0</v>
      </c>
      <c r="I346" s="23">
        <v>1</v>
      </c>
      <c r="J346" s="23">
        <v>1</v>
      </c>
      <c r="K346" s="103" t="s">
        <v>8</v>
      </c>
      <c r="L346" s="56">
        <v>1</v>
      </c>
      <c r="M346" s="101">
        <v>14106</v>
      </c>
      <c r="N346" s="56">
        <v>2</v>
      </c>
      <c r="O346" s="102">
        <v>1</v>
      </c>
      <c r="P346" s="136"/>
      <c r="Q346" s="136">
        <f t="shared" ref="Q346:Q347" si="21">E346</f>
        <v>4</v>
      </c>
      <c r="R346" s="136" t="str">
        <f t="shared" si="20"/>
        <v>[2904,1]</v>
      </c>
      <c r="S346" s="136"/>
    </row>
    <row r="347" spans="1:19" s="8" customFormat="1">
      <c r="A347" s="22">
        <v>2905</v>
      </c>
      <c r="B347" s="43" t="str">
        <f>VLOOKUP($M347,[1]Sheet1!$A:$C,2,0)&amp;"x"&amp;N347</f>
        <v>洗炼丹x4</v>
      </c>
      <c r="C347" s="43">
        <v>0</v>
      </c>
      <c r="D347" s="8">
        <v>4</v>
      </c>
      <c r="E347" s="8">
        <v>4</v>
      </c>
      <c r="F347" s="43">
        <v>0</v>
      </c>
      <c r="G347" s="43">
        <v>20</v>
      </c>
      <c r="H347" s="23">
        <v>0</v>
      </c>
      <c r="I347" s="23">
        <v>1</v>
      </c>
      <c r="J347" s="23">
        <v>1</v>
      </c>
      <c r="K347" s="103" t="s">
        <v>8</v>
      </c>
      <c r="L347" s="56">
        <v>1</v>
      </c>
      <c r="M347" s="101">
        <v>14106</v>
      </c>
      <c r="N347" s="56">
        <v>4</v>
      </c>
      <c r="O347" s="102">
        <v>1</v>
      </c>
      <c r="P347" s="136"/>
      <c r="Q347" s="136">
        <f t="shared" si="21"/>
        <v>4</v>
      </c>
      <c r="R347" s="136" t="str">
        <f t="shared" si="20"/>
        <v>[2904,1],[2905,1]</v>
      </c>
      <c r="S347" s="136"/>
    </row>
    <row r="348" spans="1:19" s="70" customFormat="1">
      <c r="A348" s="69">
        <v>2950</v>
      </c>
      <c r="B348" s="71" t="str">
        <f>VLOOKUP($M348,[1]Sheet1!$A:$C,2,0)&amp;"x"&amp;N348</f>
        <v>进阶丹x50</v>
      </c>
      <c r="C348" s="71">
        <v>0</v>
      </c>
      <c r="D348" s="70">
        <v>4</v>
      </c>
      <c r="E348" s="70">
        <v>2</v>
      </c>
      <c r="F348" s="71">
        <v>0</v>
      </c>
      <c r="G348" s="71">
        <v>50</v>
      </c>
      <c r="H348" s="72">
        <v>0</v>
      </c>
      <c r="I348" s="72">
        <v>1</v>
      </c>
      <c r="J348" s="72">
        <v>1</v>
      </c>
      <c r="K348" s="93" t="s">
        <v>8</v>
      </c>
      <c r="L348" s="73">
        <v>1</v>
      </c>
      <c r="M348" s="94">
        <v>14107</v>
      </c>
      <c r="N348" s="73">
        <v>50</v>
      </c>
      <c r="O348" s="95">
        <v>1</v>
      </c>
      <c r="P348" s="133"/>
      <c r="Q348" s="133">
        <f t="shared" si="14"/>
        <v>2</v>
      </c>
      <c r="R348" s="133" t="str">
        <f t="shared" si="20"/>
        <v>[2950,1]</v>
      </c>
      <c r="S348" s="133"/>
    </row>
    <row r="349" spans="1:19" s="70" customFormat="1">
      <c r="A349" s="69">
        <v>2951</v>
      </c>
      <c r="B349" s="71" t="str">
        <f>VLOOKUP($M349,[1]Sheet1!$A:$C,2,0)&amp;"x"&amp;N349</f>
        <v>进阶丹x100</v>
      </c>
      <c r="C349" s="71">
        <v>0</v>
      </c>
      <c r="D349" s="70">
        <v>4</v>
      </c>
      <c r="E349" s="70">
        <v>2</v>
      </c>
      <c r="F349" s="71">
        <v>0</v>
      </c>
      <c r="G349" s="71">
        <v>100</v>
      </c>
      <c r="H349" s="72">
        <v>0</v>
      </c>
      <c r="I349" s="72">
        <v>1</v>
      </c>
      <c r="J349" s="72">
        <v>1</v>
      </c>
      <c r="K349" s="93" t="s">
        <v>8</v>
      </c>
      <c r="L349" s="73">
        <v>1</v>
      </c>
      <c r="M349" s="94">
        <v>14107</v>
      </c>
      <c r="N349" s="73">
        <v>100</v>
      </c>
      <c r="O349" s="95">
        <v>1</v>
      </c>
      <c r="P349" s="133"/>
      <c r="Q349" s="133">
        <f t="shared" si="14"/>
        <v>2</v>
      </c>
      <c r="R349" s="133" t="str">
        <f t="shared" si="20"/>
        <v>[2950,1],[2951,1]</v>
      </c>
      <c r="S349" s="133"/>
    </row>
    <row r="350" spans="1:19" s="10" customFormat="1">
      <c r="A350" s="30">
        <v>2952</v>
      </c>
      <c r="B350" s="46" t="str">
        <f>VLOOKUP($M350,[1]Sheet1!$A:$C,2,0)&amp;"x"&amp;N350</f>
        <v>高级经验药x1</v>
      </c>
      <c r="C350" s="46">
        <v>0</v>
      </c>
      <c r="D350" s="10">
        <v>4</v>
      </c>
      <c r="E350" s="10">
        <v>2</v>
      </c>
      <c r="F350" s="46">
        <v>0</v>
      </c>
      <c r="G350" s="46">
        <v>40</v>
      </c>
      <c r="H350" s="32">
        <v>0</v>
      </c>
      <c r="I350" s="32">
        <v>1</v>
      </c>
      <c r="J350" s="32">
        <v>1</v>
      </c>
      <c r="K350" s="90" t="s">
        <v>8</v>
      </c>
      <c r="L350" s="59">
        <v>1</v>
      </c>
      <c r="M350" s="91">
        <v>14003</v>
      </c>
      <c r="N350" s="59">
        <v>1</v>
      </c>
      <c r="O350" s="92">
        <v>1</v>
      </c>
      <c r="P350" s="132"/>
      <c r="Q350" s="132">
        <f t="shared" si="14"/>
        <v>2</v>
      </c>
      <c r="R350" s="132" t="str">
        <f t="shared" si="20"/>
        <v>[2952,1]</v>
      </c>
      <c r="S350" s="132"/>
    </row>
    <row r="351" spans="1:19" s="65" customFormat="1">
      <c r="A351" s="64">
        <v>2953</v>
      </c>
      <c r="B351" s="66" t="str">
        <f>VLOOKUP($M351,[1]Sheet1!$A:$C,2,0)&amp;"x"&amp;N351</f>
        <v>极品经验药x1</v>
      </c>
      <c r="C351" s="66">
        <v>0</v>
      </c>
      <c r="D351" s="65">
        <v>4</v>
      </c>
      <c r="E351" s="65">
        <v>2</v>
      </c>
      <c r="F351" s="66">
        <v>0</v>
      </c>
      <c r="G351" s="66">
        <v>80</v>
      </c>
      <c r="H351" s="67">
        <v>0</v>
      </c>
      <c r="I351" s="67">
        <v>1</v>
      </c>
      <c r="J351" s="67">
        <v>1</v>
      </c>
      <c r="K351" s="84" t="s">
        <v>8</v>
      </c>
      <c r="L351" s="68">
        <v>1</v>
      </c>
      <c r="M351" s="85">
        <v>14004</v>
      </c>
      <c r="N351" s="68">
        <v>1</v>
      </c>
      <c r="O351" s="86">
        <v>1</v>
      </c>
      <c r="P351" s="129"/>
      <c r="Q351" s="129">
        <f t="shared" si="14"/>
        <v>2</v>
      </c>
      <c r="R351" s="129" t="str">
        <f t="shared" si="20"/>
        <v>[2953,1]</v>
      </c>
      <c r="S351" s="129"/>
    </row>
    <row r="352" spans="1:19" s="8" customFormat="1">
      <c r="A352" s="22">
        <v>2954</v>
      </c>
      <c r="B352" s="43" t="str">
        <f>VLOOKUP($M352,[1]Sheet1!$A:$C,2,0)&amp;"x"&amp;N352</f>
        <v>洗炼丹x2</v>
      </c>
      <c r="C352" s="43">
        <v>0</v>
      </c>
      <c r="D352" s="8">
        <v>4</v>
      </c>
      <c r="E352" s="8">
        <v>2</v>
      </c>
      <c r="F352" s="43">
        <v>0</v>
      </c>
      <c r="G352" s="43">
        <v>10</v>
      </c>
      <c r="H352" s="23">
        <v>0</v>
      </c>
      <c r="I352" s="23">
        <v>1</v>
      </c>
      <c r="J352" s="23">
        <v>1</v>
      </c>
      <c r="K352" s="103" t="s">
        <v>8</v>
      </c>
      <c r="L352" s="56">
        <v>1</v>
      </c>
      <c r="M352" s="101">
        <v>14106</v>
      </c>
      <c r="N352" s="56">
        <v>2</v>
      </c>
      <c r="O352" s="102">
        <v>1</v>
      </c>
      <c r="P352" s="136"/>
      <c r="Q352" s="136">
        <f t="shared" ref="Q352:Q353" si="22">E352</f>
        <v>2</v>
      </c>
      <c r="R352" s="136" t="str">
        <f t="shared" si="20"/>
        <v>[2954,1]</v>
      </c>
      <c r="S352" s="136"/>
    </row>
    <row r="353" spans="1:19" s="8" customFormat="1">
      <c r="A353" s="22">
        <v>2955</v>
      </c>
      <c r="B353" s="43" t="str">
        <f>VLOOKUP($M353,[1]Sheet1!$A:$C,2,0)&amp;"x"&amp;N353</f>
        <v>洗炼丹x4</v>
      </c>
      <c r="C353" s="43">
        <v>0</v>
      </c>
      <c r="D353" s="8">
        <v>4</v>
      </c>
      <c r="E353" s="8">
        <v>2</v>
      </c>
      <c r="F353" s="43">
        <v>0</v>
      </c>
      <c r="G353" s="43">
        <v>20</v>
      </c>
      <c r="H353" s="23">
        <v>0</v>
      </c>
      <c r="I353" s="23">
        <v>1</v>
      </c>
      <c r="J353" s="23">
        <v>1</v>
      </c>
      <c r="K353" s="103" t="s">
        <v>8</v>
      </c>
      <c r="L353" s="56">
        <v>1</v>
      </c>
      <c r="M353" s="101">
        <v>14106</v>
      </c>
      <c r="N353" s="56">
        <v>4</v>
      </c>
      <c r="O353" s="102">
        <v>1</v>
      </c>
      <c r="P353" s="136"/>
      <c r="Q353" s="136">
        <f t="shared" si="22"/>
        <v>2</v>
      </c>
      <c r="R353" s="136" t="str">
        <f t="shared" si="20"/>
        <v>[2954,1],[2955,1]</v>
      </c>
      <c r="S353" s="136"/>
    </row>
    <row r="354" spans="1:19" s="9" customFormat="1">
      <c r="A354" s="24">
        <v>3001</v>
      </c>
      <c r="B354" s="44" t="str">
        <f>IF($L354=1,VLOOKUP($M354,[1]Sheet1!$A:$C,2,0),IF($L354=4,VLOOKUP($M354,[4]Sheet1!$A:$B,2,0),IF($L354=2,VLOOKUP($M354,[5]Sheet1!$A:$B,2,0),0)))&amp;"x"&amp;$N354</f>
        <v>金蝉子碎片x5</v>
      </c>
      <c r="C354" s="44">
        <v>2</v>
      </c>
      <c r="D354" s="9">
        <v>4</v>
      </c>
      <c r="E354" s="9">
        <v>5</v>
      </c>
      <c r="F354" s="44">
        <v>0</v>
      </c>
      <c r="G354" s="44">
        <v>2000</v>
      </c>
      <c r="H354" s="25">
        <v>0</v>
      </c>
      <c r="I354" s="25">
        <v>1</v>
      </c>
      <c r="J354" s="25">
        <v>20</v>
      </c>
      <c r="K354" s="96" t="s">
        <v>8</v>
      </c>
      <c r="L354" s="57">
        <v>1</v>
      </c>
      <c r="M354" s="97">
        <v>10112</v>
      </c>
      <c r="N354" s="57">
        <v>5</v>
      </c>
      <c r="O354" s="98">
        <v>1</v>
      </c>
      <c r="P354" s="134"/>
      <c r="Q354" s="134"/>
      <c r="R354" s="134"/>
      <c r="S354" s="134"/>
    </row>
    <row r="355" spans="1:19" s="9" customFormat="1">
      <c r="A355" s="24">
        <v>3002</v>
      </c>
      <c r="B355" s="44" t="str">
        <f>IF($L355=1,VLOOKUP($M355,[1]Sheet1!$A:$C,2,0),IF($L355=4,VLOOKUP($M355,[4]Sheet1!$A:$B,2,0),IF($L355=2,VLOOKUP($M355,[5]Sheet1!$A:$B,2,0),0)))&amp;"x"&amp;$N355</f>
        <v>托塔天王碎片x5</v>
      </c>
      <c r="C355" s="44">
        <v>2</v>
      </c>
      <c r="D355" s="9">
        <v>4</v>
      </c>
      <c r="E355" s="9">
        <v>5</v>
      </c>
      <c r="F355" s="44">
        <v>0</v>
      </c>
      <c r="G355" s="44">
        <v>2000</v>
      </c>
      <c r="H355" s="25">
        <v>0</v>
      </c>
      <c r="I355" s="25">
        <v>1</v>
      </c>
      <c r="J355" s="25">
        <v>20</v>
      </c>
      <c r="K355" s="96" t="s">
        <v>8</v>
      </c>
      <c r="L355" s="57">
        <v>1</v>
      </c>
      <c r="M355" s="97">
        <v>10008</v>
      </c>
      <c r="N355" s="57">
        <v>5</v>
      </c>
      <c r="O355" s="98">
        <v>1</v>
      </c>
      <c r="P355" s="134"/>
      <c r="Q355" s="134"/>
      <c r="R355" s="134"/>
      <c r="S355" s="134"/>
    </row>
    <row r="356" spans="1:19" s="9" customFormat="1">
      <c r="A356" s="24">
        <v>3003</v>
      </c>
      <c r="B356" s="44" t="str">
        <f>IF($L356=1,VLOOKUP($M356,[1]Sheet1!$A:$C,2,0),IF($L356=4,VLOOKUP($M356,[4]Sheet1!$A:$B,2,0),IF($L356=2,VLOOKUP($M356,[5]Sheet1!$A:$B,2,0),0)))&amp;"x"&amp;$N356</f>
        <v>猪八戒碎片x5</v>
      </c>
      <c r="C356" s="44">
        <v>2</v>
      </c>
      <c r="D356" s="9">
        <v>4</v>
      </c>
      <c r="E356" s="9">
        <v>5</v>
      </c>
      <c r="F356" s="44">
        <v>0</v>
      </c>
      <c r="G356" s="44">
        <v>2000</v>
      </c>
      <c r="H356" s="25">
        <v>0</v>
      </c>
      <c r="I356" s="25">
        <v>1</v>
      </c>
      <c r="J356" s="25">
        <v>20</v>
      </c>
      <c r="K356" s="96" t="s">
        <v>8</v>
      </c>
      <c r="L356" s="57">
        <v>1</v>
      </c>
      <c r="M356" s="97">
        <v>10020</v>
      </c>
      <c r="N356" s="57">
        <v>5</v>
      </c>
      <c r="O356" s="98">
        <v>1</v>
      </c>
      <c r="P356" s="134"/>
      <c r="Q356" s="134"/>
      <c r="R356" s="134"/>
      <c r="S356" s="134"/>
    </row>
    <row r="357" spans="1:19" s="65" customFormat="1">
      <c r="A357" s="64">
        <v>3004</v>
      </c>
      <c r="B357" s="66" t="str">
        <f>IF($L357=1,VLOOKUP($M357,[1]Sheet1!$A:$C,2,0),IF($L357=4,VLOOKUP($M357,[4]Sheet1!$A:$B,2,0),IF($L357=2,VLOOKUP($M357,[5]Sheet1!$A:$B,2,0),0)))&amp;"x"&amp;$N357</f>
        <v>弥勒佛碎片x5</v>
      </c>
      <c r="C357" s="66">
        <v>2</v>
      </c>
      <c r="D357" s="65">
        <v>4</v>
      </c>
      <c r="E357" s="65">
        <v>5</v>
      </c>
      <c r="F357" s="66">
        <v>0</v>
      </c>
      <c r="G357" s="66">
        <v>2000</v>
      </c>
      <c r="H357" s="67">
        <v>0</v>
      </c>
      <c r="I357" s="67">
        <v>1</v>
      </c>
      <c r="J357" s="67">
        <v>20</v>
      </c>
      <c r="K357" s="84" t="s">
        <v>8</v>
      </c>
      <c r="L357" s="68">
        <v>1</v>
      </c>
      <c r="M357" s="85">
        <v>10027</v>
      </c>
      <c r="N357" s="68">
        <v>5</v>
      </c>
      <c r="O357" s="86">
        <v>1</v>
      </c>
      <c r="P357" s="129"/>
      <c r="Q357" s="129"/>
      <c r="R357" s="129"/>
      <c r="S357" s="129"/>
    </row>
    <row r="358" spans="1:19" s="65" customFormat="1">
      <c r="A358" s="64">
        <v>3005</v>
      </c>
      <c r="B358" s="66" t="str">
        <f>IF($L358=1,VLOOKUP($M358,[1]Sheet1!$A:$C,2,0),IF($L358=4,VLOOKUP($M358,[4]Sheet1!$A:$B,2,0),IF($L358=2,VLOOKUP($M358,[5]Sheet1!$A:$B,2,0),0)))&amp;"x"&amp;$N358</f>
        <v>黑无常碎片x5</v>
      </c>
      <c r="C358" s="66">
        <v>2</v>
      </c>
      <c r="D358" s="65">
        <v>4</v>
      </c>
      <c r="E358" s="65">
        <v>5</v>
      </c>
      <c r="F358" s="66">
        <v>0</v>
      </c>
      <c r="G358" s="66">
        <v>2000</v>
      </c>
      <c r="H358" s="67">
        <v>0</v>
      </c>
      <c r="I358" s="67">
        <v>1</v>
      </c>
      <c r="J358" s="67">
        <v>20</v>
      </c>
      <c r="K358" s="84" t="s">
        <v>8</v>
      </c>
      <c r="L358" s="68">
        <v>1</v>
      </c>
      <c r="M358" s="85">
        <v>10119</v>
      </c>
      <c r="N358" s="68">
        <v>5</v>
      </c>
      <c r="O358" s="86">
        <v>1</v>
      </c>
      <c r="P358" s="129"/>
      <c r="Q358" s="129"/>
      <c r="R358" s="129"/>
      <c r="S358" s="129"/>
    </row>
    <row r="359" spans="1:19" s="65" customFormat="1">
      <c r="A359" s="64">
        <v>3006</v>
      </c>
      <c r="B359" s="66" t="str">
        <f>IF($L359=1,VLOOKUP($M359,[1]Sheet1!$A:$C,2,0),IF($L359=4,VLOOKUP($M359,[4]Sheet1!$A:$B,2,0),IF($L359=2,VLOOKUP($M359,[5]Sheet1!$A:$B,2,0),0)))&amp;"x"&amp;$N359</f>
        <v>虎力大仙碎片x5</v>
      </c>
      <c r="C359" s="66">
        <v>2</v>
      </c>
      <c r="D359" s="65">
        <v>4</v>
      </c>
      <c r="E359" s="65">
        <v>5</v>
      </c>
      <c r="F359" s="66">
        <v>0</v>
      </c>
      <c r="G359" s="66">
        <v>2000</v>
      </c>
      <c r="H359" s="67">
        <v>0</v>
      </c>
      <c r="I359" s="67">
        <v>1</v>
      </c>
      <c r="J359" s="67">
        <v>20</v>
      </c>
      <c r="K359" s="84" t="s">
        <v>8</v>
      </c>
      <c r="L359" s="68">
        <v>1</v>
      </c>
      <c r="M359" s="85">
        <v>10013</v>
      </c>
      <c r="N359" s="68">
        <v>5</v>
      </c>
      <c r="O359" s="86">
        <v>1</v>
      </c>
      <c r="P359" s="129"/>
      <c r="Q359" s="129"/>
      <c r="R359" s="129"/>
      <c r="S359" s="129"/>
    </row>
    <row r="360" spans="1:19" s="9" customFormat="1">
      <c r="A360" s="24">
        <v>3007</v>
      </c>
      <c r="B360" s="44" t="str">
        <f>IF($L360=1,VLOOKUP($M360,[1]Sheet1!$A:$C,2,0),IF($L360=4,VLOOKUP($M360,[4]Sheet1!$A:$B,2,0),IF($L360=2,VLOOKUP($M360,[5]Sheet1!$A:$B,2,0),0)))&amp;"x"&amp;$N360</f>
        <v>观世音碎片x5</v>
      </c>
      <c r="C360" s="44">
        <v>2</v>
      </c>
      <c r="D360" s="9">
        <v>4</v>
      </c>
      <c r="E360" s="9">
        <v>5</v>
      </c>
      <c r="F360" s="44">
        <v>0</v>
      </c>
      <c r="G360" s="44">
        <v>2000</v>
      </c>
      <c r="H360" s="25">
        <v>0</v>
      </c>
      <c r="I360" s="25">
        <v>1</v>
      </c>
      <c r="J360" s="25">
        <v>20</v>
      </c>
      <c r="K360" s="96" t="s">
        <v>8</v>
      </c>
      <c r="L360" s="57">
        <v>1</v>
      </c>
      <c r="M360" s="97">
        <v>10115</v>
      </c>
      <c r="N360" s="57">
        <v>5</v>
      </c>
      <c r="O360" s="98">
        <v>1</v>
      </c>
      <c r="P360" s="134"/>
      <c r="Q360" s="134"/>
      <c r="R360" s="134"/>
      <c r="S360" s="134"/>
    </row>
    <row r="361" spans="1:19" s="9" customFormat="1">
      <c r="A361" s="24">
        <v>3008</v>
      </c>
      <c r="B361" s="44" t="str">
        <f>IF($L361=1,VLOOKUP($M361,[1]Sheet1!$A:$C,2,0),IF($L361=4,VLOOKUP($M361,[4]Sheet1!$A:$B,2,0),IF($L361=2,VLOOKUP($M361,[5]Sheet1!$A:$B,2,0),0)))&amp;"x"&amp;$N361</f>
        <v>嫦娥碎片x5</v>
      </c>
      <c r="C361" s="44">
        <v>2</v>
      </c>
      <c r="D361" s="9">
        <v>4</v>
      </c>
      <c r="E361" s="9">
        <v>5</v>
      </c>
      <c r="F361" s="44">
        <v>0</v>
      </c>
      <c r="G361" s="44">
        <v>2000</v>
      </c>
      <c r="H361" s="25">
        <v>0</v>
      </c>
      <c r="I361" s="25">
        <v>1</v>
      </c>
      <c r="J361" s="25">
        <v>20</v>
      </c>
      <c r="K361" s="96" t="s">
        <v>8</v>
      </c>
      <c r="L361" s="57">
        <v>1</v>
      </c>
      <c r="M361" s="97">
        <v>10003</v>
      </c>
      <c r="N361" s="57">
        <v>5</v>
      </c>
      <c r="O361" s="98">
        <v>1</v>
      </c>
      <c r="P361" s="134"/>
      <c r="Q361" s="134"/>
      <c r="R361" s="134"/>
      <c r="S361" s="134"/>
    </row>
    <row r="362" spans="1:19" s="9" customFormat="1">
      <c r="A362" s="24">
        <v>3009</v>
      </c>
      <c r="B362" s="44" t="str">
        <f>IF($L362=1,VLOOKUP($M362,[1]Sheet1!$A:$C,2,0),IF($L362=4,VLOOKUP($M362,[4]Sheet1!$A:$B,2,0),IF($L362=2,VLOOKUP($M362,[5]Sheet1!$A:$B,2,0),0)))&amp;"x"&amp;$N362</f>
        <v>羊力大仙碎片x5</v>
      </c>
      <c r="C362" s="44">
        <v>2</v>
      </c>
      <c r="D362" s="9">
        <v>4</v>
      </c>
      <c r="E362" s="9">
        <v>5</v>
      </c>
      <c r="F362" s="44">
        <v>0</v>
      </c>
      <c r="G362" s="44">
        <v>2000</v>
      </c>
      <c r="H362" s="25">
        <v>0</v>
      </c>
      <c r="I362" s="25">
        <v>1</v>
      </c>
      <c r="J362" s="25">
        <v>20</v>
      </c>
      <c r="K362" s="96" t="s">
        <v>8</v>
      </c>
      <c r="L362" s="57">
        <v>1</v>
      </c>
      <c r="M362" s="97">
        <v>10015</v>
      </c>
      <c r="N362" s="57">
        <v>5</v>
      </c>
      <c r="O362" s="98">
        <v>1</v>
      </c>
      <c r="P362" s="134"/>
      <c r="Q362" s="134"/>
      <c r="R362" s="134"/>
      <c r="S362" s="134"/>
    </row>
    <row r="363" spans="1:19" s="11" customFormat="1">
      <c r="A363" s="33">
        <v>3010</v>
      </c>
      <c r="B363" s="47" t="str">
        <f>IF($L363=1,VLOOKUP($M363,[1]Sheet1!$A:$C,2,0),IF($L363=4,VLOOKUP($M363,[4]Sheet1!$A:$B,2,0),IF($L363=2,VLOOKUP($M363,[5]Sheet1!$A:$B,2,0),0)))&amp;"x"&amp;$N363</f>
        <v>橙13仙将碎片选择箱x5</v>
      </c>
      <c r="C363" s="47">
        <v>0</v>
      </c>
      <c r="D363" s="11">
        <v>4</v>
      </c>
      <c r="E363" s="11">
        <v>5</v>
      </c>
      <c r="F363" s="47">
        <v>0</v>
      </c>
      <c r="G363" s="47">
        <f>350*5</f>
        <v>1750</v>
      </c>
      <c r="H363" s="35">
        <v>0</v>
      </c>
      <c r="I363" s="35">
        <v>1</v>
      </c>
      <c r="J363" s="35">
        <v>16</v>
      </c>
      <c r="K363" s="87" t="s">
        <v>8</v>
      </c>
      <c r="L363" s="60">
        <v>1</v>
      </c>
      <c r="M363" s="88">
        <v>14510</v>
      </c>
      <c r="N363" s="60">
        <v>5</v>
      </c>
      <c r="O363" s="89">
        <v>1</v>
      </c>
      <c r="P363" s="131"/>
      <c r="Q363" s="131"/>
      <c r="R363" s="131"/>
      <c r="S363" s="131"/>
    </row>
    <row r="364" spans="1:19" s="11" customFormat="1">
      <c r="A364" s="33">
        <v>3011</v>
      </c>
      <c r="B364" s="47" t="str">
        <f>IF($L364=1,VLOOKUP($M364,[1]Sheet1!$A:$C,2,0),IF($L364=4,VLOOKUP($M364,[4]Sheet1!$A:$B,2,0),IF($L364=2,VLOOKUP($M364,[5]Sheet1!$A:$B,2,0),0)))&amp;"x"&amp;$N364</f>
        <v>橙13佛将碎片选择箱x5</v>
      </c>
      <c r="C364" s="47">
        <v>0</v>
      </c>
      <c r="D364" s="11">
        <v>4</v>
      </c>
      <c r="E364" s="11">
        <v>5</v>
      </c>
      <c r="F364" s="47">
        <v>0</v>
      </c>
      <c r="G364" s="47">
        <v>1750</v>
      </c>
      <c r="H364" s="35">
        <v>0</v>
      </c>
      <c r="I364" s="35">
        <v>1</v>
      </c>
      <c r="J364" s="35">
        <v>16</v>
      </c>
      <c r="K364" s="87" t="s">
        <v>8</v>
      </c>
      <c r="L364" s="60">
        <v>1</v>
      </c>
      <c r="M364" s="88">
        <v>14511</v>
      </c>
      <c r="N364" s="60">
        <v>5</v>
      </c>
      <c r="O364" s="89">
        <v>1</v>
      </c>
      <c r="P364" s="131"/>
      <c r="Q364" s="131"/>
      <c r="R364" s="131"/>
      <c r="S364" s="131"/>
    </row>
    <row r="365" spans="1:19" s="11" customFormat="1">
      <c r="A365" s="33">
        <v>3012</v>
      </c>
      <c r="B365" s="47" t="str">
        <f>IF($L365=1,VLOOKUP($M365,[1]Sheet1!$A:$C,2,0),IF($L365=4,VLOOKUP($M365,[4]Sheet1!$A:$B,2,0),IF($L365=2,VLOOKUP($M365,[5]Sheet1!$A:$B,2,0),0)))&amp;"x"&amp;$N365</f>
        <v>橙13妖将碎片选择箱x5</v>
      </c>
      <c r="C365" s="47">
        <v>0</v>
      </c>
      <c r="D365" s="11">
        <v>4</v>
      </c>
      <c r="E365" s="11">
        <v>5</v>
      </c>
      <c r="F365" s="47">
        <v>0</v>
      </c>
      <c r="G365" s="47">
        <v>1750</v>
      </c>
      <c r="H365" s="35">
        <v>0</v>
      </c>
      <c r="I365" s="35">
        <v>1</v>
      </c>
      <c r="J365" s="35">
        <v>16</v>
      </c>
      <c r="K365" s="87" t="s">
        <v>8</v>
      </c>
      <c r="L365" s="60">
        <v>1</v>
      </c>
      <c r="M365" s="88">
        <v>14512</v>
      </c>
      <c r="N365" s="60">
        <v>5</v>
      </c>
      <c r="O365" s="89">
        <v>1</v>
      </c>
      <c r="P365" s="131"/>
      <c r="Q365" s="131"/>
      <c r="R365" s="131"/>
      <c r="S365" s="131"/>
    </row>
    <row r="366" spans="1:19" s="141" customFormat="1">
      <c r="A366" s="140">
        <v>3013</v>
      </c>
      <c r="B366" s="142" t="str">
        <f>IF($L366=1,VLOOKUP($M366,[1]Sheet1!$A:$C,2,0),IF($L366=4,VLOOKUP($M366,[4]Sheet1!$A:$B,2,0),IF($L366=2,VLOOKUP($M366,[5]Sheet1!$A:$B,2,0),0)))&amp;"x"&amp;$N366</f>
        <v>进阶丹x1</v>
      </c>
      <c r="C366" s="142">
        <v>0</v>
      </c>
      <c r="D366" s="141">
        <v>4</v>
      </c>
      <c r="E366" s="141">
        <v>5</v>
      </c>
      <c r="F366" s="142">
        <v>0</v>
      </c>
      <c r="G366" s="142">
        <v>10</v>
      </c>
      <c r="H366" s="143">
        <v>0</v>
      </c>
      <c r="I366" s="143">
        <v>1</v>
      </c>
      <c r="J366" s="143">
        <v>100</v>
      </c>
      <c r="K366" s="144" t="s">
        <v>8</v>
      </c>
      <c r="L366" s="145">
        <v>1</v>
      </c>
      <c r="M366" s="146">
        <v>14107</v>
      </c>
      <c r="N366" s="145">
        <v>1</v>
      </c>
      <c r="O366" s="147">
        <v>1</v>
      </c>
      <c r="P366" s="148"/>
      <c r="Q366" s="148"/>
      <c r="R366" s="148"/>
      <c r="S366" s="148"/>
    </row>
    <row r="367" spans="1:19" s="141" customFormat="1">
      <c r="A367" s="140">
        <v>3014</v>
      </c>
      <c r="B367" s="142" t="str">
        <f>IF($L367=1,VLOOKUP($M367,[1]Sheet1!$A:$C,2,0),IF($L367=4,VLOOKUP($M367,[4]Sheet1!$A:$B,2,0),IF($L367=2,VLOOKUP($M367,[5]Sheet1!$A:$B,2,0),0)))&amp;"x"&amp;$N367</f>
        <v>进阶丹x10</v>
      </c>
      <c r="C367" s="142">
        <v>0</v>
      </c>
      <c r="D367" s="141">
        <v>4</v>
      </c>
      <c r="E367" s="141">
        <v>5</v>
      </c>
      <c r="F367" s="142">
        <v>0</v>
      </c>
      <c r="G367" s="142">
        <v>100</v>
      </c>
      <c r="H367" s="143">
        <v>0</v>
      </c>
      <c r="I367" s="143">
        <v>1</v>
      </c>
      <c r="J367" s="143">
        <v>10</v>
      </c>
      <c r="K367" s="144" t="s">
        <v>8</v>
      </c>
      <c r="L367" s="145">
        <v>1</v>
      </c>
      <c r="M367" s="146">
        <v>14107</v>
      </c>
      <c r="N367" s="145">
        <v>10</v>
      </c>
      <c r="O367" s="147">
        <v>1</v>
      </c>
      <c r="P367" s="148"/>
      <c r="Q367" s="148"/>
      <c r="R367" s="148"/>
      <c r="S367" s="148"/>
    </row>
    <row r="368" spans="1:19" s="141" customFormat="1">
      <c r="A368" s="140">
        <v>3015</v>
      </c>
      <c r="B368" s="142" t="str">
        <f>IF($L368=1,VLOOKUP($M368,[1]Sheet1!$A:$C,2,0),IF($L368=4,VLOOKUP($M368,[4]Sheet1!$A:$B,2,0),IF($L368=2,VLOOKUP($M368,[5]Sheet1!$A:$B,2,0),0)))&amp;"x"&amp;$N368</f>
        <v>进阶丹x100</v>
      </c>
      <c r="C368" s="142">
        <v>0</v>
      </c>
      <c r="D368" s="141">
        <v>4</v>
      </c>
      <c r="E368" s="141">
        <v>5</v>
      </c>
      <c r="F368" s="142">
        <v>0</v>
      </c>
      <c r="G368" s="142">
        <v>1000</v>
      </c>
      <c r="H368" s="143">
        <v>0</v>
      </c>
      <c r="I368" s="143">
        <v>1</v>
      </c>
      <c r="J368" s="143">
        <v>1</v>
      </c>
      <c r="K368" s="144" t="s">
        <v>8</v>
      </c>
      <c r="L368" s="145">
        <v>1</v>
      </c>
      <c r="M368" s="146">
        <v>14107</v>
      </c>
      <c r="N368" s="145">
        <v>100</v>
      </c>
      <c r="O368" s="147">
        <v>1</v>
      </c>
      <c r="P368" s="148"/>
      <c r="Q368" s="148"/>
      <c r="R368" s="148"/>
      <c r="S368" s="148"/>
    </row>
    <row r="369" spans="1:19" s="13" customFormat="1">
      <c r="A369" s="39">
        <v>3016</v>
      </c>
      <c r="B369" s="49" t="str">
        <f>IF($L369=1,VLOOKUP($M369,[1]Sheet1!$A:$C,2,0),IF($L369=4,VLOOKUP($M369,[4]Sheet1!$A:$B,2,0),IF($L369=2,VLOOKUP($M369,[5]Sheet1!$A:$B,2,0),0)))&amp;"x"&amp;$N369</f>
        <v>洗炼丹x1</v>
      </c>
      <c r="C369" s="49">
        <v>0</v>
      </c>
      <c r="D369" s="13">
        <v>4</v>
      </c>
      <c r="E369" s="13">
        <v>5</v>
      </c>
      <c r="F369" s="49">
        <v>0</v>
      </c>
      <c r="G369" s="49">
        <v>50</v>
      </c>
      <c r="H369" s="37">
        <v>0</v>
      </c>
      <c r="I369" s="37">
        <v>1</v>
      </c>
      <c r="J369" s="37">
        <v>100</v>
      </c>
      <c r="K369" s="110" t="s">
        <v>8</v>
      </c>
      <c r="L369" s="62">
        <v>1</v>
      </c>
      <c r="M369" s="117">
        <v>14106</v>
      </c>
      <c r="N369" s="62">
        <v>1</v>
      </c>
      <c r="O369" s="118">
        <v>1</v>
      </c>
      <c r="P369" s="138"/>
      <c r="Q369" s="138"/>
      <c r="R369" s="138"/>
      <c r="S369" s="138"/>
    </row>
    <row r="370" spans="1:19" s="13" customFormat="1">
      <c r="A370" s="39">
        <v>3017</v>
      </c>
      <c r="B370" s="49" t="str">
        <f>IF($L370=1,VLOOKUP($M370,[1]Sheet1!$A:$C,2,0),IF($L370=4,VLOOKUP($M370,[4]Sheet1!$A:$B,2,0),IF($L370=2,VLOOKUP($M370,[5]Sheet1!$A:$B,2,0),0)))&amp;"x"&amp;$N370</f>
        <v>洗炼丹x10</v>
      </c>
      <c r="C370" s="49">
        <v>0</v>
      </c>
      <c r="D370" s="13">
        <v>4</v>
      </c>
      <c r="E370" s="13">
        <v>5</v>
      </c>
      <c r="F370" s="49">
        <v>0</v>
      </c>
      <c r="G370" s="49">
        <v>500</v>
      </c>
      <c r="H370" s="37">
        <v>0</v>
      </c>
      <c r="I370" s="37">
        <v>1</v>
      </c>
      <c r="J370" s="37">
        <v>10</v>
      </c>
      <c r="K370" s="110" t="s">
        <v>8</v>
      </c>
      <c r="L370" s="62">
        <v>1</v>
      </c>
      <c r="M370" s="117">
        <v>14106</v>
      </c>
      <c r="N370" s="62">
        <v>10</v>
      </c>
      <c r="O370" s="118">
        <v>1</v>
      </c>
      <c r="P370" s="138"/>
      <c r="Q370" s="138"/>
      <c r="R370" s="138"/>
      <c r="S370" s="138"/>
    </row>
    <row r="371" spans="1:19" s="13" customFormat="1">
      <c r="A371" s="39">
        <v>3018</v>
      </c>
      <c r="B371" s="49" t="str">
        <f>IF($L371=1,VLOOKUP($M371,[1]Sheet1!$A:$C,2,0),IF($L371=4,VLOOKUP($M371,[4]Sheet1!$A:$B,2,0),IF($L371=2,VLOOKUP($M371,[5]Sheet1!$A:$B,2,0),0)))&amp;"x"&amp;$N371</f>
        <v>洗炼丹x100</v>
      </c>
      <c r="C371" s="49">
        <v>0</v>
      </c>
      <c r="D371" s="13">
        <v>4</v>
      </c>
      <c r="E371" s="13">
        <v>5</v>
      </c>
      <c r="F371" s="49">
        <v>0</v>
      </c>
      <c r="G371" s="49">
        <v>5000</v>
      </c>
      <c r="H371" s="37">
        <v>0</v>
      </c>
      <c r="I371" s="37">
        <v>1</v>
      </c>
      <c r="J371" s="37">
        <v>1</v>
      </c>
      <c r="K371" s="110" t="s">
        <v>8</v>
      </c>
      <c r="L371" s="62">
        <v>1</v>
      </c>
      <c r="M371" s="117">
        <v>14106</v>
      </c>
      <c r="N371" s="62">
        <v>100</v>
      </c>
      <c r="O371" s="118">
        <v>1</v>
      </c>
      <c r="P371" s="138"/>
      <c r="Q371" s="138"/>
      <c r="R371" s="138"/>
      <c r="S371" s="138"/>
    </row>
    <row r="372" spans="1:19" s="177" customFormat="1">
      <c r="A372" s="175">
        <v>3019</v>
      </c>
      <c r="B372" s="176" t="str">
        <f>IF($L372=1,VLOOKUP($M372,[1]Sheet1!$A:$C,2,0),IF($L372=4,VLOOKUP($M372,[4]Sheet1!$A:$B,2,0),IF($L372=2,VLOOKUP($M372,[5]Sheet1!$A:$B,2,0),0)))&amp;"x"&amp;$N372</f>
        <v>洗炼突破丹x1</v>
      </c>
      <c r="C372" s="176">
        <v>0</v>
      </c>
      <c r="D372" s="177">
        <v>4</v>
      </c>
      <c r="E372" s="177">
        <v>5</v>
      </c>
      <c r="F372" s="176">
        <v>0</v>
      </c>
      <c r="G372" s="176">
        <v>200</v>
      </c>
      <c r="H372" s="178">
        <v>0</v>
      </c>
      <c r="I372" s="178">
        <v>1</v>
      </c>
      <c r="J372" s="178">
        <v>100</v>
      </c>
      <c r="K372" s="179" t="s">
        <v>8</v>
      </c>
      <c r="L372" s="180">
        <v>1</v>
      </c>
      <c r="M372" s="181">
        <v>16010</v>
      </c>
      <c r="N372" s="180">
        <v>1</v>
      </c>
      <c r="O372" s="187">
        <v>1</v>
      </c>
      <c r="P372" s="182"/>
      <c r="Q372" s="182"/>
      <c r="R372" s="182"/>
      <c r="S372" s="182"/>
    </row>
    <row r="373" spans="1:19" s="177" customFormat="1">
      <c r="A373" s="175">
        <v>3020</v>
      </c>
      <c r="B373" s="176" t="str">
        <f>IF($L373=1,VLOOKUP($M373,[1]Sheet1!$A:$C,2,0),IF($L373=4,VLOOKUP($M373,[4]Sheet1!$A:$B,2,0),IF($L373=2,VLOOKUP($M373,[5]Sheet1!$A:$B,2,0),0)))&amp;"x"&amp;$N373</f>
        <v>洗炼突破丹x10</v>
      </c>
      <c r="C373" s="176">
        <v>0</v>
      </c>
      <c r="D373" s="177">
        <v>4</v>
      </c>
      <c r="E373" s="177">
        <v>5</v>
      </c>
      <c r="F373" s="176">
        <v>0</v>
      </c>
      <c r="G373" s="176">
        <v>2000</v>
      </c>
      <c r="H373" s="178">
        <v>0</v>
      </c>
      <c r="I373" s="178">
        <v>1</v>
      </c>
      <c r="J373" s="178">
        <v>20</v>
      </c>
      <c r="K373" s="179" t="s">
        <v>8</v>
      </c>
      <c r="L373" s="180">
        <v>1</v>
      </c>
      <c r="M373" s="181">
        <v>16010</v>
      </c>
      <c r="N373" s="180">
        <v>10</v>
      </c>
      <c r="O373" s="187">
        <v>1</v>
      </c>
      <c r="P373" s="182"/>
      <c r="Q373" s="182"/>
      <c r="R373" s="182"/>
      <c r="S373" s="182"/>
    </row>
    <row r="374" spans="1:19" s="65" customFormat="1">
      <c r="A374" s="64">
        <v>3101</v>
      </c>
      <c r="B374" s="120" t="str">
        <f>IF($L374=1,VLOOKUP($M374,[1]Sheet1!$A:$C,2,0),IF($L374=4,VLOOKUP($M374,[4]Sheet1!$A:$B,2,0),IF($L374=2,VLOOKUP($M374,[5]Sheet1!$A:$B,2,0),IF($L374=6,VLOOKUP($M374,[6]Sheet1!$A:$B,2,0),0))))&amp;"x"&amp;$N374</f>
        <v>铜钱x100000</v>
      </c>
      <c r="C374" s="66">
        <v>1</v>
      </c>
      <c r="D374" s="65">
        <v>4</v>
      </c>
      <c r="E374" s="65">
        <v>5</v>
      </c>
      <c r="F374" s="66">
        <v>0</v>
      </c>
      <c r="G374" s="66">
        <v>100</v>
      </c>
      <c r="H374" s="67">
        <v>1000</v>
      </c>
      <c r="I374" s="67">
        <v>3</v>
      </c>
      <c r="J374" s="67">
        <v>1</v>
      </c>
      <c r="K374" s="84">
        <v>20022</v>
      </c>
      <c r="L374" s="68">
        <v>4</v>
      </c>
      <c r="M374" s="85">
        <v>1</v>
      </c>
      <c r="N374" s="68">
        <v>100000</v>
      </c>
      <c r="O374" s="86">
        <v>1</v>
      </c>
      <c r="P374" s="129"/>
      <c r="Q374" s="129"/>
      <c r="R374" s="129"/>
      <c r="S374" s="129"/>
    </row>
    <row r="375" spans="1:19" s="65" customFormat="1">
      <c r="A375" s="64">
        <v>3102</v>
      </c>
      <c r="B375" s="120" t="str">
        <f>IF($L375=1,VLOOKUP($M375,[1]Sheet1!$A:$C,2,0),IF($L375=4,VLOOKUP($M375,[4]Sheet1!$A:$B,2,0),IF($L375=2,VLOOKUP($M375,[5]Sheet1!$A:$B,2,0),IF($L375=6,VLOOKUP($M375,[6]Sheet1!$A:$B,2,0),0))))&amp;"x"&amp;$N375</f>
        <v>元宝x500</v>
      </c>
      <c r="C375" s="66">
        <v>1</v>
      </c>
      <c r="D375" s="65">
        <v>4</v>
      </c>
      <c r="E375" s="65">
        <v>5</v>
      </c>
      <c r="F375" s="66">
        <v>0</v>
      </c>
      <c r="G375" s="66">
        <v>500</v>
      </c>
      <c r="H375" s="67">
        <v>5000</v>
      </c>
      <c r="I375" s="67">
        <v>3</v>
      </c>
      <c r="J375" s="67">
        <v>1</v>
      </c>
      <c r="K375" s="84">
        <v>20021</v>
      </c>
      <c r="L375" s="68">
        <v>4</v>
      </c>
      <c r="M375" s="85">
        <v>2</v>
      </c>
      <c r="N375" s="68">
        <v>500</v>
      </c>
      <c r="O375" s="86">
        <v>1</v>
      </c>
      <c r="P375" s="129"/>
      <c r="Q375" s="129"/>
      <c r="R375" s="129"/>
      <c r="S375" s="129"/>
    </row>
    <row r="376" spans="1:19" s="65" customFormat="1">
      <c r="A376" s="64">
        <v>3103</v>
      </c>
      <c r="B376" s="120" t="str">
        <f>IF($L376=1,VLOOKUP($M376,[1]Sheet1!$A:$C,2,0),IF($L376=4,VLOOKUP($M376,[4]Sheet1!$A:$B,2,0),IF($L376=2,VLOOKUP($M376,[5]Sheet1!$A:$B,2,0),IF($L376=6,VLOOKUP($M376,[6]Sheet1!$A:$B,2,0),0))))&amp;"x"&amp;$N376</f>
        <v>极品经验药x5</v>
      </c>
      <c r="C376" s="66">
        <v>1</v>
      </c>
      <c r="D376" s="65">
        <v>4</v>
      </c>
      <c r="E376" s="65">
        <v>5</v>
      </c>
      <c r="F376" s="66">
        <v>0</v>
      </c>
      <c r="G376" s="66">
        <v>400</v>
      </c>
      <c r="H376" s="67">
        <v>4000</v>
      </c>
      <c r="I376" s="67">
        <v>3</v>
      </c>
      <c r="J376" s="67">
        <v>1</v>
      </c>
      <c r="K376" s="84">
        <v>20020</v>
      </c>
      <c r="L376" s="68">
        <v>1</v>
      </c>
      <c r="M376" s="85">
        <v>14004</v>
      </c>
      <c r="N376" s="68">
        <v>5</v>
      </c>
      <c r="O376" s="86">
        <v>1</v>
      </c>
      <c r="P376" s="129"/>
      <c r="Q376" s="129"/>
      <c r="R376" s="129"/>
      <c r="S376" s="129"/>
    </row>
    <row r="377" spans="1:19" s="65" customFormat="1">
      <c r="A377" s="64">
        <v>3104</v>
      </c>
      <c r="B377" s="120" t="str">
        <f>IF($L377=1,VLOOKUP($M377,[1]Sheet1!$A:$C,2,0),IF($L377=4,VLOOKUP($M377,[4]Sheet1!$A:$B,2,0),IF($L377=2,VLOOKUP($M377,[5]Sheet1!$A:$B,2,0),IF($L377=6,VLOOKUP($M377,[6]Sheet1!$A:$B,2,0),0))))&amp;"x"&amp;$N377</f>
        <v>铜钱x200000</v>
      </c>
      <c r="C377" s="66">
        <v>1</v>
      </c>
      <c r="D377" s="65">
        <v>4</v>
      </c>
      <c r="E377" s="65">
        <v>5</v>
      </c>
      <c r="F377" s="66">
        <v>0</v>
      </c>
      <c r="G377" s="66">
        <v>200</v>
      </c>
      <c r="H377" s="67">
        <v>2000</v>
      </c>
      <c r="I377" s="67">
        <v>3</v>
      </c>
      <c r="J377" s="67">
        <v>1</v>
      </c>
      <c r="K377" s="84">
        <v>20019</v>
      </c>
      <c r="L377" s="68">
        <v>4</v>
      </c>
      <c r="M377" s="85">
        <v>1</v>
      </c>
      <c r="N377" s="68">
        <v>200000</v>
      </c>
      <c r="O377" s="86">
        <v>1</v>
      </c>
      <c r="P377" s="129"/>
      <c r="Q377" s="129"/>
      <c r="R377" s="129"/>
      <c r="S377" s="129"/>
    </row>
    <row r="378" spans="1:19" s="65" customFormat="1">
      <c r="A378" s="64">
        <v>3105</v>
      </c>
      <c r="B378" s="120" t="str">
        <f>IF($L378=1,VLOOKUP($M378,[1]Sheet1!$A:$C,2,0),IF($L378=4,VLOOKUP($M378,[4]Sheet1!$A:$B,2,0),IF($L378=2,VLOOKUP($M378,[5]Sheet1!$A:$B,2,0),IF($L378=6,VLOOKUP($M378,[6]Sheet1!$A:$B,2,0),0))))&amp;"x"&amp;$N378</f>
        <v>紫色经验法宝x5</v>
      </c>
      <c r="C378" s="66">
        <v>1</v>
      </c>
      <c r="D378" s="65">
        <v>4</v>
      </c>
      <c r="E378" s="65">
        <v>5</v>
      </c>
      <c r="F378" s="66">
        <v>0</v>
      </c>
      <c r="G378" s="66">
        <v>500</v>
      </c>
      <c r="H378" s="67">
        <v>5000</v>
      </c>
      <c r="I378" s="67">
        <v>3</v>
      </c>
      <c r="J378" s="67">
        <v>1</v>
      </c>
      <c r="K378" s="84">
        <v>20018</v>
      </c>
      <c r="L378" s="68">
        <v>6</v>
      </c>
      <c r="M378" s="85">
        <v>4502</v>
      </c>
      <c r="N378" s="68">
        <v>5</v>
      </c>
      <c r="O378" s="86">
        <v>1</v>
      </c>
      <c r="P378" s="129"/>
      <c r="Q378" s="129"/>
      <c r="R378" s="129"/>
      <c r="S378" s="129"/>
    </row>
    <row r="379" spans="1:19" s="65" customFormat="1">
      <c r="A379" s="64">
        <v>3106</v>
      </c>
      <c r="B379" s="120" t="str">
        <f>IF($L379=1,VLOOKUP($M379,[1]Sheet1!$A:$C,2,0),IF($L379=4,VLOOKUP($M379,[4]Sheet1!$A:$B,2,0),IF($L379=2,VLOOKUP($M379,[5]Sheet1!$A:$B,2,0),IF($L379=6,VLOOKUP($M379,[6]Sheet1!$A:$B,2,0),0))))&amp;"x"&amp;$N379</f>
        <v>元宝x500</v>
      </c>
      <c r="C379" s="66">
        <v>1</v>
      </c>
      <c r="D379" s="65">
        <v>4</v>
      </c>
      <c r="E379" s="65">
        <v>5</v>
      </c>
      <c r="F379" s="66">
        <v>0</v>
      </c>
      <c r="G379" s="66">
        <v>500</v>
      </c>
      <c r="H379" s="67">
        <v>5000</v>
      </c>
      <c r="I379" s="67">
        <v>3</v>
      </c>
      <c r="J379" s="67">
        <v>1</v>
      </c>
      <c r="K379" s="84">
        <v>20017</v>
      </c>
      <c r="L379" s="68">
        <v>4</v>
      </c>
      <c r="M379" s="85">
        <v>2</v>
      </c>
      <c r="N379" s="68">
        <v>500</v>
      </c>
      <c r="O379" s="86">
        <v>1</v>
      </c>
      <c r="P379" s="129"/>
      <c r="Q379" s="129"/>
      <c r="R379" s="129"/>
      <c r="S379" s="129"/>
    </row>
    <row r="380" spans="1:19" s="65" customFormat="1">
      <c r="A380" s="64">
        <v>3107</v>
      </c>
      <c r="B380" s="120" t="str">
        <f>IF($L380=1,VLOOKUP($M380,[1]Sheet1!$A:$C,2,0),IF($L380=4,VLOOKUP($M380,[4]Sheet1!$A:$B,2,0),IF($L380=2,VLOOKUP($M380,[5]Sheet1!$A:$B,2,0),IF($L380=6,VLOOKUP($M380,[6]Sheet1!$A:$B,2,0),0))))&amp;"x"&amp;$N380</f>
        <v>橙13伙伴随机箱x1</v>
      </c>
      <c r="C380" s="66">
        <v>1</v>
      </c>
      <c r="D380" s="65">
        <v>4</v>
      </c>
      <c r="E380" s="65">
        <v>5</v>
      </c>
      <c r="F380" s="66">
        <v>0</v>
      </c>
      <c r="G380" s="66">
        <v>2800</v>
      </c>
      <c r="H380" s="67">
        <v>28000</v>
      </c>
      <c r="I380" s="67">
        <v>3</v>
      </c>
      <c r="J380" s="67">
        <v>1</v>
      </c>
      <c r="K380" s="84">
        <v>20015</v>
      </c>
      <c r="L380" s="68">
        <v>1</v>
      </c>
      <c r="M380" s="85">
        <v>14523</v>
      </c>
      <c r="N380" s="68">
        <v>1</v>
      </c>
      <c r="O380" s="86">
        <v>1</v>
      </c>
      <c r="P380" s="129"/>
      <c r="Q380" s="129"/>
      <c r="R380" s="129"/>
      <c r="S380" s="129"/>
    </row>
    <row r="381" spans="1:19" s="65" customFormat="1">
      <c r="A381" s="64">
        <v>3108</v>
      </c>
      <c r="B381" s="120" t="str">
        <f>IF($L381=1,VLOOKUP($M381,[1]Sheet1!$A:$C,2,0),IF($L381=4,VLOOKUP($M381,[4]Sheet1!$A:$B,2,0),IF($L381=2,VLOOKUP($M381,[5]Sheet1!$A:$B,2,0),IF($L381=6,VLOOKUP($M381,[6]Sheet1!$A:$B,2,0),0))))&amp;"x"&amp;$N381</f>
        <v>铜钱x300000</v>
      </c>
      <c r="C381" s="66">
        <v>1</v>
      </c>
      <c r="D381" s="65">
        <v>4</v>
      </c>
      <c r="E381" s="65">
        <v>5</v>
      </c>
      <c r="F381" s="66">
        <v>0</v>
      </c>
      <c r="G381" s="66">
        <v>300</v>
      </c>
      <c r="H381" s="67">
        <v>3000</v>
      </c>
      <c r="I381" s="67">
        <v>3</v>
      </c>
      <c r="J381" s="67">
        <v>1</v>
      </c>
      <c r="K381" s="84">
        <v>20014</v>
      </c>
      <c r="L381" s="68">
        <v>4</v>
      </c>
      <c r="M381" s="85">
        <v>1</v>
      </c>
      <c r="N381" s="68">
        <v>300000</v>
      </c>
      <c r="O381" s="86">
        <v>1</v>
      </c>
      <c r="P381" s="129"/>
      <c r="Q381" s="129"/>
      <c r="R381" s="129"/>
      <c r="S381" s="129"/>
    </row>
    <row r="382" spans="1:19" s="65" customFormat="1">
      <c r="A382" s="64">
        <v>3109</v>
      </c>
      <c r="B382" s="120" t="str">
        <f>IF($L382=1,VLOOKUP($M382,[1]Sheet1!$A:$C,2,0),IF($L382=4,VLOOKUP($M382,[4]Sheet1!$A:$B,2,0),IF($L382=2,VLOOKUP($M382,[5]Sheet1!$A:$B,2,0),IF($L382=6,VLOOKUP($M382,[6]Sheet1!$A:$B,2,0),0))))&amp;"x"&amp;$N382</f>
        <v>进阶丹x1000</v>
      </c>
      <c r="C382" s="66">
        <v>1</v>
      </c>
      <c r="D382" s="65">
        <v>4</v>
      </c>
      <c r="E382" s="65">
        <v>5</v>
      </c>
      <c r="F382" s="66">
        <v>0</v>
      </c>
      <c r="G382" s="66">
        <v>1000</v>
      </c>
      <c r="H382" s="67">
        <v>10000</v>
      </c>
      <c r="I382" s="67">
        <v>3</v>
      </c>
      <c r="J382" s="67">
        <v>1</v>
      </c>
      <c r="K382" s="84">
        <v>20013</v>
      </c>
      <c r="L382" s="68">
        <v>1</v>
      </c>
      <c r="M382" s="149">
        <v>14107</v>
      </c>
      <c r="N382" s="68">
        <v>1000</v>
      </c>
      <c r="O382" s="150">
        <v>1</v>
      </c>
      <c r="P382" s="129"/>
      <c r="Q382" s="129"/>
      <c r="R382" s="129"/>
      <c r="S382" s="129"/>
    </row>
    <row r="383" spans="1:19" s="65" customFormat="1">
      <c r="A383" s="64">
        <v>3110</v>
      </c>
      <c r="B383" s="120" t="str">
        <f>IF($L383=1,VLOOKUP($M383,[1]Sheet1!$A:$C,2,0),IF($L383=4,VLOOKUP($M383,[4]Sheet1!$A:$B,2,0),IF($L383=2,VLOOKUP($M383,[5]Sheet1!$A:$B,2,0),IF($L383=6,VLOOKUP($M383,[6]Sheet1!$A:$B,2,0),0))))&amp;"x"&amp;$N383</f>
        <v>元宝x500</v>
      </c>
      <c r="C383" s="66">
        <v>1</v>
      </c>
      <c r="D383" s="65">
        <v>4</v>
      </c>
      <c r="E383" s="65">
        <v>5</v>
      </c>
      <c r="F383" s="66">
        <v>0</v>
      </c>
      <c r="G383" s="66">
        <v>500</v>
      </c>
      <c r="H383" s="67">
        <v>5000</v>
      </c>
      <c r="I383" s="67">
        <v>3</v>
      </c>
      <c r="J383" s="67">
        <v>1</v>
      </c>
      <c r="K383" s="84">
        <v>20012</v>
      </c>
      <c r="L383" s="68">
        <v>4</v>
      </c>
      <c r="M383" s="85">
        <v>2</v>
      </c>
      <c r="N383" s="68">
        <v>500</v>
      </c>
      <c r="O383" s="86">
        <v>1</v>
      </c>
      <c r="P383" s="129"/>
      <c r="Q383" s="129"/>
      <c r="R383" s="129"/>
      <c r="S383" s="129"/>
    </row>
    <row r="384" spans="1:19" s="65" customFormat="1">
      <c r="A384" s="64">
        <v>3111</v>
      </c>
      <c r="B384" s="120" t="str">
        <f>IF($L384=1,VLOOKUP($M384,[1]Sheet1!$A:$C,2,0),IF($L384=4,VLOOKUP($M384,[4]Sheet1!$A:$B,2,0),IF($L384=2,VLOOKUP($M384,[5]Sheet1!$A:$B,2,0),IF($L384=6,VLOOKUP($M384,[6]Sheet1!$A:$B,2,0),0))))&amp;"x"&amp;$N384</f>
        <v>紫色装备碎片箱x10</v>
      </c>
      <c r="C384" s="66">
        <v>1</v>
      </c>
      <c r="D384" s="65">
        <v>4</v>
      </c>
      <c r="E384" s="65">
        <v>5</v>
      </c>
      <c r="F384" s="66">
        <v>0</v>
      </c>
      <c r="G384" s="66">
        <v>400</v>
      </c>
      <c r="H384" s="67">
        <v>4000</v>
      </c>
      <c r="I384" s="67">
        <v>3</v>
      </c>
      <c r="J384" s="67">
        <v>1</v>
      </c>
      <c r="K384" s="84">
        <v>20011</v>
      </c>
      <c r="L384" s="68">
        <v>1</v>
      </c>
      <c r="M384" s="85">
        <v>14302</v>
      </c>
      <c r="N384" s="68">
        <v>10</v>
      </c>
      <c r="O384" s="86">
        <v>1</v>
      </c>
      <c r="P384" s="129"/>
      <c r="Q384" s="129"/>
      <c r="R384" s="129"/>
      <c r="S384" s="129"/>
    </row>
    <row r="385" spans="1:19" s="65" customFormat="1">
      <c r="A385" s="64">
        <v>3112</v>
      </c>
      <c r="B385" s="120" t="str">
        <f>IF($L385=1,VLOOKUP($M385,[1]Sheet1!$A:$C,2,0),IF($L385=4,VLOOKUP($M385,[4]Sheet1!$A:$B,2,0),IF($L385=2,VLOOKUP($M385,[5]Sheet1!$A:$B,2,0),IF($L385=6,VLOOKUP($M385,[6]Sheet1!$A:$B,2,0),0))))&amp;"x"&amp;$N385</f>
        <v>铜钱x500000</v>
      </c>
      <c r="C385" s="66">
        <v>1</v>
      </c>
      <c r="D385" s="65">
        <v>4</v>
      </c>
      <c r="E385" s="65">
        <v>5</v>
      </c>
      <c r="F385" s="66">
        <v>0</v>
      </c>
      <c r="G385" s="66">
        <v>500</v>
      </c>
      <c r="H385" s="67">
        <v>5000</v>
      </c>
      <c r="I385" s="67">
        <v>3</v>
      </c>
      <c r="J385" s="67">
        <v>1</v>
      </c>
      <c r="K385" s="84">
        <v>20010</v>
      </c>
      <c r="L385" s="68">
        <v>4</v>
      </c>
      <c r="M385" s="85">
        <v>1</v>
      </c>
      <c r="N385" s="68">
        <v>500000</v>
      </c>
      <c r="O385" s="86">
        <v>1</v>
      </c>
      <c r="P385" s="129"/>
      <c r="Q385" s="129"/>
      <c r="R385" s="129"/>
      <c r="S385" s="129"/>
    </row>
    <row r="386" spans="1:19" s="65" customFormat="1">
      <c r="A386" s="64">
        <v>3113</v>
      </c>
      <c r="B386" s="120" t="str">
        <f>IF($L386=1,VLOOKUP($M386,[1]Sheet1!$A:$C,2,0),IF($L386=4,VLOOKUP($M386,[4]Sheet1!$A:$B,2,0),IF($L386=2,VLOOKUP($M386,[5]Sheet1!$A:$B,2,0),IF($L386=6,VLOOKUP($M386,[6]Sheet1!$A:$B,2,0),0))))&amp;"x"&amp;$N386</f>
        <v>封魔长剑(30级)x1</v>
      </c>
      <c r="C386" s="66">
        <v>1</v>
      </c>
      <c r="D386" s="65">
        <v>4</v>
      </c>
      <c r="E386" s="65">
        <v>5</v>
      </c>
      <c r="F386" s="66">
        <v>0</v>
      </c>
      <c r="G386" s="66">
        <v>1800</v>
      </c>
      <c r="H386" s="67">
        <v>18000</v>
      </c>
      <c r="I386" s="67">
        <v>3</v>
      </c>
      <c r="J386" s="67">
        <v>1</v>
      </c>
      <c r="K386" s="84">
        <v>20009</v>
      </c>
      <c r="L386" s="68">
        <v>2</v>
      </c>
      <c r="M386" s="85">
        <v>2046</v>
      </c>
      <c r="N386" s="68">
        <v>1</v>
      </c>
      <c r="O386" s="86">
        <v>1</v>
      </c>
      <c r="P386" s="129"/>
      <c r="Q386" s="129"/>
      <c r="R386" s="129"/>
      <c r="S386" s="129"/>
    </row>
    <row r="387" spans="1:19" s="65" customFormat="1">
      <c r="A387" s="64">
        <v>3114</v>
      </c>
      <c r="B387" s="120" t="str">
        <f>IF($L387=1,VLOOKUP($M387,[1]Sheet1!$A:$C,2,0),IF($L387=4,VLOOKUP($M387,[4]Sheet1!$A:$B,2,0),IF($L387=2,VLOOKUP($M387,[5]Sheet1!$A:$B,2,0),IF($L387=6,VLOOKUP($M387,[6]Sheet1!$A:$B,2,0),0))))&amp;"x"&amp;$N387</f>
        <v>元宝x1000</v>
      </c>
      <c r="C387" s="66">
        <v>1</v>
      </c>
      <c r="D387" s="65">
        <v>4</v>
      </c>
      <c r="E387" s="65">
        <v>5</v>
      </c>
      <c r="F387" s="66">
        <v>0</v>
      </c>
      <c r="G387" s="66">
        <v>1000</v>
      </c>
      <c r="H387" s="67">
        <v>10000</v>
      </c>
      <c r="I387" s="67">
        <v>3</v>
      </c>
      <c r="J387" s="67">
        <v>1</v>
      </c>
      <c r="K387" s="84">
        <v>20008</v>
      </c>
      <c r="L387" s="68">
        <v>4</v>
      </c>
      <c r="M387" s="85">
        <v>2</v>
      </c>
      <c r="N387" s="68">
        <v>1000</v>
      </c>
      <c r="O387" s="86">
        <v>1</v>
      </c>
      <c r="P387" s="129"/>
      <c r="Q387" s="129"/>
      <c r="R387" s="129"/>
      <c r="S387" s="129"/>
    </row>
    <row r="388" spans="1:19" s="65" customFormat="1">
      <c r="A388" s="64">
        <v>3115</v>
      </c>
      <c r="B388" s="120" t="str">
        <f>IF($L388=1,VLOOKUP($M388,[1]Sheet1!$A:$C,2,0),IF($L388=4,VLOOKUP($M388,[4]Sheet1!$A:$B,2,0),IF($L388=2,VLOOKUP($M388,[5]Sheet1!$A:$B,2,0),IF($L388=6,VLOOKUP($M388,[6]Sheet1!$A:$B,2,0),0))))&amp;"x"&amp;$N388</f>
        <v>赤霄长剑(40级)x1</v>
      </c>
      <c r="C388" s="66">
        <v>1</v>
      </c>
      <c r="D388" s="65">
        <v>4</v>
      </c>
      <c r="E388" s="65">
        <v>5</v>
      </c>
      <c r="F388" s="66">
        <v>0</v>
      </c>
      <c r="G388" s="66">
        <v>4000</v>
      </c>
      <c r="H388" s="67">
        <v>40000</v>
      </c>
      <c r="I388" s="67">
        <v>3</v>
      </c>
      <c r="J388" s="67">
        <v>1</v>
      </c>
      <c r="K388" s="84">
        <v>20007</v>
      </c>
      <c r="L388" s="68">
        <v>2</v>
      </c>
      <c r="M388" s="85">
        <v>2062</v>
      </c>
      <c r="N388" s="68">
        <v>1</v>
      </c>
      <c r="O388" s="86">
        <v>1</v>
      </c>
      <c r="P388" s="129"/>
      <c r="Q388" s="129"/>
      <c r="R388" s="129"/>
      <c r="S388" s="129"/>
    </row>
    <row r="389" spans="1:19" s="65" customFormat="1">
      <c r="A389" s="64">
        <v>3116</v>
      </c>
      <c r="B389" s="120" t="str">
        <f>IF($L389=1,VLOOKUP($M389,[1]Sheet1!$A:$C,2,0),IF($L389=4,VLOOKUP($M389,[4]Sheet1!$A:$B,2,0),IF($L389=2,VLOOKUP($M389,[5]Sheet1!$A:$B,2,0),IF($L389=6,VLOOKUP($M389,[6]Sheet1!$A:$B,2,0),0))))&amp;"x"&amp;$N389</f>
        <v>洗炼丹x150</v>
      </c>
      <c r="C389" s="66">
        <v>1</v>
      </c>
      <c r="D389" s="65">
        <v>4</v>
      </c>
      <c r="E389" s="65">
        <v>5</v>
      </c>
      <c r="F389" s="66">
        <v>0</v>
      </c>
      <c r="G389" s="66">
        <v>750</v>
      </c>
      <c r="H389" s="67">
        <v>7500</v>
      </c>
      <c r="I389" s="67">
        <v>3</v>
      </c>
      <c r="J389" s="67">
        <v>1</v>
      </c>
      <c r="K389" s="84">
        <v>20006</v>
      </c>
      <c r="L389" s="68">
        <v>1</v>
      </c>
      <c r="M389" s="85">
        <v>14106</v>
      </c>
      <c r="N389" s="68">
        <v>150</v>
      </c>
      <c r="O389" s="86">
        <v>1</v>
      </c>
      <c r="P389" s="129"/>
      <c r="Q389" s="129"/>
      <c r="R389" s="129"/>
      <c r="S389" s="129"/>
    </row>
    <row r="390" spans="1:19" s="65" customFormat="1">
      <c r="A390" s="64">
        <v>3117</v>
      </c>
      <c r="B390" s="120" t="str">
        <f>IF($L390=1,VLOOKUP($M390,[1]Sheet1!$A:$C,2,0),IF($L390=4,VLOOKUP($M390,[4]Sheet1!$A:$B,2,0),IF($L390=2,VLOOKUP($M390,[5]Sheet1!$A:$B,2,0),IF($L390=6,VLOOKUP($M390,[6]Sheet1!$A:$B,2,0),0))))&amp;"x"&amp;$N390</f>
        <v>装备精炼石x200</v>
      </c>
      <c r="C390" s="66">
        <v>1</v>
      </c>
      <c r="D390" s="65">
        <v>4</v>
      </c>
      <c r="E390" s="65">
        <v>5</v>
      </c>
      <c r="F390" s="66">
        <v>0</v>
      </c>
      <c r="G390" s="66">
        <v>1000</v>
      </c>
      <c r="H390" s="67">
        <v>10000</v>
      </c>
      <c r="I390" s="67">
        <v>3</v>
      </c>
      <c r="J390" s="67">
        <v>1</v>
      </c>
      <c r="K390" s="84">
        <v>20004</v>
      </c>
      <c r="L390" s="68">
        <v>1</v>
      </c>
      <c r="M390" s="85">
        <v>16005</v>
      </c>
      <c r="N390" s="68">
        <v>200</v>
      </c>
      <c r="O390" s="86">
        <v>1</v>
      </c>
      <c r="P390" s="129"/>
      <c r="Q390" s="129"/>
      <c r="R390" s="129"/>
      <c r="S390" s="129"/>
    </row>
    <row r="391" spans="1:19" s="65" customFormat="1">
      <c r="A391" s="64">
        <v>3118</v>
      </c>
      <c r="B391" s="120" t="str">
        <f>IF($L391=1,VLOOKUP($M391,[1]Sheet1!$A:$C,2,0),IF($L391=4,VLOOKUP($M391,[4]Sheet1!$A:$B,2,0),IF($L391=2,VLOOKUP($M391,[5]Sheet1!$A:$B,2,0),IF($L391=6,VLOOKUP($M391,[6]Sheet1!$A:$B,2,0),0))))&amp;"x"&amp;$N391</f>
        <v>法宝精炼石x200</v>
      </c>
      <c r="C391" s="66">
        <v>1</v>
      </c>
      <c r="D391" s="65">
        <v>4</v>
      </c>
      <c r="E391" s="65">
        <v>5</v>
      </c>
      <c r="F391" s="66">
        <v>0</v>
      </c>
      <c r="G391" s="66">
        <v>1000</v>
      </c>
      <c r="H391" s="67">
        <v>10000</v>
      </c>
      <c r="I391" s="67">
        <v>3</v>
      </c>
      <c r="J391" s="67">
        <v>1</v>
      </c>
      <c r="K391" s="84">
        <v>20003</v>
      </c>
      <c r="L391" s="68">
        <v>1</v>
      </c>
      <c r="M391" s="149">
        <v>14201</v>
      </c>
      <c r="N391" s="68">
        <v>200</v>
      </c>
      <c r="O391" s="150">
        <v>1</v>
      </c>
      <c r="P391" s="129"/>
      <c r="Q391" s="129"/>
      <c r="R391" s="129"/>
      <c r="S391" s="129"/>
    </row>
    <row r="392" spans="1:19" s="65" customFormat="1">
      <c r="A392" s="64">
        <v>3119</v>
      </c>
      <c r="B392" s="120" t="str">
        <f>IF($L392=1,VLOOKUP($M392,[1]Sheet1!$A:$C,2,0),IF($L392=4,VLOOKUP($M392,[4]Sheet1!$A:$B,2,0),IF($L392=2,VLOOKUP($M392,[5]Sheet1!$A:$B,2,0),IF($L392=6,VLOOKUP($M392,[6]Sheet1!$A:$B,2,0),0))))&amp;"x"&amp;$N392</f>
        <v>阴阳镜x1</v>
      </c>
      <c r="C392" s="66">
        <v>1</v>
      </c>
      <c r="D392" s="65">
        <v>4</v>
      </c>
      <c r="E392" s="65">
        <v>5</v>
      </c>
      <c r="F392" s="66">
        <v>0</v>
      </c>
      <c r="G392" s="66">
        <v>600</v>
      </c>
      <c r="H392" s="67">
        <v>6000</v>
      </c>
      <c r="I392" s="67">
        <v>3</v>
      </c>
      <c r="J392" s="67">
        <v>1</v>
      </c>
      <c r="K392" s="84">
        <v>20002</v>
      </c>
      <c r="L392" s="68">
        <v>6</v>
      </c>
      <c r="M392" s="85">
        <v>3012</v>
      </c>
      <c r="N392" s="68">
        <v>1</v>
      </c>
      <c r="O392" s="86">
        <v>1</v>
      </c>
      <c r="P392" s="129"/>
      <c r="Q392" s="129"/>
      <c r="R392" s="129"/>
      <c r="S392" s="129"/>
    </row>
    <row r="393" spans="1:19" s="65" customFormat="1">
      <c r="A393" s="64">
        <v>3120</v>
      </c>
      <c r="B393" s="120" t="str">
        <f>IF($L393=1,VLOOKUP($M393,[1]Sheet1!$A:$C,2,0),IF($L393=4,VLOOKUP($M393,[4]Sheet1!$A:$B,2,0),IF($L393=2,VLOOKUP($M393,[5]Sheet1!$A:$B,2,0),IF($L393=6,VLOOKUP($M393,[6]Sheet1!$A:$B,2,0),0))))&amp;"x"&amp;$N393</f>
        <v>紫金铃x1</v>
      </c>
      <c r="C393" s="66">
        <v>1</v>
      </c>
      <c r="D393" s="65">
        <v>4</v>
      </c>
      <c r="E393" s="65">
        <v>5</v>
      </c>
      <c r="F393" s="66">
        <v>0</v>
      </c>
      <c r="G393" s="66">
        <v>600</v>
      </c>
      <c r="H393" s="67">
        <v>6000</v>
      </c>
      <c r="I393" s="67">
        <v>3</v>
      </c>
      <c r="J393" s="67">
        <v>1</v>
      </c>
      <c r="K393" s="84">
        <v>20001</v>
      </c>
      <c r="L393" s="68">
        <v>6</v>
      </c>
      <c r="M393" s="149">
        <v>3011</v>
      </c>
      <c r="N393" s="68">
        <v>1</v>
      </c>
      <c r="O393" s="150">
        <v>1</v>
      </c>
      <c r="P393" s="129"/>
      <c r="Q393" s="129"/>
      <c r="R393" s="129"/>
      <c r="S393" s="129"/>
    </row>
    <row r="394" spans="1:19" s="14" customFormat="1">
      <c r="A394" s="26">
        <v>4001</v>
      </c>
      <c r="B394" s="27" t="str">
        <f>IF($L394=1,VLOOKUP($M394,[1]Sheet1!$A:$C,2,0),IF($L394=4,VLOOKUP($M394,[4]Sheet1!$A:$B,2,0),IF($L394=2,VLOOKUP($M394,[5]Sheet1!$A:$B,2,0),0)))&amp;"x"&amp;$N394</f>
        <v>装备精炼石x1</v>
      </c>
      <c r="C394" s="27">
        <v>0</v>
      </c>
      <c r="D394" s="14">
        <v>4</v>
      </c>
      <c r="E394" s="14">
        <v>3</v>
      </c>
      <c r="F394" s="27">
        <v>0</v>
      </c>
      <c r="G394" s="45">
        <v>50</v>
      </c>
      <c r="H394" s="28">
        <v>0</v>
      </c>
      <c r="I394" s="28">
        <v>1</v>
      </c>
      <c r="J394" s="28">
        <v>150</v>
      </c>
      <c r="K394" s="99">
        <v>10034</v>
      </c>
      <c r="L394" s="58">
        <v>1</v>
      </c>
      <c r="M394" s="174">
        <v>16005</v>
      </c>
      <c r="N394" s="58">
        <v>1</v>
      </c>
      <c r="O394" s="100">
        <v>1</v>
      </c>
      <c r="P394" s="135"/>
      <c r="Q394" s="135"/>
      <c r="R394" s="135"/>
      <c r="S394" s="135"/>
    </row>
    <row r="395" spans="1:19" s="14" customFormat="1">
      <c r="A395" s="26">
        <v>4002</v>
      </c>
      <c r="B395" s="27" t="str">
        <f>IF($L395=1,VLOOKUP($M395,[1]Sheet1!$A:$C,2,0),IF($L395=4,VLOOKUP($M395,[4]Sheet1!$A:$B,2,0),IF($L395=2,VLOOKUP($M395,[5]Sheet1!$A:$B,2,0),0)))&amp;"x"&amp;$N395</f>
        <v>装备精炼石x10</v>
      </c>
      <c r="C395" s="27">
        <v>0</v>
      </c>
      <c r="D395" s="14">
        <v>4</v>
      </c>
      <c r="E395" s="14">
        <v>3</v>
      </c>
      <c r="F395" s="27">
        <v>0</v>
      </c>
      <c r="G395" s="45">
        <v>500</v>
      </c>
      <c r="H395" s="28">
        <v>0</v>
      </c>
      <c r="I395" s="28">
        <v>1</v>
      </c>
      <c r="J395" s="28">
        <v>15</v>
      </c>
      <c r="K395" s="99">
        <v>10034</v>
      </c>
      <c r="L395" s="58">
        <v>1</v>
      </c>
      <c r="M395" s="174">
        <v>16005</v>
      </c>
      <c r="N395" s="58">
        <v>10</v>
      </c>
      <c r="O395" s="100">
        <v>1</v>
      </c>
      <c r="P395" s="135"/>
      <c r="Q395" s="135"/>
      <c r="R395" s="135"/>
      <c r="S395" s="135"/>
    </row>
    <row r="396" spans="1:19" s="8" customFormat="1">
      <c r="A396" s="22">
        <v>4003</v>
      </c>
      <c r="B396" s="29" t="str">
        <f>VLOOKUP($M396,[1]Sheet1!$A:$C,2,0)</f>
        <v>赤血战甲碎片</v>
      </c>
      <c r="C396" s="29">
        <v>0</v>
      </c>
      <c r="D396" s="8">
        <v>4</v>
      </c>
      <c r="E396" s="8">
        <v>3</v>
      </c>
      <c r="F396" s="29">
        <v>0</v>
      </c>
      <c r="G396" s="43">
        <v>100</v>
      </c>
      <c r="H396" s="23">
        <v>0</v>
      </c>
      <c r="I396" s="23">
        <v>0</v>
      </c>
      <c r="J396" s="23">
        <v>0</v>
      </c>
      <c r="K396" s="101" t="s">
        <v>108</v>
      </c>
      <c r="L396" s="56">
        <v>1</v>
      </c>
      <c r="M396" s="101">
        <v>11001</v>
      </c>
      <c r="N396" s="56">
        <v>1</v>
      </c>
      <c r="O396" s="102">
        <v>1</v>
      </c>
      <c r="P396" s="136"/>
      <c r="Q396" s="136"/>
      <c r="R396" s="136"/>
      <c r="S396" s="136"/>
    </row>
    <row r="397" spans="1:19" s="8" customFormat="1">
      <c r="A397" s="22">
        <v>4004</v>
      </c>
      <c r="B397" s="29" t="str">
        <f>VLOOKUP($M397,[1]Sheet1!$A:$C,2,0)</f>
        <v>无影战靴碎片</v>
      </c>
      <c r="C397" s="29">
        <v>0</v>
      </c>
      <c r="D397" s="8">
        <v>4</v>
      </c>
      <c r="E397" s="8">
        <v>3</v>
      </c>
      <c r="F397" s="29">
        <v>0</v>
      </c>
      <c r="G397" s="43">
        <v>100</v>
      </c>
      <c r="H397" s="23">
        <v>0</v>
      </c>
      <c r="I397" s="23">
        <v>0</v>
      </c>
      <c r="J397" s="23">
        <v>0</v>
      </c>
      <c r="K397" s="101" t="s">
        <v>108</v>
      </c>
      <c r="L397" s="56">
        <v>1</v>
      </c>
      <c r="M397" s="101">
        <v>11004</v>
      </c>
      <c r="N397" s="56">
        <v>1</v>
      </c>
      <c r="O397" s="102">
        <v>1</v>
      </c>
      <c r="P397" s="136"/>
      <c r="Q397" s="136"/>
      <c r="R397" s="136"/>
      <c r="S397" s="136"/>
    </row>
    <row r="398" spans="1:19" s="8" customFormat="1">
      <c r="A398" s="22">
        <v>4005</v>
      </c>
      <c r="B398" s="29" t="str">
        <f>VLOOKUP($M398,[1]Sheet1!$A:$C,2,0)</f>
        <v>雁虞头盔碎片</v>
      </c>
      <c r="C398" s="29">
        <v>0</v>
      </c>
      <c r="D398" s="8">
        <v>4</v>
      </c>
      <c r="E398" s="8">
        <v>3</v>
      </c>
      <c r="F398" s="29">
        <v>0</v>
      </c>
      <c r="G398" s="43">
        <v>100</v>
      </c>
      <c r="H398" s="23">
        <v>0</v>
      </c>
      <c r="I398" s="23">
        <v>0</v>
      </c>
      <c r="J398" s="23">
        <v>0</v>
      </c>
      <c r="K398" s="101" t="s">
        <v>108</v>
      </c>
      <c r="L398" s="56">
        <v>1</v>
      </c>
      <c r="M398" s="101">
        <v>11003</v>
      </c>
      <c r="N398" s="56">
        <v>1</v>
      </c>
      <c r="O398" s="102">
        <v>1</v>
      </c>
      <c r="P398" s="136"/>
      <c r="Q398" s="136"/>
      <c r="R398" s="136"/>
      <c r="S398" s="136"/>
    </row>
    <row r="399" spans="1:19" s="8" customFormat="1">
      <c r="A399" s="22">
        <v>4006</v>
      </c>
      <c r="B399" s="29" t="str">
        <f>VLOOKUP($M399,[1]Sheet1!$A:$C,2,0)</f>
        <v>青锋长剑碎片</v>
      </c>
      <c r="C399" s="29">
        <v>0</v>
      </c>
      <c r="D399" s="8">
        <v>4</v>
      </c>
      <c r="E399" s="8">
        <v>3</v>
      </c>
      <c r="F399" s="29">
        <v>0</v>
      </c>
      <c r="G399" s="43">
        <v>100</v>
      </c>
      <c r="H399" s="23">
        <v>0</v>
      </c>
      <c r="I399" s="23">
        <v>0</v>
      </c>
      <c r="J399" s="23">
        <v>0</v>
      </c>
      <c r="K399" s="101" t="s">
        <v>108</v>
      </c>
      <c r="L399" s="56">
        <v>1</v>
      </c>
      <c r="M399" s="101">
        <v>11002</v>
      </c>
      <c r="N399" s="56">
        <v>1</v>
      </c>
      <c r="O399" s="102">
        <v>1</v>
      </c>
      <c r="P399" s="136"/>
      <c r="Q399" s="136"/>
      <c r="R399" s="136"/>
      <c r="S399" s="136"/>
    </row>
    <row r="400" spans="1:19" s="8" customFormat="1">
      <c r="A400" s="22">
        <v>4007</v>
      </c>
      <c r="B400" s="29" t="str">
        <f>VLOOKUP($M400,[1]Sheet1!$A:$C,2,0)</f>
        <v>破魔战甲碎片</v>
      </c>
      <c r="C400" s="29">
        <v>0</v>
      </c>
      <c r="D400" s="8">
        <v>4</v>
      </c>
      <c r="E400" s="8">
        <v>3</v>
      </c>
      <c r="F400" s="29">
        <v>0</v>
      </c>
      <c r="G400" s="43">
        <v>150</v>
      </c>
      <c r="H400" s="23">
        <v>0</v>
      </c>
      <c r="I400" s="23">
        <v>0</v>
      </c>
      <c r="J400" s="23">
        <v>0</v>
      </c>
      <c r="K400" s="103" t="s">
        <v>44</v>
      </c>
      <c r="L400" s="56">
        <v>1</v>
      </c>
      <c r="M400" s="101">
        <v>11005</v>
      </c>
      <c r="N400" s="56">
        <v>1</v>
      </c>
      <c r="O400" s="102">
        <v>1</v>
      </c>
      <c r="P400" s="136"/>
      <c r="Q400" s="136"/>
      <c r="R400" s="136"/>
      <c r="S400" s="136"/>
    </row>
    <row r="401" spans="1:19" s="8" customFormat="1">
      <c r="A401" s="22">
        <v>4008</v>
      </c>
      <c r="B401" s="29" t="str">
        <f>VLOOKUP($M401,[1]Sheet1!$A:$C,2,0)</f>
        <v>破魔战靴碎片</v>
      </c>
      <c r="C401" s="29">
        <v>0</v>
      </c>
      <c r="D401" s="8">
        <v>4</v>
      </c>
      <c r="E401" s="8">
        <v>3</v>
      </c>
      <c r="F401" s="29">
        <v>0</v>
      </c>
      <c r="G401" s="43">
        <v>150</v>
      </c>
      <c r="H401" s="23">
        <v>0</v>
      </c>
      <c r="I401" s="23">
        <v>0</v>
      </c>
      <c r="J401" s="23">
        <v>0</v>
      </c>
      <c r="K401" s="103" t="s">
        <v>44</v>
      </c>
      <c r="L401" s="56">
        <v>1</v>
      </c>
      <c r="M401" s="101">
        <v>11008</v>
      </c>
      <c r="N401" s="56">
        <v>1</v>
      </c>
      <c r="O401" s="102">
        <v>1</v>
      </c>
      <c r="P401" s="136"/>
      <c r="Q401" s="136"/>
      <c r="R401" s="136"/>
      <c r="S401" s="136"/>
    </row>
    <row r="402" spans="1:19" s="8" customFormat="1">
      <c r="A402" s="22">
        <v>4009</v>
      </c>
      <c r="B402" s="29" t="str">
        <f>VLOOKUP($M402,[1]Sheet1!$A:$C,2,0)</f>
        <v>护卫战甲碎片</v>
      </c>
      <c r="C402" s="29">
        <v>0</v>
      </c>
      <c r="D402" s="8">
        <v>4</v>
      </c>
      <c r="E402" s="8">
        <v>3</v>
      </c>
      <c r="F402" s="29">
        <v>0</v>
      </c>
      <c r="G402" s="43">
        <v>150</v>
      </c>
      <c r="H402" s="23">
        <v>0</v>
      </c>
      <c r="I402" s="23">
        <v>0</v>
      </c>
      <c r="J402" s="23">
        <v>0</v>
      </c>
      <c r="K402" s="103" t="s">
        <v>44</v>
      </c>
      <c r="L402" s="56">
        <v>1</v>
      </c>
      <c r="M402" s="101">
        <v>11009</v>
      </c>
      <c r="N402" s="56">
        <v>1</v>
      </c>
      <c r="O402" s="102">
        <v>1</v>
      </c>
      <c r="P402" s="136"/>
      <c r="Q402" s="136"/>
      <c r="R402" s="136"/>
      <c r="S402" s="136"/>
    </row>
    <row r="403" spans="1:19" s="8" customFormat="1">
      <c r="A403" s="22">
        <v>4010</v>
      </c>
      <c r="B403" s="29" t="str">
        <f>VLOOKUP($M403,[1]Sheet1!$A:$C,2,0)</f>
        <v>护卫战靴碎片</v>
      </c>
      <c r="C403" s="29">
        <v>0</v>
      </c>
      <c r="D403" s="8">
        <v>4</v>
      </c>
      <c r="E403" s="8">
        <v>3</v>
      </c>
      <c r="F403" s="29">
        <v>0</v>
      </c>
      <c r="G403" s="43">
        <v>150</v>
      </c>
      <c r="H403" s="23">
        <v>0</v>
      </c>
      <c r="I403" s="23">
        <v>0</v>
      </c>
      <c r="J403" s="23">
        <v>0</v>
      </c>
      <c r="K403" s="103" t="s">
        <v>44</v>
      </c>
      <c r="L403" s="56">
        <v>1</v>
      </c>
      <c r="M403" s="101">
        <v>11012</v>
      </c>
      <c r="N403" s="56">
        <v>1</v>
      </c>
      <c r="O403" s="102">
        <v>1</v>
      </c>
      <c r="P403" s="136"/>
      <c r="Q403" s="136"/>
      <c r="R403" s="136"/>
      <c r="S403" s="136"/>
    </row>
    <row r="404" spans="1:19" s="8" customFormat="1">
      <c r="A404" s="22">
        <v>4011</v>
      </c>
      <c r="B404" s="29" t="str">
        <f>VLOOKUP($M404,[1]Sheet1!$A:$C,2,0)</f>
        <v>破魔头盔碎片</v>
      </c>
      <c r="C404" s="29">
        <v>0</v>
      </c>
      <c r="D404" s="8">
        <v>4</v>
      </c>
      <c r="E404" s="8">
        <v>3</v>
      </c>
      <c r="F404" s="29">
        <v>0</v>
      </c>
      <c r="G404" s="43">
        <v>150</v>
      </c>
      <c r="H404" s="23">
        <v>0</v>
      </c>
      <c r="I404" s="23">
        <v>0</v>
      </c>
      <c r="J404" s="23">
        <v>0</v>
      </c>
      <c r="K404" s="103">
        <v>1514</v>
      </c>
      <c r="L404" s="56">
        <v>1</v>
      </c>
      <c r="M404" s="101">
        <v>11007</v>
      </c>
      <c r="N404" s="56">
        <v>1</v>
      </c>
      <c r="O404" s="102">
        <v>1</v>
      </c>
      <c r="P404" s="136"/>
      <c r="Q404" s="136"/>
      <c r="R404" s="136"/>
      <c r="S404" s="136"/>
    </row>
    <row r="405" spans="1:19" s="8" customFormat="1">
      <c r="A405" s="22">
        <v>4012</v>
      </c>
      <c r="B405" s="29" t="str">
        <f>VLOOKUP($M405,[1]Sheet1!$A:$C,2,0)</f>
        <v>破魔长剑碎片</v>
      </c>
      <c r="C405" s="29">
        <v>0</v>
      </c>
      <c r="D405" s="8">
        <v>4</v>
      </c>
      <c r="E405" s="8">
        <v>3</v>
      </c>
      <c r="F405" s="29">
        <v>0</v>
      </c>
      <c r="G405" s="43">
        <v>150</v>
      </c>
      <c r="H405" s="23">
        <v>0</v>
      </c>
      <c r="I405" s="23">
        <v>0</v>
      </c>
      <c r="J405" s="23">
        <v>0</v>
      </c>
      <c r="K405" s="103">
        <v>1514</v>
      </c>
      <c r="L405" s="56">
        <v>1</v>
      </c>
      <c r="M405" s="101">
        <v>11006</v>
      </c>
      <c r="N405" s="56">
        <v>1</v>
      </c>
      <c r="O405" s="102">
        <v>1</v>
      </c>
      <c r="P405" s="136"/>
      <c r="Q405" s="136"/>
      <c r="R405" s="136"/>
      <c r="S405" s="136"/>
    </row>
    <row r="406" spans="1:19" s="8" customFormat="1">
      <c r="A406" s="22">
        <v>4013</v>
      </c>
      <c r="B406" s="29" t="str">
        <f>VLOOKUP($M406,[1]Sheet1!$A:$C,2,0)</f>
        <v>护卫头盔碎片</v>
      </c>
      <c r="C406" s="29">
        <v>0</v>
      </c>
      <c r="D406" s="8">
        <v>4</v>
      </c>
      <c r="E406" s="8">
        <v>3</v>
      </c>
      <c r="F406" s="29">
        <v>0</v>
      </c>
      <c r="G406" s="43">
        <v>150</v>
      </c>
      <c r="H406" s="23">
        <v>0</v>
      </c>
      <c r="I406" s="23">
        <v>0</v>
      </c>
      <c r="J406" s="23">
        <v>0</v>
      </c>
      <c r="K406" s="103">
        <v>1514</v>
      </c>
      <c r="L406" s="56">
        <v>1</v>
      </c>
      <c r="M406" s="101">
        <v>11011</v>
      </c>
      <c r="N406" s="56">
        <v>1</v>
      </c>
      <c r="O406" s="102">
        <v>1</v>
      </c>
      <c r="P406" s="136"/>
      <c r="Q406" s="136"/>
      <c r="R406" s="136"/>
      <c r="S406" s="136"/>
    </row>
    <row r="407" spans="1:19" s="8" customFormat="1">
      <c r="A407" s="22">
        <v>4014</v>
      </c>
      <c r="B407" s="29" t="str">
        <f>VLOOKUP($M407,[1]Sheet1!$A:$C,2,0)</f>
        <v>护卫长剑碎片</v>
      </c>
      <c r="C407" s="29">
        <v>0</v>
      </c>
      <c r="D407" s="8">
        <v>4</v>
      </c>
      <c r="E407" s="8">
        <v>3</v>
      </c>
      <c r="F407" s="29">
        <v>0</v>
      </c>
      <c r="G407" s="43">
        <v>150</v>
      </c>
      <c r="H407" s="23">
        <v>0</v>
      </c>
      <c r="I407" s="23">
        <v>0</v>
      </c>
      <c r="J407" s="23">
        <v>0</v>
      </c>
      <c r="K407" s="103">
        <v>1514</v>
      </c>
      <c r="L407" s="56">
        <v>1</v>
      </c>
      <c r="M407" s="101">
        <v>11010</v>
      </c>
      <c r="N407" s="56">
        <v>1</v>
      </c>
      <c r="O407" s="102">
        <v>1</v>
      </c>
      <c r="P407" s="136"/>
      <c r="Q407" s="136"/>
      <c r="R407" s="136"/>
      <c r="S407" s="136"/>
    </row>
    <row r="408" spans="1:19" s="10" customFormat="1">
      <c r="A408" s="30">
        <v>4015</v>
      </c>
      <c r="B408" s="31" t="str">
        <f>VLOOKUP($M408,[1]Sheet1!$A:$C,2,0)</f>
        <v>连云战甲碎片</v>
      </c>
      <c r="C408" s="31">
        <v>0</v>
      </c>
      <c r="D408" s="10">
        <v>4</v>
      </c>
      <c r="E408" s="10">
        <v>3</v>
      </c>
      <c r="F408" s="31">
        <v>0</v>
      </c>
      <c r="G408" s="46">
        <v>400</v>
      </c>
      <c r="H408" s="32">
        <v>0</v>
      </c>
      <c r="I408" s="32">
        <v>0</v>
      </c>
      <c r="J408" s="32">
        <v>0</v>
      </c>
      <c r="K408" s="104">
        <v>1515</v>
      </c>
      <c r="L408" s="59">
        <v>1</v>
      </c>
      <c r="M408" s="91">
        <v>11013</v>
      </c>
      <c r="N408" s="59">
        <v>1</v>
      </c>
      <c r="O408" s="92">
        <v>1</v>
      </c>
      <c r="P408" s="132"/>
      <c r="Q408" s="132"/>
      <c r="R408" s="132"/>
      <c r="S408" s="132"/>
    </row>
    <row r="409" spans="1:19" s="10" customFormat="1">
      <c r="A409" s="30">
        <v>4016</v>
      </c>
      <c r="B409" s="31" t="str">
        <f>VLOOKUP($M409,[1]Sheet1!$A:$C,2,0)</f>
        <v>雷霆战靴碎片</v>
      </c>
      <c r="C409" s="31">
        <v>0</v>
      </c>
      <c r="D409" s="10">
        <v>4</v>
      </c>
      <c r="E409" s="10">
        <v>3</v>
      </c>
      <c r="F409" s="31">
        <v>0</v>
      </c>
      <c r="G409" s="46">
        <v>400</v>
      </c>
      <c r="H409" s="32">
        <v>0</v>
      </c>
      <c r="I409" s="32">
        <v>0</v>
      </c>
      <c r="J409" s="32">
        <v>0</v>
      </c>
      <c r="K409" s="104">
        <v>1515</v>
      </c>
      <c r="L409" s="59">
        <v>1</v>
      </c>
      <c r="M409" s="91">
        <v>11016</v>
      </c>
      <c r="N409" s="59">
        <v>1</v>
      </c>
      <c r="O409" s="92">
        <v>1</v>
      </c>
      <c r="P409" s="132"/>
      <c r="Q409" s="132"/>
      <c r="R409" s="132"/>
      <c r="S409" s="132"/>
    </row>
    <row r="410" spans="1:19" s="10" customFormat="1">
      <c r="A410" s="30">
        <v>4017</v>
      </c>
      <c r="B410" s="31" t="str">
        <f>VLOOKUP($M410,[1]Sheet1!$A:$C,2,0)</f>
        <v>耀日头盔碎片</v>
      </c>
      <c r="C410" s="31">
        <v>0</v>
      </c>
      <c r="D410" s="10">
        <v>4</v>
      </c>
      <c r="E410" s="10">
        <v>3</v>
      </c>
      <c r="F410" s="31">
        <v>0</v>
      </c>
      <c r="G410" s="46">
        <v>400</v>
      </c>
      <c r="H410" s="32">
        <v>0</v>
      </c>
      <c r="I410" s="32">
        <v>0</v>
      </c>
      <c r="J410" s="32">
        <v>0</v>
      </c>
      <c r="K410" s="104">
        <v>1516</v>
      </c>
      <c r="L410" s="59">
        <v>1</v>
      </c>
      <c r="M410" s="91">
        <v>11015</v>
      </c>
      <c r="N410" s="59">
        <v>1</v>
      </c>
      <c r="O410" s="92">
        <v>1</v>
      </c>
      <c r="P410" s="132"/>
      <c r="Q410" s="132"/>
      <c r="R410" s="132"/>
      <c r="S410" s="132"/>
    </row>
    <row r="411" spans="1:19" s="10" customFormat="1">
      <c r="A411" s="30">
        <v>4018</v>
      </c>
      <c r="B411" s="31" t="str">
        <f>VLOOKUP($M411,[1]Sheet1!$A:$C,2,0)</f>
        <v>紫阳长剑碎片</v>
      </c>
      <c r="C411" s="31">
        <v>0</v>
      </c>
      <c r="D411" s="10">
        <v>4</v>
      </c>
      <c r="E411" s="10">
        <v>3</v>
      </c>
      <c r="F411" s="31">
        <v>0</v>
      </c>
      <c r="G411" s="46">
        <v>400</v>
      </c>
      <c r="H411" s="32">
        <v>0</v>
      </c>
      <c r="I411" s="32">
        <v>0</v>
      </c>
      <c r="J411" s="32">
        <v>0</v>
      </c>
      <c r="K411" s="104">
        <v>1516</v>
      </c>
      <c r="L411" s="59">
        <v>1</v>
      </c>
      <c r="M411" s="91">
        <v>11014</v>
      </c>
      <c r="N411" s="59">
        <v>1</v>
      </c>
      <c r="O411" s="92">
        <v>1</v>
      </c>
      <c r="P411" s="132"/>
      <c r="Q411" s="132"/>
      <c r="R411" s="132"/>
      <c r="S411" s="132"/>
    </row>
    <row r="412" spans="1:19" s="10" customFormat="1">
      <c r="A412" s="30">
        <v>4019</v>
      </c>
      <c r="B412" s="31" t="str">
        <f>VLOOKUP($M412,[1]Sheet1!$A:$C,2,0)</f>
        <v>封魔战甲碎片</v>
      </c>
      <c r="C412" s="31">
        <v>0</v>
      </c>
      <c r="D412" s="10">
        <v>4</v>
      </c>
      <c r="E412" s="10">
        <v>3</v>
      </c>
      <c r="F412" s="31">
        <v>0</v>
      </c>
      <c r="G412" s="46">
        <v>600</v>
      </c>
      <c r="H412" s="32">
        <v>0</v>
      </c>
      <c r="I412" s="32">
        <v>0</v>
      </c>
      <c r="J412" s="32">
        <v>0</v>
      </c>
      <c r="K412" s="104">
        <v>1517</v>
      </c>
      <c r="L412" s="59">
        <v>1</v>
      </c>
      <c r="M412" s="91">
        <v>11017</v>
      </c>
      <c r="N412" s="59">
        <v>1</v>
      </c>
      <c r="O412" s="92">
        <v>1</v>
      </c>
      <c r="P412" s="132"/>
      <c r="Q412" s="132"/>
      <c r="R412" s="132"/>
      <c r="S412" s="132"/>
    </row>
    <row r="413" spans="1:19" s="10" customFormat="1">
      <c r="A413" s="30">
        <v>4020</v>
      </c>
      <c r="B413" s="31" t="str">
        <f>VLOOKUP($M413,[1]Sheet1!$A:$C,2,0)</f>
        <v>封魔战靴碎片</v>
      </c>
      <c r="C413" s="31">
        <v>0</v>
      </c>
      <c r="D413" s="10">
        <v>4</v>
      </c>
      <c r="E413" s="10">
        <v>3</v>
      </c>
      <c r="F413" s="31">
        <v>0</v>
      </c>
      <c r="G413" s="46">
        <v>600</v>
      </c>
      <c r="H413" s="32">
        <v>0</v>
      </c>
      <c r="I413" s="32">
        <v>0</v>
      </c>
      <c r="J413" s="32">
        <v>0</v>
      </c>
      <c r="K413" s="104">
        <v>1517</v>
      </c>
      <c r="L413" s="59">
        <v>1</v>
      </c>
      <c r="M413" s="91">
        <v>11020</v>
      </c>
      <c r="N413" s="59">
        <v>1</v>
      </c>
      <c r="O413" s="92">
        <v>1</v>
      </c>
      <c r="P413" s="132"/>
      <c r="Q413" s="132"/>
      <c r="R413" s="132"/>
      <c r="S413" s="132"/>
    </row>
    <row r="414" spans="1:19" s="10" customFormat="1">
      <c r="A414" s="30">
        <v>4021</v>
      </c>
      <c r="B414" s="31" t="str">
        <f>VLOOKUP($M414,[1]Sheet1!$A:$C,2,0)</f>
        <v>磐石战甲碎片</v>
      </c>
      <c r="C414" s="31">
        <v>0</v>
      </c>
      <c r="D414" s="10">
        <v>4</v>
      </c>
      <c r="E414" s="10">
        <v>3</v>
      </c>
      <c r="F414" s="31">
        <v>0</v>
      </c>
      <c r="G414" s="46">
        <v>600</v>
      </c>
      <c r="H414" s="32">
        <v>0</v>
      </c>
      <c r="I414" s="32">
        <v>0</v>
      </c>
      <c r="J414" s="32">
        <v>0</v>
      </c>
      <c r="K414" s="104">
        <v>1517</v>
      </c>
      <c r="L414" s="59">
        <v>1</v>
      </c>
      <c r="M414" s="91">
        <v>11021</v>
      </c>
      <c r="N414" s="59">
        <v>1</v>
      </c>
      <c r="O414" s="92">
        <v>1</v>
      </c>
      <c r="P414" s="132"/>
      <c r="Q414" s="132"/>
      <c r="R414" s="132"/>
      <c r="S414" s="132"/>
    </row>
    <row r="415" spans="1:19" s="10" customFormat="1">
      <c r="A415" s="30">
        <v>4022</v>
      </c>
      <c r="B415" s="31" t="str">
        <f>VLOOKUP($M415,[1]Sheet1!$A:$C,2,0)</f>
        <v>磐石战靴碎片</v>
      </c>
      <c r="C415" s="31">
        <v>0</v>
      </c>
      <c r="D415" s="10">
        <v>4</v>
      </c>
      <c r="E415" s="10">
        <v>3</v>
      </c>
      <c r="F415" s="31">
        <v>0</v>
      </c>
      <c r="G415" s="46">
        <v>600</v>
      </c>
      <c r="H415" s="32">
        <v>0</v>
      </c>
      <c r="I415" s="32">
        <v>0</v>
      </c>
      <c r="J415" s="32">
        <v>0</v>
      </c>
      <c r="K415" s="104">
        <v>1517</v>
      </c>
      <c r="L415" s="59">
        <v>1</v>
      </c>
      <c r="M415" s="91">
        <v>11024</v>
      </c>
      <c r="N415" s="59">
        <v>1</v>
      </c>
      <c r="O415" s="92">
        <v>1</v>
      </c>
      <c r="P415" s="132"/>
      <c r="Q415" s="132"/>
      <c r="R415" s="132"/>
      <c r="S415" s="132"/>
    </row>
    <row r="416" spans="1:19" s="10" customFormat="1">
      <c r="A416" s="30">
        <v>4023</v>
      </c>
      <c r="B416" s="31" t="str">
        <f>VLOOKUP($M416,[1]Sheet1!$A:$C,2,0)</f>
        <v>封魔头盔碎片</v>
      </c>
      <c r="C416" s="31">
        <v>0</v>
      </c>
      <c r="D416" s="10">
        <v>4</v>
      </c>
      <c r="E416" s="10">
        <v>3</v>
      </c>
      <c r="F416" s="31">
        <v>0</v>
      </c>
      <c r="G416" s="46">
        <v>600</v>
      </c>
      <c r="H416" s="32">
        <v>0</v>
      </c>
      <c r="I416" s="32">
        <v>0</v>
      </c>
      <c r="J416" s="32">
        <v>0</v>
      </c>
      <c r="K416" s="104">
        <v>1518</v>
      </c>
      <c r="L416" s="59">
        <v>1</v>
      </c>
      <c r="M416" s="91">
        <v>11019</v>
      </c>
      <c r="N416" s="59">
        <v>1</v>
      </c>
      <c r="O416" s="92">
        <v>1</v>
      </c>
      <c r="P416" s="132"/>
      <c r="Q416" s="132"/>
      <c r="R416" s="132"/>
      <c r="S416" s="132"/>
    </row>
    <row r="417" spans="1:19" s="10" customFormat="1">
      <c r="A417" s="30">
        <v>4024</v>
      </c>
      <c r="B417" s="31" t="str">
        <f>VLOOKUP($M417,[1]Sheet1!$A:$C,2,0)</f>
        <v>封魔长剑碎片</v>
      </c>
      <c r="C417" s="31">
        <v>0</v>
      </c>
      <c r="D417" s="10">
        <v>4</v>
      </c>
      <c r="E417" s="10">
        <v>3</v>
      </c>
      <c r="F417" s="31">
        <v>0</v>
      </c>
      <c r="G417" s="46">
        <v>600</v>
      </c>
      <c r="H417" s="32">
        <v>0</v>
      </c>
      <c r="I417" s="32">
        <v>0</v>
      </c>
      <c r="J417" s="32">
        <v>0</v>
      </c>
      <c r="K417" s="104">
        <v>1518</v>
      </c>
      <c r="L417" s="59">
        <v>1</v>
      </c>
      <c r="M417" s="91">
        <v>11018</v>
      </c>
      <c r="N417" s="59">
        <v>1</v>
      </c>
      <c r="O417" s="92">
        <v>1</v>
      </c>
      <c r="P417" s="132"/>
      <c r="Q417" s="132"/>
      <c r="R417" s="132"/>
      <c r="S417" s="132"/>
    </row>
    <row r="418" spans="1:19" s="10" customFormat="1">
      <c r="A418" s="30">
        <v>4025</v>
      </c>
      <c r="B418" s="31" t="str">
        <f>VLOOKUP($M418,[1]Sheet1!$A:$C,2,0)</f>
        <v>磐石头盔碎片</v>
      </c>
      <c r="C418" s="31">
        <v>0</v>
      </c>
      <c r="D418" s="10">
        <v>4</v>
      </c>
      <c r="E418" s="10">
        <v>3</v>
      </c>
      <c r="F418" s="31">
        <v>0</v>
      </c>
      <c r="G418" s="46">
        <v>600</v>
      </c>
      <c r="H418" s="32">
        <v>0</v>
      </c>
      <c r="I418" s="32">
        <v>0</v>
      </c>
      <c r="J418" s="32">
        <v>0</v>
      </c>
      <c r="K418" s="104">
        <v>1518</v>
      </c>
      <c r="L418" s="59">
        <v>1</v>
      </c>
      <c r="M418" s="91">
        <v>11023</v>
      </c>
      <c r="N418" s="59">
        <v>1</v>
      </c>
      <c r="O418" s="92">
        <v>1</v>
      </c>
      <c r="P418" s="132"/>
      <c r="Q418" s="132"/>
      <c r="R418" s="132"/>
      <c r="S418" s="132"/>
    </row>
    <row r="419" spans="1:19" s="10" customFormat="1">
      <c r="A419" s="30">
        <v>4026</v>
      </c>
      <c r="B419" s="31" t="str">
        <f>VLOOKUP($M419,[1]Sheet1!$A:$C,2,0)</f>
        <v>磐石长剑碎片</v>
      </c>
      <c r="C419" s="31">
        <v>0</v>
      </c>
      <c r="D419" s="10">
        <v>4</v>
      </c>
      <c r="E419" s="10">
        <v>3</v>
      </c>
      <c r="F419" s="31">
        <v>0</v>
      </c>
      <c r="G419" s="46">
        <v>600</v>
      </c>
      <c r="H419" s="32">
        <v>0</v>
      </c>
      <c r="I419" s="32">
        <v>0</v>
      </c>
      <c r="J419" s="32">
        <v>0</v>
      </c>
      <c r="K419" s="104">
        <v>1518</v>
      </c>
      <c r="L419" s="59">
        <v>1</v>
      </c>
      <c r="M419" s="91">
        <v>11022</v>
      </c>
      <c r="N419" s="59">
        <v>1</v>
      </c>
      <c r="O419" s="92">
        <v>1</v>
      </c>
      <c r="P419" s="132"/>
      <c r="Q419" s="132"/>
      <c r="R419" s="132"/>
      <c r="S419" s="132"/>
    </row>
    <row r="420" spans="1:19" s="11" customFormat="1">
      <c r="A420" s="33">
        <v>4027</v>
      </c>
      <c r="B420" s="34" t="str">
        <f>VLOOKUP($M420,[1]Sheet1!$A:$C,2,0)</f>
        <v>血魔战甲碎片</v>
      </c>
      <c r="C420" s="34">
        <v>0</v>
      </c>
      <c r="D420" s="11">
        <v>4</v>
      </c>
      <c r="E420" s="11">
        <v>3</v>
      </c>
      <c r="F420" s="34">
        <v>0</v>
      </c>
      <c r="G420" s="47">
        <v>1000</v>
      </c>
      <c r="H420" s="35">
        <v>0</v>
      </c>
      <c r="I420" s="35">
        <v>0</v>
      </c>
      <c r="J420" s="35">
        <v>0</v>
      </c>
      <c r="K420" s="88">
        <v>1519</v>
      </c>
      <c r="L420" s="60">
        <v>1</v>
      </c>
      <c r="M420" s="88">
        <v>11025</v>
      </c>
      <c r="N420" s="60">
        <v>1</v>
      </c>
      <c r="O420" s="89">
        <v>1</v>
      </c>
      <c r="P420" s="131"/>
      <c r="Q420" s="131"/>
      <c r="R420" s="131"/>
      <c r="S420" s="131"/>
    </row>
    <row r="421" spans="1:19" s="11" customFormat="1">
      <c r="A421" s="33">
        <v>4028</v>
      </c>
      <c r="B421" s="34" t="str">
        <f>VLOOKUP($M421,[1]Sheet1!$A:$C,2,0)</f>
        <v>兽魂战靴碎片</v>
      </c>
      <c r="C421" s="34">
        <v>0</v>
      </c>
      <c r="D421" s="11">
        <v>4</v>
      </c>
      <c r="E421" s="11">
        <v>3</v>
      </c>
      <c r="F421" s="34">
        <v>0</v>
      </c>
      <c r="G421" s="47">
        <v>1000</v>
      </c>
      <c r="H421" s="35">
        <v>0</v>
      </c>
      <c r="I421" s="35">
        <v>0</v>
      </c>
      <c r="J421" s="35">
        <v>0</v>
      </c>
      <c r="K421" s="88">
        <v>1519</v>
      </c>
      <c r="L421" s="60">
        <v>1</v>
      </c>
      <c r="M421" s="88">
        <v>11028</v>
      </c>
      <c r="N421" s="60">
        <v>1</v>
      </c>
      <c r="O421" s="89">
        <v>1</v>
      </c>
      <c r="P421" s="131"/>
      <c r="Q421" s="131"/>
      <c r="R421" s="131"/>
      <c r="S421" s="131"/>
    </row>
    <row r="422" spans="1:19" s="11" customFormat="1">
      <c r="A422" s="33">
        <v>4029</v>
      </c>
      <c r="B422" s="34" t="str">
        <f>VLOOKUP($M422,[1]Sheet1!$A:$C,2,0)</f>
        <v>麒麟头盔碎片</v>
      </c>
      <c r="C422" s="34">
        <v>0</v>
      </c>
      <c r="D422" s="11">
        <v>4</v>
      </c>
      <c r="E422" s="11">
        <v>3</v>
      </c>
      <c r="F422" s="34">
        <v>0</v>
      </c>
      <c r="G422" s="47">
        <v>1000</v>
      </c>
      <c r="H422" s="35">
        <v>0</v>
      </c>
      <c r="I422" s="35">
        <v>0</v>
      </c>
      <c r="J422" s="35">
        <v>0</v>
      </c>
      <c r="K422" s="88">
        <v>1520</v>
      </c>
      <c r="L422" s="60">
        <v>1</v>
      </c>
      <c r="M422" s="88">
        <v>11027</v>
      </c>
      <c r="N422" s="60">
        <v>1</v>
      </c>
      <c r="O422" s="89">
        <v>1</v>
      </c>
      <c r="P422" s="131"/>
      <c r="Q422" s="131"/>
      <c r="R422" s="131"/>
      <c r="S422" s="131"/>
    </row>
    <row r="423" spans="1:19" s="11" customFormat="1">
      <c r="A423" s="33">
        <v>4030</v>
      </c>
      <c r="B423" s="34" t="str">
        <f>VLOOKUP($M423,[1]Sheet1!$A:$C,2,0)</f>
        <v>赤霄长剑碎片</v>
      </c>
      <c r="C423" s="34">
        <v>0</v>
      </c>
      <c r="D423" s="11">
        <v>4</v>
      </c>
      <c r="E423" s="11">
        <v>3</v>
      </c>
      <c r="F423" s="34">
        <v>0</v>
      </c>
      <c r="G423" s="47">
        <v>1000</v>
      </c>
      <c r="H423" s="35">
        <v>0</v>
      </c>
      <c r="I423" s="35">
        <v>0</v>
      </c>
      <c r="J423" s="35">
        <v>0</v>
      </c>
      <c r="K423" s="88">
        <v>1520</v>
      </c>
      <c r="L423" s="60">
        <v>1</v>
      </c>
      <c r="M423" s="88">
        <v>11026</v>
      </c>
      <c r="N423" s="60">
        <v>1</v>
      </c>
      <c r="O423" s="89">
        <v>1</v>
      </c>
      <c r="P423" s="131"/>
      <c r="Q423" s="131"/>
      <c r="R423" s="131"/>
      <c r="S423" s="131"/>
    </row>
    <row r="424" spans="1:19" s="11" customFormat="1">
      <c r="A424" s="33">
        <v>4031</v>
      </c>
      <c r="B424" s="34" t="str">
        <f>VLOOKUP($M424,[1]Sheet1!$A:$C,2,0)</f>
        <v>降魔战甲碎片</v>
      </c>
      <c r="C424" s="34">
        <v>0</v>
      </c>
      <c r="D424" s="11">
        <v>4</v>
      </c>
      <c r="E424" s="11">
        <v>3</v>
      </c>
      <c r="F424" s="34">
        <v>0</v>
      </c>
      <c r="G424" s="47">
        <v>1200</v>
      </c>
      <c r="H424" s="35">
        <v>0</v>
      </c>
      <c r="I424" s="35">
        <v>0</v>
      </c>
      <c r="J424" s="35">
        <v>0</v>
      </c>
      <c r="K424" s="88">
        <v>1521</v>
      </c>
      <c r="L424" s="60">
        <v>1</v>
      </c>
      <c r="M424" s="88">
        <v>11029</v>
      </c>
      <c r="N424" s="60">
        <v>1</v>
      </c>
      <c r="O424" s="89">
        <v>1</v>
      </c>
      <c r="P424" s="131"/>
      <c r="Q424" s="131"/>
      <c r="R424" s="131"/>
      <c r="S424" s="131"/>
    </row>
    <row r="425" spans="1:19" s="11" customFormat="1">
      <c r="A425" s="33">
        <v>4032</v>
      </c>
      <c r="B425" s="34" t="str">
        <f>VLOOKUP($M425,[1]Sheet1!$A:$C,2,0)</f>
        <v>降魔战靴碎片</v>
      </c>
      <c r="C425" s="34">
        <v>0</v>
      </c>
      <c r="D425" s="11">
        <v>4</v>
      </c>
      <c r="E425" s="11">
        <v>3</v>
      </c>
      <c r="F425" s="34">
        <v>0</v>
      </c>
      <c r="G425" s="47">
        <v>1200</v>
      </c>
      <c r="H425" s="35">
        <v>0</v>
      </c>
      <c r="I425" s="35">
        <v>0</v>
      </c>
      <c r="J425" s="35">
        <v>0</v>
      </c>
      <c r="K425" s="88">
        <v>1521</v>
      </c>
      <c r="L425" s="60">
        <v>1</v>
      </c>
      <c r="M425" s="88">
        <v>11032</v>
      </c>
      <c r="N425" s="60">
        <v>1</v>
      </c>
      <c r="O425" s="89">
        <v>1</v>
      </c>
      <c r="P425" s="131"/>
      <c r="Q425" s="131"/>
      <c r="R425" s="131"/>
      <c r="S425" s="131"/>
    </row>
    <row r="426" spans="1:19" s="11" customFormat="1">
      <c r="A426" s="33">
        <v>4033</v>
      </c>
      <c r="B426" s="34" t="str">
        <f>VLOOKUP($M426,[1]Sheet1!$A:$C,2,0)</f>
        <v>天罡战甲碎片</v>
      </c>
      <c r="C426" s="34">
        <v>0</v>
      </c>
      <c r="D426" s="11">
        <v>4</v>
      </c>
      <c r="E426" s="11">
        <v>3</v>
      </c>
      <c r="F426" s="34">
        <v>0</v>
      </c>
      <c r="G426" s="47">
        <v>1200</v>
      </c>
      <c r="H426" s="35">
        <v>0</v>
      </c>
      <c r="I426" s="35">
        <v>0</v>
      </c>
      <c r="J426" s="35">
        <v>0</v>
      </c>
      <c r="K426" s="88">
        <v>1521</v>
      </c>
      <c r="L426" s="60">
        <v>1</v>
      </c>
      <c r="M426" s="88">
        <v>11033</v>
      </c>
      <c r="N426" s="60">
        <v>1</v>
      </c>
      <c r="O426" s="89">
        <v>1</v>
      </c>
      <c r="P426" s="131"/>
      <c r="Q426" s="131"/>
      <c r="R426" s="131"/>
      <c r="S426" s="131"/>
    </row>
    <row r="427" spans="1:19" s="11" customFormat="1">
      <c r="A427" s="33">
        <v>4034</v>
      </c>
      <c r="B427" s="34" t="str">
        <f>VLOOKUP($M427,[1]Sheet1!$A:$C,2,0)</f>
        <v>天罡战靴碎片</v>
      </c>
      <c r="C427" s="34">
        <v>0</v>
      </c>
      <c r="D427" s="11">
        <v>4</v>
      </c>
      <c r="E427" s="11">
        <v>3</v>
      </c>
      <c r="F427" s="34">
        <v>0</v>
      </c>
      <c r="G427" s="47">
        <v>1200</v>
      </c>
      <c r="H427" s="35">
        <v>0</v>
      </c>
      <c r="I427" s="35">
        <v>0</v>
      </c>
      <c r="J427" s="35">
        <v>0</v>
      </c>
      <c r="K427" s="88">
        <v>1521</v>
      </c>
      <c r="L427" s="60">
        <v>1</v>
      </c>
      <c r="M427" s="88">
        <v>11036</v>
      </c>
      <c r="N427" s="60">
        <v>1</v>
      </c>
      <c r="O427" s="89">
        <v>1</v>
      </c>
      <c r="P427" s="131"/>
      <c r="Q427" s="131"/>
      <c r="R427" s="131"/>
      <c r="S427" s="131"/>
    </row>
    <row r="428" spans="1:19" s="11" customFormat="1">
      <c r="A428" s="33">
        <v>4035</v>
      </c>
      <c r="B428" s="34" t="str">
        <f>VLOOKUP($M428,[1]Sheet1!$A:$C,2,0)</f>
        <v>降魔头盔碎片</v>
      </c>
      <c r="C428" s="34">
        <v>0</v>
      </c>
      <c r="D428" s="11">
        <v>4</v>
      </c>
      <c r="E428" s="11">
        <v>3</v>
      </c>
      <c r="F428" s="34">
        <v>0</v>
      </c>
      <c r="G428" s="47">
        <v>1200</v>
      </c>
      <c r="H428" s="35">
        <v>0</v>
      </c>
      <c r="I428" s="35">
        <v>0</v>
      </c>
      <c r="J428" s="35">
        <v>0</v>
      </c>
      <c r="K428" s="88">
        <v>1522</v>
      </c>
      <c r="L428" s="60">
        <v>1</v>
      </c>
      <c r="M428" s="88">
        <v>11031</v>
      </c>
      <c r="N428" s="60">
        <v>1</v>
      </c>
      <c r="O428" s="89">
        <v>1</v>
      </c>
      <c r="P428" s="131"/>
      <c r="Q428" s="131"/>
      <c r="R428" s="131"/>
      <c r="S428" s="131"/>
    </row>
    <row r="429" spans="1:19" s="11" customFormat="1">
      <c r="A429" s="33">
        <v>4036</v>
      </c>
      <c r="B429" s="34" t="str">
        <f>VLOOKUP($M429,[1]Sheet1!$A:$C,2,0)</f>
        <v>降魔长剑碎片</v>
      </c>
      <c r="C429" s="34">
        <v>0</v>
      </c>
      <c r="D429" s="11">
        <v>4</v>
      </c>
      <c r="E429" s="11">
        <v>3</v>
      </c>
      <c r="F429" s="34">
        <v>0</v>
      </c>
      <c r="G429" s="47">
        <v>1200</v>
      </c>
      <c r="H429" s="35">
        <v>0</v>
      </c>
      <c r="I429" s="35">
        <v>0</v>
      </c>
      <c r="J429" s="35">
        <v>0</v>
      </c>
      <c r="K429" s="88">
        <v>1522</v>
      </c>
      <c r="L429" s="60">
        <v>1</v>
      </c>
      <c r="M429" s="88">
        <v>11030</v>
      </c>
      <c r="N429" s="60">
        <v>1</v>
      </c>
      <c r="O429" s="89">
        <v>1</v>
      </c>
      <c r="P429" s="131"/>
      <c r="Q429" s="131"/>
      <c r="R429" s="131"/>
      <c r="S429" s="131"/>
    </row>
    <row r="430" spans="1:19" s="11" customFormat="1">
      <c r="A430" s="33">
        <v>4037</v>
      </c>
      <c r="B430" s="34" t="str">
        <f>VLOOKUP($M430,[1]Sheet1!$A:$C,2,0)</f>
        <v>天罡头盔碎片</v>
      </c>
      <c r="C430" s="34">
        <v>0</v>
      </c>
      <c r="D430" s="11">
        <v>4</v>
      </c>
      <c r="E430" s="11">
        <v>3</v>
      </c>
      <c r="F430" s="34">
        <v>0</v>
      </c>
      <c r="G430" s="47">
        <v>1200</v>
      </c>
      <c r="H430" s="35">
        <v>0</v>
      </c>
      <c r="I430" s="35">
        <v>0</v>
      </c>
      <c r="J430" s="35">
        <v>0</v>
      </c>
      <c r="K430" s="88">
        <v>1522</v>
      </c>
      <c r="L430" s="60">
        <v>1</v>
      </c>
      <c r="M430" s="88">
        <v>11035</v>
      </c>
      <c r="N430" s="60">
        <v>1</v>
      </c>
      <c r="O430" s="89">
        <v>1</v>
      </c>
      <c r="P430" s="131"/>
      <c r="Q430" s="131"/>
      <c r="R430" s="131"/>
      <c r="S430" s="131"/>
    </row>
    <row r="431" spans="1:19" s="11" customFormat="1">
      <c r="A431" s="33">
        <v>4038</v>
      </c>
      <c r="B431" s="34" t="str">
        <f>VLOOKUP($M431,[1]Sheet1!$A:$C,2,0)</f>
        <v>天罡长剑碎片</v>
      </c>
      <c r="C431" s="34">
        <v>0</v>
      </c>
      <c r="D431" s="11">
        <v>4</v>
      </c>
      <c r="E431" s="11">
        <v>3</v>
      </c>
      <c r="F431" s="34">
        <v>0</v>
      </c>
      <c r="G431" s="47">
        <v>1200</v>
      </c>
      <c r="H431" s="35">
        <v>0</v>
      </c>
      <c r="I431" s="35">
        <v>0</v>
      </c>
      <c r="J431" s="35">
        <v>0</v>
      </c>
      <c r="K431" s="88">
        <v>1522</v>
      </c>
      <c r="L431" s="60">
        <v>1</v>
      </c>
      <c r="M431" s="88">
        <v>11034</v>
      </c>
      <c r="N431" s="60">
        <v>1</v>
      </c>
      <c r="O431" s="89">
        <v>1</v>
      </c>
      <c r="P431" s="131"/>
      <c r="Q431" s="131"/>
      <c r="R431" s="131"/>
      <c r="S431" s="131"/>
    </row>
    <row r="432" spans="1:19" s="65" customFormat="1">
      <c r="A432" s="64">
        <v>4101</v>
      </c>
      <c r="B432" s="162" t="str">
        <f>IF($L432=1,VLOOKUP($M432,[1]Sheet1!$A:$C,2,0),IF($L432=4,VLOOKUP($M432,[4]Sheet1!$A:$B,2,0),IF($L432=2,VLOOKUP($M432,[5]Sheet1!$A:$B,2,0),0)))&amp;"x"&amp;$N432</f>
        <v>铜钱x100000</v>
      </c>
      <c r="C432" s="120">
        <v>1</v>
      </c>
      <c r="D432" s="65">
        <v>4</v>
      </c>
      <c r="E432" s="65">
        <v>3</v>
      </c>
      <c r="F432" s="120">
        <v>0</v>
      </c>
      <c r="G432" s="66">
        <v>100</v>
      </c>
      <c r="H432" s="67">
        <v>1000</v>
      </c>
      <c r="I432" s="67">
        <v>3</v>
      </c>
      <c r="J432" s="67">
        <v>1</v>
      </c>
      <c r="K432" s="121">
        <v>1601</v>
      </c>
      <c r="L432" s="68">
        <v>4</v>
      </c>
      <c r="M432" s="85">
        <v>1</v>
      </c>
      <c r="N432" s="68">
        <v>100000</v>
      </c>
      <c r="O432" s="86">
        <v>1</v>
      </c>
      <c r="P432" s="129"/>
      <c r="Q432" s="129">
        <f>A432</f>
        <v>4101</v>
      </c>
      <c r="R432" s="129"/>
      <c r="S432" s="129"/>
    </row>
    <row r="433" spans="1:19" s="65" customFormat="1">
      <c r="A433" s="64">
        <v>4102</v>
      </c>
      <c r="B433" s="120" t="str">
        <f>IF($L433=1,VLOOKUP($M433,[1]Sheet1!$A:$C,2,0),IF($L433=4,VLOOKUP($M433,[4]Sheet1!$A:$B,2,0),IF($L433=2,VLOOKUP($M433,[5]Sheet1!$A:$B,2,0),0)))&amp;"x"&amp;$N433</f>
        <v>青锋长剑(20级)x1</v>
      </c>
      <c r="C433" s="120">
        <v>1</v>
      </c>
      <c r="D433" s="65">
        <v>4</v>
      </c>
      <c r="E433" s="65">
        <v>3</v>
      </c>
      <c r="F433" s="120">
        <v>0</v>
      </c>
      <c r="G433" s="66">
        <v>200</v>
      </c>
      <c r="H433" s="67">
        <v>2000</v>
      </c>
      <c r="I433" s="67">
        <v>3</v>
      </c>
      <c r="J433" s="67">
        <v>1</v>
      </c>
      <c r="K433" s="121">
        <v>1602</v>
      </c>
      <c r="L433" s="68">
        <v>2</v>
      </c>
      <c r="M433" s="85">
        <v>2022</v>
      </c>
      <c r="N433" s="68">
        <v>1</v>
      </c>
      <c r="O433" s="86">
        <v>1</v>
      </c>
      <c r="P433" s="129"/>
      <c r="Q433" s="129" t="str">
        <f t="shared" ref="Q433:Q451" si="23">Q432&amp;","&amp;A433</f>
        <v>4101,4102</v>
      </c>
      <c r="R433" s="129"/>
      <c r="S433" s="129"/>
    </row>
    <row r="434" spans="1:19" s="65" customFormat="1">
      <c r="A434" s="64">
        <v>4103</v>
      </c>
      <c r="B434" s="120" t="str">
        <f>IF($L434=1,VLOOKUP($M434,[1]Sheet1!$A:$C,2,0),IF($L434=4,VLOOKUP($M434,[4]Sheet1!$A:$B,2,0),IF($L434=2,VLOOKUP($M434,[5]Sheet1!$A:$B,2,0),0)))&amp;"x"&amp;$N434</f>
        <v>铜钱x200000</v>
      </c>
      <c r="C434" s="120">
        <v>1</v>
      </c>
      <c r="D434" s="65">
        <v>4</v>
      </c>
      <c r="E434" s="65">
        <v>3</v>
      </c>
      <c r="F434" s="120">
        <v>0</v>
      </c>
      <c r="G434" s="66">
        <v>200</v>
      </c>
      <c r="H434" s="67">
        <v>2000</v>
      </c>
      <c r="I434" s="67">
        <v>3</v>
      </c>
      <c r="J434" s="67">
        <v>1</v>
      </c>
      <c r="K434" s="121">
        <v>1603</v>
      </c>
      <c r="L434" s="68">
        <v>4</v>
      </c>
      <c r="M434" s="85">
        <v>1</v>
      </c>
      <c r="N434" s="68">
        <v>200000</v>
      </c>
      <c r="O434" s="86">
        <v>1</v>
      </c>
      <c r="P434" s="129"/>
      <c r="Q434" s="129" t="str">
        <f t="shared" si="23"/>
        <v>4101,4102,4103</v>
      </c>
      <c r="R434" s="129"/>
      <c r="S434" s="129"/>
    </row>
    <row r="435" spans="1:19" s="65" customFormat="1">
      <c r="A435" s="64">
        <v>4104</v>
      </c>
      <c r="B435" s="120" t="str">
        <f>IF($L435=1,VLOOKUP($M435,[1]Sheet1!$A:$C,2,0),IF($L435=4,VLOOKUP($M435,[4]Sheet1!$A:$B,2,0),IF($L435=2,VLOOKUP($M435,[5]Sheet1!$A:$B,2,0),0)))&amp;"x"&amp;$N435</f>
        <v>封魔战靴(30级)x1</v>
      </c>
      <c r="C435" s="120">
        <v>1</v>
      </c>
      <c r="D435" s="65">
        <v>4</v>
      </c>
      <c r="E435" s="65">
        <v>3</v>
      </c>
      <c r="F435" s="120">
        <v>0</v>
      </c>
      <c r="G435" s="66">
        <v>1800</v>
      </c>
      <c r="H435" s="67">
        <v>18000</v>
      </c>
      <c r="I435" s="67">
        <v>3</v>
      </c>
      <c r="J435" s="67">
        <v>1</v>
      </c>
      <c r="K435" s="121">
        <v>1604</v>
      </c>
      <c r="L435" s="68">
        <v>2</v>
      </c>
      <c r="M435" s="85">
        <v>2048</v>
      </c>
      <c r="N435" s="68">
        <v>1</v>
      </c>
      <c r="O435" s="86">
        <v>1</v>
      </c>
      <c r="P435" s="129"/>
      <c r="Q435" s="129" t="str">
        <f t="shared" si="23"/>
        <v>4101,4102,4103,4104</v>
      </c>
      <c r="R435" s="129"/>
      <c r="S435" s="129"/>
    </row>
    <row r="436" spans="1:19" s="65" customFormat="1">
      <c r="A436" s="64">
        <v>4105</v>
      </c>
      <c r="B436" s="120" t="str">
        <f>IF($L436=1,VLOOKUP($M436,[1]Sheet1!$A:$C,2,0),IF($L436=4,VLOOKUP($M436,[4]Sheet1!$A:$B,2,0),IF($L436=2,VLOOKUP($M436,[5]Sheet1!$A:$B,2,0),0)))&amp;"x"&amp;$N436</f>
        <v>元宝x500</v>
      </c>
      <c r="C436" s="120">
        <v>1</v>
      </c>
      <c r="D436" s="65">
        <v>4</v>
      </c>
      <c r="E436" s="65">
        <v>3</v>
      </c>
      <c r="F436" s="120">
        <v>0</v>
      </c>
      <c r="G436" s="66">
        <v>500</v>
      </c>
      <c r="H436" s="67">
        <v>5000</v>
      </c>
      <c r="I436" s="67">
        <v>3</v>
      </c>
      <c r="J436" s="67">
        <v>1</v>
      </c>
      <c r="K436" s="121">
        <v>1605</v>
      </c>
      <c r="L436" s="68">
        <v>4</v>
      </c>
      <c r="M436" s="85">
        <v>2</v>
      </c>
      <c r="N436" s="68">
        <v>500</v>
      </c>
      <c r="O436" s="86">
        <v>1</v>
      </c>
      <c r="P436" s="129"/>
      <c r="Q436" s="129" t="str">
        <f t="shared" si="23"/>
        <v>4101,4102,4103,4104,4105</v>
      </c>
      <c r="R436" s="129"/>
      <c r="S436" s="129"/>
    </row>
    <row r="437" spans="1:19" s="65" customFormat="1">
      <c r="A437" s="64">
        <v>4106</v>
      </c>
      <c r="B437" s="120" t="str">
        <f>IF($L437=1,VLOOKUP($M437,[1]Sheet1!$A:$C,2,0),IF($L437=4,VLOOKUP($M437,[4]Sheet1!$A:$B,2,0),IF($L437=2,VLOOKUP($M437,[5]Sheet1!$A:$B,2,0),0)))&amp;"x"&amp;$N437</f>
        <v>装备精炼石x100</v>
      </c>
      <c r="C437" s="120">
        <v>1</v>
      </c>
      <c r="D437" s="65">
        <v>4</v>
      </c>
      <c r="E437" s="65">
        <v>3</v>
      </c>
      <c r="F437" s="120">
        <v>0</v>
      </c>
      <c r="G437" s="66">
        <v>500</v>
      </c>
      <c r="H437" s="67">
        <v>5000</v>
      </c>
      <c r="I437" s="67">
        <v>3</v>
      </c>
      <c r="J437" s="67">
        <v>1</v>
      </c>
      <c r="K437" s="121">
        <v>1606</v>
      </c>
      <c r="L437" s="68">
        <v>1</v>
      </c>
      <c r="M437" s="85">
        <v>16005</v>
      </c>
      <c r="N437" s="68">
        <v>100</v>
      </c>
      <c r="O437" s="86">
        <v>1</v>
      </c>
      <c r="P437" s="129"/>
      <c r="Q437" s="129" t="str">
        <f t="shared" si="23"/>
        <v>4101,4102,4103,4104,4105,4106</v>
      </c>
      <c r="R437" s="129"/>
      <c r="S437" s="129"/>
    </row>
    <row r="438" spans="1:19" s="65" customFormat="1">
      <c r="A438" s="64">
        <v>4107</v>
      </c>
      <c r="B438" s="120" t="str">
        <f>IF($L438=1,VLOOKUP($M438,[1]Sheet1!$A:$C,2,0),IF($L438=4,VLOOKUP($M438,[4]Sheet1!$A:$B,2,0),IF($L438=2,VLOOKUP($M438,[5]Sheet1!$A:$B,2,0),0)))&amp;"x"&amp;$N438</f>
        <v>铜钱x500000</v>
      </c>
      <c r="C438" s="120">
        <v>1</v>
      </c>
      <c r="D438" s="65">
        <v>4</v>
      </c>
      <c r="E438" s="65">
        <v>3</v>
      </c>
      <c r="F438" s="120">
        <v>0</v>
      </c>
      <c r="G438" s="66">
        <v>500</v>
      </c>
      <c r="H438" s="67">
        <v>5000</v>
      </c>
      <c r="I438" s="67">
        <v>3</v>
      </c>
      <c r="J438" s="67">
        <v>1</v>
      </c>
      <c r="K438" s="121">
        <v>1607</v>
      </c>
      <c r="L438" s="68">
        <v>4</v>
      </c>
      <c r="M438" s="85">
        <v>1</v>
      </c>
      <c r="N438" s="68">
        <v>500000</v>
      </c>
      <c r="O438" s="86">
        <v>1</v>
      </c>
      <c r="P438" s="129"/>
      <c r="Q438" s="129" t="str">
        <f t="shared" si="23"/>
        <v>4101,4102,4103,4104,4105,4106,4107</v>
      </c>
      <c r="R438" s="129"/>
      <c r="S438" s="129"/>
    </row>
    <row r="439" spans="1:19" s="65" customFormat="1">
      <c r="A439" s="64">
        <v>4108</v>
      </c>
      <c r="B439" s="120" t="str">
        <f>IF($L439=1,VLOOKUP($M439,[1]Sheet1!$A:$C,2,0),IF($L439=4,VLOOKUP($M439,[4]Sheet1!$A:$B,2,0),IF($L439=2,VLOOKUP($M439,[5]Sheet1!$A:$B,2,0),0)))&amp;"x"&amp;$N439</f>
        <v>法宝精炼石x100</v>
      </c>
      <c r="C439" s="120">
        <v>1</v>
      </c>
      <c r="D439" s="65">
        <v>4</v>
      </c>
      <c r="E439" s="65">
        <v>3</v>
      </c>
      <c r="F439" s="120">
        <v>0</v>
      </c>
      <c r="G439" s="66">
        <v>500</v>
      </c>
      <c r="H439" s="67">
        <v>5000</v>
      </c>
      <c r="I439" s="67">
        <v>3</v>
      </c>
      <c r="J439" s="67">
        <v>1</v>
      </c>
      <c r="K439" s="121">
        <v>1608</v>
      </c>
      <c r="L439" s="68">
        <v>1</v>
      </c>
      <c r="M439" s="85">
        <v>14201</v>
      </c>
      <c r="N439" s="68">
        <v>100</v>
      </c>
      <c r="O439" s="86">
        <v>1</v>
      </c>
      <c r="P439" s="129"/>
      <c r="Q439" s="129" t="str">
        <f t="shared" si="23"/>
        <v>4101,4102,4103,4104,4105,4106,4107,4108</v>
      </c>
      <c r="R439" s="129"/>
      <c r="S439" s="129"/>
    </row>
    <row r="440" spans="1:19" s="65" customFormat="1">
      <c r="A440" s="64">
        <v>4109</v>
      </c>
      <c r="B440" s="120" t="str">
        <f>IF($L440=1,VLOOKUP($M440,[1]Sheet1!$A:$C,2,0),IF($L440=4,VLOOKUP($M440,[4]Sheet1!$A:$B,2,0),IF($L440=2,VLOOKUP($M440,[5]Sheet1!$A:$B,2,0),0)))&amp;"x"&amp;$N440</f>
        <v>元宝x500</v>
      </c>
      <c r="C440" s="120">
        <v>1</v>
      </c>
      <c r="D440" s="65">
        <v>4</v>
      </c>
      <c r="E440" s="65">
        <v>3</v>
      </c>
      <c r="F440" s="120">
        <v>0</v>
      </c>
      <c r="G440" s="66">
        <v>500</v>
      </c>
      <c r="H440" s="67">
        <v>5000</v>
      </c>
      <c r="I440" s="67">
        <v>3</v>
      </c>
      <c r="J440" s="67">
        <v>1</v>
      </c>
      <c r="K440" s="121">
        <v>1609</v>
      </c>
      <c r="L440" s="68">
        <v>4</v>
      </c>
      <c r="M440" s="85">
        <v>2</v>
      </c>
      <c r="N440" s="68">
        <v>500</v>
      </c>
      <c r="O440" s="86">
        <v>1</v>
      </c>
      <c r="P440" s="129"/>
      <c r="Q440" s="129" t="str">
        <f t="shared" si="23"/>
        <v>4101,4102,4103,4104,4105,4106,4107,4108,4109</v>
      </c>
      <c r="R440" s="129"/>
      <c r="S440" s="129"/>
    </row>
    <row r="441" spans="1:19" s="65" customFormat="1">
      <c r="A441" s="64">
        <v>4110</v>
      </c>
      <c r="B441" s="120" t="str">
        <f>IF($L441=1,VLOOKUP($M441,[1]Sheet1!$A:$C,2,0),IF($L441=4,VLOOKUP($M441,[4]Sheet1!$A:$B,2,0),IF($L441=2,VLOOKUP($M441,[5]Sheet1!$A:$B,2,0),0)))&amp;"x"&amp;$N441</f>
        <v>兽魂战靴(40级)x1</v>
      </c>
      <c r="C441" s="120">
        <v>1</v>
      </c>
      <c r="D441" s="65">
        <v>4</v>
      </c>
      <c r="E441" s="65">
        <v>3</v>
      </c>
      <c r="F441" s="120">
        <v>0</v>
      </c>
      <c r="G441" s="66">
        <v>4000</v>
      </c>
      <c r="H441" s="67">
        <v>40000</v>
      </c>
      <c r="I441" s="67">
        <v>3</v>
      </c>
      <c r="J441" s="67">
        <v>1</v>
      </c>
      <c r="K441" s="121">
        <v>1610</v>
      </c>
      <c r="L441" s="68">
        <v>2</v>
      </c>
      <c r="M441" s="85">
        <v>2064</v>
      </c>
      <c r="N441" s="68">
        <v>1</v>
      </c>
      <c r="O441" s="86">
        <v>1</v>
      </c>
      <c r="P441" s="129"/>
      <c r="Q441" s="129" t="str">
        <f t="shared" si="23"/>
        <v>4101,4102,4103,4104,4105,4106,4107,4108,4109,4110</v>
      </c>
      <c r="R441" s="129"/>
      <c r="S441" s="129"/>
    </row>
    <row r="442" spans="1:19" s="65" customFormat="1">
      <c r="A442" s="64">
        <v>4111</v>
      </c>
      <c r="B442" s="120" t="str">
        <f>IF($L442=1,VLOOKUP($M442,[1]Sheet1!$A:$C,2,0),IF($L442=4,VLOOKUP($M442,[4]Sheet1!$A:$B,2,0),IF($L442=2,VLOOKUP($M442,[5]Sheet1!$A:$B,2,0),0)))&amp;"x"&amp;$N442</f>
        <v>装备精炼石x100</v>
      </c>
      <c r="C442" s="120">
        <v>1</v>
      </c>
      <c r="D442" s="65">
        <v>4</v>
      </c>
      <c r="E442" s="65">
        <v>3</v>
      </c>
      <c r="F442" s="120">
        <v>0</v>
      </c>
      <c r="G442" s="66">
        <v>500</v>
      </c>
      <c r="H442" s="67">
        <v>5000</v>
      </c>
      <c r="I442" s="67">
        <v>3</v>
      </c>
      <c r="J442" s="67">
        <v>1</v>
      </c>
      <c r="K442" s="121">
        <v>1611</v>
      </c>
      <c r="L442" s="68">
        <v>1</v>
      </c>
      <c r="M442" s="85">
        <v>16005</v>
      </c>
      <c r="N442" s="68">
        <v>100</v>
      </c>
      <c r="O442" s="86">
        <v>1</v>
      </c>
      <c r="P442" s="129"/>
      <c r="Q442" s="129" t="str">
        <f t="shared" si="23"/>
        <v>4101,4102,4103,4104,4105,4106,4107,4108,4109,4110,4111</v>
      </c>
      <c r="R442" s="129"/>
      <c r="S442" s="129"/>
    </row>
    <row r="443" spans="1:19" s="65" customFormat="1">
      <c r="A443" s="64">
        <v>4112</v>
      </c>
      <c r="B443" s="120" t="str">
        <f>IF($L443=1,VLOOKUP($M443,[1]Sheet1!$A:$C,2,0),IF($L443=4,VLOOKUP($M443,[4]Sheet1!$A:$B,2,0),IF($L443=2,VLOOKUP($M443,[5]Sheet1!$A:$B,2,0),0)))&amp;"x"&amp;$N443</f>
        <v>铜钱x1000000</v>
      </c>
      <c r="C443" s="120">
        <v>1</v>
      </c>
      <c r="D443" s="65">
        <v>4</v>
      </c>
      <c r="E443" s="65">
        <v>3</v>
      </c>
      <c r="F443" s="120">
        <v>0</v>
      </c>
      <c r="G443" s="66">
        <v>1000</v>
      </c>
      <c r="H443" s="67">
        <v>10000</v>
      </c>
      <c r="I443" s="67">
        <v>3</v>
      </c>
      <c r="J443" s="67">
        <v>1</v>
      </c>
      <c r="K443" s="121">
        <v>1612</v>
      </c>
      <c r="L443" s="68">
        <v>4</v>
      </c>
      <c r="M443" s="85">
        <v>1</v>
      </c>
      <c r="N443" s="68">
        <v>1000000</v>
      </c>
      <c r="O443" s="86">
        <v>1</v>
      </c>
      <c r="P443" s="129"/>
      <c r="Q443" s="129" t="str">
        <f t="shared" si="23"/>
        <v>4101,4102,4103,4104,4105,4106,4107,4108,4109,4110,4111,4112</v>
      </c>
      <c r="R443" s="129"/>
      <c r="S443" s="129"/>
    </row>
    <row r="444" spans="1:19" s="65" customFormat="1">
      <c r="A444" s="64">
        <v>4113</v>
      </c>
      <c r="B444" s="120" t="str">
        <f>IF($L444=1,VLOOKUP($M444,[1]Sheet1!$A:$C,2,0),IF($L444=4,VLOOKUP($M444,[4]Sheet1!$A:$B,2,0),IF($L444=2,VLOOKUP($M444,[5]Sheet1!$A:$B,2,0),0)))&amp;"x"&amp;$N444</f>
        <v>法宝精炼石x100</v>
      </c>
      <c r="C444" s="120">
        <v>1</v>
      </c>
      <c r="D444" s="65">
        <v>4</v>
      </c>
      <c r="E444" s="65">
        <v>3</v>
      </c>
      <c r="F444" s="120">
        <v>0</v>
      </c>
      <c r="G444" s="66">
        <v>500</v>
      </c>
      <c r="H444" s="67">
        <v>5000</v>
      </c>
      <c r="I444" s="67">
        <v>3</v>
      </c>
      <c r="J444" s="67">
        <v>1</v>
      </c>
      <c r="K444" s="121">
        <v>1613</v>
      </c>
      <c r="L444" s="68">
        <v>1</v>
      </c>
      <c r="M444" s="85">
        <v>14201</v>
      </c>
      <c r="N444" s="68">
        <v>100</v>
      </c>
      <c r="O444" s="86">
        <v>1</v>
      </c>
      <c r="P444" s="129"/>
      <c r="Q444" s="129" t="str">
        <f t="shared" si="23"/>
        <v>4101,4102,4103,4104,4105,4106,4107,4108,4109,4110,4111,4112,4113</v>
      </c>
      <c r="R444" s="129"/>
      <c r="S444" s="129"/>
    </row>
    <row r="445" spans="1:19" s="65" customFormat="1">
      <c r="A445" s="64">
        <v>4114</v>
      </c>
      <c r="B445" s="120" t="str">
        <f>IF($L445=1,VLOOKUP($M445,[1]Sheet1!$A:$C,2,0),IF($L445=4,VLOOKUP($M445,[4]Sheet1!$A:$B,2,0),IF($L445=2,VLOOKUP($M445,[5]Sheet1!$A:$B,2,0),0)))&amp;"x"&amp;$N445</f>
        <v>装备精炼石x100</v>
      </c>
      <c r="C445" s="120">
        <v>1</v>
      </c>
      <c r="D445" s="65">
        <v>4</v>
      </c>
      <c r="E445" s="65">
        <v>3</v>
      </c>
      <c r="F445" s="120">
        <v>0</v>
      </c>
      <c r="G445" s="66">
        <v>500</v>
      </c>
      <c r="H445" s="67">
        <v>5000</v>
      </c>
      <c r="I445" s="67">
        <v>3</v>
      </c>
      <c r="J445" s="67">
        <v>1</v>
      </c>
      <c r="K445" s="121">
        <v>1614</v>
      </c>
      <c r="L445" s="68">
        <v>1</v>
      </c>
      <c r="M445" s="85">
        <v>16005</v>
      </c>
      <c r="N445" s="68">
        <v>100</v>
      </c>
      <c r="O445" s="86">
        <v>1</v>
      </c>
      <c r="P445" s="129"/>
      <c r="Q445" s="129" t="str">
        <f t="shared" si="23"/>
        <v>4101,4102,4103,4104,4105,4106,4107,4108,4109,4110,4111,4112,4113,4114</v>
      </c>
      <c r="R445" s="129"/>
      <c r="S445" s="129"/>
    </row>
    <row r="446" spans="1:19" s="65" customFormat="1">
      <c r="A446" s="64">
        <v>4115</v>
      </c>
      <c r="B446" s="120" t="str">
        <f>IF($L446=1,VLOOKUP($M446,[1]Sheet1!$A:$C,2,0),IF($L446=4,VLOOKUP($M446,[4]Sheet1!$A:$B,2,0),IF($L446=2,VLOOKUP($M446,[5]Sheet1!$A:$B,2,0),0)))&amp;"x"&amp;$N446</f>
        <v>元宝x1000</v>
      </c>
      <c r="C446" s="120">
        <v>1</v>
      </c>
      <c r="D446" s="65">
        <v>4</v>
      </c>
      <c r="E446" s="65">
        <v>3</v>
      </c>
      <c r="F446" s="120">
        <v>0</v>
      </c>
      <c r="G446" s="66">
        <v>1000</v>
      </c>
      <c r="H446" s="67">
        <v>10000</v>
      </c>
      <c r="I446" s="67">
        <v>3</v>
      </c>
      <c r="J446" s="67">
        <v>1</v>
      </c>
      <c r="K446" s="121">
        <v>1615</v>
      </c>
      <c r="L446" s="68">
        <v>4</v>
      </c>
      <c r="M446" s="85">
        <v>2</v>
      </c>
      <c r="N446" s="68">
        <v>1000</v>
      </c>
      <c r="O446" s="86">
        <v>1</v>
      </c>
      <c r="P446" s="129"/>
      <c r="Q446" s="129" t="str">
        <f t="shared" si="23"/>
        <v>4101,4102,4103,4104,4105,4106,4107,4108,4109,4110,4111,4112,4113,4114,4115</v>
      </c>
      <c r="R446" s="129"/>
      <c r="S446" s="129"/>
    </row>
    <row r="447" spans="1:19" s="65" customFormat="1">
      <c r="A447" s="64">
        <v>4116</v>
      </c>
      <c r="B447" s="120" t="str">
        <f>IF($L447=1,VLOOKUP($M447,[1]Sheet1!$A:$C,2,0),IF($L447=4,VLOOKUP($M447,[4]Sheet1!$A:$B,2,0),IF($L447=2,VLOOKUP($M447,[5]Sheet1!$A:$B,2,0),0)))&amp;"x"&amp;$N447</f>
        <v>铜钱x1000000</v>
      </c>
      <c r="C447" s="120">
        <v>1</v>
      </c>
      <c r="D447" s="65">
        <v>4</v>
      </c>
      <c r="E447" s="65">
        <v>3</v>
      </c>
      <c r="F447" s="120">
        <v>0</v>
      </c>
      <c r="G447" s="66">
        <v>1000</v>
      </c>
      <c r="H447" s="67">
        <v>10000</v>
      </c>
      <c r="I447" s="67">
        <v>3</v>
      </c>
      <c r="J447" s="67">
        <v>1</v>
      </c>
      <c r="K447" s="121">
        <v>1616</v>
      </c>
      <c r="L447" s="68">
        <v>4</v>
      </c>
      <c r="M447" s="85">
        <v>1</v>
      </c>
      <c r="N447" s="68">
        <v>1000000</v>
      </c>
      <c r="O447" s="86">
        <v>1</v>
      </c>
      <c r="P447" s="129"/>
      <c r="Q447" s="129" t="str">
        <f t="shared" si="23"/>
        <v>4101,4102,4103,4104,4105,4106,4107,4108,4109,4110,4111,4112,4113,4114,4115,4116</v>
      </c>
      <c r="R447" s="129"/>
      <c r="S447" s="129"/>
    </row>
    <row r="448" spans="1:19" s="65" customFormat="1">
      <c r="A448" s="64">
        <v>4117</v>
      </c>
      <c r="B448" s="120" t="str">
        <f>IF($L448=1,VLOOKUP($M448,[1]Sheet1!$A:$C,2,0),IF($L448=4,VLOOKUP($M448,[4]Sheet1!$A:$B,2,0),IF($L448=2,VLOOKUP($M448,[5]Sheet1!$A:$B,2,0),0)))&amp;"x"&amp;$N448</f>
        <v>法宝精炼石x200</v>
      </c>
      <c r="C448" s="120">
        <v>1</v>
      </c>
      <c r="D448" s="65">
        <v>4</v>
      </c>
      <c r="E448" s="65">
        <v>3</v>
      </c>
      <c r="F448" s="120">
        <v>0</v>
      </c>
      <c r="G448" s="66">
        <v>1000</v>
      </c>
      <c r="H448" s="67">
        <v>10000</v>
      </c>
      <c r="I448" s="67">
        <v>3</v>
      </c>
      <c r="J448" s="67">
        <v>1</v>
      </c>
      <c r="K448" s="121">
        <v>1617</v>
      </c>
      <c r="L448" s="68">
        <v>1</v>
      </c>
      <c r="M448" s="85">
        <v>14201</v>
      </c>
      <c r="N448" s="68">
        <v>200</v>
      </c>
      <c r="O448" s="86">
        <v>1</v>
      </c>
      <c r="P448" s="129"/>
      <c r="Q448" s="129" t="str">
        <f t="shared" si="23"/>
        <v>4101,4102,4103,4104,4105,4106,4107,4108,4109,4110,4111,4112,4113,4114,4115,4116,4117</v>
      </c>
      <c r="R448" s="129"/>
      <c r="S448" s="129"/>
    </row>
    <row r="449" spans="1:19" s="65" customFormat="1">
      <c r="A449" s="64">
        <v>4118</v>
      </c>
      <c r="B449" s="120" t="str">
        <f>IF($L449=1,VLOOKUP($M449,[1]Sheet1!$A:$C,2,0),IF($L449=4,VLOOKUP($M449,[4]Sheet1!$A:$B,2,0),IF($L449=2,VLOOKUP($M449,[5]Sheet1!$A:$B,2,0),0)))&amp;"x"&amp;$N449</f>
        <v>装备精炼石x200</v>
      </c>
      <c r="C449" s="120">
        <v>1</v>
      </c>
      <c r="D449" s="65">
        <v>4</v>
      </c>
      <c r="E449" s="65">
        <v>3</v>
      </c>
      <c r="F449" s="120">
        <v>0</v>
      </c>
      <c r="G449" s="66">
        <v>1000</v>
      </c>
      <c r="H449" s="67">
        <v>10000</v>
      </c>
      <c r="I449" s="67">
        <v>3</v>
      </c>
      <c r="J449" s="67">
        <v>1</v>
      </c>
      <c r="K449" s="121">
        <v>1618</v>
      </c>
      <c r="L449" s="68">
        <v>1</v>
      </c>
      <c r="M449" s="85">
        <v>16005</v>
      </c>
      <c r="N449" s="68">
        <v>200</v>
      </c>
      <c r="O449" s="86">
        <v>1</v>
      </c>
      <c r="P449" s="129"/>
      <c r="Q449" s="129" t="str">
        <f t="shared" si="23"/>
        <v>4101,4102,4103,4104,4105,4106,4107,4108,4109,4110,4111,4112,4113,4114,4115,4116,4117,4118</v>
      </c>
      <c r="R449" s="129"/>
      <c r="S449" s="129"/>
    </row>
    <row r="450" spans="1:19" s="65" customFormat="1">
      <c r="A450" s="64">
        <v>4119</v>
      </c>
      <c r="B450" s="120" t="str">
        <f>IF($L450=1,VLOOKUP($M450,[1]Sheet1!$A:$C,2,0),IF($L450=4,VLOOKUP($M450,[4]Sheet1!$A:$B,2,0),IF($L450=2,VLOOKUP($M450,[5]Sheet1!$A:$B,2,0),0)))&amp;"x"&amp;$N450</f>
        <v>法宝精炼石x200</v>
      </c>
      <c r="C450" s="120">
        <v>1</v>
      </c>
      <c r="D450" s="65">
        <v>4</v>
      </c>
      <c r="E450" s="65">
        <v>3</v>
      </c>
      <c r="F450" s="120">
        <v>0</v>
      </c>
      <c r="G450" s="66">
        <v>1000</v>
      </c>
      <c r="H450" s="67">
        <v>10000</v>
      </c>
      <c r="I450" s="67">
        <v>3</v>
      </c>
      <c r="J450" s="67">
        <v>1</v>
      </c>
      <c r="K450" s="121">
        <v>1619</v>
      </c>
      <c r="L450" s="68">
        <v>1</v>
      </c>
      <c r="M450" s="85">
        <v>14201</v>
      </c>
      <c r="N450" s="68">
        <v>200</v>
      </c>
      <c r="O450" s="86">
        <v>1</v>
      </c>
      <c r="P450" s="129"/>
      <c r="Q450" s="129" t="str">
        <f t="shared" si="23"/>
        <v>4101,4102,4103,4104,4105,4106,4107,4108,4109,4110,4111,4112,4113,4114,4115,4116,4117,4118,4119</v>
      </c>
      <c r="R450" s="129"/>
      <c r="S450" s="129"/>
    </row>
    <row r="451" spans="1:19" s="65" customFormat="1">
      <c r="A451" s="64">
        <v>4120</v>
      </c>
      <c r="B451" s="120" t="str">
        <f>IF($L451=1,VLOOKUP($M451,[1]Sheet1!$A:$C,2,0),IF($L451=4,VLOOKUP($M451,[4]Sheet1!$A:$B,2,0),IF($L451=2,VLOOKUP($M451,[5]Sheet1!$A:$B,2,0),0)))&amp;"x"&amp;$N451</f>
        <v>元宝x1000</v>
      </c>
      <c r="C451" s="120">
        <v>1</v>
      </c>
      <c r="D451" s="65">
        <v>4</v>
      </c>
      <c r="E451" s="65">
        <v>3</v>
      </c>
      <c r="F451" s="120">
        <v>0</v>
      </c>
      <c r="G451" s="66">
        <v>1000</v>
      </c>
      <c r="H451" s="67">
        <v>10000</v>
      </c>
      <c r="I451" s="67">
        <v>3</v>
      </c>
      <c r="J451" s="67">
        <v>1</v>
      </c>
      <c r="K451" s="121">
        <v>1620</v>
      </c>
      <c r="L451" s="68">
        <v>4</v>
      </c>
      <c r="M451" s="85">
        <v>2</v>
      </c>
      <c r="N451" s="68">
        <v>1000</v>
      </c>
      <c r="O451" s="86">
        <v>1</v>
      </c>
      <c r="P451" s="129"/>
      <c r="Q451" s="129" t="str">
        <f t="shared" si="23"/>
        <v>4101,4102,4103,4104,4105,4106,4107,4108,4109,4110,4111,4112,4113,4114,4115,4116,4117,4118,4119,4120</v>
      </c>
      <c r="R451" s="129"/>
      <c r="S451" s="129"/>
    </row>
    <row r="452" spans="1:19" s="9" customFormat="1">
      <c r="A452" s="24">
        <v>4201</v>
      </c>
      <c r="B452" s="216" t="str">
        <f>IF($L452=1,VLOOKUP($M452,[1]Sheet1!$A:$C,2,0),IF($L452=4,VLOOKUP($M452,[4]Sheet1!$A:$B,2,0),IF($L452=2,VLOOKUP($M452,[5]Sheet1!$A:$B,2,0),0)))&amp;"x"&amp;$N452</f>
        <v>封魔战靴(30级)x1</v>
      </c>
      <c r="C452" s="216">
        <v>3</v>
      </c>
      <c r="D452" s="9">
        <v>4</v>
      </c>
      <c r="E452" s="9">
        <v>3</v>
      </c>
      <c r="F452" s="216">
        <v>0</v>
      </c>
      <c r="G452" s="44">
        <v>1800</v>
      </c>
      <c r="H452" s="25">
        <v>18000</v>
      </c>
      <c r="I452" s="25">
        <v>3</v>
      </c>
      <c r="J452" s="25">
        <v>1</v>
      </c>
      <c r="K452" s="217">
        <v>1604</v>
      </c>
      <c r="L452" s="57">
        <v>2</v>
      </c>
      <c r="M452" s="97">
        <v>2048</v>
      </c>
      <c r="N452" s="57">
        <v>1</v>
      </c>
      <c r="O452" s="98">
        <v>1</v>
      </c>
      <c r="P452" s="134"/>
      <c r="Q452" s="134" t="str">
        <f t="shared" ref="Q452:Q453" si="24">Q451&amp;","&amp;A452</f>
        <v>4101,4102,4103,4104,4105,4106,4107,4108,4109,4110,4111,4112,4113,4114,4115,4116,4117,4118,4119,4120,4201</v>
      </c>
      <c r="R452" s="134"/>
      <c r="S452" s="134"/>
    </row>
    <row r="453" spans="1:19" s="9" customFormat="1">
      <c r="A453" s="24">
        <v>4202</v>
      </c>
      <c r="B453" s="216" t="str">
        <f>IF($L453=1,VLOOKUP($M453,[1]Sheet1!$A:$C,2,0),IF($L453=4,VLOOKUP($M453,[4]Sheet1!$A:$B,2,0),IF($L453=2,VLOOKUP($M453,[5]Sheet1!$A:$B,2,0),0)))&amp;"x"&amp;$N453</f>
        <v>兽魂战靴(40级)x1</v>
      </c>
      <c r="C453" s="216">
        <v>3</v>
      </c>
      <c r="D453" s="9">
        <v>4</v>
      </c>
      <c r="E453" s="9">
        <v>3</v>
      </c>
      <c r="F453" s="216">
        <v>0</v>
      </c>
      <c r="G453" s="44">
        <v>4000</v>
      </c>
      <c r="H453" s="25">
        <v>40000</v>
      </c>
      <c r="I453" s="25">
        <v>3</v>
      </c>
      <c r="J453" s="25">
        <v>1</v>
      </c>
      <c r="K453" s="217">
        <v>1610</v>
      </c>
      <c r="L453" s="57">
        <v>2</v>
      </c>
      <c r="M453" s="97">
        <v>2064</v>
      </c>
      <c r="N453" s="57">
        <v>1</v>
      </c>
      <c r="O453" s="98">
        <v>1</v>
      </c>
      <c r="P453" s="134"/>
      <c r="Q453" s="134" t="str">
        <f t="shared" si="24"/>
        <v>4101,4102,4103,4104,4105,4106,4107,4108,4109,4110,4111,4112,4113,4114,4115,4116,4117,4118,4119,4120,4201,4202</v>
      </c>
      <c r="R453" s="134"/>
      <c r="S453" s="134"/>
    </row>
    <row r="454" spans="1:19" s="9" customFormat="1">
      <c r="A454" s="24">
        <v>4301</v>
      </c>
      <c r="B454" s="216" t="str">
        <f>IF($L454=1,VLOOKUP($M454,[1]Sheet1!$A:$C,2,0),IF($L454=4,VLOOKUP($M454,[4]Sheet1!$A:$B,2,0),IF($L454=2,VLOOKUP($M454,[5]Sheet1!$A:$B,2,0),0)))&amp;"x"&amp;$N454</f>
        <v>10级善恶功德宝箱x1</v>
      </c>
      <c r="C454" s="216">
        <v>3</v>
      </c>
      <c r="D454" s="9">
        <v>4</v>
      </c>
      <c r="E454" s="9">
        <v>3</v>
      </c>
      <c r="F454" s="216">
        <v>0</v>
      </c>
      <c r="G454" s="232">
        <v>2000</v>
      </c>
      <c r="H454" s="25">
        <v>40000</v>
      </c>
      <c r="I454" s="25">
        <v>1</v>
      </c>
      <c r="J454" s="25">
        <v>10</v>
      </c>
      <c r="K454" s="234" t="s">
        <v>111</v>
      </c>
      <c r="L454" s="57">
        <v>1</v>
      </c>
      <c r="M454" s="233">
        <v>14591</v>
      </c>
      <c r="N454" s="57">
        <v>1</v>
      </c>
      <c r="O454" s="98">
        <v>1</v>
      </c>
      <c r="P454" s="134"/>
      <c r="Q454" s="134" t="str">
        <f>Q695&amp;","&amp;A454</f>
        <v>,4301</v>
      </c>
      <c r="R454" s="134"/>
      <c r="S454" s="134"/>
    </row>
    <row r="455" spans="1:19">
      <c r="A455" s="24">
        <v>4302</v>
      </c>
      <c r="B455" s="216" t="str">
        <f>IF($L455=1,VLOOKUP($M455,[1]Sheet1!$A:$C,2,0),IF($L455=4,VLOOKUP($M455,[4]Sheet1!$A:$B,2,0),IF($L455=2,VLOOKUP($M455,[5]Sheet1!$A:$B,2,0),0)))&amp;"x"&amp;$N455</f>
        <v>20级善恶功德宝箱x1</v>
      </c>
      <c r="C455" s="216">
        <v>3</v>
      </c>
      <c r="D455" s="9">
        <v>4</v>
      </c>
      <c r="E455" s="9">
        <v>3</v>
      </c>
      <c r="F455" s="216">
        <v>0</v>
      </c>
      <c r="G455" s="232">
        <v>4000</v>
      </c>
      <c r="H455" s="25">
        <v>40000</v>
      </c>
      <c r="I455" s="25">
        <v>1</v>
      </c>
      <c r="J455" s="25">
        <v>10</v>
      </c>
      <c r="K455" s="234">
        <v>10020</v>
      </c>
      <c r="L455" s="57">
        <v>1</v>
      </c>
      <c r="M455" s="233">
        <v>14592</v>
      </c>
      <c r="N455" s="57">
        <v>1</v>
      </c>
      <c r="O455" s="98">
        <v>1</v>
      </c>
    </row>
    <row r="456" spans="1:19">
      <c r="A456" s="24">
        <v>4303</v>
      </c>
      <c r="B456" s="216" t="str">
        <f>IF($L456=1,VLOOKUP($M456,[1]Sheet1!$A:$C,2,0),IF($L456=4,VLOOKUP($M456,[4]Sheet1!$A:$B,2,0),IF($L456=2,VLOOKUP($M456,[5]Sheet1!$A:$B,2,0),0)))&amp;"x"&amp;$N456</f>
        <v>30级善恶功德宝箱x1</v>
      </c>
      <c r="C456" s="216">
        <v>3</v>
      </c>
      <c r="D456" s="9">
        <v>4</v>
      </c>
      <c r="E456" s="9">
        <v>3</v>
      </c>
      <c r="F456" s="216">
        <v>0</v>
      </c>
      <c r="G456" s="232">
        <v>6000</v>
      </c>
      <c r="H456" s="25">
        <v>40000</v>
      </c>
      <c r="I456" s="25">
        <v>1</v>
      </c>
      <c r="J456" s="25">
        <v>10</v>
      </c>
      <c r="K456" s="234">
        <v>10030</v>
      </c>
      <c r="L456" s="57">
        <v>1</v>
      </c>
      <c r="M456" s="233">
        <v>14593</v>
      </c>
      <c r="N456" s="57">
        <v>1</v>
      </c>
      <c r="O456" s="98">
        <v>1</v>
      </c>
    </row>
    <row r="457" spans="1:19">
      <c r="A457" s="24">
        <v>4304</v>
      </c>
      <c r="B457" s="216" t="str">
        <f>IF($L457=1,VLOOKUP($M457,[1]Sheet1!$A:$C,2,0),IF($L457=4,VLOOKUP($M457,[4]Sheet1!$A:$B,2,0),IF($L457=2,VLOOKUP($M457,[5]Sheet1!$A:$B,2,0),0)))&amp;"x"&amp;$N457</f>
        <v>40级天妖乱世宝箱x1</v>
      </c>
      <c r="C457" s="216">
        <v>3</v>
      </c>
      <c r="D457" s="9">
        <v>4</v>
      </c>
      <c r="E457" s="9">
        <v>3</v>
      </c>
      <c r="F457" s="216">
        <v>0</v>
      </c>
      <c r="G457" s="232">
        <v>8000</v>
      </c>
      <c r="H457" s="25">
        <v>40000</v>
      </c>
      <c r="I457" s="25">
        <v>1</v>
      </c>
      <c r="J457" s="25">
        <v>10</v>
      </c>
      <c r="K457" s="234">
        <v>10040</v>
      </c>
      <c r="L457" s="57">
        <v>1</v>
      </c>
      <c r="M457" s="233">
        <v>14594</v>
      </c>
      <c r="N457" s="57">
        <v>1</v>
      </c>
      <c r="O457" s="98">
        <v>1</v>
      </c>
    </row>
    <row r="458" spans="1:19">
      <c r="A458" s="24">
        <v>4305</v>
      </c>
      <c r="B458" s="216" t="str">
        <f>IF($L458=1,VLOOKUP($M458,[1]Sheet1!$A:$C,2,0),IF($L458=4,VLOOKUP($M458,[4]Sheet1!$A:$B,2,0),IF($L458=2,VLOOKUP($M458,[5]Sheet1!$A:$B,2,0),0)))&amp;"x"&amp;$N458</f>
        <v>50级天妖乱世宝箱x1</v>
      </c>
      <c r="C458" s="216">
        <v>3</v>
      </c>
      <c r="D458" s="9">
        <v>4</v>
      </c>
      <c r="E458" s="9">
        <v>3</v>
      </c>
      <c r="F458" s="216">
        <v>0</v>
      </c>
      <c r="G458" s="232">
        <v>10000</v>
      </c>
      <c r="H458" s="25">
        <v>40000</v>
      </c>
      <c r="I458" s="25">
        <v>1</v>
      </c>
      <c r="J458" s="25">
        <v>10</v>
      </c>
      <c r="K458" s="234">
        <v>10050</v>
      </c>
      <c r="L458" s="57">
        <v>1</v>
      </c>
      <c r="M458" s="233">
        <v>14595</v>
      </c>
      <c r="N458" s="57">
        <v>1</v>
      </c>
      <c r="O458" s="98">
        <v>1</v>
      </c>
    </row>
    <row r="459" spans="1:19">
      <c r="A459" s="24">
        <v>4306</v>
      </c>
      <c r="B459" s="216" t="str">
        <f>IF($L459=1,VLOOKUP($M459,[1]Sheet1!$A:$C,2,0),IF($L459=4,VLOOKUP($M459,[4]Sheet1!$A:$B,2,0),IF($L459=2,VLOOKUP($M459,[5]Sheet1!$A:$B,2,0),0)))&amp;"x"&amp;$N459</f>
        <v>60级天妖乱世宝箱x1</v>
      </c>
      <c r="C459" s="216">
        <v>3</v>
      </c>
      <c r="D459" s="9">
        <v>4</v>
      </c>
      <c r="E459" s="9">
        <v>3</v>
      </c>
      <c r="F459" s="216">
        <v>0</v>
      </c>
      <c r="G459" s="232">
        <v>12000</v>
      </c>
      <c r="H459" s="25">
        <v>40000</v>
      </c>
      <c r="I459" s="25">
        <v>1</v>
      </c>
      <c r="J459" s="25">
        <v>10</v>
      </c>
      <c r="K459" s="234">
        <v>10060</v>
      </c>
      <c r="L459" s="57">
        <v>1</v>
      </c>
      <c r="M459" s="233">
        <v>14596</v>
      </c>
      <c r="N459" s="57">
        <v>1</v>
      </c>
      <c r="O459" s="98">
        <v>1</v>
      </c>
    </row>
    <row r="460" spans="1:19">
      <c r="A460" s="24">
        <v>4307</v>
      </c>
      <c r="B460" s="216" t="str">
        <f>IF($L460=1,VLOOKUP($M460,[1]Sheet1!$A:$C,2,0),IF($L460=4,VLOOKUP($M460,[4]Sheet1!$A:$B,2,0),IF($L460=2,VLOOKUP($M460,[5]Sheet1!$A:$B,2,0),0)))&amp;"x"&amp;$N460</f>
        <v>70级五帝玲珑宝箱x1</v>
      </c>
      <c r="C460" s="216">
        <v>3</v>
      </c>
      <c r="D460" s="9">
        <v>4</v>
      </c>
      <c r="E460" s="9">
        <v>3</v>
      </c>
      <c r="F460" s="216">
        <v>0</v>
      </c>
      <c r="G460" s="232">
        <v>14000</v>
      </c>
      <c r="H460" s="25">
        <v>40000</v>
      </c>
      <c r="I460" s="25">
        <v>1</v>
      </c>
      <c r="J460" s="25">
        <v>10</v>
      </c>
      <c r="K460" s="234">
        <v>10070</v>
      </c>
      <c r="L460" s="57">
        <v>1</v>
      </c>
      <c r="M460" s="233">
        <v>14597</v>
      </c>
      <c r="N460" s="57">
        <v>1</v>
      </c>
      <c r="O460" s="98">
        <v>1</v>
      </c>
    </row>
    <row r="461" spans="1:19">
      <c r="A461" s="24">
        <v>4308</v>
      </c>
      <c r="B461" s="216" t="str">
        <f>IF($L461=1,VLOOKUP($M461,[1]Sheet1!$A:$C,2,0),IF($L461=4,VLOOKUP($M461,[4]Sheet1!$A:$B,2,0),IF($L461=2,VLOOKUP($M461,[5]Sheet1!$A:$B,2,0),0)))&amp;"x"&amp;$N461</f>
        <v>80级五帝玲珑宝箱x1</v>
      </c>
      <c r="C461" s="216">
        <v>3</v>
      </c>
      <c r="D461" s="9">
        <v>4</v>
      </c>
      <c r="E461" s="9">
        <v>3</v>
      </c>
      <c r="F461" s="216">
        <v>0</v>
      </c>
      <c r="G461" s="232">
        <v>16000</v>
      </c>
      <c r="H461" s="25">
        <v>40000</v>
      </c>
      <c r="I461" s="25">
        <v>1</v>
      </c>
      <c r="J461" s="25">
        <v>10</v>
      </c>
      <c r="K461" s="234">
        <v>10080</v>
      </c>
      <c r="L461" s="57">
        <v>1</v>
      </c>
      <c r="M461" s="233">
        <v>14598</v>
      </c>
      <c r="N461" s="57">
        <v>1</v>
      </c>
      <c r="O461" s="98">
        <v>1</v>
      </c>
    </row>
    <row r="462" spans="1:19">
      <c r="A462" s="24">
        <v>4309</v>
      </c>
      <c r="B462" s="216" t="str">
        <f>IF($L462=1,VLOOKUP($M462,[1]Sheet1!$A:$C,2,0),IF($L462=4,VLOOKUP($M462,[4]Sheet1!$A:$B,2,0),IF($L462=2,VLOOKUP($M462,[5]Sheet1!$A:$B,2,0),0)))&amp;"x"&amp;$N462</f>
        <v>90级五帝玲珑宝箱x1</v>
      </c>
      <c r="C462" s="216">
        <v>3</v>
      </c>
      <c r="D462" s="9">
        <v>4</v>
      </c>
      <c r="E462" s="9">
        <v>3</v>
      </c>
      <c r="F462" s="216">
        <v>0</v>
      </c>
      <c r="G462" s="232">
        <v>18000</v>
      </c>
      <c r="H462" s="25">
        <v>40000</v>
      </c>
      <c r="I462" s="25">
        <v>1</v>
      </c>
      <c r="J462" s="25">
        <v>10</v>
      </c>
      <c r="K462" s="234">
        <v>10090</v>
      </c>
      <c r="L462" s="57">
        <v>1</v>
      </c>
      <c r="M462" s="233">
        <v>14599</v>
      </c>
      <c r="N462" s="57">
        <v>1</v>
      </c>
      <c r="O462" s="98">
        <v>1</v>
      </c>
    </row>
    <row r="463" spans="1:19">
      <c r="A463" s="24">
        <v>4310</v>
      </c>
      <c r="B463" s="216" t="str">
        <f>IF($L463=1,VLOOKUP($M463,[1]Sheet1!$A:$C,2,0),IF($L463=4,VLOOKUP($M463,[4]Sheet1!$A:$B,2,0),IF($L463=2,VLOOKUP($M463,[5]Sheet1!$A:$B,2,0),0)))&amp;"x"&amp;$N463</f>
        <v>100级五帝玲珑宝箱x1</v>
      </c>
      <c r="C463" s="216">
        <v>3</v>
      </c>
      <c r="D463" s="9">
        <v>4</v>
      </c>
      <c r="E463" s="9">
        <v>3</v>
      </c>
      <c r="F463" s="216">
        <v>0</v>
      </c>
      <c r="G463" s="232">
        <v>20000</v>
      </c>
      <c r="H463" s="25">
        <v>40000</v>
      </c>
      <c r="I463" s="25">
        <v>1</v>
      </c>
      <c r="J463" s="25">
        <v>10</v>
      </c>
      <c r="K463" s="234">
        <v>10100</v>
      </c>
      <c r="L463" s="57">
        <v>1</v>
      </c>
      <c r="M463" s="233">
        <v>14600</v>
      </c>
      <c r="N463" s="57">
        <v>1</v>
      </c>
      <c r="O463" s="98">
        <v>1</v>
      </c>
    </row>
    <row r="464" spans="1:19">
      <c r="A464" s="24">
        <v>4311</v>
      </c>
      <c r="B464" s="216" t="str">
        <f>IF($L464=1,VLOOKUP($M464,[1]Sheet1!$A:$C,2,0),IF($L464=4,VLOOKUP($M464,[4]Sheet1!$A:$B,2,0),IF($L464=2,VLOOKUP($M464,[5]Sheet1!$A:$B,2,0),0)))&amp;"x"&amp;$N464</f>
        <v>110级天地秩序宝箱x1</v>
      </c>
      <c r="C464" s="216">
        <v>3</v>
      </c>
      <c r="D464" s="9">
        <v>4</v>
      </c>
      <c r="E464" s="9">
        <v>3</v>
      </c>
      <c r="F464" s="216">
        <v>0</v>
      </c>
      <c r="G464" s="232">
        <v>22000</v>
      </c>
      <c r="H464" s="25">
        <v>40000</v>
      </c>
      <c r="I464" s="25">
        <v>1</v>
      </c>
      <c r="J464" s="25">
        <v>10</v>
      </c>
      <c r="K464" s="234">
        <v>10110</v>
      </c>
      <c r="L464" s="57">
        <v>1</v>
      </c>
      <c r="M464" s="233">
        <v>14601</v>
      </c>
      <c r="N464" s="57">
        <v>1</v>
      </c>
      <c r="O464" s="98">
        <v>1</v>
      </c>
    </row>
    <row r="465" spans="1:19">
      <c r="A465" s="24">
        <v>4312</v>
      </c>
      <c r="B465" s="216" t="str">
        <f>IF($L465=1,VLOOKUP($M465,[1]Sheet1!$A:$C,2,0),IF($L465=4,VLOOKUP($M465,[4]Sheet1!$A:$B,2,0),IF($L465=2,VLOOKUP($M465,[5]Sheet1!$A:$B,2,0),0)))&amp;"x"&amp;$N465</f>
        <v>120级天地秩序宝箱x1</v>
      </c>
      <c r="C465" s="216">
        <v>3</v>
      </c>
      <c r="D465" s="9">
        <v>4</v>
      </c>
      <c r="E465" s="9">
        <v>3</v>
      </c>
      <c r="F465" s="216">
        <v>0</v>
      </c>
      <c r="G465" s="232">
        <v>24000</v>
      </c>
      <c r="H465" s="25">
        <v>40000</v>
      </c>
      <c r="I465" s="25">
        <v>1</v>
      </c>
      <c r="J465" s="25">
        <v>10</v>
      </c>
      <c r="K465" s="234">
        <v>10120</v>
      </c>
      <c r="L465" s="57">
        <v>1</v>
      </c>
      <c r="M465" s="233">
        <v>14602</v>
      </c>
      <c r="N465" s="57">
        <v>1</v>
      </c>
      <c r="O465" s="98">
        <v>1</v>
      </c>
    </row>
    <row r="466" spans="1:19">
      <c r="A466" s="24">
        <v>4313</v>
      </c>
      <c r="B466" s="216" t="str">
        <f>IF($L466=1,VLOOKUP($M466,[1]Sheet1!$A:$C,2,0),IF($L466=4,VLOOKUP($M466,[4]Sheet1!$A:$B,2,0),IF($L466=2,VLOOKUP($M466,[5]Sheet1!$A:$B,2,0),0)))&amp;"x"&amp;$N466</f>
        <v>130级天地秩序宝箱x1</v>
      </c>
      <c r="C466" s="216">
        <v>3</v>
      </c>
      <c r="D466" s="9">
        <v>4</v>
      </c>
      <c r="E466" s="9">
        <v>3</v>
      </c>
      <c r="F466" s="216">
        <v>0</v>
      </c>
      <c r="G466" s="232">
        <v>26000</v>
      </c>
      <c r="H466" s="25">
        <v>40000</v>
      </c>
      <c r="I466" s="25">
        <v>1</v>
      </c>
      <c r="J466" s="25">
        <v>10</v>
      </c>
      <c r="K466" s="234">
        <v>10130</v>
      </c>
      <c r="L466" s="57">
        <v>1</v>
      </c>
      <c r="M466" s="233">
        <v>14603</v>
      </c>
      <c r="N466" s="57">
        <v>1</v>
      </c>
      <c r="O466" s="98">
        <v>1</v>
      </c>
    </row>
    <row r="467" spans="1:19">
      <c r="A467" s="24">
        <v>4314</v>
      </c>
      <c r="B467" s="216" t="str">
        <f>IF($L467=1,VLOOKUP($M467,[1]Sheet1!$A:$C,2,0),IF($L467=4,VLOOKUP($M467,[4]Sheet1!$A:$B,2,0),IF($L467=2,VLOOKUP($M467,[5]Sheet1!$A:$B,2,0),0)))&amp;"x"&amp;$N467</f>
        <v>140级大道法则宝箱x1</v>
      </c>
      <c r="C467" s="216">
        <v>3</v>
      </c>
      <c r="D467" s="9">
        <v>4</v>
      </c>
      <c r="E467" s="9">
        <v>3</v>
      </c>
      <c r="F467" s="216">
        <v>0</v>
      </c>
      <c r="G467" s="232">
        <v>28000</v>
      </c>
      <c r="H467" s="25">
        <v>40000</v>
      </c>
      <c r="I467" s="25">
        <v>1</v>
      </c>
      <c r="J467" s="25">
        <v>10</v>
      </c>
      <c r="K467" s="234">
        <v>10140</v>
      </c>
      <c r="L467" s="57">
        <v>1</v>
      </c>
      <c r="M467" s="233">
        <v>14604</v>
      </c>
      <c r="N467" s="57">
        <v>1</v>
      </c>
      <c r="O467" s="98">
        <v>1</v>
      </c>
    </row>
    <row r="468" spans="1:19">
      <c r="A468" s="24">
        <v>4315</v>
      </c>
      <c r="B468" s="216" t="str">
        <f>IF($L468=1,VLOOKUP($M468,[1]Sheet1!$A:$C,2,0),IF($L468=4,VLOOKUP($M468,[4]Sheet1!$A:$B,2,0),IF($L468=2,VLOOKUP($M468,[5]Sheet1!$A:$B,2,0),0)))&amp;"x"&amp;$N468</f>
        <v>150级大道法则宝箱x1</v>
      </c>
      <c r="C468" s="216">
        <v>3</v>
      </c>
      <c r="D468" s="9">
        <v>4</v>
      </c>
      <c r="E468" s="9">
        <v>3</v>
      </c>
      <c r="F468" s="216">
        <v>0</v>
      </c>
      <c r="G468" s="232">
        <v>30000</v>
      </c>
      <c r="H468" s="25">
        <v>40000</v>
      </c>
      <c r="I468" s="25">
        <v>1</v>
      </c>
      <c r="J468" s="25">
        <v>10</v>
      </c>
      <c r="K468" s="234">
        <v>10150</v>
      </c>
      <c r="L468" s="57">
        <v>1</v>
      </c>
      <c r="M468" s="233">
        <v>14605</v>
      </c>
      <c r="N468" s="57">
        <v>1</v>
      </c>
      <c r="O468" s="98">
        <v>1</v>
      </c>
    </row>
    <row r="469" spans="1:19" s="13" customFormat="1">
      <c r="A469" s="13">
        <v>5001</v>
      </c>
      <c r="B469" s="49" t="s">
        <v>2</v>
      </c>
      <c r="C469" s="49">
        <v>0</v>
      </c>
      <c r="D469" s="13">
        <v>4</v>
      </c>
      <c r="E469" s="13">
        <v>8</v>
      </c>
      <c r="F469" s="49">
        <v>0</v>
      </c>
      <c r="G469" s="49">
        <v>50</v>
      </c>
      <c r="H469" s="37">
        <v>0</v>
      </c>
      <c r="I469" s="37">
        <v>0</v>
      </c>
      <c r="J469" s="37">
        <v>0</v>
      </c>
      <c r="K469" s="110" t="s">
        <v>8</v>
      </c>
      <c r="L469" s="62">
        <v>1</v>
      </c>
      <c r="M469" s="111">
        <v>13001</v>
      </c>
      <c r="N469" s="62">
        <v>5</v>
      </c>
      <c r="O469" s="112">
        <v>1</v>
      </c>
      <c r="P469" s="138"/>
      <c r="Q469" s="138"/>
      <c r="R469" s="138"/>
      <c r="S469" s="138"/>
    </row>
    <row r="470" spans="1:19" s="13" customFormat="1">
      <c r="A470" s="13">
        <v>5002</v>
      </c>
      <c r="B470" s="49" t="s">
        <v>3</v>
      </c>
      <c r="C470" s="49">
        <v>0</v>
      </c>
      <c r="D470" s="13">
        <v>4</v>
      </c>
      <c r="E470" s="13">
        <v>8</v>
      </c>
      <c r="F470" s="49">
        <v>0</v>
      </c>
      <c r="G470" s="49">
        <v>50</v>
      </c>
      <c r="H470" s="37">
        <v>0</v>
      </c>
      <c r="I470" s="37">
        <v>0</v>
      </c>
      <c r="J470" s="37">
        <v>0</v>
      </c>
      <c r="K470" s="110" t="s">
        <v>8</v>
      </c>
      <c r="L470" s="62">
        <v>1</v>
      </c>
      <c r="M470" s="111">
        <v>13002</v>
      </c>
      <c r="N470" s="62">
        <v>5</v>
      </c>
      <c r="O470" s="112">
        <v>1</v>
      </c>
      <c r="P470" s="138"/>
      <c r="Q470" s="138"/>
      <c r="R470" s="138"/>
      <c r="S470" s="138"/>
    </row>
    <row r="471" spans="1:19" s="13" customFormat="1">
      <c r="A471" s="13">
        <v>5003</v>
      </c>
      <c r="B471" s="49" t="s">
        <v>4</v>
      </c>
      <c r="C471" s="49">
        <v>0</v>
      </c>
      <c r="D471" s="13">
        <v>4</v>
      </c>
      <c r="E471" s="13">
        <v>8</v>
      </c>
      <c r="F471" s="49">
        <v>0</v>
      </c>
      <c r="G471" s="49">
        <v>50</v>
      </c>
      <c r="H471" s="37">
        <v>0</v>
      </c>
      <c r="I471" s="37">
        <v>0</v>
      </c>
      <c r="J471" s="37">
        <v>0</v>
      </c>
      <c r="K471" s="110" t="s">
        <v>8</v>
      </c>
      <c r="L471" s="62">
        <v>1</v>
      </c>
      <c r="M471" s="111">
        <v>13003</v>
      </c>
      <c r="N471" s="62">
        <v>5</v>
      </c>
      <c r="O471" s="112">
        <v>1</v>
      </c>
      <c r="P471" s="138"/>
      <c r="Q471" s="138"/>
      <c r="R471" s="138"/>
      <c r="S471" s="138"/>
    </row>
    <row r="472" spans="1:19" s="13" customFormat="1">
      <c r="A472" s="13">
        <v>5004</v>
      </c>
      <c r="B472" s="49" t="s">
        <v>9</v>
      </c>
      <c r="C472" s="49">
        <v>0</v>
      </c>
      <c r="D472" s="13">
        <v>4</v>
      </c>
      <c r="E472" s="13">
        <v>8</v>
      </c>
      <c r="F472" s="49">
        <v>0</v>
      </c>
      <c r="G472" s="49">
        <v>100</v>
      </c>
      <c r="H472" s="37">
        <v>0</v>
      </c>
      <c r="I472" s="37">
        <v>0</v>
      </c>
      <c r="J472" s="37">
        <v>0</v>
      </c>
      <c r="K472" s="110" t="s">
        <v>8</v>
      </c>
      <c r="L472" s="62">
        <v>1</v>
      </c>
      <c r="M472" s="111">
        <v>13004</v>
      </c>
      <c r="N472" s="62">
        <v>5</v>
      </c>
      <c r="O472" s="112">
        <v>1</v>
      </c>
      <c r="P472" s="138"/>
      <c r="Q472" s="138"/>
      <c r="R472" s="138"/>
      <c r="S472" s="138"/>
    </row>
    <row r="473" spans="1:19" s="13" customFormat="1">
      <c r="A473" s="13">
        <v>5005</v>
      </c>
      <c r="B473" s="49" t="s">
        <v>10</v>
      </c>
      <c r="C473" s="49">
        <v>0</v>
      </c>
      <c r="D473" s="13">
        <v>4</v>
      </c>
      <c r="E473" s="13">
        <v>8</v>
      </c>
      <c r="F473" s="49">
        <v>0</v>
      </c>
      <c r="G473" s="49">
        <v>100</v>
      </c>
      <c r="H473" s="37">
        <v>0</v>
      </c>
      <c r="I473" s="37">
        <v>0</v>
      </c>
      <c r="J473" s="37">
        <v>0</v>
      </c>
      <c r="K473" s="110" t="s">
        <v>8</v>
      </c>
      <c r="L473" s="62">
        <v>1</v>
      </c>
      <c r="M473" s="111">
        <v>13005</v>
      </c>
      <c r="N473" s="62">
        <v>5</v>
      </c>
      <c r="O473" s="112">
        <v>1</v>
      </c>
      <c r="P473" s="138"/>
      <c r="Q473" s="138"/>
      <c r="R473" s="138"/>
      <c r="S473" s="138"/>
    </row>
    <row r="474" spans="1:19" s="13" customFormat="1">
      <c r="A474" s="13">
        <v>5006</v>
      </c>
      <c r="B474" s="49" t="s">
        <v>11</v>
      </c>
      <c r="C474" s="49">
        <v>0</v>
      </c>
      <c r="D474" s="13">
        <v>4</v>
      </c>
      <c r="E474" s="13">
        <v>8</v>
      </c>
      <c r="F474" s="49">
        <v>0</v>
      </c>
      <c r="G474" s="49">
        <v>100</v>
      </c>
      <c r="H474" s="37">
        <v>0</v>
      </c>
      <c r="I474" s="37">
        <v>0</v>
      </c>
      <c r="J474" s="37">
        <v>0</v>
      </c>
      <c r="K474" s="110" t="s">
        <v>8</v>
      </c>
      <c r="L474" s="62">
        <v>1</v>
      </c>
      <c r="M474" s="111">
        <v>13006</v>
      </c>
      <c r="N474" s="62">
        <v>5</v>
      </c>
      <c r="O474" s="112">
        <v>1</v>
      </c>
      <c r="P474" s="138"/>
      <c r="Q474" s="138"/>
      <c r="R474" s="138"/>
      <c r="S474" s="138"/>
    </row>
    <row r="475" spans="1:19" s="13" customFormat="1">
      <c r="A475" s="13">
        <v>5007</v>
      </c>
      <c r="B475" s="49" t="s">
        <v>5</v>
      </c>
      <c r="C475" s="49">
        <v>0</v>
      </c>
      <c r="D475" s="13">
        <v>4</v>
      </c>
      <c r="E475" s="13">
        <v>8</v>
      </c>
      <c r="F475" s="49">
        <v>0</v>
      </c>
      <c r="G475" s="49">
        <v>200</v>
      </c>
      <c r="H475" s="37">
        <v>0</v>
      </c>
      <c r="I475" s="37">
        <v>0</v>
      </c>
      <c r="J475" s="37">
        <v>0</v>
      </c>
      <c r="K475" s="110" t="s">
        <v>8</v>
      </c>
      <c r="L475" s="62">
        <v>1</v>
      </c>
      <c r="M475" s="111">
        <v>13007</v>
      </c>
      <c r="N475" s="62">
        <v>5</v>
      </c>
      <c r="O475" s="112">
        <v>1</v>
      </c>
      <c r="P475" s="138"/>
      <c r="Q475" s="138"/>
      <c r="R475" s="138"/>
      <c r="S475" s="138"/>
    </row>
    <row r="476" spans="1:19" s="13" customFormat="1">
      <c r="A476" s="13">
        <v>5008</v>
      </c>
      <c r="B476" s="49" t="s">
        <v>6</v>
      </c>
      <c r="C476" s="49">
        <v>0</v>
      </c>
      <c r="D476" s="13">
        <v>4</v>
      </c>
      <c r="E476" s="13">
        <v>8</v>
      </c>
      <c r="F476" s="49">
        <v>0</v>
      </c>
      <c r="G476" s="49">
        <v>200</v>
      </c>
      <c r="H476" s="37">
        <v>0</v>
      </c>
      <c r="I476" s="37">
        <v>0</v>
      </c>
      <c r="J476" s="37">
        <v>0</v>
      </c>
      <c r="K476" s="110" t="s">
        <v>8</v>
      </c>
      <c r="L476" s="62">
        <v>1</v>
      </c>
      <c r="M476" s="111">
        <v>13008</v>
      </c>
      <c r="N476" s="62">
        <v>5</v>
      </c>
      <c r="O476" s="112">
        <v>1</v>
      </c>
      <c r="P476" s="138"/>
      <c r="Q476" s="138"/>
      <c r="R476" s="138"/>
      <c r="S476" s="138"/>
    </row>
    <row r="477" spans="1:19" s="13" customFormat="1">
      <c r="A477" s="13">
        <v>5009</v>
      </c>
      <c r="B477" s="49" t="s">
        <v>7</v>
      </c>
      <c r="C477" s="49">
        <v>0</v>
      </c>
      <c r="D477" s="13">
        <v>4</v>
      </c>
      <c r="E477" s="13">
        <v>8</v>
      </c>
      <c r="F477" s="49">
        <v>0</v>
      </c>
      <c r="G477" s="49">
        <v>200</v>
      </c>
      <c r="H477" s="37">
        <v>0</v>
      </c>
      <c r="I477" s="37">
        <v>0</v>
      </c>
      <c r="J477" s="37">
        <v>0</v>
      </c>
      <c r="K477" s="110" t="s">
        <v>8</v>
      </c>
      <c r="L477" s="62">
        <v>1</v>
      </c>
      <c r="M477" s="111">
        <v>13009</v>
      </c>
      <c r="N477" s="62">
        <v>5</v>
      </c>
      <c r="O477" s="112">
        <v>1</v>
      </c>
      <c r="P477" s="138"/>
      <c r="Q477" s="138"/>
      <c r="R477" s="138"/>
      <c r="S477" s="138"/>
    </row>
    <row r="478" spans="1:19" s="13" customFormat="1">
      <c r="A478" s="13">
        <v>5010</v>
      </c>
      <c r="B478" s="49" t="s">
        <v>12</v>
      </c>
      <c r="C478" s="49">
        <v>0</v>
      </c>
      <c r="D478" s="13">
        <v>4</v>
      </c>
      <c r="E478" s="13">
        <v>8</v>
      </c>
      <c r="F478" s="49">
        <v>0</v>
      </c>
      <c r="G478" s="49">
        <v>500</v>
      </c>
      <c r="H478" s="37">
        <v>0</v>
      </c>
      <c r="I478" s="37">
        <v>0</v>
      </c>
      <c r="J478" s="37">
        <v>0</v>
      </c>
      <c r="K478" s="110" t="s">
        <v>8</v>
      </c>
      <c r="L478" s="62">
        <v>1</v>
      </c>
      <c r="M478" s="111">
        <v>13010</v>
      </c>
      <c r="N478" s="62">
        <v>5</v>
      </c>
      <c r="O478" s="112">
        <v>1</v>
      </c>
      <c r="P478" s="138"/>
      <c r="Q478" s="138"/>
      <c r="R478" s="138"/>
      <c r="S478" s="138"/>
    </row>
    <row r="479" spans="1:19" s="13" customFormat="1">
      <c r="A479" s="13">
        <v>5011</v>
      </c>
      <c r="B479" s="49" t="s">
        <v>13</v>
      </c>
      <c r="C479" s="49">
        <v>0</v>
      </c>
      <c r="D479" s="13">
        <v>4</v>
      </c>
      <c r="E479" s="13">
        <v>8</v>
      </c>
      <c r="F479" s="49">
        <v>0</v>
      </c>
      <c r="G479" s="49">
        <v>500</v>
      </c>
      <c r="H479" s="37">
        <v>0</v>
      </c>
      <c r="I479" s="37">
        <v>0</v>
      </c>
      <c r="J479" s="37">
        <v>0</v>
      </c>
      <c r="K479" s="110" t="s">
        <v>8</v>
      </c>
      <c r="L479" s="62">
        <v>1</v>
      </c>
      <c r="M479" s="111">
        <v>13011</v>
      </c>
      <c r="N479" s="62">
        <v>5</v>
      </c>
      <c r="O479" s="112">
        <v>1</v>
      </c>
      <c r="P479" s="138"/>
      <c r="Q479" s="138"/>
      <c r="R479" s="138"/>
      <c r="S479" s="138"/>
    </row>
    <row r="480" spans="1:19" s="13" customFormat="1">
      <c r="A480" s="13">
        <v>5012</v>
      </c>
      <c r="B480" s="49" t="s">
        <v>14</v>
      </c>
      <c r="C480" s="49">
        <v>0</v>
      </c>
      <c r="D480" s="13">
        <v>4</v>
      </c>
      <c r="E480" s="13">
        <v>8</v>
      </c>
      <c r="F480" s="49">
        <v>0</v>
      </c>
      <c r="G480" s="49">
        <v>500</v>
      </c>
      <c r="H480" s="37">
        <v>0</v>
      </c>
      <c r="I480" s="37">
        <v>0</v>
      </c>
      <c r="J480" s="37">
        <v>0</v>
      </c>
      <c r="K480" s="110" t="s">
        <v>8</v>
      </c>
      <c r="L480" s="62">
        <v>1</v>
      </c>
      <c r="M480" s="111">
        <v>13012</v>
      </c>
      <c r="N480" s="62">
        <v>5</v>
      </c>
      <c r="O480" s="112">
        <v>1</v>
      </c>
      <c r="P480" s="138"/>
      <c r="Q480" s="138"/>
      <c r="R480" s="138"/>
      <c r="S480" s="138"/>
    </row>
    <row r="481" spans="1:19" s="13" customFormat="1">
      <c r="A481" s="13">
        <v>5013</v>
      </c>
      <c r="B481" s="49" t="s">
        <v>14</v>
      </c>
      <c r="C481" s="49">
        <v>0</v>
      </c>
      <c r="D481" s="13">
        <v>4</v>
      </c>
      <c r="E481" s="13">
        <v>8</v>
      </c>
      <c r="F481" s="49">
        <v>0</v>
      </c>
      <c r="G481" s="49">
        <v>500</v>
      </c>
      <c r="H481" s="37">
        <v>0</v>
      </c>
      <c r="I481" s="37">
        <v>0</v>
      </c>
      <c r="J481" s="37">
        <v>0</v>
      </c>
      <c r="K481" s="110" t="s">
        <v>8</v>
      </c>
      <c r="L481" s="62">
        <v>1</v>
      </c>
      <c r="M481" s="111">
        <v>13012</v>
      </c>
      <c r="N481" s="62">
        <v>5</v>
      </c>
      <c r="O481" s="112">
        <v>1</v>
      </c>
      <c r="P481" s="138"/>
      <c r="Q481" s="138"/>
      <c r="R481" s="138"/>
      <c r="S481" s="138"/>
    </row>
    <row r="482" spans="1:19" s="9" customFormat="1">
      <c r="A482" s="24">
        <v>6001</v>
      </c>
      <c r="B482" s="44" t="str">
        <f>IF($L482=1,VLOOKUP($M482,[1]Sheet1!$A:$C,2,0),IF($L482=4,VLOOKUP($M482,[4]Sheet1!$A:$B,2,0),IF($L482=2,VLOOKUP($M482,[5]Sheet1!$A:$B,2,0),IF($L482=6,VLOOKUP($M482,[6]Sheet1!$A:$B,2,0),0))))&amp;"x"&amp;$N482</f>
        <v>八部天龙碎片x5</v>
      </c>
      <c r="C482" s="44">
        <v>2</v>
      </c>
      <c r="D482" s="9">
        <v>4</v>
      </c>
      <c r="E482" s="9">
        <v>37</v>
      </c>
      <c r="F482" s="44">
        <v>0</v>
      </c>
      <c r="G482" s="44">
        <v>2000</v>
      </c>
      <c r="H482" s="25">
        <v>0</v>
      </c>
      <c r="I482" s="25">
        <v>1</v>
      </c>
      <c r="J482" s="25">
        <v>20</v>
      </c>
      <c r="K482" s="96" t="s">
        <v>8</v>
      </c>
      <c r="L482" s="57">
        <v>1</v>
      </c>
      <c r="M482" s="97">
        <v>10114</v>
      </c>
      <c r="N482" s="57">
        <v>5</v>
      </c>
      <c r="O482" s="98">
        <v>1</v>
      </c>
      <c r="P482" s="134"/>
      <c r="Q482" s="134"/>
      <c r="R482" s="134"/>
      <c r="S482" s="134"/>
    </row>
    <row r="483" spans="1:19" s="9" customFormat="1">
      <c r="A483" s="24">
        <v>6002</v>
      </c>
      <c r="B483" s="44" t="str">
        <f>IF($L483=1,VLOOKUP($M483,[1]Sheet1!$A:$C,2,0),IF($L483=4,VLOOKUP($M483,[4]Sheet1!$A:$B,2,0),IF($L483=2,VLOOKUP($M483,[5]Sheet1!$A:$B,2,0),IF($L483=6,VLOOKUP($M483,[6]Sheet1!$A:$B,2,0),0))))&amp;"x"&amp;$N483</f>
        <v>哪吒碎片x5</v>
      </c>
      <c r="C483" s="44">
        <v>2</v>
      </c>
      <c r="D483" s="9">
        <v>4</v>
      </c>
      <c r="E483" s="9">
        <v>37</v>
      </c>
      <c r="F483" s="44">
        <v>0</v>
      </c>
      <c r="G483" s="44">
        <v>2000</v>
      </c>
      <c r="H483" s="25">
        <v>0</v>
      </c>
      <c r="I483" s="25">
        <v>1</v>
      </c>
      <c r="J483" s="25">
        <v>20</v>
      </c>
      <c r="K483" s="96" t="s">
        <v>8</v>
      </c>
      <c r="L483" s="57">
        <v>1</v>
      </c>
      <c r="M483" s="97">
        <v>10002</v>
      </c>
      <c r="N483" s="57">
        <v>5</v>
      </c>
      <c r="O483" s="98">
        <v>1</v>
      </c>
      <c r="P483" s="134"/>
      <c r="Q483" s="134"/>
      <c r="R483" s="134"/>
      <c r="S483" s="134"/>
    </row>
    <row r="484" spans="1:19" s="9" customFormat="1">
      <c r="A484" s="24">
        <v>6003</v>
      </c>
      <c r="B484" s="44" t="str">
        <f>IF($L484=1,VLOOKUP($M484,[1]Sheet1!$A:$C,2,0),IF($L484=4,VLOOKUP($M484,[4]Sheet1!$A:$B,2,0),IF($L484=2,VLOOKUP($M484,[5]Sheet1!$A:$B,2,0),IF($L484=6,VLOOKUP($M484,[6]Sheet1!$A:$B,2,0),0))))&amp;"x"&amp;$N484</f>
        <v>牛魔王碎片x5</v>
      </c>
      <c r="C484" s="44">
        <v>2</v>
      </c>
      <c r="D484" s="9">
        <v>4</v>
      </c>
      <c r="E484" s="9">
        <v>37</v>
      </c>
      <c r="F484" s="44">
        <v>0</v>
      </c>
      <c r="G484" s="44">
        <v>2000</v>
      </c>
      <c r="H484" s="25">
        <v>0</v>
      </c>
      <c r="I484" s="25">
        <v>1</v>
      </c>
      <c r="J484" s="25">
        <v>20</v>
      </c>
      <c r="K484" s="96" t="s">
        <v>8</v>
      </c>
      <c r="L484" s="57">
        <v>1</v>
      </c>
      <c r="M484" s="97">
        <v>10012</v>
      </c>
      <c r="N484" s="57">
        <v>5</v>
      </c>
      <c r="O484" s="98">
        <v>1</v>
      </c>
      <c r="P484" s="134"/>
      <c r="Q484" s="134"/>
      <c r="R484" s="134"/>
      <c r="S484" s="134"/>
    </row>
    <row r="485" spans="1:19" s="9" customFormat="1">
      <c r="A485" s="24">
        <v>6004</v>
      </c>
      <c r="B485" s="44" t="str">
        <f>IF($L485=1,VLOOKUP($M485,[1]Sheet1!$A:$C,2,0),IF($L485=4,VLOOKUP($M485,[4]Sheet1!$A:$B,2,0),IF($L485=2,VLOOKUP($M485,[5]Sheet1!$A:$B,2,0),IF($L485=6,VLOOKUP($M485,[6]Sheet1!$A:$B,2,0),0))))&amp;"x"&amp;$N485</f>
        <v>橙13仙将碎片选择箱x5</v>
      </c>
      <c r="C485" s="44">
        <v>0</v>
      </c>
      <c r="D485" s="9">
        <v>4</v>
      </c>
      <c r="E485" s="9">
        <v>37</v>
      </c>
      <c r="F485" s="44">
        <v>0</v>
      </c>
      <c r="G485" s="44">
        <v>1750</v>
      </c>
      <c r="H485" s="25">
        <v>0</v>
      </c>
      <c r="I485" s="25">
        <v>1</v>
      </c>
      <c r="J485" s="25">
        <v>16</v>
      </c>
      <c r="K485" s="96" t="s">
        <v>8</v>
      </c>
      <c r="L485" s="57">
        <v>1</v>
      </c>
      <c r="M485" s="97">
        <v>14510</v>
      </c>
      <c r="N485" s="57">
        <v>5</v>
      </c>
      <c r="O485" s="98">
        <v>1</v>
      </c>
      <c r="P485" s="134"/>
      <c r="Q485" s="134"/>
      <c r="R485" s="134"/>
      <c r="S485" s="134"/>
    </row>
    <row r="486" spans="1:19" s="9" customFormat="1">
      <c r="A486" s="24">
        <v>6005</v>
      </c>
      <c r="B486" s="44" t="str">
        <f>IF($L486=1,VLOOKUP($M486,[1]Sheet1!$A:$C,2,0),IF($L486=4,VLOOKUP($M486,[4]Sheet1!$A:$B,2,0),IF($L486=2,VLOOKUP($M486,[5]Sheet1!$A:$B,2,0),IF($L486=6,VLOOKUP($M486,[6]Sheet1!$A:$B,2,0),0))))&amp;"x"&amp;$N486</f>
        <v>橙13佛将碎片选择箱x5</v>
      </c>
      <c r="C486" s="44">
        <v>0</v>
      </c>
      <c r="D486" s="9">
        <v>4</v>
      </c>
      <c r="E486" s="9">
        <v>37</v>
      </c>
      <c r="F486" s="44">
        <v>0</v>
      </c>
      <c r="G486" s="44">
        <v>1750</v>
      </c>
      <c r="H486" s="25">
        <v>0</v>
      </c>
      <c r="I486" s="25">
        <v>1</v>
      </c>
      <c r="J486" s="25">
        <v>16</v>
      </c>
      <c r="K486" s="96" t="s">
        <v>8</v>
      </c>
      <c r="L486" s="57">
        <v>1</v>
      </c>
      <c r="M486" s="105">
        <v>14511</v>
      </c>
      <c r="N486" s="57">
        <v>5</v>
      </c>
      <c r="O486" s="106">
        <v>1</v>
      </c>
      <c r="P486" s="134"/>
      <c r="Q486" s="134"/>
      <c r="R486" s="134"/>
      <c r="S486" s="134"/>
    </row>
    <row r="487" spans="1:19" s="9" customFormat="1">
      <c r="A487" s="24">
        <v>6006</v>
      </c>
      <c r="B487" s="44" t="str">
        <f>IF($L487=1,VLOOKUP($M487,[1]Sheet1!$A:$C,2,0),IF($L487=4,VLOOKUP($M487,[4]Sheet1!$A:$B,2,0),IF($L487=2,VLOOKUP($M487,[5]Sheet1!$A:$B,2,0),IF($L487=6,VLOOKUP($M487,[6]Sheet1!$A:$B,2,0),0))))&amp;"x"&amp;$N487</f>
        <v>橙13妖将碎片选择箱x5</v>
      </c>
      <c r="C487" s="44">
        <v>0</v>
      </c>
      <c r="D487" s="9">
        <v>4</v>
      </c>
      <c r="E487" s="9">
        <v>37</v>
      </c>
      <c r="F487" s="44">
        <v>0</v>
      </c>
      <c r="G487" s="44">
        <v>1750</v>
      </c>
      <c r="H487" s="25">
        <v>0</v>
      </c>
      <c r="I487" s="25">
        <v>1</v>
      </c>
      <c r="J487" s="25">
        <v>16</v>
      </c>
      <c r="K487" s="96" t="s">
        <v>8</v>
      </c>
      <c r="L487" s="57">
        <v>1</v>
      </c>
      <c r="M487" s="105">
        <v>14512</v>
      </c>
      <c r="N487" s="57">
        <v>5</v>
      </c>
      <c r="O487" s="106">
        <v>1</v>
      </c>
      <c r="P487" s="134"/>
      <c r="Q487" s="134"/>
      <c r="R487" s="134"/>
      <c r="S487" s="134"/>
    </row>
    <row r="488" spans="1:19" s="9" customFormat="1">
      <c r="A488" s="24">
        <v>6007</v>
      </c>
      <c r="B488" s="44" t="str">
        <f>IF($L488=1,VLOOKUP($M488,[1]Sheet1!$A:$C,2,0),IF($L488=4,VLOOKUP($M488,[4]Sheet1!$A:$B,2,0),IF($L488=2,VLOOKUP($M488,[5]Sheet1!$A:$B,2,0),IF($L488=6,VLOOKUP($M488,[6]Sheet1!$A:$B,2,0),0))))&amp;"x"&amp;$N488</f>
        <v>铜钱x100000</v>
      </c>
      <c r="C488" s="44">
        <v>0</v>
      </c>
      <c r="D488" s="9">
        <v>4</v>
      </c>
      <c r="E488" s="9">
        <v>37</v>
      </c>
      <c r="F488" s="44">
        <v>0</v>
      </c>
      <c r="G488" s="44">
        <v>1000</v>
      </c>
      <c r="H488" s="25">
        <v>0</v>
      </c>
      <c r="I488" s="25">
        <v>1</v>
      </c>
      <c r="J488" s="25">
        <v>5</v>
      </c>
      <c r="K488" s="96" t="s">
        <v>8</v>
      </c>
      <c r="L488" s="57">
        <v>4</v>
      </c>
      <c r="M488" s="97">
        <v>1</v>
      </c>
      <c r="N488" s="57">
        <v>100000</v>
      </c>
      <c r="O488" s="98">
        <v>1</v>
      </c>
      <c r="P488" s="134"/>
      <c r="Q488" s="134"/>
      <c r="R488" s="134"/>
      <c r="S488" s="134"/>
    </row>
    <row r="489" spans="1:19" s="9" customFormat="1">
      <c r="A489" s="24">
        <v>6008</v>
      </c>
      <c r="B489" s="44" t="str">
        <f>IF($L489=1,VLOOKUP($M489,[1]Sheet1!$A:$C,2,0),IF($L489=4,VLOOKUP($M489,[4]Sheet1!$A:$B,2,0),IF($L489=2,VLOOKUP($M489,[5]Sheet1!$A:$B,2,0),IF($L489=6,VLOOKUP($M489,[6]Sheet1!$A:$B,2,0),0))))&amp;"x"&amp;$N489</f>
        <v>精魄x100</v>
      </c>
      <c r="C489" s="44">
        <v>0</v>
      </c>
      <c r="D489" s="9">
        <v>4</v>
      </c>
      <c r="E489" s="9">
        <v>37</v>
      </c>
      <c r="F489" s="44">
        <v>0</v>
      </c>
      <c r="G489" s="44">
        <v>1000</v>
      </c>
      <c r="H489" s="25">
        <v>0</v>
      </c>
      <c r="I489" s="25">
        <v>1</v>
      </c>
      <c r="J489" s="25">
        <v>5</v>
      </c>
      <c r="K489" s="96">
        <v>1702</v>
      </c>
      <c r="L489" s="57">
        <v>4</v>
      </c>
      <c r="M489" s="97">
        <v>4</v>
      </c>
      <c r="N489" s="57">
        <v>100</v>
      </c>
      <c r="O489" s="98">
        <v>1</v>
      </c>
      <c r="P489" s="134"/>
      <c r="Q489" s="134"/>
      <c r="R489" s="134"/>
      <c r="S489" s="134"/>
    </row>
    <row r="490" spans="1:19" s="9" customFormat="1">
      <c r="A490" s="24">
        <v>6009</v>
      </c>
      <c r="B490" s="44" t="str">
        <f>IF($L490=1,VLOOKUP($M490,[1]Sheet1!$A:$C,2,0),IF($L490=4,VLOOKUP($M490,[4]Sheet1!$A:$B,2,0),IF($L490=2,VLOOKUP($M490,[5]Sheet1!$A:$B,2,0),IF($L490=6,VLOOKUP($M490,[6]Sheet1!$A:$B,2,0),0))))&amp;"x"&amp;$N490</f>
        <v>进阶丹x100</v>
      </c>
      <c r="C490" s="44">
        <v>0</v>
      </c>
      <c r="D490" s="9">
        <v>4</v>
      </c>
      <c r="E490" s="9">
        <v>37</v>
      </c>
      <c r="F490" s="44">
        <v>0</v>
      </c>
      <c r="G490" s="44">
        <v>1000</v>
      </c>
      <c r="H490" s="25">
        <v>0</v>
      </c>
      <c r="I490" s="25">
        <v>1</v>
      </c>
      <c r="J490" s="25">
        <v>5</v>
      </c>
      <c r="K490" s="96">
        <v>1703</v>
      </c>
      <c r="L490" s="57">
        <v>1</v>
      </c>
      <c r="M490" s="97">
        <v>14107</v>
      </c>
      <c r="N490" s="57">
        <v>100</v>
      </c>
      <c r="O490" s="98">
        <v>1</v>
      </c>
      <c r="P490" s="134"/>
      <c r="Q490" s="134"/>
      <c r="R490" s="134"/>
      <c r="S490" s="134"/>
    </row>
    <row r="491" spans="1:19" s="9" customFormat="1">
      <c r="A491" s="24">
        <v>6010</v>
      </c>
      <c r="B491" s="44" t="str">
        <f>IF($L491=1,VLOOKUP($M491,[1]Sheet1!$A:$C,2,0),IF($L491=4,VLOOKUP($M491,[4]Sheet1!$A:$B,2,0),IF($L491=2,VLOOKUP($M491,[5]Sheet1!$A:$B,2,0),IF($L491=6,VLOOKUP($M491,[6]Sheet1!$A:$B,2,0),0))))&amp;"x"&amp;$N491</f>
        <v>洗炼丹x20</v>
      </c>
      <c r="C491" s="44">
        <v>0</v>
      </c>
      <c r="D491" s="9">
        <v>4</v>
      </c>
      <c r="E491" s="9">
        <v>37</v>
      </c>
      <c r="F491" s="44">
        <v>0</v>
      </c>
      <c r="G491" s="44">
        <v>1000</v>
      </c>
      <c r="H491" s="25">
        <v>0</v>
      </c>
      <c r="I491" s="25">
        <v>1</v>
      </c>
      <c r="J491" s="25">
        <v>5</v>
      </c>
      <c r="K491" s="96">
        <v>1704</v>
      </c>
      <c r="L491" s="57">
        <v>1</v>
      </c>
      <c r="M491" s="97">
        <v>14106</v>
      </c>
      <c r="N491" s="57">
        <v>20</v>
      </c>
      <c r="O491" s="98">
        <v>1</v>
      </c>
      <c r="P491" s="134"/>
      <c r="Q491" s="134"/>
      <c r="R491" s="134"/>
      <c r="S491" s="134"/>
    </row>
    <row r="492" spans="1:19" s="9" customFormat="1">
      <c r="A492" s="24">
        <v>6011</v>
      </c>
      <c r="B492" s="44" t="str">
        <f>IF($L492=1,VLOOKUP($M492,[1]Sheet1!$A:$C,2,0),IF($L492=4,VLOOKUP($M492,[4]Sheet1!$A:$B,2,0),IF($L492=2,VLOOKUP($M492,[5]Sheet1!$A:$B,2,0),IF($L492=6,VLOOKUP($M492,[6]Sheet1!$A:$B,2,0),0))))&amp;"x"&amp;$N492</f>
        <v>紫色经验法宝x1</v>
      </c>
      <c r="C492" s="44">
        <v>0</v>
      </c>
      <c r="D492" s="9">
        <v>4</v>
      </c>
      <c r="E492" s="9">
        <v>37</v>
      </c>
      <c r="F492" s="44">
        <v>0</v>
      </c>
      <c r="G492" s="44">
        <v>1000</v>
      </c>
      <c r="H492" s="25">
        <v>0</v>
      </c>
      <c r="I492" s="25">
        <v>1</v>
      </c>
      <c r="J492" s="25">
        <v>5</v>
      </c>
      <c r="K492" s="96">
        <v>1705</v>
      </c>
      <c r="L492" s="57">
        <v>6</v>
      </c>
      <c r="M492" s="97">
        <v>4502</v>
      </c>
      <c r="N492" s="57">
        <v>1</v>
      </c>
      <c r="O492" s="98">
        <v>1</v>
      </c>
      <c r="P492" s="134"/>
      <c r="Q492" s="134"/>
      <c r="R492" s="134"/>
      <c r="S492" s="134"/>
    </row>
    <row r="493" spans="1:19" s="9" customFormat="1">
      <c r="A493" s="24">
        <v>6012</v>
      </c>
      <c r="B493" s="44" t="str">
        <f>IF($L493=1,VLOOKUP($M493,[1]Sheet1!$A:$C,2,0),IF($L493=4,VLOOKUP($M493,[4]Sheet1!$A:$B,2,0),IF($L493=2,VLOOKUP($M493,[5]Sheet1!$A:$B,2,0),IF($L493=6,VLOOKUP($M493,[6]Sheet1!$A:$B,2,0),0))))&amp;"x"&amp;$N493</f>
        <v>装备精炼石x20</v>
      </c>
      <c r="C493" s="44">
        <v>0</v>
      </c>
      <c r="D493" s="9">
        <v>4</v>
      </c>
      <c r="E493" s="9">
        <v>37</v>
      </c>
      <c r="F493" s="44">
        <v>0</v>
      </c>
      <c r="G493" s="44">
        <v>1000</v>
      </c>
      <c r="H493" s="25">
        <v>0</v>
      </c>
      <c r="I493" s="25">
        <v>1</v>
      </c>
      <c r="J493" s="25">
        <v>5</v>
      </c>
      <c r="K493" s="96">
        <v>1706</v>
      </c>
      <c r="L493" s="57">
        <v>1</v>
      </c>
      <c r="M493" s="97">
        <v>16005</v>
      </c>
      <c r="N493" s="57">
        <v>20</v>
      </c>
      <c r="O493" s="98">
        <v>1</v>
      </c>
      <c r="P493" s="134"/>
      <c r="Q493" s="134"/>
      <c r="R493" s="134"/>
      <c r="S493" s="134"/>
    </row>
    <row r="494" spans="1:19" s="9" customFormat="1">
      <c r="A494" s="24">
        <v>6013</v>
      </c>
      <c r="B494" s="44" t="str">
        <f>IF($L494=1,VLOOKUP($M494,[1]Sheet1!$A:$C,2,0),IF($L494=4,VLOOKUP($M494,[4]Sheet1!$A:$B,2,0),IF($L494=2,VLOOKUP($M494,[5]Sheet1!$A:$B,2,0),IF($L494=6,VLOOKUP($M494,[6]Sheet1!$A:$B,2,0),0))))&amp;"x"&amp;$N494</f>
        <v>法宝精炼石x20</v>
      </c>
      <c r="C494" s="44">
        <v>0</v>
      </c>
      <c r="D494" s="9">
        <v>4</v>
      </c>
      <c r="E494" s="9">
        <v>37</v>
      </c>
      <c r="F494" s="44">
        <v>0</v>
      </c>
      <c r="G494" s="44">
        <v>1000</v>
      </c>
      <c r="H494" s="25">
        <v>0</v>
      </c>
      <c r="I494" s="25">
        <v>1</v>
      </c>
      <c r="J494" s="25">
        <v>5</v>
      </c>
      <c r="K494" s="96">
        <v>1707</v>
      </c>
      <c r="L494" s="57">
        <v>1</v>
      </c>
      <c r="M494" s="97">
        <v>14201</v>
      </c>
      <c r="N494" s="57">
        <v>20</v>
      </c>
      <c r="O494" s="98">
        <v>1</v>
      </c>
      <c r="P494" s="134"/>
      <c r="Q494" s="134"/>
      <c r="R494" s="134"/>
      <c r="S494" s="134"/>
    </row>
    <row r="495" spans="1:19" s="9" customFormat="1">
      <c r="A495" s="24">
        <v>6014</v>
      </c>
      <c r="B495" s="44" t="str">
        <f>IF($L495=1,VLOOKUP($M495,[1]Sheet1!$A:$C,2,0),IF($L495=4,VLOOKUP($M495,[4]Sheet1!$A:$B,2,0),IF($L495=2,VLOOKUP($M495,[5]Sheet1!$A:$B,2,0),IF($L495=6,VLOOKUP($M495,[6]Sheet1!$A:$B,2,0),0))))&amp;"x"&amp;$N495</f>
        <v>神兵进阶石x10</v>
      </c>
      <c r="C495" s="44">
        <v>0</v>
      </c>
      <c r="D495" s="9">
        <v>4</v>
      </c>
      <c r="E495" s="9">
        <v>37</v>
      </c>
      <c r="F495" s="44">
        <v>0</v>
      </c>
      <c r="G495" s="44">
        <v>1000</v>
      </c>
      <c r="H495" s="25">
        <v>0</v>
      </c>
      <c r="I495" s="25">
        <v>1</v>
      </c>
      <c r="J495" s="25">
        <v>5</v>
      </c>
      <c r="K495" s="96">
        <v>1708</v>
      </c>
      <c r="L495" s="57">
        <v>1</v>
      </c>
      <c r="M495" s="97">
        <v>17001</v>
      </c>
      <c r="N495" s="57">
        <v>10</v>
      </c>
      <c r="O495" s="98">
        <v>1</v>
      </c>
      <c r="P495" s="134"/>
      <c r="Q495" s="134"/>
      <c r="R495" s="134"/>
      <c r="S495" s="134"/>
    </row>
    <row r="496" spans="1:19" s="9" customFormat="1">
      <c r="A496" s="24">
        <v>6015</v>
      </c>
      <c r="B496" s="44" t="str">
        <f>IF($L496=1,VLOOKUP($M496,[1]Sheet1!$A:$C,2,0),IF($L496=4,VLOOKUP($M496,[4]Sheet1!$A:$B,2,0),IF($L496=2,VLOOKUP($M496,[5]Sheet1!$A:$B,2,0),IF($L496=6,VLOOKUP($M496,[6]Sheet1!$A:$B,2,0),0))))&amp;"x"&amp;$N496</f>
        <v>洗炼突破丹x5</v>
      </c>
      <c r="C496" s="44">
        <v>0</v>
      </c>
      <c r="D496" s="9">
        <v>4</v>
      </c>
      <c r="E496" s="9">
        <v>37</v>
      </c>
      <c r="F496" s="44">
        <v>0</v>
      </c>
      <c r="G496" s="44">
        <v>1000</v>
      </c>
      <c r="H496" s="25">
        <v>0</v>
      </c>
      <c r="I496" s="25">
        <v>1</v>
      </c>
      <c r="J496" s="25">
        <v>5</v>
      </c>
      <c r="K496" s="96">
        <v>1709</v>
      </c>
      <c r="L496" s="57">
        <v>1</v>
      </c>
      <c r="M496" s="97">
        <v>16010</v>
      </c>
      <c r="N496" s="57">
        <v>5</v>
      </c>
      <c r="O496" s="98">
        <v>1</v>
      </c>
      <c r="P496" s="134"/>
      <c r="Q496" s="134"/>
      <c r="R496" s="134"/>
      <c r="S496" s="134"/>
    </row>
    <row r="497" spans="1:19" s="177" customFormat="1">
      <c r="A497" s="175">
        <v>6501</v>
      </c>
      <c r="B497" s="218" t="str">
        <f>IF($L497=1,VLOOKUP($M497,[1]Sheet1!$A:$C,2,0),IF($L497=4,VLOOKUP($M497,[4]Sheet1!$A:$B,2,0),IF($L497=2,VLOOKUP($M497,[5]Sheet1!$A:$B,2,0),IF($L497=6,VLOOKUP($M497,[6]Sheet1!$A:$B,2,0),0))))&amp;"x"&amp;$N497</f>
        <v>铜钱x300000</v>
      </c>
      <c r="C497" s="176">
        <v>1</v>
      </c>
      <c r="D497" s="177">
        <v>4</v>
      </c>
      <c r="E497" s="177">
        <v>37</v>
      </c>
      <c r="F497" s="176">
        <v>0</v>
      </c>
      <c r="G497" s="176">
        <v>300</v>
      </c>
      <c r="H497" s="178">
        <v>3000</v>
      </c>
      <c r="I497" s="178">
        <v>3</v>
      </c>
      <c r="J497" s="178">
        <v>1</v>
      </c>
      <c r="K497" s="179">
        <v>1702</v>
      </c>
      <c r="L497" s="180">
        <v>4</v>
      </c>
      <c r="M497" s="181">
        <v>1</v>
      </c>
      <c r="N497" s="180">
        <v>300000</v>
      </c>
      <c r="O497" s="219">
        <v>1</v>
      </c>
      <c r="P497" s="182"/>
      <c r="Q497" s="182"/>
      <c r="R497" s="182"/>
      <c r="S497" s="182"/>
    </row>
    <row r="498" spans="1:19" s="177" customFormat="1">
      <c r="A498" s="175">
        <v>6502</v>
      </c>
      <c r="B498" s="218" t="str">
        <f>IF($L498=1,VLOOKUP($M498,[1]Sheet1!$A:$C,2,0),IF($L498=4,VLOOKUP($M498,[4]Sheet1!$A:$B,2,0),IF($L498=2,VLOOKUP($M498,[5]Sheet1!$A:$B,2,0),IF($L498=6,VLOOKUP($M498,[6]Sheet1!$A:$B,2,0),0))))&amp;"x"&amp;$N498</f>
        <v>紫色装备碎片箱x10</v>
      </c>
      <c r="C498" s="176">
        <v>1</v>
      </c>
      <c r="D498" s="177">
        <v>4</v>
      </c>
      <c r="E498" s="177">
        <v>37</v>
      </c>
      <c r="F498" s="176">
        <v>0</v>
      </c>
      <c r="G498" s="176">
        <v>400</v>
      </c>
      <c r="H498" s="178">
        <v>4000</v>
      </c>
      <c r="I498" s="178">
        <v>3</v>
      </c>
      <c r="J498" s="178">
        <v>1</v>
      </c>
      <c r="K498" s="179">
        <v>1703</v>
      </c>
      <c r="L498" s="180">
        <v>1</v>
      </c>
      <c r="M498" s="181">
        <v>14302</v>
      </c>
      <c r="N498" s="180">
        <v>10</v>
      </c>
      <c r="O498" s="219">
        <v>1</v>
      </c>
      <c r="P498" s="182"/>
      <c r="Q498" s="182"/>
      <c r="R498" s="182"/>
      <c r="S498" s="182"/>
    </row>
    <row r="499" spans="1:19" s="177" customFormat="1">
      <c r="A499" s="175">
        <v>6503</v>
      </c>
      <c r="B499" s="218" t="str">
        <f>IF($L499=1,VLOOKUP($M499,[1]Sheet1!$A:$C,2,0),IF($L499=4,VLOOKUP($M499,[4]Sheet1!$A:$B,2,0),IF($L499=2,VLOOKUP($M499,[5]Sheet1!$A:$B,2,0),IF($L499=6,VLOOKUP($M499,[6]Sheet1!$A:$B,2,0),0))))&amp;"x"&amp;$N499</f>
        <v>元宝x500</v>
      </c>
      <c r="C499" s="176">
        <v>1</v>
      </c>
      <c r="D499" s="177">
        <v>4</v>
      </c>
      <c r="E499" s="177">
        <v>37</v>
      </c>
      <c r="F499" s="176">
        <v>0</v>
      </c>
      <c r="G499" s="176">
        <v>500</v>
      </c>
      <c r="H499" s="178">
        <v>5000</v>
      </c>
      <c r="I499" s="178">
        <v>3</v>
      </c>
      <c r="J499" s="178">
        <v>1</v>
      </c>
      <c r="K499" s="179">
        <v>1704</v>
      </c>
      <c r="L499" s="180">
        <v>4</v>
      </c>
      <c r="M499" s="181">
        <v>2</v>
      </c>
      <c r="N499" s="180">
        <v>500</v>
      </c>
      <c r="O499" s="219">
        <v>1</v>
      </c>
      <c r="P499" s="182"/>
      <c r="Q499" s="182"/>
      <c r="R499" s="182"/>
      <c r="S499" s="182"/>
    </row>
    <row r="500" spans="1:19" s="177" customFormat="1">
      <c r="A500" s="175">
        <v>6504</v>
      </c>
      <c r="B500" s="218" t="str">
        <f>IF($L500=1,VLOOKUP($M500,[1]Sheet1!$A:$C,2,0),IF($L500=4,VLOOKUP($M500,[4]Sheet1!$A:$B,2,0),IF($L500=2,VLOOKUP($M500,[5]Sheet1!$A:$B,2,0),IF($L500=6,VLOOKUP($M500,[6]Sheet1!$A:$B,2,0),0))))&amp;"x"&amp;$N500</f>
        <v>连云战甲(30级)x1</v>
      </c>
      <c r="C500" s="176">
        <v>1</v>
      </c>
      <c r="D500" s="177">
        <v>4</v>
      </c>
      <c r="E500" s="177">
        <v>37</v>
      </c>
      <c r="F500" s="176">
        <v>0</v>
      </c>
      <c r="G500" s="176">
        <v>1200</v>
      </c>
      <c r="H500" s="178">
        <v>12000</v>
      </c>
      <c r="I500" s="178">
        <v>3</v>
      </c>
      <c r="J500" s="178">
        <v>1</v>
      </c>
      <c r="K500" s="179">
        <v>1705</v>
      </c>
      <c r="L500" s="180">
        <v>2</v>
      </c>
      <c r="M500" s="181">
        <v>2041</v>
      </c>
      <c r="N500" s="180">
        <v>1</v>
      </c>
      <c r="O500" s="219">
        <v>1</v>
      </c>
      <c r="P500" s="182"/>
      <c r="Q500" s="182"/>
      <c r="R500" s="182"/>
      <c r="S500" s="182"/>
    </row>
    <row r="501" spans="1:19" s="177" customFormat="1">
      <c r="A501" s="175">
        <v>6505</v>
      </c>
      <c r="B501" s="218" t="str">
        <f>IF($L501=1,VLOOKUP($M501,[1]Sheet1!$A:$C,2,0),IF($L501=4,VLOOKUP($M501,[4]Sheet1!$A:$B,2,0),IF($L501=2,VLOOKUP($M501,[5]Sheet1!$A:$B,2,0),IF($L501=6,VLOOKUP($M501,[6]Sheet1!$A:$B,2,0),0))))&amp;"x"&amp;$N501</f>
        <v>元宝x500</v>
      </c>
      <c r="C501" s="176">
        <v>1</v>
      </c>
      <c r="D501" s="177">
        <v>4</v>
      </c>
      <c r="E501" s="177">
        <v>37</v>
      </c>
      <c r="F501" s="176">
        <v>0</v>
      </c>
      <c r="G501" s="176">
        <v>500</v>
      </c>
      <c r="H501" s="178">
        <v>5000</v>
      </c>
      <c r="I501" s="178">
        <v>3</v>
      </c>
      <c r="J501" s="178">
        <v>1</v>
      </c>
      <c r="K501" s="179">
        <v>1706</v>
      </c>
      <c r="L501" s="180">
        <v>4</v>
      </c>
      <c r="M501" s="181">
        <v>2</v>
      </c>
      <c r="N501" s="180">
        <v>500</v>
      </c>
      <c r="O501" s="219">
        <v>1</v>
      </c>
      <c r="P501" s="182"/>
      <c r="Q501" s="182"/>
      <c r="R501" s="182"/>
      <c r="S501" s="182"/>
    </row>
    <row r="502" spans="1:19" s="177" customFormat="1">
      <c r="A502" s="175">
        <v>6506</v>
      </c>
      <c r="B502" s="218" t="str">
        <f>IF($L502=1,VLOOKUP($M502,[1]Sheet1!$A:$C,2,0),IF($L502=4,VLOOKUP($M502,[4]Sheet1!$A:$B,2,0),IF($L502=2,VLOOKUP($M502,[5]Sheet1!$A:$B,2,0),IF($L502=6,VLOOKUP($M502,[6]Sheet1!$A:$B,2,0),0))))&amp;"x"&amp;$N502</f>
        <v>精魄x1000</v>
      </c>
      <c r="C502" s="176">
        <v>1</v>
      </c>
      <c r="D502" s="177">
        <v>4</v>
      </c>
      <c r="E502" s="177">
        <v>37</v>
      </c>
      <c r="F502" s="176">
        <v>0</v>
      </c>
      <c r="G502" s="176">
        <v>1000</v>
      </c>
      <c r="H502" s="178">
        <v>10000</v>
      </c>
      <c r="I502" s="178">
        <v>3</v>
      </c>
      <c r="J502" s="178">
        <v>1</v>
      </c>
      <c r="K502" s="179">
        <v>1707</v>
      </c>
      <c r="L502" s="180">
        <v>4</v>
      </c>
      <c r="M502" s="181">
        <v>4</v>
      </c>
      <c r="N502" s="180">
        <v>1000</v>
      </c>
      <c r="O502" s="219">
        <v>1</v>
      </c>
      <c r="P502" s="182"/>
      <c r="Q502" s="182"/>
      <c r="R502" s="182"/>
      <c r="S502" s="182"/>
    </row>
    <row r="503" spans="1:19" s="177" customFormat="1">
      <c r="A503" s="175">
        <v>6507</v>
      </c>
      <c r="B503" s="218" t="str">
        <f>IF($L503=1,VLOOKUP($M503,[1]Sheet1!$A:$C,2,0),IF($L503=4,VLOOKUP($M503,[4]Sheet1!$A:$B,2,0),IF($L503=2,VLOOKUP($M503,[5]Sheet1!$A:$B,2,0),IF($L503=6,VLOOKUP($M503,[6]Sheet1!$A:$B,2,0),0))))&amp;"x"&amp;$N503</f>
        <v>橙色装备碎片箱x10</v>
      </c>
      <c r="C503" s="176">
        <v>1</v>
      </c>
      <c r="D503" s="177">
        <v>4</v>
      </c>
      <c r="E503" s="177">
        <v>37</v>
      </c>
      <c r="F503" s="176">
        <v>0</v>
      </c>
      <c r="G503" s="176">
        <v>1000</v>
      </c>
      <c r="H503" s="178">
        <v>10000</v>
      </c>
      <c r="I503" s="178">
        <v>3</v>
      </c>
      <c r="J503" s="178">
        <v>1</v>
      </c>
      <c r="K503" s="179">
        <v>1708</v>
      </c>
      <c r="L503" s="180">
        <v>1</v>
      </c>
      <c r="M503" s="181">
        <v>14303</v>
      </c>
      <c r="N503" s="180">
        <v>10</v>
      </c>
      <c r="O503" s="219">
        <v>1</v>
      </c>
      <c r="P503" s="182"/>
      <c r="Q503" s="182"/>
      <c r="R503" s="182"/>
      <c r="S503" s="182"/>
    </row>
    <row r="504" spans="1:19" s="177" customFormat="1">
      <c r="A504" s="175">
        <v>6508</v>
      </c>
      <c r="B504" s="218" t="str">
        <f>IF($L504=1,VLOOKUP($M504,[1]Sheet1!$A:$C,2,0),IF($L504=4,VLOOKUP($M504,[4]Sheet1!$A:$B,2,0),IF($L504=2,VLOOKUP($M504,[5]Sheet1!$A:$B,2,0),IF($L504=6,VLOOKUP($M504,[6]Sheet1!$A:$B,2,0),0))))&amp;"x"&amp;$N504</f>
        <v>元宝x1000</v>
      </c>
      <c r="C504" s="176">
        <v>1</v>
      </c>
      <c r="D504" s="177">
        <v>4</v>
      </c>
      <c r="E504" s="177">
        <v>37</v>
      </c>
      <c r="F504" s="176">
        <v>0</v>
      </c>
      <c r="G504" s="176">
        <v>1000</v>
      </c>
      <c r="H504" s="178">
        <v>10000</v>
      </c>
      <c r="I504" s="178">
        <v>3</v>
      </c>
      <c r="J504" s="178">
        <v>1</v>
      </c>
      <c r="K504" s="179">
        <v>1709</v>
      </c>
      <c r="L504" s="180">
        <v>4</v>
      </c>
      <c r="M504" s="181">
        <v>2</v>
      </c>
      <c r="N504" s="180">
        <v>1000</v>
      </c>
      <c r="O504" s="219">
        <v>1</v>
      </c>
      <c r="P504" s="182"/>
      <c r="Q504" s="182"/>
      <c r="R504" s="182"/>
      <c r="S504" s="182"/>
    </row>
    <row r="505" spans="1:19" s="177" customFormat="1">
      <c r="A505" s="175">
        <v>6509</v>
      </c>
      <c r="B505" s="218" t="str">
        <f>IF($L505=1,VLOOKUP($M505,[1]Sheet1!$A:$C,2,0),IF($L505=4,VLOOKUP($M505,[4]Sheet1!$A:$B,2,0),IF($L505=2,VLOOKUP($M505,[5]Sheet1!$A:$B,2,0),IF($L505=6,VLOOKUP($M505,[6]Sheet1!$A:$B,2,0),0))))&amp;"x"&amp;$N505</f>
        <v>橙16伙伴碎片选择箱x50</v>
      </c>
      <c r="C505" s="176">
        <v>1</v>
      </c>
      <c r="D505" s="177">
        <v>4</v>
      </c>
      <c r="E505" s="177">
        <v>37</v>
      </c>
      <c r="F505" s="176">
        <v>0</v>
      </c>
      <c r="G505" s="176">
        <v>2000</v>
      </c>
      <c r="H505" s="178">
        <v>20000</v>
      </c>
      <c r="I505" s="178">
        <v>3</v>
      </c>
      <c r="J505" s="178">
        <v>1</v>
      </c>
      <c r="K505" s="179">
        <v>1710</v>
      </c>
      <c r="L505" s="180">
        <v>1</v>
      </c>
      <c r="M505" s="183">
        <v>14505</v>
      </c>
      <c r="N505" s="180">
        <v>50</v>
      </c>
      <c r="O505" s="219">
        <v>1</v>
      </c>
      <c r="P505" s="182"/>
      <c r="Q505" s="182"/>
      <c r="R505" s="182"/>
      <c r="S505" s="182"/>
    </row>
    <row r="506" spans="1:19" s="177" customFormat="1">
      <c r="A506" s="175">
        <v>6510</v>
      </c>
      <c r="B506" s="218" t="str">
        <f>IF($L506=1,VLOOKUP($M506,[1]Sheet1!$A:$C,2,0),IF($L506=4,VLOOKUP($M506,[4]Sheet1!$A:$B,2,0),IF($L506=2,VLOOKUP($M506,[5]Sheet1!$A:$B,2,0),IF($L506=6,VLOOKUP($M506,[6]Sheet1!$A:$B,2,0),0))))&amp;"x"&amp;$N506</f>
        <v>红色伙伴碎片选择箱x60</v>
      </c>
      <c r="C506" s="176">
        <v>1</v>
      </c>
      <c r="D506" s="177">
        <v>4</v>
      </c>
      <c r="E506" s="177">
        <v>37</v>
      </c>
      <c r="F506" s="176">
        <v>0</v>
      </c>
      <c r="G506" s="176">
        <v>3000</v>
      </c>
      <c r="H506" s="178">
        <v>30000</v>
      </c>
      <c r="I506" s="178">
        <v>3</v>
      </c>
      <c r="J506" s="178">
        <v>1</v>
      </c>
      <c r="K506" s="181">
        <v>1710</v>
      </c>
      <c r="L506" s="180">
        <v>1</v>
      </c>
      <c r="M506" s="183">
        <v>14567</v>
      </c>
      <c r="N506" s="180">
        <v>60</v>
      </c>
      <c r="O506" s="219">
        <v>1</v>
      </c>
      <c r="P506" s="182"/>
      <c r="Q506" s="182"/>
      <c r="R506" s="182"/>
      <c r="S506" s="182"/>
    </row>
    <row r="507" spans="1:19" s="9" customFormat="1">
      <c r="A507" s="24">
        <v>6801</v>
      </c>
      <c r="B507" s="44" t="str">
        <f>IF($L507=1,VLOOKUP($M507,[1]Sheet1!$A:$C,2,0),IF($L507=4,VLOOKUP($M507,[4]Sheet1!$A:$B,2,0),IF($L507=2,VLOOKUP($M507,[5]Sheet1!$A:$B,2,0),IF($L507=6,VLOOKUP($M507,[6]Sheet1!$A:$B,2,0),0))))&amp;"x"&amp;$N507</f>
        <v>斗战胜佛碎片x1</v>
      </c>
      <c r="C507" s="44">
        <v>2</v>
      </c>
      <c r="D507" s="9">
        <v>4</v>
      </c>
      <c r="E507" s="9">
        <v>37</v>
      </c>
      <c r="F507" s="44">
        <v>0</v>
      </c>
      <c r="G507" s="44">
        <v>500</v>
      </c>
      <c r="H507" s="25">
        <v>0</v>
      </c>
      <c r="I507" s="25">
        <v>1</v>
      </c>
      <c r="J507" s="25">
        <v>5</v>
      </c>
      <c r="K507" s="97">
        <v>1704</v>
      </c>
      <c r="L507" s="57">
        <v>1</v>
      </c>
      <c r="M507" s="97">
        <v>10111</v>
      </c>
      <c r="N507" s="57">
        <v>1</v>
      </c>
      <c r="O507" s="98">
        <v>1</v>
      </c>
      <c r="P507" s="134"/>
      <c r="Q507" s="134"/>
      <c r="R507" s="134"/>
      <c r="S507" s="134"/>
    </row>
    <row r="508" spans="1:19" s="9" customFormat="1">
      <c r="A508" s="24">
        <v>6802</v>
      </c>
      <c r="B508" s="44" t="str">
        <f>IF($L508=1,VLOOKUP($M508,[1]Sheet1!$A:$C,2,0),IF($L508=4,VLOOKUP($M508,[4]Sheet1!$A:$B,2,0),IF($L508=2,VLOOKUP($M508,[5]Sheet1!$A:$B,2,0),IF($L508=6,VLOOKUP($M508,[6]Sheet1!$A:$B,2,0),0))))&amp;"x"&amp;$N508</f>
        <v>二郎神碎片x1</v>
      </c>
      <c r="C508" s="44">
        <v>2</v>
      </c>
      <c r="D508" s="9">
        <v>4</v>
      </c>
      <c r="E508" s="9">
        <v>37</v>
      </c>
      <c r="F508" s="44">
        <v>0</v>
      </c>
      <c r="G508" s="44">
        <v>500</v>
      </c>
      <c r="H508" s="25">
        <v>0</v>
      </c>
      <c r="I508" s="25">
        <v>1</v>
      </c>
      <c r="J508" s="25">
        <v>5</v>
      </c>
      <c r="K508" s="97">
        <v>1704</v>
      </c>
      <c r="L508" s="57">
        <v>1</v>
      </c>
      <c r="M508" s="97">
        <v>10001</v>
      </c>
      <c r="N508" s="57">
        <v>1</v>
      </c>
      <c r="O508" s="98">
        <v>1</v>
      </c>
      <c r="P508" s="134"/>
      <c r="Q508" s="134"/>
      <c r="R508" s="134"/>
      <c r="S508" s="134"/>
    </row>
    <row r="509" spans="1:19" s="9" customFormat="1">
      <c r="A509" s="24">
        <v>6803</v>
      </c>
      <c r="B509" s="44" t="str">
        <f>IF($L509=1,VLOOKUP($M509,[1]Sheet1!$A:$C,2,0),IF($L509=4,VLOOKUP($M509,[4]Sheet1!$A:$B,2,0),IF($L509=2,VLOOKUP($M509,[5]Sheet1!$A:$B,2,0),IF($L509=6,VLOOKUP($M509,[6]Sheet1!$A:$B,2,0),0))))&amp;"x"&amp;$N509</f>
        <v>孙悟空碎片x1</v>
      </c>
      <c r="C509" s="44">
        <v>2</v>
      </c>
      <c r="D509" s="9">
        <v>4</v>
      </c>
      <c r="E509" s="9">
        <v>37</v>
      </c>
      <c r="F509" s="44">
        <v>0</v>
      </c>
      <c r="G509" s="44">
        <v>500</v>
      </c>
      <c r="H509" s="25">
        <v>0</v>
      </c>
      <c r="I509" s="25">
        <v>1</v>
      </c>
      <c r="J509" s="25">
        <v>5</v>
      </c>
      <c r="K509" s="97">
        <v>1704</v>
      </c>
      <c r="L509" s="57">
        <v>1</v>
      </c>
      <c r="M509" s="97">
        <v>10019</v>
      </c>
      <c r="N509" s="57">
        <v>1</v>
      </c>
      <c r="O509" s="98">
        <v>1</v>
      </c>
      <c r="P509" s="134"/>
      <c r="Q509" s="134"/>
      <c r="R509" s="134"/>
      <c r="S509" s="134"/>
    </row>
    <row r="510" spans="1:19" s="9" customFormat="1">
      <c r="A510" s="24">
        <v>6804</v>
      </c>
      <c r="B510" s="44" t="str">
        <f>IF($L510=1,VLOOKUP($M510,[1]Sheet1!$A:$C,2,0),IF($L510=4,VLOOKUP($M510,[4]Sheet1!$A:$B,2,0),IF($L510=2,VLOOKUP($M510,[5]Sheet1!$A:$B,2,0),IF($L510=6,VLOOKUP($M510,[6]Sheet1!$A:$B,2,0),0))))&amp;"x"&amp;$N510</f>
        <v>红色伙伴碎片选择箱x1</v>
      </c>
      <c r="C510" s="44">
        <v>3</v>
      </c>
      <c r="D510" s="9">
        <v>4</v>
      </c>
      <c r="E510" s="9">
        <v>37</v>
      </c>
      <c r="F510" s="44">
        <v>0</v>
      </c>
      <c r="G510" s="44">
        <v>500</v>
      </c>
      <c r="H510" s="25">
        <v>0</v>
      </c>
      <c r="I510" s="25">
        <v>1</v>
      </c>
      <c r="J510" s="25">
        <v>5</v>
      </c>
      <c r="K510" s="97">
        <v>1704</v>
      </c>
      <c r="L510" s="57">
        <v>1</v>
      </c>
      <c r="M510" s="97">
        <v>14567</v>
      </c>
      <c r="N510" s="57">
        <v>1</v>
      </c>
      <c r="O510" s="98">
        <v>1</v>
      </c>
      <c r="P510" s="134"/>
      <c r="Q510" s="134"/>
      <c r="R510" s="134"/>
      <c r="S510" s="134"/>
    </row>
    <row r="511" spans="1:19" s="157" customFormat="1">
      <c r="A511" s="157">
        <v>7001</v>
      </c>
      <c r="B511" s="226" t="str">
        <f>IF($L511=1,VLOOKUP($M511,[1]Sheet1!$A:$C,2,0),IF($L511=4,VLOOKUP($M511,[4]Sheet1!$A:$B,2,0),IF($L511=2,VLOOKUP($M511,[5]Sheet1!$A:$B,2,0),IF($L511=6,VLOOKUP($M511,[6]Sheet1!$A:$B,2,0),0))))&amp;"x"&amp;$N511</f>
        <v>破魔套装宝箱x1</v>
      </c>
      <c r="C511" s="158">
        <v>1</v>
      </c>
      <c r="D511" s="157">
        <v>4</v>
      </c>
      <c r="E511" s="157">
        <v>2</v>
      </c>
      <c r="F511" s="157">
        <v>0</v>
      </c>
      <c r="G511" s="158">
        <v>600</v>
      </c>
      <c r="H511" s="163">
        <v>1200</v>
      </c>
      <c r="I511" s="163">
        <v>3</v>
      </c>
      <c r="J511" s="163">
        <v>1</v>
      </c>
      <c r="K511" s="159" t="s">
        <v>8</v>
      </c>
      <c r="L511" s="160">
        <v>1</v>
      </c>
      <c r="M511" s="228">
        <v>14533</v>
      </c>
      <c r="N511" s="229">
        <v>1</v>
      </c>
      <c r="O511" s="164">
        <v>0</v>
      </c>
      <c r="P511" s="161"/>
      <c r="Q511" s="161"/>
      <c r="R511" s="161"/>
      <c r="S511" s="161"/>
    </row>
    <row r="512" spans="1:19" s="157" customFormat="1">
      <c r="A512" s="157">
        <v>7002</v>
      </c>
      <c r="B512" s="226" t="str">
        <f>IF($L512=1,VLOOKUP($M512,[1]Sheet1!$A:$C,2,0),IF($L512=4,VLOOKUP($M512,[4]Sheet1!$A:$B,2,0),IF($L512=2,VLOOKUP($M512,[5]Sheet1!$A:$B,2,0),IF($L512=6,VLOOKUP($M512,[6]Sheet1!$A:$B,2,0),0))))&amp;"x"&amp;$N512</f>
        <v>高级装备碎片箱x12</v>
      </c>
      <c r="C512" s="158">
        <v>1</v>
      </c>
      <c r="D512" s="157">
        <v>4</v>
      </c>
      <c r="E512" s="157">
        <v>2</v>
      </c>
      <c r="F512" s="157">
        <v>0</v>
      </c>
      <c r="G512" s="158">
        <v>480</v>
      </c>
      <c r="H512" s="163">
        <v>960</v>
      </c>
      <c r="I512" s="163">
        <v>3</v>
      </c>
      <c r="J512" s="163">
        <v>1</v>
      </c>
      <c r="K512" s="159" t="s">
        <v>8</v>
      </c>
      <c r="L512" s="160">
        <v>1</v>
      </c>
      <c r="M512" s="228">
        <v>14315</v>
      </c>
      <c r="N512" s="229">
        <v>12</v>
      </c>
      <c r="O512" s="164">
        <v>0</v>
      </c>
      <c r="P512" s="161"/>
      <c r="Q512" s="161"/>
      <c r="R512" s="161"/>
      <c r="S512" s="161"/>
    </row>
    <row r="513" spans="1:19" s="8" customFormat="1">
      <c r="A513" s="8">
        <v>7003</v>
      </c>
      <c r="B513" s="227" t="str">
        <f>IF($L513=1,VLOOKUP($M513,[1]Sheet1!$A:$C,2,0),IF($L513=4,VLOOKUP($M513,[4]Sheet1!$A:$B,2,0),IF($L513=2,VLOOKUP($M513,[5]Sheet1!$A:$B,2,0),IF($L513=6,VLOOKUP($M513,[6]Sheet1!$A:$B,2,0),0))))&amp;"x"&amp;$N513</f>
        <v>橙13伙伴选择箱x1</v>
      </c>
      <c r="C513" s="43">
        <v>1</v>
      </c>
      <c r="D513" s="8">
        <v>4</v>
      </c>
      <c r="E513" s="8">
        <v>2</v>
      </c>
      <c r="F513" s="8">
        <v>0</v>
      </c>
      <c r="G513" s="43">
        <v>1400</v>
      </c>
      <c r="H513" s="23">
        <v>2800</v>
      </c>
      <c r="I513" s="23">
        <v>3</v>
      </c>
      <c r="J513" s="23">
        <v>1</v>
      </c>
      <c r="K513" s="103" t="s">
        <v>8</v>
      </c>
      <c r="L513" s="56">
        <v>1</v>
      </c>
      <c r="M513" s="230">
        <v>14522</v>
      </c>
      <c r="N513" s="231">
        <v>1</v>
      </c>
      <c r="O513" s="189">
        <v>0</v>
      </c>
      <c r="P513" s="136"/>
      <c r="Q513" s="136"/>
      <c r="R513" s="136"/>
      <c r="S513" s="136"/>
    </row>
    <row r="514" spans="1:19" s="8" customFormat="1">
      <c r="A514" s="8">
        <v>7004</v>
      </c>
      <c r="B514" s="227" t="str">
        <f>IF($L514=1,VLOOKUP($M514,[1]Sheet1!$A:$C,2,0),IF($L514=4,VLOOKUP($M514,[4]Sheet1!$A:$B,2,0),IF($L514=2,VLOOKUP($M514,[5]Sheet1!$A:$B,2,0),IF($L514=6,VLOOKUP($M514,[6]Sheet1!$A:$B,2,0),0))))&amp;"x"&amp;$N514</f>
        <v>高级法宝碎片箱x8</v>
      </c>
      <c r="C514" s="43">
        <v>1</v>
      </c>
      <c r="D514" s="8">
        <v>4</v>
      </c>
      <c r="E514" s="8">
        <v>2</v>
      </c>
      <c r="F514" s="8">
        <v>0</v>
      </c>
      <c r="G514" s="43">
        <v>600</v>
      </c>
      <c r="H514" s="23">
        <v>1200</v>
      </c>
      <c r="I514" s="23">
        <v>3</v>
      </c>
      <c r="J514" s="23">
        <v>1</v>
      </c>
      <c r="K514" s="103" t="s">
        <v>8</v>
      </c>
      <c r="L514" s="56">
        <v>1</v>
      </c>
      <c r="M514" s="230">
        <v>14306</v>
      </c>
      <c r="N514" s="231">
        <v>8</v>
      </c>
      <c r="O514" s="189">
        <v>0</v>
      </c>
      <c r="P514" s="136"/>
      <c r="Q514" s="136"/>
      <c r="R514" s="136"/>
      <c r="S514" s="136"/>
    </row>
    <row r="515" spans="1:19" s="157" customFormat="1">
      <c r="A515" s="157">
        <v>7005</v>
      </c>
      <c r="B515" s="226" t="str">
        <f>IF($L515=1,VLOOKUP($M515,[1]Sheet1!$A:$C,2,0),IF($L515=4,VLOOKUP($M515,[4]Sheet1!$A:$B,2,0),IF($L515=2,VLOOKUP($M515,[5]Sheet1!$A:$B,2,0),IF($L515=6,VLOOKUP($M515,[6]Sheet1!$A:$B,2,0),0))))&amp;"x"&amp;$N515</f>
        <v>降魔套装选择箱x1</v>
      </c>
      <c r="C515" s="158">
        <v>1</v>
      </c>
      <c r="D515" s="157">
        <v>4</v>
      </c>
      <c r="E515" s="157">
        <v>2</v>
      </c>
      <c r="F515" s="157">
        <v>0</v>
      </c>
      <c r="G515" s="158">
        <v>2400</v>
      </c>
      <c r="H515" s="163">
        <v>4800</v>
      </c>
      <c r="I515" s="163">
        <v>3</v>
      </c>
      <c r="J515" s="163">
        <v>1</v>
      </c>
      <c r="K515" s="159" t="s">
        <v>8</v>
      </c>
      <c r="L515" s="160">
        <v>1</v>
      </c>
      <c r="M515" s="228">
        <v>14527</v>
      </c>
      <c r="N515" s="229">
        <v>1</v>
      </c>
      <c r="O515" s="164">
        <v>0</v>
      </c>
      <c r="P515" s="161"/>
      <c r="Q515" s="161"/>
      <c r="R515" s="161"/>
      <c r="S515" s="161"/>
    </row>
    <row r="516" spans="1:19" s="157" customFormat="1">
      <c r="A516" s="157">
        <v>7006</v>
      </c>
      <c r="B516" s="226" t="str">
        <f>IF($L516=1,VLOOKUP($M516,[1]Sheet1!$A:$C,2,0),IF($L516=4,VLOOKUP($M516,[4]Sheet1!$A:$B,2,0),IF($L516=2,VLOOKUP($M516,[5]Sheet1!$A:$B,2,0),IF($L516=6,VLOOKUP($M516,[6]Sheet1!$A:$B,2,0),0))))&amp;"x"&amp;$N516</f>
        <v>装备精炼石x200</v>
      </c>
      <c r="C516" s="158">
        <v>1</v>
      </c>
      <c r="D516" s="157">
        <v>4</v>
      </c>
      <c r="E516" s="157">
        <v>2</v>
      </c>
      <c r="F516" s="157">
        <v>0</v>
      </c>
      <c r="G516" s="158">
        <v>500</v>
      </c>
      <c r="H516" s="163">
        <v>1000</v>
      </c>
      <c r="I516" s="163">
        <v>3</v>
      </c>
      <c r="J516" s="163">
        <v>1</v>
      </c>
      <c r="K516" s="159" t="s">
        <v>8</v>
      </c>
      <c r="L516" s="160">
        <v>1</v>
      </c>
      <c r="M516" s="228">
        <v>16005</v>
      </c>
      <c r="N516" s="229">
        <v>200</v>
      </c>
      <c r="O516" s="164">
        <v>0</v>
      </c>
      <c r="P516" s="161"/>
      <c r="Q516" s="161"/>
      <c r="R516" s="161"/>
      <c r="S516" s="161"/>
    </row>
    <row r="517" spans="1:19" s="8" customFormat="1">
      <c r="A517" s="8">
        <v>7007</v>
      </c>
      <c r="B517" s="227" t="str">
        <f>IF($L517=1,VLOOKUP($M517,[1]Sheet1!$A:$C,2,0),IF($L517=4,VLOOKUP($M517,[4]Sheet1!$A:$B,2,0),IF($L517=2,VLOOKUP($M517,[5]Sheet1!$A:$B,2,0),IF($L517=6,VLOOKUP($M517,[6]Sheet1!$A:$B,2,0),0))))&amp;"x"&amp;$N517</f>
        <v>橙13伙伴选择箱x1</v>
      </c>
      <c r="C517" s="43">
        <v>1</v>
      </c>
      <c r="D517" s="8">
        <v>4</v>
      </c>
      <c r="E517" s="8">
        <v>2</v>
      </c>
      <c r="F517" s="8">
        <v>0</v>
      </c>
      <c r="G517" s="43">
        <v>1400</v>
      </c>
      <c r="H517" s="23">
        <v>2800</v>
      </c>
      <c r="I517" s="23">
        <v>3</v>
      </c>
      <c r="J517" s="23">
        <v>1</v>
      </c>
      <c r="K517" s="103" t="s">
        <v>8</v>
      </c>
      <c r="L517" s="56">
        <v>1</v>
      </c>
      <c r="M517" s="230">
        <v>14522</v>
      </c>
      <c r="N517" s="231">
        <v>1</v>
      </c>
      <c r="O517" s="189">
        <v>0</v>
      </c>
      <c r="P517" s="136"/>
      <c r="Q517" s="136"/>
      <c r="R517" s="136"/>
      <c r="S517" s="136"/>
    </row>
    <row r="518" spans="1:19" s="8" customFormat="1">
      <c r="A518" s="8">
        <v>7008</v>
      </c>
      <c r="B518" s="227" t="str">
        <f>IF($L518=1,VLOOKUP($M518,[1]Sheet1!$A:$C,2,0),IF($L518=4,VLOOKUP($M518,[4]Sheet1!$A:$B,2,0),IF($L518=2,VLOOKUP($M518,[5]Sheet1!$A:$B,2,0),IF($L518=6,VLOOKUP($M518,[6]Sheet1!$A:$B,2,0),0))))&amp;"x"&amp;$N518</f>
        <v>神兵强化石x800</v>
      </c>
      <c r="C518" s="43">
        <v>1</v>
      </c>
      <c r="D518" s="8">
        <v>4</v>
      </c>
      <c r="E518" s="8">
        <v>2</v>
      </c>
      <c r="F518" s="8">
        <v>0</v>
      </c>
      <c r="G518" s="43">
        <v>400</v>
      </c>
      <c r="H518" s="23">
        <v>800</v>
      </c>
      <c r="I518" s="23">
        <v>3</v>
      </c>
      <c r="J518" s="23">
        <v>1</v>
      </c>
      <c r="K518" s="103" t="s">
        <v>8</v>
      </c>
      <c r="L518" s="56">
        <v>1</v>
      </c>
      <c r="M518" s="230">
        <v>17000</v>
      </c>
      <c r="N518" s="231">
        <v>800</v>
      </c>
      <c r="O518" s="189">
        <v>0</v>
      </c>
      <c r="P518" s="136"/>
      <c r="Q518" s="136"/>
      <c r="R518" s="136"/>
      <c r="S518" s="136"/>
    </row>
    <row r="519" spans="1:19" s="157" customFormat="1">
      <c r="A519" s="157">
        <v>7009</v>
      </c>
      <c r="B519" s="226" t="str">
        <f>IF($L519=1,VLOOKUP($M519,[1]Sheet1!$A:$C,2,0),IF($L519=4,VLOOKUP($M519,[4]Sheet1!$A:$B,2,0),IF($L519=2,VLOOKUP($M519,[5]Sheet1!$A:$B,2,0),IF($L519=6,VLOOKUP($M519,[6]Sheet1!$A:$B,2,0),0))))&amp;"x"&amp;$N519</f>
        <v>橙16输出伙伴选择箱x1</v>
      </c>
      <c r="C519" s="158">
        <v>1</v>
      </c>
      <c r="D519" s="157">
        <v>4</v>
      </c>
      <c r="E519" s="157">
        <v>2</v>
      </c>
      <c r="F519" s="157">
        <v>0</v>
      </c>
      <c r="G519" s="158">
        <v>2000</v>
      </c>
      <c r="H519" s="163">
        <v>4000</v>
      </c>
      <c r="I519" s="163">
        <v>3</v>
      </c>
      <c r="J519" s="163">
        <v>1</v>
      </c>
      <c r="K519" s="159" t="s">
        <v>8</v>
      </c>
      <c r="L519" s="160">
        <v>1</v>
      </c>
      <c r="M519" s="228">
        <v>14516</v>
      </c>
      <c r="N519" s="229">
        <v>1</v>
      </c>
      <c r="O519" s="164">
        <v>0</v>
      </c>
      <c r="P519" s="161"/>
      <c r="Q519" s="161"/>
      <c r="R519" s="161"/>
      <c r="S519" s="161"/>
    </row>
    <row r="520" spans="1:19" s="157" customFormat="1">
      <c r="A520" s="157">
        <v>7010</v>
      </c>
      <c r="B520" s="226" t="str">
        <f>IF($L520=1,VLOOKUP($M520,[1]Sheet1!$A:$C,2,0),IF($L520=4,VLOOKUP($M520,[4]Sheet1!$A:$B,2,0),IF($L520=2,VLOOKUP($M520,[5]Sheet1!$A:$B,2,0),IF($L520=6,VLOOKUP($M520,[6]Sheet1!$A:$B,2,0),0))))&amp;"x"&amp;$N520</f>
        <v>精魄x800</v>
      </c>
      <c r="C520" s="158">
        <v>1</v>
      </c>
      <c r="D520" s="157">
        <v>4</v>
      </c>
      <c r="E520" s="157">
        <v>2</v>
      </c>
      <c r="F520" s="157">
        <v>0</v>
      </c>
      <c r="G520" s="158">
        <v>400</v>
      </c>
      <c r="H520" s="163">
        <v>800</v>
      </c>
      <c r="I520" s="163">
        <v>3</v>
      </c>
      <c r="J520" s="163">
        <v>1</v>
      </c>
      <c r="K520" s="159" t="s">
        <v>8</v>
      </c>
      <c r="L520" s="160">
        <v>4</v>
      </c>
      <c r="M520" s="228">
        <v>4</v>
      </c>
      <c r="N520" s="229">
        <v>800</v>
      </c>
      <c r="O520" s="164">
        <v>0</v>
      </c>
      <c r="P520" s="161"/>
      <c r="Q520" s="161"/>
      <c r="R520" s="161"/>
      <c r="S520" s="161"/>
    </row>
    <row r="521" spans="1:19" s="8" customFormat="1">
      <c r="A521" s="8">
        <v>7011</v>
      </c>
      <c r="B521" s="227" t="str">
        <f>IF($L521=1,VLOOKUP($M521,[1]Sheet1!$A:$C,2,0),IF($L521=4,VLOOKUP($M521,[4]Sheet1!$A:$B,2,0),IF($L521=2,VLOOKUP($M521,[5]Sheet1!$A:$B,2,0),IF($L521=6,VLOOKUP($M521,[6]Sheet1!$A:$B,2,0),0))))&amp;"x"&amp;$N521</f>
        <v>橙色法宝选择箱x8</v>
      </c>
      <c r="C521" s="43">
        <v>1</v>
      </c>
      <c r="D521" s="8">
        <v>4</v>
      </c>
      <c r="E521" s="8">
        <v>2</v>
      </c>
      <c r="F521" s="8">
        <v>0</v>
      </c>
      <c r="G521" s="43">
        <v>2400</v>
      </c>
      <c r="H521" s="23">
        <v>4800</v>
      </c>
      <c r="I521" s="23">
        <v>3</v>
      </c>
      <c r="J521" s="23">
        <v>1</v>
      </c>
      <c r="K521" s="103" t="s">
        <v>8</v>
      </c>
      <c r="L521" s="56">
        <v>1</v>
      </c>
      <c r="M521" s="230">
        <v>14535</v>
      </c>
      <c r="N521" s="231">
        <v>8</v>
      </c>
      <c r="O521" s="189">
        <v>0</v>
      </c>
      <c r="P521" s="136"/>
      <c r="Q521" s="136"/>
      <c r="R521" s="136"/>
      <c r="S521" s="136"/>
    </row>
    <row r="522" spans="1:19" s="8" customFormat="1">
      <c r="A522" s="8">
        <v>7012</v>
      </c>
      <c r="B522" s="227" t="str">
        <f>IF($L522=1,VLOOKUP($M522,[1]Sheet1!$A:$C,2,0),IF($L522=4,VLOOKUP($M522,[4]Sheet1!$A:$B,2,0),IF($L522=2,VLOOKUP($M522,[5]Sheet1!$A:$B,2,0),IF($L522=6,VLOOKUP($M522,[6]Sheet1!$A:$B,2,0),0))))&amp;"x"&amp;$N522</f>
        <v>法宝精炼石x500</v>
      </c>
      <c r="C522" s="43">
        <v>1</v>
      </c>
      <c r="D522" s="8">
        <v>4</v>
      </c>
      <c r="E522" s="8">
        <v>2</v>
      </c>
      <c r="F522" s="8">
        <v>0</v>
      </c>
      <c r="G522" s="43">
        <v>1250</v>
      </c>
      <c r="H522" s="23">
        <v>2500</v>
      </c>
      <c r="I522" s="23">
        <v>3</v>
      </c>
      <c r="J522" s="23">
        <v>1</v>
      </c>
      <c r="K522" s="103" t="s">
        <v>8</v>
      </c>
      <c r="L522" s="56">
        <v>1</v>
      </c>
      <c r="M522" s="230">
        <v>14201</v>
      </c>
      <c r="N522" s="231">
        <v>500</v>
      </c>
      <c r="O522" s="189">
        <v>0</v>
      </c>
      <c r="P522" s="136"/>
      <c r="Q522" s="136"/>
      <c r="R522" s="136"/>
      <c r="S522" s="136"/>
    </row>
    <row r="523" spans="1:19" s="157" customFormat="1">
      <c r="A523" s="157">
        <v>7013</v>
      </c>
      <c r="B523" s="226" t="str">
        <f>IF($L523=1,VLOOKUP($M523,[1]Sheet1!$A:$C,2,0),IF($L523=4,VLOOKUP($M523,[4]Sheet1!$A:$B,2,0),IF($L523=2,VLOOKUP($M523,[5]Sheet1!$A:$B,2,0),IF($L523=6,VLOOKUP($M523,[6]Sheet1!$A:$B,2,0),0))))&amp;"x"&amp;$N523</f>
        <v>近战红将选择箱x1</v>
      </c>
      <c r="C523" s="158">
        <v>1</v>
      </c>
      <c r="D523" s="157">
        <v>4</v>
      </c>
      <c r="E523" s="157">
        <v>2</v>
      </c>
      <c r="F523" s="157">
        <v>0</v>
      </c>
      <c r="G523" s="158">
        <v>3000</v>
      </c>
      <c r="H523" s="163">
        <v>6000</v>
      </c>
      <c r="I523" s="163">
        <v>3</v>
      </c>
      <c r="J523" s="163">
        <v>1</v>
      </c>
      <c r="K523" s="159" t="s">
        <v>8</v>
      </c>
      <c r="L523" s="160">
        <v>1</v>
      </c>
      <c r="M523" s="228">
        <v>14569</v>
      </c>
      <c r="N523" s="229">
        <v>1</v>
      </c>
      <c r="O523" s="164">
        <v>0</v>
      </c>
      <c r="P523" s="161"/>
      <c r="Q523" s="161"/>
      <c r="R523" s="161"/>
      <c r="S523" s="161"/>
    </row>
    <row r="524" spans="1:19" s="157" customFormat="1">
      <c r="A524" s="157">
        <v>7014</v>
      </c>
      <c r="B524" s="226" t="str">
        <f>IF($L524=1,VLOOKUP($M524,[1]Sheet1!$A:$C,2,0),IF($L524=4,VLOOKUP($M524,[4]Sheet1!$A:$B,2,0),IF($L524=2,VLOOKUP($M524,[5]Sheet1!$A:$B,2,0),IF($L524=6,VLOOKUP($M524,[6]Sheet1!$A:$B,2,0),0))))&amp;"x"&amp;$N524</f>
        <v>铜钱x2000000</v>
      </c>
      <c r="C524" s="158">
        <v>1</v>
      </c>
      <c r="D524" s="157">
        <v>4</v>
      </c>
      <c r="E524" s="157">
        <v>2</v>
      </c>
      <c r="F524" s="157">
        <v>0</v>
      </c>
      <c r="G524" s="158">
        <v>1000</v>
      </c>
      <c r="H524" s="163">
        <v>2000</v>
      </c>
      <c r="I524" s="163">
        <v>3</v>
      </c>
      <c r="J524" s="163">
        <v>1</v>
      </c>
      <c r="K524" s="159" t="s">
        <v>8</v>
      </c>
      <c r="L524" s="160">
        <v>4</v>
      </c>
      <c r="M524" s="228">
        <v>1</v>
      </c>
      <c r="N524" s="229">
        <v>2000000</v>
      </c>
      <c r="O524" s="164">
        <v>0</v>
      </c>
      <c r="P524" s="161"/>
      <c r="Q524" s="161"/>
      <c r="R524" s="161"/>
      <c r="S524" s="161"/>
    </row>
    <row r="525" spans="1:19" s="11" customFormat="1">
      <c r="A525" s="33">
        <v>8001</v>
      </c>
      <c r="B525" s="47" t="str">
        <f>IF($L525=1,VLOOKUP($M525,[1]Sheet1!$A:$C,2,0),IF($L525=4,VLOOKUP($M525,[4]Sheet1!$A:$B,2,0),IF($L525=2,VLOOKUP($M525,[5]Sheet1!$A:$B,2,0),IF($L525=6,VLOOKUP($M525,[6]Sheet1!$A:$B,2,0),0))))&amp;"x"&amp;$N525</f>
        <v>主角神兵碎片x5</v>
      </c>
      <c r="C525" s="11">
        <v>4</v>
      </c>
      <c r="D525" s="11">
        <v>4</v>
      </c>
      <c r="E525" s="11">
        <v>29</v>
      </c>
      <c r="F525" s="47">
        <v>0</v>
      </c>
      <c r="G525" s="35">
        <v>500</v>
      </c>
      <c r="H525" s="35">
        <v>0</v>
      </c>
      <c r="I525" s="35">
        <v>1</v>
      </c>
      <c r="J525" s="35">
        <v>1</v>
      </c>
      <c r="K525" s="87" t="s">
        <v>108</v>
      </c>
      <c r="L525" s="60">
        <v>1</v>
      </c>
      <c r="M525" s="172">
        <v>17102</v>
      </c>
      <c r="N525" s="60">
        <v>5</v>
      </c>
      <c r="O525" s="89">
        <v>1</v>
      </c>
      <c r="P525" s="131"/>
      <c r="Q525" s="131"/>
      <c r="R525" s="131" t="e">
        <f>IF($G525&lt;&gt;#REF!,"["&amp;$A525&amp;",1]",#REF!&amp;IF($O525=1,",["&amp;$A525&amp;",1]",""))</f>
        <v>#REF!</v>
      </c>
      <c r="S525" s="131"/>
    </row>
    <row r="526" spans="1:19" s="11" customFormat="1">
      <c r="A526" s="33">
        <v>8002</v>
      </c>
      <c r="B526" s="47" t="str">
        <f>IF($L526=1,VLOOKUP($M526,[1]Sheet1!$A:$C,2,0),IF($L526=4,VLOOKUP($M526,[4]Sheet1!$A:$B,2,0),IF($L526=2,VLOOKUP($M526,[5]Sheet1!$A:$B,2,0),IF($L526=6,VLOOKUP($M526,[6]Sheet1!$A:$B,2,0),0))))&amp;"x"&amp;$N526</f>
        <v>天慧法杖碎片x5</v>
      </c>
      <c r="C526" s="11">
        <v>4</v>
      </c>
      <c r="D526" s="11">
        <v>4</v>
      </c>
      <c r="E526" s="11">
        <v>29</v>
      </c>
      <c r="F526" s="47">
        <v>0</v>
      </c>
      <c r="G526" s="35">
        <v>500</v>
      </c>
      <c r="H526" s="35">
        <v>0</v>
      </c>
      <c r="I526" s="35">
        <v>1</v>
      </c>
      <c r="J526" s="35">
        <v>1</v>
      </c>
      <c r="K526" s="87" t="s">
        <v>108</v>
      </c>
      <c r="L526" s="60">
        <v>1</v>
      </c>
      <c r="M526" s="172">
        <v>17117</v>
      </c>
      <c r="N526" s="60">
        <v>5</v>
      </c>
      <c r="O526" s="89">
        <v>1</v>
      </c>
      <c r="P526" s="131"/>
      <c r="Q526" s="131"/>
      <c r="R526" s="131" t="e">
        <f t="shared" ref="R526:R587" si="25">IF($G526&lt;&gt;$G525,"["&amp;$A526&amp;",1]",$R525&amp;IF($O526=1,",["&amp;$A526&amp;",1]",""))</f>
        <v>#REF!</v>
      </c>
      <c r="S526" s="131"/>
    </row>
    <row r="527" spans="1:19" s="11" customFormat="1">
      <c r="A527" s="33">
        <v>8003</v>
      </c>
      <c r="B527" s="47" t="str">
        <f>IF($L527=1,VLOOKUP($M527,[1]Sheet1!$A:$C,2,0),IF($L527=4,VLOOKUP($M527,[4]Sheet1!$A:$B,2,0),IF($L527=2,VLOOKUP($M527,[5]Sheet1!$A:$B,2,0),IF($L527=6,VLOOKUP($M527,[6]Sheet1!$A:$B,2,0),0))))&amp;"x"&amp;$N527</f>
        <v>碧海定沁丹碎片x5</v>
      </c>
      <c r="C527" s="11">
        <v>4</v>
      </c>
      <c r="D527" s="11">
        <v>4</v>
      </c>
      <c r="E527" s="11">
        <v>29</v>
      </c>
      <c r="F527" s="47">
        <v>0</v>
      </c>
      <c r="G527" s="35">
        <v>500</v>
      </c>
      <c r="H527" s="35">
        <v>0</v>
      </c>
      <c r="I527" s="35">
        <v>1</v>
      </c>
      <c r="J527" s="35">
        <v>1</v>
      </c>
      <c r="K527" s="87" t="s">
        <v>108</v>
      </c>
      <c r="L527" s="60">
        <v>1</v>
      </c>
      <c r="M527" s="172">
        <v>17121</v>
      </c>
      <c r="N527" s="60">
        <v>5</v>
      </c>
      <c r="O527" s="89">
        <v>1</v>
      </c>
      <c r="P527" s="131"/>
      <c r="Q527" s="131"/>
      <c r="R527" s="131" t="e">
        <f t="shared" si="25"/>
        <v>#REF!</v>
      </c>
      <c r="S527" s="131"/>
    </row>
    <row r="528" spans="1:19" s="11" customFormat="1">
      <c r="A528" s="33">
        <v>8004</v>
      </c>
      <c r="B528" s="47" t="str">
        <f>IF($L528=1,VLOOKUP($M528,[1]Sheet1!$A:$C,2,0),IF($L528=4,VLOOKUP($M528,[4]Sheet1!$A:$B,2,0),IF($L528=2,VLOOKUP($M528,[5]Sheet1!$A:$B,2,0),IF($L528=6,VLOOKUP($M528,[6]Sheet1!$A:$B,2,0),0))))&amp;"x"&amp;$N528</f>
        <v>白骨幡碎片x5</v>
      </c>
      <c r="C528" s="11">
        <v>4</v>
      </c>
      <c r="D528" s="11">
        <v>4</v>
      </c>
      <c r="E528" s="11">
        <v>29</v>
      </c>
      <c r="F528" s="47">
        <v>0</v>
      </c>
      <c r="G528" s="35">
        <v>500</v>
      </c>
      <c r="H528" s="35">
        <v>0</v>
      </c>
      <c r="I528" s="35">
        <v>1</v>
      </c>
      <c r="J528" s="35">
        <v>1</v>
      </c>
      <c r="K528" s="87" t="s">
        <v>108</v>
      </c>
      <c r="L528" s="60">
        <v>1</v>
      </c>
      <c r="M528" s="172">
        <v>17123</v>
      </c>
      <c r="N528" s="60">
        <v>5</v>
      </c>
      <c r="O528" s="89">
        <v>1</v>
      </c>
      <c r="P528" s="131"/>
      <c r="Q528" s="131"/>
      <c r="R528" s="131" t="e">
        <f t="shared" si="25"/>
        <v>#REF!</v>
      </c>
      <c r="S528" s="131"/>
    </row>
    <row r="529" spans="1:19" s="11" customFormat="1">
      <c r="A529" s="33">
        <v>8005</v>
      </c>
      <c r="B529" s="47" t="str">
        <f>IF($L529=1,VLOOKUP($M529,[1]Sheet1!$A:$C,2,0),IF($L529=4,VLOOKUP($M529,[4]Sheet1!$A:$B,2,0),IF($L529=2,VLOOKUP($M529,[5]Sheet1!$A:$B,2,0),IF($L529=6,VLOOKUP($M529,[6]Sheet1!$A:$B,2,0),0))))&amp;"x"&amp;$N529</f>
        <v>龙凤双环碎片x5</v>
      </c>
      <c r="C529" s="11">
        <v>4</v>
      </c>
      <c r="D529" s="11">
        <v>4</v>
      </c>
      <c r="E529" s="11">
        <v>29</v>
      </c>
      <c r="F529" s="47">
        <v>0</v>
      </c>
      <c r="G529" s="35">
        <v>500</v>
      </c>
      <c r="H529" s="35">
        <v>0</v>
      </c>
      <c r="I529" s="35">
        <v>1</v>
      </c>
      <c r="J529" s="35">
        <v>1</v>
      </c>
      <c r="K529" s="87" t="s">
        <v>108</v>
      </c>
      <c r="L529" s="60">
        <v>1</v>
      </c>
      <c r="M529" s="172">
        <v>17126</v>
      </c>
      <c r="N529" s="60">
        <v>5</v>
      </c>
      <c r="O529" s="89">
        <v>1</v>
      </c>
      <c r="P529" s="131"/>
      <c r="Q529" s="131"/>
      <c r="R529" s="131" t="e">
        <f t="shared" si="25"/>
        <v>#REF!</v>
      </c>
      <c r="S529" s="131"/>
    </row>
    <row r="530" spans="1:19" s="11" customFormat="1">
      <c r="A530" s="33">
        <v>8006</v>
      </c>
      <c r="B530" s="47" t="str">
        <f>IF($L530=1,VLOOKUP($M530,[1]Sheet1!$A:$C,2,0),IF($L530=4,VLOOKUP($M530,[4]Sheet1!$A:$B,2,0),IF($L530=2,VLOOKUP($M530,[5]Sheet1!$A:$B,2,0),IF($L530=6,VLOOKUP($M530,[6]Sheet1!$A:$B,2,0),0))))&amp;"x"&amp;$N530</f>
        <v>真火子母枪碎片x5</v>
      </c>
      <c r="C530" s="11">
        <v>4</v>
      </c>
      <c r="D530" s="11">
        <v>4</v>
      </c>
      <c r="E530" s="11">
        <v>29</v>
      </c>
      <c r="F530" s="47">
        <v>0</v>
      </c>
      <c r="G530" s="35">
        <v>500</v>
      </c>
      <c r="H530" s="35">
        <v>0</v>
      </c>
      <c r="I530" s="35">
        <v>1</v>
      </c>
      <c r="J530" s="35">
        <v>1</v>
      </c>
      <c r="K530" s="87" t="s">
        <v>108</v>
      </c>
      <c r="L530" s="60">
        <v>1</v>
      </c>
      <c r="M530" s="172">
        <v>17127</v>
      </c>
      <c r="N530" s="60">
        <v>5</v>
      </c>
      <c r="O530" s="89">
        <v>1</v>
      </c>
      <c r="P530" s="131"/>
      <c r="Q530" s="131"/>
      <c r="R530" s="131" t="e">
        <f t="shared" si="25"/>
        <v>#REF!</v>
      </c>
      <c r="S530" s="131"/>
    </row>
    <row r="531" spans="1:19" s="11" customFormat="1">
      <c r="A531" s="33">
        <v>8007</v>
      </c>
      <c r="B531" s="47" t="str">
        <f>IF($L531=1,VLOOKUP($M531,[1]Sheet1!$A:$C,2,0),IF($L531=4,VLOOKUP($M531,[4]Sheet1!$A:$B,2,0),IF($L531=2,VLOOKUP($M531,[5]Sheet1!$A:$B,2,0),IF($L531=6,VLOOKUP($M531,[6]Sheet1!$A:$B,2,0),0))))&amp;"x"&amp;$N531</f>
        <v>渊微凡尘碎片x5</v>
      </c>
      <c r="C531" s="11">
        <v>4</v>
      </c>
      <c r="D531" s="11">
        <v>4</v>
      </c>
      <c r="E531" s="11">
        <v>29</v>
      </c>
      <c r="F531" s="47">
        <v>0</v>
      </c>
      <c r="G531" s="35">
        <v>500</v>
      </c>
      <c r="H531" s="35">
        <v>0</v>
      </c>
      <c r="I531" s="35">
        <v>1</v>
      </c>
      <c r="J531" s="35">
        <v>1</v>
      </c>
      <c r="K531" s="87" t="s">
        <v>108</v>
      </c>
      <c r="L531" s="60">
        <v>1</v>
      </c>
      <c r="M531" s="172">
        <v>17128</v>
      </c>
      <c r="N531" s="60">
        <v>5</v>
      </c>
      <c r="O531" s="89">
        <v>1</v>
      </c>
      <c r="P531" s="131"/>
      <c r="Q531" s="131"/>
      <c r="R531" s="131" t="e">
        <f t="shared" si="25"/>
        <v>#REF!</v>
      </c>
      <c r="S531" s="131"/>
    </row>
    <row r="532" spans="1:19" s="11" customFormat="1">
      <c r="A532" s="33">
        <v>8008</v>
      </c>
      <c r="B532" s="47" t="str">
        <f>IF($L532=1,VLOOKUP($M532,[1]Sheet1!$A:$C,2,0),IF($L532=4,VLOOKUP($M532,[4]Sheet1!$A:$B,2,0),IF($L532=2,VLOOKUP($M532,[5]Sheet1!$A:$B,2,0),IF($L532=6,VLOOKUP($M532,[6]Sheet1!$A:$B,2,0),0))))&amp;"x"&amp;$N532</f>
        <v>海王戟碎片x5</v>
      </c>
      <c r="C532" s="11">
        <v>4</v>
      </c>
      <c r="D532" s="11">
        <v>4</v>
      </c>
      <c r="E532" s="11">
        <v>29</v>
      </c>
      <c r="F532" s="47">
        <v>0</v>
      </c>
      <c r="G532" s="35">
        <v>500</v>
      </c>
      <c r="H532" s="35">
        <v>0</v>
      </c>
      <c r="I532" s="35">
        <v>1</v>
      </c>
      <c r="J532" s="35">
        <v>1</v>
      </c>
      <c r="K532" s="87" t="s">
        <v>108</v>
      </c>
      <c r="L532" s="60">
        <v>1</v>
      </c>
      <c r="M532" s="172">
        <v>17129</v>
      </c>
      <c r="N532" s="60">
        <v>5</v>
      </c>
      <c r="O532" s="89">
        <v>1</v>
      </c>
      <c r="P532" s="131"/>
      <c r="Q532" s="131"/>
      <c r="R532" s="131" t="e">
        <f t="shared" si="25"/>
        <v>#REF!</v>
      </c>
      <c r="S532" s="131"/>
    </row>
    <row r="533" spans="1:19" s="11" customFormat="1">
      <c r="A533" s="33">
        <v>8009</v>
      </c>
      <c r="B533" s="47" t="str">
        <f>IF($L533=1,VLOOKUP($M533,[1]Sheet1!$A:$C,2,0),IF($L533=4,VLOOKUP($M533,[4]Sheet1!$A:$B,2,0),IF($L533=2,VLOOKUP($M533,[5]Sheet1!$A:$B,2,0),IF($L533=6,VLOOKUP($M533,[6]Sheet1!$A:$B,2,0),0))))&amp;"x"&amp;$N533</f>
        <v>混世蛇矛碎片x5</v>
      </c>
      <c r="C533" s="11">
        <v>4</v>
      </c>
      <c r="D533" s="11">
        <v>4</v>
      </c>
      <c r="E533" s="11">
        <v>29</v>
      </c>
      <c r="F533" s="47">
        <v>0</v>
      </c>
      <c r="G533" s="35">
        <v>500</v>
      </c>
      <c r="H533" s="35">
        <v>0</v>
      </c>
      <c r="I533" s="35">
        <v>1</v>
      </c>
      <c r="J533" s="35">
        <v>1</v>
      </c>
      <c r="K533" s="87" t="s">
        <v>108</v>
      </c>
      <c r="L533" s="60">
        <v>1</v>
      </c>
      <c r="M533" s="172">
        <v>17130</v>
      </c>
      <c r="N533" s="60">
        <v>5</v>
      </c>
      <c r="O533" s="173">
        <v>1</v>
      </c>
      <c r="P533" s="131"/>
      <c r="Q533" s="131"/>
      <c r="R533" s="131" t="e">
        <f t="shared" si="25"/>
        <v>#REF!</v>
      </c>
      <c r="S533" s="131"/>
    </row>
    <row r="534" spans="1:19" s="11" customFormat="1">
      <c r="A534" s="33">
        <v>8010</v>
      </c>
      <c r="B534" s="47" t="str">
        <f>IF($L534=1,VLOOKUP($M534,[1]Sheet1!$A:$C,2,0),IF($L534=4,VLOOKUP($M534,[4]Sheet1!$A:$B,2,0),IF($L534=2,VLOOKUP($M534,[5]Sheet1!$A:$B,2,0),IF($L534=6,VLOOKUP($M534,[6]Sheet1!$A:$B,2,0),0))))&amp;"x"&amp;$N534</f>
        <v>流星拳碎片x5</v>
      </c>
      <c r="C534" s="11">
        <v>4</v>
      </c>
      <c r="D534" s="11">
        <v>4</v>
      </c>
      <c r="E534" s="11">
        <v>29</v>
      </c>
      <c r="F534" s="47">
        <v>0</v>
      </c>
      <c r="G534" s="35">
        <v>500</v>
      </c>
      <c r="H534" s="35">
        <v>0</v>
      </c>
      <c r="I534" s="35">
        <v>1</v>
      </c>
      <c r="J534" s="35">
        <v>1</v>
      </c>
      <c r="K534" s="87" t="s">
        <v>8</v>
      </c>
      <c r="L534" s="60">
        <v>1</v>
      </c>
      <c r="M534" s="172">
        <v>17131</v>
      </c>
      <c r="N534" s="60">
        <v>5</v>
      </c>
      <c r="O534" s="173">
        <v>1</v>
      </c>
      <c r="P534" s="131"/>
      <c r="Q534" s="131"/>
      <c r="R534" s="131" t="e">
        <f t="shared" si="25"/>
        <v>#REF!</v>
      </c>
      <c r="S534" s="131"/>
    </row>
    <row r="535" spans="1:19" s="11" customFormat="1">
      <c r="A535" s="33">
        <v>8011</v>
      </c>
      <c r="B535" s="47" t="str">
        <f>IF($L535=1,VLOOKUP($M535,[1]Sheet1!$A:$C,2,0),IF($L535=4,VLOOKUP($M535,[4]Sheet1!$A:$B,2,0),IF($L535=2,VLOOKUP($M535,[5]Sheet1!$A:$B,2,0),IF($L535=6,VLOOKUP($M535,[6]Sheet1!$A:$B,2,0),0))))&amp;"x"&amp;$N535</f>
        <v>人参糖葫芦碎片x5</v>
      </c>
      <c r="C535" s="11">
        <v>4</v>
      </c>
      <c r="D535" s="11">
        <v>4</v>
      </c>
      <c r="E535" s="11">
        <v>29</v>
      </c>
      <c r="F535" s="47">
        <v>0</v>
      </c>
      <c r="G535" s="35">
        <v>500</v>
      </c>
      <c r="H535" s="35">
        <v>0</v>
      </c>
      <c r="I535" s="35">
        <v>1</v>
      </c>
      <c r="J535" s="35">
        <v>1</v>
      </c>
      <c r="K535" s="87" t="s">
        <v>8</v>
      </c>
      <c r="L535" s="60">
        <v>1</v>
      </c>
      <c r="M535" s="172">
        <v>17132</v>
      </c>
      <c r="N535" s="60">
        <v>5</v>
      </c>
      <c r="O535" s="173">
        <v>1</v>
      </c>
      <c r="P535" s="131"/>
      <c r="Q535" s="131"/>
      <c r="R535" s="131" t="e">
        <f t="shared" si="25"/>
        <v>#REF!</v>
      </c>
      <c r="S535" s="131"/>
    </row>
    <row r="536" spans="1:19" s="11" customFormat="1">
      <c r="A536" s="33">
        <v>8012</v>
      </c>
      <c r="B536" s="47" t="str">
        <f>IF($L536=1,VLOOKUP($M536,[1]Sheet1!$A:$C,2,0),IF($L536=4,VLOOKUP($M536,[4]Sheet1!$A:$B,2,0),IF($L536=2,VLOOKUP($M536,[5]Sheet1!$A:$B,2,0),IF($L536=6,VLOOKUP($M536,[6]Sheet1!$A:$B,2,0),0))))&amp;"x"&amp;$N536</f>
        <v>逆流白龙吟碎片x5</v>
      </c>
      <c r="C536" s="11">
        <v>4</v>
      </c>
      <c r="D536" s="11">
        <v>4</v>
      </c>
      <c r="E536" s="11">
        <v>29</v>
      </c>
      <c r="F536" s="47">
        <v>0</v>
      </c>
      <c r="G536" s="35">
        <v>500</v>
      </c>
      <c r="H536" s="35">
        <v>0</v>
      </c>
      <c r="I536" s="35">
        <v>1</v>
      </c>
      <c r="J536" s="35">
        <v>1</v>
      </c>
      <c r="K536" s="87" t="s">
        <v>8</v>
      </c>
      <c r="L536" s="60">
        <v>1</v>
      </c>
      <c r="M536" s="172">
        <v>17133</v>
      </c>
      <c r="N536" s="60">
        <v>5</v>
      </c>
      <c r="O536" s="173">
        <v>1</v>
      </c>
      <c r="P536" s="131"/>
      <c r="Q536" s="131"/>
      <c r="R536" s="131" t="e">
        <f t="shared" si="25"/>
        <v>#REF!</v>
      </c>
      <c r="S536" s="131"/>
    </row>
    <row r="537" spans="1:19" s="11" customFormat="1">
      <c r="A537" s="33">
        <v>8013</v>
      </c>
      <c r="B537" s="47" t="str">
        <f>IF($L537=1,VLOOKUP($M537,[1]Sheet1!$A:$C,2,0),IF($L537=4,VLOOKUP($M537,[4]Sheet1!$A:$B,2,0),IF($L537=2,VLOOKUP($M537,[5]Sheet1!$A:$B,2,0),IF($L537=6,VLOOKUP($M537,[6]Sheet1!$A:$B,2,0),0))))&amp;"x"&amp;$N537</f>
        <v>猕猴斩魄刀碎片x5</v>
      </c>
      <c r="C537" s="11">
        <v>4</v>
      </c>
      <c r="D537" s="11">
        <v>4</v>
      </c>
      <c r="E537" s="11">
        <v>29</v>
      </c>
      <c r="F537" s="47">
        <v>0</v>
      </c>
      <c r="G537" s="35">
        <v>500</v>
      </c>
      <c r="H537" s="35">
        <v>0</v>
      </c>
      <c r="I537" s="35">
        <v>1</v>
      </c>
      <c r="J537" s="35">
        <v>1</v>
      </c>
      <c r="K537" s="87" t="s">
        <v>8</v>
      </c>
      <c r="L537" s="60">
        <v>1</v>
      </c>
      <c r="M537" s="172">
        <v>17134</v>
      </c>
      <c r="N537" s="60">
        <v>5</v>
      </c>
      <c r="O537" s="173">
        <v>1</v>
      </c>
      <c r="P537" s="131"/>
      <c r="Q537" s="131"/>
      <c r="R537" s="131" t="e">
        <f t="shared" si="25"/>
        <v>#REF!</v>
      </c>
      <c r="S537" s="131"/>
    </row>
    <row r="538" spans="1:19" s="11" customFormat="1">
      <c r="A538" s="33">
        <v>8014</v>
      </c>
      <c r="B538" s="47" t="str">
        <f>IF($L538=1,VLOOKUP($M538,[1]Sheet1!$A:$C,2,0),IF($L538=4,VLOOKUP($M538,[4]Sheet1!$A:$B,2,0),IF($L538=2,VLOOKUP($M538,[5]Sheet1!$A:$B,2,0),IF($L538=6,VLOOKUP($M538,[6]Sheet1!$A:$B,2,0),0))))&amp;"x"&amp;$N538</f>
        <v>判官笔碎片x5</v>
      </c>
      <c r="C538" s="11">
        <v>4</v>
      </c>
      <c r="D538" s="11">
        <v>4</v>
      </c>
      <c r="E538" s="11">
        <v>29</v>
      </c>
      <c r="F538" s="47">
        <v>0</v>
      </c>
      <c r="G538" s="35">
        <v>500</v>
      </c>
      <c r="H538" s="35">
        <v>0</v>
      </c>
      <c r="I538" s="35">
        <v>1</v>
      </c>
      <c r="J538" s="35">
        <v>1</v>
      </c>
      <c r="K538" s="87" t="s">
        <v>8</v>
      </c>
      <c r="L538" s="60">
        <v>1</v>
      </c>
      <c r="M538" s="172">
        <v>17135</v>
      </c>
      <c r="N538" s="60">
        <v>5</v>
      </c>
      <c r="O538" s="173">
        <v>1</v>
      </c>
      <c r="P538" s="131"/>
      <c r="Q538" s="131"/>
      <c r="R538" s="131" t="e">
        <f t="shared" si="25"/>
        <v>#REF!</v>
      </c>
      <c r="S538" s="131"/>
    </row>
    <row r="539" spans="1:19" s="11" customFormat="1">
      <c r="A539" s="33">
        <v>8015</v>
      </c>
      <c r="B539" s="47" t="str">
        <f>IF($L539=1,VLOOKUP($M539,[1]Sheet1!$A:$C,2,0),IF($L539=4,VLOOKUP($M539,[4]Sheet1!$A:$B,2,0),IF($L539=2,VLOOKUP($M539,[5]Sheet1!$A:$B,2,0),IF($L539=6,VLOOKUP($M539,[6]Sheet1!$A:$B,2,0),0))))&amp;"x"&amp;$N539</f>
        <v>琴瑟琵琶碎片x5</v>
      </c>
      <c r="C539" s="11">
        <v>4</v>
      </c>
      <c r="D539" s="11">
        <v>4</v>
      </c>
      <c r="E539" s="11">
        <v>29</v>
      </c>
      <c r="F539" s="47">
        <v>0</v>
      </c>
      <c r="G539" s="35">
        <v>500</v>
      </c>
      <c r="H539" s="35">
        <v>0</v>
      </c>
      <c r="I539" s="35">
        <v>1</v>
      </c>
      <c r="J539" s="35">
        <v>1</v>
      </c>
      <c r="K539" s="87" t="s">
        <v>8</v>
      </c>
      <c r="L539" s="60">
        <v>1</v>
      </c>
      <c r="M539" s="172">
        <v>17136</v>
      </c>
      <c r="N539" s="60">
        <v>5</v>
      </c>
      <c r="O539" s="173">
        <v>1</v>
      </c>
      <c r="P539" s="131"/>
      <c r="Q539" s="131"/>
      <c r="R539" s="131" t="e">
        <f t="shared" si="25"/>
        <v>#REF!</v>
      </c>
      <c r="S539" s="131"/>
    </row>
    <row r="540" spans="1:19" s="11" customFormat="1">
      <c r="A540" s="33">
        <v>8016</v>
      </c>
      <c r="B540" s="47" t="str">
        <f>IF($L540=1,VLOOKUP($M540,[1]Sheet1!$A:$C,2,0),IF($L540=4,VLOOKUP($M540,[4]Sheet1!$A:$B,2,0),IF($L540=2,VLOOKUP($M540,[5]Sheet1!$A:$B,2,0),IF($L540=6,VLOOKUP($M540,[6]Sheet1!$A:$B,2,0),0))))&amp;"x"&amp;$N540</f>
        <v>肚脐蛛网碎片x5</v>
      </c>
      <c r="C540" s="11">
        <v>4</v>
      </c>
      <c r="D540" s="11">
        <v>4</v>
      </c>
      <c r="E540" s="11">
        <v>29</v>
      </c>
      <c r="F540" s="47">
        <v>0</v>
      </c>
      <c r="G540" s="35">
        <v>500</v>
      </c>
      <c r="H540" s="35">
        <v>0</v>
      </c>
      <c r="I540" s="35">
        <v>1</v>
      </c>
      <c r="J540" s="35">
        <v>1</v>
      </c>
      <c r="K540" s="87" t="s">
        <v>8</v>
      </c>
      <c r="L540" s="60">
        <v>1</v>
      </c>
      <c r="M540" s="172">
        <v>17137</v>
      </c>
      <c r="N540" s="60">
        <v>5</v>
      </c>
      <c r="O540" s="173">
        <v>1</v>
      </c>
      <c r="P540" s="131"/>
      <c r="Q540" s="131"/>
      <c r="R540" s="131" t="e">
        <f t="shared" si="25"/>
        <v>#REF!</v>
      </c>
      <c r="S540" s="131"/>
    </row>
    <row r="541" spans="1:19" s="11" customFormat="1">
      <c r="A541" s="33">
        <v>8017</v>
      </c>
      <c r="B541" s="47" t="str">
        <f>IF($L541=1,VLOOKUP($M541,[1]Sheet1!$A:$C,2,0),IF($L541=4,VLOOKUP($M541,[4]Sheet1!$A:$B,2,0),IF($L541=2,VLOOKUP($M541,[5]Sheet1!$A:$B,2,0),IF($L541=6,VLOOKUP($M541,[6]Sheet1!$A:$B,2,0),0))))&amp;"x"&amp;$N541</f>
        <v>相思醉碎片x5</v>
      </c>
      <c r="C541" s="11">
        <v>4</v>
      </c>
      <c r="D541" s="11">
        <v>4</v>
      </c>
      <c r="E541" s="11">
        <v>29</v>
      </c>
      <c r="F541" s="47">
        <v>0</v>
      </c>
      <c r="G541" s="35">
        <v>500</v>
      </c>
      <c r="H541" s="35">
        <v>0</v>
      </c>
      <c r="I541" s="35">
        <v>1</v>
      </c>
      <c r="J541" s="35">
        <v>1</v>
      </c>
      <c r="K541" s="87" t="s">
        <v>8</v>
      </c>
      <c r="L541" s="60">
        <v>1</v>
      </c>
      <c r="M541" s="172">
        <v>17138</v>
      </c>
      <c r="N541" s="60">
        <v>5</v>
      </c>
      <c r="O541" s="173">
        <v>1</v>
      </c>
      <c r="P541" s="131"/>
      <c r="Q541" s="131"/>
      <c r="R541" s="131" t="e">
        <f t="shared" si="25"/>
        <v>#REF!</v>
      </c>
      <c r="S541" s="131"/>
    </row>
    <row r="542" spans="1:19" s="11" customFormat="1">
      <c r="A542" s="33">
        <v>8018</v>
      </c>
      <c r="B542" s="47" t="str">
        <f>IF($L542=1,VLOOKUP($M542,[1]Sheet1!$A:$C,2,0),IF($L542=4,VLOOKUP($M542,[4]Sheet1!$A:$B,2,0),IF($L542=2,VLOOKUP($M542,[5]Sheet1!$A:$B,2,0),IF($L542=6,VLOOKUP($M542,[6]Sheet1!$A:$B,2,0),0))))&amp;"x"&amp;$N542</f>
        <v>太白金剑碎片x5</v>
      </c>
      <c r="C542" s="11">
        <v>4</v>
      </c>
      <c r="D542" s="11">
        <v>4</v>
      </c>
      <c r="E542" s="11">
        <v>29</v>
      </c>
      <c r="F542" s="47">
        <v>0</v>
      </c>
      <c r="G542" s="35">
        <v>500</v>
      </c>
      <c r="H542" s="35">
        <v>0</v>
      </c>
      <c r="I542" s="35">
        <v>1</v>
      </c>
      <c r="J542" s="35">
        <v>1</v>
      </c>
      <c r="K542" s="87" t="s">
        <v>8</v>
      </c>
      <c r="L542" s="60">
        <v>1</v>
      </c>
      <c r="M542" s="172">
        <v>17139</v>
      </c>
      <c r="N542" s="60">
        <v>5</v>
      </c>
      <c r="O542" s="173">
        <v>1</v>
      </c>
      <c r="P542" s="131"/>
      <c r="Q542" s="131"/>
      <c r="R542" s="131" t="e">
        <f t="shared" si="25"/>
        <v>#REF!</v>
      </c>
      <c r="S542" s="131"/>
    </row>
    <row r="543" spans="1:19" s="11" customFormat="1">
      <c r="A543" s="33">
        <v>8019</v>
      </c>
      <c r="B543" s="47" t="str">
        <f>IF($L543=1,VLOOKUP($M543,[1]Sheet1!$A:$C,2,0),IF($L543=4,VLOOKUP($M543,[4]Sheet1!$A:$B,2,0),IF($L543=2,VLOOKUP($M543,[5]Sheet1!$A:$B,2,0),IF($L543=6,VLOOKUP($M543,[6]Sheet1!$A:$B,2,0),0))))&amp;"x"&amp;$N543</f>
        <v>凝神花碎片x5</v>
      </c>
      <c r="C543" s="11">
        <v>4</v>
      </c>
      <c r="D543" s="11">
        <v>4</v>
      </c>
      <c r="E543" s="11">
        <v>29</v>
      </c>
      <c r="F543" s="47">
        <v>0</v>
      </c>
      <c r="G543" s="35">
        <v>500</v>
      </c>
      <c r="H543" s="35">
        <v>0</v>
      </c>
      <c r="I543" s="35">
        <v>1</v>
      </c>
      <c r="J543" s="35">
        <v>1</v>
      </c>
      <c r="K543" s="87" t="s">
        <v>8</v>
      </c>
      <c r="L543" s="60">
        <v>1</v>
      </c>
      <c r="M543" s="172">
        <v>17141</v>
      </c>
      <c r="N543" s="60">
        <v>5</v>
      </c>
      <c r="O543" s="173">
        <v>1</v>
      </c>
      <c r="P543" s="131"/>
      <c r="Q543" s="131"/>
      <c r="R543" s="131" t="e">
        <f t="shared" si="25"/>
        <v>#REF!</v>
      </c>
      <c r="S543" s="131"/>
    </row>
    <row r="544" spans="1:19" s="11" customFormat="1">
      <c r="A544" s="33">
        <v>8020</v>
      </c>
      <c r="B544" s="47" t="str">
        <f>IF($L544=1,VLOOKUP($M544,[1]Sheet1!$A:$C,2,0),IF($L544=4,VLOOKUP($M544,[4]Sheet1!$A:$B,2,0),IF($L544=2,VLOOKUP($M544,[5]Sheet1!$A:$B,2,0),IF($L544=6,VLOOKUP($M544,[6]Sheet1!$A:$B,2,0),0))))&amp;"x"&amp;$N544</f>
        <v>九环锡杖碎片x5</v>
      </c>
      <c r="C544" s="11">
        <v>4</v>
      </c>
      <c r="D544" s="11">
        <v>4</v>
      </c>
      <c r="E544" s="11">
        <v>29</v>
      </c>
      <c r="F544" s="47">
        <v>0</v>
      </c>
      <c r="G544" s="35">
        <v>500</v>
      </c>
      <c r="H544" s="35">
        <v>0</v>
      </c>
      <c r="I544" s="35">
        <v>1</v>
      </c>
      <c r="J544" s="35">
        <v>1</v>
      </c>
      <c r="K544" s="87" t="s">
        <v>8</v>
      </c>
      <c r="L544" s="60">
        <v>1</v>
      </c>
      <c r="M544" s="172">
        <v>17142</v>
      </c>
      <c r="N544" s="60">
        <v>5</v>
      </c>
      <c r="O544" s="173">
        <v>1</v>
      </c>
      <c r="P544" s="131"/>
      <c r="Q544" s="131"/>
      <c r="R544" s="131" t="e">
        <f t="shared" si="25"/>
        <v>#REF!</v>
      </c>
      <c r="S544" s="131"/>
    </row>
    <row r="545" spans="1:19" s="11" customFormat="1">
      <c r="A545" s="33">
        <v>8021</v>
      </c>
      <c r="B545" s="47" t="str">
        <f>IF($L545=1,VLOOKUP($M545,[1]Sheet1!$A:$C,2,0),IF($L545=4,VLOOKUP($M545,[4]Sheet1!$A:$B,2,0),IF($L545=2,VLOOKUP($M545,[5]Sheet1!$A:$B,2,0),IF($L545=6,VLOOKUP($M545,[6]Sheet1!$A:$B,2,0),0))))&amp;"x"&amp;$N545</f>
        <v>吊莲仙灯碎片x5</v>
      </c>
      <c r="C545" s="11">
        <v>4</v>
      </c>
      <c r="D545" s="11">
        <v>4</v>
      </c>
      <c r="E545" s="11">
        <v>29</v>
      </c>
      <c r="F545" s="47">
        <v>0</v>
      </c>
      <c r="G545" s="35">
        <v>500</v>
      </c>
      <c r="H545" s="35">
        <v>0</v>
      </c>
      <c r="I545" s="35">
        <v>1</v>
      </c>
      <c r="J545" s="35">
        <v>1</v>
      </c>
      <c r="K545" s="87" t="s">
        <v>8</v>
      </c>
      <c r="L545" s="60">
        <v>1</v>
      </c>
      <c r="M545" s="172">
        <v>17143</v>
      </c>
      <c r="N545" s="60">
        <v>5</v>
      </c>
      <c r="O545" s="173">
        <v>1</v>
      </c>
      <c r="P545" s="131"/>
      <c r="Q545" s="131"/>
      <c r="R545" s="131" t="e">
        <f t="shared" si="25"/>
        <v>#REF!</v>
      </c>
      <c r="S545" s="131"/>
    </row>
    <row r="546" spans="1:19" s="11" customFormat="1">
      <c r="A546" s="33">
        <v>8022</v>
      </c>
      <c r="B546" s="47" t="str">
        <f>IF($L546=1,VLOOKUP($M546,[1]Sheet1!$A:$C,2,0),IF($L546=4,VLOOKUP($M546,[4]Sheet1!$A:$B,2,0),IF($L546=2,VLOOKUP($M546,[5]Sheet1!$A:$B,2,0),IF($L546=6,VLOOKUP($M546,[6]Sheet1!$A:$B,2,0),0))))&amp;"x"&amp;$N546</f>
        <v>落樱神斧碎片x5</v>
      </c>
      <c r="C546" s="11">
        <v>4</v>
      </c>
      <c r="D546" s="11">
        <v>4</v>
      </c>
      <c r="E546" s="11">
        <v>29</v>
      </c>
      <c r="F546" s="47">
        <v>0</v>
      </c>
      <c r="G546" s="35">
        <v>500</v>
      </c>
      <c r="H546" s="35">
        <v>0</v>
      </c>
      <c r="I546" s="35">
        <v>1</v>
      </c>
      <c r="J546" s="35">
        <v>1</v>
      </c>
      <c r="K546" s="87" t="s">
        <v>8</v>
      </c>
      <c r="L546" s="60">
        <v>1</v>
      </c>
      <c r="M546" s="172">
        <v>17144</v>
      </c>
      <c r="N546" s="60">
        <v>5</v>
      </c>
      <c r="O546" s="173">
        <v>1</v>
      </c>
      <c r="P546" s="131"/>
      <c r="Q546" s="131"/>
      <c r="R546" s="131" t="e">
        <f t="shared" si="25"/>
        <v>#REF!</v>
      </c>
      <c r="S546" s="131"/>
    </row>
    <row r="547" spans="1:19" s="65" customFormat="1">
      <c r="A547" s="64">
        <v>8051</v>
      </c>
      <c r="B547" s="66" t="str">
        <f>IF($L547=1,VLOOKUP($M547,[1]Sheet1!$A:$C,2,0),IF($L547=4,VLOOKUP($M547,[4]Sheet1!$A:$B,2,0),IF($L547=2,VLOOKUP($M547,[5]Sheet1!$A:$B,2,0),IF($L547=6,VLOOKUP($M547,[6]Sheet1!$A:$B,2,0),0))))&amp;"x"&amp;$N547</f>
        <v>红莲岩泉碎片x5</v>
      </c>
      <c r="C547" s="65">
        <v>4</v>
      </c>
      <c r="D547" s="65">
        <v>4</v>
      </c>
      <c r="E547" s="65">
        <v>29</v>
      </c>
      <c r="F547" s="66">
        <v>0</v>
      </c>
      <c r="G547" s="67">
        <v>1000</v>
      </c>
      <c r="H547" s="67">
        <v>0</v>
      </c>
      <c r="I547" s="67">
        <v>1</v>
      </c>
      <c r="J547" s="67">
        <v>1</v>
      </c>
      <c r="K547" s="84" t="s">
        <v>8</v>
      </c>
      <c r="L547" s="68">
        <v>1</v>
      </c>
      <c r="M547" s="149">
        <v>17103</v>
      </c>
      <c r="N547" s="68">
        <v>5</v>
      </c>
      <c r="O547" s="150">
        <v>1</v>
      </c>
      <c r="P547" s="129"/>
      <c r="Q547" s="129"/>
      <c r="R547" s="129" t="e">
        <f>IF($G547&lt;&gt;#REF!,"["&amp;$A547&amp;",1]",#REF!&amp;IF($O547=1,",["&amp;$A547&amp;",1]",""))</f>
        <v>#REF!</v>
      </c>
      <c r="S547" s="129"/>
    </row>
    <row r="548" spans="1:19" s="65" customFormat="1">
      <c r="A548" s="64">
        <v>8052</v>
      </c>
      <c r="B548" s="66" t="str">
        <f>IF($L548=1,VLOOKUP($M548,[1]Sheet1!$A:$C,2,0),IF($L548=4,VLOOKUP($M548,[4]Sheet1!$A:$B,2,0),IF($L548=2,VLOOKUP($M548,[5]Sheet1!$A:$B,2,0),IF($L548=6,VLOOKUP($M548,[6]Sheet1!$A:$B,2,0),0))))&amp;"x"&amp;$N548</f>
        <v>玲珑天晶塔碎片x5</v>
      </c>
      <c r="C548" s="65">
        <v>4</v>
      </c>
      <c r="D548" s="65">
        <v>4</v>
      </c>
      <c r="E548" s="65">
        <v>29</v>
      </c>
      <c r="F548" s="66">
        <v>0</v>
      </c>
      <c r="G548" s="67">
        <v>1000</v>
      </c>
      <c r="H548" s="67">
        <v>0</v>
      </c>
      <c r="I548" s="67">
        <v>1</v>
      </c>
      <c r="J548" s="67">
        <v>1</v>
      </c>
      <c r="K548" s="84" t="s">
        <v>8</v>
      </c>
      <c r="L548" s="68">
        <v>1</v>
      </c>
      <c r="M548" s="149">
        <v>17106</v>
      </c>
      <c r="N548" s="68">
        <v>5</v>
      </c>
      <c r="O548" s="150">
        <v>1</v>
      </c>
      <c r="P548" s="129"/>
      <c r="Q548" s="129"/>
      <c r="R548" s="129" t="e">
        <f t="shared" si="25"/>
        <v>#REF!</v>
      </c>
      <c r="S548" s="129"/>
    </row>
    <row r="549" spans="1:19" s="65" customFormat="1">
      <c r="A549" s="64">
        <v>8053</v>
      </c>
      <c r="B549" s="66" t="str">
        <f>IF($L549=1,VLOOKUP($M549,[1]Sheet1!$A:$C,2,0),IF($L549=4,VLOOKUP($M549,[4]Sheet1!$A:$B,2,0),IF($L549=2,VLOOKUP($M549,[5]Sheet1!$A:$B,2,0),IF($L549=6,VLOOKUP($M549,[6]Sheet1!$A:$B,2,0),0))))&amp;"x"&amp;$N549</f>
        <v>明王摧城碎片x5</v>
      </c>
      <c r="C549" s="65">
        <v>4</v>
      </c>
      <c r="D549" s="65">
        <v>4</v>
      </c>
      <c r="E549" s="65">
        <v>29</v>
      </c>
      <c r="F549" s="66">
        <v>0</v>
      </c>
      <c r="G549" s="67">
        <v>1000</v>
      </c>
      <c r="H549" s="67">
        <v>0</v>
      </c>
      <c r="I549" s="67">
        <v>1</v>
      </c>
      <c r="J549" s="67">
        <v>1</v>
      </c>
      <c r="K549" s="84" t="s">
        <v>8</v>
      </c>
      <c r="L549" s="68">
        <v>1</v>
      </c>
      <c r="M549" s="149">
        <v>17107</v>
      </c>
      <c r="N549" s="68">
        <v>5</v>
      </c>
      <c r="O549" s="150">
        <v>1</v>
      </c>
      <c r="P549" s="129"/>
      <c r="Q549" s="129"/>
      <c r="R549" s="129" t="e">
        <f t="shared" si="25"/>
        <v>#REF!</v>
      </c>
      <c r="S549" s="129"/>
    </row>
    <row r="550" spans="1:19" s="65" customFormat="1">
      <c r="A550" s="64">
        <v>8054</v>
      </c>
      <c r="B550" s="66" t="str">
        <f>IF($L550=1,VLOOKUP($M550,[1]Sheet1!$A:$C,2,0),IF($L550=4,VLOOKUP($M550,[4]Sheet1!$A:$B,2,0),IF($L550=2,VLOOKUP($M550,[5]Sheet1!$A:$B,2,0),IF($L550=6,VLOOKUP($M550,[6]Sheet1!$A:$B,2,0),0))))&amp;"x"&amp;$N550</f>
        <v>上宝沁金钯碎片x5</v>
      </c>
      <c r="C550" s="65">
        <v>4</v>
      </c>
      <c r="D550" s="65">
        <v>4</v>
      </c>
      <c r="E550" s="65">
        <v>29</v>
      </c>
      <c r="F550" s="66">
        <v>0</v>
      </c>
      <c r="G550" s="67">
        <v>1000</v>
      </c>
      <c r="H550" s="67">
        <v>0</v>
      </c>
      <c r="I550" s="67">
        <v>1</v>
      </c>
      <c r="J550" s="67">
        <v>1</v>
      </c>
      <c r="K550" s="84" t="s">
        <v>8</v>
      </c>
      <c r="L550" s="68">
        <v>1</v>
      </c>
      <c r="M550" s="149">
        <v>17108</v>
      </c>
      <c r="N550" s="68">
        <v>5</v>
      </c>
      <c r="O550" s="150">
        <v>1</v>
      </c>
      <c r="P550" s="129"/>
      <c r="Q550" s="129"/>
      <c r="R550" s="129" t="e">
        <f t="shared" si="25"/>
        <v>#REF!</v>
      </c>
      <c r="S550" s="129"/>
    </row>
    <row r="551" spans="1:19" s="65" customFormat="1">
      <c r="A551" s="64">
        <v>8055</v>
      </c>
      <c r="B551" s="66" t="str">
        <f>IF($L551=1,VLOOKUP($M551,[1]Sheet1!$A:$C,2,0),IF($L551=4,VLOOKUP($M551,[4]Sheet1!$A:$B,2,0),IF($L551=2,VLOOKUP($M551,[5]Sheet1!$A:$B,2,0),IF($L551=6,VLOOKUP($M551,[6]Sheet1!$A:$B,2,0),0))))&amp;"x"&amp;$N551</f>
        <v>昆仑神木珠碎片x5</v>
      </c>
      <c r="C551" s="65">
        <v>4</v>
      </c>
      <c r="D551" s="65">
        <v>4</v>
      </c>
      <c r="E551" s="65">
        <v>29</v>
      </c>
      <c r="F551" s="66">
        <v>0</v>
      </c>
      <c r="G551" s="67">
        <v>1000</v>
      </c>
      <c r="H551" s="67">
        <v>0</v>
      </c>
      <c r="I551" s="67">
        <v>1</v>
      </c>
      <c r="J551" s="67">
        <v>1</v>
      </c>
      <c r="K551" s="84" t="s">
        <v>8</v>
      </c>
      <c r="L551" s="68">
        <v>1</v>
      </c>
      <c r="M551" s="149">
        <v>17109</v>
      </c>
      <c r="N551" s="68">
        <v>5</v>
      </c>
      <c r="O551" s="150">
        <v>1</v>
      </c>
      <c r="P551" s="129"/>
      <c r="Q551" s="129"/>
      <c r="R551" s="129" t="e">
        <f t="shared" si="25"/>
        <v>#REF!</v>
      </c>
      <c r="S551" s="129"/>
    </row>
    <row r="552" spans="1:19" s="65" customFormat="1">
      <c r="A552" s="64">
        <v>8056</v>
      </c>
      <c r="B552" s="66" t="str">
        <f>IF($L552=1,VLOOKUP($M552,[1]Sheet1!$A:$C,2,0),IF($L552=4,VLOOKUP($M552,[4]Sheet1!$A:$B,2,0),IF($L552=2,VLOOKUP($M552,[5]Sheet1!$A:$B,2,0),IF($L552=6,VLOOKUP($M552,[6]Sheet1!$A:$B,2,0),0))))&amp;"x"&amp;$N552</f>
        <v>浮沉三世碎片x5</v>
      </c>
      <c r="C552" s="65">
        <v>4</v>
      </c>
      <c r="D552" s="65">
        <v>4</v>
      </c>
      <c r="E552" s="65">
        <v>29</v>
      </c>
      <c r="F552" s="66">
        <v>0</v>
      </c>
      <c r="G552" s="67">
        <v>1000</v>
      </c>
      <c r="H552" s="67">
        <v>0</v>
      </c>
      <c r="I552" s="67">
        <v>1</v>
      </c>
      <c r="J552" s="67">
        <v>1</v>
      </c>
      <c r="K552" s="84" t="s">
        <v>8</v>
      </c>
      <c r="L552" s="68">
        <v>1</v>
      </c>
      <c r="M552" s="149">
        <v>17110</v>
      </c>
      <c r="N552" s="68">
        <v>5</v>
      </c>
      <c r="O552" s="150">
        <v>1</v>
      </c>
      <c r="P552" s="129"/>
      <c r="Q552" s="129"/>
      <c r="R552" s="129" t="e">
        <f t="shared" si="25"/>
        <v>#REF!</v>
      </c>
      <c r="S552" s="129"/>
    </row>
    <row r="553" spans="1:19" s="65" customFormat="1">
      <c r="A553" s="64">
        <v>8057</v>
      </c>
      <c r="B553" s="66" t="str">
        <f>IF($L553=1,VLOOKUP($M553,[1]Sheet1!$A:$C,2,0),IF($L553=4,VLOOKUP($M553,[4]Sheet1!$A:$B,2,0),IF($L553=2,VLOOKUP($M553,[5]Sheet1!$A:$B,2,0),IF($L553=6,VLOOKUP($M553,[6]Sheet1!$A:$B,2,0),0))))&amp;"x"&amp;$N553</f>
        <v>斩鬼流岩碎片x5</v>
      </c>
      <c r="C553" s="65">
        <v>4</v>
      </c>
      <c r="D553" s="65">
        <v>4</v>
      </c>
      <c r="E553" s="65">
        <v>29</v>
      </c>
      <c r="F553" s="66">
        <v>0</v>
      </c>
      <c r="G553" s="67">
        <v>1000</v>
      </c>
      <c r="H553" s="67">
        <v>0</v>
      </c>
      <c r="I553" s="67">
        <v>1</v>
      </c>
      <c r="J553" s="67">
        <v>1</v>
      </c>
      <c r="K553" s="84" t="s">
        <v>8</v>
      </c>
      <c r="L553" s="68">
        <v>1</v>
      </c>
      <c r="M553" s="149">
        <v>17111</v>
      </c>
      <c r="N553" s="68">
        <v>5</v>
      </c>
      <c r="O553" s="150">
        <v>1</v>
      </c>
      <c r="P553" s="129"/>
      <c r="Q553" s="129"/>
      <c r="R553" s="129" t="e">
        <f t="shared" si="25"/>
        <v>#REF!</v>
      </c>
      <c r="S553" s="129"/>
    </row>
    <row r="554" spans="1:19" s="65" customFormat="1">
      <c r="A554" s="64">
        <v>8058</v>
      </c>
      <c r="B554" s="66" t="str">
        <f>IF($L554=1,VLOOKUP($M554,[1]Sheet1!$A:$C,2,0),IF($L554=4,VLOOKUP($M554,[4]Sheet1!$A:$B,2,0),IF($L554=2,VLOOKUP($M554,[5]Sheet1!$A:$B,2,0),IF($L554=6,VLOOKUP($M554,[6]Sheet1!$A:$B,2,0),0))))&amp;"x"&amp;$N554</f>
        <v>修罗开山斧碎片x5</v>
      </c>
      <c r="C554" s="65">
        <v>4</v>
      </c>
      <c r="D554" s="65">
        <v>4</v>
      </c>
      <c r="E554" s="65">
        <v>29</v>
      </c>
      <c r="F554" s="66">
        <v>0</v>
      </c>
      <c r="G554" s="67">
        <v>1000</v>
      </c>
      <c r="H554" s="67">
        <v>0</v>
      </c>
      <c r="I554" s="67">
        <v>1</v>
      </c>
      <c r="J554" s="67">
        <v>1</v>
      </c>
      <c r="K554" s="84" t="s">
        <v>8</v>
      </c>
      <c r="L554" s="68">
        <v>1</v>
      </c>
      <c r="M554" s="149">
        <v>17112</v>
      </c>
      <c r="N554" s="68">
        <v>5</v>
      </c>
      <c r="O554" s="150">
        <v>1</v>
      </c>
      <c r="P554" s="129"/>
      <c r="Q554" s="129"/>
      <c r="R554" s="129" t="e">
        <f t="shared" si="25"/>
        <v>#REF!</v>
      </c>
      <c r="S554" s="129"/>
    </row>
    <row r="555" spans="1:19" s="65" customFormat="1">
      <c r="A555" s="64">
        <v>8059</v>
      </c>
      <c r="B555" s="66" t="str">
        <f>IF($L555=1,VLOOKUP($M555,[1]Sheet1!$A:$C,2,0),IF($L555=4,VLOOKUP($M555,[4]Sheet1!$A:$B,2,0),IF($L555=2,VLOOKUP($M555,[5]Sheet1!$A:$B,2,0),IF($L555=6,VLOOKUP($M555,[6]Sheet1!$A:$B,2,0),0))))&amp;"x"&amp;$N555</f>
        <v>绝魂领悟碎片x5</v>
      </c>
      <c r="C555" s="65">
        <v>4</v>
      </c>
      <c r="D555" s="65">
        <v>4</v>
      </c>
      <c r="E555" s="65">
        <v>29</v>
      </c>
      <c r="F555" s="66">
        <v>0</v>
      </c>
      <c r="G555" s="67">
        <v>1000</v>
      </c>
      <c r="H555" s="67">
        <v>0</v>
      </c>
      <c r="I555" s="67">
        <v>1</v>
      </c>
      <c r="J555" s="67">
        <v>1</v>
      </c>
      <c r="K555" s="84" t="s">
        <v>8</v>
      </c>
      <c r="L555" s="68">
        <v>1</v>
      </c>
      <c r="M555" s="149">
        <v>17115</v>
      </c>
      <c r="N555" s="68">
        <v>5</v>
      </c>
      <c r="O555" s="150">
        <v>1</v>
      </c>
      <c r="P555" s="129"/>
      <c r="Q555" s="129"/>
      <c r="R555" s="129" t="e">
        <f t="shared" si="25"/>
        <v>#REF!</v>
      </c>
      <c r="S555" s="129"/>
    </row>
    <row r="556" spans="1:19" s="65" customFormat="1">
      <c r="A556" s="64">
        <v>8060</v>
      </c>
      <c r="B556" s="66" t="str">
        <f>IF($L556=1,VLOOKUP($M556,[1]Sheet1!$A:$C,2,0),IF($L556=4,VLOOKUP($M556,[4]Sheet1!$A:$B,2,0),IF($L556=2,VLOOKUP($M556,[5]Sheet1!$A:$B,2,0),IF($L556=6,VLOOKUP($M556,[6]Sheet1!$A:$B,2,0),0))))&amp;"x"&amp;$N556</f>
        <v>沉星芭蕉扇碎片x5</v>
      </c>
      <c r="C556" s="65">
        <v>4</v>
      </c>
      <c r="D556" s="65">
        <v>4</v>
      </c>
      <c r="E556" s="65">
        <v>29</v>
      </c>
      <c r="F556" s="66">
        <v>0</v>
      </c>
      <c r="G556" s="67">
        <v>1000</v>
      </c>
      <c r="H556" s="67">
        <v>0</v>
      </c>
      <c r="I556" s="67">
        <v>1</v>
      </c>
      <c r="J556" s="67">
        <v>1</v>
      </c>
      <c r="K556" s="84" t="s">
        <v>8</v>
      </c>
      <c r="L556" s="68">
        <v>1</v>
      </c>
      <c r="M556" s="149">
        <v>17122</v>
      </c>
      <c r="N556" s="68">
        <v>5</v>
      </c>
      <c r="O556" s="150">
        <v>1</v>
      </c>
      <c r="P556" s="129"/>
      <c r="Q556" s="129"/>
      <c r="R556" s="129" t="e">
        <f t="shared" si="25"/>
        <v>#REF!</v>
      </c>
      <c r="S556" s="129"/>
    </row>
    <row r="557" spans="1:19" s="65" customFormat="1">
      <c r="A557" s="64">
        <v>8061</v>
      </c>
      <c r="B557" s="66" t="str">
        <f>IF($L557=1,VLOOKUP($M557,[1]Sheet1!$A:$C,2,0),IF($L557=4,VLOOKUP($M557,[4]Sheet1!$A:$B,2,0),IF($L557=2,VLOOKUP($M557,[5]Sheet1!$A:$B,2,0),IF($L557=6,VLOOKUP($M557,[6]Sheet1!$A:$B,2,0),0))))&amp;"x"&amp;$N557</f>
        <v>深海碎霜碎片x5</v>
      </c>
      <c r="C557" s="65">
        <v>4</v>
      </c>
      <c r="D557" s="65">
        <v>4</v>
      </c>
      <c r="E557" s="65">
        <v>29</v>
      </c>
      <c r="F557" s="66">
        <v>0</v>
      </c>
      <c r="G557" s="67">
        <v>1000</v>
      </c>
      <c r="H557" s="67">
        <v>0</v>
      </c>
      <c r="I557" s="67">
        <v>1</v>
      </c>
      <c r="J557" s="67">
        <v>1</v>
      </c>
      <c r="K557" s="84" t="s">
        <v>8</v>
      </c>
      <c r="L557" s="68">
        <v>1</v>
      </c>
      <c r="M557" s="149">
        <v>17118</v>
      </c>
      <c r="N557" s="68">
        <v>5</v>
      </c>
      <c r="O557" s="150">
        <v>1</v>
      </c>
      <c r="P557" s="129"/>
      <c r="Q557" s="129"/>
      <c r="R557" s="129" t="e">
        <f t="shared" si="25"/>
        <v>#REF!</v>
      </c>
      <c r="S557" s="129"/>
    </row>
    <row r="558" spans="1:19" s="65" customFormat="1">
      <c r="A558" s="64">
        <v>8062</v>
      </c>
      <c r="B558" s="66" t="str">
        <f>IF($L558=1,VLOOKUP($M558,[1]Sheet1!$A:$C,2,0),IF($L558=4,VLOOKUP($M558,[4]Sheet1!$A:$B,2,0),IF($L558=2,VLOOKUP($M558,[5]Sheet1!$A:$B,2,0),IF($L558=6,VLOOKUP($M558,[6]Sheet1!$A:$B,2,0),0))))&amp;"x"&amp;$N558</f>
        <v>焚焰溯流碎片x5</v>
      </c>
      <c r="C558" s="65">
        <v>4</v>
      </c>
      <c r="D558" s="65">
        <v>4</v>
      </c>
      <c r="E558" s="65">
        <v>29</v>
      </c>
      <c r="F558" s="66">
        <v>0</v>
      </c>
      <c r="G558" s="67">
        <v>1000</v>
      </c>
      <c r="H558" s="67">
        <v>0</v>
      </c>
      <c r="I558" s="67">
        <v>1</v>
      </c>
      <c r="J558" s="67">
        <v>1</v>
      </c>
      <c r="K558" s="84" t="s">
        <v>8</v>
      </c>
      <c r="L558" s="68">
        <v>1</v>
      </c>
      <c r="M558" s="149">
        <v>17119</v>
      </c>
      <c r="N558" s="68">
        <v>5</v>
      </c>
      <c r="O558" s="150">
        <v>1</v>
      </c>
      <c r="P558" s="129"/>
      <c r="Q558" s="129"/>
      <c r="R558" s="129" t="e">
        <f t="shared" si="25"/>
        <v>#REF!</v>
      </c>
      <c r="S558" s="129"/>
    </row>
    <row r="559" spans="1:19" s="65" customFormat="1">
      <c r="A559" s="64">
        <v>8063</v>
      </c>
      <c r="B559" s="66" t="str">
        <f>IF($L559=1,VLOOKUP($M559,[1]Sheet1!$A:$C,2,0),IF($L559=4,VLOOKUP($M559,[4]Sheet1!$A:$B,2,0),IF($L559=2,VLOOKUP($M559,[5]Sheet1!$A:$B,2,0),IF($L559=6,VLOOKUP($M559,[6]Sheet1!$A:$B,2,0),0))))&amp;"x"&amp;$N559</f>
        <v>追风紫罗带碎片x5</v>
      </c>
      <c r="C559" s="65">
        <v>4</v>
      </c>
      <c r="D559" s="65">
        <v>4</v>
      </c>
      <c r="E559" s="65">
        <v>29</v>
      </c>
      <c r="F559" s="66">
        <v>0</v>
      </c>
      <c r="G559" s="67">
        <v>1000</v>
      </c>
      <c r="H559" s="67">
        <v>0</v>
      </c>
      <c r="I559" s="67">
        <v>1</v>
      </c>
      <c r="J559" s="67">
        <v>1</v>
      </c>
      <c r="K559" s="84" t="s">
        <v>8</v>
      </c>
      <c r="L559" s="68">
        <v>1</v>
      </c>
      <c r="M559" s="149">
        <v>17120</v>
      </c>
      <c r="N559" s="68">
        <v>5</v>
      </c>
      <c r="O559" s="150">
        <v>1</v>
      </c>
      <c r="P559" s="129"/>
      <c r="Q559" s="129"/>
      <c r="R559" s="129" t="e">
        <f t="shared" si="25"/>
        <v>#REF!</v>
      </c>
      <c r="S559" s="129"/>
    </row>
    <row r="560" spans="1:19" s="65" customFormat="1">
      <c r="A560" s="64">
        <v>8064</v>
      </c>
      <c r="B560" s="66" t="str">
        <f>IF($L560=1,VLOOKUP($M560,[1]Sheet1!$A:$C,2,0),IF($L560=4,VLOOKUP($M560,[4]Sheet1!$A:$B,2,0),IF($L560=2,VLOOKUP($M560,[5]Sheet1!$A:$B,2,0),IF($L560=6,VLOOKUP($M560,[6]Sheet1!$A:$B,2,0),0))))&amp;"x"&amp;$N560</f>
        <v>羊脂玉净瓶碎片x5</v>
      </c>
      <c r="C560" s="65">
        <v>4</v>
      </c>
      <c r="D560" s="65">
        <v>4</v>
      </c>
      <c r="E560" s="65">
        <v>29</v>
      </c>
      <c r="F560" s="66">
        <v>0</v>
      </c>
      <c r="G560" s="67">
        <v>1000</v>
      </c>
      <c r="H560" s="67">
        <v>0</v>
      </c>
      <c r="I560" s="67">
        <v>1</v>
      </c>
      <c r="J560" s="67">
        <v>1</v>
      </c>
      <c r="K560" s="84" t="s">
        <v>8</v>
      </c>
      <c r="L560" s="68">
        <v>1</v>
      </c>
      <c r="M560" s="149">
        <v>17125</v>
      </c>
      <c r="N560" s="68">
        <v>5</v>
      </c>
      <c r="O560" s="150">
        <v>1</v>
      </c>
      <c r="P560" s="129"/>
      <c r="Q560" s="129"/>
      <c r="R560" s="129" t="e">
        <f t="shared" si="25"/>
        <v>#REF!</v>
      </c>
      <c r="S560" s="129"/>
    </row>
    <row r="561" spans="1:19" s="65" customFormat="1">
      <c r="A561" s="64">
        <v>8065</v>
      </c>
      <c r="B561" s="66" t="str">
        <f>IF($L561=1,VLOOKUP($M561,[1]Sheet1!$A:$C,2,0),IF($L561=4,VLOOKUP($M561,[4]Sheet1!$A:$B,2,0),IF($L561=2,VLOOKUP($M561,[5]Sheet1!$A:$B,2,0),IF($L561=6,VLOOKUP($M561,[6]Sheet1!$A:$B,2,0),0))))&amp;"x"&amp;$N561</f>
        <v>羊角画戟碎片x5</v>
      </c>
      <c r="C561" s="65">
        <v>4</v>
      </c>
      <c r="D561" s="65">
        <v>4</v>
      </c>
      <c r="E561" s="65">
        <v>29</v>
      </c>
      <c r="F561" s="66">
        <v>0</v>
      </c>
      <c r="G561" s="67">
        <v>1000</v>
      </c>
      <c r="H561" s="67">
        <v>0</v>
      </c>
      <c r="I561" s="67">
        <v>1</v>
      </c>
      <c r="J561" s="67">
        <v>1</v>
      </c>
      <c r="K561" s="84" t="s">
        <v>8</v>
      </c>
      <c r="L561" s="68">
        <v>1</v>
      </c>
      <c r="M561" s="149">
        <v>17140</v>
      </c>
      <c r="N561" s="68">
        <v>5</v>
      </c>
      <c r="O561" s="150">
        <v>1</v>
      </c>
      <c r="P561" s="129"/>
      <c r="Q561" s="129"/>
      <c r="R561" s="129" t="e">
        <f t="shared" si="25"/>
        <v>#REF!</v>
      </c>
      <c r="S561" s="129"/>
    </row>
    <row r="562" spans="1:19" s="11" customFormat="1">
      <c r="A562" s="33">
        <v>8101</v>
      </c>
      <c r="B562" s="47" t="str">
        <f>IF($L562=1,VLOOKUP($M562,[1]Sheet1!$A:$C,2,0),IF($L562=4,VLOOKUP($M562,[4]Sheet1!$A:$B,2,0),IF($L562=2,VLOOKUP($M562,[5]Sheet1!$A:$B,2,0),IF($L562=6,VLOOKUP($M562,[6]Sheet1!$A:$B,2,0),0))))&amp;"x"&amp;$N562</f>
        <v>主角神兵碎片x5</v>
      </c>
      <c r="C562" s="11">
        <v>4</v>
      </c>
      <c r="D562" s="11">
        <v>4</v>
      </c>
      <c r="E562" s="11">
        <v>2</v>
      </c>
      <c r="F562" s="47">
        <v>0</v>
      </c>
      <c r="G562" s="35">
        <v>50</v>
      </c>
      <c r="H562" s="35">
        <v>0</v>
      </c>
      <c r="I562" s="35">
        <v>1</v>
      </c>
      <c r="J562" s="35">
        <v>1</v>
      </c>
      <c r="K562" s="87" t="s">
        <v>108</v>
      </c>
      <c r="L562" s="60">
        <v>1</v>
      </c>
      <c r="M562" s="172">
        <v>17102</v>
      </c>
      <c r="N562" s="60">
        <v>5</v>
      </c>
      <c r="O562" s="89">
        <v>1</v>
      </c>
      <c r="P562" s="131"/>
      <c r="Q562" s="131"/>
      <c r="R562" s="131" t="str">
        <f t="shared" si="25"/>
        <v>[8101,1]</v>
      </c>
      <c r="S562" s="131"/>
    </row>
    <row r="563" spans="1:19" s="11" customFormat="1">
      <c r="A563" s="33">
        <v>8102</v>
      </c>
      <c r="B563" s="47" t="str">
        <f>IF($L563=1,VLOOKUP($M563,[1]Sheet1!$A:$C,2,0),IF($L563=4,VLOOKUP($M563,[4]Sheet1!$A:$B,2,0),IF($L563=2,VLOOKUP($M563,[5]Sheet1!$A:$B,2,0),IF($L563=6,VLOOKUP($M563,[6]Sheet1!$A:$B,2,0),0))))&amp;"x"&amp;$N563</f>
        <v>天慧法杖碎片x5</v>
      </c>
      <c r="C563" s="11">
        <v>4</v>
      </c>
      <c r="D563" s="11">
        <v>4</v>
      </c>
      <c r="E563" s="11">
        <v>2</v>
      </c>
      <c r="F563" s="47">
        <v>0</v>
      </c>
      <c r="G563" s="35">
        <v>50</v>
      </c>
      <c r="H563" s="35">
        <v>0</v>
      </c>
      <c r="I563" s="35">
        <v>1</v>
      </c>
      <c r="J563" s="35">
        <v>1</v>
      </c>
      <c r="K563" s="87" t="s">
        <v>108</v>
      </c>
      <c r="L563" s="60">
        <v>1</v>
      </c>
      <c r="M563" s="172">
        <v>17117</v>
      </c>
      <c r="N563" s="60">
        <v>5</v>
      </c>
      <c r="O563" s="89">
        <v>1</v>
      </c>
      <c r="P563" s="131"/>
      <c r="Q563" s="131"/>
      <c r="R563" s="131" t="str">
        <f t="shared" si="25"/>
        <v>[8101,1],[8102,1]</v>
      </c>
      <c r="S563" s="131"/>
    </row>
    <row r="564" spans="1:19" s="11" customFormat="1">
      <c r="A564" s="33">
        <v>8103</v>
      </c>
      <c r="B564" s="47" t="str">
        <f>IF($L564=1,VLOOKUP($M564,[1]Sheet1!$A:$C,2,0),IF($L564=4,VLOOKUP($M564,[4]Sheet1!$A:$B,2,0),IF($L564=2,VLOOKUP($M564,[5]Sheet1!$A:$B,2,0),IF($L564=6,VLOOKUP($M564,[6]Sheet1!$A:$B,2,0),0))))&amp;"x"&amp;$N564</f>
        <v>碧海定沁丹碎片x5</v>
      </c>
      <c r="C564" s="11">
        <v>4</v>
      </c>
      <c r="D564" s="11">
        <v>4</v>
      </c>
      <c r="E564" s="11">
        <v>2</v>
      </c>
      <c r="F564" s="47">
        <v>0</v>
      </c>
      <c r="G564" s="35">
        <v>50</v>
      </c>
      <c r="H564" s="35">
        <v>0</v>
      </c>
      <c r="I564" s="35">
        <v>1</v>
      </c>
      <c r="J564" s="35">
        <v>1</v>
      </c>
      <c r="K564" s="87" t="s">
        <v>108</v>
      </c>
      <c r="L564" s="60">
        <v>1</v>
      </c>
      <c r="M564" s="172">
        <v>17121</v>
      </c>
      <c r="N564" s="60">
        <v>5</v>
      </c>
      <c r="O564" s="89">
        <v>1</v>
      </c>
      <c r="P564" s="131"/>
      <c r="Q564" s="131"/>
      <c r="R564" s="131" t="str">
        <f t="shared" si="25"/>
        <v>[8101,1],[8102,1],[8103,1]</v>
      </c>
      <c r="S564" s="131"/>
    </row>
    <row r="565" spans="1:19" s="11" customFormat="1">
      <c r="A565" s="33">
        <v>8104</v>
      </c>
      <c r="B565" s="47" t="str">
        <f>IF($L565=1,VLOOKUP($M565,[1]Sheet1!$A:$C,2,0),IF($L565=4,VLOOKUP($M565,[4]Sheet1!$A:$B,2,0),IF($L565=2,VLOOKUP($M565,[5]Sheet1!$A:$B,2,0),IF($L565=6,VLOOKUP($M565,[6]Sheet1!$A:$B,2,0),0))))&amp;"x"&amp;$N565</f>
        <v>白骨幡碎片x5</v>
      </c>
      <c r="C565" s="11">
        <v>4</v>
      </c>
      <c r="D565" s="11">
        <v>4</v>
      </c>
      <c r="E565" s="11">
        <v>2</v>
      </c>
      <c r="F565" s="47">
        <v>0</v>
      </c>
      <c r="G565" s="35">
        <v>50</v>
      </c>
      <c r="H565" s="35">
        <v>0</v>
      </c>
      <c r="I565" s="35">
        <v>1</v>
      </c>
      <c r="J565" s="35">
        <v>1</v>
      </c>
      <c r="K565" s="87" t="s">
        <v>108</v>
      </c>
      <c r="L565" s="60">
        <v>1</v>
      </c>
      <c r="M565" s="172">
        <v>17123</v>
      </c>
      <c r="N565" s="60">
        <v>5</v>
      </c>
      <c r="O565" s="89">
        <v>1</v>
      </c>
      <c r="P565" s="131"/>
      <c r="Q565" s="131"/>
      <c r="R565" s="131" t="str">
        <f t="shared" si="25"/>
        <v>[8101,1],[8102,1],[8103,1],[8104,1]</v>
      </c>
      <c r="S565" s="131"/>
    </row>
    <row r="566" spans="1:19" s="11" customFormat="1">
      <c r="A566" s="33">
        <v>8105</v>
      </c>
      <c r="B566" s="47" t="str">
        <f>IF($L566=1,VLOOKUP($M566,[1]Sheet1!$A:$C,2,0),IF($L566=4,VLOOKUP($M566,[4]Sheet1!$A:$B,2,0),IF($L566=2,VLOOKUP($M566,[5]Sheet1!$A:$B,2,0),IF($L566=6,VLOOKUP($M566,[6]Sheet1!$A:$B,2,0),0))))&amp;"x"&amp;$N566</f>
        <v>龙凤双环碎片x5</v>
      </c>
      <c r="C566" s="11">
        <v>4</v>
      </c>
      <c r="D566" s="11">
        <v>4</v>
      </c>
      <c r="E566" s="11">
        <v>2</v>
      </c>
      <c r="F566" s="47">
        <v>0</v>
      </c>
      <c r="G566" s="35">
        <v>50</v>
      </c>
      <c r="H566" s="35">
        <v>0</v>
      </c>
      <c r="I566" s="35">
        <v>1</v>
      </c>
      <c r="J566" s="35">
        <v>1</v>
      </c>
      <c r="K566" s="87" t="s">
        <v>108</v>
      </c>
      <c r="L566" s="60">
        <v>1</v>
      </c>
      <c r="M566" s="172">
        <v>17126</v>
      </c>
      <c r="N566" s="60">
        <v>5</v>
      </c>
      <c r="O566" s="89">
        <v>1</v>
      </c>
      <c r="P566" s="131"/>
      <c r="Q566" s="131"/>
      <c r="R566" s="131" t="str">
        <f t="shared" si="25"/>
        <v>[8101,1],[8102,1],[8103,1],[8104,1],[8105,1]</v>
      </c>
      <c r="S566" s="131"/>
    </row>
    <row r="567" spans="1:19" s="11" customFormat="1">
      <c r="A567" s="33">
        <v>8106</v>
      </c>
      <c r="B567" s="47" t="str">
        <f>IF($L567=1,VLOOKUP($M567,[1]Sheet1!$A:$C,2,0),IF($L567=4,VLOOKUP($M567,[4]Sheet1!$A:$B,2,0),IF($L567=2,VLOOKUP($M567,[5]Sheet1!$A:$B,2,0),IF($L567=6,VLOOKUP($M567,[6]Sheet1!$A:$B,2,0),0))))&amp;"x"&amp;$N567</f>
        <v>真火子母枪碎片x5</v>
      </c>
      <c r="C567" s="11">
        <v>4</v>
      </c>
      <c r="D567" s="11">
        <v>4</v>
      </c>
      <c r="E567" s="11">
        <v>2</v>
      </c>
      <c r="F567" s="47">
        <v>0</v>
      </c>
      <c r="G567" s="35">
        <v>50</v>
      </c>
      <c r="H567" s="35">
        <v>0</v>
      </c>
      <c r="I567" s="35">
        <v>1</v>
      </c>
      <c r="J567" s="35">
        <v>1</v>
      </c>
      <c r="K567" s="87" t="s">
        <v>108</v>
      </c>
      <c r="L567" s="60">
        <v>1</v>
      </c>
      <c r="M567" s="172">
        <v>17127</v>
      </c>
      <c r="N567" s="60">
        <v>5</v>
      </c>
      <c r="O567" s="89">
        <v>1</v>
      </c>
      <c r="P567" s="131"/>
      <c r="Q567" s="131"/>
      <c r="R567" s="131" t="str">
        <f t="shared" si="25"/>
        <v>[8101,1],[8102,1],[8103,1],[8104,1],[8105,1],[8106,1]</v>
      </c>
      <c r="S567" s="131"/>
    </row>
    <row r="568" spans="1:19" s="11" customFormat="1">
      <c r="A568" s="33">
        <v>8107</v>
      </c>
      <c r="B568" s="47" t="str">
        <f>IF($L568=1,VLOOKUP($M568,[1]Sheet1!$A:$C,2,0),IF($L568=4,VLOOKUP($M568,[4]Sheet1!$A:$B,2,0),IF($L568=2,VLOOKUP($M568,[5]Sheet1!$A:$B,2,0),IF($L568=6,VLOOKUP($M568,[6]Sheet1!$A:$B,2,0),0))))&amp;"x"&amp;$N568</f>
        <v>渊微凡尘碎片x5</v>
      </c>
      <c r="C568" s="11">
        <v>4</v>
      </c>
      <c r="D568" s="11">
        <v>4</v>
      </c>
      <c r="E568" s="11">
        <v>2</v>
      </c>
      <c r="F568" s="47">
        <v>0</v>
      </c>
      <c r="G568" s="35">
        <v>50</v>
      </c>
      <c r="H568" s="35">
        <v>0</v>
      </c>
      <c r="I568" s="35">
        <v>1</v>
      </c>
      <c r="J568" s="35">
        <v>1</v>
      </c>
      <c r="K568" s="87" t="s">
        <v>108</v>
      </c>
      <c r="L568" s="60">
        <v>1</v>
      </c>
      <c r="M568" s="172">
        <v>17128</v>
      </c>
      <c r="N568" s="60">
        <v>5</v>
      </c>
      <c r="O568" s="89">
        <v>1</v>
      </c>
      <c r="P568" s="131"/>
      <c r="Q568" s="131"/>
      <c r="R568" s="131" t="str">
        <f t="shared" si="25"/>
        <v>[8101,1],[8102,1],[8103,1],[8104,1],[8105,1],[8106,1],[8107,1]</v>
      </c>
      <c r="S568" s="131"/>
    </row>
    <row r="569" spans="1:19" s="11" customFormat="1">
      <c r="A569" s="33">
        <v>8108</v>
      </c>
      <c r="B569" s="47" t="str">
        <f>IF($L569=1,VLOOKUP($M569,[1]Sheet1!$A:$C,2,0),IF($L569=4,VLOOKUP($M569,[4]Sheet1!$A:$B,2,0),IF($L569=2,VLOOKUP($M569,[5]Sheet1!$A:$B,2,0),IF($L569=6,VLOOKUP($M569,[6]Sheet1!$A:$B,2,0),0))))&amp;"x"&amp;$N569</f>
        <v>海王戟碎片x5</v>
      </c>
      <c r="C569" s="11">
        <v>4</v>
      </c>
      <c r="D569" s="11">
        <v>4</v>
      </c>
      <c r="E569" s="11">
        <v>2</v>
      </c>
      <c r="F569" s="47">
        <v>0</v>
      </c>
      <c r="G569" s="35">
        <v>50</v>
      </c>
      <c r="H569" s="35">
        <v>0</v>
      </c>
      <c r="I569" s="35">
        <v>1</v>
      </c>
      <c r="J569" s="35">
        <v>1</v>
      </c>
      <c r="K569" s="87" t="s">
        <v>108</v>
      </c>
      <c r="L569" s="60">
        <v>1</v>
      </c>
      <c r="M569" s="172">
        <v>17129</v>
      </c>
      <c r="N569" s="60">
        <v>5</v>
      </c>
      <c r="O569" s="89">
        <v>1</v>
      </c>
      <c r="P569" s="131"/>
      <c r="Q569" s="131"/>
      <c r="R569" s="131" t="str">
        <f t="shared" si="25"/>
        <v>[8101,1],[8102,1],[8103,1],[8104,1],[8105,1],[8106,1],[8107,1],[8108,1]</v>
      </c>
      <c r="S569" s="131"/>
    </row>
    <row r="570" spans="1:19" s="11" customFormat="1">
      <c r="A570" s="33">
        <v>8109</v>
      </c>
      <c r="B570" s="47" t="str">
        <f>IF($L570=1,VLOOKUP($M570,[1]Sheet1!$A:$C,2,0),IF($L570=4,VLOOKUP($M570,[4]Sheet1!$A:$B,2,0),IF($L570=2,VLOOKUP($M570,[5]Sheet1!$A:$B,2,0),IF($L570=6,VLOOKUP($M570,[6]Sheet1!$A:$B,2,0),0))))&amp;"x"&amp;$N570</f>
        <v>混世蛇矛碎片x5</v>
      </c>
      <c r="C570" s="11">
        <v>4</v>
      </c>
      <c r="D570" s="11">
        <v>4</v>
      </c>
      <c r="E570" s="11">
        <v>2</v>
      </c>
      <c r="F570" s="47">
        <v>0</v>
      </c>
      <c r="G570" s="35">
        <v>50</v>
      </c>
      <c r="H570" s="35">
        <v>0</v>
      </c>
      <c r="I570" s="35">
        <v>1</v>
      </c>
      <c r="J570" s="35">
        <v>1</v>
      </c>
      <c r="K570" s="87" t="s">
        <v>108</v>
      </c>
      <c r="L570" s="60">
        <v>1</v>
      </c>
      <c r="M570" s="172">
        <v>17130</v>
      </c>
      <c r="N570" s="60">
        <v>5</v>
      </c>
      <c r="O570" s="173">
        <v>1</v>
      </c>
      <c r="P570" s="131"/>
      <c r="Q570" s="131"/>
      <c r="R570" s="131" t="str">
        <f t="shared" si="25"/>
        <v>[8101,1],[8102,1],[8103,1],[8104,1],[8105,1],[8106,1],[8107,1],[8108,1],[8109,1]</v>
      </c>
      <c r="S570" s="131"/>
    </row>
    <row r="571" spans="1:19" s="11" customFormat="1">
      <c r="A571" s="33">
        <v>8110</v>
      </c>
      <c r="B571" s="47" t="str">
        <f>IF($L571=1,VLOOKUP($M571,[1]Sheet1!$A:$C,2,0),IF($L571=4,VLOOKUP($M571,[4]Sheet1!$A:$B,2,0),IF($L571=2,VLOOKUP($M571,[5]Sheet1!$A:$B,2,0),IF($L571=6,VLOOKUP($M571,[6]Sheet1!$A:$B,2,0),0))))&amp;"x"&amp;$N571</f>
        <v>流星拳碎片x5</v>
      </c>
      <c r="C571" s="11">
        <v>4</v>
      </c>
      <c r="D571" s="11">
        <v>4</v>
      </c>
      <c r="E571" s="11">
        <v>2</v>
      </c>
      <c r="F571" s="47">
        <v>0</v>
      </c>
      <c r="G571" s="35">
        <v>50</v>
      </c>
      <c r="H571" s="35">
        <v>0</v>
      </c>
      <c r="I571" s="35">
        <v>1</v>
      </c>
      <c r="J571" s="35">
        <v>1</v>
      </c>
      <c r="K571" s="87" t="s">
        <v>8</v>
      </c>
      <c r="L571" s="60">
        <v>1</v>
      </c>
      <c r="M571" s="172">
        <v>17131</v>
      </c>
      <c r="N571" s="60">
        <v>5</v>
      </c>
      <c r="O571" s="173">
        <v>1</v>
      </c>
      <c r="P571" s="131"/>
      <c r="Q571" s="131"/>
      <c r="R571" s="131" t="str">
        <f t="shared" si="25"/>
        <v>[8101,1],[8102,1],[8103,1],[8104,1],[8105,1],[8106,1],[8107,1],[8108,1],[8109,1],[8110,1]</v>
      </c>
      <c r="S571" s="131"/>
    </row>
    <row r="572" spans="1:19" s="11" customFormat="1">
      <c r="A572" s="33">
        <v>8111</v>
      </c>
      <c r="B572" s="47" t="str">
        <f>IF($L572=1,VLOOKUP($M572,[1]Sheet1!$A:$C,2,0),IF($L572=4,VLOOKUP($M572,[4]Sheet1!$A:$B,2,0),IF($L572=2,VLOOKUP($M572,[5]Sheet1!$A:$B,2,0),IF($L572=6,VLOOKUP($M572,[6]Sheet1!$A:$B,2,0),0))))&amp;"x"&amp;$N572</f>
        <v>人参糖葫芦碎片x5</v>
      </c>
      <c r="C572" s="11">
        <v>4</v>
      </c>
      <c r="D572" s="11">
        <v>4</v>
      </c>
      <c r="E572" s="11">
        <v>2</v>
      </c>
      <c r="F572" s="47">
        <v>0</v>
      </c>
      <c r="G572" s="35">
        <v>50</v>
      </c>
      <c r="H572" s="35">
        <v>0</v>
      </c>
      <c r="I572" s="35">
        <v>1</v>
      </c>
      <c r="J572" s="35">
        <v>1</v>
      </c>
      <c r="K572" s="87" t="s">
        <v>8</v>
      </c>
      <c r="L572" s="60">
        <v>1</v>
      </c>
      <c r="M572" s="172">
        <v>17132</v>
      </c>
      <c r="N572" s="60">
        <v>5</v>
      </c>
      <c r="O572" s="173">
        <v>1</v>
      </c>
      <c r="P572" s="131"/>
      <c r="Q572" s="131"/>
      <c r="R572" s="131" t="str">
        <f t="shared" si="25"/>
        <v>[8101,1],[8102,1],[8103,1],[8104,1],[8105,1],[8106,1],[8107,1],[8108,1],[8109,1],[8110,1],[8111,1]</v>
      </c>
      <c r="S572" s="131"/>
    </row>
    <row r="573" spans="1:19" s="11" customFormat="1">
      <c r="A573" s="33">
        <v>8112</v>
      </c>
      <c r="B573" s="47" t="str">
        <f>IF($L573=1,VLOOKUP($M573,[1]Sheet1!$A:$C,2,0),IF($L573=4,VLOOKUP($M573,[4]Sheet1!$A:$B,2,0),IF($L573=2,VLOOKUP($M573,[5]Sheet1!$A:$B,2,0),IF($L573=6,VLOOKUP($M573,[6]Sheet1!$A:$B,2,0),0))))&amp;"x"&amp;$N573</f>
        <v>逆流白龙吟碎片x5</v>
      </c>
      <c r="C573" s="11">
        <v>4</v>
      </c>
      <c r="D573" s="11">
        <v>4</v>
      </c>
      <c r="E573" s="11">
        <v>2</v>
      </c>
      <c r="F573" s="47">
        <v>0</v>
      </c>
      <c r="G573" s="35">
        <v>50</v>
      </c>
      <c r="H573" s="35">
        <v>0</v>
      </c>
      <c r="I573" s="35">
        <v>1</v>
      </c>
      <c r="J573" s="35">
        <v>1</v>
      </c>
      <c r="K573" s="87" t="s">
        <v>8</v>
      </c>
      <c r="L573" s="60">
        <v>1</v>
      </c>
      <c r="M573" s="172">
        <v>17133</v>
      </c>
      <c r="N573" s="60">
        <v>5</v>
      </c>
      <c r="O573" s="173">
        <v>1</v>
      </c>
      <c r="P573" s="131"/>
      <c r="Q573" s="131"/>
      <c r="R573" s="131" t="str">
        <f t="shared" si="25"/>
        <v>[8101,1],[8102,1],[8103,1],[8104,1],[8105,1],[8106,1],[8107,1],[8108,1],[8109,1],[8110,1],[8111,1],[8112,1]</v>
      </c>
      <c r="S573" s="131"/>
    </row>
    <row r="574" spans="1:19" s="11" customFormat="1">
      <c r="A574" s="33">
        <v>8113</v>
      </c>
      <c r="B574" s="47" t="str">
        <f>IF($L574=1,VLOOKUP($M574,[1]Sheet1!$A:$C,2,0),IF($L574=4,VLOOKUP($M574,[4]Sheet1!$A:$B,2,0),IF($L574=2,VLOOKUP($M574,[5]Sheet1!$A:$B,2,0),IF($L574=6,VLOOKUP($M574,[6]Sheet1!$A:$B,2,0),0))))&amp;"x"&amp;$N574</f>
        <v>猕猴斩魄刀碎片x5</v>
      </c>
      <c r="C574" s="11">
        <v>4</v>
      </c>
      <c r="D574" s="11">
        <v>4</v>
      </c>
      <c r="E574" s="11">
        <v>2</v>
      </c>
      <c r="F574" s="47">
        <v>0</v>
      </c>
      <c r="G574" s="35">
        <v>50</v>
      </c>
      <c r="H574" s="35">
        <v>0</v>
      </c>
      <c r="I574" s="35">
        <v>1</v>
      </c>
      <c r="J574" s="35">
        <v>1</v>
      </c>
      <c r="K574" s="87" t="s">
        <v>8</v>
      </c>
      <c r="L574" s="60">
        <v>1</v>
      </c>
      <c r="M574" s="172">
        <v>17134</v>
      </c>
      <c r="N574" s="60">
        <v>5</v>
      </c>
      <c r="O574" s="173">
        <v>1</v>
      </c>
      <c r="P574" s="131"/>
      <c r="Q574" s="131"/>
      <c r="R574" s="131" t="str">
        <f t="shared" si="25"/>
        <v>[8101,1],[8102,1],[8103,1],[8104,1],[8105,1],[8106,1],[8107,1],[8108,1],[8109,1],[8110,1],[8111,1],[8112,1],[8113,1]</v>
      </c>
      <c r="S574" s="131"/>
    </row>
    <row r="575" spans="1:19" s="11" customFormat="1">
      <c r="A575" s="33">
        <v>8114</v>
      </c>
      <c r="B575" s="47" t="str">
        <f>IF($L575=1,VLOOKUP($M575,[1]Sheet1!$A:$C,2,0),IF($L575=4,VLOOKUP($M575,[4]Sheet1!$A:$B,2,0),IF($L575=2,VLOOKUP($M575,[5]Sheet1!$A:$B,2,0),IF($L575=6,VLOOKUP($M575,[6]Sheet1!$A:$B,2,0),0))))&amp;"x"&amp;$N575</f>
        <v>判官笔碎片x5</v>
      </c>
      <c r="C575" s="11">
        <v>4</v>
      </c>
      <c r="D575" s="11">
        <v>4</v>
      </c>
      <c r="E575" s="11">
        <v>2</v>
      </c>
      <c r="F575" s="47">
        <v>0</v>
      </c>
      <c r="G575" s="35">
        <v>50</v>
      </c>
      <c r="H575" s="35">
        <v>0</v>
      </c>
      <c r="I575" s="35">
        <v>1</v>
      </c>
      <c r="J575" s="35">
        <v>1</v>
      </c>
      <c r="K575" s="87" t="s">
        <v>8</v>
      </c>
      <c r="L575" s="60">
        <v>1</v>
      </c>
      <c r="M575" s="172">
        <v>17135</v>
      </c>
      <c r="N575" s="60">
        <v>5</v>
      </c>
      <c r="O575" s="173">
        <v>1</v>
      </c>
      <c r="P575" s="131"/>
      <c r="Q575" s="131"/>
      <c r="R575" s="131" t="str">
        <f t="shared" si="25"/>
        <v>[8101,1],[8102,1],[8103,1],[8104,1],[8105,1],[8106,1],[8107,1],[8108,1],[8109,1],[8110,1],[8111,1],[8112,1],[8113,1],[8114,1]</v>
      </c>
      <c r="S575" s="131"/>
    </row>
    <row r="576" spans="1:19" s="11" customFormat="1">
      <c r="A576" s="33">
        <v>8115</v>
      </c>
      <c r="B576" s="47" t="str">
        <f>IF($L576=1,VLOOKUP($M576,[1]Sheet1!$A:$C,2,0),IF($L576=4,VLOOKUP($M576,[4]Sheet1!$A:$B,2,0),IF($L576=2,VLOOKUP($M576,[5]Sheet1!$A:$B,2,0),IF($L576=6,VLOOKUP($M576,[6]Sheet1!$A:$B,2,0),0))))&amp;"x"&amp;$N576</f>
        <v>琴瑟琵琶碎片x5</v>
      </c>
      <c r="C576" s="11">
        <v>4</v>
      </c>
      <c r="D576" s="11">
        <v>4</v>
      </c>
      <c r="E576" s="11">
        <v>2</v>
      </c>
      <c r="F576" s="47">
        <v>0</v>
      </c>
      <c r="G576" s="35">
        <v>50</v>
      </c>
      <c r="H576" s="35">
        <v>0</v>
      </c>
      <c r="I576" s="35">
        <v>1</v>
      </c>
      <c r="J576" s="35">
        <v>1</v>
      </c>
      <c r="K576" s="87" t="s">
        <v>8</v>
      </c>
      <c r="L576" s="60">
        <v>1</v>
      </c>
      <c r="M576" s="172">
        <v>17136</v>
      </c>
      <c r="N576" s="60">
        <v>5</v>
      </c>
      <c r="O576" s="173">
        <v>1</v>
      </c>
      <c r="P576" s="131"/>
      <c r="Q576" s="131"/>
      <c r="R576" s="131" t="str">
        <f t="shared" si="25"/>
        <v>[8101,1],[8102,1],[8103,1],[8104,1],[8105,1],[8106,1],[8107,1],[8108,1],[8109,1],[8110,1],[8111,1],[8112,1],[8113,1],[8114,1],[8115,1]</v>
      </c>
      <c r="S576" s="131"/>
    </row>
    <row r="577" spans="1:19" s="11" customFormat="1">
      <c r="A577" s="33">
        <v>8116</v>
      </c>
      <c r="B577" s="47" t="str">
        <f>IF($L577=1,VLOOKUP($M577,[1]Sheet1!$A:$C,2,0),IF($L577=4,VLOOKUP($M577,[4]Sheet1!$A:$B,2,0),IF($L577=2,VLOOKUP($M577,[5]Sheet1!$A:$B,2,0),IF($L577=6,VLOOKUP($M577,[6]Sheet1!$A:$B,2,0),0))))&amp;"x"&amp;$N577</f>
        <v>肚脐蛛网碎片x5</v>
      </c>
      <c r="C577" s="11">
        <v>4</v>
      </c>
      <c r="D577" s="11">
        <v>4</v>
      </c>
      <c r="E577" s="11">
        <v>2</v>
      </c>
      <c r="F577" s="47">
        <v>0</v>
      </c>
      <c r="G577" s="35">
        <v>50</v>
      </c>
      <c r="H577" s="35">
        <v>0</v>
      </c>
      <c r="I577" s="35">
        <v>1</v>
      </c>
      <c r="J577" s="35">
        <v>1</v>
      </c>
      <c r="K577" s="87" t="s">
        <v>8</v>
      </c>
      <c r="L577" s="60">
        <v>1</v>
      </c>
      <c r="M577" s="172">
        <v>17137</v>
      </c>
      <c r="N577" s="60">
        <v>5</v>
      </c>
      <c r="O577" s="173">
        <v>1</v>
      </c>
      <c r="P577" s="131"/>
      <c r="Q577" s="131"/>
      <c r="R577" s="131" t="str">
        <f t="shared" si="25"/>
        <v>[8101,1],[8102,1],[8103,1],[8104,1],[8105,1],[8106,1],[8107,1],[8108,1],[8109,1],[8110,1],[8111,1],[8112,1],[8113,1],[8114,1],[8115,1],[8116,1]</v>
      </c>
      <c r="S577" s="131"/>
    </row>
    <row r="578" spans="1:19" s="11" customFormat="1">
      <c r="A578" s="33">
        <v>8117</v>
      </c>
      <c r="B578" s="47" t="str">
        <f>IF($L578=1,VLOOKUP($M578,[1]Sheet1!$A:$C,2,0),IF($L578=4,VLOOKUP($M578,[4]Sheet1!$A:$B,2,0),IF($L578=2,VLOOKUP($M578,[5]Sheet1!$A:$B,2,0),IF($L578=6,VLOOKUP($M578,[6]Sheet1!$A:$B,2,0),0))))&amp;"x"&amp;$N578</f>
        <v>相思醉碎片x5</v>
      </c>
      <c r="C578" s="11">
        <v>4</v>
      </c>
      <c r="D578" s="11">
        <v>4</v>
      </c>
      <c r="E578" s="11">
        <v>2</v>
      </c>
      <c r="F578" s="47">
        <v>0</v>
      </c>
      <c r="G578" s="35">
        <v>50</v>
      </c>
      <c r="H578" s="35">
        <v>0</v>
      </c>
      <c r="I578" s="35">
        <v>1</v>
      </c>
      <c r="J578" s="35">
        <v>1</v>
      </c>
      <c r="K578" s="87" t="s">
        <v>8</v>
      </c>
      <c r="L578" s="60">
        <v>1</v>
      </c>
      <c r="M578" s="172">
        <v>17138</v>
      </c>
      <c r="N578" s="60">
        <v>5</v>
      </c>
      <c r="O578" s="173">
        <v>1</v>
      </c>
      <c r="P578" s="131"/>
      <c r="Q578" s="131"/>
      <c r="R578" s="131" t="str">
        <f t="shared" si="25"/>
        <v>[8101,1],[8102,1],[8103,1],[8104,1],[8105,1],[8106,1],[8107,1],[8108,1],[8109,1],[8110,1],[8111,1],[8112,1],[8113,1],[8114,1],[8115,1],[8116,1],[8117,1]</v>
      </c>
      <c r="S578" s="131"/>
    </row>
    <row r="579" spans="1:19" s="11" customFormat="1">
      <c r="A579" s="33">
        <v>8118</v>
      </c>
      <c r="B579" s="47" t="str">
        <f>IF($L579=1,VLOOKUP($M579,[1]Sheet1!$A:$C,2,0),IF($L579=4,VLOOKUP($M579,[4]Sheet1!$A:$B,2,0),IF($L579=2,VLOOKUP($M579,[5]Sheet1!$A:$B,2,0),IF($L579=6,VLOOKUP($M579,[6]Sheet1!$A:$B,2,0),0))))&amp;"x"&amp;$N579</f>
        <v>太白金剑碎片x5</v>
      </c>
      <c r="C579" s="11">
        <v>4</v>
      </c>
      <c r="D579" s="11">
        <v>4</v>
      </c>
      <c r="E579" s="11">
        <v>2</v>
      </c>
      <c r="F579" s="47">
        <v>0</v>
      </c>
      <c r="G579" s="35">
        <v>50</v>
      </c>
      <c r="H579" s="35">
        <v>0</v>
      </c>
      <c r="I579" s="35">
        <v>1</v>
      </c>
      <c r="J579" s="35">
        <v>1</v>
      </c>
      <c r="K579" s="87" t="s">
        <v>8</v>
      </c>
      <c r="L579" s="60">
        <v>1</v>
      </c>
      <c r="M579" s="172">
        <v>17139</v>
      </c>
      <c r="N579" s="60">
        <v>5</v>
      </c>
      <c r="O579" s="173">
        <v>1</v>
      </c>
      <c r="P579" s="131"/>
      <c r="Q579" s="131"/>
      <c r="R579" s="131" t="str">
        <f t="shared" si="25"/>
        <v>[8101,1],[8102,1],[8103,1],[8104,1],[8105,1],[8106,1],[8107,1],[8108,1],[8109,1],[8110,1],[8111,1],[8112,1],[8113,1],[8114,1],[8115,1],[8116,1],[8117,1],[8118,1]</v>
      </c>
      <c r="S579" s="131"/>
    </row>
    <row r="580" spans="1:19" s="11" customFormat="1">
      <c r="A580" s="33">
        <v>8119</v>
      </c>
      <c r="B580" s="47" t="str">
        <f>IF($L580=1,VLOOKUP($M580,[1]Sheet1!$A:$C,2,0),IF($L580=4,VLOOKUP($M580,[4]Sheet1!$A:$B,2,0),IF($L580=2,VLOOKUP($M580,[5]Sheet1!$A:$B,2,0),IF($L580=6,VLOOKUP($M580,[6]Sheet1!$A:$B,2,0),0))))&amp;"x"&amp;$N580</f>
        <v>凝神花碎片x5</v>
      </c>
      <c r="C580" s="11">
        <v>4</v>
      </c>
      <c r="D580" s="11">
        <v>4</v>
      </c>
      <c r="E580" s="11">
        <v>2</v>
      </c>
      <c r="F580" s="47">
        <v>0</v>
      </c>
      <c r="G580" s="35">
        <v>50</v>
      </c>
      <c r="H580" s="35">
        <v>0</v>
      </c>
      <c r="I580" s="35">
        <v>1</v>
      </c>
      <c r="J580" s="35">
        <v>1</v>
      </c>
      <c r="K580" s="87" t="s">
        <v>8</v>
      </c>
      <c r="L580" s="60">
        <v>1</v>
      </c>
      <c r="M580" s="172">
        <v>17141</v>
      </c>
      <c r="N580" s="60">
        <v>5</v>
      </c>
      <c r="O580" s="173">
        <v>1</v>
      </c>
      <c r="P580" s="131"/>
      <c r="Q580" s="131"/>
      <c r="R580" s="131" t="str">
        <f t="shared" si="25"/>
        <v>[8101,1],[8102,1],[8103,1],[8104,1],[8105,1],[8106,1],[8107,1],[8108,1],[8109,1],[8110,1],[8111,1],[8112,1],[8113,1],[8114,1],[8115,1],[8116,1],[8117,1],[8118,1],[8119,1]</v>
      </c>
      <c r="S580" s="131"/>
    </row>
    <row r="581" spans="1:19" s="11" customFormat="1">
      <c r="A581" s="33">
        <v>8120</v>
      </c>
      <c r="B581" s="47" t="str">
        <f>IF($L581=1,VLOOKUP($M581,[1]Sheet1!$A:$C,2,0),IF($L581=4,VLOOKUP($M581,[4]Sheet1!$A:$B,2,0),IF($L581=2,VLOOKUP($M581,[5]Sheet1!$A:$B,2,0),IF($L581=6,VLOOKUP($M581,[6]Sheet1!$A:$B,2,0),0))))&amp;"x"&amp;$N581</f>
        <v>九环锡杖碎片x5</v>
      </c>
      <c r="C581" s="11">
        <v>4</v>
      </c>
      <c r="D581" s="11">
        <v>4</v>
      </c>
      <c r="E581" s="11">
        <v>2</v>
      </c>
      <c r="F581" s="47">
        <v>0</v>
      </c>
      <c r="G581" s="35">
        <v>50</v>
      </c>
      <c r="H581" s="35">
        <v>0</v>
      </c>
      <c r="I581" s="35">
        <v>1</v>
      </c>
      <c r="J581" s="35">
        <v>1</v>
      </c>
      <c r="K581" s="87" t="s">
        <v>8</v>
      </c>
      <c r="L581" s="60">
        <v>1</v>
      </c>
      <c r="M581" s="172">
        <v>17142</v>
      </c>
      <c r="N581" s="60">
        <v>5</v>
      </c>
      <c r="O581" s="173">
        <v>1</v>
      </c>
      <c r="P581" s="131"/>
      <c r="Q581" s="131"/>
      <c r="R581" s="131" t="str">
        <f t="shared" si="25"/>
        <v>[8101,1],[8102,1],[8103,1],[8104,1],[8105,1],[8106,1],[8107,1],[8108,1],[8109,1],[8110,1],[8111,1],[8112,1],[8113,1],[8114,1],[8115,1],[8116,1],[8117,1],[8118,1],[8119,1],[8120,1]</v>
      </c>
      <c r="S581" s="131"/>
    </row>
    <row r="582" spans="1:19" s="11" customFormat="1">
      <c r="A582" s="33">
        <v>8121</v>
      </c>
      <c r="B582" s="47" t="str">
        <f>IF($L582=1,VLOOKUP($M582,[1]Sheet1!$A:$C,2,0),IF($L582=4,VLOOKUP($M582,[4]Sheet1!$A:$B,2,0),IF($L582=2,VLOOKUP($M582,[5]Sheet1!$A:$B,2,0),IF($L582=6,VLOOKUP($M582,[6]Sheet1!$A:$B,2,0),0))))&amp;"x"&amp;$N582</f>
        <v>吊莲仙灯碎片x5</v>
      </c>
      <c r="C582" s="11">
        <v>4</v>
      </c>
      <c r="D582" s="11">
        <v>4</v>
      </c>
      <c r="E582" s="11">
        <v>2</v>
      </c>
      <c r="F582" s="47">
        <v>0</v>
      </c>
      <c r="G582" s="35">
        <v>50</v>
      </c>
      <c r="H582" s="35">
        <v>0</v>
      </c>
      <c r="I582" s="35">
        <v>1</v>
      </c>
      <c r="J582" s="35">
        <v>1</v>
      </c>
      <c r="K582" s="87" t="s">
        <v>8</v>
      </c>
      <c r="L582" s="60">
        <v>1</v>
      </c>
      <c r="M582" s="172">
        <v>17143</v>
      </c>
      <c r="N582" s="60">
        <v>5</v>
      </c>
      <c r="O582" s="173">
        <v>1</v>
      </c>
      <c r="P582" s="131"/>
      <c r="Q582" s="131"/>
      <c r="R582" s="131" t="str">
        <f t="shared" si="25"/>
        <v>[8101,1],[8102,1],[8103,1],[8104,1],[8105,1],[8106,1],[8107,1],[8108,1],[8109,1],[8110,1],[8111,1],[8112,1],[8113,1],[8114,1],[8115,1],[8116,1],[8117,1],[8118,1],[8119,1],[8120,1],[8121,1]</v>
      </c>
      <c r="S582" s="131"/>
    </row>
    <row r="583" spans="1:19" s="11" customFormat="1">
      <c r="A583" s="33">
        <v>8122</v>
      </c>
      <c r="B583" s="47" t="str">
        <f>IF($L583=1,VLOOKUP($M583,[1]Sheet1!$A:$C,2,0),IF($L583=4,VLOOKUP($M583,[4]Sheet1!$A:$B,2,0),IF($L583=2,VLOOKUP($M583,[5]Sheet1!$A:$B,2,0),IF($L583=6,VLOOKUP($M583,[6]Sheet1!$A:$B,2,0),0))))&amp;"x"&amp;$N583</f>
        <v>落樱神斧碎片x5</v>
      </c>
      <c r="C583" s="11">
        <v>4</v>
      </c>
      <c r="D583" s="11">
        <v>4</v>
      </c>
      <c r="E583" s="11">
        <v>2</v>
      </c>
      <c r="F583" s="47">
        <v>0</v>
      </c>
      <c r="G583" s="35">
        <v>50</v>
      </c>
      <c r="H583" s="35">
        <v>0</v>
      </c>
      <c r="I583" s="35">
        <v>1</v>
      </c>
      <c r="J583" s="35">
        <v>1</v>
      </c>
      <c r="K583" s="87" t="s">
        <v>8</v>
      </c>
      <c r="L583" s="60">
        <v>1</v>
      </c>
      <c r="M583" s="172">
        <v>17144</v>
      </c>
      <c r="N583" s="60">
        <v>5</v>
      </c>
      <c r="O583" s="173">
        <v>1</v>
      </c>
      <c r="P583" s="131"/>
      <c r="Q583" s="131"/>
      <c r="R583" s="131" t="str">
        <f t="shared" si="25"/>
        <v>[8101,1],[8102,1],[8103,1],[8104,1],[8105,1],[8106,1],[8107,1],[8108,1],[8109,1],[8110,1],[8111,1],[8112,1],[8113,1],[8114,1],[8115,1],[8116,1],[8117,1],[8118,1],[8119,1],[8120,1],[8121,1],[8122,1]</v>
      </c>
      <c r="S583" s="131"/>
    </row>
    <row r="584" spans="1:19" s="65" customFormat="1">
      <c r="A584" s="64">
        <v>8151</v>
      </c>
      <c r="B584" s="66" t="str">
        <f>IF($L584=1,VLOOKUP($M584,[1]Sheet1!$A:$C,2,0),IF($L584=4,VLOOKUP($M584,[4]Sheet1!$A:$B,2,0),IF($L584=2,VLOOKUP($M584,[5]Sheet1!$A:$B,2,0),IF($L584=6,VLOOKUP($M584,[6]Sheet1!$A:$B,2,0),0))))&amp;"x"&amp;$N584</f>
        <v>红莲岩泉碎片x5</v>
      </c>
      <c r="C584" s="65">
        <v>4</v>
      </c>
      <c r="D584" s="65">
        <v>4</v>
      </c>
      <c r="E584" s="65">
        <v>2</v>
      </c>
      <c r="F584" s="66">
        <v>0</v>
      </c>
      <c r="G584" s="67">
        <v>100</v>
      </c>
      <c r="H584" s="67">
        <v>0</v>
      </c>
      <c r="I584" s="67">
        <v>1</v>
      </c>
      <c r="J584" s="67">
        <v>1</v>
      </c>
      <c r="K584" s="84" t="s">
        <v>8</v>
      </c>
      <c r="L584" s="68">
        <v>1</v>
      </c>
      <c r="M584" s="149">
        <v>17103</v>
      </c>
      <c r="N584" s="68">
        <v>5</v>
      </c>
      <c r="O584" s="150">
        <v>1</v>
      </c>
      <c r="P584" s="129"/>
      <c r="Q584" s="129"/>
      <c r="R584" s="129" t="e">
        <f>IF($G584&lt;&gt;#REF!,"["&amp;$A584&amp;",1]",#REF!&amp;IF($O584=1,",["&amp;$A584&amp;",1]",""))</f>
        <v>#REF!</v>
      </c>
      <c r="S584" s="129"/>
    </row>
    <row r="585" spans="1:19" s="65" customFormat="1">
      <c r="A585" s="64">
        <v>8152</v>
      </c>
      <c r="B585" s="66" t="str">
        <f>IF($L585=1,VLOOKUP($M585,[1]Sheet1!$A:$C,2,0),IF($L585=4,VLOOKUP($M585,[4]Sheet1!$A:$B,2,0),IF($L585=2,VLOOKUP($M585,[5]Sheet1!$A:$B,2,0),IF($L585=6,VLOOKUP($M585,[6]Sheet1!$A:$B,2,0),0))))&amp;"x"&amp;$N585</f>
        <v>玲珑天晶塔碎片x5</v>
      </c>
      <c r="C585" s="65">
        <v>4</v>
      </c>
      <c r="D585" s="65">
        <v>4</v>
      </c>
      <c r="E585" s="65">
        <v>2</v>
      </c>
      <c r="F585" s="66">
        <v>0</v>
      </c>
      <c r="G585" s="67">
        <v>100</v>
      </c>
      <c r="H585" s="67">
        <v>0</v>
      </c>
      <c r="I585" s="67">
        <v>1</v>
      </c>
      <c r="J585" s="67">
        <v>1</v>
      </c>
      <c r="K585" s="84" t="s">
        <v>8</v>
      </c>
      <c r="L585" s="68">
        <v>1</v>
      </c>
      <c r="M585" s="149">
        <v>17106</v>
      </c>
      <c r="N585" s="68">
        <v>5</v>
      </c>
      <c r="O585" s="150">
        <v>1</v>
      </c>
      <c r="P585" s="129"/>
      <c r="Q585" s="129"/>
      <c r="R585" s="129" t="e">
        <f t="shared" si="25"/>
        <v>#REF!</v>
      </c>
      <c r="S585" s="129"/>
    </row>
    <row r="586" spans="1:19" s="65" customFormat="1">
      <c r="A586" s="64">
        <v>8153</v>
      </c>
      <c r="B586" s="66" t="str">
        <f>IF($L586=1,VLOOKUP($M586,[1]Sheet1!$A:$C,2,0),IF($L586=4,VLOOKUP($M586,[4]Sheet1!$A:$B,2,0),IF($L586=2,VLOOKUP($M586,[5]Sheet1!$A:$B,2,0),IF($L586=6,VLOOKUP($M586,[6]Sheet1!$A:$B,2,0),0))))&amp;"x"&amp;$N586</f>
        <v>明王摧城碎片x5</v>
      </c>
      <c r="C586" s="65">
        <v>4</v>
      </c>
      <c r="D586" s="65">
        <v>4</v>
      </c>
      <c r="E586" s="65">
        <v>2</v>
      </c>
      <c r="F586" s="66">
        <v>0</v>
      </c>
      <c r="G586" s="67">
        <v>100</v>
      </c>
      <c r="H586" s="67">
        <v>0</v>
      </c>
      <c r="I586" s="67">
        <v>1</v>
      </c>
      <c r="J586" s="67">
        <v>1</v>
      </c>
      <c r="K586" s="84" t="s">
        <v>8</v>
      </c>
      <c r="L586" s="68">
        <v>1</v>
      </c>
      <c r="M586" s="149">
        <v>17107</v>
      </c>
      <c r="N586" s="68">
        <v>5</v>
      </c>
      <c r="O586" s="150">
        <v>1</v>
      </c>
      <c r="P586" s="129"/>
      <c r="Q586" s="129"/>
      <c r="R586" s="129" t="e">
        <f t="shared" si="25"/>
        <v>#REF!</v>
      </c>
      <c r="S586" s="129"/>
    </row>
    <row r="587" spans="1:19" s="65" customFormat="1">
      <c r="A587" s="64">
        <v>8154</v>
      </c>
      <c r="B587" s="66" t="str">
        <f>IF($L587=1,VLOOKUP($M587,[1]Sheet1!$A:$C,2,0),IF($L587=4,VLOOKUP($M587,[4]Sheet1!$A:$B,2,0),IF($L587=2,VLOOKUP($M587,[5]Sheet1!$A:$B,2,0),IF($L587=6,VLOOKUP($M587,[6]Sheet1!$A:$B,2,0),0))))&amp;"x"&amp;$N587</f>
        <v>上宝沁金钯碎片x5</v>
      </c>
      <c r="C587" s="65">
        <v>4</v>
      </c>
      <c r="D587" s="65">
        <v>4</v>
      </c>
      <c r="E587" s="65">
        <v>2</v>
      </c>
      <c r="F587" s="66">
        <v>0</v>
      </c>
      <c r="G587" s="67">
        <v>100</v>
      </c>
      <c r="H587" s="67">
        <v>0</v>
      </c>
      <c r="I587" s="67">
        <v>1</v>
      </c>
      <c r="J587" s="67">
        <v>1</v>
      </c>
      <c r="K587" s="84" t="s">
        <v>8</v>
      </c>
      <c r="L587" s="68">
        <v>1</v>
      </c>
      <c r="M587" s="149">
        <v>17108</v>
      </c>
      <c r="N587" s="68">
        <v>5</v>
      </c>
      <c r="O587" s="150">
        <v>1</v>
      </c>
      <c r="P587" s="129"/>
      <c r="Q587" s="129"/>
      <c r="R587" s="129" t="e">
        <f t="shared" si="25"/>
        <v>#REF!</v>
      </c>
      <c r="S587" s="129"/>
    </row>
    <row r="588" spans="1:19" s="65" customFormat="1">
      <c r="A588" s="64">
        <v>8155</v>
      </c>
      <c r="B588" s="66" t="str">
        <f>IF($L588=1,VLOOKUP($M588,[1]Sheet1!$A:$C,2,0),IF($L588=4,VLOOKUP($M588,[4]Sheet1!$A:$B,2,0),IF($L588=2,VLOOKUP($M588,[5]Sheet1!$A:$B,2,0),IF($L588=6,VLOOKUP($M588,[6]Sheet1!$A:$B,2,0),0))))&amp;"x"&amp;$N588</f>
        <v>昆仑神木珠碎片x5</v>
      </c>
      <c r="C588" s="65">
        <v>4</v>
      </c>
      <c r="D588" s="65">
        <v>4</v>
      </c>
      <c r="E588" s="65">
        <v>2</v>
      </c>
      <c r="F588" s="66">
        <v>0</v>
      </c>
      <c r="G588" s="67">
        <v>100</v>
      </c>
      <c r="H588" s="67">
        <v>0</v>
      </c>
      <c r="I588" s="67">
        <v>1</v>
      </c>
      <c r="J588" s="67">
        <v>1</v>
      </c>
      <c r="K588" s="84" t="s">
        <v>8</v>
      </c>
      <c r="L588" s="68">
        <v>1</v>
      </c>
      <c r="M588" s="149">
        <v>17109</v>
      </c>
      <c r="N588" s="68">
        <v>5</v>
      </c>
      <c r="O588" s="150">
        <v>1</v>
      </c>
      <c r="P588" s="129"/>
      <c r="Q588" s="129"/>
      <c r="R588" s="129" t="e">
        <f t="shared" ref="R588:R598" si="26">IF($G588&lt;&gt;$G587,"["&amp;$A588&amp;",1]",$R587&amp;IF($O588=1,",["&amp;$A588&amp;",1]",""))</f>
        <v>#REF!</v>
      </c>
      <c r="S588" s="129"/>
    </row>
    <row r="589" spans="1:19" s="65" customFormat="1">
      <c r="A589" s="64">
        <v>8156</v>
      </c>
      <c r="B589" s="66" t="str">
        <f>IF($L589=1,VLOOKUP($M589,[1]Sheet1!$A:$C,2,0),IF($L589=4,VLOOKUP($M589,[4]Sheet1!$A:$B,2,0),IF($L589=2,VLOOKUP($M589,[5]Sheet1!$A:$B,2,0),IF($L589=6,VLOOKUP($M589,[6]Sheet1!$A:$B,2,0),0))))&amp;"x"&amp;$N589</f>
        <v>浮沉三世碎片x5</v>
      </c>
      <c r="C589" s="65">
        <v>4</v>
      </c>
      <c r="D589" s="65">
        <v>4</v>
      </c>
      <c r="E589" s="65">
        <v>2</v>
      </c>
      <c r="F589" s="66">
        <v>0</v>
      </c>
      <c r="G589" s="67">
        <v>100</v>
      </c>
      <c r="H589" s="67">
        <v>0</v>
      </c>
      <c r="I589" s="67">
        <v>1</v>
      </c>
      <c r="J589" s="67">
        <v>1</v>
      </c>
      <c r="K589" s="84" t="s">
        <v>8</v>
      </c>
      <c r="L589" s="68">
        <v>1</v>
      </c>
      <c r="M589" s="149">
        <v>17110</v>
      </c>
      <c r="N589" s="68">
        <v>5</v>
      </c>
      <c r="O589" s="150">
        <v>1</v>
      </c>
      <c r="P589" s="129"/>
      <c r="Q589" s="129"/>
      <c r="R589" s="129" t="e">
        <f t="shared" si="26"/>
        <v>#REF!</v>
      </c>
      <c r="S589" s="129"/>
    </row>
    <row r="590" spans="1:19" s="65" customFormat="1">
      <c r="A590" s="64">
        <v>8157</v>
      </c>
      <c r="B590" s="66" t="str">
        <f>IF($L590=1,VLOOKUP($M590,[1]Sheet1!$A:$C,2,0),IF($L590=4,VLOOKUP($M590,[4]Sheet1!$A:$B,2,0),IF($L590=2,VLOOKUP($M590,[5]Sheet1!$A:$B,2,0),IF($L590=6,VLOOKUP($M590,[6]Sheet1!$A:$B,2,0),0))))&amp;"x"&amp;$N590</f>
        <v>斩鬼流岩碎片x5</v>
      </c>
      <c r="C590" s="65">
        <v>4</v>
      </c>
      <c r="D590" s="65">
        <v>4</v>
      </c>
      <c r="E590" s="65">
        <v>2</v>
      </c>
      <c r="F590" s="66">
        <v>0</v>
      </c>
      <c r="G590" s="67">
        <v>100</v>
      </c>
      <c r="H590" s="67">
        <v>0</v>
      </c>
      <c r="I590" s="67">
        <v>1</v>
      </c>
      <c r="J590" s="67">
        <v>1</v>
      </c>
      <c r="K590" s="84" t="s">
        <v>8</v>
      </c>
      <c r="L590" s="68">
        <v>1</v>
      </c>
      <c r="M590" s="149">
        <v>17111</v>
      </c>
      <c r="N590" s="68">
        <v>5</v>
      </c>
      <c r="O590" s="150">
        <v>1</v>
      </c>
      <c r="P590" s="129"/>
      <c r="Q590" s="129"/>
      <c r="R590" s="129" t="e">
        <f t="shared" si="26"/>
        <v>#REF!</v>
      </c>
      <c r="S590" s="129"/>
    </row>
    <row r="591" spans="1:19" s="65" customFormat="1">
      <c r="A591" s="64">
        <v>8158</v>
      </c>
      <c r="B591" s="66" t="str">
        <f>IF($L591=1,VLOOKUP($M591,[1]Sheet1!$A:$C,2,0),IF($L591=4,VLOOKUP($M591,[4]Sheet1!$A:$B,2,0),IF($L591=2,VLOOKUP($M591,[5]Sheet1!$A:$B,2,0),IF($L591=6,VLOOKUP($M591,[6]Sheet1!$A:$B,2,0),0))))&amp;"x"&amp;$N591</f>
        <v>修罗开山斧碎片x5</v>
      </c>
      <c r="C591" s="65">
        <v>4</v>
      </c>
      <c r="D591" s="65">
        <v>4</v>
      </c>
      <c r="E591" s="65">
        <v>2</v>
      </c>
      <c r="F591" s="66">
        <v>0</v>
      </c>
      <c r="G591" s="67">
        <v>100</v>
      </c>
      <c r="H591" s="67">
        <v>0</v>
      </c>
      <c r="I591" s="67">
        <v>1</v>
      </c>
      <c r="J591" s="67">
        <v>1</v>
      </c>
      <c r="K591" s="84" t="s">
        <v>8</v>
      </c>
      <c r="L591" s="68">
        <v>1</v>
      </c>
      <c r="M591" s="149">
        <v>17112</v>
      </c>
      <c r="N591" s="68">
        <v>5</v>
      </c>
      <c r="O591" s="150">
        <v>1</v>
      </c>
      <c r="P591" s="129"/>
      <c r="Q591" s="129"/>
      <c r="R591" s="129" t="e">
        <f t="shared" si="26"/>
        <v>#REF!</v>
      </c>
      <c r="S591" s="129"/>
    </row>
    <row r="592" spans="1:19" s="65" customFormat="1">
      <c r="A592" s="64">
        <v>8159</v>
      </c>
      <c r="B592" s="66" t="str">
        <f>IF($L592=1,VLOOKUP($M592,[1]Sheet1!$A:$C,2,0),IF($L592=4,VLOOKUP($M592,[4]Sheet1!$A:$B,2,0),IF($L592=2,VLOOKUP($M592,[5]Sheet1!$A:$B,2,0),IF($L592=6,VLOOKUP($M592,[6]Sheet1!$A:$B,2,0),0))))&amp;"x"&amp;$N592</f>
        <v>绝魂领悟碎片x5</v>
      </c>
      <c r="C592" s="65">
        <v>4</v>
      </c>
      <c r="D592" s="65">
        <v>4</v>
      </c>
      <c r="E592" s="65">
        <v>2</v>
      </c>
      <c r="F592" s="66">
        <v>0</v>
      </c>
      <c r="G592" s="67">
        <v>100</v>
      </c>
      <c r="H592" s="67">
        <v>0</v>
      </c>
      <c r="I592" s="67">
        <v>1</v>
      </c>
      <c r="J592" s="67">
        <v>1</v>
      </c>
      <c r="K592" s="84" t="s">
        <v>8</v>
      </c>
      <c r="L592" s="68">
        <v>1</v>
      </c>
      <c r="M592" s="149">
        <v>17115</v>
      </c>
      <c r="N592" s="68">
        <v>5</v>
      </c>
      <c r="O592" s="150">
        <v>1</v>
      </c>
      <c r="P592" s="129"/>
      <c r="Q592" s="129"/>
      <c r="R592" s="129" t="e">
        <f t="shared" si="26"/>
        <v>#REF!</v>
      </c>
      <c r="S592" s="129"/>
    </row>
    <row r="593" spans="1:19" s="65" customFormat="1">
      <c r="A593" s="64">
        <v>8160</v>
      </c>
      <c r="B593" s="66" t="str">
        <f>IF($L593=1,VLOOKUP($M593,[1]Sheet1!$A:$C,2,0),IF($L593=4,VLOOKUP($M593,[4]Sheet1!$A:$B,2,0),IF($L593=2,VLOOKUP($M593,[5]Sheet1!$A:$B,2,0),IF($L593=6,VLOOKUP($M593,[6]Sheet1!$A:$B,2,0),0))))&amp;"x"&amp;$N593</f>
        <v>沉星芭蕉扇碎片x5</v>
      </c>
      <c r="C593" s="65">
        <v>4</v>
      </c>
      <c r="D593" s="65">
        <v>4</v>
      </c>
      <c r="E593" s="65">
        <v>2</v>
      </c>
      <c r="F593" s="66">
        <v>0</v>
      </c>
      <c r="G593" s="67">
        <v>100</v>
      </c>
      <c r="H593" s="67">
        <v>0</v>
      </c>
      <c r="I593" s="67">
        <v>1</v>
      </c>
      <c r="J593" s="67">
        <v>1</v>
      </c>
      <c r="K593" s="84" t="s">
        <v>8</v>
      </c>
      <c r="L593" s="68">
        <v>1</v>
      </c>
      <c r="M593" s="149">
        <v>17122</v>
      </c>
      <c r="N593" s="68">
        <v>5</v>
      </c>
      <c r="O593" s="150">
        <v>1</v>
      </c>
      <c r="P593" s="129"/>
      <c r="Q593" s="129"/>
      <c r="R593" s="129" t="e">
        <f t="shared" si="26"/>
        <v>#REF!</v>
      </c>
      <c r="S593" s="129"/>
    </row>
    <row r="594" spans="1:19" s="65" customFormat="1">
      <c r="A594" s="64">
        <v>8161</v>
      </c>
      <c r="B594" s="66" t="str">
        <f>IF($L594=1,VLOOKUP($M594,[1]Sheet1!$A:$C,2,0),IF($L594=4,VLOOKUP($M594,[4]Sheet1!$A:$B,2,0),IF($L594=2,VLOOKUP($M594,[5]Sheet1!$A:$B,2,0),IF($L594=6,VLOOKUP($M594,[6]Sheet1!$A:$B,2,0),0))))&amp;"x"&amp;$N594</f>
        <v>深海碎霜碎片x5</v>
      </c>
      <c r="C594" s="65">
        <v>4</v>
      </c>
      <c r="D594" s="65">
        <v>4</v>
      </c>
      <c r="E594" s="65">
        <v>2</v>
      </c>
      <c r="F594" s="66">
        <v>0</v>
      </c>
      <c r="G594" s="67">
        <v>100</v>
      </c>
      <c r="H594" s="67">
        <v>0</v>
      </c>
      <c r="I594" s="67">
        <v>1</v>
      </c>
      <c r="J594" s="67">
        <v>1</v>
      </c>
      <c r="K594" s="84" t="s">
        <v>8</v>
      </c>
      <c r="L594" s="68">
        <v>1</v>
      </c>
      <c r="M594" s="149">
        <v>17118</v>
      </c>
      <c r="N594" s="68">
        <v>5</v>
      </c>
      <c r="O594" s="150">
        <v>1</v>
      </c>
      <c r="P594" s="129"/>
      <c r="Q594" s="129"/>
      <c r="R594" s="129" t="e">
        <f t="shared" si="26"/>
        <v>#REF!</v>
      </c>
      <c r="S594" s="129"/>
    </row>
    <row r="595" spans="1:19" s="65" customFormat="1">
      <c r="A595" s="64">
        <v>8162</v>
      </c>
      <c r="B595" s="66" t="str">
        <f>IF($L595=1,VLOOKUP($M595,[1]Sheet1!$A:$C,2,0),IF($L595=4,VLOOKUP($M595,[4]Sheet1!$A:$B,2,0),IF($L595=2,VLOOKUP($M595,[5]Sheet1!$A:$B,2,0),IF($L595=6,VLOOKUP($M595,[6]Sheet1!$A:$B,2,0),0))))&amp;"x"&amp;$N595</f>
        <v>焚焰溯流碎片x5</v>
      </c>
      <c r="C595" s="65">
        <v>4</v>
      </c>
      <c r="D595" s="65">
        <v>4</v>
      </c>
      <c r="E595" s="65">
        <v>2</v>
      </c>
      <c r="F595" s="66">
        <v>0</v>
      </c>
      <c r="G595" s="67">
        <v>100</v>
      </c>
      <c r="H595" s="67">
        <v>0</v>
      </c>
      <c r="I595" s="67">
        <v>1</v>
      </c>
      <c r="J595" s="67">
        <v>1</v>
      </c>
      <c r="K595" s="84" t="s">
        <v>8</v>
      </c>
      <c r="L595" s="68">
        <v>1</v>
      </c>
      <c r="M595" s="149">
        <v>17119</v>
      </c>
      <c r="N595" s="68">
        <v>5</v>
      </c>
      <c r="O595" s="150">
        <v>1</v>
      </c>
      <c r="P595" s="129"/>
      <c r="Q595" s="129"/>
      <c r="R595" s="129" t="e">
        <f t="shared" si="26"/>
        <v>#REF!</v>
      </c>
      <c r="S595" s="129"/>
    </row>
    <row r="596" spans="1:19" s="65" customFormat="1">
      <c r="A596" s="64">
        <v>8163</v>
      </c>
      <c r="B596" s="66" t="str">
        <f>IF($L596=1,VLOOKUP($M596,[1]Sheet1!$A:$C,2,0),IF($L596=4,VLOOKUP($M596,[4]Sheet1!$A:$B,2,0),IF($L596=2,VLOOKUP($M596,[5]Sheet1!$A:$B,2,0),IF($L596=6,VLOOKUP($M596,[6]Sheet1!$A:$B,2,0),0))))&amp;"x"&amp;$N596</f>
        <v>追风紫罗带碎片x5</v>
      </c>
      <c r="C596" s="65">
        <v>4</v>
      </c>
      <c r="D596" s="65">
        <v>4</v>
      </c>
      <c r="E596" s="65">
        <v>2</v>
      </c>
      <c r="F596" s="66">
        <v>0</v>
      </c>
      <c r="G596" s="67">
        <v>100</v>
      </c>
      <c r="H596" s="67">
        <v>0</v>
      </c>
      <c r="I596" s="67">
        <v>1</v>
      </c>
      <c r="J596" s="67">
        <v>1</v>
      </c>
      <c r="K596" s="84" t="s">
        <v>8</v>
      </c>
      <c r="L596" s="68">
        <v>1</v>
      </c>
      <c r="M596" s="149">
        <v>17120</v>
      </c>
      <c r="N596" s="68">
        <v>5</v>
      </c>
      <c r="O596" s="150">
        <v>1</v>
      </c>
      <c r="P596" s="129"/>
      <c r="Q596" s="129"/>
      <c r="R596" s="129" t="e">
        <f t="shared" si="26"/>
        <v>#REF!</v>
      </c>
      <c r="S596" s="129"/>
    </row>
    <row r="597" spans="1:19" s="65" customFormat="1">
      <c r="A597" s="64">
        <v>8164</v>
      </c>
      <c r="B597" s="66" t="str">
        <f>IF($L597=1,VLOOKUP($M597,[1]Sheet1!$A:$C,2,0),IF($L597=4,VLOOKUP($M597,[4]Sheet1!$A:$B,2,0),IF($L597=2,VLOOKUP($M597,[5]Sheet1!$A:$B,2,0),IF($L597=6,VLOOKUP($M597,[6]Sheet1!$A:$B,2,0),0))))&amp;"x"&amp;$N597</f>
        <v>羊脂玉净瓶碎片x5</v>
      </c>
      <c r="C597" s="65">
        <v>4</v>
      </c>
      <c r="D597" s="65">
        <v>4</v>
      </c>
      <c r="E597" s="65">
        <v>2</v>
      </c>
      <c r="F597" s="66">
        <v>0</v>
      </c>
      <c r="G597" s="67">
        <v>100</v>
      </c>
      <c r="H597" s="67">
        <v>0</v>
      </c>
      <c r="I597" s="67">
        <v>1</v>
      </c>
      <c r="J597" s="67">
        <v>1</v>
      </c>
      <c r="K597" s="84" t="s">
        <v>8</v>
      </c>
      <c r="L597" s="68">
        <v>1</v>
      </c>
      <c r="M597" s="149">
        <v>17125</v>
      </c>
      <c r="N597" s="68">
        <v>5</v>
      </c>
      <c r="O597" s="150">
        <v>1</v>
      </c>
      <c r="P597" s="129"/>
      <c r="Q597" s="129"/>
      <c r="R597" s="129" t="e">
        <f t="shared" si="26"/>
        <v>#REF!</v>
      </c>
      <c r="S597" s="129"/>
    </row>
    <row r="598" spans="1:19" s="65" customFormat="1">
      <c r="A598" s="64">
        <v>8165</v>
      </c>
      <c r="B598" s="66" t="str">
        <f>IF($L598=1,VLOOKUP($M598,[1]Sheet1!$A:$C,2,0),IF($L598=4,VLOOKUP($M598,[4]Sheet1!$A:$B,2,0),IF($L598=2,VLOOKUP($M598,[5]Sheet1!$A:$B,2,0),IF($L598=6,VLOOKUP($M598,[6]Sheet1!$A:$B,2,0),0))))&amp;"x"&amp;$N598</f>
        <v>羊角画戟碎片x5</v>
      </c>
      <c r="C598" s="65">
        <v>4</v>
      </c>
      <c r="D598" s="65">
        <v>4</v>
      </c>
      <c r="E598" s="65">
        <v>2</v>
      </c>
      <c r="F598" s="66">
        <v>0</v>
      </c>
      <c r="G598" s="67">
        <v>100</v>
      </c>
      <c r="H598" s="67">
        <v>0</v>
      </c>
      <c r="I598" s="67">
        <v>1</v>
      </c>
      <c r="J598" s="67">
        <v>1</v>
      </c>
      <c r="K598" s="84" t="s">
        <v>8</v>
      </c>
      <c r="L598" s="68">
        <v>1</v>
      </c>
      <c r="M598" s="149">
        <v>17140</v>
      </c>
      <c r="N598" s="68">
        <v>5</v>
      </c>
      <c r="O598" s="150">
        <v>1</v>
      </c>
      <c r="P598" s="129"/>
      <c r="Q598" s="129"/>
      <c r="R598" s="129" t="e">
        <f t="shared" si="26"/>
        <v>#REF!</v>
      </c>
      <c r="S598" s="129"/>
    </row>
    <row r="599" spans="1:19" s="177" customFormat="1">
      <c r="A599" s="175">
        <v>8901</v>
      </c>
      <c r="B599" s="176" t="str">
        <f>IF($L599=1,VLOOKUP($M599,[1]Sheet1!$A:$C,2,0),IF($L599=4,VLOOKUP($M599,[4]Sheet1!$A:$B,2,0),IF($L599=2,VLOOKUP($M599,[5]Sheet1!$A:$B,2,0),IF($L599=6,VLOOKUP($M599,[6]Sheet1!$A:$B,2,0),0))))&amp;"x"&amp;$N599</f>
        <v>神兵强化石x10</v>
      </c>
      <c r="C599" s="176">
        <v>0</v>
      </c>
      <c r="D599" s="177">
        <v>4</v>
      </c>
      <c r="E599" s="177">
        <v>29</v>
      </c>
      <c r="F599" s="176">
        <v>0</v>
      </c>
      <c r="G599" s="178">
        <v>100</v>
      </c>
      <c r="H599" s="178">
        <v>0</v>
      </c>
      <c r="I599" s="178">
        <v>1</v>
      </c>
      <c r="J599" s="178">
        <v>1</v>
      </c>
      <c r="K599" s="179" t="s">
        <v>108</v>
      </c>
      <c r="L599" s="180">
        <v>1</v>
      </c>
      <c r="M599" s="181">
        <v>17000</v>
      </c>
      <c r="N599" s="180">
        <v>10</v>
      </c>
      <c r="O599" s="184">
        <v>1</v>
      </c>
      <c r="P599" s="182"/>
      <c r="Q599" s="182"/>
      <c r="R599" s="182" t="str">
        <f>IF($M599&lt;&gt;$M598,"["&amp;$A599&amp;",1]",$R598&amp;IF($O599=1,",["&amp;$A599&amp;",1]",""))</f>
        <v>[8901,1]</v>
      </c>
      <c r="S599" s="182"/>
    </row>
    <row r="600" spans="1:19" s="177" customFormat="1">
      <c r="A600" s="175">
        <v>8902</v>
      </c>
      <c r="B600" s="176" t="str">
        <f>IF($L600=1,VLOOKUP($M600,[1]Sheet1!$A:$C,2,0),IF($L600=4,VLOOKUP($M600,[4]Sheet1!$A:$B,2,0),IF($L600=2,VLOOKUP($M600,[5]Sheet1!$A:$B,2,0),IF($L600=6,VLOOKUP($M600,[6]Sheet1!$A:$B,2,0),0))))&amp;"x"&amp;$N600</f>
        <v>神兵强化石x20</v>
      </c>
      <c r="C600" s="176">
        <v>0</v>
      </c>
      <c r="D600" s="177">
        <v>4</v>
      </c>
      <c r="E600" s="177">
        <v>29</v>
      </c>
      <c r="F600" s="176">
        <v>0</v>
      </c>
      <c r="G600" s="178">
        <v>200</v>
      </c>
      <c r="H600" s="178">
        <v>0</v>
      </c>
      <c r="I600" s="178">
        <v>1</v>
      </c>
      <c r="J600" s="178">
        <v>1</v>
      </c>
      <c r="K600" s="179" t="s">
        <v>108</v>
      </c>
      <c r="L600" s="180">
        <v>1</v>
      </c>
      <c r="M600" s="183">
        <v>17000</v>
      </c>
      <c r="N600" s="180">
        <v>20</v>
      </c>
      <c r="O600" s="184">
        <v>1</v>
      </c>
      <c r="P600" s="182"/>
      <c r="Q600" s="182"/>
      <c r="R600" s="182" t="str">
        <f t="shared" ref="R600:R614" si="27">IF($M600&lt;&gt;$M599,"["&amp;$A600&amp;",1]",$R599&amp;IF($O600=1,",["&amp;$A600&amp;",1]",""))</f>
        <v>[8901,1],[8902,1]</v>
      </c>
      <c r="S600" s="182"/>
    </row>
    <row r="601" spans="1:19" s="177" customFormat="1">
      <c r="A601" s="175">
        <v>8903</v>
      </c>
      <c r="B601" s="176" t="str">
        <f>IF($L601=1,VLOOKUP($M601,[1]Sheet1!$A:$C,2,0),IF($L601=4,VLOOKUP($M601,[4]Sheet1!$A:$B,2,0),IF($L601=2,VLOOKUP($M601,[5]Sheet1!$A:$B,2,0),IF($L601=6,VLOOKUP($M601,[6]Sheet1!$A:$B,2,0),0))))&amp;"x"&amp;$N601</f>
        <v>神兵强化石x30</v>
      </c>
      <c r="C601" s="176">
        <v>0</v>
      </c>
      <c r="D601" s="177">
        <v>4</v>
      </c>
      <c r="E601" s="177">
        <v>29</v>
      </c>
      <c r="F601" s="176">
        <v>0</v>
      </c>
      <c r="G601" s="178">
        <v>300</v>
      </c>
      <c r="H601" s="178">
        <v>0</v>
      </c>
      <c r="I601" s="178">
        <v>1</v>
      </c>
      <c r="J601" s="178">
        <v>1</v>
      </c>
      <c r="K601" s="179" t="s">
        <v>108</v>
      </c>
      <c r="L601" s="180">
        <v>1</v>
      </c>
      <c r="M601" s="181">
        <v>17000</v>
      </c>
      <c r="N601" s="180">
        <v>30</v>
      </c>
      <c r="O601" s="184">
        <v>1</v>
      </c>
      <c r="P601" s="182"/>
      <c r="Q601" s="182"/>
      <c r="R601" s="182" t="str">
        <f t="shared" si="27"/>
        <v>[8901,1],[8902,1],[8903,1]</v>
      </c>
      <c r="S601" s="182"/>
    </row>
    <row r="602" spans="1:19" s="177" customFormat="1">
      <c r="A602" s="175">
        <v>8904</v>
      </c>
      <c r="B602" s="176" t="str">
        <f>IF($L602=1,VLOOKUP($M602,[1]Sheet1!$A:$C,2,0),IF($L602=4,VLOOKUP($M602,[4]Sheet1!$A:$B,2,0),IF($L602=2,VLOOKUP($M602,[5]Sheet1!$A:$B,2,0),IF($L602=6,VLOOKUP($M602,[6]Sheet1!$A:$B,2,0),0))))&amp;"x"&amp;$N602</f>
        <v>神兵强化石x40</v>
      </c>
      <c r="C602" s="176">
        <v>0</v>
      </c>
      <c r="D602" s="177">
        <v>4</v>
      </c>
      <c r="E602" s="177">
        <v>29</v>
      </c>
      <c r="F602" s="176">
        <v>0</v>
      </c>
      <c r="G602" s="178">
        <v>400</v>
      </c>
      <c r="H602" s="178">
        <v>0</v>
      </c>
      <c r="I602" s="178">
        <v>1</v>
      </c>
      <c r="J602" s="178">
        <v>1</v>
      </c>
      <c r="K602" s="179" t="s">
        <v>108</v>
      </c>
      <c r="L602" s="180">
        <v>1</v>
      </c>
      <c r="M602" s="183">
        <v>17000</v>
      </c>
      <c r="N602" s="180">
        <v>40</v>
      </c>
      <c r="O602" s="184">
        <v>1</v>
      </c>
      <c r="P602" s="182"/>
      <c r="Q602" s="182"/>
      <c r="R602" s="182" t="str">
        <f>IF($M602&lt;&gt;$M601,"["&amp;$A602&amp;",1]",$R601&amp;IF($O602=1,",["&amp;$A602&amp;",1]",""))</f>
        <v>[8901,1],[8902,1],[8903,1],[8904,1]</v>
      </c>
      <c r="S602" s="182"/>
    </row>
    <row r="603" spans="1:19" s="177" customFormat="1">
      <c r="A603" s="175">
        <v>8905</v>
      </c>
      <c r="B603" s="176" t="str">
        <f>IF($L603=1,VLOOKUP($M603,[1]Sheet1!$A:$C,2,0),IF($L603=4,VLOOKUP($M603,[4]Sheet1!$A:$B,2,0),IF($L603=2,VLOOKUP($M603,[5]Sheet1!$A:$B,2,0),IF($L603=6,VLOOKUP($M603,[6]Sheet1!$A:$B,2,0),0))))&amp;"x"&amp;$N603</f>
        <v>神兵进阶石x5</v>
      </c>
      <c r="C603" s="176">
        <v>0</v>
      </c>
      <c r="D603" s="177">
        <v>4</v>
      </c>
      <c r="E603" s="177">
        <v>29</v>
      </c>
      <c r="F603" s="176">
        <v>0</v>
      </c>
      <c r="G603" s="178">
        <v>250</v>
      </c>
      <c r="H603" s="178">
        <v>0</v>
      </c>
      <c r="I603" s="178">
        <v>1</v>
      </c>
      <c r="J603" s="178">
        <v>1</v>
      </c>
      <c r="K603" s="179" t="s">
        <v>108</v>
      </c>
      <c r="L603" s="180">
        <v>1</v>
      </c>
      <c r="M603" s="181">
        <v>17001</v>
      </c>
      <c r="N603" s="180">
        <v>5</v>
      </c>
      <c r="O603" s="184">
        <v>1</v>
      </c>
      <c r="P603" s="182"/>
      <c r="Q603" s="182"/>
      <c r="R603" s="182" t="str">
        <f t="shared" si="27"/>
        <v>[8905,1]</v>
      </c>
      <c r="S603" s="182"/>
    </row>
    <row r="604" spans="1:19" s="177" customFormat="1">
      <c r="A604" s="175">
        <v>8906</v>
      </c>
      <c r="B604" s="176" t="str">
        <f>IF($L604=1,VLOOKUP($M604,[1]Sheet1!$A:$C,2,0),IF($L604=4,VLOOKUP($M604,[4]Sheet1!$A:$B,2,0),IF($L604=2,VLOOKUP($M604,[5]Sheet1!$A:$B,2,0),IF($L604=6,VLOOKUP($M604,[6]Sheet1!$A:$B,2,0),0))))&amp;"x"&amp;$N604</f>
        <v>神兵进阶石x10</v>
      </c>
      <c r="C604" s="176">
        <v>0</v>
      </c>
      <c r="D604" s="177">
        <v>4</v>
      </c>
      <c r="E604" s="177">
        <v>29</v>
      </c>
      <c r="F604" s="176">
        <v>0</v>
      </c>
      <c r="G604" s="178">
        <v>500</v>
      </c>
      <c r="H604" s="178">
        <v>0</v>
      </c>
      <c r="I604" s="178">
        <v>1</v>
      </c>
      <c r="J604" s="178">
        <v>1</v>
      </c>
      <c r="K604" s="179" t="s">
        <v>108</v>
      </c>
      <c r="L604" s="180">
        <v>1</v>
      </c>
      <c r="M604" s="181">
        <v>17001</v>
      </c>
      <c r="N604" s="180">
        <v>10</v>
      </c>
      <c r="O604" s="184">
        <v>1</v>
      </c>
      <c r="P604" s="182"/>
      <c r="Q604" s="182"/>
      <c r="R604" s="182" t="str">
        <f t="shared" si="27"/>
        <v>[8905,1],[8906,1]</v>
      </c>
      <c r="S604" s="182"/>
    </row>
    <row r="605" spans="1:19" s="177" customFormat="1">
      <c r="A605" s="175">
        <v>8907</v>
      </c>
      <c r="B605" s="176" t="str">
        <f>IF($L605=1,VLOOKUP($M605,[1]Sheet1!$A:$C,2,0),IF($L605=4,VLOOKUP($M605,[4]Sheet1!$A:$B,2,0),IF($L605=2,VLOOKUP($M605,[5]Sheet1!$A:$B,2,0),IF($L605=6,VLOOKUP($M605,[6]Sheet1!$A:$B,2,0),0))))&amp;"x"&amp;$N605</f>
        <v>神兵进阶石x15</v>
      </c>
      <c r="C605" s="176">
        <v>0</v>
      </c>
      <c r="D605" s="177">
        <v>4</v>
      </c>
      <c r="E605" s="177">
        <v>29</v>
      </c>
      <c r="F605" s="176">
        <v>0</v>
      </c>
      <c r="G605" s="178">
        <v>750</v>
      </c>
      <c r="H605" s="178">
        <v>0</v>
      </c>
      <c r="I605" s="178">
        <v>1</v>
      </c>
      <c r="J605" s="178">
        <v>1</v>
      </c>
      <c r="K605" s="179" t="s">
        <v>108</v>
      </c>
      <c r="L605" s="180">
        <v>1</v>
      </c>
      <c r="M605" s="181">
        <v>17001</v>
      </c>
      <c r="N605" s="180">
        <v>15</v>
      </c>
      <c r="O605" s="184">
        <v>1</v>
      </c>
      <c r="P605" s="182"/>
      <c r="Q605" s="182"/>
      <c r="R605" s="182" t="str">
        <f t="shared" si="27"/>
        <v>[8905,1],[8906,1],[8907,1]</v>
      </c>
      <c r="S605" s="182"/>
    </row>
    <row r="606" spans="1:19" s="177" customFormat="1">
      <c r="A606" s="175">
        <v>8908</v>
      </c>
      <c r="B606" s="176" t="str">
        <f>IF($L606=1,VLOOKUP($M606,[1]Sheet1!$A:$C,2,0),IF($L606=4,VLOOKUP($M606,[4]Sheet1!$A:$B,2,0),IF($L606=2,VLOOKUP($M606,[5]Sheet1!$A:$B,2,0),IF($L606=6,VLOOKUP($M606,[6]Sheet1!$A:$B,2,0),0))))&amp;"x"&amp;$N606</f>
        <v>神兵进阶石x20</v>
      </c>
      <c r="C606" s="176">
        <v>0</v>
      </c>
      <c r="D606" s="177">
        <v>4</v>
      </c>
      <c r="E606" s="177">
        <v>29</v>
      </c>
      <c r="F606" s="176">
        <v>0</v>
      </c>
      <c r="G606" s="178">
        <v>1000</v>
      </c>
      <c r="H606" s="178">
        <v>0</v>
      </c>
      <c r="I606" s="178">
        <v>1</v>
      </c>
      <c r="J606" s="178">
        <v>1</v>
      </c>
      <c r="K606" s="179" t="s">
        <v>108</v>
      </c>
      <c r="L606" s="180">
        <v>1</v>
      </c>
      <c r="M606" s="181">
        <v>17001</v>
      </c>
      <c r="N606" s="180">
        <v>20</v>
      </c>
      <c r="O606" s="184">
        <v>1</v>
      </c>
      <c r="P606" s="182"/>
      <c r="Q606" s="182"/>
      <c r="R606" s="182" t="str">
        <f t="shared" si="27"/>
        <v>[8905,1],[8906,1],[8907,1],[8908,1]</v>
      </c>
      <c r="S606" s="182"/>
    </row>
    <row r="607" spans="1:19" s="10" customFormat="1">
      <c r="A607" s="30">
        <v>8951</v>
      </c>
      <c r="B607" s="46" t="str">
        <f>IF($L607=1,VLOOKUP($M607,[1]Sheet1!$A:$C,2,0),IF($L607=4,VLOOKUP($M607,[4]Sheet1!$A:$B,2,0),IF($L607=2,VLOOKUP($M607,[5]Sheet1!$A:$B,2,0),IF($L607=6,VLOOKUP($M607,[6]Sheet1!$A:$B,2,0),0))))&amp;"x"&amp;$N607</f>
        <v>神兵强化石x10</v>
      </c>
      <c r="C607" s="46">
        <v>0</v>
      </c>
      <c r="D607" s="10">
        <v>4</v>
      </c>
      <c r="E607" s="10">
        <v>2</v>
      </c>
      <c r="F607" s="46">
        <v>0</v>
      </c>
      <c r="G607" s="32">
        <v>10</v>
      </c>
      <c r="H607" s="32">
        <v>0</v>
      </c>
      <c r="I607" s="32">
        <v>1</v>
      </c>
      <c r="J607" s="32">
        <v>1</v>
      </c>
      <c r="K607" s="90" t="s">
        <v>108</v>
      </c>
      <c r="L607" s="59">
        <v>1</v>
      </c>
      <c r="M607" s="91">
        <v>17000</v>
      </c>
      <c r="N607" s="59">
        <v>10</v>
      </c>
      <c r="O607" s="185">
        <v>1</v>
      </c>
      <c r="P607" s="132"/>
      <c r="Q607" s="132"/>
      <c r="R607" s="132" t="str">
        <f>IF($M607&lt;&gt;$M606,"["&amp;$A607&amp;",1]",$R606&amp;IF($O607=1,",["&amp;$A607&amp;",1]",""))</f>
        <v>[8951,1]</v>
      </c>
      <c r="S607" s="132"/>
    </row>
    <row r="608" spans="1:19" s="10" customFormat="1">
      <c r="A608" s="30">
        <v>8952</v>
      </c>
      <c r="B608" s="46" t="str">
        <f>IF($L608=1,VLOOKUP($M608,[1]Sheet1!$A:$C,2,0),IF($L608=4,VLOOKUP($M608,[4]Sheet1!$A:$B,2,0),IF($L608=2,VLOOKUP($M608,[5]Sheet1!$A:$B,2,0),IF($L608=6,VLOOKUP($M608,[6]Sheet1!$A:$B,2,0),0))))&amp;"x"&amp;$N608</f>
        <v>神兵强化石x20</v>
      </c>
      <c r="C608" s="46">
        <v>0</v>
      </c>
      <c r="D608" s="10">
        <v>4</v>
      </c>
      <c r="E608" s="10">
        <v>2</v>
      </c>
      <c r="F608" s="46">
        <v>0</v>
      </c>
      <c r="G608" s="32">
        <v>20</v>
      </c>
      <c r="H608" s="32">
        <v>0</v>
      </c>
      <c r="I608" s="32">
        <v>1</v>
      </c>
      <c r="J608" s="32">
        <v>1</v>
      </c>
      <c r="K608" s="90" t="s">
        <v>108</v>
      </c>
      <c r="L608" s="59">
        <v>1</v>
      </c>
      <c r="M608" s="186">
        <v>17000</v>
      </c>
      <c r="N608" s="59">
        <v>20</v>
      </c>
      <c r="O608" s="185">
        <v>1</v>
      </c>
      <c r="P608" s="132"/>
      <c r="Q608" s="132"/>
      <c r="R608" s="132" t="str">
        <f t="shared" si="27"/>
        <v>[8951,1],[8952,1]</v>
      </c>
      <c r="S608" s="132"/>
    </row>
    <row r="609" spans="1:19" s="10" customFormat="1">
      <c r="A609" s="30">
        <v>8953</v>
      </c>
      <c r="B609" s="46" t="str">
        <f>IF($L609=1,VLOOKUP($M609,[1]Sheet1!$A:$C,2,0),IF($L609=4,VLOOKUP($M609,[4]Sheet1!$A:$B,2,0),IF($L609=2,VLOOKUP($M609,[5]Sheet1!$A:$B,2,0),IF($L609=6,VLOOKUP($M609,[6]Sheet1!$A:$B,2,0),0))))&amp;"x"&amp;$N609</f>
        <v>神兵强化石x30</v>
      </c>
      <c r="C609" s="46">
        <v>0</v>
      </c>
      <c r="D609" s="10">
        <v>4</v>
      </c>
      <c r="E609" s="10">
        <v>2</v>
      </c>
      <c r="F609" s="46">
        <v>0</v>
      </c>
      <c r="G609" s="32">
        <v>30</v>
      </c>
      <c r="H609" s="32">
        <v>0</v>
      </c>
      <c r="I609" s="32">
        <v>1</v>
      </c>
      <c r="J609" s="32">
        <v>1</v>
      </c>
      <c r="K609" s="90" t="s">
        <v>108</v>
      </c>
      <c r="L609" s="59">
        <v>1</v>
      </c>
      <c r="M609" s="91">
        <v>17000</v>
      </c>
      <c r="N609" s="59">
        <v>30</v>
      </c>
      <c r="O609" s="185">
        <v>1</v>
      </c>
      <c r="P609" s="132"/>
      <c r="Q609" s="132"/>
      <c r="R609" s="132" t="str">
        <f t="shared" si="27"/>
        <v>[8951,1],[8952,1],[8953,1]</v>
      </c>
      <c r="S609" s="132"/>
    </row>
    <row r="610" spans="1:19" s="10" customFormat="1">
      <c r="A610" s="30">
        <v>8954</v>
      </c>
      <c r="B610" s="46" t="str">
        <f>IF($L610=1,VLOOKUP($M610,[1]Sheet1!$A:$C,2,0),IF($L610=4,VLOOKUP($M610,[4]Sheet1!$A:$B,2,0),IF($L610=2,VLOOKUP($M610,[5]Sheet1!$A:$B,2,0),IF($L610=6,VLOOKUP($M610,[6]Sheet1!$A:$B,2,0),0))))&amp;"x"&amp;$N610</f>
        <v>神兵强化石x40</v>
      </c>
      <c r="C610" s="46">
        <v>0</v>
      </c>
      <c r="D610" s="10">
        <v>4</v>
      </c>
      <c r="E610" s="10">
        <v>2</v>
      </c>
      <c r="F610" s="46">
        <v>0</v>
      </c>
      <c r="G610" s="32">
        <v>40</v>
      </c>
      <c r="H610" s="32">
        <v>0</v>
      </c>
      <c r="I610" s="32">
        <v>1</v>
      </c>
      <c r="J610" s="32">
        <v>1</v>
      </c>
      <c r="K610" s="90" t="s">
        <v>108</v>
      </c>
      <c r="L610" s="59">
        <v>1</v>
      </c>
      <c r="M610" s="186">
        <v>17000</v>
      </c>
      <c r="N610" s="59">
        <v>40</v>
      </c>
      <c r="O610" s="185">
        <v>1</v>
      </c>
      <c r="P610" s="132"/>
      <c r="Q610" s="132"/>
      <c r="R610" s="132" t="str">
        <f>IF($M610&lt;&gt;$M609,"["&amp;$A610&amp;",1]",$R609&amp;IF($O610=1,",["&amp;$A610&amp;",1]",""))</f>
        <v>[8951,1],[8952,1],[8953,1],[8954,1]</v>
      </c>
      <c r="S610" s="132"/>
    </row>
    <row r="611" spans="1:19" s="10" customFormat="1">
      <c r="A611" s="30">
        <v>8955</v>
      </c>
      <c r="B611" s="46" t="str">
        <f>IF($L611=1,VLOOKUP($M611,[1]Sheet1!$A:$C,2,0),IF($L611=4,VLOOKUP($M611,[4]Sheet1!$A:$B,2,0),IF($L611=2,VLOOKUP($M611,[5]Sheet1!$A:$B,2,0),IF($L611=6,VLOOKUP($M611,[6]Sheet1!$A:$B,2,0),0))))&amp;"x"&amp;$N611</f>
        <v>神兵进阶石x5</v>
      </c>
      <c r="C611" s="46">
        <v>0</v>
      </c>
      <c r="D611" s="10">
        <v>4</v>
      </c>
      <c r="E611" s="10">
        <v>2</v>
      </c>
      <c r="F611" s="46">
        <v>0</v>
      </c>
      <c r="G611" s="32">
        <v>25</v>
      </c>
      <c r="H611" s="32">
        <v>0</v>
      </c>
      <c r="I611" s="32">
        <v>1</v>
      </c>
      <c r="J611" s="32">
        <v>1</v>
      </c>
      <c r="K611" s="90" t="s">
        <v>108</v>
      </c>
      <c r="L611" s="59">
        <v>1</v>
      </c>
      <c r="M611" s="91">
        <v>17001</v>
      </c>
      <c r="N611" s="59">
        <v>5</v>
      </c>
      <c r="O611" s="185">
        <v>1</v>
      </c>
      <c r="P611" s="132"/>
      <c r="Q611" s="132"/>
      <c r="R611" s="132" t="str">
        <f t="shared" si="27"/>
        <v>[8955,1]</v>
      </c>
      <c r="S611" s="132"/>
    </row>
    <row r="612" spans="1:19" s="10" customFormat="1">
      <c r="A612" s="30">
        <v>8956</v>
      </c>
      <c r="B612" s="46" t="str">
        <f>IF($L612=1,VLOOKUP($M612,[1]Sheet1!$A:$C,2,0),IF($L612=4,VLOOKUP($M612,[4]Sheet1!$A:$B,2,0),IF($L612=2,VLOOKUP($M612,[5]Sheet1!$A:$B,2,0),IF($L612=6,VLOOKUP($M612,[6]Sheet1!$A:$B,2,0),0))))&amp;"x"&amp;$N612</f>
        <v>神兵进阶石x10</v>
      </c>
      <c r="C612" s="46">
        <v>0</v>
      </c>
      <c r="D612" s="10">
        <v>4</v>
      </c>
      <c r="E612" s="10">
        <v>2</v>
      </c>
      <c r="F612" s="46">
        <v>0</v>
      </c>
      <c r="G612" s="32">
        <v>50</v>
      </c>
      <c r="H612" s="32">
        <v>0</v>
      </c>
      <c r="I612" s="32">
        <v>1</v>
      </c>
      <c r="J612" s="32">
        <v>1</v>
      </c>
      <c r="K612" s="90" t="s">
        <v>108</v>
      </c>
      <c r="L612" s="59">
        <v>1</v>
      </c>
      <c r="M612" s="91">
        <v>17001</v>
      </c>
      <c r="N612" s="59">
        <v>10</v>
      </c>
      <c r="O612" s="185">
        <v>1</v>
      </c>
      <c r="P612" s="132"/>
      <c r="Q612" s="132"/>
      <c r="R612" s="132" t="str">
        <f t="shared" si="27"/>
        <v>[8955,1],[8956,1]</v>
      </c>
      <c r="S612" s="132"/>
    </row>
    <row r="613" spans="1:19" s="10" customFormat="1">
      <c r="A613" s="30">
        <v>8957</v>
      </c>
      <c r="B613" s="46" t="str">
        <f>IF($L613=1,VLOOKUP($M613,[1]Sheet1!$A:$C,2,0),IF($L613=4,VLOOKUP($M613,[4]Sheet1!$A:$B,2,0),IF($L613=2,VLOOKUP($M613,[5]Sheet1!$A:$B,2,0),IF($L613=6,VLOOKUP($M613,[6]Sheet1!$A:$B,2,0),0))))&amp;"x"&amp;$N613</f>
        <v>神兵进阶石x15</v>
      </c>
      <c r="C613" s="46">
        <v>0</v>
      </c>
      <c r="D613" s="10">
        <v>4</v>
      </c>
      <c r="E613" s="10">
        <v>2</v>
      </c>
      <c r="F613" s="46">
        <v>0</v>
      </c>
      <c r="G613" s="32">
        <v>75</v>
      </c>
      <c r="H613" s="32">
        <v>0</v>
      </c>
      <c r="I613" s="32">
        <v>1</v>
      </c>
      <c r="J613" s="32">
        <v>1</v>
      </c>
      <c r="K613" s="90" t="s">
        <v>108</v>
      </c>
      <c r="L613" s="59">
        <v>1</v>
      </c>
      <c r="M613" s="91">
        <v>17001</v>
      </c>
      <c r="N613" s="59">
        <v>15</v>
      </c>
      <c r="O613" s="185">
        <v>1</v>
      </c>
      <c r="P613" s="132"/>
      <c r="Q613" s="132"/>
      <c r="R613" s="132" t="str">
        <f t="shared" si="27"/>
        <v>[8955,1],[8956,1],[8957,1]</v>
      </c>
      <c r="S613" s="132"/>
    </row>
    <row r="614" spans="1:19" s="10" customFormat="1">
      <c r="A614" s="30">
        <v>8958</v>
      </c>
      <c r="B614" s="46" t="str">
        <f>IF($L614=1,VLOOKUP($M614,[1]Sheet1!$A:$C,2,0),IF($L614=4,VLOOKUP($M614,[4]Sheet1!$A:$B,2,0),IF($L614=2,VLOOKUP($M614,[5]Sheet1!$A:$B,2,0),IF($L614=6,VLOOKUP($M614,[6]Sheet1!$A:$B,2,0),0))))&amp;"x"&amp;$N614</f>
        <v>神兵进阶石x20</v>
      </c>
      <c r="C614" s="46">
        <v>0</v>
      </c>
      <c r="D614" s="10">
        <v>4</v>
      </c>
      <c r="E614" s="10">
        <v>2</v>
      </c>
      <c r="F614" s="46">
        <v>0</v>
      </c>
      <c r="G614" s="32">
        <v>100</v>
      </c>
      <c r="H614" s="32">
        <v>0</v>
      </c>
      <c r="I614" s="32">
        <v>1</v>
      </c>
      <c r="J614" s="32">
        <v>1</v>
      </c>
      <c r="K614" s="90" t="s">
        <v>108</v>
      </c>
      <c r="L614" s="59">
        <v>1</v>
      </c>
      <c r="M614" s="91">
        <v>17001</v>
      </c>
      <c r="N614" s="59">
        <v>20</v>
      </c>
      <c r="O614" s="185">
        <v>1</v>
      </c>
      <c r="P614" s="132"/>
      <c r="Q614" s="132"/>
      <c r="R614" s="132" t="str">
        <f t="shared" si="27"/>
        <v>[8955,1],[8956,1],[8957,1],[8958,1]</v>
      </c>
      <c r="S614" s="132"/>
    </row>
    <row r="615" spans="1:19" s="13" customFormat="1">
      <c r="A615" s="39">
        <v>9001</v>
      </c>
      <c r="B615" s="49" t="str">
        <f>IF($L615=1,VLOOKUP($M615,[1]Sheet1!$A:$C,2,0),IF($L615=4,VLOOKUP($M615,[4]Sheet1!$A:$B,2,0),IF($L615=2,VLOOKUP($M615,[5]Sheet1!$A:$B,2,0),IF($L615=6,VLOOKUP($M615,[6]Sheet1!$A:$B,2,0),0))))&amp;"x"&amp;$N615</f>
        <v>装备精炼石x1</v>
      </c>
      <c r="C615" s="49">
        <v>0</v>
      </c>
      <c r="D615" s="13">
        <v>4</v>
      </c>
      <c r="E615" s="13">
        <v>38</v>
      </c>
      <c r="F615" s="49">
        <v>0</v>
      </c>
      <c r="G615" s="49">
        <v>10</v>
      </c>
      <c r="H615" s="13">
        <v>0</v>
      </c>
      <c r="I615" s="13">
        <v>1</v>
      </c>
      <c r="J615" s="13">
        <v>50</v>
      </c>
      <c r="K615" s="110" t="s">
        <v>8</v>
      </c>
      <c r="L615" s="62">
        <v>1</v>
      </c>
      <c r="M615" s="117">
        <v>16005</v>
      </c>
      <c r="N615" s="62">
        <v>1</v>
      </c>
      <c r="O615" s="118">
        <v>1</v>
      </c>
      <c r="P615" s="138"/>
      <c r="Q615" s="138"/>
      <c r="R615" s="138"/>
      <c r="S615" s="138"/>
    </row>
    <row r="616" spans="1:19" s="13" customFormat="1">
      <c r="A616" s="39">
        <v>9002</v>
      </c>
      <c r="B616" s="49" t="str">
        <f>IF($L616=1,VLOOKUP($M616,[1]Sheet1!$A:$C,2,0),IF($L616=4,VLOOKUP($M616,[4]Sheet1!$A:$B,2,0),IF($L616=2,VLOOKUP($M616,[5]Sheet1!$A:$B,2,0),IF($L616=6,VLOOKUP($M616,[6]Sheet1!$A:$B,2,0),0))))&amp;"x"&amp;$N616</f>
        <v>装备精炼石x10</v>
      </c>
      <c r="C616" s="49">
        <v>0</v>
      </c>
      <c r="D616" s="13">
        <v>4</v>
      </c>
      <c r="E616" s="13">
        <v>38</v>
      </c>
      <c r="F616" s="49">
        <v>0</v>
      </c>
      <c r="G616" s="49">
        <v>100</v>
      </c>
      <c r="H616" s="13">
        <v>0</v>
      </c>
      <c r="I616" s="13">
        <v>1</v>
      </c>
      <c r="J616" s="13">
        <v>5</v>
      </c>
      <c r="K616" s="110" t="s">
        <v>8</v>
      </c>
      <c r="L616" s="62">
        <v>1</v>
      </c>
      <c r="M616" s="117">
        <v>16005</v>
      </c>
      <c r="N616" s="62">
        <v>10</v>
      </c>
      <c r="O616" s="118">
        <v>1</v>
      </c>
      <c r="P616" s="138"/>
      <c r="Q616" s="138"/>
      <c r="R616" s="138"/>
      <c r="S616" s="138"/>
    </row>
    <row r="617" spans="1:19" s="13" customFormat="1">
      <c r="A617" s="39">
        <v>9003</v>
      </c>
      <c r="B617" s="49" t="str">
        <f>IF($L617=1,VLOOKUP($M617,[1]Sheet1!$A:$C,2,0),IF($L617=4,VLOOKUP($M617,[4]Sheet1!$A:$B,2,0),IF($L617=2,VLOOKUP($M617,[5]Sheet1!$A:$B,2,0),IF($L617=6,VLOOKUP($M617,[6]Sheet1!$A:$B,2,0),0))))&amp;"x"&amp;$N617</f>
        <v>装备精炼石x100</v>
      </c>
      <c r="C617" s="49">
        <v>0</v>
      </c>
      <c r="D617" s="13">
        <v>4</v>
      </c>
      <c r="E617" s="13">
        <v>38</v>
      </c>
      <c r="F617" s="49">
        <v>0</v>
      </c>
      <c r="G617" s="49">
        <v>1000</v>
      </c>
      <c r="H617" s="13">
        <v>0</v>
      </c>
      <c r="I617" s="13">
        <v>1</v>
      </c>
      <c r="J617" s="13">
        <v>1</v>
      </c>
      <c r="K617" s="110" t="s">
        <v>8</v>
      </c>
      <c r="L617" s="62">
        <v>1</v>
      </c>
      <c r="M617" s="117">
        <v>16005</v>
      </c>
      <c r="N617" s="62">
        <v>100</v>
      </c>
      <c r="O617" s="118">
        <v>1</v>
      </c>
      <c r="P617" s="138"/>
      <c r="Q617" s="138"/>
      <c r="R617" s="138"/>
      <c r="S617" s="138"/>
    </row>
    <row r="618" spans="1:19" s="13" customFormat="1">
      <c r="A618" s="39">
        <v>9004</v>
      </c>
      <c r="B618" s="49" t="str">
        <f>IF($L618=1,VLOOKUP($M618,[1]Sheet1!$A:$C,2,0),IF($L618=4,VLOOKUP($M618,[4]Sheet1!$A:$B,2,0),IF($L618=2,VLOOKUP($M618,[5]Sheet1!$A:$B,2,0),IF($L618=6,VLOOKUP($M618,[6]Sheet1!$A:$B,2,0),0))))&amp;"x"&amp;$N618</f>
        <v>洗炼丹x1</v>
      </c>
      <c r="C618" s="49">
        <v>0</v>
      </c>
      <c r="D618" s="13">
        <v>4</v>
      </c>
      <c r="E618" s="13">
        <v>38</v>
      </c>
      <c r="F618" s="49">
        <v>0</v>
      </c>
      <c r="G618" s="49">
        <v>50</v>
      </c>
      <c r="H618" s="13">
        <v>0</v>
      </c>
      <c r="I618" s="13">
        <v>1</v>
      </c>
      <c r="J618" s="13">
        <v>30</v>
      </c>
      <c r="K618" s="110" t="s">
        <v>8</v>
      </c>
      <c r="L618" s="62">
        <v>1</v>
      </c>
      <c r="M618" s="117">
        <v>14106</v>
      </c>
      <c r="N618" s="62">
        <v>1</v>
      </c>
      <c r="O618" s="118">
        <v>1</v>
      </c>
      <c r="P618" s="138"/>
      <c r="Q618" s="138"/>
      <c r="R618" s="138"/>
      <c r="S618" s="138"/>
    </row>
    <row r="619" spans="1:19" s="13" customFormat="1">
      <c r="A619" s="39">
        <v>9005</v>
      </c>
      <c r="B619" s="49" t="str">
        <f>IF($L619=1,VLOOKUP($M619,[1]Sheet1!$A:$C,2,0),IF($L619=4,VLOOKUP($M619,[4]Sheet1!$A:$B,2,0),IF($L619=2,VLOOKUP($M619,[5]Sheet1!$A:$B,2,0),IF($L619=6,VLOOKUP($M619,[6]Sheet1!$A:$B,2,0),0))))&amp;"x"&amp;$N619</f>
        <v>洗炼突破丹x1</v>
      </c>
      <c r="C619" s="49">
        <v>0</v>
      </c>
      <c r="D619" s="13">
        <v>4</v>
      </c>
      <c r="E619" s="13">
        <v>38</v>
      </c>
      <c r="F619" s="49">
        <v>0</v>
      </c>
      <c r="G619" s="49">
        <v>200</v>
      </c>
      <c r="H619" s="13">
        <v>0</v>
      </c>
      <c r="I619" s="13">
        <v>1</v>
      </c>
      <c r="J619" s="13">
        <v>20</v>
      </c>
      <c r="K619" s="110" t="s">
        <v>8</v>
      </c>
      <c r="L619" s="62">
        <v>1</v>
      </c>
      <c r="M619" s="111">
        <v>16010</v>
      </c>
      <c r="N619" s="62">
        <v>1</v>
      </c>
      <c r="O619" s="118">
        <v>1</v>
      </c>
      <c r="P619" s="138"/>
      <c r="Q619" s="138"/>
      <c r="R619" s="138"/>
      <c r="S619" s="138"/>
    </row>
    <row r="620" spans="1:19" s="9" customFormat="1">
      <c r="A620" s="9">
        <v>9995</v>
      </c>
      <c r="B620" s="44" t="str">
        <f>IF($L620=1,VLOOKUP($M620,[1]Sheet1!$A:$C,2,0),IF($L620=4,VLOOKUP($M620,[4]Sheet1!$A:$B,2,0),IF($L620=2,VLOOKUP($M620,[5]Sheet1!$A:$B,2,0),IF($L620=6,VLOOKUP($M620,[6]Sheet1!$A:$B,2,0),0))))&amp;"x"&amp;$N620</f>
        <v>全服BOSS挑战次数x1</v>
      </c>
      <c r="C620" s="44">
        <v>0</v>
      </c>
      <c r="D620" s="9">
        <v>4</v>
      </c>
      <c r="E620" s="9">
        <v>2</v>
      </c>
      <c r="F620" s="44">
        <v>1</v>
      </c>
      <c r="G620" s="44">
        <v>7001</v>
      </c>
      <c r="H620" s="25">
        <v>0</v>
      </c>
      <c r="I620" s="25">
        <v>2</v>
      </c>
      <c r="J620" s="25">
        <v>9995</v>
      </c>
      <c r="K620" s="96" t="s">
        <v>8</v>
      </c>
      <c r="L620" s="57">
        <v>4</v>
      </c>
      <c r="M620" s="105">
        <v>46</v>
      </c>
      <c r="N620" s="57">
        <v>1</v>
      </c>
      <c r="O620" s="106">
        <v>0</v>
      </c>
      <c r="P620" s="134"/>
      <c r="Q620" s="134"/>
      <c r="R620" s="134"/>
      <c r="S620" s="134"/>
    </row>
    <row r="621" spans="1:19" s="9" customFormat="1">
      <c r="A621" s="9">
        <v>9996</v>
      </c>
      <c r="B621" s="44" t="str">
        <f>IF($L621=1,VLOOKUP($M621,[1]Sheet1!$A:$C,2,0),IF($L621=4,VLOOKUP($M621,[4]Sheet1!$A:$B,2,0),IF($L621=2,VLOOKUP($M621,[5]Sheet1!$A:$B,2,0),IF($L621=6,VLOOKUP($M621,[6]Sheet1!$A:$B,2,0),0))))&amp;"x"&amp;$N621</f>
        <v>聚仙币x1</v>
      </c>
      <c r="C621" s="44">
        <v>0</v>
      </c>
      <c r="D621" s="9">
        <v>4</v>
      </c>
      <c r="E621" s="9">
        <v>2</v>
      </c>
      <c r="F621" s="44">
        <v>0</v>
      </c>
      <c r="G621" s="44">
        <v>1</v>
      </c>
      <c r="H621" s="25">
        <v>0</v>
      </c>
      <c r="I621" s="25">
        <v>0</v>
      </c>
      <c r="J621" s="25">
        <v>0</v>
      </c>
      <c r="K621" s="96" t="s">
        <v>8</v>
      </c>
      <c r="L621" s="57">
        <v>4</v>
      </c>
      <c r="M621" s="105">
        <v>41</v>
      </c>
      <c r="N621" s="57">
        <v>1</v>
      </c>
      <c r="O621" s="106">
        <v>0</v>
      </c>
      <c r="P621" s="134"/>
      <c r="Q621" s="134"/>
      <c r="R621" s="134"/>
      <c r="S621" s="134"/>
    </row>
    <row r="622" spans="1:19" s="151" customFormat="1">
      <c r="A622" s="151">
        <v>9997</v>
      </c>
      <c r="B622" s="225" t="str">
        <f>IF($L622=1,VLOOKUP($M622,[1]Sheet1!$A:$C,2,0),IF($L622=4,VLOOKUP($M622,[4]Sheet1!$A:$B,2,0),IF($L622=2,VLOOKUP($M622,[5]Sheet1!$A:$B,2,0),IF($L622=6,VLOOKUP($M622,[6]Sheet1!$A:$B,2,0),0))))&amp;"x"&amp;$N622</f>
        <v>梦魇挑战令x1</v>
      </c>
      <c r="C622" s="152">
        <v>0</v>
      </c>
      <c r="D622" s="151">
        <v>4</v>
      </c>
      <c r="E622" s="151">
        <v>2</v>
      </c>
      <c r="F622" s="152">
        <v>1</v>
      </c>
      <c r="G622" s="152">
        <v>5000</v>
      </c>
      <c r="H622" s="151">
        <v>0</v>
      </c>
      <c r="I622" s="151">
        <v>2</v>
      </c>
      <c r="J622" s="151">
        <v>1</v>
      </c>
      <c r="K622" s="153" t="s">
        <v>8</v>
      </c>
      <c r="L622" s="154">
        <v>1</v>
      </c>
      <c r="M622" s="155">
        <v>14211</v>
      </c>
      <c r="N622" s="154">
        <v>1</v>
      </c>
      <c r="O622" s="154">
        <v>0</v>
      </c>
      <c r="P622" s="156"/>
      <c r="Q622" s="156"/>
      <c r="R622" s="156"/>
      <c r="S622" s="156"/>
    </row>
    <row r="623" spans="1:19" s="12" customFormat="1">
      <c r="A623" s="12">
        <v>9998</v>
      </c>
      <c r="B623" s="48" t="str">
        <f>IF($L623=1,VLOOKUP($M623,[1]Sheet1!$A:$C,2,0),IF($L623=4,VLOOKUP($M623,[4]Sheet1!$A:$B,2,0),IF($L623=2,VLOOKUP($M623,[5]Sheet1!$A:$B,2,0),IF($L623=6,VLOOKUP($M623,[6]Sheet1!$A:$B,2,0),0))))&amp;"x"&amp;$N623</f>
        <v>大雁塔重置次数x1</v>
      </c>
      <c r="C623" s="48">
        <v>0</v>
      </c>
      <c r="D623" s="12">
        <v>4</v>
      </c>
      <c r="E623" s="12">
        <v>2</v>
      </c>
      <c r="F623" s="48">
        <v>1</v>
      </c>
      <c r="G623" s="48">
        <v>7000</v>
      </c>
      <c r="H623" s="36">
        <v>0</v>
      </c>
      <c r="I623" s="36">
        <v>1</v>
      </c>
      <c r="J623" s="36">
        <v>0</v>
      </c>
      <c r="K623" s="107" t="s">
        <v>8</v>
      </c>
      <c r="L623" s="61">
        <v>4</v>
      </c>
      <c r="M623" s="108">
        <v>15</v>
      </c>
      <c r="N623" s="61">
        <v>1</v>
      </c>
      <c r="O623" s="109">
        <v>0</v>
      </c>
      <c r="P623" s="137"/>
      <c r="Q623" s="137"/>
      <c r="R623" s="137"/>
      <c r="S623" s="137"/>
    </row>
    <row r="624" spans="1:19" s="9" customFormat="1">
      <c r="A624" s="9">
        <v>9999</v>
      </c>
      <c r="B624" s="44" t="str">
        <f>IF($L624=1,VLOOKUP($M624,[1]Sheet1!$A:$C,2,0),IF($L624=4,VLOOKUP($M624,[4]Sheet1!$A:$B,2,0),IF($L624=2,VLOOKUP($M624,[5]Sheet1!$A:$B,2,0),IF($L624=6,VLOOKUP($M624,[6]Sheet1!$A:$B,2,0),0))))&amp;"x"&amp;$N624</f>
        <v>斗法次数x5</v>
      </c>
      <c r="C624" s="44">
        <v>0</v>
      </c>
      <c r="D624" s="9">
        <v>4</v>
      </c>
      <c r="E624" s="9">
        <v>2</v>
      </c>
      <c r="F624" s="44">
        <v>1</v>
      </c>
      <c r="G624" s="44">
        <v>6000</v>
      </c>
      <c r="H624" s="25">
        <v>0</v>
      </c>
      <c r="I624" s="25">
        <v>2</v>
      </c>
      <c r="J624" s="25">
        <v>9999</v>
      </c>
      <c r="K624" s="96" t="s">
        <v>8</v>
      </c>
      <c r="L624" s="57">
        <v>4</v>
      </c>
      <c r="M624" s="105">
        <v>40</v>
      </c>
      <c r="N624" s="57">
        <v>5</v>
      </c>
      <c r="O624" s="106">
        <v>0</v>
      </c>
      <c r="P624" s="134"/>
      <c r="Q624" s="134"/>
      <c r="R624" s="134"/>
      <c r="S624" s="134"/>
    </row>
    <row r="625" spans="1:19" s="65" customFormat="1">
      <c r="A625" s="64">
        <v>10001</v>
      </c>
      <c r="B625" s="66" t="str">
        <f>IF($L625=1,VLOOKUP($M625,[1]Sheet1!$A:$C,2,0),IF($L625=4,VLOOKUP($M625,[4]Sheet1!$A:$B,2,0),IF($L625=2,VLOOKUP($M625,[5]Sheet1!$A:$B,2,0),IF($L625=6,VLOOKUP($M625,[6]Sheet1!$A:$B,2,0),0))))&amp;"x"&amp;$N625</f>
        <v>紫金铃碎片壹x1</v>
      </c>
      <c r="C625" s="66">
        <v>0</v>
      </c>
      <c r="D625" s="65">
        <v>4</v>
      </c>
      <c r="E625" s="65">
        <v>39</v>
      </c>
      <c r="F625" s="66">
        <v>0</v>
      </c>
      <c r="G625" s="66">
        <v>3500</v>
      </c>
      <c r="H625" s="67">
        <v>0</v>
      </c>
      <c r="I625" s="67">
        <v>1</v>
      </c>
      <c r="J625" s="67">
        <v>1</v>
      </c>
      <c r="K625" s="84" t="s">
        <v>108</v>
      </c>
      <c r="L625" s="68">
        <v>1</v>
      </c>
      <c r="M625" s="85">
        <v>12037</v>
      </c>
      <c r="N625" s="68">
        <v>1</v>
      </c>
      <c r="O625" s="86">
        <v>1</v>
      </c>
      <c r="P625" s="129"/>
      <c r="Q625" s="129"/>
      <c r="R625" s="129"/>
      <c r="S625" s="129"/>
    </row>
    <row r="626" spans="1:19" s="65" customFormat="1">
      <c r="A626" s="64">
        <v>10002</v>
      </c>
      <c r="B626" s="66" t="str">
        <f>IF($L626=1,VLOOKUP($M626,[1]Sheet1!$A:$C,2,0),IF($L626=4,VLOOKUP($M626,[4]Sheet1!$A:$B,2,0),IF($L626=2,VLOOKUP($M626,[5]Sheet1!$A:$B,2,0),IF($L626=6,VLOOKUP($M626,[6]Sheet1!$A:$B,2,0),0))))&amp;"x"&amp;$N626</f>
        <v>阴阳镜碎片壹x1</v>
      </c>
      <c r="C626" s="66">
        <v>0</v>
      </c>
      <c r="D626" s="65">
        <v>4</v>
      </c>
      <c r="E626" s="65">
        <v>39</v>
      </c>
      <c r="F626" s="66">
        <v>0</v>
      </c>
      <c r="G626" s="66">
        <v>3500</v>
      </c>
      <c r="H626" s="67">
        <v>0</v>
      </c>
      <c r="I626" s="67">
        <v>1</v>
      </c>
      <c r="J626" s="67">
        <v>1</v>
      </c>
      <c r="K626" s="84" t="s">
        <v>108</v>
      </c>
      <c r="L626" s="68">
        <v>1</v>
      </c>
      <c r="M626" s="85">
        <v>12042</v>
      </c>
      <c r="N626" s="68">
        <v>1</v>
      </c>
      <c r="O626" s="86">
        <v>1</v>
      </c>
      <c r="P626" s="129"/>
      <c r="Q626" s="129"/>
      <c r="R626" s="129"/>
      <c r="S626" s="129"/>
    </row>
    <row r="627" spans="1:19" s="65" customFormat="1">
      <c r="A627" s="64">
        <v>10003</v>
      </c>
      <c r="B627" s="66" t="str">
        <f>IF($L627=1,VLOOKUP($M627,[1]Sheet1!$A:$C,2,0),IF($L627=4,VLOOKUP($M627,[4]Sheet1!$A:$B,2,0),IF($L627=2,VLOOKUP($M627,[5]Sheet1!$A:$B,2,0),IF($L627=6,VLOOKUP($M627,[6]Sheet1!$A:$B,2,0),0))))&amp;"x"&amp;$N627</f>
        <v>幻光铃碎片壹x1</v>
      </c>
      <c r="C627" s="66">
        <v>0</v>
      </c>
      <c r="D627" s="65">
        <v>4</v>
      </c>
      <c r="E627" s="65">
        <v>39</v>
      </c>
      <c r="F627" s="66">
        <v>0</v>
      </c>
      <c r="G627" s="66">
        <v>3500</v>
      </c>
      <c r="H627" s="67">
        <v>0</v>
      </c>
      <c r="I627" s="67">
        <v>1</v>
      </c>
      <c r="J627" s="67">
        <v>1</v>
      </c>
      <c r="K627" s="84" t="s">
        <v>108</v>
      </c>
      <c r="L627" s="68">
        <v>1</v>
      </c>
      <c r="M627" s="85">
        <v>12047</v>
      </c>
      <c r="N627" s="68">
        <v>1</v>
      </c>
      <c r="O627" s="86">
        <v>1</v>
      </c>
      <c r="P627" s="129"/>
      <c r="Q627" s="129"/>
      <c r="R627" s="129"/>
      <c r="S627" s="129"/>
    </row>
    <row r="628" spans="1:19" s="65" customFormat="1">
      <c r="A628" s="64">
        <v>10004</v>
      </c>
      <c r="B628" s="66" t="str">
        <f>IF($L628=1,VLOOKUP($M628,[1]Sheet1!$A:$C,2,0),IF($L628=4,VLOOKUP($M628,[4]Sheet1!$A:$B,2,0),IF($L628=2,VLOOKUP($M628,[5]Sheet1!$A:$B,2,0),IF($L628=6,VLOOKUP($M628,[6]Sheet1!$A:$B,2,0),0))))&amp;"x"&amp;$N628</f>
        <v>混元镜碎片壹x1</v>
      </c>
      <c r="C628" s="66">
        <v>0</v>
      </c>
      <c r="D628" s="65">
        <v>4</v>
      </c>
      <c r="E628" s="65">
        <v>39</v>
      </c>
      <c r="F628" s="66">
        <v>0</v>
      </c>
      <c r="G628" s="66">
        <v>3500</v>
      </c>
      <c r="H628" s="67">
        <v>0</v>
      </c>
      <c r="I628" s="67">
        <v>1</v>
      </c>
      <c r="J628" s="67">
        <v>1</v>
      </c>
      <c r="K628" s="84" t="s">
        <v>108</v>
      </c>
      <c r="L628" s="68">
        <v>1</v>
      </c>
      <c r="M628" s="149">
        <v>12052</v>
      </c>
      <c r="N628" s="68">
        <v>1</v>
      </c>
      <c r="O628" s="150">
        <v>1</v>
      </c>
      <c r="P628" s="129"/>
      <c r="Q628" s="129"/>
      <c r="R628" s="129"/>
      <c r="S628" s="129"/>
    </row>
    <row r="629" spans="1:19" s="9" customFormat="1">
      <c r="A629" s="24">
        <v>10005</v>
      </c>
      <c r="B629" s="44" t="str">
        <f>IF($L629=1,VLOOKUP($M629,[1]Sheet1!$A:$C,2,0),IF($L629=4,VLOOKUP($M629,[4]Sheet1!$A:$B,2,0),IF($L629=2,VLOOKUP($M629,[5]Sheet1!$A:$B,2,0),IF($L629=6,VLOOKUP($M629,[6]Sheet1!$A:$B,2,0),0))))&amp;"x"&amp;$N629</f>
        <v>龙帝碎片x5</v>
      </c>
      <c r="C629" s="44">
        <v>2</v>
      </c>
      <c r="D629" s="9">
        <v>4</v>
      </c>
      <c r="E629" s="9">
        <v>39</v>
      </c>
      <c r="F629" s="44">
        <v>0</v>
      </c>
      <c r="G629" s="44">
        <v>2000</v>
      </c>
      <c r="H629" s="25">
        <v>0</v>
      </c>
      <c r="I629" s="25">
        <v>1</v>
      </c>
      <c r="J629" s="25">
        <v>20</v>
      </c>
      <c r="K629" s="96" t="s">
        <v>8</v>
      </c>
      <c r="L629" s="57">
        <v>1</v>
      </c>
      <c r="M629" s="97">
        <v>10113</v>
      </c>
      <c r="N629" s="57">
        <v>5</v>
      </c>
      <c r="O629" s="98">
        <v>1</v>
      </c>
      <c r="P629" s="134"/>
      <c r="Q629" s="134"/>
      <c r="R629" s="134"/>
      <c r="S629" s="134"/>
    </row>
    <row r="630" spans="1:19" s="9" customFormat="1">
      <c r="A630" s="24">
        <v>10006</v>
      </c>
      <c r="B630" s="44" t="str">
        <f>IF($L630=1,VLOOKUP($M630,[1]Sheet1!$A:$C,2,0),IF($L630=4,VLOOKUP($M630,[4]Sheet1!$A:$B,2,0),IF($L630=2,VLOOKUP($M630,[5]Sheet1!$A:$B,2,0),IF($L630=6,VLOOKUP($M630,[6]Sheet1!$A:$B,2,0),0))))&amp;"x"&amp;$N630</f>
        <v>白无常碎片x5</v>
      </c>
      <c r="C630" s="44">
        <v>2</v>
      </c>
      <c r="D630" s="9">
        <v>4</v>
      </c>
      <c r="E630" s="9">
        <v>39</v>
      </c>
      <c r="F630" s="44">
        <v>0</v>
      </c>
      <c r="G630" s="44">
        <v>2000</v>
      </c>
      <c r="H630" s="25">
        <v>0</v>
      </c>
      <c r="I630" s="25">
        <v>1</v>
      </c>
      <c r="J630" s="25">
        <v>20</v>
      </c>
      <c r="K630" s="96" t="s">
        <v>8</v>
      </c>
      <c r="L630" s="57">
        <v>1</v>
      </c>
      <c r="M630" s="97">
        <v>10118</v>
      </c>
      <c r="N630" s="57">
        <v>5</v>
      </c>
      <c r="O630" s="98">
        <v>1</v>
      </c>
      <c r="P630" s="134"/>
      <c r="Q630" s="134"/>
      <c r="R630" s="134"/>
      <c r="S630" s="134"/>
    </row>
    <row r="631" spans="1:19" s="9" customFormat="1">
      <c r="A631" s="24">
        <v>10007</v>
      </c>
      <c r="B631" s="44" t="str">
        <f>IF($L631=1,VLOOKUP($M631,[1]Sheet1!$A:$C,2,0),IF($L631=4,VLOOKUP($M631,[4]Sheet1!$A:$B,2,0),IF($L631=2,VLOOKUP($M631,[5]Sheet1!$A:$B,2,0),IF($L631=6,VLOOKUP($M631,[6]Sheet1!$A:$B,2,0),0))))&amp;"x"&amp;$N631</f>
        <v>铁扇公主碎片x5</v>
      </c>
      <c r="C631" s="44">
        <v>2</v>
      </c>
      <c r="D631" s="9">
        <v>4</v>
      </c>
      <c r="E631" s="9">
        <v>39</v>
      </c>
      <c r="F631" s="44">
        <v>0</v>
      </c>
      <c r="G631" s="44">
        <v>2000</v>
      </c>
      <c r="H631" s="25">
        <v>0</v>
      </c>
      <c r="I631" s="25">
        <v>1</v>
      </c>
      <c r="J631" s="25">
        <v>20</v>
      </c>
      <c r="K631" s="96" t="s">
        <v>8</v>
      </c>
      <c r="L631" s="57">
        <v>1</v>
      </c>
      <c r="M631" s="97">
        <v>10011</v>
      </c>
      <c r="N631" s="57">
        <v>5</v>
      </c>
      <c r="O631" s="98">
        <v>1</v>
      </c>
      <c r="P631" s="134"/>
      <c r="Q631" s="134"/>
      <c r="R631" s="134"/>
      <c r="S631" s="134"/>
    </row>
    <row r="632" spans="1:19" s="8" customFormat="1">
      <c r="A632" s="22">
        <v>10008</v>
      </c>
      <c r="B632" s="43" t="str">
        <f>IF($L632=1,VLOOKUP($M632,[1]Sheet1!$A:$C,2,0),IF($L632=4,VLOOKUP($M632,[4]Sheet1!$A:$B,2,0),IF($L632=2,VLOOKUP($M632,[5]Sheet1!$A:$B,2,0),IF($L632=6,VLOOKUP($M632,[6]Sheet1!$A:$B,2,0),0))))&amp;"x"&amp;$N632</f>
        <v>蓝色经验法宝x1</v>
      </c>
      <c r="C632" s="43">
        <v>0</v>
      </c>
      <c r="D632" s="8">
        <v>4</v>
      </c>
      <c r="E632" s="8">
        <v>39</v>
      </c>
      <c r="F632" s="43">
        <v>0</v>
      </c>
      <c r="G632" s="43">
        <v>500</v>
      </c>
      <c r="H632" s="23">
        <v>0</v>
      </c>
      <c r="I632" s="23">
        <v>1</v>
      </c>
      <c r="J632" s="23">
        <v>100</v>
      </c>
      <c r="K632" s="103" t="s">
        <v>108</v>
      </c>
      <c r="L632" s="56">
        <v>6</v>
      </c>
      <c r="M632" s="188">
        <v>4501</v>
      </c>
      <c r="N632" s="56">
        <v>1</v>
      </c>
      <c r="O632" s="189">
        <v>1</v>
      </c>
      <c r="P632" s="136"/>
      <c r="Q632" s="136"/>
      <c r="R632" s="136"/>
      <c r="S632" s="136"/>
    </row>
    <row r="633" spans="1:19" s="65" customFormat="1">
      <c r="A633" s="64">
        <v>10009</v>
      </c>
      <c r="B633" s="66" t="str">
        <f>IF($L633=1,VLOOKUP($M633,[1]Sheet1!$A:$C,2,0),IF($L633=4,VLOOKUP($M633,[4]Sheet1!$A:$B,2,0),IF($L633=2,VLOOKUP($M633,[5]Sheet1!$A:$B,2,0),IF($L633=6,VLOOKUP($M633,[6]Sheet1!$A:$B,2,0),0))))&amp;"x"&amp;$N633</f>
        <v>法宝精炼石x1</v>
      </c>
      <c r="C633" s="66">
        <v>0</v>
      </c>
      <c r="D633" s="65">
        <v>4</v>
      </c>
      <c r="E633" s="65">
        <v>39</v>
      </c>
      <c r="F633" s="66">
        <v>0</v>
      </c>
      <c r="G633" s="66">
        <v>50</v>
      </c>
      <c r="H633" s="67">
        <v>0</v>
      </c>
      <c r="I633" s="67">
        <v>1</v>
      </c>
      <c r="J633" s="67">
        <v>100</v>
      </c>
      <c r="K633" s="84" t="s">
        <v>108</v>
      </c>
      <c r="L633" s="68">
        <v>1</v>
      </c>
      <c r="M633" s="85">
        <v>14201</v>
      </c>
      <c r="N633" s="68">
        <v>1</v>
      </c>
      <c r="O633" s="86">
        <v>1</v>
      </c>
      <c r="P633" s="129"/>
      <c r="Q633" s="129"/>
      <c r="R633" s="129"/>
      <c r="S633" s="129"/>
    </row>
    <row r="634" spans="1:19" s="65" customFormat="1">
      <c r="A634" s="64">
        <v>10010</v>
      </c>
      <c r="B634" s="66" t="str">
        <f>IF($L634=1,VLOOKUP($M634,[1]Sheet1!$A:$C,2,0),IF($L634=4,VLOOKUP($M634,[4]Sheet1!$A:$B,2,0),IF($L634=2,VLOOKUP($M634,[5]Sheet1!$A:$B,2,0),IF($L634=6,VLOOKUP($M634,[6]Sheet1!$A:$B,2,0),0))))&amp;"x"&amp;$N634</f>
        <v>法宝精炼石x10</v>
      </c>
      <c r="C634" s="66">
        <v>0</v>
      </c>
      <c r="D634" s="65">
        <v>4</v>
      </c>
      <c r="E634" s="65">
        <v>39</v>
      </c>
      <c r="F634" s="66">
        <v>0</v>
      </c>
      <c r="G634" s="66">
        <v>500</v>
      </c>
      <c r="H634" s="67">
        <v>0</v>
      </c>
      <c r="I634" s="67">
        <v>1</v>
      </c>
      <c r="J634" s="67">
        <v>20</v>
      </c>
      <c r="K634" s="84" t="s">
        <v>108</v>
      </c>
      <c r="L634" s="68">
        <v>1</v>
      </c>
      <c r="M634" s="85">
        <v>14201</v>
      </c>
      <c r="N634" s="68">
        <v>10</v>
      </c>
      <c r="O634" s="86">
        <v>1</v>
      </c>
      <c r="P634" s="129"/>
      <c r="Q634" s="129"/>
      <c r="R634" s="129"/>
      <c r="S634" s="129"/>
    </row>
    <row r="635" spans="1:19" s="13" customFormat="1">
      <c r="A635" s="39">
        <v>11001</v>
      </c>
      <c r="B635" s="49" t="str">
        <f>IF($L635=1,VLOOKUP($M635,[1]Sheet1!$A:$C,2,0),IF($L635=4,VLOOKUP($M635,[4]Sheet1!$A:$B,2,0),IF($L635=2,VLOOKUP($M635,[5]Sheet1!$A:$B,2,0),IF($L635=6,VLOOKUP($M635,[6]Sheet1!$A:$B,2,0),0))))&amp;"x"&amp;$N635</f>
        <v>进阶丹x500</v>
      </c>
      <c r="C635" s="49">
        <v>1</v>
      </c>
      <c r="D635" s="13">
        <v>4</v>
      </c>
      <c r="E635" s="13">
        <v>2</v>
      </c>
      <c r="F635" s="49">
        <v>0</v>
      </c>
      <c r="G635" s="49">
        <v>500</v>
      </c>
      <c r="H635" s="13">
        <v>500</v>
      </c>
      <c r="I635" s="13">
        <v>1</v>
      </c>
      <c r="J635" s="13">
        <v>1</v>
      </c>
      <c r="K635" s="110" t="s">
        <v>8</v>
      </c>
      <c r="L635" s="62">
        <v>1</v>
      </c>
      <c r="M635" s="117">
        <v>14107</v>
      </c>
      <c r="N635" s="62">
        <v>500</v>
      </c>
      <c r="O635" s="118">
        <v>1</v>
      </c>
      <c r="P635" s="138"/>
      <c r="Q635" s="138" t="str">
        <f t="shared" ref="Q635:Q654" si="28">"["&amp;A635&amp;",10]"</f>
        <v>[11001,10]</v>
      </c>
      <c r="R635" s="138" t="str">
        <f>Q635</f>
        <v>[11001,10]</v>
      </c>
      <c r="S635" s="138"/>
    </row>
    <row r="636" spans="1:19" s="13" customFormat="1">
      <c r="A636" s="39">
        <v>11002</v>
      </c>
      <c r="B636" s="49" t="str">
        <f>IF($L636=1,VLOOKUP($M636,[1]Sheet1!$A:$C,2,0),IF($L636=4,VLOOKUP($M636,[4]Sheet1!$A:$B,2,0),IF($L636=2,VLOOKUP($M636,[5]Sheet1!$A:$B,2,0),IF($L636=6,VLOOKUP($M636,[6]Sheet1!$A:$B,2,0),0))))&amp;"x"&amp;$N636</f>
        <v>进阶丹x1000</v>
      </c>
      <c r="C636" s="49">
        <v>1</v>
      </c>
      <c r="D636" s="13">
        <v>4</v>
      </c>
      <c r="E636" s="13">
        <v>2</v>
      </c>
      <c r="F636" s="49">
        <v>0</v>
      </c>
      <c r="G636" s="49">
        <v>800</v>
      </c>
      <c r="H636" s="13">
        <v>1000</v>
      </c>
      <c r="I636" s="13">
        <v>1</v>
      </c>
      <c r="J636" s="13">
        <v>1</v>
      </c>
      <c r="K636" s="110" t="s">
        <v>8</v>
      </c>
      <c r="L636" s="62">
        <v>1</v>
      </c>
      <c r="M636" s="117">
        <v>14107</v>
      </c>
      <c r="N636" s="62">
        <v>1000</v>
      </c>
      <c r="O636" s="118">
        <v>1</v>
      </c>
      <c r="P636" s="138"/>
      <c r="Q636" s="138" t="str">
        <f t="shared" si="28"/>
        <v>[11002,10]</v>
      </c>
      <c r="R636" s="138" t="str">
        <f>R635&amp;","&amp;Q636</f>
        <v>[11001,10],[11002,10]</v>
      </c>
      <c r="S636" s="138"/>
    </row>
    <row r="637" spans="1:19" s="13" customFormat="1">
      <c r="A637" s="39">
        <v>11003</v>
      </c>
      <c r="B637" s="49" t="str">
        <f>IF($L637=1,VLOOKUP($M637,[1]Sheet1!$A:$C,2,0),IF($L637=4,VLOOKUP($M637,[4]Sheet1!$A:$B,2,0),IF($L637=2,VLOOKUP($M637,[5]Sheet1!$A:$B,2,0),IF($L637=6,VLOOKUP($M637,[6]Sheet1!$A:$B,2,0),0))))&amp;"x"&amp;$N637</f>
        <v>主角神兵碎片x20</v>
      </c>
      <c r="C637" s="49">
        <v>1</v>
      </c>
      <c r="D637" s="13">
        <v>4</v>
      </c>
      <c r="E637" s="13">
        <v>2</v>
      </c>
      <c r="F637" s="49">
        <v>0</v>
      </c>
      <c r="G637" s="49">
        <v>160</v>
      </c>
      <c r="H637" s="13">
        <v>200</v>
      </c>
      <c r="I637" s="13">
        <v>1</v>
      </c>
      <c r="J637" s="13">
        <v>1</v>
      </c>
      <c r="K637" s="110" t="s">
        <v>8</v>
      </c>
      <c r="L637" s="62">
        <v>1</v>
      </c>
      <c r="M637" s="117">
        <v>17102</v>
      </c>
      <c r="N637" s="62">
        <v>20</v>
      </c>
      <c r="O637" s="118">
        <v>1</v>
      </c>
      <c r="P637" s="138"/>
      <c r="Q637" s="138" t="str">
        <f t="shared" si="28"/>
        <v>[11003,10]</v>
      </c>
      <c r="R637" s="138" t="str">
        <f t="shared" ref="R637:R654" si="29">R636&amp;","&amp;Q637</f>
        <v>[11001,10],[11002,10],[11003,10]</v>
      </c>
      <c r="S637" s="138"/>
    </row>
    <row r="638" spans="1:19" s="13" customFormat="1">
      <c r="A638" s="39">
        <v>11004</v>
      </c>
      <c r="B638" s="49" t="str">
        <f>IF($L638=1,VLOOKUP($M638,[1]Sheet1!$A:$C,2,0),IF($L638=4,VLOOKUP($M638,[4]Sheet1!$A:$B,2,0),IF($L638=2,VLOOKUP($M638,[5]Sheet1!$A:$B,2,0),IF($L638=6,VLOOKUP($M638,[6]Sheet1!$A:$B,2,0),0))))&amp;"x"&amp;$N638</f>
        <v>铜钱x1000000</v>
      </c>
      <c r="C638" s="49">
        <v>1</v>
      </c>
      <c r="D638" s="13">
        <v>4</v>
      </c>
      <c r="E638" s="13">
        <v>2</v>
      </c>
      <c r="F638" s="49">
        <v>0</v>
      </c>
      <c r="G638" s="49">
        <v>450</v>
      </c>
      <c r="H638" s="13">
        <v>1000</v>
      </c>
      <c r="I638" s="13">
        <v>1</v>
      </c>
      <c r="J638" s="13">
        <v>1</v>
      </c>
      <c r="K638" s="110" t="s">
        <v>8</v>
      </c>
      <c r="L638" s="62">
        <v>4</v>
      </c>
      <c r="M638" s="117">
        <v>1</v>
      </c>
      <c r="N638" s="62">
        <v>1000000</v>
      </c>
      <c r="O638" s="118">
        <v>1</v>
      </c>
      <c r="P638" s="138"/>
      <c r="Q638" s="138" t="str">
        <f t="shared" si="28"/>
        <v>[11004,10]</v>
      </c>
      <c r="R638" s="138" t="str">
        <f t="shared" si="29"/>
        <v>[11001,10],[11002,10],[11003,10],[11004,10]</v>
      </c>
      <c r="S638" s="138"/>
    </row>
    <row r="639" spans="1:19" s="13" customFormat="1">
      <c r="A639" s="39">
        <v>11005</v>
      </c>
      <c r="B639" s="49" t="str">
        <f>IF($L639=1,VLOOKUP($M639,[1]Sheet1!$A:$C,2,0),IF($L639=4,VLOOKUP($M639,[4]Sheet1!$A:$B,2,0),IF($L639=2,VLOOKUP($M639,[5]Sheet1!$A:$B,2,0),IF($L639=6,VLOOKUP($M639,[6]Sheet1!$A:$B,2,0),0))))&amp;"x"&amp;$N639</f>
        <v>红色伙伴碎片选择箱x20</v>
      </c>
      <c r="C639" s="49">
        <v>1</v>
      </c>
      <c r="D639" s="13">
        <v>4</v>
      </c>
      <c r="E639" s="13">
        <v>2</v>
      </c>
      <c r="F639" s="49">
        <v>0</v>
      </c>
      <c r="G639" s="49">
        <v>900</v>
      </c>
      <c r="H639" s="13">
        <v>1000</v>
      </c>
      <c r="I639" s="13">
        <v>1</v>
      </c>
      <c r="J639" s="13">
        <v>1</v>
      </c>
      <c r="K639" s="110" t="s">
        <v>8</v>
      </c>
      <c r="L639" s="62">
        <v>1</v>
      </c>
      <c r="M639" s="117">
        <v>14567</v>
      </c>
      <c r="N639" s="62">
        <v>20</v>
      </c>
      <c r="O639" s="118">
        <v>1</v>
      </c>
      <c r="P639" s="138"/>
      <c r="Q639" s="138" t="str">
        <f t="shared" si="28"/>
        <v>[11005,10]</v>
      </c>
      <c r="R639" s="138" t="str">
        <f t="shared" si="29"/>
        <v>[11001,10],[11002,10],[11003,10],[11004,10],[11005,10]</v>
      </c>
      <c r="S639" s="138"/>
    </row>
    <row r="640" spans="1:19" s="13" customFormat="1">
      <c r="A640" s="39">
        <v>11006</v>
      </c>
      <c r="B640" s="49" t="str">
        <f>IF($L640=1,VLOOKUP($M640,[1]Sheet1!$A:$C,2,0),IF($L640=4,VLOOKUP($M640,[4]Sheet1!$A:$B,2,0),IF($L640=2,VLOOKUP($M640,[5]Sheet1!$A:$B,2,0),IF($L640=6,VLOOKUP($M640,[6]Sheet1!$A:$B,2,0),0))))&amp;"x"&amp;$N640</f>
        <v>洗炼丹x200</v>
      </c>
      <c r="C640" s="49">
        <v>1</v>
      </c>
      <c r="D640" s="13">
        <v>4</v>
      </c>
      <c r="E640" s="13">
        <v>2</v>
      </c>
      <c r="F640" s="49">
        <v>0</v>
      </c>
      <c r="G640" s="49">
        <v>600</v>
      </c>
      <c r="H640" s="13">
        <v>1000</v>
      </c>
      <c r="I640" s="13">
        <v>1</v>
      </c>
      <c r="J640" s="13">
        <v>1</v>
      </c>
      <c r="K640" s="110" t="s">
        <v>8</v>
      </c>
      <c r="L640" s="62">
        <v>1</v>
      </c>
      <c r="M640" s="117">
        <v>14106</v>
      </c>
      <c r="N640" s="62">
        <v>200</v>
      </c>
      <c r="O640" s="118">
        <v>1</v>
      </c>
      <c r="P640" s="138"/>
      <c r="Q640" s="138" t="str">
        <f t="shared" si="28"/>
        <v>[11006,10]</v>
      </c>
      <c r="R640" s="138" t="str">
        <f t="shared" si="29"/>
        <v>[11001,10],[11002,10],[11003,10],[11004,10],[11005,10],[11006,10]</v>
      </c>
      <c r="S640" s="138"/>
    </row>
    <row r="641" spans="1:19" s="13" customFormat="1">
      <c r="A641" s="39">
        <v>11007</v>
      </c>
      <c r="B641" s="49" t="str">
        <f>IF($L641=1,VLOOKUP($M641,[1]Sheet1!$A:$C,2,0),IF($L641=4,VLOOKUP($M641,[4]Sheet1!$A:$B,2,0),IF($L641=2,VLOOKUP($M641,[5]Sheet1!$A:$B,2,0),IF($L641=6,VLOOKUP($M641,[6]Sheet1!$A:$B,2,0),0))))&amp;"x"&amp;$N641</f>
        <v>洗炼突破丹x50</v>
      </c>
      <c r="C641" s="49">
        <v>1</v>
      </c>
      <c r="D641" s="13">
        <v>4</v>
      </c>
      <c r="E641" s="13">
        <v>2</v>
      </c>
      <c r="F641" s="49">
        <v>0</v>
      </c>
      <c r="G641" s="49">
        <v>600</v>
      </c>
      <c r="H641" s="13">
        <v>1000</v>
      </c>
      <c r="I641" s="13">
        <v>1</v>
      </c>
      <c r="J641" s="13">
        <v>1</v>
      </c>
      <c r="K641" s="110" t="s">
        <v>8</v>
      </c>
      <c r="L641" s="62">
        <v>1</v>
      </c>
      <c r="M641" s="117">
        <v>16010</v>
      </c>
      <c r="N641" s="62">
        <v>50</v>
      </c>
      <c r="O641" s="118">
        <v>1</v>
      </c>
      <c r="P641" s="138"/>
      <c r="Q641" s="138" t="str">
        <f t="shared" si="28"/>
        <v>[11007,10]</v>
      </c>
      <c r="R641" s="138" t="str">
        <f t="shared" si="29"/>
        <v>[11001,10],[11002,10],[11003,10],[11004,10],[11005,10],[11006,10],[11007,10]</v>
      </c>
      <c r="S641" s="138"/>
    </row>
    <row r="642" spans="1:19" s="13" customFormat="1">
      <c r="A642" s="39">
        <v>11008</v>
      </c>
      <c r="B642" s="49" t="str">
        <f>IF($L642=1,VLOOKUP($M642,[1]Sheet1!$A:$C,2,0),IF($L642=4,VLOOKUP($M642,[4]Sheet1!$A:$B,2,0),IF($L642=2,VLOOKUP($M642,[5]Sheet1!$A:$B,2,0),IF($L642=6,VLOOKUP($M642,[6]Sheet1!$A:$B,2,0),0))))&amp;"x"&amp;$N642</f>
        <v>装备精炼石x200</v>
      </c>
      <c r="C642" s="49">
        <v>1</v>
      </c>
      <c r="D642" s="13">
        <v>4</v>
      </c>
      <c r="E642" s="13">
        <v>2</v>
      </c>
      <c r="F642" s="49">
        <v>0</v>
      </c>
      <c r="G642" s="49">
        <v>600</v>
      </c>
      <c r="H642" s="13">
        <v>1000</v>
      </c>
      <c r="I642" s="13">
        <v>1</v>
      </c>
      <c r="J642" s="13">
        <v>1</v>
      </c>
      <c r="K642" s="110" t="s">
        <v>8</v>
      </c>
      <c r="L642" s="62">
        <v>1</v>
      </c>
      <c r="M642" s="117">
        <v>16005</v>
      </c>
      <c r="N642" s="62">
        <v>200</v>
      </c>
      <c r="O642" s="118">
        <v>1</v>
      </c>
      <c r="P642" s="138"/>
      <c r="Q642" s="138" t="str">
        <f t="shared" si="28"/>
        <v>[11008,10]</v>
      </c>
      <c r="R642" s="138" t="str">
        <f t="shared" si="29"/>
        <v>[11001,10],[11002,10],[11003,10],[11004,10],[11005,10],[11006,10],[11007,10],[11008,10]</v>
      </c>
      <c r="S642" s="138"/>
    </row>
    <row r="643" spans="1:19" s="13" customFormat="1">
      <c r="A643" s="39">
        <v>11009</v>
      </c>
      <c r="B643" s="49" t="str">
        <f>IF($L643=1,VLOOKUP($M643,[1]Sheet1!$A:$C,2,0),IF($L643=4,VLOOKUP($M643,[4]Sheet1!$A:$B,2,0),IF($L643=2,VLOOKUP($M643,[5]Sheet1!$A:$B,2,0),IF($L643=6,VLOOKUP($M643,[6]Sheet1!$A:$B,2,0),0))))&amp;"x"&amp;$N643</f>
        <v>法宝精炼石x200</v>
      </c>
      <c r="C643" s="49">
        <v>1</v>
      </c>
      <c r="D643" s="13">
        <v>4</v>
      </c>
      <c r="E643" s="13">
        <v>2</v>
      </c>
      <c r="F643" s="49">
        <v>0</v>
      </c>
      <c r="G643" s="49">
        <v>600</v>
      </c>
      <c r="H643" s="13">
        <v>1000</v>
      </c>
      <c r="I643" s="13">
        <v>1</v>
      </c>
      <c r="J643" s="13">
        <v>1</v>
      </c>
      <c r="K643" s="110" t="s">
        <v>8</v>
      </c>
      <c r="L643" s="62">
        <v>1</v>
      </c>
      <c r="M643" s="117">
        <v>14201</v>
      </c>
      <c r="N643" s="62">
        <v>200</v>
      </c>
      <c r="O643" s="118">
        <v>1</v>
      </c>
      <c r="P643" s="138"/>
      <c r="Q643" s="138" t="str">
        <f t="shared" si="28"/>
        <v>[11009,10]</v>
      </c>
      <c r="R643" s="138" t="str">
        <f t="shared" si="29"/>
        <v>[11001,10],[11002,10],[11003,10],[11004,10],[11005,10],[11006,10],[11007,10],[11008,10],[11009,10]</v>
      </c>
      <c r="S643" s="138"/>
    </row>
    <row r="644" spans="1:19" s="13" customFormat="1">
      <c r="A644" s="39">
        <v>11010</v>
      </c>
      <c r="B644" s="49" t="str">
        <f>IF($L644=1,VLOOKUP($M644,[1]Sheet1!$A:$C,2,0),IF($L644=4,VLOOKUP($M644,[4]Sheet1!$A:$B,2,0),IF($L644=2,VLOOKUP($M644,[5]Sheet1!$A:$B,2,0),IF($L644=6,VLOOKUP($M644,[6]Sheet1!$A:$B,2,0),0))))&amp;"x"&amp;$N644</f>
        <v>神兵进阶石x200</v>
      </c>
      <c r="C644" s="49">
        <v>1</v>
      </c>
      <c r="D644" s="13">
        <v>4</v>
      </c>
      <c r="E644" s="13">
        <v>2</v>
      </c>
      <c r="F644" s="49">
        <v>0</v>
      </c>
      <c r="G644" s="49">
        <v>600</v>
      </c>
      <c r="H644" s="13">
        <v>1000</v>
      </c>
      <c r="I644" s="13">
        <v>1</v>
      </c>
      <c r="J644" s="13">
        <v>1</v>
      </c>
      <c r="K644" s="110" t="s">
        <v>8</v>
      </c>
      <c r="L644" s="62">
        <v>1</v>
      </c>
      <c r="M644" s="111">
        <v>17001</v>
      </c>
      <c r="N644" s="62">
        <v>200</v>
      </c>
      <c r="O644" s="118">
        <v>1</v>
      </c>
      <c r="P644" s="138"/>
      <c r="Q644" s="138" t="str">
        <f t="shared" si="28"/>
        <v>[11010,10]</v>
      </c>
      <c r="R644" s="138" t="str">
        <f t="shared" si="29"/>
        <v>[11001,10],[11002,10],[11003,10],[11004,10],[11005,10],[11006,10],[11007,10],[11008,10],[11009,10],[11010,10]</v>
      </c>
      <c r="S644" s="138"/>
    </row>
    <row r="645" spans="1:19" s="13" customFormat="1">
      <c r="A645" s="39">
        <v>11011</v>
      </c>
      <c r="B645" s="49" t="str">
        <f>IF($L645=1,VLOOKUP($M645,[1]Sheet1!$A:$C,2,0),IF($L645=4,VLOOKUP($M645,[4]Sheet1!$A:$B,2,0),IF($L645=2,VLOOKUP($M645,[5]Sheet1!$A:$B,2,0),IF($L645=6,VLOOKUP($M645,[6]Sheet1!$A:$B,2,0),0))))&amp;"x"&amp;$N645</f>
        <v>蟠桃x5</v>
      </c>
      <c r="C645" s="49">
        <v>1</v>
      </c>
      <c r="D645" s="13">
        <v>4</v>
      </c>
      <c r="E645" s="13">
        <v>2</v>
      </c>
      <c r="F645" s="49">
        <v>0</v>
      </c>
      <c r="G645" s="49">
        <v>100</v>
      </c>
      <c r="H645" s="13">
        <v>125</v>
      </c>
      <c r="I645" s="13">
        <v>1</v>
      </c>
      <c r="J645" s="13">
        <v>1</v>
      </c>
      <c r="K645" s="110" t="s">
        <v>8</v>
      </c>
      <c r="L645" s="62">
        <v>1</v>
      </c>
      <c r="M645" s="117">
        <v>14101</v>
      </c>
      <c r="N645" s="62">
        <v>5</v>
      </c>
      <c r="O645" s="118">
        <v>1</v>
      </c>
      <c r="P645" s="138"/>
      <c r="Q645" s="138" t="str">
        <f t="shared" si="28"/>
        <v>[11011,10]</v>
      </c>
      <c r="R645" s="138" t="str">
        <f t="shared" si="29"/>
        <v>[11001,10],[11002,10],[11003,10],[11004,10],[11005,10],[11006,10],[11007,10],[11008,10],[11009,10],[11010,10],[11011,10]</v>
      </c>
      <c r="S645" s="138"/>
    </row>
    <row r="646" spans="1:19" s="13" customFormat="1">
      <c r="A646" s="39">
        <v>11012</v>
      </c>
      <c r="B646" s="49" t="str">
        <f>IF($L646=1,VLOOKUP($M646,[1]Sheet1!$A:$C,2,0),IF($L646=4,VLOOKUP($M646,[4]Sheet1!$A:$B,2,0),IF($L646=2,VLOOKUP($M646,[5]Sheet1!$A:$B,2,0),IF($L646=6,VLOOKUP($M646,[6]Sheet1!$A:$B,2,0),0))))&amp;"x"&amp;$N646</f>
        <v>精力之心x5</v>
      </c>
      <c r="C646" s="49">
        <v>1</v>
      </c>
      <c r="D646" s="13">
        <v>4</v>
      </c>
      <c r="E646" s="13">
        <v>2</v>
      </c>
      <c r="F646" s="49">
        <v>0</v>
      </c>
      <c r="G646" s="49">
        <v>100</v>
      </c>
      <c r="H646" s="13">
        <v>125</v>
      </c>
      <c r="I646" s="13">
        <v>1</v>
      </c>
      <c r="J646" s="13">
        <v>1</v>
      </c>
      <c r="K646" s="110" t="s">
        <v>8</v>
      </c>
      <c r="L646" s="62">
        <v>1</v>
      </c>
      <c r="M646" s="117">
        <v>14108</v>
      </c>
      <c r="N646" s="62">
        <v>5</v>
      </c>
      <c r="O646" s="118">
        <v>1</v>
      </c>
      <c r="P646" s="138"/>
      <c r="Q646" s="138" t="str">
        <f t="shared" si="28"/>
        <v>[11012,10]</v>
      </c>
      <c r="R646" s="138" t="str">
        <f t="shared" si="29"/>
        <v>[11001,10],[11002,10],[11003,10],[11004,10],[11005,10],[11006,10],[11007,10],[11008,10],[11009,10],[11010,10],[11011,10],[11012,10]</v>
      </c>
      <c r="S646" s="138"/>
    </row>
    <row r="647" spans="1:19" s="13" customFormat="1">
      <c r="A647" s="39">
        <v>11013</v>
      </c>
      <c r="B647" s="49" t="str">
        <f>IF($L647=1,VLOOKUP($M647,[1]Sheet1!$A:$C,2,0),IF($L647=4,VLOOKUP($M647,[4]Sheet1!$A:$B,2,0),IF($L647=2,VLOOKUP($M647,[5]Sheet1!$A:$B,2,0),IF($L647=6,VLOOKUP($M647,[6]Sheet1!$A:$B,2,0),0))))&amp;"x"&amp;$N647</f>
        <v>商铺刷新令x20</v>
      </c>
      <c r="C647" s="49">
        <v>1</v>
      </c>
      <c r="D647" s="13">
        <v>4</v>
      </c>
      <c r="E647" s="13">
        <v>2</v>
      </c>
      <c r="F647" s="49">
        <v>0</v>
      </c>
      <c r="G647" s="49">
        <v>280</v>
      </c>
      <c r="H647" s="13">
        <v>400</v>
      </c>
      <c r="I647" s="13">
        <v>1</v>
      </c>
      <c r="J647" s="13">
        <v>1</v>
      </c>
      <c r="K647" s="110" t="s">
        <v>8</v>
      </c>
      <c r="L647" s="62">
        <v>1</v>
      </c>
      <c r="M647" s="117">
        <v>14102</v>
      </c>
      <c r="N647" s="62">
        <v>20</v>
      </c>
      <c r="O647" s="118">
        <v>1</v>
      </c>
      <c r="P647" s="138"/>
      <c r="Q647" s="138" t="str">
        <f t="shared" si="28"/>
        <v>[11013,10]</v>
      </c>
      <c r="R647" s="138" t="str">
        <f t="shared" si="29"/>
        <v>[11001,10],[11002,10],[11003,10],[11004,10],[11005,10],[11006,10],[11007,10],[11008,10],[11009,10],[11010,10],[11011,10],[11012,10],[11013,10]</v>
      </c>
      <c r="S647" s="138"/>
    </row>
    <row r="648" spans="1:19" s="13" customFormat="1">
      <c r="A648" s="39">
        <v>11014</v>
      </c>
      <c r="B648" s="49" t="str">
        <f>IF($L648=1,VLOOKUP($M648,[1]Sheet1!$A:$C,2,0),IF($L648=4,VLOOKUP($M648,[4]Sheet1!$A:$B,2,0),IF($L648=2,VLOOKUP($M648,[5]Sheet1!$A:$B,2,0),IF($L648=6,VLOOKUP($M648,[6]Sheet1!$A:$B,2,0),0))))&amp;"x"&amp;$N648</f>
        <v>梦魇挑战令x20</v>
      </c>
      <c r="C648" s="49">
        <v>1</v>
      </c>
      <c r="D648" s="13">
        <v>4</v>
      </c>
      <c r="E648" s="13">
        <v>2</v>
      </c>
      <c r="F648" s="49">
        <v>0</v>
      </c>
      <c r="G648" s="49">
        <v>160</v>
      </c>
      <c r="H648" s="13">
        <v>200</v>
      </c>
      <c r="I648" s="13">
        <v>1</v>
      </c>
      <c r="J648" s="13">
        <v>1</v>
      </c>
      <c r="K648" s="110" t="s">
        <v>8</v>
      </c>
      <c r="L648" s="62">
        <v>1</v>
      </c>
      <c r="M648" s="117">
        <v>14211</v>
      </c>
      <c r="N648" s="62">
        <v>20</v>
      </c>
      <c r="O648" s="118">
        <v>1</v>
      </c>
      <c r="P648" s="138"/>
      <c r="Q648" s="138" t="str">
        <f t="shared" si="28"/>
        <v>[11014,10]</v>
      </c>
      <c r="R648" s="138" t="str">
        <f t="shared" si="29"/>
        <v>[11001,10],[11002,10],[11003,10],[11004,10],[11005,10],[11006,10],[11007,10],[11008,10],[11009,10],[11010,10],[11011,10],[11012,10],[11013,10],[11014,10]</v>
      </c>
      <c r="S648" s="138"/>
    </row>
    <row r="649" spans="1:19" s="13" customFormat="1">
      <c r="A649" s="39">
        <v>11015</v>
      </c>
      <c r="B649" s="49" t="str">
        <f>IF($L649=1,VLOOKUP($M649,[1]Sheet1!$A:$C,2,0),IF($L649=4,VLOOKUP($M649,[4]Sheet1!$A:$B,2,0),IF($L649=2,VLOOKUP($M649,[5]Sheet1!$A:$B,2,0),IF($L649=6,VLOOKUP($M649,[6]Sheet1!$A:$B,2,0),0))))&amp;"x"&amp;$N649</f>
        <v>神兵强化石x1000</v>
      </c>
      <c r="C649" s="49">
        <v>1</v>
      </c>
      <c r="D649" s="13">
        <v>4</v>
      </c>
      <c r="E649" s="13">
        <v>2</v>
      </c>
      <c r="F649" s="49">
        <v>0</v>
      </c>
      <c r="G649" s="49">
        <v>800</v>
      </c>
      <c r="H649" s="13">
        <v>1000</v>
      </c>
      <c r="I649" s="13">
        <v>1</v>
      </c>
      <c r="J649" s="13">
        <v>1</v>
      </c>
      <c r="K649" s="110" t="s">
        <v>8</v>
      </c>
      <c r="L649" s="62">
        <v>1</v>
      </c>
      <c r="M649" s="111">
        <v>17000</v>
      </c>
      <c r="N649" s="62">
        <v>1000</v>
      </c>
      <c r="O649" s="118">
        <v>1</v>
      </c>
      <c r="P649" s="138"/>
      <c r="Q649" s="138" t="str">
        <f t="shared" si="28"/>
        <v>[11015,10]</v>
      </c>
      <c r="R649" s="138" t="str">
        <f t="shared" si="29"/>
        <v>[11001,10],[11002,10],[11003,10],[11004,10],[11005,10],[11006,10],[11007,10],[11008,10],[11009,10],[11010,10],[11011,10],[11012,10],[11013,10],[11014,10],[11015,10]</v>
      </c>
      <c r="S649" s="138"/>
    </row>
    <row r="650" spans="1:19" s="13" customFormat="1">
      <c r="A650" s="39">
        <v>11016</v>
      </c>
      <c r="B650" s="49" t="str">
        <f>IF($L650=1,VLOOKUP($M650,[1]Sheet1!$A:$C,2,0),IF($L650=4,VLOOKUP($M650,[4]Sheet1!$A:$B,2,0),IF($L650=2,VLOOKUP($M650,[5]Sheet1!$A:$B,2,0),IF($L650=6,VLOOKUP($M650,[6]Sheet1!$A:$B,2,0),0))))&amp;"x"&amp;$N650</f>
        <v>橙16仙将碎片选择箱x20</v>
      </c>
      <c r="C650" s="49">
        <v>1</v>
      </c>
      <c r="D650" s="13">
        <v>4</v>
      </c>
      <c r="E650" s="13">
        <v>2</v>
      </c>
      <c r="F650" s="49">
        <v>0</v>
      </c>
      <c r="G650" s="49">
        <v>560</v>
      </c>
      <c r="H650" s="13">
        <v>800</v>
      </c>
      <c r="I650" s="13">
        <v>1</v>
      </c>
      <c r="J650" s="13">
        <v>1</v>
      </c>
      <c r="K650" s="110" t="s">
        <v>8</v>
      </c>
      <c r="L650" s="62">
        <v>1</v>
      </c>
      <c r="M650" s="117">
        <v>14507</v>
      </c>
      <c r="N650" s="62">
        <v>20</v>
      </c>
      <c r="O650" s="118">
        <v>1</v>
      </c>
      <c r="P650" s="138"/>
      <c r="Q650" s="138" t="str">
        <f t="shared" si="28"/>
        <v>[11016,10]</v>
      </c>
      <c r="R650" s="138" t="str">
        <f t="shared" si="29"/>
        <v>[11001,10],[11002,10],[11003,10],[11004,10],[11005,10],[11006,10],[11007,10],[11008,10],[11009,10],[11010,10],[11011,10],[11012,10],[11013,10],[11014,10],[11015,10],[11016,10]</v>
      </c>
      <c r="S650" s="138"/>
    </row>
    <row r="651" spans="1:19" s="13" customFormat="1">
      <c r="A651" s="39">
        <v>11017</v>
      </c>
      <c r="B651" s="49" t="str">
        <f>IF($L651=1,VLOOKUP($M651,[1]Sheet1!$A:$C,2,0),IF($L651=4,VLOOKUP($M651,[4]Sheet1!$A:$B,2,0),IF($L651=2,VLOOKUP($M651,[5]Sheet1!$A:$B,2,0),IF($L651=6,VLOOKUP($M651,[6]Sheet1!$A:$B,2,0),0))))&amp;"x"&amp;$N651</f>
        <v>橙16佛将碎片选择箱x20</v>
      </c>
      <c r="C651" s="49">
        <v>1</v>
      </c>
      <c r="D651" s="13">
        <v>4</v>
      </c>
      <c r="E651" s="13">
        <v>2</v>
      </c>
      <c r="F651" s="49">
        <v>0</v>
      </c>
      <c r="G651" s="49">
        <v>560</v>
      </c>
      <c r="H651" s="13">
        <v>800</v>
      </c>
      <c r="I651" s="13">
        <v>1</v>
      </c>
      <c r="J651" s="13">
        <v>1</v>
      </c>
      <c r="K651" s="110" t="s">
        <v>8</v>
      </c>
      <c r="L651" s="62">
        <v>1</v>
      </c>
      <c r="M651" s="117">
        <v>14508</v>
      </c>
      <c r="N651" s="62">
        <v>20</v>
      </c>
      <c r="O651" s="118">
        <v>1</v>
      </c>
      <c r="P651" s="138"/>
      <c r="Q651" s="138" t="str">
        <f t="shared" si="28"/>
        <v>[11017,10]</v>
      </c>
      <c r="R651" s="138" t="str">
        <f t="shared" si="29"/>
        <v>[11001,10],[11002,10],[11003,10],[11004,10],[11005,10],[11006,10],[11007,10],[11008,10],[11009,10],[11010,10],[11011,10],[11012,10],[11013,10],[11014,10],[11015,10],[11016,10],[11017,10]</v>
      </c>
      <c r="S651" s="138"/>
    </row>
    <row r="652" spans="1:19" s="13" customFormat="1">
      <c r="A652" s="39">
        <v>11018</v>
      </c>
      <c r="B652" s="49" t="str">
        <f>IF($L652=1,VLOOKUP($M652,[1]Sheet1!$A:$C,2,0),IF($L652=4,VLOOKUP($M652,[4]Sheet1!$A:$B,2,0),IF($L652=2,VLOOKUP($M652,[5]Sheet1!$A:$B,2,0),IF($L652=6,VLOOKUP($M652,[6]Sheet1!$A:$B,2,0),0))))&amp;"x"&amp;$N652</f>
        <v>橙16妖将碎片选择箱x20</v>
      </c>
      <c r="C652" s="49">
        <v>1</v>
      </c>
      <c r="D652" s="13">
        <v>4</v>
      </c>
      <c r="E652" s="13">
        <v>2</v>
      </c>
      <c r="F652" s="49">
        <v>0</v>
      </c>
      <c r="G652" s="49">
        <v>560</v>
      </c>
      <c r="H652" s="13">
        <v>800</v>
      </c>
      <c r="I652" s="13">
        <v>1</v>
      </c>
      <c r="J652" s="13">
        <v>1</v>
      </c>
      <c r="K652" s="110" t="s">
        <v>8</v>
      </c>
      <c r="L652" s="62">
        <v>1</v>
      </c>
      <c r="M652" s="117">
        <v>14509</v>
      </c>
      <c r="N652" s="62">
        <v>20</v>
      </c>
      <c r="O652" s="118">
        <v>1</v>
      </c>
      <c r="P652" s="138"/>
      <c r="Q652" s="138" t="str">
        <f t="shared" si="28"/>
        <v>[11018,10]</v>
      </c>
      <c r="R652" s="138" t="str">
        <f t="shared" si="29"/>
        <v>[11001,10],[11002,10],[11003,10],[11004,10],[11005,10],[11006,10],[11007,10],[11008,10],[11009,10],[11010,10],[11011,10],[11012,10],[11013,10],[11014,10],[11015,10],[11016,10],[11017,10],[11018,10]</v>
      </c>
      <c r="S652" s="138"/>
    </row>
    <row r="653" spans="1:19" s="13" customFormat="1">
      <c r="A653" s="39">
        <v>11019</v>
      </c>
      <c r="B653" s="49" t="str">
        <f>IF($L653=1,VLOOKUP($M653,[1]Sheet1!$A:$C,2,0),IF($L653=4,VLOOKUP($M653,[4]Sheet1!$A:$B,2,0),IF($L653=2,VLOOKUP($M653,[5]Sheet1!$A:$B,2,0),IF($L653=6,VLOOKUP($M653,[6]Sheet1!$A:$B,2,0),0))))&amp;"x"&amp;$N653</f>
        <v>精魄x1000</v>
      </c>
      <c r="C653" s="49">
        <v>1</v>
      </c>
      <c r="D653" s="13">
        <v>4</v>
      </c>
      <c r="E653" s="13">
        <v>2</v>
      </c>
      <c r="F653" s="49">
        <v>0</v>
      </c>
      <c r="G653" s="49">
        <v>600</v>
      </c>
      <c r="H653" s="13">
        <v>1000</v>
      </c>
      <c r="I653" s="13">
        <v>1</v>
      </c>
      <c r="J653" s="13">
        <v>1</v>
      </c>
      <c r="K653" s="110" t="s">
        <v>8</v>
      </c>
      <c r="L653" s="62">
        <v>4</v>
      </c>
      <c r="M653" s="117">
        <v>4</v>
      </c>
      <c r="N653" s="62">
        <v>1000</v>
      </c>
      <c r="O653" s="118">
        <v>1</v>
      </c>
      <c r="P653" s="138"/>
      <c r="Q653" s="138" t="str">
        <f t="shared" si="28"/>
        <v>[11019,10]</v>
      </c>
      <c r="R653" s="138" t="str">
        <f t="shared" si="29"/>
        <v>[11001,10],[11002,10],[11003,10],[11004,10],[11005,10],[11006,10],[11007,10],[11008,10],[11009,10],[11010,10],[11011,10],[11012,10],[11013,10],[11014,10],[11015,10],[11016,10],[11017,10],[11018,10],[11019,10]</v>
      </c>
      <c r="S653" s="138"/>
    </row>
    <row r="654" spans="1:19" s="13" customFormat="1">
      <c r="A654" s="39">
        <v>11020</v>
      </c>
      <c r="B654" s="49" t="str">
        <f>IF($L654=1,VLOOKUP($M654,[1]Sheet1!$A:$C,2,0),IF($L654=4,VLOOKUP($M654,[4]Sheet1!$A:$B,2,0),IF($L654=2,VLOOKUP($M654,[5]Sheet1!$A:$B,2,0),IF($L654=6,VLOOKUP($M654,[6]Sheet1!$A:$B,2,0),0))))&amp;"x"&amp;$N654</f>
        <v>橙色经验法宝x5</v>
      </c>
      <c r="C654" s="49">
        <v>1</v>
      </c>
      <c r="D654" s="13">
        <v>4</v>
      </c>
      <c r="E654" s="13">
        <v>2</v>
      </c>
      <c r="F654" s="49">
        <v>0</v>
      </c>
      <c r="G654" s="49">
        <v>450</v>
      </c>
      <c r="H654" s="13">
        <v>1000</v>
      </c>
      <c r="I654" s="13">
        <v>1</v>
      </c>
      <c r="J654" s="13">
        <v>1</v>
      </c>
      <c r="K654" s="110" t="s">
        <v>8</v>
      </c>
      <c r="L654" s="62">
        <v>6</v>
      </c>
      <c r="M654" s="111">
        <v>4503</v>
      </c>
      <c r="N654" s="62">
        <v>5</v>
      </c>
      <c r="O654" s="118">
        <v>1</v>
      </c>
      <c r="P654" s="138"/>
      <c r="Q654" s="138" t="str">
        <f t="shared" si="28"/>
        <v>[11020,10]</v>
      </c>
      <c r="R654" s="138" t="str">
        <f t="shared" si="29"/>
        <v>[11001,10],[11002,10],[11003,10],[11004,10],[11005,10],[11006,10],[11007,10],[11008,10],[11009,10],[11010,10],[11011,10],[11012,10],[11013,10],[11014,10],[11015,10],[11016,10],[11017,10],[11018,10],[11019,10],[11020,10]</v>
      </c>
      <c r="S654" s="138"/>
    </row>
    <row r="655" spans="1:19" s="207" customFormat="1">
      <c r="A655" s="207">
        <v>16001</v>
      </c>
      <c r="B655" s="207" t="str">
        <f>IF($L655=1,VLOOKUP($M655,[1]Sheet1!$A:$C,2,0),IF($L655=4,VLOOKUP($M655,[4]Sheet1!$A:$B,2,0),IF($L655=2,VLOOKUP($M655,[5]Sheet1!$A:$B,2,0),IF($L655=6,VLOOKUP($M655,[6]Sheet1!$A:$B,2,0),0))))&amp;"x"&amp;$N655</f>
        <v>紫霞仙子碎片x1</v>
      </c>
      <c r="C655" s="207">
        <v>2</v>
      </c>
      <c r="D655" s="207">
        <v>4</v>
      </c>
      <c r="E655" s="207">
        <v>45</v>
      </c>
      <c r="F655" s="207">
        <v>0</v>
      </c>
      <c r="G655" s="207">
        <v>500</v>
      </c>
      <c r="H655" s="207">
        <v>0</v>
      </c>
      <c r="I655" s="207">
        <v>1</v>
      </c>
      <c r="J655" s="207">
        <v>5</v>
      </c>
      <c r="K655" s="210" t="s">
        <v>108</v>
      </c>
      <c r="L655" s="210">
        <v>1</v>
      </c>
      <c r="M655" s="210">
        <v>10021</v>
      </c>
      <c r="N655" s="210">
        <v>1</v>
      </c>
      <c r="O655" s="213">
        <v>1</v>
      </c>
      <c r="R655" s="207" t="str">
        <f>IF($M655&lt;&gt;$M654,"["&amp;$A655&amp;",1]",$R654&amp;IF($O655=1,",["&amp;$A655&amp;",1]",""))</f>
        <v>[16001,1]</v>
      </c>
    </row>
    <row r="656" spans="1:19" s="207" customFormat="1">
      <c r="A656" s="207">
        <v>16002</v>
      </c>
      <c r="B656" s="207" t="str">
        <f>IF($L656=1,VLOOKUP($M656,[1]Sheet1!$A:$C,2,0),IF($L656=4,VLOOKUP($M656,[4]Sheet1!$A:$B,2,0),IF($L656=2,VLOOKUP($M656,[5]Sheet1!$A:$B,2,0),IF($L656=6,VLOOKUP($M656,[6]Sheet1!$A:$B,2,0),0))))&amp;"x"&amp;$N656</f>
        <v>王母娘娘碎片x1</v>
      </c>
      <c r="C656" s="207">
        <v>2</v>
      </c>
      <c r="D656" s="207">
        <v>4</v>
      </c>
      <c r="E656" s="207">
        <v>45</v>
      </c>
      <c r="F656" s="207">
        <v>0</v>
      </c>
      <c r="G656" s="207">
        <v>500</v>
      </c>
      <c r="H656" s="207">
        <v>0</v>
      </c>
      <c r="I656" s="207">
        <v>1</v>
      </c>
      <c r="J656" s="207">
        <v>5</v>
      </c>
      <c r="K656" s="210" t="s">
        <v>108</v>
      </c>
      <c r="L656" s="210">
        <v>1</v>
      </c>
      <c r="M656" s="210">
        <v>10005</v>
      </c>
      <c r="N656" s="210">
        <v>1</v>
      </c>
      <c r="O656" s="213">
        <v>1</v>
      </c>
      <c r="R656" s="207" t="str">
        <f t="shared" ref="R656:R677" si="30">IF($M656&lt;&gt;$M655,"["&amp;$A656&amp;",1]",$R655&amp;IF($O656=1,",["&amp;$A656&amp;",1]",""))</f>
        <v>[16002,1]</v>
      </c>
    </row>
    <row r="657" spans="1:18" s="207" customFormat="1">
      <c r="A657" s="207">
        <v>16003</v>
      </c>
      <c r="B657" s="207" t="str">
        <f>IF($L657=1,VLOOKUP($M657,[1]Sheet1!$A:$C,2,0),IF($L657=4,VLOOKUP($M657,[4]Sheet1!$A:$B,2,0),IF($L657=2,VLOOKUP($M657,[5]Sheet1!$A:$B,2,0),IF($L657=6,VLOOKUP($M657,[6]Sheet1!$A:$B,2,0),0))))&amp;"x"&amp;$N657</f>
        <v>沙和尚碎片x1</v>
      </c>
      <c r="C657" s="207">
        <v>2</v>
      </c>
      <c r="D657" s="207">
        <v>4</v>
      </c>
      <c r="E657" s="207">
        <v>45</v>
      </c>
      <c r="F657" s="207">
        <v>0</v>
      </c>
      <c r="G657" s="207">
        <v>500</v>
      </c>
      <c r="H657" s="207">
        <v>0</v>
      </c>
      <c r="I657" s="207">
        <v>1</v>
      </c>
      <c r="J657" s="207">
        <v>5</v>
      </c>
      <c r="K657" s="210" t="s">
        <v>108</v>
      </c>
      <c r="L657" s="210">
        <v>1</v>
      </c>
      <c r="M657" s="210">
        <v>10024</v>
      </c>
      <c r="N657" s="210">
        <v>1</v>
      </c>
      <c r="O657" s="213">
        <v>1</v>
      </c>
      <c r="R657" s="207" t="str">
        <f t="shared" si="30"/>
        <v>[16003,1]</v>
      </c>
    </row>
    <row r="658" spans="1:18" s="207" customFormat="1">
      <c r="A658" s="207">
        <v>16004</v>
      </c>
      <c r="B658" s="207" t="str">
        <f>IF($L658=1,VLOOKUP($M658,[1]Sheet1!$A:$C,2,0),IF($L658=4,VLOOKUP($M658,[4]Sheet1!$A:$B,2,0),IF($L658=2,VLOOKUP($M658,[5]Sheet1!$A:$B,2,0),IF($L658=6,VLOOKUP($M658,[6]Sheet1!$A:$B,2,0),0))))&amp;"x"&amp;$N658</f>
        <v>红色伙伴碎片选择箱x1</v>
      </c>
      <c r="C658" s="207">
        <v>0</v>
      </c>
      <c r="D658" s="207">
        <v>4</v>
      </c>
      <c r="E658" s="207">
        <v>45</v>
      </c>
      <c r="F658" s="207">
        <v>0</v>
      </c>
      <c r="G658" s="207">
        <v>500</v>
      </c>
      <c r="H658" s="207">
        <v>0</v>
      </c>
      <c r="I658" s="207">
        <v>1</v>
      </c>
      <c r="J658" s="207">
        <v>5</v>
      </c>
      <c r="K658" s="210" t="s">
        <v>108</v>
      </c>
      <c r="L658" s="210">
        <v>1</v>
      </c>
      <c r="M658" s="210">
        <v>14567</v>
      </c>
      <c r="N658" s="210">
        <v>1</v>
      </c>
      <c r="O658" s="213">
        <v>1</v>
      </c>
      <c r="R658" s="207" t="str">
        <f>IF($M658&lt;&gt;$M657,"["&amp;$A658&amp;",1]",$R657&amp;IF($O658=1,",["&amp;$A658&amp;",1]",""))</f>
        <v>[16004,1]</v>
      </c>
    </row>
    <row r="659" spans="1:18" s="208" customFormat="1">
      <c r="A659" s="208">
        <v>16005</v>
      </c>
      <c r="B659" s="208" t="str">
        <f>IF($L659=1,VLOOKUP($M659,[1]Sheet1!$A:$C,2,0),IF($L659=4,VLOOKUP($M659,[4]Sheet1!$A:$B,2,0),IF($L659=2,VLOOKUP($M659,[5]Sheet1!$A:$B,2,0),IF($L659=6,VLOOKUP($M659,[6]Sheet1!$A:$B,2,0),0))))&amp;"x"&amp;$N659</f>
        <v>洗炼丹x1</v>
      </c>
      <c r="C659" s="208">
        <v>0</v>
      </c>
      <c r="D659" s="208">
        <v>4</v>
      </c>
      <c r="E659" s="208">
        <v>45</v>
      </c>
      <c r="F659" s="208">
        <v>0</v>
      </c>
      <c r="G659" s="208">
        <v>50</v>
      </c>
      <c r="H659" s="208">
        <v>0</v>
      </c>
      <c r="I659" s="208">
        <v>1</v>
      </c>
      <c r="J659" s="208">
        <v>100</v>
      </c>
      <c r="K659" s="211" t="s">
        <v>108</v>
      </c>
      <c r="L659" s="211">
        <v>1</v>
      </c>
      <c r="M659" s="211">
        <v>14106</v>
      </c>
      <c r="N659" s="211">
        <v>1</v>
      </c>
      <c r="O659" s="214">
        <v>1</v>
      </c>
      <c r="R659" s="208" t="str">
        <f t="shared" si="30"/>
        <v>[16005,1]</v>
      </c>
    </row>
    <row r="660" spans="1:18" s="208" customFormat="1">
      <c r="A660" s="208">
        <v>16006</v>
      </c>
      <c r="B660" s="208" t="str">
        <f>IF($L660=1,VLOOKUP($M660,[1]Sheet1!$A:$C,2,0),IF($L660=4,VLOOKUP($M660,[4]Sheet1!$A:$B,2,0),IF($L660=2,VLOOKUP($M660,[5]Sheet1!$A:$B,2,0),IF($L660=6,VLOOKUP($M660,[6]Sheet1!$A:$B,2,0),0))))&amp;"x"&amp;$N660</f>
        <v>洗炼丹x10</v>
      </c>
      <c r="C660" s="208">
        <v>0</v>
      </c>
      <c r="D660" s="208">
        <v>4</v>
      </c>
      <c r="E660" s="208">
        <v>45</v>
      </c>
      <c r="F660" s="208">
        <v>0</v>
      </c>
      <c r="G660" s="208">
        <v>500</v>
      </c>
      <c r="H660" s="208">
        <v>0</v>
      </c>
      <c r="I660" s="208">
        <v>1</v>
      </c>
      <c r="J660" s="208">
        <v>20</v>
      </c>
      <c r="K660" s="211" t="s">
        <v>108</v>
      </c>
      <c r="L660" s="211">
        <v>1</v>
      </c>
      <c r="M660" s="211">
        <v>14106</v>
      </c>
      <c r="N660" s="211">
        <v>10</v>
      </c>
      <c r="O660" s="214">
        <v>1</v>
      </c>
      <c r="R660" s="208" t="str">
        <f t="shared" si="30"/>
        <v>[16005,1],[16006,1]</v>
      </c>
    </row>
    <row r="661" spans="1:18" s="209" customFormat="1">
      <c r="A661" s="209">
        <v>16007</v>
      </c>
      <c r="B661" s="209" t="str">
        <f>IF($L661=1,VLOOKUP($M661,[1]Sheet1!$A:$C,2,0),IF($L661=4,VLOOKUP($M661,[4]Sheet1!$A:$B,2,0),IF($L661=2,VLOOKUP($M661,[5]Sheet1!$A:$B,2,0),IF($L661=6,VLOOKUP($M661,[6]Sheet1!$A:$B,2,0),0))))&amp;"x"&amp;$N661</f>
        <v>洗炼突破丹x1</v>
      </c>
      <c r="C661" s="209">
        <v>0</v>
      </c>
      <c r="D661" s="209">
        <v>4</v>
      </c>
      <c r="E661" s="209">
        <v>45</v>
      </c>
      <c r="F661" s="209">
        <v>0</v>
      </c>
      <c r="G661" s="209">
        <v>200</v>
      </c>
      <c r="H661" s="209">
        <v>0</v>
      </c>
      <c r="I661" s="209">
        <v>1</v>
      </c>
      <c r="J661" s="209">
        <v>100</v>
      </c>
      <c r="K661" s="212" t="s">
        <v>108</v>
      </c>
      <c r="L661" s="212">
        <v>1</v>
      </c>
      <c r="M661" s="212">
        <v>16010</v>
      </c>
      <c r="N661" s="212">
        <v>1</v>
      </c>
      <c r="O661" s="215">
        <v>1</v>
      </c>
      <c r="R661" s="209" t="str">
        <f t="shared" si="30"/>
        <v>[16007,1]</v>
      </c>
    </row>
    <row r="662" spans="1:18" s="209" customFormat="1">
      <c r="A662" s="209">
        <v>16008</v>
      </c>
      <c r="B662" s="209" t="str">
        <f>IF($L662=1,VLOOKUP($M662,[1]Sheet1!$A:$C,2,0),IF($L662=4,VLOOKUP($M662,[4]Sheet1!$A:$B,2,0),IF($L662=2,VLOOKUP($M662,[5]Sheet1!$A:$B,2,0),IF($L662=6,VLOOKUP($M662,[6]Sheet1!$A:$B,2,0),0))))&amp;"x"&amp;$N662</f>
        <v>洗炼突破丹x10</v>
      </c>
      <c r="C662" s="209">
        <v>0</v>
      </c>
      <c r="D662" s="209">
        <v>4</v>
      </c>
      <c r="E662" s="209">
        <v>45</v>
      </c>
      <c r="F662" s="209">
        <v>0</v>
      </c>
      <c r="G662" s="209">
        <v>2000</v>
      </c>
      <c r="H662" s="209">
        <v>0</v>
      </c>
      <c r="I662" s="209">
        <v>1</v>
      </c>
      <c r="J662" s="209">
        <v>20</v>
      </c>
      <c r="K662" s="212" t="s">
        <v>108</v>
      </c>
      <c r="L662" s="212">
        <v>1</v>
      </c>
      <c r="M662" s="212">
        <v>16010</v>
      </c>
      <c r="N662" s="212">
        <v>10</v>
      </c>
      <c r="O662" s="215">
        <v>1</v>
      </c>
      <c r="R662" s="209" t="str">
        <f t="shared" si="30"/>
        <v>[16007,1],[16008,1]</v>
      </c>
    </row>
    <row r="663" spans="1:18" s="220" customFormat="1">
      <c r="A663" s="220">
        <v>16101</v>
      </c>
      <c r="B663" s="220" t="str">
        <f>IF($L663=1,VLOOKUP($M663,[1]Sheet1!$A:$C,2,0),IF($L663=4,VLOOKUP($M663,[4]Sheet1!$A:$B,2,0),IF($L663=2,VLOOKUP($M663,[5]Sheet1!$A:$B,2,0),IF($L663=6,VLOOKUP($M663,[6]Sheet1!$A:$B,2,0),0))))&amp;"x"&amp;$N663</f>
        <v>封魔头盔(30级)x1</v>
      </c>
      <c r="C663" s="220">
        <v>1</v>
      </c>
      <c r="D663" s="220">
        <v>4</v>
      </c>
      <c r="E663" s="220">
        <v>45</v>
      </c>
      <c r="F663" s="220">
        <v>0</v>
      </c>
      <c r="G663" s="220">
        <v>1800</v>
      </c>
      <c r="H663" s="220">
        <v>18000</v>
      </c>
      <c r="I663" s="220">
        <v>3</v>
      </c>
      <c r="J663" s="220">
        <v>1</v>
      </c>
      <c r="K663" s="221">
        <v>40001</v>
      </c>
      <c r="L663" s="221">
        <v>2</v>
      </c>
      <c r="M663" s="221">
        <v>2047</v>
      </c>
      <c r="N663" s="221">
        <v>1</v>
      </c>
      <c r="O663" s="222">
        <v>1</v>
      </c>
      <c r="R663" s="220" t="str">
        <f t="shared" si="30"/>
        <v>[16101,1]</v>
      </c>
    </row>
    <row r="664" spans="1:18" s="220" customFormat="1">
      <c r="A664" s="220">
        <v>16102</v>
      </c>
      <c r="B664" s="220" t="str">
        <f>IF($L664=1,VLOOKUP($M664,[1]Sheet1!$A:$C,2,0),IF($L664=4,VLOOKUP($M664,[4]Sheet1!$A:$B,2,0),IF($L664=2,VLOOKUP($M664,[5]Sheet1!$A:$B,2,0),IF($L664=6,VLOOKUP($M664,[6]Sheet1!$A:$B,2,0),0))))&amp;"x"&amp;$N664</f>
        <v>铜钱x200000</v>
      </c>
      <c r="C664" s="220">
        <v>1</v>
      </c>
      <c r="D664" s="220">
        <v>4</v>
      </c>
      <c r="E664" s="220">
        <v>45</v>
      </c>
      <c r="F664" s="220">
        <v>0</v>
      </c>
      <c r="G664" s="220">
        <v>200</v>
      </c>
      <c r="H664" s="220">
        <v>2000</v>
      </c>
      <c r="I664" s="220">
        <v>3</v>
      </c>
      <c r="J664" s="220">
        <v>1</v>
      </c>
      <c r="K664" s="221">
        <v>40003</v>
      </c>
      <c r="L664" s="221">
        <v>4</v>
      </c>
      <c r="M664" s="221">
        <v>1</v>
      </c>
      <c r="N664" s="221">
        <v>200000</v>
      </c>
      <c r="O664" s="222">
        <v>1</v>
      </c>
      <c r="R664" s="220" t="str">
        <f t="shared" si="30"/>
        <v>[16102,1]</v>
      </c>
    </row>
    <row r="665" spans="1:18" s="220" customFormat="1">
      <c r="A665" s="220">
        <v>16103</v>
      </c>
      <c r="B665" s="220" t="str">
        <f>IF($L665=1,VLOOKUP($M665,[1]Sheet1!$A:$C,2,0),IF($L665=4,VLOOKUP($M665,[4]Sheet1!$A:$B,2,0),IF($L665=2,VLOOKUP($M665,[5]Sheet1!$A:$B,2,0),IF($L665=6,VLOOKUP($M665,[6]Sheet1!$A:$B,2,0),0))))&amp;"x"&amp;$N665</f>
        <v>麒麟头盔(40级)x1</v>
      </c>
      <c r="C665" s="220">
        <v>1</v>
      </c>
      <c r="D665" s="220">
        <v>4</v>
      </c>
      <c r="E665" s="220">
        <v>45</v>
      </c>
      <c r="F665" s="220">
        <v>0</v>
      </c>
      <c r="G665" s="220">
        <v>4000</v>
      </c>
      <c r="H665" s="220">
        <v>40000</v>
      </c>
      <c r="I665" s="220">
        <v>3</v>
      </c>
      <c r="J665" s="220">
        <v>1</v>
      </c>
      <c r="K665" s="221">
        <v>40005</v>
      </c>
      <c r="L665" s="221">
        <v>2</v>
      </c>
      <c r="M665" s="221">
        <v>2063</v>
      </c>
      <c r="N665" s="221">
        <v>1</v>
      </c>
      <c r="O665" s="222">
        <v>1</v>
      </c>
      <c r="R665" s="220" t="str">
        <f t="shared" si="30"/>
        <v>[16103,1]</v>
      </c>
    </row>
    <row r="666" spans="1:18" s="220" customFormat="1">
      <c r="A666" s="220">
        <v>16104</v>
      </c>
      <c r="B666" s="220" t="str">
        <f>IF($L666=1,VLOOKUP($M666,[1]Sheet1!$A:$C,2,0),IF($L666=4,VLOOKUP($M666,[4]Sheet1!$A:$B,2,0),IF($L666=2,VLOOKUP($M666,[5]Sheet1!$A:$B,2,0),IF($L666=6,VLOOKUP($M666,[6]Sheet1!$A:$B,2,0),0))))&amp;"x"&amp;$N666</f>
        <v>元宝x500</v>
      </c>
      <c r="C666" s="220">
        <v>1</v>
      </c>
      <c r="D666" s="220">
        <v>4</v>
      </c>
      <c r="E666" s="220">
        <v>45</v>
      </c>
      <c r="F666" s="220">
        <v>0</v>
      </c>
      <c r="G666" s="220">
        <v>500</v>
      </c>
      <c r="H666" s="220">
        <v>5000</v>
      </c>
      <c r="I666" s="220">
        <v>3</v>
      </c>
      <c r="J666" s="220">
        <v>1</v>
      </c>
      <c r="K666" s="221">
        <v>40010</v>
      </c>
      <c r="L666" s="221">
        <v>4</v>
      </c>
      <c r="M666" s="221">
        <v>2</v>
      </c>
      <c r="N666" s="221">
        <v>500</v>
      </c>
      <c r="O666" s="222">
        <v>1</v>
      </c>
      <c r="R666" s="220" t="str">
        <f t="shared" si="30"/>
        <v>[16104,1]</v>
      </c>
    </row>
    <row r="667" spans="1:18" s="220" customFormat="1">
      <c r="A667" s="220">
        <v>16105</v>
      </c>
      <c r="B667" s="220" t="str">
        <f>IF($L667=1,VLOOKUP($M667,[1]Sheet1!$A:$C,2,0),IF($L667=4,VLOOKUP($M667,[4]Sheet1!$A:$B,2,0),IF($L667=2,VLOOKUP($M667,[5]Sheet1!$A:$B,2,0),IF($L667=6,VLOOKUP($M667,[6]Sheet1!$A:$B,2,0),0))))&amp;"x"&amp;$N667</f>
        <v>洗炼丹x200</v>
      </c>
      <c r="C667" s="220">
        <v>1</v>
      </c>
      <c r="D667" s="220">
        <v>4</v>
      </c>
      <c r="E667" s="220">
        <v>45</v>
      </c>
      <c r="F667" s="220">
        <v>0</v>
      </c>
      <c r="G667" s="220">
        <v>1000</v>
      </c>
      <c r="H667" s="220">
        <v>10000</v>
      </c>
      <c r="I667" s="220">
        <v>3</v>
      </c>
      <c r="J667" s="220">
        <v>1</v>
      </c>
      <c r="K667" s="221">
        <v>40015</v>
      </c>
      <c r="L667" s="221">
        <v>1</v>
      </c>
      <c r="M667" s="221">
        <v>14106</v>
      </c>
      <c r="N667" s="221">
        <v>200</v>
      </c>
      <c r="O667" s="222">
        <v>1</v>
      </c>
      <c r="R667" s="220" t="str">
        <f t="shared" si="30"/>
        <v>[16105,1]</v>
      </c>
    </row>
    <row r="668" spans="1:18" s="220" customFormat="1">
      <c r="A668" s="220">
        <v>16106</v>
      </c>
      <c r="B668" s="220" t="str">
        <f>IF($L668=1,VLOOKUP($M668,[1]Sheet1!$A:$C,2,0),IF($L668=4,VLOOKUP($M668,[4]Sheet1!$A:$B,2,0),IF($L668=2,VLOOKUP($M668,[5]Sheet1!$A:$B,2,0),IF($L668=6,VLOOKUP($M668,[6]Sheet1!$A:$B,2,0),0))))&amp;"x"&amp;$N668</f>
        <v>红色伙伴碎片选择箱x60</v>
      </c>
      <c r="C668" s="220">
        <v>1</v>
      </c>
      <c r="D668" s="220">
        <v>4</v>
      </c>
      <c r="E668" s="220">
        <v>45</v>
      </c>
      <c r="F668" s="220">
        <v>0</v>
      </c>
      <c r="G668" s="220">
        <v>3000</v>
      </c>
      <c r="H668" s="220">
        <v>30000</v>
      </c>
      <c r="I668" s="220">
        <v>3</v>
      </c>
      <c r="J668" s="220">
        <v>1</v>
      </c>
      <c r="K668" s="221">
        <v>40020</v>
      </c>
      <c r="L668" s="221">
        <v>1</v>
      </c>
      <c r="M668" s="221">
        <v>14567</v>
      </c>
      <c r="N668" s="221">
        <v>60</v>
      </c>
      <c r="O668" s="222">
        <v>1</v>
      </c>
      <c r="R668" s="220" t="str">
        <f t="shared" si="30"/>
        <v>[16106,1]</v>
      </c>
    </row>
    <row r="669" spans="1:18" s="220" customFormat="1">
      <c r="A669" s="220">
        <v>16107</v>
      </c>
      <c r="B669" s="220" t="str">
        <f>IF($L669=1,VLOOKUP($M669,[1]Sheet1!$A:$C,2,0),IF($L669=4,VLOOKUP($M669,[4]Sheet1!$A:$B,2,0),IF($L669=2,VLOOKUP($M669,[5]Sheet1!$A:$B,2,0),IF($L669=6,VLOOKUP($M669,[6]Sheet1!$A:$B,2,0),0))))&amp;"x"&amp;$N669</f>
        <v>元宝x1000</v>
      </c>
      <c r="C669" s="220">
        <v>1</v>
      </c>
      <c r="D669" s="220">
        <v>4</v>
      </c>
      <c r="E669" s="220">
        <v>45</v>
      </c>
      <c r="F669" s="220">
        <v>0</v>
      </c>
      <c r="G669" s="220">
        <v>1000</v>
      </c>
      <c r="H669" s="220">
        <v>10000</v>
      </c>
      <c r="I669" s="220">
        <v>3</v>
      </c>
      <c r="J669" s="220">
        <v>1</v>
      </c>
      <c r="K669" s="221">
        <v>40025</v>
      </c>
      <c r="L669" s="221">
        <v>4</v>
      </c>
      <c r="M669" s="221">
        <v>2</v>
      </c>
      <c r="N669" s="221">
        <v>1000</v>
      </c>
      <c r="O669" s="222">
        <v>1</v>
      </c>
      <c r="R669" s="220" t="str">
        <f t="shared" si="30"/>
        <v>[16107,1]</v>
      </c>
    </row>
    <row r="670" spans="1:18" s="220" customFormat="1">
      <c r="A670" s="220">
        <v>16108</v>
      </c>
      <c r="B670" s="220" t="str">
        <f>IF($L670=1,VLOOKUP($M670,[1]Sheet1!$A:$C,2,0),IF($L670=4,VLOOKUP($M670,[4]Sheet1!$A:$B,2,0),IF($L670=2,VLOOKUP($M670,[5]Sheet1!$A:$B,2,0),IF($L670=6,VLOOKUP($M670,[6]Sheet1!$A:$B,2,0),0))))&amp;"x"&amp;$N670</f>
        <v>洗炼突破丹x50</v>
      </c>
      <c r="C670" s="220">
        <v>1</v>
      </c>
      <c r="D670" s="220">
        <v>4</v>
      </c>
      <c r="E670" s="220">
        <v>45</v>
      </c>
      <c r="F670" s="220">
        <v>0</v>
      </c>
      <c r="G670" s="220">
        <v>1000</v>
      </c>
      <c r="H670" s="220">
        <v>10000</v>
      </c>
      <c r="I670" s="220">
        <v>3</v>
      </c>
      <c r="J670" s="220">
        <v>1</v>
      </c>
      <c r="K670" s="221">
        <v>40030</v>
      </c>
      <c r="L670" s="221">
        <v>1</v>
      </c>
      <c r="M670" s="221">
        <v>16010</v>
      </c>
      <c r="N670" s="221">
        <v>50</v>
      </c>
      <c r="O670" s="222">
        <v>1</v>
      </c>
      <c r="R670" s="220" t="str">
        <f t="shared" si="30"/>
        <v>[16108,1]</v>
      </c>
    </row>
    <row r="671" spans="1:18" s="220" customFormat="1">
      <c r="A671" s="220">
        <v>16109</v>
      </c>
      <c r="B671" s="220" t="str">
        <f>IF($L671=1,VLOOKUP($M671,[1]Sheet1!$A:$C,2,0),IF($L671=4,VLOOKUP($M671,[4]Sheet1!$A:$B,2,0),IF($L671=2,VLOOKUP($M671,[5]Sheet1!$A:$B,2,0),IF($L671=6,VLOOKUP($M671,[6]Sheet1!$A:$B,2,0),0))))&amp;"x"&amp;$N671</f>
        <v>铜钱x1000000</v>
      </c>
      <c r="C671" s="220">
        <v>1</v>
      </c>
      <c r="D671" s="220">
        <v>4</v>
      </c>
      <c r="E671" s="220">
        <v>45</v>
      </c>
      <c r="F671" s="220">
        <v>0</v>
      </c>
      <c r="G671" s="220">
        <v>1000</v>
      </c>
      <c r="H671" s="220">
        <v>10000</v>
      </c>
      <c r="I671" s="220">
        <v>3</v>
      </c>
      <c r="J671" s="220">
        <v>1</v>
      </c>
      <c r="K671" s="221">
        <v>40035</v>
      </c>
      <c r="L671" s="221">
        <v>4</v>
      </c>
      <c r="M671" s="221">
        <v>1</v>
      </c>
      <c r="N671" s="221">
        <v>1000000</v>
      </c>
      <c r="O671" s="222">
        <v>1</v>
      </c>
      <c r="R671" s="220" t="str">
        <f t="shared" si="30"/>
        <v>[16109,1]</v>
      </c>
    </row>
    <row r="672" spans="1:18" s="220" customFormat="1">
      <c r="A672" s="220">
        <v>16110</v>
      </c>
      <c r="B672" s="220" t="str">
        <f>IF($L672=1,VLOOKUP($M672,[1]Sheet1!$A:$C,2,0),IF($L672=4,VLOOKUP($M672,[4]Sheet1!$A:$B,2,0),IF($L672=2,VLOOKUP($M672,[5]Sheet1!$A:$B,2,0),IF($L672=6,VLOOKUP($M672,[6]Sheet1!$A:$B,2,0),0))))&amp;"x"&amp;$N672</f>
        <v>洗炼丹x300</v>
      </c>
      <c r="C672" s="220">
        <v>1</v>
      </c>
      <c r="D672" s="220">
        <v>4</v>
      </c>
      <c r="E672" s="220">
        <v>45</v>
      </c>
      <c r="F672" s="220">
        <v>0</v>
      </c>
      <c r="G672" s="220">
        <v>1500</v>
      </c>
      <c r="H672" s="220">
        <v>15000</v>
      </c>
      <c r="I672" s="220">
        <v>3</v>
      </c>
      <c r="J672" s="220">
        <v>1</v>
      </c>
      <c r="K672" s="221">
        <v>40040</v>
      </c>
      <c r="L672" s="221">
        <v>1</v>
      </c>
      <c r="M672" s="221">
        <v>14106</v>
      </c>
      <c r="N672" s="221">
        <v>300</v>
      </c>
      <c r="O672" s="222">
        <v>1</v>
      </c>
      <c r="R672" s="220" t="str">
        <f t="shared" si="30"/>
        <v>[16110,1]</v>
      </c>
    </row>
    <row r="673" spans="1:19" s="220" customFormat="1">
      <c r="A673" s="220">
        <v>16111</v>
      </c>
      <c r="B673" s="220" t="str">
        <f>IF($L673=1,VLOOKUP($M673,[1]Sheet1!$A:$C,2,0),IF($L673=4,VLOOKUP($M673,[4]Sheet1!$A:$B,2,0),IF($L673=2,VLOOKUP($M673,[5]Sheet1!$A:$B,2,0),IF($L673=6,VLOOKUP($M673,[6]Sheet1!$A:$B,2,0),0))))&amp;"x"&amp;$N673</f>
        <v>洗炼突破丹x100</v>
      </c>
      <c r="C673" s="220">
        <v>1</v>
      </c>
      <c r="D673" s="220">
        <v>4</v>
      </c>
      <c r="E673" s="220">
        <v>45</v>
      </c>
      <c r="F673" s="220">
        <v>0</v>
      </c>
      <c r="G673" s="220">
        <v>2000</v>
      </c>
      <c r="H673" s="220">
        <v>20000</v>
      </c>
      <c r="I673" s="220">
        <v>3</v>
      </c>
      <c r="J673" s="220">
        <v>1</v>
      </c>
      <c r="K673" s="221">
        <v>40045</v>
      </c>
      <c r="L673" s="221">
        <v>1</v>
      </c>
      <c r="M673" s="221">
        <v>16010</v>
      </c>
      <c r="N673" s="221">
        <v>100</v>
      </c>
      <c r="O673" s="222">
        <v>1</v>
      </c>
      <c r="R673" s="220" t="str">
        <f t="shared" si="30"/>
        <v>[16111,1]</v>
      </c>
    </row>
    <row r="674" spans="1:19" s="220" customFormat="1">
      <c r="A674" s="220">
        <v>16112</v>
      </c>
      <c r="B674" s="220" t="str">
        <f>IF($L674=1,VLOOKUP($M674,[1]Sheet1!$A:$C,2,0),IF($L674=4,VLOOKUP($M674,[4]Sheet1!$A:$B,2,0),IF($L674=2,VLOOKUP($M674,[5]Sheet1!$A:$B,2,0),IF($L674=6,VLOOKUP($M674,[6]Sheet1!$A:$B,2,0),0))))&amp;"x"&amp;$N674</f>
        <v>元宝x2000</v>
      </c>
      <c r="C674" s="220">
        <v>1</v>
      </c>
      <c r="D674" s="220">
        <v>4</v>
      </c>
      <c r="E674" s="220">
        <v>45</v>
      </c>
      <c r="F674" s="220">
        <v>0</v>
      </c>
      <c r="G674" s="220">
        <v>2000</v>
      </c>
      <c r="H674" s="220">
        <v>20000</v>
      </c>
      <c r="I674" s="220">
        <v>3</v>
      </c>
      <c r="J674" s="220">
        <v>1</v>
      </c>
      <c r="K674" s="221">
        <v>40050</v>
      </c>
      <c r="L674" s="221">
        <v>4</v>
      </c>
      <c r="M674" s="221">
        <v>2</v>
      </c>
      <c r="N674" s="221">
        <v>2000</v>
      </c>
      <c r="O674" s="222">
        <v>1</v>
      </c>
      <c r="R674" s="220" t="str">
        <f t="shared" si="30"/>
        <v>[16112,1]</v>
      </c>
    </row>
    <row r="675" spans="1:19" s="207" customFormat="1">
      <c r="A675" s="207">
        <v>17001</v>
      </c>
      <c r="B675" s="207" t="str">
        <f>IF($L675=1,VLOOKUP($M675,[1]Sheet1!$A:$C,2,0),IF($L675=4,VLOOKUP($M675,[4]Sheet1!$A:$B,2,0),IF($L675=2,VLOOKUP($M675,[5]Sheet1!$A:$B,2,0),IF($L675=6,VLOOKUP($M675,[6]Sheet1!$A:$B,2,0),0))))&amp;"x"&amp;$N675</f>
        <v>红色伙伴精华x1</v>
      </c>
      <c r="C675" s="207">
        <v>3</v>
      </c>
      <c r="D675" s="207">
        <v>4</v>
      </c>
      <c r="E675" s="207">
        <v>30</v>
      </c>
      <c r="F675" s="207">
        <v>0</v>
      </c>
      <c r="G675" s="207">
        <v>500</v>
      </c>
      <c r="H675" s="207">
        <v>0</v>
      </c>
      <c r="I675" s="207">
        <v>1</v>
      </c>
      <c r="J675" s="207">
        <v>120</v>
      </c>
      <c r="K675" s="210" t="s">
        <v>8</v>
      </c>
      <c r="L675" s="210">
        <v>1</v>
      </c>
      <c r="M675" s="210">
        <v>14415</v>
      </c>
      <c r="N675" s="210">
        <v>1</v>
      </c>
      <c r="O675" s="213">
        <v>1</v>
      </c>
      <c r="R675" s="207" t="str">
        <f>IF($M675&lt;&gt;$M674,"["&amp;$A675&amp;",1]",$R674&amp;IF($O675=1,",["&amp;$A675&amp;",1]",""))</f>
        <v>[17001,1]</v>
      </c>
    </row>
    <row r="676" spans="1:19" s="207" customFormat="1">
      <c r="A676" s="207">
        <v>17002</v>
      </c>
      <c r="B676" s="207" t="str">
        <f>IF($L676=1,VLOOKUP($M676,[1]Sheet1!$A:$C,2,0),IF($L676=4,VLOOKUP($M676,[4]Sheet1!$A:$B,2,0),IF($L676=2,VLOOKUP($M676,[5]Sheet1!$A:$B,2,0),IF($L676=6,VLOOKUP($M676,[6]Sheet1!$A:$B,2,0),0))))&amp;"x"&amp;$N676</f>
        <v>红色装备精华x1</v>
      </c>
      <c r="C676" s="207">
        <v>3</v>
      </c>
      <c r="D676" s="207">
        <v>4</v>
      </c>
      <c r="E676" s="207">
        <v>30</v>
      </c>
      <c r="F676" s="207">
        <v>0</v>
      </c>
      <c r="G676" s="207">
        <v>500</v>
      </c>
      <c r="H676" s="207">
        <v>0</v>
      </c>
      <c r="I676" s="207">
        <v>1</v>
      </c>
      <c r="J676" s="207">
        <v>120</v>
      </c>
      <c r="K676" s="210">
        <v>10050</v>
      </c>
      <c r="L676" s="210">
        <v>1</v>
      </c>
      <c r="M676" s="210">
        <v>14416</v>
      </c>
      <c r="N676" s="210">
        <v>1</v>
      </c>
      <c r="O676" s="213">
        <v>1</v>
      </c>
      <c r="R676" s="207" t="str">
        <f t="shared" si="30"/>
        <v>[17002,1]</v>
      </c>
    </row>
    <row r="677" spans="1:19" s="207" customFormat="1">
      <c r="A677" s="207">
        <v>17003</v>
      </c>
      <c r="B677" s="207" t="str">
        <f>IF($L677=1,VLOOKUP($M677,[1]Sheet1!$A:$C,2,0),IF($L677=4,VLOOKUP($M677,[4]Sheet1!$A:$B,2,0),IF($L677=2,VLOOKUP($M677,[5]Sheet1!$A:$B,2,0),IF($L677=6,VLOOKUP($M677,[6]Sheet1!$A:$B,2,0),0))))&amp;"x"&amp;$N677</f>
        <v>红色伙伴选择箱x1</v>
      </c>
      <c r="C677" s="207">
        <v>3</v>
      </c>
      <c r="D677" s="207">
        <v>1</v>
      </c>
      <c r="E677" s="207">
        <v>14415</v>
      </c>
      <c r="F677" s="207">
        <v>0</v>
      </c>
      <c r="G677" s="207">
        <v>120</v>
      </c>
      <c r="H677" s="207">
        <v>0</v>
      </c>
      <c r="I677" s="207">
        <v>1</v>
      </c>
      <c r="J677" s="207">
        <v>1</v>
      </c>
      <c r="K677" s="210" t="s">
        <v>8</v>
      </c>
      <c r="L677" s="210">
        <v>1</v>
      </c>
      <c r="M677" s="210">
        <v>14562</v>
      </c>
      <c r="N677" s="210">
        <v>1</v>
      </c>
      <c r="O677" s="213">
        <v>1</v>
      </c>
      <c r="R677" s="207" t="str">
        <f t="shared" si="30"/>
        <v>[17003,1]</v>
      </c>
    </row>
    <row r="678" spans="1:19" s="207" customFormat="1">
      <c r="A678" s="207">
        <v>17004</v>
      </c>
      <c r="B678" s="207" t="str">
        <f>IF($L678=1,VLOOKUP($M678,[1]Sheet1!$A:$C,2,0),IF($L678=4,VLOOKUP($M678,[4]Sheet1!$A:$B,2,0),IF($L678=2,VLOOKUP($M678,[5]Sheet1!$A:$B,2,0),IF($L678=6,VLOOKUP($M678,[6]Sheet1!$A:$B,2,0),0))))&amp;"x"&amp;$N678</f>
        <v>红色装备选择箱x1</v>
      </c>
      <c r="C678" s="207">
        <v>3</v>
      </c>
      <c r="D678" s="207">
        <v>1</v>
      </c>
      <c r="E678" s="207">
        <v>14416</v>
      </c>
      <c r="F678" s="207">
        <v>0</v>
      </c>
      <c r="G678" s="207">
        <v>300</v>
      </c>
      <c r="H678" s="207">
        <v>0</v>
      </c>
      <c r="I678" s="207">
        <v>1</v>
      </c>
      <c r="J678" s="207">
        <v>1</v>
      </c>
      <c r="K678" s="210">
        <v>10050</v>
      </c>
      <c r="L678" s="210">
        <v>1</v>
      </c>
      <c r="M678" s="210">
        <v>14589</v>
      </c>
      <c r="N678" s="210">
        <v>1</v>
      </c>
      <c r="O678" s="213">
        <v>1</v>
      </c>
      <c r="R678" s="207" t="str">
        <f>IF($M678&lt;&gt;$M677,"["&amp;$A678&amp;",1]",$R677&amp;IF($O678=1,",["&amp;$A678&amp;",1]",""))</f>
        <v>[17004,1]</v>
      </c>
    </row>
    <row r="679" spans="1:19" s="207" customFormat="1">
      <c r="A679" s="207">
        <v>17005</v>
      </c>
      <c r="B679" s="207" t="str">
        <f>IF($L679=1,VLOOKUP($M679,[1]Sheet1!$A:$C,2,0),IF($L679=4,VLOOKUP($M679,[4]Sheet1!$A:$B,2,0),IF($L679=2,VLOOKUP($M679,[5]Sheet1!$A:$B,2,0),IF($L679=6,VLOOKUP($M679,[6]Sheet1!$A:$B,2,0),0))))&amp;"x"&amp;$N679</f>
        <v>铜钱x100000</v>
      </c>
      <c r="C679" s="207">
        <v>1</v>
      </c>
      <c r="D679" s="207">
        <v>4</v>
      </c>
      <c r="E679" s="207">
        <v>30</v>
      </c>
      <c r="F679" s="207">
        <v>0</v>
      </c>
      <c r="G679" s="207">
        <v>500</v>
      </c>
      <c r="H679" s="207">
        <v>0</v>
      </c>
      <c r="I679" s="207">
        <v>1</v>
      </c>
      <c r="J679" s="207">
        <v>10</v>
      </c>
      <c r="K679" s="210" t="s">
        <v>8</v>
      </c>
      <c r="L679" s="210">
        <v>4</v>
      </c>
      <c r="M679" s="210">
        <v>1</v>
      </c>
      <c r="N679" s="210">
        <v>100000</v>
      </c>
      <c r="O679" s="213">
        <v>1</v>
      </c>
      <c r="R679" s="207" t="str">
        <f>IF($M679&lt;&gt;$M678,"["&amp;$A679&amp;",1]",$R678&amp;IF($O679=1,",["&amp;$A679&amp;",1]",""))</f>
        <v>[17005,1]</v>
      </c>
    </row>
    <row r="680" spans="1:19" s="15" customFormat="1">
      <c r="A680" s="38">
        <v>100000</v>
      </c>
      <c r="B680" s="50" t="str">
        <f>IF($L680=1,VLOOKUP($M680,[1]Sheet1!$A:$C,2,0),IF($L680=4,VLOOKUP($M680,[4]Sheet1!$A:$B,2,0),IF($L680=2,VLOOKUP($M680,[5]Sheet1!$A:$B,2,0),IF($L680=6,VLOOKUP($M680,[6]Sheet1!$A:$B,2,0),0))))&amp;"x"&amp;$N680</f>
        <v>孙悟空碎片x5</v>
      </c>
      <c r="C680" s="50">
        <v>0</v>
      </c>
      <c r="D680" s="15">
        <v>4</v>
      </c>
      <c r="E680" s="15">
        <v>2</v>
      </c>
      <c r="F680" s="50">
        <v>0</v>
      </c>
      <c r="G680" s="50">
        <v>1000</v>
      </c>
      <c r="H680" s="15">
        <v>2000</v>
      </c>
      <c r="I680" s="15">
        <v>0</v>
      </c>
      <c r="J680" s="15">
        <v>0</v>
      </c>
      <c r="K680" s="113" t="s">
        <v>8</v>
      </c>
      <c r="L680" s="63">
        <v>1</v>
      </c>
      <c r="M680" s="114">
        <v>10019</v>
      </c>
      <c r="N680" s="63">
        <v>5</v>
      </c>
      <c r="O680" s="115">
        <v>0</v>
      </c>
      <c r="P680" s="139"/>
      <c r="Q680" s="139"/>
      <c r="R680" s="139"/>
      <c r="S680" s="139"/>
    </row>
    <row r="681" spans="1:19" s="15" customFormat="1">
      <c r="A681" s="38">
        <v>100001</v>
      </c>
      <c r="B681" s="50" t="str">
        <f>IF($L681=1,VLOOKUP($M681,[1]Sheet1!$A:$C,2,0),IF($L681=4,VLOOKUP($M681,[4]Sheet1!$A:$B,2,0),IF($L681=2,VLOOKUP($M681,[5]Sheet1!$A:$B,2,0),IF($L681=6,VLOOKUP($M681,[6]Sheet1!$A:$B,2,0),0))))&amp;"x"&amp;$N681</f>
        <v>牛魔王碎片x5</v>
      </c>
      <c r="C681" s="50">
        <v>0</v>
      </c>
      <c r="D681" s="15">
        <v>4</v>
      </c>
      <c r="E681" s="15">
        <v>2</v>
      </c>
      <c r="F681" s="50">
        <v>0</v>
      </c>
      <c r="G681" s="50">
        <v>1000</v>
      </c>
      <c r="H681" s="15">
        <v>2000</v>
      </c>
      <c r="I681" s="15">
        <v>0</v>
      </c>
      <c r="J681" s="15">
        <v>0</v>
      </c>
      <c r="K681" s="113" t="s">
        <v>8</v>
      </c>
      <c r="L681" s="63">
        <v>1</v>
      </c>
      <c r="M681" s="114">
        <v>10012</v>
      </c>
      <c r="N681" s="63">
        <v>5</v>
      </c>
      <c r="O681" s="115">
        <v>0</v>
      </c>
      <c r="P681" s="139"/>
      <c r="Q681" s="139"/>
      <c r="R681" s="139"/>
      <c r="S681" s="139"/>
    </row>
    <row r="682" spans="1:19" s="15" customFormat="1">
      <c r="A682" s="38">
        <v>100002</v>
      </c>
      <c r="B682" s="50" t="str">
        <f>IF($L682=1,VLOOKUP($M682,[1]Sheet1!$A:$C,2,0),IF($L682=4,VLOOKUP($M682,[4]Sheet1!$A:$B,2,0),IF($L682=2,VLOOKUP($M682,[5]Sheet1!$A:$B,2,0),IF($L682=6,VLOOKUP($M682,[6]Sheet1!$A:$B,2,0),0))))&amp;"x"&amp;$N682</f>
        <v>二郎神碎片x5</v>
      </c>
      <c r="C682" s="50">
        <v>0</v>
      </c>
      <c r="D682" s="15">
        <v>4</v>
      </c>
      <c r="E682" s="15">
        <v>2</v>
      </c>
      <c r="F682" s="50">
        <v>0</v>
      </c>
      <c r="G682" s="50">
        <v>1000</v>
      </c>
      <c r="H682" s="15">
        <v>2000</v>
      </c>
      <c r="I682" s="15">
        <v>0</v>
      </c>
      <c r="J682" s="15">
        <v>0</v>
      </c>
      <c r="K682" s="113" t="s">
        <v>8</v>
      </c>
      <c r="L682" s="63">
        <v>1</v>
      </c>
      <c r="M682" s="114">
        <v>10001</v>
      </c>
      <c r="N682" s="63">
        <v>5</v>
      </c>
      <c r="O682" s="115">
        <v>0</v>
      </c>
      <c r="P682" s="139"/>
      <c r="Q682" s="139"/>
      <c r="R682" s="139"/>
      <c r="S682" s="139"/>
    </row>
    <row r="683" spans="1:19" s="15" customFormat="1">
      <c r="A683" s="38">
        <v>100003</v>
      </c>
      <c r="B683" s="50" t="str">
        <f>IF($L683=1,VLOOKUP($M683,[1]Sheet1!$A:$C,2,0),IF($L683=4,VLOOKUP($M683,[4]Sheet1!$A:$B,2,0),IF($L683=2,VLOOKUP($M683,[5]Sheet1!$A:$B,2,0),IF($L683=6,VLOOKUP($M683,[6]Sheet1!$A:$B,2,0),0))))&amp;"x"&amp;$N683</f>
        <v>哪吒碎片x5</v>
      </c>
      <c r="C683" s="50">
        <v>0</v>
      </c>
      <c r="D683" s="15">
        <v>4</v>
      </c>
      <c r="E683" s="15">
        <v>2</v>
      </c>
      <c r="F683" s="50">
        <v>0</v>
      </c>
      <c r="G683" s="50">
        <v>1000</v>
      </c>
      <c r="H683" s="15">
        <v>2000</v>
      </c>
      <c r="I683" s="15">
        <v>0</v>
      </c>
      <c r="J683" s="15">
        <v>0</v>
      </c>
      <c r="K683" s="113" t="s">
        <v>8</v>
      </c>
      <c r="L683" s="63">
        <v>1</v>
      </c>
      <c r="M683" s="114">
        <v>10002</v>
      </c>
      <c r="N683" s="63">
        <v>5</v>
      </c>
      <c r="O683" s="115">
        <v>0</v>
      </c>
      <c r="P683" s="139"/>
      <c r="Q683" s="139"/>
      <c r="R683" s="139"/>
      <c r="S683" s="139"/>
    </row>
    <row r="684" spans="1:19" s="15" customFormat="1">
      <c r="A684" s="38">
        <v>100004</v>
      </c>
      <c r="B684" s="50" t="str">
        <f>IF($L684=1,VLOOKUP($M684,[1]Sheet1!$A:$C,2,0),IF($L684=4,VLOOKUP($M684,[4]Sheet1!$A:$B,2,0),IF($L684=2,VLOOKUP($M684,[5]Sheet1!$A:$B,2,0),IF($L684=6,VLOOKUP($M684,[6]Sheet1!$A:$B,2,0),0))))&amp;"x"&amp;$N684</f>
        <v>橙色攻击法宝碎片箱x1</v>
      </c>
      <c r="C684" s="50">
        <v>0</v>
      </c>
      <c r="D684" s="15">
        <v>4</v>
      </c>
      <c r="E684" s="15">
        <v>2</v>
      </c>
      <c r="F684" s="50">
        <v>0</v>
      </c>
      <c r="G684" s="50">
        <v>1000</v>
      </c>
      <c r="H684" s="15">
        <v>2000</v>
      </c>
      <c r="I684" s="15">
        <v>1</v>
      </c>
      <c r="J684" s="15">
        <v>1</v>
      </c>
      <c r="K684" s="63">
        <v>2012</v>
      </c>
      <c r="L684" s="63">
        <v>1</v>
      </c>
      <c r="M684" s="116">
        <v>14312</v>
      </c>
      <c r="N684" s="63">
        <v>1</v>
      </c>
      <c r="O684" s="115">
        <v>0</v>
      </c>
      <c r="P684" s="139"/>
      <c r="Q684" s="139"/>
      <c r="R684" s="139"/>
      <c r="S684" s="139"/>
    </row>
    <row r="685" spans="1:19" s="15" customFormat="1">
      <c r="A685" s="38">
        <v>100005</v>
      </c>
      <c r="B685" s="50" t="str">
        <f>IF($L685=1,VLOOKUP($M685,[1]Sheet1!$A:$C,2,0),IF($L685=4,VLOOKUP($M685,[4]Sheet1!$A:$B,2,0),IF($L685=2,VLOOKUP($M685,[5]Sheet1!$A:$B,2,0),IF($L685=6,VLOOKUP($M685,[6]Sheet1!$A:$B,2,0),0))))&amp;"x"&amp;$N685</f>
        <v>橙色防御法宝碎片箱x1</v>
      </c>
      <c r="C685" s="50">
        <v>0</v>
      </c>
      <c r="D685" s="15">
        <v>4</v>
      </c>
      <c r="E685" s="15">
        <v>2</v>
      </c>
      <c r="F685" s="50">
        <v>0</v>
      </c>
      <c r="G685" s="50">
        <v>1000</v>
      </c>
      <c r="H685" s="15">
        <v>2000</v>
      </c>
      <c r="I685" s="15">
        <v>1</v>
      </c>
      <c r="J685" s="15">
        <v>1</v>
      </c>
      <c r="K685" s="63">
        <v>2012</v>
      </c>
      <c r="L685" s="63">
        <v>1</v>
      </c>
      <c r="M685" s="116">
        <v>14313</v>
      </c>
      <c r="N685" s="63">
        <v>1</v>
      </c>
      <c r="O685" s="115">
        <v>0</v>
      </c>
      <c r="P685" s="139"/>
      <c r="Q685" s="139"/>
      <c r="R685" s="139"/>
      <c r="S685" s="139"/>
    </row>
    <row r="686" spans="1:19" s="15" customFormat="1">
      <c r="A686" s="38">
        <v>100006</v>
      </c>
      <c r="B686" s="50" t="str">
        <f>IF($L686=1,VLOOKUP($M686,[1]Sheet1!$A:$C,2,0),IF($L686=4,VLOOKUP($M686,[4]Sheet1!$A:$B,2,0),IF($L686=2,VLOOKUP($M686,[5]Sheet1!$A:$B,2,0),IF($L686=6,VLOOKUP($M686,[6]Sheet1!$A:$B,2,0),0))))&amp;"x"&amp;$N686</f>
        <v>进阶丹x100</v>
      </c>
      <c r="C686" s="50">
        <v>0</v>
      </c>
      <c r="D686" s="15">
        <v>4</v>
      </c>
      <c r="E686" s="15">
        <v>2</v>
      </c>
      <c r="F686" s="50">
        <v>0</v>
      </c>
      <c r="G686" s="50">
        <v>800</v>
      </c>
      <c r="H686" s="15">
        <v>1000</v>
      </c>
      <c r="I686" s="15">
        <v>0</v>
      </c>
      <c r="J686" s="15">
        <v>0</v>
      </c>
      <c r="K686" s="113" t="s">
        <v>8</v>
      </c>
      <c r="L686" s="63">
        <v>1</v>
      </c>
      <c r="M686" s="114">
        <v>14107</v>
      </c>
      <c r="N686" s="63">
        <v>100</v>
      </c>
      <c r="O686" s="115">
        <v>0</v>
      </c>
      <c r="P686" s="139"/>
      <c r="Q686" s="139"/>
      <c r="R686" s="139"/>
      <c r="S686" s="139"/>
    </row>
    <row r="687" spans="1:19" s="15" customFormat="1">
      <c r="A687" s="38">
        <v>100007</v>
      </c>
      <c r="B687" s="50" t="str">
        <f>IF($L687=1,VLOOKUP($M687,[1]Sheet1!$A:$C,2,0),IF($L687=4,VLOOKUP($M687,[4]Sheet1!$A:$B,2,0),IF($L687=2,VLOOKUP($M687,[5]Sheet1!$A:$B,2,0),IF($L687=6,VLOOKUP($M687,[6]Sheet1!$A:$B,2,0),0))))&amp;"x"&amp;$N687</f>
        <v>技能卷轴x10</v>
      </c>
      <c r="C687" s="50">
        <v>0</v>
      </c>
      <c r="D687" s="15">
        <v>4</v>
      </c>
      <c r="E687" s="15">
        <v>2</v>
      </c>
      <c r="F687" s="50">
        <v>0</v>
      </c>
      <c r="G687" s="50">
        <v>200</v>
      </c>
      <c r="H687" s="15">
        <v>300</v>
      </c>
      <c r="I687" s="15">
        <v>0</v>
      </c>
      <c r="J687" s="15">
        <v>0</v>
      </c>
      <c r="K687" s="113" t="s">
        <v>8</v>
      </c>
      <c r="L687" s="63">
        <v>1</v>
      </c>
      <c r="M687" s="114">
        <v>14104</v>
      </c>
      <c r="N687" s="63">
        <v>10</v>
      </c>
      <c r="O687" s="115">
        <v>0</v>
      </c>
      <c r="P687" s="139"/>
      <c r="Q687" s="139"/>
      <c r="R687" s="139"/>
      <c r="S687" s="139"/>
    </row>
    <row r="688" spans="1:19" s="13" customFormat="1">
      <c r="A688" s="39">
        <v>200000</v>
      </c>
      <c r="B688" s="49" t="str">
        <f>IF($L688=1,VLOOKUP($M688,[1]Sheet1!$A:$C,2,0),IF($L688=4,VLOOKUP($M688,[4]Sheet1!$A:$B,2,0),IF($L688=2,VLOOKUP($M688,[5]Sheet1!$A:$B,2,0),IF($L688=6,VLOOKUP($M688,[6]Sheet1!$A:$B,2,0),0))))&amp;"x"&amp;$N688</f>
        <v>孙悟空碎片x5</v>
      </c>
      <c r="C688" s="49">
        <v>0</v>
      </c>
      <c r="D688" s="13">
        <v>4</v>
      </c>
      <c r="E688" s="13">
        <v>2</v>
      </c>
      <c r="F688" s="49">
        <v>0</v>
      </c>
      <c r="G688" s="49">
        <v>1000</v>
      </c>
      <c r="H688" s="13">
        <v>1500</v>
      </c>
      <c r="I688" s="13">
        <v>0</v>
      </c>
      <c r="J688" s="13">
        <v>0</v>
      </c>
      <c r="K688" s="110" t="s">
        <v>8</v>
      </c>
      <c r="L688" s="62">
        <v>1</v>
      </c>
      <c r="M688" s="117">
        <v>10019</v>
      </c>
      <c r="N688" s="62">
        <v>5</v>
      </c>
      <c r="O688" s="118">
        <v>0</v>
      </c>
      <c r="P688" s="138"/>
      <c r="Q688" s="138"/>
      <c r="R688" s="138"/>
      <c r="S688" s="138"/>
    </row>
    <row r="689" spans="1:19" s="13" customFormat="1">
      <c r="A689" s="39">
        <v>200001</v>
      </c>
      <c r="B689" s="49" t="str">
        <f>IF($L689=1,VLOOKUP($M689,[1]Sheet1!$A:$C,2,0),IF($L689=4,VLOOKUP($M689,[4]Sheet1!$A:$B,2,0),IF($L689=2,VLOOKUP($M689,[5]Sheet1!$A:$B,2,0),IF($L689=6,VLOOKUP($M689,[6]Sheet1!$A:$B,2,0),0))))&amp;"x"&amp;$N689</f>
        <v>牛魔王碎片x5</v>
      </c>
      <c r="C689" s="49">
        <v>0</v>
      </c>
      <c r="D689" s="13">
        <v>4</v>
      </c>
      <c r="E689" s="13">
        <v>2</v>
      </c>
      <c r="F689" s="49">
        <v>0</v>
      </c>
      <c r="G689" s="49">
        <v>1000</v>
      </c>
      <c r="H689" s="13">
        <v>1500</v>
      </c>
      <c r="I689" s="13">
        <v>0</v>
      </c>
      <c r="J689" s="13">
        <v>0</v>
      </c>
      <c r="K689" s="110" t="s">
        <v>8</v>
      </c>
      <c r="L689" s="62">
        <v>1</v>
      </c>
      <c r="M689" s="117">
        <v>10012</v>
      </c>
      <c r="N689" s="62">
        <v>5</v>
      </c>
      <c r="O689" s="118">
        <v>0</v>
      </c>
      <c r="P689" s="138"/>
      <c r="Q689" s="138"/>
      <c r="R689" s="138"/>
      <c r="S689" s="138"/>
    </row>
    <row r="690" spans="1:19" s="13" customFormat="1">
      <c r="A690" s="39">
        <v>200002</v>
      </c>
      <c r="B690" s="49" t="str">
        <f>IF($L690=1,VLOOKUP($M690,[1]Sheet1!$A:$C,2,0),IF($L690=4,VLOOKUP($M690,[4]Sheet1!$A:$B,2,0),IF($L690=2,VLOOKUP($M690,[5]Sheet1!$A:$B,2,0),IF($L690=6,VLOOKUP($M690,[6]Sheet1!$A:$B,2,0),0))))&amp;"x"&amp;$N690</f>
        <v>二郎神碎片x5</v>
      </c>
      <c r="C690" s="49">
        <v>0</v>
      </c>
      <c r="D690" s="13">
        <v>4</v>
      </c>
      <c r="E690" s="13">
        <v>2</v>
      </c>
      <c r="F690" s="49">
        <v>0</v>
      </c>
      <c r="G690" s="49">
        <v>1000</v>
      </c>
      <c r="H690" s="13">
        <v>1500</v>
      </c>
      <c r="I690" s="13">
        <v>0</v>
      </c>
      <c r="J690" s="13">
        <v>0</v>
      </c>
      <c r="K690" s="110" t="s">
        <v>8</v>
      </c>
      <c r="L690" s="62">
        <v>1</v>
      </c>
      <c r="M690" s="117">
        <v>10001</v>
      </c>
      <c r="N690" s="62">
        <v>5</v>
      </c>
      <c r="O690" s="118">
        <v>0</v>
      </c>
      <c r="P690" s="138"/>
      <c r="Q690" s="138"/>
      <c r="R690" s="138"/>
      <c r="S690" s="138"/>
    </row>
    <row r="691" spans="1:19" s="13" customFormat="1">
      <c r="A691" s="39">
        <v>200003</v>
      </c>
      <c r="B691" s="49" t="str">
        <f>IF($L691=1,VLOOKUP($M691,[1]Sheet1!$A:$C,2,0),IF($L691=4,VLOOKUP($M691,[4]Sheet1!$A:$B,2,0),IF($L691=2,VLOOKUP($M691,[5]Sheet1!$A:$B,2,0),IF($L691=6,VLOOKUP($M691,[6]Sheet1!$A:$B,2,0),0))))&amp;"x"&amp;$N691</f>
        <v>哪吒碎片x5</v>
      </c>
      <c r="C691" s="49">
        <v>0</v>
      </c>
      <c r="D691" s="13">
        <v>4</v>
      </c>
      <c r="E691" s="13">
        <v>2</v>
      </c>
      <c r="F691" s="49">
        <v>0</v>
      </c>
      <c r="G691" s="49">
        <v>1000</v>
      </c>
      <c r="H691" s="13">
        <v>1500</v>
      </c>
      <c r="I691" s="13">
        <v>0</v>
      </c>
      <c r="J691" s="13">
        <v>0</v>
      </c>
      <c r="K691" s="110" t="s">
        <v>8</v>
      </c>
      <c r="L691" s="62">
        <v>1</v>
      </c>
      <c r="M691" s="117">
        <v>10002</v>
      </c>
      <c r="N691" s="62">
        <v>5</v>
      </c>
      <c r="O691" s="118">
        <v>0</v>
      </c>
      <c r="P691" s="138"/>
      <c r="Q691" s="138"/>
      <c r="R691" s="138"/>
      <c r="S691" s="138"/>
    </row>
    <row r="692" spans="1:19" s="13" customFormat="1">
      <c r="A692" s="39">
        <v>200004</v>
      </c>
      <c r="B692" s="49" t="str">
        <f>IF($L692=1,VLOOKUP($M692,[1]Sheet1!$A:$C,2,0),IF($L692=4,VLOOKUP($M692,[4]Sheet1!$A:$B,2,0),IF($L692=2,VLOOKUP($M692,[5]Sheet1!$A:$B,2,0),IF($L692=6,VLOOKUP($M692,[6]Sheet1!$A:$B,2,0),0))))&amp;"x"&amp;$N692</f>
        <v>橙色攻击法宝碎片箱x1</v>
      </c>
      <c r="C692" s="49">
        <v>0</v>
      </c>
      <c r="D692" s="13">
        <v>4</v>
      </c>
      <c r="E692" s="13">
        <v>2</v>
      </c>
      <c r="F692" s="49">
        <v>0</v>
      </c>
      <c r="G692" s="49">
        <v>1000</v>
      </c>
      <c r="H692" s="13">
        <v>2000</v>
      </c>
      <c r="I692" s="13">
        <v>1</v>
      </c>
      <c r="J692" s="13">
        <v>1</v>
      </c>
      <c r="K692" s="62">
        <v>2012</v>
      </c>
      <c r="L692" s="62">
        <v>1</v>
      </c>
      <c r="M692" s="111">
        <v>14312</v>
      </c>
      <c r="N692" s="62">
        <v>1</v>
      </c>
      <c r="O692" s="118">
        <v>0</v>
      </c>
      <c r="P692" s="138"/>
      <c r="Q692" s="138"/>
      <c r="R692" s="138"/>
      <c r="S692" s="138"/>
    </row>
    <row r="693" spans="1:19" s="13" customFormat="1">
      <c r="A693" s="39">
        <v>200005</v>
      </c>
      <c r="B693" s="49" t="str">
        <f>IF($L693=1,VLOOKUP($M693,[1]Sheet1!$A:$C,2,0),IF($L693=4,VLOOKUP($M693,[4]Sheet1!$A:$B,2,0),IF($L693=2,VLOOKUP($M693,[5]Sheet1!$A:$B,2,0),IF($L693=6,VLOOKUP($M693,[6]Sheet1!$A:$B,2,0),0))))&amp;"x"&amp;$N693</f>
        <v>橙色防御法宝碎片箱x1</v>
      </c>
      <c r="C693" s="49">
        <v>0</v>
      </c>
      <c r="D693" s="13">
        <v>4</v>
      </c>
      <c r="E693" s="13">
        <v>2</v>
      </c>
      <c r="F693" s="49">
        <v>0</v>
      </c>
      <c r="G693" s="49">
        <v>1000</v>
      </c>
      <c r="H693" s="13">
        <v>2000</v>
      </c>
      <c r="I693" s="13">
        <v>1</v>
      </c>
      <c r="J693" s="13">
        <v>1</v>
      </c>
      <c r="K693" s="62">
        <v>2012</v>
      </c>
      <c r="L693" s="62">
        <v>1</v>
      </c>
      <c r="M693" s="111">
        <v>14313</v>
      </c>
      <c r="N693" s="62">
        <v>1</v>
      </c>
      <c r="O693" s="118">
        <v>0</v>
      </c>
      <c r="P693" s="138"/>
      <c r="Q693" s="138"/>
      <c r="R693" s="138"/>
      <c r="S693" s="138"/>
    </row>
    <row r="694" spans="1:19" s="13" customFormat="1">
      <c r="A694" s="39">
        <v>200006</v>
      </c>
      <c r="B694" s="49" t="str">
        <f>IF($L694=1,VLOOKUP($M694,[1]Sheet1!$A:$C,2,0),IF($L694=4,VLOOKUP($M694,[4]Sheet1!$A:$B,2,0),IF($L694=2,VLOOKUP($M694,[5]Sheet1!$A:$B,2,0),IF($L694=6,VLOOKUP($M694,[6]Sheet1!$A:$B,2,0),0))))&amp;"x"&amp;$N694</f>
        <v>进阶丹x100</v>
      </c>
      <c r="C694" s="49">
        <v>0</v>
      </c>
      <c r="D694" s="13">
        <v>4</v>
      </c>
      <c r="E694" s="13">
        <v>2</v>
      </c>
      <c r="F694" s="49">
        <v>0</v>
      </c>
      <c r="G694" s="49">
        <v>800</v>
      </c>
      <c r="H694" s="13">
        <v>1000</v>
      </c>
      <c r="I694" s="13">
        <v>0</v>
      </c>
      <c r="J694" s="13">
        <v>0</v>
      </c>
      <c r="K694" s="110" t="s">
        <v>8</v>
      </c>
      <c r="L694" s="62">
        <v>1</v>
      </c>
      <c r="M694" s="117">
        <v>14107</v>
      </c>
      <c r="N694" s="62">
        <v>100</v>
      </c>
      <c r="O694" s="118">
        <v>0</v>
      </c>
      <c r="P694" s="138"/>
      <c r="Q694" s="138"/>
      <c r="R694" s="138"/>
      <c r="S694" s="138"/>
    </row>
    <row r="695" spans="1:19" s="13" customFormat="1">
      <c r="A695" s="39">
        <v>200007</v>
      </c>
      <c r="B695" s="49" t="str">
        <f>IF($L695=1,VLOOKUP($M695,[1]Sheet1!$A:$C,2,0),IF($L695=4,VLOOKUP($M695,[4]Sheet1!$A:$B,2,0),IF($L695=2,VLOOKUP($M695,[5]Sheet1!$A:$B,2,0),IF($L695=6,VLOOKUP($M695,[6]Sheet1!$A:$B,2,0),0))))&amp;"x"&amp;$N695</f>
        <v>技能卷轴x10</v>
      </c>
      <c r="C695" s="49">
        <v>0</v>
      </c>
      <c r="D695" s="13">
        <v>4</v>
      </c>
      <c r="E695" s="13">
        <v>2</v>
      </c>
      <c r="F695" s="49">
        <v>0</v>
      </c>
      <c r="G695" s="49">
        <v>200</v>
      </c>
      <c r="H695" s="13">
        <v>300</v>
      </c>
      <c r="I695" s="13">
        <v>0</v>
      </c>
      <c r="J695" s="13">
        <v>0</v>
      </c>
      <c r="K695" s="110" t="s">
        <v>8</v>
      </c>
      <c r="L695" s="62">
        <v>1</v>
      </c>
      <c r="M695" s="117">
        <v>14104</v>
      </c>
      <c r="N695" s="62">
        <v>10</v>
      </c>
      <c r="O695" s="118">
        <v>0</v>
      </c>
      <c r="P695" s="138"/>
      <c r="Q695" s="138"/>
      <c r="R695" s="138"/>
      <c r="S695" s="138"/>
    </row>
  </sheetData>
  <phoneticPr fontId="3" type="noConversion"/>
  <pageMargins left="0.69930555555555596" right="0.69930555555555596" top="0.75" bottom="0.75" header="0.3" footer="0.3"/>
  <pageSetup paperSize="9" orientation="portrait" r:id="rId1"/>
  <ignoredErrors>
    <ignoredError sqref="K10 K11:K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H45"/>
  <sheetViews>
    <sheetView zoomScale="85" zoomScaleNormal="85" workbookViewId="0">
      <selection activeCell="H1" sqref="H1:H15"/>
    </sheetView>
  </sheetViews>
  <sheetFormatPr defaultRowHeight="16.5"/>
  <cols>
    <col min="1" max="2" width="9" style="1"/>
    <col min="3" max="3" width="13.625" style="1" bestFit="1" customWidth="1"/>
    <col min="4" max="4" width="11.25" style="1" bestFit="1" customWidth="1"/>
    <col min="5" max="16384" width="9" style="1"/>
  </cols>
  <sheetData>
    <row r="1" spans="2:8">
      <c r="D1" s="1" t="s">
        <v>92</v>
      </c>
      <c r="E1" s="1" t="s">
        <v>90</v>
      </c>
      <c r="F1" s="1" t="s">
        <v>91</v>
      </c>
      <c r="G1" s="232">
        <v>1000</v>
      </c>
      <c r="H1" s="1">
        <f>G1*2</f>
        <v>2000</v>
      </c>
    </row>
    <row r="2" spans="2:8">
      <c r="B2" s="165">
        <v>17101</v>
      </c>
      <c r="C2" s="165" t="s">
        <v>46</v>
      </c>
      <c r="D2" s="166">
        <f>INDEX([7]Sheet1!$A:$A,MATCH(SUBSTITUTE($C2,"碎片",""),[7]Sheet1!$C:$C,0),0)</f>
        <v>1001</v>
      </c>
      <c r="E2" s="166" t="str">
        <f>INDEX([7]Sheet1!$B:$B,MATCH(SUBSTITUTE($C2,"碎片",""),[7]Sheet1!$C:$C,0),0)</f>
        <v>女主角</v>
      </c>
      <c r="F2" s="167">
        <v>13</v>
      </c>
      <c r="G2" s="232">
        <v>2000</v>
      </c>
      <c r="H2" s="1">
        <f t="shared" ref="H2:H15" si="0">G2*2</f>
        <v>4000</v>
      </c>
    </row>
    <row r="3" spans="2:8">
      <c r="B3" s="165">
        <v>17102</v>
      </c>
      <c r="C3" s="165" t="s">
        <v>47</v>
      </c>
      <c r="D3" s="166">
        <f>INDEX([7]Sheet1!$A:$A,MATCH(SUBSTITUTE($C3,"碎片",""),[7]Sheet1!$C:$C,0),0)</f>
        <v>1002</v>
      </c>
      <c r="E3" s="166" t="str">
        <f>INDEX([7]Sheet1!$B:$B,MATCH(SUBSTITUTE($C3,"碎片",""),[7]Sheet1!$C:$C,0),0)</f>
        <v>男主角</v>
      </c>
      <c r="F3" s="167">
        <v>13</v>
      </c>
      <c r="G3" s="232">
        <v>3000</v>
      </c>
      <c r="H3" s="1">
        <f t="shared" si="0"/>
        <v>6000</v>
      </c>
    </row>
    <row r="4" spans="2:8">
      <c r="B4" s="165">
        <v>17117</v>
      </c>
      <c r="C4" s="165" t="s">
        <v>62</v>
      </c>
      <c r="D4" s="166">
        <f>INDEX([7]Sheet1!$A:$A,MATCH(SUBSTITUTE($C4,"碎片",""),[7]Sheet1!$C:$C,0),0)</f>
        <v>1126</v>
      </c>
      <c r="E4" s="166" t="str">
        <f>INDEX([7]Sheet1!$B:$B,MATCH(SUBSTITUTE($C4,"碎片",""),[7]Sheet1!$C:$C,0),0)</f>
        <v>文殊菩萨</v>
      </c>
      <c r="F4" s="166">
        <f>VLOOKUP($D4,[2]Sheet1!$A:$U,21,0)</f>
        <v>4</v>
      </c>
      <c r="G4" s="232">
        <v>4000</v>
      </c>
      <c r="H4" s="1">
        <f t="shared" si="0"/>
        <v>8000</v>
      </c>
    </row>
    <row r="5" spans="2:8">
      <c r="B5" s="165">
        <v>17121</v>
      </c>
      <c r="C5" s="165" t="s">
        <v>66</v>
      </c>
      <c r="D5" s="166">
        <f>INDEX([7]Sheet1!$A:$A,MATCH(SUBSTITUTE($C5,"碎片",""),[7]Sheet1!$C:$C,0),0)</f>
        <v>1109</v>
      </c>
      <c r="E5" s="166" t="str">
        <f>INDEX([7]Sheet1!$B:$B,MATCH(SUBSTITUTE($C5,"碎片",""),[7]Sheet1!$C:$C,0),0)</f>
        <v>九天玄女</v>
      </c>
      <c r="F5" s="166">
        <f>VLOOKUP($D5,[2]Sheet1!$A:$U,21,0)</f>
        <v>4</v>
      </c>
      <c r="G5" s="232">
        <v>5000</v>
      </c>
      <c r="H5" s="1">
        <f t="shared" si="0"/>
        <v>10000</v>
      </c>
    </row>
    <row r="6" spans="2:8">
      <c r="B6" s="165">
        <v>17123</v>
      </c>
      <c r="C6" s="165" t="s">
        <v>68</v>
      </c>
      <c r="D6" s="166">
        <f>INDEX([7]Sheet1!$A:$A,MATCH(SUBSTITUTE($C6,"碎片",""),[7]Sheet1!$C:$C,0),0)</f>
        <v>1116</v>
      </c>
      <c r="E6" s="166" t="str">
        <f>INDEX([7]Sheet1!$B:$B,MATCH(SUBSTITUTE($C6,"碎片",""),[7]Sheet1!$C:$C,0),0)</f>
        <v>白骨夫人</v>
      </c>
      <c r="F6" s="166">
        <f>VLOOKUP($D6,[2]Sheet1!$A:$U,21,0)</f>
        <v>4</v>
      </c>
      <c r="G6" s="232">
        <v>6000</v>
      </c>
      <c r="H6" s="1">
        <f t="shared" si="0"/>
        <v>12000</v>
      </c>
    </row>
    <row r="7" spans="2:8">
      <c r="B7" s="165">
        <v>17126</v>
      </c>
      <c r="C7" s="165" t="s">
        <v>71</v>
      </c>
      <c r="D7" s="166">
        <f>INDEX([7]Sheet1!$A:$A,MATCH(SUBSTITUTE($C7,"碎片",""),[7]Sheet1!$C:$C,0),0)</f>
        <v>1114</v>
      </c>
      <c r="E7" s="166" t="str">
        <f>INDEX([7]Sheet1!$B:$B,MATCH(SUBSTITUTE($C7,"碎片",""),[7]Sheet1!$C:$C,0),0)</f>
        <v>鹿力大仙</v>
      </c>
      <c r="F7" s="166">
        <f>VLOOKUP($D7,[2]Sheet1!$A:$U,21,0)</f>
        <v>4</v>
      </c>
      <c r="G7" s="232">
        <v>7000</v>
      </c>
      <c r="H7" s="1">
        <f t="shared" si="0"/>
        <v>14000</v>
      </c>
    </row>
    <row r="8" spans="2:8">
      <c r="B8" s="165">
        <v>17127</v>
      </c>
      <c r="C8" s="165" t="s">
        <v>72</v>
      </c>
      <c r="D8" s="166">
        <f>INDEX([7]Sheet1!$A:$A,MATCH(SUBSTITUTE($C8,"碎片",""),[7]Sheet1!$C:$C,0),0)</f>
        <v>1110</v>
      </c>
      <c r="E8" s="166" t="str">
        <f>INDEX([7]Sheet1!$B:$B,MATCH(SUBSTITUTE($C8,"碎片",""),[7]Sheet1!$C:$C,0),0)</f>
        <v>红孩儿</v>
      </c>
      <c r="F8" s="166">
        <f>VLOOKUP($D8,[2]Sheet1!$A:$U,21,0)</f>
        <v>4</v>
      </c>
      <c r="G8" s="232">
        <v>8000</v>
      </c>
      <c r="H8" s="1">
        <f t="shared" si="0"/>
        <v>16000</v>
      </c>
    </row>
    <row r="9" spans="2:8">
      <c r="B9" s="165">
        <v>17128</v>
      </c>
      <c r="C9" s="165" t="s">
        <v>73</v>
      </c>
      <c r="D9" s="166">
        <f>INDEX([7]Sheet1!$A:$A,MATCH(SUBSTITUTE($C9,"碎片",""),[7]Sheet1!$C:$C,0),0)</f>
        <v>1104</v>
      </c>
      <c r="E9" s="166" t="str">
        <f>INDEX([7]Sheet1!$B:$B,MATCH(SUBSTITUTE($C9,"碎片",""),[7]Sheet1!$C:$C,0),0)</f>
        <v>玉皇大帝</v>
      </c>
      <c r="F9" s="166">
        <f>VLOOKUP($D9,[2]Sheet1!$A:$U,21,0)</f>
        <v>4</v>
      </c>
      <c r="G9" s="232">
        <v>9000</v>
      </c>
      <c r="H9" s="1">
        <f t="shared" si="0"/>
        <v>18000</v>
      </c>
    </row>
    <row r="10" spans="2:8">
      <c r="B10" s="165">
        <v>17129</v>
      </c>
      <c r="C10" s="165" t="s">
        <v>74</v>
      </c>
      <c r="D10" s="166">
        <f>INDEX([7]Sheet1!$A:$A,MATCH(SUBSTITUTE($C10,"碎片",""),[7]Sheet1!$C:$C,0),0)</f>
        <v>1135</v>
      </c>
      <c r="E10" s="166" t="str">
        <f>INDEX([7]Sheet1!$B:$B,MATCH(SUBSTITUTE($C10,"碎片",""),[7]Sheet1!$C:$C,0),0)</f>
        <v>东海龙王</v>
      </c>
      <c r="F10" s="166">
        <f>VLOOKUP($D10,[2]Sheet1!$A:$U,21,0)</f>
        <v>4</v>
      </c>
      <c r="G10" s="232">
        <v>10000</v>
      </c>
      <c r="H10" s="1">
        <f t="shared" si="0"/>
        <v>20000</v>
      </c>
    </row>
    <row r="11" spans="2:8">
      <c r="B11" s="165">
        <v>17130</v>
      </c>
      <c r="C11" s="165" t="s">
        <v>75</v>
      </c>
      <c r="D11" s="166">
        <f>INDEX([7]Sheet1!$A:$A,MATCH(SUBSTITUTE($C11,"碎片",""),[7]Sheet1!$C:$C,0),0)</f>
        <v>1132</v>
      </c>
      <c r="E11" s="166" t="str">
        <f>INDEX([7]Sheet1!$B:$B,MATCH(SUBSTITUTE($C11,"碎片",""),[7]Sheet1!$C:$C,0),0)</f>
        <v>混世魔王</v>
      </c>
      <c r="F11" s="166">
        <f>VLOOKUP($D11,[2]Sheet1!$A:$U,21,0)</f>
        <v>4</v>
      </c>
      <c r="G11" s="232">
        <v>11000</v>
      </c>
      <c r="H11" s="1">
        <f t="shared" si="0"/>
        <v>22000</v>
      </c>
    </row>
    <row r="12" spans="2:8">
      <c r="B12" s="165">
        <v>17131</v>
      </c>
      <c r="C12" s="165" t="s">
        <v>76</v>
      </c>
      <c r="D12" s="166">
        <f>INDEX([7]Sheet1!$A:$A,MATCH(SUBSTITUTE($C12,"碎片",""),[7]Sheet1!$C:$C,0),0)</f>
        <v>1125</v>
      </c>
      <c r="E12" s="166" t="str">
        <f>INDEX([7]Sheet1!$B:$B,MATCH(SUBSTITUTE($C12,"碎片",""),[7]Sheet1!$C:$C,0),0)</f>
        <v>迦叶</v>
      </c>
      <c r="F12" s="166">
        <f>VLOOKUP($D12,[2]Sheet1!$A:$U,21,0)</f>
        <v>4</v>
      </c>
      <c r="G12" s="232">
        <v>12000</v>
      </c>
      <c r="H12" s="1">
        <f t="shared" si="0"/>
        <v>24000</v>
      </c>
    </row>
    <row r="13" spans="2:8">
      <c r="B13" s="165">
        <v>17132</v>
      </c>
      <c r="C13" s="165" t="s">
        <v>77</v>
      </c>
      <c r="D13" s="166">
        <f>INDEX([7]Sheet1!$A:$A,MATCH(SUBSTITUTE($C13,"碎片",""),[7]Sheet1!$C:$C,0),0)</f>
        <v>1202</v>
      </c>
      <c r="E13" s="166" t="str">
        <f>INDEX([7]Sheet1!$B:$B,MATCH(SUBSTITUTE($C13,"碎片",""),[7]Sheet1!$C:$C,0),0)</f>
        <v>人参娃</v>
      </c>
      <c r="F13" s="166">
        <f>VLOOKUP($D13,[2]Sheet1!$A:$U,21,0)</f>
        <v>4</v>
      </c>
      <c r="G13" s="232">
        <v>13000</v>
      </c>
      <c r="H13" s="1">
        <f t="shared" si="0"/>
        <v>26000</v>
      </c>
    </row>
    <row r="14" spans="2:8">
      <c r="B14" s="165">
        <v>17133</v>
      </c>
      <c r="C14" s="165" t="s">
        <v>78</v>
      </c>
      <c r="D14" s="166">
        <f>INDEX([7]Sheet1!$A:$A,MATCH(SUBSTITUTE($C14,"碎片",""),[7]Sheet1!$C:$C,0),0)</f>
        <v>1123</v>
      </c>
      <c r="E14" s="166" t="str">
        <f>INDEX([7]Sheet1!$B:$B,MATCH(SUBSTITUTE($C14,"碎片",""),[7]Sheet1!$C:$C,0),0)</f>
        <v>小白龙</v>
      </c>
      <c r="F14" s="166">
        <f>VLOOKUP($D14,[2]Sheet1!$A:$U,21,0)</f>
        <v>4</v>
      </c>
      <c r="G14" s="232">
        <v>14000</v>
      </c>
      <c r="H14" s="1">
        <f t="shared" si="0"/>
        <v>28000</v>
      </c>
    </row>
    <row r="15" spans="2:8">
      <c r="B15" s="165">
        <v>17134</v>
      </c>
      <c r="C15" s="165" t="s">
        <v>79</v>
      </c>
      <c r="D15" s="166">
        <f>INDEX([7]Sheet1!$A:$A,MATCH(SUBSTITUTE($C15,"碎片",""),[7]Sheet1!$C:$C,0),0)</f>
        <v>1117</v>
      </c>
      <c r="E15" s="166" t="str">
        <f>INDEX([7]Sheet1!$B:$B,MATCH(SUBSTITUTE($C15,"碎片",""),[7]Sheet1!$C:$C,0),0)</f>
        <v>六耳猕猴</v>
      </c>
      <c r="F15" s="166">
        <f>VLOOKUP($D15,[2]Sheet1!$A:$U,21,0)</f>
        <v>4</v>
      </c>
      <c r="G15" s="232">
        <v>15000</v>
      </c>
      <c r="H15" s="1">
        <f t="shared" si="0"/>
        <v>30000</v>
      </c>
    </row>
    <row r="16" spans="2:8">
      <c r="B16" s="165">
        <v>17135</v>
      </c>
      <c r="C16" s="165" t="s">
        <v>80</v>
      </c>
      <c r="D16" s="166">
        <f>INDEX([7]Sheet1!$A:$A,MATCH(SUBSTITUTE($C16,"碎片",""),[7]Sheet1!$C:$C,0),0)</f>
        <v>1201</v>
      </c>
      <c r="E16" s="166" t="str">
        <f>INDEX([7]Sheet1!$B:$B,MATCH(SUBSTITUTE($C16,"碎片",""),[7]Sheet1!$C:$C,0),0)</f>
        <v>阎罗王</v>
      </c>
      <c r="F16" s="166">
        <f>VLOOKUP($D16,[2]Sheet1!$A:$U,21,0)</f>
        <v>4</v>
      </c>
    </row>
    <row r="17" spans="2:6">
      <c r="B17" s="165">
        <v>17136</v>
      </c>
      <c r="C17" s="165" t="s">
        <v>81</v>
      </c>
      <c r="D17" s="166">
        <f>INDEX([7]Sheet1!$A:$A,MATCH(SUBSTITUTE($C17,"碎片",""),[7]Sheet1!$C:$C,0),0)</f>
        <v>1131</v>
      </c>
      <c r="E17" s="166" t="str">
        <f>INDEX([7]Sheet1!$B:$B,MATCH(SUBSTITUTE($C17,"碎片",""),[7]Sheet1!$C:$C,0),0)</f>
        <v>蝎子精</v>
      </c>
      <c r="F17" s="166">
        <f>VLOOKUP($D17,[2]Sheet1!$A:$U,21,0)</f>
        <v>4</v>
      </c>
    </row>
    <row r="18" spans="2:6">
      <c r="B18" s="165">
        <v>17137</v>
      </c>
      <c r="C18" s="165" t="s">
        <v>82</v>
      </c>
      <c r="D18" s="166">
        <f>INDEX([7]Sheet1!$A:$A,MATCH(SUBSTITUTE($C18,"碎片",""),[7]Sheet1!$C:$C,0),0)</f>
        <v>1137</v>
      </c>
      <c r="E18" s="166" t="str">
        <f>INDEX([7]Sheet1!$B:$B,MATCH(SUBSTITUTE($C18,"碎片",""),[7]Sheet1!$C:$C,0),0)</f>
        <v>蜘蛛精</v>
      </c>
      <c r="F18" s="166">
        <f>VLOOKUP($D18,[2]Sheet1!$A:$U,21,0)</f>
        <v>4</v>
      </c>
    </row>
    <row r="19" spans="2:6">
      <c r="B19" s="165">
        <v>17138</v>
      </c>
      <c r="C19" s="165" t="s">
        <v>83</v>
      </c>
      <c r="D19" s="166">
        <f>INDEX([7]Sheet1!$A:$A,MATCH(SUBSTITUTE($C19,"碎片",""),[7]Sheet1!$C:$C,0),0)</f>
        <v>1216</v>
      </c>
      <c r="E19" s="166" t="str">
        <f>INDEX([7]Sheet1!$B:$B,MATCH(SUBSTITUTE($C19,"碎片",""),[7]Sheet1!$C:$C,0),0)</f>
        <v>女儿国国王</v>
      </c>
      <c r="F19" s="166">
        <f>VLOOKUP($D19,[2]Sheet1!$A:$U,21,0)</f>
        <v>4</v>
      </c>
    </row>
    <row r="20" spans="2:6">
      <c r="B20" s="165">
        <v>17139</v>
      </c>
      <c r="C20" s="165" t="s">
        <v>84</v>
      </c>
      <c r="D20" s="166" t="e">
        <f>INDEX([7]Sheet1!$A:$A,MATCH(SUBSTITUTE($C20,"碎片",""),[7]Sheet1!$C:$C,0),0)</f>
        <v>#N/A</v>
      </c>
      <c r="E20" s="166" t="e">
        <f>INDEX([7]Sheet1!$B:$B,MATCH(SUBSTITUTE($C20,"碎片",""),[7]Sheet1!$C:$C,0),0)</f>
        <v>#N/A</v>
      </c>
      <c r="F20" s="166" t="e">
        <f>VLOOKUP($D20,[2]Sheet1!$A:$U,21,0)</f>
        <v>#N/A</v>
      </c>
    </row>
    <row r="21" spans="2:6">
      <c r="B21" s="165">
        <v>17141</v>
      </c>
      <c r="C21" s="165" t="s">
        <v>86</v>
      </c>
      <c r="D21" s="166">
        <f>INDEX([7]Sheet1!$A:$A,MATCH(SUBSTITUTE($C21,"碎片",""),[7]Sheet1!$C:$C,0),0)</f>
        <v>1208</v>
      </c>
      <c r="E21" s="166" t="str">
        <f>INDEX([7]Sheet1!$B:$B,MATCH(SUBSTITUTE($C21,"碎片",""),[7]Sheet1!$C:$C,0),0)</f>
        <v>彩蝶仙童</v>
      </c>
      <c r="F21" s="166">
        <f>VLOOKUP($D21,[2]Sheet1!$A:$U,21,0)</f>
        <v>4</v>
      </c>
    </row>
    <row r="22" spans="2:6">
      <c r="B22" s="165">
        <v>17142</v>
      </c>
      <c r="C22" s="165" t="s">
        <v>87</v>
      </c>
      <c r="D22" s="166">
        <f>INDEX([7]Sheet1!$A:$A,MATCH(SUBSTITUTE($C22,"碎片",""),[7]Sheet1!$C:$C,0),0)</f>
        <v>1122</v>
      </c>
      <c r="E22" s="166" t="str">
        <f>INDEX([7]Sheet1!$B:$B,MATCH(SUBSTITUTE($C22,"碎片",""),[7]Sheet1!$C:$C,0),0)</f>
        <v>唐三藏</v>
      </c>
      <c r="F22" s="166">
        <f>VLOOKUP($D22,[2]Sheet1!$A:$U,21,0)</f>
        <v>4</v>
      </c>
    </row>
    <row r="23" spans="2:6">
      <c r="B23" s="165">
        <v>17143</v>
      </c>
      <c r="C23" s="165" t="s">
        <v>88</v>
      </c>
      <c r="D23" s="166">
        <f>INDEX([7]Sheet1!$A:$A,MATCH(SUBSTITUTE($C23,"碎片",""),[7]Sheet1!$C:$C,0),0)</f>
        <v>1207</v>
      </c>
      <c r="E23" s="166" t="str">
        <f>INDEX([7]Sheet1!$B:$B,MATCH(SUBSTITUTE($C23,"碎片",""),[7]Sheet1!$C:$C,0),0)</f>
        <v>引魂仙子</v>
      </c>
      <c r="F23" s="166">
        <f>VLOOKUP($D23,[2]Sheet1!$A:$U,21,0)</f>
        <v>4</v>
      </c>
    </row>
    <row r="24" spans="2:6">
      <c r="B24" s="165">
        <v>17144</v>
      </c>
      <c r="C24" s="165" t="s">
        <v>89</v>
      </c>
      <c r="D24" s="166">
        <f>INDEX([7]Sheet1!$A:$A,MATCH(SUBSTITUTE($C24,"碎片",""),[7]Sheet1!$C:$C,0),0)</f>
        <v>1107</v>
      </c>
      <c r="E24" s="166" t="str">
        <f>INDEX([7]Sheet1!$B:$B,MATCH(SUBSTITUTE($C24,"碎片",""),[7]Sheet1!$C:$C,0),0)</f>
        <v>赤脚大仙</v>
      </c>
      <c r="F24" s="166">
        <f>VLOOKUP($D24,[2]Sheet1!$A:$U,21,0)</f>
        <v>4</v>
      </c>
    </row>
    <row r="25" spans="2:6">
      <c r="B25" s="168">
        <v>17103</v>
      </c>
      <c r="C25" s="168" t="s">
        <v>48</v>
      </c>
      <c r="D25" s="169">
        <f>INDEX([7]Sheet1!$A:$A,MATCH(SUBSTITUTE($C25,"碎片",""),[7]Sheet1!$C:$C,0),0)</f>
        <v>1102</v>
      </c>
      <c r="E25" s="169" t="str">
        <f>INDEX([7]Sheet1!$B:$B,MATCH(SUBSTITUTE($C25,"碎片",""),[7]Sheet1!$C:$C,0),0)</f>
        <v>哪吒</v>
      </c>
      <c r="F25" s="169">
        <f>VLOOKUP($D25,[2]Sheet1!$A:$U,21,0)</f>
        <v>5</v>
      </c>
    </row>
    <row r="26" spans="2:6">
      <c r="B26" s="168">
        <v>17106</v>
      </c>
      <c r="C26" s="168" t="s">
        <v>51</v>
      </c>
      <c r="D26" s="169">
        <f>INDEX([7]Sheet1!$A:$A,MATCH(SUBSTITUTE($C26,"碎片",""),[7]Sheet1!$C:$C,0),0)</f>
        <v>1108</v>
      </c>
      <c r="E26" s="169" t="str">
        <f>INDEX([7]Sheet1!$B:$B,MATCH(SUBSTITUTE($C26,"碎片",""),[7]Sheet1!$C:$C,0),0)</f>
        <v>托塔天王</v>
      </c>
      <c r="F26" s="169">
        <f>VLOOKUP($D26,[2]Sheet1!$A:$U,21,0)</f>
        <v>5</v>
      </c>
    </row>
    <row r="27" spans="2:6">
      <c r="B27" s="168">
        <v>17107</v>
      </c>
      <c r="C27" s="168" t="s">
        <v>52</v>
      </c>
      <c r="D27" s="169">
        <f>INDEX([7]Sheet1!$A:$A,MATCH(SUBSTITUTE($C27,"碎片",""),[7]Sheet1!$C:$C,0),0)</f>
        <v>1113</v>
      </c>
      <c r="E27" s="169" t="str">
        <f>INDEX([7]Sheet1!$B:$B,MATCH(SUBSTITUTE($C27,"碎片",""),[7]Sheet1!$C:$C,0),0)</f>
        <v>虎力大仙</v>
      </c>
      <c r="F27" s="169">
        <f>VLOOKUP($D27,[2]Sheet1!$A:$U,21,0)</f>
        <v>5</v>
      </c>
    </row>
    <row r="28" spans="2:6">
      <c r="B28" s="168">
        <v>17108</v>
      </c>
      <c r="C28" s="168" t="s">
        <v>53</v>
      </c>
      <c r="D28" s="169">
        <f>INDEX([7]Sheet1!$A:$A,MATCH(SUBSTITUTE($C28,"碎片",""),[7]Sheet1!$C:$C,0),0)</f>
        <v>1120</v>
      </c>
      <c r="E28" s="169" t="str">
        <f>INDEX([7]Sheet1!$B:$B,MATCH(SUBSTITUTE($C28,"碎片",""),[7]Sheet1!$C:$C,0),0)</f>
        <v>猪八戒</v>
      </c>
      <c r="F28" s="169">
        <f>VLOOKUP($D28,[2]Sheet1!$A:$U,21,0)</f>
        <v>5</v>
      </c>
    </row>
    <row r="29" spans="2:6">
      <c r="B29" s="168">
        <v>17109</v>
      </c>
      <c r="C29" s="168" t="s">
        <v>54</v>
      </c>
      <c r="D29" s="169">
        <f>INDEX([7]Sheet1!$A:$A,MATCH(SUBSTITUTE($C29,"碎片",""),[7]Sheet1!$C:$C,0),0)</f>
        <v>1127</v>
      </c>
      <c r="E29" s="169" t="str">
        <f>INDEX([7]Sheet1!$B:$B,MATCH(SUBSTITUTE($C29,"碎片",""),[7]Sheet1!$C:$C,0),0)</f>
        <v>弥勒佛</v>
      </c>
      <c r="F29" s="169">
        <f>VLOOKUP($D29,[2]Sheet1!$A:$U,21,0)</f>
        <v>5</v>
      </c>
    </row>
    <row r="30" spans="2:6">
      <c r="B30" s="168">
        <v>17110</v>
      </c>
      <c r="C30" s="168" t="s">
        <v>55</v>
      </c>
      <c r="D30" s="169">
        <f>INDEX([7]Sheet1!$A:$A,MATCH(SUBSTITUTE($C30,"碎片",""),[7]Sheet1!$C:$C,0),0)</f>
        <v>1212</v>
      </c>
      <c r="E30" s="169" t="str">
        <f>INDEX([7]Sheet1!$B:$B,MATCH(SUBSTITUTE($C30,"碎片",""),[7]Sheet1!$C:$C,0),0)</f>
        <v>金蝉子</v>
      </c>
      <c r="F30" s="169">
        <f>VLOOKUP($D30,[2]Sheet1!$A:$U,21,0)</f>
        <v>5</v>
      </c>
    </row>
    <row r="31" spans="2:6">
      <c r="B31" s="168">
        <v>17111</v>
      </c>
      <c r="C31" s="168" t="s">
        <v>56</v>
      </c>
      <c r="D31" s="169">
        <f>INDEX([7]Sheet1!$A:$A,MATCH(SUBSTITUTE($C31,"碎片",""),[7]Sheet1!$C:$C,0),0)</f>
        <v>1219</v>
      </c>
      <c r="E31" s="169" t="str">
        <f>INDEX([7]Sheet1!$B:$B,MATCH(SUBSTITUTE($C31,"碎片",""),[7]Sheet1!$C:$C,0),0)</f>
        <v>黑无常</v>
      </c>
      <c r="F31" s="169">
        <f>VLOOKUP($D31,[2]Sheet1!$A:$U,21,0)</f>
        <v>5</v>
      </c>
    </row>
    <row r="32" spans="2:6">
      <c r="B32" s="168">
        <v>17112</v>
      </c>
      <c r="C32" s="168" t="s">
        <v>57</v>
      </c>
      <c r="D32" s="169">
        <f>INDEX([7]Sheet1!$A:$A,MATCH(SUBSTITUTE($C32,"碎片",""),[7]Sheet1!$C:$C,0),0)</f>
        <v>1112</v>
      </c>
      <c r="E32" s="169" t="str">
        <f>INDEX([7]Sheet1!$B:$B,MATCH(SUBSTITUTE($C32,"碎片",""),[7]Sheet1!$C:$C,0),0)</f>
        <v>牛魔王</v>
      </c>
      <c r="F32" s="169">
        <f>VLOOKUP($D32,[2]Sheet1!$A:$U,21,0)</f>
        <v>5</v>
      </c>
    </row>
    <row r="33" spans="2:6">
      <c r="B33" s="168">
        <v>17115</v>
      </c>
      <c r="C33" s="168" t="s">
        <v>60</v>
      </c>
      <c r="D33" s="169">
        <f>INDEX([7]Sheet1!$A:$A,MATCH(SUBSTITUTE($C33,"碎片",""),[7]Sheet1!$C:$C,0),0)</f>
        <v>1218</v>
      </c>
      <c r="E33" s="169" t="str">
        <f>INDEX([7]Sheet1!$B:$B,MATCH(SUBSTITUTE($C33,"碎片",""),[7]Sheet1!$C:$C,0),0)</f>
        <v>白无常</v>
      </c>
      <c r="F33" s="169">
        <f>VLOOKUP($D33,[2]Sheet1!$A:$U,21,0)</f>
        <v>5</v>
      </c>
    </row>
    <row r="34" spans="2:6" s="2" customFormat="1">
      <c r="B34" s="168">
        <v>17116</v>
      </c>
      <c r="C34" s="168" t="s">
        <v>61</v>
      </c>
      <c r="D34" s="169">
        <f>INDEX([7]Sheet1!$A:$A,MATCH(SUBSTITUTE($C34,"碎片",""),[7]Sheet1!$C:$C,0),0)</f>
        <v>1124</v>
      </c>
      <c r="E34" s="169" t="str">
        <f>INDEX([7]Sheet1!$B:$B,MATCH(SUBSTITUTE($C34,"碎片",""),[7]Sheet1!$C:$C,0),0)</f>
        <v>沙和尚</v>
      </c>
      <c r="F34" s="169">
        <f>VLOOKUP($D34,[2]Sheet1!$A:$U,21,0)</f>
        <v>6</v>
      </c>
    </row>
    <row r="35" spans="2:6">
      <c r="B35" s="168">
        <v>17118</v>
      </c>
      <c r="C35" s="168" t="s">
        <v>63</v>
      </c>
      <c r="D35" s="169">
        <f>INDEX([7]Sheet1!$A:$A,MATCH(SUBSTITUTE($C35,"碎片",""),[7]Sheet1!$C:$C,0),0)</f>
        <v>1213</v>
      </c>
      <c r="E35" s="169" t="str">
        <f>INDEX([7]Sheet1!$B:$B,MATCH(SUBSTITUTE($C35,"碎片",""),[7]Sheet1!$C:$C,0),0)</f>
        <v>龙帝</v>
      </c>
      <c r="F35" s="169">
        <f>VLOOKUP($D35,[2]Sheet1!$A:$U,21,0)</f>
        <v>5</v>
      </c>
    </row>
    <row r="36" spans="2:6">
      <c r="B36" s="168">
        <v>17119</v>
      </c>
      <c r="C36" s="168" t="s">
        <v>64</v>
      </c>
      <c r="D36" s="169">
        <f>INDEX([7]Sheet1!$A:$A,MATCH(SUBSTITUTE($C36,"碎片",""),[7]Sheet1!$C:$C,0),0)</f>
        <v>1214</v>
      </c>
      <c r="E36" s="169" t="str">
        <f>INDEX([7]Sheet1!$B:$B,MATCH(SUBSTITUTE($C36,"碎片",""),[7]Sheet1!$C:$C,0),0)</f>
        <v>八部天龙</v>
      </c>
      <c r="F36" s="169">
        <f>VLOOKUP($D36,[2]Sheet1!$A:$U,21,0)</f>
        <v>5</v>
      </c>
    </row>
    <row r="37" spans="2:6">
      <c r="B37" s="168">
        <v>17120</v>
      </c>
      <c r="C37" s="168" t="s">
        <v>65</v>
      </c>
      <c r="D37" s="169">
        <f>INDEX([7]Sheet1!$A:$A,MATCH(SUBSTITUTE($C37,"碎片",""),[7]Sheet1!$C:$C,0),0)</f>
        <v>1103</v>
      </c>
      <c r="E37" s="169" t="str">
        <f>INDEX([7]Sheet1!$B:$B,MATCH(SUBSTITUTE($C37,"碎片",""),[7]Sheet1!$C:$C,0),0)</f>
        <v>嫦娥</v>
      </c>
      <c r="F37" s="169">
        <f>VLOOKUP($D37,[2]Sheet1!$A:$U,21,0)</f>
        <v>5</v>
      </c>
    </row>
    <row r="38" spans="2:6">
      <c r="B38" s="168">
        <v>17125</v>
      </c>
      <c r="C38" s="168" t="s">
        <v>70</v>
      </c>
      <c r="D38" s="169">
        <f>INDEX([7]Sheet1!$A:$A,MATCH(SUBSTITUTE($C38,"碎片",""),[7]Sheet1!$C:$C,0),0)</f>
        <v>1215</v>
      </c>
      <c r="E38" s="169" t="str">
        <f>INDEX([7]Sheet1!$B:$B,MATCH(SUBSTITUTE($C38,"碎片",""),[7]Sheet1!$C:$C,0),0)</f>
        <v>观世音</v>
      </c>
      <c r="F38" s="169">
        <f>VLOOKUP($D38,[2]Sheet1!$A:$U,21,0)</f>
        <v>5</v>
      </c>
    </row>
    <row r="39" spans="2:6">
      <c r="B39" s="168">
        <v>17140</v>
      </c>
      <c r="C39" s="168" t="s">
        <v>85</v>
      </c>
      <c r="D39" s="169">
        <f>INDEX([7]Sheet1!$A:$A,MATCH(SUBSTITUTE($C39,"碎片",""),[7]Sheet1!$C:$C,0),0)</f>
        <v>1115</v>
      </c>
      <c r="E39" s="169" t="str">
        <f>INDEX([7]Sheet1!$B:$B,MATCH(SUBSTITUTE($C39,"碎片",""),[7]Sheet1!$C:$C,0),0)</f>
        <v>羊力大仙</v>
      </c>
      <c r="F39" s="169">
        <f>VLOOKUP($D39,[2]Sheet1!$A:$U,21,0)</f>
        <v>5</v>
      </c>
    </row>
    <row r="40" spans="2:6">
      <c r="B40" s="170">
        <v>17104</v>
      </c>
      <c r="C40" s="170" t="s">
        <v>49</v>
      </c>
      <c r="D40" s="171">
        <f>INDEX([7]Sheet1!$A:$A,MATCH(SUBSTITUTE($C40,"碎片",""),[7]Sheet1!$C:$C,0),0)</f>
        <v>1211</v>
      </c>
      <c r="E40" s="171" t="str">
        <f>INDEX([7]Sheet1!$B:$B,MATCH(SUBSTITUTE($C40,"碎片",""),[7]Sheet1!$C:$C,0),0)</f>
        <v>斗战胜佛</v>
      </c>
      <c r="F40" s="171">
        <f>VLOOKUP($D40,[2]Sheet1!$A:$U,21,0)</f>
        <v>6</v>
      </c>
    </row>
    <row r="41" spans="2:6">
      <c r="B41" s="170">
        <v>17105</v>
      </c>
      <c r="C41" s="170" t="s">
        <v>50</v>
      </c>
      <c r="D41" s="171">
        <f>INDEX([7]Sheet1!$A:$A,MATCH(SUBSTITUTE($C41,"碎片",""),[7]Sheet1!$C:$C,0),0)</f>
        <v>1101</v>
      </c>
      <c r="E41" s="171" t="str">
        <f>INDEX([7]Sheet1!$B:$B,MATCH(SUBSTITUTE($C41,"碎片",""),[7]Sheet1!$C:$C,0),0)</f>
        <v>二郎神</v>
      </c>
      <c r="F41" s="171">
        <f>VLOOKUP($D41,[2]Sheet1!$A:$U,21,0)</f>
        <v>6</v>
      </c>
    </row>
    <row r="42" spans="2:6">
      <c r="B42" s="170">
        <v>17113</v>
      </c>
      <c r="C42" s="170" t="s">
        <v>58</v>
      </c>
      <c r="D42" s="171">
        <f>INDEX([7]Sheet1!$A:$A,MATCH(SUBSTITUTE($C42,"碎片",""),[7]Sheet1!$C:$C,0),0)</f>
        <v>1119</v>
      </c>
      <c r="E42" s="171" t="str">
        <f>INDEX([7]Sheet1!$B:$B,MATCH(SUBSTITUTE($C42,"碎片",""),[7]Sheet1!$C:$C,0),0)</f>
        <v>孙悟空</v>
      </c>
      <c r="F42" s="171">
        <f>VLOOKUP($D42,[2]Sheet1!$A:$U,21,0)</f>
        <v>6</v>
      </c>
    </row>
    <row r="43" spans="2:6">
      <c r="B43" s="170">
        <v>17114</v>
      </c>
      <c r="C43" s="170" t="s">
        <v>59</v>
      </c>
      <c r="D43" s="171">
        <f>INDEX([7]Sheet1!$A:$A,MATCH(SUBSTITUTE($C43,"碎片",""),[7]Sheet1!$C:$C,0),0)</f>
        <v>1105</v>
      </c>
      <c r="E43" s="171" t="str">
        <f>INDEX([7]Sheet1!$B:$B,MATCH(SUBSTITUTE($C43,"碎片",""),[7]Sheet1!$C:$C,0),0)</f>
        <v>王母娘娘</v>
      </c>
      <c r="F43" s="171">
        <f>VLOOKUP($D43,[2]Sheet1!$A:$U,21,0)</f>
        <v>6</v>
      </c>
    </row>
    <row r="44" spans="2:6">
      <c r="B44" s="170">
        <v>17122</v>
      </c>
      <c r="C44" s="170" t="s">
        <v>67</v>
      </c>
      <c r="D44" s="171">
        <f>INDEX([7]Sheet1!$A:$A,MATCH(SUBSTITUTE($C44,"碎片",""),[7]Sheet1!$C:$C,0),0)</f>
        <v>1111</v>
      </c>
      <c r="E44" s="171" t="str">
        <f>INDEX([7]Sheet1!$B:$B,MATCH(SUBSTITUTE($C44,"碎片",""),[7]Sheet1!$C:$C,0),0)</f>
        <v>铁扇公主</v>
      </c>
      <c r="F44" s="171">
        <f>VLOOKUP($D44,[2]Sheet1!$A:$U,21,0)</f>
        <v>5</v>
      </c>
    </row>
    <row r="45" spans="2:6">
      <c r="B45" s="170">
        <v>17124</v>
      </c>
      <c r="C45" s="170" t="s">
        <v>69</v>
      </c>
      <c r="D45" s="171">
        <f>INDEX([7]Sheet1!$A:$A,MATCH(SUBSTITUTE($C45,"碎片",""),[7]Sheet1!$C:$C,0),0)</f>
        <v>1121</v>
      </c>
      <c r="E45" s="171" t="str">
        <f>INDEX([7]Sheet1!$B:$B,MATCH(SUBSTITUTE($C45,"碎片",""),[7]Sheet1!$C:$C,0),0)</f>
        <v>紫霞仙子</v>
      </c>
      <c r="F45" s="171">
        <f>VLOOKUP($D45,[2]Sheet1!$A:$U,21,0)</f>
        <v>6</v>
      </c>
    </row>
  </sheetData>
  <autoFilter ref="B1:F1">
    <sortState ref="B2:F45">
      <sortCondition ref="F1"/>
    </sortState>
  </autoFilter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Administrator</cp:lastModifiedBy>
  <dcterms:created xsi:type="dcterms:W3CDTF">2006-09-16T00:00:00Z</dcterms:created>
  <dcterms:modified xsi:type="dcterms:W3CDTF">2018-03-04T20:01:13Z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2052-9.1.0.5100</vt:lpwstr>
  </property>
</Properties>
</file>