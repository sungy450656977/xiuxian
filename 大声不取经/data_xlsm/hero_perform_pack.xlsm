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420" windowWidth="15330" windowHeight="10170"/>
  </bookViews>
  <sheets>
    <sheet name="Sheet1" sheetId="1" r:id="rId1"/>
    <sheet name="Sheet3" sheetId="3" r:id="rId2"/>
    <sheet name="Sheet2" sheetId="4" r:id="rId3"/>
    <sheet name="Sheet4" sheetId="5" r:id="rId4"/>
  </sheets>
  <functionGroups builtInGroupCount="17"/>
  <externalReferences>
    <externalReference r:id="rId5"/>
  </externalReferences>
  <definedNames>
    <definedName name="_xlnm._FilterDatabase" localSheetId="0" hidden="1">Sheet1!$A$1:$D$119</definedName>
    <definedName name="_xlnm._FilterDatabase" localSheetId="2" hidden="1">Sheet2!$A$1:$AW$61</definedName>
  </definedNames>
  <calcPr calcId="144525" concurrentCalc="0"/>
</workbook>
</file>

<file path=xl/calcChain.xml><?xml version="1.0" encoding="utf-8"?>
<calcChain xmlns="http://schemas.openxmlformats.org/spreadsheetml/2006/main">
  <c r="F23" i="1" l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4" i="1"/>
  <c r="AP48" i="4"/>
  <c r="AP49" i="4"/>
  <c r="AP50" i="4"/>
  <c r="AP51" i="4"/>
  <c r="AP52" i="4"/>
  <c r="AP53" i="4"/>
  <c r="AP54" i="4"/>
  <c r="AP55" i="4"/>
  <c r="AP56" i="4"/>
  <c r="AP58" i="4"/>
  <c r="AP59" i="4"/>
  <c r="AP60" i="4"/>
  <c r="AP61" i="4"/>
  <c r="AP47" i="4"/>
  <c r="AQ19" i="4"/>
  <c r="AQ20" i="4"/>
  <c r="AR20" i="4"/>
  <c r="AQ21" i="4"/>
  <c r="AR21" i="4"/>
  <c r="AQ22" i="4"/>
  <c r="AR22" i="4"/>
  <c r="AQ23" i="4"/>
  <c r="AR23" i="4"/>
  <c r="AQ24" i="4"/>
  <c r="AR24" i="4"/>
  <c r="AQ25" i="4"/>
  <c r="AR25" i="4"/>
  <c r="AQ26" i="4"/>
  <c r="AR26" i="4"/>
  <c r="AQ27" i="4"/>
  <c r="AR27" i="4"/>
  <c r="AQ28" i="4"/>
  <c r="AR28" i="4"/>
  <c r="AQ29" i="4"/>
  <c r="AR29" i="4"/>
  <c r="AQ30" i="4"/>
  <c r="AR30" i="4"/>
  <c r="AQ31" i="4"/>
  <c r="AR31" i="4"/>
  <c r="AQ32" i="4"/>
  <c r="AR32" i="4"/>
  <c r="AQ33" i="4"/>
  <c r="AR33" i="4"/>
  <c r="AQ34" i="4"/>
  <c r="AR34" i="4"/>
  <c r="AQ35" i="4"/>
  <c r="AR35" i="4"/>
  <c r="AQ36" i="4"/>
  <c r="AR36" i="4"/>
  <c r="AQ37" i="4"/>
  <c r="AR37" i="4"/>
  <c r="AQ38" i="4"/>
  <c r="AR38" i="4"/>
  <c r="AQ39" i="4"/>
  <c r="AR39" i="4"/>
  <c r="AQ40" i="4"/>
  <c r="AR40" i="4"/>
  <c r="AR41" i="4"/>
  <c r="AQ42" i="4"/>
  <c r="AR42" i="4"/>
  <c r="AQ43" i="4"/>
  <c r="AQ44" i="4"/>
  <c r="AR44" i="4"/>
  <c r="AQ45" i="4"/>
  <c r="AR45" i="4"/>
  <c r="AQ46" i="4"/>
  <c r="AR46" i="4"/>
  <c r="AQ47" i="4"/>
  <c r="AR47" i="4"/>
  <c r="AQ48" i="4"/>
  <c r="AR48" i="4"/>
  <c r="AQ49" i="4"/>
  <c r="AR49" i="4"/>
  <c r="AQ50" i="4"/>
  <c r="AR50" i="4"/>
  <c r="AQ51" i="4"/>
  <c r="AR51" i="4"/>
  <c r="AQ52" i="4"/>
  <c r="AR52" i="4"/>
  <c r="AQ53" i="4"/>
  <c r="AR53" i="4"/>
  <c r="AQ54" i="4"/>
  <c r="AR54" i="4"/>
  <c r="AQ55" i="4"/>
  <c r="AR55" i="4"/>
  <c r="AQ56" i="4"/>
  <c r="AR56" i="4"/>
  <c r="AQ57" i="4"/>
  <c r="AR57" i="4"/>
  <c r="AQ58" i="4"/>
  <c r="AR58" i="4"/>
  <c r="AQ59" i="4"/>
  <c r="AQ60" i="4"/>
  <c r="AR60" i="4"/>
  <c r="AQ61" i="4"/>
  <c r="AR61" i="4"/>
  <c r="AQ7" i="4"/>
  <c r="AR7" i="4"/>
  <c r="AR8" i="4"/>
  <c r="AQ9" i="4"/>
  <c r="AR9" i="4"/>
  <c r="AQ10" i="4"/>
  <c r="AR10" i="4"/>
  <c r="AQ11" i="4"/>
  <c r="AR11" i="4"/>
  <c r="AQ12" i="4"/>
  <c r="AR12" i="4"/>
  <c r="AQ13" i="4"/>
  <c r="AR13" i="4"/>
  <c r="AQ14" i="4"/>
  <c r="AR14" i="4"/>
  <c r="AQ15" i="4"/>
  <c r="AR15" i="4"/>
  <c r="AQ16" i="4"/>
  <c r="AR16" i="4"/>
  <c r="AQ17" i="4"/>
  <c r="AR17" i="4"/>
  <c r="AQ18" i="4"/>
  <c r="AR18" i="4"/>
  <c r="AR6" i="4"/>
  <c r="AQ6" i="4"/>
  <c r="AP8" i="4"/>
  <c r="AP9" i="4"/>
  <c r="AP10" i="4"/>
  <c r="AP11" i="4"/>
  <c r="AP13" i="4"/>
  <c r="AP14" i="4"/>
  <c r="AP15" i="4"/>
  <c r="AP16" i="4"/>
  <c r="AP17" i="4"/>
  <c r="AP18" i="4"/>
  <c r="AP19" i="4"/>
  <c r="AP21" i="4"/>
  <c r="AP22" i="4"/>
  <c r="AP23" i="4"/>
  <c r="AP24" i="4"/>
  <c r="AP25" i="4"/>
  <c r="AP26" i="4"/>
  <c r="AP27" i="4"/>
  <c r="AP28" i="4"/>
  <c r="AP29" i="4"/>
  <c r="AP30" i="4"/>
  <c r="AP32" i="4"/>
  <c r="AP33" i="4"/>
  <c r="AP34" i="4"/>
  <c r="AP35" i="4"/>
  <c r="AP37" i="4"/>
  <c r="AP38" i="4"/>
  <c r="AP39" i="4"/>
  <c r="AP40" i="4"/>
  <c r="AP41" i="4"/>
  <c r="AP42" i="4"/>
  <c r="AP43" i="4"/>
  <c r="AP44" i="4"/>
  <c r="AP45" i="4"/>
  <c r="AP46" i="4"/>
  <c r="AP6" i="4"/>
  <c r="AL3" i="4"/>
  <c r="F112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A6" i="4"/>
  <c r="B6" i="4"/>
  <c r="C6" i="4"/>
  <c r="D6" i="4"/>
  <c r="E6" i="4"/>
  <c r="F6" i="4"/>
  <c r="G6" i="4"/>
  <c r="H6" i="4"/>
  <c r="Q6" i="4"/>
  <c r="AC6" i="4"/>
  <c r="A7" i="4"/>
  <c r="B7" i="4"/>
  <c r="C7" i="4"/>
  <c r="D7" i="4"/>
  <c r="E7" i="4"/>
  <c r="F7" i="4"/>
  <c r="G7" i="4"/>
  <c r="H7" i="4"/>
  <c r="R7" i="4"/>
  <c r="AD7" i="4"/>
  <c r="A8" i="4"/>
  <c r="B8" i="4"/>
  <c r="C8" i="4"/>
  <c r="D8" i="4"/>
  <c r="E8" i="4"/>
  <c r="F8" i="4"/>
  <c r="G8" i="4"/>
  <c r="H8" i="4"/>
  <c r="Q8" i="4"/>
  <c r="AC8" i="4"/>
  <c r="A9" i="4"/>
  <c r="B9" i="4"/>
  <c r="C9" i="4"/>
  <c r="D9" i="4"/>
  <c r="E9" i="4"/>
  <c r="F9" i="4"/>
  <c r="G9" i="4"/>
  <c r="H9" i="4"/>
  <c r="T9" i="4"/>
  <c r="AF9" i="4"/>
  <c r="A10" i="4"/>
  <c r="B10" i="4"/>
  <c r="C10" i="4"/>
  <c r="D10" i="4"/>
  <c r="E10" i="4"/>
  <c r="F10" i="4"/>
  <c r="G10" i="4"/>
  <c r="H10" i="4"/>
  <c r="P10" i="4"/>
  <c r="AB10" i="4"/>
  <c r="A11" i="4"/>
  <c r="B11" i="4"/>
  <c r="C11" i="4"/>
  <c r="D11" i="4"/>
  <c r="E11" i="4"/>
  <c r="F11" i="4"/>
  <c r="G11" i="4"/>
  <c r="H11" i="4"/>
  <c r="S11" i="4"/>
  <c r="AE11" i="4"/>
  <c r="A12" i="4"/>
  <c r="B12" i="4"/>
  <c r="C12" i="4"/>
  <c r="D12" i="4"/>
  <c r="E12" i="4"/>
  <c r="F12" i="4"/>
  <c r="G12" i="4"/>
  <c r="H12" i="4"/>
  <c r="P12" i="4"/>
  <c r="AB12" i="4"/>
  <c r="A13" i="4"/>
  <c r="B13" i="4"/>
  <c r="C13" i="4"/>
  <c r="D13" i="4"/>
  <c r="E13" i="4"/>
  <c r="F13" i="4"/>
  <c r="G13" i="4"/>
  <c r="H13" i="4"/>
  <c r="S13" i="4"/>
  <c r="AE13" i="4"/>
  <c r="A14" i="4"/>
  <c r="B14" i="4"/>
  <c r="C14" i="4"/>
  <c r="D14" i="4"/>
  <c r="E14" i="4"/>
  <c r="F14" i="4"/>
  <c r="G14" i="4"/>
  <c r="H14" i="4"/>
  <c r="P14" i="4"/>
  <c r="AB14" i="4"/>
  <c r="A15" i="4"/>
  <c r="B15" i="4"/>
  <c r="C15" i="4"/>
  <c r="D15" i="4"/>
  <c r="E15" i="4"/>
  <c r="F15" i="4"/>
  <c r="G15" i="4"/>
  <c r="H15" i="4"/>
  <c r="R15" i="4"/>
  <c r="AD15" i="4"/>
  <c r="A16" i="4"/>
  <c r="B16" i="4"/>
  <c r="C16" i="4"/>
  <c r="D16" i="4"/>
  <c r="E16" i="4"/>
  <c r="F16" i="4"/>
  <c r="G16" i="4"/>
  <c r="H16" i="4"/>
  <c r="S16" i="4"/>
  <c r="AE16" i="4"/>
  <c r="A17" i="4"/>
  <c r="B17" i="4"/>
  <c r="C17" i="4"/>
  <c r="D17" i="4"/>
  <c r="E17" i="4"/>
  <c r="F17" i="4"/>
  <c r="G17" i="4"/>
  <c r="H17" i="4"/>
  <c r="S17" i="4"/>
  <c r="AE17" i="4"/>
  <c r="A18" i="4"/>
  <c r="B18" i="4"/>
  <c r="C18" i="4"/>
  <c r="D18" i="4"/>
  <c r="E18" i="4"/>
  <c r="F18" i="4"/>
  <c r="G18" i="4"/>
  <c r="H18" i="4"/>
  <c r="A19" i="4"/>
  <c r="B19" i="4"/>
  <c r="C19" i="4"/>
  <c r="D19" i="4"/>
  <c r="E19" i="4"/>
  <c r="F19" i="4"/>
  <c r="G19" i="4"/>
  <c r="H19" i="4"/>
  <c r="S19" i="4"/>
  <c r="AE19" i="4"/>
  <c r="A20" i="4"/>
  <c r="B20" i="4"/>
  <c r="C20" i="4"/>
  <c r="D20" i="4"/>
  <c r="E20" i="4"/>
  <c r="F20" i="4"/>
  <c r="G20" i="4"/>
  <c r="H20" i="4"/>
  <c r="A21" i="4"/>
  <c r="B21" i="4"/>
  <c r="C21" i="4"/>
  <c r="D21" i="4"/>
  <c r="E21" i="4"/>
  <c r="F21" i="4"/>
  <c r="G21" i="4"/>
  <c r="H21" i="4"/>
  <c r="P21" i="4"/>
  <c r="AB21" i="4"/>
  <c r="A22" i="4"/>
  <c r="B22" i="4"/>
  <c r="C22" i="4"/>
  <c r="D22" i="4"/>
  <c r="E22" i="4"/>
  <c r="F22" i="4"/>
  <c r="G22" i="4"/>
  <c r="H22" i="4"/>
  <c r="T22" i="4"/>
  <c r="AF22" i="4"/>
  <c r="A23" i="4"/>
  <c r="B23" i="4"/>
  <c r="C23" i="4"/>
  <c r="D23" i="4"/>
  <c r="E23" i="4"/>
  <c r="F23" i="4"/>
  <c r="G23" i="4"/>
  <c r="H23" i="4"/>
  <c r="O23" i="4"/>
  <c r="AA23" i="4"/>
  <c r="A24" i="4"/>
  <c r="B24" i="4"/>
  <c r="C24" i="4"/>
  <c r="D24" i="4"/>
  <c r="E24" i="4"/>
  <c r="F24" i="4"/>
  <c r="G24" i="4"/>
  <c r="H24" i="4"/>
  <c r="O24" i="4"/>
  <c r="AA24" i="4"/>
  <c r="A25" i="4"/>
  <c r="B25" i="4"/>
  <c r="C25" i="4"/>
  <c r="D25" i="4"/>
  <c r="E25" i="4"/>
  <c r="F25" i="4"/>
  <c r="G25" i="4"/>
  <c r="H25" i="4"/>
  <c r="O25" i="4"/>
  <c r="AA25" i="4"/>
  <c r="A26" i="4"/>
  <c r="B26" i="4"/>
  <c r="C26" i="4"/>
  <c r="D26" i="4"/>
  <c r="E26" i="4"/>
  <c r="F26" i="4"/>
  <c r="G26" i="4"/>
  <c r="H26" i="4"/>
  <c r="S26" i="4"/>
  <c r="AE26" i="4"/>
  <c r="A27" i="4"/>
  <c r="B27" i="4"/>
  <c r="C27" i="4"/>
  <c r="D27" i="4"/>
  <c r="E27" i="4"/>
  <c r="F27" i="4"/>
  <c r="G27" i="4"/>
  <c r="H27" i="4"/>
  <c r="T27" i="4"/>
  <c r="AF27" i="4"/>
  <c r="A28" i="4"/>
  <c r="B28" i="4"/>
  <c r="C28" i="4"/>
  <c r="D28" i="4"/>
  <c r="E28" i="4"/>
  <c r="F28" i="4"/>
  <c r="G28" i="4"/>
  <c r="H28" i="4"/>
  <c r="R28" i="4"/>
  <c r="AD28" i="4"/>
  <c r="A29" i="4"/>
  <c r="B29" i="4"/>
  <c r="C29" i="4"/>
  <c r="D29" i="4"/>
  <c r="E29" i="4"/>
  <c r="F29" i="4"/>
  <c r="G29" i="4"/>
  <c r="H29" i="4"/>
  <c r="A30" i="4"/>
  <c r="B30" i="4"/>
  <c r="C30" i="4"/>
  <c r="D30" i="4"/>
  <c r="E30" i="4"/>
  <c r="F30" i="4"/>
  <c r="G30" i="4"/>
  <c r="H30" i="4"/>
  <c r="O30" i="4"/>
  <c r="AA30" i="4"/>
  <c r="A31" i="4"/>
  <c r="B31" i="4"/>
  <c r="C31" i="4"/>
  <c r="D31" i="4"/>
  <c r="E31" i="4"/>
  <c r="F31" i="4"/>
  <c r="G31" i="4"/>
  <c r="H31" i="4"/>
  <c r="A32" i="4"/>
  <c r="B32" i="4"/>
  <c r="C32" i="4"/>
  <c r="D32" i="4"/>
  <c r="E32" i="4"/>
  <c r="F32" i="4"/>
  <c r="G32" i="4"/>
  <c r="H32" i="4"/>
  <c r="Q32" i="4"/>
  <c r="AC32" i="4"/>
  <c r="A33" i="4"/>
  <c r="B33" i="4"/>
  <c r="C33" i="4"/>
  <c r="D33" i="4"/>
  <c r="E33" i="4"/>
  <c r="F33" i="4"/>
  <c r="G33" i="4"/>
  <c r="H33" i="4"/>
  <c r="A34" i="4"/>
  <c r="B34" i="4"/>
  <c r="C34" i="4"/>
  <c r="D34" i="4"/>
  <c r="E34" i="4"/>
  <c r="F34" i="4"/>
  <c r="G34" i="4"/>
  <c r="H34" i="4"/>
  <c r="S34" i="4"/>
  <c r="AE34" i="4"/>
  <c r="A35" i="4"/>
  <c r="B35" i="4"/>
  <c r="C35" i="4"/>
  <c r="D35" i="4"/>
  <c r="E35" i="4"/>
  <c r="F35" i="4"/>
  <c r="G35" i="4"/>
  <c r="H35" i="4"/>
  <c r="S35" i="4"/>
  <c r="AE35" i="4"/>
  <c r="A36" i="4"/>
  <c r="B36" i="4"/>
  <c r="C36" i="4"/>
  <c r="D36" i="4"/>
  <c r="E36" i="4"/>
  <c r="F36" i="4"/>
  <c r="G36" i="4"/>
  <c r="H36" i="4"/>
  <c r="Q36" i="4"/>
  <c r="AC36" i="4"/>
  <c r="A37" i="4"/>
  <c r="B37" i="4"/>
  <c r="C37" i="4"/>
  <c r="D37" i="4"/>
  <c r="E37" i="4"/>
  <c r="F37" i="4"/>
  <c r="G37" i="4"/>
  <c r="H37" i="4"/>
  <c r="T37" i="4"/>
  <c r="AF37" i="4"/>
  <c r="A38" i="4"/>
  <c r="B38" i="4"/>
  <c r="C38" i="4"/>
  <c r="D38" i="4"/>
  <c r="E38" i="4"/>
  <c r="F38" i="4"/>
  <c r="G38" i="4"/>
  <c r="H38" i="4"/>
  <c r="O38" i="4"/>
  <c r="AA38" i="4"/>
  <c r="A39" i="4"/>
  <c r="B39" i="4"/>
  <c r="C39" i="4"/>
  <c r="D39" i="4"/>
  <c r="E39" i="4"/>
  <c r="F39" i="4"/>
  <c r="G39" i="4"/>
  <c r="H39" i="4"/>
  <c r="O39" i="4"/>
  <c r="AA39" i="4"/>
  <c r="A40" i="4"/>
  <c r="B40" i="4"/>
  <c r="C40" i="4"/>
  <c r="D40" i="4"/>
  <c r="E40" i="4"/>
  <c r="F40" i="4"/>
  <c r="G40" i="4"/>
  <c r="H40" i="4"/>
  <c r="S40" i="4"/>
  <c r="AE40" i="4"/>
  <c r="A41" i="4"/>
  <c r="B41" i="4"/>
  <c r="C41" i="4"/>
  <c r="D41" i="4"/>
  <c r="E41" i="4"/>
  <c r="F41" i="4"/>
  <c r="G41" i="4"/>
  <c r="H41" i="4"/>
  <c r="T41" i="4"/>
  <c r="AF41" i="4"/>
  <c r="A42" i="4"/>
  <c r="B42" i="4"/>
  <c r="C42" i="4"/>
  <c r="D42" i="4"/>
  <c r="E42" i="4"/>
  <c r="F42" i="4"/>
  <c r="G42" i="4"/>
  <c r="H42" i="4"/>
  <c r="S42" i="4"/>
  <c r="AE42" i="4"/>
  <c r="A43" i="4"/>
  <c r="B43" i="4"/>
  <c r="C43" i="4"/>
  <c r="D43" i="4"/>
  <c r="E43" i="4"/>
  <c r="F43" i="4"/>
  <c r="G43" i="4"/>
  <c r="H43" i="4"/>
  <c r="A44" i="4"/>
  <c r="B44" i="4"/>
  <c r="C44" i="4"/>
  <c r="D44" i="4"/>
  <c r="E44" i="4"/>
  <c r="F44" i="4"/>
  <c r="G44" i="4"/>
  <c r="H44" i="4"/>
  <c r="O44" i="4"/>
  <c r="AA44" i="4"/>
  <c r="A45" i="4"/>
  <c r="B45" i="4"/>
  <c r="C45" i="4"/>
  <c r="D45" i="4"/>
  <c r="E45" i="4"/>
  <c r="F45" i="4"/>
  <c r="G45" i="4"/>
  <c r="H45" i="4"/>
  <c r="R45" i="4"/>
  <c r="AD45" i="4"/>
  <c r="A46" i="4"/>
  <c r="B46" i="4"/>
  <c r="C46" i="4"/>
  <c r="D46" i="4"/>
  <c r="E46" i="4"/>
  <c r="F46" i="4"/>
  <c r="G46" i="4"/>
  <c r="H46" i="4"/>
  <c r="T46" i="4"/>
  <c r="AF46" i="4"/>
  <c r="A47" i="4"/>
  <c r="B47" i="4"/>
  <c r="C47" i="4"/>
  <c r="D47" i="4"/>
  <c r="E47" i="4"/>
  <c r="F47" i="4"/>
  <c r="G47" i="4"/>
  <c r="H47" i="4"/>
  <c r="R47" i="4"/>
  <c r="AD47" i="4"/>
  <c r="A48" i="4"/>
  <c r="B48" i="4"/>
  <c r="C48" i="4"/>
  <c r="D48" i="4"/>
  <c r="E48" i="4"/>
  <c r="F48" i="4"/>
  <c r="G48" i="4"/>
  <c r="H48" i="4"/>
  <c r="O48" i="4"/>
  <c r="AA48" i="4"/>
  <c r="A49" i="4"/>
  <c r="B49" i="4"/>
  <c r="C49" i="4"/>
  <c r="D49" i="4"/>
  <c r="E49" i="4"/>
  <c r="F49" i="4"/>
  <c r="G49" i="4"/>
  <c r="H49" i="4"/>
  <c r="O49" i="4"/>
  <c r="AA49" i="4"/>
  <c r="A50" i="4"/>
  <c r="B50" i="4"/>
  <c r="C50" i="4"/>
  <c r="D50" i="4"/>
  <c r="E50" i="4"/>
  <c r="F50" i="4"/>
  <c r="G50" i="4"/>
  <c r="H50" i="4"/>
  <c r="S50" i="4"/>
  <c r="AE50" i="4"/>
  <c r="A51" i="4"/>
  <c r="B51" i="4"/>
  <c r="C51" i="4"/>
  <c r="D51" i="4"/>
  <c r="E51" i="4"/>
  <c r="F51" i="4"/>
  <c r="G51" i="4"/>
  <c r="H51" i="4"/>
  <c r="S51" i="4"/>
  <c r="AE51" i="4"/>
  <c r="A52" i="4"/>
  <c r="B52" i="4"/>
  <c r="C52" i="4"/>
  <c r="D52" i="4"/>
  <c r="E52" i="4"/>
  <c r="F52" i="4"/>
  <c r="G52" i="4"/>
  <c r="H52" i="4"/>
  <c r="Q52" i="4"/>
  <c r="AC52" i="4"/>
  <c r="A53" i="4"/>
  <c r="B53" i="4"/>
  <c r="C53" i="4"/>
  <c r="D53" i="4"/>
  <c r="E53" i="4"/>
  <c r="F53" i="4"/>
  <c r="G53" i="4"/>
  <c r="H53" i="4"/>
  <c r="S53" i="4"/>
  <c r="AE53" i="4"/>
  <c r="A54" i="4"/>
  <c r="B54" i="4"/>
  <c r="C54" i="4"/>
  <c r="D54" i="4"/>
  <c r="E54" i="4"/>
  <c r="F54" i="4"/>
  <c r="G54" i="4"/>
  <c r="H54" i="4"/>
  <c r="T54" i="4"/>
  <c r="AF54" i="4"/>
  <c r="A55" i="4"/>
  <c r="B55" i="4"/>
  <c r="C55" i="4"/>
  <c r="D55" i="4"/>
  <c r="E55" i="4"/>
  <c r="F55" i="4"/>
  <c r="G55" i="4"/>
  <c r="H55" i="4"/>
  <c r="P55" i="4"/>
  <c r="AB55" i="4"/>
  <c r="A56" i="4"/>
  <c r="B56" i="4"/>
  <c r="C56" i="4"/>
  <c r="D56" i="4"/>
  <c r="E56" i="4"/>
  <c r="F56" i="4"/>
  <c r="G56" i="4"/>
  <c r="H56" i="4"/>
  <c r="P56" i="4"/>
  <c r="AB56" i="4"/>
  <c r="A57" i="4"/>
  <c r="B57" i="4"/>
  <c r="C57" i="4"/>
  <c r="D57" i="4"/>
  <c r="E57" i="4"/>
  <c r="F57" i="4"/>
  <c r="G57" i="4"/>
  <c r="H57" i="4"/>
  <c r="A58" i="4"/>
  <c r="B58" i="4"/>
  <c r="C58" i="4"/>
  <c r="D58" i="4"/>
  <c r="E58" i="4"/>
  <c r="F58" i="4"/>
  <c r="G58" i="4"/>
  <c r="H58" i="4"/>
  <c r="A59" i="4"/>
  <c r="B59" i="4"/>
  <c r="C59" i="4"/>
  <c r="D59" i="4"/>
  <c r="E59" i="4"/>
  <c r="F59" i="4"/>
  <c r="G59" i="4"/>
  <c r="H59" i="4"/>
  <c r="T59" i="4"/>
  <c r="AF59" i="4"/>
  <c r="A60" i="4"/>
  <c r="B60" i="4"/>
  <c r="C60" i="4"/>
  <c r="D60" i="4"/>
  <c r="E60" i="4"/>
  <c r="F60" i="4"/>
  <c r="G60" i="4"/>
  <c r="H60" i="4"/>
  <c r="S60" i="4"/>
  <c r="AE60" i="4"/>
  <c r="A61" i="4"/>
  <c r="B61" i="4"/>
  <c r="C61" i="4"/>
  <c r="D61" i="4"/>
  <c r="E61" i="4"/>
  <c r="F61" i="4"/>
  <c r="G61" i="4"/>
  <c r="H61" i="4"/>
  <c r="A62" i="4"/>
  <c r="B62" i="4"/>
  <c r="C62" i="4"/>
  <c r="D62" i="4"/>
  <c r="E62" i="4"/>
  <c r="F62" i="4"/>
  <c r="G62" i="4"/>
  <c r="H62" i="4"/>
  <c r="A63" i="4"/>
  <c r="B63" i="4"/>
  <c r="C63" i="4"/>
  <c r="D63" i="4"/>
  <c r="E63" i="4"/>
  <c r="F63" i="4"/>
  <c r="G63" i="4"/>
  <c r="H63" i="4"/>
  <c r="A64" i="4"/>
  <c r="B64" i="4"/>
  <c r="C64" i="4"/>
  <c r="D64" i="4"/>
  <c r="E64" i="4"/>
  <c r="F64" i="4"/>
  <c r="G64" i="4"/>
  <c r="H64" i="4"/>
  <c r="P64" i="4"/>
  <c r="AB64" i="4"/>
  <c r="A65" i="4"/>
  <c r="B65" i="4"/>
  <c r="C65" i="4"/>
  <c r="D65" i="4"/>
  <c r="E65" i="4"/>
  <c r="F65" i="4"/>
  <c r="G65" i="4"/>
  <c r="H65" i="4"/>
  <c r="T65" i="4"/>
  <c r="AF65" i="4"/>
  <c r="A66" i="4"/>
  <c r="B66" i="4"/>
  <c r="C66" i="4"/>
  <c r="D66" i="4"/>
  <c r="E66" i="4"/>
  <c r="F66" i="4"/>
  <c r="G66" i="4"/>
  <c r="H66" i="4"/>
  <c r="P66" i="4"/>
  <c r="AB66" i="4"/>
  <c r="A67" i="4"/>
  <c r="B67" i="4"/>
  <c r="C67" i="4"/>
  <c r="D67" i="4"/>
  <c r="E67" i="4"/>
  <c r="F67" i="4"/>
  <c r="G67" i="4"/>
  <c r="H67" i="4"/>
  <c r="O67" i="4"/>
  <c r="AA67" i="4"/>
  <c r="A68" i="4"/>
  <c r="B68" i="4"/>
  <c r="C68" i="4"/>
  <c r="D68" i="4"/>
  <c r="E68" i="4"/>
  <c r="F68" i="4"/>
  <c r="G68" i="4"/>
  <c r="H68" i="4"/>
  <c r="O68" i="4"/>
  <c r="AA68" i="4"/>
  <c r="A69" i="4"/>
  <c r="B69" i="4"/>
  <c r="C69" i="4"/>
  <c r="D69" i="4"/>
  <c r="E69" i="4"/>
  <c r="F69" i="4"/>
  <c r="G69" i="4"/>
  <c r="H69" i="4"/>
  <c r="P69" i="4"/>
  <c r="AB69" i="4"/>
  <c r="A70" i="4"/>
  <c r="B70" i="4"/>
  <c r="C70" i="4"/>
  <c r="D70" i="4"/>
  <c r="E70" i="4"/>
  <c r="F70" i="4"/>
  <c r="G70" i="4"/>
  <c r="H70" i="4"/>
  <c r="S70" i="4"/>
  <c r="AE70" i="4"/>
  <c r="A71" i="4"/>
  <c r="B71" i="4"/>
  <c r="C71" i="4"/>
  <c r="D71" i="4"/>
  <c r="E71" i="4"/>
  <c r="F71" i="4"/>
  <c r="G71" i="4"/>
  <c r="H71" i="4"/>
  <c r="A72" i="4"/>
  <c r="B72" i="4"/>
  <c r="C72" i="4"/>
  <c r="D72" i="4"/>
  <c r="E72" i="4"/>
  <c r="F72" i="4"/>
  <c r="G72" i="4"/>
  <c r="H72" i="4"/>
  <c r="S72" i="4"/>
  <c r="AE72" i="4"/>
  <c r="A73" i="4"/>
  <c r="B73" i="4"/>
  <c r="C73" i="4"/>
  <c r="D73" i="4"/>
  <c r="E73" i="4"/>
  <c r="F73" i="4"/>
  <c r="G73" i="4"/>
  <c r="H73" i="4"/>
  <c r="P73" i="4"/>
  <c r="AB73" i="4"/>
  <c r="A74" i="4"/>
  <c r="B74" i="4"/>
  <c r="C74" i="4"/>
  <c r="D74" i="4"/>
  <c r="E74" i="4"/>
  <c r="F74" i="4"/>
  <c r="G74" i="4"/>
  <c r="H74" i="4"/>
  <c r="P74" i="4"/>
  <c r="AB74" i="4"/>
  <c r="A75" i="4"/>
  <c r="B75" i="4"/>
  <c r="C75" i="4"/>
  <c r="D75" i="4"/>
  <c r="E75" i="4"/>
  <c r="F75" i="4"/>
  <c r="G75" i="4"/>
  <c r="H75" i="4"/>
  <c r="A76" i="4"/>
  <c r="B76" i="4"/>
  <c r="C76" i="4"/>
  <c r="D76" i="4"/>
  <c r="E76" i="4"/>
  <c r="F76" i="4"/>
  <c r="G76" i="4"/>
  <c r="H76" i="4"/>
  <c r="P76" i="4"/>
  <c r="AB76" i="4"/>
  <c r="A77" i="4"/>
  <c r="B77" i="4"/>
  <c r="C77" i="4"/>
  <c r="D77" i="4"/>
  <c r="E77" i="4"/>
  <c r="F77" i="4"/>
  <c r="G77" i="4"/>
  <c r="H77" i="4"/>
  <c r="S77" i="4"/>
  <c r="AE77" i="4"/>
  <c r="A78" i="4"/>
  <c r="B78" i="4"/>
  <c r="C78" i="4"/>
  <c r="D78" i="4"/>
  <c r="E78" i="4"/>
  <c r="F78" i="4"/>
  <c r="G78" i="4"/>
  <c r="H78" i="4"/>
  <c r="P78" i="4"/>
  <c r="AB78" i="4"/>
  <c r="A79" i="4"/>
  <c r="B79" i="4"/>
  <c r="C79" i="4"/>
  <c r="D79" i="4"/>
  <c r="E79" i="4"/>
  <c r="F79" i="4"/>
  <c r="G79" i="4"/>
  <c r="H79" i="4"/>
  <c r="O79" i="4"/>
  <c r="AA79" i="4"/>
  <c r="A80" i="4"/>
  <c r="B80" i="4"/>
  <c r="C80" i="4"/>
  <c r="D80" i="4"/>
  <c r="E80" i="4"/>
  <c r="F80" i="4"/>
  <c r="G80" i="4"/>
  <c r="H80" i="4"/>
  <c r="Q80" i="4"/>
  <c r="AC80" i="4"/>
  <c r="A81" i="4"/>
  <c r="B81" i="4"/>
  <c r="C81" i="4"/>
  <c r="D81" i="4"/>
  <c r="E81" i="4"/>
  <c r="F81" i="4"/>
  <c r="G81" i="4"/>
  <c r="H81" i="4"/>
  <c r="A82" i="4"/>
  <c r="B82" i="4"/>
  <c r="C82" i="4"/>
  <c r="D82" i="4"/>
  <c r="E82" i="4"/>
  <c r="F82" i="4"/>
  <c r="G82" i="4"/>
  <c r="H82" i="4"/>
  <c r="R82" i="4"/>
  <c r="AD82" i="4"/>
  <c r="A83" i="4"/>
  <c r="B83" i="4"/>
  <c r="C83" i="4"/>
  <c r="D83" i="4"/>
  <c r="E83" i="4"/>
  <c r="F83" i="4"/>
  <c r="G83" i="4"/>
  <c r="H83" i="4"/>
  <c r="Q83" i="4"/>
  <c r="AC83" i="4"/>
  <c r="A84" i="4"/>
  <c r="B84" i="4"/>
  <c r="C84" i="4"/>
  <c r="D84" i="4"/>
  <c r="E84" i="4"/>
  <c r="F84" i="4"/>
  <c r="G84" i="4"/>
  <c r="H84" i="4"/>
  <c r="R84" i="4"/>
  <c r="AD84" i="4"/>
  <c r="A85" i="4"/>
  <c r="B85" i="4"/>
  <c r="C85" i="4"/>
  <c r="D85" i="4"/>
  <c r="E85" i="4"/>
  <c r="F85" i="4"/>
  <c r="G85" i="4"/>
  <c r="H85" i="4"/>
  <c r="T85" i="4"/>
  <c r="AF85" i="4"/>
  <c r="A86" i="4"/>
  <c r="B86" i="4"/>
  <c r="C86" i="4"/>
  <c r="D86" i="4"/>
  <c r="E86" i="4"/>
  <c r="F86" i="4"/>
  <c r="G86" i="4"/>
  <c r="H86" i="4"/>
  <c r="O86" i="4"/>
  <c r="AA86" i="4"/>
  <c r="A87" i="4"/>
  <c r="B87" i="4"/>
  <c r="C87" i="4"/>
  <c r="D87" i="4"/>
  <c r="E87" i="4"/>
  <c r="F87" i="4"/>
  <c r="G87" i="4"/>
  <c r="H87" i="4"/>
  <c r="Q87" i="4"/>
  <c r="AC87" i="4"/>
  <c r="A88" i="4"/>
  <c r="B88" i="4"/>
  <c r="C88" i="4"/>
  <c r="D88" i="4"/>
  <c r="E88" i="4"/>
  <c r="F88" i="4"/>
  <c r="G88" i="4"/>
  <c r="H88" i="4"/>
  <c r="P88" i="4"/>
  <c r="AB88" i="4"/>
  <c r="A89" i="4"/>
  <c r="B89" i="4"/>
  <c r="C89" i="4"/>
  <c r="D89" i="4"/>
  <c r="E89" i="4"/>
  <c r="F89" i="4"/>
  <c r="G89" i="4"/>
  <c r="H89" i="4"/>
  <c r="R89" i="4"/>
  <c r="AD89" i="4"/>
  <c r="A90" i="4"/>
  <c r="B90" i="4"/>
  <c r="C90" i="4"/>
  <c r="D90" i="4"/>
  <c r="E90" i="4"/>
  <c r="F90" i="4"/>
  <c r="G90" i="4"/>
  <c r="H90" i="4"/>
  <c r="T90" i="4"/>
  <c r="AF90" i="4"/>
  <c r="A91" i="4"/>
  <c r="B91" i="4"/>
  <c r="C91" i="4"/>
  <c r="D91" i="4"/>
  <c r="E91" i="4"/>
  <c r="F91" i="4"/>
  <c r="G91" i="4"/>
  <c r="H91" i="4"/>
  <c r="T91" i="4"/>
  <c r="AF91" i="4"/>
  <c r="A92" i="4"/>
  <c r="B92" i="4"/>
  <c r="C92" i="4"/>
  <c r="D92" i="4"/>
  <c r="E92" i="4"/>
  <c r="F92" i="4"/>
  <c r="G92" i="4"/>
  <c r="H92" i="4"/>
  <c r="R92" i="4"/>
  <c r="AD92" i="4"/>
  <c r="A93" i="4"/>
  <c r="B93" i="4"/>
  <c r="C93" i="4"/>
  <c r="D93" i="4"/>
  <c r="E93" i="4"/>
  <c r="F93" i="4"/>
  <c r="G93" i="4"/>
  <c r="H93" i="4"/>
  <c r="O93" i="4"/>
  <c r="AA93" i="4"/>
  <c r="A94" i="4"/>
  <c r="B94" i="4"/>
  <c r="C94" i="4"/>
  <c r="D94" i="4"/>
  <c r="E94" i="4"/>
  <c r="F94" i="4"/>
  <c r="G94" i="4"/>
  <c r="H94" i="4"/>
  <c r="O94" i="4"/>
  <c r="AA94" i="4"/>
  <c r="A95" i="4"/>
  <c r="B95" i="4"/>
  <c r="C95" i="4"/>
  <c r="D95" i="4"/>
  <c r="E95" i="4"/>
  <c r="F95" i="4"/>
  <c r="G95" i="4"/>
  <c r="H95" i="4"/>
  <c r="O95" i="4"/>
  <c r="AA95" i="4"/>
  <c r="A96" i="4"/>
  <c r="B96" i="4"/>
  <c r="C96" i="4"/>
  <c r="D96" i="4"/>
  <c r="E96" i="4"/>
  <c r="F96" i="4"/>
  <c r="G96" i="4"/>
  <c r="H96" i="4"/>
  <c r="O96" i="4"/>
  <c r="AA96" i="4"/>
  <c r="A97" i="4"/>
  <c r="B97" i="4"/>
  <c r="C97" i="4"/>
  <c r="D97" i="4"/>
  <c r="E97" i="4"/>
  <c r="F97" i="4"/>
  <c r="G97" i="4"/>
  <c r="H97" i="4"/>
  <c r="T97" i="4"/>
  <c r="AF97" i="4"/>
  <c r="A98" i="4"/>
  <c r="B98" i="4"/>
  <c r="C98" i="4"/>
  <c r="D98" i="4"/>
  <c r="E98" i="4"/>
  <c r="F98" i="4"/>
  <c r="G98" i="4"/>
  <c r="H98" i="4"/>
  <c r="R98" i="4"/>
  <c r="AD98" i="4"/>
  <c r="A99" i="4"/>
  <c r="B99" i="4"/>
  <c r="C99" i="4"/>
  <c r="D99" i="4"/>
  <c r="E99" i="4"/>
  <c r="F99" i="4"/>
  <c r="G99" i="4"/>
  <c r="H99" i="4"/>
  <c r="Q99" i="4"/>
  <c r="AC99" i="4"/>
  <c r="A100" i="4"/>
  <c r="B100" i="4"/>
  <c r="C100" i="4"/>
  <c r="D100" i="4"/>
  <c r="E100" i="4"/>
  <c r="F100" i="4"/>
  <c r="G100" i="4"/>
  <c r="H100" i="4"/>
  <c r="Q100" i="4"/>
  <c r="AC100" i="4"/>
  <c r="A101" i="4"/>
  <c r="B101" i="4"/>
  <c r="C101" i="4"/>
  <c r="D101" i="4"/>
  <c r="E101" i="4"/>
  <c r="F101" i="4"/>
  <c r="G101" i="4"/>
  <c r="H101" i="4"/>
  <c r="Q101" i="4"/>
  <c r="AC101" i="4"/>
  <c r="A102" i="4"/>
  <c r="B102" i="4"/>
  <c r="C102" i="4"/>
  <c r="D102" i="4"/>
  <c r="E102" i="4"/>
  <c r="F102" i="4"/>
  <c r="G102" i="4"/>
  <c r="H102" i="4"/>
  <c r="R102" i="4"/>
  <c r="AD102" i="4"/>
  <c r="A103" i="4"/>
  <c r="B103" i="4"/>
  <c r="C103" i="4"/>
  <c r="D103" i="4"/>
  <c r="E103" i="4"/>
  <c r="F103" i="4"/>
  <c r="G103" i="4"/>
  <c r="H103" i="4"/>
  <c r="O103" i="4"/>
  <c r="AA103" i="4"/>
  <c r="A104" i="4"/>
  <c r="B104" i="4"/>
  <c r="C104" i="4"/>
  <c r="D104" i="4"/>
  <c r="E104" i="4"/>
  <c r="F104" i="4"/>
  <c r="G104" i="4"/>
  <c r="H104" i="4"/>
  <c r="A105" i="4"/>
  <c r="B105" i="4"/>
  <c r="C105" i="4"/>
  <c r="D105" i="4"/>
  <c r="E105" i="4"/>
  <c r="F105" i="4"/>
  <c r="G105" i="4"/>
  <c r="H105" i="4"/>
  <c r="O105" i="4"/>
  <c r="AA105" i="4"/>
  <c r="A106" i="4"/>
  <c r="B106" i="4"/>
  <c r="C106" i="4"/>
  <c r="D106" i="4"/>
  <c r="E106" i="4"/>
  <c r="F106" i="4"/>
  <c r="G106" i="4"/>
  <c r="H106" i="4"/>
  <c r="S106" i="4"/>
  <c r="AE106" i="4"/>
  <c r="A107" i="4"/>
  <c r="B107" i="4"/>
  <c r="C107" i="4"/>
  <c r="D107" i="4"/>
  <c r="E107" i="4"/>
  <c r="F107" i="4"/>
  <c r="G107" i="4"/>
  <c r="H107" i="4"/>
  <c r="T107" i="4"/>
  <c r="AF107" i="4"/>
  <c r="A108" i="4"/>
  <c r="B108" i="4"/>
  <c r="C108" i="4"/>
  <c r="D108" i="4"/>
  <c r="E108" i="4"/>
  <c r="F108" i="4"/>
  <c r="G108" i="4"/>
  <c r="H108" i="4"/>
  <c r="O108" i="4"/>
  <c r="AA108" i="4"/>
  <c r="A109" i="4"/>
  <c r="B109" i="4"/>
  <c r="C109" i="4"/>
  <c r="D109" i="4"/>
  <c r="E109" i="4"/>
  <c r="F109" i="4"/>
  <c r="G109" i="4"/>
  <c r="H109" i="4"/>
  <c r="A110" i="4"/>
  <c r="B110" i="4"/>
  <c r="C110" i="4"/>
  <c r="D110" i="4"/>
  <c r="E110" i="4"/>
  <c r="F110" i="4"/>
  <c r="G110" i="4"/>
  <c r="H110" i="4"/>
  <c r="R110" i="4"/>
  <c r="AD110" i="4"/>
  <c r="A111" i="4"/>
  <c r="B111" i="4"/>
  <c r="C111" i="4"/>
  <c r="D111" i="4"/>
  <c r="E111" i="4"/>
  <c r="F111" i="4"/>
  <c r="G111" i="4"/>
  <c r="H111" i="4"/>
  <c r="A112" i="4"/>
  <c r="B112" i="4"/>
  <c r="C112" i="4"/>
  <c r="D112" i="4"/>
  <c r="E112" i="4"/>
  <c r="G112" i="4"/>
  <c r="H112" i="4"/>
  <c r="P112" i="4"/>
  <c r="AB112" i="4"/>
  <c r="A113" i="4"/>
  <c r="B113" i="4"/>
  <c r="C113" i="4"/>
  <c r="D113" i="4"/>
  <c r="E113" i="4"/>
  <c r="F113" i="4"/>
  <c r="G113" i="4"/>
  <c r="H113" i="4"/>
  <c r="P113" i="4"/>
  <c r="AB113" i="4"/>
  <c r="A114" i="4"/>
  <c r="B114" i="4"/>
  <c r="C114" i="4"/>
  <c r="D114" i="4"/>
  <c r="E114" i="4"/>
  <c r="F114" i="4"/>
  <c r="G114" i="4"/>
  <c r="H114" i="4"/>
  <c r="S114" i="4"/>
  <c r="AE114" i="4"/>
  <c r="K2" i="5"/>
  <c r="L2" i="5"/>
  <c r="M2" i="5"/>
  <c r="N2" i="5"/>
  <c r="O2" i="5"/>
  <c r="J2" i="5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16" i="4"/>
  <c r="N17" i="4"/>
  <c r="N18" i="4"/>
  <c r="N19" i="4"/>
  <c r="N20" i="4"/>
  <c r="N21" i="4"/>
  <c r="N22" i="4"/>
  <c r="N23" i="4"/>
  <c r="N24" i="4"/>
  <c r="N25" i="4"/>
  <c r="N5" i="4"/>
  <c r="N6" i="4"/>
  <c r="N7" i="4"/>
  <c r="N8" i="4"/>
  <c r="N9" i="4"/>
  <c r="N10" i="4"/>
  <c r="N11" i="4"/>
  <c r="N12" i="4"/>
  <c r="N13" i="4"/>
  <c r="N14" i="4"/>
  <c r="N15" i="4"/>
  <c r="N4" i="4"/>
  <c r="AS2" i="4"/>
  <c r="AS3" i="4"/>
  <c r="AS4" i="4"/>
  <c r="AS5" i="4"/>
  <c r="AS6" i="4"/>
  <c r="AS7" i="4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2" i="4"/>
  <c r="B2" i="4"/>
  <c r="C2" i="4"/>
  <c r="D2" i="4"/>
  <c r="E2" i="4"/>
  <c r="F2" i="4"/>
  <c r="G2" i="4"/>
  <c r="H2" i="4"/>
  <c r="J2" i="4"/>
  <c r="K2" i="4"/>
  <c r="L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T2" i="4"/>
  <c r="AU2" i="4"/>
  <c r="AV2" i="4"/>
  <c r="AW2" i="4"/>
  <c r="A3" i="4"/>
  <c r="B3" i="4"/>
  <c r="C3" i="4"/>
  <c r="D3" i="4"/>
  <c r="E3" i="4"/>
  <c r="F3" i="4"/>
  <c r="G3" i="4"/>
  <c r="H3" i="4"/>
  <c r="J3" i="4"/>
  <c r="K3" i="4"/>
  <c r="L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M3" i="4"/>
  <c r="AN3" i="4"/>
  <c r="AO3" i="4"/>
  <c r="AP3" i="4"/>
  <c r="AQ3" i="4"/>
  <c r="AR3" i="4"/>
  <c r="AT3" i="4"/>
  <c r="AU3" i="4"/>
  <c r="AV3" i="4"/>
  <c r="AW3" i="4"/>
  <c r="A4" i="4"/>
  <c r="B4" i="4"/>
  <c r="C4" i="4"/>
  <c r="D4" i="4"/>
  <c r="E4" i="4"/>
  <c r="F4" i="4"/>
  <c r="G4" i="4"/>
  <c r="H4" i="4"/>
  <c r="O4" i="4"/>
  <c r="AA4" i="4"/>
  <c r="K4" i="4"/>
  <c r="L4" i="4"/>
  <c r="AO4" i="4"/>
  <c r="AP4" i="4"/>
  <c r="AQ4" i="4"/>
  <c r="AR4" i="4"/>
  <c r="AT4" i="4"/>
  <c r="AU4" i="4"/>
  <c r="AV4" i="4"/>
  <c r="AW4" i="4"/>
  <c r="A5" i="4"/>
  <c r="B5" i="4"/>
  <c r="C5" i="4"/>
  <c r="D5" i="4"/>
  <c r="E5" i="4"/>
  <c r="F5" i="4"/>
  <c r="G5" i="4"/>
  <c r="H5" i="4"/>
  <c r="R5" i="4"/>
  <c r="AD5" i="4"/>
  <c r="K5" i="4"/>
  <c r="L5" i="4"/>
  <c r="AO5" i="4"/>
  <c r="AP5" i="4"/>
  <c r="AQ5" i="4"/>
  <c r="AR5" i="4"/>
  <c r="AT5" i="4"/>
  <c r="AU5" i="4"/>
  <c r="AV5" i="4"/>
  <c r="AW5" i="4"/>
  <c r="K6" i="4"/>
  <c r="L6" i="4"/>
  <c r="AO6" i="4"/>
  <c r="AT6" i="4"/>
  <c r="AU6" i="4"/>
  <c r="AV6" i="4"/>
  <c r="AW6" i="4"/>
  <c r="K7" i="4"/>
  <c r="L7" i="4"/>
  <c r="AO7" i="4"/>
  <c r="AP7" i="4"/>
  <c r="AT7" i="4"/>
  <c r="AU7" i="4"/>
  <c r="AV7" i="4"/>
  <c r="AW7" i="4"/>
  <c r="K8" i="4"/>
  <c r="L8" i="4"/>
  <c r="AO8" i="4"/>
  <c r="AQ8" i="4"/>
  <c r="AT8" i="4"/>
  <c r="AU8" i="4"/>
  <c r="AV8" i="4"/>
  <c r="AW8" i="4"/>
  <c r="K9" i="4"/>
  <c r="L9" i="4"/>
  <c r="AO9" i="4"/>
  <c r="AT9" i="4"/>
  <c r="AU9" i="4"/>
  <c r="AV9" i="4"/>
  <c r="AW9" i="4"/>
  <c r="K10" i="4"/>
  <c r="L10" i="4"/>
  <c r="AO10" i="4"/>
  <c r="AT10" i="4"/>
  <c r="AU10" i="4"/>
  <c r="AV10" i="4"/>
  <c r="AW10" i="4"/>
  <c r="K11" i="4"/>
  <c r="L11" i="4"/>
  <c r="AO11" i="4"/>
  <c r="AT11" i="4"/>
  <c r="AU11" i="4"/>
  <c r="AV11" i="4"/>
  <c r="AW11" i="4"/>
  <c r="K12" i="4"/>
  <c r="L12" i="4"/>
  <c r="AO12" i="4"/>
  <c r="AP12" i="4"/>
  <c r="AT12" i="4"/>
  <c r="AU12" i="4"/>
  <c r="AV12" i="4"/>
  <c r="AW12" i="4"/>
  <c r="K13" i="4"/>
  <c r="L13" i="4"/>
  <c r="AO13" i="4"/>
  <c r="AT13" i="4"/>
  <c r="AU13" i="4"/>
  <c r="AV13" i="4"/>
  <c r="AW13" i="4"/>
  <c r="K14" i="4"/>
  <c r="L14" i="4"/>
  <c r="AO14" i="4"/>
  <c r="AT14" i="4"/>
  <c r="AU14" i="4"/>
  <c r="AV14" i="4"/>
  <c r="AW14" i="4"/>
  <c r="K15" i="4"/>
  <c r="L15" i="4"/>
  <c r="AO15" i="4"/>
  <c r="AT15" i="4"/>
  <c r="AU15" i="4"/>
  <c r="AV15" i="4"/>
  <c r="AW15" i="4"/>
  <c r="K16" i="4"/>
  <c r="L16" i="4"/>
  <c r="AO16" i="4"/>
  <c r="AT16" i="4"/>
  <c r="AU16" i="4"/>
  <c r="AV16" i="4"/>
  <c r="AW16" i="4"/>
  <c r="K17" i="4"/>
  <c r="L17" i="4"/>
  <c r="AO17" i="4"/>
  <c r="AT17" i="4"/>
  <c r="AU17" i="4"/>
  <c r="AV17" i="4"/>
  <c r="AW17" i="4"/>
  <c r="K18" i="4"/>
  <c r="L18" i="4"/>
  <c r="AO18" i="4"/>
  <c r="AT18" i="4"/>
  <c r="AU18" i="4"/>
  <c r="AV18" i="4"/>
  <c r="AW18" i="4"/>
  <c r="K19" i="4"/>
  <c r="L19" i="4"/>
  <c r="AO19" i="4"/>
  <c r="AR19" i="4"/>
  <c r="AT19" i="4"/>
  <c r="AU19" i="4"/>
  <c r="AV19" i="4"/>
  <c r="AW19" i="4"/>
  <c r="K20" i="4"/>
  <c r="L20" i="4"/>
  <c r="AO20" i="4"/>
  <c r="AP20" i="4"/>
  <c r="AT20" i="4"/>
  <c r="AU20" i="4"/>
  <c r="AV20" i="4"/>
  <c r="AW20" i="4"/>
  <c r="K21" i="4"/>
  <c r="L21" i="4"/>
  <c r="AO21" i="4"/>
  <c r="AT21" i="4"/>
  <c r="AU21" i="4"/>
  <c r="AV21" i="4"/>
  <c r="AW21" i="4"/>
  <c r="K22" i="4"/>
  <c r="L22" i="4"/>
  <c r="AO22" i="4"/>
  <c r="AT22" i="4"/>
  <c r="AU22" i="4"/>
  <c r="AV22" i="4"/>
  <c r="AW22" i="4"/>
  <c r="K23" i="4"/>
  <c r="L23" i="4"/>
  <c r="AO23" i="4"/>
  <c r="AT23" i="4"/>
  <c r="AU23" i="4"/>
  <c r="AV23" i="4"/>
  <c r="AW23" i="4"/>
  <c r="K24" i="4"/>
  <c r="L24" i="4"/>
  <c r="AO24" i="4"/>
  <c r="AT24" i="4"/>
  <c r="AU24" i="4"/>
  <c r="AV24" i="4"/>
  <c r="AW24" i="4"/>
  <c r="K25" i="4"/>
  <c r="L25" i="4"/>
  <c r="AO25" i="4"/>
  <c r="AT25" i="4"/>
  <c r="AU25" i="4"/>
  <c r="AV25" i="4"/>
  <c r="AW25" i="4"/>
  <c r="K26" i="4"/>
  <c r="L26" i="4"/>
  <c r="AO26" i="4"/>
  <c r="AT26" i="4"/>
  <c r="AU26" i="4"/>
  <c r="AV26" i="4"/>
  <c r="AW26" i="4"/>
  <c r="K27" i="4"/>
  <c r="L27" i="4"/>
  <c r="AO27" i="4"/>
  <c r="AT27" i="4"/>
  <c r="AU27" i="4"/>
  <c r="AV27" i="4"/>
  <c r="AW27" i="4"/>
  <c r="K28" i="4"/>
  <c r="L28" i="4"/>
  <c r="AO28" i="4"/>
  <c r="AT28" i="4"/>
  <c r="AU28" i="4"/>
  <c r="AV28" i="4"/>
  <c r="AW28" i="4"/>
  <c r="K29" i="4"/>
  <c r="L29" i="4"/>
  <c r="AO29" i="4"/>
  <c r="AT29" i="4"/>
  <c r="AU29" i="4"/>
  <c r="AV29" i="4"/>
  <c r="AW29" i="4"/>
  <c r="K30" i="4"/>
  <c r="L30" i="4"/>
  <c r="AO30" i="4"/>
  <c r="AT30" i="4"/>
  <c r="AU30" i="4"/>
  <c r="AV30" i="4"/>
  <c r="AW30" i="4"/>
  <c r="K31" i="4"/>
  <c r="L31" i="4"/>
  <c r="AM31" i="4"/>
  <c r="AN31" i="4"/>
  <c r="AO31" i="4"/>
  <c r="AP31" i="4"/>
  <c r="AT31" i="4"/>
  <c r="AU31" i="4"/>
  <c r="AV31" i="4"/>
  <c r="AW31" i="4"/>
  <c r="K32" i="4"/>
  <c r="L32" i="4"/>
  <c r="AM32" i="4"/>
  <c r="AN32" i="4"/>
  <c r="AO32" i="4"/>
  <c r="AT32" i="4"/>
  <c r="AU32" i="4"/>
  <c r="AV32" i="4"/>
  <c r="AW32" i="4"/>
  <c r="K33" i="4"/>
  <c r="L33" i="4"/>
  <c r="AM33" i="4"/>
  <c r="AN33" i="4"/>
  <c r="AO33" i="4"/>
  <c r="AT33" i="4"/>
  <c r="AU33" i="4"/>
  <c r="AV33" i="4"/>
  <c r="AW33" i="4"/>
  <c r="K34" i="4"/>
  <c r="L34" i="4"/>
  <c r="AM34" i="4"/>
  <c r="AN34" i="4"/>
  <c r="AO34" i="4"/>
  <c r="AT34" i="4"/>
  <c r="AU34" i="4"/>
  <c r="AV34" i="4"/>
  <c r="AW34" i="4"/>
  <c r="K35" i="4"/>
  <c r="L35" i="4"/>
  <c r="AM35" i="4"/>
  <c r="AN35" i="4"/>
  <c r="AO35" i="4"/>
  <c r="AT35" i="4"/>
  <c r="AU35" i="4"/>
  <c r="AV35" i="4"/>
  <c r="AW35" i="4"/>
  <c r="K36" i="4"/>
  <c r="L36" i="4"/>
  <c r="AM36" i="4"/>
  <c r="AN36" i="4"/>
  <c r="AO36" i="4"/>
  <c r="AP36" i="4"/>
  <c r="AT36" i="4"/>
  <c r="AU36" i="4"/>
  <c r="AV36" i="4"/>
  <c r="AW36" i="4"/>
  <c r="K37" i="4"/>
  <c r="L37" i="4"/>
  <c r="AM37" i="4"/>
  <c r="AN37" i="4"/>
  <c r="AO37" i="4"/>
  <c r="AT37" i="4"/>
  <c r="AU37" i="4"/>
  <c r="AV37" i="4"/>
  <c r="AW37" i="4"/>
  <c r="K38" i="4"/>
  <c r="L38" i="4"/>
  <c r="AM38" i="4"/>
  <c r="AN38" i="4"/>
  <c r="AO38" i="4"/>
  <c r="AT38" i="4"/>
  <c r="AU38" i="4"/>
  <c r="AV38" i="4"/>
  <c r="AW38" i="4"/>
  <c r="K39" i="4"/>
  <c r="L39" i="4"/>
  <c r="AM39" i="4"/>
  <c r="AN39" i="4"/>
  <c r="AO39" i="4"/>
  <c r="AT39" i="4"/>
  <c r="AU39" i="4"/>
  <c r="AV39" i="4"/>
  <c r="AW39" i="4"/>
  <c r="K40" i="4"/>
  <c r="L40" i="4"/>
  <c r="AM40" i="4"/>
  <c r="AN40" i="4"/>
  <c r="AO40" i="4"/>
  <c r="AT40" i="4"/>
  <c r="AU40" i="4"/>
  <c r="AV40" i="4"/>
  <c r="AW40" i="4"/>
  <c r="K41" i="4"/>
  <c r="L41" i="4"/>
  <c r="AM41" i="4"/>
  <c r="AN41" i="4"/>
  <c r="AO41" i="4"/>
  <c r="AQ41" i="4"/>
  <c r="AT41" i="4"/>
  <c r="AU41" i="4"/>
  <c r="AV41" i="4"/>
  <c r="AW41" i="4"/>
  <c r="K42" i="4"/>
  <c r="L42" i="4"/>
  <c r="AM42" i="4"/>
  <c r="AN42" i="4"/>
  <c r="AO42" i="4"/>
  <c r="AT42" i="4"/>
  <c r="AU42" i="4"/>
  <c r="AV42" i="4"/>
  <c r="AW42" i="4"/>
  <c r="K43" i="4"/>
  <c r="L43" i="4"/>
  <c r="AM43" i="4"/>
  <c r="AN43" i="4"/>
  <c r="AO43" i="4"/>
  <c r="AR43" i="4"/>
  <c r="AT43" i="4"/>
  <c r="AU43" i="4"/>
  <c r="AV43" i="4"/>
  <c r="AW43" i="4"/>
  <c r="K44" i="4"/>
  <c r="L44" i="4"/>
  <c r="AM44" i="4"/>
  <c r="AN44" i="4"/>
  <c r="AO44" i="4"/>
  <c r="AT44" i="4"/>
  <c r="AU44" i="4"/>
  <c r="AV44" i="4"/>
  <c r="AW44" i="4"/>
  <c r="K45" i="4"/>
  <c r="L45" i="4"/>
  <c r="AM45" i="4"/>
  <c r="AN45" i="4"/>
  <c r="AO45" i="4"/>
  <c r="AT45" i="4"/>
  <c r="AU45" i="4"/>
  <c r="AV45" i="4"/>
  <c r="AW45" i="4"/>
  <c r="K46" i="4"/>
  <c r="L46" i="4"/>
  <c r="AM46" i="4"/>
  <c r="AN46" i="4"/>
  <c r="AO46" i="4"/>
  <c r="AT46" i="4"/>
  <c r="AU46" i="4"/>
  <c r="AV46" i="4"/>
  <c r="AW46" i="4"/>
  <c r="K47" i="4"/>
  <c r="L47" i="4"/>
  <c r="AM47" i="4"/>
  <c r="AN47" i="4"/>
  <c r="AO47" i="4"/>
  <c r="AT47" i="4"/>
  <c r="AU47" i="4"/>
  <c r="AV47" i="4"/>
  <c r="AW47" i="4"/>
  <c r="K48" i="4"/>
  <c r="L48" i="4"/>
  <c r="AM48" i="4"/>
  <c r="AN48" i="4"/>
  <c r="AO48" i="4"/>
  <c r="AT48" i="4"/>
  <c r="AU48" i="4"/>
  <c r="AV48" i="4"/>
  <c r="AW48" i="4"/>
  <c r="K49" i="4"/>
  <c r="L49" i="4"/>
  <c r="AM49" i="4"/>
  <c r="AN49" i="4"/>
  <c r="AO49" i="4"/>
  <c r="AT49" i="4"/>
  <c r="AU49" i="4"/>
  <c r="AV49" i="4"/>
  <c r="AW49" i="4"/>
  <c r="K50" i="4"/>
  <c r="L50" i="4"/>
  <c r="AM50" i="4"/>
  <c r="AN50" i="4"/>
  <c r="AO50" i="4"/>
  <c r="AT50" i="4"/>
  <c r="AU50" i="4"/>
  <c r="AV50" i="4"/>
  <c r="AW50" i="4"/>
  <c r="K51" i="4"/>
  <c r="L51" i="4"/>
  <c r="AM51" i="4"/>
  <c r="AN51" i="4"/>
  <c r="AO51" i="4"/>
  <c r="AT51" i="4"/>
  <c r="AU51" i="4"/>
  <c r="AV51" i="4"/>
  <c r="AW51" i="4"/>
  <c r="K52" i="4"/>
  <c r="L52" i="4"/>
  <c r="AM52" i="4"/>
  <c r="AN52" i="4"/>
  <c r="AO52" i="4"/>
  <c r="AT52" i="4"/>
  <c r="AU52" i="4"/>
  <c r="AV52" i="4"/>
  <c r="AW52" i="4"/>
  <c r="K53" i="4"/>
  <c r="L53" i="4"/>
  <c r="AM53" i="4"/>
  <c r="AN53" i="4"/>
  <c r="AO53" i="4"/>
  <c r="AT53" i="4"/>
  <c r="AU53" i="4"/>
  <c r="AV53" i="4"/>
  <c r="AW53" i="4"/>
  <c r="K54" i="4"/>
  <c r="L54" i="4"/>
  <c r="AM54" i="4"/>
  <c r="AN54" i="4"/>
  <c r="AO54" i="4"/>
  <c r="AT54" i="4"/>
  <c r="AU54" i="4"/>
  <c r="AV54" i="4"/>
  <c r="AW54" i="4"/>
  <c r="K55" i="4"/>
  <c r="L55" i="4"/>
  <c r="AM55" i="4"/>
  <c r="AN55" i="4"/>
  <c r="AO55" i="4"/>
  <c r="AT55" i="4"/>
  <c r="AU55" i="4"/>
  <c r="AV55" i="4"/>
  <c r="AW55" i="4"/>
  <c r="K56" i="4"/>
  <c r="L56" i="4"/>
  <c r="AM56" i="4"/>
  <c r="AN56" i="4"/>
  <c r="AO56" i="4"/>
  <c r="AT56" i="4"/>
  <c r="AU56" i="4"/>
  <c r="AV56" i="4"/>
  <c r="AW56" i="4"/>
  <c r="K57" i="4"/>
  <c r="L57" i="4"/>
  <c r="AM57" i="4"/>
  <c r="AN57" i="4"/>
  <c r="AO57" i="4"/>
  <c r="AP57" i="4"/>
  <c r="AT57" i="4"/>
  <c r="AU57" i="4"/>
  <c r="AV57" i="4"/>
  <c r="AW57" i="4"/>
  <c r="K58" i="4"/>
  <c r="L58" i="4"/>
  <c r="AM58" i="4"/>
  <c r="AN58" i="4"/>
  <c r="AO58" i="4"/>
  <c r="AT58" i="4"/>
  <c r="AU58" i="4"/>
  <c r="AV58" i="4"/>
  <c r="AW58" i="4"/>
  <c r="K59" i="4"/>
  <c r="L59" i="4"/>
  <c r="AM59" i="4"/>
  <c r="AN59" i="4"/>
  <c r="AO59" i="4"/>
  <c r="AR59" i="4"/>
  <c r="AT59" i="4"/>
  <c r="AU59" i="4"/>
  <c r="AV59" i="4"/>
  <c r="AW59" i="4"/>
  <c r="K60" i="4"/>
  <c r="L60" i="4"/>
  <c r="AM60" i="4"/>
  <c r="AN60" i="4"/>
  <c r="AO60" i="4"/>
  <c r="AT60" i="4"/>
  <c r="AU60" i="4"/>
  <c r="AV60" i="4"/>
  <c r="AW60" i="4"/>
  <c r="K61" i="4"/>
  <c r="L61" i="4"/>
  <c r="AM61" i="4"/>
  <c r="AN61" i="4"/>
  <c r="AO61" i="4"/>
  <c r="AT61" i="4"/>
  <c r="AU61" i="4"/>
  <c r="AV61" i="4"/>
  <c r="AW61" i="4"/>
  <c r="I4" i="3"/>
  <c r="J4" i="3"/>
  <c r="H6" i="3"/>
  <c r="H7" i="3"/>
  <c r="L7" i="3"/>
  <c r="H8" i="3"/>
  <c r="K8" i="3"/>
  <c r="I6" i="3"/>
  <c r="J6" i="3"/>
  <c r="I7" i="3"/>
  <c r="J7" i="3"/>
  <c r="I3" i="3"/>
  <c r="J3" i="3"/>
  <c r="H3" i="3"/>
  <c r="K3" i="3"/>
  <c r="L8" i="3"/>
  <c r="H4" i="3"/>
  <c r="L4" i="3"/>
  <c r="H5" i="3"/>
  <c r="L5" i="3"/>
  <c r="K5" i="3"/>
  <c r="M6" i="3"/>
  <c r="O6" i="3"/>
  <c r="K4" i="3"/>
  <c r="K7" i="3"/>
  <c r="I5" i="3"/>
  <c r="J5" i="3"/>
  <c r="O5" i="3"/>
  <c r="L3" i="3"/>
  <c r="L6" i="3"/>
  <c r="M7" i="3"/>
  <c r="O7" i="3"/>
  <c r="O3" i="3"/>
  <c r="M3" i="3"/>
  <c r="O4" i="3"/>
  <c r="M4" i="3"/>
  <c r="I8" i="3"/>
  <c r="J8" i="3"/>
  <c r="M8" i="3"/>
  <c r="K6" i="3"/>
  <c r="M5" i="3"/>
  <c r="R85" i="4"/>
  <c r="AD85" i="4"/>
  <c r="P97" i="4"/>
  <c r="AB97" i="4"/>
  <c r="R97" i="4"/>
  <c r="AD97" i="4"/>
  <c r="S5" i="4"/>
  <c r="AE5" i="4"/>
  <c r="O26" i="4"/>
  <c r="AA26" i="4"/>
  <c r="T83" i="4"/>
  <c r="AF83" i="4"/>
  <c r="R91" i="4"/>
  <c r="AD91" i="4"/>
  <c r="T82" i="4"/>
  <c r="AF82" i="4"/>
  <c r="Q98" i="4"/>
  <c r="AC98" i="4"/>
  <c r="P82" i="4"/>
  <c r="AB82" i="4"/>
  <c r="AK43" i="4"/>
  <c r="R86" i="4"/>
  <c r="AD86" i="4"/>
  <c r="O98" i="4"/>
  <c r="AA98" i="4"/>
  <c r="P52" i="4"/>
  <c r="AB52" i="4"/>
  <c r="AK92" i="4"/>
  <c r="AK84" i="4"/>
  <c r="P17" i="4"/>
  <c r="AB17" i="4"/>
  <c r="P80" i="4"/>
  <c r="AB80" i="4"/>
  <c r="T102" i="4"/>
  <c r="AF102" i="4"/>
  <c r="R39" i="4"/>
  <c r="AD39" i="4"/>
  <c r="Q89" i="4"/>
  <c r="AC89" i="4"/>
  <c r="T99" i="4"/>
  <c r="AF99" i="4"/>
  <c r="O99" i="4"/>
  <c r="AA99" i="4"/>
  <c r="O90" i="4"/>
  <c r="AA90" i="4"/>
  <c r="Q86" i="4"/>
  <c r="AC86" i="4"/>
  <c r="R83" i="4"/>
  <c r="AD83" i="4"/>
  <c r="S54" i="4"/>
  <c r="AE54" i="4"/>
  <c r="O6" i="4"/>
  <c r="AA6" i="4"/>
  <c r="Q7" i="4"/>
  <c r="AC7" i="4"/>
  <c r="R88" i="4"/>
  <c r="AD88" i="4"/>
  <c r="P77" i="4"/>
  <c r="AB77" i="4"/>
  <c r="AK18" i="4"/>
  <c r="P48" i="4"/>
  <c r="AB48" i="4"/>
  <c r="T98" i="4"/>
  <c r="AF98" i="4"/>
  <c r="T6" i="4"/>
  <c r="AF6" i="4"/>
  <c r="Q105" i="4"/>
  <c r="AC105" i="4"/>
  <c r="AK55" i="4"/>
  <c r="O11" i="4"/>
  <c r="AA11" i="4"/>
  <c r="Q47" i="4"/>
  <c r="AC47" i="4"/>
  <c r="R44" i="4"/>
  <c r="AD44" i="4"/>
  <c r="T50" i="4"/>
  <c r="AF50" i="4"/>
  <c r="O54" i="4"/>
  <c r="AA54" i="4"/>
  <c r="P53" i="4"/>
  <c r="AB53" i="4"/>
  <c r="Q48" i="4"/>
  <c r="AC48" i="4"/>
  <c r="AK106" i="4"/>
  <c r="T72" i="4"/>
  <c r="AF72" i="4"/>
  <c r="R55" i="4"/>
  <c r="AD55" i="4"/>
  <c r="O77" i="4"/>
  <c r="AA77" i="4"/>
  <c r="R36" i="4"/>
  <c r="AD36" i="4"/>
  <c r="Q44" i="4"/>
  <c r="AC44" i="4"/>
  <c r="AK37" i="4"/>
  <c r="O92" i="4"/>
  <c r="AA92" i="4"/>
  <c r="O28" i="4"/>
  <c r="AA28" i="4"/>
  <c r="S38" i="4"/>
  <c r="AE38" i="4"/>
  <c r="O7" i="4"/>
  <c r="AA7" i="4"/>
  <c r="O83" i="4"/>
  <c r="AA83" i="4"/>
  <c r="O22" i="4"/>
  <c r="AA22" i="4"/>
  <c r="Q39" i="4"/>
  <c r="AC39" i="4"/>
  <c r="T15" i="4"/>
  <c r="AF15" i="4"/>
  <c r="Q73" i="4"/>
  <c r="AC73" i="4"/>
  <c r="S8" i="4"/>
  <c r="AE8" i="4"/>
  <c r="S21" i="4"/>
  <c r="AE21" i="4"/>
  <c r="R43" i="4"/>
  <c r="AD43" i="4"/>
  <c r="R41" i="4"/>
  <c r="AD41" i="4"/>
  <c r="AK82" i="4"/>
  <c r="AK80" i="4"/>
  <c r="T100" i="4"/>
  <c r="AF100" i="4"/>
  <c r="Q41" i="4"/>
  <c r="AC41" i="4"/>
  <c r="T38" i="4"/>
  <c r="AF38" i="4"/>
  <c r="P99" i="4"/>
  <c r="AB99" i="4"/>
  <c r="T88" i="4"/>
  <c r="AF88" i="4"/>
  <c r="P106" i="4"/>
  <c r="AB106" i="4"/>
  <c r="R101" i="4"/>
  <c r="AD101" i="4"/>
  <c r="O36" i="4"/>
  <c r="AA36" i="4"/>
  <c r="O73" i="4"/>
  <c r="AA73" i="4"/>
  <c r="T23" i="4"/>
  <c r="AF23" i="4"/>
  <c r="S44" i="4"/>
  <c r="AE44" i="4"/>
  <c r="P28" i="4"/>
  <c r="AB28" i="4"/>
  <c r="P107" i="4"/>
  <c r="AB107" i="4"/>
  <c r="Q38" i="4"/>
  <c r="AC38" i="4"/>
  <c r="Q42" i="4"/>
  <c r="AC42" i="4"/>
  <c r="P83" i="4"/>
  <c r="AB83" i="4"/>
  <c r="AK39" i="4"/>
  <c r="P41" i="4"/>
  <c r="AB41" i="4"/>
  <c r="AK7" i="4"/>
  <c r="S88" i="4"/>
  <c r="AE88" i="4"/>
  <c r="AK101" i="4"/>
  <c r="T78" i="4"/>
  <c r="AF78" i="4"/>
  <c r="S55" i="4"/>
  <c r="AE55" i="4"/>
  <c r="P24" i="4"/>
  <c r="AB24" i="4"/>
  <c r="AK83" i="4"/>
  <c r="AK79" i="4"/>
  <c r="R94" i="4"/>
  <c r="AD94" i="4"/>
  <c r="S39" i="4"/>
  <c r="AE39" i="4"/>
  <c r="AK91" i="4"/>
  <c r="T21" i="4"/>
  <c r="AF21" i="4"/>
  <c r="R99" i="4"/>
  <c r="AD99" i="4"/>
  <c r="S102" i="4"/>
  <c r="AE102" i="4"/>
  <c r="P38" i="4"/>
  <c r="AB38" i="4"/>
  <c r="R37" i="4"/>
  <c r="AD37" i="4"/>
  <c r="O80" i="4"/>
  <c r="AA80" i="4"/>
  <c r="AK111" i="4"/>
  <c r="O107" i="4"/>
  <c r="AA107" i="4"/>
  <c r="P44" i="4"/>
  <c r="AB44" i="4"/>
  <c r="T13" i="4"/>
  <c r="AF13" i="4"/>
  <c r="P16" i="4"/>
  <c r="AB16" i="4"/>
  <c r="P6" i="4"/>
  <c r="AB6" i="4"/>
  <c r="S25" i="4"/>
  <c r="AE25" i="4"/>
  <c r="P54" i="4"/>
  <c r="AB54" i="4"/>
  <c r="R26" i="4"/>
  <c r="AD26" i="4"/>
  <c r="Q53" i="4"/>
  <c r="AC53" i="4"/>
  <c r="S73" i="4"/>
  <c r="AE73" i="4"/>
  <c r="Q55" i="4"/>
  <c r="AC55" i="4"/>
  <c r="S86" i="4"/>
  <c r="AE86" i="4"/>
  <c r="Q26" i="4"/>
  <c r="AC26" i="4"/>
  <c r="AK19" i="4"/>
  <c r="AK48" i="4"/>
  <c r="T55" i="4"/>
  <c r="AF55" i="4"/>
  <c r="O55" i="4"/>
  <c r="AA55" i="4"/>
  <c r="AK29" i="4"/>
  <c r="Q68" i="4"/>
  <c r="AC68" i="4"/>
  <c r="T48" i="4"/>
  <c r="AF48" i="4"/>
  <c r="S10" i="4"/>
  <c r="AE10" i="4"/>
  <c r="T76" i="4"/>
  <c r="AF76" i="4"/>
  <c r="AK41" i="4"/>
  <c r="AK38" i="4"/>
  <c r="AK28" i="4"/>
  <c r="P27" i="4"/>
  <c r="AB27" i="4"/>
  <c r="O13" i="4"/>
  <c r="AA13" i="4"/>
  <c r="Q11" i="4"/>
  <c r="AC11" i="4"/>
  <c r="T68" i="4"/>
  <c r="AF68" i="4"/>
  <c r="AK67" i="4"/>
  <c r="AK66" i="4"/>
  <c r="AK65" i="4"/>
  <c r="AK13" i="4"/>
  <c r="Q13" i="4"/>
  <c r="AC13" i="4"/>
  <c r="P7" i="4"/>
  <c r="AB7" i="4"/>
  <c r="R90" i="4"/>
  <c r="AD90" i="4"/>
  <c r="O88" i="4"/>
  <c r="AA88" i="4"/>
  <c r="R6" i="4"/>
  <c r="AD6" i="4"/>
  <c r="S27" i="4"/>
  <c r="AE27" i="4"/>
  <c r="O106" i="4"/>
  <c r="AA106" i="4"/>
  <c r="Q76" i="4"/>
  <c r="AC76" i="4"/>
  <c r="S93" i="4"/>
  <c r="AE93" i="4"/>
  <c r="AK76" i="4"/>
  <c r="O18" i="4"/>
  <c r="AA18" i="4"/>
  <c r="Q69" i="4"/>
  <c r="AC69" i="4"/>
  <c r="R69" i="4"/>
  <c r="AD69" i="4"/>
  <c r="O69" i="4"/>
  <c r="AA69" i="4"/>
  <c r="R76" i="4"/>
  <c r="AD76" i="4"/>
  <c r="AK27" i="4"/>
  <c r="Q14" i="4"/>
  <c r="AC14" i="4"/>
  <c r="T106" i="4"/>
  <c r="AF106" i="4"/>
  <c r="S91" i="4"/>
  <c r="AE91" i="4"/>
  <c r="R27" i="4"/>
  <c r="AD27" i="4"/>
  <c r="R18" i="4"/>
  <c r="AD18" i="4"/>
  <c r="P108" i="4"/>
  <c r="AB108" i="4"/>
  <c r="O89" i="4"/>
  <c r="AA89" i="4"/>
  <c r="O76" i="4"/>
  <c r="AA76" i="4"/>
  <c r="AK105" i="4"/>
  <c r="AK100" i="4"/>
  <c r="R70" i="4"/>
  <c r="AD70" i="4"/>
  <c r="AK53" i="4"/>
  <c r="R38" i="4"/>
  <c r="AD38" i="4"/>
  <c r="AK26" i="4"/>
  <c r="AK22" i="4"/>
  <c r="AK21" i="4"/>
  <c r="O66" i="4"/>
  <c r="AA66" i="4"/>
  <c r="T14" i="4"/>
  <c r="AF14" i="4"/>
  <c r="O14" i="4"/>
  <c r="AA14" i="4"/>
  <c r="Q67" i="4"/>
  <c r="AC67" i="4"/>
  <c r="T67" i="4"/>
  <c r="AF67" i="4"/>
  <c r="S59" i="4"/>
  <c r="AE59" i="4"/>
  <c r="T89" i="4"/>
  <c r="AF89" i="4"/>
  <c r="Q27" i="4"/>
  <c r="AC27" i="4"/>
  <c r="R107" i="4"/>
  <c r="AD107" i="4"/>
  <c r="P111" i="4"/>
  <c r="AB111" i="4"/>
  <c r="S76" i="4"/>
  <c r="AE76" i="4"/>
  <c r="S14" i="4"/>
  <c r="AE14" i="4"/>
  <c r="S66" i="4"/>
  <c r="AE66" i="4"/>
  <c r="R106" i="4"/>
  <c r="AD106" i="4"/>
  <c r="R67" i="4"/>
  <c r="AD67" i="4"/>
  <c r="R14" i="4"/>
  <c r="AD14" i="4"/>
  <c r="S92" i="4"/>
  <c r="AE92" i="4"/>
  <c r="Q106" i="4"/>
  <c r="AC106" i="4"/>
  <c r="R10" i="4"/>
  <c r="AD10" i="4"/>
  <c r="O91" i="4"/>
  <c r="AA91" i="4"/>
  <c r="S107" i="4"/>
  <c r="AE107" i="4"/>
  <c r="R13" i="4"/>
  <c r="AD13" i="4"/>
  <c r="Q111" i="4"/>
  <c r="AC111" i="4"/>
  <c r="Q63" i="4"/>
  <c r="AC63" i="4"/>
  <c r="P63" i="4"/>
  <c r="AB63" i="4"/>
  <c r="T62" i="4"/>
  <c r="AF62" i="4"/>
  <c r="S62" i="4"/>
  <c r="AE62" i="4"/>
  <c r="P62" i="4"/>
  <c r="AB62" i="4"/>
  <c r="P61" i="4"/>
  <c r="AB61" i="4"/>
  <c r="S61" i="4"/>
  <c r="AE61" i="4"/>
  <c r="O61" i="4"/>
  <c r="AA61" i="4"/>
  <c r="Q58" i="4"/>
  <c r="AC58" i="4"/>
  <c r="S58" i="4"/>
  <c r="AE58" i="4"/>
  <c r="R20" i="4"/>
  <c r="AD20" i="4"/>
  <c r="S20" i="4"/>
  <c r="AE20" i="4"/>
  <c r="O20" i="4"/>
  <c r="AA20" i="4"/>
  <c r="T20" i="4"/>
  <c r="AF20" i="4"/>
  <c r="Q20" i="4"/>
  <c r="AC20" i="4"/>
  <c r="O56" i="4"/>
  <c r="AA56" i="4"/>
  <c r="AK56" i="4"/>
  <c r="Q17" i="4"/>
  <c r="AC17" i="4"/>
  <c r="O17" i="4"/>
  <c r="AA17" i="4"/>
  <c r="AK17" i="4"/>
  <c r="R17" i="4"/>
  <c r="AD17" i="4"/>
  <c r="P9" i="4"/>
  <c r="AB9" i="4"/>
  <c r="R19" i="4"/>
  <c r="AD19" i="4"/>
  <c r="S12" i="4"/>
  <c r="AE12" i="4"/>
  <c r="O97" i="4"/>
  <c r="AA97" i="4"/>
  <c r="R80" i="4"/>
  <c r="AD80" i="4"/>
  <c r="S80" i="4"/>
  <c r="AE80" i="4"/>
  <c r="T80" i="4"/>
  <c r="AF80" i="4"/>
  <c r="S74" i="4"/>
  <c r="AE74" i="4"/>
  <c r="T74" i="4"/>
  <c r="AF74" i="4"/>
  <c r="Q74" i="4"/>
  <c r="AC74" i="4"/>
  <c r="R74" i="4"/>
  <c r="AD74" i="4"/>
  <c r="AK36" i="4"/>
  <c r="S36" i="4"/>
  <c r="AE36" i="4"/>
  <c r="T35" i="4"/>
  <c r="AF35" i="4"/>
  <c r="O35" i="4"/>
  <c r="AA35" i="4"/>
  <c r="R34" i="4"/>
  <c r="AD34" i="4"/>
  <c r="P34" i="4"/>
  <c r="AB34" i="4"/>
  <c r="AK58" i="4"/>
  <c r="Q61" i="4"/>
  <c r="AC61" i="4"/>
  <c r="P20" i="4"/>
  <c r="AB20" i="4"/>
  <c r="AK108" i="4"/>
  <c r="P58" i="4"/>
  <c r="AB58" i="4"/>
  <c r="T17" i="4"/>
  <c r="AF17" i="4"/>
  <c r="T56" i="4"/>
  <c r="AF56" i="4"/>
  <c r="T73" i="4"/>
  <c r="AF73" i="4"/>
  <c r="AK73" i="4"/>
  <c r="R73" i="4"/>
  <c r="AD73" i="4"/>
  <c r="Q72" i="4"/>
  <c r="AC72" i="4"/>
  <c r="P72" i="4"/>
  <c r="AB72" i="4"/>
  <c r="T49" i="4"/>
  <c r="AF49" i="4"/>
  <c r="AK49" i="4"/>
  <c r="R49" i="4"/>
  <c r="AD49" i="4"/>
  <c r="T32" i="4"/>
  <c r="AF32" i="4"/>
  <c r="O32" i="4"/>
  <c r="AA32" i="4"/>
  <c r="P31" i="4"/>
  <c r="AB31" i="4"/>
  <c r="Q31" i="4"/>
  <c r="AC31" i="4"/>
  <c r="R30" i="4"/>
  <c r="AD30" i="4"/>
  <c r="S30" i="4"/>
  <c r="AE30" i="4"/>
  <c r="AK20" i="4"/>
  <c r="R75" i="4"/>
  <c r="AD75" i="4"/>
  <c r="O75" i="4"/>
  <c r="AA75" i="4"/>
  <c r="Q75" i="4"/>
  <c r="AC75" i="4"/>
  <c r="Q18" i="4"/>
  <c r="AC18" i="4"/>
  <c r="T18" i="4"/>
  <c r="AF18" i="4"/>
  <c r="R9" i="4"/>
  <c r="AD9" i="4"/>
  <c r="Q9" i="4"/>
  <c r="AC9" i="4"/>
  <c r="T113" i="4"/>
  <c r="AF113" i="4"/>
  <c r="R113" i="4"/>
  <c r="AD113" i="4"/>
  <c r="O113" i="4"/>
  <c r="AA113" i="4"/>
  <c r="AK113" i="4"/>
  <c r="S112" i="4"/>
  <c r="AE112" i="4"/>
  <c r="T112" i="4"/>
  <c r="AF112" i="4"/>
  <c r="AK109" i="4"/>
  <c r="Q109" i="4"/>
  <c r="AC109" i="4"/>
  <c r="S56" i="4"/>
  <c r="AE56" i="4"/>
  <c r="S113" i="4"/>
  <c r="AE113" i="4"/>
  <c r="R58" i="4"/>
  <c r="AD58" i="4"/>
  <c r="S18" i="4"/>
  <c r="AE18" i="4"/>
  <c r="T108" i="4"/>
  <c r="AF108" i="4"/>
  <c r="P19" i="4"/>
  <c r="AB19" i="4"/>
  <c r="S101" i="4"/>
  <c r="AE101" i="4"/>
  <c r="P101" i="4"/>
  <c r="AB101" i="4"/>
  <c r="P100" i="4"/>
  <c r="AB100" i="4"/>
  <c r="R100" i="4"/>
  <c r="AD100" i="4"/>
  <c r="Q78" i="4"/>
  <c r="AC78" i="4"/>
  <c r="R78" i="4"/>
  <c r="AD78" i="4"/>
  <c r="AK35" i="4"/>
  <c r="AK34" i="4"/>
  <c r="O5" i="4"/>
  <c r="AA5" i="4"/>
  <c r="P5" i="4"/>
  <c r="AB5" i="4"/>
  <c r="Q5" i="4"/>
  <c r="AC5" i="4"/>
  <c r="O58" i="4"/>
  <c r="AA58" i="4"/>
  <c r="T5" i="4"/>
  <c r="AF5" i="4"/>
  <c r="P18" i="4"/>
  <c r="AB18" i="4"/>
  <c r="Q113" i="4"/>
  <c r="AC113" i="4"/>
  <c r="S99" i="4"/>
  <c r="AE99" i="4"/>
  <c r="AK99" i="4"/>
  <c r="S98" i="4"/>
  <c r="AE98" i="4"/>
  <c r="P98" i="4"/>
  <c r="AB98" i="4"/>
  <c r="T11" i="4"/>
  <c r="AF11" i="4"/>
  <c r="AK75" i="4"/>
  <c r="O19" i="4"/>
  <c r="AA19" i="4"/>
  <c r="AK5" i="4"/>
  <c r="Q62" i="4"/>
  <c r="AC62" i="4"/>
  <c r="S108" i="4"/>
  <c r="AE108" i="4"/>
  <c r="O114" i="4"/>
  <c r="AA114" i="4"/>
  <c r="Q97" i="4"/>
  <c r="AC97" i="4"/>
  <c r="S97" i="4"/>
  <c r="AE97" i="4"/>
  <c r="AK97" i="4"/>
  <c r="AK95" i="4"/>
  <c r="T95" i="4"/>
  <c r="AF95" i="4"/>
  <c r="P95" i="4"/>
  <c r="AB95" i="4"/>
  <c r="S65" i="4"/>
  <c r="AE65" i="4"/>
  <c r="Q65" i="4"/>
  <c r="AC65" i="4"/>
  <c r="O47" i="4"/>
  <c r="AA47" i="4"/>
  <c r="S47" i="4"/>
  <c r="AE47" i="4"/>
  <c r="T47" i="4"/>
  <c r="AF47" i="4"/>
  <c r="P47" i="4"/>
  <c r="AB47" i="4"/>
  <c r="Q12" i="4"/>
  <c r="AC12" i="4"/>
  <c r="P13" i="4"/>
  <c r="AB13" i="4"/>
  <c r="S28" i="4"/>
  <c r="AE28" i="4"/>
  <c r="AK24" i="4"/>
  <c r="Q82" i="4"/>
  <c r="AC82" i="4"/>
  <c r="T66" i="4"/>
  <c r="AF66" i="4"/>
  <c r="Q66" i="4"/>
  <c r="AC66" i="4"/>
  <c r="AK114" i="4"/>
  <c r="AK72" i="4"/>
  <c r="AK47" i="4"/>
  <c r="AK46" i="4"/>
  <c r="AK40" i="4"/>
  <c r="AK10" i="4"/>
  <c r="S83" i="4"/>
  <c r="AE83" i="4"/>
  <c r="AK90" i="4"/>
  <c r="Q88" i="4"/>
  <c r="AC88" i="4"/>
  <c r="P90" i="4"/>
  <c r="AB90" i="4"/>
  <c r="S82" i="4"/>
  <c r="AE82" i="4"/>
  <c r="T77" i="4"/>
  <c r="AF77" i="4"/>
  <c r="AK89" i="4"/>
  <c r="AK88" i="4"/>
  <c r="R66" i="4"/>
  <c r="AD66" i="4"/>
  <c r="S37" i="4"/>
  <c r="AE37" i="4"/>
  <c r="T24" i="4"/>
  <c r="AF24" i="4"/>
  <c r="AK14" i="4"/>
  <c r="AK6" i="4"/>
  <c r="AK77" i="4"/>
  <c r="Q107" i="4"/>
  <c r="AC107" i="4"/>
  <c r="T4" i="4"/>
  <c r="AF4" i="4"/>
  <c r="AK50" i="4"/>
  <c r="Q64" i="4"/>
  <c r="AC64" i="4"/>
  <c r="O112" i="4"/>
  <c r="AA112" i="4"/>
  <c r="S96" i="4"/>
  <c r="AE96" i="4"/>
  <c r="R112" i="4"/>
  <c r="AD112" i="4"/>
  <c r="T104" i="4"/>
  <c r="AF104" i="4"/>
  <c r="Q104" i="4"/>
  <c r="AC104" i="4"/>
  <c r="R104" i="4"/>
  <c r="AD104" i="4"/>
  <c r="S104" i="4"/>
  <c r="AE104" i="4"/>
  <c r="P87" i="4"/>
  <c r="AB87" i="4"/>
  <c r="S87" i="4"/>
  <c r="AE87" i="4"/>
  <c r="AK81" i="4"/>
  <c r="P81" i="4"/>
  <c r="AB81" i="4"/>
  <c r="R71" i="4"/>
  <c r="AD71" i="4"/>
  <c r="Q71" i="4"/>
  <c r="AC71" i="4"/>
  <c r="P71" i="4"/>
  <c r="AB71" i="4"/>
  <c r="T71" i="4"/>
  <c r="AF71" i="4"/>
  <c r="AK71" i="4"/>
  <c r="T64" i="4"/>
  <c r="AF64" i="4"/>
  <c r="Q57" i="4"/>
  <c r="AC57" i="4"/>
  <c r="R57" i="4"/>
  <c r="AD57" i="4"/>
  <c r="O52" i="4"/>
  <c r="AA52" i="4"/>
  <c r="S52" i="4"/>
  <c r="AE52" i="4"/>
  <c r="Q33" i="4"/>
  <c r="AC33" i="4"/>
  <c r="P33" i="4"/>
  <c r="AB33" i="4"/>
  <c r="R25" i="4"/>
  <c r="AD25" i="4"/>
  <c r="T25" i="4"/>
  <c r="AF25" i="4"/>
  <c r="S9" i="4"/>
  <c r="AE9" i="4"/>
  <c r="AK9" i="4"/>
  <c r="P4" i="4"/>
  <c r="AB4" i="4"/>
  <c r="R4" i="4"/>
  <c r="AD4" i="4"/>
  <c r="Q4" i="4"/>
  <c r="AC4" i="4"/>
  <c r="T103" i="4"/>
  <c r="AF103" i="4"/>
  <c r="Q103" i="4"/>
  <c r="AC103" i="4"/>
  <c r="S103" i="4"/>
  <c r="AE103" i="4"/>
  <c r="R96" i="4"/>
  <c r="AD96" i="4"/>
  <c r="AK96" i="4"/>
  <c r="R51" i="4"/>
  <c r="AD51" i="4"/>
  <c r="AK51" i="4"/>
  <c r="Q102" i="4"/>
  <c r="AC102" i="4"/>
  <c r="T40" i="4"/>
  <c r="AF40" i="4"/>
  <c r="S94" i="4"/>
  <c r="AE94" i="4"/>
  <c r="P75" i="4"/>
  <c r="AB75" i="4"/>
  <c r="Q25" i="4"/>
  <c r="AC25" i="4"/>
  <c r="P29" i="4"/>
  <c r="AB29" i="4"/>
  <c r="S63" i="4"/>
  <c r="AE63" i="4"/>
  <c r="Q50" i="4"/>
  <c r="AC50" i="4"/>
  <c r="AK32" i="4"/>
  <c r="O62" i="4"/>
  <c r="AA62" i="4"/>
  <c r="T33" i="4"/>
  <c r="AF33" i="4"/>
  <c r="P32" i="4"/>
  <c r="AB32" i="4"/>
  <c r="O33" i="4"/>
  <c r="AA33" i="4"/>
  <c r="AK87" i="4"/>
  <c r="AK112" i="4"/>
  <c r="Q81" i="4"/>
  <c r="AC81" i="4"/>
  <c r="Q112" i="4"/>
  <c r="AC112" i="4"/>
  <c r="P104" i="4"/>
  <c r="AB104" i="4"/>
  <c r="AK103" i="4"/>
  <c r="T52" i="4"/>
  <c r="AF52" i="4"/>
  <c r="R50" i="4"/>
  <c r="AD50" i="4"/>
  <c r="T101" i="4"/>
  <c r="AF101" i="4"/>
  <c r="O101" i="4"/>
  <c r="AA101" i="4"/>
  <c r="Q93" i="4"/>
  <c r="AC93" i="4"/>
  <c r="P93" i="4"/>
  <c r="AB93" i="4"/>
  <c r="AK69" i="4"/>
  <c r="S69" i="4"/>
  <c r="AE69" i="4"/>
  <c r="S68" i="4"/>
  <c r="AE68" i="4"/>
  <c r="AK68" i="4"/>
  <c r="P59" i="4"/>
  <c r="AB59" i="4"/>
  <c r="Q59" i="4"/>
  <c r="AC59" i="4"/>
  <c r="O59" i="4"/>
  <c r="AA59" i="4"/>
  <c r="T42" i="4"/>
  <c r="AF42" i="4"/>
  <c r="P42" i="4"/>
  <c r="AB42" i="4"/>
  <c r="O42" i="4"/>
  <c r="AA42" i="4"/>
  <c r="S22" i="4"/>
  <c r="AE22" i="4"/>
  <c r="R22" i="4"/>
  <c r="AD22" i="4"/>
  <c r="P22" i="4"/>
  <c r="AB22" i="4"/>
  <c r="Q22" i="4"/>
  <c r="AC22" i="4"/>
  <c r="AK16" i="4"/>
  <c r="Q16" i="4"/>
  <c r="AC16" i="4"/>
  <c r="T16" i="4"/>
  <c r="AF16" i="4"/>
  <c r="R12" i="4"/>
  <c r="AD12" i="4"/>
  <c r="T12" i="4"/>
  <c r="AF12" i="4"/>
  <c r="S7" i="4"/>
  <c r="AE7" i="4"/>
  <c r="T7" i="4"/>
  <c r="AF7" i="4"/>
  <c r="R103" i="4"/>
  <c r="AD103" i="4"/>
  <c r="P94" i="4"/>
  <c r="AB94" i="4"/>
  <c r="T96" i="4"/>
  <c r="AF96" i="4"/>
  <c r="O57" i="4"/>
  <c r="AA57" i="4"/>
  <c r="AK86" i="4"/>
  <c r="O63" i="4"/>
  <c r="AA63" i="4"/>
  <c r="Q51" i="4"/>
  <c r="AC51" i="4"/>
  <c r="S24" i="4"/>
  <c r="AE24" i="4"/>
  <c r="AK52" i="4"/>
  <c r="O9" i="4"/>
  <c r="AA9" i="4"/>
  <c r="O110" i="4"/>
  <c r="AA110" i="4"/>
  <c r="S33" i="4"/>
  <c r="AE33" i="4"/>
  <c r="P109" i="4"/>
  <c r="AB109" i="4"/>
  <c r="O40" i="4"/>
  <c r="AA40" i="4"/>
  <c r="R81" i="4"/>
  <c r="AD81" i="4"/>
  <c r="R33" i="4"/>
  <c r="AD33" i="4"/>
  <c r="S45" i="4"/>
  <c r="AE45" i="4"/>
  <c r="P57" i="4"/>
  <c r="AB57" i="4"/>
  <c r="O8" i="4"/>
  <c r="AA8" i="4"/>
  <c r="S64" i="4"/>
  <c r="AE64" i="4"/>
  <c r="Q84" i="4"/>
  <c r="AC84" i="4"/>
  <c r="O84" i="4"/>
  <c r="AA84" i="4"/>
  <c r="T84" i="4"/>
  <c r="AF84" i="4"/>
  <c r="S84" i="4"/>
  <c r="AE84" i="4"/>
  <c r="R79" i="4"/>
  <c r="AD79" i="4"/>
  <c r="Q79" i="4"/>
  <c r="AC79" i="4"/>
  <c r="S79" i="4"/>
  <c r="AE79" i="4"/>
  <c r="P79" i="4"/>
  <c r="AB79" i="4"/>
  <c r="AK61" i="4"/>
  <c r="R61" i="4"/>
  <c r="AD61" i="4"/>
  <c r="P60" i="4"/>
  <c r="AB60" i="4"/>
  <c r="AK60" i="4"/>
  <c r="Q49" i="4"/>
  <c r="AC49" i="4"/>
  <c r="P49" i="4"/>
  <c r="AB49" i="4"/>
  <c r="Q43" i="4"/>
  <c r="AC43" i="4"/>
  <c r="T43" i="4"/>
  <c r="AF43" i="4"/>
  <c r="O43" i="4"/>
  <c r="AA43" i="4"/>
  <c r="T29" i="4"/>
  <c r="AF29" i="4"/>
  <c r="R29" i="4"/>
  <c r="AD29" i="4"/>
  <c r="O29" i="4"/>
  <c r="AA29" i="4"/>
  <c r="Q29" i="4"/>
  <c r="AC29" i="4"/>
  <c r="Q23" i="4"/>
  <c r="AC23" i="4"/>
  <c r="P23" i="4"/>
  <c r="AB23" i="4"/>
  <c r="R23" i="4"/>
  <c r="AD23" i="4"/>
  <c r="AK94" i="4"/>
  <c r="P96" i="4"/>
  <c r="AB96" i="4"/>
  <c r="S57" i="4"/>
  <c r="AE57" i="4"/>
  <c r="P30" i="4"/>
  <c r="AB30" i="4"/>
  <c r="T86" i="4"/>
  <c r="AF86" i="4"/>
  <c r="R63" i="4"/>
  <c r="AD63" i="4"/>
  <c r="P68" i="4"/>
  <c r="AB68" i="4"/>
  <c r="Q60" i="4"/>
  <c r="AC60" i="4"/>
  <c r="Q24" i="4"/>
  <c r="AC24" i="4"/>
  <c r="S49" i="4"/>
  <c r="AE49" i="4"/>
  <c r="T51" i="4"/>
  <c r="AF51" i="4"/>
  <c r="T69" i="4"/>
  <c r="AF69" i="4"/>
  <c r="AK59" i="4"/>
  <c r="O60" i="4"/>
  <c r="AA60" i="4"/>
  <c r="P85" i="4"/>
  <c r="AB85" i="4"/>
  <c r="AK70" i="4"/>
  <c r="T94" i="4"/>
  <c r="AF94" i="4"/>
  <c r="O64" i="4"/>
  <c r="AA64" i="4"/>
  <c r="P110" i="4"/>
  <c r="AB110" i="4"/>
  <c r="Q30" i="4"/>
  <c r="AC30" i="4"/>
  <c r="AK33" i="4"/>
  <c r="AK23" i="4"/>
  <c r="P37" i="4"/>
  <c r="AB37" i="4"/>
  <c r="S81" i="4"/>
  <c r="AE81" i="4"/>
  <c r="T93" i="4"/>
  <c r="AF93" i="4"/>
  <c r="AK104" i="4"/>
  <c r="P15" i="4"/>
  <c r="AB15" i="4"/>
  <c r="Q54" i="4"/>
  <c r="AC54" i="4"/>
  <c r="O16" i="4"/>
  <c r="AA16" i="4"/>
  <c r="O15" i="4"/>
  <c r="AA15" i="4"/>
  <c r="R42" i="4"/>
  <c r="AD42" i="4"/>
  <c r="R16" i="4"/>
  <c r="AD16" i="4"/>
  <c r="R8" i="4"/>
  <c r="AD8" i="4"/>
  <c r="S100" i="4"/>
  <c r="AE100" i="4"/>
  <c r="O100" i="4"/>
  <c r="AA100" i="4"/>
  <c r="P92" i="4"/>
  <c r="AB92" i="4"/>
  <c r="Q92" i="4"/>
  <c r="AC92" i="4"/>
  <c r="T92" i="4"/>
  <c r="AF92" i="4"/>
  <c r="P91" i="4"/>
  <c r="AB91" i="4"/>
  <c r="Q91" i="4"/>
  <c r="AC91" i="4"/>
  <c r="Q90" i="4"/>
  <c r="AC90" i="4"/>
  <c r="S90" i="4"/>
  <c r="AE90" i="4"/>
  <c r="O82" i="4"/>
  <c r="AA82" i="4"/>
  <c r="S78" i="4"/>
  <c r="AE78" i="4"/>
  <c r="AK78" i="4"/>
  <c r="O78" i="4"/>
  <c r="AA78" i="4"/>
  <c r="O74" i="4"/>
  <c r="AA74" i="4"/>
  <c r="AK74" i="4"/>
  <c r="T58" i="4"/>
  <c r="AF58" i="4"/>
  <c r="T36" i="4"/>
  <c r="AF36" i="4"/>
  <c r="P36" i="4"/>
  <c r="AB36" i="4"/>
  <c r="O21" i="4"/>
  <c r="AA21" i="4"/>
  <c r="R21" i="4"/>
  <c r="AD21" i="4"/>
  <c r="Q21" i="4"/>
  <c r="AC21" i="4"/>
  <c r="S6" i="4"/>
  <c r="AE6" i="4"/>
  <c r="R40" i="4"/>
  <c r="AD40" i="4"/>
  <c r="AK42" i="4"/>
  <c r="Q96" i="4"/>
  <c r="AC96" i="4"/>
  <c r="T75" i="4"/>
  <c r="AF75" i="4"/>
  <c r="O50" i="4"/>
  <c r="AA50" i="4"/>
  <c r="R24" i="4"/>
  <c r="AD24" i="4"/>
  <c r="AK30" i="4"/>
  <c r="AK63" i="4"/>
  <c r="T60" i="4"/>
  <c r="AF60" i="4"/>
  <c r="O51" i="4"/>
  <c r="AA51" i="4"/>
  <c r="R68" i="4"/>
  <c r="AD68" i="4"/>
  <c r="P86" i="4"/>
  <c r="AB86" i="4"/>
  <c r="T61" i="4"/>
  <c r="AF61" i="4"/>
  <c r="P84" i="4"/>
  <c r="AB84" i="4"/>
  <c r="Q94" i="4"/>
  <c r="AC94" i="4"/>
  <c r="AK8" i="4"/>
  <c r="T110" i="4"/>
  <c r="AF110" i="4"/>
  <c r="AK64" i="4"/>
  <c r="T30" i="4"/>
  <c r="AF30" i="4"/>
  <c r="T87" i="4"/>
  <c r="AF87" i="4"/>
  <c r="O12" i="4"/>
  <c r="AA12" i="4"/>
  <c r="R93" i="4"/>
  <c r="AD93" i="4"/>
  <c r="O104" i="4"/>
  <c r="AA104" i="4"/>
  <c r="T81" i="4"/>
  <c r="AF81" i="4"/>
  <c r="R52" i="4"/>
  <c r="AD52" i="4"/>
  <c r="P43" i="4"/>
  <c r="AB43" i="4"/>
  <c r="T79" i="4"/>
  <c r="AF79" i="4"/>
  <c r="P89" i="4"/>
  <c r="AB89" i="4"/>
  <c r="S89" i="4"/>
  <c r="AE89" i="4"/>
  <c r="AK54" i="4"/>
  <c r="Q46" i="4"/>
  <c r="AC46" i="4"/>
  <c r="S46" i="4"/>
  <c r="AE46" i="4"/>
  <c r="R46" i="4"/>
  <c r="AD46" i="4"/>
  <c r="P46" i="4"/>
  <c r="AB46" i="4"/>
  <c r="O46" i="4"/>
  <c r="AA46" i="4"/>
  <c r="O41" i="4"/>
  <c r="AA41" i="4"/>
  <c r="S41" i="4"/>
  <c r="AE41" i="4"/>
  <c r="R35" i="4"/>
  <c r="AD35" i="4"/>
  <c r="Q35" i="4"/>
  <c r="AC35" i="4"/>
  <c r="S15" i="4"/>
  <c r="AE15" i="4"/>
  <c r="Q15" i="4"/>
  <c r="AC15" i="4"/>
  <c r="AK15" i="4"/>
  <c r="AK12" i="4"/>
  <c r="P40" i="4"/>
  <c r="AB40" i="4"/>
  <c r="AK25" i="4"/>
  <c r="P50" i="4"/>
  <c r="AB50" i="4"/>
  <c r="P51" i="4"/>
  <c r="AB51" i="4"/>
  <c r="S4" i="4"/>
  <c r="AE4" i="4"/>
  <c r="O71" i="4"/>
  <c r="AA71" i="4"/>
  <c r="S71" i="4"/>
  <c r="AE71" i="4"/>
  <c r="R111" i="4"/>
  <c r="AD111" i="4"/>
  <c r="O111" i="4"/>
  <c r="AA111" i="4"/>
  <c r="S111" i="4"/>
  <c r="AE111" i="4"/>
  <c r="T111" i="4"/>
  <c r="AF111" i="4"/>
  <c r="AK110" i="4"/>
  <c r="S110" i="4"/>
  <c r="AE110" i="4"/>
  <c r="Q110" i="4"/>
  <c r="AC110" i="4"/>
  <c r="R109" i="4"/>
  <c r="AD109" i="4"/>
  <c r="S109" i="4"/>
  <c r="AE109" i="4"/>
  <c r="O109" i="4"/>
  <c r="AA109" i="4"/>
  <c r="P102" i="4"/>
  <c r="AB102" i="4"/>
  <c r="AK102" i="4"/>
  <c r="O102" i="4"/>
  <c r="AA102" i="4"/>
  <c r="R95" i="4"/>
  <c r="AD95" i="4"/>
  <c r="Q95" i="4"/>
  <c r="AC95" i="4"/>
  <c r="S95" i="4"/>
  <c r="AE95" i="4"/>
  <c r="Q85" i="4"/>
  <c r="AC85" i="4"/>
  <c r="O85" i="4"/>
  <c r="AA85" i="4"/>
  <c r="S85" i="4"/>
  <c r="AE85" i="4"/>
  <c r="O70" i="4"/>
  <c r="AA70" i="4"/>
  <c r="P70" i="4"/>
  <c r="AB70" i="4"/>
  <c r="Q70" i="4"/>
  <c r="AC70" i="4"/>
  <c r="T70" i="4"/>
  <c r="AF70" i="4"/>
  <c r="AK62" i="4"/>
  <c r="R62" i="4"/>
  <c r="AD62" i="4"/>
  <c r="AK57" i="4"/>
  <c r="AK45" i="4"/>
  <c r="S32" i="4"/>
  <c r="AE32" i="4"/>
  <c r="R32" i="4"/>
  <c r="AD32" i="4"/>
  <c r="R31" i="4"/>
  <c r="AD31" i="4"/>
  <c r="S31" i="4"/>
  <c r="AE31" i="4"/>
  <c r="T31" i="4"/>
  <c r="AF31" i="4"/>
  <c r="O31" i="4"/>
  <c r="AA31" i="4"/>
  <c r="P103" i="4"/>
  <c r="AB103" i="4"/>
  <c r="T109" i="4"/>
  <c r="AF109" i="4"/>
  <c r="S75" i="4"/>
  <c r="AE75" i="4"/>
  <c r="S29" i="4"/>
  <c r="AE29" i="4"/>
  <c r="T63" i="4"/>
  <c r="AF63" i="4"/>
  <c r="P25" i="4"/>
  <c r="AB25" i="4"/>
  <c r="R59" i="4"/>
  <c r="AD59" i="4"/>
  <c r="R60" i="4"/>
  <c r="AD60" i="4"/>
  <c r="AK85" i="4"/>
  <c r="T8" i="4"/>
  <c r="AF8" i="4"/>
  <c r="S23" i="4"/>
  <c r="AE23" i="4"/>
  <c r="AK31" i="4"/>
  <c r="O87" i="4"/>
  <c r="AA87" i="4"/>
  <c r="AK93" i="4"/>
  <c r="O37" i="4"/>
  <c r="AA37" i="4"/>
  <c r="P35" i="4"/>
  <c r="AB35" i="4"/>
  <c r="Q37" i="4"/>
  <c r="AC37" i="4"/>
  <c r="S43" i="4"/>
  <c r="AE43" i="4"/>
  <c r="AK4" i="4"/>
  <c r="R64" i="4"/>
  <c r="AD64" i="4"/>
  <c r="P45" i="4"/>
  <c r="AB45" i="4"/>
  <c r="P8" i="4"/>
  <c r="AB8" i="4"/>
  <c r="R54" i="4"/>
  <c r="AD54" i="4"/>
  <c r="Q45" i="4"/>
  <c r="AC45" i="4"/>
  <c r="O45" i="4"/>
  <c r="AA45" i="4"/>
  <c r="T114" i="4"/>
  <c r="AF114" i="4"/>
  <c r="Q114" i="4"/>
  <c r="AC114" i="4"/>
  <c r="R114" i="4"/>
  <c r="AD114" i="4"/>
  <c r="P114" i="4"/>
  <c r="AB114" i="4"/>
  <c r="S105" i="4"/>
  <c r="AE105" i="4"/>
  <c r="P105" i="4"/>
  <c r="AB105" i="4"/>
  <c r="R105" i="4"/>
  <c r="AD105" i="4"/>
  <c r="T105" i="4"/>
  <c r="AF105" i="4"/>
  <c r="R87" i="4"/>
  <c r="AD87" i="4"/>
  <c r="O81" i="4"/>
  <c r="AA81" i="4"/>
  <c r="R77" i="4"/>
  <c r="AD77" i="4"/>
  <c r="Q77" i="4"/>
  <c r="AC77" i="4"/>
  <c r="R72" i="4"/>
  <c r="AD72" i="4"/>
  <c r="O72" i="4"/>
  <c r="AA72" i="4"/>
  <c r="P65" i="4"/>
  <c r="AB65" i="4"/>
  <c r="O65" i="4"/>
  <c r="AA65" i="4"/>
  <c r="R65" i="4"/>
  <c r="AD65" i="4"/>
  <c r="T57" i="4"/>
  <c r="AF57" i="4"/>
  <c r="R53" i="4"/>
  <c r="AD53" i="4"/>
  <c r="O53" i="4"/>
  <c r="AA53" i="4"/>
  <c r="T53" i="4"/>
  <c r="AF53" i="4"/>
  <c r="T45" i="4"/>
  <c r="AF45" i="4"/>
  <c r="Q40" i="4"/>
  <c r="AC40" i="4"/>
  <c r="O34" i="4"/>
  <c r="AA34" i="4"/>
  <c r="T34" i="4"/>
  <c r="AF34" i="4"/>
  <c r="Q34" i="4"/>
  <c r="AC34" i="4"/>
  <c r="P26" i="4"/>
  <c r="AB26" i="4"/>
  <c r="T26" i="4"/>
  <c r="AF26" i="4"/>
  <c r="T19" i="4"/>
  <c r="AF19" i="4"/>
  <c r="Q19" i="4"/>
  <c r="AC19" i="4"/>
  <c r="Q10" i="4"/>
  <c r="AC10" i="4"/>
  <c r="T10" i="4"/>
  <c r="AF10" i="4"/>
  <c r="O10" i="4"/>
  <c r="AA10" i="4"/>
  <c r="AK107" i="4"/>
  <c r="O27" i="4"/>
  <c r="AA27" i="4"/>
  <c r="R108" i="4"/>
  <c r="AD108" i="4"/>
  <c r="Q108" i="4"/>
  <c r="AC108" i="4"/>
  <c r="AK98" i="4"/>
  <c r="P67" i="4"/>
  <c r="AB67" i="4"/>
  <c r="S67" i="4"/>
  <c r="AE67" i="4"/>
  <c r="R48" i="4"/>
  <c r="AD48" i="4"/>
  <c r="S48" i="4"/>
  <c r="AE48" i="4"/>
  <c r="AK44" i="4"/>
  <c r="T44" i="4"/>
  <c r="AF44" i="4"/>
  <c r="T39" i="4"/>
  <c r="AF39" i="4"/>
  <c r="P39" i="4"/>
  <c r="AB39" i="4"/>
  <c r="T28" i="4"/>
  <c r="AF28" i="4"/>
  <c r="Q28" i="4"/>
  <c r="AC28" i="4"/>
  <c r="AK11" i="4"/>
  <c r="R11" i="4"/>
  <c r="AD11" i="4"/>
  <c r="P11" i="4"/>
  <c r="AB11" i="4"/>
  <c r="R56" i="4"/>
  <c r="AD56" i="4"/>
  <c r="Q56" i="4"/>
  <c r="AC56" i="4"/>
</calcChain>
</file>

<file path=xl/sharedStrings.xml><?xml version="1.0" encoding="utf-8"?>
<sst xmlns="http://schemas.openxmlformats.org/spreadsheetml/2006/main" count="554" uniqueCount="246">
  <si>
    <t>英雄名称
[字符串]</t>
  </si>
  <si>
    <t>s</t>
  </si>
  <si>
    <t>i</t>
  </si>
  <si>
    <t>[]</t>
  </si>
  <si>
    <t>六耳猕猴</t>
  </si>
  <si>
    <t>白骨夫人</t>
  </si>
  <si>
    <t>紫霞仙子</t>
  </si>
  <si>
    <t>虎力大仙</t>
  </si>
  <si>
    <t>羊力大仙</t>
  </si>
  <si>
    <t>鹿力大仙</t>
  </si>
  <si>
    <t>铁扇公主</t>
  </si>
  <si>
    <t>红孩儿</t>
  </si>
  <si>
    <t>哪吒</t>
  </si>
  <si>
    <t>猪八戒</t>
  </si>
  <si>
    <t>墨鱼精</t>
  </si>
  <si>
    <t>玉面夫人</t>
  </si>
  <si>
    <t>阎罗王</t>
  </si>
  <si>
    <t>蝎子精</t>
  </si>
  <si>
    <t>东海龙王</t>
  </si>
  <si>
    <t>二郎神</t>
  </si>
  <si>
    <t>唐三藏</t>
  </si>
  <si>
    <t>混沌</t>
  </si>
  <si>
    <t>小白龙</t>
  </si>
  <si>
    <t>玉皇大帝</t>
  </si>
  <si>
    <t>赛太岁</t>
  </si>
  <si>
    <t>地藏王</t>
  </si>
  <si>
    <t>混世魔王</t>
  </si>
  <si>
    <t>雷公</t>
  </si>
  <si>
    <t>白龙公主</t>
  </si>
  <si>
    <t>黑熊精</t>
  </si>
  <si>
    <t>嫦娥</t>
  </si>
  <si>
    <t>王母娘娘</t>
  </si>
  <si>
    <t>太白金星</t>
  </si>
  <si>
    <t>赤脚大仙</t>
  </si>
  <si>
    <t>九天玄女</t>
  </si>
  <si>
    <t>孙悟空</t>
  </si>
  <si>
    <t>迦叶</t>
  </si>
  <si>
    <t>文殊菩萨</t>
  </si>
  <si>
    <t>弥勒佛</t>
  </si>
  <si>
    <t>蜘蛛精</t>
  </si>
  <si>
    <t>狮人-光启</t>
  </si>
  <si>
    <t>狮人-立辉</t>
  </si>
  <si>
    <t>鲛人-嫦曦</t>
  </si>
  <si>
    <t>鲛人-月婵</t>
  </si>
  <si>
    <t>天兵-金斌</t>
  </si>
  <si>
    <t>天兵-政仲</t>
  </si>
  <si>
    <t>天兵-火夕</t>
  </si>
  <si>
    <t>狼人-霍金</t>
  </si>
  <si>
    <t>狼人-霍文</t>
  </si>
  <si>
    <t>狼人-霍达</t>
  </si>
  <si>
    <t>狼人-霍格</t>
  </si>
  <si>
    <t>狼人-霍武</t>
  </si>
  <si>
    <t>蜘蛛-元瑶</t>
  </si>
  <si>
    <t>蜘蛛-怜寒</t>
  </si>
  <si>
    <t>蜘蛛-盼香</t>
  </si>
  <si>
    <t>女鬼-歆瑶</t>
  </si>
  <si>
    <t>女鬼-桑榆</t>
  </si>
  <si>
    <t>女鬼-语嫣</t>
  </si>
  <si>
    <t>女鬼-凌菲</t>
  </si>
  <si>
    <t>金蝉子</t>
  </si>
  <si>
    <t>龙帝</t>
  </si>
  <si>
    <t>进阶上限
[整形]</t>
  </si>
  <si>
    <t>仇恨值系数
（用于仇恨值计算）
数值为浮点型</t>
  </si>
  <si>
    <t>name</t>
  </si>
  <si>
    <t>atk_range</t>
  </si>
  <si>
    <t>女主角</t>
  </si>
  <si>
    <t>男主角</t>
  </si>
  <si>
    <t>女儿国国王</t>
  </si>
  <si>
    <t>马面</t>
  </si>
  <si>
    <t>牛头</t>
  </si>
  <si>
    <t>金钱豹王</t>
  </si>
  <si>
    <t>琴仙</t>
  </si>
  <si>
    <t>山贼</t>
  </si>
  <si>
    <t>夜叉-金利</t>
  </si>
  <si>
    <t>夜叉-碧涛</t>
  </si>
  <si>
    <t>猴兵</t>
  </si>
  <si>
    <t>[]</t>
    <phoneticPr fontId="1" type="noConversion"/>
  </si>
  <si>
    <t>英雄名称
[字符串]</t>
    <phoneticPr fontId="5" type="noConversion"/>
  </si>
  <si>
    <t xml:space="preserve">生命初始值
[整型] </t>
    <phoneticPr fontId="5" type="noConversion"/>
  </si>
  <si>
    <t>攻击力初始值        
[整型]</t>
    <phoneticPr fontId="5" type="noConversion"/>
  </si>
  <si>
    <t xml:space="preserve">物理防御初始值
[整型] </t>
    <phoneticPr fontId="5" type="noConversion"/>
  </si>
  <si>
    <t xml:space="preserve">魔法防御初始值
[整型] </t>
    <phoneticPr fontId="5" type="noConversion"/>
  </si>
  <si>
    <t>天兵</t>
  </si>
  <si>
    <t>角色初始仇恨值
数值为整形</t>
    <phoneticPr fontId="5" type="noConversion"/>
  </si>
  <si>
    <t>仇恨值系数
数值为浮点型</t>
    <phoneticPr fontId="5" type="noConversion"/>
  </si>
  <si>
    <t>单次伤害</t>
    <phoneticPr fontId="5" type="noConversion"/>
  </si>
  <si>
    <t>秒受伤</t>
    <phoneticPr fontId="5" type="noConversion"/>
  </si>
  <si>
    <t>战斗5秒总受伤</t>
    <phoneticPr fontId="5" type="noConversion"/>
  </si>
  <si>
    <t>掉血占比例</t>
    <phoneticPr fontId="5" type="noConversion"/>
  </si>
  <si>
    <t>战斗5秒仇恨</t>
    <phoneticPr fontId="5" type="noConversion"/>
  </si>
  <si>
    <t>第一下仇恨</t>
    <phoneticPr fontId="5" type="noConversion"/>
  </si>
  <si>
    <t>男主角</t>
    <phoneticPr fontId="5" type="noConversion"/>
  </si>
  <si>
    <t>终结伤害</t>
    <phoneticPr fontId="5" type="noConversion"/>
  </si>
  <si>
    <t>白无常</t>
  </si>
  <si>
    <t>黑无常</t>
  </si>
  <si>
    <t>神兵
填写对应的神兵id
相关配置game_shenbing
[]-无神兵</t>
  </si>
  <si>
    <t>英雄ID
[字符串]
调用角色的唯一ID
1101-1500伙伴
1500-2000特殊伙伴
（助战或者新手引导）
2000以上临时伙伴</t>
  </si>
  <si>
    <t>战斗定位
1=辅助
2=远程
3=近战
4=防御
5=主角</t>
  </si>
  <si>
    <t>魔法成长
[浮点型]</t>
  </si>
  <si>
    <t>攻击成长[浮点型]</t>
  </si>
  <si>
    <t>羁绊角色组
[字符串]
调用hero_jiban的id</t>
  </si>
  <si>
    <t>英雄是否在祭坛显示[整型]
1=开放
2=隐藏
无用</t>
    <phoneticPr fontId="7" type="noConversion"/>
  </si>
  <si>
    <t>初始资质
（不参与数值计算，仅用于显示）
[整型]</t>
    <phoneticPr fontId="7" type="noConversion"/>
  </si>
  <si>
    <t>攻击范围
[浮点型]</t>
    <phoneticPr fontId="7" type="noConversion"/>
  </si>
  <si>
    <t>视野范围
[浮点型]</t>
    <phoneticPr fontId="7" type="noConversion"/>
  </si>
  <si>
    <t>移动速度
初始值
[浮点]</t>
    <phoneticPr fontId="7" type="noConversion"/>
  </si>
  <si>
    <t>攻击速度
初始值
[浮点]</t>
    <phoneticPr fontId="7" type="noConversion"/>
  </si>
  <si>
    <t>生命
初始值
[整型]</t>
    <phoneticPr fontId="7" type="noConversion"/>
  </si>
  <si>
    <t>魔法
初始值
[整型]</t>
    <phoneticPr fontId="7" type="noConversion"/>
  </si>
  <si>
    <t>魔法
回复初始值
（仅针对主角）
[整型]</t>
    <phoneticPr fontId="7" type="noConversion"/>
  </si>
  <si>
    <t>攻击力
初始值
[整型]</t>
    <phoneticPr fontId="7" type="noConversion"/>
  </si>
  <si>
    <t>物理防御
初始值
[整型]</t>
    <phoneticPr fontId="7" type="noConversion"/>
  </si>
  <si>
    <t>魔法防御
初始值
[整型]</t>
    <phoneticPr fontId="7" type="noConversion"/>
  </si>
  <si>
    <t>命中
初始值
（百分比）</t>
    <phoneticPr fontId="7" type="noConversion"/>
  </si>
  <si>
    <t>闪避
初始值
（百分比）</t>
    <phoneticPr fontId="7" type="noConversion"/>
  </si>
  <si>
    <t>暴击
初始值
（百分比）</t>
    <phoneticPr fontId="7" type="noConversion"/>
  </si>
  <si>
    <t>抗暴击
初始值
（百分比）</t>
    <phoneticPr fontId="7" type="noConversion"/>
  </si>
  <si>
    <t>伤害减免
初始值
（百分比）</t>
    <phoneticPr fontId="7" type="noConversion"/>
  </si>
  <si>
    <t xml:space="preserve">伤害加成
初始值
（百分比）
</t>
    <phoneticPr fontId="7" type="noConversion"/>
  </si>
  <si>
    <t>生命成长
[浮点型]</t>
    <phoneticPr fontId="7" type="noConversion"/>
  </si>
  <si>
    <t>魔法回复成长
（仅针对主角）
[浮点型]</t>
    <phoneticPr fontId="7" type="noConversion"/>
  </si>
  <si>
    <t>物理防御成长
[浮点型]</t>
    <phoneticPr fontId="7" type="noConversion"/>
  </si>
  <si>
    <t>魔法防御成长
[浮点型]</t>
    <phoneticPr fontId="7" type="noConversion"/>
  </si>
  <si>
    <t>闪避成长
[浮点型]</t>
    <phoneticPr fontId="7" type="noConversion"/>
  </si>
  <si>
    <t>命中成长
[浮点型]</t>
    <phoneticPr fontId="7" type="noConversion"/>
  </si>
  <si>
    <t>暴击成长
[浮点型]</t>
    <phoneticPr fontId="7" type="noConversion"/>
  </si>
  <si>
    <t>抗暴成长
[浮点型]</t>
    <phoneticPr fontId="7" type="noConversion"/>
  </si>
  <si>
    <t>进阶组
(读取一组连续ID)
起始ID|长度
调用hero_jinjie的id</t>
    <phoneticPr fontId="7" type="noConversion"/>
  </si>
  <si>
    <t>进阶附加的效果组
(读取jinjie_effect)</t>
    <phoneticPr fontId="7" type="noConversion"/>
  </si>
  <si>
    <t>觉醒组起点
(读取一组连续数据）
调用hero_juexing表里的id</t>
    <phoneticPr fontId="7" type="noConversion"/>
  </si>
  <si>
    <t>觉醒最大
等级</t>
    <phoneticPr fontId="7" type="noConversion"/>
  </si>
  <si>
    <t>羁绊装备组
[字符串数组]
调用hero_jiban的id</t>
    <phoneticPr fontId="7" type="noConversion"/>
  </si>
  <si>
    <t>羁绊法宝组
[字符串数组]
调用hero_jiban的id</t>
    <phoneticPr fontId="7" type="noConversion"/>
  </si>
  <si>
    <t xml:space="preserve">分解可获得的
货币精魄数量
</t>
    <phoneticPr fontId="7" type="noConversion"/>
  </si>
  <si>
    <t>角色初始仇恨值
（用于角色进入怪物警戒范围后，
怪物初始目标的选择）
数值为整形</t>
    <phoneticPr fontId="7" type="noConversion"/>
  </si>
  <si>
    <t>角色培养
填写xilian_jihe表格ID</t>
    <phoneticPr fontId="7" type="noConversion"/>
  </si>
  <si>
    <t>英雄类型
1=仙
2=妖
3=佛
4=不显示
6=主角</t>
    <phoneticPr fontId="7" type="noConversion"/>
  </si>
  <si>
    <t>英雄职业描述
1=辅助
2=法师
3=战士
4=防御
5=刺客
6=主角</t>
    <phoneticPr fontId="7" type="noConversion"/>
  </si>
  <si>
    <t>初始品质
[整型]
0=无品质
1=绿色
2=蓝色
3=紫色
4=橙色
5=红色</t>
    <phoneticPr fontId="7" type="noConversion"/>
  </si>
  <si>
    <t>武将品质</t>
    <phoneticPr fontId="10" type="noConversion"/>
  </si>
  <si>
    <t>属性调整</t>
    <phoneticPr fontId="10" type="noConversion"/>
  </si>
  <si>
    <t>随机数</t>
    <phoneticPr fontId="7" type="noConversion"/>
  </si>
  <si>
    <t xml:space="preserve">魔法
</t>
    <phoneticPr fontId="7" type="noConversion"/>
  </si>
  <si>
    <t>优化数值</t>
    <phoneticPr fontId="7" type="noConversion"/>
  </si>
  <si>
    <t>英雄ID
[字符串]
调用角色的唯一ID
1101-1500伙伴
1500-2000特殊伙伴（助战或者新手引导）
2000以上临时伙伴</t>
    <phoneticPr fontId="1" type="noConversion"/>
  </si>
  <si>
    <t>引魂仙子</t>
  </si>
  <si>
    <t>斗战胜佛</t>
    <phoneticPr fontId="1" type="noConversion"/>
  </si>
  <si>
    <t>托塔天王</t>
    <phoneticPr fontId="1" type="noConversion"/>
  </si>
  <si>
    <t>牛魔王</t>
    <phoneticPr fontId="1" type="noConversion"/>
  </si>
  <si>
    <t>孙悟空</t>
    <phoneticPr fontId="1" type="noConversion"/>
  </si>
  <si>
    <t>沙和尚</t>
    <phoneticPr fontId="1" type="noConversion"/>
  </si>
  <si>
    <t>八部天龙</t>
    <phoneticPr fontId="1" type="noConversion"/>
  </si>
  <si>
    <t>观世音</t>
    <phoneticPr fontId="1" type="noConversion"/>
  </si>
  <si>
    <t>人参娃</t>
    <phoneticPr fontId="1" type="noConversion"/>
  </si>
  <si>
    <t>彩蝶仙童</t>
    <phoneticPr fontId="1" type="noConversion"/>
  </si>
  <si>
    <t>泾河龙王</t>
    <phoneticPr fontId="1" type="noConversion"/>
  </si>
  <si>
    <t>鬼使黑</t>
    <phoneticPr fontId="1" type="noConversion"/>
  </si>
  <si>
    <t>鬼使白</t>
    <phoneticPr fontId="1" type="noConversion"/>
  </si>
  <si>
    <t>玉兔</t>
    <phoneticPr fontId="1" type="noConversion"/>
  </si>
  <si>
    <t>石人-博达</t>
    <phoneticPr fontId="1" type="noConversion"/>
  </si>
  <si>
    <t>石人-离落</t>
    <phoneticPr fontId="1" type="noConversion"/>
  </si>
  <si>
    <t>石人-安和</t>
    <phoneticPr fontId="1" type="noConversion"/>
  </si>
  <si>
    <t>蟒精-雅芙</t>
    <phoneticPr fontId="1" type="noConversion"/>
  </si>
  <si>
    <t>蟒精-依娜</t>
    <phoneticPr fontId="1" type="noConversion"/>
  </si>
  <si>
    <t>狐狸-优璇</t>
    <phoneticPr fontId="1" type="noConversion"/>
  </si>
  <si>
    <t>狐狸-茹雪</t>
    <phoneticPr fontId="1" type="noConversion"/>
  </si>
  <si>
    <t>狐狸-若火</t>
    <phoneticPr fontId="1" type="noConversion"/>
  </si>
  <si>
    <t>骷髅-德明</t>
    <phoneticPr fontId="1" type="noConversion"/>
  </si>
  <si>
    <t>骷髅-奇伟</t>
    <phoneticPr fontId="1" type="noConversion"/>
  </si>
  <si>
    <t>骷髅-德元</t>
    <phoneticPr fontId="1" type="noConversion"/>
  </si>
  <si>
    <t>骷髅-彭泽</t>
    <phoneticPr fontId="1" type="noConversion"/>
  </si>
  <si>
    <t>虾兵</t>
    <phoneticPr fontId="1" type="noConversion"/>
  </si>
  <si>
    <t>侍女</t>
    <phoneticPr fontId="1" type="noConversion"/>
  </si>
  <si>
    <t>强盗</t>
    <phoneticPr fontId="1" type="noConversion"/>
  </si>
  <si>
    <t>野猪怪</t>
    <phoneticPr fontId="1" type="noConversion"/>
  </si>
  <si>
    <t>蟹将</t>
    <phoneticPr fontId="1" type="noConversion"/>
  </si>
  <si>
    <t>狂豹</t>
    <phoneticPr fontId="1" type="noConversion"/>
  </si>
  <si>
    <t>护卫</t>
    <phoneticPr fontId="1" type="noConversion"/>
  </si>
  <si>
    <t>龟丞相</t>
    <phoneticPr fontId="1" type="noConversion"/>
  </si>
  <si>
    <t>炎魔</t>
    <phoneticPr fontId="1" type="noConversion"/>
  </si>
  <si>
    <t>天将</t>
    <phoneticPr fontId="1" type="noConversion"/>
  </si>
  <si>
    <t>九头虫</t>
    <phoneticPr fontId="1" type="noConversion"/>
  </si>
  <si>
    <t>镇元大仙</t>
    <phoneticPr fontId="1" type="noConversion"/>
  </si>
  <si>
    <t>如来佛祖</t>
    <phoneticPr fontId="1" type="noConversion"/>
  </si>
  <si>
    <t>孔雀大明王</t>
    <phoneticPr fontId="1" type="noConversion"/>
  </si>
  <si>
    <t>观世阴</t>
    <phoneticPr fontId="1" type="noConversion"/>
  </si>
  <si>
    <t>扇子精</t>
    <phoneticPr fontId="1" type="noConversion"/>
  </si>
  <si>
    <t>太上老君</t>
    <phoneticPr fontId="1" type="noConversion"/>
  </si>
  <si>
    <t>说明
归属想伙伴</t>
    <phoneticPr fontId="1" type="noConversion"/>
  </si>
  <si>
    <t>3、 场景氛围特效：
该特效为人物展示特效仅在队伍内展示。
命名如下：伙伴名_cj_骨骼名称
展示位置：仅在队伍内展示</t>
    <phoneticPr fontId="1" type="noConversion"/>
  </si>
  <si>
    <t>na</t>
    <phoneticPr fontId="1" type="noConversion"/>
  </si>
  <si>
    <t>yongjiu_eff</t>
    <phoneticPr fontId="1" type="noConversion"/>
  </si>
  <si>
    <t>[]</t>
    <phoneticPr fontId="1" type="noConversion"/>
  </si>
  <si>
    <t xml:space="preserve"> 人物自身光效：
该特效为人物展示特效
（只在展示时显示）
命名如下：伙伴名_zis_骨骼名称
展示位置：非战斗场景的伙伴</t>
    <phoneticPr fontId="1" type="noConversion"/>
  </si>
  <si>
    <t xml:space="preserve"> 人物永久特效：
该特性永久存在于人物身上，
任何场景都会显示。
命名如下：伙伴名_yj_骨骼名称
展示位置：永久展示，无论何处都调用。
</t>
    <phoneticPr fontId="1" type="noConversion"/>
  </si>
  <si>
    <t>perform_eff_id</t>
    <phoneticPr fontId="1" type="noConversion"/>
  </si>
  <si>
    <t>changjing_eff</t>
    <phoneticPr fontId="1" type="noConversion"/>
  </si>
  <si>
    <t>zishen_eff</t>
    <phoneticPr fontId="1" type="noConversion"/>
  </si>
  <si>
    <t>"</t>
    <phoneticPr fontId="1" type="noConversion"/>
  </si>
  <si>
    <t>["nvzhujue_cj_1"]</t>
  </si>
  <si>
    <t>["nanzhujue_cj_1"]</t>
  </si>
  <si>
    <t>["nezha_cj_1"]</t>
  </si>
  <si>
    <t>["douzhanshengfo_cj_1"]</t>
  </si>
  <si>
    <t>["hulidaxian_cj_1"]</t>
  </si>
  <si>
    <t>["zhubajie_cj_1"]</t>
  </si>
  <si>
    <t>["milefo_cj_1"]</t>
  </si>
  <si>
    <t>["jinchanzi_cj_1"]</t>
  </si>
  <si>
    <t>["heiwuchang_cj_1"]</t>
  </si>
  <si>
    <t>["sunwukong_cj_1"]</t>
  </si>
  <si>
    <t>["wangmuniangniang_cj_1"]</t>
  </si>
  <si>
    <t>["baiwuchang_cj_1"]</t>
  </si>
  <si>
    <t>["wenshupusa_cj_1"]</t>
  </si>
  <si>
    <t>["longdi_cj_1"]</t>
  </si>
  <si>
    <t>["babutianlong_cj_1"]</t>
  </si>
  <si>
    <t>["change_cj_1"]</t>
  </si>
  <si>
    <t>["jiutianxuannv_cj_1"]</t>
  </si>
  <si>
    <t>["tieshangongzhu_cj_1"]</t>
  </si>
  <si>
    <t>["baigufuren_cj_1"]</t>
  </si>
  <si>
    <t>["zixiaxianzi_cj_1"]</t>
  </si>
  <si>
    <t>["guanshiyin_cj_1"]</t>
  </si>
  <si>
    <t>["yuhuangdadi_cj_1"]</t>
  </si>
  <si>
    <t>["xiaobailong_cj_1"]</t>
  </si>
  <si>
    <t>["longdi_zis_1"]</t>
    <phoneticPr fontId="1" type="noConversion"/>
  </si>
  <si>
    <t>["xiaobailong_zis_1"]</t>
    <phoneticPr fontId="1" type="noConversion"/>
  </si>
  <si>
    <t>["erlangshen_cj_1"]</t>
    <phoneticPr fontId="1" type="noConversion"/>
  </si>
  <si>
    <t>["erlangshen_zis_1"]</t>
    <phoneticPr fontId="1" type="noConversion"/>
  </si>
  <si>
    <t>["zixiaxianzi_zis_1","zixiaxianzi_zis_2","zixiaxianzi_zis_3"]</t>
    <phoneticPr fontId="1" type="noConversion"/>
  </si>
  <si>
    <t>["niumowang_cj_1"]</t>
    <phoneticPr fontId="1" type="noConversion"/>
  </si>
  <si>
    <t>["niumowang_zis_1"]</t>
    <phoneticPr fontId="1" type="noConversion"/>
  </si>
  <si>
    <t>["donghailongwang_cj_1"]</t>
    <phoneticPr fontId="1" type="noConversion"/>
  </si>
  <si>
    <t>["hunshimowang_cj_1"]</t>
    <phoneticPr fontId="1" type="noConversion"/>
  </si>
  <si>
    <t>["jiaye_cj_1"]</t>
    <phoneticPr fontId="1" type="noConversion"/>
  </si>
  <si>
    <t>["lulidaxian_cj_1"]</t>
    <phoneticPr fontId="1" type="noConversion"/>
  </si>
  <si>
    <t>["nverguoguowang_cj_1"]</t>
    <phoneticPr fontId="1" type="noConversion"/>
  </si>
  <si>
    <t>["shaheshang_cj_1"]</t>
    <phoneticPr fontId="1" type="noConversion"/>
  </si>
  <si>
    <t>["xiezijing_cj_1"]</t>
    <phoneticPr fontId="1" type="noConversion"/>
  </si>
  <si>
    <t>["yanglidaxian_cj_1"]</t>
    <phoneticPr fontId="1" type="noConversion"/>
  </si>
  <si>
    <t>["yinhunxianzi_cj_1"]</t>
    <phoneticPr fontId="1" type="noConversion"/>
  </si>
  <si>
    <t>["caidiexiantong_cj_1"]</t>
    <phoneticPr fontId="1" type="noConversion"/>
  </si>
  <si>
    <t>["honghaier_cj_1"]</t>
    <phoneticPr fontId="1" type="noConversion"/>
  </si>
  <si>
    <t>["liuermihou_cj_1"]</t>
    <phoneticPr fontId="1" type="noConversion"/>
  </si>
  <si>
    <t>["taibaijinxing_cj_1"]</t>
    <phoneticPr fontId="1" type="noConversion"/>
  </si>
  <si>
    <t>["tangsanzang_cj_1"]</t>
    <phoneticPr fontId="1" type="noConversion"/>
  </si>
  <si>
    <t>["yanluowang_cj_1"]</t>
    <phoneticPr fontId="1" type="noConversion"/>
  </si>
  <si>
    <t>["zhizhujing_cj_1"]</t>
    <phoneticPr fontId="1" type="noConversion"/>
  </si>
  <si>
    <t>["renshenwa_cj_1"]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</si>
</sst>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color rgb="FFFF0000"/>
      <name val="微软雅黑"/>
      <family val="2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0"/>
      <color theme="5" tint="-0.249977111117893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</cellStyleXfs>
  <cellXfs count="34">
    <xf numFmtId="0" fontId="0" fillId="0" borderId="0" xfId="0" applyAlignment="1"/>
    <xf numFmtId="0" fontId="4" fillId="2" borderId="1" xfId="0" applyFont="1" applyFill="1" applyBorder="1" applyAlignment="1">
      <alignment vertical="top" wrapText="1"/>
    </xf>
    <xf numFmtId="0" fontId="4" fillId="6" borderId="1" xfId="0" applyFont="1" applyFill="1" applyBorder="1" applyAlignment="1">
      <alignment vertical="top"/>
    </xf>
    <xf numFmtId="0" fontId="4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4" fillId="9" borderId="1" xfId="0" applyFont="1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left" wrapText="1"/>
    </xf>
    <xf numFmtId="0" fontId="2" fillId="0" borderId="0" xfId="0" applyFont="1" applyAlignment="1">
      <alignment horizontal="left" wrapText="1"/>
    </xf>
    <xf numFmtId="2" fontId="0" fillId="0" borderId="0" xfId="0" applyNumberFormat="1" applyAlignment="1"/>
    <xf numFmtId="0" fontId="4" fillId="0" borderId="1" xfId="0" applyFont="1" applyFill="1" applyBorder="1" applyAlignment="1">
      <alignment vertical="center"/>
    </xf>
    <xf numFmtId="0" fontId="4" fillId="7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8" borderId="1" xfId="0" applyFont="1" applyFill="1" applyBorder="1" applyAlignment="1">
      <alignment vertical="center"/>
    </xf>
    <xf numFmtId="0" fontId="8" fillId="0" borderId="0" xfId="0" applyFont="1" applyAlignment="1">
      <alignment vertical="top" wrapText="1"/>
    </xf>
    <xf numFmtId="0" fontId="8" fillId="0" borderId="1" xfId="0" applyFont="1" applyBorder="1" applyAlignment="1">
      <alignment vertical="top"/>
    </xf>
    <xf numFmtId="0" fontId="8" fillId="0" borderId="0" xfId="0" applyFont="1" applyAlignment="1">
      <alignment vertical="top"/>
    </xf>
    <xf numFmtId="0" fontId="8" fillId="3" borderId="1" xfId="0" applyFont="1" applyFill="1" applyBorder="1" applyAlignment="1">
      <alignment vertical="top"/>
    </xf>
    <xf numFmtId="0" fontId="8" fillId="5" borderId="1" xfId="0" applyFont="1" applyFill="1" applyBorder="1" applyAlignment="1">
      <alignment vertical="top" wrapText="1"/>
    </xf>
    <xf numFmtId="0" fontId="8" fillId="4" borderId="1" xfId="0" applyFont="1" applyFill="1" applyBorder="1" applyAlignment="1">
      <alignment vertical="top" wrapText="1"/>
    </xf>
    <xf numFmtId="0" fontId="8" fillId="6" borderId="1" xfId="0" applyFont="1" applyFill="1" applyBorder="1" applyAlignment="1">
      <alignment vertical="top"/>
    </xf>
    <xf numFmtId="0" fontId="9" fillId="0" borderId="1" xfId="0" applyFont="1" applyBorder="1">
      <alignment vertical="center"/>
    </xf>
    <xf numFmtId="0" fontId="0" fillId="0" borderId="1" xfId="0" applyBorder="1" applyAlignment="1"/>
    <xf numFmtId="0" fontId="9" fillId="0" borderId="0" xfId="0" applyFont="1" applyBorder="1">
      <alignment vertical="center"/>
    </xf>
    <xf numFmtId="0" fontId="2" fillId="0" borderId="0" xfId="0" applyFont="1" applyBorder="1" applyAlignment="1">
      <alignment wrapText="1"/>
    </xf>
    <xf numFmtId="0" fontId="0" fillId="0" borderId="0" xfId="0" applyBorder="1" applyAlignment="1"/>
    <xf numFmtId="0" fontId="2" fillId="0" borderId="0" xfId="0" applyFont="1" applyBorder="1" applyAlignme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6" fillId="5" borderId="1" xfId="0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4" fillId="2" borderId="2" xfId="0" applyFont="1" applyFill="1" applyBorder="1" applyAlignment="1">
      <alignment vertical="top" wrapText="1"/>
    </xf>
    <xf numFmtId="0" fontId="9" fillId="0" borderId="0" xfId="0" applyFont="1" applyBorder="1" applyAlignment="1">
      <alignment horizontal="center" vertical="center"/>
    </xf>
  </cellXfs>
  <cellStyles count="3">
    <cellStyle name="常规" xfId="0" builtinId="0"/>
    <cellStyle name="常规 2" xfId="1"/>
    <cellStyle name="常规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ro_perfo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4">
          <cell r="I4" t="str">
            <v>八部天龙</v>
          </cell>
          <cell r="J4" t="str">
            <v>babutianlong_cj_1</v>
          </cell>
        </row>
        <row r="5">
          <cell r="I5" t="str">
            <v>白骨夫人</v>
          </cell>
          <cell r="J5" t="str">
            <v>baigufuren_cj_1</v>
          </cell>
        </row>
        <row r="6">
          <cell r="I6" t="str">
            <v>白无常</v>
          </cell>
          <cell r="J6" t="str">
            <v>baiwuchang_cj_1</v>
          </cell>
        </row>
        <row r="7">
          <cell r="I7" t="str">
            <v>嫦娥</v>
          </cell>
          <cell r="J7" t="str">
            <v>change_cj_1</v>
          </cell>
        </row>
        <row r="8">
          <cell r="I8" t="str">
            <v>斗战胜佛</v>
          </cell>
          <cell r="J8" t="str">
            <v>douzhanshengfo_cj_1</v>
          </cell>
        </row>
        <row r="9">
          <cell r="I9" t="str">
            <v>二郎神</v>
          </cell>
          <cell r="J9" t="str">
            <v>erlangshen_cj_1</v>
          </cell>
        </row>
        <row r="10">
          <cell r="I10" t="str">
            <v>观世音</v>
          </cell>
          <cell r="J10" t="str">
            <v>guanshiyin_cj_1</v>
          </cell>
        </row>
        <row r="11">
          <cell r="I11" t="str">
            <v>黑无常</v>
          </cell>
          <cell r="J11" t="str">
            <v>heiwuchang_cj_1</v>
          </cell>
        </row>
        <row r="12">
          <cell r="I12" t="str">
            <v>虎力大仙</v>
          </cell>
          <cell r="J12" t="str">
            <v>hulidaxian_cj_1</v>
          </cell>
        </row>
        <row r="13">
          <cell r="I13" t="str">
            <v>金蝉子</v>
          </cell>
          <cell r="J13" t="str">
            <v>jinchanzi_cj_1</v>
          </cell>
        </row>
        <row r="14">
          <cell r="I14" t="str">
            <v>九天玄女</v>
          </cell>
          <cell r="J14" t="str">
            <v>jiutianxuannv_cj_1</v>
          </cell>
        </row>
        <row r="15">
          <cell r="I15" t="str">
            <v>龙帝</v>
          </cell>
          <cell r="J15" t="str">
            <v>longdi_cj_1</v>
          </cell>
        </row>
        <row r="16">
          <cell r="I16" t="str">
            <v>弥勒佛</v>
          </cell>
          <cell r="J16" t="str">
            <v>milefo_cj_1</v>
          </cell>
        </row>
        <row r="17">
          <cell r="I17" t="str">
            <v>哪吒</v>
          </cell>
          <cell r="J17" t="str">
            <v>nezha_cj_1</v>
          </cell>
        </row>
        <row r="18">
          <cell r="I18" t="str">
            <v>男主角</v>
          </cell>
          <cell r="J18" t="str">
            <v>nanzhujue_cj_1</v>
          </cell>
        </row>
        <row r="19">
          <cell r="I19" t="str">
            <v>牛魔王</v>
          </cell>
          <cell r="J19" t="str">
            <v>niumowang_cj_1</v>
          </cell>
        </row>
        <row r="20">
          <cell r="I20" t="str">
            <v>女主角</v>
          </cell>
          <cell r="J20" t="str">
            <v>nvzhujue_cj_1</v>
          </cell>
        </row>
        <row r="21">
          <cell r="I21" t="str">
            <v>孙悟空</v>
          </cell>
          <cell r="J21" t="str">
            <v>sunwukong_cj_1</v>
          </cell>
        </row>
        <row r="22">
          <cell r="I22" t="str">
            <v>铁扇公主</v>
          </cell>
          <cell r="J22" t="str">
            <v>tieshangongzhu_cj_1</v>
          </cell>
        </row>
        <row r="23">
          <cell r="I23" t="str">
            <v>王母娘娘</v>
          </cell>
          <cell r="J23" t="str">
            <v>wangmuniangniang_cj_1</v>
          </cell>
        </row>
        <row r="24">
          <cell r="I24" t="str">
            <v>文殊菩萨</v>
          </cell>
          <cell r="J24" t="str">
            <v>wenshupusa_cj_1</v>
          </cell>
        </row>
        <row r="25">
          <cell r="I25" t="str">
            <v>小白龙</v>
          </cell>
          <cell r="J25" t="str">
            <v>xiaobailong_cj_1</v>
          </cell>
        </row>
        <row r="26">
          <cell r="I26" t="str">
            <v>玉皇大帝</v>
          </cell>
          <cell r="J26" t="str">
            <v>yuhuangdadi_cj_1</v>
          </cell>
        </row>
        <row r="27">
          <cell r="I27" t="str">
            <v>猪八戒</v>
          </cell>
          <cell r="J27" t="str">
            <v>zhubajie_cj_1</v>
          </cell>
        </row>
        <row r="28">
          <cell r="I28" t="str">
            <v>紫霞仙子</v>
          </cell>
          <cell r="J28" t="str">
            <v>zixiaxianzi_cj_1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0"/>
  <sheetViews>
    <sheetView tabSelected="1" zoomScaleNormal="100" workbookViewId="0">
      <pane xSplit="1" ySplit="3" topLeftCell="B25" activePane="bottomRight" state="frozen"/>
      <selection pane="topRight" activeCell="C1" sqref="C1"/>
      <selection pane="bottomLeft" activeCell="A4" sqref="A4"/>
      <selection pane="bottomRight" activeCell="B42" sqref="B42"/>
    </sheetView>
  </sheetViews>
  <sheetFormatPr defaultColWidth="12" defaultRowHeight="16.5" x14ac:dyDescent="0.15"/>
  <cols>
    <col min="1" max="1" width="21.375" bestFit="1" customWidth="1"/>
    <col min="2" max="2" width="43.875" style="3" bestFit="1" customWidth="1"/>
    <col min="3" max="3" width="27.625" style="3" bestFit="1" customWidth="1"/>
    <col min="4" max="4" width="28.625" style="3" customWidth="1"/>
    <col min="5" max="5" width="15.5" style="3" customWidth="1"/>
    <col min="6" max="6" width="28.25" bestFit="1" customWidth="1"/>
  </cols>
  <sheetData>
    <row r="1" spans="1:6" ht="168.75" customHeight="1" x14ac:dyDescent="0.15">
      <c r="A1" s="31" t="s">
        <v>144</v>
      </c>
      <c r="B1" s="1" t="s">
        <v>189</v>
      </c>
      <c r="C1" s="1" t="s">
        <v>193</v>
      </c>
      <c r="D1" s="1" t="s">
        <v>194</v>
      </c>
      <c r="E1" s="1" t="s">
        <v>188</v>
      </c>
      <c r="F1" s="32" t="s">
        <v>198</v>
      </c>
    </row>
    <row r="2" spans="1:6" ht="16.5" customHeight="1" x14ac:dyDescent="0.15">
      <c r="A2" s="23" t="s">
        <v>195</v>
      </c>
      <c r="B2" s="2" t="s">
        <v>196</v>
      </c>
      <c r="C2" s="2" t="s">
        <v>197</v>
      </c>
      <c r="D2" s="2" t="s">
        <v>191</v>
      </c>
      <c r="E2" s="2" t="s">
        <v>63</v>
      </c>
    </row>
    <row r="3" spans="1:6" x14ac:dyDescent="0.15">
      <c r="A3" s="23" t="s">
        <v>1</v>
      </c>
      <c r="B3" s="2" t="s">
        <v>190</v>
      </c>
      <c r="C3" s="2" t="s">
        <v>190</v>
      </c>
      <c r="D3" s="2" t="s">
        <v>190</v>
      </c>
      <c r="E3" s="2" t="s">
        <v>1</v>
      </c>
    </row>
    <row r="4" spans="1:6" x14ac:dyDescent="0.15">
      <c r="A4" s="23">
        <v>1001</v>
      </c>
      <c r="B4" s="23" t="s">
        <v>199</v>
      </c>
      <c r="C4" s="11" t="s">
        <v>76</v>
      </c>
      <c r="D4" s="11" t="s">
        <v>76</v>
      </c>
      <c r="E4" s="11" t="s">
        <v>65</v>
      </c>
      <c r="F4" t="str">
        <f>IFERROR("["&amp;$F$1&amp;VLOOKUP(E4,[1]Sheet1!$I:$J,2,FALSE)&amp;$F$1&amp;"]","[]")</f>
        <v>["nvzhujue_cj_1"]</v>
      </c>
    </row>
    <row r="5" spans="1:6" x14ac:dyDescent="0.15">
      <c r="A5" s="23">
        <v>1002</v>
      </c>
      <c r="B5" s="23" t="s">
        <v>200</v>
      </c>
      <c r="C5" s="11" t="s">
        <v>192</v>
      </c>
      <c r="D5" s="11" t="s">
        <v>192</v>
      </c>
      <c r="E5" s="11" t="s">
        <v>66</v>
      </c>
      <c r="F5" t="str">
        <f>IFERROR("["&amp;$F$1&amp;VLOOKUP(E5,[1]Sheet1!$I:$J,2,FALSE)&amp;$F$1&amp;"]","[]")</f>
        <v>["nanzhujue_cj_1"]</v>
      </c>
    </row>
    <row r="6" spans="1:6" x14ac:dyDescent="0.15">
      <c r="A6" s="23">
        <v>1102</v>
      </c>
      <c r="B6" s="23" t="s">
        <v>201</v>
      </c>
      <c r="C6" s="11" t="s">
        <v>192</v>
      </c>
      <c r="D6" s="11" t="s">
        <v>192</v>
      </c>
      <c r="E6" s="11" t="s">
        <v>12</v>
      </c>
      <c r="F6" t="str">
        <f>IFERROR("["&amp;$F$1&amp;VLOOKUP(E6,[1]Sheet1!$I:$J,2,FALSE)&amp;$F$1&amp;"]","[]")</f>
        <v>["nezha_cj_1"]</v>
      </c>
    </row>
    <row r="7" spans="1:6" x14ac:dyDescent="0.15">
      <c r="A7" s="23">
        <v>1211</v>
      </c>
      <c r="B7" s="23" t="s">
        <v>202</v>
      </c>
      <c r="C7" s="11" t="s">
        <v>192</v>
      </c>
      <c r="D7" s="11" t="s">
        <v>192</v>
      </c>
      <c r="E7" s="11" t="s">
        <v>146</v>
      </c>
      <c r="F7" t="str">
        <f>IFERROR("["&amp;$F$1&amp;VLOOKUP(E7,[1]Sheet1!$I:$J,2,FALSE)&amp;$F$1&amp;"]","[]")</f>
        <v>["douzhanshengfo_cj_1"]</v>
      </c>
    </row>
    <row r="8" spans="1:6" x14ac:dyDescent="0.15">
      <c r="A8" s="23">
        <v>1101</v>
      </c>
      <c r="B8" s="23" t="s">
        <v>224</v>
      </c>
      <c r="C8" s="11" t="s">
        <v>225</v>
      </c>
      <c r="D8" s="11" t="s">
        <v>192</v>
      </c>
      <c r="E8" s="11" t="s">
        <v>19</v>
      </c>
      <c r="F8" t="str">
        <f>IFERROR("["&amp;$F$1&amp;VLOOKUP(E8,[1]Sheet1!$I:$J,2,FALSE)&amp;$F$1&amp;"]","[]")</f>
        <v>["erlangshen_cj_1"]</v>
      </c>
    </row>
    <row r="9" spans="1:6" ht="16.5" customHeight="1" x14ac:dyDescent="0.15">
      <c r="A9" s="23">
        <v>1108</v>
      </c>
      <c r="B9" s="23" t="s">
        <v>3</v>
      </c>
      <c r="C9" s="11" t="s">
        <v>192</v>
      </c>
      <c r="D9" s="11" t="s">
        <v>192</v>
      </c>
      <c r="E9" s="12" t="s">
        <v>147</v>
      </c>
      <c r="F9" t="str">
        <f>IFERROR("["&amp;$F$1&amp;VLOOKUP(E9,[1]Sheet1!$I:$J,2,FALSE)&amp;$F$1&amp;"]","[]")</f>
        <v>[]</v>
      </c>
    </row>
    <row r="10" spans="1:6" ht="16.5" customHeight="1" x14ac:dyDescent="0.15">
      <c r="A10" s="23">
        <v>1113</v>
      </c>
      <c r="B10" s="23" t="s">
        <v>203</v>
      </c>
      <c r="C10" s="11" t="s">
        <v>192</v>
      </c>
      <c r="D10" s="11" t="s">
        <v>192</v>
      </c>
      <c r="E10" s="11" t="s">
        <v>7</v>
      </c>
      <c r="F10" t="str">
        <f>IFERROR("["&amp;$F$1&amp;VLOOKUP(E10,[1]Sheet1!$I:$J,2,FALSE)&amp;$F$1&amp;"]","[]")</f>
        <v>["hulidaxian_cj_1"]</v>
      </c>
    </row>
    <row r="11" spans="1:6" x14ac:dyDescent="0.15">
      <c r="A11" s="23">
        <v>1120</v>
      </c>
      <c r="B11" s="23" t="s">
        <v>204</v>
      </c>
      <c r="C11" s="11" t="s">
        <v>192</v>
      </c>
      <c r="D11" s="11" t="s">
        <v>192</v>
      </c>
      <c r="E11" s="11" t="s">
        <v>13</v>
      </c>
      <c r="F11" t="str">
        <f>IFERROR("["&amp;$F$1&amp;VLOOKUP(E11,[1]Sheet1!$I:$J,2,FALSE)&amp;$F$1&amp;"]","[]")</f>
        <v>["zhubajie_cj_1"]</v>
      </c>
    </row>
    <row r="12" spans="1:6" x14ac:dyDescent="0.15">
      <c r="A12" s="23">
        <v>1127</v>
      </c>
      <c r="B12" s="23" t="s">
        <v>205</v>
      </c>
      <c r="C12" s="11" t="s">
        <v>192</v>
      </c>
      <c r="D12" s="11" t="s">
        <v>192</v>
      </c>
      <c r="E12" s="12" t="s">
        <v>38</v>
      </c>
      <c r="F12" t="str">
        <f>IFERROR("["&amp;$F$1&amp;VLOOKUP(E12,[1]Sheet1!$I:$J,2,FALSE)&amp;$F$1&amp;"]","[]")</f>
        <v>["milefo_cj_1"]</v>
      </c>
    </row>
    <row r="13" spans="1:6" x14ac:dyDescent="0.15">
      <c r="A13" s="23">
        <v>1212</v>
      </c>
      <c r="B13" s="23" t="s">
        <v>206</v>
      </c>
      <c r="C13" s="11" t="s">
        <v>192</v>
      </c>
      <c r="D13" s="11" t="s">
        <v>192</v>
      </c>
      <c r="E13" s="12" t="s">
        <v>59</v>
      </c>
      <c r="F13" t="str">
        <f>IFERROR("["&amp;$F$1&amp;VLOOKUP(E13,[1]Sheet1!$I:$J,2,FALSE)&amp;$F$1&amp;"]","[]")</f>
        <v>["jinchanzi_cj_1"]</v>
      </c>
    </row>
    <row r="14" spans="1:6" x14ac:dyDescent="0.15">
      <c r="A14" s="23">
        <v>1219</v>
      </c>
      <c r="B14" s="23" t="s">
        <v>207</v>
      </c>
      <c r="C14" s="11" t="s">
        <v>192</v>
      </c>
      <c r="D14" s="11" t="s">
        <v>192</v>
      </c>
      <c r="E14" s="13" t="s">
        <v>94</v>
      </c>
      <c r="F14" t="str">
        <f>IFERROR("["&amp;$F$1&amp;VLOOKUP(E14,[1]Sheet1!$I:$J,2,FALSE)&amp;$F$1&amp;"]","[]")</f>
        <v>["heiwuchang_cj_1"]</v>
      </c>
    </row>
    <row r="15" spans="1:6" x14ac:dyDescent="0.15">
      <c r="A15" s="23">
        <v>1112</v>
      </c>
      <c r="B15" s="23" t="s">
        <v>227</v>
      </c>
      <c r="C15" s="11" t="s">
        <v>228</v>
      </c>
      <c r="D15" s="11" t="s">
        <v>192</v>
      </c>
      <c r="E15" s="11" t="s">
        <v>148</v>
      </c>
      <c r="F15" t="str">
        <f>IFERROR("["&amp;$F$1&amp;VLOOKUP(E15,[1]Sheet1!$I:$J,2,FALSE)&amp;$F$1&amp;"]","[]")</f>
        <v>["niumowang_cj_1"]</v>
      </c>
    </row>
    <row r="16" spans="1:6" x14ac:dyDescent="0.15">
      <c r="A16" s="23">
        <v>1119</v>
      </c>
      <c r="B16" s="23" t="s">
        <v>208</v>
      </c>
      <c r="C16" s="11" t="s">
        <v>192</v>
      </c>
      <c r="D16" s="11" t="s">
        <v>192</v>
      </c>
      <c r="E16" s="11" t="s">
        <v>149</v>
      </c>
      <c r="F16" t="str">
        <f>IFERROR("["&amp;$F$1&amp;VLOOKUP(E16,[1]Sheet1!$I:$J,2,FALSE)&amp;$F$1&amp;"]","[]")</f>
        <v>["sunwukong_cj_1"]</v>
      </c>
    </row>
    <row r="17" spans="1:6" x14ac:dyDescent="0.15">
      <c r="A17" s="23">
        <v>1105</v>
      </c>
      <c r="B17" s="23" t="s">
        <v>209</v>
      </c>
      <c r="C17" s="11" t="s">
        <v>192</v>
      </c>
      <c r="D17" s="11" t="s">
        <v>192</v>
      </c>
      <c r="E17" s="11" t="s">
        <v>31</v>
      </c>
      <c r="F17" t="str">
        <f>IFERROR("["&amp;$F$1&amp;VLOOKUP(E17,[1]Sheet1!$I:$J,2,FALSE)&amp;$F$1&amp;"]","[]")</f>
        <v>["wangmuniangniang_cj_1"]</v>
      </c>
    </row>
    <row r="18" spans="1:6" x14ac:dyDescent="0.15">
      <c r="A18" s="23">
        <v>1218</v>
      </c>
      <c r="B18" s="23" t="s">
        <v>210</v>
      </c>
      <c r="C18" s="11" t="s">
        <v>192</v>
      </c>
      <c r="D18" s="11" t="s">
        <v>192</v>
      </c>
      <c r="E18" s="13" t="s">
        <v>93</v>
      </c>
      <c r="F18" t="str">
        <f>IFERROR("["&amp;$F$1&amp;VLOOKUP(E18,[1]Sheet1!$I:$J,2,FALSE)&amp;$F$1&amp;"]","[]")</f>
        <v>["baiwuchang_cj_1"]</v>
      </c>
    </row>
    <row r="19" spans="1:6" x14ac:dyDescent="0.15">
      <c r="A19" s="23">
        <v>1124</v>
      </c>
      <c r="B19" s="23" t="s">
        <v>234</v>
      </c>
      <c r="C19" s="11" t="s">
        <v>192</v>
      </c>
      <c r="D19" s="11" t="s">
        <v>192</v>
      </c>
      <c r="E19" s="11" t="s">
        <v>150</v>
      </c>
      <c r="F19" t="str">
        <f>IFERROR("["&amp;$F$1&amp;VLOOKUP(E19,[1]Sheet1!$I:$J,2,FALSE)&amp;$F$1&amp;"]","[]")</f>
        <v>[]</v>
      </c>
    </row>
    <row r="20" spans="1:6" x14ac:dyDescent="0.15">
      <c r="A20" s="23">
        <v>1126</v>
      </c>
      <c r="B20" s="23" t="s">
        <v>211</v>
      </c>
      <c r="C20" s="11" t="s">
        <v>192</v>
      </c>
      <c r="D20" s="11" t="s">
        <v>192</v>
      </c>
      <c r="E20" s="12" t="s">
        <v>37</v>
      </c>
      <c r="F20" t="str">
        <f>IFERROR("["&amp;$F$1&amp;VLOOKUP(E20,[1]Sheet1!$I:$J,2,FALSE)&amp;$F$1&amp;"]","[]")</f>
        <v>["wenshupusa_cj_1"]</v>
      </c>
    </row>
    <row r="21" spans="1:6" x14ac:dyDescent="0.15">
      <c r="A21" s="23">
        <v>1213</v>
      </c>
      <c r="B21" s="23" t="s">
        <v>212</v>
      </c>
      <c r="C21" s="11" t="s">
        <v>222</v>
      </c>
      <c r="D21" s="11" t="s">
        <v>192</v>
      </c>
      <c r="E21" s="12" t="s">
        <v>60</v>
      </c>
      <c r="F21" t="str">
        <f>IFERROR("["&amp;$F$1&amp;VLOOKUP(E21,[1]Sheet1!$I:$J,2,FALSE)&amp;$F$1&amp;"]","[]")</f>
        <v>["longdi_cj_1"]</v>
      </c>
    </row>
    <row r="22" spans="1:6" x14ac:dyDescent="0.15">
      <c r="A22" s="23">
        <v>1214</v>
      </c>
      <c r="B22" s="23" t="s">
        <v>213</v>
      </c>
      <c r="C22" s="11" t="s">
        <v>192</v>
      </c>
      <c r="D22" s="11" t="s">
        <v>192</v>
      </c>
      <c r="E22" s="12" t="s">
        <v>151</v>
      </c>
      <c r="F22" t="str">
        <f>IFERROR("["&amp;$F$1&amp;VLOOKUP(E22,[1]Sheet1!$I:$J,2,FALSE)&amp;$F$1&amp;"]","[]")</f>
        <v>["babutianlong_cj_1"]</v>
      </c>
    </row>
    <row r="23" spans="1:6" x14ac:dyDescent="0.15">
      <c r="A23" s="23">
        <v>1103</v>
      </c>
      <c r="B23" s="23" t="s">
        <v>214</v>
      </c>
      <c r="C23" s="11" t="s">
        <v>192</v>
      </c>
      <c r="D23" s="11" t="s">
        <v>192</v>
      </c>
      <c r="E23" s="11" t="s">
        <v>30</v>
      </c>
      <c r="F23" t="str">
        <f>IFERROR("["&amp;$F$1&amp;VLOOKUP(E23,[1]Sheet1!$I:$J,2,FALSE)&amp;$F$1&amp;"]","[]")</f>
        <v>["change_cj_1"]</v>
      </c>
    </row>
    <row r="24" spans="1:6" ht="18" customHeight="1" x14ac:dyDescent="0.15">
      <c r="A24" s="23">
        <v>1109</v>
      </c>
      <c r="B24" s="23" t="s">
        <v>215</v>
      </c>
      <c r="C24" s="11" t="s">
        <v>192</v>
      </c>
      <c r="D24" s="11" t="s">
        <v>192</v>
      </c>
      <c r="E24" s="13" t="s">
        <v>34</v>
      </c>
      <c r="F24" t="str">
        <f>IFERROR("["&amp;$F$1&amp;VLOOKUP(E24,[1]Sheet1!$I:$J,2,FALSE)&amp;$F$1&amp;"]","[]")</f>
        <v>["jiutianxuannv_cj_1"]</v>
      </c>
    </row>
    <row r="25" spans="1:6" x14ac:dyDescent="0.15">
      <c r="A25" s="23">
        <v>1111</v>
      </c>
      <c r="B25" s="23" t="s">
        <v>216</v>
      </c>
      <c r="C25" s="11" t="s">
        <v>192</v>
      </c>
      <c r="D25" s="11" t="s">
        <v>192</v>
      </c>
      <c r="E25" s="11" t="s">
        <v>10</v>
      </c>
      <c r="F25" t="str">
        <f>IFERROR("["&amp;$F$1&amp;VLOOKUP(E25,[1]Sheet1!$I:$J,2,FALSE)&amp;$F$1&amp;"]","[]")</f>
        <v>["tieshangongzhu_cj_1"]</v>
      </c>
    </row>
    <row r="26" spans="1:6" ht="18" customHeight="1" x14ac:dyDescent="0.15">
      <c r="A26" s="23">
        <v>1116</v>
      </c>
      <c r="B26" s="23" t="s">
        <v>217</v>
      </c>
      <c r="C26" s="11" t="s">
        <v>192</v>
      </c>
      <c r="D26" s="11" t="s">
        <v>192</v>
      </c>
      <c r="E26" s="11" t="s">
        <v>5</v>
      </c>
      <c r="F26" t="str">
        <f>IFERROR("["&amp;$F$1&amp;VLOOKUP(E26,[1]Sheet1!$I:$J,2,FALSE)&amp;$F$1&amp;"]","[]")</f>
        <v>["baigufuren_cj_1"]</v>
      </c>
    </row>
    <row r="27" spans="1:6" ht="18" customHeight="1" x14ac:dyDescent="0.15">
      <c r="A27" s="23">
        <v>1121</v>
      </c>
      <c r="B27" s="23" t="s">
        <v>218</v>
      </c>
      <c r="C27" s="23" t="s">
        <v>226</v>
      </c>
      <c r="D27" s="11" t="s">
        <v>192</v>
      </c>
      <c r="E27" s="11" t="s">
        <v>6</v>
      </c>
      <c r="F27" t="str">
        <f>IFERROR("["&amp;$F$1&amp;VLOOKUP(E27,[1]Sheet1!$I:$J,2,FALSE)&amp;$F$1&amp;"]","[]")</f>
        <v>["zixiaxianzi_cj_1"]</v>
      </c>
    </row>
    <row r="28" spans="1:6" x14ac:dyDescent="0.15">
      <c r="A28" s="23">
        <v>1215</v>
      </c>
      <c r="B28" s="23" t="s">
        <v>219</v>
      </c>
      <c r="C28" s="11" t="s">
        <v>192</v>
      </c>
      <c r="D28" s="11" t="s">
        <v>192</v>
      </c>
      <c r="E28" s="30" t="s">
        <v>152</v>
      </c>
      <c r="F28" t="str">
        <f>IFERROR("["&amp;$F$1&amp;VLOOKUP(E28,[1]Sheet1!$I:$J,2,FALSE)&amp;$F$1&amp;"]","[]")</f>
        <v>["guanshiyin_cj_1"]</v>
      </c>
    </row>
    <row r="29" spans="1:6" x14ac:dyDescent="0.15">
      <c r="A29" s="23">
        <v>1114</v>
      </c>
      <c r="B29" s="23" t="s">
        <v>232</v>
      </c>
      <c r="C29" s="11" t="s">
        <v>192</v>
      </c>
      <c r="D29" s="11" t="s">
        <v>192</v>
      </c>
      <c r="E29" s="11" t="s">
        <v>9</v>
      </c>
      <c r="F29" t="str">
        <f>IFERROR("["&amp;$F$1&amp;VLOOKUP(E29,[1]Sheet1!$I:$J,2,FALSE)&amp;$F$1&amp;"]","[]")</f>
        <v>[]</v>
      </c>
    </row>
    <row r="30" spans="1:6" x14ac:dyDescent="0.15">
      <c r="A30" s="23">
        <v>1110</v>
      </c>
      <c r="B30" s="23" t="s">
        <v>239</v>
      </c>
      <c r="C30" s="11" t="s">
        <v>192</v>
      </c>
      <c r="D30" s="11" t="s">
        <v>192</v>
      </c>
      <c r="E30" s="11" t="s">
        <v>11</v>
      </c>
      <c r="F30" t="str">
        <f>IFERROR("["&amp;$F$1&amp;VLOOKUP(E30,[1]Sheet1!$I:$J,2,FALSE)&amp;$F$1&amp;"]","[]")</f>
        <v>[]</v>
      </c>
    </row>
    <row r="31" spans="1:6" x14ac:dyDescent="0.15">
      <c r="A31" s="23">
        <v>1104</v>
      </c>
      <c r="B31" s="23" t="s">
        <v>220</v>
      </c>
      <c r="C31" s="11" t="s">
        <v>192</v>
      </c>
      <c r="D31" s="11" t="s">
        <v>192</v>
      </c>
      <c r="E31" s="11" t="s">
        <v>23</v>
      </c>
      <c r="F31" t="str">
        <f>IFERROR("["&amp;$F$1&amp;VLOOKUP(E31,[1]Sheet1!$I:$J,2,FALSE)&amp;$F$1&amp;"]","[]")</f>
        <v>["yuhuangdadi_cj_1"]</v>
      </c>
    </row>
    <row r="32" spans="1:6" x14ac:dyDescent="0.15">
      <c r="A32" s="23">
        <v>1135</v>
      </c>
      <c r="B32" s="23" t="s">
        <v>229</v>
      </c>
      <c r="C32" s="11" t="s">
        <v>192</v>
      </c>
      <c r="D32" s="11" t="s">
        <v>192</v>
      </c>
      <c r="E32" s="11" t="s">
        <v>18</v>
      </c>
      <c r="F32" t="str">
        <f>IFERROR("["&amp;$F$1&amp;VLOOKUP(E32,[1]Sheet1!$I:$J,2,FALSE)&amp;$F$1&amp;"]","[]")</f>
        <v>[]</v>
      </c>
    </row>
    <row r="33" spans="1:6" x14ac:dyDescent="0.15">
      <c r="A33" s="23">
        <v>1132</v>
      </c>
      <c r="B33" s="23" t="s">
        <v>230</v>
      </c>
      <c r="C33" s="11" t="s">
        <v>192</v>
      </c>
      <c r="D33" s="11" t="s">
        <v>192</v>
      </c>
      <c r="E33" s="11" t="s">
        <v>26</v>
      </c>
      <c r="F33" t="str">
        <f>IFERROR("["&amp;$F$1&amp;VLOOKUP(E33,[1]Sheet1!$I:$J,2,FALSE)&amp;$F$1&amp;"]","[]")</f>
        <v>[]</v>
      </c>
    </row>
    <row r="34" spans="1:6" ht="16.5" customHeight="1" x14ac:dyDescent="0.15">
      <c r="A34" s="23">
        <v>1125</v>
      </c>
      <c r="B34" s="23" t="s">
        <v>231</v>
      </c>
      <c r="C34" s="11" t="s">
        <v>192</v>
      </c>
      <c r="D34" s="11" t="s">
        <v>192</v>
      </c>
      <c r="E34" s="30" t="s">
        <v>36</v>
      </c>
      <c r="F34" t="str">
        <f>IFERROR("["&amp;$F$1&amp;VLOOKUP(E34,[1]Sheet1!$I:$J,2,FALSE)&amp;$F$1&amp;"]","[]")</f>
        <v>[]</v>
      </c>
    </row>
    <row r="35" spans="1:6" ht="16.5" customHeight="1" x14ac:dyDescent="0.15">
      <c r="A35" s="23">
        <v>1202</v>
      </c>
      <c r="B35" s="23" t="s">
        <v>245</v>
      </c>
      <c r="C35" s="11" t="s">
        <v>192</v>
      </c>
      <c r="D35" s="11" t="s">
        <v>192</v>
      </c>
      <c r="E35" s="12" t="s">
        <v>153</v>
      </c>
      <c r="F35" t="str">
        <f>IFERROR("["&amp;$F$1&amp;VLOOKUP(E35,[1]Sheet1!$I:$J,2,FALSE)&amp;$F$1&amp;"]","[]")</f>
        <v>[]</v>
      </c>
    </row>
    <row r="36" spans="1:6" ht="16.5" customHeight="1" x14ac:dyDescent="0.15">
      <c r="A36" s="23">
        <v>1123</v>
      </c>
      <c r="B36" s="23" t="s">
        <v>221</v>
      </c>
      <c r="C36" s="23" t="s">
        <v>223</v>
      </c>
      <c r="D36" s="11" t="s">
        <v>192</v>
      </c>
      <c r="E36" s="11" t="s">
        <v>22</v>
      </c>
      <c r="F36" t="str">
        <f>IFERROR("["&amp;$F$1&amp;VLOOKUP(E36,[1]Sheet1!$I:$J,2,FALSE)&amp;$F$1&amp;"]","[]")</f>
        <v>["xiaobailong_cj_1"]</v>
      </c>
    </row>
    <row r="37" spans="1:6" ht="16.5" customHeight="1" x14ac:dyDescent="0.15">
      <c r="A37" s="23">
        <v>1117</v>
      </c>
      <c r="B37" s="23" t="s">
        <v>240</v>
      </c>
      <c r="C37" s="11" t="s">
        <v>192</v>
      </c>
      <c r="D37" s="11" t="s">
        <v>192</v>
      </c>
      <c r="E37" s="11" t="s">
        <v>4</v>
      </c>
      <c r="F37" t="str">
        <f>IFERROR("["&amp;$F$1&amp;VLOOKUP(E37,[1]Sheet1!$I:$J,2,FALSE)&amp;$F$1&amp;"]","[]")</f>
        <v>[]</v>
      </c>
    </row>
    <row r="38" spans="1:6" x14ac:dyDescent="0.15">
      <c r="A38" s="23">
        <v>1201</v>
      </c>
      <c r="B38" s="23" t="s">
        <v>243</v>
      </c>
      <c r="C38" s="11" t="s">
        <v>192</v>
      </c>
      <c r="D38" s="11" t="s">
        <v>192</v>
      </c>
      <c r="E38" s="11" t="s">
        <v>16</v>
      </c>
      <c r="F38" t="str">
        <f>IFERROR("["&amp;$F$1&amp;VLOOKUP(E38,[1]Sheet1!$I:$J,2,FALSE)&amp;$F$1&amp;"]","[]")</f>
        <v>[]</v>
      </c>
    </row>
    <row r="39" spans="1:6" ht="16.5" customHeight="1" x14ac:dyDescent="0.15">
      <c r="A39" s="23">
        <v>1131</v>
      </c>
      <c r="B39" s="23" t="s">
        <v>235</v>
      </c>
      <c r="C39" s="11" t="s">
        <v>192</v>
      </c>
      <c r="D39" s="11" t="s">
        <v>192</v>
      </c>
      <c r="E39" s="11" t="s">
        <v>17</v>
      </c>
      <c r="F39" t="str">
        <f>IFERROR("["&amp;$F$1&amp;VLOOKUP(E39,[1]Sheet1!$I:$J,2,FALSE)&amp;$F$1&amp;"]","[]")</f>
        <v>[]</v>
      </c>
    </row>
    <row r="40" spans="1:6" x14ac:dyDescent="0.15">
      <c r="A40" s="23">
        <v>1137</v>
      </c>
      <c r="B40" s="23" t="s">
        <v>244</v>
      </c>
      <c r="C40" s="11" t="s">
        <v>192</v>
      </c>
      <c r="D40" s="11" t="s">
        <v>192</v>
      </c>
      <c r="E40" s="11" t="s">
        <v>39</v>
      </c>
      <c r="F40" t="str">
        <f>IFERROR("["&amp;$F$1&amp;VLOOKUP(E40,[1]Sheet1!$I:$J,2,FALSE)&amp;$F$1&amp;"]","[]")</f>
        <v>[]</v>
      </c>
    </row>
    <row r="41" spans="1:6" x14ac:dyDescent="0.15">
      <c r="A41" s="23">
        <v>1216</v>
      </c>
      <c r="B41" s="23" t="s">
        <v>233</v>
      </c>
      <c r="C41" s="11" t="s">
        <v>192</v>
      </c>
      <c r="D41" s="11" t="s">
        <v>192</v>
      </c>
      <c r="E41" s="12" t="s">
        <v>67</v>
      </c>
      <c r="F41" t="str">
        <f>IFERROR("["&amp;$F$1&amp;VLOOKUP(E41,[1]Sheet1!$I:$J,2,FALSE)&amp;$F$1&amp;"]","[]")</f>
        <v>[]</v>
      </c>
    </row>
    <row r="42" spans="1:6" x14ac:dyDescent="0.15">
      <c r="A42" s="23">
        <v>1106</v>
      </c>
      <c r="B42" s="23" t="s">
        <v>241</v>
      </c>
      <c r="C42" s="11" t="s">
        <v>192</v>
      </c>
      <c r="D42" s="11" t="s">
        <v>192</v>
      </c>
      <c r="E42" s="11" t="s">
        <v>32</v>
      </c>
      <c r="F42" t="str">
        <f>IFERROR("["&amp;$F$1&amp;VLOOKUP(E42,[1]Sheet1!$I:$J,2,FALSE)&amp;$F$1&amp;"]","[]")</f>
        <v>[]</v>
      </c>
    </row>
    <row r="43" spans="1:6" x14ac:dyDescent="0.15">
      <c r="A43" s="23">
        <v>1115</v>
      </c>
      <c r="B43" s="23" t="s">
        <v>236</v>
      </c>
      <c r="C43" s="11" t="s">
        <v>192</v>
      </c>
      <c r="D43" s="11" t="s">
        <v>192</v>
      </c>
      <c r="E43" s="11" t="s">
        <v>8</v>
      </c>
      <c r="F43" t="str">
        <f>IFERROR("["&amp;$F$1&amp;VLOOKUP(E43,[1]Sheet1!$I:$J,2,FALSE)&amp;$F$1&amp;"]","[]")</f>
        <v>[]</v>
      </c>
    </row>
    <row r="44" spans="1:6" ht="16.5" customHeight="1" x14ac:dyDescent="0.15">
      <c r="A44" s="23">
        <v>1208</v>
      </c>
      <c r="B44" s="23" t="s">
        <v>238</v>
      </c>
      <c r="C44" s="11" t="s">
        <v>192</v>
      </c>
      <c r="D44" s="11" t="s">
        <v>192</v>
      </c>
      <c r="E44" s="13" t="s">
        <v>154</v>
      </c>
      <c r="F44" t="str">
        <f>IFERROR("["&amp;$F$1&amp;VLOOKUP(E44,[1]Sheet1!$I:$J,2,FALSE)&amp;$F$1&amp;"]","[]")</f>
        <v>[]</v>
      </c>
    </row>
    <row r="45" spans="1:6" ht="16.5" customHeight="1" x14ac:dyDescent="0.15">
      <c r="A45" s="23">
        <v>1122</v>
      </c>
      <c r="B45" s="23" t="s">
        <v>242</v>
      </c>
      <c r="C45" s="11" t="s">
        <v>192</v>
      </c>
      <c r="D45" s="11" t="s">
        <v>192</v>
      </c>
      <c r="E45" s="11" t="s">
        <v>20</v>
      </c>
      <c r="F45" t="str">
        <f>IFERROR("["&amp;$F$1&amp;VLOOKUP(E45,[1]Sheet1!$I:$J,2,FALSE)&amp;$F$1&amp;"]","[]")</f>
        <v>[]</v>
      </c>
    </row>
    <row r="46" spans="1:6" ht="16.5" customHeight="1" x14ac:dyDescent="0.15">
      <c r="A46" s="23">
        <v>1207</v>
      </c>
      <c r="B46" s="23" t="s">
        <v>237</v>
      </c>
      <c r="C46" s="11" t="s">
        <v>192</v>
      </c>
      <c r="D46" s="11" t="s">
        <v>192</v>
      </c>
      <c r="E46" s="11" t="s">
        <v>145</v>
      </c>
      <c r="F46" t="str">
        <f>IFERROR("["&amp;$F$1&amp;VLOOKUP(E46,[1]Sheet1!$I:$J,2,FALSE)&amp;$F$1&amp;"]","[]")</f>
        <v>[]</v>
      </c>
    </row>
    <row r="47" spans="1:6" ht="16.5" customHeight="1" x14ac:dyDescent="0.15">
      <c r="A47" s="23">
        <v>1139</v>
      </c>
      <c r="B47" s="23" t="s">
        <v>3</v>
      </c>
      <c r="C47" s="11" t="s">
        <v>192</v>
      </c>
      <c r="D47" s="11" t="s">
        <v>192</v>
      </c>
      <c r="E47" s="11" t="s">
        <v>70</v>
      </c>
      <c r="F47" t="str">
        <f>IFERROR("["&amp;$F$1&amp;VLOOKUP(E47,[1]Sheet1!$I:$J,2,FALSE)&amp;$F$1&amp;"]","[]")</f>
        <v>[]</v>
      </c>
    </row>
    <row r="48" spans="1:6" ht="16.5" customHeight="1" x14ac:dyDescent="0.15">
      <c r="A48" s="23">
        <v>1140</v>
      </c>
      <c r="B48" s="23" t="s">
        <v>3</v>
      </c>
      <c r="C48" s="11" t="s">
        <v>192</v>
      </c>
      <c r="D48" s="11" t="s">
        <v>192</v>
      </c>
      <c r="E48" s="11" t="s">
        <v>14</v>
      </c>
      <c r="F48" t="str">
        <f>IFERROR("["&amp;$F$1&amp;VLOOKUP(E48,[1]Sheet1!$I:$J,2,FALSE)&amp;$F$1&amp;"]","[]")</f>
        <v>[]</v>
      </c>
    </row>
    <row r="49" spans="1:6" ht="16.5" customHeight="1" x14ac:dyDescent="0.15">
      <c r="A49" s="23">
        <v>1107</v>
      </c>
      <c r="B49" s="23" t="s">
        <v>3</v>
      </c>
      <c r="C49" s="11" t="s">
        <v>192</v>
      </c>
      <c r="D49" s="11" t="s">
        <v>192</v>
      </c>
      <c r="E49" s="12" t="s">
        <v>33</v>
      </c>
      <c r="F49" t="str">
        <f>IFERROR("["&amp;$F$1&amp;VLOOKUP(E49,[1]Sheet1!$I:$J,2,FALSE)&amp;$F$1&amp;"]","[]")</f>
        <v>[]</v>
      </c>
    </row>
    <row r="50" spans="1:6" ht="16.5" customHeight="1" x14ac:dyDescent="0.15">
      <c r="A50" s="23">
        <v>1134</v>
      </c>
      <c r="B50" s="23" t="s">
        <v>3</v>
      </c>
      <c r="C50" s="11" t="s">
        <v>192</v>
      </c>
      <c r="D50" s="11" t="s">
        <v>192</v>
      </c>
      <c r="E50" s="11" t="s">
        <v>155</v>
      </c>
      <c r="F50" t="str">
        <f>IFERROR("["&amp;$F$1&amp;VLOOKUP(E50,[1]Sheet1!$I:$J,2,FALSE)&amp;$F$1&amp;"]","[]")</f>
        <v>[]</v>
      </c>
    </row>
    <row r="51" spans="1:6" ht="16.5" customHeight="1" x14ac:dyDescent="0.15">
      <c r="A51" s="23">
        <v>1206</v>
      </c>
      <c r="B51" s="23" t="s">
        <v>3</v>
      </c>
      <c r="C51" s="11" t="s">
        <v>192</v>
      </c>
      <c r="D51" s="11" t="s">
        <v>192</v>
      </c>
      <c r="E51" s="11" t="s">
        <v>69</v>
      </c>
      <c r="F51" t="str">
        <f>IFERROR("["&amp;$F$1&amp;VLOOKUP(E51,[1]Sheet1!$I:$J,2,FALSE)&amp;$F$1&amp;"]","[]")</f>
        <v>[]</v>
      </c>
    </row>
    <row r="52" spans="1:6" ht="16.5" customHeight="1" x14ac:dyDescent="0.15">
      <c r="A52" s="23">
        <v>1130</v>
      </c>
      <c r="B52" s="23" t="s">
        <v>3</v>
      </c>
      <c r="C52" s="11" t="s">
        <v>192</v>
      </c>
      <c r="D52" s="11" t="s">
        <v>192</v>
      </c>
      <c r="E52" s="13" t="s">
        <v>25</v>
      </c>
      <c r="F52" t="str">
        <f>IFERROR("["&amp;$F$1&amp;VLOOKUP(E52,[1]Sheet1!$I:$J,2,FALSE)&amp;$F$1&amp;"]","[]")</f>
        <v>[]</v>
      </c>
    </row>
    <row r="53" spans="1:6" x14ac:dyDescent="0.15">
      <c r="A53" s="23">
        <v>1203</v>
      </c>
      <c r="B53" s="23" t="s">
        <v>3</v>
      </c>
      <c r="C53" s="11" t="s">
        <v>192</v>
      </c>
      <c r="D53" s="11" t="s">
        <v>192</v>
      </c>
      <c r="E53" s="11" t="s">
        <v>156</v>
      </c>
      <c r="F53" t="str">
        <f>IFERROR("["&amp;$F$1&amp;VLOOKUP(E53,[1]Sheet1!$I:$J,2,FALSE)&amp;$F$1&amp;"]","[]")</f>
        <v>[]</v>
      </c>
    </row>
    <row r="54" spans="1:6" x14ac:dyDescent="0.15">
      <c r="A54" s="23">
        <v>1205</v>
      </c>
      <c r="B54" s="23" t="s">
        <v>3</v>
      </c>
      <c r="C54" s="11" t="s">
        <v>192</v>
      </c>
      <c r="D54" s="11" t="s">
        <v>192</v>
      </c>
      <c r="E54" s="11" t="s">
        <v>68</v>
      </c>
      <c r="F54" t="str">
        <f>IFERROR("["&amp;$F$1&amp;VLOOKUP(E54,[1]Sheet1!$I:$J,2,FALSE)&amp;$F$1&amp;"]","[]")</f>
        <v>[]</v>
      </c>
    </row>
    <row r="55" spans="1:6" ht="16.5" customHeight="1" x14ac:dyDescent="0.15">
      <c r="A55" s="23">
        <v>1133</v>
      </c>
      <c r="B55" s="23" t="s">
        <v>3</v>
      </c>
      <c r="C55" s="11" t="s">
        <v>192</v>
      </c>
      <c r="D55" s="11" t="s">
        <v>192</v>
      </c>
      <c r="E55" s="11" t="s">
        <v>27</v>
      </c>
      <c r="F55" t="str">
        <f>IFERROR("["&amp;$F$1&amp;VLOOKUP(E55,[1]Sheet1!$I:$J,2,FALSE)&amp;$F$1&amp;"]","[]")</f>
        <v>[]</v>
      </c>
    </row>
    <row r="56" spans="1:6" ht="16.5" customHeight="1" x14ac:dyDescent="0.15">
      <c r="A56" s="23">
        <v>1204</v>
      </c>
      <c r="B56" s="23" t="s">
        <v>3</v>
      </c>
      <c r="C56" s="11" t="s">
        <v>192</v>
      </c>
      <c r="D56" s="11" t="s">
        <v>192</v>
      </c>
      <c r="E56" s="11" t="s">
        <v>157</v>
      </c>
      <c r="F56" t="str">
        <f>IFERROR("["&amp;$F$1&amp;VLOOKUP(E56,[1]Sheet1!$I:$J,2,FALSE)&amp;$F$1&amp;"]","[]")</f>
        <v>[]</v>
      </c>
    </row>
    <row r="57" spans="1:6" ht="16.5" customHeight="1" x14ac:dyDescent="0.15">
      <c r="A57" s="23">
        <v>1128</v>
      </c>
      <c r="B57" s="23" t="s">
        <v>3</v>
      </c>
      <c r="C57" s="11" t="s">
        <v>192</v>
      </c>
      <c r="D57" s="11" t="s">
        <v>192</v>
      </c>
      <c r="E57" s="12" t="s">
        <v>24</v>
      </c>
      <c r="F57" t="str">
        <f>IFERROR("["&amp;$F$1&amp;VLOOKUP(E57,[1]Sheet1!$I:$J,2,FALSE)&amp;$F$1&amp;"]","[]")</f>
        <v>[]</v>
      </c>
    </row>
    <row r="58" spans="1:6" ht="16.5" customHeight="1" x14ac:dyDescent="0.15">
      <c r="A58" s="23">
        <v>1118</v>
      </c>
      <c r="B58" s="23" t="s">
        <v>3</v>
      </c>
      <c r="C58" s="11" t="s">
        <v>192</v>
      </c>
      <c r="D58" s="11" t="s">
        <v>192</v>
      </c>
      <c r="E58" s="11" t="s">
        <v>21</v>
      </c>
      <c r="F58" t="str">
        <f>IFERROR("["&amp;$F$1&amp;VLOOKUP(E58,[1]Sheet1!$I:$J,2,FALSE)&amp;$F$1&amp;"]","[]")</f>
        <v>[]</v>
      </c>
    </row>
    <row r="59" spans="1:6" ht="16.5" customHeight="1" x14ac:dyDescent="0.15">
      <c r="A59" s="23">
        <v>1136</v>
      </c>
      <c r="B59" s="23" t="s">
        <v>3</v>
      </c>
      <c r="C59" s="11" t="s">
        <v>192</v>
      </c>
      <c r="D59" s="11" t="s">
        <v>192</v>
      </c>
      <c r="E59" s="11" t="s">
        <v>28</v>
      </c>
      <c r="F59" t="str">
        <f>IFERROR("["&amp;$F$1&amp;VLOOKUP(E59,[1]Sheet1!$I:$J,2,FALSE)&amp;$F$1&amp;"]","[]")</f>
        <v>[]</v>
      </c>
    </row>
    <row r="60" spans="1:6" ht="16.5" customHeight="1" x14ac:dyDescent="0.15">
      <c r="A60" s="23">
        <v>1141</v>
      </c>
      <c r="B60" s="23" t="s">
        <v>3</v>
      </c>
      <c r="C60" s="11" t="s">
        <v>192</v>
      </c>
      <c r="D60" s="11" t="s">
        <v>192</v>
      </c>
      <c r="E60" s="11" t="s">
        <v>158</v>
      </c>
      <c r="F60" t="str">
        <f>IFERROR("["&amp;$F$1&amp;VLOOKUP(E60,[1]Sheet1!$I:$J,2,FALSE)&amp;$F$1&amp;"]","[]")</f>
        <v>[]</v>
      </c>
    </row>
    <row r="61" spans="1:6" ht="16.5" customHeight="1" x14ac:dyDescent="0.15">
      <c r="A61" s="23">
        <v>1138</v>
      </c>
      <c r="B61" s="23" t="s">
        <v>3</v>
      </c>
      <c r="C61" s="11" t="s">
        <v>192</v>
      </c>
      <c r="D61" s="11" t="s">
        <v>192</v>
      </c>
      <c r="E61" s="11" t="s">
        <v>15</v>
      </c>
      <c r="F61" t="str">
        <f>IFERROR("["&amp;$F$1&amp;VLOOKUP(E61,[1]Sheet1!$I:$J,2,FALSE)&amp;$F$1&amp;"]","[]")</f>
        <v>[]</v>
      </c>
    </row>
    <row r="62" spans="1:6" ht="16.5" customHeight="1" x14ac:dyDescent="0.15">
      <c r="A62" s="23">
        <v>1142</v>
      </c>
      <c r="B62" s="23" t="s">
        <v>3</v>
      </c>
      <c r="C62" s="11" t="s">
        <v>192</v>
      </c>
      <c r="D62" s="11" t="s">
        <v>192</v>
      </c>
      <c r="E62" s="11" t="s">
        <v>40</v>
      </c>
      <c r="F62" t="str">
        <f>IFERROR("["&amp;$F$1&amp;VLOOKUP(E62,[1]Sheet1!$I:$J,2,FALSE)&amp;$F$1&amp;"]","[]")</f>
        <v>[]</v>
      </c>
    </row>
    <row r="63" spans="1:6" ht="16.5" customHeight="1" x14ac:dyDescent="0.15">
      <c r="A63" s="23">
        <v>1143</v>
      </c>
      <c r="B63" s="23" t="s">
        <v>3</v>
      </c>
      <c r="C63" s="11" t="s">
        <v>192</v>
      </c>
      <c r="D63" s="11" t="s">
        <v>192</v>
      </c>
      <c r="E63" s="11" t="s">
        <v>41</v>
      </c>
      <c r="F63" t="str">
        <f>IFERROR("["&amp;$F$1&amp;VLOOKUP(E63,[1]Sheet1!$I:$J,2,FALSE)&amp;$F$1&amp;"]","[]")</f>
        <v>[]</v>
      </c>
    </row>
    <row r="64" spans="1:6" ht="16.5" customHeight="1" x14ac:dyDescent="0.15">
      <c r="A64" s="23">
        <v>1146</v>
      </c>
      <c r="B64" s="23" t="s">
        <v>3</v>
      </c>
      <c r="C64" s="11" t="s">
        <v>192</v>
      </c>
      <c r="D64" s="11" t="s">
        <v>192</v>
      </c>
      <c r="E64" s="11" t="s">
        <v>159</v>
      </c>
      <c r="F64" t="str">
        <f>IFERROR("["&amp;$F$1&amp;VLOOKUP(E64,[1]Sheet1!$I:$J,2,FALSE)&amp;$F$1&amp;"]","[]")</f>
        <v>[]</v>
      </c>
    </row>
    <row r="65" spans="1:6" ht="16.5" customHeight="1" x14ac:dyDescent="0.15">
      <c r="A65" s="23">
        <v>1147</v>
      </c>
      <c r="B65" s="23" t="s">
        <v>3</v>
      </c>
      <c r="C65" s="11" t="s">
        <v>192</v>
      </c>
      <c r="D65" s="11" t="s">
        <v>192</v>
      </c>
      <c r="E65" s="11" t="s">
        <v>160</v>
      </c>
      <c r="F65" t="str">
        <f>IFERROR("["&amp;$F$1&amp;VLOOKUP(E65,[1]Sheet1!$I:$J,2,FALSE)&amp;$F$1&amp;"]","[]")</f>
        <v>[]</v>
      </c>
    </row>
    <row r="66" spans="1:6" ht="16.5" customHeight="1" x14ac:dyDescent="0.15">
      <c r="A66" s="23">
        <v>1148</v>
      </c>
      <c r="B66" s="23" t="s">
        <v>3</v>
      </c>
      <c r="C66" s="11" t="s">
        <v>192</v>
      </c>
      <c r="D66" s="11" t="s">
        <v>192</v>
      </c>
      <c r="E66" s="11" t="s">
        <v>161</v>
      </c>
      <c r="F66" t="str">
        <f>IFERROR("["&amp;$F$1&amp;VLOOKUP(E66,[1]Sheet1!$I:$J,2,FALSE)&amp;$F$1&amp;"]","[]")</f>
        <v>[]</v>
      </c>
    </row>
    <row r="67" spans="1:6" ht="16.5" customHeight="1" x14ac:dyDescent="0.15">
      <c r="A67" s="23">
        <v>1152</v>
      </c>
      <c r="B67" s="23" t="s">
        <v>3</v>
      </c>
      <c r="C67" s="11" t="s">
        <v>192</v>
      </c>
      <c r="D67" s="11" t="s">
        <v>192</v>
      </c>
      <c r="E67" s="11" t="s">
        <v>29</v>
      </c>
      <c r="F67" t="str">
        <f>IFERROR("["&amp;$F$1&amp;VLOOKUP(E67,[1]Sheet1!$I:$J,2,FALSE)&amp;$F$1&amp;"]","[]")</f>
        <v>[]</v>
      </c>
    </row>
    <row r="68" spans="1:6" ht="16.5" customHeight="1" x14ac:dyDescent="0.15">
      <c r="A68" s="23">
        <v>1155</v>
      </c>
      <c r="B68" s="23" t="s">
        <v>3</v>
      </c>
      <c r="C68" s="11" t="s">
        <v>192</v>
      </c>
      <c r="D68" s="11" t="s">
        <v>192</v>
      </c>
      <c r="E68" s="11" t="s">
        <v>162</v>
      </c>
      <c r="F68" t="str">
        <f>IFERROR("["&amp;$F$1&amp;VLOOKUP(E68,[1]Sheet1!$I:$J,2,FALSE)&amp;$F$1&amp;"]","[]")</f>
        <v>[]</v>
      </c>
    </row>
    <row r="69" spans="1:6" ht="16.5" customHeight="1" x14ac:dyDescent="0.15">
      <c r="A69" s="23">
        <v>1156</v>
      </c>
      <c r="B69" s="23" t="s">
        <v>3</v>
      </c>
      <c r="C69" s="11" t="s">
        <v>192</v>
      </c>
      <c r="D69" s="11" t="s">
        <v>192</v>
      </c>
      <c r="E69" s="11" t="s">
        <v>163</v>
      </c>
      <c r="F69" t="str">
        <f>IFERROR("["&amp;$F$1&amp;VLOOKUP(E69,[1]Sheet1!$I:$J,2,FALSE)&amp;$F$1&amp;"]","[]")</f>
        <v>[]</v>
      </c>
    </row>
    <row r="70" spans="1:6" ht="16.5" customHeight="1" x14ac:dyDescent="0.15">
      <c r="A70" s="23">
        <v>1157</v>
      </c>
      <c r="B70" s="23" t="s">
        <v>3</v>
      </c>
      <c r="C70" s="11" t="s">
        <v>192</v>
      </c>
      <c r="D70" s="11" t="s">
        <v>192</v>
      </c>
      <c r="E70" s="11" t="s">
        <v>164</v>
      </c>
      <c r="F70" t="str">
        <f>IFERROR("["&amp;$F$1&amp;VLOOKUP(E70,[1]Sheet1!$I:$J,2,FALSE)&amp;$F$1&amp;"]","[]")</f>
        <v>[]</v>
      </c>
    </row>
    <row r="71" spans="1:6" ht="16.5" customHeight="1" x14ac:dyDescent="0.15">
      <c r="A71" s="23">
        <v>1158</v>
      </c>
      <c r="B71" s="23" t="s">
        <v>3</v>
      </c>
      <c r="C71" s="11" t="s">
        <v>192</v>
      </c>
      <c r="D71" s="11" t="s">
        <v>192</v>
      </c>
      <c r="E71" s="11" t="s">
        <v>165</v>
      </c>
      <c r="F71" t="str">
        <f>IFERROR("["&amp;$F$1&amp;VLOOKUP(E71,[1]Sheet1!$I:$J,2,FALSE)&amp;$F$1&amp;"]","[]")</f>
        <v>[]</v>
      </c>
    </row>
    <row r="72" spans="1:6" ht="16.5" customHeight="1" x14ac:dyDescent="0.15">
      <c r="A72" s="23">
        <v>1159</v>
      </c>
      <c r="B72" s="23" t="s">
        <v>3</v>
      </c>
      <c r="C72" s="11" t="s">
        <v>192</v>
      </c>
      <c r="D72" s="11" t="s">
        <v>192</v>
      </c>
      <c r="E72" s="11" t="s">
        <v>166</v>
      </c>
      <c r="F72" t="str">
        <f>IFERROR("["&amp;$F$1&amp;VLOOKUP(E72,[1]Sheet1!$I:$J,2,FALSE)&amp;$F$1&amp;"]","[]")</f>
        <v>[]</v>
      </c>
    </row>
    <row r="73" spans="1:6" ht="16.5" customHeight="1" x14ac:dyDescent="0.15">
      <c r="A73" s="23">
        <v>1162</v>
      </c>
      <c r="B73" s="23" t="s">
        <v>3</v>
      </c>
      <c r="C73" s="11" t="s">
        <v>192</v>
      </c>
      <c r="D73" s="11" t="s">
        <v>192</v>
      </c>
      <c r="E73" s="11" t="s">
        <v>42</v>
      </c>
      <c r="F73" t="str">
        <f>IFERROR("["&amp;$F$1&amp;VLOOKUP(E73,[1]Sheet1!$I:$J,2,FALSE)&amp;$F$1&amp;"]","[]")</f>
        <v>[]</v>
      </c>
    </row>
    <row r="74" spans="1:6" ht="16.5" customHeight="1" x14ac:dyDescent="0.15">
      <c r="A74" s="23">
        <v>1163</v>
      </c>
      <c r="B74" s="23" t="s">
        <v>3</v>
      </c>
      <c r="C74" s="11" t="s">
        <v>192</v>
      </c>
      <c r="D74" s="11" t="s">
        <v>192</v>
      </c>
      <c r="E74" s="11" t="s">
        <v>43</v>
      </c>
      <c r="F74" t="str">
        <f>IFERROR("["&amp;$F$1&amp;VLOOKUP(E74,[1]Sheet1!$I:$J,2,FALSE)&amp;$F$1&amp;"]","[]")</f>
        <v>[]</v>
      </c>
    </row>
    <row r="75" spans="1:6" ht="16.5" customHeight="1" x14ac:dyDescent="0.15">
      <c r="A75" s="23">
        <v>1192</v>
      </c>
      <c r="B75" s="23" t="s">
        <v>3</v>
      </c>
      <c r="C75" s="11" t="s">
        <v>192</v>
      </c>
      <c r="D75" s="11" t="s">
        <v>192</v>
      </c>
      <c r="E75" s="11" t="s">
        <v>71</v>
      </c>
      <c r="F75" t="str">
        <f>IFERROR("["&amp;$F$1&amp;VLOOKUP(E75,[1]Sheet1!$I:$J,2,FALSE)&amp;$F$1&amp;"]","[]")</f>
        <v>[]</v>
      </c>
    </row>
    <row r="76" spans="1:6" ht="16.5" customHeight="1" x14ac:dyDescent="0.15">
      <c r="A76" s="23">
        <v>1153</v>
      </c>
      <c r="B76" s="23" t="s">
        <v>3</v>
      </c>
      <c r="C76" s="11" t="s">
        <v>192</v>
      </c>
      <c r="D76" s="11" t="s">
        <v>192</v>
      </c>
      <c r="E76" s="11" t="s">
        <v>73</v>
      </c>
      <c r="F76" t="str">
        <f>IFERROR("["&amp;$F$1&amp;VLOOKUP(E76,[1]Sheet1!$I:$J,2,FALSE)&amp;$F$1&amp;"]","[]")</f>
        <v>[]</v>
      </c>
    </row>
    <row r="77" spans="1:6" ht="16.5" customHeight="1" x14ac:dyDescent="0.15">
      <c r="A77" s="23">
        <v>1154</v>
      </c>
      <c r="B77" s="23" t="s">
        <v>3</v>
      </c>
      <c r="C77" s="11" t="s">
        <v>192</v>
      </c>
      <c r="D77" s="11" t="s">
        <v>192</v>
      </c>
      <c r="E77" s="11" t="s">
        <v>74</v>
      </c>
      <c r="F77" t="str">
        <f>IFERROR("["&amp;$F$1&amp;VLOOKUP(E77,[1]Sheet1!$I:$J,2,FALSE)&amp;$F$1&amp;"]","[]")</f>
        <v>[]</v>
      </c>
    </row>
    <row r="78" spans="1:6" ht="16.5" customHeight="1" x14ac:dyDescent="0.15">
      <c r="A78" s="23">
        <v>1164</v>
      </c>
      <c r="B78" s="23" t="s">
        <v>3</v>
      </c>
      <c r="C78" s="11" t="s">
        <v>192</v>
      </c>
      <c r="D78" s="11" t="s">
        <v>192</v>
      </c>
      <c r="E78" s="11" t="s">
        <v>44</v>
      </c>
      <c r="F78" t="str">
        <f>IFERROR("["&amp;$F$1&amp;VLOOKUP(E78,[1]Sheet1!$I:$J,2,FALSE)&amp;$F$1&amp;"]","[]")</f>
        <v>[]</v>
      </c>
    </row>
    <row r="79" spans="1:6" ht="16.5" customHeight="1" x14ac:dyDescent="0.15">
      <c r="A79" s="23">
        <v>1165</v>
      </c>
      <c r="B79" s="23" t="s">
        <v>3</v>
      </c>
      <c r="C79" s="11" t="s">
        <v>192</v>
      </c>
      <c r="D79" s="11" t="s">
        <v>192</v>
      </c>
      <c r="E79" s="11" t="s">
        <v>45</v>
      </c>
      <c r="F79" t="str">
        <f>IFERROR("["&amp;$F$1&amp;VLOOKUP(E79,[1]Sheet1!$I:$J,2,FALSE)&amp;$F$1&amp;"]","[]")</f>
        <v>[]</v>
      </c>
    </row>
    <row r="80" spans="1:6" ht="16.5" customHeight="1" x14ac:dyDescent="0.15">
      <c r="A80" s="23">
        <v>1166</v>
      </c>
      <c r="B80" s="23" t="s">
        <v>3</v>
      </c>
      <c r="C80" s="11" t="s">
        <v>192</v>
      </c>
      <c r="D80" s="11" t="s">
        <v>192</v>
      </c>
      <c r="E80" s="11" t="s">
        <v>46</v>
      </c>
      <c r="F80" t="str">
        <f>IFERROR("["&amp;$F$1&amp;VLOOKUP(E80,[1]Sheet1!$I:$J,2,FALSE)&amp;$F$1&amp;"]","[]")</f>
        <v>[]</v>
      </c>
    </row>
    <row r="81" spans="1:6" x14ac:dyDescent="0.15">
      <c r="A81" s="23">
        <v>1167</v>
      </c>
      <c r="B81" s="23" t="s">
        <v>3</v>
      </c>
      <c r="C81" s="11" t="s">
        <v>192</v>
      </c>
      <c r="D81" s="11" t="s">
        <v>192</v>
      </c>
      <c r="E81" s="11" t="s">
        <v>47</v>
      </c>
      <c r="F81" t="str">
        <f>IFERROR("["&amp;$F$1&amp;VLOOKUP(E81,[1]Sheet1!$I:$J,2,FALSE)&amp;$F$1&amp;"]","[]")</f>
        <v>[]</v>
      </c>
    </row>
    <row r="82" spans="1:6" x14ac:dyDescent="0.15">
      <c r="A82" s="23">
        <v>1168</v>
      </c>
      <c r="B82" s="23" t="s">
        <v>3</v>
      </c>
      <c r="C82" s="11" t="s">
        <v>192</v>
      </c>
      <c r="D82" s="11" t="s">
        <v>192</v>
      </c>
      <c r="E82" s="11" t="s">
        <v>48</v>
      </c>
      <c r="F82" t="str">
        <f>IFERROR("["&amp;$F$1&amp;VLOOKUP(E82,[1]Sheet1!$I:$J,2,FALSE)&amp;$F$1&amp;"]","[]")</f>
        <v>[]</v>
      </c>
    </row>
    <row r="83" spans="1:6" x14ac:dyDescent="0.15">
      <c r="A83" s="23">
        <v>1169</v>
      </c>
      <c r="B83" s="23" t="s">
        <v>3</v>
      </c>
      <c r="C83" s="11" t="s">
        <v>192</v>
      </c>
      <c r="D83" s="11" t="s">
        <v>192</v>
      </c>
      <c r="E83" s="11" t="s">
        <v>49</v>
      </c>
      <c r="F83" t="str">
        <f>IFERROR("["&amp;$F$1&amp;VLOOKUP(E83,[1]Sheet1!$I:$J,2,FALSE)&amp;$F$1&amp;"]","[]")</f>
        <v>[]</v>
      </c>
    </row>
    <row r="84" spans="1:6" x14ac:dyDescent="0.15">
      <c r="A84" s="23">
        <v>1170</v>
      </c>
      <c r="B84" s="23" t="s">
        <v>3</v>
      </c>
      <c r="C84" s="11" t="s">
        <v>192</v>
      </c>
      <c r="D84" s="11" t="s">
        <v>192</v>
      </c>
      <c r="E84" s="11" t="s">
        <v>50</v>
      </c>
      <c r="F84" t="str">
        <f>IFERROR("["&amp;$F$1&amp;VLOOKUP(E84,[1]Sheet1!$I:$J,2,FALSE)&amp;$F$1&amp;"]","[]")</f>
        <v>[]</v>
      </c>
    </row>
    <row r="85" spans="1:6" ht="16.5" customHeight="1" x14ac:dyDescent="0.15">
      <c r="A85" s="23">
        <v>1171</v>
      </c>
      <c r="B85" s="23" t="s">
        <v>3</v>
      </c>
      <c r="C85" s="11" t="s">
        <v>192</v>
      </c>
      <c r="D85" s="11" t="s">
        <v>192</v>
      </c>
      <c r="E85" s="11" t="s">
        <v>51</v>
      </c>
      <c r="F85" t="str">
        <f>IFERROR("["&amp;$F$1&amp;VLOOKUP(E85,[1]Sheet1!$I:$J,2,FALSE)&amp;$F$1&amp;"]","[]")</f>
        <v>[]</v>
      </c>
    </row>
    <row r="86" spans="1:6" x14ac:dyDescent="0.15">
      <c r="A86" s="23">
        <v>1176</v>
      </c>
      <c r="B86" s="23" t="s">
        <v>3</v>
      </c>
      <c r="C86" s="11" t="s">
        <v>192</v>
      </c>
      <c r="D86" s="11" t="s">
        <v>192</v>
      </c>
      <c r="E86" s="11" t="s">
        <v>167</v>
      </c>
      <c r="F86" t="str">
        <f>IFERROR("["&amp;$F$1&amp;VLOOKUP(E86,[1]Sheet1!$I:$J,2,FALSE)&amp;$F$1&amp;"]","[]")</f>
        <v>[]</v>
      </c>
    </row>
    <row r="87" spans="1:6" x14ac:dyDescent="0.15">
      <c r="A87" s="23">
        <v>1177</v>
      </c>
      <c r="B87" s="23" t="s">
        <v>3</v>
      </c>
      <c r="C87" s="11" t="s">
        <v>192</v>
      </c>
      <c r="D87" s="11" t="s">
        <v>192</v>
      </c>
      <c r="E87" s="11" t="s">
        <v>168</v>
      </c>
      <c r="F87" t="str">
        <f>IFERROR("["&amp;$F$1&amp;VLOOKUP(E87,[1]Sheet1!$I:$J,2,FALSE)&amp;$F$1&amp;"]","[]")</f>
        <v>[]</v>
      </c>
    </row>
    <row r="88" spans="1:6" ht="16.5" customHeight="1" x14ac:dyDescent="0.15">
      <c r="A88" s="23">
        <v>1178</v>
      </c>
      <c r="B88" s="23" t="s">
        <v>3</v>
      </c>
      <c r="C88" s="11" t="s">
        <v>192</v>
      </c>
      <c r="D88" s="11" t="s">
        <v>192</v>
      </c>
      <c r="E88" s="11" t="s">
        <v>169</v>
      </c>
      <c r="F88" t="str">
        <f>IFERROR("["&amp;$F$1&amp;VLOOKUP(E88,[1]Sheet1!$I:$J,2,FALSE)&amp;$F$1&amp;"]","[]")</f>
        <v>[]</v>
      </c>
    </row>
    <row r="89" spans="1:6" ht="16.5" customHeight="1" x14ac:dyDescent="0.15">
      <c r="A89" s="23">
        <v>1179</v>
      </c>
      <c r="B89" s="23" t="s">
        <v>3</v>
      </c>
      <c r="C89" s="11" t="s">
        <v>192</v>
      </c>
      <c r="D89" s="11" t="s">
        <v>192</v>
      </c>
      <c r="E89" s="11" t="s">
        <v>170</v>
      </c>
      <c r="F89" t="str">
        <f>IFERROR("["&amp;$F$1&amp;VLOOKUP(E89,[1]Sheet1!$I:$J,2,FALSE)&amp;$F$1&amp;"]","[]")</f>
        <v>[]</v>
      </c>
    </row>
    <row r="90" spans="1:6" ht="16.5" customHeight="1" x14ac:dyDescent="0.15">
      <c r="A90" s="23">
        <v>1180</v>
      </c>
      <c r="B90" s="23" t="s">
        <v>3</v>
      </c>
      <c r="C90" s="11" t="s">
        <v>192</v>
      </c>
      <c r="D90" s="11" t="s">
        <v>192</v>
      </c>
      <c r="E90" s="11" t="s">
        <v>52</v>
      </c>
      <c r="F90" t="str">
        <f>IFERROR("["&amp;$F$1&amp;VLOOKUP(E90,[1]Sheet1!$I:$J,2,FALSE)&amp;$F$1&amp;"]","[]")</f>
        <v>[]</v>
      </c>
    </row>
    <row r="91" spans="1:6" ht="16.5" customHeight="1" x14ac:dyDescent="0.15">
      <c r="A91" s="23">
        <v>1181</v>
      </c>
      <c r="B91" s="23" t="s">
        <v>3</v>
      </c>
      <c r="C91" s="11" t="s">
        <v>192</v>
      </c>
      <c r="D91" s="11" t="s">
        <v>192</v>
      </c>
      <c r="E91" s="11" t="s">
        <v>53</v>
      </c>
      <c r="F91" t="str">
        <f>IFERROR("["&amp;$F$1&amp;VLOOKUP(E91,[1]Sheet1!$I:$J,2,FALSE)&amp;$F$1&amp;"]","[]")</f>
        <v>[]</v>
      </c>
    </row>
    <row r="92" spans="1:6" ht="16.5" customHeight="1" x14ac:dyDescent="0.15">
      <c r="A92" s="23">
        <v>1182</v>
      </c>
      <c r="B92" s="23" t="s">
        <v>3</v>
      </c>
      <c r="C92" s="11" t="s">
        <v>192</v>
      </c>
      <c r="D92" s="11" t="s">
        <v>192</v>
      </c>
      <c r="E92" s="11" t="s">
        <v>54</v>
      </c>
      <c r="F92" t="str">
        <f>IFERROR("["&amp;$F$1&amp;VLOOKUP(E92,[1]Sheet1!$I:$J,2,FALSE)&amp;$F$1&amp;"]","[]")</f>
        <v>[]</v>
      </c>
    </row>
    <row r="93" spans="1:6" ht="16.5" customHeight="1" x14ac:dyDescent="0.15">
      <c r="A93" s="23">
        <v>1185</v>
      </c>
      <c r="B93" s="23" t="s">
        <v>3</v>
      </c>
      <c r="C93" s="11" t="s">
        <v>192</v>
      </c>
      <c r="D93" s="11" t="s">
        <v>192</v>
      </c>
      <c r="E93" s="11" t="s">
        <v>55</v>
      </c>
      <c r="F93" t="str">
        <f>IFERROR("["&amp;$F$1&amp;VLOOKUP(E93,[1]Sheet1!$I:$J,2,FALSE)&amp;$F$1&amp;"]","[]")</f>
        <v>[]</v>
      </c>
    </row>
    <row r="94" spans="1:6" ht="16.5" customHeight="1" x14ac:dyDescent="0.15">
      <c r="A94" s="23">
        <v>1186</v>
      </c>
      <c r="B94" s="23" t="s">
        <v>3</v>
      </c>
      <c r="C94" s="11" t="s">
        <v>192</v>
      </c>
      <c r="D94" s="11" t="s">
        <v>192</v>
      </c>
      <c r="E94" s="11" t="s">
        <v>56</v>
      </c>
      <c r="F94" t="str">
        <f>IFERROR("["&amp;$F$1&amp;VLOOKUP(E94,[1]Sheet1!$I:$J,2,FALSE)&amp;$F$1&amp;"]","[]")</f>
        <v>[]</v>
      </c>
    </row>
    <row r="95" spans="1:6" ht="16.5" customHeight="1" x14ac:dyDescent="0.15">
      <c r="A95" s="23">
        <v>1187</v>
      </c>
      <c r="B95" s="23" t="s">
        <v>3</v>
      </c>
      <c r="C95" s="11" t="s">
        <v>192</v>
      </c>
      <c r="D95" s="11" t="s">
        <v>192</v>
      </c>
      <c r="E95" s="11" t="s">
        <v>57</v>
      </c>
      <c r="F95" t="str">
        <f>IFERROR("["&amp;$F$1&amp;VLOOKUP(E95,[1]Sheet1!$I:$J,2,FALSE)&amp;$F$1&amp;"]","[]")</f>
        <v>[]</v>
      </c>
    </row>
    <row r="96" spans="1:6" ht="16.5" customHeight="1" x14ac:dyDescent="0.15">
      <c r="A96" s="23">
        <v>1188</v>
      </c>
      <c r="B96" s="23" t="s">
        <v>3</v>
      </c>
      <c r="C96" s="11" t="s">
        <v>192</v>
      </c>
      <c r="D96" s="11" t="s">
        <v>192</v>
      </c>
      <c r="E96" s="11" t="s">
        <v>58</v>
      </c>
      <c r="F96" t="str">
        <f>IFERROR("["&amp;$F$1&amp;VLOOKUP(E96,[1]Sheet1!$I:$J,2,FALSE)&amp;$F$1&amp;"]","[]")</f>
        <v>[]</v>
      </c>
    </row>
    <row r="97" spans="1:6" ht="16.5" customHeight="1" x14ac:dyDescent="0.15">
      <c r="A97" s="23">
        <v>1193</v>
      </c>
      <c r="B97" s="23" t="s">
        <v>3</v>
      </c>
      <c r="C97" s="11" t="s">
        <v>192</v>
      </c>
      <c r="D97" s="11" t="s">
        <v>192</v>
      </c>
      <c r="E97" s="11" t="s">
        <v>75</v>
      </c>
      <c r="F97" t="str">
        <f>IFERROR("["&amp;$F$1&amp;VLOOKUP(E97,[1]Sheet1!$I:$J,2,FALSE)&amp;$F$1&amp;"]","[]")</f>
        <v>[]</v>
      </c>
    </row>
    <row r="98" spans="1:6" ht="16.5" customHeight="1" x14ac:dyDescent="0.15">
      <c r="A98" s="23">
        <v>1194</v>
      </c>
      <c r="B98" s="23" t="s">
        <v>3</v>
      </c>
      <c r="C98" s="11" t="s">
        <v>192</v>
      </c>
      <c r="D98" s="11" t="s">
        <v>192</v>
      </c>
      <c r="E98" s="11" t="s">
        <v>72</v>
      </c>
      <c r="F98" t="str">
        <f>IFERROR("["&amp;$F$1&amp;VLOOKUP(E98,[1]Sheet1!$I:$J,2,FALSE)&amp;$F$1&amp;"]","[]")</f>
        <v>[]</v>
      </c>
    </row>
    <row r="99" spans="1:6" ht="16.5" customHeight="1" x14ac:dyDescent="0.15">
      <c r="A99" s="23">
        <v>1217</v>
      </c>
      <c r="B99" s="23" t="s">
        <v>3</v>
      </c>
      <c r="C99" s="11" t="s">
        <v>192</v>
      </c>
      <c r="D99" s="11" t="s">
        <v>192</v>
      </c>
      <c r="E99" s="11" t="s">
        <v>171</v>
      </c>
      <c r="F99" t="str">
        <f>IFERROR("["&amp;$F$1&amp;VLOOKUP(E99,[1]Sheet1!$I:$J,2,FALSE)&amp;$F$1&amp;"]","[]")</f>
        <v>[]</v>
      </c>
    </row>
    <row r="100" spans="1:6" x14ac:dyDescent="0.15">
      <c r="A100" s="23">
        <v>1501</v>
      </c>
      <c r="B100" s="23" t="s">
        <v>3</v>
      </c>
      <c r="C100" s="11" t="s">
        <v>192</v>
      </c>
      <c r="D100" s="11" t="s">
        <v>192</v>
      </c>
      <c r="E100" s="11" t="s">
        <v>172</v>
      </c>
      <c r="F100" t="str">
        <f>IFERROR("["&amp;$F$1&amp;VLOOKUP(E100,[1]Sheet1!$I:$J,2,FALSE)&amp;$F$1&amp;"]","[]")</f>
        <v>[]</v>
      </c>
    </row>
    <row r="101" spans="1:6" x14ac:dyDescent="0.15">
      <c r="A101" s="23">
        <v>1502</v>
      </c>
      <c r="B101" s="23" t="s">
        <v>3</v>
      </c>
      <c r="C101" s="11" t="s">
        <v>192</v>
      </c>
      <c r="D101" s="11" t="s">
        <v>192</v>
      </c>
      <c r="E101" s="11" t="s">
        <v>173</v>
      </c>
      <c r="F101" t="str">
        <f>IFERROR("["&amp;$F$1&amp;VLOOKUP(E101,[1]Sheet1!$I:$J,2,FALSE)&amp;$F$1&amp;"]","[]")</f>
        <v>[]</v>
      </c>
    </row>
    <row r="102" spans="1:6" x14ac:dyDescent="0.15">
      <c r="A102" s="23">
        <v>1503</v>
      </c>
      <c r="B102" s="23" t="s">
        <v>3</v>
      </c>
      <c r="C102" s="11" t="s">
        <v>192</v>
      </c>
      <c r="D102" s="11" t="s">
        <v>192</v>
      </c>
      <c r="E102" s="11" t="s">
        <v>174</v>
      </c>
      <c r="F102" t="str">
        <f>IFERROR("["&amp;$F$1&amp;VLOOKUP(E102,[1]Sheet1!$I:$J,2,FALSE)&amp;$F$1&amp;"]","[]")</f>
        <v>[]</v>
      </c>
    </row>
    <row r="103" spans="1:6" x14ac:dyDescent="0.15">
      <c r="A103" s="23">
        <v>1504</v>
      </c>
      <c r="B103" s="23" t="s">
        <v>3</v>
      </c>
      <c r="C103" s="11" t="s">
        <v>192</v>
      </c>
      <c r="D103" s="11" t="s">
        <v>192</v>
      </c>
      <c r="E103" s="11" t="s">
        <v>175</v>
      </c>
      <c r="F103" t="str">
        <f>IFERROR("["&amp;$F$1&amp;VLOOKUP(E103,[1]Sheet1!$I:$J,2,FALSE)&amp;$F$1&amp;"]","[]")</f>
        <v>[]</v>
      </c>
    </row>
    <row r="104" spans="1:6" x14ac:dyDescent="0.15">
      <c r="A104" s="23">
        <v>1505</v>
      </c>
      <c r="B104" s="23" t="s">
        <v>3</v>
      </c>
      <c r="C104" s="11" t="s">
        <v>192</v>
      </c>
      <c r="D104" s="11" t="s">
        <v>192</v>
      </c>
      <c r="E104" s="11" t="s">
        <v>176</v>
      </c>
      <c r="F104" t="str">
        <f>IFERROR("["&amp;$F$1&amp;VLOOKUP(E104,[1]Sheet1!$I:$J,2,FALSE)&amp;$F$1&amp;"]","[]")</f>
        <v>[]</v>
      </c>
    </row>
    <row r="105" spans="1:6" x14ac:dyDescent="0.15">
      <c r="A105" s="23">
        <v>1506</v>
      </c>
      <c r="B105" s="23" t="s">
        <v>3</v>
      </c>
      <c r="C105" s="11" t="s">
        <v>192</v>
      </c>
      <c r="D105" s="11" t="s">
        <v>192</v>
      </c>
      <c r="E105" s="11" t="s">
        <v>177</v>
      </c>
      <c r="F105" t="str">
        <f>IFERROR("["&amp;$F$1&amp;VLOOKUP(E105,[1]Sheet1!$I:$J,2,FALSE)&amp;$F$1&amp;"]","[]")</f>
        <v>[]</v>
      </c>
    </row>
    <row r="106" spans="1:6" x14ac:dyDescent="0.15">
      <c r="A106" s="23">
        <v>1507</v>
      </c>
      <c r="B106" s="23" t="s">
        <v>3</v>
      </c>
      <c r="C106" s="11" t="s">
        <v>192</v>
      </c>
      <c r="D106" s="11" t="s">
        <v>192</v>
      </c>
      <c r="E106" s="11" t="s">
        <v>178</v>
      </c>
      <c r="F106" t="str">
        <f>IFERROR("["&amp;$F$1&amp;VLOOKUP(E106,[1]Sheet1!$I:$J,2,FALSE)&amp;$F$1&amp;"]","[]")</f>
        <v>[]</v>
      </c>
    </row>
    <row r="107" spans="1:6" x14ac:dyDescent="0.15">
      <c r="A107" s="23">
        <v>1508</v>
      </c>
      <c r="B107" s="23" t="s">
        <v>3</v>
      </c>
      <c r="C107" s="11" t="s">
        <v>192</v>
      </c>
      <c r="D107" s="11" t="s">
        <v>192</v>
      </c>
      <c r="E107" s="11" t="s">
        <v>179</v>
      </c>
      <c r="F107" t="str">
        <f>IFERROR("["&amp;$F$1&amp;VLOOKUP(E107,[1]Sheet1!$I:$J,2,FALSE)&amp;$F$1&amp;"]","[]")</f>
        <v>[]</v>
      </c>
    </row>
    <row r="108" spans="1:6" x14ac:dyDescent="0.15">
      <c r="A108" s="23">
        <v>2018</v>
      </c>
      <c r="B108" s="23" t="s">
        <v>3</v>
      </c>
      <c r="C108" s="11" t="s">
        <v>192</v>
      </c>
      <c r="D108" s="11" t="s">
        <v>192</v>
      </c>
      <c r="E108" s="11" t="s">
        <v>180</v>
      </c>
      <c r="F108" t="str">
        <f>IFERROR("["&amp;$F$1&amp;VLOOKUP(E108,[1]Sheet1!$I:$J,2,FALSE)&amp;$F$1&amp;"]","[]")</f>
        <v>[]</v>
      </c>
    </row>
    <row r="109" spans="1:6" ht="16.5" customHeight="1" x14ac:dyDescent="0.15">
      <c r="A109" s="23">
        <v>1220</v>
      </c>
      <c r="B109" s="23" t="s">
        <v>3</v>
      </c>
      <c r="C109" s="11" t="s">
        <v>192</v>
      </c>
      <c r="D109" s="11" t="s">
        <v>192</v>
      </c>
      <c r="E109" s="14" t="s">
        <v>181</v>
      </c>
      <c r="F109" t="str">
        <f>IFERROR("["&amp;$F$1&amp;VLOOKUP(E109,[1]Sheet1!$I:$J,2,FALSE)&amp;$F$1&amp;"]","[]")</f>
        <v>[]</v>
      </c>
    </row>
    <row r="110" spans="1:6" ht="16.5" customHeight="1" x14ac:dyDescent="0.15">
      <c r="A110" s="23">
        <v>1221</v>
      </c>
      <c r="B110" s="23" t="s">
        <v>3</v>
      </c>
      <c r="C110" s="11" t="s">
        <v>192</v>
      </c>
      <c r="D110" s="11" t="s">
        <v>192</v>
      </c>
      <c r="E110" s="14" t="s">
        <v>182</v>
      </c>
      <c r="F110" t="str">
        <f>IFERROR("["&amp;$F$1&amp;VLOOKUP(E110,[1]Sheet1!$I:$J,2,FALSE)&amp;$F$1&amp;"]","[]")</f>
        <v>[]</v>
      </c>
    </row>
    <row r="111" spans="1:6" ht="16.5" customHeight="1" x14ac:dyDescent="0.15">
      <c r="A111" s="23">
        <v>1222</v>
      </c>
      <c r="B111" s="23" t="s">
        <v>3</v>
      </c>
      <c r="C111" s="11" t="s">
        <v>192</v>
      </c>
      <c r="D111" s="11" t="s">
        <v>192</v>
      </c>
      <c r="E111" s="14" t="s">
        <v>183</v>
      </c>
      <c r="F111" t="str">
        <f>IFERROR("["&amp;$F$1&amp;VLOOKUP(E111,[1]Sheet1!$I:$J,2,FALSE)&amp;$F$1&amp;"]","[]")</f>
        <v>[]</v>
      </c>
    </row>
    <row r="112" spans="1:6" ht="16.5" customHeight="1" x14ac:dyDescent="0.15">
      <c r="A112" s="23">
        <v>1223</v>
      </c>
      <c r="B112" s="23" t="s">
        <v>3</v>
      </c>
      <c r="C112" s="11" t="s">
        <v>192</v>
      </c>
      <c r="D112" s="11" t="s">
        <v>192</v>
      </c>
      <c r="E112" s="13" t="s">
        <v>184</v>
      </c>
      <c r="F112" t="str">
        <f>IFERROR("["&amp;$F$1&amp;VLOOKUP(E112,[1]Sheet1!$I:$J,2,FALSE)&amp;$F$1&amp;"]","[]")</f>
        <v>[]</v>
      </c>
    </row>
    <row r="113" spans="1:6" ht="16.5" customHeight="1" x14ac:dyDescent="0.15">
      <c r="A113" s="23">
        <v>1224</v>
      </c>
      <c r="B113" s="23" t="s">
        <v>219</v>
      </c>
      <c r="C113" s="11" t="s">
        <v>192</v>
      </c>
      <c r="D113" s="11" t="s">
        <v>192</v>
      </c>
      <c r="E113" s="14" t="s">
        <v>152</v>
      </c>
      <c r="F113" t="str">
        <f>IFERROR("["&amp;$F$1&amp;VLOOKUP(E113,[1]Sheet1!$I:$J,2,FALSE)&amp;$F$1&amp;"]","[]")</f>
        <v>["guanshiyin_cj_1"]</v>
      </c>
    </row>
    <row r="114" spans="1:6" ht="16.5" customHeight="1" x14ac:dyDescent="0.15">
      <c r="A114" s="23">
        <v>1225</v>
      </c>
      <c r="B114" s="23" t="s">
        <v>3</v>
      </c>
      <c r="C114" s="11" t="s">
        <v>192</v>
      </c>
      <c r="D114" s="11" t="s">
        <v>192</v>
      </c>
      <c r="E114" s="14" t="s">
        <v>185</v>
      </c>
      <c r="F114" t="str">
        <f>IFERROR("["&amp;$F$1&amp;VLOOKUP(E114,[1]Sheet1!$I:$J,2,FALSE)&amp;$F$1&amp;"]","[]")</f>
        <v>[]</v>
      </c>
    </row>
    <row r="115" spans="1:6" ht="16.5" customHeight="1" x14ac:dyDescent="0.15">
      <c r="A115" s="23">
        <v>1226</v>
      </c>
      <c r="B115" s="23" t="s">
        <v>3</v>
      </c>
      <c r="C115" s="11" t="s">
        <v>192</v>
      </c>
      <c r="D115" s="11" t="s">
        <v>192</v>
      </c>
      <c r="E115" s="11" t="s">
        <v>186</v>
      </c>
      <c r="F115" t="str">
        <f>IFERROR("["&amp;$F$1&amp;VLOOKUP(E115,[1]Sheet1!$I:$J,2,FALSE)&amp;$F$1&amp;"]","[]")</f>
        <v>[]</v>
      </c>
    </row>
    <row r="116" spans="1:6" ht="16.5" customHeight="1" x14ac:dyDescent="0.15">
      <c r="A116" s="23">
        <v>1227</v>
      </c>
      <c r="B116" s="23" t="s">
        <v>3</v>
      </c>
      <c r="C116" s="11" t="s">
        <v>192</v>
      </c>
      <c r="D116" s="11" t="s">
        <v>192</v>
      </c>
      <c r="E116" s="14" t="s">
        <v>187</v>
      </c>
      <c r="F116" t="str">
        <f>IFERROR("["&amp;$F$1&amp;VLOOKUP(E116,[1]Sheet1!$I:$J,2,FALSE)&amp;$F$1&amp;"]","[]")</f>
        <v>[]</v>
      </c>
    </row>
    <row r="117" spans="1:6" ht="16.5" customHeight="1" x14ac:dyDescent="0.15">
      <c r="B117" s="29"/>
      <c r="C117" s="29"/>
      <c r="D117" s="29"/>
      <c r="E117" s="29"/>
    </row>
    <row r="118" spans="1:6" ht="16.5" customHeight="1" x14ac:dyDescent="0.15">
      <c r="B118" s="29"/>
      <c r="C118" s="29"/>
      <c r="D118" s="29"/>
      <c r="E118" s="29"/>
    </row>
    <row r="119" spans="1:6" x14ac:dyDescent="0.15">
      <c r="B119" s="29"/>
      <c r="C119" s="29"/>
      <c r="D119" s="29"/>
      <c r="E119" s="29"/>
    </row>
    <row r="120" spans="1:6" x14ac:dyDescent="0.15">
      <c r="B120" s="29"/>
      <c r="C120" s="29"/>
      <c r="D120" s="29"/>
      <c r="E120" s="29"/>
    </row>
    <row r="121" spans="1:6" x14ac:dyDescent="0.15">
      <c r="B121" s="28"/>
      <c r="C121" s="28"/>
      <c r="D121" s="28"/>
      <c r="E121" s="28"/>
    </row>
    <row r="122" spans="1:6" x14ac:dyDescent="0.15">
      <c r="B122" s="28"/>
      <c r="C122" s="28"/>
      <c r="D122" s="28"/>
      <c r="E122" s="28"/>
    </row>
    <row r="123" spans="1:6" x14ac:dyDescent="0.15">
      <c r="B123" s="28"/>
      <c r="C123" s="28"/>
      <c r="D123" s="28"/>
      <c r="E123" s="28"/>
    </row>
    <row r="124" spans="1:6" x14ac:dyDescent="0.15">
      <c r="B124" s="28"/>
      <c r="C124" s="28"/>
      <c r="D124" s="28"/>
      <c r="E124" s="28"/>
    </row>
    <row r="125" spans="1:6" x14ac:dyDescent="0.15">
      <c r="B125" s="28"/>
      <c r="C125" s="28"/>
      <c r="D125" s="28"/>
      <c r="E125" s="28"/>
    </row>
    <row r="126" spans="1:6" x14ac:dyDescent="0.15">
      <c r="B126" s="28"/>
      <c r="C126" s="28"/>
      <c r="D126" s="28"/>
      <c r="E126" s="28"/>
    </row>
    <row r="127" spans="1:6" x14ac:dyDescent="0.15">
      <c r="B127" s="28"/>
      <c r="C127" s="28"/>
      <c r="D127" s="28"/>
      <c r="E127" s="28"/>
    </row>
    <row r="128" spans="1:6" x14ac:dyDescent="0.15">
      <c r="B128" s="28"/>
      <c r="C128" s="28"/>
      <c r="D128" s="28"/>
      <c r="E128" s="28"/>
    </row>
    <row r="129" spans="2:5" x14ac:dyDescent="0.15">
      <c r="B129" s="28"/>
      <c r="C129" s="28"/>
      <c r="D129" s="28"/>
      <c r="E129" s="28"/>
    </row>
    <row r="130" spans="2:5" x14ac:dyDescent="0.15">
      <c r="B130" s="28"/>
      <c r="C130" s="28"/>
      <c r="D130" s="28"/>
      <c r="E130" s="28"/>
    </row>
  </sheetData>
  <phoneticPr fontId="1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workbookViewId="0">
      <selection activeCell="M5" sqref="M5"/>
    </sheetView>
  </sheetViews>
  <sheetFormatPr defaultRowHeight="13.5" x14ac:dyDescent="0.15"/>
  <cols>
    <col min="1" max="1" width="9.125" bestFit="1" customWidth="1"/>
    <col min="2" max="2" width="11" bestFit="1" customWidth="1"/>
    <col min="3" max="3" width="13" bestFit="1" customWidth="1"/>
    <col min="4" max="6" width="15.125" bestFit="1" customWidth="1"/>
    <col min="7" max="7" width="13" bestFit="1" customWidth="1"/>
    <col min="13" max="13" width="10.75" customWidth="1"/>
  </cols>
  <sheetData>
    <row r="1" spans="1:15" ht="40.5" x14ac:dyDescent="0.15">
      <c r="A1" s="7" t="s">
        <v>77</v>
      </c>
      <c r="B1" s="7" t="s">
        <v>78</v>
      </c>
      <c r="C1" s="7" t="s">
        <v>79</v>
      </c>
      <c r="D1" s="7" t="s">
        <v>80</v>
      </c>
      <c r="E1" s="7" t="s">
        <v>81</v>
      </c>
      <c r="F1" s="7" t="s">
        <v>83</v>
      </c>
      <c r="G1" s="7" t="s">
        <v>84</v>
      </c>
      <c r="H1" s="4" t="s">
        <v>85</v>
      </c>
      <c r="I1" s="8" t="s">
        <v>86</v>
      </c>
      <c r="J1" s="9" t="s">
        <v>87</v>
      </c>
      <c r="K1" s="9" t="s">
        <v>90</v>
      </c>
      <c r="L1" s="9" t="s">
        <v>89</v>
      </c>
      <c r="M1" s="9" t="s">
        <v>88</v>
      </c>
      <c r="N1" s="9" t="s">
        <v>92</v>
      </c>
    </row>
    <row r="2" spans="1:15" x14ac:dyDescent="0.15">
      <c r="A2" s="9" t="s">
        <v>91</v>
      </c>
      <c r="B2" s="7">
        <v>15000</v>
      </c>
      <c r="C2" s="7">
        <v>2033</v>
      </c>
      <c r="D2" s="7">
        <v>315</v>
      </c>
      <c r="E2" s="7">
        <v>315</v>
      </c>
      <c r="F2" s="7">
        <v>0</v>
      </c>
      <c r="G2" s="7">
        <v>0</v>
      </c>
      <c r="H2" s="4"/>
      <c r="I2" s="8"/>
      <c r="J2" s="9"/>
      <c r="K2" s="9"/>
      <c r="L2" s="9"/>
      <c r="M2" s="9"/>
    </row>
    <row r="3" spans="1:15" x14ac:dyDescent="0.15">
      <c r="A3" s="6" t="s">
        <v>13</v>
      </c>
      <c r="B3" s="6">
        <v>12000</v>
      </c>
      <c r="C3" s="6">
        <v>2263</v>
      </c>
      <c r="D3" s="6">
        <v>200</v>
      </c>
      <c r="E3" s="6">
        <v>200</v>
      </c>
      <c r="F3" s="6">
        <v>20000</v>
      </c>
      <c r="G3" s="6">
        <v>0</v>
      </c>
      <c r="H3">
        <f>C3-E$8</f>
        <v>1000</v>
      </c>
      <c r="I3">
        <f>C7-D3</f>
        <v>300</v>
      </c>
      <c r="J3">
        <f>I3*5</f>
        <v>1500</v>
      </c>
      <c r="K3">
        <f>H3*G3</f>
        <v>0</v>
      </c>
      <c r="L3">
        <f>H3*5*G3</f>
        <v>0</v>
      </c>
      <c r="M3" s="10">
        <f>J3/B3</f>
        <v>0.125</v>
      </c>
      <c r="O3">
        <f>J3+9000</f>
        <v>10500</v>
      </c>
    </row>
    <row r="4" spans="1:15" x14ac:dyDescent="0.15">
      <c r="A4" s="6" t="s">
        <v>6</v>
      </c>
      <c r="B4" s="6">
        <v>15000</v>
      </c>
      <c r="C4" s="6">
        <v>2763</v>
      </c>
      <c r="D4" s="6">
        <v>536</v>
      </c>
      <c r="E4" s="6">
        <v>536</v>
      </c>
      <c r="F4" s="6">
        <v>800</v>
      </c>
      <c r="G4" s="6">
        <v>0</v>
      </c>
      <c r="H4">
        <f>C4-E$8</f>
        <v>1500</v>
      </c>
      <c r="I4">
        <f>0</f>
        <v>0</v>
      </c>
      <c r="J4">
        <f t="shared" ref="J4:J8" si="0">I4*5</f>
        <v>0</v>
      </c>
      <c r="K4">
        <f t="shared" ref="K4:K8" si="1">H4*G4</f>
        <v>0</v>
      </c>
      <c r="L4">
        <f t="shared" ref="L4:L8" si="2">H4*5*G4</f>
        <v>0</v>
      </c>
      <c r="M4" s="10">
        <f t="shared" ref="M4:M8" si="3">J4/B4</f>
        <v>0</v>
      </c>
      <c r="O4">
        <f t="shared" ref="O4:O7" si="4">J4+9000</f>
        <v>9000</v>
      </c>
    </row>
    <row r="5" spans="1:15" x14ac:dyDescent="0.15">
      <c r="A5" s="6" t="s">
        <v>35</v>
      </c>
      <c r="B5" s="6">
        <v>17000</v>
      </c>
      <c r="C5" s="6">
        <v>3263</v>
      </c>
      <c r="D5" s="6">
        <v>200</v>
      </c>
      <c r="E5" s="6">
        <v>200</v>
      </c>
      <c r="F5" s="6">
        <v>800</v>
      </c>
      <c r="G5" s="6">
        <v>12</v>
      </c>
      <c r="H5">
        <f>C5-E$8</f>
        <v>2000</v>
      </c>
      <c r="I5">
        <f>H6*2+H7+H8</f>
        <v>1672</v>
      </c>
      <c r="J5">
        <f t="shared" si="0"/>
        <v>8360</v>
      </c>
      <c r="K5">
        <f t="shared" si="1"/>
        <v>24000</v>
      </c>
      <c r="L5">
        <f t="shared" si="2"/>
        <v>120000</v>
      </c>
      <c r="M5" s="10">
        <f t="shared" si="3"/>
        <v>0.49176470588235294</v>
      </c>
      <c r="O5">
        <f t="shared" si="4"/>
        <v>17360</v>
      </c>
    </row>
    <row r="6" spans="1:15" ht="16.5" x14ac:dyDescent="0.15">
      <c r="A6" s="5" t="s">
        <v>82</v>
      </c>
      <c r="B6" s="5">
        <v>100000</v>
      </c>
      <c r="C6" s="5">
        <v>400</v>
      </c>
      <c r="D6" s="5">
        <v>2000</v>
      </c>
      <c r="E6" s="5">
        <v>2000</v>
      </c>
      <c r="F6" s="5">
        <v>100</v>
      </c>
      <c r="G6" s="5">
        <v>0</v>
      </c>
      <c r="H6">
        <f>C6-D$3</f>
        <v>200</v>
      </c>
      <c r="I6">
        <f>0</f>
        <v>0</v>
      </c>
      <c r="J6">
        <f t="shared" si="0"/>
        <v>0</v>
      </c>
      <c r="K6">
        <f>H6*G6</f>
        <v>0</v>
      </c>
      <c r="L6">
        <f>H6*5*G6</f>
        <v>0</v>
      </c>
      <c r="M6" s="10">
        <f t="shared" si="3"/>
        <v>0</v>
      </c>
      <c r="O6">
        <f t="shared" si="4"/>
        <v>9000</v>
      </c>
    </row>
    <row r="7" spans="1:15" ht="16.5" x14ac:dyDescent="0.15">
      <c r="A7" s="5" t="s">
        <v>71</v>
      </c>
      <c r="B7" s="5">
        <v>100000</v>
      </c>
      <c r="C7" s="5">
        <v>500</v>
      </c>
      <c r="D7" s="5">
        <v>2000</v>
      </c>
      <c r="E7" s="5">
        <v>2000</v>
      </c>
      <c r="F7" s="5">
        <v>100</v>
      </c>
      <c r="G7" s="5">
        <v>0</v>
      </c>
      <c r="H7">
        <f>C7-D$3</f>
        <v>300</v>
      </c>
      <c r="I7">
        <f>0</f>
        <v>0</v>
      </c>
      <c r="J7">
        <f t="shared" si="0"/>
        <v>0</v>
      </c>
      <c r="K7">
        <f t="shared" si="1"/>
        <v>0</v>
      </c>
      <c r="L7">
        <f t="shared" si="2"/>
        <v>0</v>
      </c>
      <c r="M7" s="10">
        <f t="shared" si="3"/>
        <v>0</v>
      </c>
      <c r="O7">
        <f t="shared" si="4"/>
        <v>9000</v>
      </c>
    </row>
    <row r="8" spans="1:15" ht="16.5" x14ac:dyDescent="0.15">
      <c r="A8" s="5" t="s">
        <v>23</v>
      </c>
      <c r="B8" s="5">
        <v>1000000</v>
      </c>
      <c r="C8" s="5">
        <v>1172</v>
      </c>
      <c r="D8" s="5">
        <v>1263</v>
      </c>
      <c r="E8" s="5">
        <v>1263</v>
      </c>
      <c r="F8" s="5">
        <v>50000</v>
      </c>
      <c r="G8" s="5">
        <v>6</v>
      </c>
      <c r="H8">
        <f>C8-D5</f>
        <v>972</v>
      </c>
      <c r="I8">
        <f>H3+H4+H5</f>
        <v>4500</v>
      </c>
      <c r="J8">
        <f t="shared" si="0"/>
        <v>22500</v>
      </c>
      <c r="K8">
        <f t="shared" si="1"/>
        <v>5832</v>
      </c>
      <c r="L8">
        <f t="shared" si="2"/>
        <v>29160</v>
      </c>
      <c r="M8" s="10">
        <f t="shared" si="3"/>
        <v>2.2499999999999999E-2</v>
      </c>
      <c r="N8">
        <v>9000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14"/>
  <sheetViews>
    <sheetView workbookViewId="0">
      <pane xSplit="3" ySplit="3" topLeftCell="AG91" activePane="bottomRight" state="frozen"/>
      <selection pane="topRight" activeCell="D1" sqref="D1"/>
      <selection pane="bottomLeft" activeCell="A4" sqref="A4"/>
      <selection pane="bottomRight" activeCell="AI105" sqref="AI105"/>
    </sheetView>
  </sheetViews>
  <sheetFormatPr defaultRowHeight="16.5" x14ac:dyDescent="0.15"/>
  <cols>
    <col min="1" max="1" width="21.375" style="17" bestFit="1" customWidth="1"/>
    <col min="2" max="2" width="11" style="17" bestFit="1" customWidth="1"/>
    <col min="3" max="3" width="10" style="17" bestFit="1" customWidth="1"/>
    <col min="4" max="4" width="13.125" style="17" bestFit="1" customWidth="1"/>
    <col min="5" max="5" width="13.5" style="17" customWidth="1"/>
    <col min="6" max="6" width="13.375" style="17" bestFit="1" customWidth="1"/>
    <col min="7" max="7" width="10.625" style="17" bestFit="1" customWidth="1"/>
    <col min="8" max="8" width="11.625" style="17" bestFit="1" customWidth="1"/>
    <col min="9" max="9" width="10.5" style="17" bestFit="1" customWidth="1"/>
    <col min="10" max="10" width="15" style="17" bestFit="1" customWidth="1"/>
    <col min="11" max="11" width="11.625" style="17" bestFit="1" customWidth="1"/>
    <col min="12" max="12" width="10.5" style="17" bestFit="1" customWidth="1"/>
    <col min="13" max="13" width="10.5" style="17" customWidth="1"/>
    <col min="14" max="14" width="12.75" style="17" bestFit="1" customWidth="1"/>
    <col min="15" max="15" width="8.25" style="17" bestFit="1" customWidth="1"/>
    <col min="16" max="16" width="7.25" style="17" bestFit="1" customWidth="1"/>
    <col min="17" max="17" width="15.125" style="17" bestFit="1" customWidth="1"/>
    <col min="18" max="18" width="7.5" style="17" bestFit="1" customWidth="1"/>
    <col min="19" max="20" width="10.5" style="17" bestFit="1" customWidth="1"/>
    <col min="21" max="21" width="11" style="17" bestFit="1" customWidth="1"/>
    <col min="22" max="22" width="11.625" style="17" bestFit="1" customWidth="1"/>
    <col min="23" max="23" width="11" style="17" bestFit="1" customWidth="1"/>
    <col min="24" max="24" width="12.75" style="17" bestFit="1" customWidth="1"/>
    <col min="25" max="26" width="11" style="17" bestFit="1" customWidth="1"/>
    <col min="27" max="28" width="9.125" style="17" bestFit="1" customWidth="1"/>
    <col min="29" max="29" width="15.125" style="17" bestFit="1" customWidth="1"/>
    <col min="30" max="30" width="17.375" style="17" bestFit="1" customWidth="1"/>
    <col min="31" max="32" width="15" style="17" bestFit="1" customWidth="1"/>
    <col min="33" max="33" width="13.875" style="17" bestFit="1" customWidth="1"/>
    <col min="34" max="34" width="16.125" style="17" bestFit="1" customWidth="1"/>
    <col min="35" max="35" width="15" style="17" bestFit="1" customWidth="1"/>
    <col min="36" max="36" width="17.25" style="17" bestFit="1" customWidth="1"/>
    <col min="37" max="37" width="21.25" style="17" bestFit="1" customWidth="1"/>
    <col min="38" max="38" width="11.625" style="17" bestFit="1" customWidth="1"/>
    <col min="39" max="39" width="66" style="17" bestFit="1" customWidth="1"/>
    <col min="40" max="40" width="22.25" style="17" bestFit="1" customWidth="1"/>
    <col min="41" max="41" width="12.75" style="17" bestFit="1" customWidth="1"/>
    <col min="42" max="43" width="26.125" style="17" bestFit="1" customWidth="1"/>
    <col min="44" max="44" width="20.125" style="17" bestFit="1" customWidth="1"/>
    <col min="45" max="45" width="13" style="17" bestFit="1" customWidth="1"/>
    <col min="46" max="46" width="21.375" style="17" bestFit="1" customWidth="1"/>
    <col min="47" max="47" width="19.25" style="17" bestFit="1" customWidth="1"/>
    <col min="48" max="48" width="21.125" style="17" bestFit="1" customWidth="1"/>
    <col min="49" max="49" width="17.375" style="17" bestFit="1" customWidth="1"/>
    <col min="50" max="16384" width="9" style="17"/>
  </cols>
  <sheetData>
    <row r="1" spans="1:49" s="15" customFormat="1" ht="138" customHeight="1" x14ac:dyDescent="0.15">
      <c r="A1" s="19" t="s">
        <v>96</v>
      </c>
      <c r="B1" s="19" t="s">
        <v>0</v>
      </c>
      <c r="C1" s="19" t="s">
        <v>101</v>
      </c>
      <c r="D1" s="19" t="s">
        <v>136</v>
      </c>
      <c r="E1" s="19" t="s">
        <v>97</v>
      </c>
      <c r="F1" s="19" t="s">
        <v>137</v>
      </c>
      <c r="G1" s="19" t="s">
        <v>138</v>
      </c>
      <c r="H1" s="19" t="s">
        <v>102</v>
      </c>
      <c r="I1" s="20" t="s">
        <v>103</v>
      </c>
      <c r="J1" s="20" t="s">
        <v>104</v>
      </c>
      <c r="K1" s="20" t="s">
        <v>105</v>
      </c>
      <c r="L1" s="20" t="s">
        <v>106</v>
      </c>
      <c r="M1" s="20" t="s">
        <v>143</v>
      </c>
      <c r="N1" s="20" t="s">
        <v>141</v>
      </c>
      <c r="O1" s="20" t="s">
        <v>107</v>
      </c>
      <c r="P1" s="20" t="s">
        <v>108</v>
      </c>
      <c r="Q1" s="20" t="s">
        <v>109</v>
      </c>
      <c r="R1" s="20" t="s">
        <v>110</v>
      </c>
      <c r="S1" s="20" t="s">
        <v>111</v>
      </c>
      <c r="T1" s="20" t="s">
        <v>112</v>
      </c>
      <c r="U1" s="20" t="s">
        <v>113</v>
      </c>
      <c r="V1" s="20" t="s">
        <v>114</v>
      </c>
      <c r="W1" s="20" t="s">
        <v>115</v>
      </c>
      <c r="X1" s="20" t="s">
        <v>116</v>
      </c>
      <c r="Y1" s="20" t="s">
        <v>117</v>
      </c>
      <c r="Z1" s="20" t="s">
        <v>118</v>
      </c>
      <c r="AA1" s="20" t="s">
        <v>119</v>
      </c>
      <c r="AB1" s="20" t="s">
        <v>98</v>
      </c>
      <c r="AC1" s="20" t="s">
        <v>120</v>
      </c>
      <c r="AD1" s="20" t="s">
        <v>99</v>
      </c>
      <c r="AE1" s="20" t="s">
        <v>121</v>
      </c>
      <c r="AF1" s="20" t="s">
        <v>122</v>
      </c>
      <c r="AG1" s="20" t="s">
        <v>123</v>
      </c>
      <c r="AH1" s="20" t="s">
        <v>124</v>
      </c>
      <c r="AI1" s="20" t="s">
        <v>125</v>
      </c>
      <c r="AJ1" s="20" t="s">
        <v>126</v>
      </c>
      <c r="AK1" s="20" t="s">
        <v>127</v>
      </c>
      <c r="AL1" s="20" t="s">
        <v>61</v>
      </c>
      <c r="AM1" s="20" t="s">
        <v>128</v>
      </c>
      <c r="AN1" s="20" t="s">
        <v>129</v>
      </c>
      <c r="AO1" s="20" t="s">
        <v>130</v>
      </c>
      <c r="AP1" s="20" t="s">
        <v>100</v>
      </c>
      <c r="AQ1" s="20" t="s">
        <v>131</v>
      </c>
      <c r="AR1" s="20" t="s">
        <v>132</v>
      </c>
      <c r="AS1" s="20" t="s">
        <v>133</v>
      </c>
      <c r="AT1" s="20" t="s">
        <v>134</v>
      </c>
      <c r="AU1" s="20" t="s">
        <v>62</v>
      </c>
      <c r="AV1" s="20" t="s">
        <v>135</v>
      </c>
      <c r="AW1" s="20" t="s">
        <v>95</v>
      </c>
    </row>
    <row r="2" spans="1:49" x14ac:dyDescent="0.15">
      <c r="A2" s="21" t="str">
        <f>Sheet1!A2</f>
        <v>perform_eff_id</v>
      </c>
      <c r="B2" s="21" t="e">
        <f>Sheet1!#REF!</f>
        <v>#REF!</v>
      </c>
      <c r="C2" s="21" t="e">
        <f>Sheet1!#REF!</f>
        <v>#REF!</v>
      </c>
      <c r="D2" s="21" t="e">
        <f>Sheet1!#REF!</f>
        <v>#REF!</v>
      </c>
      <c r="E2" s="21" t="e">
        <f>Sheet1!#REF!</f>
        <v>#REF!</v>
      </c>
      <c r="F2" s="21" t="e">
        <f>Sheet1!#REF!</f>
        <v>#REF!</v>
      </c>
      <c r="G2" s="21" t="e">
        <f>Sheet1!#REF!</f>
        <v>#REF!</v>
      </c>
      <c r="H2" s="21" t="e">
        <f>Sheet1!#REF!</f>
        <v>#REF!</v>
      </c>
      <c r="I2" s="21" t="s">
        <v>64</v>
      </c>
      <c r="J2" s="21" t="e">
        <f>Sheet1!#REF!</f>
        <v>#REF!</v>
      </c>
      <c r="K2" s="21" t="e">
        <f>Sheet1!#REF!</f>
        <v>#REF!</v>
      </c>
      <c r="L2" s="21" t="e">
        <f>Sheet1!#REF!</f>
        <v>#REF!</v>
      </c>
      <c r="M2" s="21"/>
      <c r="N2" s="21"/>
      <c r="O2" s="21" t="e">
        <f>Sheet1!#REF!</f>
        <v>#REF!</v>
      </c>
      <c r="P2" s="21" t="e">
        <f>Sheet1!#REF!</f>
        <v>#REF!</v>
      </c>
      <c r="Q2" s="21" t="e">
        <f>Sheet1!#REF!</f>
        <v>#REF!</v>
      </c>
      <c r="R2" s="21" t="e">
        <f>Sheet1!#REF!</f>
        <v>#REF!</v>
      </c>
      <c r="S2" s="21" t="e">
        <f>Sheet1!#REF!</f>
        <v>#REF!</v>
      </c>
      <c r="T2" s="21" t="e">
        <f>Sheet1!#REF!</f>
        <v>#REF!</v>
      </c>
      <c r="U2" s="21" t="e">
        <f>Sheet1!#REF!</f>
        <v>#REF!</v>
      </c>
      <c r="V2" s="21" t="e">
        <f>Sheet1!#REF!</f>
        <v>#REF!</v>
      </c>
      <c r="W2" s="21" t="e">
        <f>Sheet1!#REF!</f>
        <v>#REF!</v>
      </c>
      <c r="X2" s="21" t="e">
        <f>Sheet1!#REF!</f>
        <v>#REF!</v>
      </c>
      <c r="Y2" s="21" t="e">
        <f>Sheet1!#REF!</f>
        <v>#REF!</v>
      </c>
      <c r="Z2" s="21" t="e">
        <f>Sheet1!#REF!</f>
        <v>#REF!</v>
      </c>
      <c r="AA2" s="21" t="e">
        <f>Sheet1!#REF!</f>
        <v>#REF!</v>
      </c>
      <c r="AB2" s="21" t="e">
        <f>Sheet1!#REF!</f>
        <v>#REF!</v>
      </c>
      <c r="AC2" s="21" t="e">
        <f>Sheet1!#REF!</f>
        <v>#REF!</v>
      </c>
      <c r="AD2" s="21" t="e">
        <f>Sheet1!#REF!</f>
        <v>#REF!</v>
      </c>
      <c r="AE2" s="21" t="e">
        <f>Sheet1!#REF!</f>
        <v>#REF!</v>
      </c>
      <c r="AF2" s="21" t="e">
        <f>Sheet1!#REF!</f>
        <v>#REF!</v>
      </c>
      <c r="AG2" s="21" t="e">
        <f>Sheet1!#REF!</f>
        <v>#REF!</v>
      </c>
      <c r="AH2" s="21" t="e">
        <f>Sheet1!#REF!</f>
        <v>#REF!</v>
      </c>
      <c r="AI2" s="21" t="e">
        <f>Sheet1!#REF!</f>
        <v>#REF!</v>
      </c>
      <c r="AJ2" s="21" t="e">
        <f>Sheet1!#REF!</f>
        <v>#REF!</v>
      </c>
      <c r="AK2" s="21" t="e">
        <f>Sheet1!#REF!</f>
        <v>#REF!</v>
      </c>
      <c r="AL2" s="21" t="e">
        <f>Sheet1!#REF!</f>
        <v>#REF!</v>
      </c>
      <c r="AM2" s="21" t="e">
        <f>Sheet1!#REF!</f>
        <v>#REF!</v>
      </c>
      <c r="AN2" s="21" t="e">
        <f>Sheet1!#REF!</f>
        <v>#REF!</v>
      </c>
      <c r="AO2" s="21" t="e">
        <f>Sheet1!#REF!</f>
        <v>#REF!</v>
      </c>
      <c r="AP2" s="21" t="e">
        <f>Sheet1!#REF!</f>
        <v>#REF!</v>
      </c>
      <c r="AQ2" s="21" t="e">
        <f>Sheet1!#REF!</f>
        <v>#REF!</v>
      </c>
      <c r="AR2" s="21" t="e">
        <f>Sheet1!#REF!</f>
        <v>#REF!</v>
      </c>
      <c r="AS2" s="21" t="e">
        <f>Sheet1!#REF!</f>
        <v>#REF!</v>
      </c>
      <c r="AT2" s="21" t="e">
        <f>Sheet1!#REF!</f>
        <v>#REF!</v>
      </c>
      <c r="AU2" s="21" t="e">
        <f>Sheet1!#REF!</f>
        <v>#REF!</v>
      </c>
      <c r="AV2" s="21" t="e">
        <f>Sheet1!#REF!</f>
        <v>#REF!</v>
      </c>
      <c r="AW2" s="21" t="e">
        <f>Sheet1!#REF!</f>
        <v>#REF!</v>
      </c>
    </row>
    <row r="3" spans="1:49" x14ac:dyDescent="0.15">
      <c r="A3" s="21" t="str">
        <f>Sheet1!A3</f>
        <v>s</v>
      </c>
      <c r="B3" s="21" t="e">
        <f>Sheet1!#REF!</f>
        <v>#REF!</v>
      </c>
      <c r="C3" s="21" t="e">
        <f>Sheet1!#REF!</f>
        <v>#REF!</v>
      </c>
      <c r="D3" s="21" t="e">
        <f>Sheet1!#REF!</f>
        <v>#REF!</v>
      </c>
      <c r="E3" s="21" t="e">
        <f>Sheet1!#REF!</f>
        <v>#REF!</v>
      </c>
      <c r="F3" s="21" t="e">
        <f>Sheet1!#REF!</f>
        <v>#REF!</v>
      </c>
      <c r="G3" s="21" t="e">
        <f>Sheet1!#REF!</f>
        <v>#REF!</v>
      </c>
      <c r="H3" s="21" t="e">
        <f>Sheet1!#REF!</f>
        <v>#REF!</v>
      </c>
      <c r="I3" s="21" t="s">
        <v>2</v>
      </c>
      <c r="J3" s="21" t="e">
        <f>Sheet1!#REF!</f>
        <v>#REF!</v>
      </c>
      <c r="K3" s="21" t="e">
        <f>Sheet1!#REF!</f>
        <v>#REF!</v>
      </c>
      <c r="L3" s="21" t="e">
        <f>Sheet1!#REF!</f>
        <v>#REF!</v>
      </c>
      <c r="M3" s="21"/>
      <c r="N3" s="21"/>
      <c r="O3" s="21" t="e">
        <f>Sheet1!#REF!</f>
        <v>#REF!</v>
      </c>
      <c r="P3" s="21" t="e">
        <f>Sheet1!#REF!</f>
        <v>#REF!</v>
      </c>
      <c r="Q3" s="21" t="e">
        <f>Sheet1!#REF!</f>
        <v>#REF!</v>
      </c>
      <c r="R3" s="21" t="e">
        <f>Sheet1!#REF!</f>
        <v>#REF!</v>
      </c>
      <c r="S3" s="21" t="e">
        <f>Sheet1!#REF!</f>
        <v>#REF!</v>
      </c>
      <c r="T3" s="21" t="e">
        <f>Sheet1!#REF!</f>
        <v>#REF!</v>
      </c>
      <c r="U3" s="21" t="e">
        <f>Sheet1!#REF!</f>
        <v>#REF!</v>
      </c>
      <c r="V3" s="21" t="e">
        <f>Sheet1!#REF!</f>
        <v>#REF!</v>
      </c>
      <c r="W3" s="21" t="e">
        <f>Sheet1!#REF!</f>
        <v>#REF!</v>
      </c>
      <c r="X3" s="21" t="e">
        <f>Sheet1!#REF!</f>
        <v>#REF!</v>
      </c>
      <c r="Y3" s="21" t="e">
        <f>Sheet1!#REF!</f>
        <v>#REF!</v>
      </c>
      <c r="Z3" s="21" t="e">
        <f>Sheet1!#REF!</f>
        <v>#REF!</v>
      </c>
      <c r="AA3" s="21" t="e">
        <f>Sheet1!#REF!</f>
        <v>#REF!</v>
      </c>
      <c r="AB3" s="21" t="e">
        <f>Sheet1!#REF!</f>
        <v>#REF!</v>
      </c>
      <c r="AC3" s="21" t="e">
        <f>Sheet1!#REF!</f>
        <v>#REF!</v>
      </c>
      <c r="AD3" s="21" t="e">
        <f>Sheet1!#REF!</f>
        <v>#REF!</v>
      </c>
      <c r="AE3" s="21" t="e">
        <f>Sheet1!#REF!</f>
        <v>#REF!</v>
      </c>
      <c r="AF3" s="21" t="e">
        <f>Sheet1!#REF!</f>
        <v>#REF!</v>
      </c>
      <c r="AG3" s="21" t="e">
        <f>Sheet1!#REF!</f>
        <v>#REF!</v>
      </c>
      <c r="AH3" s="21" t="e">
        <f>Sheet1!#REF!</f>
        <v>#REF!</v>
      </c>
      <c r="AI3" s="21" t="e">
        <f>Sheet1!#REF!</f>
        <v>#REF!</v>
      </c>
      <c r="AJ3" s="21" t="e">
        <f>Sheet1!#REF!</f>
        <v>#REF!</v>
      </c>
      <c r="AK3" s="21" t="e">
        <f>Sheet1!#REF!</f>
        <v>#REF!</v>
      </c>
      <c r="AL3" s="21" t="e">
        <f>Sheet1!#REF!</f>
        <v>#REF!</v>
      </c>
      <c r="AM3" s="21" t="e">
        <f>Sheet1!#REF!</f>
        <v>#REF!</v>
      </c>
      <c r="AN3" s="21" t="e">
        <f>Sheet1!#REF!</f>
        <v>#REF!</v>
      </c>
      <c r="AO3" s="21" t="e">
        <f>Sheet1!#REF!</f>
        <v>#REF!</v>
      </c>
      <c r="AP3" s="21" t="e">
        <f>Sheet1!#REF!</f>
        <v>#REF!</v>
      </c>
      <c r="AQ3" s="21" t="e">
        <f>Sheet1!#REF!</f>
        <v>#REF!</v>
      </c>
      <c r="AR3" s="21" t="e">
        <f>Sheet1!#REF!</f>
        <v>#REF!</v>
      </c>
      <c r="AS3" s="21" t="e">
        <f>Sheet1!#REF!</f>
        <v>#REF!</v>
      </c>
      <c r="AT3" s="21" t="e">
        <f>Sheet1!#REF!</f>
        <v>#REF!</v>
      </c>
      <c r="AU3" s="21" t="e">
        <f>Sheet1!#REF!</f>
        <v>#REF!</v>
      </c>
      <c r="AV3" s="21" t="e">
        <f>Sheet1!#REF!</f>
        <v>#REF!</v>
      </c>
      <c r="AW3" s="21" t="e">
        <f>Sheet1!#REF!</f>
        <v>#REF!</v>
      </c>
    </row>
    <row r="4" spans="1:49" x14ac:dyDescent="0.15">
      <c r="A4" s="16">
        <f>Sheet1!A4</f>
        <v>1001</v>
      </c>
      <c r="B4" s="16" t="e">
        <f>Sheet1!#REF!</f>
        <v>#REF!</v>
      </c>
      <c r="C4" s="16" t="e">
        <f>Sheet1!#REF!</f>
        <v>#REF!</v>
      </c>
      <c r="D4" s="16" t="e">
        <f>Sheet1!#REF!</f>
        <v>#REF!</v>
      </c>
      <c r="E4" s="16" t="e">
        <f>Sheet1!#REF!</f>
        <v>#REF!</v>
      </c>
      <c r="F4" s="16" t="e">
        <f>Sheet1!#REF!</f>
        <v>#REF!</v>
      </c>
      <c r="G4" s="16" t="e">
        <f>Sheet1!#REF!</f>
        <v>#REF!</v>
      </c>
      <c r="H4" s="16" t="e">
        <f>Sheet1!#REF!</f>
        <v>#REF!</v>
      </c>
      <c r="I4" s="16">
        <v>7</v>
      </c>
      <c r="J4" s="16">
        <v>12</v>
      </c>
      <c r="K4" s="16" t="e">
        <f>Sheet1!#REF!</f>
        <v>#REF!</v>
      </c>
      <c r="L4" s="16" t="e">
        <f>Sheet1!#REF!</f>
        <v>#REF!</v>
      </c>
      <c r="M4" s="16">
        <v>1</v>
      </c>
      <c r="N4" s="16">
        <f ca="1">RAND()/20+0.975</f>
        <v>1.0016500823040835</v>
      </c>
      <c r="O4" s="18" t="e">
        <f>INT(M4*VLOOKUP($H4,Sheet4!$A$1:$B$7,2,FALSE)*Sheet4!D$2)</f>
        <v>#REF!</v>
      </c>
      <c r="P4" s="18" t="e">
        <f>M4*VLOOKUP($H4,Sheet4!$A$1:$B$7,2,FALSE)*Sheet4!E$2</f>
        <v>#REF!</v>
      </c>
      <c r="Q4" s="18" t="e">
        <f>M4*VLOOKUP($H4,Sheet4!$A$1:$B$7,2,FALSE)*Sheet4!F$2</f>
        <v>#REF!</v>
      </c>
      <c r="R4" s="18" t="e">
        <f>M4*VLOOKUP($H4,Sheet4!$A$1:$B$7,2,FALSE)*Sheet4!G$2</f>
        <v>#REF!</v>
      </c>
      <c r="S4" s="18" t="e">
        <f>M4*VLOOKUP($H4,Sheet4!$A$1:$B$7,2,FALSE)*Sheet4!H$2</f>
        <v>#REF!</v>
      </c>
      <c r="T4" s="18" t="e">
        <f>M4*VLOOKUP($H4,Sheet4!$A$1:$B$7,2,FALSE)*Sheet4!I$2</f>
        <v>#REF!</v>
      </c>
      <c r="U4" s="18"/>
      <c r="V4" s="18"/>
      <c r="W4" s="18"/>
      <c r="X4" s="18"/>
      <c r="Y4" s="18"/>
      <c r="Z4" s="18"/>
      <c r="AA4" s="18" t="e">
        <f>ROUND(O4*0.1,0)</f>
        <v>#REF!</v>
      </c>
      <c r="AB4" s="18" t="e">
        <f t="shared" ref="AB4:AF14" si="0">ROUND(P4*0.1,0)</f>
        <v>#REF!</v>
      </c>
      <c r="AC4" s="18" t="e">
        <f t="shared" si="0"/>
        <v>#REF!</v>
      </c>
      <c r="AD4" s="18" t="e">
        <f t="shared" si="0"/>
        <v>#REF!</v>
      </c>
      <c r="AE4" s="18" t="e">
        <f t="shared" si="0"/>
        <v>#REF!</v>
      </c>
      <c r="AF4" s="18" t="e">
        <f t="shared" si="0"/>
        <v>#REF!</v>
      </c>
      <c r="AG4" s="18"/>
      <c r="AH4" s="18"/>
      <c r="AI4" s="18"/>
      <c r="AJ4" s="18"/>
      <c r="AK4" s="16" t="e">
        <f t="shared" ref="AK4:AK46" si="1">H4*1000+F4*100&amp;"|"&amp;AL4</f>
        <v>#REF!</v>
      </c>
      <c r="AL4" s="16">
        <v>10</v>
      </c>
      <c r="AM4" s="16"/>
      <c r="AN4" s="16"/>
      <c r="AO4" s="16" t="e">
        <f>Sheet1!#REF!</f>
        <v>#REF!</v>
      </c>
      <c r="AP4" s="16" t="e">
        <f>Sheet1!#REF!</f>
        <v>#REF!</v>
      </c>
      <c r="AQ4" s="16" t="e">
        <f>Sheet1!#REF!</f>
        <v>#REF!</v>
      </c>
      <c r="AR4" s="16" t="e">
        <f>Sheet1!#REF!</f>
        <v>#REF!</v>
      </c>
      <c r="AS4" s="16" t="e">
        <f>Sheet1!#REF!</f>
        <v>#REF!</v>
      </c>
      <c r="AT4" s="16" t="e">
        <f>Sheet1!#REF!</f>
        <v>#REF!</v>
      </c>
      <c r="AU4" s="16" t="e">
        <f>Sheet1!#REF!</f>
        <v>#REF!</v>
      </c>
      <c r="AV4" s="16" t="e">
        <f>Sheet1!#REF!</f>
        <v>#REF!</v>
      </c>
      <c r="AW4" s="16" t="e">
        <f>Sheet1!#REF!</f>
        <v>#REF!</v>
      </c>
    </row>
    <row r="5" spans="1:49" x14ac:dyDescent="0.15">
      <c r="A5" s="16">
        <f>Sheet1!A5</f>
        <v>1002</v>
      </c>
      <c r="B5" s="16" t="e">
        <f>Sheet1!#REF!</f>
        <v>#REF!</v>
      </c>
      <c r="C5" s="16" t="e">
        <f>Sheet1!#REF!</f>
        <v>#REF!</v>
      </c>
      <c r="D5" s="16" t="e">
        <f>Sheet1!#REF!</f>
        <v>#REF!</v>
      </c>
      <c r="E5" s="16" t="e">
        <f>Sheet1!#REF!</f>
        <v>#REF!</v>
      </c>
      <c r="F5" s="16" t="e">
        <f>Sheet1!#REF!</f>
        <v>#REF!</v>
      </c>
      <c r="G5" s="16" t="e">
        <f>Sheet1!#REF!</f>
        <v>#REF!</v>
      </c>
      <c r="H5" s="16" t="e">
        <f>Sheet1!#REF!</f>
        <v>#REF!</v>
      </c>
      <c r="I5" s="16">
        <v>7</v>
      </c>
      <c r="J5" s="16">
        <v>12</v>
      </c>
      <c r="K5" s="16" t="e">
        <f>Sheet1!#REF!</f>
        <v>#REF!</v>
      </c>
      <c r="L5" s="16" t="e">
        <f>Sheet1!#REF!</f>
        <v>#REF!</v>
      </c>
      <c r="M5" s="16">
        <v>1</v>
      </c>
      <c r="N5" s="16">
        <f t="shared" ref="N5:N68" ca="1" si="2">RAND()/20+0.975</f>
        <v>1.0054150531076698</v>
      </c>
      <c r="O5" s="18" t="e">
        <f>INT(M5*VLOOKUP($H5,Sheet4!$A$1:$B$7,2,FALSE)*Sheet4!D$2)</f>
        <v>#REF!</v>
      </c>
      <c r="P5" s="18" t="e">
        <f>M5*VLOOKUP($H5,Sheet4!$A$1:$B$7,2,FALSE)*Sheet4!E$2</f>
        <v>#REF!</v>
      </c>
      <c r="Q5" s="18" t="e">
        <f>M5*VLOOKUP($H5,Sheet4!$A$1:$B$7,2,FALSE)*Sheet4!F$2</f>
        <v>#REF!</v>
      </c>
      <c r="R5" s="18" t="e">
        <f>M5*VLOOKUP($H5,Sheet4!$A$1:$B$7,2,FALSE)*Sheet4!G$2</f>
        <v>#REF!</v>
      </c>
      <c r="S5" s="18" t="e">
        <f>M5*VLOOKUP($H5,Sheet4!$A$1:$B$7,2,FALSE)*Sheet4!H$2</f>
        <v>#REF!</v>
      </c>
      <c r="T5" s="18" t="e">
        <f>M5*VLOOKUP($H5,Sheet4!$A$1:$B$7,2,FALSE)*Sheet4!I$2</f>
        <v>#REF!</v>
      </c>
      <c r="U5" s="18"/>
      <c r="V5" s="18"/>
      <c r="W5" s="18"/>
      <c r="X5" s="18"/>
      <c r="Y5" s="18"/>
      <c r="Z5" s="18"/>
      <c r="AA5" s="18" t="e">
        <f t="shared" ref="AA5:AA15" si="3">ROUND(O5*0.1,0)</f>
        <v>#REF!</v>
      </c>
      <c r="AB5" s="18" t="e">
        <f t="shared" si="0"/>
        <v>#REF!</v>
      </c>
      <c r="AC5" s="18" t="e">
        <f t="shared" si="0"/>
        <v>#REF!</v>
      </c>
      <c r="AD5" s="18" t="e">
        <f t="shared" si="0"/>
        <v>#REF!</v>
      </c>
      <c r="AE5" s="18" t="e">
        <f t="shared" si="0"/>
        <v>#REF!</v>
      </c>
      <c r="AF5" s="18" t="e">
        <f t="shared" si="0"/>
        <v>#REF!</v>
      </c>
      <c r="AG5" s="18"/>
      <c r="AH5" s="18"/>
      <c r="AI5" s="18"/>
      <c r="AJ5" s="18"/>
      <c r="AK5" s="16" t="e">
        <f t="shared" si="1"/>
        <v>#REF!</v>
      </c>
      <c r="AL5" s="16">
        <v>10</v>
      </c>
      <c r="AM5" s="16"/>
      <c r="AN5" s="16"/>
      <c r="AO5" s="16" t="e">
        <f>Sheet1!#REF!</f>
        <v>#REF!</v>
      </c>
      <c r="AP5" s="16" t="e">
        <f>Sheet1!#REF!</f>
        <v>#REF!</v>
      </c>
      <c r="AQ5" s="16" t="e">
        <f>Sheet1!#REF!</f>
        <v>#REF!</v>
      </c>
      <c r="AR5" s="16" t="e">
        <f>Sheet1!#REF!</f>
        <v>#REF!</v>
      </c>
      <c r="AS5" s="16" t="e">
        <f>Sheet1!#REF!</f>
        <v>#REF!</v>
      </c>
      <c r="AT5" s="16" t="e">
        <f>Sheet1!#REF!</f>
        <v>#REF!</v>
      </c>
      <c r="AU5" s="16" t="e">
        <f>Sheet1!#REF!</f>
        <v>#REF!</v>
      </c>
      <c r="AV5" s="16" t="e">
        <f>Sheet1!#REF!</f>
        <v>#REF!</v>
      </c>
      <c r="AW5" s="16" t="e">
        <f>Sheet1!#REF!</f>
        <v>#REF!</v>
      </c>
    </row>
    <row r="6" spans="1:49" x14ac:dyDescent="0.15">
      <c r="A6" s="16">
        <f>Sheet1!A6</f>
        <v>1102</v>
      </c>
      <c r="B6" s="16" t="e">
        <f>Sheet1!#REF!</f>
        <v>#REF!</v>
      </c>
      <c r="C6" s="16" t="e">
        <f>Sheet1!#REF!</f>
        <v>#REF!</v>
      </c>
      <c r="D6" s="16" t="e">
        <f>Sheet1!#REF!</f>
        <v>#REF!</v>
      </c>
      <c r="E6" s="16" t="e">
        <f>Sheet1!#REF!</f>
        <v>#REF!</v>
      </c>
      <c r="F6" s="16" t="e">
        <f>Sheet1!#REF!</f>
        <v>#REF!</v>
      </c>
      <c r="G6" s="16" t="e">
        <f>Sheet1!#REF!</f>
        <v>#REF!</v>
      </c>
      <c r="H6" s="16" t="e">
        <f>Sheet1!#REF!</f>
        <v>#REF!</v>
      </c>
      <c r="I6" s="16">
        <v>2</v>
      </c>
      <c r="J6" s="16">
        <v>12</v>
      </c>
      <c r="K6" s="16" t="e">
        <f>Sheet1!#REF!</f>
        <v>#REF!</v>
      </c>
      <c r="L6" s="16" t="e">
        <f>Sheet1!#REF!</f>
        <v>#REF!</v>
      </c>
      <c r="M6" s="16">
        <v>1</v>
      </c>
      <c r="N6" s="16">
        <f t="shared" ca="1" si="2"/>
        <v>0.99572030975404335</v>
      </c>
      <c r="O6" s="18" t="e">
        <f>INT(M6*VLOOKUP($H6,Sheet4!$A$1:$B$7,2,FALSE)*Sheet4!D$2)</f>
        <v>#REF!</v>
      </c>
      <c r="P6" s="18" t="e">
        <f>M6*VLOOKUP($H6,Sheet4!$A$1:$B$7,2,FALSE)*Sheet4!E$2</f>
        <v>#REF!</v>
      </c>
      <c r="Q6" s="18" t="e">
        <f>M6*VLOOKUP($H6,Sheet4!$A$1:$B$7,2,FALSE)*Sheet4!F$2</f>
        <v>#REF!</v>
      </c>
      <c r="R6" s="18" t="e">
        <f>M6*VLOOKUP($H6,Sheet4!$A$1:$B$7,2,FALSE)*Sheet4!G$2</f>
        <v>#REF!</v>
      </c>
      <c r="S6" s="18" t="e">
        <f>M6*VLOOKUP($H6,Sheet4!$A$1:$B$7,2,FALSE)*Sheet4!H$2</f>
        <v>#REF!</v>
      </c>
      <c r="T6" s="18" t="e">
        <f>M6*VLOOKUP($H6,Sheet4!$A$1:$B$7,2,FALSE)*Sheet4!I$2</f>
        <v>#REF!</v>
      </c>
      <c r="U6" s="18"/>
      <c r="V6" s="18"/>
      <c r="W6" s="18"/>
      <c r="X6" s="18"/>
      <c r="Y6" s="18"/>
      <c r="Z6" s="18"/>
      <c r="AA6" s="18" t="e">
        <f t="shared" si="3"/>
        <v>#REF!</v>
      </c>
      <c r="AB6" s="18" t="e">
        <f t="shared" si="0"/>
        <v>#REF!</v>
      </c>
      <c r="AC6" s="18" t="e">
        <f t="shared" si="0"/>
        <v>#REF!</v>
      </c>
      <c r="AD6" s="18" t="e">
        <f t="shared" si="0"/>
        <v>#REF!</v>
      </c>
      <c r="AE6" s="18" t="e">
        <f t="shared" si="0"/>
        <v>#REF!</v>
      </c>
      <c r="AF6" s="18" t="e">
        <f t="shared" si="0"/>
        <v>#REF!</v>
      </c>
      <c r="AG6" s="18"/>
      <c r="AH6" s="18"/>
      <c r="AI6" s="18"/>
      <c r="AJ6" s="18"/>
      <c r="AK6" s="16" t="e">
        <f t="shared" si="1"/>
        <v>#REF!</v>
      </c>
      <c r="AL6" s="16">
        <v>10</v>
      </c>
      <c r="AM6" s="16"/>
      <c r="AN6" s="16"/>
      <c r="AO6" s="16" t="e">
        <f>Sheet1!#REF!</f>
        <v>#REF!</v>
      </c>
      <c r="AP6" s="16" t="e">
        <f>Sheet1!#REF!</f>
        <v>#REF!</v>
      </c>
      <c r="AQ6" s="16" t="e">
        <f>Sheet1!#REF!</f>
        <v>#REF!</v>
      </c>
      <c r="AR6" s="16" t="e">
        <f>Sheet1!#REF!</f>
        <v>#REF!</v>
      </c>
      <c r="AS6" s="16" t="e">
        <f>Sheet1!#REF!</f>
        <v>#REF!</v>
      </c>
      <c r="AT6" s="16" t="e">
        <f>Sheet1!#REF!</f>
        <v>#REF!</v>
      </c>
      <c r="AU6" s="16" t="e">
        <f>Sheet1!#REF!</f>
        <v>#REF!</v>
      </c>
      <c r="AV6" s="16" t="e">
        <f>Sheet1!#REF!</f>
        <v>#REF!</v>
      </c>
      <c r="AW6" s="16" t="e">
        <f>Sheet1!#REF!</f>
        <v>#REF!</v>
      </c>
    </row>
    <row r="7" spans="1:49" x14ac:dyDescent="0.15">
      <c r="A7" s="16">
        <f>Sheet1!A7</f>
        <v>1211</v>
      </c>
      <c r="B7" s="16" t="e">
        <f>Sheet1!#REF!</f>
        <v>#REF!</v>
      </c>
      <c r="C7" s="16" t="e">
        <f>Sheet1!#REF!</f>
        <v>#REF!</v>
      </c>
      <c r="D7" s="16" t="e">
        <f>Sheet1!#REF!</f>
        <v>#REF!</v>
      </c>
      <c r="E7" s="16" t="e">
        <f>Sheet1!#REF!</f>
        <v>#REF!</v>
      </c>
      <c r="F7" s="16" t="e">
        <f>Sheet1!#REF!</f>
        <v>#REF!</v>
      </c>
      <c r="G7" s="16" t="e">
        <f>Sheet1!#REF!</f>
        <v>#REF!</v>
      </c>
      <c r="H7" s="16" t="e">
        <f>Sheet1!#REF!</f>
        <v>#REF!</v>
      </c>
      <c r="I7" s="16">
        <v>2</v>
      </c>
      <c r="J7" s="16">
        <v>12</v>
      </c>
      <c r="K7" s="16" t="e">
        <f>Sheet1!#REF!</f>
        <v>#REF!</v>
      </c>
      <c r="L7" s="16" t="e">
        <f>Sheet1!#REF!</f>
        <v>#REF!</v>
      </c>
      <c r="M7" s="16">
        <v>1</v>
      </c>
      <c r="N7" s="16">
        <f t="shared" ca="1" si="2"/>
        <v>0.97765011082554187</v>
      </c>
      <c r="O7" s="18" t="e">
        <f>INT(M7*VLOOKUP($H7,Sheet4!$A$1:$B$7,2,FALSE)*Sheet4!D$2)</f>
        <v>#REF!</v>
      </c>
      <c r="P7" s="18" t="e">
        <f>M7*VLOOKUP($H7,Sheet4!$A$1:$B$7,2,FALSE)*Sheet4!E$2</f>
        <v>#REF!</v>
      </c>
      <c r="Q7" s="18" t="e">
        <f>M7*VLOOKUP($H7,Sheet4!$A$1:$B$7,2,FALSE)*Sheet4!F$2</f>
        <v>#REF!</v>
      </c>
      <c r="R7" s="18" t="e">
        <f>M7*VLOOKUP($H7,Sheet4!$A$1:$B$7,2,FALSE)*Sheet4!G$2</f>
        <v>#REF!</v>
      </c>
      <c r="S7" s="18" t="e">
        <f>M7*VLOOKUP($H7,Sheet4!$A$1:$B$7,2,FALSE)*Sheet4!H$2</f>
        <v>#REF!</v>
      </c>
      <c r="T7" s="18" t="e">
        <f>M7*VLOOKUP($H7,Sheet4!$A$1:$B$7,2,FALSE)*Sheet4!I$2</f>
        <v>#REF!</v>
      </c>
      <c r="U7" s="18"/>
      <c r="V7" s="18"/>
      <c r="W7" s="18"/>
      <c r="X7" s="18"/>
      <c r="Y7" s="18"/>
      <c r="Z7" s="18"/>
      <c r="AA7" s="18" t="e">
        <f t="shared" si="3"/>
        <v>#REF!</v>
      </c>
      <c r="AB7" s="18" t="e">
        <f t="shared" si="0"/>
        <v>#REF!</v>
      </c>
      <c r="AC7" s="18" t="e">
        <f t="shared" si="0"/>
        <v>#REF!</v>
      </c>
      <c r="AD7" s="18" t="e">
        <f t="shared" si="0"/>
        <v>#REF!</v>
      </c>
      <c r="AE7" s="18" t="e">
        <f t="shared" si="0"/>
        <v>#REF!</v>
      </c>
      <c r="AF7" s="18" t="e">
        <f t="shared" si="0"/>
        <v>#REF!</v>
      </c>
      <c r="AG7" s="18"/>
      <c r="AH7" s="18"/>
      <c r="AI7" s="18"/>
      <c r="AJ7" s="18"/>
      <c r="AK7" s="16" t="e">
        <f t="shared" si="1"/>
        <v>#REF!</v>
      </c>
      <c r="AL7" s="16">
        <v>10</v>
      </c>
      <c r="AM7" s="16"/>
      <c r="AN7" s="16"/>
      <c r="AO7" s="16" t="e">
        <f>Sheet1!#REF!</f>
        <v>#REF!</v>
      </c>
      <c r="AP7" s="16" t="e">
        <f>Sheet1!#REF!</f>
        <v>#REF!</v>
      </c>
      <c r="AQ7" s="16" t="e">
        <f>Sheet1!#REF!</f>
        <v>#REF!</v>
      </c>
      <c r="AR7" s="16" t="e">
        <f>Sheet1!#REF!</f>
        <v>#REF!</v>
      </c>
      <c r="AS7" s="16" t="e">
        <f>Sheet1!#REF!</f>
        <v>#REF!</v>
      </c>
      <c r="AT7" s="16" t="e">
        <f>Sheet1!#REF!</f>
        <v>#REF!</v>
      </c>
      <c r="AU7" s="16" t="e">
        <f>Sheet1!#REF!</f>
        <v>#REF!</v>
      </c>
      <c r="AV7" s="16" t="e">
        <f>Sheet1!#REF!</f>
        <v>#REF!</v>
      </c>
      <c r="AW7" s="16" t="e">
        <f>Sheet1!#REF!</f>
        <v>#REF!</v>
      </c>
    </row>
    <row r="8" spans="1:49" x14ac:dyDescent="0.15">
      <c r="A8" s="16">
        <f>Sheet1!A8</f>
        <v>1101</v>
      </c>
      <c r="B8" s="16" t="e">
        <f>Sheet1!#REF!</f>
        <v>#REF!</v>
      </c>
      <c r="C8" s="16" t="e">
        <f>Sheet1!#REF!</f>
        <v>#REF!</v>
      </c>
      <c r="D8" s="16" t="e">
        <f>Sheet1!#REF!</f>
        <v>#REF!</v>
      </c>
      <c r="E8" s="16" t="e">
        <f>Sheet1!#REF!</f>
        <v>#REF!</v>
      </c>
      <c r="F8" s="16" t="e">
        <f>Sheet1!#REF!</f>
        <v>#REF!</v>
      </c>
      <c r="G8" s="16" t="e">
        <f>Sheet1!#REF!</f>
        <v>#REF!</v>
      </c>
      <c r="H8" s="16" t="e">
        <f>Sheet1!#REF!</f>
        <v>#REF!</v>
      </c>
      <c r="I8" s="16">
        <v>4</v>
      </c>
      <c r="J8" s="16">
        <v>12</v>
      </c>
      <c r="K8" s="16" t="e">
        <f>Sheet1!#REF!</f>
        <v>#REF!</v>
      </c>
      <c r="L8" s="16" t="e">
        <f>Sheet1!#REF!</f>
        <v>#REF!</v>
      </c>
      <c r="M8" s="16">
        <v>1</v>
      </c>
      <c r="N8" s="16">
        <f t="shared" ca="1" si="2"/>
        <v>1.0108019936946078</v>
      </c>
      <c r="O8" s="18" t="e">
        <f>INT(M8*VLOOKUP($H8,Sheet4!$A$1:$B$7,2,FALSE)*Sheet4!D$2)</f>
        <v>#REF!</v>
      </c>
      <c r="P8" s="18" t="e">
        <f>M8*VLOOKUP($H8,Sheet4!$A$1:$B$7,2,FALSE)*Sheet4!E$2</f>
        <v>#REF!</v>
      </c>
      <c r="Q8" s="18" t="e">
        <f>M8*VLOOKUP($H8,Sheet4!$A$1:$B$7,2,FALSE)*Sheet4!F$2</f>
        <v>#REF!</v>
      </c>
      <c r="R8" s="18" t="e">
        <f>M8*VLOOKUP($H8,Sheet4!$A$1:$B$7,2,FALSE)*Sheet4!G$2</f>
        <v>#REF!</v>
      </c>
      <c r="S8" s="18" t="e">
        <f>M8*VLOOKUP($H8,Sheet4!$A$1:$B$7,2,FALSE)*Sheet4!H$2</f>
        <v>#REF!</v>
      </c>
      <c r="T8" s="18" t="e">
        <f>M8*VLOOKUP($H8,Sheet4!$A$1:$B$7,2,FALSE)*Sheet4!I$2</f>
        <v>#REF!</v>
      </c>
      <c r="U8" s="18"/>
      <c r="V8" s="18"/>
      <c r="W8" s="18"/>
      <c r="X8" s="18"/>
      <c r="Y8" s="18"/>
      <c r="Z8" s="18"/>
      <c r="AA8" s="18" t="e">
        <f t="shared" si="3"/>
        <v>#REF!</v>
      </c>
      <c r="AB8" s="18" t="e">
        <f t="shared" si="0"/>
        <v>#REF!</v>
      </c>
      <c r="AC8" s="18" t="e">
        <f t="shared" si="0"/>
        <v>#REF!</v>
      </c>
      <c r="AD8" s="18" t="e">
        <f t="shared" si="0"/>
        <v>#REF!</v>
      </c>
      <c r="AE8" s="18" t="e">
        <f t="shared" si="0"/>
        <v>#REF!</v>
      </c>
      <c r="AF8" s="18" t="e">
        <f t="shared" si="0"/>
        <v>#REF!</v>
      </c>
      <c r="AG8" s="18"/>
      <c r="AH8" s="18"/>
      <c r="AI8" s="18"/>
      <c r="AJ8" s="18"/>
      <c r="AK8" s="16" t="e">
        <f t="shared" si="1"/>
        <v>#REF!</v>
      </c>
      <c r="AL8" s="16">
        <v>10</v>
      </c>
      <c r="AM8" s="16"/>
      <c r="AN8" s="16"/>
      <c r="AO8" s="16" t="e">
        <f>Sheet1!#REF!</f>
        <v>#REF!</v>
      </c>
      <c r="AP8" s="16" t="e">
        <f>Sheet1!#REF!</f>
        <v>#REF!</v>
      </c>
      <c r="AQ8" s="16" t="e">
        <f>Sheet1!#REF!</f>
        <v>#REF!</v>
      </c>
      <c r="AR8" s="16" t="e">
        <f>Sheet1!#REF!</f>
        <v>#REF!</v>
      </c>
      <c r="AS8" s="16" t="e">
        <f>Sheet1!#REF!</f>
        <v>#REF!</v>
      </c>
      <c r="AT8" s="16" t="e">
        <f>Sheet1!#REF!</f>
        <v>#REF!</v>
      </c>
      <c r="AU8" s="16" t="e">
        <f>Sheet1!#REF!</f>
        <v>#REF!</v>
      </c>
      <c r="AV8" s="16" t="e">
        <f>Sheet1!#REF!</f>
        <v>#REF!</v>
      </c>
      <c r="AW8" s="16" t="e">
        <f>Sheet1!#REF!</f>
        <v>#REF!</v>
      </c>
    </row>
    <row r="9" spans="1:49" x14ac:dyDescent="0.15">
      <c r="A9" s="16">
        <f>Sheet1!A9</f>
        <v>1108</v>
      </c>
      <c r="B9" s="16" t="e">
        <f>Sheet1!#REF!</f>
        <v>#REF!</v>
      </c>
      <c r="C9" s="16" t="e">
        <f>Sheet1!#REF!</f>
        <v>#REF!</v>
      </c>
      <c r="D9" s="16" t="e">
        <f>Sheet1!#REF!</f>
        <v>#REF!</v>
      </c>
      <c r="E9" s="16" t="e">
        <f>Sheet1!#REF!</f>
        <v>#REF!</v>
      </c>
      <c r="F9" s="16" t="e">
        <f>Sheet1!#REF!</f>
        <v>#REF!</v>
      </c>
      <c r="G9" s="16" t="e">
        <f>Sheet1!#REF!</f>
        <v>#REF!</v>
      </c>
      <c r="H9" s="16" t="e">
        <f>Sheet1!#REF!</f>
        <v>#REF!</v>
      </c>
      <c r="I9" s="16">
        <v>4</v>
      </c>
      <c r="J9" s="16">
        <v>12</v>
      </c>
      <c r="K9" s="16" t="e">
        <f>Sheet1!#REF!</f>
        <v>#REF!</v>
      </c>
      <c r="L9" s="16" t="e">
        <f>Sheet1!#REF!</f>
        <v>#REF!</v>
      </c>
      <c r="M9" s="16">
        <v>1</v>
      </c>
      <c r="N9" s="16">
        <f t="shared" ca="1" si="2"/>
        <v>0.98324343105431256</v>
      </c>
      <c r="O9" s="18" t="e">
        <f>INT(M9*VLOOKUP($H9,Sheet4!$A$1:$B$7,2,FALSE)*Sheet4!D$2)</f>
        <v>#REF!</v>
      </c>
      <c r="P9" s="18" t="e">
        <f>M9*VLOOKUP($H9,Sheet4!$A$1:$B$7,2,FALSE)*Sheet4!E$2</f>
        <v>#REF!</v>
      </c>
      <c r="Q9" s="18" t="e">
        <f>M9*VLOOKUP($H9,Sheet4!$A$1:$B$7,2,FALSE)*Sheet4!F$2</f>
        <v>#REF!</v>
      </c>
      <c r="R9" s="18" t="e">
        <f>M9*VLOOKUP($H9,Sheet4!$A$1:$B$7,2,FALSE)*Sheet4!G$2</f>
        <v>#REF!</v>
      </c>
      <c r="S9" s="18" t="e">
        <f>M9*VLOOKUP($H9,Sheet4!$A$1:$B$7,2,FALSE)*Sheet4!H$2</f>
        <v>#REF!</v>
      </c>
      <c r="T9" s="18" t="e">
        <f>M9*VLOOKUP($H9,Sheet4!$A$1:$B$7,2,FALSE)*Sheet4!I$2</f>
        <v>#REF!</v>
      </c>
      <c r="U9" s="18"/>
      <c r="V9" s="18"/>
      <c r="W9" s="18"/>
      <c r="X9" s="18"/>
      <c r="Y9" s="18"/>
      <c r="Z9" s="18"/>
      <c r="AA9" s="18" t="e">
        <f t="shared" si="3"/>
        <v>#REF!</v>
      </c>
      <c r="AB9" s="18" t="e">
        <f t="shared" si="0"/>
        <v>#REF!</v>
      </c>
      <c r="AC9" s="18" t="e">
        <f t="shared" si="0"/>
        <v>#REF!</v>
      </c>
      <c r="AD9" s="18" t="e">
        <f t="shared" si="0"/>
        <v>#REF!</v>
      </c>
      <c r="AE9" s="18" t="e">
        <f t="shared" si="0"/>
        <v>#REF!</v>
      </c>
      <c r="AF9" s="18" t="e">
        <f t="shared" si="0"/>
        <v>#REF!</v>
      </c>
      <c r="AG9" s="18"/>
      <c r="AH9" s="18"/>
      <c r="AI9" s="18"/>
      <c r="AJ9" s="18"/>
      <c r="AK9" s="16" t="e">
        <f t="shared" si="1"/>
        <v>#REF!</v>
      </c>
      <c r="AL9" s="16">
        <v>10</v>
      </c>
      <c r="AM9" s="16"/>
      <c r="AN9" s="16"/>
      <c r="AO9" s="16" t="e">
        <f>Sheet1!#REF!</f>
        <v>#REF!</v>
      </c>
      <c r="AP9" s="16" t="e">
        <f>Sheet1!#REF!</f>
        <v>#REF!</v>
      </c>
      <c r="AQ9" s="16" t="e">
        <f>Sheet1!#REF!</f>
        <v>#REF!</v>
      </c>
      <c r="AR9" s="16" t="e">
        <f>Sheet1!#REF!</f>
        <v>#REF!</v>
      </c>
      <c r="AS9" s="16" t="e">
        <f>Sheet1!#REF!</f>
        <v>#REF!</v>
      </c>
      <c r="AT9" s="16" t="e">
        <f>Sheet1!#REF!</f>
        <v>#REF!</v>
      </c>
      <c r="AU9" s="16" t="e">
        <f>Sheet1!#REF!</f>
        <v>#REF!</v>
      </c>
      <c r="AV9" s="16" t="e">
        <f>Sheet1!#REF!</f>
        <v>#REF!</v>
      </c>
      <c r="AW9" s="16" t="e">
        <f>Sheet1!#REF!</f>
        <v>#REF!</v>
      </c>
    </row>
    <row r="10" spans="1:49" x14ac:dyDescent="0.15">
      <c r="A10" s="16">
        <f>Sheet1!A10</f>
        <v>1113</v>
      </c>
      <c r="B10" s="16" t="e">
        <f>Sheet1!#REF!</f>
        <v>#REF!</v>
      </c>
      <c r="C10" s="16" t="e">
        <f>Sheet1!#REF!</f>
        <v>#REF!</v>
      </c>
      <c r="D10" s="16" t="e">
        <f>Sheet1!#REF!</f>
        <v>#REF!</v>
      </c>
      <c r="E10" s="16" t="e">
        <f>Sheet1!#REF!</f>
        <v>#REF!</v>
      </c>
      <c r="F10" s="16" t="e">
        <f>Sheet1!#REF!</f>
        <v>#REF!</v>
      </c>
      <c r="G10" s="16" t="e">
        <f>Sheet1!#REF!</f>
        <v>#REF!</v>
      </c>
      <c r="H10" s="16" t="e">
        <f>Sheet1!#REF!</f>
        <v>#REF!</v>
      </c>
      <c r="I10" s="16">
        <v>4</v>
      </c>
      <c r="J10" s="16">
        <v>12</v>
      </c>
      <c r="K10" s="16" t="e">
        <f>Sheet1!#REF!</f>
        <v>#REF!</v>
      </c>
      <c r="L10" s="16" t="e">
        <f>Sheet1!#REF!</f>
        <v>#REF!</v>
      </c>
      <c r="M10" s="16">
        <v>1</v>
      </c>
      <c r="N10" s="16">
        <f t="shared" ca="1" si="2"/>
        <v>0.99677215983028389</v>
      </c>
      <c r="O10" s="18" t="e">
        <f>INT(M10*VLOOKUP($H10,Sheet4!$A$1:$B$7,2,FALSE)*Sheet4!D$2)</f>
        <v>#REF!</v>
      </c>
      <c r="P10" s="18" t="e">
        <f>M10*VLOOKUP($H10,Sheet4!$A$1:$B$7,2,FALSE)*Sheet4!E$2</f>
        <v>#REF!</v>
      </c>
      <c r="Q10" s="18" t="e">
        <f>M10*VLOOKUP($H10,Sheet4!$A$1:$B$7,2,FALSE)*Sheet4!F$2</f>
        <v>#REF!</v>
      </c>
      <c r="R10" s="18" t="e">
        <f>M10*VLOOKUP($H10,Sheet4!$A$1:$B$7,2,FALSE)*Sheet4!G$2</f>
        <v>#REF!</v>
      </c>
      <c r="S10" s="18" t="e">
        <f>M10*VLOOKUP($H10,Sheet4!$A$1:$B$7,2,FALSE)*Sheet4!H$2</f>
        <v>#REF!</v>
      </c>
      <c r="T10" s="18" t="e">
        <f>M10*VLOOKUP($H10,Sheet4!$A$1:$B$7,2,FALSE)*Sheet4!I$2</f>
        <v>#REF!</v>
      </c>
      <c r="U10" s="18"/>
      <c r="V10" s="18"/>
      <c r="W10" s="18"/>
      <c r="X10" s="18"/>
      <c r="Y10" s="18"/>
      <c r="Z10" s="18"/>
      <c r="AA10" s="18" t="e">
        <f t="shared" si="3"/>
        <v>#REF!</v>
      </c>
      <c r="AB10" s="18" t="e">
        <f t="shared" si="0"/>
        <v>#REF!</v>
      </c>
      <c r="AC10" s="18" t="e">
        <f t="shared" si="0"/>
        <v>#REF!</v>
      </c>
      <c r="AD10" s="18" t="e">
        <f t="shared" si="0"/>
        <v>#REF!</v>
      </c>
      <c r="AE10" s="18" t="e">
        <f t="shared" si="0"/>
        <v>#REF!</v>
      </c>
      <c r="AF10" s="18" t="e">
        <f t="shared" si="0"/>
        <v>#REF!</v>
      </c>
      <c r="AG10" s="18"/>
      <c r="AH10" s="18"/>
      <c r="AI10" s="18"/>
      <c r="AJ10" s="18"/>
      <c r="AK10" s="16" t="e">
        <f t="shared" si="1"/>
        <v>#REF!</v>
      </c>
      <c r="AL10" s="16">
        <v>10</v>
      </c>
      <c r="AM10" s="16"/>
      <c r="AN10" s="16"/>
      <c r="AO10" s="16" t="e">
        <f>Sheet1!#REF!</f>
        <v>#REF!</v>
      </c>
      <c r="AP10" s="16" t="e">
        <f>Sheet1!#REF!</f>
        <v>#REF!</v>
      </c>
      <c r="AQ10" s="16" t="e">
        <f>Sheet1!#REF!</f>
        <v>#REF!</v>
      </c>
      <c r="AR10" s="16" t="e">
        <f>Sheet1!#REF!</f>
        <v>#REF!</v>
      </c>
      <c r="AS10" s="16" t="e">
        <f>Sheet1!#REF!</f>
        <v>#REF!</v>
      </c>
      <c r="AT10" s="16" t="e">
        <f>Sheet1!#REF!</f>
        <v>#REF!</v>
      </c>
      <c r="AU10" s="16" t="e">
        <f>Sheet1!#REF!</f>
        <v>#REF!</v>
      </c>
      <c r="AV10" s="16" t="e">
        <f>Sheet1!#REF!</f>
        <v>#REF!</v>
      </c>
      <c r="AW10" s="16" t="e">
        <f>Sheet1!#REF!</f>
        <v>#REF!</v>
      </c>
    </row>
    <row r="11" spans="1:49" x14ac:dyDescent="0.15">
      <c r="A11" s="16">
        <f>Sheet1!A11</f>
        <v>1120</v>
      </c>
      <c r="B11" s="16" t="e">
        <f>Sheet1!#REF!</f>
        <v>#REF!</v>
      </c>
      <c r="C11" s="16" t="e">
        <f>Sheet1!#REF!</f>
        <v>#REF!</v>
      </c>
      <c r="D11" s="16" t="e">
        <f>Sheet1!#REF!</f>
        <v>#REF!</v>
      </c>
      <c r="E11" s="16" t="e">
        <f>Sheet1!#REF!</f>
        <v>#REF!</v>
      </c>
      <c r="F11" s="16" t="e">
        <f>Sheet1!#REF!</f>
        <v>#REF!</v>
      </c>
      <c r="G11" s="16" t="e">
        <f>Sheet1!#REF!</f>
        <v>#REF!</v>
      </c>
      <c r="H11" s="16" t="e">
        <f>Sheet1!#REF!</f>
        <v>#REF!</v>
      </c>
      <c r="I11" s="16">
        <v>4</v>
      </c>
      <c r="J11" s="16">
        <v>12</v>
      </c>
      <c r="K11" s="16" t="e">
        <f>Sheet1!#REF!</f>
        <v>#REF!</v>
      </c>
      <c r="L11" s="16" t="e">
        <f>Sheet1!#REF!</f>
        <v>#REF!</v>
      </c>
      <c r="M11" s="16">
        <v>1</v>
      </c>
      <c r="N11" s="16">
        <f t="shared" ca="1" si="2"/>
        <v>0.98938290601628087</v>
      </c>
      <c r="O11" s="18" t="e">
        <f>INT(M11*VLOOKUP($H11,Sheet4!$A$1:$B$7,2,FALSE)*Sheet4!D$2)</f>
        <v>#REF!</v>
      </c>
      <c r="P11" s="18" t="e">
        <f>M11*VLOOKUP($H11,Sheet4!$A$1:$B$7,2,FALSE)*Sheet4!E$2</f>
        <v>#REF!</v>
      </c>
      <c r="Q11" s="18" t="e">
        <f>M11*VLOOKUP($H11,Sheet4!$A$1:$B$7,2,FALSE)*Sheet4!F$2</f>
        <v>#REF!</v>
      </c>
      <c r="R11" s="18" t="e">
        <f>M11*VLOOKUP($H11,Sheet4!$A$1:$B$7,2,FALSE)*Sheet4!G$2</f>
        <v>#REF!</v>
      </c>
      <c r="S11" s="18" t="e">
        <f>M11*VLOOKUP($H11,Sheet4!$A$1:$B$7,2,FALSE)*Sheet4!H$2</f>
        <v>#REF!</v>
      </c>
      <c r="T11" s="18" t="e">
        <f>M11*VLOOKUP($H11,Sheet4!$A$1:$B$7,2,FALSE)*Sheet4!I$2</f>
        <v>#REF!</v>
      </c>
      <c r="U11" s="18"/>
      <c r="V11" s="18"/>
      <c r="W11" s="18"/>
      <c r="X11" s="18"/>
      <c r="Y11" s="18"/>
      <c r="Z11" s="18"/>
      <c r="AA11" s="18" t="e">
        <f t="shared" si="3"/>
        <v>#REF!</v>
      </c>
      <c r="AB11" s="18" t="e">
        <f t="shared" si="0"/>
        <v>#REF!</v>
      </c>
      <c r="AC11" s="18" t="e">
        <f t="shared" si="0"/>
        <v>#REF!</v>
      </c>
      <c r="AD11" s="18" t="e">
        <f t="shared" si="0"/>
        <v>#REF!</v>
      </c>
      <c r="AE11" s="18" t="e">
        <f t="shared" si="0"/>
        <v>#REF!</v>
      </c>
      <c r="AF11" s="18" t="e">
        <f t="shared" si="0"/>
        <v>#REF!</v>
      </c>
      <c r="AG11" s="18"/>
      <c r="AH11" s="18"/>
      <c r="AI11" s="18"/>
      <c r="AJ11" s="18"/>
      <c r="AK11" s="16" t="e">
        <f t="shared" si="1"/>
        <v>#REF!</v>
      </c>
      <c r="AL11" s="16">
        <v>10</v>
      </c>
      <c r="AM11" s="16"/>
      <c r="AN11" s="16"/>
      <c r="AO11" s="16" t="e">
        <f>Sheet1!#REF!</f>
        <v>#REF!</v>
      </c>
      <c r="AP11" s="16" t="e">
        <f>Sheet1!#REF!</f>
        <v>#REF!</v>
      </c>
      <c r="AQ11" s="16" t="e">
        <f>Sheet1!#REF!</f>
        <v>#REF!</v>
      </c>
      <c r="AR11" s="16" t="e">
        <f>Sheet1!#REF!</f>
        <v>#REF!</v>
      </c>
      <c r="AS11" s="16" t="e">
        <f>Sheet1!#REF!</f>
        <v>#REF!</v>
      </c>
      <c r="AT11" s="16" t="e">
        <f>Sheet1!#REF!</f>
        <v>#REF!</v>
      </c>
      <c r="AU11" s="16" t="e">
        <f>Sheet1!#REF!</f>
        <v>#REF!</v>
      </c>
      <c r="AV11" s="16" t="e">
        <f>Sheet1!#REF!</f>
        <v>#REF!</v>
      </c>
      <c r="AW11" s="16" t="e">
        <f>Sheet1!#REF!</f>
        <v>#REF!</v>
      </c>
    </row>
    <row r="12" spans="1:49" x14ac:dyDescent="0.15">
      <c r="A12" s="16">
        <f>Sheet1!A12</f>
        <v>1127</v>
      </c>
      <c r="B12" s="16" t="e">
        <f>Sheet1!#REF!</f>
        <v>#REF!</v>
      </c>
      <c r="C12" s="16" t="e">
        <f>Sheet1!#REF!</f>
        <v>#REF!</v>
      </c>
      <c r="D12" s="16" t="e">
        <f>Sheet1!#REF!</f>
        <v>#REF!</v>
      </c>
      <c r="E12" s="16" t="e">
        <f>Sheet1!#REF!</f>
        <v>#REF!</v>
      </c>
      <c r="F12" s="16" t="e">
        <f>Sheet1!#REF!</f>
        <v>#REF!</v>
      </c>
      <c r="G12" s="16" t="e">
        <f>Sheet1!#REF!</f>
        <v>#REF!</v>
      </c>
      <c r="H12" s="16" t="e">
        <f>Sheet1!#REF!</f>
        <v>#REF!</v>
      </c>
      <c r="I12" s="16">
        <v>4</v>
      </c>
      <c r="J12" s="16">
        <v>12</v>
      </c>
      <c r="K12" s="16" t="e">
        <f>Sheet1!#REF!</f>
        <v>#REF!</v>
      </c>
      <c r="L12" s="16" t="e">
        <f>Sheet1!#REF!</f>
        <v>#REF!</v>
      </c>
      <c r="M12" s="16">
        <v>1</v>
      </c>
      <c r="N12" s="16">
        <f t="shared" ca="1" si="2"/>
        <v>1.0093341992103091</v>
      </c>
      <c r="O12" s="18" t="e">
        <f>INT(M12*VLOOKUP($H12,Sheet4!$A$1:$B$7,2,FALSE)*Sheet4!D$2)</f>
        <v>#REF!</v>
      </c>
      <c r="P12" s="18" t="e">
        <f>M12*VLOOKUP($H12,Sheet4!$A$1:$B$7,2,FALSE)*Sheet4!E$2</f>
        <v>#REF!</v>
      </c>
      <c r="Q12" s="18" t="e">
        <f>M12*VLOOKUP($H12,Sheet4!$A$1:$B$7,2,FALSE)*Sheet4!F$2</f>
        <v>#REF!</v>
      </c>
      <c r="R12" s="18" t="e">
        <f>M12*VLOOKUP($H12,Sheet4!$A$1:$B$7,2,FALSE)*Sheet4!G$2</f>
        <v>#REF!</v>
      </c>
      <c r="S12" s="18" t="e">
        <f>M12*VLOOKUP($H12,Sheet4!$A$1:$B$7,2,FALSE)*Sheet4!H$2</f>
        <v>#REF!</v>
      </c>
      <c r="T12" s="18" t="e">
        <f>M12*VLOOKUP($H12,Sheet4!$A$1:$B$7,2,FALSE)*Sheet4!I$2</f>
        <v>#REF!</v>
      </c>
      <c r="U12" s="18"/>
      <c r="V12" s="18"/>
      <c r="W12" s="18"/>
      <c r="X12" s="18"/>
      <c r="Y12" s="18"/>
      <c r="Z12" s="18"/>
      <c r="AA12" s="18" t="e">
        <f t="shared" si="3"/>
        <v>#REF!</v>
      </c>
      <c r="AB12" s="18" t="e">
        <f t="shared" si="0"/>
        <v>#REF!</v>
      </c>
      <c r="AC12" s="18" t="e">
        <f t="shared" si="0"/>
        <v>#REF!</v>
      </c>
      <c r="AD12" s="18" t="e">
        <f t="shared" si="0"/>
        <v>#REF!</v>
      </c>
      <c r="AE12" s="18" t="e">
        <f t="shared" si="0"/>
        <v>#REF!</v>
      </c>
      <c r="AF12" s="18" t="e">
        <f t="shared" si="0"/>
        <v>#REF!</v>
      </c>
      <c r="AG12" s="18"/>
      <c r="AH12" s="18"/>
      <c r="AI12" s="18"/>
      <c r="AJ12" s="18"/>
      <c r="AK12" s="16" t="e">
        <f t="shared" si="1"/>
        <v>#REF!</v>
      </c>
      <c r="AL12" s="16">
        <v>10</v>
      </c>
      <c r="AM12" s="16"/>
      <c r="AN12" s="16"/>
      <c r="AO12" s="16" t="e">
        <f>Sheet1!#REF!</f>
        <v>#REF!</v>
      </c>
      <c r="AP12" s="16" t="e">
        <f>Sheet1!#REF!</f>
        <v>#REF!</v>
      </c>
      <c r="AQ12" s="16" t="e">
        <f>Sheet1!#REF!</f>
        <v>#REF!</v>
      </c>
      <c r="AR12" s="16" t="e">
        <f>Sheet1!#REF!</f>
        <v>#REF!</v>
      </c>
      <c r="AS12" s="16" t="e">
        <f>Sheet1!#REF!</f>
        <v>#REF!</v>
      </c>
      <c r="AT12" s="16" t="e">
        <f>Sheet1!#REF!</f>
        <v>#REF!</v>
      </c>
      <c r="AU12" s="16" t="e">
        <f>Sheet1!#REF!</f>
        <v>#REF!</v>
      </c>
      <c r="AV12" s="16" t="e">
        <f>Sheet1!#REF!</f>
        <v>#REF!</v>
      </c>
      <c r="AW12" s="16" t="e">
        <f>Sheet1!#REF!</f>
        <v>#REF!</v>
      </c>
    </row>
    <row r="13" spans="1:49" x14ac:dyDescent="0.15">
      <c r="A13" s="16">
        <f>Sheet1!A13</f>
        <v>1212</v>
      </c>
      <c r="B13" s="16" t="e">
        <f>Sheet1!#REF!</f>
        <v>#REF!</v>
      </c>
      <c r="C13" s="16" t="e">
        <f>Sheet1!#REF!</f>
        <v>#REF!</v>
      </c>
      <c r="D13" s="16" t="e">
        <f>Sheet1!#REF!</f>
        <v>#REF!</v>
      </c>
      <c r="E13" s="16" t="e">
        <f>Sheet1!#REF!</f>
        <v>#REF!</v>
      </c>
      <c r="F13" s="16" t="e">
        <f>Sheet1!#REF!</f>
        <v>#REF!</v>
      </c>
      <c r="G13" s="16" t="e">
        <f>Sheet1!#REF!</f>
        <v>#REF!</v>
      </c>
      <c r="H13" s="16" t="e">
        <f>Sheet1!#REF!</f>
        <v>#REF!</v>
      </c>
      <c r="I13" s="16">
        <v>4</v>
      </c>
      <c r="J13" s="16">
        <v>12</v>
      </c>
      <c r="K13" s="16" t="e">
        <f>Sheet1!#REF!</f>
        <v>#REF!</v>
      </c>
      <c r="L13" s="16" t="e">
        <f>Sheet1!#REF!</f>
        <v>#REF!</v>
      </c>
      <c r="M13" s="16">
        <v>1</v>
      </c>
      <c r="N13" s="16">
        <f t="shared" ca="1" si="2"/>
        <v>0.99240462080090563</v>
      </c>
      <c r="O13" s="18" t="e">
        <f>M13*VLOOKUP($H13,Sheet4!$A$1:$B$7,2,FALSE)*Sheet4!D$2</f>
        <v>#REF!</v>
      </c>
      <c r="P13" s="18" t="e">
        <f>M13*VLOOKUP($H13,Sheet4!$A$1:$B$7,2,FALSE)*Sheet4!E$2</f>
        <v>#REF!</v>
      </c>
      <c r="Q13" s="18" t="e">
        <f>M13*VLOOKUP($H13,Sheet4!$A$1:$B$7,2,FALSE)*Sheet4!F$2</f>
        <v>#REF!</v>
      </c>
      <c r="R13" s="18" t="e">
        <f>M13*VLOOKUP($H13,Sheet4!$A$1:$B$7,2,FALSE)*Sheet4!G$2</f>
        <v>#REF!</v>
      </c>
      <c r="S13" s="18" t="e">
        <f>M13*VLOOKUP($H13,Sheet4!$A$1:$B$7,2,FALSE)*Sheet4!H$2</f>
        <v>#REF!</v>
      </c>
      <c r="T13" s="18" t="e">
        <f>M13*VLOOKUP($H13,Sheet4!$A$1:$B$7,2,FALSE)*Sheet4!I$2</f>
        <v>#REF!</v>
      </c>
      <c r="U13" s="18"/>
      <c r="V13" s="18"/>
      <c r="W13" s="18"/>
      <c r="X13" s="18"/>
      <c r="Y13" s="18"/>
      <c r="Z13" s="18"/>
      <c r="AA13" s="18" t="e">
        <f t="shared" si="3"/>
        <v>#REF!</v>
      </c>
      <c r="AB13" s="18" t="e">
        <f t="shared" si="0"/>
        <v>#REF!</v>
      </c>
      <c r="AC13" s="18" t="e">
        <f t="shared" si="0"/>
        <v>#REF!</v>
      </c>
      <c r="AD13" s="18" t="e">
        <f t="shared" si="0"/>
        <v>#REF!</v>
      </c>
      <c r="AE13" s="18" t="e">
        <f t="shared" si="0"/>
        <v>#REF!</v>
      </c>
      <c r="AF13" s="18" t="e">
        <f t="shared" si="0"/>
        <v>#REF!</v>
      </c>
      <c r="AG13" s="18"/>
      <c r="AH13" s="18"/>
      <c r="AI13" s="18"/>
      <c r="AJ13" s="18"/>
      <c r="AK13" s="16" t="e">
        <f t="shared" si="1"/>
        <v>#REF!</v>
      </c>
      <c r="AL13" s="16">
        <v>10</v>
      </c>
      <c r="AM13" s="16"/>
      <c r="AN13" s="16"/>
      <c r="AO13" s="16" t="e">
        <f>Sheet1!#REF!</f>
        <v>#REF!</v>
      </c>
      <c r="AP13" s="16" t="e">
        <f>Sheet1!#REF!</f>
        <v>#REF!</v>
      </c>
      <c r="AQ13" s="16" t="e">
        <f>Sheet1!#REF!</f>
        <v>#REF!</v>
      </c>
      <c r="AR13" s="16" t="e">
        <f>Sheet1!#REF!</f>
        <v>#REF!</v>
      </c>
      <c r="AS13" s="16" t="e">
        <f>Sheet1!#REF!</f>
        <v>#REF!</v>
      </c>
      <c r="AT13" s="16" t="e">
        <f>Sheet1!#REF!</f>
        <v>#REF!</v>
      </c>
      <c r="AU13" s="16" t="e">
        <f>Sheet1!#REF!</f>
        <v>#REF!</v>
      </c>
      <c r="AV13" s="16" t="e">
        <f>Sheet1!#REF!</f>
        <v>#REF!</v>
      </c>
      <c r="AW13" s="16" t="e">
        <f>Sheet1!#REF!</f>
        <v>#REF!</v>
      </c>
    </row>
    <row r="14" spans="1:49" x14ac:dyDescent="0.15">
      <c r="A14" s="16">
        <f>Sheet1!A14</f>
        <v>1219</v>
      </c>
      <c r="B14" s="16" t="e">
        <f>Sheet1!#REF!</f>
        <v>#REF!</v>
      </c>
      <c r="C14" s="16" t="e">
        <f>Sheet1!#REF!</f>
        <v>#REF!</v>
      </c>
      <c r="D14" s="16" t="e">
        <f>Sheet1!#REF!</f>
        <v>#REF!</v>
      </c>
      <c r="E14" s="16" t="e">
        <f>Sheet1!#REF!</f>
        <v>#REF!</v>
      </c>
      <c r="F14" s="16" t="e">
        <f>Sheet1!#REF!</f>
        <v>#REF!</v>
      </c>
      <c r="G14" s="16" t="e">
        <f>Sheet1!#REF!</f>
        <v>#REF!</v>
      </c>
      <c r="H14" s="16" t="e">
        <f>Sheet1!#REF!</f>
        <v>#REF!</v>
      </c>
      <c r="I14" s="16">
        <v>2</v>
      </c>
      <c r="J14" s="16">
        <v>12</v>
      </c>
      <c r="K14" s="16" t="e">
        <f>Sheet1!#REF!</f>
        <v>#REF!</v>
      </c>
      <c r="L14" s="16" t="e">
        <f>Sheet1!#REF!</f>
        <v>#REF!</v>
      </c>
      <c r="M14" s="16">
        <v>1</v>
      </c>
      <c r="N14" s="16">
        <f t="shared" ca="1" si="2"/>
        <v>1.0096933459949409</v>
      </c>
      <c r="O14" s="18" t="e">
        <f>M14*VLOOKUP($H14,Sheet4!$A$1:$B$7,2,FALSE)*Sheet4!D$2</f>
        <v>#REF!</v>
      </c>
      <c r="P14" s="18" t="e">
        <f>M14*VLOOKUP($H14,Sheet4!$A$1:$B$7,2,FALSE)*Sheet4!E$2</f>
        <v>#REF!</v>
      </c>
      <c r="Q14" s="18" t="e">
        <f>M14*VLOOKUP($H14,Sheet4!$A$1:$B$7,2,FALSE)*Sheet4!F$2</f>
        <v>#REF!</v>
      </c>
      <c r="R14" s="18" t="e">
        <f>M14*VLOOKUP($H14,Sheet4!$A$1:$B$7,2,FALSE)*Sheet4!G$2</f>
        <v>#REF!</v>
      </c>
      <c r="S14" s="18" t="e">
        <f>M14*VLOOKUP($H14,Sheet4!$A$1:$B$7,2,FALSE)*Sheet4!H$2</f>
        <v>#REF!</v>
      </c>
      <c r="T14" s="18" t="e">
        <f>M14*VLOOKUP($H14,Sheet4!$A$1:$B$7,2,FALSE)*Sheet4!I$2</f>
        <v>#REF!</v>
      </c>
      <c r="U14" s="18"/>
      <c r="V14" s="18"/>
      <c r="W14" s="18"/>
      <c r="X14" s="18"/>
      <c r="Y14" s="18"/>
      <c r="Z14" s="18"/>
      <c r="AA14" s="18" t="e">
        <f t="shared" si="3"/>
        <v>#REF!</v>
      </c>
      <c r="AB14" s="18" t="e">
        <f t="shared" si="0"/>
        <v>#REF!</v>
      </c>
      <c r="AC14" s="18" t="e">
        <f t="shared" si="0"/>
        <v>#REF!</v>
      </c>
      <c r="AD14" s="18" t="e">
        <f t="shared" si="0"/>
        <v>#REF!</v>
      </c>
      <c r="AE14" s="18" t="e">
        <f t="shared" si="0"/>
        <v>#REF!</v>
      </c>
      <c r="AF14" s="18" t="e">
        <f t="shared" si="0"/>
        <v>#REF!</v>
      </c>
      <c r="AG14" s="18"/>
      <c r="AH14" s="18"/>
      <c r="AI14" s="18"/>
      <c r="AJ14" s="18"/>
      <c r="AK14" s="16" t="e">
        <f t="shared" si="1"/>
        <v>#REF!</v>
      </c>
      <c r="AL14" s="16">
        <v>10</v>
      </c>
      <c r="AM14" s="16"/>
      <c r="AN14" s="16"/>
      <c r="AO14" s="16" t="e">
        <f>Sheet1!#REF!</f>
        <v>#REF!</v>
      </c>
      <c r="AP14" s="16" t="e">
        <f>Sheet1!#REF!</f>
        <v>#REF!</v>
      </c>
      <c r="AQ14" s="16" t="e">
        <f>Sheet1!#REF!</f>
        <v>#REF!</v>
      </c>
      <c r="AR14" s="16" t="e">
        <f>Sheet1!#REF!</f>
        <v>#REF!</v>
      </c>
      <c r="AS14" s="16" t="e">
        <f>Sheet1!#REF!</f>
        <v>#REF!</v>
      </c>
      <c r="AT14" s="16" t="e">
        <f>Sheet1!#REF!</f>
        <v>#REF!</v>
      </c>
      <c r="AU14" s="16" t="e">
        <f>Sheet1!#REF!</f>
        <v>#REF!</v>
      </c>
      <c r="AV14" s="16" t="e">
        <f>Sheet1!#REF!</f>
        <v>#REF!</v>
      </c>
      <c r="AW14" s="16" t="e">
        <f>Sheet1!#REF!</f>
        <v>#REF!</v>
      </c>
    </row>
    <row r="15" spans="1:49" x14ac:dyDescent="0.15">
      <c r="A15" s="16">
        <f>Sheet1!A15</f>
        <v>1112</v>
      </c>
      <c r="B15" s="16" t="e">
        <f>Sheet1!#REF!</f>
        <v>#REF!</v>
      </c>
      <c r="C15" s="16" t="e">
        <f>Sheet1!#REF!</f>
        <v>#REF!</v>
      </c>
      <c r="D15" s="16" t="e">
        <f>Sheet1!#REF!</f>
        <v>#REF!</v>
      </c>
      <c r="E15" s="16" t="e">
        <f>Sheet1!#REF!</f>
        <v>#REF!</v>
      </c>
      <c r="F15" s="16" t="e">
        <f>Sheet1!#REF!</f>
        <v>#REF!</v>
      </c>
      <c r="G15" s="16" t="e">
        <f>Sheet1!#REF!</f>
        <v>#REF!</v>
      </c>
      <c r="H15" s="16" t="e">
        <f>Sheet1!#REF!</f>
        <v>#REF!</v>
      </c>
      <c r="I15" s="16">
        <v>2</v>
      </c>
      <c r="J15" s="16">
        <v>12</v>
      </c>
      <c r="K15" s="16" t="e">
        <f>Sheet1!#REF!</f>
        <v>#REF!</v>
      </c>
      <c r="L15" s="16" t="e">
        <f>Sheet1!#REF!</f>
        <v>#REF!</v>
      </c>
      <c r="M15" s="16">
        <v>1</v>
      </c>
      <c r="N15" s="16">
        <f t="shared" ca="1" si="2"/>
        <v>1.0065968472645035</v>
      </c>
      <c r="O15" s="18" t="e">
        <f>M15*VLOOKUP($H15,Sheet4!$A$1:$B$7,2,FALSE)*Sheet4!D$2</f>
        <v>#REF!</v>
      </c>
      <c r="P15" s="18" t="e">
        <f>M15*VLOOKUP($H15,Sheet4!$A$1:$B$7,2,FALSE)*Sheet4!E$2</f>
        <v>#REF!</v>
      </c>
      <c r="Q15" s="18" t="e">
        <f>M15*VLOOKUP($H15,Sheet4!$A$1:$B$7,2,FALSE)*Sheet4!F$2</f>
        <v>#REF!</v>
      </c>
      <c r="R15" s="18" t="e">
        <f>M15*VLOOKUP($H15,Sheet4!$A$1:$B$7,2,FALSE)*Sheet4!G$2</f>
        <v>#REF!</v>
      </c>
      <c r="S15" s="18" t="e">
        <f>M15*VLOOKUP($H15,Sheet4!$A$1:$B$7,2,FALSE)*Sheet4!H$2</f>
        <v>#REF!</v>
      </c>
      <c r="T15" s="18" t="e">
        <f>M15*VLOOKUP($H15,Sheet4!$A$1:$B$7,2,FALSE)*Sheet4!I$2</f>
        <v>#REF!</v>
      </c>
      <c r="U15" s="18"/>
      <c r="V15" s="18"/>
      <c r="W15" s="18"/>
      <c r="X15" s="18"/>
      <c r="Y15" s="18"/>
      <c r="Z15" s="18"/>
      <c r="AA15" s="18" t="e">
        <f t="shared" si="3"/>
        <v>#REF!</v>
      </c>
      <c r="AB15" s="18" t="e">
        <f t="shared" ref="AB15:AB78" si="4">ROUND(P15*0.1,0)</f>
        <v>#REF!</v>
      </c>
      <c r="AC15" s="18" t="e">
        <f t="shared" ref="AC15:AC78" si="5">ROUND(Q15*0.1,0)</f>
        <v>#REF!</v>
      </c>
      <c r="AD15" s="18" t="e">
        <f t="shared" ref="AD15:AD78" si="6">ROUND(R15*0.1,0)</f>
        <v>#REF!</v>
      </c>
      <c r="AE15" s="18" t="e">
        <f t="shared" ref="AE15:AE78" si="7">ROUND(S15*0.1,0)</f>
        <v>#REF!</v>
      </c>
      <c r="AF15" s="18" t="e">
        <f t="shared" ref="AF15:AF78" si="8">ROUND(T15*0.1,0)</f>
        <v>#REF!</v>
      </c>
      <c r="AG15" s="18"/>
      <c r="AH15" s="18"/>
      <c r="AI15" s="18"/>
      <c r="AJ15" s="18"/>
      <c r="AK15" s="16" t="e">
        <f t="shared" si="1"/>
        <v>#REF!</v>
      </c>
      <c r="AL15" s="16">
        <v>10</v>
      </c>
      <c r="AM15" s="16"/>
      <c r="AN15" s="16"/>
      <c r="AO15" s="16" t="e">
        <f>Sheet1!#REF!</f>
        <v>#REF!</v>
      </c>
      <c r="AP15" s="16" t="e">
        <f>Sheet1!#REF!</f>
        <v>#REF!</v>
      </c>
      <c r="AQ15" s="16" t="e">
        <f>Sheet1!#REF!</f>
        <v>#REF!</v>
      </c>
      <c r="AR15" s="16" t="e">
        <f>Sheet1!#REF!</f>
        <v>#REF!</v>
      </c>
      <c r="AS15" s="16" t="e">
        <f>Sheet1!#REF!</f>
        <v>#REF!</v>
      </c>
      <c r="AT15" s="16" t="e">
        <f>Sheet1!#REF!</f>
        <v>#REF!</v>
      </c>
      <c r="AU15" s="16" t="e">
        <f>Sheet1!#REF!</f>
        <v>#REF!</v>
      </c>
      <c r="AV15" s="16" t="e">
        <f>Sheet1!#REF!</f>
        <v>#REF!</v>
      </c>
      <c r="AW15" s="16" t="e">
        <f>Sheet1!#REF!</f>
        <v>#REF!</v>
      </c>
    </row>
    <row r="16" spans="1:49" x14ac:dyDescent="0.15">
      <c r="A16" s="16">
        <f>Sheet1!A16</f>
        <v>1119</v>
      </c>
      <c r="B16" s="16" t="e">
        <f>Sheet1!#REF!</f>
        <v>#REF!</v>
      </c>
      <c r="C16" s="16" t="e">
        <f>Sheet1!#REF!</f>
        <v>#REF!</v>
      </c>
      <c r="D16" s="16" t="e">
        <f>Sheet1!#REF!</f>
        <v>#REF!</v>
      </c>
      <c r="E16" s="16" t="e">
        <f>Sheet1!#REF!</f>
        <v>#REF!</v>
      </c>
      <c r="F16" s="16" t="e">
        <f>Sheet1!#REF!</f>
        <v>#REF!</v>
      </c>
      <c r="G16" s="16" t="e">
        <f>Sheet1!#REF!</f>
        <v>#REF!</v>
      </c>
      <c r="H16" s="16" t="e">
        <f>Sheet1!#REF!</f>
        <v>#REF!</v>
      </c>
      <c r="I16" s="16">
        <v>2</v>
      </c>
      <c r="J16" s="16">
        <v>12</v>
      </c>
      <c r="K16" s="16" t="e">
        <f>Sheet1!#REF!</f>
        <v>#REF!</v>
      </c>
      <c r="L16" s="16" t="e">
        <f>Sheet1!#REF!</f>
        <v>#REF!</v>
      </c>
      <c r="M16" s="16">
        <v>1</v>
      </c>
      <c r="N16" s="16">
        <f ca="1">RAND()/20+0.975</f>
        <v>0.98968217238211265</v>
      </c>
      <c r="O16" s="18" t="e">
        <f>M16*VLOOKUP($H16,Sheet4!$A$1:$B$7,2,FALSE)*Sheet4!D$2</f>
        <v>#REF!</v>
      </c>
      <c r="P16" s="18" t="e">
        <f>M16*VLOOKUP($H16,Sheet4!$A$1:$B$7,2,FALSE)*Sheet4!E$2</f>
        <v>#REF!</v>
      </c>
      <c r="Q16" s="18" t="e">
        <f>M16*VLOOKUP($H16,Sheet4!$A$1:$B$7,2,FALSE)*Sheet4!F$2</f>
        <v>#REF!</v>
      </c>
      <c r="R16" s="18" t="e">
        <f>M16*VLOOKUP($H16,Sheet4!$A$1:$B$7,2,FALSE)*Sheet4!G$2</f>
        <v>#REF!</v>
      </c>
      <c r="S16" s="18" t="e">
        <f>M16*VLOOKUP($H16,Sheet4!$A$1:$B$7,2,FALSE)*Sheet4!H$2</f>
        <v>#REF!</v>
      </c>
      <c r="T16" s="18" t="e">
        <f>M16*VLOOKUP($H16,Sheet4!$A$1:$B$7,2,FALSE)*Sheet4!I$2</f>
        <v>#REF!</v>
      </c>
      <c r="U16" s="18"/>
      <c r="V16" s="18"/>
      <c r="W16" s="18"/>
      <c r="X16" s="18"/>
      <c r="Y16" s="18"/>
      <c r="Z16" s="18"/>
      <c r="AA16" s="18" t="e">
        <f t="shared" ref="AA16:AA79" si="9">ROUND(O16*0.1,0)</f>
        <v>#REF!</v>
      </c>
      <c r="AB16" s="18" t="e">
        <f t="shared" si="4"/>
        <v>#REF!</v>
      </c>
      <c r="AC16" s="18" t="e">
        <f t="shared" si="5"/>
        <v>#REF!</v>
      </c>
      <c r="AD16" s="18" t="e">
        <f t="shared" si="6"/>
        <v>#REF!</v>
      </c>
      <c r="AE16" s="18" t="e">
        <f t="shared" si="7"/>
        <v>#REF!</v>
      </c>
      <c r="AF16" s="18" t="e">
        <f t="shared" si="8"/>
        <v>#REF!</v>
      </c>
      <c r="AG16" s="18"/>
      <c r="AH16" s="18"/>
      <c r="AI16" s="18"/>
      <c r="AJ16" s="18"/>
      <c r="AK16" s="16" t="e">
        <f t="shared" si="1"/>
        <v>#REF!</v>
      </c>
      <c r="AL16" s="16">
        <v>10</v>
      </c>
      <c r="AM16" s="16"/>
      <c r="AN16" s="16"/>
      <c r="AO16" s="16" t="e">
        <f>Sheet1!#REF!</f>
        <v>#REF!</v>
      </c>
      <c r="AP16" s="16" t="e">
        <f>Sheet1!#REF!</f>
        <v>#REF!</v>
      </c>
      <c r="AQ16" s="16" t="e">
        <f>Sheet1!#REF!</f>
        <v>#REF!</v>
      </c>
      <c r="AR16" s="16" t="e">
        <f>Sheet1!#REF!</f>
        <v>#REF!</v>
      </c>
      <c r="AS16" s="16" t="e">
        <f>Sheet1!#REF!</f>
        <v>#REF!</v>
      </c>
      <c r="AT16" s="16" t="e">
        <f>Sheet1!#REF!</f>
        <v>#REF!</v>
      </c>
      <c r="AU16" s="16" t="e">
        <f>Sheet1!#REF!</f>
        <v>#REF!</v>
      </c>
      <c r="AV16" s="16" t="e">
        <f>Sheet1!#REF!</f>
        <v>#REF!</v>
      </c>
      <c r="AW16" s="16" t="e">
        <f>Sheet1!#REF!</f>
        <v>#REF!</v>
      </c>
    </row>
    <row r="17" spans="1:49" x14ac:dyDescent="0.15">
      <c r="A17" s="16">
        <f>Sheet1!A17</f>
        <v>1105</v>
      </c>
      <c r="B17" s="16" t="e">
        <f>Sheet1!#REF!</f>
        <v>#REF!</v>
      </c>
      <c r="C17" s="16" t="e">
        <f>Sheet1!#REF!</f>
        <v>#REF!</v>
      </c>
      <c r="D17" s="16" t="e">
        <f>Sheet1!#REF!</f>
        <v>#REF!</v>
      </c>
      <c r="E17" s="16" t="e">
        <f>Sheet1!#REF!</f>
        <v>#REF!</v>
      </c>
      <c r="F17" s="16" t="e">
        <f>Sheet1!#REF!</f>
        <v>#REF!</v>
      </c>
      <c r="G17" s="16" t="e">
        <f>Sheet1!#REF!</f>
        <v>#REF!</v>
      </c>
      <c r="H17" s="16" t="e">
        <f>Sheet1!#REF!</f>
        <v>#REF!</v>
      </c>
      <c r="I17" s="16">
        <v>10</v>
      </c>
      <c r="J17" s="16">
        <v>12</v>
      </c>
      <c r="K17" s="16" t="e">
        <f>Sheet1!#REF!</f>
        <v>#REF!</v>
      </c>
      <c r="L17" s="16" t="e">
        <f>Sheet1!#REF!</f>
        <v>#REF!</v>
      </c>
      <c r="M17" s="16">
        <v>1</v>
      </c>
      <c r="N17" s="16">
        <f t="shared" ca="1" si="2"/>
        <v>0.98515972187324696</v>
      </c>
      <c r="O17" s="18" t="e">
        <f>M17*VLOOKUP($H17,Sheet4!$A$1:$B$7,2,FALSE)*Sheet4!D$2</f>
        <v>#REF!</v>
      </c>
      <c r="P17" s="18" t="e">
        <f>M17*VLOOKUP($H17,Sheet4!$A$1:$B$7,2,FALSE)*Sheet4!E$2</f>
        <v>#REF!</v>
      </c>
      <c r="Q17" s="18" t="e">
        <f>M17*VLOOKUP($H17,Sheet4!$A$1:$B$7,2,FALSE)*Sheet4!F$2</f>
        <v>#REF!</v>
      </c>
      <c r="R17" s="18" t="e">
        <f>M17*VLOOKUP($H17,Sheet4!$A$1:$B$7,2,FALSE)*Sheet4!G$2</f>
        <v>#REF!</v>
      </c>
      <c r="S17" s="18" t="e">
        <f>M17*VLOOKUP($H17,Sheet4!$A$1:$B$7,2,FALSE)*Sheet4!H$2</f>
        <v>#REF!</v>
      </c>
      <c r="T17" s="18" t="e">
        <f>M17*VLOOKUP($H17,Sheet4!$A$1:$B$7,2,FALSE)*Sheet4!I$2</f>
        <v>#REF!</v>
      </c>
      <c r="U17" s="18"/>
      <c r="V17" s="18"/>
      <c r="W17" s="18"/>
      <c r="X17" s="18"/>
      <c r="Y17" s="18"/>
      <c r="Z17" s="18"/>
      <c r="AA17" s="18" t="e">
        <f t="shared" si="9"/>
        <v>#REF!</v>
      </c>
      <c r="AB17" s="18" t="e">
        <f t="shared" si="4"/>
        <v>#REF!</v>
      </c>
      <c r="AC17" s="18" t="e">
        <f t="shared" si="5"/>
        <v>#REF!</v>
      </c>
      <c r="AD17" s="18" t="e">
        <f t="shared" si="6"/>
        <v>#REF!</v>
      </c>
      <c r="AE17" s="18" t="e">
        <f t="shared" si="7"/>
        <v>#REF!</v>
      </c>
      <c r="AF17" s="18" t="e">
        <f t="shared" si="8"/>
        <v>#REF!</v>
      </c>
      <c r="AG17" s="18"/>
      <c r="AH17" s="18"/>
      <c r="AI17" s="18"/>
      <c r="AJ17" s="18"/>
      <c r="AK17" s="16" t="e">
        <f t="shared" si="1"/>
        <v>#REF!</v>
      </c>
      <c r="AL17" s="16">
        <v>10</v>
      </c>
      <c r="AM17" s="16"/>
      <c r="AN17" s="16"/>
      <c r="AO17" s="16" t="e">
        <f>Sheet1!#REF!</f>
        <v>#REF!</v>
      </c>
      <c r="AP17" s="16" t="e">
        <f>Sheet1!#REF!</f>
        <v>#REF!</v>
      </c>
      <c r="AQ17" s="16" t="e">
        <f>Sheet1!#REF!</f>
        <v>#REF!</v>
      </c>
      <c r="AR17" s="16" t="e">
        <f>Sheet1!#REF!</f>
        <v>#REF!</v>
      </c>
      <c r="AS17" s="16" t="e">
        <f>Sheet1!#REF!</f>
        <v>#REF!</v>
      </c>
      <c r="AT17" s="16" t="e">
        <f>Sheet1!#REF!</f>
        <v>#REF!</v>
      </c>
      <c r="AU17" s="16" t="e">
        <f>Sheet1!#REF!</f>
        <v>#REF!</v>
      </c>
      <c r="AV17" s="16" t="e">
        <f>Sheet1!#REF!</f>
        <v>#REF!</v>
      </c>
      <c r="AW17" s="16" t="e">
        <f>Sheet1!#REF!</f>
        <v>#REF!</v>
      </c>
    </row>
    <row r="18" spans="1:49" x14ac:dyDescent="0.15">
      <c r="A18" s="16">
        <f>Sheet1!A18</f>
        <v>1218</v>
      </c>
      <c r="B18" s="16" t="e">
        <f>Sheet1!#REF!</f>
        <v>#REF!</v>
      </c>
      <c r="C18" s="16" t="e">
        <f>Sheet1!#REF!</f>
        <v>#REF!</v>
      </c>
      <c r="D18" s="16" t="e">
        <f>Sheet1!#REF!</f>
        <v>#REF!</v>
      </c>
      <c r="E18" s="16" t="e">
        <f>Sheet1!#REF!</f>
        <v>#REF!</v>
      </c>
      <c r="F18" s="16" t="e">
        <f>Sheet1!#REF!</f>
        <v>#REF!</v>
      </c>
      <c r="G18" s="16" t="e">
        <f>Sheet1!#REF!</f>
        <v>#REF!</v>
      </c>
      <c r="H18" s="16" t="e">
        <f>Sheet1!#REF!</f>
        <v>#REF!</v>
      </c>
      <c r="I18" s="16">
        <v>10</v>
      </c>
      <c r="J18" s="16">
        <v>12</v>
      </c>
      <c r="K18" s="16" t="e">
        <f>Sheet1!#REF!</f>
        <v>#REF!</v>
      </c>
      <c r="L18" s="16" t="e">
        <f>Sheet1!#REF!</f>
        <v>#REF!</v>
      </c>
      <c r="M18" s="16">
        <v>1</v>
      </c>
      <c r="N18" s="16">
        <f t="shared" ca="1" si="2"/>
        <v>1.0207239880578995</v>
      </c>
      <c r="O18" s="18" t="e">
        <f>M18*VLOOKUP($H18,Sheet4!$A$1:$B$7,2,FALSE)*Sheet4!D$2</f>
        <v>#REF!</v>
      </c>
      <c r="P18" s="18" t="e">
        <f>M18*VLOOKUP($H18,Sheet4!$A$1:$B$7,2,FALSE)*Sheet4!E$2</f>
        <v>#REF!</v>
      </c>
      <c r="Q18" s="18" t="e">
        <f>M18*VLOOKUP($H18,Sheet4!$A$1:$B$7,2,FALSE)*Sheet4!F$2</f>
        <v>#REF!</v>
      </c>
      <c r="R18" s="18" t="e">
        <f>M18*VLOOKUP($H18,Sheet4!$A$1:$B$7,2,FALSE)*Sheet4!G$2</f>
        <v>#REF!</v>
      </c>
      <c r="S18" s="18" t="e">
        <f>M18*VLOOKUP($H18,Sheet4!$A$1:$B$7,2,FALSE)*Sheet4!H$2</f>
        <v>#REF!</v>
      </c>
      <c r="T18" s="18" t="e">
        <f>M18*VLOOKUP($H18,Sheet4!$A$1:$B$7,2,FALSE)*Sheet4!I$2</f>
        <v>#REF!</v>
      </c>
      <c r="U18" s="18"/>
      <c r="V18" s="18"/>
      <c r="W18" s="18"/>
      <c r="X18" s="18"/>
      <c r="Y18" s="18"/>
      <c r="Z18" s="18"/>
      <c r="AA18" s="18" t="e">
        <f t="shared" si="9"/>
        <v>#REF!</v>
      </c>
      <c r="AB18" s="18" t="e">
        <f t="shared" si="4"/>
        <v>#REF!</v>
      </c>
      <c r="AC18" s="18" t="e">
        <f t="shared" si="5"/>
        <v>#REF!</v>
      </c>
      <c r="AD18" s="18" t="e">
        <f t="shared" si="6"/>
        <v>#REF!</v>
      </c>
      <c r="AE18" s="18" t="e">
        <f t="shared" si="7"/>
        <v>#REF!</v>
      </c>
      <c r="AF18" s="18" t="e">
        <f t="shared" si="8"/>
        <v>#REF!</v>
      </c>
      <c r="AG18" s="18"/>
      <c r="AH18" s="18"/>
      <c r="AI18" s="18"/>
      <c r="AJ18" s="18"/>
      <c r="AK18" s="16" t="e">
        <f t="shared" si="1"/>
        <v>#REF!</v>
      </c>
      <c r="AL18" s="16">
        <v>10</v>
      </c>
      <c r="AM18" s="16"/>
      <c r="AN18" s="16"/>
      <c r="AO18" s="16" t="e">
        <f>Sheet1!#REF!</f>
        <v>#REF!</v>
      </c>
      <c r="AP18" s="16" t="e">
        <f>Sheet1!#REF!</f>
        <v>#REF!</v>
      </c>
      <c r="AQ18" s="16" t="e">
        <f>Sheet1!#REF!</f>
        <v>#REF!</v>
      </c>
      <c r="AR18" s="16" t="e">
        <f>Sheet1!#REF!</f>
        <v>#REF!</v>
      </c>
      <c r="AS18" s="16" t="e">
        <f>Sheet1!#REF!</f>
        <v>#REF!</v>
      </c>
      <c r="AT18" s="16" t="e">
        <f>Sheet1!#REF!</f>
        <v>#REF!</v>
      </c>
      <c r="AU18" s="16" t="e">
        <f>Sheet1!#REF!</f>
        <v>#REF!</v>
      </c>
      <c r="AV18" s="16" t="e">
        <f>Sheet1!#REF!</f>
        <v>#REF!</v>
      </c>
      <c r="AW18" s="16" t="e">
        <f>Sheet1!#REF!</f>
        <v>#REF!</v>
      </c>
    </row>
    <row r="19" spans="1:49" x14ac:dyDescent="0.15">
      <c r="A19" s="16">
        <f>Sheet1!A19</f>
        <v>1124</v>
      </c>
      <c r="B19" s="16" t="e">
        <f>Sheet1!#REF!</f>
        <v>#REF!</v>
      </c>
      <c r="C19" s="16" t="e">
        <f>Sheet1!#REF!</f>
        <v>#REF!</v>
      </c>
      <c r="D19" s="16" t="e">
        <f>Sheet1!#REF!</f>
        <v>#REF!</v>
      </c>
      <c r="E19" s="16" t="e">
        <f>Sheet1!#REF!</f>
        <v>#REF!</v>
      </c>
      <c r="F19" s="16" t="e">
        <f>Sheet1!#REF!</f>
        <v>#REF!</v>
      </c>
      <c r="G19" s="16" t="e">
        <f>Sheet1!#REF!</f>
        <v>#REF!</v>
      </c>
      <c r="H19" s="16" t="e">
        <f>Sheet1!#REF!</f>
        <v>#REF!</v>
      </c>
      <c r="I19" s="16">
        <v>2</v>
      </c>
      <c r="J19" s="16">
        <v>12</v>
      </c>
      <c r="K19" s="16" t="e">
        <f>Sheet1!#REF!</f>
        <v>#REF!</v>
      </c>
      <c r="L19" s="16" t="e">
        <f>Sheet1!#REF!</f>
        <v>#REF!</v>
      </c>
      <c r="M19" s="16">
        <v>1</v>
      </c>
      <c r="N19" s="16">
        <f t="shared" ca="1" si="2"/>
        <v>1.0051541876765917</v>
      </c>
      <c r="O19" s="18" t="e">
        <f>M19*VLOOKUP($H19,Sheet4!$A$1:$B$7,2,FALSE)*Sheet4!D$2</f>
        <v>#REF!</v>
      </c>
      <c r="P19" s="18" t="e">
        <f>M19*VLOOKUP($H19,Sheet4!$A$1:$B$7,2,FALSE)*Sheet4!E$2</f>
        <v>#REF!</v>
      </c>
      <c r="Q19" s="18" t="e">
        <f>M19*VLOOKUP($H19,Sheet4!$A$1:$B$7,2,FALSE)*Sheet4!F$2</f>
        <v>#REF!</v>
      </c>
      <c r="R19" s="18" t="e">
        <f>M19*VLOOKUP($H19,Sheet4!$A$1:$B$7,2,FALSE)*Sheet4!G$2</f>
        <v>#REF!</v>
      </c>
      <c r="S19" s="18" t="e">
        <f>M19*VLOOKUP($H19,Sheet4!$A$1:$B$7,2,FALSE)*Sheet4!H$2</f>
        <v>#REF!</v>
      </c>
      <c r="T19" s="18" t="e">
        <f>M19*VLOOKUP($H19,Sheet4!$A$1:$B$7,2,FALSE)*Sheet4!I$2</f>
        <v>#REF!</v>
      </c>
      <c r="U19" s="18"/>
      <c r="V19" s="18"/>
      <c r="W19" s="18"/>
      <c r="X19" s="18"/>
      <c r="Y19" s="18"/>
      <c r="Z19" s="18"/>
      <c r="AA19" s="18" t="e">
        <f t="shared" si="9"/>
        <v>#REF!</v>
      </c>
      <c r="AB19" s="18" t="e">
        <f t="shared" si="4"/>
        <v>#REF!</v>
      </c>
      <c r="AC19" s="18" t="e">
        <f t="shared" si="5"/>
        <v>#REF!</v>
      </c>
      <c r="AD19" s="18" t="e">
        <f t="shared" si="6"/>
        <v>#REF!</v>
      </c>
      <c r="AE19" s="18" t="e">
        <f t="shared" si="7"/>
        <v>#REF!</v>
      </c>
      <c r="AF19" s="18" t="e">
        <f t="shared" si="8"/>
        <v>#REF!</v>
      </c>
      <c r="AG19" s="18"/>
      <c r="AH19" s="18"/>
      <c r="AI19" s="18"/>
      <c r="AJ19" s="18"/>
      <c r="AK19" s="16" t="e">
        <f t="shared" si="1"/>
        <v>#REF!</v>
      </c>
      <c r="AL19" s="16">
        <v>10</v>
      </c>
      <c r="AM19" s="16"/>
      <c r="AN19" s="16"/>
      <c r="AO19" s="16" t="e">
        <f>Sheet1!#REF!</f>
        <v>#REF!</v>
      </c>
      <c r="AP19" s="16" t="e">
        <f>Sheet1!#REF!</f>
        <v>#REF!</v>
      </c>
      <c r="AQ19" s="16" t="e">
        <f>Sheet1!#REF!</f>
        <v>#REF!</v>
      </c>
      <c r="AR19" s="16" t="e">
        <f>Sheet1!#REF!</f>
        <v>#REF!</v>
      </c>
      <c r="AS19" s="16" t="e">
        <f>Sheet1!#REF!</f>
        <v>#REF!</v>
      </c>
      <c r="AT19" s="16" t="e">
        <f>Sheet1!#REF!</f>
        <v>#REF!</v>
      </c>
      <c r="AU19" s="16" t="e">
        <f>Sheet1!#REF!</f>
        <v>#REF!</v>
      </c>
      <c r="AV19" s="16" t="e">
        <f>Sheet1!#REF!</f>
        <v>#REF!</v>
      </c>
      <c r="AW19" s="16" t="e">
        <f>Sheet1!#REF!</f>
        <v>#REF!</v>
      </c>
    </row>
    <row r="20" spans="1:49" x14ac:dyDescent="0.15">
      <c r="A20" s="16">
        <f>Sheet1!A20</f>
        <v>1126</v>
      </c>
      <c r="B20" s="16" t="e">
        <f>Sheet1!#REF!</f>
        <v>#REF!</v>
      </c>
      <c r="C20" s="16" t="e">
        <f>Sheet1!#REF!</f>
        <v>#REF!</v>
      </c>
      <c r="D20" s="16" t="e">
        <f>Sheet1!#REF!</f>
        <v>#REF!</v>
      </c>
      <c r="E20" s="16" t="e">
        <f>Sheet1!#REF!</f>
        <v>#REF!</v>
      </c>
      <c r="F20" s="16" t="e">
        <f>Sheet1!#REF!</f>
        <v>#REF!</v>
      </c>
      <c r="G20" s="16" t="e">
        <f>Sheet1!#REF!</f>
        <v>#REF!</v>
      </c>
      <c r="H20" s="16" t="e">
        <f>Sheet1!#REF!</f>
        <v>#REF!</v>
      </c>
      <c r="I20" s="16">
        <v>10</v>
      </c>
      <c r="J20" s="16">
        <v>12</v>
      </c>
      <c r="K20" s="16" t="e">
        <f>Sheet1!#REF!</f>
        <v>#REF!</v>
      </c>
      <c r="L20" s="16" t="e">
        <f>Sheet1!#REF!</f>
        <v>#REF!</v>
      </c>
      <c r="M20" s="16">
        <v>1</v>
      </c>
      <c r="N20" s="16">
        <f t="shared" ca="1" si="2"/>
        <v>0.9884714397709583</v>
      </c>
      <c r="O20" s="18" t="e">
        <f>M20*VLOOKUP($H20,Sheet4!$A$1:$B$7,2,FALSE)*Sheet4!D$2</f>
        <v>#REF!</v>
      </c>
      <c r="P20" s="18" t="e">
        <f>M20*VLOOKUP($H20,Sheet4!$A$1:$B$7,2,FALSE)*Sheet4!E$2</f>
        <v>#REF!</v>
      </c>
      <c r="Q20" s="18" t="e">
        <f>M20*VLOOKUP($H20,Sheet4!$A$1:$B$7,2,FALSE)*Sheet4!F$2</f>
        <v>#REF!</v>
      </c>
      <c r="R20" s="18" t="e">
        <f>M20*VLOOKUP($H20,Sheet4!$A$1:$B$7,2,FALSE)*Sheet4!G$2</f>
        <v>#REF!</v>
      </c>
      <c r="S20" s="18" t="e">
        <f>M20*VLOOKUP($H20,Sheet4!$A$1:$B$7,2,FALSE)*Sheet4!H$2</f>
        <v>#REF!</v>
      </c>
      <c r="T20" s="18" t="e">
        <f>M20*VLOOKUP($H20,Sheet4!$A$1:$B$7,2,FALSE)*Sheet4!I$2</f>
        <v>#REF!</v>
      </c>
      <c r="U20" s="18"/>
      <c r="V20" s="18"/>
      <c r="W20" s="18"/>
      <c r="X20" s="18"/>
      <c r="Y20" s="18"/>
      <c r="Z20" s="18"/>
      <c r="AA20" s="18" t="e">
        <f t="shared" si="9"/>
        <v>#REF!</v>
      </c>
      <c r="AB20" s="18" t="e">
        <f t="shared" si="4"/>
        <v>#REF!</v>
      </c>
      <c r="AC20" s="18" t="e">
        <f t="shared" si="5"/>
        <v>#REF!</v>
      </c>
      <c r="AD20" s="18" t="e">
        <f t="shared" si="6"/>
        <v>#REF!</v>
      </c>
      <c r="AE20" s="18" t="e">
        <f t="shared" si="7"/>
        <v>#REF!</v>
      </c>
      <c r="AF20" s="18" t="e">
        <f t="shared" si="8"/>
        <v>#REF!</v>
      </c>
      <c r="AG20" s="18"/>
      <c r="AH20" s="18"/>
      <c r="AI20" s="18"/>
      <c r="AJ20" s="18"/>
      <c r="AK20" s="16" t="e">
        <f t="shared" si="1"/>
        <v>#REF!</v>
      </c>
      <c r="AL20" s="16">
        <v>10</v>
      </c>
      <c r="AM20" s="16"/>
      <c r="AN20" s="16"/>
      <c r="AO20" s="16" t="e">
        <f>Sheet1!#REF!</f>
        <v>#REF!</v>
      </c>
      <c r="AP20" s="16" t="e">
        <f>Sheet1!#REF!</f>
        <v>#REF!</v>
      </c>
      <c r="AQ20" s="16" t="e">
        <f>Sheet1!#REF!</f>
        <v>#REF!</v>
      </c>
      <c r="AR20" s="16" t="e">
        <f>Sheet1!#REF!</f>
        <v>#REF!</v>
      </c>
      <c r="AS20" s="16" t="e">
        <f>Sheet1!#REF!</f>
        <v>#REF!</v>
      </c>
      <c r="AT20" s="16" t="e">
        <f>Sheet1!#REF!</f>
        <v>#REF!</v>
      </c>
      <c r="AU20" s="16" t="e">
        <f>Sheet1!#REF!</f>
        <v>#REF!</v>
      </c>
      <c r="AV20" s="16" t="e">
        <f>Sheet1!#REF!</f>
        <v>#REF!</v>
      </c>
      <c r="AW20" s="16" t="e">
        <f>Sheet1!#REF!</f>
        <v>#REF!</v>
      </c>
    </row>
    <row r="21" spans="1:49" x14ac:dyDescent="0.15">
      <c r="A21" s="16">
        <f>Sheet1!A21</f>
        <v>1213</v>
      </c>
      <c r="B21" s="16" t="e">
        <f>Sheet1!#REF!</f>
        <v>#REF!</v>
      </c>
      <c r="C21" s="16" t="e">
        <f>Sheet1!#REF!</f>
        <v>#REF!</v>
      </c>
      <c r="D21" s="16" t="e">
        <f>Sheet1!#REF!</f>
        <v>#REF!</v>
      </c>
      <c r="E21" s="16" t="e">
        <f>Sheet1!#REF!</f>
        <v>#REF!</v>
      </c>
      <c r="F21" s="16" t="e">
        <f>Sheet1!#REF!</f>
        <v>#REF!</v>
      </c>
      <c r="G21" s="16" t="e">
        <f>Sheet1!#REF!</f>
        <v>#REF!</v>
      </c>
      <c r="H21" s="16" t="e">
        <f>Sheet1!#REF!</f>
        <v>#REF!</v>
      </c>
      <c r="I21" s="16">
        <v>2</v>
      </c>
      <c r="J21" s="16">
        <v>12</v>
      </c>
      <c r="K21" s="16" t="e">
        <f>Sheet1!#REF!</f>
        <v>#REF!</v>
      </c>
      <c r="L21" s="16" t="e">
        <f>Sheet1!#REF!</f>
        <v>#REF!</v>
      </c>
      <c r="M21" s="16">
        <v>1</v>
      </c>
      <c r="N21" s="16">
        <f t="shared" ca="1" si="2"/>
        <v>0.9835910831764435</v>
      </c>
      <c r="O21" s="18" t="e">
        <f>M21*VLOOKUP($H21,Sheet4!$A$1:$B$7,2,FALSE)*Sheet4!D$2</f>
        <v>#REF!</v>
      </c>
      <c r="P21" s="18" t="e">
        <f>M21*VLOOKUP($H21,Sheet4!$A$1:$B$7,2,FALSE)*Sheet4!E$2</f>
        <v>#REF!</v>
      </c>
      <c r="Q21" s="18" t="e">
        <f>M21*VLOOKUP($H21,Sheet4!$A$1:$B$7,2,FALSE)*Sheet4!F$2</f>
        <v>#REF!</v>
      </c>
      <c r="R21" s="18" t="e">
        <f>M21*VLOOKUP($H21,Sheet4!$A$1:$B$7,2,FALSE)*Sheet4!G$2</f>
        <v>#REF!</v>
      </c>
      <c r="S21" s="18" t="e">
        <f>M21*VLOOKUP($H21,Sheet4!$A$1:$B$7,2,FALSE)*Sheet4!H$2</f>
        <v>#REF!</v>
      </c>
      <c r="T21" s="18" t="e">
        <f>M21*VLOOKUP($H21,Sheet4!$A$1:$B$7,2,FALSE)*Sheet4!I$2</f>
        <v>#REF!</v>
      </c>
      <c r="U21" s="18"/>
      <c r="V21" s="18"/>
      <c r="W21" s="18"/>
      <c r="X21" s="18"/>
      <c r="Y21" s="18"/>
      <c r="Z21" s="18"/>
      <c r="AA21" s="18" t="e">
        <f t="shared" si="9"/>
        <v>#REF!</v>
      </c>
      <c r="AB21" s="18" t="e">
        <f t="shared" si="4"/>
        <v>#REF!</v>
      </c>
      <c r="AC21" s="18" t="e">
        <f t="shared" si="5"/>
        <v>#REF!</v>
      </c>
      <c r="AD21" s="18" t="e">
        <f t="shared" si="6"/>
        <v>#REF!</v>
      </c>
      <c r="AE21" s="18" t="e">
        <f t="shared" si="7"/>
        <v>#REF!</v>
      </c>
      <c r="AF21" s="18" t="e">
        <f t="shared" si="8"/>
        <v>#REF!</v>
      </c>
      <c r="AG21" s="18"/>
      <c r="AH21" s="18"/>
      <c r="AI21" s="18"/>
      <c r="AJ21" s="18"/>
      <c r="AK21" s="16" t="e">
        <f t="shared" si="1"/>
        <v>#REF!</v>
      </c>
      <c r="AL21" s="16">
        <v>10</v>
      </c>
      <c r="AM21" s="16"/>
      <c r="AN21" s="16"/>
      <c r="AO21" s="16" t="e">
        <f>Sheet1!#REF!</f>
        <v>#REF!</v>
      </c>
      <c r="AP21" s="16" t="e">
        <f>Sheet1!#REF!</f>
        <v>#REF!</v>
      </c>
      <c r="AQ21" s="16" t="e">
        <f>Sheet1!#REF!</f>
        <v>#REF!</v>
      </c>
      <c r="AR21" s="16" t="e">
        <f>Sheet1!#REF!</f>
        <v>#REF!</v>
      </c>
      <c r="AS21" s="16" t="e">
        <f>Sheet1!#REF!</f>
        <v>#REF!</v>
      </c>
      <c r="AT21" s="16" t="e">
        <f>Sheet1!#REF!</f>
        <v>#REF!</v>
      </c>
      <c r="AU21" s="16" t="e">
        <f>Sheet1!#REF!</f>
        <v>#REF!</v>
      </c>
      <c r="AV21" s="16" t="e">
        <f>Sheet1!#REF!</f>
        <v>#REF!</v>
      </c>
      <c r="AW21" s="16" t="e">
        <f>Sheet1!#REF!</f>
        <v>#REF!</v>
      </c>
    </row>
    <row r="22" spans="1:49" x14ac:dyDescent="0.15">
      <c r="A22" s="16">
        <f>Sheet1!A22</f>
        <v>1214</v>
      </c>
      <c r="B22" s="16" t="e">
        <f>Sheet1!#REF!</f>
        <v>#REF!</v>
      </c>
      <c r="C22" s="16" t="e">
        <f>Sheet1!#REF!</f>
        <v>#REF!</v>
      </c>
      <c r="D22" s="16" t="e">
        <f>Sheet1!#REF!</f>
        <v>#REF!</v>
      </c>
      <c r="E22" s="16" t="e">
        <f>Sheet1!#REF!</f>
        <v>#REF!</v>
      </c>
      <c r="F22" s="16" t="e">
        <f>Sheet1!#REF!</f>
        <v>#REF!</v>
      </c>
      <c r="G22" s="16" t="e">
        <f>Sheet1!#REF!</f>
        <v>#REF!</v>
      </c>
      <c r="H22" s="16" t="e">
        <f>Sheet1!#REF!</f>
        <v>#REF!</v>
      </c>
      <c r="I22" s="16">
        <v>10</v>
      </c>
      <c r="J22" s="16">
        <v>12</v>
      </c>
      <c r="K22" s="16" t="e">
        <f>Sheet1!#REF!</f>
        <v>#REF!</v>
      </c>
      <c r="L22" s="16" t="e">
        <f>Sheet1!#REF!</f>
        <v>#REF!</v>
      </c>
      <c r="M22" s="16">
        <v>1</v>
      </c>
      <c r="N22" s="16">
        <f t="shared" ca="1" si="2"/>
        <v>0.97987144823513594</v>
      </c>
      <c r="O22" s="18" t="e">
        <f>M22*VLOOKUP($H22,Sheet4!$A$1:$B$7,2,FALSE)*Sheet4!D$2</f>
        <v>#REF!</v>
      </c>
      <c r="P22" s="18" t="e">
        <f>M22*VLOOKUP($H22,Sheet4!$A$1:$B$7,2,FALSE)*Sheet4!E$2</f>
        <v>#REF!</v>
      </c>
      <c r="Q22" s="18" t="e">
        <f>M22*VLOOKUP($H22,Sheet4!$A$1:$B$7,2,FALSE)*Sheet4!F$2</f>
        <v>#REF!</v>
      </c>
      <c r="R22" s="18" t="e">
        <f>M22*VLOOKUP($H22,Sheet4!$A$1:$B$7,2,FALSE)*Sheet4!G$2</f>
        <v>#REF!</v>
      </c>
      <c r="S22" s="18" t="e">
        <f>M22*VLOOKUP($H22,Sheet4!$A$1:$B$7,2,FALSE)*Sheet4!H$2</f>
        <v>#REF!</v>
      </c>
      <c r="T22" s="18" t="e">
        <f>M22*VLOOKUP($H22,Sheet4!$A$1:$B$7,2,FALSE)*Sheet4!I$2</f>
        <v>#REF!</v>
      </c>
      <c r="U22" s="18"/>
      <c r="V22" s="18"/>
      <c r="W22" s="18"/>
      <c r="X22" s="18"/>
      <c r="Y22" s="18"/>
      <c r="Z22" s="18"/>
      <c r="AA22" s="18" t="e">
        <f t="shared" si="9"/>
        <v>#REF!</v>
      </c>
      <c r="AB22" s="18" t="e">
        <f t="shared" si="4"/>
        <v>#REF!</v>
      </c>
      <c r="AC22" s="18" t="e">
        <f t="shared" si="5"/>
        <v>#REF!</v>
      </c>
      <c r="AD22" s="18" t="e">
        <f t="shared" si="6"/>
        <v>#REF!</v>
      </c>
      <c r="AE22" s="18" t="e">
        <f t="shared" si="7"/>
        <v>#REF!</v>
      </c>
      <c r="AF22" s="18" t="e">
        <f t="shared" si="8"/>
        <v>#REF!</v>
      </c>
      <c r="AG22" s="18"/>
      <c r="AH22" s="18"/>
      <c r="AI22" s="18"/>
      <c r="AJ22" s="18"/>
      <c r="AK22" s="16" t="e">
        <f t="shared" si="1"/>
        <v>#REF!</v>
      </c>
      <c r="AL22" s="16">
        <v>10</v>
      </c>
      <c r="AM22" s="16"/>
      <c r="AN22" s="16"/>
      <c r="AO22" s="16" t="e">
        <f>Sheet1!#REF!</f>
        <v>#REF!</v>
      </c>
      <c r="AP22" s="16" t="e">
        <f>Sheet1!#REF!</f>
        <v>#REF!</v>
      </c>
      <c r="AQ22" s="16" t="e">
        <f>Sheet1!#REF!</f>
        <v>#REF!</v>
      </c>
      <c r="AR22" s="16" t="e">
        <f>Sheet1!#REF!</f>
        <v>#REF!</v>
      </c>
      <c r="AS22" s="16" t="e">
        <f>Sheet1!#REF!</f>
        <v>#REF!</v>
      </c>
      <c r="AT22" s="16" t="e">
        <f>Sheet1!#REF!</f>
        <v>#REF!</v>
      </c>
      <c r="AU22" s="16" t="e">
        <f>Sheet1!#REF!</f>
        <v>#REF!</v>
      </c>
      <c r="AV22" s="16" t="e">
        <f>Sheet1!#REF!</f>
        <v>#REF!</v>
      </c>
      <c r="AW22" s="16" t="e">
        <f>Sheet1!#REF!</f>
        <v>#REF!</v>
      </c>
    </row>
    <row r="23" spans="1:49" x14ac:dyDescent="0.15">
      <c r="A23" s="16">
        <f>Sheet1!A23</f>
        <v>1103</v>
      </c>
      <c r="B23" s="16" t="e">
        <f>Sheet1!#REF!</f>
        <v>#REF!</v>
      </c>
      <c r="C23" s="16" t="e">
        <f>Sheet1!#REF!</f>
        <v>#REF!</v>
      </c>
      <c r="D23" s="16" t="e">
        <f>Sheet1!#REF!</f>
        <v>#REF!</v>
      </c>
      <c r="E23" s="16" t="e">
        <f>Sheet1!#REF!</f>
        <v>#REF!</v>
      </c>
      <c r="F23" s="16" t="e">
        <f>Sheet1!#REF!</f>
        <v>#REF!</v>
      </c>
      <c r="G23" s="16" t="e">
        <f>Sheet1!#REF!</f>
        <v>#REF!</v>
      </c>
      <c r="H23" s="16" t="e">
        <f>Sheet1!#REF!</f>
        <v>#REF!</v>
      </c>
      <c r="I23" s="16">
        <v>10</v>
      </c>
      <c r="J23" s="16">
        <v>12</v>
      </c>
      <c r="K23" s="16" t="e">
        <f>Sheet1!#REF!</f>
        <v>#REF!</v>
      </c>
      <c r="L23" s="16" t="e">
        <f>Sheet1!#REF!</f>
        <v>#REF!</v>
      </c>
      <c r="M23" s="16">
        <v>1</v>
      </c>
      <c r="N23" s="16">
        <f t="shared" ca="1" si="2"/>
        <v>1.0243523295023711</v>
      </c>
      <c r="O23" s="18" t="e">
        <f>M23*VLOOKUP($H23,Sheet4!$A$1:$B$7,2,FALSE)*Sheet4!D$2</f>
        <v>#REF!</v>
      </c>
      <c r="P23" s="18" t="e">
        <f>M23*VLOOKUP($H23,Sheet4!$A$1:$B$7,2,FALSE)*Sheet4!E$2</f>
        <v>#REF!</v>
      </c>
      <c r="Q23" s="18" t="e">
        <f>M23*VLOOKUP($H23,Sheet4!$A$1:$B$7,2,FALSE)*Sheet4!F$2</f>
        <v>#REF!</v>
      </c>
      <c r="R23" s="18" t="e">
        <f>M23*VLOOKUP($H23,Sheet4!$A$1:$B$7,2,FALSE)*Sheet4!G$2</f>
        <v>#REF!</v>
      </c>
      <c r="S23" s="18" t="e">
        <f>M23*VLOOKUP($H23,Sheet4!$A$1:$B$7,2,FALSE)*Sheet4!H$2</f>
        <v>#REF!</v>
      </c>
      <c r="T23" s="18" t="e">
        <f>M23*VLOOKUP($H23,Sheet4!$A$1:$B$7,2,FALSE)*Sheet4!I$2</f>
        <v>#REF!</v>
      </c>
      <c r="U23" s="18"/>
      <c r="V23" s="18"/>
      <c r="W23" s="18"/>
      <c r="X23" s="18"/>
      <c r="Y23" s="18"/>
      <c r="Z23" s="18"/>
      <c r="AA23" s="18" t="e">
        <f t="shared" si="9"/>
        <v>#REF!</v>
      </c>
      <c r="AB23" s="18" t="e">
        <f t="shared" si="4"/>
        <v>#REF!</v>
      </c>
      <c r="AC23" s="18" t="e">
        <f t="shared" si="5"/>
        <v>#REF!</v>
      </c>
      <c r="AD23" s="18" t="e">
        <f t="shared" si="6"/>
        <v>#REF!</v>
      </c>
      <c r="AE23" s="18" t="e">
        <f t="shared" si="7"/>
        <v>#REF!</v>
      </c>
      <c r="AF23" s="18" t="e">
        <f t="shared" si="8"/>
        <v>#REF!</v>
      </c>
      <c r="AG23" s="18"/>
      <c r="AH23" s="18"/>
      <c r="AI23" s="18"/>
      <c r="AJ23" s="18"/>
      <c r="AK23" s="16" t="e">
        <f t="shared" si="1"/>
        <v>#REF!</v>
      </c>
      <c r="AL23" s="16">
        <v>10</v>
      </c>
      <c r="AM23" s="16"/>
      <c r="AN23" s="16"/>
      <c r="AO23" s="16" t="e">
        <f>Sheet1!#REF!</f>
        <v>#REF!</v>
      </c>
      <c r="AP23" s="16" t="e">
        <f>Sheet1!#REF!</f>
        <v>#REF!</v>
      </c>
      <c r="AQ23" s="16" t="e">
        <f>Sheet1!#REF!</f>
        <v>#REF!</v>
      </c>
      <c r="AR23" s="16" t="e">
        <f>Sheet1!#REF!</f>
        <v>#REF!</v>
      </c>
      <c r="AS23" s="16" t="e">
        <f>Sheet1!#REF!</f>
        <v>#REF!</v>
      </c>
      <c r="AT23" s="16" t="e">
        <f>Sheet1!#REF!</f>
        <v>#REF!</v>
      </c>
      <c r="AU23" s="16" t="e">
        <f>Sheet1!#REF!</f>
        <v>#REF!</v>
      </c>
      <c r="AV23" s="16" t="e">
        <f>Sheet1!#REF!</f>
        <v>#REF!</v>
      </c>
      <c r="AW23" s="16" t="e">
        <f>Sheet1!#REF!</f>
        <v>#REF!</v>
      </c>
    </row>
    <row r="24" spans="1:49" x14ac:dyDescent="0.15">
      <c r="A24" s="16">
        <f>Sheet1!A24</f>
        <v>1109</v>
      </c>
      <c r="B24" s="16" t="e">
        <f>Sheet1!#REF!</f>
        <v>#REF!</v>
      </c>
      <c r="C24" s="16" t="e">
        <f>Sheet1!#REF!</f>
        <v>#REF!</v>
      </c>
      <c r="D24" s="16" t="e">
        <f>Sheet1!#REF!</f>
        <v>#REF!</v>
      </c>
      <c r="E24" s="16" t="e">
        <f>Sheet1!#REF!</f>
        <v>#REF!</v>
      </c>
      <c r="F24" s="16" t="e">
        <f>Sheet1!#REF!</f>
        <v>#REF!</v>
      </c>
      <c r="G24" s="16" t="e">
        <f>Sheet1!#REF!</f>
        <v>#REF!</v>
      </c>
      <c r="H24" s="16" t="e">
        <f>Sheet1!#REF!</f>
        <v>#REF!</v>
      </c>
      <c r="I24" s="16">
        <v>10</v>
      </c>
      <c r="J24" s="16">
        <v>12</v>
      </c>
      <c r="K24" s="16" t="e">
        <f>Sheet1!#REF!</f>
        <v>#REF!</v>
      </c>
      <c r="L24" s="16" t="e">
        <f>Sheet1!#REF!</f>
        <v>#REF!</v>
      </c>
      <c r="M24" s="16">
        <v>1</v>
      </c>
      <c r="N24" s="16">
        <f t="shared" ca="1" si="2"/>
        <v>0.98498479409617234</v>
      </c>
      <c r="O24" s="18" t="e">
        <f>M24*VLOOKUP($H24,Sheet4!$A$1:$B$7,2,FALSE)*Sheet4!D$2</f>
        <v>#REF!</v>
      </c>
      <c r="P24" s="18" t="e">
        <f>M24*VLOOKUP($H24,Sheet4!$A$1:$B$7,2,FALSE)*Sheet4!E$2</f>
        <v>#REF!</v>
      </c>
      <c r="Q24" s="18" t="e">
        <f>M24*VLOOKUP($H24,Sheet4!$A$1:$B$7,2,FALSE)*Sheet4!F$2</f>
        <v>#REF!</v>
      </c>
      <c r="R24" s="18" t="e">
        <f>M24*VLOOKUP($H24,Sheet4!$A$1:$B$7,2,FALSE)*Sheet4!G$2</f>
        <v>#REF!</v>
      </c>
      <c r="S24" s="18" t="e">
        <f>M24*VLOOKUP($H24,Sheet4!$A$1:$B$7,2,FALSE)*Sheet4!H$2</f>
        <v>#REF!</v>
      </c>
      <c r="T24" s="18" t="e">
        <f>M24*VLOOKUP($H24,Sheet4!$A$1:$B$7,2,FALSE)*Sheet4!I$2</f>
        <v>#REF!</v>
      </c>
      <c r="U24" s="18"/>
      <c r="V24" s="18"/>
      <c r="W24" s="18"/>
      <c r="X24" s="18"/>
      <c r="Y24" s="18"/>
      <c r="Z24" s="18"/>
      <c r="AA24" s="18" t="e">
        <f t="shared" si="9"/>
        <v>#REF!</v>
      </c>
      <c r="AB24" s="18" t="e">
        <f t="shared" si="4"/>
        <v>#REF!</v>
      </c>
      <c r="AC24" s="18" t="e">
        <f t="shared" si="5"/>
        <v>#REF!</v>
      </c>
      <c r="AD24" s="18" t="e">
        <f t="shared" si="6"/>
        <v>#REF!</v>
      </c>
      <c r="AE24" s="18" t="e">
        <f t="shared" si="7"/>
        <v>#REF!</v>
      </c>
      <c r="AF24" s="18" t="e">
        <f t="shared" si="8"/>
        <v>#REF!</v>
      </c>
      <c r="AG24" s="18"/>
      <c r="AH24" s="18"/>
      <c r="AI24" s="18"/>
      <c r="AJ24" s="18"/>
      <c r="AK24" s="16" t="e">
        <f t="shared" si="1"/>
        <v>#REF!</v>
      </c>
      <c r="AL24" s="16">
        <v>10</v>
      </c>
      <c r="AM24" s="16"/>
      <c r="AN24" s="16"/>
      <c r="AO24" s="16" t="e">
        <f>Sheet1!#REF!</f>
        <v>#REF!</v>
      </c>
      <c r="AP24" s="16" t="e">
        <f>Sheet1!#REF!</f>
        <v>#REF!</v>
      </c>
      <c r="AQ24" s="16" t="e">
        <f>Sheet1!#REF!</f>
        <v>#REF!</v>
      </c>
      <c r="AR24" s="16" t="e">
        <f>Sheet1!#REF!</f>
        <v>#REF!</v>
      </c>
      <c r="AS24" s="16" t="e">
        <f>Sheet1!#REF!</f>
        <v>#REF!</v>
      </c>
      <c r="AT24" s="16" t="e">
        <f>Sheet1!#REF!</f>
        <v>#REF!</v>
      </c>
      <c r="AU24" s="16" t="e">
        <f>Sheet1!#REF!</f>
        <v>#REF!</v>
      </c>
      <c r="AV24" s="16" t="e">
        <f>Sheet1!#REF!</f>
        <v>#REF!</v>
      </c>
      <c r="AW24" s="16" t="e">
        <f>Sheet1!#REF!</f>
        <v>#REF!</v>
      </c>
    </row>
    <row r="25" spans="1:49" x14ac:dyDescent="0.15">
      <c r="A25" s="16">
        <f>Sheet1!A25</f>
        <v>1111</v>
      </c>
      <c r="B25" s="16" t="e">
        <f>Sheet1!#REF!</f>
        <v>#REF!</v>
      </c>
      <c r="C25" s="16" t="e">
        <f>Sheet1!#REF!</f>
        <v>#REF!</v>
      </c>
      <c r="D25" s="16" t="e">
        <f>Sheet1!#REF!</f>
        <v>#REF!</v>
      </c>
      <c r="E25" s="16" t="e">
        <f>Sheet1!#REF!</f>
        <v>#REF!</v>
      </c>
      <c r="F25" s="16" t="e">
        <f>Sheet1!#REF!</f>
        <v>#REF!</v>
      </c>
      <c r="G25" s="16" t="e">
        <f>Sheet1!#REF!</f>
        <v>#REF!</v>
      </c>
      <c r="H25" s="16" t="e">
        <f>Sheet1!#REF!</f>
        <v>#REF!</v>
      </c>
      <c r="I25" s="16">
        <v>10</v>
      </c>
      <c r="J25" s="16">
        <v>12</v>
      </c>
      <c r="K25" s="16" t="e">
        <f>Sheet1!#REF!</f>
        <v>#REF!</v>
      </c>
      <c r="L25" s="16" t="e">
        <f>Sheet1!#REF!</f>
        <v>#REF!</v>
      </c>
      <c r="M25" s="16">
        <v>1</v>
      </c>
      <c r="N25" s="16">
        <f t="shared" ca="1" si="2"/>
        <v>0.97663146623867747</v>
      </c>
      <c r="O25" s="18" t="e">
        <f>M25*VLOOKUP($H25,Sheet4!$A$1:$B$7,2,FALSE)*Sheet4!D$2</f>
        <v>#REF!</v>
      </c>
      <c r="P25" s="18" t="e">
        <f>M25*VLOOKUP($H25,Sheet4!$A$1:$B$7,2,FALSE)*Sheet4!E$2</f>
        <v>#REF!</v>
      </c>
      <c r="Q25" s="18" t="e">
        <f>M25*VLOOKUP($H25,Sheet4!$A$1:$B$7,2,FALSE)*Sheet4!F$2</f>
        <v>#REF!</v>
      </c>
      <c r="R25" s="18" t="e">
        <f>M25*VLOOKUP($H25,Sheet4!$A$1:$B$7,2,FALSE)*Sheet4!G$2</f>
        <v>#REF!</v>
      </c>
      <c r="S25" s="18" t="e">
        <f>M25*VLOOKUP($H25,Sheet4!$A$1:$B$7,2,FALSE)*Sheet4!H$2</f>
        <v>#REF!</v>
      </c>
      <c r="T25" s="18" t="e">
        <f>M25*VLOOKUP($H25,Sheet4!$A$1:$B$7,2,FALSE)*Sheet4!I$2</f>
        <v>#REF!</v>
      </c>
      <c r="U25" s="18"/>
      <c r="V25" s="18"/>
      <c r="W25" s="18"/>
      <c r="X25" s="18"/>
      <c r="Y25" s="18"/>
      <c r="Z25" s="18"/>
      <c r="AA25" s="18" t="e">
        <f t="shared" si="9"/>
        <v>#REF!</v>
      </c>
      <c r="AB25" s="18" t="e">
        <f t="shared" si="4"/>
        <v>#REF!</v>
      </c>
      <c r="AC25" s="18" t="e">
        <f t="shared" si="5"/>
        <v>#REF!</v>
      </c>
      <c r="AD25" s="18" t="e">
        <f t="shared" si="6"/>
        <v>#REF!</v>
      </c>
      <c r="AE25" s="18" t="e">
        <f t="shared" si="7"/>
        <v>#REF!</v>
      </c>
      <c r="AF25" s="18" t="e">
        <f t="shared" si="8"/>
        <v>#REF!</v>
      </c>
      <c r="AG25" s="18"/>
      <c r="AH25" s="18"/>
      <c r="AI25" s="18"/>
      <c r="AJ25" s="18"/>
      <c r="AK25" s="16" t="e">
        <f t="shared" si="1"/>
        <v>#REF!</v>
      </c>
      <c r="AL25" s="16">
        <v>10</v>
      </c>
      <c r="AM25" s="16"/>
      <c r="AN25" s="16"/>
      <c r="AO25" s="16" t="e">
        <f>Sheet1!#REF!</f>
        <v>#REF!</v>
      </c>
      <c r="AP25" s="16" t="e">
        <f>Sheet1!#REF!</f>
        <v>#REF!</v>
      </c>
      <c r="AQ25" s="16" t="e">
        <f>Sheet1!#REF!</f>
        <v>#REF!</v>
      </c>
      <c r="AR25" s="16" t="e">
        <f>Sheet1!#REF!</f>
        <v>#REF!</v>
      </c>
      <c r="AS25" s="16" t="e">
        <f>Sheet1!#REF!</f>
        <v>#REF!</v>
      </c>
      <c r="AT25" s="16" t="e">
        <f>Sheet1!#REF!</f>
        <v>#REF!</v>
      </c>
      <c r="AU25" s="16" t="e">
        <f>Sheet1!#REF!</f>
        <v>#REF!</v>
      </c>
      <c r="AV25" s="16" t="e">
        <f>Sheet1!#REF!</f>
        <v>#REF!</v>
      </c>
      <c r="AW25" s="16" t="e">
        <f>Sheet1!#REF!</f>
        <v>#REF!</v>
      </c>
    </row>
    <row r="26" spans="1:49" x14ac:dyDescent="0.15">
      <c r="A26" s="16">
        <f>Sheet1!A26</f>
        <v>1116</v>
      </c>
      <c r="B26" s="16" t="e">
        <f>Sheet1!#REF!</f>
        <v>#REF!</v>
      </c>
      <c r="C26" s="16" t="e">
        <f>Sheet1!#REF!</f>
        <v>#REF!</v>
      </c>
      <c r="D26" s="16" t="e">
        <f>Sheet1!#REF!</f>
        <v>#REF!</v>
      </c>
      <c r="E26" s="16" t="e">
        <f>Sheet1!#REF!</f>
        <v>#REF!</v>
      </c>
      <c r="F26" s="16" t="e">
        <f>Sheet1!#REF!</f>
        <v>#REF!</v>
      </c>
      <c r="G26" s="16" t="e">
        <f>Sheet1!#REF!</f>
        <v>#REF!</v>
      </c>
      <c r="H26" s="16" t="e">
        <f>Sheet1!#REF!</f>
        <v>#REF!</v>
      </c>
      <c r="I26" s="16">
        <v>10</v>
      </c>
      <c r="J26" s="16">
        <v>12</v>
      </c>
      <c r="K26" s="16" t="e">
        <f>Sheet1!#REF!</f>
        <v>#REF!</v>
      </c>
      <c r="L26" s="16" t="e">
        <f>Sheet1!#REF!</f>
        <v>#REF!</v>
      </c>
      <c r="M26" s="16">
        <v>1</v>
      </c>
      <c r="N26" s="16">
        <f t="shared" ca="1" si="2"/>
        <v>1.0067984123657363</v>
      </c>
      <c r="O26" s="18" t="e">
        <f>M26*VLOOKUP($H26,Sheet4!$A$1:$B$7,2,FALSE)*Sheet4!D$2</f>
        <v>#REF!</v>
      </c>
      <c r="P26" s="18" t="e">
        <f>M26*VLOOKUP($H26,Sheet4!$A$1:$B$7,2,FALSE)*Sheet4!E$2</f>
        <v>#REF!</v>
      </c>
      <c r="Q26" s="18" t="e">
        <f>M26*VLOOKUP($H26,Sheet4!$A$1:$B$7,2,FALSE)*Sheet4!F$2</f>
        <v>#REF!</v>
      </c>
      <c r="R26" s="18" t="e">
        <f>M26*VLOOKUP($H26,Sheet4!$A$1:$B$7,2,FALSE)*Sheet4!G$2</f>
        <v>#REF!</v>
      </c>
      <c r="S26" s="18" t="e">
        <f>M26*VLOOKUP($H26,Sheet4!$A$1:$B$7,2,FALSE)*Sheet4!H$2</f>
        <v>#REF!</v>
      </c>
      <c r="T26" s="18" t="e">
        <f>M26*VLOOKUP($H26,Sheet4!$A$1:$B$7,2,FALSE)*Sheet4!I$2</f>
        <v>#REF!</v>
      </c>
      <c r="U26" s="18"/>
      <c r="V26" s="18"/>
      <c r="W26" s="18"/>
      <c r="X26" s="18"/>
      <c r="Y26" s="18"/>
      <c r="Z26" s="18"/>
      <c r="AA26" s="18" t="e">
        <f t="shared" si="9"/>
        <v>#REF!</v>
      </c>
      <c r="AB26" s="18" t="e">
        <f t="shared" si="4"/>
        <v>#REF!</v>
      </c>
      <c r="AC26" s="18" t="e">
        <f t="shared" si="5"/>
        <v>#REF!</v>
      </c>
      <c r="AD26" s="18" t="e">
        <f t="shared" si="6"/>
        <v>#REF!</v>
      </c>
      <c r="AE26" s="18" t="e">
        <f t="shared" si="7"/>
        <v>#REF!</v>
      </c>
      <c r="AF26" s="18" t="e">
        <f t="shared" si="8"/>
        <v>#REF!</v>
      </c>
      <c r="AG26" s="18"/>
      <c r="AH26" s="18"/>
      <c r="AI26" s="18"/>
      <c r="AJ26" s="18"/>
      <c r="AK26" s="16" t="e">
        <f t="shared" si="1"/>
        <v>#REF!</v>
      </c>
      <c r="AL26" s="16">
        <v>10</v>
      </c>
      <c r="AM26" s="16"/>
      <c r="AN26" s="16"/>
      <c r="AO26" s="16" t="e">
        <f>Sheet1!#REF!</f>
        <v>#REF!</v>
      </c>
      <c r="AP26" s="16" t="e">
        <f>Sheet1!#REF!</f>
        <v>#REF!</v>
      </c>
      <c r="AQ26" s="16" t="e">
        <f>Sheet1!#REF!</f>
        <v>#REF!</v>
      </c>
      <c r="AR26" s="16" t="e">
        <f>Sheet1!#REF!</f>
        <v>#REF!</v>
      </c>
      <c r="AS26" s="16" t="e">
        <f>Sheet1!#REF!</f>
        <v>#REF!</v>
      </c>
      <c r="AT26" s="16" t="e">
        <f>Sheet1!#REF!</f>
        <v>#REF!</v>
      </c>
      <c r="AU26" s="16" t="e">
        <f>Sheet1!#REF!</f>
        <v>#REF!</v>
      </c>
      <c r="AV26" s="16" t="e">
        <f>Sheet1!#REF!</f>
        <v>#REF!</v>
      </c>
      <c r="AW26" s="16" t="e">
        <f>Sheet1!#REF!</f>
        <v>#REF!</v>
      </c>
    </row>
    <row r="27" spans="1:49" x14ac:dyDescent="0.15">
      <c r="A27" s="16">
        <f>Sheet1!A27</f>
        <v>1121</v>
      </c>
      <c r="B27" s="16" t="e">
        <f>Sheet1!#REF!</f>
        <v>#REF!</v>
      </c>
      <c r="C27" s="16" t="e">
        <f>Sheet1!#REF!</f>
        <v>#REF!</v>
      </c>
      <c r="D27" s="16" t="e">
        <f>Sheet1!#REF!</f>
        <v>#REF!</v>
      </c>
      <c r="E27" s="16" t="e">
        <f>Sheet1!#REF!</f>
        <v>#REF!</v>
      </c>
      <c r="F27" s="16" t="e">
        <f>Sheet1!#REF!</f>
        <v>#REF!</v>
      </c>
      <c r="G27" s="16" t="e">
        <f>Sheet1!#REF!</f>
        <v>#REF!</v>
      </c>
      <c r="H27" s="16" t="e">
        <f>Sheet1!#REF!</f>
        <v>#REF!</v>
      </c>
      <c r="I27" s="16">
        <v>10</v>
      </c>
      <c r="J27" s="16">
        <v>12</v>
      </c>
      <c r="K27" s="16" t="e">
        <f>Sheet1!#REF!</f>
        <v>#REF!</v>
      </c>
      <c r="L27" s="16" t="e">
        <f>Sheet1!#REF!</f>
        <v>#REF!</v>
      </c>
      <c r="M27" s="16">
        <v>1</v>
      </c>
      <c r="N27" s="16">
        <f t="shared" ca="1" si="2"/>
        <v>0.97766334805736976</v>
      </c>
      <c r="O27" s="18" t="e">
        <f>M27*VLOOKUP($H27,Sheet4!$A$1:$B$7,2,FALSE)*Sheet4!D$2</f>
        <v>#REF!</v>
      </c>
      <c r="P27" s="18" t="e">
        <f>M27*VLOOKUP($H27,Sheet4!$A$1:$B$7,2,FALSE)*Sheet4!E$2</f>
        <v>#REF!</v>
      </c>
      <c r="Q27" s="18" t="e">
        <f>M27*VLOOKUP($H27,Sheet4!$A$1:$B$7,2,FALSE)*Sheet4!F$2</f>
        <v>#REF!</v>
      </c>
      <c r="R27" s="18" t="e">
        <f>M27*VLOOKUP($H27,Sheet4!$A$1:$B$7,2,FALSE)*Sheet4!G$2</f>
        <v>#REF!</v>
      </c>
      <c r="S27" s="18" t="e">
        <f>M27*VLOOKUP($H27,Sheet4!$A$1:$B$7,2,FALSE)*Sheet4!H$2</f>
        <v>#REF!</v>
      </c>
      <c r="T27" s="18" t="e">
        <f>M27*VLOOKUP($H27,Sheet4!$A$1:$B$7,2,FALSE)*Sheet4!I$2</f>
        <v>#REF!</v>
      </c>
      <c r="U27" s="18"/>
      <c r="V27" s="18"/>
      <c r="W27" s="18"/>
      <c r="X27" s="18"/>
      <c r="Y27" s="18"/>
      <c r="Z27" s="18"/>
      <c r="AA27" s="18" t="e">
        <f t="shared" si="9"/>
        <v>#REF!</v>
      </c>
      <c r="AB27" s="18" t="e">
        <f t="shared" si="4"/>
        <v>#REF!</v>
      </c>
      <c r="AC27" s="18" t="e">
        <f t="shared" si="5"/>
        <v>#REF!</v>
      </c>
      <c r="AD27" s="18" t="e">
        <f t="shared" si="6"/>
        <v>#REF!</v>
      </c>
      <c r="AE27" s="18" t="e">
        <f t="shared" si="7"/>
        <v>#REF!</v>
      </c>
      <c r="AF27" s="18" t="e">
        <f t="shared" si="8"/>
        <v>#REF!</v>
      </c>
      <c r="AG27" s="18"/>
      <c r="AH27" s="18"/>
      <c r="AI27" s="18"/>
      <c r="AJ27" s="18"/>
      <c r="AK27" s="16" t="e">
        <f t="shared" si="1"/>
        <v>#REF!</v>
      </c>
      <c r="AL27" s="16">
        <v>10</v>
      </c>
      <c r="AM27" s="16"/>
      <c r="AN27" s="16"/>
      <c r="AO27" s="16" t="e">
        <f>Sheet1!#REF!</f>
        <v>#REF!</v>
      </c>
      <c r="AP27" s="16" t="e">
        <f>Sheet1!#REF!</f>
        <v>#REF!</v>
      </c>
      <c r="AQ27" s="16" t="e">
        <f>Sheet1!#REF!</f>
        <v>#REF!</v>
      </c>
      <c r="AR27" s="16" t="e">
        <f>Sheet1!#REF!</f>
        <v>#REF!</v>
      </c>
      <c r="AS27" s="16" t="e">
        <f>Sheet1!#REF!</f>
        <v>#REF!</v>
      </c>
      <c r="AT27" s="16" t="e">
        <f>Sheet1!#REF!</f>
        <v>#REF!</v>
      </c>
      <c r="AU27" s="16" t="e">
        <f>Sheet1!#REF!</f>
        <v>#REF!</v>
      </c>
      <c r="AV27" s="16" t="e">
        <f>Sheet1!#REF!</f>
        <v>#REF!</v>
      </c>
      <c r="AW27" s="16" t="e">
        <f>Sheet1!#REF!</f>
        <v>#REF!</v>
      </c>
    </row>
    <row r="28" spans="1:49" x14ac:dyDescent="0.15">
      <c r="A28" s="16">
        <f>Sheet1!A28</f>
        <v>1215</v>
      </c>
      <c r="B28" s="16" t="e">
        <f>Sheet1!#REF!</f>
        <v>#REF!</v>
      </c>
      <c r="C28" s="16" t="e">
        <f>Sheet1!#REF!</f>
        <v>#REF!</v>
      </c>
      <c r="D28" s="16" t="e">
        <f>Sheet1!#REF!</f>
        <v>#REF!</v>
      </c>
      <c r="E28" s="16" t="e">
        <f>Sheet1!#REF!</f>
        <v>#REF!</v>
      </c>
      <c r="F28" s="16" t="e">
        <f>Sheet1!#REF!</f>
        <v>#REF!</v>
      </c>
      <c r="G28" s="16" t="e">
        <f>Sheet1!#REF!</f>
        <v>#REF!</v>
      </c>
      <c r="H28" s="16" t="e">
        <f>Sheet1!#REF!</f>
        <v>#REF!</v>
      </c>
      <c r="I28" s="16">
        <v>2</v>
      </c>
      <c r="J28" s="16">
        <v>12</v>
      </c>
      <c r="K28" s="16" t="e">
        <f>Sheet1!#REF!</f>
        <v>#REF!</v>
      </c>
      <c r="L28" s="16" t="e">
        <f>Sheet1!#REF!</f>
        <v>#REF!</v>
      </c>
      <c r="M28" s="16">
        <v>1</v>
      </c>
      <c r="N28" s="16">
        <f t="shared" ca="1" si="2"/>
        <v>1.0149786878247504</v>
      </c>
      <c r="O28" s="18" t="e">
        <f>M28*VLOOKUP($H28,Sheet4!$A$1:$B$7,2,FALSE)*Sheet4!D$2</f>
        <v>#REF!</v>
      </c>
      <c r="P28" s="18" t="e">
        <f>M28*VLOOKUP($H28,Sheet4!$A$1:$B$7,2,FALSE)*Sheet4!E$2</f>
        <v>#REF!</v>
      </c>
      <c r="Q28" s="18" t="e">
        <f>M28*VLOOKUP($H28,Sheet4!$A$1:$B$7,2,FALSE)*Sheet4!F$2</f>
        <v>#REF!</v>
      </c>
      <c r="R28" s="18" t="e">
        <f>M28*VLOOKUP($H28,Sheet4!$A$1:$B$7,2,FALSE)*Sheet4!G$2</f>
        <v>#REF!</v>
      </c>
      <c r="S28" s="18" t="e">
        <f>M28*VLOOKUP($H28,Sheet4!$A$1:$B$7,2,FALSE)*Sheet4!H$2</f>
        <v>#REF!</v>
      </c>
      <c r="T28" s="18" t="e">
        <f>M28*VLOOKUP($H28,Sheet4!$A$1:$B$7,2,FALSE)*Sheet4!I$2</f>
        <v>#REF!</v>
      </c>
      <c r="U28" s="18"/>
      <c r="V28" s="18"/>
      <c r="W28" s="18"/>
      <c r="X28" s="18"/>
      <c r="Y28" s="18"/>
      <c r="Z28" s="18"/>
      <c r="AA28" s="18" t="e">
        <f t="shared" si="9"/>
        <v>#REF!</v>
      </c>
      <c r="AB28" s="18" t="e">
        <f t="shared" si="4"/>
        <v>#REF!</v>
      </c>
      <c r="AC28" s="18" t="e">
        <f t="shared" si="5"/>
        <v>#REF!</v>
      </c>
      <c r="AD28" s="18" t="e">
        <f t="shared" si="6"/>
        <v>#REF!</v>
      </c>
      <c r="AE28" s="18" t="e">
        <f t="shared" si="7"/>
        <v>#REF!</v>
      </c>
      <c r="AF28" s="18" t="e">
        <f t="shared" si="8"/>
        <v>#REF!</v>
      </c>
      <c r="AG28" s="18"/>
      <c r="AH28" s="18"/>
      <c r="AI28" s="18"/>
      <c r="AJ28" s="18"/>
      <c r="AK28" s="16" t="e">
        <f t="shared" si="1"/>
        <v>#REF!</v>
      </c>
      <c r="AL28" s="16">
        <v>10</v>
      </c>
      <c r="AM28" s="16"/>
      <c r="AN28" s="16"/>
      <c r="AO28" s="16" t="e">
        <f>Sheet1!#REF!</f>
        <v>#REF!</v>
      </c>
      <c r="AP28" s="16" t="e">
        <f>Sheet1!#REF!</f>
        <v>#REF!</v>
      </c>
      <c r="AQ28" s="16" t="e">
        <f>Sheet1!#REF!</f>
        <v>#REF!</v>
      </c>
      <c r="AR28" s="16" t="e">
        <f>Sheet1!#REF!</f>
        <v>#REF!</v>
      </c>
      <c r="AS28" s="16" t="e">
        <f>Sheet1!#REF!</f>
        <v>#REF!</v>
      </c>
      <c r="AT28" s="16" t="e">
        <f>Sheet1!#REF!</f>
        <v>#REF!</v>
      </c>
      <c r="AU28" s="16" t="e">
        <f>Sheet1!#REF!</f>
        <v>#REF!</v>
      </c>
      <c r="AV28" s="16" t="e">
        <f>Sheet1!#REF!</f>
        <v>#REF!</v>
      </c>
      <c r="AW28" s="16" t="e">
        <f>Sheet1!#REF!</f>
        <v>#REF!</v>
      </c>
    </row>
    <row r="29" spans="1:49" x14ac:dyDescent="0.15">
      <c r="A29" s="16">
        <f>Sheet1!A29</f>
        <v>1114</v>
      </c>
      <c r="B29" s="16" t="e">
        <f>Sheet1!#REF!</f>
        <v>#REF!</v>
      </c>
      <c r="C29" s="16" t="e">
        <f>Sheet1!#REF!</f>
        <v>#REF!</v>
      </c>
      <c r="D29" s="16" t="e">
        <f>Sheet1!#REF!</f>
        <v>#REF!</v>
      </c>
      <c r="E29" s="16" t="e">
        <f>Sheet1!#REF!</f>
        <v>#REF!</v>
      </c>
      <c r="F29" s="16" t="e">
        <f>Sheet1!#REF!</f>
        <v>#REF!</v>
      </c>
      <c r="G29" s="16" t="e">
        <f>Sheet1!#REF!</f>
        <v>#REF!</v>
      </c>
      <c r="H29" s="16" t="e">
        <f>Sheet1!#REF!</f>
        <v>#REF!</v>
      </c>
      <c r="I29" s="16">
        <v>2</v>
      </c>
      <c r="J29" s="16">
        <v>12</v>
      </c>
      <c r="K29" s="16" t="e">
        <f>Sheet1!#REF!</f>
        <v>#REF!</v>
      </c>
      <c r="L29" s="16" t="e">
        <f>Sheet1!#REF!</f>
        <v>#REF!</v>
      </c>
      <c r="M29" s="16">
        <v>1</v>
      </c>
      <c r="N29" s="16">
        <f t="shared" ca="1" si="2"/>
        <v>0.98144728253712732</v>
      </c>
      <c r="O29" s="18" t="e">
        <f>M29*VLOOKUP($H29,Sheet4!$A$1:$B$7,2,FALSE)*Sheet4!D$2</f>
        <v>#REF!</v>
      </c>
      <c r="P29" s="18" t="e">
        <f>M29*VLOOKUP($H29,Sheet4!$A$1:$B$7,2,FALSE)*Sheet4!E$2</f>
        <v>#REF!</v>
      </c>
      <c r="Q29" s="18" t="e">
        <f>M29*VLOOKUP($H29,Sheet4!$A$1:$B$7,2,FALSE)*Sheet4!F$2</f>
        <v>#REF!</v>
      </c>
      <c r="R29" s="18" t="e">
        <f>M29*VLOOKUP($H29,Sheet4!$A$1:$B$7,2,FALSE)*Sheet4!G$2</f>
        <v>#REF!</v>
      </c>
      <c r="S29" s="18" t="e">
        <f>M29*VLOOKUP($H29,Sheet4!$A$1:$B$7,2,FALSE)*Sheet4!H$2</f>
        <v>#REF!</v>
      </c>
      <c r="T29" s="18" t="e">
        <f>M29*VLOOKUP($H29,Sheet4!$A$1:$B$7,2,FALSE)*Sheet4!I$2</f>
        <v>#REF!</v>
      </c>
      <c r="U29" s="18"/>
      <c r="V29" s="18"/>
      <c r="W29" s="18"/>
      <c r="X29" s="18"/>
      <c r="Y29" s="18"/>
      <c r="Z29" s="18"/>
      <c r="AA29" s="18" t="e">
        <f t="shared" si="9"/>
        <v>#REF!</v>
      </c>
      <c r="AB29" s="18" t="e">
        <f t="shared" si="4"/>
        <v>#REF!</v>
      </c>
      <c r="AC29" s="18" t="e">
        <f t="shared" si="5"/>
        <v>#REF!</v>
      </c>
      <c r="AD29" s="18" t="e">
        <f t="shared" si="6"/>
        <v>#REF!</v>
      </c>
      <c r="AE29" s="18" t="e">
        <f t="shared" si="7"/>
        <v>#REF!</v>
      </c>
      <c r="AF29" s="18" t="e">
        <f t="shared" si="8"/>
        <v>#REF!</v>
      </c>
      <c r="AG29" s="18"/>
      <c r="AH29" s="18"/>
      <c r="AI29" s="18"/>
      <c r="AJ29" s="18"/>
      <c r="AK29" s="16" t="e">
        <f t="shared" si="1"/>
        <v>#REF!</v>
      </c>
      <c r="AL29" s="16">
        <v>10</v>
      </c>
      <c r="AM29" s="16"/>
      <c r="AN29" s="16"/>
      <c r="AO29" s="16" t="e">
        <f>Sheet1!#REF!</f>
        <v>#REF!</v>
      </c>
      <c r="AP29" s="16" t="e">
        <f>Sheet1!#REF!</f>
        <v>#REF!</v>
      </c>
      <c r="AQ29" s="16" t="e">
        <f>Sheet1!#REF!</f>
        <v>#REF!</v>
      </c>
      <c r="AR29" s="16" t="e">
        <f>Sheet1!#REF!</f>
        <v>#REF!</v>
      </c>
      <c r="AS29" s="16" t="e">
        <f>Sheet1!#REF!</f>
        <v>#REF!</v>
      </c>
      <c r="AT29" s="16" t="e">
        <f>Sheet1!#REF!</f>
        <v>#REF!</v>
      </c>
      <c r="AU29" s="16" t="e">
        <f>Sheet1!#REF!</f>
        <v>#REF!</v>
      </c>
      <c r="AV29" s="16" t="e">
        <f>Sheet1!#REF!</f>
        <v>#REF!</v>
      </c>
      <c r="AW29" s="16" t="e">
        <f>Sheet1!#REF!</f>
        <v>#REF!</v>
      </c>
    </row>
    <row r="30" spans="1:49" x14ac:dyDescent="0.15">
      <c r="A30" s="16">
        <f>Sheet1!A30</f>
        <v>1110</v>
      </c>
      <c r="B30" s="16" t="e">
        <f>Sheet1!#REF!</f>
        <v>#REF!</v>
      </c>
      <c r="C30" s="16" t="e">
        <f>Sheet1!#REF!</f>
        <v>#REF!</v>
      </c>
      <c r="D30" s="16" t="e">
        <f>Sheet1!#REF!</f>
        <v>#REF!</v>
      </c>
      <c r="E30" s="16" t="e">
        <f>Sheet1!#REF!</f>
        <v>#REF!</v>
      </c>
      <c r="F30" s="16" t="e">
        <f>Sheet1!#REF!</f>
        <v>#REF!</v>
      </c>
      <c r="G30" s="16" t="e">
        <f>Sheet1!#REF!</f>
        <v>#REF!</v>
      </c>
      <c r="H30" s="16" t="e">
        <f>Sheet1!#REF!</f>
        <v>#REF!</v>
      </c>
      <c r="I30" s="16">
        <v>2</v>
      </c>
      <c r="J30" s="16">
        <v>12</v>
      </c>
      <c r="K30" s="16" t="e">
        <f>Sheet1!#REF!</f>
        <v>#REF!</v>
      </c>
      <c r="L30" s="16" t="e">
        <f>Sheet1!#REF!</f>
        <v>#REF!</v>
      </c>
      <c r="M30" s="16">
        <v>1</v>
      </c>
      <c r="N30" s="16">
        <f t="shared" ca="1" si="2"/>
        <v>1.0086815616288058</v>
      </c>
      <c r="O30" s="18" t="e">
        <f>M30*VLOOKUP($H30,Sheet4!$A$1:$B$7,2,FALSE)*Sheet4!D$2</f>
        <v>#REF!</v>
      </c>
      <c r="P30" s="18" t="e">
        <f>M30*VLOOKUP($H30,Sheet4!$A$1:$B$7,2,FALSE)*Sheet4!E$2</f>
        <v>#REF!</v>
      </c>
      <c r="Q30" s="18" t="e">
        <f>M30*VLOOKUP($H30,Sheet4!$A$1:$B$7,2,FALSE)*Sheet4!F$2</f>
        <v>#REF!</v>
      </c>
      <c r="R30" s="18" t="e">
        <f>M30*VLOOKUP($H30,Sheet4!$A$1:$B$7,2,FALSE)*Sheet4!G$2</f>
        <v>#REF!</v>
      </c>
      <c r="S30" s="18" t="e">
        <f>M30*VLOOKUP($H30,Sheet4!$A$1:$B$7,2,FALSE)*Sheet4!H$2</f>
        <v>#REF!</v>
      </c>
      <c r="T30" s="18" t="e">
        <f>M30*VLOOKUP($H30,Sheet4!$A$1:$B$7,2,FALSE)*Sheet4!I$2</f>
        <v>#REF!</v>
      </c>
      <c r="U30" s="18"/>
      <c r="V30" s="18"/>
      <c r="W30" s="18"/>
      <c r="X30" s="18"/>
      <c r="Y30" s="18"/>
      <c r="Z30" s="18"/>
      <c r="AA30" s="18" t="e">
        <f t="shared" si="9"/>
        <v>#REF!</v>
      </c>
      <c r="AB30" s="18" t="e">
        <f t="shared" si="4"/>
        <v>#REF!</v>
      </c>
      <c r="AC30" s="18" t="e">
        <f t="shared" si="5"/>
        <v>#REF!</v>
      </c>
      <c r="AD30" s="18" t="e">
        <f t="shared" si="6"/>
        <v>#REF!</v>
      </c>
      <c r="AE30" s="18" t="e">
        <f t="shared" si="7"/>
        <v>#REF!</v>
      </c>
      <c r="AF30" s="18" t="e">
        <f t="shared" si="8"/>
        <v>#REF!</v>
      </c>
      <c r="AG30" s="18"/>
      <c r="AH30" s="18"/>
      <c r="AI30" s="18"/>
      <c r="AJ30" s="18"/>
      <c r="AK30" s="16" t="e">
        <f t="shared" si="1"/>
        <v>#REF!</v>
      </c>
      <c r="AL30" s="16">
        <v>10</v>
      </c>
      <c r="AM30" s="16"/>
      <c r="AN30" s="16"/>
      <c r="AO30" s="16" t="e">
        <f>Sheet1!#REF!</f>
        <v>#REF!</v>
      </c>
      <c r="AP30" s="16" t="e">
        <f>Sheet1!#REF!</f>
        <v>#REF!</v>
      </c>
      <c r="AQ30" s="16" t="e">
        <f>Sheet1!#REF!</f>
        <v>#REF!</v>
      </c>
      <c r="AR30" s="16" t="e">
        <f>Sheet1!#REF!</f>
        <v>#REF!</v>
      </c>
      <c r="AS30" s="16" t="e">
        <f>Sheet1!#REF!</f>
        <v>#REF!</v>
      </c>
      <c r="AT30" s="16" t="e">
        <f>Sheet1!#REF!</f>
        <v>#REF!</v>
      </c>
      <c r="AU30" s="16" t="e">
        <f>Sheet1!#REF!</f>
        <v>#REF!</v>
      </c>
      <c r="AV30" s="16" t="e">
        <f>Sheet1!#REF!</f>
        <v>#REF!</v>
      </c>
      <c r="AW30" s="16" t="e">
        <f>Sheet1!#REF!</f>
        <v>#REF!</v>
      </c>
    </row>
    <row r="31" spans="1:49" x14ac:dyDescent="0.15">
      <c r="A31" s="16">
        <f>Sheet1!A31</f>
        <v>1104</v>
      </c>
      <c r="B31" s="16" t="e">
        <f>Sheet1!#REF!</f>
        <v>#REF!</v>
      </c>
      <c r="C31" s="16" t="e">
        <f>Sheet1!#REF!</f>
        <v>#REF!</v>
      </c>
      <c r="D31" s="16" t="e">
        <f>Sheet1!#REF!</f>
        <v>#REF!</v>
      </c>
      <c r="E31" s="16" t="e">
        <f>Sheet1!#REF!</f>
        <v>#REF!</v>
      </c>
      <c r="F31" s="16" t="e">
        <f>Sheet1!#REF!</f>
        <v>#REF!</v>
      </c>
      <c r="G31" s="16" t="e">
        <f>Sheet1!#REF!</f>
        <v>#REF!</v>
      </c>
      <c r="H31" s="16" t="e">
        <f>Sheet1!#REF!</f>
        <v>#REF!</v>
      </c>
      <c r="I31" s="16">
        <v>4</v>
      </c>
      <c r="J31" s="16">
        <v>12</v>
      </c>
      <c r="K31" s="16" t="e">
        <f>Sheet1!#REF!</f>
        <v>#REF!</v>
      </c>
      <c r="L31" s="16" t="e">
        <f>Sheet1!#REF!</f>
        <v>#REF!</v>
      </c>
      <c r="M31" s="16">
        <v>1</v>
      </c>
      <c r="N31" s="16">
        <f t="shared" ca="1" si="2"/>
        <v>1.0212414766885527</v>
      </c>
      <c r="O31" s="18" t="e">
        <f>M31*VLOOKUP($H31,Sheet4!$A$1:$B$7,2,FALSE)*Sheet4!D$2</f>
        <v>#REF!</v>
      </c>
      <c r="P31" s="18" t="e">
        <f>M31*VLOOKUP($H31,Sheet4!$A$1:$B$7,2,FALSE)*Sheet4!E$2</f>
        <v>#REF!</v>
      </c>
      <c r="Q31" s="18" t="e">
        <f>M31*VLOOKUP($H31,Sheet4!$A$1:$B$7,2,FALSE)*Sheet4!F$2</f>
        <v>#REF!</v>
      </c>
      <c r="R31" s="18" t="e">
        <f>M31*VLOOKUP($H31,Sheet4!$A$1:$B$7,2,FALSE)*Sheet4!G$2</f>
        <v>#REF!</v>
      </c>
      <c r="S31" s="18" t="e">
        <f>M31*VLOOKUP($H31,Sheet4!$A$1:$B$7,2,FALSE)*Sheet4!H$2</f>
        <v>#REF!</v>
      </c>
      <c r="T31" s="18" t="e">
        <f>M31*VLOOKUP($H31,Sheet4!$A$1:$B$7,2,FALSE)*Sheet4!I$2</f>
        <v>#REF!</v>
      </c>
      <c r="U31" s="18"/>
      <c r="V31" s="18"/>
      <c r="W31" s="18"/>
      <c r="X31" s="18"/>
      <c r="Y31" s="18"/>
      <c r="Z31" s="18"/>
      <c r="AA31" s="18" t="e">
        <f t="shared" si="9"/>
        <v>#REF!</v>
      </c>
      <c r="AB31" s="18" t="e">
        <f t="shared" si="4"/>
        <v>#REF!</v>
      </c>
      <c r="AC31" s="18" t="e">
        <f t="shared" si="5"/>
        <v>#REF!</v>
      </c>
      <c r="AD31" s="18" t="e">
        <f t="shared" si="6"/>
        <v>#REF!</v>
      </c>
      <c r="AE31" s="18" t="e">
        <f t="shared" si="7"/>
        <v>#REF!</v>
      </c>
      <c r="AF31" s="18" t="e">
        <f t="shared" si="8"/>
        <v>#REF!</v>
      </c>
      <c r="AG31" s="18"/>
      <c r="AH31" s="18"/>
      <c r="AI31" s="18"/>
      <c r="AJ31" s="18"/>
      <c r="AK31" s="16" t="e">
        <f t="shared" si="1"/>
        <v>#REF!</v>
      </c>
      <c r="AL31" s="16">
        <v>10</v>
      </c>
      <c r="AM31" s="16" t="e">
        <f>Sheet1!#REF!</f>
        <v>#REF!</v>
      </c>
      <c r="AN31" s="16" t="e">
        <f>Sheet1!#REF!</f>
        <v>#REF!</v>
      </c>
      <c r="AO31" s="16" t="e">
        <f>Sheet1!#REF!</f>
        <v>#REF!</v>
      </c>
      <c r="AP31" s="16" t="e">
        <f>Sheet1!#REF!</f>
        <v>#REF!</v>
      </c>
      <c r="AQ31" s="16" t="e">
        <f>Sheet1!#REF!</f>
        <v>#REF!</v>
      </c>
      <c r="AR31" s="16" t="e">
        <f>Sheet1!#REF!</f>
        <v>#REF!</v>
      </c>
      <c r="AS31" s="16" t="e">
        <f>Sheet1!#REF!</f>
        <v>#REF!</v>
      </c>
      <c r="AT31" s="16" t="e">
        <f>Sheet1!#REF!</f>
        <v>#REF!</v>
      </c>
      <c r="AU31" s="16" t="e">
        <f>Sheet1!#REF!</f>
        <v>#REF!</v>
      </c>
      <c r="AV31" s="16" t="e">
        <f>Sheet1!#REF!</f>
        <v>#REF!</v>
      </c>
      <c r="AW31" s="16" t="e">
        <f>Sheet1!#REF!</f>
        <v>#REF!</v>
      </c>
    </row>
    <row r="32" spans="1:49" x14ac:dyDescent="0.15">
      <c r="A32" s="16">
        <f>Sheet1!A32</f>
        <v>1135</v>
      </c>
      <c r="B32" s="16" t="e">
        <f>Sheet1!#REF!</f>
        <v>#REF!</v>
      </c>
      <c r="C32" s="16" t="e">
        <f>Sheet1!#REF!</f>
        <v>#REF!</v>
      </c>
      <c r="D32" s="16" t="e">
        <f>Sheet1!#REF!</f>
        <v>#REF!</v>
      </c>
      <c r="E32" s="16" t="e">
        <f>Sheet1!#REF!</f>
        <v>#REF!</v>
      </c>
      <c r="F32" s="16" t="e">
        <f>Sheet1!#REF!</f>
        <v>#REF!</v>
      </c>
      <c r="G32" s="16" t="e">
        <f>Sheet1!#REF!</f>
        <v>#REF!</v>
      </c>
      <c r="H32" s="16" t="e">
        <f>Sheet1!#REF!</f>
        <v>#REF!</v>
      </c>
      <c r="I32" s="16">
        <v>4</v>
      </c>
      <c r="J32" s="16">
        <v>12</v>
      </c>
      <c r="K32" s="16" t="e">
        <f>Sheet1!#REF!</f>
        <v>#REF!</v>
      </c>
      <c r="L32" s="16" t="e">
        <f>Sheet1!#REF!</f>
        <v>#REF!</v>
      </c>
      <c r="M32" s="16">
        <v>1</v>
      </c>
      <c r="N32" s="16">
        <f t="shared" ca="1" si="2"/>
        <v>1.009338781701703</v>
      </c>
      <c r="O32" s="18" t="e">
        <f>M32*VLOOKUP($H32,Sheet4!$A$1:$B$7,2,FALSE)*Sheet4!D$2</f>
        <v>#REF!</v>
      </c>
      <c r="P32" s="18" t="e">
        <f>M32*VLOOKUP($H32,Sheet4!$A$1:$B$7,2,FALSE)*Sheet4!E$2</f>
        <v>#REF!</v>
      </c>
      <c r="Q32" s="18" t="e">
        <f>M32*VLOOKUP($H32,Sheet4!$A$1:$B$7,2,FALSE)*Sheet4!F$2</f>
        <v>#REF!</v>
      </c>
      <c r="R32" s="18" t="e">
        <f>M32*VLOOKUP($H32,Sheet4!$A$1:$B$7,2,FALSE)*Sheet4!G$2</f>
        <v>#REF!</v>
      </c>
      <c r="S32" s="18" t="e">
        <f>M32*VLOOKUP($H32,Sheet4!$A$1:$B$7,2,FALSE)*Sheet4!H$2</f>
        <v>#REF!</v>
      </c>
      <c r="T32" s="18" t="e">
        <f>M32*VLOOKUP($H32,Sheet4!$A$1:$B$7,2,FALSE)*Sheet4!I$2</f>
        <v>#REF!</v>
      </c>
      <c r="U32" s="18"/>
      <c r="V32" s="18"/>
      <c r="W32" s="18"/>
      <c r="X32" s="18"/>
      <c r="Y32" s="18"/>
      <c r="Z32" s="18"/>
      <c r="AA32" s="18" t="e">
        <f t="shared" si="9"/>
        <v>#REF!</v>
      </c>
      <c r="AB32" s="18" t="e">
        <f t="shared" si="4"/>
        <v>#REF!</v>
      </c>
      <c r="AC32" s="18" t="e">
        <f t="shared" si="5"/>
        <v>#REF!</v>
      </c>
      <c r="AD32" s="18" t="e">
        <f t="shared" si="6"/>
        <v>#REF!</v>
      </c>
      <c r="AE32" s="18" t="e">
        <f t="shared" si="7"/>
        <v>#REF!</v>
      </c>
      <c r="AF32" s="18" t="e">
        <f t="shared" si="8"/>
        <v>#REF!</v>
      </c>
      <c r="AG32" s="18"/>
      <c r="AH32" s="18"/>
      <c r="AI32" s="18"/>
      <c r="AJ32" s="18"/>
      <c r="AK32" s="16" t="e">
        <f t="shared" si="1"/>
        <v>#REF!</v>
      </c>
      <c r="AL32" s="16">
        <v>10</v>
      </c>
      <c r="AM32" s="16" t="e">
        <f>Sheet1!#REF!</f>
        <v>#REF!</v>
      </c>
      <c r="AN32" s="16" t="e">
        <f>Sheet1!#REF!</f>
        <v>#REF!</v>
      </c>
      <c r="AO32" s="16" t="e">
        <f>Sheet1!#REF!</f>
        <v>#REF!</v>
      </c>
      <c r="AP32" s="16" t="e">
        <f>Sheet1!#REF!</f>
        <v>#REF!</v>
      </c>
      <c r="AQ32" s="16" t="e">
        <f>Sheet1!#REF!</f>
        <v>#REF!</v>
      </c>
      <c r="AR32" s="16" t="e">
        <f>Sheet1!#REF!</f>
        <v>#REF!</v>
      </c>
      <c r="AS32" s="16" t="e">
        <f>Sheet1!#REF!</f>
        <v>#REF!</v>
      </c>
      <c r="AT32" s="16" t="e">
        <f>Sheet1!#REF!</f>
        <v>#REF!</v>
      </c>
      <c r="AU32" s="16" t="e">
        <f>Sheet1!#REF!</f>
        <v>#REF!</v>
      </c>
      <c r="AV32" s="16" t="e">
        <f>Sheet1!#REF!</f>
        <v>#REF!</v>
      </c>
      <c r="AW32" s="16" t="e">
        <f>Sheet1!#REF!</f>
        <v>#REF!</v>
      </c>
    </row>
    <row r="33" spans="1:49" x14ac:dyDescent="0.15">
      <c r="A33" s="16">
        <f>Sheet1!A33</f>
        <v>1132</v>
      </c>
      <c r="B33" s="16" t="e">
        <f>Sheet1!#REF!</f>
        <v>#REF!</v>
      </c>
      <c r="C33" s="16" t="e">
        <f>Sheet1!#REF!</f>
        <v>#REF!</v>
      </c>
      <c r="D33" s="16" t="e">
        <f>Sheet1!#REF!</f>
        <v>#REF!</v>
      </c>
      <c r="E33" s="16" t="e">
        <f>Sheet1!#REF!</f>
        <v>#REF!</v>
      </c>
      <c r="F33" s="16" t="e">
        <f>Sheet1!#REF!</f>
        <v>#REF!</v>
      </c>
      <c r="G33" s="16" t="e">
        <f>Sheet1!#REF!</f>
        <v>#REF!</v>
      </c>
      <c r="H33" s="16" t="e">
        <f>Sheet1!#REF!</f>
        <v>#REF!</v>
      </c>
      <c r="I33" s="16">
        <v>2</v>
      </c>
      <c r="J33" s="16">
        <v>12</v>
      </c>
      <c r="K33" s="16" t="e">
        <f>Sheet1!#REF!</f>
        <v>#REF!</v>
      </c>
      <c r="L33" s="16" t="e">
        <f>Sheet1!#REF!</f>
        <v>#REF!</v>
      </c>
      <c r="M33" s="16">
        <v>1</v>
      </c>
      <c r="N33" s="16">
        <f t="shared" ca="1" si="2"/>
        <v>1.020460108337147</v>
      </c>
      <c r="O33" s="18" t="e">
        <f>M33*VLOOKUP($H33,Sheet4!$A$1:$B$7,2,FALSE)*Sheet4!D$2</f>
        <v>#REF!</v>
      </c>
      <c r="P33" s="18" t="e">
        <f>M33*VLOOKUP($H33,Sheet4!$A$1:$B$7,2,FALSE)*Sheet4!E$2</f>
        <v>#REF!</v>
      </c>
      <c r="Q33" s="18" t="e">
        <f>M33*VLOOKUP($H33,Sheet4!$A$1:$B$7,2,FALSE)*Sheet4!F$2</f>
        <v>#REF!</v>
      </c>
      <c r="R33" s="18" t="e">
        <f>M33*VLOOKUP($H33,Sheet4!$A$1:$B$7,2,FALSE)*Sheet4!G$2</f>
        <v>#REF!</v>
      </c>
      <c r="S33" s="18" t="e">
        <f>M33*VLOOKUP($H33,Sheet4!$A$1:$B$7,2,FALSE)*Sheet4!H$2</f>
        <v>#REF!</v>
      </c>
      <c r="T33" s="18" t="e">
        <f>M33*VLOOKUP($H33,Sheet4!$A$1:$B$7,2,FALSE)*Sheet4!I$2</f>
        <v>#REF!</v>
      </c>
      <c r="U33" s="18"/>
      <c r="V33" s="18"/>
      <c r="W33" s="18"/>
      <c r="X33" s="18"/>
      <c r="Y33" s="18"/>
      <c r="Z33" s="18"/>
      <c r="AA33" s="18" t="e">
        <f t="shared" si="9"/>
        <v>#REF!</v>
      </c>
      <c r="AB33" s="18" t="e">
        <f t="shared" si="4"/>
        <v>#REF!</v>
      </c>
      <c r="AC33" s="18" t="e">
        <f t="shared" si="5"/>
        <v>#REF!</v>
      </c>
      <c r="AD33" s="18" t="e">
        <f t="shared" si="6"/>
        <v>#REF!</v>
      </c>
      <c r="AE33" s="18" t="e">
        <f t="shared" si="7"/>
        <v>#REF!</v>
      </c>
      <c r="AF33" s="18" t="e">
        <f t="shared" si="8"/>
        <v>#REF!</v>
      </c>
      <c r="AG33" s="18"/>
      <c r="AH33" s="18"/>
      <c r="AI33" s="18"/>
      <c r="AJ33" s="18"/>
      <c r="AK33" s="16" t="e">
        <f t="shared" si="1"/>
        <v>#REF!</v>
      </c>
      <c r="AL33" s="16">
        <v>10</v>
      </c>
      <c r="AM33" s="16" t="e">
        <f>Sheet1!#REF!</f>
        <v>#REF!</v>
      </c>
      <c r="AN33" s="16" t="e">
        <f>Sheet1!#REF!</f>
        <v>#REF!</v>
      </c>
      <c r="AO33" s="16" t="e">
        <f>Sheet1!#REF!</f>
        <v>#REF!</v>
      </c>
      <c r="AP33" s="16" t="e">
        <f>Sheet1!#REF!</f>
        <v>#REF!</v>
      </c>
      <c r="AQ33" s="16" t="e">
        <f>Sheet1!#REF!</f>
        <v>#REF!</v>
      </c>
      <c r="AR33" s="16" t="e">
        <f>Sheet1!#REF!</f>
        <v>#REF!</v>
      </c>
      <c r="AS33" s="16" t="e">
        <f>Sheet1!#REF!</f>
        <v>#REF!</v>
      </c>
      <c r="AT33" s="16" t="e">
        <f>Sheet1!#REF!</f>
        <v>#REF!</v>
      </c>
      <c r="AU33" s="16" t="e">
        <f>Sheet1!#REF!</f>
        <v>#REF!</v>
      </c>
      <c r="AV33" s="16" t="e">
        <f>Sheet1!#REF!</f>
        <v>#REF!</v>
      </c>
      <c r="AW33" s="16" t="e">
        <f>Sheet1!#REF!</f>
        <v>#REF!</v>
      </c>
    </row>
    <row r="34" spans="1:49" x14ac:dyDescent="0.15">
      <c r="A34" s="16">
        <f>Sheet1!A34</f>
        <v>1125</v>
      </c>
      <c r="B34" s="16" t="e">
        <f>Sheet1!#REF!</f>
        <v>#REF!</v>
      </c>
      <c r="C34" s="16" t="e">
        <f>Sheet1!#REF!</f>
        <v>#REF!</v>
      </c>
      <c r="D34" s="16" t="e">
        <f>Sheet1!#REF!</f>
        <v>#REF!</v>
      </c>
      <c r="E34" s="16" t="e">
        <f>Sheet1!#REF!</f>
        <v>#REF!</v>
      </c>
      <c r="F34" s="16" t="e">
        <f>Sheet1!#REF!</f>
        <v>#REF!</v>
      </c>
      <c r="G34" s="16" t="e">
        <f>Sheet1!#REF!</f>
        <v>#REF!</v>
      </c>
      <c r="H34" s="16" t="e">
        <f>Sheet1!#REF!</f>
        <v>#REF!</v>
      </c>
      <c r="I34" s="16">
        <v>4</v>
      </c>
      <c r="J34" s="16">
        <v>12</v>
      </c>
      <c r="K34" s="16" t="e">
        <f>Sheet1!#REF!</f>
        <v>#REF!</v>
      </c>
      <c r="L34" s="16" t="e">
        <f>Sheet1!#REF!</f>
        <v>#REF!</v>
      </c>
      <c r="M34" s="16">
        <v>1</v>
      </c>
      <c r="N34" s="16">
        <f t="shared" ca="1" si="2"/>
        <v>1.0098997677948724</v>
      </c>
      <c r="O34" s="18" t="e">
        <f>M34*VLOOKUP($H34,Sheet4!$A$1:$B$7,2,FALSE)*Sheet4!D$2</f>
        <v>#REF!</v>
      </c>
      <c r="P34" s="18" t="e">
        <f>M34*VLOOKUP($H34,Sheet4!$A$1:$B$7,2,FALSE)*Sheet4!E$2</f>
        <v>#REF!</v>
      </c>
      <c r="Q34" s="18" t="e">
        <f>M34*VLOOKUP($H34,Sheet4!$A$1:$B$7,2,FALSE)*Sheet4!F$2</f>
        <v>#REF!</v>
      </c>
      <c r="R34" s="18" t="e">
        <f>M34*VLOOKUP($H34,Sheet4!$A$1:$B$7,2,FALSE)*Sheet4!G$2</f>
        <v>#REF!</v>
      </c>
      <c r="S34" s="18" t="e">
        <f>M34*VLOOKUP($H34,Sheet4!$A$1:$B$7,2,FALSE)*Sheet4!H$2</f>
        <v>#REF!</v>
      </c>
      <c r="T34" s="18" t="e">
        <f>M34*VLOOKUP($H34,Sheet4!$A$1:$B$7,2,FALSE)*Sheet4!I$2</f>
        <v>#REF!</v>
      </c>
      <c r="U34" s="18"/>
      <c r="V34" s="18"/>
      <c r="W34" s="18"/>
      <c r="X34" s="18"/>
      <c r="Y34" s="18"/>
      <c r="Z34" s="18"/>
      <c r="AA34" s="18" t="e">
        <f t="shared" si="9"/>
        <v>#REF!</v>
      </c>
      <c r="AB34" s="18" t="e">
        <f t="shared" si="4"/>
        <v>#REF!</v>
      </c>
      <c r="AC34" s="18" t="e">
        <f t="shared" si="5"/>
        <v>#REF!</v>
      </c>
      <c r="AD34" s="18" t="e">
        <f t="shared" si="6"/>
        <v>#REF!</v>
      </c>
      <c r="AE34" s="18" t="e">
        <f t="shared" si="7"/>
        <v>#REF!</v>
      </c>
      <c r="AF34" s="18" t="e">
        <f t="shared" si="8"/>
        <v>#REF!</v>
      </c>
      <c r="AG34" s="18"/>
      <c r="AH34" s="18"/>
      <c r="AI34" s="18"/>
      <c r="AJ34" s="18"/>
      <c r="AK34" s="16" t="e">
        <f t="shared" si="1"/>
        <v>#REF!</v>
      </c>
      <c r="AL34" s="16">
        <v>10</v>
      </c>
      <c r="AM34" s="16" t="e">
        <f>Sheet1!#REF!</f>
        <v>#REF!</v>
      </c>
      <c r="AN34" s="16" t="e">
        <f>Sheet1!#REF!</f>
        <v>#REF!</v>
      </c>
      <c r="AO34" s="16" t="e">
        <f>Sheet1!#REF!</f>
        <v>#REF!</v>
      </c>
      <c r="AP34" s="16" t="e">
        <f>Sheet1!#REF!</f>
        <v>#REF!</v>
      </c>
      <c r="AQ34" s="16" t="e">
        <f>Sheet1!#REF!</f>
        <v>#REF!</v>
      </c>
      <c r="AR34" s="16" t="e">
        <f>Sheet1!#REF!</f>
        <v>#REF!</v>
      </c>
      <c r="AS34" s="16" t="e">
        <f>Sheet1!#REF!</f>
        <v>#REF!</v>
      </c>
      <c r="AT34" s="16" t="e">
        <f>Sheet1!#REF!</f>
        <v>#REF!</v>
      </c>
      <c r="AU34" s="16" t="e">
        <f>Sheet1!#REF!</f>
        <v>#REF!</v>
      </c>
      <c r="AV34" s="16" t="e">
        <f>Sheet1!#REF!</f>
        <v>#REF!</v>
      </c>
      <c r="AW34" s="16" t="e">
        <f>Sheet1!#REF!</f>
        <v>#REF!</v>
      </c>
    </row>
    <row r="35" spans="1:49" x14ac:dyDescent="0.15">
      <c r="A35" s="16">
        <f>Sheet1!A35</f>
        <v>1202</v>
      </c>
      <c r="B35" s="16" t="e">
        <f>Sheet1!#REF!</f>
        <v>#REF!</v>
      </c>
      <c r="C35" s="16" t="e">
        <f>Sheet1!#REF!</f>
        <v>#REF!</v>
      </c>
      <c r="D35" s="16" t="e">
        <f>Sheet1!#REF!</f>
        <v>#REF!</v>
      </c>
      <c r="E35" s="16" t="e">
        <f>Sheet1!#REF!</f>
        <v>#REF!</v>
      </c>
      <c r="F35" s="16" t="e">
        <f>Sheet1!#REF!</f>
        <v>#REF!</v>
      </c>
      <c r="G35" s="16" t="e">
        <f>Sheet1!#REF!</f>
        <v>#REF!</v>
      </c>
      <c r="H35" s="16" t="e">
        <f>Sheet1!#REF!</f>
        <v>#REF!</v>
      </c>
      <c r="I35" s="16">
        <v>4</v>
      </c>
      <c r="J35" s="16">
        <v>12</v>
      </c>
      <c r="K35" s="16" t="e">
        <f>Sheet1!#REF!</f>
        <v>#REF!</v>
      </c>
      <c r="L35" s="16" t="e">
        <f>Sheet1!#REF!</f>
        <v>#REF!</v>
      </c>
      <c r="M35" s="16">
        <v>1</v>
      </c>
      <c r="N35" s="16">
        <f t="shared" ca="1" si="2"/>
        <v>1.0051152306097881</v>
      </c>
      <c r="O35" s="18" t="e">
        <f>M35*VLOOKUP($H35,Sheet4!$A$1:$B$7,2,FALSE)*Sheet4!D$2</f>
        <v>#REF!</v>
      </c>
      <c r="P35" s="18" t="e">
        <f>M35*VLOOKUP($H35,Sheet4!$A$1:$B$7,2,FALSE)*Sheet4!E$2</f>
        <v>#REF!</v>
      </c>
      <c r="Q35" s="18" t="e">
        <f>M35*VLOOKUP($H35,Sheet4!$A$1:$B$7,2,FALSE)*Sheet4!F$2</f>
        <v>#REF!</v>
      </c>
      <c r="R35" s="18" t="e">
        <f>M35*VLOOKUP($H35,Sheet4!$A$1:$B$7,2,FALSE)*Sheet4!G$2</f>
        <v>#REF!</v>
      </c>
      <c r="S35" s="18" t="e">
        <f>M35*VLOOKUP($H35,Sheet4!$A$1:$B$7,2,FALSE)*Sheet4!H$2</f>
        <v>#REF!</v>
      </c>
      <c r="T35" s="18" t="e">
        <f>M35*VLOOKUP($H35,Sheet4!$A$1:$B$7,2,FALSE)*Sheet4!I$2</f>
        <v>#REF!</v>
      </c>
      <c r="U35" s="18"/>
      <c r="V35" s="18"/>
      <c r="W35" s="18"/>
      <c r="X35" s="18"/>
      <c r="Y35" s="18"/>
      <c r="Z35" s="18"/>
      <c r="AA35" s="18" t="e">
        <f t="shared" si="9"/>
        <v>#REF!</v>
      </c>
      <c r="AB35" s="18" t="e">
        <f t="shared" si="4"/>
        <v>#REF!</v>
      </c>
      <c r="AC35" s="18" t="e">
        <f t="shared" si="5"/>
        <v>#REF!</v>
      </c>
      <c r="AD35" s="18" t="e">
        <f t="shared" si="6"/>
        <v>#REF!</v>
      </c>
      <c r="AE35" s="18" t="e">
        <f t="shared" si="7"/>
        <v>#REF!</v>
      </c>
      <c r="AF35" s="18" t="e">
        <f t="shared" si="8"/>
        <v>#REF!</v>
      </c>
      <c r="AG35" s="18"/>
      <c r="AH35" s="18"/>
      <c r="AI35" s="18"/>
      <c r="AJ35" s="18"/>
      <c r="AK35" s="16" t="e">
        <f t="shared" si="1"/>
        <v>#REF!</v>
      </c>
      <c r="AL35" s="16">
        <v>10</v>
      </c>
      <c r="AM35" s="16" t="e">
        <f>Sheet1!#REF!</f>
        <v>#REF!</v>
      </c>
      <c r="AN35" s="16" t="e">
        <f>Sheet1!#REF!</f>
        <v>#REF!</v>
      </c>
      <c r="AO35" s="16" t="e">
        <f>Sheet1!#REF!</f>
        <v>#REF!</v>
      </c>
      <c r="AP35" s="16" t="e">
        <f>Sheet1!#REF!</f>
        <v>#REF!</v>
      </c>
      <c r="AQ35" s="16" t="e">
        <f>Sheet1!#REF!</f>
        <v>#REF!</v>
      </c>
      <c r="AR35" s="16" t="e">
        <f>Sheet1!#REF!</f>
        <v>#REF!</v>
      </c>
      <c r="AS35" s="16" t="e">
        <f>Sheet1!#REF!</f>
        <v>#REF!</v>
      </c>
      <c r="AT35" s="16" t="e">
        <f>Sheet1!#REF!</f>
        <v>#REF!</v>
      </c>
      <c r="AU35" s="16" t="e">
        <f>Sheet1!#REF!</f>
        <v>#REF!</v>
      </c>
      <c r="AV35" s="16" t="e">
        <f>Sheet1!#REF!</f>
        <v>#REF!</v>
      </c>
      <c r="AW35" s="16" t="e">
        <f>Sheet1!#REF!</f>
        <v>#REF!</v>
      </c>
    </row>
    <row r="36" spans="1:49" x14ac:dyDescent="0.15">
      <c r="A36" s="16">
        <f>Sheet1!A36</f>
        <v>1123</v>
      </c>
      <c r="B36" s="16" t="e">
        <f>Sheet1!#REF!</f>
        <v>#REF!</v>
      </c>
      <c r="C36" s="16" t="e">
        <f>Sheet1!#REF!</f>
        <v>#REF!</v>
      </c>
      <c r="D36" s="16" t="e">
        <f>Sheet1!#REF!</f>
        <v>#REF!</v>
      </c>
      <c r="E36" s="16" t="e">
        <f>Sheet1!#REF!</f>
        <v>#REF!</v>
      </c>
      <c r="F36" s="16" t="e">
        <f>Sheet1!#REF!</f>
        <v>#REF!</v>
      </c>
      <c r="G36" s="16" t="e">
        <f>Sheet1!#REF!</f>
        <v>#REF!</v>
      </c>
      <c r="H36" s="16" t="e">
        <f>Sheet1!#REF!</f>
        <v>#REF!</v>
      </c>
      <c r="I36" s="16">
        <v>2</v>
      </c>
      <c r="J36" s="16">
        <v>12</v>
      </c>
      <c r="K36" s="16" t="e">
        <f>Sheet1!#REF!</f>
        <v>#REF!</v>
      </c>
      <c r="L36" s="16" t="e">
        <f>Sheet1!#REF!</f>
        <v>#REF!</v>
      </c>
      <c r="M36" s="16">
        <v>1</v>
      </c>
      <c r="N36" s="16">
        <f t="shared" ca="1" si="2"/>
        <v>1.0015394246192697</v>
      </c>
      <c r="O36" s="18" t="e">
        <f>M36*VLOOKUP($H36,Sheet4!$A$1:$B$7,2,FALSE)*Sheet4!D$2</f>
        <v>#REF!</v>
      </c>
      <c r="P36" s="18" t="e">
        <f>M36*VLOOKUP($H36,Sheet4!$A$1:$B$7,2,FALSE)*Sheet4!E$2</f>
        <v>#REF!</v>
      </c>
      <c r="Q36" s="18" t="e">
        <f>M36*VLOOKUP($H36,Sheet4!$A$1:$B$7,2,FALSE)*Sheet4!F$2</f>
        <v>#REF!</v>
      </c>
      <c r="R36" s="18" t="e">
        <f>M36*VLOOKUP($H36,Sheet4!$A$1:$B$7,2,FALSE)*Sheet4!G$2</f>
        <v>#REF!</v>
      </c>
      <c r="S36" s="18" t="e">
        <f>M36*VLOOKUP($H36,Sheet4!$A$1:$B$7,2,FALSE)*Sheet4!H$2</f>
        <v>#REF!</v>
      </c>
      <c r="T36" s="18" t="e">
        <f>M36*VLOOKUP($H36,Sheet4!$A$1:$B$7,2,FALSE)*Sheet4!I$2</f>
        <v>#REF!</v>
      </c>
      <c r="U36" s="18"/>
      <c r="V36" s="18"/>
      <c r="W36" s="18"/>
      <c r="X36" s="18"/>
      <c r="Y36" s="18"/>
      <c r="Z36" s="18"/>
      <c r="AA36" s="18" t="e">
        <f t="shared" si="9"/>
        <v>#REF!</v>
      </c>
      <c r="AB36" s="18" t="e">
        <f t="shared" si="4"/>
        <v>#REF!</v>
      </c>
      <c r="AC36" s="18" t="e">
        <f t="shared" si="5"/>
        <v>#REF!</v>
      </c>
      <c r="AD36" s="18" t="e">
        <f t="shared" si="6"/>
        <v>#REF!</v>
      </c>
      <c r="AE36" s="18" t="e">
        <f t="shared" si="7"/>
        <v>#REF!</v>
      </c>
      <c r="AF36" s="18" t="e">
        <f t="shared" si="8"/>
        <v>#REF!</v>
      </c>
      <c r="AG36" s="18"/>
      <c r="AH36" s="18"/>
      <c r="AI36" s="18"/>
      <c r="AJ36" s="18"/>
      <c r="AK36" s="16" t="e">
        <f t="shared" si="1"/>
        <v>#REF!</v>
      </c>
      <c r="AL36" s="16">
        <v>10</v>
      </c>
      <c r="AM36" s="16" t="e">
        <f>Sheet1!#REF!</f>
        <v>#REF!</v>
      </c>
      <c r="AN36" s="16" t="e">
        <f>Sheet1!#REF!</f>
        <v>#REF!</v>
      </c>
      <c r="AO36" s="16" t="e">
        <f>Sheet1!#REF!</f>
        <v>#REF!</v>
      </c>
      <c r="AP36" s="16" t="e">
        <f>Sheet1!#REF!</f>
        <v>#REF!</v>
      </c>
      <c r="AQ36" s="16" t="e">
        <f>Sheet1!#REF!</f>
        <v>#REF!</v>
      </c>
      <c r="AR36" s="16" t="e">
        <f>Sheet1!#REF!</f>
        <v>#REF!</v>
      </c>
      <c r="AS36" s="16" t="e">
        <f>Sheet1!#REF!</f>
        <v>#REF!</v>
      </c>
      <c r="AT36" s="16" t="e">
        <f>Sheet1!#REF!</f>
        <v>#REF!</v>
      </c>
      <c r="AU36" s="16" t="e">
        <f>Sheet1!#REF!</f>
        <v>#REF!</v>
      </c>
      <c r="AV36" s="16" t="e">
        <f>Sheet1!#REF!</f>
        <v>#REF!</v>
      </c>
      <c r="AW36" s="16" t="e">
        <f>Sheet1!#REF!</f>
        <v>#REF!</v>
      </c>
    </row>
    <row r="37" spans="1:49" x14ac:dyDescent="0.15">
      <c r="A37" s="16">
        <f>Sheet1!A37</f>
        <v>1117</v>
      </c>
      <c r="B37" s="16" t="e">
        <f>Sheet1!#REF!</f>
        <v>#REF!</v>
      </c>
      <c r="C37" s="16" t="e">
        <f>Sheet1!#REF!</f>
        <v>#REF!</v>
      </c>
      <c r="D37" s="16" t="e">
        <f>Sheet1!#REF!</f>
        <v>#REF!</v>
      </c>
      <c r="E37" s="16" t="e">
        <f>Sheet1!#REF!</f>
        <v>#REF!</v>
      </c>
      <c r="F37" s="16" t="e">
        <f>Sheet1!#REF!</f>
        <v>#REF!</v>
      </c>
      <c r="G37" s="16" t="e">
        <f>Sheet1!#REF!</f>
        <v>#REF!</v>
      </c>
      <c r="H37" s="16" t="e">
        <f>Sheet1!#REF!</f>
        <v>#REF!</v>
      </c>
      <c r="I37" s="16">
        <v>2</v>
      </c>
      <c r="J37" s="16">
        <v>12</v>
      </c>
      <c r="K37" s="16" t="e">
        <f>Sheet1!#REF!</f>
        <v>#REF!</v>
      </c>
      <c r="L37" s="16" t="e">
        <f>Sheet1!#REF!</f>
        <v>#REF!</v>
      </c>
      <c r="M37" s="16">
        <v>1</v>
      </c>
      <c r="N37" s="16">
        <f t="shared" ca="1" si="2"/>
        <v>0.97906838357235515</v>
      </c>
      <c r="O37" s="18" t="e">
        <f>M37*VLOOKUP($H37,Sheet4!$A$1:$B$7,2,FALSE)*Sheet4!D$2</f>
        <v>#REF!</v>
      </c>
      <c r="P37" s="18" t="e">
        <f>M37*VLOOKUP($H37,Sheet4!$A$1:$B$7,2,FALSE)*Sheet4!E$2</f>
        <v>#REF!</v>
      </c>
      <c r="Q37" s="18" t="e">
        <f>M37*VLOOKUP($H37,Sheet4!$A$1:$B$7,2,FALSE)*Sheet4!F$2</f>
        <v>#REF!</v>
      </c>
      <c r="R37" s="18" t="e">
        <f>M37*VLOOKUP($H37,Sheet4!$A$1:$B$7,2,FALSE)*Sheet4!G$2</f>
        <v>#REF!</v>
      </c>
      <c r="S37" s="18" t="e">
        <f>M37*VLOOKUP($H37,Sheet4!$A$1:$B$7,2,FALSE)*Sheet4!H$2</f>
        <v>#REF!</v>
      </c>
      <c r="T37" s="18" t="e">
        <f>M37*VLOOKUP($H37,Sheet4!$A$1:$B$7,2,FALSE)*Sheet4!I$2</f>
        <v>#REF!</v>
      </c>
      <c r="U37" s="18"/>
      <c r="V37" s="18"/>
      <c r="W37" s="18"/>
      <c r="X37" s="18"/>
      <c r="Y37" s="18"/>
      <c r="Z37" s="18"/>
      <c r="AA37" s="18" t="e">
        <f t="shared" si="9"/>
        <v>#REF!</v>
      </c>
      <c r="AB37" s="18" t="e">
        <f t="shared" si="4"/>
        <v>#REF!</v>
      </c>
      <c r="AC37" s="18" t="e">
        <f t="shared" si="5"/>
        <v>#REF!</v>
      </c>
      <c r="AD37" s="18" t="e">
        <f t="shared" si="6"/>
        <v>#REF!</v>
      </c>
      <c r="AE37" s="18" t="e">
        <f t="shared" si="7"/>
        <v>#REF!</v>
      </c>
      <c r="AF37" s="18" t="e">
        <f t="shared" si="8"/>
        <v>#REF!</v>
      </c>
      <c r="AG37" s="18"/>
      <c r="AH37" s="18"/>
      <c r="AI37" s="18"/>
      <c r="AJ37" s="18"/>
      <c r="AK37" s="16" t="e">
        <f t="shared" si="1"/>
        <v>#REF!</v>
      </c>
      <c r="AL37" s="16">
        <v>10</v>
      </c>
      <c r="AM37" s="16" t="e">
        <f>Sheet1!#REF!</f>
        <v>#REF!</v>
      </c>
      <c r="AN37" s="16" t="e">
        <f>Sheet1!#REF!</f>
        <v>#REF!</v>
      </c>
      <c r="AO37" s="16" t="e">
        <f>Sheet1!#REF!</f>
        <v>#REF!</v>
      </c>
      <c r="AP37" s="16" t="e">
        <f>Sheet1!#REF!</f>
        <v>#REF!</v>
      </c>
      <c r="AQ37" s="16" t="e">
        <f>Sheet1!#REF!</f>
        <v>#REF!</v>
      </c>
      <c r="AR37" s="16" t="e">
        <f>Sheet1!#REF!</f>
        <v>#REF!</v>
      </c>
      <c r="AS37" s="16" t="e">
        <f>Sheet1!#REF!</f>
        <v>#REF!</v>
      </c>
      <c r="AT37" s="16" t="e">
        <f>Sheet1!#REF!</f>
        <v>#REF!</v>
      </c>
      <c r="AU37" s="16" t="e">
        <f>Sheet1!#REF!</f>
        <v>#REF!</v>
      </c>
      <c r="AV37" s="16" t="e">
        <f>Sheet1!#REF!</f>
        <v>#REF!</v>
      </c>
      <c r="AW37" s="16" t="e">
        <f>Sheet1!#REF!</f>
        <v>#REF!</v>
      </c>
    </row>
    <row r="38" spans="1:49" x14ac:dyDescent="0.15">
      <c r="A38" s="16">
        <f>Sheet1!A38</f>
        <v>1201</v>
      </c>
      <c r="B38" s="16" t="e">
        <f>Sheet1!#REF!</f>
        <v>#REF!</v>
      </c>
      <c r="C38" s="16" t="e">
        <f>Sheet1!#REF!</f>
        <v>#REF!</v>
      </c>
      <c r="D38" s="16" t="e">
        <f>Sheet1!#REF!</f>
        <v>#REF!</v>
      </c>
      <c r="E38" s="16" t="e">
        <f>Sheet1!#REF!</f>
        <v>#REF!</v>
      </c>
      <c r="F38" s="16" t="e">
        <f>Sheet1!#REF!</f>
        <v>#REF!</v>
      </c>
      <c r="G38" s="16" t="e">
        <f>Sheet1!#REF!</f>
        <v>#REF!</v>
      </c>
      <c r="H38" s="16" t="e">
        <f>Sheet1!#REF!</f>
        <v>#REF!</v>
      </c>
      <c r="I38" s="16">
        <v>10</v>
      </c>
      <c r="J38" s="16">
        <v>12</v>
      </c>
      <c r="K38" s="16" t="e">
        <f>Sheet1!#REF!</f>
        <v>#REF!</v>
      </c>
      <c r="L38" s="16" t="e">
        <f>Sheet1!#REF!</f>
        <v>#REF!</v>
      </c>
      <c r="M38" s="16">
        <v>1</v>
      </c>
      <c r="N38" s="16">
        <f t="shared" ca="1" si="2"/>
        <v>0.97731412883409197</v>
      </c>
      <c r="O38" s="18" t="e">
        <f>M38*VLOOKUP($H38,Sheet4!$A$1:$B$7,2,FALSE)*Sheet4!D$2</f>
        <v>#REF!</v>
      </c>
      <c r="P38" s="18" t="e">
        <f>M38*VLOOKUP($H38,Sheet4!$A$1:$B$7,2,FALSE)*Sheet4!E$2</f>
        <v>#REF!</v>
      </c>
      <c r="Q38" s="18" t="e">
        <f>M38*VLOOKUP($H38,Sheet4!$A$1:$B$7,2,FALSE)*Sheet4!F$2</f>
        <v>#REF!</v>
      </c>
      <c r="R38" s="18" t="e">
        <f>M38*VLOOKUP($H38,Sheet4!$A$1:$B$7,2,FALSE)*Sheet4!G$2</f>
        <v>#REF!</v>
      </c>
      <c r="S38" s="18" t="e">
        <f>M38*VLOOKUP($H38,Sheet4!$A$1:$B$7,2,FALSE)*Sheet4!H$2</f>
        <v>#REF!</v>
      </c>
      <c r="T38" s="18" t="e">
        <f>M38*VLOOKUP($H38,Sheet4!$A$1:$B$7,2,FALSE)*Sheet4!I$2</f>
        <v>#REF!</v>
      </c>
      <c r="U38" s="18"/>
      <c r="V38" s="18"/>
      <c r="W38" s="18"/>
      <c r="X38" s="18"/>
      <c r="Y38" s="18"/>
      <c r="Z38" s="18"/>
      <c r="AA38" s="18" t="e">
        <f t="shared" si="9"/>
        <v>#REF!</v>
      </c>
      <c r="AB38" s="18" t="e">
        <f t="shared" si="4"/>
        <v>#REF!</v>
      </c>
      <c r="AC38" s="18" t="e">
        <f t="shared" si="5"/>
        <v>#REF!</v>
      </c>
      <c r="AD38" s="18" t="e">
        <f t="shared" si="6"/>
        <v>#REF!</v>
      </c>
      <c r="AE38" s="18" t="e">
        <f t="shared" si="7"/>
        <v>#REF!</v>
      </c>
      <c r="AF38" s="18" t="e">
        <f t="shared" si="8"/>
        <v>#REF!</v>
      </c>
      <c r="AG38" s="18"/>
      <c r="AH38" s="18"/>
      <c r="AI38" s="18"/>
      <c r="AJ38" s="18"/>
      <c r="AK38" s="16" t="e">
        <f t="shared" si="1"/>
        <v>#REF!</v>
      </c>
      <c r="AL38" s="16">
        <v>10</v>
      </c>
      <c r="AM38" s="16" t="e">
        <f>Sheet1!#REF!</f>
        <v>#REF!</v>
      </c>
      <c r="AN38" s="16" t="e">
        <f>Sheet1!#REF!</f>
        <v>#REF!</v>
      </c>
      <c r="AO38" s="16" t="e">
        <f>Sheet1!#REF!</f>
        <v>#REF!</v>
      </c>
      <c r="AP38" s="16" t="e">
        <f>Sheet1!#REF!</f>
        <v>#REF!</v>
      </c>
      <c r="AQ38" s="16" t="e">
        <f>Sheet1!#REF!</f>
        <v>#REF!</v>
      </c>
      <c r="AR38" s="16" t="e">
        <f>Sheet1!#REF!</f>
        <v>#REF!</v>
      </c>
      <c r="AS38" s="16" t="e">
        <f>Sheet1!#REF!</f>
        <v>#REF!</v>
      </c>
      <c r="AT38" s="16" t="e">
        <f>Sheet1!#REF!</f>
        <v>#REF!</v>
      </c>
      <c r="AU38" s="16" t="e">
        <f>Sheet1!#REF!</f>
        <v>#REF!</v>
      </c>
      <c r="AV38" s="16" t="e">
        <f>Sheet1!#REF!</f>
        <v>#REF!</v>
      </c>
      <c r="AW38" s="16" t="e">
        <f>Sheet1!#REF!</f>
        <v>#REF!</v>
      </c>
    </row>
    <row r="39" spans="1:49" x14ac:dyDescent="0.15">
      <c r="A39" s="16">
        <f>Sheet1!A39</f>
        <v>1131</v>
      </c>
      <c r="B39" s="16" t="e">
        <f>Sheet1!#REF!</f>
        <v>#REF!</v>
      </c>
      <c r="C39" s="16" t="e">
        <f>Sheet1!#REF!</f>
        <v>#REF!</v>
      </c>
      <c r="D39" s="16" t="e">
        <f>Sheet1!#REF!</f>
        <v>#REF!</v>
      </c>
      <c r="E39" s="16" t="e">
        <f>Sheet1!#REF!</f>
        <v>#REF!</v>
      </c>
      <c r="F39" s="16" t="e">
        <f>Sheet1!#REF!</f>
        <v>#REF!</v>
      </c>
      <c r="G39" s="16" t="e">
        <f>Sheet1!#REF!</f>
        <v>#REF!</v>
      </c>
      <c r="H39" s="16" t="e">
        <f>Sheet1!#REF!</f>
        <v>#REF!</v>
      </c>
      <c r="I39" s="16">
        <v>10</v>
      </c>
      <c r="J39" s="16">
        <v>12</v>
      </c>
      <c r="K39" s="16" t="e">
        <f>Sheet1!#REF!</f>
        <v>#REF!</v>
      </c>
      <c r="L39" s="16" t="e">
        <f>Sheet1!#REF!</f>
        <v>#REF!</v>
      </c>
      <c r="M39" s="16">
        <v>1</v>
      </c>
      <c r="N39" s="16">
        <f t="shared" ca="1" si="2"/>
        <v>0.98647788096439448</v>
      </c>
      <c r="O39" s="18" t="e">
        <f>M39*VLOOKUP($H39,Sheet4!$A$1:$B$7,2,FALSE)*Sheet4!D$2</f>
        <v>#REF!</v>
      </c>
      <c r="P39" s="18" t="e">
        <f>M39*VLOOKUP($H39,Sheet4!$A$1:$B$7,2,FALSE)*Sheet4!E$2</f>
        <v>#REF!</v>
      </c>
      <c r="Q39" s="18" t="e">
        <f>M39*VLOOKUP($H39,Sheet4!$A$1:$B$7,2,FALSE)*Sheet4!F$2</f>
        <v>#REF!</v>
      </c>
      <c r="R39" s="18" t="e">
        <f>M39*VLOOKUP($H39,Sheet4!$A$1:$B$7,2,FALSE)*Sheet4!G$2</f>
        <v>#REF!</v>
      </c>
      <c r="S39" s="18" t="e">
        <f>M39*VLOOKUP($H39,Sheet4!$A$1:$B$7,2,FALSE)*Sheet4!H$2</f>
        <v>#REF!</v>
      </c>
      <c r="T39" s="18" t="e">
        <f>M39*VLOOKUP($H39,Sheet4!$A$1:$B$7,2,FALSE)*Sheet4!I$2</f>
        <v>#REF!</v>
      </c>
      <c r="U39" s="18"/>
      <c r="V39" s="18"/>
      <c r="W39" s="18"/>
      <c r="X39" s="18"/>
      <c r="Y39" s="18"/>
      <c r="Z39" s="18"/>
      <c r="AA39" s="18" t="e">
        <f t="shared" si="9"/>
        <v>#REF!</v>
      </c>
      <c r="AB39" s="18" t="e">
        <f t="shared" si="4"/>
        <v>#REF!</v>
      </c>
      <c r="AC39" s="18" t="e">
        <f t="shared" si="5"/>
        <v>#REF!</v>
      </c>
      <c r="AD39" s="18" t="e">
        <f t="shared" si="6"/>
        <v>#REF!</v>
      </c>
      <c r="AE39" s="18" t="e">
        <f t="shared" si="7"/>
        <v>#REF!</v>
      </c>
      <c r="AF39" s="18" t="e">
        <f t="shared" si="8"/>
        <v>#REF!</v>
      </c>
      <c r="AG39" s="18"/>
      <c r="AH39" s="18"/>
      <c r="AI39" s="18"/>
      <c r="AJ39" s="18"/>
      <c r="AK39" s="16" t="e">
        <f t="shared" si="1"/>
        <v>#REF!</v>
      </c>
      <c r="AL39" s="16">
        <v>10</v>
      </c>
      <c r="AM39" s="16" t="e">
        <f>Sheet1!#REF!</f>
        <v>#REF!</v>
      </c>
      <c r="AN39" s="16" t="e">
        <f>Sheet1!#REF!</f>
        <v>#REF!</v>
      </c>
      <c r="AO39" s="16" t="e">
        <f>Sheet1!#REF!</f>
        <v>#REF!</v>
      </c>
      <c r="AP39" s="16" t="e">
        <f>Sheet1!#REF!</f>
        <v>#REF!</v>
      </c>
      <c r="AQ39" s="16" t="e">
        <f>Sheet1!#REF!</f>
        <v>#REF!</v>
      </c>
      <c r="AR39" s="16" t="e">
        <f>Sheet1!#REF!</f>
        <v>#REF!</v>
      </c>
      <c r="AS39" s="16" t="e">
        <f>Sheet1!#REF!</f>
        <v>#REF!</v>
      </c>
      <c r="AT39" s="16" t="e">
        <f>Sheet1!#REF!</f>
        <v>#REF!</v>
      </c>
      <c r="AU39" s="16" t="e">
        <f>Sheet1!#REF!</f>
        <v>#REF!</v>
      </c>
      <c r="AV39" s="16" t="e">
        <f>Sheet1!#REF!</f>
        <v>#REF!</v>
      </c>
      <c r="AW39" s="16" t="e">
        <f>Sheet1!#REF!</f>
        <v>#REF!</v>
      </c>
    </row>
    <row r="40" spans="1:49" x14ac:dyDescent="0.15">
      <c r="A40" s="16">
        <f>Sheet1!A40</f>
        <v>1137</v>
      </c>
      <c r="B40" s="16" t="e">
        <f>Sheet1!#REF!</f>
        <v>#REF!</v>
      </c>
      <c r="C40" s="16" t="e">
        <f>Sheet1!#REF!</f>
        <v>#REF!</v>
      </c>
      <c r="D40" s="16" t="e">
        <f>Sheet1!#REF!</f>
        <v>#REF!</v>
      </c>
      <c r="E40" s="16" t="e">
        <f>Sheet1!#REF!</f>
        <v>#REF!</v>
      </c>
      <c r="F40" s="16" t="e">
        <f>Sheet1!#REF!</f>
        <v>#REF!</v>
      </c>
      <c r="G40" s="16" t="e">
        <f>Sheet1!#REF!</f>
        <v>#REF!</v>
      </c>
      <c r="H40" s="16" t="e">
        <f>Sheet1!#REF!</f>
        <v>#REF!</v>
      </c>
      <c r="I40" s="16">
        <v>10</v>
      </c>
      <c r="J40" s="16">
        <v>12</v>
      </c>
      <c r="K40" s="16" t="e">
        <f>Sheet1!#REF!</f>
        <v>#REF!</v>
      </c>
      <c r="L40" s="16" t="e">
        <f>Sheet1!#REF!</f>
        <v>#REF!</v>
      </c>
      <c r="M40" s="16">
        <v>1</v>
      </c>
      <c r="N40" s="16">
        <f t="shared" ca="1" si="2"/>
        <v>1.0091304184963097</v>
      </c>
      <c r="O40" s="18" t="e">
        <f>M40*VLOOKUP($H40,Sheet4!$A$1:$B$7,2,FALSE)*Sheet4!D$2</f>
        <v>#REF!</v>
      </c>
      <c r="P40" s="18" t="e">
        <f>M40*VLOOKUP($H40,Sheet4!$A$1:$B$7,2,FALSE)*Sheet4!E$2</f>
        <v>#REF!</v>
      </c>
      <c r="Q40" s="18" t="e">
        <f>M40*VLOOKUP($H40,Sheet4!$A$1:$B$7,2,FALSE)*Sheet4!F$2</f>
        <v>#REF!</v>
      </c>
      <c r="R40" s="18" t="e">
        <f>M40*VLOOKUP($H40,Sheet4!$A$1:$B$7,2,FALSE)*Sheet4!G$2</f>
        <v>#REF!</v>
      </c>
      <c r="S40" s="18" t="e">
        <f>M40*VLOOKUP($H40,Sheet4!$A$1:$B$7,2,FALSE)*Sheet4!H$2</f>
        <v>#REF!</v>
      </c>
      <c r="T40" s="18" t="e">
        <f>M40*VLOOKUP($H40,Sheet4!$A$1:$B$7,2,FALSE)*Sheet4!I$2</f>
        <v>#REF!</v>
      </c>
      <c r="U40" s="18"/>
      <c r="V40" s="18"/>
      <c r="W40" s="18"/>
      <c r="X40" s="18"/>
      <c r="Y40" s="18"/>
      <c r="Z40" s="18"/>
      <c r="AA40" s="18" t="e">
        <f t="shared" si="9"/>
        <v>#REF!</v>
      </c>
      <c r="AB40" s="18" t="e">
        <f t="shared" si="4"/>
        <v>#REF!</v>
      </c>
      <c r="AC40" s="18" t="e">
        <f t="shared" si="5"/>
        <v>#REF!</v>
      </c>
      <c r="AD40" s="18" t="e">
        <f t="shared" si="6"/>
        <v>#REF!</v>
      </c>
      <c r="AE40" s="18" t="e">
        <f t="shared" si="7"/>
        <v>#REF!</v>
      </c>
      <c r="AF40" s="18" t="e">
        <f t="shared" si="8"/>
        <v>#REF!</v>
      </c>
      <c r="AG40" s="18"/>
      <c r="AH40" s="18"/>
      <c r="AI40" s="18"/>
      <c r="AJ40" s="18"/>
      <c r="AK40" s="16" t="e">
        <f t="shared" si="1"/>
        <v>#REF!</v>
      </c>
      <c r="AL40" s="16">
        <v>10</v>
      </c>
      <c r="AM40" s="16" t="e">
        <f>Sheet1!#REF!</f>
        <v>#REF!</v>
      </c>
      <c r="AN40" s="16" t="e">
        <f>Sheet1!#REF!</f>
        <v>#REF!</v>
      </c>
      <c r="AO40" s="16" t="e">
        <f>Sheet1!#REF!</f>
        <v>#REF!</v>
      </c>
      <c r="AP40" s="16" t="e">
        <f>Sheet1!#REF!</f>
        <v>#REF!</v>
      </c>
      <c r="AQ40" s="16" t="e">
        <f>Sheet1!#REF!</f>
        <v>#REF!</v>
      </c>
      <c r="AR40" s="16" t="e">
        <f>Sheet1!#REF!</f>
        <v>#REF!</v>
      </c>
      <c r="AS40" s="16" t="e">
        <f>Sheet1!#REF!</f>
        <v>#REF!</v>
      </c>
      <c r="AT40" s="16" t="e">
        <f>Sheet1!#REF!</f>
        <v>#REF!</v>
      </c>
      <c r="AU40" s="16" t="e">
        <f>Sheet1!#REF!</f>
        <v>#REF!</v>
      </c>
      <c r="AV40" s="16" t="e">
        <f>Sheet1!#REF!</f>
        <v>#REF!</v>
      </c>
      <c r="AW40" s="16" t="e">
        <f>Sheet1!#REF!</f>
        <v>#REF!</v>
      </c>
    </row>
    <row r="41" spans="1:49" x14ac:dyDescent="0.15">
      <c r="A41" s="16">
        <f>Sheet1!A41</f>
        <v>1216</v>
      </c>
      <c r="B41" s="16" t="e">
        <f>Sheet1!#REF!</f>
        <v>#REF!</v>
      </c>
      <c r="C41" s="16" t="e">
        <f>Sheet1!#REF!</f>
        <v>#REF!</v>
      </c>
      <c r="D41" s="16" t="e">
        <f>Sheet1!#REF!</f>
        <v>#REF!</v>
      </c>
      <c r="E41" s="16" t="e">
        <f>Sheet1!#REF!</f>
        <v>#REF!</v>
      </c>
      <c r="F41" s="16" t="e">
        <f>Sheet1!#REF!</f>
        <v>#REF!</v>
      </c>
      <c r="G41" s="16" t="e">
        <f>Sheet1!#REF!</f>
        <v>#REF!</v>
      </c>
      <c r="H41" s="16" t="e">
        <f>Sheet1!#REF!</f>
        <v>#REF!</v>
      </c>
      <c r="I41" s="16">
        <v>10</v>
      </c>
      <c r="J41" s="16">
        <v>12</v>
      </c>
      <c r="K41" s="16" t="e">
        <f>Sheet1!#REF!</f>
        <v>#REF!</v>
      </c>
      <c r="L41" s="16" t="e">
        <f>Sheet1!#REF!</f>
        <v>#REF!</v>
      </c>
      <c r="M41" s="16">
        <v>1</v>
      </c>
      <c r="N41" s="16">
        <f t="shared" ca="1" si="2"/>
        <v>0.99168361359271939</v>
      </c>
      <c r="O41" s="18" t="e">
        <f>M41*VLOOKUP($H41,Sheet4!$A$1:$B$7,2,FALSE)*Sheet4!D$2</f>
        <v>#REF!</v>
      </c>
      <c r="P41" s="18" t="e">
        <f>M41*VLOOKUP($H41,Sheet4!$A$1:$B$7,2,FALSE)*Sheet4!E$2</f>
        <v>#REF!</v>
      </c>
      <c r="Q41" s="18" t="e">
        <f>M41*VLOOKUP($H41,Sheet4!$A$1:$B$7,2,FALSE)*Sheet4!F$2</f>
        <v>#REF!</v>
      </c>
      <c r="R41" s="18" t="e">
        <f>M41*VLOOKUP($H41,Sheet4!$A$1:$B$7,2,FALSE)*Sheet4!G$2</f>
        <v>#REF!</v>
      </c>
      <c r="S41" s="18" t="e">
        <f>M41*VLOOKUP($H41,Sheet4!$A$1:$B$7,2,FALSE)*Sheet4!H$2</f>
        <v>#REF!</v>
      </c>
      <c r="T41" s="18" t="e">
        <f>M41*VLOOKUP($H41,Sheet4!$A$1:$B$7,2,FALSE)*Sheet4!I$2</f>
        <v>#REF!</v>
      </c>
      <c r="U41" s="18"/>
      <c r="V41" s="18"/>
      <c r="W41" s="18"/>
      <c r="X41" s="18"/>
      <c r="Y41" s="18"/>
      <c r="Z41" s="18"/>
      <c r="AA41" s="18" t="e">
        <f t="shared" si="9"/>
        <v>#REF!</v>
      </c>
      <c r="AB41" s="18" t="e">
        <f t="shared" si="4"/>
        <v>#REF!</v>
      </c>
      <c r="AC41" s="18" t="e">
        <f t="shared" si="5"/>
        <v>#REF!</v>
      </c>
      <c r="AD41" s="18" t="e">
        <f t="shared" si="6"/>
        <v>#REF!</v>
      </c>
      <c r="AE41" s="18" t="e">
        <f t="shared" si="7"/>
        <v>#REF!</v>
      </c>
      <c r="AF41" s="18" t="e">
        <f t="shared" si="8"/>
        <v>#REF!</v>
      </c>
      <c r="AG41" s="18"/>
      <c r="AH41" s="18"/>
      <c r="AI41" s="18"/>
      <c r="AJ41" s="18"/>
      <c r="AK41" s="16" t="e">
        <f t="shared" si="1"/>
        <v>#REF!</v>
      </c>
      <c r="AL41" s="16">
        <v>10</v>
      </c>
      <c r="AM41" s="16" t="e">
        <f>Sheet1!#REF!</f>
        <v>#REF!</v>
      </c>
      <c r="AN41" s="16" t="e">
        <f>Sheet1!#REF!</f>
        <v>#REF!</v>
      </c>
      <c r="AO41" s="16" t="e">
        <f>Sheet1!#REF!</f>
        <v>#REF!</v>
      </c>
      <c r="AP41" s="16" t="e">
        <f>Sheet1!#REF!</f>
        <v>#REF!</v>
      </c>
      <c r="AQ41" s="16" t="e">
        <f>Sheet1!#REF!</f>
        <v>#REF!</v>
      </c>
      <c r="AR41" s="16" t="e">
        <f>Sheet1!#REF!</f>
        <v>#REF!</v>
      </c>
      <c r="AS41" s="16" t="e">
        <f>Sheet1!#REF!</f>
        <v>#REF!</v>
      </c>
      <c r="AT41" s="16" t="e">
        <f>Sheet1!#REF!</f>
        <v>#REF!</v>
      </c>
      <c r="AU41" s="16" t="e">
        <f>Sheet1!#REF!</f>
        <v>#REF!</v>
      </c>
      <c r="AV41" s="16" t="e">
        <f>Sheet1!#REF!</f>
        <v>#REF!</v>
      </c>
      <c r="AW41" s="16" t="e">
        <f>Sheet1!#REF!</f>
        <v>#REF!</v>
      </c>
    </row>
    <row r="42" spans="1:49" x14ac:dyDescent="0.15">
      <c r="A42" s="16">
        <f>Sheet1!A42</f>
        <v>1106</v>
      </c>
      <c r="B42" s="16" t="e">
        <f>Sheet1!#REF!</f>
        <v>#REF!</v>
      </c>
      <c r="C42" s="16" t="e">
        <f>Sheet1!#REF!</f>
        <v>#REF!</v>
      </c>
      <c r="D42" s="16" t="e">
        <f>Sheet1!#REF!</f>
        <v>#REF!</v>
      </c>
      <c r="E42" s="16" t="e">
        <f>Sheet1!#REF!</f>
        <v>#REF!</v>
      </c>
      <c r="F42" s="16" t="e">
        <f>Sheet1!#REF!</f>
        <v>#REF!</v>
      </c>
      <c r="G42" s="16" t="e">
        <f>Sheet1!#REF!</f>
        <v>#REF!</v>
      </c>
      <c r="H42" s="16" t="e">
        <f>Sheet1!#REF!</f>
        <v>#REF!</v>
      </c>
      <c r="I42" s="16">
        <v>10</v>
      </c>
      <c r="J42" s="16">
        <v>12</v>
      </c>
      <c r="K42" s="16" t="e">
        <f>Sheet1!#REF!</f>
        <v>#REF!</v>
      </c>
      <c r="L42" s="16" t="e">
        <f>Sheet1!#REF!</f>
        <v>#REF!</v>
      </c>
      <c r="M42" s="16">
        <v>1</v>
      </c>
      <c r="N42" s="16">
        <f t="shared" ca="1" si="2"/>
        <v>1.0195410876022717</v>
      </c>
      <c r="O42" s="18" t="e">
        <f>M42*VLOOKUP($H42,Sheet4!$A$1:$B$7,2,FALSE)*Sheet4!D$2</f>
        <v>#REF!</v>
      </c>
      <c r="P42" s="18" t="e">
        <f>M42*VLOOKUP($H42,Sheet4!$A$1:$B$7,2,FALSE)*Sheet4!E$2</f>
        <v>#REF!</v>
      </c>
      <c r="Q42" s="18" t="e">
        <f>M42*VLOOKUP($H42,Sheet4!$A$1:$B$7,2,FALSE)*Sheet4!F$2</f>
        <v>#REF!</v>
      </c>
      <c r="R42" s="18" t="e">
        <f>M42*VLOOKUP($H42,Sheet4!$A$1:$B$7,2,FALSE)*Sheet4!G$2</f>
        <v>#REF!</v>
      </c>
      <c r="S42" s="18" t="e">
        <f>M42*VLOOKUP($H42,Sheet4!$A$1:$B$7,2,FALSE)*Sheet4!H$2</f>
        <v>#REF!</v>
      </c>
      <c r="T42" s="18" t="e">
        <f>M42*VLOOKUP($H42,Sheet4!$A$1:$B$7,2,FALSE)*Sheet4!I$2</f>
        <v>#REF!</v>
      </c>
      <c r="U42" s="18"/>
      <c r="V42" s="18"/>
      <c r="W42" s="18"/>
      <c r="X42" s="18"/>
      <c r="Y42" s="18"/>
      <c r="Z42" s="18"/>
      <c r="AA42" s="18" t="e">
        <f t="shared" si="9"/>
        <v>#REF!</v>
      </c>
      <c r="AB42" s="18" t="e">
        <f t="shared" si="4"/>
        <v>#REF!</v>
      </c>
      <c r="AC42" s="18" t="e">
        <f t="shared" si="5"/>
        <v>#REF!</v>
      </c>
      <c r="AD42" s="18" t="e">
        <f t="shared" si="6"/>
        <v>#REF!</v>
      </c>
      <c r="AE42" s="18" t="e">
        <f t="shared" si="7"/>
        <v>#REF!</v>
      </c>
      <c r="AF42" s="18" t="e">
        <f t="shared" si="8"/>
        <v>#REF!</v>
      </c>
      <c r="AG42" s="18"/>
      <c r="AH42" s="18"/>
      <c r="AI42" s="18"/>
      <c r="AJ42" s="18"/>
      <c r="AK42" s="16" t="e">
        <f t="shared" si="1"/>
        <v>#REF!</v>
      </c>
      <c r="AL42" s="16">
        <v>10</v>
      </c>
      <c r="AM42" s="16" t="e">
        <f>Sheet1!#REF!</f>
        <v>#REF!</v>
      </c>
      <c r="AN42" s="16" t="e">
        <f>Sheet1!#REF!</f>
        <v>#REF!</v>
      </c>
      <c r="AO42" s="16" t="e">
        <f>Sheet1!#REF!</f>
        <v>#REF!</v>
      </c>
      <c r="AP42" s="16" t="e">
        <f>Sheet1!#REF!</f>
        <v>#REF!</v>
      </c>
      <c r="AQ42" s="16" t="e">
        <f>Sheet1!#REF!</f>
        <v>#REF!</v>
      </c>
      <c r="AR42" s="16" t="e">
        <f>Sheet1!#REF!</f>
        <v>#REF!</v>
      </c>
      <c r="AS42" s="16" t="e">
        <f>Sheet1!#REF!</f>
        <v>#REF!</v>
      </c>
      <c r="AT42" s="16" t="e">
        <f>Sheet1!#REF!</f>
        <v>#REF!</v>
      </c>
      <c r="AU42" s="16" t="e">
        <f>Sheet1!#REF!</f>
        <v>#REF!</v>
      </c>
      <c r="AV42" s="16" t="e">
        <f>Sheet1!#REF!</f>
        <v>#REF!</v>
      </c>
      <c r="AW42" s="16" t="e">
        <f>Sheet1!#REF!</f>
        <v>#REF!</v>
      </c>
    </row>
    <row r="43" spans="1:49" x14ac:dyDescent="0.15">
      <c r="A43" s="16">
        <f>Sheet1!A43</f>
        <v>1115</v>
      </c>
      <c r="B43" s="16" t="e">
        <f>Sheet1!#REF!</f>
        <v>#REF!</v>
      </c>
      <c r="C43" s="16" t="e">
        <f>Sheet1!#REF!</f>
        <v>#REF!</v>
      </c>
      <c r="D43" s="16" t="e">
        <f>Sheet1!#REF!</f>
        <v>#REF!</v>
      </c>
      <c r="E43" s="16" t="e">
        <f>Sheet1!#REF!</f>
        <v>#REF!</v>
      </c>
      <c r="F43" s="16" t="e">
        <f>Sheet1!#REF!</f>
        <v>#REF!</v>
      </c>
      <c r="G43" s="16" t="e">
        <f>Sheet1!#REF!</f>
        <v>#REF!</v>
      </c>
      <c r="H43" s="16" t="e">
        <f>Sheet1!#REF!</f>
        <v>#REF!</v>
      </c>
      <c r="I43" s="16">
        <v>10</v>
      </c>
      <c r="J43" s="16">
        <v>12</v>
      </c>
      <c r="K43" s="16" t="e">
        <f>Sheet1!#REF!</f>
        <v>#REF!</v>
      </c>
      <c r="L43" s="16" t="e">
        <f>Sheet1!#REF!</f>
        <v>#REF!</v>
      </c>
      <c r="M43" s="16">
        <v>1</v>
      </c>
      <c r="N43" s="16">
        <f t="shared" ca="1" si="2"/>
        <v>1.0056617018865532</v>
      </c>
      <c r="O43" s="18" t="e">
        <f>M43*VLOOKUP($H43,Sheet4!$A$1:$B$7,2,FALSE)*Sheet4!D$2</f>
        <v>#REF!</v>
      </c>
      <c r="P43" s="18" t="e">
        <f>M43*VLOOKUP($H43,Sheet4!$A$1:$B$7,2,FALSE)*Sheet4!E$2</f>
        <v>#REF!</v>
      </c>
      <c r="Q43" s="18" t="e">
        <f>M43*VLOOKUP($H43,Sheet4!$A$1:$B$7,2,FALSE)*Sheet4!F$2</f>
        <v>#REF!</v>
      </c>
      <c r="R43" s="18" t="e">
        <f>M43*VLOOKUP($H43,Sheet4!$A$1:$B$7,2,FALSE)*Sheet4!G$2</f>
        <v>#REF!</v>
      </c>
      <c r="S43" s="18" t="e">
        <f>M43*VLOOKUP($H43,Sheet4!$A$1:$B$7,2,FALSE)*Sheet4!H$2</f>
        <v>#REF!</v>
      </c>
      <c r="T43" s="18" t="e">
        <f>M43*VLOOKUP($H43,Sheet4!$A$1:$B$7,2,FALSE)*Sheet4!I$2</f>
        <v>#REF!</v>
      </c>
      <c r="U43" s="18"/>
      <c r="V43" s="18"/>
      <c r="W43" s="18"/>
      <c r="X43" s="18"/>
      <c r="Y43" s="18"/>
      <c r="Z43" s="18"/>
      <c r="AA43" s="18" t="e">
        <f t="shared" si="9"/>
        <v>#REF!</v>
      </c>
      <c r="AB43" s="18" t="e">
        <f t="shared" si="4"/>
        <v>#REF!</v>
      </c>
      <c r="AC43" s="18" t="e">
        <f t="shared" si="5"/>
        <v>#REF!</v>
      </c>
      <c r="AD43" s="18" t="e">
        <f t="shared" si="6"/>
        <v>#REF!</v>
      </c>
      <c r="AE43" s="18" t="e">
        <f t="shared" si="7"/>
        <v>#REF!</v>
      </c>
      <c r="AF43" s="18" t="e">
        <f t="shared" si="8"/>
        <v>#REF!</v>
      </c>
      <c r="AG43" s="18"/>
      <c r="AH43" s="18"/>
      <c r="AI43" s="18"/>
      <c r="AJ43" s="18"/>
      <c r="AK43" s="16" t="e">
        <f t="shared" si="1"/>
        <v>#REF!</v>
      </c>
      <c r="AL43" s="16">
        <v>10</v>
      </c>
      <c r="AM43" s="16" t="e">
        <f>Sheet1!#REF!</f>
        <v>#REF!</v>
      </c>
      <c r="AN43" s="16" t="e">
        <f>Sheet1!#REF!</f>
        <v>#REF!</v>
      </c>
      <c r="AO43" s="16" t="e">
        <f>Sheet1!#REF!</f>
        <v>#REF!</v>
      </c>
      <c r="AP43" s="16" t="e">
        <f>Sheet1!#REF!</f>
        <v>#REF!</v>
      </c>
      <c r="AQ43" s="16" t="e">
        <f>Sheet1!#REF!</f>
        <v>#REF!</v>
      </c>
      <c r="AR43" s="16" t="e">
        <f>Sheet1!#REF!</f>
        <v>#REF!</v>
      </c>
      <c r="AS43" s="16" t="e">
        <f>Sheet1!#REF!</f>
        <v>#REF!</v>
      </c>
      <c r="AT43" s="16" t="e">
        <f>Sheet1!#REF!</f>
        <v>#REF!</v>
      </c>
      <c r="AU43" s="16" t="e">
        <f>Sheet1!#REF!</f>
        <v>#REF!</v>
      </c>
      <c r="AV43" s="16" t="e">
        <f>Sheet1!#REF!</f>
        <v>#REF!</v>
      </c>
      <c r="AW43" s="16" t="e">
        <f>Sheet1!#REF!</f>
        <v>#REF!</v>
      </c>
    </row>
    <row r="44" spans="1:49" x14ac:dyDescent="0.15">
      <c r="A44" s="16">
        <f>Sheet1!A44</f>
        <v>1208</v>
      </c>
      <c r="B44" s="16" t="e">
        <f>Sheet1!#REF!</f>
        <v>#REF!</v>
      </c>
      <c r="C44" s="16" t="e">
        <f>Sheet1!#REF!</f>
        <v>#REF!</v>
      </c>
      <c r="D44" s="16" t="e">
        <f>Sheet1!#REF!</f>
        <v>#REF!</v>
      </c>
      <c r="E44" s="16" t="e">
        <f>Sheet1!#REF!</f>
        <v>#REF!</v>
      </c>
      <c r="F44" s="16" t="e">
        <f>Sheet1!#REF!</f>
        <v>#REF!</v>
      </c>
      <c r="G44" s="16" t="e">
        <f>Sheet1!#REF!</f>
        <v>#REF!</v>
      </c>
      <c r="H44" s="16" t="e">
        <f>Sheet1!#REF!</f>
        <v>#REF!</v>
      </c>
      <c r="I44" s="16">
        <v>10</v>
      </c>
      <c r="J44" s="16">
        <v>12</v>
      </c>
      <c r="K44" s="16" t="e">
        <f>Sheet1!#REF!</f>
        <v>#REF!</v>
      </c>
      <c r="L44" s="16" t="e">
        <f>Sheet1!#REF!</f>
        <v>#REF!</v>
      </c>
      <c r="M44" s="16">
        <v>1</v>
      </c>
      <c r="N44" s="16">
        <f t="shared" ca="1" si="2"/>
        <v>1.0176328630239555</v>
      </c>
      <c r="O44" s="18" t="e">
        <f>M44*VLOOKUP($H44,Sheet4!$A$1:$B$7,2,FALSE)*Sheet4!D$2</f>
        <v>#REF!</v>
      </c>
      <c r="P44" s="18" t="e">
        <f>M44*VLOOKUP($H44,Sheet4!$A$1:$B$7,2,FALSE)*Sheet4!E$2</f>
        <v>#REF!</v>
      </c>
      <c r="Q44" s="18" t="e">
        <f>M44*VLOOKUP($H44,Sheet4!$A$1:$B$7,2,FALSE)*Sheet4!F$2</f>
        <v>#REF!</v>
      </c>
      <c r="R44" s="18" t="e">
        <f>M44*VLOOKUP($H44,Sheet4!$A$1:$B$7,2,FALSE)*Sheet4!G$2</f>
        <v>#REF!</v>
      </c>
      <c r="S44" s="18" t="e">
        <f>M44*VLOOKUP($H44,Sheet4!$A$1:$B$7,2,FALSE)*Sheet4!H$2</f>
        <v>#REF!</v>
      </c>
      <c r="T44" s="18" t="e">
        <f>M44*VLOOKUP($H44,Sheet4!$A$1:$B$7,2,FALSE)*Sheet4!I$2</f>
        <v>#REF!</v>
      </c>
      <c r="U44" s="18"/>
      <c r="V44" s="18"/>
      <c r="W44" s="18"/>
      <c r="X44" s="18"/>
      <c r="Y44" s="18"/>
      <c r="Z44" s="18"/>
      <c r="AA44" s="18" t="e">
        <f t="shared" si="9"/>
        <v>#REF!</v>
      </c>
      <c r="AB44" s="18" t="e">
        <f t="shared" si="4"/>
        <v>#REF!</v>
      </c>
      <c r="AC44" s="18" t="e">
        <f t="shared" si="5"/>
        <v>#REF!</v>
      </c>
      <c r="AD44" s="18" t="e">
        <f t="shared" si="6"/>
        <v>#REF!</v>
      </c>
      <c r="AE44" s="18" t="e">
        <f t="shared" si="7"/>
        <v>#REF!</v>
      </c>
      <c r="AF44" s="18" t="e">
        <f t="shared" si="8"/>
        <v>#REF!</v>
      </c>
      <c r="AG44" s="18"/>
      <c r="AH44" s="18"/>
      <c r="AI44" s="18"/>
      <c r="AJ44" s="18"/>
      <c r="AK44" s="16" t="e">
        <f t="shared" si="1"/>
        <v>#REF!</v>
      </c>
      <c r="AL44" s="16">
        <v>10</v>
      </c>
      <c r="AM44" s="16" t="e">
        <f>Sheet1!#REF!</f>
        <v>#REF!</v>
      </c>
      <c r="AN44" s="16" t="e">
        <f>Sheet1!#REF!</f>
        <v>#REF!</v>
      </c>
      <c r="AO44" s="16" t="e">
        <f>Sheet1!#REF!</f>
        <v>#REF!</v>
      </c>
      <c r="AP44" s="16" t="e">
        <f>Sheet1!#REF!</f>
        <v>#REF!</v>
      </c>
      <c r="AQ44" s="16" t="e">
        <f>Sheet1!#REF!</f>
        <v>#REF!</v>
      </c>
      <c r="AR44" s="16" t="e">
        <f>Sheet1!#REF!</f>
        <v>#REF!</v>
      </c>
      <c r="AS44" s="16" t="e">
        <f>Sheet1!#REF!</f>
        <v>#REF!</v>
      </c>
      <c r="AT44" s="16" t="e">
        <f>Sheet1!#REF!</f>
        <v>#REF!</v>
      </c>
      <c r="AU44" s="16" t="e">
        <f>Sheet1!#REF!</f>
        <v>#REF!</v>
      </c>
      <c r="AV44" s="16" t="e">
        <f>Sheet1!#REF!</f>
        <v>#REF!</v>
      </c>
      <c r="AW44" s="16" t="e">
        <f>Sheet1!#REF!</f>
        <v>#REF!</v>
      </c>
    </row>
    <row r="45" spans="1:49" x14ac:dyDescent="0.15">
      <c r="A45" s="16">
        <f>Sheet1!A45</f>
        <v>1122</v>
      </c>
      <c r="B45" s="16" t="e">
        <f>Sheet1!#REF!</f>
        <v>#REF!</v>
      </c>
      <c r="C45" s="16" t="e">
        <f>Sheet1!#REF!</f>
        <v>#REF!</v>
      </c>
      <c r="D45" s="16" t="e">
        <f>Sheet1!#REF!</f>
        <v>#REF!</v>
      </c>
      <c r="E45" s="16" t="e">
        <f>Sheet1!#REF!</f>
        <v>#REF!</v>
      </c>
      <c r="F45" s="16" t="e">
        <f>Sheet1!#REF!</f>
        <v>#REF!</v>
      </c>
      <c r="G45" s="16" t="e">
        <f>Sheet1!#REF!</f>
        <v>#REF!</v>
      </c>
      <c r="H45" s="16" t="e">
        <f>Sheet1!#REF!</f>
        <v>#REF!</v>
      </c>
      <c r="I45" s="16">
        <v>2</v>
      </c>
      <c r="J45" s="16">
        <v>12</v>
      </c>
      <c r="K45" s="16" t="e">
        <f>Sheet1!#REF!</f>
        <v>#REF!</v>
      </c>
      <c r="L45" s="16" t="e">
        <f>Sheet1!#REF!</f>
        <v>#REF!</v>
      </c>
      <c r="M45" s="16">
        <v>1</v>
      </c>
      <c r="N45" s="16">
        <f t="shared" ca="1" si="2"/>
        <v>0.99117502032897287</v>
      </c>
      <c r="O45" s="18" t="e">
        <f>M45*VLOOKUP($H45,Sheet4!$A$1:$B$7,2,FALSE)*Sheet4!D$2</f>
        <v>#REF!</v>
      </c>
      <c r="P45" s="18" t="e">
        <f>M45*VLOOKUP($H45,Sheet4!$A$1:$B$7,2,FALSE)*Sheet4!E$2</f>
        <v>#REF!</v>
      </c>
      <c r="Q45" s="18" t="e">
        <f>M45*VLOOKUP($H45,Sheet4!$A$1:$B$7,2,FALSE)*Sheet4!F$2</f>
        <v>#REF!</v>
      </c>
      <c r="R45" s="18" t="e">
        <f>M45*VLOOKUP($H45,Sheet4!$A$1:$B$7,2,FALSE)*Sheet4!G$2</f>
        <v>#REF!</v>
      </c>
      <c r="S45" s="18" t="e">
        <f>M45*VLOOKUP($H45,Sheet4!$A$1:$B$7,2,FALSE)*Sheet4!H$2</f>
        <v>#REF!</v>
      </c>
      <c r="T45" s="18" t="e">
        <f>M45*VLOOKUP($H45,Sheet4!$A$1:$B$7,2,FALSE)*Sheet4!I$2</f>
        <v>#REF!</v>
      </c>
      <c r="U45" s="18"/>
      <c r="V45" s="18"/>
      <c r="W45" s="18"/>
      <c r="X45" s="18"/>
      <c r="Y45" s="18"/>
      <c r="Z45" s="18"/>
      <c r="AA45" s="18" t="e">
        <f t="shared" si="9"/>
        <v>#REF!</v>
      </c>
      <c r="AB45" s="18" t="e">
        <f t="shared" si="4"/>
        <v>#REF!</v>
      </c>
      <c r="AC45" s="18" t="e">
        <f t="shared" si="5"/>
        <v>#REF!</v>
      </c>
      <c r="AD45" s="18" t="e">
        <f t="shared" si="6"/>
        <v>#REF!</v>
      </c>
      <c r="AE45" s="18" t="e">
        <f t="shared" si="7"/>
        <v>#REF!</v>
      </c>
      <c r="AF45" s="18" t="e">
        <f t="shared" si="8"/>
        <v>#REF!</v>
      </c>
      <c r="AG45" s="18"/>
      <c r="AH45" s="18"/>
      <c r="AI45" s="18"/>
      <c r="AJ45" s="18"/>
      <c r="AK45" s="16" t="e">
        <f t="shared" si="1"/>
        <v>#REF!</v>
      </c>
      <c r="AL45" s="16">
        <v>10</v>
      </c>
      <c r="AM45" s="16" t="e">
        <f>Sheet1!#REF!</f>
        <v>#REF!</v>
      </c>
      <c r="AN45" s="16" t="e">
        <f>Sheet1!#REF!</f>
        <v>#REF!</v>
      </c>
      <c r="AO45" s="16" t="e">
        <f>Sheet1!#REF!</f>
        <v>#REF!</v>
      </c>
      <c r="AP45" s="16" t="e">
        <f>Sheet1!#REF!</f>
        <v>#REF!</v>
      </c>
      <c r="AQ45" s="16" t="e">
        <f>Sheet1!#REF!</f>
        <v>#REF!</v>
      </c>
      <c r="AR45" s="16" t="e">
        <f>Sheet1!#REF!</f>
        <v>#REF!</v>
      </c>
      <c r="AS45" s="16" t="e">
        <f>Sheet1!#REF!</f>
        <v>#REF!</v>
      </c>
      <c r="AT45" s="16" t="e">
        <f>Sheet1!#REF!</f>
        <v>#REF!</v>
      </c>
      <c r="AU45" s="16" t="e">
        <f>Sheet1!#REF!</f>
        <v>#REF!</v>
      </c>
      <c r="AV45" s="16" t="e">
        <f>Sheet1!#REF!</f>
        <v>#REF!</v>
      </c>
      <c r="AW45" s="16" t="e">
        <f>Sheet1!#REF!</f>
        <v>#REF!</v>
      </c>
    </row>
    <row r="46" spans="1:49" x14ac:dyDescent="0.15">
      <c r="A46" s="16">
        <f>Sheet1!A46</f>
        <v>1207</v>
      </c>
      <c r="B46" s="16" t="e">
        <f>Sheet1!#REF!</f>
        <v>#REF!</v>
      </c>
      <c r="C46" s="16" t="e">
        <f>Sheet1!#REF!</f>
        <v>#REF!</v>
      </c>
      <c r="D46" s="16" t="e">
        <f>Sheet1!#REF!</f>
        <v>#REF!</v>
      </c>
      <c r="E46" s="16" t="e">
        <f>Sheet1!#REF!</f>
        <v>#REF!</v>
      </c>
      <c r="F46" s="16" t="e">
        <f>Sheet1!#REF!</f>
        <v>#REF!</v>
      </c>
      <c r="G46" s="16" t="e">
        <f>Sheet1!#REF!</f>
        <v>#REF!</v>
      </c>
      <c r="H46" s="16" t="e">
        <f>Sheet1!#REF!</f>
        <v>#REF!</v>
      </c>
      <c r="I46" s="16">
        <v>10</v>
      </c>
      <c r="J46" s="16">
        <v>12</v>
      </c>
      <c r="K46" s="16" t="e">
        <f>Sheet1!#REF!</f>
        <v>#REF!</v>
      </c>
      <c r="L46" s="16" t="e">
        <f>Sheet1!#REF!</f>
        <v>#REF!</v>
      </c>
      <c r="M46" s="16">
        <v>1</v>
      </c>
      <c r="N46" s="16">
        <f t="shared" ca="1" si="2"/>
        <v>0.97575675178408816</v>
      </c>
      <c r="O46" s="18" t="e">
        <f>M46*VLOOKUP($H46,Sheet4!$A$1:$B$7,2,FALSE)*Sheet4!D$2</f>
        <v>#REF!</v>
      </c>
      <c r="P46" s="18" t="e">
        <f>M46*VLOOKUP($H46,Sheet4!$A$1:$B$7,2,FALSE)*Sheet4!E$2</f>
        <v>#REF!</v>
      </c>
      <c r="Q46" s="18" t="e">
        <f>M46*VLOOKUP($H46,Sheet4!$A$1:$B$7,2,FALSE)*Sheet4!F$2</f>
        <v>#REF!</v>
      </c>
      <c r="R46" s="18" t="e">
        <f>M46*VLOOKUP($H46,Sheet4!$A$1:$B$7,2,FALSE)*Sheet4!G$2</f>
        <v>#REF!</v>
      </c>
      <c r="S46" s="18" t="e">
        <f>M46*VLOOKUP($H46,Sheet4!$A$1:$B$7,2,FALSE)*Sheet4!H$2</f>
        <v>#REF!</v>
      </c>
      <c r="T46" s="18" t="e">
        <f>M46*VLOOKUP($H46,Sheet4!$A$1:$B$7,2,FALSE)*Sheet4!I$2</f>
        <v>#REF!</v>
      </c>
      <c r="U46" s="18"/>
      <c r="V46" s="18"/>
      <c r="W46" s="18"/>
      <c r="X46" s="18"/>
      <c r="Y46" s="18"/>
      <c r="Z46" s="18"/>
      <c r="AA46" s="18" t="e">
        <f t="shared" si="9"/>
        <v>#REF!</v>
      </c>
      <c r="AB46" s="18" t="e">
        <f t="shared" si="4"/>
        <v>#REF!</v>
      </c>
      <c r="AC46" s="18" t="e">
        <f t="shared" si="5"/>
        <v>#REF!</v>
      </c>
      <c r="AD46" s="18" t="e">
        <f t="shared" si="6"/>
        <v>#REF!</v>
      </c>
      <c r="AE46" s="18" t="e">
        <f t="shared" si="7"/>
        <v>#REF!</v>
      </c>
      <c r="AF46" s="18" t="e">
        <f t="shared" si="8"/>
        <v>#REF!</v>
      </c>
      <c r="AG46" s="18"/>
      <c r="AH46" s="18"/>
      <c r="AI46" s="18"/>
      <c r="AJ46" s="18"/>
      <c r="AK46" s="16" t="e">
        <f t="shared" si="1"/>
        <v>#REF!</v>
      </c>
      <c r="AL46" s="16">
        <v>10</v>
      </c>
      <c r="AM46" s="16" t="e">
        <f>Sheet1!#REF!</f>
        <v>#REF!</v>
      </c>
      <c r="AN46" s="16" t="e">
        <f>Sheet1!#REF!</f>
        <v>#REF!</v>
      </c>
      <c r="AO46" s="16" t="e">
        <f>Sheet1!#REF!</f>
        <v>#REF!</v>
      </c>
      <c r="AP46" s="16" t="e">
        <f>Sheet1!#REF!</f>
        <v>#REF!</v>
      </c>
      <c r="AQ46" s="16" t="e">
        <f>Sheet1!#REF!</f>
        <v>#REF!</v>
      </c>
      <c r="AR46" s="16" t="e">
        <f>Sheet1!#REF!</f>
        <v>#REF!</v>
      </c>
      <c r="AS46" s="16" t="e">
        <f>Sheet1!#REF!</f>
        <v>#REF!</v>
      </c>
      <c r="AT46" s="16" t="e">
        <f>Sheet1!#REF!</f>
        <v>#REF!</v>
      </c>
      <c r="AU46" s="16" t="e">
        <f>Sheet1!#REF!</f>
        <v>#REF!</v>
      </c>
      <c r="AV46" s="16" t="e">
        <f>Sheet1!#REF!</f>
        <v>#REF!</v>
      </c>
      <c r="AW46" s="16" t="e">
        <f>Sheet1!#REF!</f>
        <v>#REF!</v>
      </c>
    </row>
    <row r="47" spans="1:49" x14ac:dyDescent="0.15">
      <c r="A47" s="16">
        <f>Sheet1!A47</f>
        <v>1139</v>
      </c>
      <c r="B47" s="16" t="e">
        <f>Sheet1!#REF!</f>
        <v>#REF!</v>
      </c>
      <c r="C47" s="16" t="e">
        <f>Sheet1!#REF!</f>
        <v>#REF!</v>
      </c>
      <c r="D47" s="16" t="e">
        <f>Sheet1!#REF!</f>
        <v>#REF!</v>
      </c>
      <c r="E47" s="16" t="e">
        <f>Sheet1!#REF!</f>
        <v>#REF!</v>
      </c>
      <c r="F47" s="16" t="e">
        <f>Sheet1!#REF!</f>
        <v>#REF!</v>
      </c>
      <c r="G47" s="16" t="e">
        <f>Sheet1!#REF!</f>
        <v>#REF!</v>
      </c>
      <c r="H47" s="16" t="e">
        <f>Sheet1!#REF!</f>
        <v>#REF!</v>
      </c>
      <c r="I47" s="16">
        <v>2</v>
      </c>
      <c r="J47" s="16">
        <v>12</v>
      </c>
      <c r="K47" s="16" t="e">
        <f>Sheet1!#REF!</f>
        <v>#REF!</v>
      </c>
      <c r="L47" s="16" t="e">
        <f>Sheet1!#REF!</f>
        <v>#REF!</v>
      </c>
      <c r="M47" s="16">
        <v>1</v>
      </c>
      <c r="N47" s="16">
        <f t="shared" ca="1" si="2"/>
        <v>0.98089646574194556</v>
      </c>
      <c r="O47" s="18" t="e">
        <f>M47*VLOOKUP($H47,Sheet4!$A$1:$B$7,2,FALSE)*Sheet4!D$2</f>
        <v>#REF!</v>
      </c>
      <c r="P47" s="18" t="e">
        <f>M47*VLOOKUP($H47,Sheet4!$A$1:$B$7,2,FALSE)*Sheet4!E$2</f>
        <v>#REF!</v>
      </c>
      <c r="Q47" s="18" t="e">
        <f>M47*VLOOKUP($H47,Sheet4!$A$1:$B$7,2,FALSE)*Sheet4!F$2</f>
        <v>#REF!</v>
      </c>
      <c r="R47" s="18" t="e">
        <f>M47*VLOOKUP($H47,Sheet4!$A$1:$B$7,2,FALSE)*Sheet4!G$2</f>
        <v>#REF!</v>
      </c>
      <c r="S47" s="18" t="e">
        <f>M47*VLOOKUP($H47,Sheet4!$A$1:$B$7,2,FALSE)*Sheet4!H$2</f>
        <v>#REF!</v>
      </c>
      <c r="T47" s="18" t="e">
        <f>M47*VLOOKUP($H47,Sheet4!$A$1:$B$7,2,FALSE)*Sheet4!I$2</f>
        <v>#REF!</v>
      </c>
      <c r="U47" s="18"/>
      <c r="V47" s="18"/>
      <c r="W47" s="18"/>
      <c r="X47" s="18"/>
      <c r="Y47" s="18"/>
      <c r="Z47" s="18"/>
      <c r="AA47" s="18" t="e">
        <f t="shared" si="9"/>
        <v>#REF!</v>
      </c>
      <c r="AB47" s="18" t="e">
        <f t="shared" si="4"/>
        <v>#REF!</v>
      </c>
      <c r="AC47" s="18" t="e">
        <f t="shared" si="5"/>
        <v>#REF!</v>
      </c>
      <c r="AD47" s="18" t="e">
        <f t="shared" si="6"/>
        <v>#REF!</v>
      </c>
      <c r="AE47" s="18" t="e">
        <f t="shared" si="7"/>
        <v>#REF!</v>
      </c>
      <c r="AF47" s="18" t="e">
        <f t="shared" si="8"/>
        <v>#REF!</v>
      </c>
      <c r="AG47" s="18"/>
      <c r="AH47" s="18"/>
      <c r="AI47" s="18"/>
      <c r="AJ47" s="18"/>
      <c r="AK47" s="16" t="e">
        <f>H47*1000+F47*100&amp;"|"&amp;AL47</f>
        <v>#REF!</v>
      </c>
      <c r="AL47" s="16">
        <v>8</v>
      </c>
      <c r="AM47" s="16" t="e">
        <f>Sheet1!#REF!</f>
        <v>#REF!</v>
      </c>
      <c r="AN47" s="16" t="e">
        <f>Sheet1!#REF!</f>
        <v>#REF!</v>
      </c>
      <c r="AO47" s="16" t="e">
        <f>Sheet1!#REF!</f>
        <v>#REF!</v>
      </c>
      <c r="AP47" s="16" t="e">
        <f>Sheet1!#REF!</f>
        <v>#REF!</v>
      </c>
      <c r="AQ47" s="16" t="e">
        <f>Sheet1!#REF!</f>
        <v>#REF!</v>
      </c>
      <c r="AR47" s="16" t="e">
        <f>Sheet1!#REF!</f>
        <v>#REF!</v>
      </c>
      <c r="AS47" s="16" t="e">
        <f>Sheet1!#REF!</f>
        <v>#REF!</v>
      </c>
      <c r="AT47" s="16" t="e">
        <f>Sheet1!#REF!</f>
        <v>#REF!</v>
      </c>
      <c r="AU47" s="16" t="e">
        <f>Sheet1!#REF!</f>
        <v>#REF!</v>
      </c>
      <c r="AV47" s="16" t="e">
        <f>Sheet1!#REF!</f>
        <v>#REF!</v>
      </c>
      <c r="AW47" s="16" t="e">
        <f>Sheet1!#REF!</f>
        <v>#REF!</v>
      </c>
    </row>
    <row r="48" spans="1:49" x14ac:dyDescent="0.15">
      <c r="A48" s="16">
        <f>Sheet1!A48</f>
        <v>1140</v>
      </c>
      <c r="B48" s="16" t="e">
        <f>Sheet1!#REF!</f>
        <v>#REF!</v>
      </c>
      <c r="C48" s="16" t="e">
        <f>Sheet1!#REF!</f>
        <v>#REF!</v>
      </c>
      <c r="D48" s="16" t="e">
        <f>Sheet1!#REF!</f>
        <v>#REF!</v>
      </c>
      <c r="E48" s="16" t="e">
        <f>Sheet1!#REF!</f>
        <v>#REF!</v>
      </c>
      <c r="F48" s="16" t="e">
        <f>Sheet1!#REF!</f>
        <v>#REF!</v>
      </c>
      <c r="G48" s="16" t="e">
        <f>Sheet1!#REF!</f>
        <v>#REF!</v>
      </c>
      <c r="H48" s="16" t="e">
        <f>Sheet1!#REF!</f>
        <v>#REF!</v>
      </c>
      <c r="I48" s="16">
        <v>2</v>
      </c>
      <c r="J48" s="16">
        <v>12</v>
      </c>
      <c r="K48" s="16" t="e">
        <f>Sheet1!#REF!</f>
        <v>#REF!</v>
      </c>
      <c r="L48" s="16" t="e">
        <f>Sheet1!#REF!</f>
        <v>#REF!</v>
      </c>
      <c r="M48" s="16">
        <v>1</v>
      </c>
      <c r="N48" s="16">
        <f t="shared" ca="1" si="2"/>
        <v>1.0154978606292178</v>
      </c>
      <c r="O48" s="18" t="e">
        <f>M48*VLOOKUP($H48,Sheet4!$A$1:$B$7,2,FALSE)*Sheet4!D$2</f>
        <v>#REF!</v>
      </c>
      <c r="P48" s="18" t="e">
        <f>M48*VLOOKUP($H48,Sheet4!$A$1:$B$7,2,FALSE)*Sheet4!E$2</f>
        <v>#REF!</v>
      </c>
      <c r="Q48" s="18" t="e">
        <f>M48*VLOOKUP($H48,Sheet4!$A$1:$B$7,2,FALSE)*Sheet4!F$2</f>
        <v>#REF!</v>
      </c>
      <c r="R48" s="18" t="e">
        <f>M48*VLOOKUP($H48,Sheet4!$A$1:$B$7,2,FALSE)*Sheet4!G$2</f>
        <v>#REF!</v>
      </c>
      <c r="S48" s="18" t="e">
        <f>M48*VLOOKUP($H48,Sheet4!$A$1:$B$7,2,FALSE)*Sheet4!H$2</f>
        <v>#REF!</v>
      </c>
      <c r="T48" s="18" t="e">
        <f>M48*VLOOKUP($H48,Sheet4!$A$1:$B$7,2,FALSE)*Sheet4!I$2</f>
        <v>#REF!</v>
      </c>
      <c r="U48" s="18"/>
      <c r="V48" s="18"/>
      <c r="W48" s="18"/>
      <c r="X48" s="18"/>
      <c r="Y48" s="18"/>
      <c r="Z48" s="18"/>
      <c r="AA48" s="18" t="e">
        <f t="shared" si="9"/>
        <v>#REF!</v>
      </c>
      <c r="AB48" s="18" t="e">
        <f t="shared" si="4"/>
        <v>#REF!</v>
      </c>
      <c r="AC48" s="18" t="e">
        <f t="shared" si="5"/>
        <v>#REF!</v>
      </c>
      <c r="AD48" s="18" t="e">
        <f t="shared" si="6"/>
        <v>#REF!</v>
      </c>
      <c r="AE48" s="18" t="e">
        <f t="shared" si="7"/>
        <v>#REF!</v>
      </c>
      <c r="AF48" s="18" t="e">
        <f t="shared" si="8"/>
        <v>#REF!</v>
      </c>
      <c r="AG48" s="18"/>
      <c r="AH48" s="18"/>
      <c r="AI48" s="18"/>
      <c r="AJ48" s="18"/>
      <c r="AK48" s="16" t="e">
        <f t="shared" ref="AK48:AK111" si="10">H48*1000+F48*100&amp;"|"&amp;AL48</f>
        <v>#REF!</v>
      </c>
      <c r="AL48" s="16">
        <v>8</v>
      </c>
      <c r="AM48" s="16" t="e">
        <f>Sheet1!#REF!</f>
        <v>#REF!</v>
      </c>
      <c r="AN48" s="16" t="e">
        <f>Sheet1!#REF!</f>
        <v>#REF!</v>
      </c>
      <c r="AO48" s="16" t="e">
        <f>Sheet1!#REF!</f>
        <v>#REF!</v>
      </c>
      <c r="AP48" s="16" t="e">
        <f>Sheet1!#REF!</f>
        <v>#REF!</v>
      </c>
      <c r="AQ48" s="16" t="e">
        <f>Sheet1!#REF!</f>
        <v>#REF!</v>
      </c>
      <c r="AR48" s="16" t="e">
        <f>Sheet1!#REF!</f>
        <v>#REF!</v>
      </c>
      <c r="AS48" s="16" t="e">
        <f>Sheet1!#REF!</f>
        <v>#REF!</v>
      </c>
      <c r="AT48" s="16" t="e">
        <f>Sheet1!#REF!</f>
        <v>#REF!</v>
      </c>
      <c r="AU48" s="16" t="e">
        <f>Sheet1!#REF!</f>
        <v>#REF!</v>
      </c>
      <c r="AV48" s="16" t="e">
        <f>Sheet1!#REF!</f>
        <v>#REF!</v>
      </c>
      <c r="AW48" s="16" t="e">
        <f>Sheet1!#REF!</f>
        <v>#REF!</v>
      </c>
    </row>
    <row r="49" spans="1:49" x14ac:dyDescent="0.15">
      <c r="A49" s="16">
        <f>Sheet1!A49</f>
        <v>1107</v>
      </c>
      <c r="B49" s="16" t="e">
        <f>Sheet1!#REF!</f>
        <v>#REF!</v>
      </c>
      <c r="C49" s="16" t="e">
        <f>Sheet1!#REF!</f>
        <v>#REF!</v>
      </c>
      <c r="D49" s="16" t="e">
        <f>Sheet1!#REF!</f>
        <v>#REF!</v>
      </c>
      <c r="E49" s="16" t="e">
        <f>Sheet1!#REF!</f>
        <v>#REF!</v>
      </c>
      <c r="F49" s="16" t="e">
        <f>Sheet1!#REF!</f>
        <v>#REF!</v>
      </c>
      <c r="G49" s="16" t="e">
        <f>Sheet1!#REF!</f>
        <v>#REF!</v>
      </c>
      <c r="H49" s="16" t="e">
        <f>Sheet1!#REF!</f>
        <v>#REF!</v>
      </c>
      <c r="I49" s="16">
        <v>4</v>
      </c>
      <c r="J49" s="16">
        <v>12</v>
      </c>
      <c r="K49" s="16" t="e">
        <f>Sheet1!#REF!</f>
        <v>#REF!</v>
      </c>
      <c r="L49" s="16" t="e">
        <f>Sheet1!#REF!</f>
        <v>#REF!</v>
      </c>
      <c r="M49" s="16">
        <v>1</v>
      </c>
      <c r="N49" s="16">
        <f t="shared" ca="1" si="2"/>
        <v>1.0229237541296212</v>
      </c>
      <c r="O49" s="18" t="e">
        <f>M49*VLOOKUP($H49,Sheet4!$A$1:$B$7,2,FALSE)*Sheet4!D$2</f>
        <v>#REF!</v>
      </c>
      <c r="P49" s="18" t="e">
        <f>M49*VLOOKUP($H49,Sheet4!$A$1:$B$7,2,FALSE)*Sheet4!E$2</f>
        <v>#REF!</v>
      </c>
      <c r="Q49" s="18" t="e">
        <f>M49*VLOOKUP($H49,Sheet4!$A$1:$B$7,2,FALSE)*Sheet4!F$2</f>
        <v>#REF!</v>
      </c>
      <c r="R49" s="18" t="e">
        <f>M49*VLOOKUP($H49,Sheet4!$A$1:$B$7,2,FALSE)*Sheet4!G$2</f>
        <v>#REF!</v>
      </c>
      <c r="S49" s="18" t="e">
        <f>M49*VLOOKUP($H49,Sheet4!$A$1:$B$7,2,FALSE)*Sheet4!H$2</f>
        <v>#REF!</v>
      </c>
      <c r="T49" s="18" t="e">
        <f>M49*VLOOKUP($H49,Sheet4!$A$1:$B$7,2,FALSE)*Sheet4!I$2</f>
        <v>#REF!</v>
      </c>
      <c r="U49" s="18"/>
      <c r="V49" s="18"/>
      <c r="W49" s="18"/>
      <c r="X49" s="18"/>
      <c r="Y49" s="18"/>
      <c r="Z49" s="18"/>
      <c r="AA49" s="18" t="e">
        <f t="shared" si="9"/>
        <v>#REF!</v>
      </c>
      <c r="AB49" s="18" t="e">
        <f t="shared" si="4"/>
        <v>#REF!</v>
      </c>
      <c r="AC49" s="18" t="e">
        <f t="shared" si="5"/>
        <v>#REF!</v>
      </c>
      <c r="AD49" s="18" t="e">
        <f t="shared" si="6"/>
        <v>#REF!</v>
      </c>
      <c r="AE49" s="18" t="e">
        <f t="shared" si="7"/>
        <v>#REF!</v>
      </c>
      <c r="AF49" s="18" t="e">
        <f t="shared" si="8"/>
        <v>#REF!</v>
      </c>
      <c r="AG49" s="18"/>
      <c r="AH49" s="18"/>
      <c r="AI49" s="18"/>
      <c r="AJ49" s="18"/>
      <c r="AK49" s="16" t="e">
        <f t="shared" si="10"/>
        <v>#REF!</v>
      </c>
      <c r="AL49" s="16">
        <v>8</v>
      </c>
      <c r="AM49" s="16" t="e">
        <f>Sheet1!#REF!</f>
        <v>#REF!</v>
      </c>
      <c r="AN49" s="16" t="e">
        <f>Sheet1!#REF!</f>
        <v>#REF!</v>
      </c>
      <c r="AO49" s="16" t="e">
        <f>Sheet1!#REF!</f>
        <v>#REF!</v>
      </c>
      <c r="AP49" s="16" t="e">
        <f>Sheet1!#REF!</f>
        <v>#REF!</v>
      </c>
      <c r="AQ49" s="16" t="e">
        <f>Sheet1!#REF!</f>
        <v>#REF!</v>
      </c>
      <c r="AR49" s="16" t="e">
        <f>Sheet1!#REF!</f>
        <v>#REF!</v>
      </c>
      <c r="AS49" s="16" t="e">
        <f>Sheet1!#REF!</f>
        <v>#REF!</v>
      </c>
      <c r="AT49" s="16" t="e">
        <f>Sheet1!#REF!</f>
        <v>#REF!</v>
      </c>
      <c r="AU49" s="16" t="e">
        <f>Sheet1!#REF!</f>
        <v>#REF!</v>
      </c>
      <c r="AV49" s="16" t="e">
        <f>Sheet1!#REF!</f>
        <v>#REF!</v>
      </c>
      <c r="AW49" s="16" t="e">
        <f>Sheet1!#REF!</f>
        <v>#REF!</v>
      </c>
    </row>
    <row r="50" spans="1:49" x14ac:dyDescent="0.15">
      <c r="A50" s="16">
        <f>Sheet1!A50</f>
        <v>1134</v>
      </c>
      <c r="B50" s="16" t="e">
        <f>Sheet1!#REF!</f>
        <v>#REF!</v>
      </c>
      <c r="C50" s="16" t="e">
        <f>Sheet1!#REF!</f>
        <v>#REF!</v>
      </c>
      <c r="D50" s="16" t="e">
        <f>Sheet1!#REF!</f>
        <v>#REF!</v>
      </c>
      <c r="E50" s="16" t="e">
        <f>Sheet1!#REF!</f>
        <v>#REF!</v>
      </c>
      <c r="F50" s="16" t="e">
        <f>Sheet1!#REF!</f>
        <v>#REF!</v>
      </c>
      <c r="G50" s="16" t="e">
        <f>Sheet1!#REF!</f>
        <v>#REF!</v>
      </c>
      <c r="H50" s="16" t="e">
        <f>Sheet1!#REF!</f>
        <v>#REF!</v>
      </c>
      <c r="I50" s="16">
        <v>4</v>
      </c>
      <c r="J50" s="16">
        <v>12</v>
      </c>
      <c r="K50" s="16" t="e">
        <f>Sheet1!#REF!</f>
        <v>#REF!</v>
      </c>
      <c r="L50" s="16" t="e">
        <f>Sheet1!#REF!</f>
        <v>#REF!</v>
      </c>
      <c r="M50" s="16">
        <v>1</v>
      </c>
      <c r="N50" s="16">
        <f t="shared" ca="1" si="2"/>
        <v>1.0033160229505635</v>
      </c>
      <c r="O50" s="18" t="e">
        <f>M50*VLOOKUP($H50,Sheet4!$A$1:$B$7,2,FALSE)*Sheet4!D$2</f>
        <v>#REF!</v>
      </c>
      <c r="P50" s="18" t="e">
        <f>M50*VLOOKUP($H50,Sheet4!$A$1:$B$7,2,FALSE)*Sheet4!E$2</f>
        <v>#REF!</v>
      </c>
      <c r="Q50" s="18" t="e">
        <f>M50*VLOOKUP($H50,Sheet4!$A$1:$B$7,2,FALSE)*Sheet4!F$2</f>
        <v>#REF!</v>
      </c>
      <c r="R50" s="18" t="e">
        <f>M50*VLOOKUP($H50,Sheet4!$A$1:$B$7,2,FALSE)*Sheet4!G$2</f>
        <v>#REF!</v>
      </c>
      <c r="S50" s="18" t="e">
        <f>M50*VLOOKUP($H50,Sheet4!$A$1:$B$7,2,FALSE)*Sheet4!H$2</f>
        <v>#REF!</v>
      </c>
      <c r="T50" s="18" t="e">
        <f>M50*VLOOKUP($H50,Sheet4!$A$1:$B$7,2,FALSE)*Sheet4!I$2</f>
        <v>#REF!</v>
      </c>
      <c r="U50" s="18"/>
      <c r="V50" s="18"/>
      <c r="W50" s="18"/>
      <c r="X50" s="18"/>
      <c r="Y50" s="18"/>
      <c r="Z50" s="18"/>
      <c r="AA50" s="18" t="e">
        <f t="shared" si="9"/>
        <v>#REF!</v>
      </c>
      <c r="AB50" s="18" t="e">
        <f t="shared" si="4"/>
        <v>#REF!</v>
      </c>
      <c r="AC50" s="18" t="e">
        <f t="shared" si="5"/>
        <v>#REF!</v>
      </c>
      <c r="AD50" s="18" t="e">
        <f t="shared" si="6"/>
        <v>#REF!</v>
      </c>
      <c r="AE50" s="18" t="e">
        <f t="shared" si="7"/>
        <v>#REF!</v>
      </c>
      <c r="AF50" s="18" t="e">
        <f t="shared" si="8"/>
        <v>#REF!</v>
      </c>
      <c r="AG50" s="18"/>
      <c r="AH50" s="18"/>
      <c r="AI50" s="18"/>
      <c r="AJ50" s="18"/>
      <c r="AK50" s="16" t="e">
        <f t="shared" si="10"/>
        <v>#REF!</v>
      </c>
      <c r="AL50" s="16">
        <v>8</v>
      </c>
      <c r="AM50" s="16" t="e">
        <f>Sheet1!#REF!</f>
        <v>#REF!</v>
      </c>
      <c r="AN50" s="16" t="e">
        <f>Sheet1!#REF!</f>
        <v>#REF!</v>
      </c>
      <c r="AO50" s="16" t="e">
        <f>Sheet1!#REF!</f>
        <v>#REF!</v>
      </c>
      <c r="AP50" s="16" t="e">
        <f>Sheet1!#REF!</f>
        <v>#REF!</v>
      </c>
      <c r="AQ50" s="16" t="e">
        <f>Sheet1!#REF!</f>
        <v>#REF!</v>
      </c>
      <c r="AR50" s="16" t="e">
        <f>Sheet1!#REF!</f>
        <v>#REF!</v>
      </c>
      <c r="AS50" s="16" t="e">
        <f>Sheet1!#REF!</f>
        <v>#REF!</v>
      </c>
      <c r="AT50" s="16" t="e">
        <f>Sheet1!#REF!</f>
        <v>#REF!</v>
      </c>
      <c r="AU50" s="16" t="e">
        <f>Sheet1!#REF!</f>
        <v>#REF!</v>
      </c>
      <c r="AV50" s="16" t="e">
        <f>Sheet1!#REF!</f>
        <v>#REF!</v>
      </c>
      <c r="AW50" s="16" t="e">
        <f>Sheet1!#REF!</f>
        <v>#REF!</v>
      </c>
    </row>
    <row r="51" spans="1:49" x14ac:dyDescent="0.15">
      <c r="A51" s="16">
        <f>Sheet1!A51</f>
        <v>1206</v>
      </c>
      <c r="B51" s="16" t="e">
        <f>Sheet1!#REF!</f>
        <v>#REF!</v>
      </c>
      <c r="C51" s="16" t="e">
        <f>Sheet1!#REF!</f>
        <v>#REF!</v>
      </c>
      <c r="D51" s="16" t="e">
        <f>Sheet1!#REF!</f>
        <v>#REF!</v>
      </c>
      <c r="E51" s="16" t="e">
        <f>Sheet1!#REF!</f>
        <v>#REF!</v>
      </c>
      <c r="F51" s="16" t="e">
        <f>Sheet1!#REF!</f>
        <v>#REF!</v>
      </c>
      <c r="G51" s="16" t="e">
        <f>Sheet1!#REF!</f>
        <v>#REF!</v>
      </c>
      <c r="H51" s="16" t="e">
        <f>Sheet1!#REF!</f>
        <v>#REF!</v>
      </c>
      <c r="I51" s="16">
        <v>4</v>
      </c>
      <c r="J51" s="16">
        <v>12</v>
      </c>
      <c r="K51" s="16" t="e">
        <f>Sheet1!#REF!</f>
        <v>#REF!</v>
      </c>
      <c r="L51" s="16" t="e">
        <f>Sheet1!#REF!</f>
        <v>#REF!</v>
      </c>
      <c r="M51" s="16">
        <v>1</v>
      </c>
      <c r="N51" s="16">
        <f t="shared" ca="1" si="2"/>
        <v>0.99871320090469595</v>
      </c>
      <c r="O51" s="18" t="e">
        <f>M51*VLOOKUP($H51,Sheet4!$A$1:$B$7,2,FALSE)*Sheet4!D$2</f>
        <v>#REF!</v>
      </c>
      <c r="P51" s="18" t="e">
        <f>M51*VLOOKUP($H51,Sheet4!$A$1:$B$7,2,FALSE)*Sheet4!E$2</f>
        <v>#REF!</v>
      </c>
      <c r="Q51" s="18" t="e">
        <f>M51*VLOOKUP($H51,Sheet4!$A$1:$B$7,2,FALSE)*Sheet4!F$2</f>
        <v>#REF!</v>
      </c>
      <c r="R51" s="18" t="e">
        <f>M51*VLOOKUP($H51,Sheet4!$A$1:$B$7,2,FALSE)*Sheet4!G$2</f>
        <v>#REF!</v>
      </c>
      <c r="S51" s="18" t="e">
        <f>M51*VLOOKUP($H51,Sheet4!$A$1:$B$7,2,FALSE)*Sheet4!H$2</f>
        <v>#REF!</v>
      </c>
      <c r="T51" s="18" t="e">
        <f>M51*VLOOKUP($H51,Sheet4!$A$1:$B$7,2,FALSE)*Sheet4!I$2</f>
        <v>#REF!</v>
      </c>
      <c r="U51" s="18"/>
      <c r="V51" s="18"/>
      <c r="W51" s="18"/>
      <c r="X51" s="18"/>
      <c r="Y51" s="18"/>
      <c r="Z51" s="18"/>
      <c r="AA51" s="18" t="e">
        <f t="shared" si="9"/>
        <v>#REF!</v>
      </c>
      <c r="AB51" s="18" t="e">
        <f t="shared" si="4"/>
        <v>#REF!</v>
      </c>
      <c r="AC51" s="18" t="e">
        <f t="shared" si="5"/>
        <v>#REF!</v>
      </c>
      <c r="AD51" s="18" t="e">
        <f t="shared" si="6"/>
        <v>#REF!</v>
      </c>
      <c r="AE51" s="18" t="e">
        <f t="shared" si="7"/>
        <v>#REF!</v>
      </c>
      <c r="AF51" s="18" t="e">
        <f t="shared" si="8"/>
        <v>#REF!</v>
      </c>
      <c r="AG51" s="18"/>
      <c r="AH51" s="18"/>
      <c r="AI51" s="18"/>
      <c r="AJ51" s="18"/>
      <c r="AK51" s="16" t="e">
        <f t="shared" si="10"/>
        <v>#REF!</v>
      </c>
      <c r="AL51" s="16">
        <v>8</v>
      </c>
      <c r="AM51" s="16" t="e">
        <f>Sheet1!#REF!</f>
        <v>#REF!</v>
      </c>
      <c r="AN51" s="16" t="e">
        <f>Sheet1!#REF!</f>
        <v>#REF!</v>
      </c>
      <c r="AO51" s="16" t="e">
        <f>Sheet1!#REF!</f>
        <v>#REF!</v>
      </c>
      <c r="AP51" s="16" t="e">
        <f>Sheet1!#REF!</f>
        <v>#REF!</v>
      </c>
      <c r="AQ51" s="16" t="e">
        <f>Sheet1!#REF!</f>
        <v>#REF!</v>
      </c>
      <c r="AR51" s="16" t="e">
        <f>Sheet1!#REF!</f>
        <v>#REF!</v>
      </c>
      <c r="AS51" s="16" t="e">
        <f>Sheet1!#REF!</f>
        <v>#REF!</v>
      </c>
      <c r="AT51" s="16" t="e">
        <f>Sheet1!#REF!</f>
        <v>#REF!</v>
      </c>
      <c r="AU51" s="16" t="e">
        <f>Sheet1!#REF!</f>
        <v>#REF!</v>
      </c>
      <c r="AV51" s="16" t="e">
        <f>Sheet1!#REF!</f>
        <v>#REF!</v>
      </c>
      <c r="AW51" s="16" t="e">
        <f>Sheet1!#REF!</f>
        <v>#REF!</v>
      </c>
    </row>
    <row r="52" spans="1:49" x14ac:dyDescent="0.15">
      <c r="A52" s="16">
        <f>Sheet1!A52</f>
        <v>1130</v>
      </c>
      <c r="B52" s="16" t="e">
        <f>Sheet1!#REF!</f>
        <v>#REF!</v>
      </c>
      <c r="C52" s="16" t="e">
        <f>Sheet1!#REF!</f>
        <v>#REF!</v>
      </c>
      <c r="D52" s="16" t="e">
        <f>Sheet1!#REF!</f>
        <v>#REF!</v>
      </c>
      <c r="E52" s="16" t="e">
        <f>Sheet1!#REF!</f>
        <v>#REF!</v>
      </c>
      <c r="F52" s="16" t="e">
        <f>Sheet1!#REF!</f>
        <v>#REF!</v>
      </c>
      <c r="G52" s="16" t="e">
        <f>Sheet1!#REF!</f>
        <v>#REF!</v>
      </c>
      <c r="H52" s="16" t="e">
        <f>Sheet1!#REF!</f>
        <v>#REF!</v>
      </c>
      <c r="I52" s="16">
        <v>4</v>
      </c>
      <c r="J52" s="16">
        <v>12</v>
      </c>
      <c r="K52" s="16" t="e">
        <f>Sheet1!#REF!</f>
        <v>#REF!</v>
      </c>
      <c r="L52" s="16" t="e">
        <f>Sheet1!#REF!</f>
        <v>#REF!</v>
      </c>
      <c r="M52" s="16">
        <v>1</v>
      </c>
      <c r="N52" s="16">
        <f t="shared" ca="1" si="2"/>
        <v>0.97855117412759396</v>
      </c>
      <c r="O52" s="18" t="e">
        <f>M52*VLOOKUP($H52,Sheet4!$A$1:$B$7,2,FALSE)*Sheet4!D$2</f>
        <v>#REF!</v>
      </c>
      <c r="P52" s="18" t="e">
        <f>M52*VLOOKUP($H52,Sheet4!$A$1:$B$7,2,FALSE)*Sheet4!E$2</f>
        <v>#REF!</v>
      </c>
      <c r="Q52" s="18" t="e">
        <f>M52*VLOOKUP($H52,Sheet4!$A$1:$B$7,2,FALSE)*Sheet4!F$2</f>
        <v>#REF!</v>
      </c>
      <c r="R52" s="18" t="e">
        <f>M52*VLOOKUP($H52,Sheet4!$A$1:$B$7,2,FALSE)*Sheet4!G$2</f>
        <v>#REF!</v>
      </c>
      <c r="S52" s="18" t="e">
        <f>M52*VLOOKUP($H52,Sheet4!$A$1:$B$7,2,FALSE)*Sheet4!H$2</f>
        <v>#REF!</v>
      </c>
      <c r="T52" s="18" t="e">
        <f>M52*VLOOKUP($H52,Sheet4!$A$1:$B$7,2,FALSE)*Sheet4!I$2</f>
        <v>#REF!</v>
      </c>
      <c r="U52" s="18"/>
      <c r="V52" s="18"/>
      <c r="W52" s="18"/>
      <c r="X52" s="18"/>
      <c r="Y52" s="18"/>
      <c r="Z52" s="18"/>
      <c r="AA52" s="18" t="e">
        <f t="shared" si="9"/>
        <v>#REF!</v>
      </c>
      <c r="AB52" s="18" t="e">
        <f t="shared" si="4"/>
        <v>#REF!</v>
      </c>
      <c r="AC52" s="18" t="e">
        <f t="shared" si="5"/>
        <v>#REF!</v>
      </c>
      <c r="AD52" s="18" t="e">
        <f t="shared" si="6"/>
        <v>#REF!</v>
      </c>
      <c r="AE52" s="18" t="e">
        <f t="shared" si="7"/>
        <v>#REF!</v>
      </c>
      <c r="AF52" s="18" t="e">
        <f t="shared" si="8"/>
        <v>#REF!</v>
      </c>
      <c r="AG52" s="18"/>
      <c r="AH52" s="18"/>
      <c r="AI52" s="18"/>
      <c r="AJ52" s="18"/>
      <c r="AK52" s="16" t="e">
        <f t="shared" si="10"/>
        <v>#REF!</v>
      </c>
      <c r="AL52" s="16">
        <v>8</v>
      </c>
      <c r="AM52" s="16" t="e">
        <f>Sheet1!#REF!</f>
        <v>#REF!</v>
      </c>
      <c r="AN52" s="16" t="e">
        <f>Sheet1!#REF!</f>
        <v>#REF!</v>
      </c>
      <c r="AO52" s="16" t="e">
        <f>Sheet1!#REF!</f>
        <v>#REF!</v>
      </c>
      <c r="AP52" s="16" t="e">
        <f>Sheet1!#REF!</f>
        <v>#REF!</v>
      </c>
      <c r="AQ52" s="16" t="e">
        <f>Sheet1!#REF!</f>
        <v>#REF!</v>
      </c>
      <c r="AR52" s="16" t="e">
        <f>Sheet1!#REF!</f>
        <v>#REF!</v>
      </c>
      <c r="AS52" s="16" t="e">
        <f>Sheet1!#REF!</f>
        <v>#REF!</v>
      </c>
      <c r="AT52" s="16" t="e">
        <f>Sheet1!#REF!</f>
        <v>#REF!</v>
      </c>
      <c r="AU52" s="16" t="e">
        <f>Sheet1!#REF!</f>
        <v>#REF!</v>
      </c>
      <c r="AV52" s="16" t="e">
        <f>Sheet1!#REF!</f>
        <v>#REF!</v>
      </c>
      <c r="AW52" s="16" t="e">
        <f>Sheet1!#REF!</f>
        <v>#REF!</v>
      </c>
    </row>
    <row r="53" spans="1:49" x14ac:dyDescent="0.15">
      <c r="A53" s="16">
        <f>Sheet1!A53</f>
        <v>1203</v>
      </c>
      <c r="B53" s="16" t="e">
        <f>Sheet1!#REF!</f>
        <v>#REF!</v>
      </c>
      <c r="C53" s="16" t="e">
        <f>Sheet1!#REF!</f>
        <v>#REF!</v>
      </c>
      <c r="D53" s="16" t="e">
        <f>Sheet1!#REF!</f>
        <v>#REF!</v>
      </c>
      <c r="E53" s="16" t="e">
        <f>Sheet1!#REF!</f>
        <v>#REF!</v>
      </c>
      <c r="F53" s="16" t="e">
        <f>Sheet1!#REF!</f>
        <v>#REF!</v>
      </c>
      <c r="G53" s="16" t="e">
        <f>Sheet1!#REF!</f>
        <v>#REF!</v>
      </c>
      <c r="H53" s="16" t="e">
        <f>Sheet1!#REF!</f>
        <v>#REF!</v>
      </c>
      <c r="I53" s="16">
        <v>2</v>
      </c>
      <c r="J53" s="16">
        <v>12</v>
      </c>
      <c r="K53" s="16" t="e">
        <f>Sheet1!#REF!</f>
        <v>#REF!</v>
      </c>
      <c r="L53" s="16" t="e">
        <f>Sheet1!#REF!</f>
        <v>#REF!</v>
      </c>
      <c r="M53" s="16">
        <v>1</v>
      </c>
      <c r="N53" s="16">
        <f t="shared" ca="1" si="2"/>
        <v>0.99407531826161311</v>
      </c>
      <c r="O53" s="18" t="e">
        <f>M53*VLOOKUP($H53,Sheet4!$A$1:$B$7,2,FALSE)*Sheet4!D$2</f>
        <v>#REF!</v>
      </c>
      <c r="P53" s="18" t="e">
        <f>M53*VLOOKUP($H53,Sheet4!$A$1:$B$7,2,FALSE)*Sheet4!E$2</f>
        <v>#REF!</v>
      </c>
      <c r="Q53" s="18" t="e">
        <f>M53*VLOOKUP($H53,Sheet4!$A$1:$B$7,2,FALSE)*Sheet4!F$2</f>
        <v>#REF!</v>
      </c>
      <c r="R53" s="18" t="e">
        <f>M53*VLOOKUP($H53,Sheet4!$A$1:$B$7,2,FALSE)*Sheet4!G$2</f>
        <v>#REF!</v>
      </c>
      <c r="S53" s="18" t="e">
        <f>M53*VLOOKUP($H53,Sheet4!$A$1:$B$7,2,FALSE)*Sheet4!H$2</f>
        <v>#REF!</v>
      </c>
      <c r="T53" s="18" t="e">
        <f>M53*VLOOKUP($H53,Sheet4!$A$1:$B$7,2,FALSE)*Sheet4!I$2</f>
        <v>#REF!</v>
      </c>
      <c r="U53" s="18"/>
      <c r="V53" s="18"/>
      <c r="W53" s="18"/>
      <c r="X53" s="18"/>
      <c r="Y53" s="18"/>
      <c r="Z53" s="18"/>
      <c r="AA53" s="18" t="e">
        <f t="shared" si="9"/>
        <v>#REF!</v>
      </c>
      <c r="AB53" s="18" t="e">
        <f t="shared" si="4"/>
        <v>#REF!</v>
      </c>
      <c r="AC53" s="18" t="e">
        <f t="shared" si="5"/>
        <v>#REF!</v>
      </c>
      <c r="AD53" s="18" t="e">
        <f t="shared" si="6"/>
        <v>#REF!</v>
      </c>
      <c r="AE53" s="18" t="e">
        <f t="shared" si="7"/>
        <v>#REF!</v>
      </c>
      <c r="AF53" s="18" t="e">
        <f t="shared" si="8"/>
        <v>#REF!</v>
      </c>
      <c r="AG53" s="18"/>
      <c r="AH53" s="18"/>
      <c r="AI53" s="18"/>
      <c r="AJ53" s="18"/>
      <c r="AK53" s="16" t="e">
        <f t="shared" si="10"/>
        <v>#REF!</v>
      </c>
      <c r="AL53" s="16">
        <v>8</v>
      </c>
      <c r="AM53" s="16" t="e">
        <f>Sheet1!#REF!</f>
        <v>#REF!</v>
      </c>
      <c r="AN53" s="16" t="e">
        <f>Sheet1!#REF!</f>
        <v>#REF!</v>
      </c>
      <c r="AO53" s="16" t="e">
        <f>Sheet1!#REF!</f>
        <v>#REF!</v>
      </c>
      <c r="AP53" s="16" t="e">
        <f>Sheet1!#REF!</f>
        <v>#REF!</v>
      </c>
      <c r="AQ53" s="16" t="e">
        <f>Sheet1!#REF!</f>
        <v>#REF!</v>
      </c>
      <c r="AR53" s="16" t="e">
        <f>Sheet1!#REF!</f>
        <v>#REF!</v>
      </c>
      <c r="AS53" s="16" t="e">
        <f>Sheet1!#REF!</f>
        <v>#REF!</v>
      </c>
      <c r="AT53" s="16" t="e">
        <f>Sheet1!#REF!</f>
        <v>#REF!</v>
      </c>
      <c r="AU53" s="16" t="e">
        <f>Sheet1!#REF!</f>
        <v>#REF!</v>
      </c>
      <c r="AV53" s="16" t="e">
        <f>Sheet1!#REF!</f>
        <v>#REF!</v>
      </c>
      <c r="AW53" s="16" t="e">
        <f>Sheet1!#REF!</f>
        <v>#REF!</v>
      </c>
    </row>
    <row r="54" spans="1:49" x14ac:dyDescent="0.15">
      <c r="A54" s="16">
        <f>Sheet1!A54</f>
        <v>1205</v>
      </c>
      <c r="B54" s="16" t="e">
        <f>Sheet1!#REF!</f>
        <v>#REF!</v>
      </c>
      <c r="C54" s="16" t="e">
        <f>Sheet1!#REF!</f>
        <v>#REF!</v>
      </c>
      <c r="D54" s="16" t="e">
        <f>Sheet1!#REF!</f>
        <v>#REF!</v>
      </c>
      <c r="E54" s="16" t="e">
        <f>Sheet1!#REF!</f>
        <v>#REF!</v>
      </c>
      <c r="F54" s="16" t="e">
        <f>Sheet1!#REF!</f>
        <v>#REF!</v>
      </c>
      <c r="G54" s="16" t="e">
        <f>Sheet1!#REF!</f>
        <v>#REF!</v>
      </c>
      <c r="H54" s="16" t="e">
        <f>Sheet1!#REF!</f>
        <v>#REF!</v>
      </c>
      <c r="I54" s="16">
        <v>2</v>
      </c>
      <c r="J54" s="16">
        <v>12</v>
      </c>
      <c r="K54" s="16" t="e">
        <f>Sheet1!#REF!</f>
        <v>#REF!</v>
      </c>
      <c r="L54" s="16" t="e">
        <f>Sheet1!#REF!</f>
        <v>#REF!</v>
      </c>
      <c r="M54" s="16">
        <v>1</v>
      </c>
      <c r="N54" s="16">
        <f t="shared" ca="1" si="2"/>
        <v>1.0081292114764242</v>
      </c>
      <c r="O54" s="18" t="e">
        <f>M54*VLOOKUP($H54,Sheet4!$A$1:$B$7,2,FALSE)*Sheet4!D$2</f>
        <v>#REF!</v>
      </c>
      <c r="P54" s="18" t="e">
        <f>M54*VLOOKUP($H54,Sheet4!$A$1:$B$7,2,FALSE)*Sheet4!E$2</f>
        <v>#REF!</v>
      </c>
      <c r="Q54" s="18" t="e">
        <f>M54*VLOOKUP($H54,Sheet4!$A$1:$B$7,2,FALSE)*Sheet4!F$2</f>
        <v>#REF!</v>
      </c>
      <c r="R54" s="18" t="e">
        <f>M54*VLOOKUP($H54,Sheet4!$A$1:$B$7,2,FALSE)*Sheet4!G$2</f>
        <v>#REF!</v>
      </c>
      <c r="S54" s="18" t="e">
        <f>M54*VLOOKUP($H54,Sheet4!$A$1:$B$7,2,FALSE)*Sheet4!H$2</f>
        <v>#REF!</v>
      </c>
      <c r="T54" s="18" t="e">
        <f>M54*VLOOKUP($H54,Sheet4!$A$1:$B$7,2,FALSE)*Sheet4!I$2</f>
        <v>#REF!</v>
      </c>
      <c r="U54" s="18"/>
      <c r="V54" s="18"/>
      <c r="W54" s="18"/>
      <c r="X54" s="18"/>
      <c r="Y54" s="18"/>
      <c r="Z54" s="18"/>
      <c r="AA54" s="18" t="e">
        <f t="shared" si="9"/>
        <v>#REF!</v>
      </c>
      <c r="AB54" s="18" t="e">
        <f t="shared" si="4"/>
        <v>#REF!</v>
      </c>
      <c r="AC54" s="18" t="e">
        <f t="shared" si="5"/>
        <v>#REF!</v>
      </c>
      <c r="AD54" s="18" t="e">
        <f t="shared" si="6"/>
        <v>#REF!</v>
      </c>
      <c r="AE54" s="18" t="e">
        <f t="shared" si="7"/>
        <v>#REF!</v>
      </c>
      <c r="AF54" s="18" t="e">
        <f t="shared" si="8"/>
        <v>#REF!</v>
      </c>
      <c r="AG54" s="18"/>
      <c r="AH54" s="18"/>
      <c r="AI54" s="18"/>
      <c r="AJ54" s="18"/>
      <c r="AK54" s="16" t="e">
        <f t="shared" si="10"/>
        <v>#REF!</v>
      </c>
      <c r="AL54" s="16">
        <v>8</v>
      </c>
      <c r="AM54" s="16" t="e">
        <f>Sheet1!#REF!</f>
        <v>#REF!</v>
      </c>
      <c r="AN54" s="16" t="e">
        <f>Sheet1!#REF!</f>
        <v>#REF!</v>
      </c>
      <c r="AO54" s="16" t="e">
        <f>Sheet1!#REF!</f>
        <v>#REF!</v>
      </c>
      <c r="AP54" s="16" t="e">
        <f>Sheet1!#REF!</f>
        <v>#REF!</v>
      </c>
      <c r="AQ54" s="16" t="e">
        <f>Sheet1!#REF!</f>
        <v>#REF!</v>
      </c>
      <c r="AR54" s="16" t="e">
        <f>Sheet1!#REF!</f>
        <v>#REF!</v>
      </c>
      <c r="AS54" s="16" t="e">
        <f>Sheet1!#REF!</f>
        <v>#REF!</v>
      </c>
      <c r="AT54" s="16" t="e">
        <f>Sheet1!#REF!</f>
        <v>#REF!</v>
      </c>
      <c r="AU54" s="16" t="e">
        <f>Sheet1!#REF!</f>
        <v>#REF!</v>
      </c>
      <c r="AV54" s="16" t="e">
        <f>Sheet1!#REF!</f>
        <v>#REF!</v>
      </c>
      <c r="AW54" s="16" t="e">
        <f>Sheet1!#REF!</f>
        <v>#REF!</v>
      </c>
    </row>
    <row r="55" spans="1:49" x14ac:dyDescent="0.15">
      <c r="A55" s="16">
        <f>Sheet1!A55</f>
        <v>1133</v>
      </c>
      <c r="B55" s="16" t="e">
        <f>Sheet1!#REF!</f>
        <v>#REF!</v>
      </c>
      <c r="C55" s="16" t="e">
        <f>Sheet1!#REF!</f>
        <v>#REF!</v>
      </c>
      <c r="D55" s="16" t="e">
        <f>Sheet1!#REF!</f>
        <v>#REF!</v>
      </c>
      <c r="E55" s="16" t="e">
        <f>Sheet1!#REF!</f>
        <v>#REF!</v>
      </c>
      <c r="F55" s="16" t="e">
        <f>Sheet1!#REF!</f>
        <v>#REF!</v>
      </c>
      <c r="G55" s="16" t="e">
        <f>Sheet1!#REF!</f>
        <v>#REF!</v>
      </c>
      <c r="H55" s="16" t="e">
        <f>Sheet1!#REF!</f>
        <v>#REF!</v>
      </c>
      <c r="I55" s="16">
        <v>2</v>
      </c>
      <c r="J55" s="16">
        <v>12</v>
      </c>
      <c r="K55" s="16" t="e">
        <f>Sheet1!#REF!</f>
        <v>#REF!</v>
      </c>
      <c r="L55" s="16" t="e">
        <f>Sheet1!#REF!</f>
        <v>#REF!</v>
      </c>
      <c r="M55" s="16">
        <v>1</v>
      </c>
      <c r="N55" s="16">
        <f t="shared" ca="1" si="2"/>
        <v>0.99687937749744149</v>
      </c>
      <c r="O55" s="18" t="e">
        <f>M55*VLOOKUP($H55,Sheet4!$A$1:$B$7,2,FALSE)*Sheet4!D$2</f>
        <v>#REF!</v>
      </c>
      <c r="P55" s="18" t="e">
        <f>M55*VLOOKUP($H55,Sheet4!$A$1:$B$7,2,FALSE)*Sheet4!E$2</f>
        <v>#REF!</v>
      </c>
      <c r="Q55" s="18" t="e">
        <f>M55*VLOOKUP($H55,Sheet4!$A$1:$B$7,2,FALSE)*Sheet4!F$2</f>
        <v>#REF!</v>
      </c>
      <c r="R55" s="18" t="e">
        <f>M55*VLOOKUP($H55,Sheet4!$A$1:$B$7,2,FALSE)*Sheet4!G$2</f>
        <v>#REF!</v>
      </c>
      <c r="S55" s="18" t="e">
        <f>M55*VLOOKUP($H55,Sheet4!$A$1:$B$7,2,FALSE)*Sheet4!H$2</f>
        <v>#REF!</v>
      </c>
      <c r="T55" s="18" t="e">
        <f>M55*VLOOKUP($H55,Sheet4!$A$1:$B$7,2,FALSE)*Sheet4!I$2</f>
        <v>#REF!</v>
      </c>
      <c r="U55" s="18"/>
      <c r="V55" s="18"/>
      <c r="W55" s="18"/>
      <c r="X55" s="18"/>
      <c r="Y55" s="18"/>
      <c r="Z55" s="18"/>
      <c r="AA55" s="18" t="e">
        <f t="shared" si="9"/>
        <v>#REF!</v>
      </c>
      <c r="AB55" s="18" t="e">
        <f t="shared" si="4"/>
        <v>#REF!</v>
      </c>
      <c r="AC55" s="18" t="e">
        <f t="shared" si="5"/>
        <v>#REF!</v>
      </c>
      <c r="AD55" s="18" t="e">
        <f t="shared" si="6"/>
        <v>#REF!</v>
      </c>
      <c r="AE55" s="18" t="e">
        <f t="shared" si="7"/>
        <v>#REF!</v>
      </c>
      <c r="AF55" s="18" t="e">
        <f t="shared" si="8"/>
        <v>#REF!</v>
      </c>
      <c r="AG55" s="18"/>
      <c r="AH55" s="18"/>
      <c r="AI55" s="18"/>
      <c r="AJ55" s="18"/>
      <c r="AK55" s="16" t="e">
        <f t="shared" si="10"/>
        <v>#REF!</v>
      </c>
      <c r="AL55" s="16">
        <v>8</v>
      </c>
      <c r="AM55" s="16" t="e">
        <f>Sheet1!#REF!</f>
        <v>#REF!</v>
      </c>
      <c r="AN55" s="16" t="e">
        <f>Sheet1!#REF!</f>
        <v>#REF!</v>
      </c>
      <c r="AO55" s="16" t="e">
        <f>Sheet1!#REF!</f>
        <v>#REF!</v>
      </c>
      <c r="AP55" s="16" t="e">
        <f>Sheet1!#REF!</f>
        <v>#REF!</v>
      </c>
      <c r="AQ55" s="16" t="e">
        <f>Sheet1!#REF!</f>
        <v>#REF!</v>
      </c>
      <c r="AR55" s="16" t="e">
        <f>Sheet1!#REF!</f>
        <v>#REF!</v>
      </c>
      <c r="AS55" s="16" t="e">
        <f>Sheet1!#REF!</f>
        <v>#REF!</v>
      </c>
      <c r="AT55" s="16" t="e">
        <f>Sheet1!#REF!</f>
        <v>#REF!</v>
      </c>
      <c r="AU55" s="16" t="e">
        <f>Sheet1!#REF!</f>
        <v>#REF!</v>
      </c>
      <c r="AV55" s="16" t="e">
        <f>Sheet1!#REF!</f>
        <v>#REF!</v>
      </c>
      <c r="AW55" s="16" t="e">
        <f>Sheet1!#REF!</f>
        <v>#REF!</v>
      </c>
    </row>
    <row r="56" spans="1:49" x14ac:dyDescent="0.15">
      <c r="A56" s="16">
        <f>Sheet1!A56</f>
        <v>1204</v>
      </c>
      <c r="B56" s="16" t="e">
        <f>Sheet1!#REF!</f>
        <v>#REF!</v>
      </c>
      <c r="C56" s="16" t="e">
        <f>Sheet1!#REF!</f>
        <v>#REF!</v>
      </c>
      <c r="D56" s="16" t="e">
        <f>Sheet1!#REF!</f>
        <v>#REF!</v>
      </c>
      <c r="E56" s="16" t="e">
        <f>Sheet1!#REF!</f>
        <v>#REF!</v>
      </c>
      <c r="F56" s="16" t="e">
        <f>Sheet1!#REF!</f>
        <v>#REF!</v>
      </c>
      <c r="G56" s="16" t="e">
        <f>Sheet1!#REF!</f>
        <v>#REF!</v>
      </c>
      <c r="H56" s="16" t="e">
        <f>Sheet1!#REF!</f>
        <v>#REF!</v>
      </c>
      <c r="I56" s="16">
        <v>10</v>
      </c>
      <c r="J56" s="16">
        <v>12</v>
      </c>
      <c r="K56" s="16" t="e">
        <f>Sheet1!#REF!</f>
        <v>#REF!</v>
      </c>
      <c r="L56" s="16" t="e">
        <f>Sheet1!#REF!</f>
        <v>#REF!</v>
      </c>
      <c r="M56" s="16">
        <v>1</v>
      </c>
      <c r="N56" s="16">
        <f t="shared" ca="1" si="2"/>
        <v>1.0230764575852076</v>
      </c>
      <c r="O56" s="18" t="e">
        <f>M56*VLOOKUP($H56,Sheet4!$A$1:$B$7,2,FALSE)*Sheet4!D$2</f>
        <v>#REF!</v>
      </c>
      <c r="P56" s="18" t="e">
        <f>M56*VLOOKUP($H56,Sheet4!$A$1:$B$7,2,FALSE)*Sheet4!E$2</f>
        <v>#REF!</v>
      </c>
      <c r="Q56" s="18" t="e">
        <f>M56*VLOOKUP($H56,Sheet4!$A$1:$B$7,2,FALSE)*Sheet4!F$2</f>
        <v>#REF!</v>
      </c>
      <c r="R56" s="18" t="e">
        <f>M56*VLOOKUP($H56,Sheet4!$A$1:$B$7,2,FALSE)*Sheet4!G$2</f>
        <v>#REF!</v>
      </c>
      <c r="S56" s="18" t="e">
        <f>M56*VLOOKUP($H56,Sheet4!$A$1:$B$7,2,FALSE)*Sheet4!H$2</f>
        <v>#REF!</v>
      </c>
      <c r="T56" s="18" t="e">
        <f>M56*VLOOKUP($H56,Sheet4!$A$1:$B$7,2,FALSE)*Sheet4!I$2</f>
        <v>#REF!</v>
      </c>
      <c r="U56" s="18"/>
      <c r="V56" s="18"/>
      <c r="W56" s="18"/>
      <c r="X56" s="18"/>
      <c r="Y56" s="18"/>
      <c r="Z56" s="18"/>
      <c r="AA56" s="18" t="e">
        <f t="shared" si="9"/>
        <v>#REF!</v>
      </c>
      <c r="AB56" s="18" t="e">
        <f t="shared" si="4"/>
        <v>#REF!</v>
      </c>
      <c r="AC56" s="18" t="e">
        <f t="shared" si="5"/>
        <v>#REF!</v>
      </c>
      <c r="AD56" s="18" t="e">
        <f t="shared" si="6"/>
        <v>#REF!</v>
      </c>
      <c r="AE56" s="18" t="e">
        <f t="shared" si="7"/>
        <v>#REF!</v>
      </c>
      <c r="AF56" s="18" t="e">
        <f t="shared" si="8"/>
        <v>#REF!</v>
      </c>
      <c r="AG56" s="18"/>
      <c r="AH56" s="18"/>
      <c r="AI56" s="18"/>
      <c r="AJ56" s="18"/>
      <c r="AK56" s="16" t="e">
        <f t="shared" si="10"/>
        <v>#REF!</v>
      </c>
      <c r="AL56" s="16">
        <v>8</v>
      </c>
      <c r="AM56" s="16" t="e">
        <f>Sheet1!#REF!</f>
        <v>#REF!</v>
      </c>
      <c r="AN56" s="16" t="e">
        <f>Sheet1!#REF!</f>
        <v>#REF!</v>
      </c>
      <c r="AO56" s="16" t="e">
        <f>Sheet1!#REF!</f>
        <v>#REF!</v>
      </c>
      <c r="AP56" s="16" t="e">
        <f>Sheet1!#REF!</f>
        <v>#REF!</v>
      </c>
      <c r="AQ56" s="16" t="e">
        <f>Sheet1!#REF!</f>
        <v>#REF!</v>
      </c>
      <c r="AR56" s="16" t="e">
        <f>Sheet1!#REF!</f>
        <v>#REF!</v>
      </c>
      <c r="AS56" s="16" t="e">
        <f>Sheet1!#REF!</f>
        <v>#REF!</v>
      </c>
      <c r="AT56" s="16" t="e">
        <f>Sheet1!#REF!</f>
        <v>#REF!</v>
      </c>
      <c r="AU56" s="16" t="e">
        <f>Sheet1!#REF!</f>
        <v>#REF!</v>
      </c>
      <c r="AV56" s="16" t="e">
        <f>Sheet1!#REF!</f>
        <v>#REF!</v>
      </c>
      <c r="AW56" s="16" t="e">
        <f>Sheet1!#REF!</f>
        <v>#REF!</v>
      </c>
    </row>
    <row r="57" spans="1:49" x14ac:dyDescent="0.15">
      <c r="A57" s="16">
        <f>Sheet1!A57</f>
        <v>1128</v>
      </c>
      <c r="B57" s="16" t="e">
        <f>Sheet1!#REF!</f>
        <v>#REF!</v>
      </c>
      <c r="C57" s="16" t="e">
        <f>Sheet1!#REF!</f>
        <v>#REF!</v>
      </c>
      <c r="D57" s="16" t="e">
        <f>Sheet1!#REF!</f>
        <v>#REF!</v>
      </c>
      <c r="E57" s="16" t="e">
        <f>Sheet1!#REF!</f>
        <v>#REF!</v>
      </c>
      <c r="F57" s="16" t="e">
        <f>Sheet1!#REF!</f>
        <v>#REF!</v>
      </c>
      <c r="G57" s="16" t="e">
        <f>Sheet1!#REF!</f>
        <v>#REF!</v>
      </c>
      <c r="H57" s="16" t="e">
        <f>Sheet1!#REF!</f>
        <v>#REF!</v>
      </c>
      <c r="I57" s="16">
        <v>10</v>
      </c>
      <c r="J57" s="16">
        <v>12</v>
      </c>
      <c r="K57" s="16" t="e">
        <f>Sheet1!#REF!</f>
        <v>#REF!</v>
      </c>
      <c r="L57" s="16" t="e">
        <f>Sheet1!#REF!</f>
        <v>#REF!</v>
      </c>
      <c r="M57" s="16">
        <v>1</v>
      </c>
      <c r="N57" s="16">
        <f t="shared" ca="1" si="2"/>
        <v>0.98110383489972786</v>
      </c>
      <c r="O57" s="18" t="e">
        <f>M57*VLOOKUP($H57,Sheet4!$A$1:$B$7,2,FALSE)*Sheet4!D$2</f>
        <v>#REF!</v>
      </c>
      <c r="P57" s="18" t="e">
        <f>M57*VLOOKUP($H57,Sheet4!$A$1:$B$7,2,FALSE)*Sheet4!E$2</f>
        <v>#REF!</v>
      </c>
      <c r="Q57" s="18" t="e">
        <f>M57*VLOOKUP($H57,Sheet4!$A$1:$B$7,2,FALSE)*Sheet4!F$2</f>
        <v>#REF!</v>
      </c>
      <c r="R57" s="18" t="e">
        <f>M57*VLOOKUP($H57,Sheet4!$A$1:$B$7,2,FALSE)*Sheet4!G$2</f>
        <v>#REF!</v>
      </c>
      <c r="S57" s="18" t="e">
        <f>M57*VLOOKUP($H57,Sheet4!$A$1:$B$7,2,FALSE)*Sheet4!H$2</f>
        <v>#REF!</v>
      </c>
      <c r="T57" s="18" t="e">
        <f>M57*VLOOKUP($H57,Sheet4!$A$1:$B$7,2,FALSE)*Sheet4!I$2</f>
        <v>#REF!</v>
      </c>
      <c r="U57" s="18"/>
      <c r="V57" s="18"/>
      <c r="W57" s="18"/>
      <c r="X57" s="18"/>
      <c r="Y57" s="18"/>
      <c r="Z57" s="18"/>
      <c r="AA57" s="18" t="e">
        <f t="shared" si="9"/>
        <v>#REF!</v>
      </c>
      <c r="AB57" s="18" t="e">
        <f t="shared" si="4"/>
        <v>#REF!</v>
      </c>
      <c r="AC57" s="18" t="e">
        <f t="shared" si="5"/>
        <v>#REF!</v>
      </c>
      <c r="AD57" s="18" t="e">
        <f t="shared" si="6"/>
        <v>#REF!</v>
      </c>
      <c r="AE57" s="18" t="e">
        <f t="shared" si="7"/>
        <v>#REF!</v>
      </c>
      <c r="AF57" s="18" t="e">
        <f t="shared" si="8"/>
        <v>#REF!</v>
      </c>
      <c r="AG57" s="18"/>
      <c r="AH57" s="18"/>
      <c r="AI57" s="18"/>
      <c r="AJ57" s="18"/>
      <c r="AK57" s="16" t="e">
        <f t="shared" si="10"/>
        <v>#REF!</v>
      </c>
      <c r="AL57" s="16">
        <v>8</v>
      </c>
      <c r="AM57" s="16" t="e">
        <f>Sheet1!#REF!</f>
        <v>#REF!</v>
      </c>
      <c r="AN57" s="16" t="e">
        <f>Sheet1!#REF!</f>
        <v>#REF!</v>
      </c>
      <c r="AO57" s="16" t="e">
        <f>Sheet1!#REF!</f>
        <v>#REF!</v>
      </c>
      <c r="AP57" s="16" t="e">
        <f>Sheet1!#REF!</f>
        <v>#REF!</v>
      </c>
      <c r="AQ57" s="16" t="e">
        <f>Sheet1!#REF!</f>
        <v>#REF!</v>
      </c>
      <c r="AR57" s="16" t="e">
        <f>Sheet1!#REF!</f>
        <v>#REF!</v>
      </c>
      <c r="AS57" s="16" t="e">
        <f>Sheet1!#REF!</f>
        <v>#REF!</v>
      </c>
      <c r="AT57" s="16" t="e">
        <f>Sheet1!#REF!</f>
        <v>#REF!</v>
      </c>
      <c r="AU57" s="16" t="e">
        <f>Sheet1!#REF!</f>
        <v>#REF!</v>
      </c>
      <c r="AV57" s="16" t="e">
        <f>Sheet1!#REF!</f>
        <v>#REF!</v>
      </c>
      <c r="AW57" s="16" t="e">
        <f>Sheet1!#REF!</f>
        <v>#REF!</v>
      </c>
    </row>
    <row r="58" spans="1:49" x14ac:dyDescent="0.15">
      <c r="A58" s="16">
        <f>Sheet1!A58</f>
        <v>1118</v>
      </c>
      <c r="B58" s="16" t="e">
        <f>Sheet1!#REF!</f>
        <v>#REF!</v>
      </c>
      <c r="C58" s="16" t="e">
        <f>Sheet1!#REF!</f>
        <v>#REF!</v>
      </c>
      <c r="D58" s="16" t="e">
        <f>Sheet1!#REF!</f>
        <v>#REF!</v>
      </c>
      <c r="E58" s="16" t="e">
        <f>Sheet1!#REF!</f>
        <v>#REF!</v>
      </c>
      <c r="F58" s="16" t="e">
        <f>Sheet1!#REF!</f>
        <v>#REF!</v>
      </c>
      <c r="G58" s="16" t="e">
        <f>Sheet1!#REF!</f>
        <v>#REF!</v>
      </c>
      <c r="H58" s="16" t="e">
        <f>Sheet1!#REF!</f>
        <v>#REF!</v>
      </c>
      <c r="I58" s="16">
        <v>10</v>
      </c>
      <c r="J58" s="16">
        <v>12</v>
      </c>
      <c r="K58" s="16" t="e">
        <f>Sheet1!#REF!</f>
        <v>#REF!</v>
      </c>
      <c r="L58" s="16" t="e">
        <f>Sheet1!#REF!</f>
        <v>#REF!</v>
      </c>
      <c r="M58" s="16">
        <v>1</v>
      </c>
      <c r="N58" s="16">
        <f t="shared" ca="1" si="2"/>
        <v>1.0056217057158316</v>
      </c>
      <c r="O58" s="18" t="e">
        <f>M58*VLOOKUP($H58,Sheet4!$A$1:$B$7,2,FALSE)*Sheet4!D$2</f>
        <v>#REF!</v>
      </c>
      <c r="P58" s="18" t="e">
        <f>M58*VLOOKUP($H58,Sheet4!$A$1:$B$7,2,FALSE)*Sheet4!E$2</f>
        <v>#REF!</v>
      </c>
      <c r="Q58" s="18" t="e">
        <f>M58*VLOOKUP($H58,Sheet4!$A$1:$B$7,2,FALSE)*Sheet4!F$2</f>
        <v>#REF!</v>
      </c>
      <c r="R58" s="18" t="e">
        <f>M58*VLOOKUP($H58,Sheet4!$A$1:$B$7,2,FALSE)*Sheet4!G$2</f>
        <v>#REF!</v>
      </c>
      <c r="S58" s="18" t="e">
        <f>M58*VLOOKUP($H58,Sheet4!$A$1:$B$7,2,FALSE)*Sheet4!H$2</f>
        <v>#REF!</v>
      </c>
      <c r="T58" s="18" t="e">
        <f>M58*VLOOKUP($H58,Sheet4!$A$1:$B$7,2,FALSE)*Sheet4!I$2</f>
        <v>#REF!</v>
      </c>
      <c r="U58" s="18"/>
      <c r="V58" s="18"/>
      <c r="W58" s="18"/>
      <c r="X58" s="18"/>
      <c r="Y58" s="18"/>
      <c r="Z58" s="18"/>
      <c r="AA58" s="18" t="e">
        <f t="shared" si="9"/>
        <v>#REF!</v>
      </c>
      <c r="AB58" s="18" t="e">
        <f t="shared" si="4"/>
        <v>#REF!</v>
      </c>
      <c r="AC58" s="18" t="e">
        <f t="shared" si="5"/>
        <v>#REF!</v>
      </c>
      <c r="AD58" s="18" t="e">
        <f t="shared" si="6"/>
        <v>#REF!</v>
      </c>
      <c r="AE58" s="18" t="e">
        <f t="shared" si="7"/>
        <v>#REF!</v>
      </c>
      <c r="AF58" s="18" t="e">
        <f t="shared" si="8"/>
        <v>#REF!</v>
      </c>
      <c r="AG58" s="18"/>
      <c r="AH58" s="18"/>
      <c r="AI58" s="18"/>
      <c r="AJ58" s="18"/>
      <c r="AK58" s="16" t="e">
        <f t="shared" si="10"/>
        <v>#REF!</v>
      </c>
      <c r="AL58" s="16">
        <v>8</v>
      </c>
      <c r="AM58" s="16" t="e">
        <f>Sheet1!#REF!</f>
        <v>#REF!</v>
      </c>
      <c r="AN58" s="16" t="e">
        <f>Sheet1!#REF!</f>
        <v>#REF!</v>
      </c>
      <c r="AO58" s="16" t="e">
        <f>Sheet1!#REF!</f>
        <v>#REF!</v>
      </c>
      <c r="AP58" s="16" t="e">
        <f>Sheet1!#REF!</f>
        <v>#REF!</v>
      </c>
      <c r="AQ58" s="16" t="e">
        <f>Sheet1!#REF!</f>
        <v>#REF!</v>
      </c>
      <c r="AR58" s="16" t="e">
        <f>Sheet1!#REF!</f>
        <v>#REF!</v>
      </c>
      <c r="AS58" s="16" t="e">
        <f>Sheet1!#REF!</f>
        <v>#REF!</v>
      </c>
      <c r="AT58" s="16" t="e">
        <f>Sheet1!#REF!</f>
        <v>#REF!</v>
      </c>
      <c r="AU58" s="16" t="e">
        <f>Sheet1!#REF!</f>
        <v>#REF!</v>
      </c>
      <c r="AV58" s="16" t="e">
        <f>Sheet1!#REF!</f>
        <v>#REF!</v>
      </c>
      <c r="AW58" s="16" t="e">
        <f>Sheet1!#REF!</f>
        <v>#REF!</v>
      </c>
    </row>
    <row r="59" spans="1:49" x14ac:dyDescent="0.15">
      <c r="A59" s="16">
        <f>Sheet1!A59</f>
        <v>1136</v>
      </c>
      <c r="B59" s="16" t="e">
        <f>Sheet1!#REF!</f>
        <v>#REF!</v>
      </c>
      <c r="C59" s="16" t="e">
        <f>Sheet1!#REF!</f>
        <v>#REF!</v>
      </c>
      <c r="D59" s="16" t="e">
        <f>Sheet1!#REF!</f>
        <v>#REF!</v>
      </c>
      <c r="E59" s="16" t="e">
        <f>Sheet1!#REF!</f>
        <v>#REF!</v>
      </c>
      <c r="F59" s="16" t="e">
        <f>Sheet1!#REF!</f>
        <v>#REF!</v>
      </c>
      <c r="G59" s="16" t="e">
        <f>Sheet1!#REF!</f>
        <v>#REF!</v>
      </c>
      <c r="H59" s="16" t="e">
        <f>Sheet1!#REF!</f>
        <v>#REF!</v>
      </c>
      <c r="I59" s="16">
        <v>10</v>
      </c>
      <c r="J59" s="16">
        <v>12</v>
      </c>
      <c r="K59" s="16" t="e">
        <f>Sheet1!#REF!</f>
        <v>#REF!</v>
      </c>
      <c r="L59" s="16" t="e">
        <f>Sheet1!#REF!</f>
        <v>#REF!</v>
      </c>
      <c r="M59" s="16">
        <v>1</v>
      </c>
      <c r="N59" s="16">
        <f t="shared" ca="1" si="2"/>
        <v>0.98663294310442462</v>
      </c>
      <c r="O59" s="18" t="e">
        <f>M59*VLOOKUP($H59,Sheet4!$A$1:$B$7,2,FALSE)*Sheet4!D$2</f>
        <v>#REF!</v>
      </c>
      <c r="P59" s="18" t="e">
        <f>M59*VLOOKUP($H59,Sheet4!$A$1:$B$7,2,FALSE)*Sheet4!E$2</f>
        <v>#REF!</v>
      </c>
      <c r="Q59" s="18" t="e">
        <f>M59*VLOOKUP($H59,Sheet4!$A$1:$B$7,2,FALSE)*Sheet4!F$2</f>
        <v>#REF!</v>
      </c>
      <c r="R59" s="18" t="e">
        <f>M59*VLOOKUP($H59,Sheet4!$A$1:$B$7,2,FALSE)*Sheet4!G$2</f>
        <v>#REF!</v>
      </c>
      <c r="S59" s="18" t="e">
        <f>M59*VLOOKUP($H59,Sheet4!$A$1:$B$7,2,FALSE)*Sheet4!H$2</f>
        <v>#REF!</v>
      </c>
      <c r="T59" s="18" t="e">
        <f>M59*VLOOKUP($H59,Sheet4!$A$1:$B$7,2,FALSE)*Sheet4!I$2</f>
        <v>#REF!</v>
      </c>
      <c r="U59" s="18"/>
      <c r="V59" s="18"/>
      <c r="W59" s="18"/>
      <c r="X59" s="18"/>
      <c r="Y59" s="18"/>
      <c r="Z59" s="18"/>
      <c r="AA59" s="18" t="e">
        <f t="shared" si="9"/>
        <v>#REF!</v>
      </c>
      <c r="AB59" s="18" t="e">
        <f t="shared" si="4"/>
        <v>#REF!</v>
      </c>
      <c r="AC59" s="18" t="e">
        <f t="shared" si="5"/>
        <v>#REF!</v>
      </c>
      <c r="AD59" s="18" t="e">
        <f t="shared" si="6"/>
        <v>#REF!</v>
      </c>
      <c r="AE59" s="18" t="e">
        <f t="shared" si="7"/>
        <v>#REF!</v>
      </c>
      <c r="AF59" s="18" t="e">
        <f t="shared" si="8"/>
        <v>#REF!</v>
      </c>
      <c r="AG59" s="18"/>
      <c r="AH59" s="18"/>
      <c r="AI59" s="18"/>
      <c r="AJ59" s="18"/>
      <c r="AK59" s="16" t="e">
        <f t="shared" si="10"/>
        <v>#REF!</v>
      </c>
      <c r="AL59" s="16">
        <v>8</v>
      </c>
      <c r="AM59" s="16" t="e">
        <f>Sheet1!#REF!</f>
        <v>#REF!</v>
      </c>
      <c r="AN59" s="16" t="e">
        <f>Sheet1!#REF!</f>
        <v>#REF!</v>
      </c>
      <c r="AO59" s="16" t="e">
        <f>Sheet1!#REF!</f>
        <v>#REF!</v>
      </c>
      <c r="AP59" s="16" t="e">
        <f>Sheet1!#REF!</f>
        <v>#REF!</v>
      </c>
      <c r="AQ59" s="16" t="e">
        <f>Sheet1!#REF!</f>
        <v>#REF!</v>
      </c>
      <c r="AR59" s="16" t="e">
        <f>Sheet1!#REF!</f>
        <v>#REF!</v>
      </c>
      <c r="AS59" s="16" t="e">
        <f>Sheet1!#REF!</f>
        <v>#REF!</v>
      </c>
      <c r="AT59" s="16" t="e">
        <f>Sheet1!#REF!</f>
        <v>#REF!</v>
      </c>
      <c r="AU59" s="16" t="e">
        <f>Sheet1!#REF!</f>
        <v>#REF!</v>
      </c>
      <c r="AV59" s="16" t="e">
        <f>Sheet1!#REF!</f>
        <v>#REF!</v>
      </c>
      <c r="AW59" s="16" t="e">
        <f>Sheet1!#REF!</f>
        <v>#REF!</v>
      </c>
    </row>
    <row r="60" spans="1:49" x14ac:dyDescent="0.15">
      <c r="A60" s="16">
        <f>Sheet1!A60</f>
        <v>1141</v>
      </c>
      <c r="B60" s="16" t="e">
        <f>Sheet1!#REF!</f>
        <v>#REF!</v>
      </c>
      <c r="C60" s="16" t="e">
        <f>Sheet1!#REF!</f>
        <v>#REF!</v>
      </c>
      <c r="D60" s="16" t="e">
        <f>Sheet1!#REF!</f>
        <v>#REF!</v>
      </c>
      <c r="E60" s="16" t="e">
        <f>Sheet1!#REF!</f>
        <v>#REF!</v>
      </c>
      <c r="F60" s="16" t="e">
        <f>Sheet1!#REF!</f>
        <v>#REF!</v>
      </c>
      <c r="G60" s="16" t="e">
        <f>Sheet1!#REF!</f>
        <v>#REF!</v>
      </c>
      <c r="H60" s="16" t="e">
        <f>Sheet1!#REF!</f>
        <v>#REF!</v>
      </c>
      <c r="I60" s="16">
        <v>10</v>
      </c>
      <c r="J60" s="16">
        <v>12</v>
      </c>
      <c r="K60" s="16" t="e">
        <f>Sheet1!#REF!</f>
        <v>#REF!</v>
      </c>
      <c r="L60" s="16" t="e">
        <f>Sheet1!#REF!</f>
        <v>#REF!</v>
      </c>
      <c r="M60" s="16">
        <v>1</v>
      </c>
      <c r="N60" s="16">
        <f t="shared" ca="1" si="2"/>
        <v>0.97690492032704956</v>
      </c>
      <c r="O60" s="18" t="e">
        <f>M60*VLOOKUP($H60,Sheet4!$A$1:$B$7,2,FALSE)*Sheet4!D$2</f>
        <v>#REF!</v>
      </c>
      <c r="P60" s="18" t="e">
        <f>M60*VLOOKUP($H60,Sheet4!$A$1:$B$7,2,FALSE)*Sheet4!E$2</f>
        <v>#REF!</v>
      </c>
      <c r="Q60" s="18" t="e">
        <f>M60*VLOOKUP($H60,Sheet4!$A$1:$B$7,2,FALSE)*Sheet4!F$2</f>
        <v>#REF!</v>
      </c>
      <c r="R60" s="18" t="e">
        <f>M60*VLOOKUP($H60,Sheet4!$A$1:$B$7,2,FALSE)*Sheet4!G$2</f>
        <v>#REF!</v>
      </c>
      <c r="S60" s="18" t="e">
        <f>M60*VLOOKUP($H60,Sheet4!$A$1:$B$7,2,FALSE)*Sheet4!H$2</f>
        <v>#REF!</v>
      </c>
      <c r="T60" s="18" t="e">
        <f>M60*VLOOKUP($H60,Sheet4!$A$1:$B$7,2,FALSE)*Sheet4!I$2</f>
        <v>#REF!</v>
      </c>
      <c r="U60" s="18"/>
      <c r="V60" s="18"/>
      <c r="W60" s="18"/>
      <c r="X60" s="18"/>
      <c r="Y60" s="18"/>
      <c r="Z60" s="18"/>
      <c r="AA60" s="18" t="e">
        <f t="shared" si="9"/>
        <v>#REF!</v>
      </c>
      <c r="AB60" s="18" t="e">
        <f t="shared" si="4"/>
        <v>#REF!</v>
      </c>
      <c r="AC60" s="18" t="e">
        <f t="shared" si="5"/>
        <v>#REF!</v>
      </c>
      <c r="AD60" s="18" t="e">
        <f t="shared" si="6"/>
        <v>#REF!</v>
      </c>
      <c r="AE60" s="18" t="e">
        <f t="shared" si="7"/>
        <v>#REF!</v>
      </c>
      <c r="AF60" s="18" t="e">
        <f t="shared" si="8"/>
        <v>#REF!</v>
      </c>
      <c r="AG60" s="18"/>
      <c r="AH60" s="18"/>
      <c r="AI60" s="18"/>
      <c r="AJ60" s="18"/>
      <c r="AK60" s="16" t="e">
        <f t="shared" si="10"/>
        <v>#REF!</v>
      </c>
      <c r="AL60" s="16">
        <v>8</v>
      </c>
      <c r="AM60" s="16" t="e">
        <f>Sheet1!#REF!</f>
        <v>#REF!</v>
      </c>
      <c r="AN60" s="16" t="e">
        <f>Sheet1!#REF!</f>
        <v>#REF!</v>
      </c>
      <c r="AO60" s="16" t="e">
        <f>Sheet1!#REF!</f>
        <v>#REF!</v>
      </c>
      <c r="AP60" s="16" t="e">
        <f>Sheet1!#REF!</f>
        <v>#REF!</v>
      </c>
      <c r="AQ60" s="16" t="e">
        <f>Sheet1!#REF!</f>
        <v>#REF!</v>
      </c>
      <c r="AR60" s="16" t="e">
        <f>Sheet1!#REF!</f>
        <v>#REF!</v>
      </c>
      <c r="AS60" s="16" t="e">
        <f>Sheet1!#REF!</f>
        <v>#REF!</v>
      </c>
      <c r="AT60" s="16" t="e">
        <f>Sheet1!#REF!</f>
        <v>#REF!</v>
      </c>
      <c r="AU60" s="16" t="e">
        <f>Sheet1!#REF!</f>
        <v>#REF!</v>
      </c>
      <c r="AV60" s="16" t="e">
        <f>Sheet1!#REF!</f>
        <v>#REF!</v>
      </c>
      <c r="AW60" s="16" t="e">
        <f>Sheet1!#REF!</f>
        <v>#REF!</v>
      </c>
    </row>
    <row r="61" spans="1:49" x14ac:dyDescent="0.15">
      <c r="A61" s="16">
        <f>Sheet1!A61</f>
        <v>1138</v>
      </c>
      <c r="B61" s="16" t="e">
        <f>Sheet1!#REF!</f>
        <v>#REF!</v>
      </c>
      <c r="C61" s="16" t="e">
        <f>Sheet1!#REF!</f>
        <v>#REF!</v>
      </c>
      <c r="D61" s="16" t="e">
        <f>Sheet1!#REF!</f>
        <v>#REF!</v>
      </c>
      <c r="E61" s="16" t="e">
        <f>Sheet1!#REF!</f>
        <v>#REF!</v>
      </c>
      <c r="F61" s="16" t="e">
        <f>Sheet1!#REF!</f>
        <v>#REF!</v>
      </c>
      <c r="G61" s="16" t="e">
        <f>Sheet1!#REF!</f>
        <v>#REF!</v>
      </c>
      <c r="H61" s="16" t="e">
        <f>Sheet1!#REF!</f>
        <v>#REF!</v>
      </c>
      <c r="I61" s="16">
        <v>10</v>
      </c>
      <c r="J61" s="16">
        <v>12</v>
      </c>
      <c r="K61" s="16" t="e">
        <f>Sheet1!#REF!</f>
        <v>#REF!</v>
      </c>
      <c r="L61" s="16" t="e">
        <f>Sheet1!#REF!</f>
        <v>#REF!</v>
      </c>
      <c r="M61" s="16">
        <v>1</v>
      </c>
      <c r="N61" s="16">
        <f t="shared" ca="1" si="2"/>
        <v>0.99468469828122597</v>
      </c>
      <c r="O61" s="18" t="e">
        <f>M61*VLOOKUP($H61,Sheet4!$A$1:$B$7,2,FALSE)*Sheet4!D$2</f>
        <v>#REF!</v>
      </c>
      <c r="P61" s="18" t="e">
        <f>M61*VLOOKUP($H61,Sheet4!$A$1:$B$7,2,FALSE)*Sheet4!E$2</f>
        <v>#REF!</v>
      </c>
      <c r="Q61" s="18" t="e">
        <f>M61*VLOOKUP($H61,Sheet4!$A$1:$B$7,2,FALSE)*Sheet4!F$2</f>
        <v>#REF!</v>
      </c>
      <c r="R61" s="18" t="e">
        <f>M61*VLOOKUP($H61,Sheet4!$A$1:$B$7,2,FALSE)*Sheet4!G$2</f>
        <v>#REF!</v>
      </c>
      <c r="S61" s="18" t="e">
        <f>M61*VLOOKUP($H61,Sheet4!$A$1:$B$7,2,FALSE)*Sheet4!H$2</f>
        <v>#REF!</v>
      </c>
      <c r="T61" s="18" t="e">
        <f>M61*VLOOKUP($H61,Sheet4!$A$1:$B$7,2,FALSE)*Sheet4!I$2</f>
        <v>#REF!</v>
      </c>
      <c r="U61" s="18"/>
      <c r="V61" s="18"/>
      <c r="W61" s="18"/>
      <c r="X61" s="18"/>
      <c r="Y61" s="18"/>
      <c r="Z61" s="18"/>
      <c r="AA61" s="18" t="e">
        <f t="shared" si="9"/>
        <v>#REF!</v>
      </c>
      <c r="AB61" s="18" t="e">
        <f t="shared" si="4"/>
        <v>#REF!</v>
      </c>
      <c r="AC61" s="18" t="e">
        <f t="shared" si="5"/>
        <v>#REF!</v>
      </c>
      <c r="AD61" s="18" t="e">
        <f t="shared" si="6"/>
        <v>#REF!</v>
      </c>
      <c r="AE61" s="18" t="e">
        <f t="shared" si="7"/>
        <v>#REF!</v>
      </c>
      <c r="AF61" s="18" t="e">
        <f t="shared" si="8"/>
        <v>#REF!</v>
      </c>
      <c r="AG61" s="18"/>
      <c r="AH61" s="18"/>
      <c r="AI61" s="18"/>
      <c r="AJ61" s="18"/>
      <c r="AK61" s="16" t="e">
        <f t="shared" si="10"/>
        <v>#REF!</v>
      </c>
      <c r="AL61" s="16">
        <v>8</v>
      </c>
      <c r="AM61" s="16" t="e">
        <f>Sheet1!#REF!</f>
        <v>#REF!</v>
      </c>
      <c r="AN61" s="16" t="e">
        <f>Sheet1!#REF!</f>
        <v>#REF!</v>
      </c>
      <c r="AO61" s="16" t="e">
        <f>Sheet1!#REF!</f>
        <v>#REF!</v>
      </c>
      <c r="AP61" s="16" t="e">
        <f>Sheet1!#REF!</f>
        <v>#REF!</v>
      </c>
      <c r="AQ61" s="16" t="e">
        <f>Sheet1!#REF!</f>
        <v>#REF!</v>
      </c>
      <c r="AR61" s="16" t="e">
        <f>Sheet1!#REF!</f>
        <v>#REF!</v>
      </c>
      <c r="AS61" s="16" t="e">
        <f>Sheet1!#REF!</f>
        <v>#REF!</v>
      </c>
      <c r="AT61" s="16" t="e">
        <f>Sheet1!#REF!</f>
        <v>#REF!</v>
      </c>
      <c r="AU61" s="16" t="e">
        <f>Sheet1!#REF!</f>
        <v>#REF!</v>
      </c>
      <c r="AV61" s="16" t="e">
        <f>Sheet1!#REF!</f>
        <v>#REF!</v>
      </c>
      <c r="AW61" s="16" t="e">
        <f>Sheet1!#REF!</f>
        <v>#REF!</v>
      </c>
    </row>
    <row r="62" spans="1:49" x14ac:dyDescent="0.15">
      <c r="A62" s="16">
        <f>Sheet1!A62</f>
        <v>1142</v>
      </c>
      <c r="B62" s="16" t="e">
        <f>Sheet1!#REF!</f>
        <v>#REF!</v>
      </c>
      <c r="C62" s="16" t="e">
        <f>Sheet1!#REF!</f>
        <v>#REF!</v>
      </c>
      <c r="D62" s="16" t="e">
        <f>Sheet1!#REF!</f>
        <v>#REF!</v>
      </c>
      <c r="E62" s="16" t="e">
        <f>Sheet1!#REF!</f>
        <v>#REF!</v>
      </c>
      <c r="F62" s="16" t="e">
        <f>Sheet1!#REF!</f>
        <v>#REF!</v>
      </c>
      <c r="G62" s="16" t="e">
        <f>Sheet1!#REF!</f>
        <v>#REF!</v>
      </c>
      <c r="H62" s="16" t="e">
        <f>Sheet1!#REF!</f>
        <v>#REF!</v>
      </c>
      <c r="M62" s="16">
        <v>1</v>
      </c>
      <c r="N62" s="16">
        <f t="shared" ca="1" si="2"/>
        <v>0.9759614604787622</v>
      </c>
      <c r="O62" s="18" t="e">
        <f>M62*VLOOKUP($H62,Sheet4!$A$1:$B$7,2,FALSE)*Sheet4!D$2</f>
        <v>#REF!</v>
      </c>
      <c r="P62" s="18" t="e">
        <f>M62*VLOOKUP($H62,Sheet4!$A$1:$B$7,2,FALSE)*Sheet4!E$2</f>
        <v>#REF!</v>
      </c>
      <c r="Q62" s="18" t="e">
        <f>M62*VLOOKUP($H62,Sheet4!$A$1:$B$7,2,FALSE)*Sheet4!F$2</f>
        <v>#REF!</v>
      </c>
      <c r="R62" s="18" t="e">
        <f>M62*VLOOKUP($H62,Sheet4!$A$1:$B$7,2,FALSE)*Sheet4!G$2</f>
        <v>#REF!</v>
      </c>
      <c r="S62" s="18" t="e">
        <f>M62*VLOOKUP($H62,Sheet4!$A$1:$B$7,2,FALSE)*Sheet4!H$2</f>
        <v>#REF!</v>
      </c>
      <c r="T62" s="18" t="e">
        <f>M62*VLOOKUP($H62,Sheet4!$A$1:$B$7,2,FALSE)*Sheet4!I$2</f>
        <v>#REF!</v>
      </c>
      <c r="AA62" s="18" t="e">
        <f t="shared" si="9"/>
        <v>#REF!</v>
      </c>
      <c r="AB62" s="18" t="e">
        <f t="shared" si="4"/>
        <v>#REF!</v>
      </c>
      <c r="AC62" s="18" t="e">
        <f t="shared" si="5"/>
        <v>#REF!</v>
      </c>
      <c r="AD62" s="18" t="e">
        <f t="shared" si="6"/>
        <v>#REF!</v>
      </c>
      <c r="AE62" s="18" t="e">
        <f t="shared" si="7"/>
        <v>#REF!</v>
      </c>
      <c r="AF62" s="18" t="e">
        <f t="shared" si="8"/>
        <v>#REF!</v>
      </c>
      <c r="AK62" s="16" t="e">
        <f t="shared" si="10"/>
        <v>#REF!</v>
      </c>
      <c r="AL62" s="16">
        <v>6</v>
      </c>
    </row>
    <row r="63" spans="1:49" x14ac:dyDescent="0.15">
      <c r="A63" s="16">
        <f>Sheet1!A63</f>
        <v>1143</v>
      </c>
      <c r="B63" s="16" t="e">
        <f>Sheet1!#REF!</f>
        <v>#REF!</v>
      </c>
      <c r="C63" s="16" t="e">
        <f>Sheet1!#REF!</f>
        <v>#REF!</v>
      </c>
      <c r="D63" s="16" t="e">
        <f>Sheet1!#REF!</f>
        <v>#REF!</v>
      </c>
      <c r="E63" s="16" t="e">
        <f>Sheet1!#REF!</f>
        <v>#REF!</v>
      </c>
      <c r="F63" s="16" t="e">
        <f>Sheet1!#REF!</f>
        <v>#REF!</v>
      </c>
      <c r="G63" s="16" t="e">
        <f>Sheet1!#REF!</f>
        <v>#REF!</v>
      </c>
      <c r="H63" s="16" t="e">
        <f>Sheet1!#REF!</f>
        <v>#REF!</v>
      </c>
      <c r="M63" s="16">
        <v>1</v>
      </c>
      <c r="N63" s="16">
        <f t="shared" ca="1" si="2"/>
        <v>1.0200753885320677</v>
      </c>
      <c r="O63" s="18" t="e">
        <f>M63*VLOOKUP($H63,Sheet4!$A$1:$B$7,2,FALSE)*Sheet4!D$2</f>
        <v>#REF!</v>
      </c>
      <c r="P63" s="18" t="e">
        <f>M63*VLOOKUP($H63,Sheet4!$A$1:$B$7,2,FALSE)*Sheet4!E$2</f>
        <v>#REF!</v>
      </c>
      <c r="Q63" s="18" t="e">
        <f>M63*VLOOKUP($H63,Sheet4!$A$1:$B$7,2,FALSE)*Sheet4!F$2</f>
        <v>#REF!</v>
      </c>
      <c r="R63" s="18" t="e">
        <f>M63*VLOOKUP($H63,Sheet4!$A$1:$B$7,2,FALSE)*Sheet4!G$2</f>
        <v>#REF!</v>
      </c>
      <c r="S63" s="18" t="e">
        <f>M63*VLOOKUP($H63,Sheet4!$A$1:$B$7,2,FALSE)*Sheet4!H$2</f>
        <v>#REF!</v>
      </c>
      <c r="T63" s="18" t="e">
        <f>M63*VLOOKUP($H63,Sheet4!$A$1:$B$7,2,FALSE)*Sheet4!I$2</f>
        <v>#REF!</v>
      </c>
      <c r="AA63" s="18" t="e">
        <f t="shared" si="9"/>
        <v>#REF!</v>
      </c>
      <c r="AB63" s="18" t="e">
        <f t="shared" si="4"/>
        <v>#REF!</v>
      </c>
      <c r="AC63" s="18" t="e">
        <f t="shared" si="5"/>
        <v>#REF!</v>
      </c>
      <c r="AD63" s="18" t="e">
        <f t="shared" si="6"/>
        <v>#REF!</v>
      </c>
      <c r="AE63" s="18" t="e">
        <f t="shared" si="7"/>
        <v>#REF!</v>
      </c>
      <c r="AF63" s="18" t="e">
        <f t="shared" si="8"/>
        <v>#REF!</v>
      </c>
      <c r="AK63" s="16" t="e">
        <f t="shared" si="10"/>
        <v>#REF!</v>
      </c>
      <c r="AL63" s="16">
        <v>6</v>
      </c>
    </row>
    <row r="64" spans="1:49" x14ac:dyDescent="0.15">
      <c r="A64" s="16">
        <f>Sheet1!A64</f>
        <v>1146</v>
      </c>
      <c r="B64" s="16" t="e">
        <f>Sheet1!#REF!</f>
        <v>#REF!</v>
      </c>
      <c r="C64" s="16" t="e">
        <f>Sheet1!#REF!</f>
        <v>#REF!</v>
      </c>
      <c r="D64" s="16" t="e">
        <f>Sheet1!#REF!</f>
        <v>#REF!</v>
      </c>
      <c r="E64" s="16" t="e">
        <f>Sheet1!#REF!</f>
        <v>#REF!</v>
      </c>
      <c r="F64" s="16" t="e">
        <f>Sheet1!#REF!</f>
        <v>#REF!</v>
      </c>
      <c r="G64" s="16" t="e">
        <f>Sheet1!#REF!</f>
        <v>#REF!</v>
      </c>
      <c r="H64" s="16" t="e">
        <f>Sheet1!#REF!</f>
        <v>#REF!</v>
      </c>
      <c r="M64" s="16">
        <v>1</v>
      </c>
      <c r="N64" s="16">
        <f t="shared" ca="1" si="2"/>
        <v>0.97602728714813503</v>
      </c>
      <c r="O64" s="18" t="e">
        <f>M64*VLOOKUP($H64,Sheet4!$A$1:$B$7,2,FALSE)*Sheet4!D$2</f>
        <v>#REF!</v>
      </c>
      <c r="P64" s="18" t="e">
        <f>M64*VLOOKUP($H64,Sheet4!$A$1:$B$7,2,FALSE)*Sheet4!E$2</f>
        <v>#REF!</v>
      </c>
      <c r="Q64" s="18" t="e">
        <f>M64*VLOOKUP($H64,Sheet4!$A$1:$B$7,2,FALSE)*Sheet4!F$2</f>
        <v>#REF!</v>
      </c>
      <c r="R64" s="18" t="e">
        <f>M64*VLOOKUP($H64,Sheet4!$A$1:$B$7,2,FALSE)*Sheet4!G$2</f>
        <v>#REF!</v>
      </c>
      <c r="S64" s="18" t="e">
        <f>M64*VLOOKUP($H64,Sheet4!$A$1:$B$7,2,FALSE)*Sheet4!H$2</f>
        <v>#REF!</v>
      </c>
      <c r="T64" s="18" t="e">
        <f>M64*VLOOKUP($H64,Sheet4!$A$1:$B$7,2,FALSE)*Sheet4!I$2</f>
        <v>#REF!</v>
      </c>
      <c r="AA64" s="18" t="e">
        <f t="shared" si="9"/>
        <v>#REF!</v>
      </c>
      <c r="AB64" s="18" t="e">
        <f t="shared" si="4"/>
        <v>#REF!</v>
      </c>
      <c r="AC64" s="18" t="e">
        <f t="shared" si="5"/>
        <v>#REF!</v>
      </c>
      <c r="AD64" s="18" t="e">
        <f t="shared" si="6"/>
        <v>#REF!</v>
      </c>
      <c r="AE64" s="18" t="e">
        <f t="shared" si="7"/>
        <v>#REF!</v>
      </c>
      <c r="AF64" s="18" t="e">
        <f t="shared" si="8"/>
        <v>#REF!</v>
      </c>
      <c r="AK64" s="16" t="e">
        <f t="shared" si="10"/>
        <v>#REF!</v>
      </c>
      <c r="AL64" s="16">
        <v>6</v>
      </c>
    </row>
    <row r="65" spans="1:38" x14ac:dyDescent="0.15">
      <c r="A65" s="16">
        <f>Sheet1!A65</f>
        <v>1147</v>
      </c>
      <c r="B65" s="16" t="e">
        <f>Sheet1!#REF!</f>
        <v>#REF!</v>
      </c>
      <c r="C65" s="16" t="e">
        <f>Sheet1!#REF!</f>
        <v>#REF!</v>
      </c>
      <c r="D65" s="16" t="e">
        <f>Sheet1!#REF!</f>
        <v>#REF!</v>
      </c>
      <c r="E65" s="16" t="e">
        <f>Sheet1!#REF!</f>
        <v>#REF!</v>
      </c>
      <c r="F65" s="16" t="e">
        <f>Sheet1!#REF!</f>
        <v>#REF!</v>
      </c>
      <c r="G65" s="16" t="e">
        <f>Sheet1!#REF!</f>
        <v>#REF!</v>
      </c>
      <c r="H65" s="16" t="e">
        <f>Sheet1!#REF!</f>
        <v>#REF!</v>
      </c>
      <c r="M65" s="16">
        <v>1</v>
      </c>
      <c r="N65" s="16">
        <f t="shared" ca="1" si="2"/>
        <v>0.97530216763520516</v>
      </c>
      <c r="O65" s="18" t="e">
        <f>M65*VLOOKUP($H65,Sheet4!$A$1:$B$7,2,FALSE)*Sheet4!D$2</f>
        <v>#REF!</v>
      </c>
      <c r="P65" s="18" t="e">
        <f>M65*VLOOKUP($H65,Sheet4!$A$1:$B$7,2,FALSE)*Sheet4!E$2</f>
        <v>#REF!</v>
      </c>
      <c r="Q65" s="18" t="e">
        <f>M65*VLOOKUP($H65,Sheet4!$A$1:$B$7,2,FALSE)*Sheet4!F$2</f>
        <v>#REF!</v>
      </c>
      <c r="R65" s="18" t="e">
        <f>M65*VLOOKUP($H65,Sheet4!$A$1:$B$7,2,FALSE)*Sheet4!G$2</f>
        <v>#REF!</v>
      </c>
      <c r="S65" s="18" t="e">
        <f>M65*VLOOKUP($H65,Sheet4!$A$1:$B$7,2,FALSE)*Sheet4!H$2</f>
        <v>#REF!</v>
      </c>
      <c r="T65" s="18" t="e">
        <f>M65*VLOOKUP($H65,Sheet4!$A$1:$B$7,2,FALSE)*Sheet4!I$2</f>
        <v>#REF!</v>
      </c>
      <c r="AA65" s="18" t="e">
        <f t="shared" si="9"/>
        <v>#REF!</v>
      </c>
      <c r="AB65" s="18" t="e">
        <f t="shared" si="4"/>
        <v>#REF!</v>
      </c>
      <c r="AC65" s="18" t="e">
        <f t="shared" si="5"/>
        <v>#REF!</v>
      </c>
      <c r="AD65" s="18" t="e">
        <f t="shared" si="6"/>
        <v>#REF!</v>
      </c>
      <c r="AE65" s="18" t="e">
        <f t="shared" si="7"/>
        <v>#REF!</v>
      </c>
      <c r="AF65" s="18" t="e">
        <f t="shared" si="8"/>
        <v>#REF!</v>
      </c>
      <c r="AK65" s="16" t="e">
        <f t="shared" si="10"/>
        <v>#REF!</v>
      </c>
      <c r="AL65" s="16">
        <v>6</v>
      </c>
    </row>
    <row r="66" spans="1:38" x14ac:dyDescent="0.15">
      <c r="A66" s="16">
        <f>Sheet1!A66</f>
        <v>1148</v>
      </c>
      <c r="B66" s="16" t="e">
        <f>Sheet1!#REF!</f>
        <v>#REF!</v>
      </c>
      <c r="C66" s="16" t="e">
        <f>Sheet1!#REF!</f>
        <v>#REF!</v>
      </c>
      <c r="D66" s="16" t="e">
        <f>Sheet1!#REF!</f>
        <v>#REF!</v>
      </c>
      <c r="E66" s="16" t="e">
        <f>Sheet1!#REF!</f>
        <v>#REF!</v>
      </c>
      <c r="F66" s="16" t="e">
        <f>Sheet1!#REF!</f>
        <v>#REF!</v>
      </c>
      <c r="G66" s="16" t="e">
        <f>Sheet1!#REF!</f>
        <v>#REF!</v>
      </c>
      <c r="H66" s="16" t="e">
        <f>Sheet1!#REF!</f>
        <v>#REF!</v>
      </c>
      <c r="M66" s="16">
        <v>1</v>
      </c>
      <c r="N66" s="16">
        <f t="shared" ca="1" si="2"/>
        <v>1.0185300857716517</v>
      </c>
      <c r="O66" s="18" t="e">
        <f>M66*VLOOKUP($H66,Sheet4!$A$1:$B$7,2,FALSE)*Sheet4!D$2</f>
        <v>#REF!</v>
      </c>
      <c r="P66" s="18" t="e">
        <f>M66*VLOOKUP($H66,Sheet4!$A$1:$B$7,2,FALSE)*Sheet4!E$2</f>
        <v>#REF!</v>
      </c>
      <c r="Q66" s="18" t="e">
        <f>M66*VLOOKUP($H66,Sheet4!$A$1:$B$7,2,FALSE)*Sheet4!F$2</f>
        <v>#REF!</v>
      </c>
      <c r="R66" s="18" t="e">
        <f>M66*VLOOKUP($H66,Sheet4!$A$1:$B$7,2,FALSE)*Sheet4!G$2</f>
        <v>#REF!</v>
      </c>
      <c r="S66" s="18" t="e">
        <f>M66*VLOOKUP($H66,Sheet4!$A$1:$B$7,2,FALSE)*Sheet4!H$2</f>
        <v>#REF!</v>
      </c>
      <c r="T66" s="18" t="e">
        <f>M66*VLOOKUP($H66,Sheet4!$A$1:$B$7,2,FALSE)*Sheet4!I$2</f>
        <v>#REF!</v>
      </c>
      <c r="AA66" s="18" t="e">
        <f t="shared" si="9"/>
        <v>#REF!</v>
      </c>
      <c r="AB66" s="18" t="e">
        <f t="shared" si="4"/>
        <v>#REF!</v>
      </c>
      <c r="AC66" s="18" t="e">
        <f t="shared" si="5"/>
        <v>#REF!</v>
      </c>
      <c r="AD66" s="18" t="e">
        <f t="shared" si="6"/>
        <v>#REF!</v>
      </c>
      <c r="AE66" s="18" t="e">
        <f t="shared" si="7"/>
        <v>#REF!</v>
      </c>
      <c r="AF66" s="18" t="e">
        <f t="shared" si="8"/>
        <v>#REF!</v>
      </c>
      <c r="AK66" s="16" t="e">
        <f t="shared" si="10"/>
        <v>#REF!</v>
      </c>
      <c r="AL66" s="16">
        <v>6</v>
      </c>
    </row>
    <row r="67" spans="1:38" x14ac:dyDescent="0.15">
      <c r="A67" s="16">
        <f>Sheet1!A67</f>
        <v>1152</v>
      </c>
      <c r="B67" s="16" t="e">
        <f>Sheet1!#REF!</f>
        <v>#REF!</v>
      </c>
      <c r="C67" s="16" t="e">
        <f>Sheet1!#REF!</f>
        <v>#REF!</v>
      </c>
      <c r="D67" s="16" t="e">
        <f>Sheet1!#REF!</f>
        <v>#REF!</v>
      </c>
      <c r="E67" s="16" t="e">
        <f>Sheet1!#REF!</f>
        <v>#REF!</v>
      </c>
      <c r="F67" s="16" t="e">
        <f>Sheet1!#REF!</f>
        <v>#REF!</v>
      </c>
      <c r="G67" s="16" t="e">
        <f>Sheet1!#REF!</f>
        <v>#REF!</v>
      </c>
      <c r="H67" s="16" t="e">
        <f>Sheet1!#REF!</f>
        <v>#REF!</v>
      </c>
      <c r="M67" s="16">
        <v>1</v>
      </c>
      <c r="N67" s="16">
        <f t="shared" ca="1" si="2"/>
        <v>0.97967061192220217</v>
      </c>
      <c r="O67" s="18" t="e">
        <f>M67*VLOOKUP($H67,Sheet4!$A$1:$B$7,2,FALSE)*Sheet4!D$2</f>
        <v>#REF!</v>
      </c>
      <c r="P67" s="18" t="e">
        <f>M67*VLOOKUP($H67,Sheet4!$A$1:$B$7,2,FALSE)*Sheet4!E$2</f>
        <v>#REF!</v>
      </c>
      <c r="Q67" s="18" t="e">
        <f>M67*VLOOKUP($H67,Sheet4!$A$1:$B$7,2,FALSE)*Sheet4!F$2</f>
        <v>#REF!</v>
      </c>
      <c r="R67" s="18" t="e">
        <f>M67*VLOOKUP($H67,Sheet4!$A$1:$B$7,2,FALSE)*Sheet4!G$2</f>
        <v>#REF!</v>
      </c>
      <c r="S67" s="18" t="e">
        <f>M67*VLOOKUP($H67,Sheet4!$A$1:$B$7,2,FALSE)*Sheet4!H$2</f>
        <v>#REF!</v>
      </c>
      <c r="T67" s="18" t="e">
        <f>M67*VLOOKUP($H67,Sheet4!$A$1:$B$7,2,FALSE)*Sheet4!I$2</f>
        <v>#REF!</v>
      </c>
      <c r="AA67" s="18" t="e">
        <f t="shared" si="9"/>
        <v>#REF!</v>
      </c>
      <c r="AB67" s="18" t="e">
        <f t="shared" si="4"/>
        <v>#REF!</v>
      </c>
      <c r="AC67" s="18" t="e">
        <f t="shared" si="5"/>
        <v>#REF!</v>
      </c>
      <c r="AD67" s="18" t="e">
        <f t="shared" si="6"/>
        <v>#REF!</v>
      </c>
      <c r="AE67" s="18" t="e">
        <f t="shared" si="7"/>
        <v>#REF!</v>
      </c>
      <c r="AF67" s="18" t="e">
        <f t="shared" si="8"/>
        <v>#REF!</v>
      </c>
      <c r="AK67" s="16" t="e">
        <f t="shared" si="10"/>
        <v>#REF!</v>
      </c>
      <c r="AL67" s="16">
        <v>6</v>
      </c>
    </row>
    <row r="68" spans="1:38" x14ac:dyDescent="0.15">
      <c r="A68" s="16">
        <f>Sheet1!A68</f>
        <v>1155</v>
      </c>
      <c r="B68" s="16" t="e">
        <f>Sheet1!#REF!</f>
        <v>#REF!</v>
      </c>
      <c r="C68" s="16" t="e">
        <f>Sheet1!#REF!</f>
        <v>#REF!</v>
      </c>
      <c r="D68" s="16" t="e">
        <f>Sheet1!#REF!</f>
        <v>#REF!</v>
      </c>
      <c r="E68" s="16" t="e">
        <f>Sheet1!#REF!</f>
        <v>#REF!</v>
      </c>
      <c r="F68" s="16" t="e">
        <f>Sheet1!#REF!</f>
        <v>#REF!</v>
      </c>
      <c r="G68" s="16" t="e">
        <f>Sheet1!#REF!</f>
        <v>#REF!</v>
      </c>
      <c r="H68" s="16" t="e">
        <f>Sheet1!#REF!</f>
        <v>#REF!</v>
      </c>
      <c r="M68" s="16">
        <v>1</v>
      </c>
      <c r="N68" s="16">
        <f t="shared" ca="1" si="2"/>
        <v>1.0197501357670338</v>
      </c>
      <c r="O68" s="18" t="e">
        <f>M68*VLOOKUP($H68,Sheet4!$A$1:$B$7,2,FALSE)*Sheet4!D$2</f>
        <v>#REF!</v>
      </c>
      <c r="P68" s="18" t="e">
        <f>M68*VLOOKUP($H68,Sheet4!$A$1:$B$7,2,FALSE)*Sheet4!E$2</f>
        <v>#REF!</v>
      </c>
      <c r="Q68" s="18" t="e">
        <f>M68*VLOOKUP($H68,Sheet4!$A$1:$B$7,2,FALSE)*Sheet4!F$2</f>
        <v>#REF!</v>
      </c>
      <c r="R68" s="18" t="e">
        <f>M68*VLOOKUP($H68,Sheet4!$A$1:$B$7,2,FALSE)*Sheet4!G$2</f>
        <v>#REF!</v>
      </c>
      <c r="S68" s="18" t="e">
        <f>M68*VLOOKUP($H68,Sheet4!$A$1:$B$7,2,FALSE)*Sheet4!H$2</f>
        <v>#REF!</v>
      </c>
      <c r="T68" s="18" t="e">
        <f>M68*VLOOKUP($H68,Sheet4!$A$1:$B$7,2,FALSE)*Sheet4!I$2</f>
        <v>#REF!</v>
      </c>
      <c r="AA68" s="18" t="e">
        <f t="shared" si="9"/>
        <v>#REF!</v>
      </c>
      <c r="AB68" s="18" t="e">
        <f t="shared" si="4"/>
        <v>#REF!</v>
      </c>
      <c r="AC68" s="18" t="e">
        <f t="shared" si="5"/>
        <v>#REF!</v>
      </c>
      <c r="AD68" s="18" t="e">
        <f t="shared" si="6"/>
        <v>#REF!</v>
      </c>
      <c r="AE68" s="18" t="e">
        <f t="shared" si="7"/>
        <v>#REF!</v>
      </c>
      <c r="AF68" s="18" t="e">
        <f t="shared" si="8"/>
        <v>#REF!</v>
      </c>
      <c r="AK68" s="16" t="e">
        <f t="shared" si="10"/>
        <v>#REF!</v>
      </c>
      <c r="AL68" s="16">
        <v>6</v>
      </c>
    </row>
    <row r="69" spans="1:38" x14ac:dyDescent="0.15">
      <c r="A69" s="16">
        <f>Sheet1!A69</f>
        <v>1156</v>
      </c>
      <c r="B69" s="16" t="e">
        <f>Sheet1!#REF!</f>
        <v>#REF!</v>
      </c>
      <c r="C69" s="16" t="e">
        <f>Sheet1!#REF!</f>
        <v>#REF!</v>
      </c>
      <c r="D69" s="16" t="e">
        <f>Sheet1!#REF!</f>
        <v>#REF!</v>
      </c>
      <c r="E69" s="16" t="e">
        <f>Sheet1!#REF!</f>
        <v>#REF!</v>
      </c>
      <c r="F69" s="16" t="e">
        <f>Sheet1!#REF!</f>
        <v>#REF!</v>
      </c>
      <c r="G69" s="16" t="e">
        <f>Sheet1!#REF!</f>
        <v>#REF!</v>
      </c>
      <c r="H69" s="16" t="e">
        <f>Sheet1!#REF!</f>
        <v>#REF!</v>
      </c>
      <c r="M69" s="16">
        <v>1</v>
      </c>
      <c r="N69" s="16">
        <f t="shared" ref="N69:N114" ca="1" si="11">RAND()/20+0.975</f>
        <v>0.98497670066720944</v>
      </c>
      <c r="O69" s="18" t="e">
        <f>M69*VLOOKUP($H69,Sheet4!$A$1:$B$7,2,FALSE)*Sheet4!D$2</f>
        <v>#REF!</v>
      </c>
      <c r="P69" s="18" t="e">
        <f>M69*VLOOKUP($H69,Sheet4!$A$1:$B$7,2,FALSE)*Sheet4!E$2</f>
        <v>#REF!</v>
      </c>
      <c r="Q69" s="18" t="e">
        <f>M69*VLOOKUP($H69,Sheet4!$A$1:$B$7,2,FALSE)*Sheet4!F$2</f>
        <v>#REF!</v>
      </c>
      <c r="R69" s="18" t="e">
        <f>M69*VLOOKUP($H69,Sheet4!$A$1:$B$7,2,FALSE)*Sheet4!G$2</f>
        <v>#REF!</v>
      </c>
      <c r="S69" s="18" t="e">
        <f>M69*VLOOKUP($H69,Sheet4!$A$1:$B$7,2,FALSE)*Sheet4!H$2</f>
        <v>#REF!</v>
      </c>
      <c r="T69" s="18" t="e">
        <f>M69*VLOOKUP($H69,Sheet4!$A$1:$B$7,2,FALSE)*Sheet4!I$2</f>
        <v>#REF!</v>
      </c>
      <c r="AA69" s="18" t="e">
        <f t="shared" si="9"/>
        <v>#REF!</v>
      </c>
      <c r="AB69" s="18" t="e">
        <f t="shared" si="4"/>
        <v>#REF!</v>
      </c>
      <c r="AC69" s="18" t="e">
        <f t="shared" si="5"/>
        <v>#REF!</v>
      </c>
      <c r="AD69" s="18" t="e">
        <f t="shared" si="6"/>
        <v>#REF!</v>
      </c>
      <c r="AE69" s="18" t="e">
        <f t="shared" si="7"/>
        <v>#REF!</v>
      </c>
      <c r="AF69" s="18" t="e">
        <f t="shared" si="8"/>
        <v>#REF!</v>
      </c>
      <c r="AK69" s="16" t="e">
        <f t="shared" si="10"/>
        <v>#REF!</v>
      </c>
      <c r="AL69" s="16">
        <v>6</v>
      </c>
    </row>
    <row r="70" spans="1:38" x14ac:dyDescent="0.15">
      <c r="A70" s="16">
        <f>Sheet1!A70</f>
        <v>1157</v>
      </c>
      <c r="B70" s="16" t="e">
        <f>Sheet1!#REF!</f>
        <v>#REF!</v>
      </c>
      <c r="C70" s="16" t="e">
        <f>Sheet1!#REF!</f>
        <v>#REF!</v>
      </c>
      <c r="D70" s="16" t="e">
        <f>Sheet1!#REF!</f>
        <v>#REF!</v>
      </c>
      <c r="E70" s="16" t="e">
        <f>Sheet1!#REF!</f>
        <v>#REF!</v>
      </c>
      <c r="F70" s="16" t="e">
        <f>Sheet1!#REF!</f>
        <v>#REF!</v>
      </c>
      <c r="G70" s="16" t="e">
        <f>Sheet1!#REF!</f>
        <v>#REF!</v>
      </c>
      <c r="H70" s="16" t="e">
        <f>Sheet1!#REF!</f>
        <v>#REF!</v>
      </c>
      <c r="M70" s="16">
        <v>1</v>
      </c>
      <c r="N70" s="16">
        <f t="shared" ca="1" si="11"/>
        <v>0.9806336696270801</v>
      </c>
      <c r="O70" s="18" t="e">
        <f>M70*VLOOKUP($H70,Sheet4!$A$1:$B$7,2,FALSE)*Sheet4!D$2</f>
        <v>#REF!</v>
      </c>
      <c r="P70" s="18" t="e">
        <f>M70*VLOOKUP($H70,Sheet4!$A$1:$B$7,2,FALSE)*Sheet4!E$2</f>
        <v>#REF!</v>
      </c>
      <c r="Q70" s="18" t="e">
        <f>M70*VLOOKUP($H70,Sheet4!$A$1:$B$7,2,FALSE)*Sheet4!F$2</f>
        <v>#REF!</v>
      </c>
      <c r="R70" s="18" t="e">
        <f>M70*VLOOKUP($H70,Sheet4!$A$1:$B$7,2,FALSE)*Sheet4!G$2</f>
        <v>#REF!</v>
      </c>
      <c r="S70" s="18" t="e">
        <f>M70*VLOOKUP($H70,Sheet4!$A$1:$B$7,2,FALSE)*Sheet4!H$2</f>
        <v>#REF!</v>
      </c>
      <c r="T70" s="18" t="e">
        <f>M70*VLOOKUP($H70,Sheet4!$A$1:$B$7,2,FALSE)*Sheet4!I$2</f>
        <v>#REF!</v>
      </c>
      <c r="AA70" s="18" t="e">
        <f t="shared" si="9"/>
        <v>#REF!</v>
      </c>
      <c r="AB70" s="18" t="e">
        <f t="shared" si="4"/>
        <v>#REF!</v>
      </c>
      <c r="AC70" s="18" t="e">
        <f t="shared" si="5"/>
        <v>#REF!</v>
      </c>
      <c r="AD70" s="18" t="e">
        <f t="shared" si="6"/>
        <v>#REF!</v>
      </c>
      <c r="AE70" s="18" t="e">
        <f t="shared" si="7"/>
        <v>#REF!</v>
      </c>
      <c r="AF70" s="18" t="e">
        <f t="shared" si="8"/>
        <v>#REF!</v>
      </c>
      <c r="AK70" s="16" t="e">
        <f t="shared" si="10"/>
        <v>#REF!</v>
      </c>
      <c r="AL70" s="16">
        <v>6</v>
      </c>
    </row>
    <row r="71" spans="1:38" x14ac:dyDescent="0.15">
      <c r="A71" s="16">
        <f>Sheet1!A71</f>
        <v>1158</v>
      </c>
      <c r="B71" s="16" t="e">
        <f>Sheet1!#REF!</f>
        <v>#REF!</v>
      </c>
      <c r="C71" s="16" t="e">
        <f>Sheet1!#REF!</f>
        <v>#REF!</v>
      </c>
      <c r="D71" s="16" t="e">
        <f>Sheet1!#REF!</f>
        <v>#REF!</v>
      </c>
      <c r="E71" s="16" t="e">
        <f>Sheet1!#REF!</f>
        <v>#REF!</v>
      </c>
      <c r="F71" s="16" t="e">
        <f>Sheet1!#REF!</f>
        <v>#REF!</v>
      </c>
      <c r="G71" s="16" t="e">
        <f>Sheet1!#REF!</f>
        <v>#REF!</v>
      </c>
      <c r="H71" s="16" t="e">
        <f>Sheet1!#REF!</f>
        <v>#REF!</v>
      </c>
      <c r="M71" s="16">
        <v>1</v>
      </c>
      <c r="N71" s="16">
        <f t="shared" ca="1" si="11"/>
        <v>1.0144935813061331</v>
      </c>
      <c r="O71" s="18" t="e">
        <f>M71*VLOOKUP($H71,Sheet4!$A$1:$B$7,2,FALSE)*Sheet4!D$2</f>
        <v>#REF!</v>
      </c>
      <c r="P71" s="18" t="e">
        <f>M71*VLOOKUP($H71,Sheet4!$A$1:$B$7,2,FALSE)*Sheet4!E$2</f>
        <v>#REF!</v>
      </c>
      <c r="Q71" s="18" t="e">
        <f>M71*VLOOKUP($H71,Sheet4!$A$1:$B$7,2,FALSE)*Sheet4!F$2</f>
        <v>#REF!</v>
      </c>
      <c r="R71" s="18" t="e">
        <f>M71*VLOOKUP($H71,Sheet4!$A$1:$B$7,2,FALSE)*Sheet4!G$2</f>
        <v>#REF!</v>
      </c>
      <c r="S71" s="18" t="e">
        <f>M71*VLOOKUP($H71,Sheet4!$A$1:$B$7,2,FALSE)*Sheet4!H$2</f>
        <v>#REF!</v>
      </c>
      <c r="T71" s="18" t="e">
        <f>M71*VLOOKUP($H71,Sheet4!$A$1:$B$7,2,FALSE)*Sheet4!I$2</f>
        <v>#REF!</v>
      </c>
      <c r="AA71" s="18" t="e">
        <f t="shared" si="9"/>
        <v>#REF!</v>
      </c>
      <c r="AB71" s="18" t="e">
        <f t="shared" si="4"/>
        <v>#REF!</v>
      </c>
      <c r="AC71" s="18" t="e">
        <f t="shared" si="5"/>
        <v>#REF!</v>
      </c>
      <c r="AD71" s="18" t="e">
        <f t="shared" si="6"/>
        <v>#REF!</v>
      </c>
      <c r="AE71" s="18" t="e">
        <f t="shared" si="7"/>
        <v>#REF!</v>
      </c>
      <c r="AF71" s="18" t="e">
        <f t="shared" si="8"/>
        <v>#REF!</v>
      </c>
      <c r="AK71" s="16" t="e">
        <f t="shared" si="10"/>
        <v>#REF!</v>
      </c>
      <c r="AL71" s="16">
        <v>6</v>
      </c>
    </row>
    <row r="72" spans="1:38" x14ac:dyDescent="0.15">
      <c r="A72" s="16">
        <f>Sheet1!A72</f>
        <v>1159</v>
      </c>
      <c r="B72" s="16" t="e">
        <f>Sheet1!#REF!</f>
        <v>#REF!</v>
      </c>
      <c r="C72" s="16" t="e">
        <f>Sheet1!#REF!</f>
        <v>#REF!</v>
      </c>
      <c r="D72" s="16" t="e">
        <f>Sheet1!#REF!</f>
        <v>#REF!</v>
      </c>
      <c r="E72" s="16" t="e">
        <f>Sheet1!#REF!</f>
        <v>#REF!</v>
      </c>
      <c r="F72" s="16" t="e">
        <f>Sheet1!#REF!</f>
        <v>#REF!</v>
      </c>
      <c r="G72" s="16" t="e">
        <f>Sheet1!#REF!</f>
        <v>#REF!</v>
      </c>
      <c r="H72" s="16" t="e">
        <f>Sheet1!#REF!</f>
        <v>#REF!</v>
      </c>
      <c r="M72" s="16">
        <v>1</v>
      </c>
      <c r="N72" s="16">
        <f t="shared" ca="1" si="11"/>
        <v>0.99270396804822547</v>
      </c>
      <c r="O72" s="18" t="e">
        <f>M72*VLOOKUP($H72,Sheet4!$A$1:$B$7,2,FALSE)*Sheet4!D$2</f>
        <v>#REF!</v>
      </c>
      <c r="P72" s="18" t="e">
        <f>M72*VLOOKUP($H72,Sheet4!$A$1:$B$7,2,FALSE)*Sheet4!E$2</f>
        <v>#REF!</v>
      </c>
      <c r="Q72" s="18" t="e">
        <f>M72*VLOOKUP($H72,Sheet4!$A$1:$B$7,2,FALSE)*Sheet4!F$2</f>
        <v>#REF!</v>
      </c>
      <c r="R72" s="18" t="e">
        <f>M72*VLOOKUP($H72,Sheet4!$A$1:$B$7,2,FALSE)*Sheet4!G$2</f>
        <v>#REF!</v>
      </c>
      <c r="S72" s="18" t="e">
        <f>M72*VLOOKUP($H72,Sheet4!$A$1:$B$7,2,FALSE)*Sheet4!H$2</f>
        <v>#REF!</v>
      </c>
      <c r="T72" s="18" t="e">
        <f>M72*VLOOKUP($H72,Sheet4!$A$1:$B$7,2,FALSE)*Sheet4!I$2</f>
        <v>#REF!</v>
      </c>
      <c r="AA72" s="18" t="e">
        <f t="shared" si="9"/>
        <v>#REF!</v>
      </c>
      <c r="AB72" s="18" t="e">
        <f t="shared" si="4"/>
        <v>#REF!</v>
      </c>
      <c r="AC72" s="18" t="e">
        <f t="shared" si="5"/>
        <v>#REF!</v>
      </c>
      <c r="AD72" s="18" t="e">
        <f t="shared" si="6"/>
        <v>#REF!</v>
      </c>
      <c r="AE72" s="18" t="e">
        <f t="shared" si="7"/>
        <v>#REF!</v>
      </c>
      <c r="AF72" s="18" t="e">
        <f t="shared" si="8"/>
        <v>#REF!</v>
      </c>
      <c r="AK72" s="16" t="e">
        <f t="shared" si="10"/>
        <v>#REF!</v>
      </c>
      <c r="AL72" s="16">
        <v>6</v>
      </c>
    </row>
    <row r="73" spans="1:38" x14ac:dyDescent="0.15">
      <c r="A73" s="16">
        <f>Sheet1!A73</f>
        <v>1162</v>
      </c>
      <c r="B73" s="16" t="e">
        <f>Sheet1!#REF!</f>
        <v>#REF!</v>
      </c>
      <c r="C73" s="16" t="e">
        <f>Sheet1!#REF!</f>
        <v>#REF!</v>
      </c>
      <c r="D73" s="16" t="e">
        <f>Sheet1!#REF!</f>
        <v>#REF!</v>
      </c>
      <c r="E73" s="16" t="e">
        <f>Sheet1!#REF!</f>
        <v>#REF!</v>
      </c>
      <c r="F73" s="16" t="e">
        <f>Sheet1!#REF!</f>
        <v>#REF!</v>
      </c>
      <c r="G73" s="16" t="e">
        <f>Sheet1!#REF!</f>
        <v>#REF!</v>
      </c>
      <c r="H73" s="16" t="e">
        <f>Sheet1!#REF!</f>
        <v>#REF!</v>
      </c>
      <c r="M73" s="16">
        <v>1</v>
      </c>
      <c r="N73" s="16">
        <f t="shared" ca="1" si="11"/>
        <v>1.0215946834831955</v>
      </c>
      <c r="O73" s="18" t="e">
        <f>M73*VLOOKUP($H73,Sheet4!$A$1:$B$7,2,FALSE)*Sheet4!D$2</f>
        <v>#REF!</v>
      </c>
      <c r="P73" s="18" t="e">
        <f>M73*VLOOKUP($H73,Sheet4!$A$1:$B$7,2,FALSE)*Sheet4!E$2</f>
        <v>#REF!</v>
      </c>
      <c r="Q73" s="18" t="e">
        <f>M73*VLOOKUP($H73,Sheet4!$A$1:$B$7,2,FALSE)*Sheet4!F$2</f>
        <v>#REF!</v>
      </c>
      <c r="R73" s="18" t="e">
        <f>M73*VLOOKUP($H73,Sheet4!$A$1:$B$7,2,FALSE)*Sheet4!G$2</f>
        <v>#REF!</v>
      </c>
      <c r="S73" s="18" t="e">
        <f>M73*VLOOKUP($H73,Sheet4!$A$1:$B$7,2,FALSE)*Sheet4!H$2</f>
        <v>#REF!</v>
      </c>
      <c r="T73" s="18" t="e">
        <f>M73*VLOOKUP($H73,Sheet4!$A$1:$B$7,2,FALSE)*Sheet4!I$2</f>
        <v>#REF!</v>
      </c>
      <c r="AA73" s="18" t="e">
        <f t="shared" si="9"/>
        <v>#REF!</v>
      </c>
      <c r="AB73" s="18" t="e">
        <f t="shared" si="4"/>
        <v>#REF!</v>
      </c>
      <c r="AC73" s="18" t="e">
        <f t="shared" si="5"/>
        <v>#REF!</v>
      </c>
      <c r="AD73" s="18" t="e">
        <f t="shared" si="6"/>
        <v>#REF!</v>
      </c>
      <c r="AE73" s="18" t="e">
        <f t="shared" si="7"/>
        <v>#REF!</v>
      </c>
      <c r="AF73" s="18" t="e">
        <f t="shared" si="8"/>
        <v>#REF!</v>
      </c>
      <c r="AK73" s="16" t="e">
        <f t="shared" si="10"/>
        <v>#REF!</v>
      </c>
      <c r="AL73" s="16">
        <v>6</v>
      </c>
    </row>
    <row r="74" spans="1:38" x14ac:dyDescent="0.15">
      <c r="A74" s="16">
        <f>Sheet1!A74</f>
        <v>1163</v>
      </c>
      <c r="B74" s="16" t="e">
        <f>Sheet1!#REF!</f>
        <v>#REF!</v>
      </c>
      <c r="C74" s="16" t="e">
        <f>Sheet1!#REF!</f>
        <v>#REF!</v>
      </c>
      <c r="D74" s="16" t="e">
        <f>Sheet1!#REF!</f>
        <v>#REF!</v>
      </c>
      <c r="E74" s="16" t="e">
        <f>Sheet1!#REF!</f>
        <v>#REF!</v>
      </c>
      <c r="F74" s="16" t="e">
        <f>Sheet1!#REF!</f>
        <v>#REF!</v>
      </c>
      <c r="G74" s="16" t="e">
        <f>Sheet1!#REF!</f>
        <v>#REF!</v>
      </c>
      <c r="H74" s="16" t="e">
        <f>Sheet1!#REF!</f>
        <v>#REF!</v>
      </c>
      <c r="M74" s="16">
        <v>1</v>
      </c>
      <c r="N74" s="16">
        <f t="shared" ca="1" si="11"/>
        <v>0.97575731405514032</v>
      </c>
      <c r="O74" s="18" t="e">
        <f>M74*VLOOKUP($H74,Sheet4!$A$1:$B$7,2,FALSE)*Sheet4!D$2</f>
        <v>#REF!</v>
      </c>
      <c r="P74" s="18" t="e">
        <f>M74*VLOOKUP($H74,Sheet4!$A$1:$B$7,2,FALSE)*Sheet4!E$2</f>
        <v>#REF!</v>
      </c>
      <c r="Q74" s="18" t="e">
        <f>M74*VLOOKUP($H74,Sheet4!$A$1:$B$7,2,FALSE)*Sheet4!F$2</f>
        <v>#REF!</v>
      </c>
      <c r="R74" s="18" t="e">
        <f>M74*VLOOKUP($H74,Sheet4!$A$1:$B$7,2,FALSE)*Sheet4!G$2</f>
        <v>#REF!</v>
      </c>
      <c r="S74" s="18" t="e">
        <f>M74*VLOOKUP($H74,Sheet4!$A$1:$B$7,2,FALSE)*Sheet4!H$2</f>
        <v>#REF!</v>
      </c>
      <c r="T74" s="18" t="e">
        <f>M74*VLOOKUP($H74,Sheet4!$A$1:$B$7,2,FALSE)*Sheet4!I$2</f>
        <v>#REF!</v>
      </c>
      <c r="AA74" s="18" t="e">
        <f t="shared" si="9"/>
        <v>#REF!</v>
      </c>
      <c r="AB74" s="18" t="e">
        <f t="shared" si="4"/>
        <v>#REF!</v>
      </c>
      <c r="AC74" s="18" t="e">
        <f t="shared" si="5"/>
        <v>#REF!</v>
      </c>
      <c r="AD74" s="18" t="e">
        <f t="shared" si="6"/>
        <v>#REF!</v>
      </c>
      <c r="AE74" s="18" t="e">
        <f t="shared" si="7"/>
        <v>#REF!</v>
      </c>
      <c r="AF74" s="18" t="e">
        <f t="shared" si="8"/>
        <v>#REF!</v>
      </c>
      <c r="AK74" s="16" t="e">
        <f t="shared" si="10"/>
        <v>#REF!</v>
      </c>
      <c r="AL74" s="16">
        <v>6</v>
      </c>
    </row>
    <row r="75" spans="1:38" x14ac:dyDescent="0.15">
      <c r="A75" s="16">
        <f>Sheet1!A75</f>
        <v>1192</v>
      </c>
      <c r="B75" s="16" t="e">
        <f>Sheet1!#REF!</f>
        <v>#REF!</v>
      </c>
      <c r="C75" s="16" t="e">
        <f>Sheet1!#REF!</f>
        <v>#REF!</v>
      </c>
      <c r="D75" s="16" t="e">
        <f>Sheet1!#REF!</f>
        <v>#REF!</v>
      </c>
      <c r="E75" s="16" t="e">
        <f>Sheet1!#REF!</f>
        <v>#REF!</v>
      </c>
      <c r="F75" s="16" t="e">
        <f>Sheet1!#REF!</f>
        <v>#REF!</v>
      </c>
      <c r="G75" s="16" t="e">
        <f>Sheet1!#REF!</f>
        <v>#REF!</v>
      </c>
      <c r="H75" s="16" t="e">
        <f>Sheet1!#REF!</f>
        <v>#REF!</v>
      </c>
      <c r="M75" s="16">
        <v>1</v>
      </c>
      <c r="N75" s="16">
        <f t="shared" ca="1" si="11"/>
        <v>1.0022618982505482</v>
      </c>
      <c r="O75" s="18" t="e">
        <f>M75*VLOOKUP($H75,Sheet4!$A$1:$B$7,2,FALSE)*Sheet4!D$2</f>
        <v>#REF!</v>
      </c>
      <c r="P75" s="18" t="e">
        <f>M75*VLOOKUP($H75,Sheet4!$A$1:$B$7,2,FALSE)*Sheet4!E$2</f>
        <v>#REF!</v>
      </c>
      <c r="Q75" s="18" t="e">
        <f>M75*VLOOKUP($H75,Sheet4!$A$1:$B$7,2,FALSE)*Sheet4!F$2</f>
        <v>#REF!</v>
      </c>
      <c r="R75" s="18" t="e">
        <f>M75*VLOOKUP($H75,Sheet4!$A$1:$B$7,2,FALSE)*Sheet4!G$2</f>
        <v>#REF!</v>
      </c>
      <c r="S75" s="18" t="e">
        <f>M75*VLOOKUP($H75,Sheet4!$A$1:$B$7,2,FALSE)*Sheet4!H$2</f>
        <v>#REF!</v>
      </c>
      <c r="T75" s="18" t="e">
        <f>M75*VLOOKUP($H75,Sheet4!$A$1:$B$7,2,FALSE)*Sheet4!I$2</f>
        <v>#REF!</v>
      </c>
      <c r="AA75" s="18" t="e">
        <f t="shared" si="9"/>
        <v>#REF!</v>
      </c>
      <c r="AB75" s="18" t="e">
        <f t="shared" si="4"/>
        <v>#REF!</v>
      </c>
      <c r="AC75" s="18" t="e">
        <f t="shared" si="5"/>
        <v>#REF!</v>
      </c>
      <c r="AD75" s="18" t="e">
        <f t="shared" si="6"/>
        <v>#REF!</v>
      </c>
      <c r="AE75" s="18" t="e">
        <f t="shared" si="7"/>
        <v>#REF!</v>
      </c>
      <c r="AF75" s="18" t="e">
        <f t="shared" si="8"/>
        <v>#REF!</v>
      </c>
      <c r="AK75" s="16" t="e">
        <f t="shared" si="10"/>
        <v>#REF!</v>
      </c>
      <c r="AL75" s="16">
        <v>6</v>
      </c>
    </row>
    <row r="76" spans="1:38" x14ac:dyDescent="0.15">
      <c r="A76" s="16">
        <f>Sheet1!A76</f>
        <v>1153</v>
      </c>
      <c r="B76" s="16" t="e">
        <f>Sheet1!#REF!</f>
        <v>#REF!</v>
      </c>
      <c r="C76" s="16" t="e">
        <f>Sheet1!#REF!</f>
        <v>#REF!</v>
      </c>
      <c r="D76" s="16" t="e">
        <f>Sheet1!#REF!</f>
        <v>#REF!</v>
      </c>
      <c r="E76" s="16" t="e">
        <f>Sheet1!#REF!</f>
        <v>#REF!</v>
      </c>
      <c r="F76" s="16" t="e">
        <f>Sheet1!#REF!</f>
        <v>#REF!</v>
      </c>
      <c r="G76" s="16" t="e">
        <f>Sheet1!#REF!</f>
        <v>#REF!</v>
      </c>
      <c r="H76" s="16" t="e">
        <f>Sheet1!#REF!</f>
        <v>#REF!</v>
      </c>
      <c r="M76" s="16">
        <v>1</v>
      </c>
      <c r="N76" s="16">
        <f t="shared" ca="1" si="11"/>
        <v>0.99090403038505137</v>
      </c>
      <c r="O76" s="18" t="e">
        <f>M76*VLOOKUP($H76,Sheet4!$A$1:$B$7,2,FALSE)*Sheet4!D$2</f>
        <v>#REF!</v>
      </c>
      <c r="P76" s="18" t="e">
        <f>M76*VLOOKUP($H76,Sheet4!$A$1:$B$7,2,FALSE)*Sheet4!E$2</f>
        <v>#REF!</v>
      </c>
      <c r="Q76" s="18" t="e">
        <f>M76*VLOOKUP($H76,Sheet4!$A$1:$B$7,2,FALSE)*Sheet4!F$2</f>
        <v>#REF!</v>
      </c>
      <c r="R76" s="18" t="e">
        <f>M76*VLOOKUP($H76,Sheet4!$A$1:$B$7,2,FALSE)*Sheet4!G$2</f>
        <v>#REF!</v>
      </c>
      <c r="S76" s="18" t="e">
        <f>M76*VLOOKUP($H76,Sheet4!$A$1:$B$7,2,FALSE)*Sheet4!H$2</f>
        <v>#REF!</v>
      </c>
      <c r="T76" s="18" t="e">
        <f>M76*VLOOKUP($H76,Sheet4!$A$1:$B$7,2,FALSE)*Sheet4!I$2</f>
        <v>#REF!</v>
      </c>
      <c r="AA76" s="18" t="e">
        <f t="shared" si="9"/>
        <v>#REF!</v>
      </c>
      <c r="AB76" s="18" t="e">
        <f t="shared" si="4"/>
        <v>#REF!</v>
      </c>
      <c r="AC76" s="18" t="e">
        <f t="shared" si="5"/>
        <v>#REF!</v>
      </c>
      <c r="AD76" s="18" t="e">
        <f t="shared" si="6"/>
        <v>#REF!</v>
      </c>
      <c r="AE76" s="18" t="e">
        <f t="shared" si="7"/>
        <v>#REF!</v>
      </c>
      <c r="AF76" s="18" t="e">
        <f t="shared" si="8"/>
        <v>#REF!</v>
      </c>
      <c r="AK76" s="16" t="e">
        <f t="shared" si="10"/>
        <v>#REF!</v>
      </c>
      <c r="AL76" s="16">
        <v>4</v>
      </c>
    </row>
    <row r="77" spans="1:38" x14ac:dyDescent="0.15">
      <c r="A77" s="16">
        <f>Sheet1!A77</f>
        <v>1154</v>
      </c>
      <c r="B77" s="16" t="e">
        <f>Sheet1!#REF!</f>
        <v>#REF!</v>
      </c>
      <c r="C77" s="16" t="e">
        <f>Sheet1!#REF!</f>
        <v>#REF!</v>
      </c>
      <c r="D77" s="16" t="e">
        <f>Sheet1!#REF!</f>
        <v>#REF!</v>
      </c>
      <c r="E77" s="16" t="e">
        <f>Sheet1!#REF!</f>
        <v>#REF!</v>
      </c>
      <c r="F77" s="16" t="e">
        <f>Sheet1!#REF!</f>
        <v>#REF!</v>
      </c>
      <c r="G77" s="16" t="e">
        <f>Sheet1!#REF!</f>
        <v>#REF!</v>
      </c>
      <c r="H77" s="16" t="e">
        <f>Sheet1!#REF!</f>
        <v>#REF!</v>
      </c>
      <c r="M77" s="16">
        <v>1</v>
      </c>
      <c r="N77" s="16">
        <f t="shared" ca="1" si="11"/>
        <v>0.98921193640942118</v>
      </c>
      <c r="O77" s="18" t="e">
        <f>M77*VLOOKUP($H77,Sheet4!$A$1:$B$7,2,FALSE)*Sheet4!D$2</f>
        <v>#REF!</v>
      </c>
      <c r="P77" s="18" t="e">
        <f>M77*VLOOKUP($H77,Sheet4!$A$1:$B$7,2,FALSE)*Sheet4!E$2</f>
        <v>#REF!</v>
      </c>
      <c r="Q77" s="18" t="e">
        <f>M77*VLOOKUP($H77,Sheet4!$A$1:$B$7,2,FALSE)*Sheet4!F$2</f>
        <v>#REF!</v>
      </c>
      <c r="R77" s="18" t="e">
        <f>M77*VLOOKUP($H77,Sheet4!$A$1:$B$7,2,FALSE)*Sheet4!G$2</f>
        <v>#REF!</v>
      </c>
      <c r="S77" s="18" t="e">
        <f>M77*VLOOKUP($H77,Sheet4!$A$1:$B$7,2,FALSE)*Sheet4!H$2</f>
        <v>#REF!</v>
      </c>
      <c r="T77" s="18" t="e">
        <f>M77*VLOOKUP($H77,Sheet4!$A$1:$B$7,2,FALSE)*Sheet4!I$2</f>
        <v>#REF!</v>
      </c>
      <c r="AA77" s="18" t="e">
        <f t="shared" si="9"/>
        <v>#REF!</v>
      </c>
      <c r="AB77" s="18" t="e">
        <f t="shared" si="4"/>
        <v>#REF!</v>
      </c>
      <c r="AC77" s="18" t="e">
        <f t="shared" si="5"/>
        <v>#REF!</v>
      </c>
      <c r="AD77" s="18" t="e">
        <f t="shared" si="6"/>
        <v>#REF!</v>
      </c>
      <c r="AE77" s="18" t="e">
        <f t="shared" si="7"/>
        <v>#REF!</v>
      </c>
      <c r="AF77" s="18" t="e">
        <f t="shared" si="8"/>
        <v>#REF!</v>
      </c>
      <c r="AK77" s="16" t="e">
        <f t="shared" si="10"/>
        <v>#REF!</v>
      </c>
      <c r="AL77" s="16">
        <v>4</v>
      </c>
    </row>
    <row r="78" spans="1:38" x14ac:dyDescent="0.15">
      <c r="A78" s="16">
        <f>Sheet1!A78</f>
        <v>1164</v>
      </c>
      <c r="B78" s="16" t="e">
        <f>Sheet1!#REF!</f>
        <v>#REF!</v>
      </c>
      <c r="C78" s="16" t="e">
        <f>Sheet1!#REF!</f>
        <v>#REF!</v>
      </c>
      <c r="D78" s="16" t="e">
        <f>Sheet1!#REF!</f>
        <v>#REF!</v>
      </c>
      <c r="E78" s="16" t="e">
        <f>Sheet1!#REF!</f>
        <v>#REF!</v>
      </c>
      <c r="F78" s="16" t="e">
        <f>Sheet1!#REF!</f>
        <v>#REF!</v>
      </c>
      <c r="G78" s="16" t="e">
        <f>Sheet1!#REF!</f>
        <v>#REF!</v>
      </c>
      <c r="H78" s="16" t="e">
        <f>Sheet1!#REF!</f>
        <v>#REF!</v>
      </c>
      <c r="M78" s="16">
        <v>1</v>
      </c>
      <c r="N78" s="16">
        <f t="shared" ca="1" si="11"/>
        <v>1.0242805246247007</v>
      </c>
      <c r="O78" s="18" t="e">
        <f>M78*VLOOKUP($H78,Sheet4!$A$1:$B$7,2,FALSE)*Sheet4!D$2</f>
        <v>#REF!</v>
      </c>
      <c r="P78" s="18" t="e">
        <f>M78*VLOOKUP($H78,Sheet4!$A$1:$B$7,2,FALSE)*Sheet4!E$2</f>
        <v>#REF!</v>
      </c>
      <c r="Q78" s="18" t="e">
        <f>M78*VLOOKUP($H78,Sheet4!$A$1:$B$7,2,FALSE)*Sheet4!F$2</f>
        <v>#REF!</v>
      </c>
      <c r="R78" s="18" t="e">
        <f>M78*VLOOKUP($H78,Sheet4!$A$1:$B$7,2,FALSE)*Sheet4!G$2</f>
        <v>#REF!</v>
      </c>
      <c r="S78" s="18" t="e">
        <f>M78*VLOOKUP($H78,Sheet4!$A$1:$B$7,2,FALSE)*Sheet4!H$2</f>
        <v>#REF!</v>
      </c>
      <c r="T78" s="18" t="e">
        <f>M78*VLOOKUP($H78,Sheet4!$A$1:$B$7,2,FALSE)*Sheet4!I$2</f>
        <v>#REF!</v>
      </c>
      <c r="AA78" s="18" t="e">
        <f t="shared" si="9"/>
        <v>#REF!</v>
      </c>
      <c r="AB78" s="18" t="e">
        <f t="shared" si="4"/>
        <v>#REF!</v>
      </c>
      <c r="AC78" s="18" t="e">
        <f t="shared" si="5"/>
        <v>#REF!</v>
      </c>
      <c r="AD78" s="18" t="e">
        <f t="shared" si="6"/>
        <v>#REF!</v>
      </c>
      <c r="AE78" s="18" t="e">
        <f t="shared" si="7"/>
        <v>#REF!</v>
      </c>
      <c r="AF78" s="18" t="e">
        <f t="shared" si="8"/>
        <v>#REF!</v>
      </c>
      <c r="AK78" s="16" t="e">
        <f t="shared" si="10"/>
        <v>#REF!</v>
      </c>
      <c r="AL78" s="16">
        <v>4</v>
      </c>
    </row>
    <row r="79" spans="1:38" x14ac:dyDescent="0.15">
      <c r="A79" s="16">
        <f>Sheet1!A79</f>
        <v>1165</v>
      </c>
      <c r="B79" s="16" t="e">
        <f>Sheet1!#REF!</f>
        <v>#REF!</v>
      </c>
      <c r="C79" s="16" t="e">
        <f>Sheet1!#REF!</f>
        <v>#REF!</v>
      </c>
      <c r="D79" s="16" t="e">
        <f>Sheet1!#REF!</f>
        <v>#REF!</v>
      </c>
      <c r="E79" s="16" t="e">
        <f>Sheet1!#REF!</f>
        <v>#REF!</v>
      </c>
      <c r="F79" s="16" t="e">
        <f>Sheet1!#REF!</f>
        <v>#REF!</v>
      </c>
      <c r="G79" s="16" t="e">
        <f>Sheet1!#REF!</f>
        <v>#REF!</v>
      </c>
      <c r="H79" s="16" t="e">
        <f>Sheet1!#REF!</f>
        <v>#REF!</v>
      </c>
      <c r="M79" s="16">
        <v>1</v>
      </c>
      <c r="N79" s="16">
        <f t="shared" ca="1" si="11"/>
        <v>1.0234361098929732</v>
      </c>
      <c r="O79" s="18" t="e">
        <f>M79*VLOOKUP($H79,Sheet4!$A$1:$B$7,2,FALSE)*Sheet4!D$2</f>
        <v>#REF!</v>
      </c>
      <c r="P79" s="18" t="e">
        <f>M79*VLOOKUP($H79,Sheet4!$A$1:$B$7,2,FALSE)*Sheet4!E$2</f>
        <v>#REF!</v>
      </c>
      <c r="Q79" s="18" t="e">
        <f>M79*VLOOKUP($H79,Sheet4!$A$1:$B$7,2,FALSE)*Sheet4!F$2</f>
        <v>#REF!</v>
      </c>
      <c r="R79" s="18" t="e">
        <f>M79*VLOOKUP($H79,Sheet4!$A$1:$B$7,2,FALSE)*Sheet4!G$2</f>
        <v>#REF!</v>
      </c>
      <c r="S79" s="18" t="e">
        <f>M79*VLOOKUP($H79,Sheet4!$A$1:$B$7,2,FALSE)*Sheet4!H$2</f>
        <v>#REF!</v>
      </c>
      <c r="T79" s="18" t="e">
        <f>M79*VLOOKUP($H79,Sheet4!$A$1:$B$7,2,FALSE)*Sheet4!I$2</f>
        <v>#REF!</v>
      </c>
      <c r="AA79" s="18" t="e">
        <f t="shared" si="9"/>
        <v>#REF!</v>
      </c>
      <c r="AB79" s="18" t="e">
        <f t="shared" ref="AB79:AB114" si="12">ROUND(P79*0.1,0)</f>
        <v>#REF!</v>
      </c>
      <c r="AC79" s="18" t="e">
        <f t="shared" ref="AC79:AC114" si="13">ROUND(Q79*0.1,0)</f>
        <v>#REF!</v>
      </c>
      <c r="AD79" s="18" t="e">
        <f t="shared" ref="AD79:AD114" si="14">ROUND(R79*0.1,0)</f>
        <v>#REF!</v>
      </c>
      <c r="AE79" s="18" t="e">
        <f t="shared" ref="AE79:AE114" si="15">ROUND(S79*0.1,0)</f>
        <v>#REF!</v>
      </c>
      <c r="AF79" s="18" t="e">
        <f t="shared" ref="AF79:AF114" si="16">ROUND(T79*0.1,0)</f>
        <v>#REF!</v>
      </c>
      <c r="AK79" s="16" t="e">
        <f t="shared" si="10"/>
        <v>#REF!</v>
      </c>
      <c r="AL79" s="16">
        <v>4</v>
      </c>
    </row>
    <row r="80" spans="1:38" x14ac:dyDescent="0.15">
      <c r="A80" s="16">
        <f>Sheet1!A80</f>
        <v>1166</v>
      </c>
      <c r="B80" s="16" t="e">
        <f>Sheet1!#REF!</f>
        <v>#REF!</v>
      </c>
      <c r="C80" s="16" t="e">
        <f>Sheet1!#REF!</f>
        <v>#REF!</v>
      </c>
      <c r="D80" s="16" t="e">
        <f>Sheet1!#REF!</f>
        <v>#REF!</v>
      </c>
      <c r="E80" s="16" t="e">
        <f>Sheet1!#REF!</f>
        <v>#REF!</v>
      </c>
      <c r="F80" s="16" t="e">
        <f>Sheet1!#REF!</f>
        <v>#REF!</v>
      </c>
      <c r="G80" s="16" t="e">
        <f>Sheet1!#REF!</f>
        <v>#REF!</v>
      </c>
      <c r="H80" s="16" t="e">
        <f>Sheet1!#REF!</f>
        <v>#REF!</v>
      </c>
      <c r="M80" s="16">
        <v>1</v>
      </c>
      <c r="N80" s="16">
        <f t="shared" ca="1" si="11"/>
        <v>1.0059044308355287</v>
      </c>
      <c r="O80" s="18" t="e">
        <f>M80*VLOOKUP($H80,Sheet4!$A$1:$B$7,2,FALSE)*Sheet4!D$2</f>
        <v>#REF!</v>
      </c>
      <c r="P80" s="18" t="e">
        <f>M80*VLOOKUP($H80,Sheet4!$A$1:$B$7,2,FALSE)*Sheet4!E$2</f>
        <v>#REF!</v>
      </c>
      <c r="Q80" s="18" t="e">
        <f>M80*VLOOKUP($H80,Sheet4!$A$1:$B$7,2,FALSE)*Sheet4!F$2</f>
        <v>#REF!</v>
      </c>
      <c r="R80" s="18" t="e">
        <f>M80*VLOOKUP($H80,Sheet4!$A$1:$B$7,2,FALSE)*Sheet4!G$2</f>
        <v>#REF!</v>
      </c>
      <c r="S80" s="18" t="e">
        <f>M80*VLOOKUP($H80,Sheet4!$A$1:$B$7,2,FALSE)*Sheet4!H$2</f>
        <v>#REF!</v>
      </c>
      <c r="T80" s="18" t="e">
        <f>M80*VLOOKUP($H80,Sheet4!$A$1:$B$7,2,FALSE)*Sheet4!I$2</f>
        <v>#REF!</v>
      </c>
      <c r="AA80" s="18" t="e">
        <f t="shared" ref="AA80:AA114" si="17">ROUND(O80*0.1,0)</f>
        <v>#REF!</v>
      </c>
      <c r="AB80" s="18" t="e">
        <f t="shared" si="12"/>
        <v>#REF!</v>
      </c>
      <c r="AC80" s="18" t="e">
        <f t="shared" si="13"/>
        <v>#REF!</v>
      </c>
      <c r="AD80" s="18" t="e">
        <f t="shared" si="14"/>
        <v>#REF!</v>
      </c>
      <c r="AE80" s="18" t="e">
        <f t="shared" si="15"/>
        <v>#REF!</v>
      </c>
      <c r="AF80" s="18" t="e">
        <f t="shared" si="16"/>
        <v>#REF!</v>
      </c>
      <c r="AK80" s="16" t="e">
        <f t="shared" si="10"/>
        <v>#REF!</v>
      </c>
      <c r="AL80" s="16">
        <v>4</v>
      </c>
    </row>
    <row r="81" spans="1:38" x14ac:dyDescent="0.15">
      <c r="A81" s="16">
        <f>Sheet1!A81</f>
        <v>1167</v>
      </c>
      <c r="B81" s="16" t="e">
        <f>Sheet1!#REF!</f>
        <v>#REF!</v>
      </c>
      <c r="C81" s="16" t="e">
        <f>Sheet1!#REF!</f>
        <v>#REF!</v>
      </c>
      <c r="D81" s="16" t="e">
        <f>Sheet1!#REF!</f>
        <v>#REF!</v>
      </c>
      <c r="E81" s="16" t="e">
        <f>Sheet1!#REF!</f>
        <v>#REF!</v>
      </c>
      <c r="F81" s="16" t="e">
        <f>Sheet1!#REF!</f>
        <v>#REF!</v>
      </c>
      <c r="G81" s="16" t="e">
        <f>Sheet1!#REF!</f>
        <v>#REF!</v>
      </c>
      <c r="H81" s="16" t="e">
        <f>Sheet1!#REF!</f>
        <v>#REF!</v>
      </c>
      <c r="M81" s="16">
        <v>1</v>
      </c>
      <c r="N81" s="16">
        <f t="shared" ca="1" si="11"/>
        <v>0.98352705620069913</v>
      </c>
      <c r="O81" s="18" t="e">
        <f>M81*VLOOKUP($H81,Sheet4!$A$1:$B$7,2,FALSE)*Sheet4!D$2</f>
        <v>#REF!</v>
      </c>
      <c r="P81" s="18" t="e">
        <f>M81*VLOOKUP($H81,Sheet4!$A$1:$B$7,2,FALSE)*Sheet4!E$2</f>
        <v>#REF!</v>
      </c>
      <c r="Q81" s="18" t="e">
        <f>M81*VLOOKUP($H81,Sheet4!$A$1:$B$7,2,FALSE)*Sheet4!F$2</f>
        <v>#REF!</v>
      </c>
      <c r="R81" s="18" t="e">
        <f>M81*VLOOKUP($H81,Sheet4!$A$1:$B$7,2,FALSE)*Sheet4!G$2</f>
        <v>#REF!</v>
      </c>
      <c r="S81" s="18" t="e">
        <f>M81*VLOOKUP($H81,Sheet4!$A$1:$B$7,2,FALSE)*Sheet4!H$2</f>
        <v>#REF!</v>
      </c>
      <c r="T81" s="18" t="e">
        <f>M81*VLOOKUP($H81,Sheet4!$A$1:$B$7,2,FALSE)*Sheet4!I$2</f>
        <v>#REF!</v>
      </c>
      <c r="AA81" s="18" t="e">
        <f t="shared" si="17"/>
        <v>#REF!</v>
      </c>
      <c r="AB81" s="18" t="e">
        <f t="shared" si="12"/>
        <v>#REF!</v>
      </c>
      <c r="AC81" s="18" t="e">
        <f t="shared" si="13"/>
        <v>#REF!</v>
      </c>
      <c r="AD81" s="18" t="e">
        <f t="shared" si="14"/>
        <v>#REF!</v>
      </c>
      <c r="AE81" s="18" t="e">
        <f t="shared" si="15"/>
        <v>#REF!</v>
      </c>
      <c r="AF81" s="18" t="e">
        <f t="shared" si="16"/>
        <v>#REF!</v>
      </c>
      <c r="AK81" s="16" t="e">
        <f t="shared" si="10"/>
        <v>#REF!</v>
      </c>
      <c r="AL81" s="16">
        <v>4</v>
      </c>
    </row>
    <row r="82" spans="1:38" x14ac:dyDescent="0.15">
      <c r="A82" s="16">
        <f>Sheet1!A82</f>
        <v>1168</v>
      </c>
      <c r="B82" s="16" t="e">
        <f>Sheet1!#REF!</f>
        <v>#REF!</v>
      </c>
      <c r="C82" s="16" t="e">
        <f>Sheet1!#REF!</f>
        <v>#REF!</v>
      </c>
      <c r="D82" s="16" t="e">
        <f>Sheet1!#REF!</f>
        <v>#REF!</v>
      </c>
      <c r="E82" s="16" t="e">
        <f>Sheet1!#REF!</f>
        <v>#REF!</v>
      </c>
      <c r="F82" s="16" t="e">
        <f>Sheet1!#REF!</f>
        <v>#REF!</v>
      </c>
      <c r="G82" s="16" t="e">
        <f>Sheet1!#REF!</f>
        <v>#REF!</v>
      </c>
      <c r="H82" s="16" t="e">
        <f>Sheet1!#REF!</f>
        <v>#REF!</v>
      </c>
      <c r="M82" s="16">
        <v>1</v>
      </c>
      <c r="N82" s="16">
        <f t="shared" ca="1" si="11"/>
        <v>0.98565306646485851</v>
      </c>
      <c r="O82" s="18" t="e">
        <f>M82*VLOOKUP($H82,Sheet4!$A$1:$B$7,2,FALSE)*Sheet4!D$2</f>
        <v>#REF!</v>
      </c>
      <c r="P82" s="18" t="e">
        <f>M82*VLOOKUP($H82,Sheet4!$A$1:$B$7,2,FALSE)*Sheet4!E$2</f>
        <v>#REF!</v>
      </c>
      <c r="Q82" s="18" t="e">
        <f>M82*VLOOKUP($H82,Sheet4!$A$1:$B$7,2,FALSE)*Sheet4!F$2</f>
        <v>#REF!</v>
      </c>
      <c r="R82" s="18" t="e">
        <f>M82*VLOOKUP($H82,Sheet4!$A$1:$B$7,2,FALSE)*Sheet4!G$2</f>
        <v>#REF!</v>
      </c>
      <c r="S82" s="18" t="e">
        <f>M82*VLOOKUP($H82,Sheet4!$A$1:$B$7,2,FALSE)*Sheet4!H$2</f>
        <v>#REF!</v>
      </c>
      <c r="T82" s="18" t="e">
        <f>M82*VLOOKUP($H82,Sheet4!$A$1:$B$7,2,FALSE)*Sheet4!I$2</f>
        <v>#REF!</v>
      </c>
      <c r="AA82" s="18" t="e">
        <f t="shared" si="17"/>
        <v>#REF!</v>
      </c>
      <c r="AB82" s="18" t="e">
        <f t="shared" si="12"/>
        <v>#REF!</v>
      </c>
      <c r="AC82" s="18" t="e">
        <f t="shared" si="13"/>
        <v>#REF!</v>
      </c>
      <c r="AD82" s="18" t="e">
        <f t="shared" si="14"/>
        <v>#REF!</v>
      </c>
      <c r="AE82" s="18" t="e">
        <f t="shared" si="15"/>
        <v>#REF!</v>
      </c>
      <c r="AF82" s="18" t="e">
        <f t="shared" si="16"/>
        <v>#REF!</v>
      </c>
      <c r="AK82" s="16" t="e">
        <f t="shared" si="10"/>
        <v>#REF!</v>
      </c>
      <c r="AL82" s="16">
        <v>4</v>
      </c>
    </row>
    <row r="83" spans="1:38" x14ac:dyDescent="0.15">
      <c r="A83" s="16">
        <f>Sheet1!A83</f>
        <v>1169</v>
      </c>
      <c r="B83" s="16" t="e">
        <f>Sheet1!#REF!</f>
        <v>#REF!</v>
      </c>
      <c r="C83" s="16" t="e">
        <f>Sheet1!#REF!</f>
        <v>#REF!</v>
      </c>
      <c r="D83" s="16" t="e">
        <f>Sheet1!#REF!</f>
        <v>#REF!</v>
      </c>
      <c r="E83" s="16" t="e">
        <f>Sheet1!#REF!</f>
        <v>#REF!</v>
      </c>
      <c r="F83" s="16" t="e">
        <f>Sheet1!#REF!</f>
        <v>#REF!</v>
      </c>
      <c r="G83" s="16" t="e">
        <f>Sheet1!#REF!</f>
        <v>#REF!</v>
      </c>
      <c r="H83" s="16" t="e">
        <f>Sheet1!#REF!</f>
        <v>#REF!</v>
      </c>
      <c r="M83" s="16">
        <v>1</v>
      </c>
      <c r="N83" s="16">
        <f t="shared" ca="1" si="11"/>
        <v>1.0163230083481367</v>
      </c>
      <c r="O83" s="18" t="e">
        <f>M83*VLOOKUP($H83,Sheet4!$A$1:$B$7,2,FALSE)*Sheet4!D$2</f>
        <v>#REF!</v>
      </c>
      <c r="P83" s="18" t="e">
        <f>M83*VLOOKUP($H83,Sheet4!$A$1:$B$7,2,FALSE)*Sheet4!E$2</f>
        <v>#REF!</v>
      </c>
      <c r="Q83" s="18" t="e">
        <f>M83*VLOOKUP($H83,Sheet4!$A$1:$B$7,2,FALSE)*Sheet4!F$2</f>
        <v>#REF!</v>
      </c>
      <c r="R83" s="18" t="e">
        <f>M83*VLOOKUP($H83,Sheet4!$A$1:$B$7,2,FALSE)*Sheet4!G$2</f>
        <v>#REF!</v>
      </c>
      <c r="S83" s="18" t="e">
        <f>M83*VLOOKUP($H83,Sheet4!$A$1:$B$7,2,FALSE)*Sheet4!H$2</f>
        <v>#REF!</v>
      </c>
      <c r="T83" s="18" t="e">
        <f>M83*VLOOKUP($H83,Sheet4!$A$1:$B$7,2,FALSE)*Sheet4!I$2</f>
        <v>#REF!</v>
      </c>
      <c r="AA83" s="18" t="e">
        <f t="shared" si="17"/>
        <v>#REF!</v>
      </c>
      <c r="AB83" s="18" t="e">
        <f t="shared" si="12"/>
        <v>#REF!</v>
      </c>
      <c r="AC83" s="18" t="e">
        <f t="shared" si="13"/>
        <v>#REF!</v>
      </c>
      <c r="AD83" s="18" t="e">
        <f t="shared" si="14"/>
        <v>#REF!</v>
      </c>
      <c r="AE83" s="18" t="e">
        <f t="shared" si="15"/>
        <v>#REF!</v>
      </c>
      <c r="AF83" s="18" t="e">
        <f t="shared" si="16"/>
        <v>#REF!</v>
      </c>
      <c r="AK83" s="16" t="e">
        <f t="shared" si="10"/>
        <v>#REF!</v>
      </c>
      <c r="AL83" s="16">
        <v>4</v>
      </c>
    </row>
    <row r="84" spans="1:38" x14ac:dyDescent="0.15">
      <c r="A84" s="16">
        <f>Sheet1!A84</f>
        <v>1170</v>
      </c>
      <c r="B84" s="16" t="e">
        <f>Sheet1!#REF!</f>
        <v>#REF!</v>
      </c>
      <c r="C84" s="16" t="e">
        <f>Sheet1!#REF!</f>
        <v>#REF!</v>
      </c>
      <c r="D84" s="16" t="e">
        <f>Sheet1!#REF!</f>
        <v>#REF!</v>
      </c>
      <c r="E84" s="16" t="e">
        <f>Sheet1!#REF!</f>
        <v>#REF!</v>
      </c>
      <c r="F84" s="16" t="e">
        <f>Sheet1!#REF!</f>
        <v>#REF!</v>
      </c>
      <c r="G84" s="16" t="e">
        <f>Sheet1!#REF!</f>
        <v>#REF!</v>
      </c>
      <c r="H84" s="16" t="e">
        <f>Sheet1!#REF!</f>
        <v>#REF!</v>
      </c>
      <c r="M84" s="16">
        <v>1</v>
      </c>
      <c r="N84" s="16">
        <f t="shared" ca="1" si="11"/>
        <v>1.0084318496452411</v>
      </c>
      <c r="O84" s="18" t="e">
        <f>M84*VLOOKUP($H84,Sheet4!$A$1:$B$7,2,FALSE)*Sheet4!D$2</f>
        <v>#REF!</v>
      </c>
      <c r="P84" s="18" t="e">
        <f>M84*VLOOKUP($H84,Sheet4!$A$1:$B$7,2,FALSE)*Sheet4!E$2</f>
        <v>#REF!</v>
      </c>
      <c r="Q84" s="18" t="e">
        <f>M84*VLOOKUP($H84,Sheet4!$A$1:$B$7,2,FALSE)*Sheet4!F$2</f>
        <v>#REF!</v>
      </c>
      <c r="R84" s="18" t="e">
        <f>M84*VLOOKUP($H84,Sheet4!$A$1:$B$7,2,FALSE)*Sheet4!G$2</f>
        <v>#REF!</v>
      </c>
      <c r="S84" s="18" t="e">
        <f>M84*VLOOKUP($H84,Sheet4!$A$1:$B$7,2,FALSE)*Sheet4!H$2</f>
        <v>#REF!</v>
      </c>
      <c r="T84" s="18" t="e">
        <f>M84*VLOOKUP($H84,Sheet4!$A$1:$B$7,2,FALSE)*Sheet4!I$2</f>
        <v>#REF!</v>
      </c>
      <c r="AA84" s="18" t="e">
        <f t="shared" si="17"/>
        <v>#REF!</v>
      </c>
      <c r="AB84" s="18" t="e">
        <f t="shared" si="12"/>
        <v>#REF!</v>
      </c>
      <c r="AC84" s="18" t="e">
        <f t="shared" si="13"/>
        <v>#REF!</v>
      </c>
      <c r="AD84" s="18" t="e">
        <f t="shared" si="14"/>
        <v>#REF!</v>
      </c>
      <c r="AE84" s="18" t="e">
        <f t="shared" si="15"/>
        <v>#REF!</v>
      </c>
      <c r="AF84" s="18" t="e">
        <f t="shared" si="16"/>
        <v>#REF!</v>
      </c>
      <c r="AK84" s="16" t="e">
        <f t="shared" si="10"/>
        <v>#REF!</v>
      </c>
      <c r="AL84" s="16">
        <v>4</v>
      </c>
    </row>
    <row r="85" spans="1:38" x14ac:dyDescent="0.15">
      <c r="A85" s="16">
        <f>Sheet1!A85</f>
        <v>1171</v>
      </c>
      <c r="B85" s="16" t="e">
        <f>Sheet1!#REF!</f>
        <v>#REF!</v>
      </c>
      <c r="C85" s="16" t="e">
        <f>Sheet1!#REF!</f>
        <v>#REF!</v>
      </c>
      <c r="D85" s="16" t="e">
        <f>Sheet1!#REF!</f>
        <v>#REF!</v>
      </c>
      <c r="E85" s="16" t="e">
        <f>Sheet1!#REF!</f>
        <v>#REF!</v>
      </c>
      <c r="F85" s="16" t="e">
        <f>Sheet1!#REF!</f>
        <v>#REF!</v>
      </c>
      <c r="G85" s="16" t="e">
        <f>Sheet1!#REF!</f>
        <v>#REF!</v>
      </c>
      <c r="H85" s="16" t="e">
        <f>Sheet1!#REF!</f>
        <v>#REF!</v>
      </c>
      <c r="M85" s="16">
        <v>1</v>
      </c>
      <c r="N85" s="16">
        <f t="shared" ca="1" si="11"/>
        <v>0.98749605503469429</v>
      </c>
      <c r="O85" s="18" t="e">
        <f>M85*VLOOKUP($H85,Sheet4!$A$1:$B$7,2,FALSE)*Sheet4!D$2</f>
        <v>#REF!</v>
      </c>
      <c r="P85" s="18" t="e">
        <f>M85*VLOOKUP($H85,Sheet4!$A$1:$B$7,2,FALSE)*Sheet4!E$2</f>
        <v>#REF!</v>
      </c>
      <c r="Q85" s="18" t="e">
        <f>M85*VLOOKUP($H85,Sheet4!$A$1:$B$7,2,FALSE)*Sheet4!F$2</f>
        <v>#REF!</v>
      </c>
      <c r="R85" s="18" t="e">
        <f>M85*VLOOKUP($H85,Sheet4!$A$1:$B$7,2,FALSE)*Sheet4!G$2</f>
        <v>#REF!</v>
      </c>
      <c r="S85" s="18" t="e">
        <f>M85*VLOOKUP($H85,Sheet4!$A$1:$B$7,2,FALSE)*Sheet4!H$2</f>
        <v>#REF!</v>
      </c>
      <c r="T85" s="18" t="e">
        <f>M85*VLOOKUP($H85,Sheet4!$A$1:$B$7,2,FALSE)*Sheet4!I$2</f>
        <v>#REF!</v>
      </c>
      <c r="AA85" s="18" t="e">
        <f t="shared" si="17"/>
        <v>#REF!</v>
      </c>
      <c r="AB85" s="18" t="e">
        <f t="shared" si="12"/>
        <v>#REF!</v>
      </c>
      <c r="AC85" s="18" t="e">
        <f t="shared" si="13"/>
        <v>#REF!</v>
      </c>
      <c r="AD85" s="18" t="e">
        <f t="shared" si="14"/>
        <v>#REF!</v>
      </c>
      <c r="AE85" s="18" t="e">
        <f t="shared" si="15"/>
        <v>#REF!</v>
      </c>
      <c r="AF85" s="18" t="e">
        <f t="shared" si="16"/>
        <v>#REF!</v>
      </c>
      <c r="AK85" s="16" t="e">
        <f t="shared" si="10"/>
        <v>#REF!</v>
      </c>
      <c r="AL85" s="16">
        <v>4</v>
      </c>
    </row>
    <row r="86" spans="1:38" x14ac:dyDescent="0.15">
      <c r="A86" s="16">
        <f>Sheet1!A86</f>
        <v>1176</v>
      </c>
      <c r="B86" s="16" t="e">
        <f>Sheet1!#REF!</f>
        <v>#REF!</v>
      </c>
      <c r="C86" s="16" t="e">
        <f>Sheet1!#REF!</f>
        <v>#REF!</v>
      </c>
      <c r="D86" s="16" t="e">
        <f>Sheet1!#REF!</f>
        <v>#REF!</v>
      </c>
      <c r="E86" s="16" t="e">
        <f>Sheet1!#REF!</f>
        <v>#REF!</v>
      </c>
      <c r="F86" s="16" t="e">
        <f>Sheet1!#REF!</f>
        <v>#REF!</v>
      </c>
      <c r="G86" s="16" t="e">
        <f>Sheet1!#REF!</f>
        <v>#REF!</v>
      </c>
      <c r="H86" s="16" t="e">
        <f>Sheet1!#REF!</f>
        <v>#REF!</v>
      </c>
      <c r="M86" s="16">
        <v>1</v>
      </c>
      <c r="N86" s="16">
        <f t="shared" ca="1" si="11"/>
        <v>1.017589200349311</v>
      </c>
      <c r="O86" s="18" t="e">
        <f>M86*VLOOKUP($H86,Sheet4!$A$1:$B$7,2,FALSE)*Sheet4!D$2</f>
        <v>#REF!</v>
      </c>
      <c r="P86" s="18" t="e">
        <f>M86*VLOOKUP($H86,Sheet4!$A$1:$B$7,2,FALSE)*Sheet4!E$2</f>
        <v>#REF!</v>
      </c>
      <c r="Q86" s="18" t="e">
        <f>M86*VLOOKUP($H86,Sheet4!$A$1:$B$7,2,FALSE)*Sheet4!F$2</f>
        <v>#REF!</v>
      </c>
      <c r="R86" s="18" t="e">
        <f>M86*VLOOKUP($H86,Sheet4!$A$1:$B$7,2,FALSE)*Sheet4!G$2</f>
        <v>#REF!</v>
      </c>
      <c r="S86" s="18" t="e">
        <f>M86*VLOOKUP($H86,Sheet4!$A$1:$B$7,2,FALSE)*Sheet4!H$2</f>
        <v>#REF!</v>
      </c>
      <c r="T86" s="18" t="e">
        <f>M86*VLOOKUP($H86,Sheet4!$A$1:$B$7,2,FALSE)*Sheet4!I$2</f>
        <v>#REF!</v>
      </c>
      <c r="AA86" s="18" t="e">
        <f t="shared" si="17"/>
        <v>#REF!</v>
      </c>
      <c r="AB86" s="18" t="e">
        <f t="shared" si="12"/>
        <v>#REF!</v>
      </c>
      <c r="AC86" s="18" t="e">
        <f t="shared" si="13"/>
        <v>#REF!</v>
      </c>
      <c r="AD86" s="18" t="e">
        <f t="shared" si="14"/>
        <v>#REF!</v>
      </c>
      <c r="AE86" s="18" t="e">
        <f t="shared" si="15"/>
        <v>#REF!</v>
      </c>
      <c r="AF86" s="18" t="e">
        <f t="shared" si="16"/>
        <v>#REF!</v>
      </c>
      <c r="AK86" s="16" t="e">
        <f t="shared" si="10"/>
        <v>#REF!</v>
      </c>
      <c r="AL86" s="16">
        <v>4</v>
      </c>
    </row>
    <row r="87" spans="1:38" x14ac:dyDescent="0.15">
      <c r="A87" s="16">
        <f>Sheet1!A87</f>
        <v>1177</v>
      </c>
      <c r="B87" s="16" t="e">
        <f>Sheet1!#REF!</f>
        <v>#REF!</v>
      </c>
      <c r="C87" s="16" t="e">
        <f>Sheet1!#REF!</f>
        <v>#REF!</v>
      </c>
      <c r="D87" s="16" t="e">
        <f>Sheet1!#REF!</f>
        <v>#REF!</v>
      </c>
      <c r="E87" s="16" t="e">
        <f>Sheet1!#REF!</f>
        <v>#REF!</v>
      </c>
      <c r="F87" s="16" t="e">
        <f>Sheet1!#REF!</f>
        <v>#REF!</v>
      </c>
      <c r="G87" s="16" t="e">
        <f>Sheet1!#REF!</f>
        <v>#REF!</v>
      </c>
      <c r="H87" s="16" t="e">
        <f>Sheet1!#REF!</f>
        <v>#REF!</v>
      </c>
      <c r="M87" s="16">
        <v>1</v>
      </c>
      <c r="N87" s="16">
        <f t="shared" ca="1" si="11"/>
        <v>1.0118944638072347</v>
      </c>
      <c r="O87" s="18" t="e">
        <f>M87*VLOOKUP($H87,Sheet4!$A$1:$B$7,2,FALSE)*Sheet4!D$2</f>
        <v>#REF!</v>
      </c>
      <c r="P87" s="18" t="e">
        <f>M87*VLOOKUP($H87,Sheet4!$A$1:$B$7,2,FALSE)*Sheet4!E$2</f>
        <v>#REF!</v>
      </c>
      <c r="Q87" s="18" t="e">
        <f>M87*VLOOKUP($H87,Sheet4!$A$1:$B$7,2,FALSE)*Sheet4!F$2</f>
        <v>#REF!</v>
      </c>
      <c r="R87" s="18" t="e">
        <f>M87*VLOOKUP($H87,Sheet4!$A$1:$B$7,2,FALSE)*Sheet4!G$2</f>
        <v>#REF!</v>
      </c>
      <c r="S87" s="18" t="e">
        <f>M87*VLOOKUP($H87,Sheet4!$A$1:$B$7,2,FALSE)*Sheet4!H$2</f>
        <v>#REF!</v>
      </c>
      <c r="T87" s="18" t="e">
        <f>M87*VLOOKUP($H87,Sheet4!$A$1:$B$7,2,FALSE)*Sheet4!I$2</f>
        <v>#REF!</v>
      </c>
      <c r="AA87" s="18" t="e">
        <f t="shared" si="17"/>
        <v>#REF!</v>
      </c>
      <c r="AB87" s="18" t="e">
        <f t="shared" si="12"/>
        <v>#REF!</v>
      </c>
      <c r="AC87" s="18" t="e">
        <f t="shared" si="13"/>
        <v>#REF!</v>
      </c>
      <c r="AD87" s="18" t="e">
        <f t="shared" si="14"/>
        <v>#REF!</v>
      </c>
      <c r="AE87" s="18" t="e">
        <f t="shared" si="15"/>
        <v>#REF!</v>
      </c>
      <c r="AF87" s="18" t="e">
        <f t="shared" si="16"/>
        <v>#REF!</v>
      </c>
      <c r="AK87" s="16" t="e">
        <f t="shared" si="10"/>
        <v>#REF!</v>
      </c>
      <c r="AL87" s="16">
        <v>4</v>
      </c>
    </row>
    <row r="88" spans="1:38" x14ac:dyDescent="0.15">
      <c r="A88" s="16">
        <f>Sheet1!A88</f>
        <v>1178</v>
      </c>
      <c r="B88" s="16" t="e">
        <f>Sheet1!#REF!</f>
        <v>#REF!</v>
      </c>
      <c r="C88" s="16" t="e">
        <f>Sheet1!#REF!</f>
        <v>#REF!</v>
      </c>
      <c r="D88" s="16" t="e">
        <f>Sheet1!#REF!</f>
        <v>#REF!</v>
      </c>
      <c r="E88" s="16" t="e">
        <f>Sheet1!#REF!</f>
        <v>#REF!</v>
      </c>
      <c r="F88" s="16" t="e">
        <f>Sheet1!#REF!</f>
        <v>#REF!</v>
      </c>
      <c r="G88" s="16" t="e">
        <f>Sheet1!#REF!</f>
        <v>#REF!</v>
      </c>
      <c r="H88" s="16" t="e">
        <f>Sheet1!#REF!</f>
        <v>#REF!</v>
      </c>
      <c r="M88" s="16">
        <v>1</v>
      </c>
      <c r="N88" s="16">
        <f t="shared" ca="1" si="11"/>
        <v>0.97889726863929993</v>
      </c>
      <c r="O88" s="18" t="e">
        <f>M88*VLOOKUP($H88,Sheet4!$A$1:$B$7,2,FALSE)*Sheet4!D$2</f>
        <v>#REF!</v>
      </c>
      <c r="P88" s="18" t="e">
        <f>M88*VLOOKUP($H88,Sheet4!$A$1:$B$7,2,FALSE)*Sheet4!E$2</f>
        <v>#REF!</v>
      </c>
      <c r="Q88" s="18" t="e">
        <f>M88*VLOOKUP($H88,Sheet4!$A$1:$B$7,2,FALSE)*Sheet4!F$2</f>
        <v>#REF!</v>
      </c>
      <c r="R88" s="18" t="e">
        <f>M88*VLOOKUP($H88,Sheet4!$A$1:$B$7,2,FALSE)*Sheet4!G$2</f>
        <v>#REF!</v>
      </c>
      <c r="S88" s="18" t="e">
        <f>M88*VLOOKUP($H88,Sheet4!$A$1:$B$7,2,FALSE)*Sheet4!H$2</f>
        <v>#REF!</v>
      </c>
      <c r="T88" s="18" t="e">
        <f>M88*VLOOKUP($H88,Sheet4!$A$1:$B$7,2,FALSE)*Sheet4!I$2</f>
        <v>#REF!</v>
      </c>
      <c r="AA88" s="18" t="e">
        <f t="shared" si="17"/>
        <v>#REF!</v>
      </c>
      <c r="AB88" s="18" t="e">
        <f t="shared" si="12"/>
        <v>#REF!</v>
      </c>
      <c r="AC88" s="18" t="e">
        <f t="shared" si="13"/>
        <v>#REF!</v>
      </c>
      <c r="AD88" s="18" t="e">
        <f t="shared" si="14"/>
        <v>#REF!</v>
      </c>
      <c r="AE88" s="18" t="e">
        <f t="shared" si="15"/>
        <v>#REF!</v>
      </c>
      <c r="AF88" s="18" t="e">
        <f t="shared" si="16"/>
        <v>#REF!</v>
      </c>
      <c r="AK88" s="16" t="e">
        <f t="shared" si="10"/>
        <v>#REF!</v>
      </c>
      <c r="AL88" s="16">
        <v>4</v>
      </c>
    </row>
    <row r="89" spans="1:38" x14ac:dyDescent="0.15">
      <c r="A89" s="16">
        <f>Sheet1!A89</f>
        <v>1179</v>
      </c>
      <c r="B89" s="16" t="e">
        <f>Sheet1!#REF!</f>
        <v>#REF!</v>
      </c>
      <c r="C89" s="16" t="e">
        <f>Sheet1!#REF!</f>
        <v>#REF!</v>
      </c>
      <c r="D89" s="16" t="e">
        <f>Sheet1!#REF!</f>
        <v>#REF!</v>
      </c>
      <c r="E89" s="16" t="e">
        <f>Sheet1!#REF!</f>
        <v>#REF!</v>
      </c>
      <c r="F89" s="16" t="e">
        <f>Sheet1!#REF!</f>
        <v>#REF!</v>
      </c>
      <c r="G89" s="16" t="e">
        <f>Sheet1!#REF!</f>
        <v>#REF!</v>
      </c>
      <c r="H89" s="16" t="e">
        <f>Sheet1!#REF!</f>
        <v>#REF!</v>
      </c>
      <c r="M89" s="16">
        <v>1</v>
      </c>
      <c r="N89" s="16">
        <f t="shared" ca="1" si="11"/>
        <v>1.0052164603677649</v>
      </c>
      <c r="O89" s="18" t="e">
        <f>M89*VLOOKUP($H89,Sheet4!$A$1:$B$7,2,FALSE)*Sheet4!D$2</f>
        <v>#REF!</v>
      </c>
      <c r="P89" s="18" t="e">
        <f>M89*VLOOKUP($H89,Sheet4!$A$1:$B$7,2,FALSE)*Sheet4!E$2</f>
        <v>#REF!</v>
      </c>
      <c r="Q89" s="18" t="e">
        <f>M89*VLOOKUP($H89,Sheet4!$A$1:$B$7,2,FALSE)*Sheet4!F$2</f>
        <v>#REF!</v>
      </c>
      <c r="R89" s="18" t="e">
        <f>M89*VLOOKUP($H89,Sheet4!$A$1:$B$7,2,FALSE)*Sheet4!G$2</f>
        <v>#REF!</v>
      </c>
      <c r="S89" s="18" t="e">
        <f>M89*VLOOKUP($H89,Sheet4!$A$1:$B$7,2,FALSE)*Sheet4!H$2</f>
        <v>#REF!</v>
      </c>
      <c r="T89" s="18" t="e">
        <f>M89*VLOOKUP($H89,Sheet4!$A$1:$B$7,2,FALSE)*Sheet4!I$2</f>
        <v>#REF!</v>
      </c>
      <c r="AA89" s="18" t="e">
        <f t="shared" si="17"/>
        <v>#REF!</v>
      </c>
      <c r="AB89" s="18" t="e">
        <f t="shared" si="12"/>
        <v>#REF!</v>
      </c>
      <c r="AC89" s="18" t="e">
        <f t="shared" si="13"/>
        <v>#REF!</v>
      </c>
      <c r="AD89" s="18" t="e">
        <f t="shared" si="14"/>
        <v>#REF!</v>
      </c>
      <c r="AE89" s="18" t="e">
        <f t="shared" si="15"/>
        <v>#REF!</v>
      </c>
      <c r="AF89" s="18" t="e">
        <f t="shared" si="16"/>
        <v>#REF!</v>
      </c>
      <c r="AK89" s="16" t="e">
        <f t="shared" si="10"/>
        <v>#REF!</v>
      </c>
      <c r="AL89" s="16">
        <v>4</v>
      </c>
    </row>
    <row r="90" spans="1:38" x14ac:dyDescent="0.15">
      <c r="A90" s="16">
        <f>Sheet1!A90</f>
        <v>1180</v>
      </c>
      <c r="B90" s="16" t="e">
        <f>Sheet1!#REF!</f>
        <v>#REF!</v>
      </c>
      <c r="C90" s="16" t="e">
        <f>Sheet1!#REF!</f>
        <v>#REF!</v>
      </c>
      <c r="D90" s="16" t="e">
        <f>Sheet1!#REF!</f>
        <v>#REF!</v>
      </c>
      <c r="E90" s="16" t="e">
        <f>Sheet1!#REF!</f>
        <v>#REF!</v>
      </c>
      <c r="F90" s="16" t="e">
        <f>Sheet1!#REF!</f>
        <v>#REF!</v>
      </c>
      <c r="G90" s="16" t="e">
        <f>Sheet1!#REF!</f>
        <v>#REF!</v>
      </c>
      <c r="H90" s="16" t="e">
        <f>Sheet1!#REF!</f>
        <v>#REF!</v>
      </c>
      <c r="M90" s="16">
        <v>1</v>
      </c>
      <c r="N90" s="16">
        <f t="shared" ca="1" si="11"/>
        <v>0.98188449353381346</v>
      </c>
      <c r="O90" s="18" t="e">
        <f>M90*VLOOKUP($H90,Sheet4!$A$1:$B$7,2,FALSE)*Sheet4!D$2</f>
        <v>#REF!</v>
      </c>
      <c r="P90" s="18" t="e">
        <f>M90*VLOOKUP($H90,Sheet4!$A$1:$B$7,2,FALSE)*Sheet4!E$2</f>
        <v>#REF!</v>
      </c>
      <c r="Q90" s="18" t="e">
        <f>M90*VLOOKUP($H90,Sheet4!$A$1:$B$7,2,FALSE)*Sheet4!F$2</f>
        <v>#REF!</v>
      </c>
      <c r="R90" s="18" t="e">
        <f>M90*VLOOKUP($H90,Sheet4!$A$1:$B$7,2,FALSE)*Sheet4!G$2</f>
        <v>#REF!</v>
      </c>
      <c r="S90" s="18" t="e">
        <f>M90*VLOOKUP($H90,Sheet4!$A$1:$B$7,2,FALSE)*Sheet4!H$2</f>
        <v>#REF!</v>
      </c>
      <c r="T90" s="18" t="e">
        <f>M90*VLOOKUP($H90,Sheet4!$A$1:$B$7,2,FALSE)*Sheet4!I$2</f>
        <v>#REF!</v>
      </c>
      <c r="AA90" s="18" t="e">
        <f t="shared" si="17"/>
        <v>#REF!</v>
      </c>
      <c r="AB90" s="18" t="e">
        <f t="shared" si="12"/>
        <v>#REF!</v>
      </c>
      <c r="AC90" s="18" t="e">
        <f t="shared" si="13"/>
        <v>#REF!</v>
      </c>
      <c r="AD90" s="18" t="e">
        <f t="shared" si="14"/>
        <v>#REF!</v>
      </c>
      <c r="AE90" s="18" t="e">
        <f t="shared" si="15"/>
        <v>#REF!</v>
      </c>
      <c r="AF90" s="18" t="e">
        <f t="shared" si="16"/>
        <v>#REF!</v>
      </c>
      <c r="AK90" s="16" t="e">
        <f t="shared" si="10"/>
        <v>#REF!</v>
      </c>
      <c r="AL90" s="16">
        <v>4</v>
      </c>
    </row>
    <row r="91" spans="1:38" x14ac:dyDescent="0.15">
      <c r="A91" s="16">
        <f>Sheet1!A91</f>
        <v>1181</v>
      </c>
      <c r="B91" s="16" t="e">
        <f>Sheet1!#REF!</f>
        <v>#REF!</v>
      </c>
      <c r="C91" s="16" t="e">
        <f>Sheet1!#REF!</f>
        <v>#REF!</v>
      </c>
      <c r="D91" s="16" t="e">
        <f>Sheet1!#REF!</f>
        <v>#REF!</v>
      </c>
      <c r="E91" s="16" t="e">
        <f>Sheet1!#REF!</f>
        <v>#REF!</v>
      </c>
      <c r="F91" s="16" t="e">
        <f>Sheet1!#REF!</f>
        <v>#REF!</v>
      </c>
      <c r="G91" s="16" t="e">
        <f>Sheet1!#REF!</f>
        <v>#REF!</v>
      </c>
      <c r="H91" s="16" t="e">
        <f>Sheet1!#REF!</f>
        <v>#REF!</v>
      </c>
      <c r="M91" s="16">
        <v>1</v>
      </c>
      <c r="N91" s="16">
        <f t="shared" ca="1" si="11"/>
        <v>1.0236687632397408</v>
      </c>
      <c r="O91" s="18" t="e">
        <f>M91*VLOOKUP($H91,Sheet4!$A$1:$B$7,2,FALSE)*Sheet4!D$2</f>
        <v>#REF!</v>
      </c>
      <c r="P91" s="18" t="e">
        <f>M91*VLOOKUP($H91,Sheet4!$A$1:$B$7,2,FALSE)*Sheet4!E$2</f>
        <v>#REF!</v>
      </c>
      <c r="Q91" s="18" t="e">
        <f>M91*VLOOKUP($H91,Sheet4!$A$1:$B$7,2,FALSE)*Sheet4!F$2</f>
        <v>#REF!</v>
      </c>
      <c r="R91" s="18" t="e">
        <f>M91*VLOOKUP($H91,Sheet4!$A$1:$B$7,2,FALSE)*Sheet4!G$2</f>
        <v>#REF!</v>
      </c>
      <c r="S91" s="18" t="e">
        <f>M91*VLOOKUP($H91,Sheet4!$A$1:$B$7,2,FALSE)*Sheet4!H$2</f>
        <v>#REF!</v>
      </c>
      <c r="T91" s="18" t="e">
        <f>M91*VLOOKUP($H91,Sheet4!$A$1:$B$7,2,FALSE)*Sheet4!I$2</f>
        <v>#REF!</v>
      </c>
      <c r="AA91" s="18" t="e">
        <f t="shared" si="17"/>
        <v>#REF!</v>
      </c>
      <c r="AB91" s="18" t="e">
        <f t="shared" si="12"/>
        <v>#REF!</v>
      </c>
      <c r="AC91" s="18" t="e">
        <f t="shared" si="13"/>
        <v>#REF!</v>
      </c>
      <c r="AD91" s="18" t="e">
        <f t="shared" si="14"/>
        <v>#REF!</v>
      </c>
      <c r="AE91" s="18" t="e">
        <f t="shared" si="15"/>
        <v>#REF!</v>
      </c>
      <c r="AF91" s="18" t="e">
        <f t="shared" si="16"/>
        <v>#REF!</v>
      </c>
      <c r="AK91" s="16" t="e">
        <f t="shared" si="10"/>
        <v>#REF!</v>
      </c>
      <c r="AL91" s="16">
        <v>4</v>
      </c>
    </row>
    <row r="92" spans="1:38" x14ac:dyDescent="0.15">
      <c r="A92" s="16">
        <f>Sheet1!A92</f>
        <v>1182</v>
      </c>
      <c r="B92" s="16" t="e">
        <f>Sheet1!#REF!</f>
        <v>#REF!</v>
      </c>
      <c r="C92" s="16" t="e">
        <f>Sheet1!#REF!</f>
        <v>#REF!</v>
      </c>
      <c r="D92" s="16" t="e">
        <f>Sheet1!#REF!</f>
        <v>#REF!</v>
      </c>
      <c r="E92" s="16" t="e">
        <f>Sheet1!#REF!</f>
        <v>#REF!</v>
      </c>
      <c r="F92" s="16" t="e">
        <f>Sheet1!#REF!</f>
        <v>#REF!</v>
      </c>
      <c r="G92" s="16" t="e">
        <f>Sheet1!#REF!</f>
        <v>#REF!</v>
      </c>
      <c r="H92" s="16" t="e">
        <f>Sheet1!#REF!</f>
        <v>#REF!</v>
      </c>
      <c r="M92" s="16">
        <v>1</v>
      </c>
      <c r="N92" s="16">
        <f t="shared" ca="1" si="11"/>
        <v>0.97637253184891926</v>
      </c>
      <c r="O92" s="18" t="e">
        <f>M92*VLOOKUP($H92,Sheet4!$A$1:$B$7,2,FALSE)*Sheet4!D$2</f>
        <v>#REF!</v>
      </c>
      <c r="P92" s="18" t="e">
        <f>M92*VLOOKUP($H92,Sheet4!$A$1:$B$7,2,FALSE)*Sheet4!E$2</f>
        <v>#REF!</v>
      </c>
      <c r="Q92" s="18" t="e">
        <f>M92*VLOOKUP($H92,Sheet4!$A$1:$B$7,2,FALSE)*Sheet4!F$2</f>
        <v>#REF!</v>
      </c>
      <c r="R92" s="18" t="e">
        <f>M92*VLOOKUP($H92,Sheet4!$A$1:$B$7,2,FALSE)*Sheet4!G$2</f>
        <v>#REF!</v>
      </c>
      <c r="S92" s="18" t="e">
        <f>M92*VLOOKUP($H92,Sheet4!$A$1:$B$7,2,FALSE)*Sheet4!H$2</f>
        <v>#REF!</v>
      </c>
      <c r="T92" s="18" t="e">
        <f>M92*VLOOKUP($H92,Sheet4!$A$1:$B$7,2,FALSE)*Sheet4!I$2</f>
        <v>#REF!</v>
      </c>
      <c r="AA92" s="18" t="e">
        <f t="shared" si="17"/>
        <v>#REF!</v>
      </c>
      <c r="AB92" s="18" t="e">
        <f t="shared" si="12"/>
        <v>#REF!</v>
      </c>
      <c r="AC92" s="18" t="e">
        <f t="shared" si="13"/>
        <v>#REF!</v>
      </c>
      <c r="AD92" s="18" t="e">
        <f t="shared" si="14"/>
        <v>#REF!</v>
      </c>
      <c r="AE92" s="18" t="e">
        <f t="shared" si="15"/>
        <v>#REF!</v>
      </c>
      <c r="AF92" s="18" t="e">
        <f t="shared" si="16"/>
        <v>#REF!</v>
      </c>
      <c r="AK92" s="16" t="e">
        <f t="shared" si="10"/>
        <v>#REF!</v>
      </c>
      <c r="AL92" s="16">
        <v>4</v>
      </c>
    </row>
    <row r="93" spans="1:38" x14ac:dyDescent="0.15">
      <c r="A93" s="16">
        <f>Sheet1!A93</f>
        <v>1185</v>
      </c>
      <c r="B93" s="16" t="e">
        <f>Sheet1!#REF!</f>
        <v>#REF!</v>
      </c>
      <c r="C93" s="16" t="e">
        <f>Sheet1!#REF!</f>
        <v>#REF!</v>
      </c>
      <c r="D93" s="16" t="e">
        <f>Sheet1!#REF!</f>
        <v>#REF!</v>
      </c>
      <c r="E93" s="16" t="e">
        <f>Sheet1!#REF!</f>
        <v>#REF!</v>
      </c>
      <c r="F93" s="16" t="e">
        <f>Sheet1!#REF!</f>
        <v>#REF!</v>
      </c>
      <c r="G93" s="16" t="e">
        <f>Sheet1!#REF!</f>
        <v>#REF!</v>
      </c>
      <c r="H93" s="16" t="e">
        <f>Sheet1!#REF!</f>
        <v>#REF!</v>
      </c>
      <c r="M93" s="16">
        <v>1</v>
      </c>
      <c r="N93" s="16">
        <f t="shared" ca="1" si="11"/>
        <v>0.99024520372436564</v>
      </c>
      <c r="O93" s="18" t="e">
        <f>M93*VLOOKUP($H93,Sheet4!$A$1:$B$7,2,FALSE)*Sheet4!D$2</f>
        <v>#REF!</v>
      </c>
      <c r="P93" s="18" t="e">
        <f>M93*VLOOKUP($H93,Sheet4!$A$1:$B$7,2,FALSE)*Sheet4!E$2</f>
        <v>#REF!</v>
      </c>
      <c r="Q93" s="18" t="e">
        <f>M93*VLOOKUP($H93,Sheet4!$A$1:$B$7,2,FALSE)*Sheet4!F$2</f>
        <v>#REF!</v>
      </c>
      <c r="R93" s="18" t="e">
        <f>M93*VLOOKUP($H93,Sheet4!$A$1:$B$7,2,FALSE)*Sheet4!G$2</f>
        <v>#REF!</v>
      </c>
      <c r="S93" s="18" t="e">
        <f>M93*VLOOKUP($H93,Sheet4!$A$1:$B$7,2,FALSE)*Sheet4!H$2</f>
        <v>#REF!</v>
      </c>
      <c r="T93" s="18" t="e">
        <f>M93*VLOOKUP($H93,Sheet4!$A$1:$B$7,2,FALSE)*Sheet4!I$2</f>
        <v>#REF!</v>
      </c>
      <c r="AA93" s="18" t="e">
        <f t="shared" si="17"/>
        <v>#REF!</v>
      </c>
      <c r="AB93" s="18" t="e">
        <f t="shared" si="12"/>
        <v>#REF!</v>
      </c>
      <c r="AC93" s="18" t="e">
        <f t="shared" si="13"/>
        <v>#REF!</v>
      </c>
      <c r="AD93" s="18" t="e">
        <f t="shared" si="14"/>
        <v>#REF!</v>
      </c>
      <c r="AE93" s="18" t="e">
        <f t="shared" si="15"/>
        <v>#REF!</v>
      </c>
      <c r="AF93" s="18" t="e">
        <f t="shared" si="16"/>
        <v>#REF!</v>
      </c>
      <c r="AK93" s="16" t="e">
        <f t="shared" si="10"/>
        <v>#REF!</v>
      </c>
      <c r="AL93" s="16">
        <v>4</v>
      </c>
    </row>
    <row r="94" spans="1:38" x14ac:dyDescent="0.15">
      <c r="A94" s="16">
        <f>Sheet1!A94</f>
        <v>1186</v>
      </c>
      <c r="B94" s="16" t="e">
        <f>Sheet1!#REF!</f>
        <v>#REF!</v>
      </c>
      <c r="C94" s="16" t="e">
        <f>Sheet1!#REF!</f>
        <v>#REF!</v>
      </c>
      <c r="D94" s="16" t="e">
        <f>Sheet1!#REF!</f>
        <v>#REF!</v>
      </c>
      <c r="E94" s="16" t="e">
        <f>Sheet1!#REF!</f>
        <v>#REF!</v>
      </c>
      <c r="F94" s="16" t="e">
        <f>Sheet1!#REF!</f>
        <v>#REF!</v>
      </c>
      <c r="G94" s="16" t="e">
        <f>Sheet1!#REF!</f>
        <v>#REF!</v>
      </c>
      <c r="H94" s="16" t="e">
        <f>Sheet1!#REF!</f>
        <v>#REF!</v>
      </c>
      <c r="M94" s="16">
        <v>1</v>
      </c>
      <c r="N94" s="16">
        <f t="shared" ca="1" si="11"/>
        <v>1.0077503188941086</v>
      </c>
      <c r="O94" s="18" t="e">
        <f>M94*VLOOKUP($H94,Sheet4!$A$1:$B$7,2,FALSE)*Sheet4!D$2</f>
        <v>#REF!</v>
      </c>
      <c r="P94" s="18" t="e">
        <f>M94*VLOOKUP($H94,Sheet4!$A$1:$B$7,2,FALSE)*Sheet4!E$2</f>
        <v>#REF!</v>
      </c>
      <c r="Q94" s="18" t="e">
        <f>M94*VLOOKUP($H94,Sheet4!$A$1:$B$7,2,FALSE)*Sheet4!F$2</f>
        <v>#REF!</v>
      </c>
      <c r="R94" s="18" t="e">
        <f>M94*VLOOKUP($H94,Sheet4!$A$1:$B$7,2,FALSE)*Sheet4!G$2</f>
        <v>#REF!</v>
      </c>
      <c r="S94" s="18" t="e">
        <f>M94*VLOOKUP($H94,Sheet4!$A$1:$B$7,2,FALSE)*Sheet4!H$2</f>
        <v>#REF!</v>
      </c>
      <c r="T94" s="18" t="e">
        <f>M94*VLOOKUP($H94,Sheet4!$A$1:$B$7,2,FALSE)*Sheet4!I$2</f>
        <v>#REF!</v>
      </c>
      <c r="AA94" s="18" t="e">
        <f t="shared" si="17"/>
        <v>#REF!</v>
      </c>
      <c r="AB94" s="18" t="e">
        <f t="shared" si="12"/>
        <v>#REF!</v>
      </c>
      <c r="AC94" s="18" t="e">
        <f t="shared" si="13"/>
        <v>#REF!</v>
      </c>
      <c r="AD94" s="18" t="e">
        <f t="shared" si="14"/>
        <v>#REF!</v>
      </c>
      <c r="AE94" s="18" t="e">
        <f t="shared" si="15"/>
        <v>#REF!</v>
      </c>
      <c r="AF94" s="18" t="e">
        <f t="shared" si="16"/>
        <v>#REF!</v>
      </c>
      <c r="AK94" s="16" t="e">
        <f t="shared" si="10"/>
        <v>#REF!</v>
      </c>
      <c r="AL94" s="16">
        <v>4</v>
      </c>
    </row>
    <row r="95" spans="1:38" x14ac:dyDescent="0.15">
      <c r="A95" s="16">
        <f>Sheet1!A95</f>
        <v>1187</v>
      </c>
      <c r="B95" s="16" t="e">
        <f>Sheet1!#REF!</f>
        <v>#REF!</v>
      </c>
      <c r="C95" s="16" t="e">
        <f>Sheet1!#REF!</f>
        <v>#REF!</v>
      </c>
      <c r="D95" s="16" t="e">
        <f>Sheet1!#REF!</f>
        <v>#REF!</v>
      </c>
      <c r="E95" s="16" t="e">
        <f>Sheet1!#REF!</f>
        <v>#REF!</v>
      </c>
      <c r="F95" s="16" t="e">
        <f>Sheet1!#REF!</f>
        <v>#REF!</v>
      </c>
      <c r="G95" s="16" t="e">
        <f>Sheet1!#REF!</f>
        <v>#REF!</v>
      </c>
      <c r="H95" s="16" t="e">
        <f>Sheet1!#REF!</f>
        <v>#REF!</v>
      </c>
      <c r="M95" s="16">
        <v>1</v>
      </c>
      <c r="N95" s="16">
        <f t="shared" ca="1" si="11"/>
        <v>1.0101241301883712</v>
      </c>
      <c r="O95" s="18" t="e">
        <f>M95*VLOOKUP($H95,Sheet4!$A$1:$B$7,2,FALSE)*Sheet4!D$2</f>
        <v>#REF!</v>
      </c>
      <c r="P95" s="18" t="e">
        <f>M95*VLOOKUP($H95,Sheet4!$A$1:$B$7,2,FALSE)*Sheet4!E$2</f>
        <v>#REF!</v>
      </c>
      <c r="Q95" s="18" t="e">
        <f>M95*VLOOKUP($H95,Sheet4!$A$1:$B$7,2,FALSE)*Sheet4!F$2</f>
        <v>#REF!</v>
      </c>
      <c r="R95" s="18" t="e">
        <f>M95*VLOOKUP($H95,Sheet4!$A$1:$B$7,2,FALSE)*Sheet4!G$2</f>
        <v>#REF!</v>
      </c>
      <c r="S95" s="18" t="e">
        <f>M95*VLOOKUP($H95,Sheet4!$A$1:$B$7,2,FALSE)*Sheet4!H$2</f>
        <v>#REF!</v>
      </c>
      <c r="T95" s="18" t="e">
        <f>M95*VLOOKUP($H95,Sheet4!$A$1:$B$7,2,FALSE)*Sheet4!I$2</f>
        <v>#REF!</v>
      </c>
      <c r="AA95" s="18" t="e">
        <f t="shared" si="17"/>
        <v>#REF!</v>
      </c>
      <c r="AB95" s="18" t="e">
        <f t="shared" si="12"/>
        <v>#REF!</v>
      </c>
      <c r="AC95" s="18" t="e">
        <f t="shared" si="13"/>
        <v>#REF!</v>
      </c>
      <c r="AD95" s="18" t="e">
        <f t="shared" si="14"/>
        <v>#REF!</v>
      </c>
      <c r="AE95" s="18" t="e">
        <f t="shared" si="15"/>
        <v>#REF!</v>
      </c>
      <c r="AF95" s="18" t="e">
        <f t="shared" si="16"/>
        <v>#REF!</v>
      </c>
      <c r="AK95" s="16" t="e">
        <f t="shared" si="10"/>
        <v>#REF!</v>
      </c>
      <c r="AL95" s="16">
        <v>4</v>
      </c>
    </row>
    <row r="96" spans="1:38" x14ac:dyDescent="0.15">
      <c r="A96" s="16">
        <f>Sheet1!A96</f>
        <v>1188</v>
      </c>
      <c r="B96" s="16" t="e">
        <f>Sheet1!#REF!</f>
        <v>#REF!</v>
      </c>
      <c r="C96" s="16" t="e">
        <f>Sheet1!#REF!</f>
        <v>#REF!</v>
      </c>
      <c r="D96" s="16" t="e">
        <f>Sheet1!#REF!</f>
        <v>#REF!</v>
      </c>
      <c r="E96" s="16" t="e">
        <f>Sheet1!#REF!</f>
        <v>#REF!</v>
      </c>
      <c r="F96" s="16" t="e">
        <f>Sheet1!#REF!</f>
        <v>#REF!</v>
      </c>
      <c r="G96" s="16" t="e">
        <f>Sheet1!#REF!</f>
        <v>#REF!</v>
      </c>
      <c r="H96" s="16" t="e">
        <f>Sheet1!#REF!</f>
        <v>#REF!</v>
      </c>
      <c r="M96" s="16">
        <v>1</v>
      </c>
      <c r="N96" s="16">
        <f t="shared" ca="1" si="11"/>
        <v>1.0059107381040662</v>
      </c>
      <c r="O96" s="18" t="e">
        <f>M96*VLOOKUP($H96,Sheet4!$A$1:$B$7,2,FALSE)*Sheet4!D$2</f>
        <v>#REF!</v>
      </c>
      <c r="P96" s="18" t="e">
        <f>M96*VLOOKUP($H96,Sheet4!$A$1:$B$7,2,FALSE)*Sheet4!E$2</f>
        <v>#REF!</v>
      </c>
      <c r="Q96" s="18" t="e">
        <f>M96*VLOOKUP($H96,Sheet4!$A$1:$B$7,2,FALSE)*Sheet4!F$2</f>
        <v>#REF!</v>
      </c>
      <c r="R96" s="18" t="e">
        <f>M96*VLOOKUP($H96,Sheet4!$A$1:$B$7,2,FALSE)*Sheet4!G$2</f>
        <v>#REF!</v>
      </c>
      <c r="S96" s="18" t="e">
        <f>M96*VLOOKUP($H96,Sheet4!$A$1:$B$7,2,FALSE)*Sheet4!H$2</f>
        <v>#REF!</v>
      </c>
      <c r="T96" s="18" t="e">
        <f>M96*VLOOKUP($H96,Sheet4!$A$1:$B$7,2,FALSE)*Sheet4!I$2</f>
        <v>#REF!</v>
      </c>
      <c r="AA96" s="18" t="e">
        <f t="shared" si="17"/>
        <v>#REF!</v>
      </c>
      <c r="AB96" s="18" t="e">
        <f t="shared" si="12"/>
        <v>#REF!</v>
      </c>
      <c r="AC96" s="18" t="e">
        <f t="shared" si="13"/>
        <v>#REF!</v>
      </c>
      <c r="AD96" s="18" t="e">
        <f t="shared" si="14"/>
        <v>#REF!</v>
      </c>
      <c r="AE96" s="18" t="e">
        <f t="shared" si="15"/>
        <v>#REF!</v>
      </c>
      <c r="AF96" s="18" t="e">
        <f t="shared" si="16"/>
        <v>#REF!</v>
      </c>
      <c r="AK96" s="16" t="e">
        <f t="shared" si="10"/>
        <v>#REF!</v>
      </c>
      <c r="AL96" s="16">
        <v>4</v>
      </c>
    </row>
    <row r="97" spans="1:38" x14ac:dyDescent="0.15">
      <c r="A97" s="16">
        <f>Sheet1!A97</f>
        <v>1193</v>
      </c>
      <c r="B97" s="16" t="e">
        <f>Sheet1!#REF!</f>
        <v>#REF!</v>
      </c>
      <c r="C97" s="16" t="e">
        <f>Sheet1!#REF!</f>
        <v>#REF!</v>
      </c>
      <c r="D97" s="16" t="e">
        <f>Sheet1!#REF!</f>
        <v>#REF!</v>
      </c>
      <c r="E97" s="16" t="e">
        <f>Sheet1!#REF!</f>
        <v>#REF!</v>
      </c>
      <c r="F97" s="16" t="e">
        <f>Sheet1!#REF!</f>
        <v>#REF!</v>
      </c>
      <c r="G97" s="16" t="e">
        <f>Sheet1!#REF!</f>
        <v>#REF!</v>
      </c>
      <c r="H97" s="16" t="e">
        <f>Sheet1!#REF!</f>
        <v>#REF!</v>
      </c>
      <c r="M97" s="16">
        <v>1</v>
      </c>
      <c r="N97" s="16">
        <f t="shared" ca="1" si="11"/>
        <v>0.99331966303301633</v>
      </c>
      <c r="O97" s="18" t="e">
        <f>M97*VLOOKUP($H97,Sheet4!$A$1:$B$7,2,FALSE)*Sheet4!D$2</f>
        <v>#REF!</v>
      </c>
      <c r="P97" s="18" t="e">
        <f>M97*VLOOKUP($H97,Sheet4!$A$1:$B$7,2,FALSE)*Sheet4!E$2</f>
        <v>#REF!</v>
      </c>
      <c r="Q97" s="18" t="e">
        <f>M97*VLOOKUP($H97,Sheet4!$A$1:$B$7,2,FALSE)*Sheet4!F$2</f>
        <v>#REF!</v>
      </c>
      <c r="R97" s="18" t="e">
        <f>M97*VLOOKUP($H97,Sheet4!$A$1:$B$7,2,FALSE)*Sheet4!G$2</f>
        <v>#REF!</v>
      </c>
      <c r="S97" s="18" t="e">
        <f>M97*VLOOKUP($H97,Sheet4!$A$1:$B$7,2,FALSE)*Sheet4!H$2</f>
        <v>#REF!</v>
      </c>
      <c r="T97" s="18" t="e">
        <f>M97*VLOOKUP($H97,Sheet4!$A$1:$B$7,2,FALSE)*Sheet4!I$2</f>
        <v>#REF!</v>
      </c>
      <c r="AA97" s="18" t="e">
        <f t="shared" si="17"/>
        <v>#REF!</v>
      </c>
      <c r="AB97" s="18" t="e">
        <f t="shared" si="12"/>
        <v>#REF!</v>
      </c>
      <c r="AC97" s="18" t="e">
        <f t="shared" si="13"/>
        <v>#REF!</v>
      </c>
      <c r="AD97" s="18" t="e">
        <f t="shared" si="14"/>
        <v>#REF!</v>
      </c>
      <c r="AE97" s="18" t="e">
        <f t="shared" si="15"/>
        <v>#REF!</v>
      </c>
      <c r="AF97" s="18" t="e">
        <f t="shared" si="16"/>
        <v>#REF!</v>
      </c>
      <c r="AK97" s="16" t="e">
        <f t="shared" si="10"/>
        <v>#REF!</v>
      </c>
      <c r="AL97" s="16">
        <v>4</v>
      </c>
    </row>
    <row r="98" spans="1:38" x14ac:dyDescent="0.15">
      <c r="A98" s="16">
        <f>Sheet1!A98</f>
        <v>1194</v>
      </c>
      <c r="B98" s="16" t="e">
        <f>Sheet1!#REF!</f>
        <v>#REF!</v>
      </c>
      <c r="C98" s="16" t="e">
        <f>Sheet1!#REF!</f>
        <v>#REF!</v>
      </c>
      <c r="D98" s="16" t="e">
        <f>Sheet1!#REF!</f>
        <v>#REF!</v>
      </c>
      <c r="E98" s="16" t="e">
        <f>Sheet1!#REF!</f>
        <v>#REF!</v>
      </c>
      <c r="F98" s="16" t="e">
        <f>Sheet1!#REF!</f>
        <v>#REF!</v>
      </c>
      <c r="G98" s="16" t="e">
        <f>Sheet1!#REF!</f>
        <v>#REF!</v>
      </c>
      <c r="H98" s="16" t="e">
        <f>Sheet1!#REF!</f>
        <v>#REF!</v>
      </c>
      <c r="M98" s="16">
        <v>1</v>
      </c>
      <c r="N98" s="16">
        <f t="shared" ca="1" si="11"/>
        <v>1.0238825324344205</v>
      </c>
      <c r="O98" s="18" t="e">
        <f>M98*VLOOKUP($H98,Sheet4!$A$1:$B$7,2,FALSE)*Sheet4!D$2</f>
        <v>#REF!</v>
      </c>
      <c r="P98" s="18" t="e">
        <f>M98*VLOOKUP($H98,Sheet4!$A$1:$B$7,2,FALSE)*Sheet4!E$2</f>
        <v>#REF!</v>
      </c>
      <c r="Q98" s="18" t="e">
        <f>M98*VLOOKUP($H98,Sheet4!$A$1:$B$7,2,FALSE)*Sheet4!F$2</f>
        <v>#REF!</v>
      </c>
      <c r="R98" s="18" t="e">
        <f>M98*VLOOKUP($H98,Sheet4!$A$1:$B$7,2,FALSE)*Sheet4!G$2</f>
        <v>#REF!</v>
      </c>
      <c r="S98" s="18" t="e">
        <f>M98*VLOOKUP($H98,Sheet4!$A$1:$B$7,2,FALSE)*Sheet4!H$2</f>
        <v>#REF!</v>
      </c>
      <c r="T98" s="18" t="e">
        <f>M98*VLOOKUP($H98,Sheet4!$A$1:$B$7,2,FALSE)*Sheet4!I$2</f>
        <v>#REF!</v>
      </c>
      <c r="AA98" s="18" t="e">
        <f t="shared" si="17"/>
        <v>#REF!</v>
      </c>
      <c r="AB98" s="18" t="e">
        <f t="shared" si="12"/>
        <v>#REF!</v>
      </c>
      <c r="AC98" s="18" t="e">
        <f t="shared" si="13"/>
        <v>#REF!</v>
      </c>
      <c r="AD98" s="18" t="e">
        <f t="shared" si="14"/>
        <v>#REF!</v>
      </c>
      <c r="AE98" s="18" t="e">
        <f t="shared" si="15"/>
        <v>#REF!</v>
      </c>
      <c r="AF98" s="18" t="e">
        <f t="shared" si="16"/>
        <v>#REF!</v>
      </c>
      <c r="AK98" s="16" t="e">
        <f t="shared" si="10"/>
        <v>#REF!</v>
      </c>
      <c r="AL98" s="16">
        <v>4</v>
      </c>
    </row>
    <row r="99" spans="1:38" x14ac:dyDescent="0.15">
      <c r="A99" s="16">
        <f>Sheet1!A99</f>
        <v>1217</v>
      </c>
      <c r="B99" s="16" t="e">
        <f>Sheet1!#REF!</f>
        <v>#REF!</v>
      </c>
      <c r="C99" s="16" t="e">
        <f>Sheet1!#REF!</f>
        <v>#REF!</v>
      </c>
      <c r="D99" s="16" t="e">
        <f>Sheet1!#REF!</f>
        <v>#REF!</v>
      </c>
      <c r="E99" s="16" t="e">
        <f>Sheet1!#REF!</f>
        <v>#REF!</v>
      </c>
      <c r="F99" s="16" t="e">
        <f>Sheet1!#REF!</f>
        <v>#REF!</v>
      </c>
      <c r="G99" s="16" t="e">
        <f>Sheet1!#REF!</f>
        <v>#REF!</v>
      </c>
      <c r="H99" s="16" t="e">
        <f>Sheet1!#REF!</f>
        <v>#REF!</v>
      </c>
      <c r="M99" s="16">
        <v>1</v>
      </c>
      <c r="N99" s="16">
        <f t="shared" ca="1" si="11"/>
        <v>1.0127364606517122</v>
      </c>
      <c r="O99" s="18" t="e">
        <f>M99*VLOOKUP($H99,Sheet4!$A$1:$B$7,2,FALSE)*Sheet4!D$2</f>
        <v>#REF!</v>
      </c>
      <c r="P99" s="18" t="e">
        <f>M99*VLOOKUP($H99,Sheet4!$A$1:$B$7,2,FALSE)*Sheet4!E$2</f>
        <v>#REF!</v>
      </c>
      <c r="Q99" s="18" t="e">
        <f>M99*VLOOKUP($H99,Sheet4!$A$1:$B$7,2,FALSE)*Sheet4!F$2</f>
        <v>#REF!</v>
      </c>
      <c r="R99" s="18" t="e">
        <f>M99*VLOOKUP($H99,Sheet4!$A$1:$B$7,2,FALSE)*Sheet4!G$2</f>
        <v>#REF!</v>
      </c>
      <c r="S99" s="18" t="e">
        <f>M99*VLOOKUP($H99,Sheet4!$A$1:$B$7,2,FALSE)*Sheet4!H$2</f>
        <v>#REF!</v>
      </c>
      <c r="T99" s="18" t="e">
        <f>M99*VLOOKUP($H99,Sheet4!$A$1:$B$7,2,FALSE)*Sheet4!I$2</f>
        <v>#REF!</v>
      </c>
      <c r="AA99" s="18" t="e">
        <f t="shared" si="17"/>
        <v>#REF!</v>
      </c>
      <c r="AB99" s="18" t="e">
        <f t="shared" si="12"/>
        <v>#REF!</v>
      </c>
      <c r="AC99" s="18" t="e">
        <f t="shared" si="13"/>
        <v>#REF!</v>
      </c>
      <c r="AD99" s="18" t="e">
        <f t="shared" si="14"/>
        <v>#REF!</v>
      </c>
      <c r="AE99" s="18" t="e">
        <f t="shared" si="15"/>
        <v>#REF!</v>
      </c>
      <c r="AF99" s="18" t="e">
        <f t="shared" si="16"/>
        <v>#REF!</v>
      </c>
      <c r="AK99" s="16" t="e">
        <f t="shared" si="10"/>
        <v>#REF!</v>
      </c>
      <c r="AL99" s="16">
        <v>4</v>
      </c>
    </row>
    <row r="100" spans="1:38" x14ac:dyDescent="0.15">
      <c r="A100" s="16">
        <f>Sheet1!A100</f>
        <v>1501</v>
      </c>
      <c r="B100" s="16" t="e">
        <f>Sheet1!#REF!</f>
        <v>#REF!</v>
      </c>
      <c r="C100" s="16" t="e">
        <f>Sheet1!#REF!</f>
        <v>#REF!</v>
      </c>
      <c r="D100" s="16" t="e">
        <f>Sheet1!#REF!</f>
        <v>#REF!</v>
      </c>
      <c r="E100" s="16" t="e">
        <f>Sheet1!#REF!</f>
        <v>#REF!</v>
      </c>
      <c r="F100" s="16" t="e">
        <f>Sheet1!#REF!</f>
        <v>#REF!</v>
      </c>
      <c r="G100" s="16" t="e">
        <f>Sheet1!#REF!</f>
        <v>#REF!</v>
      </c>
      <c r="H100" s="16" t="e">
        <f>Sheet1!#REF!</f>
        <v>#REF!</v>
      </c>
      <c r="M100" s="16">
        <v>1</v>
      </c>
      <c r="N100" s="16">
        <f t="shared" ca="1" si="11"/>
        <v>1.0179242403162636</v>
      </c>
      <c r="O100" s="18" t="e">
        <f>M100*VLOOKUP($H100,Sheet4!$A$1:$B$7,2,FALSE)*Sheet4!D$2</f>
        <v>#REF!</v>
      </c>
      <c r="P100" s="18" t="e">
        <f>M100*VLOOKUP($H100,Sheet4!$A$1:$B$7,2,FALSE)*Sheet4!E$2</f>
        <v>#REF!</v>
      </c>
      <c r="Q100" s="18" t="e">
        <f>M100*VLOOKUP($H100,Sheet4!$A$1:$B$7,2,FALSE)*Sheet4!F$2</f>
        <v>#REF!</v>
      </c>
      <c r="R100" s="18" t="e">
        <f>M100*VLOOKUP($H100,Sheet4!$A$1:$B$7,2,FALSE)*Sheet4!G$2</f>
        <v>#REF!</v>
      </c>
      <c r="S100" s="18" t="e">
        <f>M100*VLOOKUP($H100,Sheet4!$A$1:$B$7,2,FALSE)*Sheet4!H$2</f>
        <v>#REF!</v>
      </c>
      <c r="T100" s="18" t="e">
        <f>M100*VLOOKUP($H100,Sheet4!$A$1:$B$7,2,FALSE)*Sheet4!I$2</f>
        <v>#REF!</v>
      </c>
      <c r="AA100" s="18" t="e">
        <f t="shared" si="17"/>
        <v>#REF!</v>
      </c>
      <c r="AB100" s="18" t="e">
        <f t="shared" si="12"/>
        <v>#REF!</v>
      </c>
      <c r="AC100" s="18" t="e">
        <f t="shared" si="13"/>
        <v>#REF!</v>
      </c>
      <c r="AD100" s="18" t="e">
        <f t="shared" si="14"/>
        <v>#REF!</v>
      </c>
      <c r="AE100" s="18" t="e">
        <f t="shared" si="15"/>
        <v>#REF!</v>
      </c>
      <c r="AF100" s="18" t="e">
        <f t="shared" si="16"/>
        <v>#REF!</v>
      </c>
      <c r="AK100" s="16" t="e">
        <f t="shared" si="10"/>
        <v>#REF!</v>
      </c>
      <c r="AL100" s="16">
        <v>4</v>
      </c>
    </row>
    <row r="101" spans="1:38" x14ac:dyDescent="0.15">
      <c r="A101" s="16">
        <f>Sheet1!A101</f>
        <v>1502</v>
      </c>
      <c r="B101" s="16" t="e">
        <f>Sheet1!#REF!</f>
        <v>#REF!</v>
      </c>
      <c r="C101" s="16" t="e">
        <f>Sheet1!#REF!</f>
        <v>#REF!</v>
      </c>
      <c r="D101" s="16" t="e">
        <f>Sheet1!#REF!</f>
        <v>#REF!</v>
      </c>
      <c r="E101" s="16" t="e">
        <f>Sheet1!#REF!</f>
        <v>#REF!</v>
      </c>
      <c r="F101" s="16" t="e">
        <f>Sheet1!#REF!</f>
        <v>#REF!</v>
      </c>
      <c r="G101" s="16" t="e">
        <f>Sheet1!#REF!</f>
        <v>#REF!</v>
      </c>
      <c r="H101" s="16" t="e">
        <f>Sheet1!#REF!</f>
        <v>#REF!</v>
      </c>
      <c r="M101" s="16">
        <v>1</v>
      </c>
      <c r="N101" s="16">
        <f t="shared" ca="1" si="11"/>
        <v>0.9901177282291771</v>
      </c>
      <c r="O101" s="18" t="e">
        <f>M101*VLOOKUP($H101,Sheet4!$A$1:$B$7,2,FALSE)*Sheet4!D$2</f>
        <v>#REF!</v>
      </c>
      <c r="P101" s="18" t="e">
        <f>M101*VLOOKUP($H101,Sheet4!$A$1:$B$7,2,FALSE)*Sheet4!E$2</f>
        <v>#REF!</v>
      </c>
      <c r="Q101" s="18" t="e">
        <f>M101*VLOOKUP($H101,Sheet4!$A$1:$B$7,2,FALSE)*Sheet4!F$2</f>
        <v>#REF!</v>
      </c>
      <c r="R101" s="18" t="e">
        <f>M101*VLOOKUP($H101,Sheet4!$A$1:$B$7,2,FALSE)*Sheet4!G$2</f>
        <v>#REF!</v>
      </c>
      <c r="S101" s="18" t="e">
        <f>M101*VLOOKUP($H101,Sheet4!$A$1:$B$7,2,FALSE)*Sheet4!H$2</f>
        <v>#REF!</v>
      </c>
      <c r="T101" s="18" t="e">
        <f>M101*VLOOKUP($H101,Sheet4!$A$1:$B$7,2,FALSE)*Sheet4!I$2</f>
        <v>#REF!</v>
      </c>
      <c r="AA101" s="18" t="e">
        <f t="shared" si="17"/>
        <v>#REF!</v>
      </c>
      <c r="AB101" s="18" t="e">
        <f t="shared" si="12"/>
        <v>#REF!</v>
      </c>
      <c r="AC101" s="18" t="e">
        <f t="shared" si="13"/>
        <v>#REF!</v>
      </c>
      <c r="AD101" s="18" t="e">
        <f t="shared" si="14"/>
        <v>#REF!</v>
      </c>
      <c r="AE101" s="18" t="e">
        <f t="shared" si="15"/>
        <v>#REF!</v>
      </c>
      <c r="AF101" s="18" t="e">
        <f t="shared" si="16"/>
        <v>#REF!</v>
      </c>
      <c r="AK101" s="16" t="e">
        <f t="shared" si="10"/>
        <v>#REF!</v>
      </c>
      <c r="AL101" s="16">
        <v>4</v>
      </c>
    </row>
    <row r="102" spans="1:38" x14ac:dyDescent="0.15">
      <c r="A102" s="16">
        <f>Sheet1!A102</f>
        <v>1503</v>
      </c>
      <c r="B102" s="16" t="e">
        <f>Sheet1!#REF!</f>
        <v>#REF!</v>
      </c>
      <c r="C102" s="16" t="e">
        <f>Sheet1!#REF!</f>
        <v>#REF!</v>
      </c>
      <c r="D102" s="16" t="e">
        <f>Sheet1!#REF!</f>
        <v>#REF!</v>
      </c>
      <c r="E102" s="16" t="e">
        <f>Sheet1!#REF!</f>
        <v>#REF!</v>
      </c>
      <c r="F102" s="16" t="e">
        <f>Sheet1!#REF!</f>
        <v>#REF!</v>
      </c>
      <c r="G102" s="16" t="e">
        <f>Sheet1!#REF!</f>
        <v>#REF!</v>
      </c>
      <c r="H102" s="16" t="e">
        <f>Sheet1!#REF!</f>
        <v>#REF!</v>
      </c>
      <c r="M102" s="16">
        <v>1</v>
      </c>
      <c r="N102" s="16">
        <f t="shared" ca="1" si="11"/>
        <v>1.0225154883117797</v>
      </c>
      <c r="O102" s="18" t="e">
        <f>M102*VLOOKUP($H102,Sheet4!$A$1:$B$7,2,FALSE)*Sheet4!D$2</f>
        <v>#REF!</v>
      </c>
      <c r="P102" s="18" t="e">
        <f>M102*VLOOKUP($H102,Sheet4!$A$1:$B$7,2,FALSE)*Sheet4!E$2</f>
        <v>#REF!</v>
      </c>
      <c r="Q102" s="18" t="e">
        <f>M102*VLOOKUP($H102,Sheet4!$A$1:$B$7,2,FALSE)*Sheet4!F$2</f>
        <v>#REF!</v>
      </c>
      <c r="R102" s="18" t="e">
        <f>M102*VLOOKUP($H102,Sheet4!$A$1:$B$7,2,FALSE)*Sheet4!G$2</f>
        <v>#REF!</v>
      </c>
      <c r="S102" s="18" t="e">
        <f>M102*VLOOKUP($H102,Sheet4!$A$1:$B$7,2,FALSE)*Sheet4!H$2</f>
        <v>#REF!</v>
      </c>
      <c r="T102" s="18" t="e">
        <f>M102*VLOOKUP($H102,Sheet4!$A$1:$B$7,2,FALSE)*Sheet4!I$2</f>
        <v>#REF!</v>
      </c>
      <c r="AA102" s="18" t="e">
        <f t="shared" si="17"/>
        <v>#REF!</v>
      </c>
      <c r="AB102" s="18" t="e">
        <f t="shared" si="12"/>
        <v>#REF!</v>
      </c>
      <c r="AC102" s="18" t="e">
        <f t="shared" si="13"/>
        <v>#REF!</v>
      </c>
      <c r="AD102" s="18" t="e">
        <f t="shared" si="14"/>
        <v>#REF!</v>
      </c>
      <c r="AE102" s="18" t="e">
        <f t="shared" si="15"/>
        <v>#REF!</v>
      </c>
      <c r="AF102" s="18" t="e">
        <f t="shared" si="16"/>
        <v>#REF!</v>
      </c>
      <c r="AK102" s="16" t="e">
        <f t="shared" si="10"/>
        <v>#REF!</v>
      </c>
      <c r="AL102" s="16">
        <v>4</v>
      </c>
    </row>
    <row r="103" spans="1:38" x14ac:dyDescent="0.15">
      <c r="A103" s="16">
        <f>Sheet1!A103</f>
        <v>1504</v>
      </c>
      <c r="B103" s="16" t="e">
        <f>Sheet1!#REF!</f>
        <v>#REF!</v>
      </c>
      <c r="C103" s="16" t="e">
        <f>Sheet1!#REF!</f>
        <v>#REF!</v>
      </c>
      <c r="D103" s="16" t="e">
        <f>Sheet1!#REF!</f>
        <v>#REF!</v>
      </c>
      <c r="E103" s="16" t="e">
        <f>Sheet1!#REF!</f>
        <v>#REF!</v>
      </c>
      <c r="F103" s="16" t="e">
        <f>Sheet1!#REF!</f>
        <v>#REF!</v>
      </c>
      <c r="G103" s="16" t="e">
        <f>Sheet1!#REF!</f>
        <v>#REF!</v>
      </c>
      <c r="H103" s="16" t="e">
        <f>Sheet1!#REF!</f>
        <v>#REF!</v>
      </c>
      <c r="M103" s="16">
        <v>1</v>
      </c>
      <c r="N103" s="16">
        <f t="shared" ca="1" si="11"/>
        <v>1.0247228723348598</v>
      </c>
      <c r="O103" s="18" t="e">
        <f>M103*VLOOKUP($H103,Sheet4!$A$1:$B$7,2,FALSE)*Sheet4!D$2</f>
        <v>#REF!</v>
      </c>
      <c r="P103" s="18" t="e">
        <f>M103*VLOOKUP($H103,Sheet4!$A$1:$B$7,2,FALSE)*Sheet4!E$2</f>
        <v>#REF!</v>
      </c>
      <c r="Q103" s="18" t="e">
        <f>M103*VLOOKUP($H103,Sheet4!$A$1:$B$7,2,FALSE)*Sheet4!F$2</f>
        <v>#REF!</v>
      </c>
      <c r="R103" s="18" t="e">
        <f>M103*VLOOKUP($H103,Sheet4!$A$1:$B$7,2,FALSE)*Sheet4!G$2</f>
        <v>#REF!</v>
      </c>
      <c r="S103" s="18" t="e">
        <f>M103*VLOOKUP($H103,Sheet4!$A$1:$B$7,2,FALSE)*Sheet4!H$2</f>
        <v>#REF!</v>
      </c>
      <c r="T103" s="18" t="e">
        <f>M103*VLOOKUP($H103,Sheet4!$A$1:$B$7,2,FALSE)*Sheet4!I$2</f>
        <v>#REF!</v>
      </c>
      <c r="AA103" s="18" t="e">
        <f t="shared" si="17"/>
        <v>#REF!</v>
      </c>
      <c r="AB103" s="18" t="e">
        <f t="shared" si="12"/>
        <v>#REF!</v>
      </c>
      <c r="AC103" s="18" t="e">
        <f t="shared" si="13"/>
        <v>#REF!</v>
      </c>
      <c r="AD103" s="18" t="e">
        <f t="shared" si="14"/>
        <v>#REF!</v>
      </c>
      <c r="AE103" s="18" t="e">
        <f t="shared" si="15"/>
        <v>#REF!</v>
      </c>
      <c r="AF103" s="18" t="e">
        <f t="shared" si="16"/>
        <v>#REF!</v>
      </c>
      <c r="AK103" s="16" t="e">
        <f t="shared" si="10"/>
        <v>#REF!</v>
      </c>
      <c r="AL103" s="16">
        <v>4</v>
      </c>
    </row>
    <row r="104" spans="1:38" x14ac:dyDescent="0.15">
      <c r="A104" s="16">
        <f>Sheet1!A104</f>
        <v>1505</v>
      </c>
      <c r="B104" s="16" t="e">
        <f>Sheet1!#REF!</f>
        <v>#REF!</v>
      </c>
      <c r="C104" s="16" t="e">
        <f>Sheet1!#REF!</f>
        <v>#REF!</v>
      </c>
      <c r="D104" s="16" t="e">
        <f>Sheet1!#REF!</f>
        <v>#REF!</v>
      </c>
      <c r="E104" s="16" t="e">
        <f>Sheet1!#REF!</f>
        <v>#REF!</v>
      </c>
      <c r="F104" s="16" t="e">
        <f>Sheet1!#REF!</f>
        <v>#REF!</v>
      </c>
      <c r="G104" s="16" t="e">
        <f>Sheet1!#REF!</f>
        <v>#REF!</v>
      </c>
      <c r="H104" s="16" t="e">
        <f>Sheet1!#REF!</f>
        <v>#REF!</v>
      </c>
      <c r="M104" s="16">
        <v>1</v>
      </c>
      <c r="N104" s="16">
        <f t="shared" ca="1" si="11"/>
        <v>0.98422589360527157</v>
      </c>
      <c r="O104" s="18" t="e">
        <f>M104*VLOOKUP($H104,Sheet4!$A$1:$B$7,2,FALSE)*Sheet4!D$2</f>
        <v>#REF!</v>
      </c>
      <c r="P104" s="18" t="e">
        <f>M104*VLOOKUP($H104,Sheet4!$A$1:$B$7,2,FALSE)*Sheet4!E$2</f>
        <v>#REF!</v>
      </c>
      <c r="Q104" s="18" t="e">
        <f>M104*VLOOKUP($H104,Sheet4!$A$1:$B$7,2,FALSE)*Sheet4!F$2</f>
        <v>#REF!</v>
      </c>
      <c r="R104" s="18" t="e">
        <f>M104*VLOOKUP($H104,Sheet4!$A$1:$B$7,2,FALSE)*Sheet4!G$2</f>
        <v>#REF!</v>
      </c>
      <c r="S104" s="18" t="e">
        <f>M104*VLOOKUP($H104,Sheet4!$A$1:$B$7,2,FALSE)*Sheet4!H$2</f>
        <v>#REF!</v>
      </c>
      <c r="T104" s="18" t="e">
        <f>M104*VLOOKUP($H104,Sheet4!$A$1:$B$7,2,FALSE)*Sheet4!I$2</f>
        <v>#REF!</v>
      </c>
      <c r="AA104" s="18" t="e">
        <f t="shared" si="17"/>
        <v>#REF!</v>
      </c>
      <c r="AB104" s="18" t="e">
        <f t="shared" si="12"/>
        <v>#REF!</v>
      </c>
      <c r="AC104" s="18" t="e">
        <f t="shared" si="13"/>
        <v>#REF!</v>
      </c>
      <c r="AD104" s="18" t="e">
        <f t="shared" si="14"/>
        <v>#REF!</v>
      </c>
      <c r="AE104" s="18" t="e">
        <f t="shared" si="15"/>
        <v>#REF!</v>
      </c>
      <c r="AF104" s="18" t="e">
        <f t="shared" si="16"/>
        <v>#REF!</v>
      </c>
      <c r="AK104" s="16" t="e">
        <f t="shared" si="10"/>
        <v>#REF!</v>
      </c>
      <c r="AL104" s="16">
        <v>6</v>
      </c>
    </row>
    <row r="105" spans="1:38" x14ac:dyDescent="0.15">
      <c r="A105" s="16">
        <f>Sheet1!A105</f>
        <v>1506</v>
      </c>
      <c r="B105" s="16" t="e">
        <f>Sheet1!#REF!</f>
        <v>#REF!</v>
      </c>
      <c r="C105" s="16" t="e">
        <f>Sheet1!#REF!</f>
        <v>#REF!</v>
      </c>
      <c r="D105" s="16" t="e">
        <f>Sheet1!#REF!</f>
        <v>#REF!</v>
      </c>
      <c r="E105" s="16" t="e">
        <f>Sheet1!#REF!</f>
        <v>#REF!</v>
      </c>
      <c r="F105" s="16" t="e">
        <f>Sheet1!#REF!</f>
        <v>#REF!</v>
      </c>
      <c r="G105" s="16" t="e">
        <f>Sheet1!#REF!</f>
        <v>#REF!</v>
      </c>
      <c r="H105" s="16" t="e">
        <f>Sheet1!#REF!</f>
        <v>#REF!</v>
      </c>
      <c r="M105" s="16">
        <v>1</v>
      </c>
      <c r="N105" s="16">
        <f t="shared" ca="1" si="11"/>
        <v>1.0179328384492095</v>
      </c>
      <c r="O105" s="18" t="e">
        <f>M105*VLOOKUP($H105,Sheet4!$A$1:$B$7,2,FALSE)*Sheet4!D$2</f>
        <v>#REF!</v>
      </c>
      <c r="P105" s="18" t="e">
        <f>M105*VLOOKUP($H105,Sheet4!$A$1:$B$7,2,FALSE)*Sheet4!E$2</f>
        <v>#REF!</v>
      </c>
      <c r="Q105" s="18" t="e">
        <f>M105*VLOOKUP($H105,Sheet4!$A$1:$B$7,2,FALSE)*Sheet4!F$2</f>
        <v>#REF!</v>
      </c>
      <c r="R105" s="18" t="e">
        <f>M105*VLOOKUP($H105,Sheet4!$A$1:$B$7,2,FALSE)*Sheet4!G$2</f>
        <v>#REF!</v>
      </c>
      <c r="S105" s="18" t="e">
        <f>M105*VLOOKUP($H105,Sheet4!$A$1:$B$7,2,FALSE)*Sheet4!H$2</f>
        <v>#REF!</v>
      </c>
      <c r="T105" s="18" t="e">
        <f>M105*VLOOKUP($H105,Sheet4!$A$1:$B$7,2,FALSE)*Sheet4!I$2</f>
        <v>#REF!</v>
      </c>
      <c r="AA105" s="18" t="e">
        <f t="shared" si="17"/>
        <v>#REF!</v>
      </c>
      <c r="AB105" s="18" t="e">
        <f t="shared" si="12"/>
        <v>#REF!</v>
      </c>
      <c r="AC105" s="18" t="e">
        <f t="shared" si="13"/>
        <v>#REF!</v>
      </c>
      <c r="AD105" s="18" t="e">
        <f t="shared" si="14"/>
        <v>#REF!</v>
      </c>
      <c r="AE105" s="18" t="e">
        <f t="shared" si="15"/>
        <v>#REF!</v>
      </c>
      <c r="AF105" s="18" t="e">
        <f t="shared" si="16"/>
        <v>#REF!</v>
      </c>
      <c r="AK105" s="16" t="e">
        <f t="shared" si="10"/>
        <v>#REF!</v>
      </c>
      <c r="AL105" s="16">
        <v>6</v>
      </c>
    </row>
    <row r="106" spans="1:38" x14ac:dyDescent="0.15">
      <c r="A106" s="16">
        <f>Sheet1!A106</f>
        <v>1507</v>
      </c>
      <c r="B106" s="16" t="e">
        <f>Sheet1!#REF!</f>
        <v>#REF!</v>
      </c>
      <c r="C106" s="16" t="e">
        <f>Sheet1!#REF!</f>
        <v>#REF!</v>
      </c>
      <c r="D106" s="16" t="e">
        <f>Sheet1!#REF!</f>
        <v>#REF!</v>
      </c>
      <c r="E106" s="16" t="e">
        <f>Sheet1!#REF!</f>
        <v>#REF!</v>
      </c>
      <c r="F106" s="16" t="e">
        <f>Sheet1!#REF!</f>
        <v>#REF!</v>
      </c>
      <c r="G106" s="16" t="e">
        <f>Sheet1!#REF!</f>
        <v>#REF!</v>
      </c>
      <c r="H106" s="16" t="e">
        <f>Sheet1!#REF!</f>
        <v>#REF!</v>
      </c>
      <c r="M106" s="16">
        <v>1</v>
      </c>
      <c r="N106" s="16">
        <f t="shared" ca="1" si="11"/>
        <v>0.98024924745759046</v>
      </c>
      <c r="O106" s="18" t="e">
        <f>M106*VLOOKUP($H106,Sheet4!$A$1:$B$7,2,FALSE)*Sheet4!D$2</f>
        <v>#REF!</v>
      </c>
      <c r="P106" s="18" t="e">
        <f>M106*VLOOKUP($H106,Sheet4!$A$1:$B$7,2,FALSE)*Sheet4!E$2</f>
        <v>#REF!</v>
      </c>
      <c r="Q106" s="18" t="e">
        <f>M106*VLOOKUP($H106,Sheet4!$A$1:$B$7,2,FALSE)*Sheet4!F$2</f>
        <v>#REF!</v>
      </c>
      <c r="R106" s="18" t="e">
        <f>M106*VLOOKUP($H106,Sheet4!$A$1:$B$7,2,FALSE)*Sheet4!G$2</f>
        <v>#REF!</v>
      </c>
      <c r="S106" s="18" t="e">
        <f>M106*VLOOKUP($H106,Sheet4!$A$1:$B$7,2,FALSE)*Sheet4!H$2</f>
        <v>#REF!</v>
      </c>
      <c r="T106" s="18" t="e">
        <f>M106*VLOOKUP($H106,Sheet4!$A$1:$B$7,2,FALSE)*Sheet4!I$2</f>
        <v>#REF!</v>
      </c>
      <c r="AA106" s="18" t="e">
        <f t="shared" si="17"/>
        <v>#REF!</v>
      </c>
      <c r="AB106" s="18" t="e">
        <f t="shared" si="12"/>
        <v>#REF!</v>
      </c>
      <c r="AC106" s="18" t="e">
        <f t="shared" si="13"/>
        <v>#REF!</v>
      </c>
      <c r="AD106" s="18" t="e">
        <f t="shared" si="14"/>
        <v>#REF!</v>
      </c>
      <c r="AE106" s="18" t="e">
        <f t="shared" si="15"/>
        <v>#REF!</v>
      </c>
      <c r="AF106" s="18" t="e">
        <f t="shared" si="16"/>
        <v>#REF!</v>
      </c>
      <c r="AK106" s="16" t="e">
        <f t="shared" si="10"/>
        <v>#REF!</v>
      </c>
      <c r="AL106" s="16">
        <v>6</v>
      </c>
    </row>
    <row r="107" spans="1:38" x14ac:dyDescent="0.15">
      <c r="A107" s="16">
        <f>Sheet1!A107</f>
        <v>1508</v>
      </c>
      <c r="B107" s="16" t="e">
        <f>Sheet1!#REF!</f>
        <v>#REF!</v>
      </c>
      <c r="C107" s="16" t="e">
        <f>Sheet1!#REF!</f>
        <v>#REF!</v>
      </c>
      <c r="D107" s="16" t="e">
        <f>Sheet1!#REF!</f>
        <v>#REF!</v>
      </c>
      <c r="E107" s="16" t="e">
        <f>Sheet1!#REF!</f>
        <v>#REF!</v>
      </c>
      <c r="F107" s="16" t="e">
        <f>Sheet1!#REF!</f>
        <v>#REF!</v>
      </c>
      <c r="G107" s="16" t="e">
        <f>Sheet1!#REF!</f>
        <v>#REF!</v>
      </c>
      <c r="H107" s="16" t="e">
        <f>Sheet1!#REF!</f>
        <v>#REF!</v>
      </c>
      <c r="M107" s="16">
        <v>1</v>
      </c>
      <c r="N107" s="16">
        <f t="shared" ca="1" si="11"/>
        <v>1.0243096908306031</v>
      </c>
      <c r="O107" s="18" t="e">
        <f>M107*VLOOKUP($H107,Sheet4!$A$1:$B$7,2,FALSE)*Sheet4!D$2</f>
        <v>#REF!</v>
      </c>
      <c r="P107" s="18" t="e">
        <f>M107*VLOOKUP($H107,Sheet4!$A$1:$B$7,2,FALSE)*Sheet4!E$2</f>
        <v>#REF!</v>
      </c>
      <c r="Q107" s="18" t="e">
        <f>M107*VLOOKUP($H107,Sheet4!$A$1:$B$7,2,FALSE)*Sheet4!F$2</f>
        <v>#REF!</v>
      </c>
      <c r="R107" s="18" t="e">
        <f>M107*VLOOKUP($H107,Sheet4!$A$1:$B$7,2,FALSE)*Sheet4!G$2</f>
        <v>#REF!</v>
      </c>
      <c r="S107" s="18" t="e">
        <f>M107*VLOOKUP($H107,Sheet4!$A$1:$B$7,2,FALSE)*Sheet4!H$2</f>
        <v>#REF!</v>
      </c>
      <c r="T107" s="18" t="e">
        <f>M107*VLOOKUP($H107,Sheet4!$A$1:$B$7,2,FALSE)*Sheet4!I$2</f>
        <v>#REF!</v>
      </c>
      <c r="AA107" s="18" t="e">
        <f t="shared" si="17"/>
        <v>#REF!</v>
      </c>
      <c r="AB107" s="18" t="e">
        <f t="shared" si="12"/>
        <v>#REF!</v>
      </c>
      <c r="AC107" s="18" t="e">
        <f t="shared" si="13"/>
        <v>#REF!</v>
      </c>
      <c r="AD107" s="18" t="e">
        <f t="shared" si="14"/>
        <v>#REF!</v>
      </c>
      <c r="AE107" s="18" t="e">
        <f t="shared" si="15"/>
        <v>#REF!</v>
      </c>
      <c r="AF107" s="18" t="e">
        <f t="shared" si="16"/>
        <v>#REF!</v>
      </c>
      <c r="AK107" s="16" t="e">
        <f t="shared" si="10"/>
        <v>#REF!</v>
      </c>
      <c r="AL107" s="16">
        <v>6</v>
      </c>
    </row>
    <row r="108" spans="1:38" x14ac:dyDescent="0.15">
      <c r="A108" s="16">
        <f>Sheet1!A108</f>
        <v>2018</v>
      </c>
      <c r="B108" s="16" t="e">
        <f>Sheet1!#REF!</f>
        <v>#REF!</v>
      </c>
      <c r="C108" s="16" t="e">
        <f>Sheet1!#REF!</f>
        <v>#REF!</v>
      </c>
      <c r="D108" s="16" t="e">
        <f>Sheet1!#REF!</f>
        <v>#REF!</v>
      </c>
      <c r="E108" s="16" t="e">
        <f>Sheet1!#REF!</f>
        <v>#REF!</v>
      </c>
      <c r="F108" s="16" t="e">
        <f>Sheet1!#REF!</f>
        <v>#REF!</v>
      </c>
      <c r="G108" s="16" t="e">
        <f>Sheet1!#REF!</f>
        <v>#REF!</v>
      </c>
      <c r="H108" s="16" t="e">
        <f>Sheet1!#REF!</f>
        <v>#REF!</v>
      </c>
      <c r="M108" s="16">
        <v>1</v>
      </c>
      <c r="N108" s="16">
        <f t="shared" ca="1" si="11"/>
        <v>1.0109772663345882</v>
      </c>
      <c r="O108" s="18" t="e">
        <f>M108*VLOOKUP($H108,Sheet4!$A$1:$B$7,2,FALSE)*Sheet4!D$2</f>
        <v>#REF!</v>
      </c>
      <c r="P108" s="18" t="e">
        <f>M108*VLOOKUP($H108,Sheet4!$A$1:$B$7,2,FALSE)*Sheet4!E$2</f>
        <v>#REF!</v>
      </c>
      <c r="Q108" s="18" t="e">
        <f>M108*VLOOKUP($H108,Sheet4!$A$1:$B$7,2,FALSE)*Sheet4!F$2</f>
        <v>#REF!</v>
      </c>
      <c r="R108" s="18" t="e">
        <f>M108*VLOOKUP($H108,Sheet4!$A$1:$B$7,2,FALSE)*Sheet4!G$2</f>
        <v>#REF!</v>
      </c>
      <c r="S108" s="18" t="e">
        <f>M108*VLOOKUP($H108,Sheet4!$A$1:$B$7,2,FALSE)*Sheet4!H$2</f>
        <v>#REF!</v>
      </c>
      <c r="T108" s="18" t="e">
        <f>M108*VLOOKUP($H108,Sheet4!$A$1:$B$7,2,FALSE)*Sheet4!I$2</f>
        <v>#REF!</v>
      </c>
      <c r="AA108" s="18" t="e">
        <f t="shared" si="17"/>
        <v>#REF!</v>
      </c>
      <c r="AB108" s="18" t="e">
        <f t="shared" si="12"/>
        <v>#REF!</v>
      </c>
      <c r="AC108" s="18" t="e">
        <f t="shared" si="13"/>
        <v>#REF!</v>
      </c>
      <c r="AD108" s="18" t="e">
        <f t="shared" si="14"/>
        <v>#REF!</v>
      </c>
      <c r="AE108" s="18" t="e">
        <f t="shared" si="15"/>
        <v>#REF!</v>
      </c>
      <c r="AF108" s="18" t="e">
        <f t="shared" si="16"/>
        <v>#REF!</v>
      </c>
      <c r="AK108" s="16" t="e">
        <f t="shared" si="10"/>
        <v>#REF!</v>
      </c>
      <c r="AL108" s="16">
        <v>6</v>
      </c>
    </row>
    <row r="109" spans="1:38" x14ac:dyDescent="0.15">
      <c r="A109" s="16">
        <f>Sheet1!A109</f>
        <v>1220</v>
      </c>
      <c r="B109" s="16" t="e">
        <f>Sheet1!#REF!</f>
        <v>#REF!</v>
      </c>
      <c r="C109" s="16" t="e">
        <f>Sheet1!#REF!</f>
        <v>#REF!</v>
      </c>
      <c r="D109" s="16" t="e">
        <f>Sheet1!#REF!</f>
        <v>#REF!</v>
      </c>
      <c r="E109" s="16" t="e">
        <f>Sheet1!#REF!</f>
        <v>#REF!</v>
      </c>
      <c r="F109" s="16" t="e">
        <f>Sheet1!#REF!</f>
        <v>#REF!</v>
      </c>
      <c r="G109" s="16" t="e">
        <f>Sheet1!#REF!</f>
        <v>#REF!</v>
      </c>
      <c r="H109" s="16" t="e">
        <f>Sheet1!#REF!</f>
        <v>#REF!</v>
      </c>
      <c r="M109" s="16">
        <v>1</v>
      </c>
      <c r="N109" s="16">
        <f t="shared" ca="1" si="11"/>
        <v>0.98595823945013294</v>
      </c>
      <c r="O109" s="18" t="e">
        <f>M109*VLOOKUP($H109,Sheet4!$A$1:$B$7,2,FALSE)*Sheet4!D$2</f>
        <v>#REF!</v>
      </c>
      <c r="P109" s="18" t="e">
        <f>M109*VLOOKUP($H109,Sheet4!$A$1:$B$7,2,FALSE)*Sheet4!E$2</f>
        <v>#REF!</v>
      </c>
      <c r="Q109" s="18" t="e">
        <f>M109*VLOOKUP($H109,Sheet4!$A$1:$B$7,2,FALSE)*Sheet4!F$2</f>
        <v>#REF!</v>
      </c>
      <c r="R109" s="18" t="e">
        <f>M109*VLOOKUP($H109,Sheet4!$A$1:$B$7,2,FALSE)*Sheet4!G$2</f>
        <v>#REF!</v>
      </c>
      <c r="S109" s="18" t="e">
        <f>M109*VLOOKUP($H109,Sheet4!$A$1:$B$7,2,FALSE)*Sheet4!H$2</f>
        <v>#REF!</v>
      </c>
      <c r="T109" s="18" t="e">
        <f>M109*VLOOKUP($H109,Sheet4!$A$1:$B$7,2,FALSE)*Sheet4!I$2</f>
        <v>#REF!</v>
      </c>
      <c r="AA109" s="18" t="e">
        <f t="shared" si="17"/>
        <v>#REF!</v>
      </c>
      <c r="AB109" s="18" t="e">
        <f t="shared" si="12"/>
        <v>#REF!</v>
      </c>
      <c r="AC109" s="18" t="e">
        <f t="shared" si="13"/>
        <v>#REF!</v>
      </c>
      <c r="AD109" s="18" t="e">
        <f t="shared" si="14"/>
        <v>#REF!</v>
      </c>
      <c r="AE109" s="18" t="e">
        <f t="shared" si="15"/>
        <v>#REF!</v>
      </c>
      <c r="AF109" s="18" t="e">
        <f t="shared" si="16"/>
        <v>#REF!</v>
      </c>
      <c r="AK109" s="16" t="e">
        <f t="shared" si="10"/>
        <v>#REF!</v>
      </c>
      <c r="AL109" s="16">
        <v>10</v>
      </c>
    </row>
    <row r="110" spans="1:38" x14ac:dyDescent="0.15">
      <c r="A110" s="16">
        <f>Sheet1!A110</f>
        <v>1221</v>
      </c>
      <c r="B110" s="16" t="e">
        <f>Sheet1!#REF!</f>
        <v>#REF!</v>
      </c>
      <c r="C110" s="16" t="e">
        <f>Sheet1!#REF!</f>
        <v>#REF!</v>
      </c>
      <c r="D110" s="16" t="e">
        <f>Sheet1!#REF!</f>
        <v>#REF!</v>
      </c>
      <c r="E110" s="16" t="e">
        <f>Sheet1!#REF!</f>
        <v>#REF!</v>
      </c>
      <c r="F110" s="16" t="e">
        <f>Sheet1!#REF!</f>
        <v>#REF!</v>
      </c>
      <c r="G110" s="16" t="e">
        <f>Sheet1!#REF!</f>
        <v>#REF!</v>
      </c>
      <c r="H110" s="16" t="e">
        <f>Sheet1!#REF!</f>
        <v>#REF!</v>
      </c>
      <c r="M110" s="16">
        <v>1</v>
      </c>
      <c r="N110" s="16">
        <f t="shared" ca="1" si="11"/>
        <v>1.0181893102952326</v>
      </c>
      <c r="O110" s="18" t="e">
        <f>M110*VLOOKUP($H110,Sheet4!$A$1:$B$7,2,FALSE)*Sheet4!D$2</f>
        <v>#REF!</v>
      </c>
      <c r="P110" s="18" t="e">
        <f>M110*VLOOKUP($H110,Sheet4!$A$1:$B$7,2,FALSE)*Sheet4!E$2</f>
        <v>#REF!</v>
      </c>
      <c r="Q110" s="18" t="e">
        <f>M110*VLOOKUP($H110,Sheet4!$A$1:$B$7,2,FALSE)*Sheet4!F$2</f>
        <v>#REF!</v>
      </c>
      <c r="R110" s="18" t="e">
        <f>M110*VLOOKUP($H110,Sheet4!$A$1:$B$7,2,FALSE)*Sheet4!G$2</f>
        <v>#REF!</v>
      </c>
      <c r="S110" s="18" t="e">
        <f>M110*VLOOKUP($H110,Sheet4!$A$1:$B$7,2,FALSE)*Sheet4!H$2</f>
        <v>#REF!</v>
      </c>
      <c r="T110" s="18" t="e">
        <f>M110*VLOOKUP($H110,Sheet4!$A$1:$B$7,2,FALSE)*Sheet4!I$2</f>
        <v>#REF!</v>
      </c>
      <c r="AA110" s="18" t="e">
        <f t="shared" si="17"/>
        <v>#REF!</v>
      </c>
      <c r="AB110" s="18" t="e">
        <f t="shared" si="12"/>
        <v>#REF!</v>
      </c>
      <c r="AC110" s="18" t="e">
        <f t="shared" si="13"/>
        <v>#REF!</v>
      </c>
      <c r="AD110" s="18" t="e">
        <f t="shared" si="14"/>
        <v>#REF!</v>
      </c>
      <c r="AE110" s="18" t="e">
        <f t="shared" si="15"/>
        <v>#REF!</v>
      </c>
      <c r="AF110" s="18" t="e">
        <f t="shared" si="16"/>
        <v>#REF!</v>
      </c>
      <c r="AK110" s="16" t="e">
        <f t="shared" si="10"/>
        <v>#REF!</v>
      </c>
      <c r="AL110" s="16">
        <v>10</v>
      </c>
    </row>
    <row r="111" spans="1:38" x14ac:dyDescent="0.15">
      <c r="A111" s="16">
        <f>Sheet1!A111</f>
        <v>1222</v>
      </c>
      <c r="B111" s="16" t="e">
        <f>Sheet1!#REF!</f>
        <v>#REF!</v>
      </c>
      <c r="C111" s="16" t="e">
        <f>Sheet1!#REF!</f>
        <v>#REF!</v>
      </c>
      <c r="D111" s="16" t="e">
        <f>Sheet1!#REF!</f>
        <v>#REF!</v>
      </c>
      <c r="E111" s="16" t="e">
        <f>Sheet1!#REF!</f>
        <v>#REF!</v>
      </c>
      <c r="F111" s="16" t="e">
        <f>Sheet1!#REF!</f>
        <v>#REF!</v>
      </c>
      <c r="G111" s="16" t="e">
        <f>Sheet1!#REF!</f>
        <v>#REF!</v>
      </c>
      <c r="H111" s="16" t="e">
        <f>Sheet1!#REF!</f>
        <v>#REF!</v>
      </c>
      <c r="M111" s="16">
        <v>1</v>
      </c>
      <c r="N111" s="16">
        <f t="shared" ca="1" si="11"/>
        <v>1.0211159617585808</v>
      </c>
      <c r="O111" s="18" t="e">
        <f>M111*VLOOKUP($H111,Sheet4!$A$1:$B$7,2,FALSE)*Sheet4!D$2</f>
        <v>#REF!</v>
      </c>
      <c r="P111" s="18" t="e">
        <f>M111*VLOOKUP($H111,Sheet4!$A$1:$B$7,2,FALSE)*Sheet4!E$2</f>
        <v>#REF!</v>
      </c>
      <c r="Q111" s="18" t="e">
        <f>M111*VLOOKUP($H111,Sheet4!$A$1:$B$7,2,FALSE)*Sheet4!F$2</f>
        <v>#REF!</v>
      </c>
      <c r="R111" s="18" t="e">
        <f>M111*VLOOKUP($H111,Sheet4!$A$1:$B$7,2,FALSE)*Sheet4!G$2</f>
        <v>#REF!</v>
      </c>
      <c r="S111" s="18" t="e">
        <f>M111*VLOOKUP($H111,Sheet4!$A$1:$B$7,2,FALSE)*Sheet4!H$2</f>
        <v>#REF!</v>
      </c>
      <c r="T111" s="18" t="e">
        <f>M111*VLOOKUP($H111,Sheet4!$A$1:$B$7,2,FALSE)*Sheet4!I$2</f>
        <v>#REF!</v>
      </c>
      <c r="AA111" s="18" t="e">
        <f t="shared" si="17"/>
        <v>#REF!</v>
      </c>
      <c r="AB111" s="18" t="e">
        <f t="shared" si="12"/>
        <v>#REF!</v>
      </c>
      <c r="AC111" s="18" t="e">
        <f t="shared" si="13"/>
        <v>#REF!</v>
      </c>
      <c r="AD111" s="18" t="e">
        <f t="shared" si="14"/>
        <v>#REF!</v>
      </c>
      <c r="AE111" s="18" t="e">
        <f t="shared" si="15"/>
        <v>#REF!</v>
      </c>
      <c r="AF111" s="18" t="e">
        <f t="shared" si="16"/>
        <v>#REF!</v>
      </c>
      <c r="AK111" s="16" t="e">
        <f t="shared" si="10"/>
        <v>#REF!</v>
      </c>
      <c r="AL111" s="16">
        <v>10</v>
      </c>
    </row>
    <row r="112" spans="1:38" x14ac:dyDescent="0.15">
      <c r="A112" s="16">
        <f>Sheet1!A112</f>
        <v>1223</v>
      </c>
      <c r="B112" s="16" t="e">
        <f>Sheet1!#REF!</f>
        <v>#REF!</v>
      </c>
      <c r="C112" s="16" t="e">
        <f>Sheet1!#REF!</f>
        <v>#REF!</v>
      </c>
      <c r="D112" s="16" t="e">
        <f>Sheet1!#REF!</f>
        <v>#REF!</v>
      </c>
      <c r="E112" s="16" t="e">
        <f>Sheet1!#REF!</f>
        <v>#REF!</v>
      </c>
      <c r="F112" s="16" t="e">
        <f>Sheet1!#REF!</f>
        <v>#REF!</v>
      </c>
      <c r="G112" s="16" t="e">
        <f>Sheet1!#REF!</f>
        <v>#REF!</v>
      </c>
      <c r="H112" s="16" t="e">
        <f>Sheet1!#REF!</f>
        <v>#REF!</v>
      </c>
      <c r="M112" s="16">
        <v>1</v>
      </c>
      <c r="N112" s="16">
        <f t="shared" ca="1" si="11"/>
        <v>0.98774734103186668</v>
      </c>
      <c r="O112" s="18" t="e">
        <f>M112*VLOOKUP($H112,Sheet4!$A$1:$B$7,2,FALSE)*Sheet4!D$2</f>
        <v>#REF!</v>
      </c>
      <c r="P112" s="18" t="e">
        <f>M112*VLOOKUP($H112,Sheet4!$A$1:$B$7,2,FALSE)*Sheet4!E$2</f>
        <v>#REF!</v>
      </c>
      <c r="Q112" s="18" t="e">
        <f>M112*VLOOKUP($H112,Sheet4!$A$1:$B$7,2,FALSE)*Sheet4!F$2</f>
        <v>#REF!</v>
      </c>
      <c r="R112" s="18" t="e">
        <f>M112*VLOOKUP($H112,Sheet4!$A$1:$B$7,2,FALSE)*Sheet4!G$2</f>
        <v>#REF!</v>
      </c>
      <c r="S112" s="18" t="e">
        <f>M112*VLOOKUP($H112,Sheet4!$A$1:$B$7,2,FALSE)*Sheet4!H$2</f>
        <v>#REF!</v>
      </c>
      <c r="T112" s="18" t="e">
        <f>M112*VLOOKUP($H112,Sheet4!$A$1:$B$7,2,FALSE)*Sheet4!I$2</f>
        <v>#REF!</v>
      </c>
      <c r="AA112" s="18" t="e">
        <f t="shared" si="17"/>
        <v>#REF!</v>
      </c>
      <c r="AB112" s="18" t="e">
        <f t="shared" si="12"/>
        <v>#REF!</v>
      </c>
      <c r="AC112" s="18" t="e">
        <f t="shared" si="13"/>
        <v>#REF!</v>
      </c>
      <c r="AD112" s="18" t="e">
        <f t="shared" si="14"/>
        <v>#REF!</v>
      </c>
      <c r="AE112" s="18" t="e">
        <f t="shared" si="15"/>
        <v>#REF!</v>
      </c>
      <c r="AF112" s="18" t="e">
        <f t="shared" si="16"/>
        <v>#REF!</v>
      </c>
      <c r="AK112" s="16" t="e">
        <f t="shared" ref="AK112:AK114" si="18">H112*1000+F112*100&amp;"|"&amp;AL112</f>
        <v>#REF!</v>
      </c>
      <c r="AL112" s="16">
        <v>8</v>
      </c>
    </row>
    <row r="113" spans="1:38" x14ac:dyDescent="0.15">
      <c r="A113" s="16">
        <f>Sheet1!A113</f>
        <v>1224</v>
      </c>
      <c r="B113" s="16" t="e">
        <f>Sheet1!#REF!</f>
        <v>#REF!</v>
      </c>
      <c r="C113" s="16" t="e">
        <f>Sheet1!#REF!</f>
        <v>#REF!</v>
      </c>
      <c r="D113" s="16" t="e">
        <f>Sheet1!#REF!</f>
        <v>#REF!</v>
      </c>
      <c r="E113" s="16" t="e">
        <f>Sheet1!#REF!</f>
        <v>#REF!</v>
      </c>
      <c r="F113" s="16" t="e">
        <f>Sheet1!#REF!</f>
        <v>#REF!</v>
      </c>
      <c r="G113" s="16" t="e">
        <f>Sheet1!#REF!</f>
        <v>#REF!</v>
      </c>
      <c r="H113" s="16" t="e">
        <f>Sheet1!#REF!</f>
        <v>#REF!</v>
      </c>
      <c r="M113" s="16">
        <v>1</v>
      </c>
      <c r="N113" s="16">
        <f t="shared" ca="1" si="11"/>
        <v>1.0238483972196477</v>
      </c>
      <c r="O113" s="18" t="e">
        <f>M113*VLOOKUP($H113,Sheet4!$A$1:$B$7,2,FALSE)*Sheet4!D$2</f>
        <v>#REF!</v>
      </c>
      <c r="P113" s="18" t="e">
        <f>M113*VLOOKUP($H113,Sheet4!$A$1:$B$7,2,FALSE)*Sheet4!E$2</f>
        <v>#REF!</v>
      </c>
      <c r="Q113" s="18" t="e">
        <f>M113*VLOOKUP($H113,Sheet4!$A$1:$B$7,2,FALSE)*Sheet4!F$2</f>
        <v>#REF!</v>
      </c>
      <c r="R113" s="18" t="e">
        <f>M113*VLOOKUP($H113,Sheet4!$A$1:$B$7,2,FALSE)*Sheet4!G$2</f>
        <v>#REF!</v>
      </c>
      <c r="S113" s="18" t="e">
        <f>M113*VLOOKUP($H113,Sheet4!$A$1:$B$7,2,FALSE)*Sheet4!H$2</f>
        <v>#REF!</v>
      </c>
      <c r="T113" s="18" t="e">
        <f>M113*VLOOKUP($H113,Sheet4!$A$1:$B$7,2,FALSE)*Sheet4!I$2</f>
        <v>#REF!</v>
      </c>
      <c r="AA113" s="18" t="e">
        <f t="shared" si="17"/>
        <v>#REF!</v>
      </c>
      <c r="AB113" s="18" t="e">
        <f t="shared" si="12"/>
        <v>#REF!</v>
      </c>
      <c r="AC113" s="18" t="e">
        <f t="shared" si="13"/>
        <v>#REF!</v>
      </c>
      <c r="AD113" s="18" t="e">
        <f t="shared" si="14"/>
        <v>#REF!</v>
      </c>
      <c r="AE113" s="18" t="e">
        <f t="shared" si="15"/>
        <v>#REF!</v>
      </c>
      <c r="AF113" s="18" t="e">
        <f t="shared" si="16"/>
        <v>#REF!</v>
      </c>
      <c r="AK113" s="16" t="e">
        <f t="shared" si="18"/>
        <v>#REF!</v>
      </c>
      <c r="AL113" s="16">
        <v>10</v>
      </c>
    </row>
    <row r="114" spans="1:38" x14ac:dyDescent="0.15">
      <c r="A114" s="16">
        <f>Sheet1!A114</f>
        <v>1225</v>
      </c>
      <c r="B114" s="16" t="e">
        <f>Sheet1!#REF!</f>
        <v>#REF!</v>
      </c>
      <c r="C114" s="16" t="e">
        <f>Sheet1!#REF!</f>
        <v>#REF!</v>
      </c>
      <c r="D114" s="16" t="e">
        <f>Sheet1!#REF!</f>
        <v>#REF!</v>
      </c>
      <c r="E114" s="16" t="e">
        <f>Sheet1!#REF!</f>
        <v>#REF!</v>
      </c>
      <c r="F114" s="16" t="e">
        <f>Sheet1!#REF!</f>
        <v>#REF!</v>
      </c>
      <c r="G114" s="16" t="e">
        <f>Sheet1!#REF!</f>
        <v>#REF!</v>
      </c>
      <c r="H114" s="16" t="e">
        <f>Sheet1!#REF!</f>
        <v>#REF!</v>
      </c>
      <c r="M114" s="16">
        <v>1</v>
      </c>
      <c r="N114" s="16">
        <f t="shared" ca="1" si="11"/>
        <v>0.99943743624071113</v>
      </c>
      <c r="O114" s="18" t="e">
        <f>M114*VLOOKUP($H114,Sheet4!$A$1:$B$7,2,FALSE)*Sheet4!D$2</f>
        <v>#REF!</v>
      </c>
      <c r="P114" s="18" t="e">
        <f>M114*VLOOKUP($H114,Sheet4!$A$1:$B$7,2,FALSE)*Sheet4!E$2</f>
        <v>#REF!</v>
      </c>
      <c r="Q114" s="18" t="e">
        <f>M114*VLOOKUP($H114,Sheet4!$A$1:$B$7,2,FALSE)*Sheet4!F$2</f>
        <v>#REF!</v>
      </c>
      <c r="R114" s="18" t="e">
        <f>M114*VLOOKUP($H114,Sheet4!$A$1:$B$7,2,FALSE)*Sheet4!G$2</f>
        <v>#REF!</v>
      </c>
      <c r="S114" s="18" t="e">
        <f>M114*VLOOKUP($H114,Sheet4!$A$1:$B$7,2,FALSE)*Sheet4!H$2</f>
        <v>#REF!</v>
      </c>
      <c r="T114" s="18" t="e">
        <f>M114*VLOOKUP($H114,Sheet4!$A$1:$B$7,2,FALSE)*Sheet4!I$2</f>
        <v>#REF!</v>
      </c>
      <c r="AA114" s="18" t="e">
        <f t="shared" si="17"/>
        <v>#REF!</v>
      </c>
      <c r="AB114" s="18" t="e">
        <f t="shared" si="12"/>
        <v>#REF!</v>
      </c>
      <c r="AC114" s="18" t="e">
        <f t="shared" si="13"/>
        <v>#REF!</v>
      </c>
      <c r="AD114" s="18" t="e">
        <f t="shared" si="14"/>
        <v>#REF!</v>
      </c>
      <c r="AE114" s="18" t="e">
        <f t="shared" si="15"/>
        <v>#REF!</v>
      </c>
      <c r="AF114" s="18" t="e">
        <f t="shared" si="16"/>
        <v>#REF!</v>
      </c>
      <c r="AK114" s="16" t="e">
        <f t="shared" si="18"/>
        <v>#REF!</v>
      </c>
      <c r="AL114" s="16">
        <v>10</v>
      </c>
    </row>
  </sheetData>
  <autoFilter ref="A1:AW61"/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5"/>
  <sheetViews>
    <sheetView workbookViewId="0">
      <selection activeCell="D20" sqref="D20"/>
    </sheetView>
  </sheetViews>
  <sheetFormatPr defaultRowHeight="13.5" x14ac:dyDescent="0.15"/>
  <cols>
    <col min="1" max="3" width="9" style="26"/>
    <col min="4" max="4" width="13.625" style="26" bestFit="1" customWidth="1"/>
    <col min="5" max="7" width="9" style="26" bestFit="1" customWidth="1"/>
    <col min="8" max="9" width="7.125" style="26" bestFit="1" customWidth="1"/>
    <col min="10" max="11" width="9" style="26"/>
    <col min="12" max="13" width="11" style="26" bestFit="1" customWidth="1"/>
    <col min="14" max="15" width="13" style="26" bestFit="1" customWidth="1"/>
    <col min="16" max="19" width="5.5" style="26" bestFit="1" customWidth="1"/>
    <col min="20" max="21" width="20.125" style="26" bestFit="1" customWidth="1"/>
    <col min="22" max="16384" width="9" style="26"/>
  </cols>
  <sheetData>
    <row r="1" spans="1:21" ht="49.5" x14ac:dyDescent="0.15">
      <c r="A1" s="22" t="s">
        <v>139</v>
      </c>
      <c r="B1" s="22" t="s">
        <v>140</v>
      </c>
      <c r="C1" s="25"/>
      <c r="D1" s="20" t="s">
        <v>107</v>
      </c>
      <c r="E1" s="20" t="s">
        <v>108</v>
      </c>
      <c r="F1" s="20" t="s">
        <v>142</v>
      </c>
      <c r="G1" s="20" t="s">
        <v>110</v>
      </c>
      <c r="H1" s="20" t="s">
        <v>111</v>
      </c>
      <c r="I1" s="20" t="s">
        <v>112</v>
      </c>
      <c r="J1" s="20" t="s">
        <v>107</v>
      </c>
      <c r="K1" s="20" t="s">
        <v>108</v>
      </c>
      <c r="L1" s="20" t="s">
        <v>142</v>
      </c>
      <c r="M1" s="20" t="s">
        <v>110</v>
      </c>
      <c r="N1" s="20" t="s">
        <v>111</v>
      </c>
      <c r="O1" s="20" t="s">
        <v>112</v>
      </c>
      <c r="P1" s="33"/>
      <c r="Q1" s="33"/>
      <c r="R1" s="33"/>
      <c r="S1" s="33"/>
      <c r="T1" s="25"/>
      <c r="U1" s="25"/>
    </row>
    <row r="2" spans="1:21" ht="16.5" x14ac:dyDescent="0.15">
      <c r="A2" s="22">
        <v>20</v>
      </c>
      <c r="B2" s="22">
        <v>1.2</v>
      </c>
      <c r="D2" s="23">
        <v>6000</v>
      </c>
      <c r="E2" s="23">
        <v>0</v>
      </c>
      <c r="F2" s="23">
        <v>0</v>
      </c>
      <c r="G2" s="23">
        <v>200</v>
      </c>
      <c r="H2" s="23">
        <v>100</v>
      </c>
      <c r="I2" s="23">
        <v>100</v>
      </c>
      <c r="J2" s="23">
        <f>D2*0.1</f>
        <v>600</v>
      </c>
      <c r="K2" s="23">
        <f t="shared" ref="K2:O2" si="0">E2*0.1</f>
        <v>0</v>
      </c>
      <c r="L2" s="23">
        <f t="shared" si="0"/>
        <v>0</v>
      </c>
      <c r="M2" s="23">
        <f t="shared" si="0"/>
        <v>20</v>
      </c>
      <c r="N2" s="23">
        <f t="shared" si="0"/>
        <v>10</v>
      </c>
      <c r="O2" s="23">
        <f t="shared" si="0"/>
        <v>10</v>
      </c>
      <c r="P2" s="24"/>
      <c r="Q2" s="24"/>
      <c r="R2" s="24"/>
      <c r="S2" s="24"/>
    </row>
    <row r="3" spans="1:21" ht="16.5" x14ac:dyDescent="0.15">
      <c r="A3" s="22">
        <v>16</v>
      </c>
      <c r="B3" s="22">
        <v>1</v>
      </c>
      <c r="K3" s="24"/>
      <c r="L3" s="24"/>
      <c r="M3" s="24"/>
      <c r="N3" s="24"/>
      <c r="O3" s="24"/>
      <c r="P3" s="24"/>
      <c r="Q3" s="24"/>
      <c r="R3" s="24"/>
      <c r="S3" s="24"/>
    </row>
    <row r="4" spans="1:21" ht="16.5" x14ac:dyDescent="0.15">
      <c r="A4" s="22">
        <v>13</v>
      </c>
      <c r="B4" s="22">
        <v>0.9</v>
      </c>
    </row>
    <row r="5" spans="1:21" ht="16.5" x14ac:dyDescent="0.15">
      <c r="A5" s="22">
        <v>11</v>
      </c>
      <c r="B5" s="22">
        <v>0.8</v>
      </c>
    </row>
    <row r="6" spans="1:21" ht="16.5" x14ac:dyDescent="0.15">
      <c r="A6" s="22">
        <v>6</v>
      </c>
      <c r="B6" s="22">
        <v>0.7</v>
      </c>
    </row>
    <row r="7" spans="1:21" ht="16.5" x14ac:dyDescent="0.15">
      <c r="A7" s="22">
        <v>2</v>
      </c>
      <c r="B7" s="22">
        <v>0.6</v>
      </c>
    </row>
    <row r="13" spans="1:21" x14ac:dyDescent="0.15">
      <c r="I13" s="27"/>
    </row>
    <row r="18" spans="4:7" x14ac:dyDescent="0.15">
      <c r="D18" s="27"/>
      <c r="E18" s="27"/>
      <c r="F18" s="27"/>
      <c r="G18" s="27"/>
    </row>
    <row r="20" spans="4:7" x14ac:dyDescent="0.15">
      <c r="D20" s="27"/>
      <c r="E20" s="27"/>
      <c r="F20" s="27"/>
      <c r="G20" s="27"/>
    </row>
    <row r="23" spans="4:7" x14ac:dyDescent="0.15">
      <c r="D23" s="27"/>
      <c r="E23" s="27"/>
      <c r="F23" s="27"/>
      <c r="G23" s="27"/>
    </row>
    <row r="24" spans="4:7" x14ac:dyDescent="0.15">
      <c r="D24" s="27"/>
      <c r="E24" s="27"/>
      <c r="F24" s="27"/>
      <c r="G24" s="27"/>
    </row>
    <row r="25" spans="4:7" x14ac:dyDescent="0.15">
      <c r="D25" s="27"/>
      <c r="E25" s="27"/>
      <c r="F25" s="27"/>
      <c r="G25" s="27"/>
    </row>
  </sheetData>
  <mergeCells count="1">
    <mergeCell ref="P1:S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Sheet2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Windows User</cp:lastModifiedBy>
  <dcterms:created xsi:type="dcterms:W3CDTF">2006-09-16T00:00:00Z</dcterms:created>
  <dcterms:modified xsi:type="dcterms:W3CDTF">2017-11-08T09:54:19Z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