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90" windowWidth="15330" windowHeight="10500"/>
  </bookViews>
  <sheets>
    <sheet name="Sheet1" sheetId="1" r:id="rId1"/>
  </sheets>
  <functionGroups builtInGroupCount="17"/>
  <definedNames>
    <definedName name="_xlnm._FilterDatabase" localSheetId="0" hidden="1">Sheet1!$A$1:$A$5</definedName>
  </definedNames>
  <calcPr calcId="144525" concurrentCalc="0"/>
</workbook>
</file>

<file path=xl/calcChain.xml><?xml version="1.0" encoding="utf-8"?>
<calcChain xmlns="http://schemas.openxmlformats.org/spreadsheetml/2006/main">
  <c r="J21" i="1" l="1"/>
  <c r="J9" i="1"/>
  <c r="I10" i="1"/>
  <c r="H10" i="1"/>
  <c r="I11" i="1"/>
  <c r="H11" i="1"/>
  <c r="J11" i="1"/>
  <c r="I12" i="1"/>
  <c r="H12" i="1"/>
  <c r="I13" i="1"/>
  <c r="H13" i="1"/>
  <c r="I14" i="1"/>
  <c r="J14" i="1"/>
  <c r="H14" i="1"/>
  <c r="J15" i="1"/>
  <c r="I16" i="1"/>
  <c r="H16" i="1"/>
  <c r="J16" i="1"/>
  <c r="I17" i="1"/>
  <c r="H17" i="1"/>
  <c r="J17" i="1"/>
  <c r="I18" i="1"/>
  <c r="J18" i="1"/>
  <c r="H18" i="1"/>
  <c r="I19" i="1"/>
  <c r="J19" i="1"/>
  <c r="H19" i="1"/>
  <c r="I20" i="1"/>
  <c r="H20" i="1"/>
  <c r="J20" i="1"/>
  <c r="J10" i="1"/>
  <c r="J13" i="1"/>
  <c r="J12" i="1"/>
  <c r="I4" i="1"/>
  <c r="J4" i="1"/>
  <c r="I8" i="1"/>
  <c r="J8" i="1"/>
  <c r="H4" i="1"/>
  <c r="H8" i="1"/>
  <c r="H7" i="1"/>
  <c r="I7" i="1"/>
  <c r="J7" i="1"/>
  <c r="H6" i="1"/>
  <c r="I6" i="1"/>
  <c r="H5" i="1"/>
  <c r="I5" i="1"/>
  <c r="J5" i="1"/>
  <c r="J6" i="1"/>
</calcChain>
</file>

<file path=xl/sharedStrings.xml><?xml version="1.0" encoding="utf-8"?>
<sst xmlns="http://schemas.openxmlformats.org/spreadsheetml/2006/main" count="33" uniqueCount="27">
  <si>
    <t>pinzhi</t>
  </si>
  <si>
    <t>i</t>
  </si>
  <si>
    <t>id</t>
    <phoneticPr fontId="1" type="noConversion"/>
  </si>
  <si>
    <t>精炼等级</t>
    <phoneticPr fontId="1" type="noConversion"/>
  </si>
  <si>
    <t>神兵精炼消耗
type|id|value,type|id|value,type|id|value
1-道具
4-资源
[]-无消耗（满级后不能精炼）</t>
    <phoneticPr fontId="1" type="noConversion"/>
  </si>
  <si>
    <t>level</t>
    <phoneticPr fontId="1" type="noConversion"/>
  </si>
  <si>
    <t>cost</t>
    <phoneticPr fontId="1" type="noConversion"/>
  </si>
  <si>
    <t>s</t>
    <phoneticPr fontId="1" type="noConversion"/>
  </si>
  <si>
    <t>i</t>
    <phoneticPr fontId="1" type="noConversion"/>
  </si>
  <si>
    <t>自身对应碎片的数量</t>
    <phoneticPr fontId="1" type="noConversion"/>
  </si>
  <si>
    <t>cost2</t>
    <phoneticPr fontId="1" type="noConversion"/>
  </si>
  <si>
    <t>神兵品质
[整型]
0无品质
1=绿色
2=蓝色
3=紫色
4=橙13
5=橙16
6=红色</t>
    <phoneticPr fontId="1" type="noConversion"/>
  </si>
  <si>
    <t>4|1|250000,1|17001|1000</t>
  </si>
  <si>
    <t>4|1|750000,1|17001|3000</t>
  </si>
  <si>
    <t>4|1|2000000,1|17001|8000</t>
  </si>
  <si>
    <t>4|1|4000000,1|17001|16000</t>
  </si>
  <si>
    <t>4|1|7500000,1|17001|30000</t>
  </si>
  <si>
    <t>4|1|300000,1|17001|1200</t>
  </si>
  <si>
    <t>4|1|900000,1|17001|3600</t>
  </si>
  <si>
    <t>4|1|2400000,1|17001|9600</t>
  </si>
  <si>
    <t>4|1|4800000,1|17001|19200</t>
  </si>
  <si>
    <t>4|1|9000000,1|17001|36000</t>
  </si>
  <si>
    <t>4|1|500000,1|17001|2000</t>
  </si>
  <si>
    <t>4|1|1500000,1|17001|6000</t>
  </si>
  <si>
    <t>4|1|8000000,1|17001|32000</t>
  </si>
  <si>
    <t>4|1|15000000,1|17001|60000</t>
  </si>
  <si>
    <t>4|1|99999999,1|17002|99999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</si>
</sst>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</cellStyleXfs>
  <cellXfs count="15">
    <xf numFmtId="0" fontId="0" fillId="0" borderId="0" xfId="0" applyAlignment="1"/>
    <xf numFmtId="0" fontId="3" fillId="0" borderId="0" xfId="0" applyFont="1" applyAlignment="1">
      <alignment horizontal="left" vertical="top" wrapText="1"/>
    </xf>
    <xf numFmtId="0" fontId="3" fillId="3" borderId="0" xfId="0" applyFont="1" applyFill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3" fillId="4" borderId="1" xfId="0" applyFont="1" applyFill="1" applyBorder="1" applyAlignment="1">
      <alignment horizontal="center" vertical="top"/>
    </xf>
    <xf numFmtId="0" fontId="3" fillId="3" borderId="0" xfId="0" applyFont="1" applyFill="1" applyAlignment="1">
      <alignment horizontal="center" vertical="top"/>
    </xf>
    <xf numFmtId="0" fontId="3" fillId="4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top"/>
    </xf>
    <xf numFmtId="0" fontId="3" fillId="0" borderId="0" xfId="0" applyFont="1" applyFill="1" applyAlignment="1">
      <alignment horizontal="left" vertical="top"/>
    </xf>
    <xf numFmtId="0" fontId="5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3">
    <cellStyle name="常规" xfId="0" builtinId="0"/>
    <cellStyle name="常规 2" xfId="1"/>
    <cellStyle name="常规 2 2" xfId="2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tabSelected="1" zoomScale="85" zoomScaleNormal="85" workbookViewId="0">
      <pane ySplit="3" topLeftCell="A4" activePane="bottomLeft" state="frozen"/>
      <selection pane="bottomLeft" activeCell="E23" sqref="E23"/>
    </sheetView>
  </sheetViews>
  <sheetFormatPr defaultColWidth="12" defaultRowHeight="16.5" x14ac:dyDescent="0.15"/>
  <cols>
    <col min="1" max="1" width="9.375" style="1" bestFit="1" customWidth="1"/>
    <col min="2" max="3" width="9.375" style="1" customWidth="1"/>
    <col min="4" max="4" width="33.875" style="14" customWidth="1"/>
    <col min="5" max="5" width="17.375" style="14" bestFit="1" customWidth="1"/>
    <col min="6" max="6" width="12" style="1"/>
    <col min="7" max="7" width="22" style="1" bestFit="1" customWidth="1"/>
    <col min="8" max="16384" width="12" style="1"/>
  </cols>
  <sheetData>
    <row r="1" spans="1:12" ht="148.5" x14ac:dyDescent="0.15">
      <c r="A1" s="3" t="s">
        <v>2</v>
      </c>
      <c r="B1" s="3" t="s">
        <v>3</v>
      </c>
      <c r="C1" s="3" t="s">
        <v>11</v>
      </c>
      <c r="D1" s="12" t="s">
        <v>4</v>
      </c>
      <c r="E1" s="12" t="s">
        <v>9</v>
      </c>
      <c r="F1" s="7"/>
      <c r="J1" s="9"/>
      <c r="K1" s="9"/>
      <c r="L1" s="9"/>
    </row>
    <row r="2" spans="1:12" s="7" customFormat="1" x14ac:dyDescent="0.15">
      <c r="A2" s="6" t="s">
        <v>2</v>
      </c>
      <c r="B2" s="6" t="s">
        <v>5</v>
      </c>
      <c r="C2" s="6" t="s">
        <v>0</v>
      </c>
      <c r="D2" s="10" t="s">
        <v>6</v>
      </c>
      <c r="E2" s="10" t="s">
        <v>10</v>
      </c>
      <c r="F2" s="5"/>
      <c r="J2" s="9"/>
      <c r="K2" s="9"/>
      <c r="L2" s="9"/>
    </row>
    <row r="3" spans="1:12" s="5" customFormat="1" x14ac:dyDescent="0.15">
      <c r="A3" s="4" t="s">
        <v>7</v>
      </c>
      <c r="B3" s="4" t="s">
        <v>8</v>
      </c>
      <c r="C3" s="4" t="s">
        <v>1</v>
      </c>
      <c r="D3" s="11" t="s">
        <v>7</v>
      </c>
      <c r="E3" s="11" t="s">
        <v>8</v>
      </c>
      <c r="F3" s="2"/>
      <c r="J3" s="9"/>
      <c r="K3" s="9"/>
      <c r="L3" s="9"/>
    </row>
    <row r="4" spans="1:12" s="9" customFormat="1" x14ac:dyDescent="0.15">
      <c r="A4" s="8">
        <v>1001</v>
      </c>
      <c r="B4" s="8">
        <v>0</v>
      </c>
      <c r="C4" s="8">
        <v>4</v>
      </c>
      <c r="D4" s="13" t="s">
        <v>12</v>
      </c>
      <c r="E4" s="13">
        <v>50</v>
      </c>
      <c r="F4" s="9">
        <v>1000</v>
      </c>
      <c r="G4" s="9">
        <v>250000</v>
      </c>
      <c r="H4" s="9" t="str">
        <f>"1|17001|"&amp;F4</f>
        <v>1|17001|1000</v>
      </c>
      <c r="I4" s="9" t="str">
        <f>"4|1|"&amp;G4</f>
        <v>4|1|250000</v>
      </c>
      <c r="J4" s="9" t="str">
        <f>IF($D4="[]","[]",I4&amp;","&amp;H4)</f>
        <v>4|1|250000,1|17001|1000</v>
      </c>
    </row>
    <row r="5" spans="1:12" s="9" customFormat="1" x14ac:dyDescent="0.15">
      <c r="A5" s="8">
        <v>1002</v>
      </c>
      <c r="B5" s="8">
        <v>1</v>
      </c>
      <c r="C5" s="8">
        <v>4</v>
      </c>
      <c r="D5" s="13" t="s">
        <v>13</v>
      </c>
      <c r="E5" s="13">
        <v>150</v>
      </c>
      <c r="F5" s="9">
        <v>3000</v>
      </c>
      <c r="G5" s="9">
        <v>750000</v>
      </c>
      <c r="H5" s="9" t="str">
        <f t="shared" ref="H5:H20" si="0">"1|17001|"&amp;F5</f>
        <v>1|17001|3000</v>
      </c>
      <c r="I5" s="9" t="str">
        <f t="shared" ref="I5:I20" si="1">"4|1|"&amp;G5</f>
        <v>4|1|750000</v>
      </c>
      <c r="J5" s="9" t="str">
        <f t="shared" ref="J5:J21" si="2">IF($D5="[]","[]",I5&amp;","&amp;H5)</f>
        <v>4|1|750000,1|17001|3000</v>
      </c>
    </row>
    <row r="6" spans="1:12" s="9" customFormat="1" x14ac:dyDescent="0.15">
      <c r="A6" s="8">
        <v>1003</v>
      </c>
      <c r="B6" s="8">
        <v>2</v>
      </c>
      <c r="C6" s="8">
        <v>4</v>
      </c>
      <c r="D6" s="13" t="s">
        <v>14</v>
      </c>
      <c r="E6" s="13">
        <v>400</v>
      </c>
      <c r="F6" s="9">
        <v>8000</v>
      </c>
      <c r="G6" s="9">
        <v>2000000</v>
      </c>
      <c r="H6" s="9" t="str">
        <f t="shared" si="0"/>
        <v>1|17001|8000</v>
      </c>
      <c r="I6" s="9" t="str">
        <f t="shared" si="1"/>
        <v>4|1|2000000</v>
      </c>
      <c r="J6" s="9" t="str">
        <f t="shared" si="2"/>
        <v>4|1|2000000,1|17001|8000</v>
      </c>
    </row>
    <row r="7" spans="1:12" s="9" customFormat="1" x14ac:dyDescent="0.15">
      <c r="A7" s="8">
        <v>1004</v>
      </c>
      <c r="B7" s="8">
        <v>3</v>
      </c>
      <c r="C7" s="8">
        <v>4</v>
      </c>
      <c r="D7" s="13" t="s">
        <v>15</v>
      </c>
      <c r="E7" s="13">
        <v>800</v>
      </c>
      <c r="F7" s="9">
        <v>16000</v>
      </c>
      <c r="G7" s="9">
        <v>4000000</v>
      </c>
      <c r="H7" s="9" t="str">
        <f t="shared" si="0"/>
        <v>1|17001|16000</v>
      </c>
      <c r="I7" s="9" t="str">
        <f t="shared" si="1"/>
        <v>4|1|4000000</v>
      </c>
      <c r="J7" s="9" t="str">
        <f t="shared" si="2"/>
        <v>4|1|4000000,1|17001|16000</v>
      </c>
    </row>
    <row r="8" spans="1:12" s="9" customFormat="1" x14ac:dyDescent="0.15">
      <c r="A8" s="8">
        <v>1005</v>
      </c>
      <c r="B8" s="8">
        <v>4</v>
      </c>
      <c r="C8" s="8">
        <v>4</v>
      </c>
      <c r="D8" s="13" t="s">
        <v>16</v>
      </c>
      <c r="E8" s="13">
        <v>1500</v>
      </c>
      <c r="F8" s="9">
        <v>30000</v>
      </c>
      <c r="G8" s="9">
        <v>7500000</v>
      </c>
      <c r="H8" s="9" t="str">
        <f t="shared" si="0"/>
        <v>1|17001|30000</v>
      </c>
      <c r="I8" s="9" t="str">
        <f t="shared" si="1"/>
        <v>4|1|7500000</v>
      </c>
      <c r="J8" s="9" t="str">
        <f t="shared" si="2"/>
        <v>4|1|7500000,1|17001|30000</v>
      </c>
    </row>
    <row r="9" spans="1:12" s="9" customFormat="1" x14ac:dyDescent="0.15">
      <c r="A9" s="8">
        <v>1006</v>
      </c>
      <c r="B9" s="8">
        <v>5</v>
      </c>
      <c r="C9" s="8">
        <v>4</v>
      </c>
      <c r="D9" s="13" t="s">
        <v>26</v>
      </c>
      <c r="E9" s="13">
        <v>99999</v>
      </c>
      <c r="J9" s="9" t="str">
        <f t="shared" si="2"/>
        <v>,</v>
      </c>
    </row>
    <row r="10" spans="1:12" s="9" customFormat="1" x14ac:dyDescent="0.15">
      <c r="A10" s="8">
        <v>1007</v>
      </c>
      <c r="B10" s="8">
        <v>0</v>
      </c>
      <c r="C10" s="8">
        <v>5</v>
      </c>
      <c r="D10" s="13" t="s">
        <v>17</v>
      </c>
      <c r="E10" s="13">
        <v>50</v>
      </c>
      <c r="F10" s="9">
        <v>1200</v>
      </c>
      <c r="G10" s="9">
        <v>300000</v>
      </c>
      <c r="H10" s="9" t="str">
        <f t="shared" si="0"/>
        <v>1|17001|1200</v>
      </c>
      <c r="I10" s="9" t="str">
        <f t="shared" si="1"/>
        <v>4|1|300000</v>
      </c>
      <c r="J10" s="9" t="str">
        <f t="shared" si="2"/>
        <v>4|1|300000,1|17001|1200</v>
      </c>
    </row>
    <row r="11" spans="1:12" s="9" customFormat="1" x14ac:dyDescent="0.15">
      <c r="A11" s="8">
        <v>1008</v>
      </c>
      <c r="B11" s="8">
        <v>1</v>
      </c>
      <c r="C11" s="8">
        <v>5</v>
      </c>
      <c r="D11" s="13" t="s">
        <v>18</v>
      </c>
      <c r="E11" s="13">
        <v>150</v>
      </c>
      <c r="F11" s="9">
        <v>3600</v>
      </c>
      <c r="G11" s="9">
        <v>900000</v>
      </c>
      <c r="H11" s="9" t="str">
        <f t="shared" si="0"/>
        <v>1|17001|3600</v>
      </c>
      <c r="I11" s="9" t="str">
        <f t="shared" si="1"/>
        <v>4|1|900000</v>
      </c>
      <c r="J11" s="9" t="str">
        <f t="shared" si="2"/>
        <v>4|1|900000,1|17001|3600</v>
      </c>
    </row>
    <row r="12" spans="1:12" s="9" customFormat="1" x14ac:dyDescent="0.15">
      <c r="A12" s="8">
        <v>1009</v>
      </c>
      <c r="B12" s="8">
        <v>2</v>
      </c>
      <c r="C12" s="8">
        <v>5</v>
      </c>
      <c r="D12" s="13" t="s">
        <v>19</v>
      </c>
      <c r="E12" s="13">
        <v>400</v>
      </c>
      <c r="F12" s="9">
        <v>9600</v>
      </c>
      <c r="G12" s="9">
        <v>2400000</v>
      </c>
      <c r="H12" s="9" t="str">
        <f t="shared" si="0"/>
        <v>1|17001|9600</v>
      </c>
      <c r="I12" s="9" t="str">
        <f t="shared" si="1"/>
        <v>4|1|2400000</v>
      </c>
      <c r="J12" s="9" t="str">
        <f t="shared" si="2"/>
        <v>4|1|2400000,1|17001|9600</v>
      </c>
    </row>
    <row r="13" spans="1:12" s="9" customFormat="1" x14ac:dyDescent="0.15">
      <c r="A13" s="8">
        <v>1010</v>
      </c>
      <c r="B13" s="8">
        <v>3</v>
      </c>
      <c r="C13" s="8">
        <v>5</v>
      </c>
      <c r="D13" s="13" t="s">
        <v>20</v>
      </c>
      <c r="E13" s="13">
        <v>800</v>
      </c>
      <c r="F13" s="9">
        <v>19200</v>
      </c>
      <c r="G13" s="9">
        <v>4800000</v>
      </c>
      <c r="H13" s="9" t="str">
        <f t="shared" si="0"/>
        <v>1|17001|19200</v>
      </c>
      <c r="I13" s="9" t="str">
        <f t="shared" si="1"/>
        <v>4|1|4800000</v>
      </c>
      <c r="J13" s="9" t="str">
        <f t="shared" si="2"/>
        <v>4|1|4800000,1|17001|19200</v>
      </c>
    </row>
    <row r="14" spans="1:12" s="9" customFormat="1" x14ac:dyDescent="0.15">
      <c r="A14" s="8">
        <v>1011</v>
      </c>
      <c r="B14" s="8">
        <v>4</v>
      </c>
      <c r="C14" s="8">
        <v>5</v>
      </c>
      <c r="D14" s="13" t="s">
        <v>21</v>
      </c>
      <c r="E14" s="13">
        <v>1500</v>
      </c>
      <c r="F14" s="9">
        <v>36000</v>
      </c>
      <c r="G14" s="9">
        <v>9000000</v>
      </c>
      <c r="H14" s="9" t="str">
        <f t="shared" si="0"/>
        <v>1|17001|36000</v>
      </c>
      <c r="I14" s="9" t="str">
        <f t="shared" si="1"/>
        <v>4|1|9000000</v>
      </c>
      <c r="J14" s="9" t="str">
        <f t="shared" si="2"/>
        <v>4|1|9000000,1|17001|36000</v>
      </c>
    </row>
    <row r="15" spans="1:12" s="9" customFormat="1" x14ac:dyDescent="0.15">
      <c r="A15" s="8">
        <v>1012</v>
      </c>
      <c r="B15" s="8">
        <v>5</v>
      </c>
      <c r="C15" s="8">
        <v>5</v>
      </c>
      <c r="D15" s="13" t="s">
        <v>26</v>
      </c>
      <c r="E15" s="13">
        <v>99999</v>
      </c>
      <c r="J15" s="9" t="str">
        <f t="shared" si="2"/>
        <v>,</v>
      </c>
    </row>
    <row r="16" spans="1:12" s="9" customFormat="1" x14ac:dyDescent="0.15">
      <c r="A16" s="8">
        <v>1013</v>
      </c>
      <c r="B16" s="8">
        <v>0</v>
      </c>
      <c r="C16" s="8">
        <v>6</v>
      </c>
      <c r="D16" s="13" t="s">
        <v>22</v>
      </c>
      <c r="E16" s="13">
        <v>50</v>
      </c>
      <c r="F16" s="9">
        <v>2000</v>
      </c>
      <c r="G16" s="9">
        <v>500000</v>
      </c>
      <c r="H16" s="9" t="str">
        <f t="shared" si="0"/>
        <v>1|17001|2000</v>
      </c>
      <c r="I16" s="9" t="str">
        <f t="shared" si="1"/>
        <v>4|1|500000</v>
      </c>
      <c r="J16" s="9" t="str">
        <f t="shared" si="2"/>
        <v>4|1|500000,1|17001|2000</v>
      </c>
    </row>
    <row r="17" spans="1:10" s="9" customFormat="1" x14ac:dyDescent="0.15">
      <c r="A17" s="8">
        <v>1014</v>
      </c>
      <c r="B17" s="8">
        <v>1</v>
      </c>
      <c r="C17" s="8">
        <v>6</v>
      </c>
      <c r="D17" s="13" t="s">
        <v>23</v>
      </c>
      <c r="E17" s="13">
        <v>150</v>
      </c>
      <c r="F17" s="9">
        <v>6000</v>
      </c>
      <c r="G17" s="9">
        <v>1500000</v>
      </c>
      <c r="H17" s="9" t="str">
        <f t="shared" si="0"/>
        <v>1|17001|6000</v>
      </c>
      <c r="I17" s="9" t="str">
        <f t="shared" si="1"/>
        <v>4|1|1500000</v>
      </c>
      <c r="J17" s="9" t="str">
        <f t="shared" si="2"/>
        <v>4|1|1500000,1|17001|6000</v>
      </c>
    </row>
    <row r="18" spans="1:10" s="9" customFormat="1" x14ac:dyDescent="0.15">
      <c r="A18" s="8">
        <v>1015</v>
      </c>
      <c r="B18" s="8">
        <v>2</v>
      </c>
      <c r="C18" s="8">
        <v>6</v>
      </c>
      <c r="D18" s="13" t="s">
        <v>15</v>
      </c>
      <c r="E18" s="13">
        <v>400</v>
      </c>
      <c r="F18" s="9">
        <v>16000</v>
      </c>
      <c r="G18" s="9">
        <v>4000000</v>
      </c>
      <c r="H18" s="9" t="str">
        <f t="shared" si="0"/>
        <v>1|17001|16000</v>
      </c>
      <c r="I18" s="9" t="str">
        <f t="shared" si="1"/>
        <v>4|1|4000000</v>
      </c>
      <c r="J18" s="9" t="str">
        <f t="shared" si="2"/>
        <v>4|1|4000000,1|17001|16000</v>
      </c>
    </row>
    <row r="19" spans="1:10" s="9" customFormat="1" x14ac:dyDescent="0.15">
      <c r="A19" s="8">
        <v>1016</v>
      </c>
      <c r="B19" s="8">
        <v>3</v>
      </c>
      <c r="C19" s="8">
        <v>6</v>
      </c>
      <c r="D19" s="13" t="s">
        <v>24</v>
      </c>
      <c r="E19" s="13">
        <v>800</v>
      </c>
      <c r="F19" s="9">
        <v>32000</v>
      </c>
      <c r="G19" s="9">
        <v>8000000</v>
      </c>
      <c r="H19" s="9" t="str">
        <f t="shared" si="0"/>
        <v>1|17001|32000</v>
      </c>
      <c r="I19" s="9" t="str">
        <f t="shared" si="1"/>
        <v>4|1|8000000</v>
      </c>
      <c r="J19" s="9" t="str">
        <f t="shared" si="2"/>
        <v>4|1|8000000,1|17001|32000</v>
      </c>
    </row>
    <row r="20" spans="1:10" s="9" customFormat="1" x14ac:dyDescent="0.15">
      <c r="A20" s="8">
        <v>1017</v>
      </c>
      <c r="B20" s="8">
        <v>4</v>
      </c>
      <c r="C20" s="8">
        <v>6</v>
      </c>
      <c r="D20" s="13" t="s">
        <v>25</v>
      </c>
      <c r="E20" s="13">
        <v>1500</v>
      </c>
      <c r="F20" s="9">
        <v>60000</v>
      </c>
      <c r="G20" s="9">
        <v>15000000</v>
      </c>
      <c r="H20" s="9" t="str">
        <f t="shared" si="0"/>
        <v>1|17001|60000</v>
      </c>
      <c r="I20" s="9" t="str">
        <f t="shared" si="1"/>
        <v>4|1|15000000</v>
      </c>
      <c r="J20" s="9" t="str">
        <f t="shared" si="2"/>
        <v>4|1|15000000,1|17001|60000</v>
      </c>
    </row>
    <row r="21" spans="1:10" s="9" customFormat="1" x14ac:dyDescent="0.15">
      <c r="A21" s="8">
        <v>1018</v>
      </c>
      <c r="B21" s="8">
        <v>5</v>
      </c>
      <c r="C21" s="8">
        <v>6</v>
      </c>
      <c r="D21" s="13" t="s">
        <v>26</v>
      </c>
      <c r="E21" s="13">
        <v>99999</v>
      </c>
      <c r="J21" s="9" t="str">
        <f t="shared" si="2"/>
        <v>,</v>
      </c>
    </row>
  </sheetData>
  <autoFilter ref="A1:A5"/>
  <phoneticPr fontId="1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Windows User</cp:lastModifiedBy>
  <dcterms:created xsi:type="dcterms:W3CDTF">2006-09-16T00:00:00Z</dcterms:created>
  <dcterms:modified xsi:type="dcterms:W3CDTF">2017-12-16T10:11:17Z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