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90" windowWidth="28800" windowHeight="12330"/>
  </bookViews>
  <sheets>
    <sheet name="Sheet1" sheetId="2" r:id="rId1"/>
    <sheet name="Sheet2" sheetId="3" r:id="rId2"/>
    <sheet name="Sheet3" sheetId="4" r:id="rId3"/>
  </sheets>
  <functionGroups builtInGroupCount="17"/>
  <calcPr calcId="144525"/>
</workbook>
</file>

<file path=xl/calcChain.xml><?xml version="1.0" encoding="utf-8"?>
<calcChain xmlns="http://schemas.openxmlformats.org/spreadsheetml/2006/main">
  <c r="F3" i="3" l="1"/>
  <c r="F2" i="3"/>
  <c r="K18" i="3"/>
  <c r="L18" i="3"/>
  <c r="M22" i="3"/>
  <c r="K26" i="3"/>
  <c r="I5" i="3"/>
  <c r="K5" i="3"/>
  <c r="L5" i="3"/>
  <c r="M5" i="3"/>
  <c r="I6" i="3"/>
  <c r="K6" i="3"/>
  <c r="L6" i="3"/>
  <c r="M6" i="3"/>
  <c r="I7" i="3"/>
  <c r="K7" i="3"/>
  <c r="L7" i="3"/>
  <c r="M7" i="3"/>
  <c r="I8" i="3"/>
  <c r="K8" i="3"/>
  <c r="L8" i="3"/>
  <c r="M8" i="3"/>
  <c r="I9" i="3"/>
  <c r="K9" i="3"/>
  <c r="L9" i="3"/>
  <c r="M9" i="3"/>
  <c r="I10" i="3"/>
  <c r="K10" i="3"/>
  <c r="L10" i="3"/>
  <c r="M10" i="3"/>
  <c r="I11" i="3"/>
  <c r="K11" i="3"/>
  <c r="L11" i="3"/>
  <c r="M11" i="3"/>
  <c r="I12" i="3"/>
  <c r="K12" i="3"/>
  <c r="L12" i="3"/>
  <c r="M12" i="3"/>
  <c r="I13" i="3"/>
  <c r="K13" i="3"/>
  <c r="L13" i="3"/>
  <c r="M13" i="3"/>
  <c r="I14" i="3"/>
  <c r="K14" i="3"/>
  <c r="L14" i="3"/>
  <c r="M14" i="3"/>
  <c r="I15" i="3"/>
  <c r="K15" i="3"/>
  <c r="L15" i="3"/>
  <c r="M15" i="3"/>
  <c r="M4" i="3"/>
  <c r="L4" i="3"/>
  <c r="K4" i="3"/>
  <c r="I4" i="3"/>
  <c r="E3" i="4"/>
  <c r="F3" i="4"/>
  <c r="G3" i="4"/>
  <c r="D3" i="4"/>
  <c r="E24" i="3"/>
  <c r="E36" i="3"/>
  <c r="E48" i="3"/>
  <c r="E60" i="3"/>
  <c r="E72" i="3"/>
  <c r="E84" i="3"/>
  <c r="E96" i="3"/>
  <c r="E108" i="3"/>
  <c r="E120" i="3"/>
  <c r="E132" i="3"/>
  <c r="E144" i="3"/>
  <c r="E156" i="3"/>
  <c r="E168" i="3"/>
  <c r="E180" i="3"/>
  <c r="E192" i="3"/>
  <c r="E204" i="3"/>
  <c r="H24" i="3"/>
  <c r="H36" i="3"/>
  <c r="H48" i="3"/>
  <c r="H60" i="3"/>
  <c r="H72" i="3"/>
  <c r="H84" i="3"/>
  <c r="H96" i="3"/>
  <c r="H108" i="3"/>
  <c r="H120" i="3"/>
  <c r="H132" i="3"/>
  <c r="H144" i="3"/>
  <c r="H156" i="3"/>
  <c r="H168" i="3"/>
  <c r="H180" i="3"/>
  <c r="H192" i="3"/>
  <c r="H204" i="3"/>
  <c r="E25" i="3"/>
  <c r="E37" i="3"/>
  <c r="E49" i="3"/>
  <c r="E61" i="3"/>
  <c r="E73" i="3"/>
  <c r="E85" i="3"/>
  <c r="E97" i="3"/>
  <c r="E109" i="3"/>
  <c r="E121" i="3"/>
  <c r="E133" i="3"/>
  <c r="E145" i="3"/>
  <c r="E157" i="3"/>
  <c r="E169" i="3"/>
  <c r="E181" i="3"/>
  <c r="E193" i="3"/>
  <c r="E205" i="3"/>
  <c r="H25" i="3"/>
  <c r="H37" i="3"/>
  <c r="H49" i="3"/>
  <c r="H61" i="3"/>
  <c r="H73" i="3"/>
  <c r="H85" i="3"/>
  <c r="H97" i="3"/>
  <c r="H109" i="3"/>
  <c r="H121" i="3"/>
  <c r="H133" i="3"/>
  <c r="H145" i="3"/>
  <c r="H157" i="3"/>
  <c r="H169" i="3"/>
  <c r="H181" i="3"/>
  <c r="H193" i="3"/>
  <c r="H205" i="3"/>
  <c r="E26" i="3"/>
  <c r="E38" i="3"/>
  <c r="E50" i="3"/>
  <c r="E62" i="3"/>
  <c r="E74" i="3"/>
  <c r="E86" i="3"/>
  <c r="E98" i="3"/>
  <c r="E110" i="3"/>
  <c r="E122" i="3"/>
  <c r="E134" i="3"/>
  <c r="E146" i="3"/>
  <c r="E158" i="3"/>
  <c r="E170" i="3"/>
  <c r="E182" i="3"/>
  <c r="E194" i="3"/>
  <c r="E206" i="3"/>
  <c r="F26" i="3"/>
  <c r="F38" i="3"/>
  <c r="F50" i="3"/>
  <c r="F62" i="3"/>
  <c r="F74" i="3"/>
  <c r="F86" i="3"/>
  <c r="F98" i="3"/>
  <c r="F110" i="3"/>
  <c r="F122" i="3"/>
  <c r="F134" i="3"/>
  <c r="F146" i="3"/>
  <c r="F158" i="3"/>
  <c r="F170" i="3"/>
  <c r="F182" i="3"/>
  <c r="F194" i="3"/>
  <c r="F206" i="3"/>
  <c r="H26" i="3"/>
  <c r="H38" i="3"/>
  <c r="H50" i="3"/>
  <c r="H62" i="3"/>
  <c r="H74" i="3"/>
  <c r="H86" i="3"/>
  <c r="H98" i="3"/>
  <c r="H110" i="3"/>
  <c r="H122" i="3"/>
  <c r="H134" i="3"/>
  <c r="H146" i="3"/>
  <c r="H158" i="3"/>
  <c r="H170" i="3"/>
  <c r="H182" i="3"/>
  <c r="H194" i="3"/>
  <c r="H206" i="3"/>
  <c r="E27" i="3"/>
  <c r="E39" i="3"/>
  <c r="E51" i="3"/>
  <c r="E63" i="3"/>
  <c r="E75" i="3"/>
  <c r="E87" i="3"/>
  <c r="E99" i="3"/>
  <c r="E111" i="3"/>
  <c r="E123" i="3"/>
  <c r="E135" i="3"/>
  <c r="E147" i="3"/>
  <c r="E159" i="3"/>
  <c r="E171" i="3"/>
  <c r="E183" i="3"/>
  <c r="E195" i="3"/>
  <c r="E207" i="3"/>
  <c r="H27" i="3"/>
  <c r="H39" i="3"/>
  <c r="H51" i="3"/>
  <c r="H63" i="3"/>
  <c r="H75" i="3"/>
  <c r="H87" i="3"/>
  <c r="H99" i="3"/>
  <c r="H111" i="3"/>
  <c r="H123" i="3"/>
  <c r="H135" i="3"/>
  <c r="H147" i="3"/>
  <c r="H159" i="3"/>
  <c r="H171" i="3"/>
  <c r="H183" i="3"/>
  <c r="H195" i="3"/>
  <c r="H207" i="3"/>
  <c r="H30" i="3"/>
  <c r="H42" i="3"/>
  <c r="H54" i="3"/>
  <c r="H66" i="3"/>
  <c r="H78" i="3"/>
  <c r="H90" i="3"/>
  <c r="H102" i="3"/>
  <c r="H114" i="3"/>
  <c r="H126" i="3"/>
  <c r="H138" i="3"/>
  <c r="H150" i="3"/>
  <c r="H162" i="3"/>
  <c r="H174" i="3"/>
  <c r="H186" i="3"/>
  <c r="H198" i="3"/>
  <c r="E31" i="3"/>
  <c r="E43" i="3"/>
  <c r="E55" i="3"/>
  <c r="E67" i="3"/>
  <c r="E79" i="3"/>
  <c r="E91" i="3"/>
  <c r="E103" i="3"/>
  <c r="E115" i="3"/>
  <c r="E127" i="3"/>
  <c r="E139" i="3"/>
  <c r="E151" i="3"/>
  <c r="E163" i="3"/>
  <c r="E175" i="3"/>
  <c r="E187" i="3"/>
  <c r="E199" i="3"/>
  <c r="F39" i="3"/>
  <c r="F51" i="3"/>
  <c r="F63" i="3"/>
  <c r="F75" i="3"/>
  <c r="F87" i="3"/>
  <c r="F99" i="3"/>
  <c r="F111" i="3"/>
  <c r="F123" i="3"/>
  <c r="F135" i="3"/>
  <c r="F147" i="3"/>
  <c r="F159" i="3"/>
  <c r="F171" i="3"/>
  <c r="F183" i="3"/>
  <c r="F195" i="3"/>
  <c r="F207" i="3"/>
  <c r="E17" i="3"/>
  <c r="E29" i="3"/>
  <c r="E41" i="3"/>
  <c r="E53" i="3"/>
  <c r="E65" i="3"/>
  <c r="E77" i="3"/>
  <c r="E89" i="3"/>
  <c r="E101" i="3"/>
  <c r="E113" i="3"/>
  <c r="E125" i="3"/>
  <c r="E137" i="3"/>
  <c r="E149" i="3"/>
  <c r="E161" i="3"/>
  <c r="E173" i="3"/>
  <c r="E185" i="3"/>
  <c r="E197" i="3"/>
  <c r="H17" i="3"/>
  <c r="H29" i="3"/>
  <c r="H41" i="3"/>
  <c r="H53" i="3"/>
  <c r="H65" i="3"/>
  <c r="H77" i="3"/>
  <c r="H89" i="3"/>
  <c r="H101" i="3"/>
  <c r="H113" i="3"/>
  <c r="H125" i="3"/>
  <c r="H137" i="3"/>
  <c r="H149" i="3"/>
  <c r="H161" i="3"/>
  <c r="H173" i="3"/>
  <c r="H185" i="3"/>
  <c r="H197" i="3"/>
  <c r="E18" i="3"/>
  <c r="E30" i="3"/>
  <c r="E42" i="3"/>
  <c r="E54" i="3"/>
  <c r="E66" i="3"/>
  <c r="E78" i="3"/>
  <c r="E90" i="3"/>
  <c r="E102" i="3"/>
  <c r="E114" i="3"/>
  <c r="E126" i="3"/>
  <c r="E138" i="3"/>
  <c r="E150" i="3"/>
  <c r="E162" i="3"/>
  <c r="E174" i="3"/>
  <c r="E186" i="3"/>
  <c r="E198" i="3"/>
  <c r="H18" i="3"/>
  <c r="E19" i="3"/>
  <c r="H19" i="3"/>
  <c r="H31" i="3"/>
  <c r="H43" i="3"/>
  <c r="H55" i="3"/>
  <c r="H67" i="3"/>
  <c r="H79" i="3"/>
  <c r="H91" i="3"/>
  <c r="H103" i="3"/>
  <c r="H115" i="3"/>
  <c r="H127" i="3"/>
  <c r="H139" i="3"/>
  <c r="H151" i="3"/>
  <c r="H163" i="3"/>
  <c r="H175" i="3"/>
  <c r="H187" i="3"/>
  <c r="H199" i="3"/>
  <c r="E20" i="3"/>
  <c r="E32" i="3"/>
  <c r="E44" i="3"/>
  <c r="E56" i="3"/>
  <c r="E68" i="3"/>
  <c r="E80" i="3"/>
  <c r="E92" i="3"/>
  <c r="E104" i="3"/>
  <c r="E116" i="3"/>
  <c r="E128" i="3"/>
  <c r="E140" i="3"/>
  <c r="E152" i="3"/>
  <c r="E164" i="3"/>
  <c r="E176" i="3"/>
  <c r="E188" i="3"/>
  <c r="E200" i="3"/>
  <c r="H20" i="3"/>
  <c r="H32" i="3"/>
  <c r="H44" i="3"/>
  <c r="H56" i="3"/>
  <c r="H68" i="3"/>
  <c r="H80" i="3"/>
  <c r="H92" i="3"/>
  <c r="H104" i="3"/>
  <c r="H116" i="3"/>
  <c r="H128" i="3"/>
  <c r="H140" i="3"/>
  <c r="H152" i="3"/>
  <c r="H164" i="3"/>
  <c r="H176" i="3"/>
  <c r="H188" i="3"/>
  <c r="H200" i="3"/>
  <c r="E21" i="3"/>
  <c r="E33" i="3"/>
  <c r="E45" i="3"/>
  <c r="E57" i="3"/>
  <c r="E69" i="3"/>
  <c r="E81" i="3"/>
  <c r="E93" i="3"/>
  <c r="E105" i="3"/>
  <c r="E117" i="3"/>
  <c r="E129" i="3"/>
  <c r="E141" i="3"/>
  <c r="E153" i="3"/>
  <c r="E165" i="3"/>
  <c r="E177" i="3"/>
  <c r="E189" i="3"/>
  <c r="E201" i="3"/>
  <c r="H21" i="3"/>
  <c r="H33" i="3"/>
  <c r="H45" i="3"/>
  <c r="H57" i="3"/>
  <c r="H69" i="3"/>
  <c r="H81" i="3"/>
  <c r="H93" i="3"/>
  <c r="H105" i="3"/>
  <c r="H117" i="3"/>
  <c r="H129" i="3"/>
  <c r="H141" i="3"/>
  <c r="H153" i="3"/>
  <c r="H165" i="3"/>
  <c r="H177" i="3"/>
  <c r="H189" i="3"/>
  <c r="H201" i="3"/>
  <c r="E22" i="3"/>
  <c r="E34" i="3"/>
  <c r="E46" i="3"/>
  <c r="E58" i="3"/>
  <c r="E70" i="3"/>
  <c r="E82" i="3"/>
  <c r="E94" i="3"/>
  <c r="E106" i="3"/>
  <c r="E118" i="3"/>
  <c r="E130" i="3"/>
  <c r="E142" i="3"/>
  <c r="E154" i="3"/>
  <c r="E166" i="3"/>
  <c r="E178" i="3"/>
  <c r="E190" i="3"/>
  <c r="E202" i="3"/>
  <c r="H22" i="3"/>
  <c r="H34" i="3"/>
  <c r="H46" i="3"/>
  <c r="H58" i="3"/>
  <c r="H70" i="3"/>
  <c r="H82" i="3"/>
  <c r="H94" i="3"/>
  <c r="H106" i="3"/>
  <c r="H118" i="3"/>
  <c r="H130" i="3"/>
  <c r="H142" i="3"/>
  <c r="H154" i="3"/>
  <c r="H166" i="3"/>
  <c r="H178" i="3"/>
  <c r="H190" i="3"/>
  <c r="H202" i="3"/>
  <c r="E23" i="3"/>
  <c r="E35" i="3"/>
  <c r="E47" i="3"/>
  <c r="E59" i="3"/>
  <c r="E71" i="3"/>
  <c r="E83" i="3"/>
  <c r="E95" i="3"/>
  <c r="E107" i="3"/>
  <c r="E119" i="3"/>
  <c r="E131" i="3"/>
  <c r="E143" i="3"/>
  <c r="E155" i="3"/>
  <c r="E167" i="3"/>
  <c r="E179" i="3"/>
  <c r="E191" i="3"/>
  <c r="E203" i="3"/>
  <c r="H23" i="3"/>
  <c r="H35" i="3"/>
  <c r="H47" i="3"/>
  <c r="H59" i="3"/>
  <c r="H71" i="3"/>
  <c r="H83" i="3"/>
  <c r="H95" i="3"/>
  <c r="H107" i="3"/>
  <c r="H119" i="3"/>
  <c r="H131" i="3"/>
  <c r="H143" i="3"/>
  <c r="H155" i="3"/>
  <c r="H167" i="3"/>
  <c r="H179" i="3"/>
  <c r="H191" i="3"/>
  <c r="H203" i="3"/>
  <c r="H16" i="3"/>
  <c r="H28" i="3"/>
  <c r="H40" i="3"/>
  <c r="H52" i="3"/>
  <c r="H64" i="3"/>
  <c r="H76" i="3"/>
  <c r="H88" i="3"/>
  <c r="H100" i="3"/>
  <c r="H112" i="3"/>
  <c r="H124" i="3"/>
  <c r="H136" i="3"/>
  <c r="H148" i="3"/>
  <c r="H160" i="3"/>
  <c r="H172" i="3"/>
  <c r="H184" i="3"/>
  <c r="H196" i="3"/>
  <c r="E16" i="3"/>
  <c r="E28" i="3"/>
  <c r="E40" i="3"/>
  <c r="E52" i="3"/>
  <c r="E64" i="3"/>
  <c r="E76" i="3"/>
  <c r="E88" i="3"/>
  <c r="E100" i="3"/>
  <c r="E112" i="3"/>
  <c r="E124" i="3"/>
  <c r="E136" i="3"/>
  <c r="E148" i="3"/>
  <c r="E160" i="3"/>
  <c r="E172" i="3"/>
  <c r="E184" i="3"/>
  <c r="E196" i="3"/>
  <c r="F5" i="3"/>
  <c r="F17" i="3"/>
  <c r="F29" i="3"/>
  <c r="F41" i="3"/>
  <c r="F53" i="3"/>
  <c r="F65" i="3"/>
  <c r="F77" i="3"/>
  <c r="F89" i="3"/>
  <c r="F101" i="3"/>
  <c r="F113" i="3"/>
  <c r="F125" i="3"/>
  <c r="F137" i="3"/>
  <c r="F149" i="3"/>
  <c r="F161" i="3"/>
  <c r="F173" i="3"/>
  <c r="F185" i="3"/>
  <c r="F197" i="3"/>
  <c r="F6" i="3"/>
  <c r="F18" i="3"/>
  <c r="F30" i="3"/>
  <c r="F42" i="3"/>
  <c r="F54" i="3"/>
  <c r="F66" i="3"/>
  <c r="F78" i="3"/>
  <c r="F90" i="3"/>
  <c r="F102" i="3"/>
  <c r="F114" i="3"/>
  <c r="F126" i="3"/>
  <c r="F138" i="3"/>
  <c r="F150" i="3"/>
  <c r="F162" i="3"/>
  <c r="F174" i="3"/>
  <c r="F186" i="3"/>
  <c r="F198" i="3"/>
  <c r="F7" i="3"/>
  <c r="F19" i="3"/>
  <c r="F31" i="3"/>
  <c r="F43" i="3"/>
  <c r="F55" i="3"/>
  <c r="F67" i="3"/>
  <c r="F79" i="3"/>
  <c r="F91" i="3"/>
  <c r="F103" i="3"/>
  <c r="F115" i="3"/>
  <c r="F127" i="3"/>
  <c r="F139" i="3"/>
  <c r="F151" i="3"/>
  <c r="F163" i="3"/>
  <c r="F175" i="3"/>
  <c r="F187" i="3"/>
  <c r="F199" i="3"/>
  <c r="F8" i="3"/>
  <c r="F20" i="3"/>
  <c r="F32" i="3"/>
  <c r="F44" i="3"/>
  <c r="F56" i="3"/>
  <c r="F68" i="3"/>
  <c r="F80" i="3"/>
  <c r="F92" i="3"/>
  <c r="F104" i="3"/>
  <c r="F116" i="3"/>
  <c r="F128" i="3"/>
  <c r="F140" i="3"/>
  <c r="F152" i="3"/>
  <c r="F164" i="3"/>
  <c r="F176" i="3"/>
  <c r="F188" i="3"/>
  <c r="F200" i="3"/>
  <c r="F9" i="3"/>
  <c r="F21" i="3"/>
  <c r="F33" i="3"/>
  <c r="F45" i="3"/>
  <c r="F57" i="3"/>
  <c r="F69" i="3"/>
  <c r="F81" i="3"/>
  <c r="F93" i="3"/>
  <c r="F105" i="3"/>
  <c r="F117" i="3"/>
  <c r="F129" i="3"/>
  <c r="F141" i="3"/>
  <c r="F153" i="3"/>
  <c r="F165" i="3"/>
  <c r="F177" i="3"/>
  <c r="F189" i="3"/>
  <c r="F201" i="3"/>
  <c r="F10" i="3"/>
  <c r="F22" i="3"/>
  <c r="F34" i="3"/>
  <c r="F46" i="3"/>
  <c r="F58" i="3"/>
  <c r="F70" i="3"/>
  <c r="F82" i="3"/>
  <c r="F94" i="3"/>
  <c r="F106" i="3"/>
  <c r="F118" i="3"/>
  <c r="F130" i="3"/>
  <c r="F142" i="3"/>
  <c r="F154" i="3"/>
  <c r="F166" i="3"/>
  <c r="F178" i="3"/>
  <c r="F190" i="3"/>
  <c r="F202" i="3"/>
  <c r="F11" i="3"/>
  <c r="F23" i="3"/>
  <c r="F35" i="3"/>
  <c r="F47" i="3"/>
  <c r="F59" i="3"/>
  <c r="F71" i="3"/>
  <c r="F83" i="3"/>
  <c r="F95" i="3"/>
  <c r="F107" i="3"/>
  <c r="F119" i="3"/>
  <c r="F131" i="3"/>
  <c r="F143" i="3"/>
  <c r="F155" i="3"/>
  <c r="F167" i="3"/>
  <c r="F179" i="3"/>
  <c r="F191" i="3"/>
  <c r="F203" i="3"/>
  <c r="F12" i="3"/>
  <c r="F24" i="3"/>
  <c r="F36" i="3"/>
  <c r="F48" i="3"/>
  <c r="F60" i="3"/>
  <c r="F72" i="3"/>
  <c r="F84" i="3"/>
  <c r="F96" i="3"/>
  <c r="F108" i="3"/>
  <c r="F120" i="3"/>
  <c r="F132" i="3"/>
  <c r="F144" i="3"/>
  <c r="F156" i="3"/>
  <c r="F168" i="3"/>
  <c r="F180" i="3"/>
  <c r="F192" i="3"/>
  <c r="F204" i="3"/>
  <c r="F13" i="3"/>
  <c r="F25" i="3"/>
  <c r="F37" i="3"/>
  <c r="F49" i="3"/>
  <c r="F61" i="3"/>
  <c r="F73" i="3"/>
  <c r="F85" i="3"/>
  <c r="F97" i="3"/>
  <c r="F109" i="3"/>
  <c r="F121" i="3"/>
  <c r="F133" i="3"/>
  <c r="F145" i="3"/>
  <c r="F157" i="3"/>
  <c r="F169" i="3"/>
  <c r="F181" i="3"/>
  <c r="F193" i="3"/>
  <c r="F205" i="3"/>
  <c r="F14" i="3"/>
  <c r="F15" i="3"/>
  <c r="F27" i="3"/>
  <c r="F4" i="3"/>
  <c r="F16" i="3"/>
  <c r="F28" i="3"/>
  <c r="F40" i="3"/>
  <c r="F52" i="3"/>
  <c r="F64" i="3"/>
  <c r="F76" i="3"/>
  <c r="F88" i="3"/>
  <c r="F100" i="3"/>
  <c r="F112" i="3"/>
  <c r="F124" i="3"/>
  <c r="F136" i="3"/>
  <c r="F148" i="3"/>
  <c r="F160" i="3"/>
  <c r="F172" i="3"/>
  <c r="F184" i="3"/>
  <c r="F196" i="3"/>
  <c r="D17" i="3"/>
  <c r="D29" i="3"/>
  <c r="D41" i="3"/>
  <c r="D53" i="3"/>
  <c r="D65" i="3"/>
  <c r="D77" i="3"/>
  <c r="D89" i="3"/>
  <c r="D101" i="3"/>
  <c r="D113" i="3"/>
  <c r="D125" i="3"/>
  <c r="D137" i="3"/>
  <c r="D149" i="3"/>
  <c r="D161" i="3"/>
  <c r="D173" i="3"/>
  <c r="D185" i="3"/>
  <c r="D197" i="3"/>
  <c r="D18" i="3"/>
  <c r="D30" i="3"/>
  <c r="D42" i="3"/>
  <c r="D54" i="3"/>
  <c r="D66" i="3"/>
  <c r="D78" i="3"/>
  <c r="D90" i="3"/>
  <c r="D102" i="3"/>
  <c r="D114" i="3"/>
  <c r="D126" i="3"/>
  <c r="D138" i="3"/>
  <c r="D150" i="3"/>
  <c r="D162" i="3"/>
  <c r="D174" i="3"/>
  <c r="D186" i="3"/>
  <c r="D198" i="3"/>
  <c r="D19" i="3"/>
  <c r="D31" i="3"/>
  <c r="D43" i="3"/>
  <c r="D55" i="3"/>
  <c r="D67" i="3"/>
  <c r="D79" i="3"/>
  <c r="D91" i="3"/>
  <c r="D103" i="3"/>
  <c r="D115" i="3"/>
  <c r="D127" i="3"/>
  <c r="D139" i="3"/>
  <c r="D151" i="3"/>
  <c r="D163" i="3"/>
  <c r="D175" i="3"/>
  <c r="D187" i="3"/>
  <c r="D199" i="3"/>
  <c r="D20" i="3"/>
  <c r="D32" i="3"/>
  <c r="D44" i="3"/>
  <c r="D56" i="3"/>
  <c r="D68" i="3"/>
  <c r="D80" i="3"/>
  <c r="D92" i="3"/>
  <c r="D104" i="3"/>
  <c r="D116" i="3"/>
  <c r="D128" i="3"/>
  <c r="D140" i="3"/>
  <c r="D152" i="3"/>
  <c r="D164" i="3"/>
  <c r="D176" i="3"/>
  <c r="D188" i="3"/>
  <c r="D200" i="3"/>
  <c r="D21" i="3"/>
  <c r="D33" i="3"/>
  <c r="D45" i="3"/>
  <c r="D57" i="3"/>
  <c r="D69" i="3"/>
  <c r="D81" i="3"/>
  <c r="D93" i="3"/>
  <c r="D105" i="3"/>
  <c r="D117" i="3"/>
  <c r="D129" i="3"/>
  <c r="D141" i="3"/>
  <c r="D153" i="3"/>
  <c r="D165" i="3"/>
  <c r="D177" i="3"/>
  <c r="D189" i="3"/>
  <c r="D201" i="3"/>
  <c r="D22" i="3"/>
  <c r="D34" i="3"/>
  <c r="D46" i="3"/>
  <c r="D58" i="3"/>
  <c r="D70" i="3"/>
  <c r="D82" i="3"/>
  <c r="D94" i="3"/>
  <c r="D106" i="3"/>
  <c r="D118" i="3"/>
  <c r="D130" i="3"/>
  <c r="D142" i="3"/>
  <c r="D154" i="3"/>
  <c r="D166" i="3"/>
  <c r="D178" i="3"/>
  <c r="D190" i="3"/>
  <c r="D202" i="3"/>
  <c r="D23" i="3"/>
  <c r="D35" i="3"/>
  <c r="D47" i="3"/>
  <c r="D59" i="3"/>
  <c r="D71" i="3"/>
  <c r="D83" i="3"/>
  <c r="D95" i="3"/>
  <c r="D107" i="3"/>
  <c r="D119" i="3"/>
  <c r="D131" i="3"/>
  <c r="D143" i="3"/>
  <c r="D155" i="3"/>
  <c r="D167" i="3"/>
  <c r="D179" i="3"/>
  <c r="D191" i="3"/>
  <c r="D203" i="3"/>
  <c r="D24" i="3"/>
  <c r="D36" i="3"/>
  <c r="D48" i="3"/>
  <c r="D60" i="3"/>
  <c r="D72" i="3"/>
  <c r="D84" i="3"/>
  <c r="D96" i="3"/>
  <c r="D108" i="3"/>
  <c r="D120" i="3"/>
  <c r="D132" i="3"/>
  <c r="D144" i="3"/>
  <c r="D156" i="3"/>
  <c r="D168" i="3"/>
  <c r="D180" i="3"/>
  <c r="D192" i="3"/>
  <c r="D204" i="3"/>
  <c r="D25" i="3"/>
  <c r="D37" i="3"/>
  <c r="D49" i="3"/>
  <c r="D61" i="3"/>
  <c r="D73" i="3"/>
  <c r="D85" i="3"/>
  <c r="D97" i="3"/>
  <c r="D109" i="3"/>
  <c r="D121" i="3"/>
  <c r="D133" i="3"/>
  <c r="D145" i="3"/>
  <c r="D157" i="3"/>
  <c r="D169" i="3"/>
  <c r="D181" i="3"/>
  <c r="D193" i="3"/>
  <c r="D205" i="3"/>
  <c r="D26" i="3"/>
  <c r="D38" i="3"/>
  <c r="D50" i="3"/>
  <c r="D62" i="3"/>
  <c r="D74" i="3"/>
  <c r="D86" i="3"/>
  <c r="D98" i="3"/>
  <c r="D110" i="3"/>
  <c r="D122" i="3"/>
  <c r="D134" i="3"/>
  <c r="D146" i="3"/>
  <c r="D158" i="3"/>
  <c r="D170" i="3"/>
  <c r="D182" i="3"/>
  <c r="D194" i="3"/>
  <c r="D206" i="3"/>
  <c r="D27" i="3"/>
  <c r="D39" i="3"/>
  <c r="D51" i="3"/>
  <c r="D63" i="3"/>
  <c r="D75" i="3"/>
  <c r="D87" i="3"/>
  <c r="D99" i="3"/>
  <c r="D111" i="3"/>
  <c r="D123" i="3"/>
  <c r="D135" i="3"/>
  <c r="D147" i="3"/>
  <c r="D159" i="3"/>
  <c r="D171" i="3"/>
  <c r="D183" i="3"/>
  <c r="D195" i="3"/>
  <c r="D207" i="3"/>
  <c r="D16" i="3"/>
  <c r="D28" i="3"/>
  <c r="D40" i="3"/>
  <c r="D52" i="3"/>
  <c r="D64" i="3"/>
  <c r="D76" i="3"/>
  <c r="D88" i="3"/>
  <c r="D100" i="3"/>
  <c r="D112" i="3"/>
  <c r="D124" i="3"/>
  <c r="D136" i="3"/>
  <c r="D148" i="3"/>
  <c r="D160" i="3"/>
  <c r="D172" i="3"/>
  <c r="D184" i="3"/>
  <c r="D196" i="3"/>
  <c r="B29" i="3"/>
  <c r="C29" i="3"/>
  <c r="C53" i="3"/>
  <c r="C77" i="3"/>
  <c r="C101" i="3"/>
  <c r="C125" i="3"/>
  <c r="C149" i="3"/>
  <c r="C173" i="3"/>
  <c r="C197" i="3"/>
  <c r="B30" i="3"/>
  <c r="C30" i="3"/>
  <c r="C54" i="3"/>
  <c r="C78" i="3"/>
  <c r="C102" i="3"/>
  <c r="C126" i="3"/>
  <c r="C150" i="3"/>
  <c r="C174" i="3"/>
  <c r="C198" i="3"/>
  <c r="B31" i="3"/>
  <c r="B55" i="3"/>
  <c r="B79" i="3"/>
  <c r="B103" i="3"/>
  <c r="B127" i="3"/>
  <c r="B151" i="3"/>
  <c r="B175" i="3"/>
  <c r="B199" i="3"/>
  <c r="C31" i="3"/>
  <c r="C55" i="3"/>
  <c r="C79" i="3"/>
  <c r="C103" i="3"/>
  <c r="C127" i="3"/>
  <c r="C151" i="3"/>
  <c r="C175" i="3"/>
  <c r="C199" i="3"/>
  <c r="B32" i="3"/>
  <c r="C32" i="3"/>
  <c r="B33" i="3"/>
  <c r="C33" i="3"/>
  <c r="C57" i="3"/>
  <c r="C81" i="3"/>
  <c r="C105" i="3"/>
  <c r="C129" i="3"/>
  <c r="C153" i="3"/>
  <c r="C177" i="3"/>
  <c r="C201" i="3"/>
  <c r="B34" i="3"/>
  <c r="B58" i="3"/>
  <c r="B82" i="3"/>
  <c r="B106" i="3"/>
  <c r="B130" i="3"/>
  <c r="B154" i="3"/>
  <c r="B178" i="3"/>
  <c r="B202" i="3"/>
  <c r="C34" i="3"/>
  <c r="C58" i="3"/>
  <c r="C82" i="3"/>
  <c r="C106" i="3"/>
  <c r="C130" i="3"/>
  <c r="C154" i="3"/>
  <c r="C178" i="3"/>
  <c r="C202" i="3"/>
  <c r="B35" i="3"/>
  <c r="B59" i="3"/>
  <c r="B83" i="3"/>
  <c r="B107" i="3"/>
  <c r="B131" i="3"/>
  <c r="B155" i="3"/>
  <c r="B179" i="3"/>
  <c r="B203" i="3"/>
  <c r="C35" i="3"/>
  <c r="C59" i="3"/>
  <c r="C83" i="3"/>
  <c r="C107" i="3"/>
  <c r="C131" i="3"/>
  <c r="C155" i="3"/>
  <c r="C179" i="3"/>
  <c r="C203" i="3"/>
  <c r="B36" i="3"/>
  <c r="C36" i="3"/>
  <c r="C60" i="3"/>
  <c r="C84" i="3"/>
  <c r="C108" i="3"/>
  <c r="C132" i="3"/>
  <c r="C156" i="3"/>
  <c r="C180" i="3"/>
  <c r="C204" i="3"/>
  <c r="B37" i="3"/>
  <c r="C37" i="3"/>
  <c r="C61" i="3"/>
  <c r="C85" i="3"/>
  <c r="C109" i="3"/>
  <c r="C133" i="3"/>
  <c r="C157" i="3"/>
  <c r="C181" i="3"/>
  <c r="C205" i="3"/>
  <c r="B38" i="3"/>
  <c r="B62" i="3"/>
  <c r="B86" i="3"/>
  <c r="B110" i="3"/>
  <c r="B134" i="3"/>
  <c r="B158" i="3"/>
  <c r="B182" i="3"/>
  <c r="B206" i="3"/>
  <c r="C38" i="3"/>
  <c r="C62" i="3"/>
  <c r="C86" i="3"/>
  <c r="C110" i="3"/>
  <c r="C134" i="3"/>
  <c r="C158" i="3"/>
  <c r="C182" i="3"/>
  <c r="C206" i="3"/>
  <c r="B39" i="3"/>
  <c r="B63" i="3"/>
  <c r="C39" i="3"/>
  <c r="C63" i="3"/>
  <c r="C87" i="3"/>
  <c r="C111" i="3"/>
  <c r="C135" i="3"/>
  <c r="C159" i="3"/>
  <c r="C183" i="3"/>
  <c r="C207" i="3"/>
  <c r="B40" i="3"/>
  <c r="C40" i="3"/>
  <c r="C64" i="3"/>
  <c r="C88" i="3"/>
  <c r="C112" i="3"/>
  <c r="C136" i="3"/>
  <c r="C160" i="3"/>
  <c r="C184" i="3"/>
  <c r="B41" i="3"/>
  <c r="C41" i="3"/>
  <c r="C65" i="3"/>
  <c r="C89" i="3"/>
  <c r="C113" i="3"/>
  <c r="C137" i="3"/>
  <c r="C161" i="3"/>
  <c r="C185" i="3"/>
  <c r="B42" i="3"/>
  <c r="C42" i="3"/>
  <c r="C66" i="3"/>
  <c r="C90" i="3"/>
  <c r="B43" i="3"/>
  <c r="B67" i="3"/>
  <c r="B91" i="3"/>
  <c r="C43" i="3"/>
  <c r="C67" i="3"/>
  <c r="C91" i="3"/>
  <c r="C115" i="3"/>
  <c r="C139" i="3"/>
  <c r="C163" i="3"/>
  <c r="C187" i="3"/>
  <c r="B44" i="3"/>
  <c r="B68" i="3"/>
  <c r="B92" i="3"/>
  <c r="B116" i="3"/>
  <c r="B140" i="3"/>
  <c r="B164" i="3"/>
  <c r="B188" i="3"/>
  <c r="C44" i="3"/>
  <c r="C68" i="3"/>
  <c r="C92" i="3"/>
  <c r="C116" i="3"/>
  <c r="C140" i="3"/>
  <c r="C164" i="3"/>
  <c r="C188" i="3"/>
  <c r="B45" i="3"/>
  <c r="C45" i="3"/>
  <c r="C69" i="3"/>
  <c r="C93" i="3"/>
  <c r="C117" i="3"/>
  <c r="C141" i="3"/>
  <c r="C165" i="3"/>
  <c r="C189" i="3"/>
  <c r="B46" i="3"/>
  <c r="B70" i="3"/>
  <c r="B94" i="3"/>
  <c r="B118" i="3"/>
  <c r="B142" i="3"/>
  <c r="B166" i="3"/>
  <c r="B190" i="3"/>
  <c r="C46" i="3"/>
  <c r="C70" i="3"/>
  <c r="C94" i="3"/>
  <c r="C118" i="3"/>
  <c r="C142" i="3"/>
  <c r="C166" i="3"/>
  <c r="C190" i="3"/>
  <c r="B47" i="3"/>
  <c r="B71" i="3"/>
  <c r="B95" i="3"/>
  <c r="C47" i="3"/>
  <c r="C71" i="3"/>
  <c r="C95" i="3"/>
  <c r="C119" i="3"/>
  <c r="C143" i="3"/>
  <c r="C167" i="3"/>
  <c r="C191" i="3"/>
  <c r="B48" i="3"/>
  <c r="C48" i="3"/>
  <c r="C72" i="3"/>
  <c r="C96" i="3"/>
  <c r="C120" i="3"/>
  <c r="B49" i="3"/>
  <c r="C49" i="3"/>
  <c r="C73" i="3"/>
  <c r="C97" i="3"/>
  <c r="C121" i="3"/>
  <c r="C145" i="3"/>
  <c r="C169" i="3"/>
  <c r="C193" i="3"/>
  <c r="B50" i="3"/>
  <c r="B74" i="3"/>
  <c r="B98" i="3"/>
  <c r="B122" i="3"/>
  <c r="B146" i="3"/>
  <c r="B170" i="3"/>
  <c r="B194" i="3"/>
  <c r="C50" i="3"/>
  <c r="C74" i="3"/>
  <c r="C98" i="3"/>
  <c r="C122" i="3"/>
  <c r="C146" i="3"/>
  <c r="C170" i="3"/>
  <c r="C194" i="3"/>
  <c r="B51" i="3"/>
  <c r="B75" i="3"/>
  <c r="B99" i="3"/>
  <c r="B123" i="3"/>
  <c r="B147" i="3"/>
  <c r="B171" i="3"/>
  <c r="B195" i="3"/>
  <c r="C51" i="3"/>
  <c r="C75" i="3"/>
  <c r="C99" i="3"/>
  <c r="C123" i="3"/>
  <c r="C147" i="3"/>
  <c r="C171" i="3"/>
  <c r="C195" i="3"/>
  <c r="B53" i="3"/>
  <c r="B54" i="3"/>
  <c r="B78" i="3"/>
  <c r="B102" i="3"/>
  <c r="B126" i="3"/>
  <c r="B150" i="3"/>
  <c r="B174" i="3"/>
  <c r="B198" i="3"/>
  <c r="B56" i="3"/>
  <c r="B80" i="3"/>
  <c r="B104" i="3"/>
  <c r="B128" i="3"/>
  <c r="B152" i="3"/>
  <c r="B176" i="3"/>
  <c r="B200" i="3"/>
  <c r="C56" i="3"/>
  <c r="C80" i="3"/>
  <c r="C104" i="3"/>
  <c r="C128" i="3"/>
  <c r="C152" i="3"/>
  <c r="C176" i="3"/>
  <c r="C200" i="3"/>
  <c r="B57" i="3"/>
  <c r="B81" i="3"/>
  <c r="B105" i="3"/>
  <c r="B129" i="3"/>
  <c r="B153" i="3"/>
  <c r="B177" i="3"/>
  <c r="B201" i="3"/>
  <c r="B60" i="3"/>
  <c r="B84" i="3"/>
  <c r="B108" i="3"/>
  <c r="B132" i="3"/>
  <c r="B156" i="3"/>
  <c r="B180" i="3"/>
  <c r="B204" i="3"/>
  <c r="B61" i="3"/>
  <c r="B85" i="3"/>
  <c r="B109" i="3"/>
  <c r="B133" i="3"/>
  <c r="B157" i="3"/>
  <c r="B181" i="3"/>
  <c r="B205" i="3"/>
  <c r="B64" i="3"/>
  <c r="B88" i="3"/>
  <c r="B112" i="3"/>
  <c r="B136" i="3"/>
  <c r="B160" i="3"/>
  <c r="B184" i="3"/>
  <c r="B65" i="3"/>
  <c r="B66" i="3"/>
  <c r="B90" i="3"/>
  <c r="B114" i="3"/>
  <c r="B138" i="3"/>
  <c r="B162" i="3"/>
  <c r="B186" i="3"/>
  <c r="B69" i="3"/>
  <c r="B72" i="3"/>
  <c r="B96" i="3"/>
  <c r="B120" i="3"/>
  <c r="B144" i="3"/>
  <c r="B168" i="3"/>
  <c r="B192" i="3"/>
  <c r="B73" i="3"/>
  <c r="B77" i="3"/>
  <c r="B101" i="3"/>
  <c r="B125" i="3"/>
  <c r="B149" i="3"/>
  <c r="B173" i="3"/>
  <c r="B197" i="3"/>
  <c r="B87" i="3"/>
  <c r="B111" i="3"/>
  <c r="B89" i="3"/>
  <c r="B113" i="3"/>
  <c r="B137" i="3"/>
  <c r="B161" i="3"/>
  <c r="B185" i="3"/>
  <c r="B93" i="3"/>
  <c r="B117" i="3"/>
  <c r="B141" i="3"/>
  <c r="B165" i="3"/>
  <c r="B189" i="3"/>
  <c r="B97" i="3"/>
  <c r="C114" i="3"/>
  <c r="C138" i="3"/>
  <c r="C162" i="3"/>
  <c r="C186" i="3"/>
  <c r="B115" i="3"/>
  <c r="B139" i="3"/>
  <c r="B163" i="3"/>
  <c r="B187" i="3"/>
  <c r="B119" i="3"/>
  <c r="B143" i="3"/>
  <c r="B167" i="3"/>
  <c r="B191" i="3"/>
  <c r="B121" i="3"/>
  <c r="B145" i="3"/>
  <c r="B169" i="3"/>
  <c r="B193" i="3"/>
  <c r="B135" i="3"/>
  <c r="B159" i="3"/>
  <c r="B183" i="3"/>
  <c r="B207" i="3"/>
  <c r="C144" i="3"/>
  <c r="C168" i="3"/>
  <c r="C192" i="3"/>
  <c r="C28" i="3"/>
  <c r="C52" i="3"/>
  <c r="C76" i="3"/>
  <c r="C100" i="3"/>
  <c r="C124" i="3"/>
  <c r="C148" i="3"/>
  <c r="C172" i="3"/>
  <c r="C196" i="3"/>
  <c r="B28" i="3"/>
  <c r="B52" i="3"/>
  <c r="B76" i="3"/>
  <c r="B100" i="3"/>
  <c r="B124" i="3"/>
  <c r="B148" i="3"/>
  <c r="B172" i="3"/>
  <c r="B196" i="3"/>
  <c r="A35" i="3"/>
  <c r="A95" i="3"/>
  <c r="M95" i="3"/>
  <c r="A39" i="3"/>
  <c r="A30" i="3"/>
  <c r="K30" i="3"/>
  <c r="A16" i="3"/>
  <c r="A28" i="3"/>
  <c r="A88" i="3"/>
  <c r="A17" i="3"/>
  <c r="A18" i="3"/>
  <c r="I18" i="3"/>
  <c r="A19" i="3"/>
  <c r="A20" i="3"/>
  <c r="M20" i="3"/>
  <c r="A21" i="3"/>
  <c r="M21" i="3"/>
  <c r="A22" i="3"/>
  <c r="I22" i="3"/>
  <c r="A23" i="3"/>
  <c r="I23" i="3"/>
  <c r="A24" i="3"/>
  <c r="I24" i="3"/>
  <c r="A25" i="3"/>
  <c r="A26" i="3"/>
  <c r="I26" i="3"/>
  <c r="A27" i="3"/>
  <c r="M27" i="3"/>
  <c r="B2" i="3"/>
  <c r="C2" i="3"/>
  <c r="D2" i="3"/>
  <c r="E2" i="3"/>
  <c r="G2" i="3"/>
  <c r="H2" i="3"/>
  <c r="I2" i="3"/>
  <c r="J2" i="3"/>
  <c r="K2" i="3"/>
  <c r="L2" i="3"/>
  <c r="M2" i="3"/>
  <c r="N2" i="3"/>
  <c r="O2" i="3"/>
  <c r="P2" i="3"/>
  <c r="Q2" i="3"/>
  <c r="R2" i="3"/>
  <c r="B3" i="3"/>
  <c r="C3" i="3"/>
  <c r="D3" i="3"/>
  <c r="E3" i="3"/>
  <c r="G3" i="3"/>
  <c r="H3" i="3"/>
  <c r="I3" i="3"/>
  <c r="J3" i="3"/>
  <c r="K3" i="3"/>
  <c r="L3" i="3"/>
  <c r="M3" i="3"/>
  <c r="N3" i="3"/>
  <c r="O3" i="3"/>
  <c r="P3" i="3"/>
  <c r="Q3" i="3"/>
  <c r="R3" i="3"/>
  <c r="A2" i="3"/>
  <c r="A3" i="3"/>
  <c r="A34" i="3"/>
  <c r="I34" i="3"/>
  <c r="L28" i="3"/>
  <c r="L22" i="3"/>
  <c r="A42" i="3"/>
  <c r="M42" i="3"/>
  <c r="M16" i="3"/>
  <c r="M26" i="3"/>
  <c r="M28" i="3"/>
  <c r="A90" i="3"/>
  <c r="M90" i="3"/>
  <c r="L16" i="3"/>
  <c r="L26" i="3"/>
  <c r="M18" i="3"/>
  <c r="M24" i="3"/>
  <c r="L24" i="3"/>
  <c r="M30" i="3"/>
  <c r="A38" i="3"/>
  <c r="L38" i="3"/>
  <c r="M23" i="3"/>
  <c r="I30" i="3"/>
  <c r="I25" i="3"/>
  <c r="K25" i="3"/>
  <c r="L25" i="3"/>
  <c r="A29" i="3"/>
  <c r="I17" i="3"/>
  <c r="K17" i="3"/>
  <c r="L17" i="3"/>
  <c r="M17" i="3"/>
  <c r="L88" i="3"/>
  <c r="A148" i="3"/>
  <c r="M88" i="3"/>
  <c r="K88" i="3"/>
  <c r="A33" i="3"/>
  <c r="I21" i="3"/>
  <c r="K21" i="3"/>
  <c r="L21" i="3"/>
  <c r="A32" i="3"/>
  <c r="I20" i="3"/>
  <c r="K20" i="3"/>
  <c r="A37" i="3"/>
  <c r="A97" i="3"/>
  <c r="K97" i="3"/>
  <c r="M25" i="3"/>
  <c r="L20" i="3"/>
  <c r="I88" i="3"/>
  <c r="I27" i="3"/>
  <c r="K27" i="3"/>
  <c r="L27" i="3"/>
  <c r="I19" i="3"/>
  <c r="K19" i="3"/>
  <c r="A31" i="3"/>
  <c r="L19" i="3"/>
  <c r="M19" i="3"/>
  <c r="K16" i="3"/>
  <c r="K28" i="3"/>
  <c r="K24" i="3"/>
  <c r="K22" i="3"/>
  <c r="L30" i="3"/>
  <c r="A36" i="3"/>
  <c r="L36" i="3"/>
  <c r="I16" i="3"/>
  <c r="I28" i="3"/>
  <c r="L23" i="3"/>
  <c r="K23" i="3"/>
  <c r="A40" i="3"/>
  <c r="A47" i="3"/>
  <c r="A59" i="3"/>
  <c r="A119" i="3"/>
  <c r="M35" i="3"/>
  <c r="K35" i="3"/>
  <c r="I35" i="3"/>
  <c r="I95" i="3"/>
  <c r="A98" i="3"/>
  <c r="I38" i="3"/>
  <c r="K38" i="3"/>
  <c r="L34" i="3"/>
  <c r="M34" i="3"/>
  <c r="A46" i="3"/>
  <c r="M47" i="3"/>
  <c r="A99" i="3"/>
  <c r="K39" i="3"/>
  <c r="I39" i="3"/>
  <c r="L39" i="3"/>
  <c r="M39" i="3"/>
  <c r="L35" i="3"/>
  <c r="A157" i="3"/>
  <c r="A150" i="3"/>
  <c r="M36" i="3"/>
  <c r="A54" i="3"/>
  <c r="I42" i="3"/>
  <c r="K42" i="3"/>
  <c r="L42" i="3"/>
  <c r="A155" i="3"/>
  <c r="K95" i="3"/>
  <c r="K36" i="3"/>
  <c r="L95" i="3"/>
  <c r="A107" i="3"/>
  <c r="A51" i="3"/>
  <c r="A50" i="3"/>
  <c r="A102" i="3"/>
  <c r="K34" i="3"/>
  <c r="L90" i="3"/>
  <c r="A94" i="3"/>
  <c r="K90" i="3"/>
  <c r="M38" i="3"/>
  <c r="I90" i="3"/>
  <c r="K37" i="3"/>
  <c r="L47" i="3"/>
  <c r="L37" i="3"/>
  <c r="L97" i="3"/>
  <c r="I37" i="3"/>
  <c r="A49" i="3"/>
  <c r="L49" i="3"/>
  <c r="I47" i="3"/>
  <c r="A96" i="3"/>
  <c r="I36" i="3"/>
  <c r="A48" i="3"/>
  <c r="K31" i="3"/>
  <c r="L31" i="3"/>
  <c r="M31" i="3"/>
  <c r="A91" i="3"/>
  <c r="I31" i="3"/>
  <c r="A43" i="3"/>
  <c r="K33" i="3"/>
  <c r="L33" i="3"/>
  <c r="M33" i="3"/>
  <c r="A93" i="3"/>
  <c r="I33" i="3"/>
  <c r="A45" i="3"/>
  <c r="M97" i="3"/>
  <c r="I97" i="3"/>
  <c r="M37" i="3"/>
  <c r="I40" i="3"/>
  <c r="K40" i="3"/>
  <c r="L40" i="3"/>
  <c r="M40" i="3"/>
  <c r="A100" i="3"/>
  <c r="A52" i="3"/>
  <c r="K148" i="3"/>
  <c r="L148" i="3"/>
  <c r="I148" i="3"/>
  <c r="M148" i="3"/>
  <c r="K29" i="3"/>
  <c r="L29" i="3"/>
  <c r="A41" i="3"/>
  <c r="M29" i="3"/>
  <c r="A89" i="3"/>
  <c r="I29" i="3"/>
  <c r="K47" i="3"/>
  <c r="K32" i="3"/>
  <c r="A44" i="3"/>
  <c r="L32" i="3"/>
  <c r="I32" i="3"/>
  <c r="A92" i="3"/>
  <c r="M32" i="3"/>
  <c r="A109" i="3"/>
  <c r="M109" i="3"/>
  <c r="I49" i="3"/>
  <c r="K49" i="3"/>
  <c r="A61" i="3"/>
  <c r="A73" i="3"/>
  <c r="M49" i="3"/>
  <c r="A106" i="3"/>
  <c r="I46" i="3"/>
  <c r="K46" i="3"/>
  <c r="L46" i="3"/>
  <c r="M46" i="3"/>
  <c r="A58" i="3"/>
  <c r="K51" i="3"/>
  <c r="L51" i="3"/>
  <c r="M51" i="3"/>
  <c r="I51" i="3"/>
  <c r="L109" i="3"/>
  <c r="K155" i="3"/>
  <c r="I155" i="3"/>
  <c r="M155" i="3"/>
  <c r="L155" i="3"/>
  <c r="A179" i="3"/>
  <c r="K119" i="3"/>
  <c r="L119" i="3"/>
  <c r="M119" i="3"/>
  <c r="I119" i="3"/>
  <c r="L61" i="3"/>
  <c r="A154" i="3"/>
  <c r="I94" i="3"/>
  <c r="K94" i="3"/>
  <c r="L94" i="3"/>
  <c r="M94" i="3"/>
  <c r="A159" i="3"/>
  <c r="K99" i="3"/>
  <c r="L99" i="3"/>
  <c r="M99" i="3"/>
  <c r="I99" i="3"/>
  <c r="A71" i="3"/>
  <c r="K59" i="3"/>
  <c r="L59" i="3"/>
  <c r="M59" i="3"/>
  <c r="I59" i="3"/>
  <c r="A162" i="3"/>
  <c r="I102" i="3"/>
  <c r="K102" i="3"/>
  <c r="L102" i="3"/>
  <c r="M102" i="3"/>
  <c r="K157" i="3"/>
  <c r="M157" i="3"/>
  <c r="L157" i="3"/>
  <c r="I157" i="3"/>
  <c r="I150" i="3"/>
  <c r="K150" i="3"/>
  <c r="L150" i="3"/>
  <c r="M150" i="3"/>
  <c r="I50" i="3"/>
  <c r="K50" i="3"/>
  <c r="L50" i="3"/>
  <c r="M50" i="3"/>
  <c r="A167" i="3"/>
  <c r="K107" i="3"/>
  <c r="L107" i="3"/>
  <c r="M107" i="3"/>
  <c r="I107" i="3"/>
  <c r="A66" i="3"/>
  <c r="I54" i="3"/>
  <c r="K54" i="3"/>
  <c r="L54" i="3"/>
  <c r="A114" i="3"/>
  <c r="M54" i="3"/>
  <c r="A158" i="3"/>
  <c r="I98" i="3"/>
  <c r="K98" i="3"/>
  <c r="L98" i="3"/>
  <c r="M98" i="3"/>
  <c r="A63" i="3"/>
  <c r="A111" i="3"/>
  <c r="A62" i="3"/>
  <c r="A110" i="3"/>
  <c r="I109" i="3"/>
  <c r="L41" i="3"/>
  <c r="I41" i="3"/>
  <c r="A101" i="3"/>
  <c r="M41" i="3"/>
  <c r="A53" i="3"/>
  <c r="K41" i="3"/>
  <c r="K100" i="3"/>
  <c r="M100" i="3"/>
  <c r="L100" i="3"/>
  <c r="A160" i="3"/>
  <c r="I100" i="3"/>
  <c r="A57" i="3"/>
  <c r="K45" i="3"/>
  <c r="I45" i="3"/>
  <c r="L45" i="3"/>
  <c r="M45" i="3"/>
  <c r="A105" i="3"/>
  <c r="I91" i="3"/>
  <c r="M91" i="3"/>
  <c r="A151" i="3"/>
  <c r="K91" i="3"/>
  <c r="L91" i="3"/>
  <c r="A56" i="3"/>
  <c r="M44" i="3"/>
  <c r="I44" i="3"/>
  <c r="K44" i="3"/>
  <c r="L44" i="3"/>
  <c r="A104" i="3"/>
  <c r="I93" i="3"/>
  <c r="L93" i="3"/>
  <c r="A153" i="3"/>
  <c r="K93" i="3"/>
  <c r="M93" i="3"/>
  <c r="K109" i="3"/>
  <c r="L43" i="3"/>
  <c r="M43" i="3"/>
  <c r="A55" i="3"/>
  <c r="I43" i="3"/>
  <c r="A103" i="3"/>
  <c r="K43" i="3"/>
  <c r="A152" i="3"/>
  <c r="I92" i="3"/>
  <c r="K92" i="3"/>
  <c r="M92" i="3"/>
  <c r="L92" i="3"/>
  <c r="A169" i="3"/>
  <c r="M48" i="3"/>
  <c r="A108" i="3"/>
  <c r="A60" i="3"/>
  <c r="I48" i="3"/>
  <c r="K48" i="3"/>
  <c r="L48" i="3"/>
  <c r="K89" i="3"/>
  <c r="A149" i="3"/>
  <c r="I89" i="3"/>
  <c r="M89" i="3"/>
  <c r="L89" i="3"/>
  <c r="M96" i="3"/>
  <c r="K96" i="3"/>
  <c r="L96" i="3"/>
  <c r="A156" i="3"/>
  <c r="I96" i="3"/>
  <c r="M52" i="3"/>
  <c r="A64" i="3"/>
  <c r="I52" i="3"/>
  <c r="K52" i="3"/>
  <c r="L52" i="3"/>
  <c r="A112" i="3"/>
  <c r="M61" i="3"/>
  <c r="A121" i="3"/>
  <c r="A181" i="3"/>
  <c r="I61" i="3"/>
  <c r="K61" i="3"/>
  <c r="K159" i="3"/>
  <c r="I159" i="3"/>
  <c r="L159" i="3"/>
  <c r="M159" i="3"/>
  <c r="A85" i="3"/>
  <c r="K73" i="3"/>
  <c r="I73" i="3"/>
  <c r="L73" i="3"/>
  <c r="M73" i="3"/>
  <c r="A133" i="3"/>
  <c r="A170" i="3"/>
  <c r="I110" i="3"/>
  <c r="K110" i="3"/>
  <c r="L110" i="3"/>
  <c r="M110" i="3"/>
  <c r="I158" i="3"/>
  <c r="K158" i="3"/>
  <c r="L158" i="3"/>
  <c r="M158" i="3"/>
  <c r="K167" i="3"/>
  <c r="I167" i="3"/>
  <c r="L167" i="3"/>
  <c r="M167" i="3"/>
  <c r="A166" i="3"/>
  <c r="I106" i="3"/>
  <c r="K106" i="3"/>
  <c r="L106" i="3"/>
  <c r="M106" i="3"/>
  <c r="I62" i="3"/>
  <c r="K62" i="3"/>
  <c r="L62" i="3"/>
  <c r="M62" i="3"/>
  <c r="I154" i="3"/>
  <c r="K154" i="3"/>
  <c r="L154" i="3"/>
  <c r="M154" i="3"/>
  <c r="I162" i="3"/>
  <c r="K162" i="3"/>
  <c r="L162" i="3"/>
  <c r="M162" i="3"/>
  <c r="A70" i="3"/>
  <c r="I58" i="3"/>
  <c r="K58" i="3"/>
  <c r="L58" i="3"/>
  <c r="M58" i="3"/>
  <c r="A118" i="3"/>
  <c r="K169" i="3"/>
  <c r="M169" i="3"/>
  <c r="I169" i="3"/>
  <c r="L169" i="3"/>
  <c r="A174" i="3"/>
  <c r="I114" i="3"/>
  <c r="K114" i="3"/>
  <c r="L114" i="3"/>
  <c r="M114" i="3"/>
  <c r="A171" i="3"/>
  <c r="K111" i="3"/>
  <c r="L111" i="3"/>
  <c r="M111" i="3"/>
  <c r="I111" i="3"/>
  <c r="K63" i="3"/>
  <c r="L63" i="3"/>
  <c r="M63" i="3"/>
  <c r="I63" i="3"/>
  <c r="A78" i="3"/>
  <c r="I66" i="3"/>
  <c r="K66" i="3"/>
  <c r="L66" i="3"/>
  <c r="M66" i="3"/>
  <c r="A126" i="3"/>
  <c r="K179" i="3"/>
  <c r="I179" i="3"/>
  <c r="L179" i="3"/>
  <c r="M179" i="3"/>
  <c r="A83" i="3"/>
  <c r="K71" i="3"/>
  <c r="L71" i="3"/>
  <c r="M71" i="3"/>
  <c r="I71" i="3"/>
  <c r="A131" i="3"/>
  <c r="A74" i="3"/>
  <c r="A122" i="3"/>
  <c r="A75" i="3"/>
  <c r="A123" i="3"/>
  <c r="I121" i="3"/>
  <c r="L121" i="3"/>
  <c r="M108" i="3"/>
  <c r="A168" i="3"/>
  <c r="I108" i="3"/>
  <c r="K108" i="3"/>
  <c r="L108" i="3"/>
  <c r="L103" i="3"/>
  <c r="I103" i="3"/>
  <c r="A163" i="3"/>
  <c r="K103" i="3"/>
  <c r="M103" i="3"/>
  <c r="L153" i="3"/>
  <c r="M153" i="3"/>
  <c r="I153" i="3"/>
  <c r="K153" i="3"/>
  <c r="M56" i="3"/>
  <c r="A116" i="3"/>
  <c r="A68" i="3"/>
  <c r="I56" i="3"/>
  <c r="K56" i="3"/>
  <c r="L56" i="3"/>
  <c r="I149" i="3"/>
  <c r="M149" i="3"/>
  <c r="L149" i="3"/>
  <c r="K149" i="3"/>
  <c r="A113" i="3"/>
  <c r="M53" i="3"/>
  <c r="I53" i="3"/>
  <c r="A65" i="3"/>
  <c r="K53" i="3"/>
  <c r="L53" i="3"/>
  <c r="A172" i="3"/>
  <c r="I112" i="3"/>
  <c r="K112" i="3"/>
  <c r="M112" i="3"/>
  <c r="L112" i="3"/>
  <c r="A164" i="3"/>
  <c r="I104" i="3"/>
  <c r="K104" i="3"/>
  <c r="M104" i="3"/>
  <c r="L104" i="3"/>
  <c r="I151" i="3"/>
  <c r="L151" i="3"/>
  <c r="M151" i="3"/>
  <c r="K151" i="3"/>
  <c r="L57" i="3"/>
  <c r="M57" i="3"/>
  <c r="A117" i="3"/>
  <c r="A69" i="3"/>
  <c r="K57" i="3"/>
  <c r="I57" i="3"/>
  <c r="M64" i="3"/>
  <c r="A76" i="3"/>
  <c r="I64" i="3"/>
  <c r="K64" i="3"/>
  <c r="A124" i="3"/>
  <c r="L64" i="3"/>
  <c r="A67" i="3"/>
  <c r="A115" i="3"/>
  <c r="K55" i="3"/>
  <c r="M55" i="3"/>
  <c r="L55" i="3"/>
  <c r="I55" i="3"/>
  <c r="L160" i="3"/>
  <c r="K160" i="3"/>
  <c r="M160" i="3"/>
  <c r="I160" i="3"/>
  <c r="I156" i="3"/>
  <c r="K156" i="3"/>
  <c r="L156" i="3"/>
  <c r="M156" i="3"/>
  <c r="M101" i="3"/>
  <c r="A161" i="3"/>
  <c r="I101" i="3"/>
  <c r="L101" i="3"/>
  <c r="K101" i="3"/>
  <c r="M121" i="3"/>
  <c r="K121" i="3"/>
  <c r="A120" i="3"/>
  <c r="K60" i="3"/>
  <c r="A72" i="3"/>
  <c r="L60" i="3"/>
  <c r="M60" i="3"/>
  <c r="I60" i="3"/>
  <c r="I152" i="3"/>
  <c r="K152" i="3"/>
  <c r="L152" i="3"/>
  <c r="M152" i="3"/>
  <c r="K105" i="3"/>
  <c r="I105" i="3"/>
  <c r="M105" i="3"/>
  <c r="L105" i="3"/>
  <c r="A165" i="3"/>
  <c r="A182" i="3"/>
  <c r="I122" i="3"/>
  <c r="K122" i="3"/>
  <c r="L122" i="3"/>
  <c r="M122" i="3"/>
  <c r="I74" i="3"/>
  <c r="K74" i="3"/>
  <c r="L74" i="3"/>
  <c r="M74" i="3"/>
  <c r="A178" i="3"/>
  <c r="I118" i="3"/>
  <c r="K118" i="3"/>
  <c r="L118" i="3"/>
  <c r="M118" i="3"/>
  <c r="A191" i="3"/>
  <c r="K131" i="3"/>
  <c r="L131" i="3"/>
  <c r="M131" i="3"/>
  <c r="I131" i="3"/>
  <c r="A143" i="3"/>
  <c r="K83" i="3"/>
  <c r="L83" i="3"/>
  <c r="M83" i="3"/>
  <c r="I83" i="3"/>
  <c r="K171" i="3"/>
  <c r="I171" i="3"/>
  <c r="M171" i="3"/>
  <c r="L171" i="3"/>
  <c r="K181" i="3"/>
  <c r="M181" i="3"/>
  <c r="L181" i="3"/>
  <c r="I181" i="3"/>
  <c r="I78" i="3"/>
  <c r="K78" i="3"/>
  <c r="L78" i="3"/>
  <c r="M78" i="3"/>
  <c r="A138" i="3"/>
  <c r="I174" i="3"/>
  <c r="K174" i="3"/>
  <c r="L174" i="3"/>
  <c r="M174" i="3"/>
  <c r="A183" i="3"/>
  <c r="K123" i="3"/>
  <c r="L123" i="3"/>
  <c r="M123" i="3"/>
  <c r="I123" i="3"/>
  <c r="I170" i="3"/>
  <c r="K170" i="3"/>
  <c r="L170" i="3"/>
  <c r="M170" i="3"/>
  <c r="A186" i="3"/>
  <c r="I126" i="3"/>
  <c r="K126" i="3"/>
  <c r="L126" i="3"/>
  <c r="M126" i="3"/>
  <c r="I166" i="3"/>
  <c r="K166" i="3"/>
  <c r="L166" i="3"/>
  <c r="M166" i="3"/>
  <c r="A145" i="3"/>
  <c r="K85" i="3"/>
  <c r="I85" i="3"/>
  <c r="L85" i="3"/>
  <c r="M85" i="3"/>
  <c r="K75" i="3"/>
  <c r="L75" i="3"/>
  <c r="M75" i="3"/>
  <c r="I75" i="3"/>
  <c r="A82" i="3"/>
  <c r="I70" i="3"/>
  <c r="K70" i="3"/>
  <c r="L70" i="3"/>
  <c r="M70" i="3"/>
  <c r="A130" i="3"/>
  <c r="A193" i="3"/>
  <c r="K133" i="3"/>
  <c r="M133" i="3"/>
  <c r="L133" i="3"/>
  <c r="I133" i="3"/>
  <c r="A87" i="3"/>
  <c r="A135" i="3"/>
  <c r="A86" i="3"/>
  <c r="A134" i="3"/>
  <c r="M163" i="3"/>
  <c r="L163" i="3"/>
  <c r="K163" i="3"/>
  <c r="I163" i="3"/>
  <c r="M124" i="3"/>
  <c r="I124" i="3"/>
  <c r="A184" i="3"/>
  <c r="K124" i="3"/>
  <c r="L124" i="3"/>
  <c r="M117" i="3"/>
  <c r="I117" i="3"/>
  <c r="A177" i="3"/>
  <c r="K117" i="3"/>
  <c r="L117" i="3"/>
  <c r="L172" i="3"/>
  <c r="M172" i="3"/>
  <c r="I172" i="3"/>
  <c r="K172" i="3"/>
  <c r="M120" i="3"/>
  <c r="K120" i="3"/>
  <c r="A180" i="3"/>
  <c r="I120" i="3"/>
  <c r="L120" i="3"/>
  <c r="A136" i="3"/>
  <c r="I76" i="3"/>
  <c r="L76" i="3"/>
  <c r="K76" i="3"/>
  <c r="M76" i="3"/>
  <c r="K72" i="3"/>
  <c r="M72" i="3"/>
  <c r="L72" i="3"/>
  <c r="A84" i="3"/>
  <c r="A132" i="3"/>
  <c r="I72" i="3"/>
  <c r="K161" i="3"/>
  <c r="M161" i="3"/>
  <c r="I161" i="3"/>
  <c r="L161" i="3"/>
  <c r="A129" i="3"/>
  <c r="L69" i="3"/>
  <c r="M69" i="3"/>
  <c r="A81" i="3"/>
  <c r="K69" i="3"/>
  <c r="I69" i="3"/>
  <c r="M116" i="3"/>
  <c r="A176" i="3"/>
  <c r="I116" i="3"/>
  <c r="K116" i="3"/>
  <c r="L116" i="3"/>
  <c r="I164" i="3"/>
  <c r="K164" i="3"/>
  <c r="L164" i="3"/>
  <c r="M164" i="3"/>
  <c r="I65" i="3"/>
  <c r="M65" i="3"/>
  <c r="A77" i="3"/>
  <c r="K65" i="3"/>
  <c r="L65" i="3"/>
  <c r="A125" i="3"/>
  <c r="I115" i="3"/>
  <c r="A175" i="3"/>
  <c r="K115" i="3"/>
  <c r="L115" i="3"/>
  <c r="M115" i="3"/>
  <c r="L168" i="3"/>
  <c r="M168" i="3"/>
  <c r="I168" i="3"/>
  <c r="K168" i="3"/>
  <c r="I165" i="3"/>
  <c r="L165" i="3"/>
  <c r="K165" i="3"/>
  <c r="M165" i="3"/>
  <c r="A127" i="3"/>
  <c r="A79" i="3"/>
  <c r="L67" i="3"/>
  <c r="K67" i="3"/>
  <c r="M67" i="3"/>
  <c r="I67" i="3"/>
  <c r="K113" i="3"/>
  <c r="A173" i="3"/>
  <c r="I113" i="3"/>
  <c r="M113" i="3"/>
  <c r="L113" i="3"/>
  <c r="M68" i="3"/>
  <c r="A80" i="3"/>
  <c r="I68" i="3"/>
  <c r="K68" i="3"/>
  <c r="L68" i="3"/>
  <c r="A128" i="3"/>
  <c r="I182" i="3"/>
  <c r="K182" i="3"/>
  <c r="L182" i="3"/>
  <c r="M182" i="3"/>
  <c r="K186" i="3"/>
  <c r="L186" i="3"/>
  <c r="I186" i="3"/>
  <c r="M186" i="3"/>
  <c r="A203" i="3"/>
  <c r="K143" i="3"/>
  <c r="L143" i="3"/>
  <c r="M143" i="3"/>
  <c r="I143" i="3"/>
  <c r="I178" i="3"/>
  <c r="K178" i="3"/>
  <c r="L178" i="3"/>
  <c r="M178" i="3"/>
  <c r="A147" i="3"/>
  <c r="K87" i="3"/>
  <c r="L87" i="3"/>
  <c r="M87" i="3"/>
  <c r="I87" i="3"/>
  <c r="A142" i="3"/>
  <c r="I82" i="3"/>
  <c r="K82" i="3"/>
  <c r="L82" i="3"/>
  <c r="M82" i="3"/>
  <c r="A195" i="3"/>
  <c r="K135" i="3"/>
  <c r="L135" i="3"/>
  <c r="M135" i="3"/>
  <c r="I135" i="3"/>
  <c r="A198" i="3"/>
  <c r="I138" i="3"/>
  <c r="K138" i="3"/>
  <c r="L138" i="3"/>
  <c r="M138" i="3"/>
  <c r="K191" i="3"/>
  <c r="I191" i="3"/>
  <c r="L191" i="3"/>
  <c r="M191" i="3"/>
  <c r="K183" i="3"/>
  <c r="I183" i="3"/>
  <c r="L183" i="3"/>
  <c r="M183" i="3"/>
  <c r="A194" i="3"/>
  <c r="I134" i="3"/>
  <c r="K134" i="3"/>
  <c r="L134" i="3"/>
  <c r="M134" i="3"/>
  <c r="K193" i="3"/>
  <c r="I193" i="3"/>
  <c r="L193" i="3"/>
  <c r="M193" i="3"/>
  <c r="A146" i="3"/>
  <c r="I86" i="3"/>
  <c r="K86" i="3"/>
  <c r="L86" i="3"/>
  <c r="M86" i="3"/>
  <c r="A190" i="3"/>
  <c r="I130" i="3"/>
  <c r="K130" i="3"/>
  <c r="L130" i="3"/>
  <c r="M130" i="3"/>
  <c r="A205" i="3"/>
  <c r="K145" i="3"/>
  <c r="M145" i="3"/>
  <c r="L145" i="3"/>
  <c r="I145" i="3"/>
  <c r="K173" i="3"/>
  <c r="M173" i="3"/>
  <c r="L173" i="3"/>
  <c r="I173" i="3"/>
  <c r="M77" i="3"/>
  <c r="A137" i="3"/>
  <c r="I77" i="3"/>
  <c r="L77" i="3"/>
  <c r="K77" i="3"/>
  <c r="I84" i="3"/>
  <c r="K84" i="3"/>
  <c r="M84" i="3"/>
  <c r="A144" i="3"/>
  <c r="L84" i="3"/>
  <c r="A196" i="3"/>
  <c r="K136" i="3"/>
  <c r="I136" i="3"/>
  <c r="L136" i="3"/>
  <c r="M136" i="3"/>
  <c r="M129" i="3"/>
  <c r="A189" i="3"/>
  <c r="L129" i="3"/>
  <c r="I129" i="3"/>
  <c r="K129" i="3"/>
  <c r="K184" i="3"/>
  <c r="I184" i="3"/>
  <c r="L184" i="3"/>
  <c r="M184" i="3"/>
  <c r="L176" i="3"/>
  <c r="I176" i="3"/>
  <c r="K176" i="3"/>
  <c r="M176" i="3"/>
  <c r="M80" i="3"/>
  <c r="A140" i="3"/>
  <c r="I80" i="3"/>
  <c r="K80" i="3"/>
  <c r="L80" i="3"/>
  <c r="I175" i="3"/>
  <c r="L175" i="3"/>
  <c r="M175" i="3"/>
  <c r="K175" i="3"/>
  <c r="M180" i="3"/>
  <c r="I180" i="3"/>
  <c r="K180" i="3"/>
  <c r="L180" i="3"/>
  <c r="M177" i="3"/>
  <c r="L177" i="3"/>
  <c r="I177" i="3"/>
  <c r="K177" i="3"/>
  <c r="K79" i="3"/>
  <c r="M79" i="3"/>
  <c r="I79" i="3"/>
  <c r="L79" i="3"/>
  <c r="A139" i="3"/>
  <c r="L81" i="3"/>
  <c r="A141" i="3"/>
  <c r="I81" i="3"/>
  <c r="M81" i="3"/>
  <c r="K81" i="3"/>
  <c r="M125" i="3"/>
  <c r="K125" i="3"/>
  <c r="L125" i="3"/>
  <c r="A185" i="3"/>
  <c r="I125" i="3"/>
  <c r="M128" i="3"/>
  <c r="A188" i="3"/>
  <c r="I128" i="3"/>
  <c r="K128" i="3"/>
  <c r="L128" i="3"/>
  <c r="K127" i="3"/>
  <c r="A187" i="3"/>
  <c r="L127" i="3"/>
  <c r="M127" i="3"/>
  <c r="I127" i="3"/>
  <c r="I132" i="3"/>
  <c r="K132" i="3"/>
  <c r="A192" i="3"/>
  <c r="L132" i="3"/>
  <c r="M132" i="3"/>
  <c r="K198" i="3"/>
  <c r="L198" i="3"/>
  <c r="M198" i="3"/>
  <c r="I198" i="3"/>
  <c r="A202" i="3"/>
  <c r="I142" i="3"/>
  <c r="K142" i="3"/>
  <c r="L142" i="3"/>
  <c r="M142" i="3"/>
  <c r="A207" i="3"/>
  <c r="K147" i="3"/>
  <c r="L147" i="3"/>
  <c r="M147" i="3"/>
  <c r="I147" i="3"/>
  <c r="K205" i="3"/>
  <c r="I205" i="3"/>
  <c r="L205" i="3"/>
  <c r="M205" i="3"/>
  <c r="A206" i="3"/>
  <c r="I146" i="3"/>
  <c r="K146" i="3"/>
  <c r="L146" i="3"/>
  <c r="M146" i="3"/>
  <c r="K194" i="3"/>
  <c r="L194" i="3"/>
  <c r="I194" i="3"/>
  <c r="M194" i="3"/>
  <c r="K190" i="3"/>
  <c r="L190" i="3"/>
  <c r="I190" i="3"/>
  <c r="M190" i="3"/>
  <c r="K195" i="3"/>
  <c r="L195" i="3"/>
  <c r="M195" i="3"/>
  <c r="I195" i="3"/>
  <c r="K203" i="3"/>
  <c r="M203" i="3"/>
  <c r="I203" i="3"/>
  <c r="L203" i="3"/>
  <c r="K141" i="3"/>
  <c r="A201" i="3"/>
  <c r="M141" i="3"/>
  <c r="I141" i="3"/>
  <c r="L141" i="3"/>
  <c r="I187" i="3"/>
  <c r="M187" i="3"/>
  <c r="K187" i="3"/>
  <c r="L187" i="3"/>
  <c r="K185" i="3"/>
  <c r="M185" i="3"/>
  <c r="I185" i="3"/>
  <c r="L185" i="3"/>
  <c r="M196" i="3"/>
  <c r="K196" i="3"/>
  <c r="L196" i="3"/>
  <c r="I196" i="3"/>
  <c r="K139" i="3"/>
  <c r="L139" i="3"/>
  <c r="M139" i="3"/>
  <c r="I139" i="3"/>
  <c r="A199" i="3"/>
  <c r="M137" i="3"/>
  <c r="A197" i="3"/>
  <c r="K137" i="3"/>
  <c r="L137" i="3"/>
  <c r="I137" i="3"/>
  <c r="M192" i="3"/>
  <c r="K192" i="3"/>
  <c r="L192" i="3"/>
  <c r="I192" i="3"/>
  <c r="K189" i="3"/>
  <c r="L189" i="3"/>
  <c r="I189" i="3"/>
  <c r="M189" i="3"/>
  <c r="L144" i="3"/>
  <c r="M144" i="3"/>
  <c r="A204" i="3"/>
  <c r="I144" i="3"/>
  <c r="K144" i="3"/>
  <c r="K188" i="3"/>
  <c r="I188" i="3"/>
  <c r="L188" i="3"/>
  <c r="M188" i="3"/>
  <c r="K140" i="3"/>
  <c r="M140" i="3"/>
  <c r="A200" i="3"/>
  <c r="L140" i="3"/>
  <c r="I140" i="3"/>
  <c r="K207" i="3"/>
  <c r="I207" i="3"/>
  <c r="L207" i="3"/>
  <c r="M207" i="3"/>
  <c r="K206" i="3"/>
  <c r="M206" i="3"/>
  <c r="I206" i="3"/>
  <c r="L206" i="3"/>
  <c r="K202" i="3"/>
  <c r="L202" i="3"/>
  <c r="I202" i="3"/>
  <c r="M202" i="3"/>
  <c r="M200" i="3"/>
  <c r="I200" i="3"/>
  <c r="K200" i="3"/>
  <c r="L200" i="3"/>
  <c r="M204" i="3"/>
  <c r="I204" i="3"/>
  <c r="L204" i="3"/>
  <c r="K204" i="3"/>
  <c r="K197" i="3"/>
  <c r="L197" i="3"/>
  <c r="M197" i="3"/>
  <c r="I197" i="3"/>
  <c r="L199" i="3"/>
  <c r="M199" i="3"/>
  <c r="K199" i="3"/>
  <c r="I199" i="3"/>
  <c r="K201" i="3"/>
  <c r="I201" i="3"/>
  <c r="M201" i="3"/>
  <c r="L201" i="3"/>
</calcChain>
</file>

<file path=xl/sharedStrings.xml><?xml version="1.0" encoding="utf-8"?>
<sst xmlns="http://schemas.openxmlformats.org/spreadsheetml/2006/main" count="119" uniqueCount="86">
  <si>
    <t>进阶+10</t>
  </si>
  <si>
    <t>进阶+9</t>
  </si>
  <si>
    <t>进阶+1</t>
  </si>
  <si>
    <t>进阶+2</t>
  </si>
  <si>
    <t>进阶+3</t>
  </si>
  <si>
    <t>进阶+4</t>
  </si>
  <si>
    <t>进阶+5</t>
  </si>
  <si>
    <t>进阶+6</t>
  </si>
  <si>
    <t>进阶+7</t>
  </si>
  <si>
    <t>进阶+8</t>
  </si>
  <si>
    <t>伙伴15级时开启</t>
  </si>
  <si>
    <t>伙伴25级时开启</t>
  </si>
  <si>
    <t>伙伴35级时开启</t>
  </si>
  <si>
    <t>伙伴45级时开启</t>
  </si>
  <si>
    <t>伙伴55级时开启</t>
  </si>
  <si>
    <t>伙伴65级时开启</t>
  </si>
  <si>
    <t>伙伴75级时开启</t>
  </si>
  <si>
    <t>伙伴5级时开启</t>
  </si>
  <si>
    <t>进阶限制说明</t>
  </si>
  <si>
    <t>进阶ID
[字符串]
1000蓝色
2000紫色
3000橙13
4000橙16</t>
    <phoneticPr fontId="7" type="noConversion"/>
  </si>
  <si>
    <t>进阶描述
[字符串]</t>
    <phoneticPr fontId="7" type="noConversion"/>
  </si>
  <si>
    <t>进阶限制
[字符串]                               调用game_limit里面的限制id</t>
    <phoneticPr fontId="7" type="noConversion"/>
  </si>
  <si>
    <t xml:space="preserve">进阶消耗金币
 [整型]                                     </t>
    <phoneticPr fontId="7" type="noConversion"/>
  </si>
  <si>
    <t>进阶消耗进阶石[字符串]
item_id|数量
调用game_items里面的id</t>
    <phoneticPr fontId="7" type="noConversion"/>
  </si>
  <si>
    <t>进阶等级[整型]</t>
    <phoneticPr fontId="7" type="noConversion"/>
  </si>
  <si>
    <t>进阶抗暴成长系数 [浮点型]</t>
    <phoneticPr fontId="7" type="noConversion"/>
  </si>
  <si>
    <t>进阶暴击成长系数 [浮点型]</t>
    <phoneticPr fontId="7" type="noConversion"/>
  </si>
  <si>
    <t>进阶命中成长系数 [浮点型]</t>
    <phoneticPr fontId="7" type="noConversion"/>
  </si>
  <si>
    <t>进阶闪避成长系数 [浮点型]</t>
    <phoneticPr fontId="7" type="noConversion"/>
  </si>
  <si>
    <t>进阶魔法防御成长系数 [整型]</t>
    <phoneticPr fontId="7" type="noConversion"/>
  </si>
  <si>
    <t>进阶物理防御成长系数 [整型]</t>
    <phoneticPr fontId="7" type="noConversion"/>
  </si>
  <si>
    <t>进阶消耗相同角色数量
[整型]
自动判断读取相同的hero_id</t>
    <phoneticPr fontId="7" type="noConversion"/>
  </si>
  <si>
    <t>进阶魔法成长系数 [整型]</t>
    <phoneticPr fontId="7" type="noConversion"/>
  </si>
  <si>
    <t>进阶攻击成长系数 [整型]</t>
    <phoneticPr fontId="7" type="noConversion"/>
  </si>
  <si>
    <t>进阶生命成长系数 
[整型]</t>
    <phoneticPr fontId="7" type="noConversion"/>
  </si>
  <si>
    <t>伙伴85级时开启</t>
    <phoneticPr fontId="7" type="noConversion"/>
  </si>
  <si>
    <t>伙伴95级时开启</t>
    <phoneticPr fontId="7" type="noConversion"/>
  </si>
  <si>
    <t>伙伴105级时开启</t>
  </si>
  <si>
    <t>进阶+11</t>
  </si>
  <si>
    <t>伙伴115级时开启</t>
  </si>
  <si>
    <t>进阶+12</t>
  </si>
  <si>
    <t>武将品质</t>
  </si>
  <si>
    <t>属性调整</t>
  </si>
  <si>
    <t>生命</t>
  </si>
  <si>
    <t>攻击</t>
  </si>
  <si>
    <t>物防</t>
  </si>
  <si>
    <t>法防</t>
  </si>
  <si>
    <t>a</t>
    <phoneticPr fontId="2" type="noConversion"/>
  </si>
  <si>
    <t>hero_id</t>
    <phoneticPr fontId="2" type="noConversion"/>
  </si>
  <si>
    <t>id</t>
    <phoneticPr fontId="2" type="noConversion"/>
  </si>
  <si>
    <t>s</t>
    <phoneticPr fontId="2" type="noConversion"/>
  </si>
  <si>
    <t>文字标题</t>
    <phoneticPr fontId="2" type="noConversion"/>
  </si>
  <si>
    <t>title</t>
    <phoneticPr fontId="2" type="noConversion"/>
  </si>
  <si>
    <t>s</t>
    <phoneticPr fontId="2" type="noConversion"/>
  </si>
  <si>
    <t>橙色武将</t>
    <phoneticPr fontId="2" type="noConversion"/>
  </si>
  <si>
    <t>紫色武将</t>
    <phoneticPr fontId="2" type="noConversion"/>
  </si>
  <si>
    <t>集合id</t>
    <phoneticPr fontId="2" type="noConversion"/>
  </si>
  <si>
    <t>橙色武将</t>
    <phoneticPr fontId="2" type="noConversion"/>
  </si>
  <si>
    <t>需要展示武将的id集合 
按填写的循序依次排列</t>
    <phoneticPr fontId="2" type="noConversion"/>
  </si>
  <si>
    <t>备注</t>
    <phoneticPr fontId="2" type="noConversion"/>
  </si>
  <si>
    <t>全体橙色武将</t>
    <phoneticPr fontId="2" type="noConversion"/>
  </si>
  <si>
    <t>全体紫色武将</t>
    <phoneticPr fontId="2" type="noConversion"/>
  </si>
  <si>
    <t>佛全部橙色武将</t>
    <phoneticPr fontId="2" type="noConversion"/>
  </si>
  <si>
    <t>佛全部紫色武将</t>
    <phoneticPr fontId="2" type="noConversion"/>
  </si>
  <si>
    <t>仙全部橙色武将</t>
    <phoneticPr fontId="2" type="noConversion"/>
  </si>
  <si>
    <t>仙全部紫色武将</t>
    <phoneticPr fontId="2" type="noConversion"/>
  </si>
  <si>
    <t>妖全部橙色武将</t>
    <phoneticPr fontId="2" type="noConversion"/>
  </si>
  <si>
    <t>妖全部紫色武将</t>
    <phoneticPr fontId="2" type="noConversion"/>
  </si>
  <si>
    <t>红色武将</t>
    <phoneticPr fontId="2" type="noConversion"/>
  </si>
  <si>
    <t>妖红色武将</t>
    <phoneticPr fontId="2" type="noConversion"/>
  </si>
  <si>
    <t>佛红色武将</t>
    <phoneticPr fontId="2" type="noConversion"/>
  </si>
  <si>
    <t>仙红色武将</t>
    <phoneticPr fontId="2" type="noConversion"/>
  </si>
  <si>
    <t>全部红色武将</t>
    <phoneticPr fontId="2" type="noConversion"/>
  </si>
  <si>
    <t xml:space="preserve">   </t>
    <phoneticPr fontId="2" type="noConversion"/>
  </si>
  <si>
    <t>1211,1121,1101,1105,1119,1124</t>
  </si>
  <si>
    <t>1127,1212,1213,1214,1215,1108,1219,1102,1218,1103,1111,1112,1113,1120,1115,1126,1122,1125,1110,1216,1202,1207,1109,1104,1107,1135,1123,1201,1106,1116,1117,1114,1132,1131,1137,1208</t>
    <phoneticPr fontId="2" type="noConversion"/>
  </si>
  <si>
    <t>1130,1118,1136,1128,1192,1152,1134,1133,1203,1204,1206,1205,1139,1140,1138,1226,1141,1504</t>
  </si>
  <si>
    <t>1211,1121</t>
  </si>
  <si>
    <t>1127,1212,1213,1214,1215,1126,1122,1125,1110,1216,1202,1207</t>
    <phoneticPr fontId="2" type="noConversion"/>
  </si>
  <si>
    <t>1130,1118,1136,1128,1192,1152</t>
  </si>
  <si>
    <t>1101,1105</t>
  </si>
  <si>
    <t>1108,1219,1102,1218,1103,1109,1104,1107,1135,1123,1201,1106</t>
    <phoneticPr fontId="2" type="noConversion"/>
  </si>
  <si>
    <t>1134,1133,1203,1204,1206,1205</t>
  </si>
  <si>
    <t>1119,1124</t>
  </si>
  <si>
    <t>1111,1112,1113,1120,1115,1116,1117,1114,1132,1131,1137,1208</t>
    <phoneticPr fontId="2" type="noConversion"/>
  </si>
  <si>
    <t>1139,1140,1138,1226,1141,1504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</si>
</sst>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5">
    <xf numFmtId="0" fontId="0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2">
    <xf numFmtId="0" fontId="0" fillId="0" borderId="0" xfId="0" applyAlignment="1"/>
    <xf numFmtId="0" fontId="4" fillId="2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top" wrapText="1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top"/>
    </xf>
    <xf numFmtId="0" fontId="4" fillId="3" borderId="1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4" borderId="0" xfId="0" applyFill="1" applyAlignment="1"/>
    <xf numFmtId="0" fontId="0" fillId="0" borderId="1" xfId="0" applyBorder="1" applyAlignment="1"/>
    <xf numFmtId="0" fontId="6" fillId="0" borderId="1" xfId="3" applyFont="1" applyBorder="1">
      <alignment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vertical="center" wrapText="1"/>
    </xf>
    <xf numFmtId="49" fontId="4" fillId="2" borderId="1" xfId="0" applyNumberFormat="1" applyFont="1" applyFill="1" applyBorder="1" applyAlignment="1">
      <alignment vertical="center"/>
    </xf>
    <xf numFmtId="49" fontId="4" fillId="0" borderId="1" xfId="0" applyNumberFormat="1" applyFont="1" applyFill="1" applyBorder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4" fillId="0" borderId="1" xfId="0" applyFont="1" applyFill="1" applyBorder="1" applyAlignment="1">
      <alignment horizontal="center" vertical="center" wrapText="1"/>
    </xf>
  </cellXfs>
  <cellStyles count="15">
    <cellStyle name="常规" xfId="0" builtinId="0"/>
    <cellStyle name="常规 2" xfId="1"/>
    <cellStyle name="常规 2 2" xfId="2"/>
    <cellStyle name="常规 2 3" xfId="4"/>
    <cellStyle name="常规 21" xfId="6"/>
    <cellStyle name="常规 22" xfId="8"/>
    <cellStyle name="常规 23" xfId="9"/>
    <cellStyle name="常规 24" xfId="10"/>
    <cellStyle name="常规 25" xfId="11"/>
    <cellStyle name="常规 26" xfId="12"/>
    <cellStyle name="常规 27" xfId="13"/>
    <cellStyle name="常规 28" xfId="14"/>
    <cellStyle name="常规 3" xfId="7"/>
    <cellStyle name="常规 4" xfId="5"/>
    <cellStyle name="常规 5" xfId="3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workbookViewId="0">
      <selection activeCell="C9" sqref="C9"/>
    </sheetView>
  </sheetViews>
  <sheetFormatPr defaultColWidth="12" defaultRowHeight="16.5" x14ac:dyDescent="0.15"/>
  <cols>
    <col min="1" max="2" width="16.375" style="6" customWidth="1"/>
    <col min="3" max="3" width="88.25" style="20" customWidth="1"/>
    <col min="4" max="9" width="16.375" style="6" customWidth="1"/>
    <col min="10" max="16384" width="12" style="2"/>
  </cols>
  <sheetData>
    <row r="1" spans="1:9" s="6" customFormat="1" ht="49.5" x14ac:dyDescent="0.15">
      <c r="A1" s="12" t="s">
        <v>56</v>
      </c>
      <c r="B1" s="12" t="s">
        <v>51</v>
      </c>
      <c r="C1" s="17" t="s">
        <v>58</v>
      </c>
      <c r="D1" s="15" t="s">
        <v>59</v>
      </c>
      <c r="E1" s="5"/>
      <c r="F1" s="5"/>
      <c r="G1" s="5"/>
      <c r="H1" s="5"/>
      <c r="I1" s="5"/>
    </row>
    <row r="2" spans="1:9" s="3" customFormat="1" x14ac:dyDescent="0.15">
      <c r="A2" s="13" t="s">
        <v>49</v>
      </c>
      <c r="B2" s="13" t="s">
        <v>52</v>
      </c>
      <c r="C2" s="18" t="s">
        <v>48</v>
      </c>
      <c r="D2" s="1"/>
      <c r="E2" s="16"/>
      <c r="F2" s="1"/>
      <c r="G2" s="1"/>
      <c r="H2" s="1"/>
      <c r="I2" s="1"/>
    </row>
    <row r="3" spans="1:9" s="4" customFormat="1" x14ac:dyDescent="0.15">
      <c r="A3" s="13" t="s">
        <v>50</v>
      </c>
      <c r="B3" s="13" t="s">
        <v>53</v>
      </c>
      <c r="C3" s="18" t="s">
        <v>47</v>
      </c>
      <c r="D3" s="1"/>
      <c r="E3" s="16"/>
      <c r="F3" s="1"/>
      <c r="G3" s="1"/>
      <c r="H3" s="1"/>
      <c r="I3" s="1"/>
    </row>
    <row r="4" spans="1:9" x14ac:dyDescent="0.15">
      <c r="A4" s="21">
        <v>1</v>
      </c>
      <c r="B4" s="21" t="s">
        <v>68</v>
      </c>
      <c r="C4" s="19" t="s">
        <v>74</v>
      </c>
      <c r="D4" s="21" t="s">
        <v>72</v>
      </c>
    </row>
    <row r="5" spans="1:9" ht="33" x14ac:dyDescent="0.15">
      <c r="A5" s="21">
        <v>2</v>
      </c>
      <c r="B5" s="14" t="s">
        <v>57</v>
      </c>
      <c r="C5" s="19" t="s">
        <v>75</v>
      </c>
      <c r="D5" s="21" t="s">
        <v>60</v>
      </c>
    </row>
    <row r="6" spans="1:9" x14ac:dyDescent="0.15">
      <c r="A6" s="21">
        <v>3</v>
      </c>
      <c r="B6" s="14" t="s">
        <v>55</v>
      </c>
      <c r="C6" s="19" t="s">
        <v>76</v>
      </c>
      <c r="D6" s="21" t="s">
        <v>61</v>
      </c>
    </row>
    <row r="7" spans="1:9" x14ac:dyDescent="0.15">
      <c r="A7" s="21">
        <v>4</v>
      </c>
      <c r="B7" s="21" t="s">
        <v>68</v>
      </c>
      <c r="C7" s="19" t="s">
        <v>77</v>
      </c>
      <c r="D7" s="21" t="s">
        <v>70</v>
      </c>
    </row>
    <row r="8" spans="1:9" x14ac:dyDescent="0.15">
      <c r="A8" s="21">
        <v>5</v>
      </c>
      <c r="B8" s="14" t="s">
        <v>54</v>
      </c>
      <c r="C8" s="19" t="s">
        <v>78</v>
      </c>
      <c r="D8" s="21" t="s">
        <v>62</v>
      </c>
    </row>
    <row r="9" spans="1:9" x14ac:dyDescent="0.15">
      <c r="A9" s="21">
        <v>6</v>
      </c>
      <c r="B9" s="14" t="s">
        <v>55</v>
      </c>
      <c r="C9" s="19" t="s">
        <v>79</v>
      </c>
      <c r="D9" s="21" t="s">
        <v>63</v>
      </c>
    </row>
    <row r="10" spans="1:9" x14ac:dyDescent="0.15">
      <c r="A10" s="21">
        <v>7</v>
      </c>
      <c r="B10" s="21" t="s">
        <v>68</v>
      </c>
      <c r="C10" s="19" t="s">
        <v>80</v>
      </c>
      <c r="D10" s="21" t="s">
        <v>71</v>
      </c>
    </row>
    <row r="11" spans="1:9" x14ac:dyDescent="0.15">
      <c r="A11" s="21">
        <v>8</v>
      </c>
      <c r="B11" s="14" t="s">
        <v>54</v>
      </c>
      <c r="C11" s="19" t="s">
        <v>81</v>
      </c>
      <c r="D11" s="21" t="s">
        <v>64</v>
      </c>
    </row>
    <row r="12" spans="1:9" x14ac:dyDescent="0.15">
      <c r="A12" s="21">
        <v>9</v>
      </c>
      <c r="B12" s="14" t="s">
        <v>55</v>
      </c>
      <c r="C12" s="19" t="s">
        <v>82</v>
      </c>
      <c r="D12" s="21" t="s">
        <v>65</v>
      </c>
    </row>
    <row r="13" spans="1:9" x14ac:dyDescent="0.15">
      <c r="A13" s="21">
        <v>10</v>
      </c>
      <c r="B13" s="21" t="s">
        <v>68</v>
      </c>
      <c r="C13" s="19" t="s">
        <v>83</v>
      </c>
      <c r="D13" s="21" t="s">
        <v>69</v>
      </c>
    </row>
    <row r="14" spans="1:9" x14ac:dyDescent="0.15">
      <c r="A14" s="21">
        <v>11</v>
      </c>
      <c r="B14" s="14" t="s">
        <v>54</v>
      </c>
      <c r="C14" s="19" t="s">
        <v>84</v>
      </c>
      <c r="D14" s="21" t="s">
        <v>66</v>
      </c>
    </row>
    <row r="15" spans="1:9" x14ac:dyDescent="0.15">
      <c r="A15" s="21">
        <v>12</v>
      </c>
      <c r="B15" s="14" t="s">
        <v>55</v>
      </c>
      <c r="C15" s="19" t="s">
        <v>85</v>
      </c>
      <c r="D15" s="21" t="s">
        <v>67</v>
      </c>
    </row>
    <row r="23" spans="2:2" x14ac:dyDescent="0.15">
      <c r="B23" s="6" t="s">
        <v>73</v>
      </c>
    </row>
  </sheetData>
  <phoneticPr fontId="2" type="noConversion"/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07"/>
  <sheetViews>
    <sheetView workbookViewId="0">
      <selection activeCell="H1" sqref="H1:M1048576"/>
    </sheetView>
  </sheetViews>
  <sheetFormatPr defaultRowHeight="13.5" x14ac:dyDescent="0.15"/>
  <cols>
    <col min="2" max="2" width="20.5" bestFit="1" customWidth="1"/>
    <col min="5" max="5" width="10.5" bestFit="1" customWidth="1"/>
    <col min="6" max="6" width="10.5" customWidth="1"/>
    <col min="7" max="7" width="14.125" customWidth="1"/>
  </cols>
  <sheetData>
    <row r="1" spans="1:18" ht="108" x14ac:dyDescent="0.15">
      <c r="A1" s="7" t="s">
        <v>19</v>
      </c>
      <c r="B1" s="7" t="s">
        <v>20</v>
      </c>
      <c r="C1" s="8" t="s">
        <v>18</v>
      </c>
      <c r="D1" s="7" t="s">
        <v>21</v>
      </c>
      <c r="E1" s="7" t="s">
        <v>22</v>
      </c>
      <c r="F1" s="7" t="s">
        <v>23</v>
      </c>
      <c r="G1" s="7" t="s">
        <v>23</v>
      </c>
      <c r="H1" s="7" t="s">
        <v>31</v>
      </c>
      <c r="I1" s="7" t="s">
        <v>34</v>
      </c>
      <c r="J1" s="7" t="s">
        <v>32</v>
      </c>
      <c r="K1" s="7" t="s">
        <v>33</v>
      </c>
      <c r="L1" s="7" t="s">
        <v>30</v>
      </c>
      <c r="M1" s="7" t="s">
        <v>29</v>
      </c>
      <c r="N1" s="7" t="s">
        <v>28</v>
      </c>
      <c r="O1" s="7" t="s">
        <v>27</v>
      </c>
      <c r="P1" s="7" t="s">
        <v>26</v>
      </c>
      <c r="Q1" s="7" t="s">
        <v>25</v>
      </c>
      <c r="R1" s="7" t="s">
        <v>24</v>
      </c>
    </row>
    <row r="2" spans="1:18" x14ac:dyDescent="0.15">
      <c r="A2" t="e">
        <f>Sheet1!#REF!</f>
        <v>#REF!</v>
      </c>
      <c r="B2" t="e">
        <f>Sheet1!#REF!</f>
        <v>#REF!</v>
      </c>
      <c r="C2" t="e">
        <f>Sheet1!#REF!</f>
        <v>#REF!</v>
      </c>
      <c r="D2" t="e">
        <f>Sheet1!#REF!</f>
        <v>#REF!</v>
      </c>
      <c r="E2" t="e">
        <f>Sheet1!#REF!</f>
        <v>#REF!</v>
      </c>
      <c r="F2" t="e">
        <f>Sheet1!#REF!</f>
        <v>#REF!</v>
      </c>
      <c r="G2" t="e">
        <f>Sheet1!#REF!</f>
        <v>#REF!</v>
      </c>
      <c r="H2" t="e">
        <f>Sheet1!#REF!</f>
        <v>#REF!</v>
      </c>
      <c r="I2" t="e">
        <f>Sheet1!#REF!</f>
        <v>#REF!</v>
      </c>
      <c r="J2" t="e">
        <f>Sheet1!#REF!</f>
        <v>#REF!</v>
      </c>
      <c r="K2" t="e">
        <f>Sheet1!#REF!</f>
        <v>#REF!</v>
      </c>
      <c r="L2" t="e">
        <f>Sheet1!#REF!</f>
        <v>#REF!</v>
      </c>
      <c r="M2" t="e">
        <f>Sheet1!#REF!</f>
        <v>#REF!</v>
      </c>
      <c r="N2" t="e">
        <f>Sheet1!#REF!</f>
        <v>#REF!</v>
      </c>
      <c r="O2" t="e">
        <f>Sheet1!#REF!</f>
        <v>#REF!</v>
      </c>
      <c r="P2" t="e">
        <f>Sheet1!#REF!</f>
        <v>#REF!</v>
      </c>
      <c r="Q2" t="e">
        <f>Sheet1!#REF!</f>
        <v>#REF!</v>
      </c>
      <c r="R2" t="e">
        <f>Sheet1!#REF!</f>
        <v>#REF!</v>
      </c>
    </row>
    <row r="3" spans="1:18" x14ac:dyDescent="0.15">
      <c r="A3" t="e">
        <f>Sheet1!#REF!</f>
        <v>#REF!</v>
      </c>
      <c r="B3" t="e">
        <f>Sheet1!#REF!</f>
        <v>#REF!</v>
      </c>
      <c r="C3" t="e">
        <f>Sheet1!#REF!</f>
        <v>#REF!</v>
      </c>
      <c r="D3" t="e">
        <f>Sheet1!#REF!</f>
        <v>#REF!</v>
      </c>
      <c r="E3" t="e">
        <f>Sheet1!#REF!</f>
        <v>#REF!</v>
      </c>
      <c r="F3" t="e">
        <f>Sheet1!#REF!</f>
        <v>#REF!</v>
      </c>
      <c r="G3" t="e">
        <f>Sheet1!#REF!</f>
        <v>#REF!</v>
      </c>
      <c r="H3" t="e">
        <f>Sheet1!#REF!</f>
        <v>#REF!</v>
      </c>
      <c r="I3" t="e">
        <f>Sheet1!#REF!</f>
        <v>#REF!</v>
      </c>
      <c r="J3" t="e">
        <f>Sheet1!#REF!</f>
        <v>#REF!</v>
      </c>
      <c r="K3" t="e">
        <f>Sheet1!#REF!</f>
        <v>#REF!</v>
      </c>
      <c r="L3" t="e">
        <f>Sheet1!#REF!</f>
        <v>#REF!</v>
      </c>
      <c r="M3" t="e">
        <f>Sheet1!#REF!</f>
        <v>#REF!</v>
      </c>
      <c r="N3" t="e">
        <f>Sheet1!#REF!</f>
        <v>#REF!</v>
      </c>
      <c r="O3" t="e">
        <f>Sheet1!#REF!</f>
        <v>#REF!</v>
      </c>
      <c r="P3" t="e">
        <f>Sheet1!#REF!</f>
        <v>#REF!</v>
      </c>
      <c r="Q3" t="e">
        <f>Sheet1!#REF!</f>
        <v>#REF!</v>
      </c>
      <c r="R3" t="e">
        <f>Sheet1!#REF!</f>
        <v>#REF!</v>
      </c>
    </row>
    <row r="4" spans="1:18" x14ac:dyDescent="0.15">
      <c r="A4">
        <v>2101</v>
      </c>
      <c r="B4" s="9" t="s">
        <v>17</v>
      </c>
      <c r="C4" s="9" t="s">
        <v>2</v>
      </c>
      <c r="D4" s="9">
        <v>1201</v>
      </c>
      <c r="E4" s="9">
        <v>10000</v>
      </c>
      <c r="F4" s="9" t="str">
        <f>"14107|"&amp;G4</f>
        <v>14107|120</v>
      </c>
      <c r="G4" s="9">
        <v>120</v>
      </c>
      <c r="H4" s="9">
        <v>0</v>
      </c>
      <c r="I4">
        <f>ROUND(VLOOKUP(INT(A4/1000),Sheet3!$A$2:$B$7,2,FALSE)*Sheet3!D$3,0)</f>
        <v>90</v>
      </c>
      <c r="K4">
        <f>ROUND(VLOOKUP(INT(A4/1000),Sheet3!$A$2:$B$7,2,FALSE)*Sheet3!E$3,0)</f>
        <v>3</v>
      </c>
      <c r="L4">
        <f>ROUND(VLOOKUP(INT(A4/1000),Sheet3!$A$2:$B$7,2,FALSE)*Sheet3!F$3,0)</f>
        <v>2</v>
      </c>
      <c r="M4">
        <f>ROUND(VLOOKUP(INT(A4/1000),Sheet3!$A$2:$B$7,2,FALSE)*Sheet3!G$3,0)</f>
        <v>2</v>
      </c>
    </row>
    <row r="5" spans="1:18" x14ac:dyDescent="0.15">
      <c r="A5">
        <v>2102</v>
      </c>
      <c r="B5" s="9" t="s">
        <v>10</v>
      </c>
      <c r="C5" s="9" t="s">
        <v>3</v>
      </c>
      <c r="D5" s="9">
        <v>1202</v>
      </c>
      <c r="E5" s="9">
        <v>30000</v>
      </c>
      <c r="F5" s="9" t="str">
        <f t="shared" ref="F5:F15" si="0">"14107|"&amp;G5</f>
        <v>14107|360</v>
      </c>
      <c r="G5" s="9">
        <v>360</v>
      </c>
      <c r="H5" s="9">
        <v>0</v>
      </c>
      <c r="I5">
        <f>ROUND(VLOOKUP(INT(A5/1000),Sheet3!$A$2:$B$7,2,FALSE)*Sheet3!D$3,0)</f>
        <v>90</v>
      </c>
      <c r="K5">
        <f>ROUND(VLOOKUP(INT(A5/1000),Sheet3!$A$2:$B$7,2,FALSE)*Sheet3!E$3,0)</f>
        <v>3</v>
      </c>
      <c r="L5">
        <f>ROUND(VLOOKUP(INT(A5/1000),Sheet3!$A$2:$B$7,2,FALSE)*Sheet3!F$3,0)</f>
        <v>2</v>
      </c>
      <c r="M5">
        <f>ROUND(VLOOKUP(INT(A5/1000),Sheet3!$A$2:$B$7,2,FALSE)*Sheet3!G$3,0)</f>
        <v>2</v>
      </c>
    </row>
    <row r="6" spans="1:18" x14ac:dyDescent="0.15">
      <c r="A6">
        <v>2103</v>
      </c>
      <c r="B6" s="9" t="s">
        <v>11</v>
      </c>
      <c r="C6" s="9" t="s">
        <v>4</v>
      </c>
      <c r="D6" s="9">
        <v>1203</v>
      </c>
      <c r="E6" s="9">
        <v>50000</v>
      </c>
      <c r="F6" s="9" t="str">
        <f t="shared" si="0"/>
        <v>14107|600</v>
      </c>
      <c r="G6" s="9">
        <v>600</v>
      </c>
      <c r="H6" s="9">
        <v>0</v>
      </c>
      <c r="I6">
        <f>ROUND(VLOOKUP(INT(A6/1000),Sheet3!$A$2:$B$7,2,FALSE)*Sheet3!D$3,0)</f>
        <v>90</v>
      </c>
      <c r="K6">
        <f>ROUND(VLOOKUP(INT(A6/1000),Sheet3!$A$2:$B$7,2,FALSE)*Sheet3!E$3,0)</f>
        <v>3</v>
      </c>
      <c r="L6">
        <f>ROUND(VLOOKUP(INT(A6/1000),Sheet3!$A$2:$B$7,2,FALSE)*Sheet3!F$3,0)</f>
        <v>2</v>
      </c>
      <c r="M6">
        <f>ROUND(VLOOKUP(INT(A6/1000),Sheet3!$A$2:$B$7,2,FALSE)*Sheet3!G$3,0)</f>
        <v>2</v>
      </c>
    </row>
    <row r="7" spans="1:18" x14ac:dyDescent="0.15">
      <c r="A7">
        <v>2104</v>
      </c>
      <c r="B7" s="9" t="s">
        <v>12</v>
      </c>
      <c r="C7" s="9" t="s">
        <v>5</v>
      </c>
      <c r="D7" s="9">
        <v>1204</v>
      </c>
      <c r="E7" s="9">
        <v>100000</v>
      </c>
      <c r="F7" s="9" t="str">
        <f t="shared" si="0"/>
        <v>14107|1200</v>
      </c>
      <c r="G7" s="9">
        <v>1200</v>
      </c>
      <c r="H7" s="9">
        <v>1</v>
      </c>
      <c r="I7">
        <f>ROUND(VLOOKUP(INT(A7/1000),Sheet3!$A$2:$B$7,2,FALSE)*Sheet3!D$3,0)</f>
        <v>90</v>
      </c>
      <c r="K7">
        <f>ROUND(VLOOKUP(INT(A7/1000),Sheet3!$A$2:$B$7,2,FALSE)*Sheet3!E$3,0)</f>
        <v>3</v>
      </c>
      <c r="L7">
        <f>ROUND(VLOOKUP(INT(A7/1000),Sheet3!$A$2:$B$7,2,FALSE)*Sheet3!F$3,0)</f>
        <v>2</v>
      </c>
      <c r="M7">
        <f>ROUND(VLOOKUP(INT(A7/1000),Sheet3!$A$2:$B$7,2,FALSE)*Sheet3!G$3,0)</f>
        <v>2</v>
      </c>
    </row>
    <row r="8" spans="1:18" x14ac:dyDescent="0.15">
      <c r="A8">
        <v>2105</v>
      </c>
      <c r="B8" s="9" t="s">
        <v>13</v>
      </c>
      <c r="C8" s="9" t="s">
        <v>6</v>
      </c>
      <c r="D8" s="9">
        <v>1205</v>
      </c>
      <c r="E8" s="9">
        <v>200000</v>
      </c>
      <c r="F8" s="9" t="str">
        <f t="shared" si="0"/>
        <v>14107|2400</v>
      </c>
      <c r="G8" s="9">
        <v>2400</v>
      </c>
      <c r="H8" s="9">
        <v>1</v>
      </c>
      <c r="I8">
        <f>ROUND(VLOOKUP(INT(A8/1000),Sheet3!$A$2:$B$7,2,FALSE)*Sheet3!D$3,0)</f>
        <v>90</v>
      </c>
      <c r="K8">
        <f>ROUND(VLOOKUP(INT(A8/1000),Sheet3!$A$2:$B$7,2,FALSE)*Sheet3!E$3,0)</f>
        <v>3</v>
      </c>
      <c r="L8">
        <f>ROUND(VLOOKUP(INT(A8/1000),Sheet3!$A$2:$B$7,2,FALSE)*Sheet3!F$3,0)</f>
        <v>2</v>
      </c>
      <c r="M8">
        <f>ROUND(VLOOKUP(INT(A8/1000),Sheet3!$A$2:$B$7,2,FALSE)*Sheet3!G$3,0)</f>
        <v>2</v>
      </c>
    </row>
    <row r="9" spans="1:18" x14ac:dyDescent="0.15">
      <c r="A9">
        <v>2106</v>
      </c>
      <c r="B9" s="9" t="s">
        <v>14</v>
      </c>
      <c r="C9" s="9" t="s">
        <v>7</v>
      </c>
      <c r="D9" s="9">
        <v>1206</v>
      </c>
      <c r="E9" s="9">
        <v>300000</v>
      </c>
      <c r="F9" s="9" t="str">
        <f t="shared" si="0"/>
        <v>14107|3600</v>
      </c>
      <c r="G9" s="9">
        <v>3600</v>
      </c>
      <c r="H9" s="9">
        <v>2</v>
      </c>
      <c r="I9">
        <f>ROUND(VLOOKUP(INT(A9/1000),Sheet3!$A$2:$B$7,2,FALSE)*Sheet3!D$3,0)</f>
        <v>90</v>
      </c>
      <c r="K9">
        <f>ROUND(VLOOKUP(INT(A9/1000),Sheet3!$A$2:$B$7,2,FALSE)*Sheet3!E$3,0)</f>
        <v>3</v>
      </c>
      <c r="L9">
        <f>ROUND(VLOOKUP(INT(A9/1000),Sheet3!$A$2:$B$7,2,FALSE)*Sheet3!F$3,0)</f>
        <v>2</v>
      </c>
      <c r="M9">
        <f>ROUND(VLOOKUP(INT(A9/1000),Sheet3!$A$2:$B$7,2,FALSE)*Sheet3!G$3,0)</f>
        <v>2</v>
      </c>
    </row>
    <row r="10" spans="1:18" x14ac:dyDescent="0.15">
      <c r="A10">
        <v>2107</v>
      </c>
      <c r="B10" s="9" t="s">
        <v>15</v>
      </c>
      <c r="C10" s="9" t="s">
        <v>8</v>
      </c>
      <c r="D10" s="9">
        <v>1207</v>
      </c>
      <c r="E10" s="9">
        <v>500000</v>
      </c>
      <c r="F10" s="9" t="str">
        <f t="shared" si="0"/>
        <v>14107|6000</v>
      </c>
      <c r="G10" s="9">
        <v>6000</v>
      </c>
      <c r="H10" s="9">
        <v>2</v>
      </c>
      <c r="I10">
        <f>ROUND(VLOOKUP(INT(A10/1000),Sheet3!$A$2:$B$7,2,FALSE)*Sheet3!D$3,0)</f>
        <v>90</v>
      </c>
      <c r="K10">
        <f>ROUND(VLOOKUP(INT(A10/1000),Sheet3!$A$2:$B$7,2,FALSE)*Sheet3!E$3,0)</f>
        <v>3</v>
      </c>
      <c r="L10">
        <f>ROUND(VLOOKUP(INT(A10/1000),Sheet3!$A$2:$B$7,2,FALSE)*Sheet3!F$3,0)</f>
        <v>2</v>
      </c>
      <c r="M10">
        <f>ROUND(VLOOKUP(INT(A10/1000),Sheet3!$A$2:$B$7,2,FALSE)*Sheet3!G$3,0)</f>
        <v>2</v>
      </c>
    </row>
    <row r="11" spans="1:18" x14ac:dyDescent="0.15">
      <c r="A11">
        <v>2108</v>
      </c>
      <c r="B11" s="9" t="s">
        <v>16</v>
      </c>
      <c r="C11" s="9" t="s">
        <v>9</v>
      </c>
      <c r="D11" s="9">
        <v>1208</v>
      </c>
      <c r="E11" s="9">
        <v>800000</v>
      </c>
      <c r="F11" s="9" t="str">
        <f t="shared" si="0"/>
        <v>14107|10000</v>
      </c>
      <c r="G11" s="9">
        <v>10000</v>
      </c>
      <c r="H11" s="9">
        <v>4</v>
      </c>
      <c r="I11">
        <f>ROUND(VLOOKUP(INT(A11/1000),Sheet3!$A$2:$B$7,2,FALSE)*Sheet3!D$3,0)</f>
        <v>90</v>
      </c>
      <c r="K11">
        <f>ROUND(VLOOKUP(INT(A11/1000),Sheet3!$A$2:$B$7,2,FALSE)*Sheet3!E$3,0)</f>
        <v>3</v>
      </c>
      <c r="L11">
        <f>ROUND(VLOOKUP(INT(A11/1000),Sheet3!$A$2:$B$7,2,FALSE)*Sheet3!F$3,0)</f>
        <v>2</v>
      </c>
      <c r="M11">
        <f>ROUND(VLOOKUP(INT(A11/1000),Sheet3!$A$2:$B$7,2,FALSE)*Sheet3!G$3,0)</f>
        <v>2</v>
      </c>
    </row>
    <row r="12" spans="1:18" x14ac:dyDescent="0.15">
      <c r="A12">
        <v>2109</v>
      </c>
      <c r="B12" s="9" t="s">
        <v>35</v>
      </c>
      <c r="C12" s="9" t="s">
        <v>1</v>
      </c>
      <c r="D12" s="9">
        <v>1209</v>
      </c>
      <c r="E12" s="9">
        <v>1200000</v>
      </c>
      <c r="F12" s="9" t="str">
        <f t="shared" si="0"/>
        <v>14107|15000</v>
      </c>
      <c r="G12" s="9">
        <v>15000</v>
      </c>
      <c r="H12" s="9">
        <v>6</v>
      </c>
      <c r="I12">
        <f>ROUND(VLOOKUP(INT(A12/1000),Sheet3!$A$2:$B$7,2,FALSE)*Sheet3!D$3,0)</f>
        <v>90</v>
      </c>
      <c r="K12">
        <f>ROUND(VLOOKUP(INT(A12/1000),Sheet3!$A$2:$B$7,2,FALSE)*Sheet3!E$3,0)</f>
        <v>3</v>
      </c>
      <c r="L12">
        <f>ROUND(VLOOKUP(INT(A12/1000),Sheet3!$A$2:$B$7,2,FALSE)*Sheet3!F$3,0)</f>
        <v>2</v>
      </c>
      <c r="M12">
        <f>ROUND(VLOOKUP(INT(A12/1000),Sheet3!$A$2:$B$7,2,FALSE)*Sheet3!G$3,0)</f>
        <v>2</v>
      </c>
    </row>
    <row r="13" spans="1:18" x14ac:dyDescent="0.15">
      <c r="A13">
        <v>2110</v>
      </c>
      <c r="B13" s="9" t="s">
        <v>36</v>
      </c>
      <c r="C13" s="9" t="s">
        <v>0</v>
      </c>
      <c r="D13" s="9">
        <v>1210</v>
      </c>
      <c r="E13" s="9">
        <v>1600000</v>
      </c>
      <c r="F13" s="9" t="str">
        <f t="shared" si="0"/>
        <v>14107|20000</v>
      </c>
      <c r="G13" s="9">
        <v>20000</v>
      </c>
      <c r="H13" s="9">
        <v>8</v>
      </c>
      <c r="I13">
        <f>ROUND(VLOOKUP(INT(A13/1000),Sheet3!$A$2:$B$7,2,FALSE)*Sheet3!D$3,0)</f>
        <v>90</v>
      </c>
      <c r="K13">
        <f>ROUND(VLOOKUP(INT(A13/1000),Sheet3!$A$2:$B$7,2,FALSE)*Sheet3!E$3,0)</f>
        <v>3</v>
      </c>
      <c r="L13">
        <f>ROUND(VLOOKUP(INT(A13/1000),Sheet3!$A$2:$B$7,2,FALSE)*Sheet3!F$3,0)</f>
        <v>2</v>
      </c>
      <c r="M13">
        <f>ROUND(VLOOKUP(INT(A13/1000),Sheet3!$A$2:$B$7,2,FALSE)*Sheet3!G$3,0)</f>
        <v>2</v>
      </c>
    </row>
    <row r="14" spans="1:18" x14ac:dyDescent="0.15">
      <c r="A14">
        <v>2111</v>
      </c>
      <c r="B14" s="9" t="s">
        <v>37</v>
      </c>
      <c r="C14" s="9" t="s">
        <v>38</v>
      </c>
      <c r="D14" s="9">
        <v>1211</v>
      </c>
      <c r="E14" s="9">
        <v>2000000</v>
      </c>
      <c r="F14" s="9" t="str">
        <f t="shared" si="0"/>
        <v>14107|24000</v>
      </c>
      <c r="G14" s="9">
        <v>24000</v>
      </c>
      <c r="H14" s="9">
        <v>10</v>
      </c>
      <c r="I14">
        <f>ROUND(VLOOKUP(INT(A14/1000),Sheet3!$A$2:$B$7,2,FALSE)*Sheet3!D$3,0)</f>
        <v>90</v>
      </c>
      <c r="K14">
        <f>ROUND(VLOOKUP(INT(A14/1000),Sheet3!$A$2:$B$7,2,FALSE)*Sheet3!E$3,0)</f>
        <v>3</v>
      </c>
      <c r="L14">
        <f>ROUND(VLOOKUP(INT(A14/1000),Sheet3!$A$2:$B$7,2,FALSE)*Sheet3!F$3,0)</f>
        <v>2</v>
      </c>
      <c r="M14">
        <f>ROUND(VLOOKUP(INT(A14/1000),Sheet3!$A$2:$B$7,2,FALSE)*Sheet3!G$3,0)</f>
        <v>2</v>
      </c>
    </row>
    <row r="15" spans="1:18" x14ac:dyDescent="0.15">
      <c r="A15">
        <v>2112</v>
      </c>
      <c r="B15" s="9" t="s">
        <v>39</v>
      </c>
      <c r="C15" s="9" t="s">
        <v>40</v>
      </c>
      <c r="D15" s="9">
        <v>1212</v>
      </c>
      <c r="E15" s="9">
        <v>2400000</v>
      </c>
      <c r="F15" s="9" t="str">
        <f t="shared" si="0"/>
        <v>14107|28000</v>
      </c>
      <c r="G15" s="9">
        <v>28000</v>
      </c>
      <c r="H15" s="9">
        <v>12</v>
      </c>
      <c r="I15">
        <f>ROUND(VLOOKUP(INT(A15/1000),Sheet3!$A$2:$B$7,2,FALSE)*Sheet3!D$3,0)</f>
        <v>90</v>
      </c>
      <c r="K15">
        <f>ROUND(VLOOKUP(INT(A15/1000),Sheet3!$A$2:$B$7,2,FALSE)*Sheet3!E$3,0)</f>
        <v>3</v>
      </c>
      <c r="L15">
        <f>ROUND(VLOOKUP(INT(A15/1000),Sheet3!$A$2:$B$7,2,FALSE)*Sheet3!F$3,0)</f>
        <v>2</v>
      </c>
      <c r="M15">
        <f>ROUND(VLOOKUP(INT(A15/1000),Sheet3!$A$2:$B$7,2,FALSE)*Sheet3!G$3,0)</f>
        <v>2</v>
      </c>
    </row>
    <row r="16" spans="1:18" x14ac:dyDescent="0.15">
      <c r="A16">
        <f t="shared" ref="A16:A27" si="1">A4+4000</f>
        <v>6101</v>
      </c>
      <c r="B16" t="s">
        <v>17</v>
      </c>
      <c r="C16" t="s">
        <v>2</v>
      </c>
      <c r="D16">
        <f t="shared" ref="D16:F27" si="2">D4</f>
        <v>1201</v>
      </c>
      <c r="E16">
        <f t="shared" si="2"/>
        <v>10000</v>
      </c>
      <c r="F16" t="str">
        <f t="shared" si="2"/>
        <v>14107|120</v>
      </c>
      <c r="H16">
        <f t="shared" ref="H16:H27" si="3">H4</f>
        <v>0</v>
      </c>
      <c r="I16">
        <f>ROUND(VLOOKUP(INT(A16/1000),Sheet3!$A$2:$B$7,2,FALSE)*Sheet3!D$3,0)</f>
        <v>105</v>
      </c>
      <c r="K16">
        <f>ROUND(VLOOKUP(INT(A16/1000),Sheet3!$A$2:$B$7,2,FALSE)*Sheet3!E$3,0)</f>
        <v>4</v>
      </c>
      <c r="L16">
        <f>ROUND(VLOOKUP(INT(A16/1000),Sheet3!$A$2:$B$7,2,FALSE)*Sheet3!F$3,0)</f>
        <v>2</v>
      </c>
      <c r="M16">
        <f>ROUND(VLOOKUP(INT(A16/1000),Sheet3!$A$2:$B$7,2,FALSE)*Sheet3!G$3,0)</f>
        <v>2</v>
      </c>
    </row>
    <row r="17" spans="1:13" x14ac:dyDescent="0.15">
      <c r="A17">
        <f t="shared" si="1"/>
        <v>6102</v>
      </c>
      <c r="B17" t="s">
        <v>10</v>
      </c>
      <c r="C17" t="s">
        <v>3</v>
      </c>
      <c r="D17">
        <f t="shared" si="2"/>
        <v>1202</v>
      </c>
      <c r="E17">
        <f t="shared" si="2"/>
        <v>30000</v>
      </c>
      <c r="F17" t="str">
        <f t="shared" si="2"/>
        <v>14107|360</v>
      </c>
      <c r="H17">
        <f t="shared" si="3"/>
        <v>0</v>
      </c>
      <c r="I17">
        <f>ROUND(VLOOKUP(INT(A17/1000),Sheet3!$A$2:$B$7,2,FALSE)*Sheet3!D$3,0)</f>
        <v>105</v>
      </c>
      <c r="K17">
        <f>ROUND(VLOOKUP(INT(A17/1000),Sheet3!$A$2:$B$7,2,FALSE)*Sheet3!E$3,0)</f>
        <v>4</v>
      </c>
      <c r="L17">
        <f>ROUND(VLOOKUP(INT(A17/1000),Sheet3!$A$2:$B$7,2,FALSE)*Sheet3!F$3,0)</f>
        <v>2</v>
      </c>
      <c r="M17">
        <f>ROUND(VLOOKUP(INT(A17/1000),Sheet3!$A$2:$B$7,2,FALSE)*Sheet3!G$3,0)</f>
        <v>2</v>
      </c>
    </row>
    <row r="18" spans="1:13" x14ac:dyDescent="0.15">
      <c r="A18">
        <f t="shared" si="1"/>
        <v>6103</v>
      </c>
      <c r="B18" t="s">
        <v>11</v>
      </c>
      <c r="C18" t="s">
        <v>4</v>
      </c>
      <c r="D18">
        <f t="shared" si="2"/>
        <v>1203</v>
      </c>
      <c r="E18">
        <f t="shared" si="2"/>
        <v>50000</v>
      </c>
      <c r="F18" t="str">
        <f t="shared" si="2"/>
        <v>14107|600</v>
      </c>
      <c r="H18">
        <f t="shared" si="3"/>
        <v>0</v>
      </c>
      <c r="I18">
        <f>ROUND(VLOOKUP(INT(A18/1000),Sheet3!$A$2:$B$7,2,FALSE)*Sheet3!D$3,0)</f>
        <v>105</v>
      </c>
      <c r="K18">
        <f>ROUND(VLOOKUP(INT(A18/1000),Sheet3!$A$2:$B$7,2,FALSE)*Sheet3!E$3,0)</f>
        <v>4</v>
      </c>
      <c r="L18">
        <f>ROUND(VLOOKUP(INT(A18/1000),Sheet3!$A$2:$B$7,2,FALSE)*Sheet3!F$3,0)</f>
        <v>2</v>
      </c>
      <c r="M18">
        <f>ROUND(VLOOKUP(INT(A18/1000),Sheet3!$A$2:$B$7,2,FALSE)*Sheet3!G$3,0)</f>
        <v>2</v>
      </c>
    </row>
    <row r="19" spans="1:13" x14ac:dyDescent="0.15">
      <c r="A19">
        <f t="shared" si="1"/>
        <v>6104</v>
      </c>
      <c r="B19" t="s">
        <v>12</v>
      </c>
      <c r="C19" t="s">
        <v>5</v>
      </c>
      <c r="D19">
        <f t="shared" si="2"/>
        <v>1204</v>
      </c>
      <c r="E19">
        <f t="shared" si="2"/>
        <v>100000</v>
      </c>
      <c r="F19" t="str">
        <f t="shared" si="2"/>
        <v>14107|1200</v>
      </c>
      <c r="H19">
        <f t="shared" si="3"/>
        <v>1</v>
      </c>
      <c r="I19">
        <f>ROUND(VLOOKUP(INT(A19/1000),Sheet3!$A$2:$B$7,2,FALSE)*Sheet3!D$3,0)</f>
        <v>105</v>
      </c>
      <c r="K19">
        <f>ROUND(VLOOKUP(INT(A19/1000),Sheet3!$A$2:$B$7,2,FALSE)*Sheet3!E$3,0)</f>
        <v>4</v>
      </c>
      <c r="L19">
        <f>ROUND(VLOOKUP(INT(A19/1000),Sheet3!$A$2:$B$7,2,FALSE)*Sheet3!F$3,0)</f>
        <v>2</v>
      </c>
      <c r="M19">
        <f>ROUND(VLOOKUP(INT(A19/1000),Sheet3!$A$2:$B$7,2,FALSE)*Sheet3!G$3,0)</f>
        <v>2</v>
      </c>
    </row>
    <row r="20" spans="1:13" x14ac:dyDescent="0.15">
      <c r="A20">
        <f t="shared" si="1"/>
        <v>6105</v>
      </c>
      <c r="B20" t="s">
        <v>13</v>
      </c>
      <c r="C20" t="s">
        <v>6</v>
      </c>
      <c r="D20">
        <f t="shared" si="2"/>
        <v>1205</v>
      </c>
      <c r="E20">
        <f t="shared" si="2"/>
        <v>200000</v>
      </c>
      <c r="F20" t="str">
        <f t="shared" si="2"/>
        <v>14107|2400</v>
      </c>
      <c r="H20">
        <f t="shared" si="3"/>
        <v>1</v>
      </c>
      <c r="I20">
        <f>ROUND(VLOOKUP(INT(A20/1000),Sheet3!$A$2:$B$7,2,FALSE)*Sheet3!D$3,0)</f>
        <v>105</v>
      </c>
      <c r="K20">
        <f>ROUND(VLOOKUP(INT(A20/1000),Sheet3!$A$2:$B$7,2,FALSE)*Sheet3!E$3,0)</f>
        <v>4</v>
      </c>
      <c r="L20">
        <f>ROUND(VLOOKUP(INT(A20/1000),Sheet3!$A$2:$B$7,2,FALSE)*Sheet3!F$3,0)</f>
        <v>2</v>
      </c>
      <c r="M20">
        <f>ROUND(VLOOKUP(INT(A20/1000),Sheet3!$A$2:$B$7,2,FALSE)*Sheet3!G$3,0)</f>
        <v>2</v>
      </c>
    </row>
    <row r="21" spans="1:13" x14ac:dyDescent="0.15">
      <c r="A21">
        <f t="shared" si="1"/>
        <v>6106</v>
      </c>
      <c r="B21" t="s">
        <v>14</v>
      </c>
      <c r="C21" t="s">
        <v>7</v>
      </c>
      <c r="D21">
        <f t="shared" si="2"/>
        <v>1206</v>
      </c>
      <c r="E21">
        <f t="shared" si="2"/>
        <v>300000</v>
      </c>
      <c r="F21" t="str">
        <f t="shared" si="2"/>
        <v>14107|3600</v>
      </c>
      <c r="H21">
        <f t="shared" si="3"/>
        <v>2</v>
      </c>
      <c r="I21">
        <f>ROUND(VLOOKUP(INT(A21/1000),Sheet3!$A$2:$B$7,2,FALSE)*Sheet3!D$3,0)</f>
        <v>105</v>
      </c>
      <c r="K21">
        <f>ROUND(VLOOKUP(INT(A21/1000),Sheet3!$A$2:$B$7,2,FALSE)*Sheet3!E$3,0)</f>
        <v>4</v>
      </c>
      <c r="L21">
        <f>ROUND(VLOOKUP(INT(A21/1000),Sheet3!$A$2:$B$7,2,FALSE)*Sheet3!F$3,0)</f>
        <v>2</v>
      </c>
      <c r="M21">
        <f>ROUND(VLOOKUP(INT(A21/1000),Sheet3!$A$2:$B$7,2,FALSE)*Sheet3!G$3,0)</f>
        <v>2</v>
      </c>
    </row>
    <row r="22" spans="1:13" x14ac:dyDescent="0.15">
      <c r="A22">
        <f t="shared" si="1"/>
        <v>6107</v>
      </c>
      <c r="B22" t="s">
        <v>15</v>
      </c>
      <c r="C22" t="s">
        <v>8</v>
      </c>
      <c r="D22">
        <f t="shared" si="2"/>
        <v>1207</v>
      </c>
      <c r="E22">
        <f t="shared" si="2"/>
        <v>500000</v>
      </c>
      <c r="F22" t="str">
        <f t="shared" si="2"/>
        <v>14107|6000</v>
      </c>
      <c r="H22">
        <f t="shared" si="3"/>
        <v>2</v>
      </c>
      <c r="I22">
        <f>ROUND(VLOOKUP(INT(A22/1000),Sheet3!$A$2:$B$7,2,FALSE)*Sheet3!D$3,0)</f>
        <v>105</v>
      </c>
      <c r="K22">
        <f>ROUND(VLOOKUP(INT(A22/1000),Sheet3!$A$2:$B$7,2,FALSE)*Sheet3!E$3,0)</f>
        <v>4</v>
      </c>
      <c r="L22">
        <f>ROUND(VLOOKUP(INT(A22/1000),Sheet3!$A$2:$B$7,2,FALSE)*Sheet3!F$3,0)</f>
        <v>2</v>
      </c>
      <c r="M22">
        <f>ROUND(VLOOKUP(INT(A22/1000),Sheet3!$A$2:$B$7,2,FALSE)*Sheet3!G$3,0)</f>
        <v>2</v>
      </c>
    </row>
    <row r="23" spans="1:13" x14ac:dyDescent="0.15">
      <c r="A23">
        <f t="shared" si="1"/>
        <v>6108</v>
      </c>
      <c r="B23" t="s">
        <v>16</v>
      </c>
      <c r="C23" t="s">
        <v>9</v>
      </c>
      <c r="D23">
        <f t="shared" si="2"/>
        <v>1208</v>
      </c>
      <c r="E23">
        <f t="shared" si="2"/>
        <v>800000</v>
      </c>
      <c r="F23" t="str">
        <f t="shared" si="2"/>
        <v>14107|10000</v>
      </c>
      <c r="H23">
        <f t="shared" si="3"/>
        <v>4</v>
      </c>
      <c r="I23">
        <f>ROUND(VLOOKUP(INT(A23/1000),Sheet3!$A$2:$B$7,2,FALSE)*Sheet3!D$3,0)</f>
        <v>105</v>
      </c>
      <c r="K23">
        <f>ROUND(VLOOKUP(INT(A23/1000),Sheet3!$A$2:$B$7,2,FALSE)*Sheet3!E$3,0)</f>
        <v>4</v>
      </c>
      <c r="L23">
        <f>ROUND(VLOOKUP(INT(A23/1000),Sheet3!$A$2:$B$7,2,FALSE)*Sheet3!F$3,0)</f>
        <v>2</v>
      </c>
      <c r="M23">
        <f>ROUND(VLOOKUP(INT(A23/1000),Sheet3!$A$2:$B$7,2,FALSE)*Sheet3!G$3,0)</f>
        <v>2</v>
      </c>
    </row>
    <row r="24" spans="1:13" x14ac:dyDescent="0.15">
      <c r="A24">
        <f t="shared" si="1"/>
        <v>6109</v>
      </c>
      <c r="B24" t="s">
        <v>35</v>
      </c>
      <c r="C24" t="s">
        <v>1</v>
      </c>
      <c r="D24">
        <f t="shared" si="2"/>
        <v>1209</v>
      </c>
      <c r="E24">
        <f t="shared" si="2"/>
        <v>1200000</v>
      </c>
      <c r="F24" t="str">
        <f t="shared" si="2"/>
        <v>14107|15000</v>
      </c>
      <c r="H24">
        <f t="shared" si="3"/>
        <v>6</v>
      </c>
      <c r="I24">
        <f>ROUND(VLOOKUP(INT(A24/1000),Sheet3!$A$2:$B$7,2,FALSE)*Sheet3!D$3,0)</f>
        <v>105</v>
      </c>
      <c r="K24">
        <f>ROUND(VLOOKUP(INT(A24/1000),Sheet3!$A$2:$B$7,2,FALSE)*Sheet3!E$3,0)</f>
        <v>4</v>
      </c>
      <c r="L24">
        <f>ROUND(VLOOKUP(INT(A24/1000),Sheet3!$A$2:$B$7,2,FALSE)*Sheet3!F$3,0)</f>
        <v>2</v>
      </c>
      <c r="M24">
        <f>ROUND(VLOOKUP(INT(A24/1000),Sheet3!$A$2:$B$7,2,FALSE)*Sheet3!G$3,0)</f>
        <v>2</v>
      </c>
    </row>
    <row r="25" spans="1:13" x14ac:dyDescent="0.15">
      <c r="A25">
        <f t="shared" si="1"/>
        <v>6110</v>
      </c>
      <c r="B25" t="s">
        <v>36</v>
      </c>
      <c r="C25" t="s">
        <v>0</v>
      </c>
      <c r="D25">
        <f t="shared" si="2"/>
        <v>1210</v>
      </c>
      <c r="E25">
        <f t="shared" si="2"/>
        <v>1600000</v>
      </c>
      <c r="F25" t="str">
        <f t="shared" si="2"/>
        <v>14107|20000</v>
      </c>
      <c r="H25">
        <f t="shared" si="3"/>
        <v>8</v>
      </c>
      <c r="I25">
        <f>ROUND(VLOOKUP(INT(A25/1000),Sheet3!$A$2:$B$7,2,FALSE)*Sheet3!D$3,0)</f>
        <v>105</v>
      </c>
      <c r="K25">
        <f>ROUND(VLOOKUP(INT(A25/1000),Sheet3!$A$2:$B$7,2,FALSE)*Sheet3!E$3,0)</f>
        <v>4</v>
      </c>
      <c r="L25">
        <f>ROUND(VLOOKUP(INT(A25/1000),Sheet3!$A$2:$B$7,2,FALSE)*Sheet3!F$3,0)</f>
        <v>2</v>
      </c>
      <c r="M25">
        <f>ROUND(VLOOKUP(INT(A25/1000),Sheet3!$A$2:$B$7,2,FALSE)*Sheet3!G$3,0)</f>
        <v>2</v>
      </c>
    </row>
    <row r="26" spans="1:13" x14ac:dyDescent="0.15">
      <c r="A26">
        <f t="shared" si="1"/>
        <v>6111</v>
      </c>
      <c r="B26" t="s">
        <v>37</v>
      </c>
      <c r="C26" t="s">
        <v>38</v>
      </c>
      <c r="D26">
        <f t="shared" si="2"/>
        <v>1211</v>
      </c>
      <c r="E26">
        <f t="shared" si="2"/>
        <v>2000000</v>
      </c>
      <c r="F26" t="str">
        <f t="shared" si="2"/>
        <v>14107|24000</v>
      </c>
      <c r="H26">
        <f t="shared" si="3"/>
        <v>10</v>
      </c>
      <c r="I26">
        <f>ROUND(VLOOKUP(INT(A26/1000),Sheet3!$A$2:$B$7,2,FALSE)*Sheet3!D$3,0)</f>
        <v>105</v>
      </c>
      <c r="K26">
        <f>ROUND(VLOOKUP(INT(A26/1000),Sheet3!$A$2:$B$7,2,FALSE)*Sheet3!E$3,0)</f>
        <v>4</v>
      </c>
      <c r="L26">
        <f>ROUND(VLOOKUP(INT(A26/1000),Sheet3!$A$2:$B$7,2,FALSE)*Sheet3!F$3,0)</f>
        <v>2</v>
      </c>
      <c r="M26">
        <f>ROUND(VLOOKUP(INT(A26/1000),Sheet3!$A$2:$B$7,2,FALSE)*Sheet3!G$3,0)</f>
        <v>2</v>
      </c>
    </row>
    <row r="27" spans="1:13" x14ac:dyDescent="0.15">
      <c r="A27">
        <f t="shared" si="1"/>
        <v>6112</v>
      </c>
      <c r="B27" t="s">
        <v>39</v>
      </c>
      <c r="C27" t="s">
        <v>40</v>
      </c>
      <c r="D27">
        <f t="shared" si="2"/>
        <v>1212</v>
      </c>
      <c r="E27">
        <f t="shared" si="2"/>
        <v>2400000</v>
      </c>
      <c r="F27" t="str">
        <f t="shared" si="2"/>
        <v>14107|28000</v>
      </c>
      <c r="H27">
        <f t="shared" si="3"/>
        <v>12</v>
      </c>
      <c r="I27">
        <f>ROUND(VLOOKUP(INT(A27/1000),Sheet3!$A$2:$B$7,2,FALSE)*Sheet3!D$3,0)</f>
        <v>105</v>
      </c>
      <c r="K27">
        <f>ROUND(VLOOKUP(INT(A27/1000),Sheet3!$A$2:$B$7,2,FALSE)*Sheet3!E$3,0)</f>
        <v>4</v>
      </c>
      <c r="L27">
        <f>ROUND(VLOOKUP(INT(A27/1000),Sheet3!$A$2:$B$7,2,FALSE)*Sheet3!F$3,0)</f>
        <v>2</v>
      </c>
      <c r="M27">
        <f>ROUND(VLOOKUP(INT(A27/1000),Sheet3!$A$2:$B$7,2,FALSE)*Sheet3!G$3,0)</f>
        <v>2</v>
      </c>
    </row>
    <row r="28" spans="1:13" x14ac:dyDescent="0.15">
      <c r="A28">
        <f t="shared" ref="A28:A33" si="4">A16+5000</f>
        <v>11101</v>
      </c>
      <c r="B28" t="str">
        <f t="shared" ref="B28:C39" si="5">B4</f>
        <v>伙伴5级时开启</v>
      </c>
      <c r="C28" t="str">
        <f t="shared" si="5"/>
        <v>进阶+1</v>
      </c>
      <c r="D28">
        <f t="shared" ref="D28:F80" si="6">D16</f>
        <v>1201</v>
      </c>
      <c r="E28">
        <f t="shared" ref="E28:F28" si="7">E16</f>
        <v>10000</v>
      </c>
      <c r="F28" t="str">
        <f t="shared" si="7"/>
        <v>14107|120</v>
      </c>
      <c r="H28">
        <f t="shared" ref="H28:H80" si="8">H16</f>
        <v>0</v>
      </c>
      <c r="I28">
        <f>ROUND(VLOOKUP(INT(A28/1000),Sheet3!$A$2:$B$7,2,FALSE)*Sheet3!D$3,0)</f>
        <v>120</v>
      </c>
      <c r="K28">
        <f>ROUND(VLOOKUP(INT(A28/1000),Sheet3!$A$2:$B$7,2,FALSE)*Sheet3!E$3,0)</f>
        <v>4</v>
      </c>
      <c r="L28">
        <f>ROUND(VLOOKUP(INT(A28/1000),Sheet3!$A$2:$B$7,2,FALSE)*Sheet3!F$3,0)</f>
        <v>2</v>
      </c>
      <c r="M28">
        <f>ROUND(VLOOKUP(INT(A28/1000),Sheet3!$A$2:$B$7,2,FALSE)*Sheet3!G$3,0)</f>
        <v>2</v>
      </c>
    </row>
    <row r="29" spans="1:13" x14ac:dyDescent="0.15">
      <c r="A29">
        <f t="shared" si="4"/>
        <v>11102</v>
      </c>
      <c r="B29" t="str">
        <f t="shared" si="5"/>
        <v>伙伴15级时开启</v>
      </c>
      <c r="C29" t="str">
        <f t="shared" si="5"/>
        <v>进阶+2</v>
      </c>
      <c r="D29">
        <f t="shared" si="6"/>
        <v>1202</v>
      </c>
      <c r="E29">
        <f t="shared" ref="E29:F29" si="9">E17</f>
        <v>30000</v>
      </c>
      <c r="F29" t="str">
        <f t="shared" si="9"/>
        <v>14107|360</v>
      </c>
      <c r="H29">
        <f t="shared" si="8"/>
        <v>0</v>
      </c>
      <c r="I29">
        <f>ROUND(VLOOKUP(INT(A29/1000),Sheet3!$A$2:$B$7,2,FALSE)*Sheet3!D$3,0)</f>
        <v>120</v>
      </c>
      <c r="K29">
        <f>ROUND(VLOOKUP(INT(A29/1000),Sheet3!$A$2:$B$7,2,FALSE)*Sheet3!E$3,0)</f>
        <v>4</v>
      </c>
      <c r="L29">
        <f>ROUND(VLOOKUP(INT(A29/1000),Sheet3!$A$2:$B$7,2,FALSE)*Sheet3!F$3,0)</f>
        <v>2</v>
      </c>
      <c r="M29">
        <f>ROUND(VLOOKUP(INT(A29/1000),Sheet3!$A$2:$B$7,2,FALSE)*Sheet3!G$3,0)</f>
        <v>2</v>
      </c>
    </row>
    <row r="30" spans="1:13" x14ac:dyDescent="0.15">
      <c r="A30">
        <f t="shared" si="4"/>
        <v>11103</v>
      </c>
      <c r="B30" t="str">
        <f t="shared" si="5"/>
        <v>伙伴25级时开启</v>
      </c>
      <c r="C30" t="str">
        <f t="shared" si="5"/>
        <v>进阶+3</v>
      </c>
      <c r="D30">
        <f t="shared" si="6"/>
        <v>1203</v>
      </c>
      <c r="E30">
        <f t="shared" ref="E30:F30" si="10">E18</f>
        <v>50000</v>
      </c>
      <c r="F30" t="str">
        <f t="shared" si="10"/>
        <v>14107|600</v>
      </c>
      <c r="H30">
        <f t="shared" si="8"/>
        <v>0</v>
      </c>
      <c r="I30">
        <f>ROUND(VLOOKUP(INT(A30/1000),Sheet3!$A$2:$B$7,2,FALSE)*Sheet3!D$3,0)</f>
        <v>120</v>
      </c>
      <c r="K30">
        <f>ROUND(VLOOKUP(INT(A30/1000),Sheet3!$A$2:$B$7,2,FALSE)*Sheet3!E$3,0)</f>
        <v>4</v>
      </c>
      <c r="L30">
        <f>ROUND(VLOOKUP(INT(A30/1000),Sheet3!$A$2:$B$7,2,FALSE)*Sheet3!F$3,0)</f>
        <v>2</v>
      </c>
      <c r="M30">
        <f>ROUND(VLOOKUP(INT(A30/1000),Sheet3!$A$2:$B$7,2,FALSE)*Sheet3!G$3,0)</f>
        <v>2</v>
      </c>
    </row>
    <row r="31" spans="1:13" x14ac:dyDescent="0.15">
      <c r="A31">
        <f t="shared" si="4"/>
        <v>11104</v>
      </c>
      <c r="B31" t="str">
        <f t="shared" si="5"/>
        <v>伙伴35级时开启</v>
      </c>
      <c r="C31" t="str">
        <f t="shared" si="5"/>
        <v>进阶+4</v>
      </c>
      <c r="D31">
        <f t="shared" si="6"/>
        <v>1204</v>
      </c>
      <c r="E31">
        <f t="shared" ref="E31:F31" si="11">E19</f>
        <v>100000</v>
      </c>
      <c r="F31" t="str">
        <f t="shared" si="11"/>
        <v>14107|1200</v>
      </c>
      <c r="H31">
        <f t="shared" si="8"/>
        <v>1</v>
      </c>
      <c r="I31">
        <f>ROUND(VLOOKUP(INT(A31/1000),Sheet3!$A$2:$B$7,2,FALSE)*Sheet3!D$3,0)</f>
        <v>120</v>
      </c>
      <c r="K31">
        <f>ROUND(VLOOKUP(INT(A31/1000),Sheet3!$A$2:$B$7,2,FALSE)*Sheet3!E$3,0)</f>
        <v>4</v>
      </c>
      <c r="L31">
        <f>ROUND(VLOOKUP(INT(A31/1000),Sheet3!$A$2:$B$7,2,FALSE)*Sheet3!F$3,0)</f>
        <v>2</v>
      </c>
      <c r="M31">
        <f>ROUND(VLOOKUP(INT(A31/1000),Sheet3!$A$2:$B$7,2,FALSE)*Sheet3!G$3,0)</f>
        <v>2</v>
      </c>
    </row>
    <row r="32" spans="1:13" x14ac:dyDescent="0.15">
      <c r="A32">
        <f t="shared" si="4"/>
        <v>11105</v>
      </c>
      <c r="B32" t="str">
        <f t="shared" si="5"/>
        <v>伙伴45级时开启</v>
      </c>
      <c r="C32" t="str">
        <f t="shared" si="5"/>
        <v>进阶+5</v>
      </c>
      <c r="D32">
        <f t="shared" si="6"/>
        <v>1205</v>
      </c>
      <c r="E32">
        <f t="shared" si="6"/>
        <v>200000</v>
      </c>
      <c r="F32" t="str">
        <f t="shared" si="6"/>
        <v>14107|2400</v>
      </c>
      <c r="H32">
        <f t="shared" si="8"/>
        <v>1</v>
      </c>
      <c r="I32">
        <f>ROUND(VLOOKUP(INT(A32/1000),Sheet3!$A$2:$B$7,2,FALSE)*Sheet3!D$3,0)</f>
        <v>120</v>
      </c>
      <c r="K32">
        <f>ROUND(VLOOKUP(INT(A32/1000),Sheet3!$A$2:$B$7,2,FALSE)*Sheet3!E$3,0)</f>
        <v>4</v>
      </c>
      <c r="L32">
        <f>ROUND(VLOOKUP(INT(A32/1000),Sheet3!$A$2:$B$7,2,FALSE)*Sheet3!F$3,0)</f>
        <v>2</v>
      </c>
      <c r="M32">
        <f>ROUND(VLOOKUP(INT(A32/1000),Sheet3!$A$2:$B$7,2,FALSE)*Sheet3!G$3,0)</f>
        <v>2</v>
      </c>
    </row>
    <row r="33" spans="1:13" x14ac:dyDescent="0.15">
      <c r="A33">
        <f t="shared" si="4"/>
        <v>11106</v>
      </c>
      <c r="B33" t="str">
        <f t="shared" si="5"/>
        <v>伙伴55级时开启</v>
      </c>
      <c r="C33" t="str">
        <f t="shared" si="5"/>
        <v>进阶+6</v>
      </c>
      <c r="D33">
        <f t="shared" si="6"/>
        <v>1206</v>
      </c>
      <c r="E33">
        <f t="shared" ref="E33:F33" si="12">E21</f>
        <v>300000</v>
      </c>
      <c r="F33" t="str">
        <f t="shared" si="12"/>
        <v>14107|3600</v>
      </c>
      <c r="H33">
        <f t="shared" si="8"/>
        <v>2</v>
      </c>
      <c r="I33">
        <f>ROUND(VLOOKUP(INT(A33/1000),Sheet3!$A$2:$B$7,2,FALSE)*Sheet3!D$3,0)</f>
        <v>120</v>
      </c>
      <c r="K33">
        <f>ROUND(VLOOKUP(INT(A33/1000),Sheet3!$A$2:$B$7,2,FALSE)*Sheet3!E$3,0)</f>
        <v>4</v>
      </c>
      <c r="L33">
        <f>ROUND(VLOOKUP(INT(A33/1000),Sheet3!$A$2:$B$7,2,FALSE)*Sheet3!F$3,0)</f>
        <v>2</v>
      </c>
      <c r="M33">
        <f>ROUND(VLOOKUP(INT(A33/1000),Sheet3!$A$2:$B$7,2,FALSE)*Sheet3!G$3,0)</f>
        <v>2</v>
      </c>
    </row>
    <row r="34" spans="1:13" x14ac:dyDescent="0.15">
      <c r="A34">
        <f t="shared" ref="A34:A39" si="13">A22+5000</f>
        <v>11107</v>
      </c>
      <c r="B34" t="str">
        <f t="shared" si="5"/>
        <v>伙伴65级时开启</v>
      </c>
      <c r="C34" t="str">
        <f t="shared" si="5"/>
        <v>进阶+7</v>
      </c>
      <c r="D34">
        <f t="shared" si="6"/>
        <v>1207</v>
      </c>
      <c r="E34">
        <f t="shared" ref="E34:F34" si="14">E22</f>
        <v>500000</v>
      </c>
      <c r="F34" t="str">
        <f t="shared" si="14"/>
        <v>14107|6000</v>
      </c>
      <c r="H34">
        <f t="shared" si="8"/>
        <v>2</v>
      </c>
      <c r="I34">
        <f>ROUND(VLOOKUP(INT(A34/1000),Sheet3!$A$2:$B$7,2,FALSE)*Sheet3!D$3,0)</f>
        <v>120</v>
      </c>
      <c r="K34">
        <f>ROUND(VLOOKUP(INT(A34/1000),Sheet3!$A$2:$B$7,2,FALSE)*Sheet3!E$3,0)</f>
        <v>4</v>
      </c>
      <c r="L34">
        <f>ROUND(VLOOKUP(INT(A34/1000),Sheet3!$A$2:$B$7,2,FALSE)*Sheet3!F$3,0)</f>
        <v>2</v>
      </c>
      <c r="M34">
        <f>ROUND(VLOOKUP(INT(A34/1000),Sheet3!$A$2:$B$7,2,FALSE)*Sheet3!G$3,0)</f>
        <v>2</v>
      </c>
    </row>
    <row r="35" spans="1:13" x14ac:dyDescent="0.15">
      <c r="A35">
        <f t="shared" si="13"/>
        <v>11108</v>
      </c>
      <c r="B35" t="str">
        <f t="shared" si="5"/>
        <v>伙伴75级时开启</v>
      </c>
      <c r="C35" t="str">
        <f t="shared" si="5"/>
        <v>进阶+8</v>
      </c>
      <c r="D35">
        <f t="shared" si="6"/>
        <v>1208</v>
      </c>
      <c r="E35">
        <f t="shared" ref="E35:F35" si="15">E23</f>
        <v>800000</v>
      </c>
      <c r="F35" t="str">
        <f t="shared" si="15"/>
        <v>14107|10000</v>
      </c>
      <c r="H35">
        <f t="shared" si="8"/>
        <v>4</v>
      </c>
      <c r="I35">
        <f>ROUND(VLOOKUP(INT(A35/1000),Sheet3!$A$2:$B$7,2,FALSE)*Sheet3!D$3,0)</f>
        <v>120</v>
      </c>
      <c r="K35">
        <f>ROUND(VLOOKUP(INT(A35/1000),Sheet3!$A$2:$B$7,2,FALSE)*Sheet3!E$3,0)</f>
        <v>4</v>
      </c>
      <c r="L35">
        <f>ROUND(VLOOKUP(INT(A35/1000),Sheet3!$A$2:$B$7,2,FALSE)*Sheet3!F$3,0)</f>
        <v>2</v>
      </c>
      <c r="M35">
        <f>ROUND(VLOOKUP(INT(A35/1000),Sheet3!$A$2:$B$7,2,FALSE)*Sheet3!G$3,0)</f>
        <v>2</v>
      </c>
    </row>
    <row r="36" spans="1:13" x14ac:dyDescent="0.15">
      <c r="A36">
        <f t="shared" si="13"/>
        <v>11109</v>
      </c>
      <c r="B36" t="str">
        <f t="shared" si="5"/>
        <v>伙伴85级时开启</v>
      </c>
      <c r="C36" t="str">
        <f t="shared" si="5"/>
        <v>进阶+9</v>
      </c>
      <c r="D36">
        <f t="shared" si="6"/>
        <v>1209</v>
      </c>
      <c r="E36">
        <f t="shared" ref="E36:F36" si="16">E24</f>
        <v>1200000</v>
      </c>
      <c r="F36" t="str">
        <f t="shared" si="16"/>
        <v>14107|15000</v>
      </c>
      <c r="H36">
        <f t="shared" si="8"/>
        <v>6</v>
      </c>
      <c r="I36">
        <f>ROUND(VLOOKUP(INT(A36/1000),Sheet3!$A$2:$B$7,2,FALSE)*Sheet3!D$3,0)</f>
        <v>120</v>
      </c>
      <c r="K36">
        <f>ROUND(VLOOKUP(INT(A36/1000),Sheet3!$A$2:$B$7,2,FALSE)*Sheet3!E$3,0)</f>
        <v>4</v>
      </c>
      <c r="L36">
        <f>ROUND(VLOOKUP(INT(A36/1000),Sheet3!$A$2:$B$7,2,FALSE)*Sheet3!F$3,0)</f>
        <v>2</v>
      </c>
      <c r="M36">
        <f>ROUND(VLOOKUP(INT(A36/1000),Sheet3!$A$2:$B$7,2,FALSE)*Sheet3!G$3,0)</f>
        <v>2</v>
      </c>
    </row>
    <row r="37" spans="1:13" x14ac:dyDescent="0.15">
      <c r="A37">
        <f t="shared" si="13"/>
        <v>11110</v>
      </c>
      <c r="B37" t="str">
        <f t="shared" si="5"/>
        <v>伙伴95级时开启</v>
      </c>
      <c r="C37" t="str">
        <f t="shared" si="5"/>
        <v>进阶+10</v>
      </c>
      <c r="D37">
        <f t="shared" si="6"/>
        <v>1210</v>
      </c>
      <c r="E37">
        <f t="shared" ref="E37:F37" si="17">E25</f>
        <v>1600000</v>
      </c>
      <c r="F37" t="str">
        <f t="shared" si="17"/>
        <v>14107|20000</v>
      </c>
      <c r="H37">
        <f t="shared" si="8"/>
        <v>8</v>
      </c>
      <c r="I37">
        <f>ROUND(VLOOKUP(INT(A37/1000),Sheet3!$A$2:$B$7,2,FALSE)*Sheet3!D$3,0)</f>
        <v>120</v>
      </c>
      <c r="K37">
        <f>ROUND(VLOOKUP(INT(A37/1000),Sheet3!$A$2:$B$7,2,FALSE)*Sheet3!E$3,0)</f>
        <v>4</v>
      </c>
      <c r="L37">
        <f>ROUND(VLOOKUP(INT(A37/1000),Sheet3!$A$2:$B$7,2,FALSE)*Sheet3!F$3,0)</f>
        <v>2</v>
      </c>
      <c r="M37">
        <f>ROUND(VLOOKUP(INT(A37/1000),Sheet3!$A$2:$B$7,2,FALSE)*Sheet3!G$3,0)</f>
        <v>2</v>
      </c>
    </row>
    <row r="38" spans="1:13" x14ac:dyDescent="0.15">
      <c r="A38">
        <f t="shared" si="13"/>
        <v>11111</v>
      </c>
      <c r="B38" t="str">
        <f t="shared" si="5"/>
        <v>伙伴105级时开启</v>
      </c>
      <c r="C38" t="str">
        <f t="shared" si="5"/>
        <v>进阶+11</v>
      </c>
      <c r="D38">
        <f t="shared" si="6"/>
        <v>1211</v>
      </c>
      <c r="E38">
        <f t="shared" ref="E38:F38" si="18">E26</f>
        <v>2000000</v>
      </c>
      <c r="F38" t="str">
        <f t="shared" si="18"/>
        <v>14107|24000</v>
      </c>
      <c r="H38">
        <f t="shared" si="8"/>
        <v>10</v>
      </c>
      <c r="I38">
        <f>ROUND(VLOOKUP(INT(A38/1000),Sheet3!$A$2:$B$7,2,FALSE)*Sheet3!D$3,0)</f>
        <v>120</v>
      </c>
      <c r="K38">
        <f>ROUND(VLOOKUP(INT(A38/1000),Sheet3!$A$2:$B$7,2,FALSE)*Sheet3!E$3,0)</f>
        <v>4</v>
      </c>
      <c r="L38">
        <f>ROUND(VLOOKUP(INT(A38/1000),Sheet3!$A$2:$B$7,2,FALSE)*Sheet3!F$3,0)</f>
        <v>2</v>
      </c>
      <c r="M38">
        <f>ROUND(VLOOKUP(INT(A38/1000),Sheet3!$A$2:$B$7,2,FALSE)*Sheet3!G$3,0)</f>
        <v>2</v>
      </c>
    </row>
    <row r="39" spans="1:13" x14ac:dyDescent="0.15">
      <c r="A39">
        <f t="shared" si="13"/>
        <v>11112</v>
      </c>
      <c r="B39" t="str">
        <f t="shared" si="5"/>
        <v>伙伴115级时开启</v>
      </c>
      <c r="C39" t="str">
        <f t="shared" si="5"/>
        <v>进阶+12</v>
      </c>
      <c r="D39">
        <f t="shared" si="6"/>
        <v>1212</v>
      </c>
      <c r="E39">
        <f t="shared" ref="E39:F39" si="19">E27</f>
        <v>2400000</v>
      </c>
      <c r="F39" t="str">
        <f t="shared" si="19"/>
        <v>14107|28000</v>
      </c>
      <c r="H39">
        <f t="shared" si="8"/>
        <v>12</v>
      </c>
      <c r="I39">
        <f>ROUND(VLOOKUP(INT(A39/1000),Sheet3!$A$2:$B$7,2,FALSE)*Sheet3!D$3,0)</f>
        <v>120</v>
      </c>
      <c r="K39">
        <f>ROUND(VLOOKUP(INT(A39/1000),Sheet3!$A$2:$B$7,2,FALSE)*Sheet3!E$3,0)</f>
        <v>4</v>
      </c>
      <c r="L39">
        <f>ROUND(VLOOKUP(INT(A39/1000),Sheet3!$A$2:$B$7,2,FALSE)*Sheet3!F$3,0)</f>
        <v>2</v>
      </c>
      <c r="M39">
        <f>ROUND(VLOOKUP(INT(A39/1000),Sheet3!$A$2:$B$7,2,FALSE)*Sheet3!G$3,0)</f>
        <v>2</v>
      </c>
    </row>
    <row r="40" spans="1:13" x14ac:dyDescent="0.15">
      <c r="A40">
        <f>A28+100</f>
        <v>11201</v>
      </c>
      <c r="B40" t="str">
        <f t="shared" ref="B40:C40" si="20">B16</f>
        <v>伙伴5级时开启</v>
      </c>
      <c r="C40" t="str">
        <f t="shared" si="20"/>
        <v>进阶+1</v>
      </c>
      <c r="D40">
        <f t="shared" si="6"/>
        <v>1201</v>
      </c>
      <c r="E40">
        <f t="shared" si="6"/>
        <v>10000</v>
      </c>
      <c r="F40" t="str">
        <f t="shared" si="6"/>
        <v>14107|120</v>
      </c>
      <c r="H40">
        <f t="shared" si="8"/>
        <v>0</v>
      </c>
      <c r="I40">
        <f>ROUND(VLOOKUP(INT(A40/1000),Sheet3!$A$2:$B$7,2,FALSE)*Sheet3!D$3,0)</f>
        <v>120</v>
      </c>
      <c r="K40">
        <f>ROUND(VLOOKUP(INT(A40/1000),Sheet3!$A$2:$B$7,2,FALSE)*Sheet3!E$3,0)</f>
        <v>4</v>
      </c>
      <c r="L40">
        <f>ROUND(VLOOKUP(INT(A40/1000),Sheet3!$A$2:$B$7,2,FALSE)*Sheet3!F$3,0)</f>
        <v>2</v>
      </c>
      <c r="M40">
        <f>ROUND(VLOOKUP(INT(A40/1000),Sheet3!$A$2:$B$7,2,FALSE)*Sheet3!G$3,0)</f>
        <v>2</v>
      </c>
    </row>
    <row r="41" spans="1:13" x14ac:dyDescent="0.15">
      <c r="A41">
        <f t="shared" ref="A41:A87" si="21">A29+100</f>
        <v>11202</v>
      </c>
      <c r="B41" t="str">
        <f t="shared" ref="B41:C41" si="22">B17</f>
        <v>伙伴15级时开启</v>
      </c>
      <c r="C41" t="str">
        <f t="shared" si="22"/>
        <v>进阶+2</v>
      </c>
      <c r="D41">
        <f t="shared" si="6"/>
        <v>1202</v>
      </c>
      <c r="E41">
        <f t="shared" ref="E41:F41" si="23">E29</f>
        <v>30000</v>
      </c>
      <c r="F41" t="str">
        <f t="shared" si="23"/>
        <v>14107|360</v>
      </c>
      <c r="H41">
        <f t="shared" si="8"/>
        <v>0</v>
      </c>
      <c r="I41">
        <f>ROUND(VLOOKUP(INT(A41/1000),Sheet3!$A$2:$B$7,2,FALSE)*Sheet3!D$3,0)</f>
        <v>120</v>
      </c>
      <c r="K41">
        <f>ROUND(VLOOKUP(INT(A41/1000),Sheet3!$A$2:$B$7,2,FALSE)*Sheet3!E$3,0)</f>
        <v>4</v>
      </c>
      <c r="L41">
        <f>ROUND(VLOOKUP(INT(A41/1000),Sheet3!$A$2:$B$7,2,FALSE)*Sheet3!F$3,0)</f>
        <v>2</v>
      </c>
      <c r="M41">
        <f>ROUND(VLOOKUP(INT(A41/1000),Sheet3!$A$2:$B$7,2,FALSE)*Sheet3!G$3,0)</f>
        <v>2</v>
      </c>
    </row>
    <row r="42" spans="1:13" x14ac:dyDescent="0.15">
      <c r="A42">
        <f t="shared" si="21"/>
        <v>11203</v>
      </c>
      <c r="B42" t="str">
        <f t="shared" ref="B42:C42" si="24">B18</f>
        <v>伙伴25级时开启</v>
      </c>
      <c r="C42" t="str">
        <f t="shared" si="24"/>
        <v>进阶+3</v>
      </c>
      <c r="D42">
        <f t="shared" si="6"/>
        <v>1203</v>
      </c>
      <c r="E42">
        <f t="shared" ref="E42:F42" si="25">E30</f>
        <v>50000</v>
      </c>
      <c r="F42" t="str">
        <f t="shared" si="25"/>
        <v>14107|600</v>
      </c>
      <c r="H42">
        <f t="shared" si="8"/>
        <v>0</v>
      </c>
      <c r="I42">
        <f>ROUND(VLOOKUP(INT(A42/1000),Sheet3!$A$2:$B$7,2,FALSE)*Sheet3!D$3,0)</f>
        <v>120</v>
      </c>
      <c r="K42">
        <f>ROUND(VLOOKUP(INT(A42/1000),Sheet3!$A$2:$B$7,2,FALSE)*Sheet3!E$3,0)</f>
        <v>4</v>
      </c>
      <c r="L42">
        <f>ROUND(VLOOKUP(INT(A42/1000),Sheet3!$A$2:$B$7,2,FALSE)*Sheet3!F$3,0)</f>
        <v>2</v>
      </c>
      <c r="M42">
        <f>ROUND(VLOOKUP(INT(A42/1000),Sheet3!$A$2:$B$7,2,FALSE)*Sheet3!G$3,0)</f>
        <v>2</v>
      </c>
    </row>
    <row r="43" spans="1:13" x14ac:dyDescent="0.15">
      <c r="A43">
        <f t="shared" si="21"/>
        <v>11204</v>
      </c>
      <c r="B43" t="str">
        <f t="shared" ref="B43:C43" si="26">B19</f>
        <v>伙伴35级时开启</v>
      </c>
      <c r="C43" t="str">
        <f t="shared" si="26"/>
        <v>进阶+4</v>
      </c>
      <c r="D43">
        <f t="shared" si="6"/>
        <v>1204</v>
      </c>
      <c r="E43">
        <f t="shared" ref="E43:F43" si="27">E31</f>
        <v>100000</v>
      </c>
      <c r="F43" t="str">
        <f t="shared" si="27"/>
        <v>14107|1200</v>
      </c>
      <c r="H43">
        <f t="shared" si="8"/>
        <v>1</v>
      </c>
      <c r="I43">
        <f>ROUND(VLOOKUP(INT(A43/1000),Sheet3!$A$2:$B$7,2,FALSE)*Sheet3!D$3,0)</f>
        <v>120</v>
      </c>
      <c r="K43">
        <f>ROUND(VLOOKUP(INT(A43/1000),Sheet3!$A$2:$B$7,2,FALSE)*Sheet3!E$3,0)</f>
        <v>4</v>
      </c>
      <c r="L43">
        <f>ROUND(VLOOKUP(INT(A43/1000),Sheet3!$A$2:$B$7,2,FALSE)*Sheet3!F$3,0)</f>
        <v>2</v>
      </c>
      <c r="M43">
        <f>ROUND(VLOOKUP(INT(A43/1000),Sheet3!$A$2:$B$7,2,FALSE)*Sheet3!G$3,0)</f>
        <v>2</v>
      </c>
    </row>
    <row r="44" spans="1:13" x14ac:dyDescent="0.15">
      <c r="A44">
        <f t="shared" si="21"/>
        <v>11205</v>
      </c>
      <c r="B44" t="str">
        <f t="shared" ref="B44:C44" si="28">B20</f>
        <v>伙伴45级时开启</v>
      </c>
      <c r="C44" t="str">
        <f t="shared" si="28"/>
        <v>进阶+5</v>
      </c>
      <c r="D44">
        <f t="shared" si="6"/>
        <v>1205</v>
      </c>
      <c r="E44">
        <f t="shared" ref="E44:F44" si="29">E32</f>
        <v>200000</v>
      </c>
      <c r="F44" t="str">
        <f t="shared" si="29"/>
        <v>14107|2400</v>
      </c>
      <c r="H44">
        <f t="shared" si="8"/>
        <v>1</v>
      </c>
      <c r="I44">
        <f>ROUND(VLOOKUP(INT(A44/1000),Sheet3!$A$2:$B$7,2,FALSE)*Sheet3!D$3,0)</f>
        <v>120</v>
      </c>
      <c r="K44">
        <f>ROUND(VLOOKUP(INT(A44/1000),Sheet3!$A$2:$B$7,2,FALSE)*Sheet3!E$3,0)</f>
        <v>4</v>
      </c>
      <c r="L44">
        <f>ROUND(VLOOKUP(INT(A44/1000),Sheet3!$A$2:$B$7,2,FALSE)*Sheet3!F$3,0)</f>
        <v>2</v>
      </c>
      <c r="M44">
        <f>ROUND(VLOOKUP(INT(A44/1000),Sheet3!$A$2:$B$7,2,FALSE)*Sheet3!G$3,0)</f>
        <v>2</v>
      </c>
    </row>
    <row r="45" spans="1:13" x14ac:dyDescent="0.15">
      <c r="A45">
        <f t="shared" si="21"/>
        <v>11206</v>
      </c>
      <c r="B45" t="str">
        <f t="shared" ref="B45:C45" si="30">B21</f>
        <v>伙伴55级时开启</v>
      </c>
      <c r="C45" t="str">
        <f t="shared" si="30"/>
        <v>进阶+6</v>
      </c>
      <c r="D45">
        <f t="shared" si="6"/>
        <v>1206</v>
      </c>
      <c r="E45">
        <f t="shared" ref="E45:F45" si="31">E33</f>
        <v>300000</v>
      </c>
      <c r="F45" t="str">
        <f t="shared" si="31"/>
        <v>14107|3600</v>
      </c>
      <c r="H45">
        <f t="shared" si="8"/>
        <v>2</v>
      </c>
      <c r="I45">
        <f>ROUND(VLOOKUP(INT(A45/1000),Sheet3!$A$2:$B$7,2,FALSE)*Sheet3!D$3,0)</f>
        <v>120</v>
      </c>
      <c r="K45">
        <f>ROUND(VLOOKUP(INT(A45/1000),Sheet3!$A$2:$B$7,2,FALSE)*Sheet3!E$3,0)</f>
        <v>4</v>
      </c>
      <c r="L45">
        <f>ROUND(VLOOKUP(INT(A45/1000),Sheet3!$A$2:$B$7,2,FALSE)*Sheet3!F$3,0)</f>
        <v>2</v>
      </c>
      <c r="M45">
        <f>ROUND(VLOOKUP(INT(A45/1000),Sheet3!$A$2:$B$7,2,FALSE)*Sheet3!G$3,0)</f>
        <v>2</v>
      </c>
    </row>
    <row r="46" spans="1:13" x14ac:dyDescent="0.15">
      <c r="A46">
        <f t="shared" si="21"/>
        <v>11207</v>
      </c>
      <c r="B46" t="str">
        <f t="shared" ref="B46:C46" si="32">B22</f>
        <v>伙伴65级时开启</v>
      </c>
      <c r="C46" t="str">
        <f t="shared" si="32"/>
        <v>进阶+7</v>
      </c>
      <c r="D46">
        <f t="shared" si="6"/>
        <v>1207</v>
      </c>
      <c r="E46">
        <f t="shared" ref="E46:F46" si="33">E34</f>
        <v>500000</v>
      </c>
      <c r="F46" t="str">
        <f t="shared" si="33"/>
        <v>14107|6000</v>
      </c>
      <c r="H46">
        <f t="shared" si="8"/>
        <v>2</v>
      </c>
      <c r="I46">
        <f>ROUND(VLOOKUP(INT(A46/1000),Sheet3!$A$2:$B$7,2,FALSE)*Sheet3!D$3,0)</f>
        <v>120</v>
      </c>
      <c r="K46">
        <f>ROUND(VLOOKUP(INT(A46/1000),Sheet3!$A$2:$B$7,2,FALSE)*Sheet3!E$3,0)</f>
        <v>4</v>
      </c>
      <c r="L46">
        <f>ROUND(VLOOKUP(INT(A46/1000),Sheet3!$A$2:$B$7,2,FALSE)*Sheet3!F$3,0)</f>
        <v>2</v>
      </c>
      <c r="M46">
        <f>ROUND(VLOOKUP(INT(A46/1000),Sheet3!$A$2:$B$7,2,FALSE)*Sheet3!G$3,0)</f>
        <v>2</v>
      </c>
    </row>
    <row r="47" spans="1:13" x14ac:dyDescent="0.15">
      <c r="A47">
        <f t="shared" si="21"/>
        <v>11208</v>
      </c>
      <c r="B47" t="str">
        <f t="shared" ref="B47:C47" si="34">B23</f>
        <v>伙伴75级时开启</v>
      </c>
      <c r="C47" t="str">
        <f t="shared" si="34"/>
        <v>进阶+8</v>
      </c>
      <c r="D47">
        <f t="shared" si="6"/>
        <v>1208</v>
      </c>
      <c r="E47">
        <f t="shared" ref="E47:F47" si="35">E35</f>
        <v>800000</v>
      </c>
      <c r="F47" t="str">
        <f t="shared" si="35"/>
        <v>14107|10000</v>
      </c>
      <c r="H47">
        <f t="shared" si="8"/>
        <v>4</v>
      </c>
      <c r="I47">
        <f>ROUND(VLOOKUP(INT(A47/1000),Sheet3!$A$2:$B$7,2,FALSE)*Sheet3!D$3,0)</f>
        <v>120</v>
      </c>
      <c r="K47">
        <f>ROUND(VLOOKUP(INT(A47/1000),Sheet3!$A$2:$B$7,2,FALSE)*Sheet3!E$3,0)</f>
        <v>4</v>
      </c>
      <c r="L47">
        <f>ROUND(VLOOKUP(INT(A47/1000),Sheet3!$A$2:$B$7,2,FALSE)*Sheet3!F$3,0)</f>
        <v>2</v>
      </c>
      <c r="M47">
        <f>ROUND(VLOOKUP(INT(A47/1000),Sheet3!$A$2:$B$7,2,FALSE)*Sheet3!G$3,0)</f>
        <v>2</v>
      </c>
    </row>
    <row r="48" spans="1:13" x14ac:dyDescent="0.15">
      <c r="A48">
        <f t="shared" si="21"/>
        <v>11209</v>
      </c>
      <c r="B48" t="str">
        <f t="shared" ref="B48:C48" si="36">B24</f>
        <v>伙伴85级时开启</v>
      </c>
      <c r="C48" t="str">
        <f t="shared" si="36"/>
        <v>进阶+9</v>
      </c>
      <c r="D48">
        <f t="shared" si="6"/>
        <v>1209</v>
      </c>
      <c r="E48">
        <f t="shared" si="6"/>
        <v>1200000</v>
      </c>
      <c r="F48" t="str">
        <f t="shared" si="6"/>
        <v>14107|15000</v>
      </c>
      <c r="H48">
        <f t="shared" si="8"/>
        <v>6</v>
      </c>
      <c r="I48">
        <f>ROUND(VLOOKUP(INT(A48/1000),Sheet3!$A$2:$B$7,2,FALSE)*Sheet3!D$3,0)</f>
        <v>120</v>
      </c>
      <c r="K48">
        <f>ROUND(VLOOKUP(INT(A48/1000),Sheet3!$A$2:$B$7,2,FALSE)*Sheet3!E$3,0)</f>
        <v>4</v>
      </c>
      <c r="L48">
        <f>ROUND(VLOOKUP(INT(A48/1000),Sheet3!$A$2:$B$7,2,FALSE)*Sheet3!F$3,0)</f>
        <v>2</v>
      </c>
      <c r="M48">
        <f>ROUND(VLOOKUP(INT(A48/1000),Sheet3!$A$2:$B$7,2,FALSE)*Sheet3!G$3,0)</f>
        <v>2</v>
      </c>
    </row>
    <row r="49" spans="1:13" x14ac:dyDescent="0.15">
      <c r="A49">
        <f t="shared" si="21"/>
        <v>11210</v>
      </c>
      <c r="B49" t="str">
        <f t="shared" ref="B49:C49" si="37">B25</f>
        <v>伙伴95级时开启</v>
      </c>
      <c r="C49" t="str">
        <f t="shared" si="37"/>
        <v>进阶+10</v>
      </c>
      <c r="D49">
        <f t="shared" si="6"/>
        <v>1210</v>
      </c>
      <c r="E49">
        <f t="shared" ref="E49:F49" si="38">E37</f>
        <v>1600000</v>
      </c>
      <c r="F49" t="str">
        <f t="shared" si="38"/>
        <v>14107|20000</v>
      </c>
      <c r="H49">
        <f t="shared" si="8"/>
        <v>8</v>
      </c>
      <c r="I49">
        <f>ROUND(VLOOKUP(INT(A49/1000),Sheet3!$A$2:$B$7,2,FALSE)*Sheet3!D$3,0)</f>
        <v>120</v>
      </c>
      <c r="K49">
        <f>ROUND(VLOOKUP(INT(A49/1000),Sheet3!$A$2:$B$7,2,FALSE)*Sheet3!E$3,0)</f>
        <v>4</v>
      </c>
      <c r="L49">
        <f>ROUND(VLOOKUP(INT(A49/1000),Sheet3!$A$2:$B$7,2,FALSE)*Sheet3!F$3,0)</f>
        <v>2</v>
      </c>
      <c r="M49">
        <f>ROUND(VLOOKUP(INT(A49/1000),Sheet3!$A$2:$B$7,2,FALSE)*Sheet3!G$3,0)</f>
        <v>2</v>
      </c>
    </row>
    <row r="50" spans="1:13" x14ac:dyDescent="0.15">
      <c r="A50">
        <f t="shared" si="21"/>
        <v>11211</v>
      </c>
      <c r="B50" t="str">
        <f t="shared" ref="B50:C50" si="39">B26</f>
        <v>伙伴105级时开启</v>
      </c>
      <c r="C50" t="str">
        <f t="shared" si="39"/>
        <v>进阶+11</v>
      </c>
      <c r="D50">
        <f t="shared" si="6"/>
        <v>1211</v>
      </c>
      <c r="E50">
        <f t="shared" ref="E50:F50" si="40">E38</f>
        <v>2000000</v>
      </c>
      <c r="F50" t="str">
        <f t="shared" si="40"/>
        <v>14107|24000</v>
      </c>
      <c r="H50">
        <f t="shared" si="8"/>
        <v>10</v>
      </c>
      <c r="I50">
        <f>ROUND(VLOOKUP(INT(A50/1000),Sheet3!$A$2:$B$7,2,FALSE)*Sheet3!D$3,0)</f>
        <v>120</v>
      </c>
      <c r="K50">
        <f>ROUND(VLOOKUP(INT(A50/1000),Sheet3!$A$2:$B$7,2,FALSE)*Sheet3!E$3,0)</f>
        <v>4</v>
      </c>
      <c r="L50">
        <f>ROUND(VLOOKUP(INT(A50/1000),Sheet3!$A$2:$B$7,2,FALSE)*Sheet3!F$3,0)</f>
        <v>2</v>
      </c>
      <c r="M50">
        <f>ROUND(VLOOKUP(INT(A50/1000),Sheet3!$A$2:$B$7,2,FALSE)*Sheet3!G$3,0)</f>
        <v>2</v>
      </c>
    </row>
    <row r="51" spans="1:13" x14ac:dyDescent="0.15">
      <c r="A51">
        <f t="shared" si="21"/>
        <v>11212</v>
      </c>
      <c r="B51" t="str">
        <f t="shared" ref="B51:C51" si="41">B27</f>
        <v>伙伴115级时开启</v>
      </c>
      <c r="C51" t="str">
        <f t="shared" si="41"/>
        <v>进阶+12</v>
      </c>
      <c r="D51">
        <f t="shared" si="6"/>
        <v>1212</v>
      </c>
      <c r="E51">
        <f t="shared" ref="E51:F51" si="42">E39</f>
        <v>2400000</v>
      </c>
      <c r="F51" t="str">
        <f t="shared" si="42"/>
        <v>14107|28000</v>
      </c>
      <c r="H51">
        <f t="shared" si="8"/>
        <v>12</v>
      </c>
      <c r="I51">
        <f>ROUND(VLOOKUP(INT(A51/1000),Sheet3!$A$2:$B$7,2,FALSE)*Sheet3!D$3,0)</f>
        <v>120</v>
      </c>
      <c r="K51">
        <f>ROUND(VLOOKUP(INT(A51/1000),Sheet3!$A$2:$B$7,2,FALSE)*Sheet3!E$3,0)</f>
        <v>4</v>
      </c>
      <c r="L51">
        <f>ROUND(VLOOKUP(INT(A51/1000),Sheet3!$A$2:$B$7,2,FALSE)*Sheet3!F$3,0)</f>
        <v>2</v>
      </c>
      <c r="M51">
        <f>ROUND(VLOOKUP(INT(A51/1000),Sheet3!$A$2:$B$7,2,FALSE)*Sheet3!G$3,0)</f>
        <v>2</v>
      </c>
    </row>
    <row r="52" spans="1:13" x14ac:dyDescent="0.15">
      <c r="A52">
        <f t="shared" si="21"/>
        <v>11301</v>
      </c>
      <c r="B52" t="str">
        <f t="shared" ref="B52:C52" si="43">B28</f>
        <v>伙伴5级时开启</v>
      </c>
      <c r="C52" t="str">
        <f t="shared" si="43"/>
        <v>进阶+1</v>
      </c>
      <c r="D52">
        <f t="shared" si="6"/>
        <v>1201</v>
      </c>
      <c r="E52">
        <f t="shared" ref="E52:F52" si="44">E40</f>
        <v>10000</v>
      </c>
      <c r="F52" t="str">
        <f t="shared" si="44"/>
        <v>14107|120</v>
      </c>
      <c r="H52">
        <f t="shared" si="8"/>
        <v>0</v>
      </c>
      <c r="I52">
        <f>ROUND(VLOOKUP(INT(A52/1000),Sheet3!$A$2:$B$7,2,FALSE)*Sheet3!D$3,0)</f>
        <v>120</v>
      </c>
      <c r="K52">
        <f>ROUND(VLOOKUP(INT(A52/1000),Sheet3!$A$2:$B$7,2,FALSE)*Sheet3!E$3,0)</f>
        <v>4</v>
      </c>
      <c r="L52">
        <f>ROUND(VLOOKUP(INT(A52/1000),Sheet3!$A$2:$B$7,2,FALSE)*Sheet3!F$3,0)</f>
        <v>2</v>
      </c>
      <c r="M52">
        <f>ROUND(VLOOKUP(INT(A52/1000),Sheet3!$A$2:$B$7,2,FALSE)*Sheet3!G$3,0)</f>
        <v>2</v>
      </c>
    </row>
    <row r="53" spans="1:13" x14ac:dyDescent="0.15">
      <c r="A53">
        <f t="shared" si="21"/>
        <v>11302</v>
      </c>
      <c r="B53" t="str">
        <f t="shared" ref="B53:C53" si="45">B29</f>
        <v>伙伴15级时开启</v>
      </c>
      <c r="C53" t="str">
        <f t="shared" si="45"/>
        <v>进阶+2</v>
      </c>
      <c r="D53">
        <f t="shared" si="6"/>
        <v>1202</v>
      </c>
      <c r="E53">
        <f t="shared" ref="E53:F53" si="46">E41</f>
        <v>30000</v>
      </c>
      <c r="F53" t="str">
        <f t="shared" si="46"/>
        <v>14107|360</v>
      </c>
      <c r="H53">
        <f t="shared" si="8"/>
        <v>0</v>
      </c>
      <c r="I53">
        <f>ROUND(VLOOKUP(INT(A53/1000),Sheet3!$A$2:$B$7,2,FALSE)*Sheet3!D$3,0)</f>
        <v>120</v>
      </c>
      <c r="K53">
        <f>ROUND(VLOOKUP(INT(A53/1000),Sheet3!$A$2:$B$7,2,FALSE)*Sheet3!E$3,0)</f>
        <v>4</v>
      </c>
      <c r="L53">
        <f>ROUND(VLOOKUP(INT(A53/1000),Sheet3!$A$2:$B$7,2,FALSE)*Sheet3!F$3,0)</f>
        <v>2</v>
      </c>
      <c r="M53">
        <f>ROUND(VLOOKUP(INT(A53/1000),Sheet3!$A$2:$B$7,2,FALSE)*Sheet3!G$3,0)</f>
        <v>2</v>
      </c>
    </row>
    <row r="54" spans="1:13" x14ac:dyDescent="0.15">
      <c r="A54">
        <f t="shared" si="21"/>
        <v>11303</v>
      </c>
      <c r="B54" t="str">
        <f t="shared" ref="B54:C54" si="47">B30</f>
        <v>伙伴25级时开启</v>
      </c>
      <c r="C54" t="str">
        <f t="shared" si="47"/>
        <v>进阶+3</v>
      </c>
      <c r="D54">
        <f t="shared" si="6"/>
        <v>1203</v>
      </c>
      <c r="E54">
        <f t="shared" ref="E54:F54" si="48">E42</f>
        <v>50000</v>
      </c>
      <c r="F54" t="str">
        <f t="shared" si="48"/>
        <v>14107|600</v>
      </c>
      <c r="H54">
        <f t="shared" si="8"/>
        <v>0</v>
      </c>
      <c r="I54">
        <f>ROUND(VLOOKUP(INT(A54/1000),Sheet3!$A$2:$B$7,2,FALSE)*Sheet3!D$3,0)</f>
        <v>120</v>
      </c>
      <c r="K54">
        <f>ROUND(VLOOKUP(INT(A54/1000),Sheet3!$A$2:$B$7,2,FALSE)*Sheet3!E$3,0)</f>
        <v>4</v>
      </c>
      <c r="L54">
        <f>ROUND(VLOOKUP(INT(A54/1000),Sheet3!$A$2:$B$7,2,FALSE)*Sheet3!F$3,0)</f>
        <v>2</v>
      </c>
      <c r="M54">
        <f>ROUND(VLOOKUP(INT(A54/1000),Sheet3!$A$2:$B$7,2,FALSE)*Sheet3!G$3,0)</f>
        <v>2</v>
      </c>
    </row>
    <row r="55" spans="1:13" x14ac:dyDescent="0.15">
      <c r="A55">
        <f t="shared" si="21"/>
        <v>11304</v>
      </c>
      <c r="B55" t="str">
        <f t="shared" ref="B55:C55" si="49">B31</f>
        <v>伙伴35级时开启</v>
      </c>
      <c r="C55" t="str">
        <f t="shared" si="49"/>
        <v>进阶+4</v>
      </c>
      <c r="D55">
        <f t="shared" si="6"/>
        <v>1204</v>
      </c>
      <c r="E55">
        <f t="shared" ref="E55:F55" si="50">E43</f>
        <v>100000</v>
      </c>
      <c r="F55" t="str">
        <f t="shared" si="50"/>
        <v>14107|1200</v>
      </c>
      <c r="H55">
        <f t="shared" si="8"/>
        <v>1</v>
      </c>
      <c r="I55">
        <f>ROUND(VLOOKUP(INT(A55/1000),Sheet3!$A$2:$B$7,2,FALSE)*Sheet3!D$3,0)</f>
        <v>120</v>
      </c>
      <c r="K55">
        <f>ROUND(VLOOKUP(INT(A55/1000),Sheet3!$A$2:$B$7,2,FALSE)*Sheet3!E$3,0)</f>
        <v>4</v>
      </c>
      <c r="L55">
        <f>ROUND(VLOOKUP(INT(A55/1000),Sheet3!$A$2:$B$7,2,FALSE)*Sheet3!F$3,0)</f>
        <v>2</v>
      </c>
      <c r="M55">
        <f>ROUND(VLOOKUP(INT(A55/1000),Sheet3!$A$2:$B$7,2,FALSE)*Sheet3!G$3,0)</f>
        <v>2</v>
      </c>
    </row>
    <row r="56" spans="1:13" x14ac:dyDescent="0.15">
      <c r="A56">
        <f t="shared" si="21"/>
        <v>11305</v>
      </c>
      <c r="B56" t="str">
        <f t="shared" ref="B56:C56" si="51">B32</f>
        <v>伙伴45级时开启</v>
      </c>
      <c r="C56" t="str">
        <f t="shared" si="51"/>
        <v>进阶+5</v>
      </c>
      <c r="D56">
        <f t="shared" si="6"/>
        <v>1205</v>
      </c>
      <c r="E56">
        <f t="shared" si="6"/>
        <v>200000</v>
      </c>
      <c r="F56" t="str">
        <f t="shared" si="6"/>
        <v>14107|2400</v>
      </c>
      <c r="H56">
        <f t="shared" si="8"/>
        <v>1</v>
      </c>
      <c r="I56">
        <f>ROUND(VLOOKUP(INT(A56/1000),Sheet3!$A$2:$B$7,2,FALSE)*Sheet3!D$3,0)</f>
        <v>120</v>
      </c>
      <c r="K56">
        <f>ROUND(VLOOKUP(INT(A56/1000),Sheet3!$A$2:$B$7,2,FALSE)*Sheet3!E$3,0)</f>
        <v>4</v>
      </c>
      <c r="L56">
        <f>ROUND(VLOOKUP(INT(A56/1000),Sheet3!$A$2:$B$7,2,FALSE)*Sheet3!F$3,0)</f>
        <v>2</v>
      </c>
      <c r="M56">
        <f>ROUND(VLOOKUP(INT(A56/1000),Sheet3!$A$2:$B$7,2,FALSE)*Sheet3!G$3,0)</f>
        <v>2</v>
      </c>
    </row>
    <row r="57" spans="1:13" x14ac:dyDescent="0.15">
      <c r="A57">
        <f t="shared" si="21"/>
        <v>11306</v>
      </c>
      <c r="B57" t="str">
        <f t="shared" ref="B57:C57" si="52">B33</f>
        <v>伙伴55级时开启</v>
      </c>
      <c r="C57" t="str">
        <f t="shared" si="52"/>
        <v>进阶+6</v>
      </c>
      <c r="D57">
        <f t="shared" si="6"/>
        <v>1206</v>
      </c>
      <c r="E57">
        <f t="shared" ref="E57:F57" si="53">E45</f>
        <v>300000</v>
      </c>
      <c r="F57" t="str">
        <f t="shared" si="53"/>
        <v>14107|3600</v>
      </c>
      <c r="H57">
        <f t="shared" si="8"/>
        <v>2</v>
      </c>
      <c r="I57">
        <f>ROUND(VLOOKUP(INT(A57/1000),Sheet3!$A$2:$B$7,2,FALSE)*Sheet3!D$3,0)</f>
        <v>120</v>
      </c>
      <c r="K57">
        <f>ROUND(VLOOKUP(INT(A57/1000),Sheet3!$A$2:$B$7,2,FALSE)*Sheet3!E$3,0)</f>
        <v>4</v>
      </c>
      <c r="L57">
        <f>ROUND(VLOOKUP(INT(A57/1000),Sheet3!$A$2:$B$7,2,FALSE)*Sheet3!F$3,0)</f>
        <v>2</v>
      </c>
      <c r="M57">
        <f>ROUND(VLOOKUP(INT(A57/1000),Sheet3!$A$2:$B$7,2,FALSE)*Sheet3!G$3,0)</f>
        <v>2</v>
      </c>
    </row>
    <row r="58" spans="1:13" x14ac:dyDescent="0.15">
      <c r="A58">
        <f t="shared" si="21"/>
        <v>11307</v>
      </c>
      <c r="B58" t="str">
        <f t="shared" ref="B58:C58" si="54">B34</f>
        <v>伙伴65级时开启</v>
      </c>
      <c r="C58" t="str">
        <f t="shared" si="54"/>
        <v>进阶+7</v>
      </c>
      <c r="D58">
        <f t="shared" si="6"/>
        <v>1207</v>
      </c>
      <c r="E58">
        <f t="shared" ref="E58:F58" si="55">E46</f>
        <v>500000</v>
      </c>
      <c r="F58" t="str">
        <f t="shared" si="55"/>
        <v>14107|6000</v>
      </c>
      <c r="H58">
        <f t="shared" si="8"/>
        <v>2</v>
      </c>
      <c r="I58">
        <f>ROUND(VLOOKUP(INT(A58/1000),Sheet3!$A$2:$B$7,2,FALSE)*Sheet3!D$3,0)</f>
        <v>120</v>
      </c>
      <c r="K58">
        <f>ROUND(VLOOKUP(INT(A58/1000),Sheet3!$A$2:$B$7,2,FALSE)*Sheet3!E$3,0)</f>
        <v>4</v>
      </c>
      <c r="L58">
        <f>ROUND(VLOOKUP(INT(A58/1000),Sheet3!$A$2:$B$7,2,FALSE)*Sheet3!F$3,0)</f>
        <v>2</v>
      </c>
      <c r="M58">
        <f>ROUND(VLOOKUP(INT(A58/1000),Sheet3!$A$2:$B$7,2,FALSE)*Sheet3!G$3,0)</f>
        <v>2</v>
      </c>
    </row>
    <row r="59" spans="1:13" x14ac:dyDescent="0.15">
      <c r="A59">
        <f t="shared" si="21"/>
        <v>11308</v>
      </c>
      <c r="B59" t="str">
        <f t="shared" ref="B59:C59" si="56">B35</f>
        <v>伙伴75级时开启</v>
      </c>
      <c r="C59" t="str">
        <f t="shared" si="56"/>
        <v>进阶+8</v>
      </c>
      <c r="D59">
        <f t="shared" si="6"/>
        <v>1208</v>
      </c>
      <c r="E59">
        <f t="shared" ref="E59:F59" si="57">E47</f>
        <v>800000</v>
      </c>
      <c r="F59" t="str">
        <f t="shared" si="57"/>
        <v>14107|10000</v>
      </c>
      <c r="H59">
        <f t="shared" si="8"/>
        <v>4</v>
      </c>
      <c r="I59">
        <f>ROUND(VLOOKUP(INT(A59/1000),Sheet3!$A$2:$B$7,2,FALSE)*Sheet3!D$3,0)</f>
        <v>120</v>
      </c>
      <c r="K59">
        <f>ROUND(VLOOKUP(INT(A59/1000),Sheet3!$A$2:$B$7,2,FALSE)*Sheet3!E$3,0)</f>
        <v>4</v>
      </c>
      <c r="L59">
        <f>ROUND(VLOOKUP(INT(A59/1000),Sheet3!$A$2:$B$7,2,FALSE)*Sheet3!F$3,0)</f>
        <v>2</v>
      </c>
      <c r="M59">
        <f>ROUND(VLOOKUP(INT(A59/1000),Sheet3!$A$2:$B$7,2,FALSE)*Sheet3!G$3,0)</f>
        <v>2</v>
      </c>
    </row>
    <row r="60" spans="1:13" x14ac:dyDescent="0.15">
      <c r="A60">
        <f t="shared" si="21"/>
        <v>11309</v>
      </c>
      <c r="B60" t="str">
        <f t="shared" ref="B60:C60" si="58">B36</f>
        <v>伙伴85级时开启</v>
      </c>
      <c r="C60" t="str">
        <f t="shared" si="58"/>
        <v>进阶+9</v>
      </c>
      <c r="D60">
        <f t="shared" si="6"/>
        <v>1209</v>
      </c>
      <c r="E60">
        <f t="shared" ref="E60:F60" si="59">E48</f>
        <v>1200000</v>
      </c>
      <c r="F60" t="str">
        <f t="shared" si="59"/>
        <v>14107|15000</v>
      </c>
      <c r="H60">
        <f t="shared" si="8"/>
        <v>6</v>
      </c>
      <c r="I60">
        <f>ROUND(VLOOKUP(INT(A60/1000),Sheet3!$A$2:$B$7,2,FALSE)*Sheet3!D$3,0)</f>
        <v>120</v>
      </c>
      <c r="K60">
        <f>ROUND(VLOOKUP(INT(A60/1000),Sheet3!$A$2:$B$7,2,FALSE)*Sheet3!E$3,0)</f>
        <v>4</v>
      </c>
      <c r="L60">
        <f>ROUND(VLOOKUP(INT(A60/1000),Sheet3!$A$2:$B$7,2,FALSE)*Sheet3!F$3,0)</f>
        <v>2</v>
      </c>
      <c r="M60">
        <f>ROUND(VLOOKUP(INT(A60/1000),Sheet3!$A$2:$B$7,2,FALSE)*Sheet3!G$3,0)</f>
        <v>2</v>
      </c>
    </row>
    <row r="61" spans="1:13" x14ac:dyDescent="0.15">
      <c r="A61">
        <f t="shared" si="21"/>
        <v>11310</v>
      </c>
      <c r="B61" t="str">
        <f t="shared" ref="B61:C61" si="60">B37</f>
        <v>伙伴95级时开启</v>
      </c>
      <c r="C61" t="str">
        <f t="shared" si="60"/>
        <v>进阶+10</v>
      </c>
      <c r="D61">
        <f t="shared" si="6"/>
        <v>1210</v>
      </c>
      <c r="E61">
        <f t="shared" ref="E61:F61" si="61">E49</f>
        <v>1600000</v>
      </c>
      <c r="F61" t="str">
        <f t="shared" si="61"/>
        <v>14107|20000</v>
      </c>
      <c r="H61">
        <f t="shared" si="8"/>
        <v>8</v>
      </c>
      <c r="I61">
        <f>ROUND(VLOOKUP(INT(A61/1000),Sheet3!$A$2:$B$7,2,FALSE)*Sheet3!D$3,0)</f>
        <v>120</v>
      </c>
      <c r="K61">
        <f>ROUND(VLOOKUP(INT(A61/1000),Sheet3!$A$2:$B$7,2,FALSE)*Sheet3!E$3,0)</f>
        <v>4</v>
      </c>
      <c r="L61">
        <f>ROUND(VLOOKUP(INT(A61/1000),Sheet3!$A$2:$B$7,2,FALSE)*Sheet3!F$3,0)</f>
        <v>2</v>
      </c>
      <c r="M61">
        <f>ROUND(VLOOKUP(INT(A61/1000),Sheet3!$A$2:$B$7,2,FALSE)*Sheet3!G$3,0)</f>
        <v>2</v>
      </c>
    </row>
    <row r="62" spans="1:13" x14ac:dyDescent="0.15">
      <c r="A62">
        <f t="shared" si="21"/>
        <v>11311</v>
      </c>
      <c r="B62" t="str">
        <f t="shared" ref="B62:C62" si="62">B38</f>
        <v>伙伴105级时开启</v>
      </c>
      <c r="C62" t="str">
        <f t="shared" si="62"/>
        <v>进阶+11</v>
      </c>
      <c r="D62">
        <f t="shared" si="6"/>
        <v>1211</v>
      </c>
      <c r="E62">
        <f t="shared" ref="E62:F62" si="63">E50</f>
        <v>2000000</v>
      </c>
      <c r="F62" t="str">
        <f t="shared" si="63"/>
        <v>14107|24000</v>
      </c>
      <c r="H62">
        <f t="shared" si="8"/>
        <v>10</v>
      </c>
      <c r="I62">
        <f>ROUND(VLOOKUP(INT(A62/1000),Sheet3!$A$2:$B$7,2,FALSE)*Sheet3!D$3,0)</f>
        <v>120</v>
      </c>
      <c r="K62">
        <f>ROUND(VLOOKUP(INT(A62/1000),Sheet3!$A$2:$B$7,2,FALSE)*Sheet3!E$3,0)</f>
        <v>4</v>
      </c>
      <c r="L62">
        <f>ROUND(VLOOKUP(INT(A62/1000),Sheet3!$A$2:$B$7,2,FALSE)*Sheet3!F$3,0)</f>
        <v>2</v>
      </c>
      <c r="M62">
        <f>ROUND(VLOOKUP(INT(A62/1000),Sheet3!$A$2:$B$7,2,FALSE)*Sheet3!G$3,0)</f>
        <v>2</v>
      </c>
    </row>
    <row r="63" spans="1:13" x14ac:dyDescent="0.15">
      <c r="A63">
        <f t="shared" si="21"/>
        <v>11312</v>
      </c>
      <c r="B63" t="str">
        <f t="shared" ref="B63:C63" si="64">B39</f>
        <v>伙伴115级时开启</v>
      </c>
      <c r="C63" t="str">
        <f t="shared" si="64"/>
        <v>进阶+12</v>
      </c>
      <c r="D63">
        <f t="shared" si="6"/>
        <v>1212</v>
      </c>
      <c r="E63">
        <f t="shared" ref="E63:F63" si="65">E51</f>
        <v>2400000</v>
      </c>
      <c r="F63" t="str">
        <f t="shared" si="65"/>
        <v>14107|28000</v>
      </c>
      <c r="H63">
        <f t="shared" si="8"/>
        <v>12</v>
      </c>
      <c r="I63">
        <f>ROUND(VLOOKUP(INT(A63/1000),Sheet3!$A$2:$B$7,2,FALSE)*Sheet3!D$3,0)</f>
        <v>120</v>
      </c>
      <c r="K63">
        <f>ROUND(VLOOKUP(INT(A63/1000),Sheet3!$A$2:$B$7,2,FALSE)*Sheet3!E$3,0)</f>
        <v>4</v>
      </c>
      <c r="L63">
        <f>ROUND(VLOOKUP(INT(A63/1000),Sheet3!$A$2:$B$7,2,FALSE)*Sheet3!F$3,0)</f>
        <v>2</v>
      </c>
      <c r="M63">
        <f>ROUND(VLOOKUP(INT(A63/1000),Sheet3!$A$2:$B$7,2,FALSE)*Sheet3!G$3,0)</f>
        <v>2</v>
      </c>
    </row>
    <row r="64" spans="1:13" x14ac:dyDescent="0.15">
      <c r="A64">
        <f t="shared" si="21"/>
        <v>11401</v>
      </c>
      <c r="B64" t="str">
        <f t="shared" ref="B64:C64" si="66">B40</f>
        <v>伙伴5级时开启</v>
      </c>
      <c r="C64" t="str">
        <f t="shared" si="66"/>
        <v>进阶+1</v>
      </c>
      <c r="D64">
        <f t="shared" si="6"/>
        <v>1201</v>
      </c>
      <c r="E64">
        <f t="shared" si="6"/>
        <v>10000</v>
      </c>
      <c r="F64" t="str">
        <f t="shared" si="6"/>
        <v>14107|120</v>
      </c>
      <c r="H64">
        <f t="shared" si="8"/>
        <v>0</v>
      </c>
      <c r="I64">
        <f>ROUND(VLOOKUP(INT(A64/1000),Sheet3!$A$2:$B$7,2,FALSE)*Sheet3!D$3,0)</f>
        <v>120</v>
      </c>
      <c r="K64">
        <f>ROUND(VLOOKUP(INT(A64/1000),Sheet3!$A$2:$B$7,2,FALSE)*Sheet3!E$3,0)</f>
        <v>4</v>
      </c>
      <c r="L64">
        <f>ROUND(VLOOKUP(INT(A64/1000),Sheet3!$A$2:$B$7,2,FALSE)*Sheet3!F$3,0)</f>
        <v>2</v>
      </c>
      <c r="M64">
        <f>ROUND(VLOOKUP(INT(A64/1000),Sheet3!$A$2:$B$7,2,FALSE)*Sheet3!G$3,0)</f>
        <v>2</v>
      </c>
    </row>
    <row r="65" spans="1:13" x14ac:dyDescent="0.15">
      <c r="A65">
        <f t="shared" si="21"/>
        <v>11402</v>
      </c>
      <c r="B65" t="str">
        <f t="shared" ref="B65:C65" si="67">B41</f>
        <v>伙伴15级时开启</v>
      </c>
      <c r="C65" t="str">
        <f t="shared" si="67"/>
        <v>进阶+2</v>
      </c>
      <c r="D65">
        <f t="shared" si="6"/>
        <v>1202</v>
      </c>
      <c r="E65">
        <f t="shared" ref="E65:F65" si="68">E53</f>
        <v>30000</v>
      </c>
      <c r="F65" t="str">
        <f t="shared" si="68"/>
        <v>14107|360</v>
      </c>
      <c r="H65">
        <f t="shared" si="8"/>
        <v>0</v>
      </c>
      <c r="I65">
        <f>ROUND(VLOOKUP(INT(A65/1000),Sheet3!$A$2:$B$7,2,FALSE)*Sheet3!D$3,0)</f>
        <v>120</v>
      </c>
      <c r="K65">
        <f>ROUND(VLOOKUP(INT(A65/1000),Sheet3!$A$2:$B$7,2,FALSE)*Sheet3!E$3,0)</f>
        <v>4</v>
      </c>
      <c r="L65">
        <f>ROUND(VLOOKUP(INT(A65/1000),Sheet3!$A$2:$B$7,2,FALSE)*Sheet3!F$3,0)</f>
        <v>2</v>
      </c>
      <c r="M65">
        <f>ROUND(VLOOKUP(INT(A65/1000),Sheet3!$A$2:$B$7,2,FALSE)*Sheet3!G$3,0)</f>
        <v>2</v>
      </c>
    </row>
    <row r="66" spans="1:13" x14ac:dyDescent="0.15">
      <c r="A66">
        <f t="shared" si="21"/>
        <v>11403</v>
      </c>
      <c r="B66" t="str">
        <f t="shared" ref="B66:C66" si="69">B42</f>
        <v>伙伴25级时开启</v>
      </c>
      <c r="C66" t="str">
        <f t="shared" si="69"/>
        <v>进阶+3</v>
      </c>
      <c r="D66">
        <f t="shared" si="6"/>
        <v>1203</v>
      </c>
      <c r="E66">
        <f t="shared" ref="E66:F66" si="70">E54</f>
        <v>50000</v>
      </c>
      <c r="F66" t="str">
        <f t="shared" si="70"/>
        <v>14107|600</v>
      </c>
      <c r="H66">
        <f t="shared" si="8"/>
        <v>0</v>
      </c>
      <c r="I66">
        <f>ROUND(VLOOKUP(INT(A66/1000),Sheet3!$A$2:$B$7,2,FALSE)*Sheet3!D$3,0)</f>
        <v>120</v>
      </c>
      <c r="K66">
        <f>ROUND(VLOOKUP(INT(A66/1000),Sheet3!$A$2:$B$7,2,FALSE)*Sheet3!E$3,0)</f>
        <v>4</v>
      </c>
      <c r="L66">
        <f>ROUND(VLOOKUP(INT(A66/1000),Sheet3!$A$2:$B$7,2,FALSE)*Sheet3!F$3,0)</f>
        <v>2</v>
      </c>
      <c r="M66">
        <f>ROUND(VLOOKUP(INT(A66/1000),Sheet3!$A$2:$B$7,2,FALSE)*Sheet3!G$3,0)</f>
        <v>2</v>
      </c>
    </row>
    <row r="67" spans="1:13" x14ac:dyDescent="0.15">
      <c r="A67">
        <f t="shared" si="21"/>
        <v>11404</v>
      </c>
      <c r="B67" t="str">
        <f t="shared" ref="B67:C67" si="71">B43</f>
        <v>伙伴35级时开启</v>
      </c>
      <c r="C67" t="str">
        <f t="shared" si="71"/>
        <v>进阶+4</v>
      </c>
      <c r="D67">
        <f t="shared" si="6"/>
        <v>1204</v>
      </c>
      <c r="E67">
        <f t="shared" ref="E67:F67" si="72">E55</f>
        <v>100000</v>
      </c>
      <c r="F67" t="str">
        <f t="shared" si="72"/>
        <v>14107|1200</v>
      </c>
      <c r="H67">
        <f t="shared" si="8"/>
        <v>1</v>
      </c>
      <c r="I67">
        <f>ROUND(VLOOKUP(INT(A67/1000),Sheet3!$A$2:$B$7,2,FALSE)*Sheet3!D$3,0)</f>
        <v>120</v>
      </c>
      <c r="K67">
        <f>ROUND(VLOOKUP(INT(A67/1000),Sheet3!$A$2:$B$7,2,FALSE)*Sheet3!E$3,0)</f>
        <v>4</v>
      </c>
      <c r="L67">
        <f>ROUND(VLOOKUP(INT(A67/1000),Sheet3!$A$2:$B$7,2,FALSE)*Sheet3!F$3,0)</f>
        <v>2</v>
      </c>
      <c r="M67">
        <f>ROUND(VLOOKUP(INT(A67/1000),Sheet3!$A$2:$B$7,2,FALSE)*Sheet3!G$3,0)</f>
        <v>2</v>
      </c>
    </row>
    <row r="68" spans="1:13" x14ac:dyDescent="0.15">
      <c r="A68">
        <f t="shared" si="21"/>
        <v>11405</v>
      </c>
      <c r="B68" t="str">
        <f t="shared" ref="B68:C68" si="73">B44</f>
        <v>伙伴45级时开启</v>
      </c>
      <c r="C68" t="str">
        <f t="shared" si="73"/>
        <v>进阶+5</v>
      </c>
      <c r="D68">
        <f t="shared" si="6"/>
        <v>1205</v>
      </c>
      <c r="E68">
        <f t="shared" ref="E68:F68" si="74">E56</f>
        <v>200000</v>
      </c>
      <c r="F68" t="str">
        <f t="shared" si="74"/>
        <v>14107|2400</v>
      </c>
      <c r="H68">
        <f t="shared" si="8"/>
        <v>1</v>
      </c>
      <c r="I68">
        <f>ROUND(VLOOKUP(INT(A68/1000),Sheet3!$A$2:$B$7,2,FALSE)*Sheet3!D$3,0)</f>
        <v>120</v>
      </c>
      <c r="K68">
        <f>ROUND(VLOOKUP(INT(A68/1000),Sheet3!$A$2:$B$7,2,FALSE)*Sheet3!E$3,0)</f>
        <v>4</v>
      </c>
      <c r="L68">
        <f>ROUND(VLOOKUP(INT(A68/1000),Sheet3!$A$2:$B$7,2,FALSE)*Sheet3!F$3,0)</f>
        <v>2</v>
      </c>
      <c r="M68">
        <f>ROUND(VLOOKUP(INT(A68/1000),Sheet3!$A$2:$B$7,2,FALSE)*Sheet3!G$3,0)</f>
        <v>2</v>
      </c>
    </row>
    <row r="69" spans="1:13" x14ac:dyDescent="0.15">
      <c r="A69">
        <f t="shared" si="21"/>
        <v>11406</v>
      </c>
      <c r="B69" t="str">
        <f t="shared" ref="B69:C69" si="75">B45</f>
        <v>伙伴55级时开启</v>
      </c>
      <c r="C69" t="str">
        <f t="shared" si="75"/>
        <v>进阶+6</v>
      </c>
      <c r="D69">
        <f t="shared" si="6"/>
        <v>1206</v>
      </c>
      <c r="E69">
        <f t="shared" ref="E69:F69" si="76">E57</f>
        <v>300000</v>
      </c>
      <c r="F69" t="str">
        <f t="shared" si="76"/>
        <v>14107|3600</v>
      </c>
      <c r="H69">
        <f t="shared" si="8"/>
        <v>2</v>
      </c>
      <c r="I69">
        <f>ROUND(VLOOKUP(INT(A69/1000),Sheet3!$A$2:$B$7,2,FALSE)*Sheet3!D$3,0)</f>
        <v>120</v>
      </c>
      <c r="K69">
        <f>ROUND(VLOOKUP(INT(A69/1000),Sheet3!$A$2:$B$7,2,FALSE)*Sheet3!E$3,0)</f>
        <v>4</v>
      </c>
      <c r="L69">
        <f>ROUND(VLOOKUP(INT(A69/1000),Sheet3!$A$2:$B$7,2,FALSE)*Sheet3!F$3,0)</f>
        <v>2</v>
      </c>
      <c r="M69">
        <f>ROUND(VLOOKUP(INT(A69/1000),Sheet3!$A$2:$B$7,2,FALSE)*Sheet3!G$3,0)</f>
        <v>2</v>
      </c>
    </row>
    <row r="70" spans="1:13" x14ac:dyDescent="0.15">
      <c r="A70">
        <f t="shared" si="21"/>
        <v>11407</v>
      </c>
      <c r="B70" t="str">
        <f t="shared" ref="B70:C70" si="77">B46</f>
        <v>伙伴65级时开启</v>
      </c>
      <c r="C70" t="str">
        <f t="shared" si="77"/>
        <v>进阶+7</v>
      </c>
      <c r="D70">
        <f t="shared" si="6"/>
        <v>1207</v>
      </c>
      <c r="E70">
        <f t="shared" ref="E70:F70" si="78">E58</f>
        <v>500000</v>
      </c>
      <c r="F70" t="str">
        <f t="shared" si="78"/>
        <v>14107|6000</v>
      </c>
      <c r="H70">
        <f t="shared" si="8"/>
        <v>2</v>
      </c>
      <c r="I70">
        <f>ROUND(VLOOKUP(INT(A70/1000),Sheet3!$A$2:$B$7,2,FALSE)*Sheet3!D$3,0)</f>
        <v>120</v>
      </c>
      <c r="K70">
        <f>ROUND(VLOOKUP(INT(A70/1000),Sheet3!$A$2:$B$7,2,FALSE)*Sheet3!E$3,0)</f>
        <v>4</v>
      </c>
      <c r="L70">
        <f>ROUND(VLOOKUP(INT(A70/1000),Sheet3!$A$2:$B$7,2,FALSE)*Sheet3!F$3,0)</f>
        <v>2</v>
      </c>
      <c r="M70">
        <f>ROUND(VLOOKUP(INT(A70/1000),Sheet3!$A$2:$B$7,2,FALSE)*Sheet3!G$3,0)</f>
        <v>2</v>
      </c>
    </row>
    <row r="71" spans="1:13" x14ac:dyDescent="0.15">
      <c r="A71">
        <f t="shared" si="21"/>
        <v>11408</v>
      </c>
      <c r="B71" t="str">
        <f t="shared" ref="B71:C71" si="79">B47</f>
        <v>伙伴75级时开启</v>
      </c>
      <c r="C71" t="str">
        <f t="shared" si="79"/>
        <v>进阶+8</v>
      </c>
      <c r="D71">
        <f t="shared" si="6"/>
        <v>1208</v>
      </c>
      <c r="E71">
        <f t="shared" ref="E71:F71" si="80">E59</f>
        <v>800000</v>
      </c>
      <c r="F71" t="str">
        <f t="shared" si="80"/>
        <v>14107|10000</v>
      </c>
      <c r="H71">
        <f t="shared" si="8"/>
        <v>4</v>
      </c>
      <c r="I71">
        <f>ROUND(VLOOKUP(INT(A71/1000),Sheet3!$A$2:$B$7,2,FALSE)*Sheet3!D$3,0)</f>
        <v>120</v>
      </c>
      <c r="K71">
        <f>ROUND(VLOOKUP(INT(A71/1000),Sheet3!$A$2:$B$7,2,FALSE)*Sheet3!E$3,0)</f>
        <v>4</v>
      </c>
      <c r="L71">
        <f>ROUND(VLOOKUP(INT(A71/1000),Sheet3!$A$2:$B$7,2,FALSE)*Sheet3!F$3,0)</f>
        <v>2</v>
      </c>
      <c r="M71">
        <f>ROUND(VLOOKUP(INT(A71/1000),Sheet3!$A$2:$B$7,2,FALSE)*Sheet3!G$3,0)</f>
        <v>2</v>
      </c>
    </row>
    <row r="72" spans="1:13" x14ac:dyDescent="0.15">
      <c r="A72">
        <f t="shared" si="21"/>
        <v>11409</v>
      </c>
      <c r="B72" t="str">
        <f t="shared" ref="B72:C72" si="81">B48</f>
        <v>伙伴85级时开启</v>
      </c>
      <c r="C72" t="str">
        <f t="shared" si="81"/>
        <v>进阶+9</v>
      </c>
      <c r="D72">
        <f t="shared" si="6"/>
        <v>1209</v>
      </c>
      <c r="E72">
        <f t="shared" si="6"/>
        <v>1200000</v>
      </c>
      <c r="F72" t="str">
        <f t="shared" si="6"/>
        <v>14107|15000</v>
      </c>
      <c r="H72">
        <f t="shared" si="8"/>
        <v>6</v>
      </c>
      <c r="I72">
        <f>ROUND(VLOOKUP(INT(A72/1000),Sheet3!$A$2:$B$7,2,FALSE)*Sheet3!D$3,0)</f>
        <v>120</v>
      </c>
      <c r="K72">
        <f>ROUND(VLOOKUP(INT(A72/1000),Sheet3!$A$2:$B$7,2,FALSE)*Sheet3!E$3,0)</f>
        <v>4</v>
      </c>
      <c r="L72">
        <f>ROUND(VLOOKUP(INT(A72/1000),Sheet3!$A$2:$B$7,2,FALSE)*Sheet3!F$3,0)</f>
        <v>2</v>
      </c>
      <c r="M72">
        <f>ROUND(VLOOKUP(INT(A72/1000),Sheet3!$A$2:$B$7,2,FALSE)*Sheet3!G$3,0)</f>
        <v>2</v>
      </c>
    </row>
    <row r="73" spans="1:13" x14ac:dyDescent="0.15">
      <c r="A73">
        <f t="shared" si="21"/>
        <v>11410</v>
      </c>
      <c r="B73" t="str">
        <f t="shared" ref="B73:C73" si="82">B49</f>
        <v>伙伴95级时开启</v>
      </c>
      <c r="C73" t="str">
        <f t="shared" si="82"/>
        <v>进阶+10</v>
      </c>
      <c r="D73">
        <f t="shared" si="6"/>
        <v>1210</v>
      </c>
      <c r="E73">
        <f t="shared" ref="E73:F73" si="83">E61</f>
        <v>1600000</v>
      </c>
      <c r="F73" t="str">
        <f t="shared" si="83"/>
        <v>14107|20000</v>
      </c>
      <c r="H73">
        <f t="shared" si="8"/>
        <v>8</v>
      </c>
      <c r="I73">
        <f>ROUND(VLOOKUP(INT(A73/1000),Sheet3!$A$2:$B$7,2,FALSE)*Sheet3!D$3,0)</f>
        <v>120</v>
      </c>
      <c r="K73">
        <f>ROUND(VLOOKUP(INT(A73/1000),Sheet3!$A$2:$B$7,2,FALSE)*Sheet3!E$3,0)</f>
        <v>4</v>
      </c>
      <c r="L73">
        <f>ROUND(VLOOKUP(INT(A73/1000),Sheet3!$A$2:$B$7,2,FALSE)*Sheet3!F$3,0)</f>
        <v>2</v>
      </c>
      <c r="M73">
        <f>ROUND(VLOOKUP(INT(A73/1000),Sheet3!$A$2:$B$7,2,FALSE)*Sheet3!G$3,0)</f>
        <v>2</v>
      </c>
    </row>
    <row r="74" spans="1:13" x14ac:dyDescent="0.15">
      <c r="A74">
        <f t="shared" si="21"/>
        <v>11411</v>
      </c>
      <c r="B74" t="str">
        <f t="shared" ref="B74:C74" si="84">B50</f>
        <v>伙伴105级时开启</v>
      </c>
      <c r="C74" t="str">
        <f t="shared" si="84"/>
        <v>进阶+11</v>
      </c>
      <c r="D74">
        <f t="shared" si="6"/>
        <v>1211</v>
      </c>
      <c r="E74">
        <f t="shared" ref="E74:F74" si="85">E62</f>
        <v>2000000</v>
      </c>
      <c r="F74" t="str">
        <f t="shared" si="85"/>
        <v>14107|24000</v>
      </c>
      <c r="H74">
        <f t="shared" si="8"/>
        <v>10</v>
      </c>
      <c r="I74">
        <f>ROUND(VLOOKUP(INT(A74/1000),Sheet3!$A$2:$B$7,2,FALSE)*Sheet3!D$3,0)</f>
        <v>120</v>
      </c>
      <c r="K74">
        <f>ROUND(VLOOKUP(INT(A74/1000),Sheet3!$A$2:$B$7,2,FALSE)*Sheet3!E$3,0)</f>
        <v>4</v>
      </c>
      <c r="L74">
        <f>ROUND(VLOOKUP(INT(A74/1000),Sheet3!$A$2:$B$7,2,FALSE)*Sheet3!F$3,0)</f>
        <v>2</v>
      </c>
      <c r="M74">
        <f>ROUND(VLOOKUP(INT(A74/1000),Sheet3!$A$2:$B$7,2,FALSE)*Sheet3!G$3,0)</f>
        <v>2</v>
      </c>
    </row>
    <row r="75" spans="1:13" x14ac:dyDescent="0.15">
      <c r="A75">
        <f t="shared" si="21"/>
        <v>11412</v>
      </c>
      <c r="B75" t="str">
        <f t="shared" ref="B75:C75" si="86">B51</f>
        <v>伙伴115级时开启</v>
      </c>
      <c r="C75" t="str">
        <f t="shared" si="86"/>
        <v>进阶+12</v>
      </c>
      <c r="D75">
        <f t="shared" si="6"/>
        <v>1212</v>
      </c>
      <c r="E75">
        <f t="shared" ref="E75:F75" si="87">E63</f>
        <v>2400000</v>
      </c>
      <c r="F75" t="str">
        <f t="shared" si="87"/>
        <v>14107|28000</v>
      </c>
      <c r="H75">
        <f t="shared" si="8"/>
        <v>12</v>
      </c>
      <c r="I75">
        <f>ROUND(VLOOKUP(INT(A75/1000),Sheet3!$A$2:$B$7,2,FALSE)*Sheet3!D$3,0)</f>
        <v>120</v>
      </c>
      <c r="K75">
        <f>ROUND(VLOOKUP(INT(A75/1000),Sheet3!$A$2:$B$7,2,FALSE)*Sheet3!E$3,0)</f>
        <v>4</v>
      </c>
      <c r="L75">
        <f>ROUND(VLOOKUP(INT(A75/1000),Sheet3!$A$2:$B$7,2,FALSE)*Sheet3!F$3,0)</f>
        <v>2</v>
      </c>
      <c r="M75">
        <f>ROUND(VLOOKUP(INT(A75/1000),Sheet3!$A$2:$B$7,2,FALSE)*Sheet3!G$3,0)</f>
        <v>2</v>
      </c>
    </row>
    <row r="76" spans="1:13" x14ac:dyDescent="0.15">
      <c r="A76">
        <f t="shared" si="21"/>
        <v>11501</v>
      </c>
      <c r="B76" t="str">
        <f t="shared" ref="B76:C76" si="88">B52</f>
        <v>伙伴5级时开启</v>
      </c>
      <c r="C76" t="str">
        <f t="shared" si="88"/>
        <v>进阶+1</v>
      </c>
      <c r="D76">
        <f t="shared" si="6"/>
        <v>1201</v>
      </c>
      <c r="E76">
        <f t="shared" ref="E76:F76" si="89">E64</f>
        <v>10000</v>
      </c>
      <c r="F76" t="str">
        <f t="shared" si="89"/>
        <v>14107|120</v>
      </c>
      <c r="H76">
        <f t="shared" si="8"/>
        <v>0</v>
      </c>
      <c r="I76">
        <f>ROUND(VLOOKUP(INT(A76/1000),Sheet3!$A$2:$B$7,2,FALSE)*Sheet3!D$3,0)</f>
        <v>120</v>
      </c>
      <c r="K76">
        <f>ROUND(VLOOKUP(INT(A76/1000),Sheet3!$A$2:$B$7,2,FALSE)*Sheet3!E$3,0)</f>
        <v>4</v>
      </c>
      <c r="L76">
        <f>ROUND(VLOOKUP(INT(A76/1000),Sheet3!$A$2:$B$7,2,FALSE)*Sheet3!F$3,0)</f>
        <v>2</v>
      </c>
      <c r="M76">
        <f>ROUND(VLOOKUP(INT(A76/1000),Sheet3!$A$2:$B$7,2,FALSE)*Sheet3!G$3,0)</f>
        <v>2</v>
      </c>
    </row>
    <row r="77" spans="1:13" x14ac:dyDescent="0.15">
      <c r="A77">
        <f t="shared" si="21"/>
        <v>11502</v>
      </c>
      <c r="B77" t="str">
        <f t="shared" ref="B77:C77" si="90">B53</f>
        <v>伙伴15级时开启</v>
      </c>
      <c r="C77" t="str">
        <f t="shared" si="90"/>
        <v>进阶+2</v>
      </c>
      <c r="D77">
        <f t="shared" si="6"/>
        <v>1202</v>
      </c>
      <c r="E77">
        <f t="shared" ref="E77:F77" si="91">E65</f>
        <v>30000</v>
      </c>
      <c r="F77" t="str">
        <f t="shared" si="91"/>
        <v>14107|360</v>
      </c>
      <c r="H77">
        <f t="shared" si="8"/>
        <v>0</v>
      </c>
      <c r="I77">
        <f>ROUND(VLOOKUP(INT(A77/1000),Sheet3!$A$2:$B$7,2,FALSE)*Sheet3!D$3,0)</f>
        <v>120</v>
      </c>
      <c r="K77">
        <f>ROUND(VLOOKUP(INT(A77/1000),Sheet3!$A$2:$B$7,2,FALSE)*Sheet3!E$3,0)</f>
        <v>4</v>
      </c>
      <c r="L77">
        <f>ROUND(VLOOKUP(INT(A77/1000),Sheet3!$A$2:$B$7,2,FALSE)*Sheet3!F$3,0)</f>
        <v>2</v>
      </c>
      <c r="M77">
        <f>ROUND(VLOOKUP(INT(A77/1000),Sheet3!$A$2:$B$7,2,FALSE)*Sheet3!G$3,0)</f>
        <v>2</v>
      </c>
    </row>
    <row r="78" spans="1:13" x14ac:dyDescent="0.15">
      <c r="A78">
        <f t="shared" si="21"/>
        <v>11503</v>
      </c>
      <c r="B78" t="str">
        <f t="shared" ref="B78:C78" si="92">B54</f>
        <v>伙伴25级时开启</v>
      </c>
      <c r="C78" t="str">
        <f t="shared" si="92"/>
        <v>进阶+3</v>
      </c>
      <c r="D78">
        <f t="shared" si="6"/>
        <v>1203</v>
      </c>
      <c r="E78">
        <f t="shared" ref="E78:F78" si="93">E66</f>
        <v>50000</v>
      </c>
      <c r="F78" t="str">
        <f t="shared" si="93"/>
        <v>14107|600</v>
      </c>
      <c r="H78">
        <f t="shared" si="8"/>
        <v>0</v>
      </c>
      <c r="I78">
        <f>ROUND(VLOOKUP(INT(A78/1000),Sheet3!$A$2:$B$7,2,FALSE)*Sheet3!D$3,0)</f>
        <v>120</v>
      </c>
      <c r="K78">
        <f>ROUND(VLOOKUP(INT(A78/1000),Sheet3!$A$2:$B$7,2,FALSE)*Sheet3!E$3,0)</f>
        <v>4</v>
      </c>
      <c r="L78">
        <f>ROUND(VLOOKUP(INT(A78/1000),Sheet3!$A$2:$B$7,2,FALSE)*Sheet3!F$3,0)</f>
        <v>2</v>
      </c>
      <c r="M78">
        <f>ROUND(VLOOKUP(INT(A78/1000),Sheet3!$A$2:$B$7,2,FALSE)*Sheet3!G$3,0)</f>
        <v>2</v>
      </c>
    </row>
    <row r="79" spans="1:13" x14ac:dyDescent="0.15">
      <c r="A79">
        <f t="shared" si="21"/>
        <v>11504</v>
      </c>
      <c r="B79" t="str">
        <f t="shared" ref="B79:C79" si="94">B55</f>
        <v>伙伴35级时开启</v>
      </c>
      <c r="C79" t="str">
        <f t="shared" si="94"/>
        <v>进阶+4</v>
      </c>
      <c r="D79">
        <f t="shared" si="6"/>
        <v>1204</v>
      </c>
      <c r="E79">
        <f t="shared" ref="E79:F79" si="95">E67</f>
        <v>100000</v>
      </c>
      <c r="F79" t="str">
        <f t="shared" si="95"/>
        <v>14107|1200</v>
      </c>
      <c r="H79">
        <f t="shared" si="8"/>
        <v>1</v>
      </c>
      <c r="I79">
        <f>ROUND(VLOOKUP(INT(A79/1000),Sheet3!$A$2:$B$7,2,FALSE)*Sheet3!D$3,0)</f>
        <v>120</v>
      </c>
      <c r="K79">
        <f>ROUND(VLOOKUP(INT(A79/1000),Sheet3!$A$2:$B$7,2,FALSE)*Sheet3!E$3,0)</f>
        <v>4</v>
      </c>
      <c r="L79">
        <f>ROUND(VLOOKUP(INT(A79/1000),Sheet3!$A$2:$B$7,2,FALSE)*Sheet3!F$3,0)</f>
        <v>2</v>
      </c>
      <c r="M79">
        <f>ROUND(VLOOKUP(INT(A79/1000),Sheet3!$A$2:$B$7,2,FALSE)*Sheet3!G$3,0)</f>
        <v>2</v>
      </c>
    </row>
    <row r="80" spans="1:13" x14ac:dyDescent="0.15">
      <c r="A80">
        <f t="shared" si="21"/>
        <v>11505</v>
      </c>
      <c r="B80" t="str">
        <f t="shared" ref="B80:C80" si="96">B56</f>
        <v>伙伴45级时开启</v>
      </c>
      <c r="C80" t="str">
        <f t="shared" si="96"/>
        <v>进阶+5</v>
      </c>
      <c r="D80">
        <f t="shared" si="6"/>
        <v>1205</v>
      </c>
      <c r="E80">
        <f t="shared" si="6"/>
        <v>200000</v>
      </c>
      <c r="F80" t="str">
        <f t="shared" si="6"/>
        <v>14107|2400</v>
      </c>
      <c r="H80">
        <f t="shared" si="8"/>
        <v>1</v>
      </c>
      <c r="I80">
        <f>ROUND(VLOOKUP(INT(A80/1000),Sheet3!$A$2:$B$7,2,FALSE)*Sheet3!D$3,0)</f>
        <v>120</v>
      </c>
      <c r="K80">
        <f>ROUND(VLOOKUP(INT(A80/1000),Sheet3!$A$2:$B$7,2,FALSE)*Sheet3!E$3,0)</f>
        <v>4</v>
      </c>
      <c r="L80">
        <f>ROUND(VLOOKUP(INT(A80/1000),Sheet3!$A$2:$B$7,2,FALSE)*Sheet3!F$3,0)</f>
        <v>2</v>
      </c>
      <c r="M80">
        <f>ROUND(VLOOKUP(INT(A80/1000),Sheet3!$A$2:$B$7,2,FALSE)*Sheet3!G$3,0)</f>
        <v>2</v>
      </c>
    </row>
    <row r="81" spans="1:13" x14ac:dyDescent="0.15">
      <c r="A81">
        <f t="shared" si="21"/>
        <v>11506</v>
      </c>
      <c r="B81" t="str">
        <f t="shared" ref="B81:C81" si="97">B57</f>
        <v>伙伴55级时开启</v>
      </c>
      <c r="C81" t="str">
        <f t="shared" si="97"/>
        <v>进阶+6</v>
      </c>
      <c r="D81">
        <f t="shared" ref="D81:F144" si="98">D69</f>
        <v>1206</v>
      </c>
      <c r="E81">
        <f t="shared" si="98"/>
        <v>300000</v>
      </c>
      <c r="F81" t="str">
        <f t="shared" si="98"/>
        <v>14107|3600</v>
      </c>
      <c r="H81">
        <f t="shared" ref="H81:H144" si="99">H69</f>
        <v>2</v>
      </c>
      <c r="I81">
        <f>ROUND(VLOOKUP(INT(A81/1000),Sheet3!$A$2:$B$7,2,FALSE)*Sheet3!D$3,0)</f>
        <v>120</v>
      </c>
      <c r="K81">
        <f>ROUND(VLOOKUP(INT(A81/1000),Sheet3!$A$2:$B$7,2,FALSE)*Sheet3!E$3,0)</f>
        <v>4</v>
      </c>
      <c r="L81">
        <f>ROUND(VLOOKUP(INT(A81/1000),Sheet3!$A$2:$B$7,2,FALSE)*Sheet3!F$3,0)</f>
        <v>2</v>
      </c>
      <c r="M81">
        <f>ROUND(VLOOKUP(INT(A81/1000),Sheet3!$A$2:$B$7,2,FALSE)*Sheet3!G$3,0)</f>
        <v>2</v>
      </c>
    </row>
    <row r="82" spans="1:13" x14ac:dyDescent="0.15">
      <c r="A82">
        <f t="shared" si="21"/>
        <v>11507</v>
      </c>
      <c r="B82" t="str">
        <f t="shared" ref="B82:C82" si="100">B58</f>
        <v>伙伴65级时开启</v>
      </c>
      <c r="C82" t="str">
        <f t="shared" si="100"/>
        <v>进阶+7</v>
      </c>
      <c r="D82">
        <f t="shared" si="98"/>
        <v>1207</v>
      </c>
      <c r="E82">
        <f t="shared" si="98"/>
        <v>500000</v>
      </c>
      <c r="F82" t="str">
        <f t="shared" si="98"/>
        <v>14107|6000</v>
      </c>
      <c r="H82">
        <f t="shared" si="99"/>
        <v>2</v>
      </c>
      <c r="I82">
        <f>ROUND(VLOOKUP(INT(A82/1000),Sheet3!$A$2:$B$7,2,FALSE)*Sheet3!D$3,0)</f>
        <v>120</v>
      </c>
      <c r="K82">
        <f>ROUND(VLOOKUP(INT(A82/1000),Sheet3!$A$2:$B$7,2,FALSE)*Sheet3!E$3,0)</f>
        <v>4</v>
      </c>
      <c r="L82">
        <f>ROUND(VLOOKUP(INT(A82/1000),Sheet3!$A$2:$B$7,2,FALSE)*Sheet3!F$3,0)</f>
        <v>2</v>
      </c>
      <c r="M82">
        <f>ROUND(VLOOKUP(INT(A82/1000),Sheet3!$A$2:$B$7,2,FALSE)*Sheet3!G$3,0)</f>
        <v>2</v>
      </c>
    </row>
    <row r="83" spans="1:13" x14ac:dyDescent="0.15">
      <c r="A83">
        <f t="shared" si="21"/>
        <v>11508</v>
      </c>
      <c r="B83" t="str">
        <f t="shared" ref="B83:C83" si="101">B59</f>
        <v>伙伴75级时开启</v>
      </c>
      <c r="C83" t="str">
        <f t="shared" si="101"/>
        <v>进阶+8</v>
      </c>
      <c r="D83">
        <f t="shared" si="98"/>
        <v>1208</v>
      </c>
      <c r="E83">
        <f t="shared" si="98"/>
        <v>800000</v>
      </c>
      <c r="F83" t="str">
        <f t="shared" si="98"/>
        <v>14107|10000</v>
      </c>
      <c r="H83">
        <f t="shared" si="99"/>
        <v>4</v>
      </c>
      <c r="I83">
        <f>ROUND(VLOOKUP(INT(A83/1000),Sheet3!$A$2:$B$7,2,FALSE)*Sheet3!D$3,0)</f>
        <v>120</v>
      </c>
      <c r="K83">
        <f>ROUND(VLOOKUP(INT(A83/1000),Sheet3!$A$2:$B$7,2,FALSE)*Sheet3!E$3,0)</f>
        <v>4</v>
      </c>
      <c r="L83">
        <f>ROUND(VLOOKUP(INT(A83/1000),Sheet3!$A$2:$B$7,2,FALSE)*Sheet3!F$3,0)</f>
        <v>2</v>
      </c>
      <c r="M83">
        <f>ROUND(VLOOKUP(INT(A83/1000),Sheet3!$A$2:$B$7,2,FALSE)*Sheet3!G$3,0)</f>
        <v>2</v>
      </c>
    </row>
    <row r="84" spans="1:13" x14ac:dyDescent="0.15">
      <c r="A84">
        <f t="shared" si="21"/>
        <v>11509</v>
      </c>
      <c r="B84" t="str">
        <f t="shared" ref="B84:C84" si="102">B60</f>
        <v>伙伴85级时开启</v>
      </c>
      <c r="C84" t="str">
        <f t="shared" si="102"/>
        <v>进阶+9</v>
      </c>
      <c r="D84">
        <f t="shared" si="98"/>
        <v>1209</v>
      </c>
      <c r="E84">
        <f t="shared" si="98"/>
        <v>1200000</v>
      </c>
      <c r="F84" t="str">
        <f t="shared" si="98"/>
        <v>14107|15000</v>
      </c>
      <c r="H84">
        <f t="shared" si="99"/>
        <v>6</v>
      </c>
      <c r="I84">
        <f>ROUND(VLOOKUP(INT(A84/1000),Sheet3!$A$2:$B$7,2,FALSE)*Sheet3!D$3,0)</f>
        <v>120</v>
      </c>
      <c r="K84">
        <f>ROUND(VLOOKUP(INT(A84/1000),Sheet3!$A$2:$B$7,2,FALSE)*Sheet3!E$3,0)</f>
        <v>4</v>
      </c>
      <c r="L84">
        <f>ROUND(VLOOKUP(INT(A84/1000),Sheet3!$A$2:$B$7,2,FALSE)*Sheet3!F$3,0)</f>
        <v>2</v>
      </c>
      <c r="M84">
        <f>ROUND(VLOOKUP(INT(A84/1000),Sheet3!$A$2:$B$7,2,FALSE)*Sheet3!G$3,0)</f>
        <v>2</v>
      </c>
    </row>
    <row r="85" spans="1:13" x14ac:dyDescent="0.15">
      <c r="A85">
        <f t="shared" si="21"/>
        <v>11510</v>
      </c>
      <c r="B85" t="str">
        <f t="shared" ref="B85:C85" si="103">B61</f>
        <v>伙伴95级时开启</v>
      </c>
      <c r="C85" t="str">
        <f t="shared" si="103"/>
        <v>进阶+10</v>
      </c>
      <c r="D85">
        <f t="shared" si="98"/>
        <v>1210</v>
      </c>
      <c r="E85">
        <f t="shared" si="98"/>
        <v>1600000</v>
      </c>
      <c r="F85" t="str">
        <f t="shared" si="98"/>
        <v>14107|20000</v>
      </c>
      <c r="H85">
        <f t="shared" si="99"/>
        <v>8</v>
      </c>
      <c r="I85">
        <f>ROUND(VLOOKUP(INT(A85/1000),Sheet3!$A$2:$B$7,2,FALSE)*Sheet3!D$3,0)</f>
        <v>120</v>
      </c>
      <c r="K85">
        <f>ROUND(VLOOKUP(INT(A85/1000),Sheet3!$A$2:$B$7,2,FALSE)*Sheet3!E$3,0)</f>
        <v>4</v>
      </c>
      <c r="L85">
        <f>ROUND(VLOOKUP(INT(A85/1000),Sheet3!$A$2:$B$7,2,FALSE)*Sheet3!F$3,0)</f>
        <v>2</v>
      </c>
      <c r="M85">
        <f>ROUND(VLOOKUP(INT(A85/1000),Sheet3!$A$2:$B$7,2,FALSE)*Sheet3!G$3,0)</f>
        <v>2</v>
      </c>
    </row>
    <row r="86" spans="1:13" x14ac:dyDescent="0.15">
      <c r="A86">
        <f t="shared" si="21"/>
        <v>11511</v>
      </c>
      <c r="B86" t="str">
        <f t="shared" ref="B86:C86" si="104">B62</f>
        <v>伙伴105级时开启</v>
      </c>
      <c r="C86" t="str">
        <f t="shared" si="104"/>
        <v>进阶+11</v>
      </c>
      <c r="D86">
        <f t="shared" si="98"/>
        <v>1211</v>
      </c>
      <c r="E86">
        <f t="shared" si="98"/>
        <v>2000000</v>
      </c>
      <c r="F86" t="str">
        <f t="shared" si="98"/>
        <v>14107|24000</v>
      </c>
      <c r="H86">
        <f t="shared" si="99"/>
        <v>10</v>
      </c>
      <c r="I86">
        <f>ROUND(VLOOKUP(INT(A86/1000),Sheet3!$A$2:$B$7,2,FALSE)*Sheet3!D$3,0)</f>
        <v>120</v>
      </c>
      <c r="K86">
        <f>ROUND(VLOOKUP(INT(A86/1000),Sheet3!$A$2:$B$7,2,FALSE)*Sheet3!E$3,0)</f>
        <v>4</v>
      </c>
      <c r="L86">
        <f>ROUND(VLOOKUP(INT(A86/1000),Sheet3!$A$2:$B$7,2,FALSE)*Sheet3!F$3,0)</f>
        <v>2</v>
      </c>
      <c r="M86">
        <f>ROUND(VLOOKUP(INT(A86/1000),Sheet3!$A$2:$B$7,2,FALSE)*Sheet3!G$3,0)</f>
        <v>2</v>
      </c>
    </row>
    <row r="87" spans="1:13" x14ac:dyDescent="0.15">
      <c r="A87">
        <f t="shared" si="21"/>
        <v>11512</v>
      </c>
      <c r="B87" t="str">
        <f t="shared" ref="B87:C87" si="105">B63</f>
        <v>伙伴115级时开启</v>
      </c>
      <c r="C87" t="str">
        <f t="shared" si="105"/>
        <v>进阶+12</v>
      </c>
      <c r="D87">
        <f t="shared" si="98"/>
        <v>1212</v>
      </c>
      <c r="E87">
        <f t="shared" si="98"/>
        <v>2400000</v>
      </c>
      <c r="F87" t="str">
        <f t="shared" si="98"/>
        <v>14107|28000</v>
      </c>
      <c r="H87">
        <f t="shared" si="99"/>
        <v>12</v>
      </c>
      <c r="I87">
        <f>ROUND(VLOOKUP(INT(A87/1000),Sheet3!$A$2:$B$7,2,FALSE)*Sheet3!D$3,0)</f>
        <v>120</v>
      </c>
      <c r="K87">
        <f>ROUND(VLOOKUP(INT(A87/1000),Sheet3!$A$2:$B$7,2,FALSE)*Sheet3!E$3,0)</f>
        <v>4</v>
      </c>
      <c r="L87">
        <f>ROUND(VLOOKUP(INT(A87/1000),Sheet3!$A$2:$B$7,2,FALSE)*Sheet3!F$3,0)</f>
        <v>2</v>
      </c>
      <c r="M87">
        <f>ROUND(VLOOKUP(INT(A87/1000),Sheet3!$A$2:$B$7,2,FALSE)*Sheet3!G$3,0)</f>
        <v>2</v>
      </c>
    </row>
    <row r="88" spans="1:13" x14ac:dyDescent="0.15">
      <c r="A88">
        <f>A28+2000</f>
        <v>13101</v>
      </c>
      <c r="B88" t="str">
        <f t="shared" ref="B88:C88" si="106">B64</f>
        <v>伙伴5级时开启</v>
      </c>
      <c r="C88" t="str">
        <f t="shared" si="106"/>
        <v>进阶+1</v>
      </c>
      <c r="D88">
        <f t="shared" si="98"/>
        <v>1201</v>
      </c>
      <c r="E88">
        <f t="shared" si="98"/>
        <v>10000</v>
      </c>
      <c r="F88" t="str">
        <f t="shared" si="98"/>
        <v>14107|120</v>
      </c>
      <c r="H88">
        <f t="shared" si="99"/>
        <v>0</v>
      </c>
      <c r="I88">
        <f>ROUND(VLOOKUP(INT(A88/1000),Sheet3!$A$2:$B$7,2,FALSE)*Sheet3!D$3,0)</f>
        <v>135</v>
      </c>
      <c r="K88">
        <f>ROUND(VLOOKUP(INT(A88/1000),Sheet3!$A$2:$B$7,2,FALSE)*Sheet3!E$3,0)</f>
        <v>5</v>
      </c>
      <c r="L88">
        <f>ROUND(VLOOKUP(INT(A88/1000),Sheet3!$A$2:$B$7,2,FALSE)*Sheet3!F$3,0)</f>
        <v>2</v>
      </c>
      <c r="M88">
        <f>ROUND(VLOOKUP(INT(A88/1000),Sheet3!$A$2:$B$7,2,FALSE)*Sheet3!G$3,0)</f>
        <v>2</v>
      </c>
    </row>
    <row r="89" spans="1:13" x14ac:dyDescent="0.15">
      <c r="A89">
        <f t="shared" ref="A89:A147" si="107">A29+2000</f>
        <v>13102</v>
      </c>
      <c r="B89" t="str">
        <f t="shared" ref="B89:C89" si="108">B65</f>
        <v>伙伴15级时开启</v>
      </c>
      <c r="C89" t="str">
        <f t="shared" si="108"/>
        <v>进阶+2</v>
      </c>
      <c r="D89">
        <f t="shared" si="98"/>
        <v>1202</v>
      </c>
      <c r="E89">
        <f t="shared" si="98"/>
        <v>30000</v>
      </c>
      <c r="F89" t="str">
        <f t="shared" si="98"/>
        <v>14107|360</v>
      </c>
      <c r="H89">
        <f t="shared" si="99"/>
        <v>0</v>
      </c>
      <c r="I89">
        <f>ROUND(VLOOKUP(INT(A89/1000),Sheet3!$A$2:$B$7,2,FALSE)*Sheet3!D$3,0)</f>
        <v>135</v>
      </c>
      <c r="K89">
        <f>ROUND(VLOOKUP(INT(A89/1000),Sheet3!$A$2:$B$7,2,FALSE)*Sheet3!E$3,0)</f>
        <v>5</v>
      </c>
      <c r="L89">
        <f>ROUND(VLOOKUP(INT(A89/1000),Sheet3!$A$2:$B$7,2,FALSE)*Sheet3!F$3,0)</f>
        <v>2</v>
      </c>
      <c r="M89">
        <f>ROUND(VLOOKUP(INT(A89/1000),Sheet3!$A$2:$B$7,2,FALSE)*Sheet3!G$3,0)</f>
        <v>2</v>
      </c>
    </row>
    <row r="90" spans="1:13" x14ac:dyDescent="0.15">
      <c r="A90">
        <f t="shared" si="107"/>
        <v>13103</v>
      </c>
      <c r="B90" t="str">
        <f t="shared" ref="B90:C90" si="109">B66</f>
        <v>伙伴25级时开启</v>
      </c>
      <c r="C90" t="str">
        <f t="shared" si="109"/>
        <v>进阶+3</v>
      </c>
      <c r="D90">
        <f t="shared" si="98"/>
        <v>1203</v>
      </c>
      <c r="E90">
        <f t="shared" si="98"/>
        <v>50000</v>
      </c>
      <c r="F90" t="str">
        <f t="shared" si="98"/>
        <v>14107|600</v>
      </c>
      <c r="H90">
        <f t="shared" si="99"/>
        <v>0</v>
      </c>
      <c r="I90">
        <f>ROUND(VLOOKUP(INT(A90/1000),Sheet3!$A$2:$B$7,2,FALSE)*Sheet3!D$3,0)</f>
        <v>135</v>
      </c>
      <c r="K90">
        <f>ROUND(VLOOKUP(INT(A90/1000),Sheet3!$A$2:$B$7,2,FALSE)*Sheet3!E$3,0)</f>
        <v>5</v>
      </c>
      <c r="L90">
        <f>ROUND(VLOOKUP(INT(A90/1000),Sheet3!$A$2:$B$7,2,FALSE)*Sheet3!F$3,0)</f>
        <v>2</v>
      </c>
      <c r="M90">
        <f>ROUND(VLOOKUP(INT(A90/1000),Sheet3!$A$2:$B$7,2,FALSE)*Sheet3!G$3,0)</f>
        <v>2</v>
      </c>
    </row>
    <row r="91" spans="1:13" x14ac:dyDescent="0.15">
      <c r="A91">
        <f t="shared" si="107"/>
        <v>13104</v>
      </c>
      <c r="B91" t="str">
        <f t="shared" ref="B91:C91" si="110">B67</f>
        <v>伙伴35级时开启</v>
      </c>
      <c r="C91" t="str">
        <f t="shared" si="110"/>
        <v>进阶+4</v>
      </c>
      <c r="D91">
        <f t="shared" si="98"/>
        <v>1204</v>
      </c>
      <c r="E91">
        <f t="shared" si="98"/>
        <v>100000</v>
      </c>
      <c r="F91" t="str">
        <f t="shared" si="98"/>
        <v>14107|1200</v>
      </c>
      <c r="H91">
        <f t="shared" si="99"/>
        <v>1</v>
      </c>
      <c r="I91">
        <f>ROUND(VLOOKUP(INT(A91/1000),Sheet3!$A$2:$B$7,2,FALSE)*Sheet3!D$3,0)</f>
        <v>135</v>
      </c>
      <c r="K91">
        <f>ROUND(VLOOKUP(INT(A91/1000),Sheet3!$A$2:$B$7,2,FALSE)*Sheet3!E$3,0)</f>
        <v>5</v>
      </c>
      <c r="L91">
        <f>ROUND(VLOOKUP(INT(A91/1000),Sheet3!$A$2:$B$7,2,FALSE)*Sheet3!F$3,0)</f>
        <v>2</v>
      </c>
      <c r="M91">
        <f>ROUND(VLOOKUP(INT(A91/1000),Sheet3!$A$2:$B$7,2,FALSE)*Sheet3!G$3,0)</f>
        <v>2</v>
      </c>
    </row>
    <row r="92" spans="1:13" x14ac:dyDescent="0.15">
      <c r="A92">
        <f t="shared" si="107"/>
        <v>13105</v>
      </c>
      <c r="B92" t="str">
        <f t="shared" ref="B92:C92" si="111">B68</f>
        <v>伙伴45级时开启</v>
      </c>
      <c r="C92" t="str">
        <f t="shared" si="111"/>
        <v>进阶+5</v>
      </c>
      <c r="D92">
        <f t="shared" si="98"/>
        <v>1205</v>
      </c>
      <c r="E92">
        <f t="shared" si="98"/>
        <v>200000</v>
      </c>
      <c r="F92" t="str">
        <f t="shared" si="98"/>
        <v>14107|2400</v>
      </c>
      <c r="H92">
        <f t="shared" si="99"/>
        <v>1</v>
      </c>
      <c r="I92">
        <f>ROUND(VLOOKUP(INT(A92/1000),Sheet3!$A$2:$B$7,2,FALSE)*Sheet3!D$3,0)</f>
        <v>135</v>
      </c>
      <c r="K92">
        <f>ROUND(VLOOKUP(INT(A92/1000),Sheet3!$A$2:$B$7,2,FALSE)*Sheet3!E$3,0)</f>
        <v>5</v>
      </c>
      <c r="L92">
        <f>ROUND(VLOOKUP(INT(A92/1000),Sheet3!$A$2:$B$7,2,FALSE)*Sheet3!F$3,0)</f>
        <v>2</v>
      </c>
      <c r="M92">
        <f>ROUND(VLOOKUP(INT(A92/1000),Sheet3!$A$2:$B$7,2,FALSE)*Sheet3!G$3,0)</f>
        <v>2</v>
      </c>
    </row>
    <row r="93" spans="1:13" x14ac:dyDescent="0.15">
      <c r="A93">
        <f t="shared" si="107"/>
        <v>13106</v>
      </c>
      <c r="B93" t="str">
        <f t="shared" ref="B93:C93" si="112">B69</f>
        <v>伙伴55级时开启</v>
      </c>
      <c r="C93" t="str">
        <f t="shared" si="112"/>
        <v>进阶+6</v>
      </c>
      <c r="D93">
        <f t="shared" si="98"/>
        <v>1206</v>
      </c>
      <c r="E93">
        <f t="shared" si="98"/>
        <v>300000</v>
      </c>
      <c r="F93" t="str">
        <f t="shared" si="98"/>
        <v>14107|3600</v>
      </c>
      <c r="H93">
        <f t="shared" si="99"/>
        <v>2</v>
      </c>
      <c r="I93">
        <f>ROUND(VLOOKUP(INT(A93/1000),Sheet3!$A$2:$B$7,2,FALSE)*Sheet3!D$3,0)</f>
        <v>135</v>
      </c>
      <c r="K93">
        <f>ROUND(VLOOKUP(INT(A93/1000),Sheet3!$A$2:$B$7,2,FALSE)*Sheet3!E$3,0)</f>
        <v>5</v>
      </c>
      <c r="L93">
        <f>ROUND(VLOOKUP(INT(A93/1000),Sheet3!$A$2:$B$7,2,FALSE)*Sheet3!F$3,0)</f>
        <v>2</v>
      </c>
      <c r="M93">
        <f>ROUND(VLOOKUP(INT(A93/1000),Sheet3!$A$2:$B$7,2,FALSE)*Sheet3!G$3,0)</f>
        <v>2</v>
      </c>
    </row>
    <row r="94" spans="1:13" x14ac:dyDescent="0.15">
      <c r="A94">
        <f t="shared" si="107"/>
        <v>13107</v>
      </c>
      <c r="B94" t="str">
        <f t="shared" ref="B94:C94" si="113">B70</f>
        <v>伙伴65级时开启</v>
      </c>
      <c r="C94" t="str">
        <f t="shared" si="113"/>
        <v>进阶+7</v>
      </c>
      <c r="D94">
        <f t="shared" si="98"/>
        <v>1207</v>
      </c>
      <c r="E94">
        <f t="shared" si="98"/>
        <v>500000</v>
      </c>
      <c r="F94" t="str">
        <f t="shared" si="98"/>
        <v>14107|6000</v>
      </c>
      <c r="H94">
        <f t="shared" si="99"/>
        <v>2</v>
      </c>
      <c r="I94">
        <f>ROUND(VLOOKUP(INT(A94/1000),Sheet3!$A$2:$B$7,2,FALSE)*Sheet3!D$3,0)</f>
        <v>135</v>
      </c>
      <c r="K94">
        <f>ROUND(VLOOKUP(INT(A94/1000),Sheet3!$A$2:$B$7,2,FALSE)*Sheet3!E$3,0)</f>
        <v>5</v>
      </c>
      <c r="L94">
        <f>ROUND(VLOOKUP(INT(A94/1000),Sheet3!$A$2:$B$7,2,FALSE)*Sheet3!F$3,0)</f>
        <v>2</v>
      </c>
      <c r="M94">
        <f>ROUND(VLOOKUP(INT(A94/1000),Sheet3!$A$2:$B$7,2,FALSE)*Sheet3!G$3,0)</f>
        <v>2</v>
      </c>
    </row>
    <row r="95" spans="1:13" x14ac:dyDescent="0.15">
      <c r="A95">
        <f t="shared" si="107"/>
        <v>13108</v>
      </c>
      <c r="B95" t="str">
        <f t="shared" ref="B95:C95" si="114">B71</f>
        <v>伙伴75级时开启</v>
      </c>
      <c r="C95" t="str">
        <f t="shared" si="114"/>
        <v>进阶+8</v>
      </c>
      <c r="D95">
        <f t="shared" si="98"/>
        <v>1208</v>
      </c>
      <c r="E95">
        <f t="shared" si="98"/>
        <v>800000</v>
      </c>
      <c r="F95" t="str">
        <f t="shared" si="98"/>
        <v>14107|10000</v>
      </c>
      <c r="H95">
        <f t="shared" si="99"/>
        <v>4</v>
      </c>
      <c r="I95">
        <f>ROUND(VLOOKUP(INT(A95/1000),Sheet3!$A$2:$B$7,2,FALSE)*Sheet3!D$3,0)</f>
        <v>135</v>
      </c>
      <c r="K95">
        <f>ROUND(VLOOKUP(INT(A95/1000),Sheet3!$A$2:$B$7,2,FALSE)*Sheet3!E$3,0)</f>
        <v>5</v>
      </c>
      <c r="L95">
        <f>ROUND(VLOOKUP(INT(A95/1000),Sheet3!$A$2:$B$7,2,FALSE)*Sheet3!F$3,0)</f>
        <v>2</v>
      </c>
      <c r="M95">
        <f>ROUND(VLOOKUP(INT(A95/1000),Sheet3!$A$2:$B$7,2,FALSE)*Sheet3!G$3,0)</f>
        <v>2</v>
      </c>
    </row>
    <row r="96" spans="1:13" x14ac:dyDescent="0.15">
      <c r="A96">
        <f t="shared" si="107"/>
        <v>13109</v>
      </c>
      <c r="B96" t="str">
        <f t="shared" ref="B96:C96" si="115">B72</f>
        <v>伙伴85级时开启</v>
      </c>
      <c r="C96" t="str">
        <f t="shared" si="115"/>
        <v>进阶+9</v>
      </c>
      <c r="D96">
        <f t="shared" si="98"/>
        <v>1209</v>
      </c>
      <c r="E96">
        <f t="shared" si="98"/>
        <v>1200000</v>
      </c>
      <c r="F96" t="str">
        <f t="shared" si="98"/>
        <v>14107|15000</v>
      </c>
      <c r="H96">
        <f t="shared" si="99"/>
        <v>6</v>
      </c>
      <c r="I96">
        <f>ROUND(VLOOKUP(INT(A96/1000),Sheet3!$A$2:$B$7,2,FALSE)*Sheet3!D$3,0)</f>
        <v>135</v>
      </c>
      <c r="K96">
        <f>ROUND(VLOOKUP(INT(A96/1000),Sheet3!$A$2:$B$7,2,FALSE)*Sheet3!E$3,0)</f>
        <v>5</v>
      </c>
      <c r="L96">
        <f>ROUND(VLOOKUP(INT(A96/1000),Sheet3!$A$2:$B$7,2,FALSE)*Sheet3!F$3,0)</f>
        <v>2</v>
      </c>
      <c r="M96">
        <f>ROUND(VLOOKUP(INT(A96/1000),Sheet3!$A$2:$B$7,2,FALSE)*Sheet3!G$3,0)</f>
        <v>2</v>
      </c>
    </row>
    <row r="97" spans="1:13" x14ac:dyDescent="0.15">
      <c r="A97">
        <f t="shared" si="107"/>
        <v>13110</v>
      </c>
      <c r="B97" t="str">
        <f t="shared" ref="B97:C97" si="116">B73</f>
        <v>伙伴95级时开启</v>
      </c>
      <c r="C97" t="str">
        <f t="shared" si="116"/>
        <v>进阶+10</v>
      </c>
      <c r="D97">
        <f t="shared" si="98"/>
        <v>1210</v>
      </c>
      <c r="E97">
        <f t="shared" si="98"/>
        <v>1600000</v>
      </c>
      <c r="F97" t="str">
        <f t="shared" si="98"/>
        <v>14107|20000</v>
      </c>
      <c r="H97">
        <f t="shared" si="99"/>
        <v>8</v>
      </c>
      <c r="I97">
        <f>ROUND(VLOOKUP(INT(A97/1000),Sheet3!$A$2:$B$7,2,FALSE)*Sheet3!D$3,0)</f>
        <v>135</v>
      </c>
      <c r="K97">
        <f>ROUND(VLOOKUP(INT(A97/1000),Sheet3!$A$2:$B$7,2,FALSE)*Sheet3!E$3,0)</f>
        <v>5</v>
      </c>
      <c r="L97">
        <f>ROUND(VLOOKUP(INT(A97/1000),Sheet3!$A$2:$B$7,2,FALSE)*Sheet3!F$3,0)</f>
        <v>2</v>
      </c>
      <c r="M97">
        <f>ROUND(VLOOKUP(INT(A97/1000),Sheet3!$A$2:$B$7,2,FALSE)*Sheet3!G$3,0)</f>
        <v>2</v>
      </c>
    </row>
    <row r="98" spans="1:13" x14ac:dyDescent="0.15">
      <c r="A98">
        <f t="shared" si="107"/>
        <v>13111</v>
      </c>
      <c r="B98" t="str">
        <f t="shared" ref="B98:C98" si="117">B74</f>
        <v>伙伴105级时开启</v>
      </c>
      <c r="C98" t="str">
        <f t="shared" si="117"/>
        <v>进阶+11</v>
      </c>
      <c r="D98">
        <f t="shared" si="98"/>
        <v>1211</v>
      </c>
      <c r="E98">
        <f t="shared" si="98"/>
        <v>2000000</v>
      </c>
      <c r="F98" t="str">
        <f t="shared" si="98"/>
        <v>14107|24000</v>
      </c>
      <c r="H98">
        <f t="shared" si="99"/>
        <v>10</v>
      </c>
      <c r="I98">
        <f>ROUND(VLOOKUP(INT(A98/1000),Sheet3!$A$2:$B$7,2,FALSE)*Sheet3!D$3,0)</f>
        <v>135</v>
      </c>
      <c r="K98">
        <f>ROUND(VLOOKUP(INT(A98/1000),Sheet3!$A$2:$B$7,2,FALSE)*Sheet3!E$3,0)</f>
        <v>5</v>
      </c>
      <c r="L98">
        <f>ROUND(VLOOKUP(INT(A98/1000),Sheet3!$A$2:$B$7,2,FALSE)*Sheet3!F$3,0)</f>
        <v>2</v>
      </c>
      <c r="M98">
        <f>ROUND(VLOOKUP(INT(A98/1000),Sheet3!$A$2:$B$7,2,FALSE)*Sheet3!G$3,0)</f>
        <v>2</v>
      </c>
    </row>
    <row r="99" spans="1:13" x14ac:dyDescent="0.15">
      <c r="A99">
        <f t="shared" si="107"/>
        <v>13112</v>
      </c>
      <c r="B99" t="str">
        <f t="shared" ref="B99:C99" si="118">B75</f>
        <v>伙伴115级时开启</v>
      </c>
      <c r="C99" t="str">
        <f t="shared" si="118"/>
        <v>进阶+12</v>
      </c>
      <c r="D99">
        <f t="shared" si="98"/>
        <v>1212</v>
      </c>
      <c r="E99">
        <f t="shared" si="98"/>
        <v>2400000</v>
      </c>
      <c r="F99" t="str">
        <f t="shared" si="98"/>
        <v>14107|28000</v>
      </c>
      <c r="H99">
        <f t="shared" si="99"/>
        <v>12</v>
      </c>
      <c r="I99">
        <f>ROUND(VLOOKUP(INT(A99/1000),Sheet3!$A$2:$B$7,2,FALSE)*Sheet3!D$3,0)</f>
        <v>135</v>
      </c>
      <c r="K99">
        <f>ROUND(VLOOKUP(INT(A99/1000),Sheet3!$A$2:$B$7,2,FALSE)*Sheet3!E$3,0)</f>
        <v>5</v>
      </c>
      <c r="L99">
        <f>ROUND(VLOOKUP(INT(A99/1000),Sheet3!$A$2:$B$7,2,FALSE)*Sheet3!F$3,0)</f>
        <v>2</v>
      </c>
      <c r="M99">
        <f>ROUND(VLOOKUP(INT(A99/1000),Sheet3!$A$2:$B$7,2,FALSE)*Sheet3!G$3,0)</f>
        <v>2</v>
      </c>
    </row>
    <row r="100" spans="1:13" x14ac:dyDescent="0.15">
      <c r="A100">
        <f t="shared" si="107"/>
        <v>13201</v>
      </c>
      <c r="B100" t="str">
        <f t="shared" ref="B100:C100" si="119">B76</f>
        <v>伙伴5级时开启</v>
      </c>
      <c r="C100" t="str">
        <f t="shared" si="119"/>
        <v>进阶+1</v>
      </c>
      <c r="D100">
        <f t="shared" si="98"/>
        <v>1201</v>
      </c>
      <c r="E100">
        <f t="shared" si="98"/>
        <v>10000</v>
      </c>
      <c r="F100" t="str">
        <f t="shared" si="98"/>
        <v>14107|120</v>
      </c>
      <c r="H100">
        <f t="shared" si="99"/>
        <v>0</v>
      </c>
      <c r="I100">
        <f>ROUND(VLOOKUP(INT(A100/1000),Sheet3!$A$2:$B$7,2,FALSE)*Sheet3!D$3,0)</f>
        <v>135</v>
      </c>
      <c r="K100">
        <f>ROUND(VLOOKUP(INT(A100/1000),Sheet3!$A$2:$B$7,2,FALSE)*Sheet3!E$3,0)</f>
        <v>5</v>
      </c>
      <c r="L100">
        <f>ROUND(VLOOKUP(INT(A100/1000),Sheet3!$A$2:$B$7,2,FALSE)*Sheet3!F$3,0)</f>
        <v>2</v>
      </c>
      <c r="M100">
        <f>ROUND(VLOOKUP(INT(A100/1000),Sheet3!$A$2:$B$7,2,FALSE)*Sheet3!G$3,0)</f>
        <v>2</v>
      </c>
    </row>
    <row r="101" spans="1:13" x14ac:dyDescent="0.15">
      <c r="A101">
        <f t="shared" si="107"/>
        <v>13202</v>
      </c>
      <c r="B101" t="str">
        <f t="shared" ref="B101:C101" si="120">B77</f>
        <v>伙伴15级时开启</v>
      </c>
      <c r="C101" t="str">
        <f t="shared" si="120"/>
        <v>进阶+2</v>
      </c>
      <c r="D101">
        <f t="shared" si="98"/>
        <v>1202</v>
      </c>
      <c r="E101">
        <f t="shared" si="98"/>
        <v>30000</v>
      </c>
      <c r="F101" t="str">
        <f t="shared" si="98"/>
        <v>14107|360</v>
      </c>
      <c r="H101">
        <f t="shared" si="99"/>
        <v>0</v>
      </c>
      <c r="I101">
        <f>ROUND(VLOOKUP(INT(A101/1000),Sheet3!$A$2:$B$7,2,FALSE)*Sheet3!D$3,0)</f>
        <v>135</v>
      </c>
      <c r="K101">
        <f>ROUND(VLOOKUP(INT(A101/1000),Sheet3!$A$2:$B$7,2,FALSE)*Sheet3!E$3,0)</f>
        <v>5</v>
      </c>
      <c r="L101">
        <f>ROUND(VLOOKUP(INT(A101/1000),Sheet3!$A$2:$B$7,2,FALSE)*Sheet3!F$3,0)</f>
        <v>2</v>
      </c>
      <c r="M101">
        <f>ROUND(VLOOKUP(INT(A101/1000),Sheet3!$A$2:$B$7,2,FALSE)*Sheet3!G$3,0)</f>
        <v>2</v>
      </c>
    </row>
    <row r="102" spans="1:13" x14ac:dyDescent="0.15">
      <c r="A102">
        <f t="shared" si="107"/>
        <v>13203</v>
      </c>
      <c r="B102" t="str">
        <f t="shared" ref="B102:C102" si="121">B78</f>
        <v>伙伴25级时开启</v>
      </c>
      <c r="C102" t="str">
        <f t="shared" si="121"/>
        <v>进阶+3</v>
      </c>
      <c r="D102">
        <f t="shared" si="98"/>
        <v>1203</v>
      </c>
      <c r="E102">
        <f t="shared" si="98"/>
        <v>50000</v>
      </c>
      <c r="F102" t="str">
        <f t="shared" si="98"/>
        <v>14107|600</v>
      </c>
      <c r="H102">
        <f t="shared" si="99"/>
        <v>0</v>
      </c>
      <c r="I102">
        <f>ROUND(VLOOKUP(INT(A102/1000),Sheet3!$A$2:$B$7,2,FALSE)*Sheet3!D$3,0)</f>
        <v>135</v>
      </c>
      <c r="K102">
        <f>ROUND(VLOOKUP(INT(A102/1000),Sheet3!$A$2:$B$7,2,FALSE)*Sheet3!E$3,0)</f>
        <v>5</v>
      </c>
      <c r="L102">
        <f>ROUND(VLOOKUP(INT(A102/1000),Sheet3!$A$2:$B$7,2,FALSE)*Sheet3!F$3,0)</f>
        <v>2</v>
      </c>
      <c r="M102">
        <f>ROUND(VLOOKUP(INT(A102/1000),Sheet3!$A$2:$B$7,2,FALSE)*Sheet3!G$3,0)</f>
        <v>2</v>
      </c>
    </row>
    <row r="103" spans="1:13" x14ac:dyDescent="0.15">
      <c r="A103">
        <f t="shared" si="107"/>
        <v>13204</v>
      </c>
      <c r="B103" t="str">
        <f t="shared" ref="B103:C103" si="122">B79</f>
        <v>伙伴35级时开启</v>
      </c>
      <c r="C103" t="str">
        <f t="shared" si="122"/>
        <v>进阶+4</v>
      </c>
      <c r="D103">
        <f t="shared" si="98"/>
        <v>1204</v>
      </c>
      <c r="E103">
        <f t="shared" si="98"/>
        <v>100000</v>
      </c>
      <c r="F103" t="str">
        <f t="shared" si="98"/>
        <v>14107|1200</v>
      </c>
      <c r="H103">
        <f t="shared" si="99"/>
        <v>1</v>
      </c>
      <c r="I103">
        <f>ROUND(VLOOKUP(INT(A103/1000),Sheet3!$A$2:$B$7,2,FALSE)*Sheet3!D$3,0)</f>
        <v>135</v>
      </c>
      <c r="K103">
        <f>ROUND(VLOOKUP(INT(A103/1000),Sheet3!$A$2:$B$7,2,FALSE)*Sheet3!E$3,0)</f>
        <v>5</v>
      </c>
      <c r="L103">
        <f>ROUND(VLOOKUP(INT(A103/1000),Sheet3!$A$2:$B$7,2,FALSE)*Sheet3!F$3,0)</f>
        <v>2</v>
      </c>
      <c r="M103">
        <f>ROUND(VLOOKUP(INT(A103/1000),Sheet3!$A$2:$B$7,2,FALSE)*Sheet3!G$3,0)</f>
        <v>2</v>
      </c>
    </row>
    <row r="104" spans="1:13" x14ac:dyDescent="0.15">
      <c r="A104">
        <f t="shared" si="107"/>
        <v>13205</v>
      </c>
      <c r="B104" t="str">
        <f t="shared" ref="B104:C104" si="123">B80</f>
        <v>伙伴45级时开启</v>
      </c>
      <c r="C104" t="str">
        <f t="shared" si="123"/>
        <v>进阶+5</v>
      </c>
      <c r="D104">
        <f t="shared" si="98"/>
        <v>1205</v>
      </c>
      <c r="E104">
        <f t="shared" si="98"/>
        <v>200000</v>
      </c>
      <c r="F104" t="str">
        <f t="shared" si="98"/>
        <v>14107|2400</v>
      </c>
      <c r="H104">
        <f t="shared" si="99"/>
        <v>1</v>
      </c>
      <c r="I104">
        <f>ROUND(VLOOKUP(INT(A104/1000),Sheet3!$A$2:$B$7,2,FALSE)*Sheet3!D$3,0)</f>
        <v>135</v>
      </c>
      <c r="K104">
        <f>ROUND(VLOOKUP(INT(A104/1000),Sheet3!$A$2:$B$7,2,FALSE)*Sheet3!E$3,0)</f>
        <v>5</v>
      </c>
      <c r="L104">
        <f>ROUND(VLOOKUP(INT(A104/1000),Sheet3!$A$2:$B$7,2,FALSE)*Sheet3!F$3,0)</f>
        <v>2</v>
      </c>
      <c r="M104">
        <f>ROUND(VLOOKUP(INT(A104/1000),Sheet3!$A$2:$B$7,2,FALSE)*Sheet3!G$3,0)</f>
        <v>2</v>
      </c>
    </row>
    <row r="105" spans="1:13" x14ac:dyDescent="0.15">
      <c r="A105">
        <f t="shared" si="107"/>
        <v>13206</v>
      </c>
      <c r="B105" t="str">
        <f t="shared" ref="B105:C105" si="124">B81</f>
        <v>伙伴55级时开启</v>
      </c>
      <c r="C105" t="str">
        <f t="shared" si="124"/>
        <v>进阶+6</v>
      </c>
      <c r="D105">
        <f t="shared" si="98"/>
        <v>1206</v>
      </c>
      <c r="E105">
        <f t="shared" si="98"/>
        <v>300000</v>
      </c>
      <c r="F105" t="str">
        <f t="shared" si="98"/>
        <v>14107|3600</v>
      </c>
      <c r="H105">
        <f t="shared" si="99"/>
        <v>2</v>
      </c>
      <c r="I105">
        <f>ROUND(VLOOKUP(INT(A105/1000),Sheet3!$A$2:$B$7,2,FALSE)*Sheet3!D$3,0)</f>
        <v>135</v>
      </c>
      <c r="K105">
        <f>ROUND(VLOOKUP(INT(A105/1000),Sheet3!$A$2:$B$7,2,FALSE)*Sheet3!E$3,0)</f>
        <v>5</v>
      </c>
      <c r="L105">
        <f>ROUND(VLOOKUP(INT(A105/1000),Sheet3!$A$2:$B$7,2,FALSE)*Sheet3!F$3,0)</f>
        <v>2</v>
      </c>
      <c r="M105">
        <f>ROUND(VLOOKUP(INT(A105/1000),Sheet3!$A$2:$B$7,2,FALSE)*Sheet3!G$3,0)</f>
        <v>2</v>
      </c>
    </row>
    <row r="106" spans="1:13" x14ac:dyDescent="0.15">
      <c r="A106">
        <f t="shared" si="107"/>
        <v>13207</v>
      </c>
      <c r="B106" t="str">
        <f t="shared" ref="B106:C106" si="125">B82</f>
        <v>伙伴65级时开启</v>
      </c>
      <c r="C106" t="str">
        <f t="shared" si="125"/>
        <v>进阶+7</v>
      </c>
      <c r="D106">
        <f t="shared" si="98"/>
        <v>1207</v>
      </c>
      <c r="E106">
        <f t="shared" si="98"/>
        <v>500000</v>
      </c>
      <c r="F106" t="str">
        <f t="shared" si="98"/>
        <v>14107|6000</v>
      </c>
      <c r="H106">
        <f t="shared" si="99"/>
        <v>2</v>
      </c>
      <c r="I106">
        <f>ROUND(VLOOKUP(INT(A106/1000),Sheet3!$A$2:$B$7,2,FALSE)*Sheet3!D$3,0)</f>
        <v>135</v>
      </c>
      <c r="K106">
        <f>ROUND(VLOOKUP(INT(A106/1000),Sheet3!$A$2:$B$7,2,FALSE)*Sheet3!E$3,0)</f>
        <v>5</v>
      </c>
      <c r="L106">
        <f>ROUND(VLOOKUP(INT(A106/1000),Sheet3!$A$2:$B$7,2,FALSE)*Sheet3!F$3,0)</f>
        <v>2</v>
      </c>
      <c r="M106">
        <f>ROUND(VLOOKUP(INT(A106/1000),Sheet3!$A$2:$B$7,2,FALSE)*Sheet3!G$3,0)</f>
        <v>2</v>
      </c>
    </row>
    <row r="107" spans="1:13" x14ac:dyDescent="0.15">
      <c r="A107">
        <f t="shared" si="107"/>
        <v>13208</v>
      </c>
      <c r="B107" t="str">
        <f t="shared" ref="B107:C107" si="126">B83</f>
        <v>伙伴75级时开启</v>
      </c>
      <c r="C107" t="str">
        <f t="shared" si="126"/>
        <v>进阶+8</v>
      </c>
      <c r="D107">
        <f t="shared" si="98"/>
        <v>1208</v>
      </c>
      <c r="E107">
        <f t="shared" si="98"/>
        <v>800000</v>
      </c>
      <c r="F107" t="str">
        <f t="shared" si="98"/>
        <v>14107|10000</v>
      </c>
      <c r="H107">
        <f t="shared" si="99"/>
        <v>4</v>
      </c>
      <c r="I107">
        <f>ROUND(VLOOKUP(INT(A107/1000),Sheet3!$A$2:$B$7,2,FALSE)*Sheet3!D$3,0)</f>
        <v>135</v>
      </c>
      <c r="K107">
        <f>ROUND(VLOOKUP(INT(A107/1000),Sheet3!$A$2:$B$7,2,FALSE)*Sheet3!E$3,0)</f>
        <v>5</v>
      </c>
      <c r="L107">
        <f>ROUND(VLOOKUP(INT(A107/1000),Sheet3!$A$2:$B$7,2,FALSE)*Sheet3!F$3,0)</f>
        <v>2</v>
      </c>
      <c r="M107">
        <f>ROUND(VLOOKUP(INT(A107/1000),Sheet3!$A$2:$B$7,2,FALSE)*Sheet3!G$3,0)</f>
        <v>2</v>
      </c>
    </row>
    <row r="108" spans="1:13" x14ac:dyDescent="0.15">
      <c r="A108">
        <f t="shared" si="107"/>
        <v>13209</v>
      </c>
      <c r="B108" t="str">
        <f t="shared" ref="B108:C108" si="127">B84</f>
        <v>伙伴85级时开启</v>
      </c>
      <c r="C108" t="str">
        <f t="shared" si="127"/>
        <v>进阶+9</v>
      </c>
      <c r="D108">
        <f t="shared" si="98"/>
        <v>1209</v>
      </c>
      <c r="E108">
        <f t="shared" si="98"/>
        <v>1200000</v>
      </c>
      <c r="F108" t="str">
        <f t="shared" si="98"/>
        <v>14107|15000</v>
      </c>
      <c r="H108">
        <f t="shared" si="99"/>
        <v>6</v>
      </c>
      <c r="I108">
        <f>ROUND(VLOOKUP(INT(A108/1000),Sheet3!$A$2:$B$7,2,FALSE)*Sheet3!D$3,0)</f>
        <v>135</v>
      </c>
      <c r="K108">
        <f>ROUND(VLOOKUP(INT(A108/1000),Sheet3!$A$2:$B$7,2,FALSE)*Sheet3!E$3,0)</f>
        <v>5</v>
      </c>
      <c r="L108">
        <f>ROUND(VLOOKUP(INT(A108/1000),Sheet3!$A$2:$B$7,2,FALSE)*Sheet3!F$3,0)</f>
        <v>2</v>
      </c>
      <c r="M108">
        <f>ROUND(VLOOKUP(INT(A108/1000),Sheet3!$A$2:$B$7,2,FALSE)*Sheet3!G$3,0)</f>
        <v>2</v>
      </c>
    </row>
    <row r="109" spans="1:13" x14ac:dyDescent="0.15">
      <c r="A109">
        <f t="shared" si="107"/>
        <v>13210</v>
      </c>
      <c r="B109" t="str">
        <f t="shared" ref="B109:C109" si="128">B85</f>
        <v>伙伴95级时开启</v>
      </c>
      <c r="C109" t="str">
        <f t="shared" si="128"/>
        <v>进阶+10</v>
      </c>
      <c r="D109">
        <f t="shared" si="98"/>
        <v>1210</v>
      </c>
      <c r="E109">
        <f t="shared" si="98"/>
        <v>1600000</v>
      </c>
      <c r="F109" t="str">
        <f t="shared" si="98"/>
        <v>14107|20000</v>
      </c>
      <c r="H109">
        <f t="shared" si="99"/>
        <v>8</v>
      </c>
      <c r="I109">
        <f>ROUND(VLOOKUP(INT(A109/1000),Sheet3!$A$2:$B$7,2,FALSE)*Sheet3!D$3,0)</f>
        <v>135</v>
      </c>
      <c r="K109">
        <f>ROUND(VLOOKUP(INT(A109/1000),Sheet3!$A$2:$B$7,2,FALSE)*Sheet3!E$3,0)</f>
        <v>5</v>
      </c>
      <c r="L109">
        <f>ROUND(VLOOKUP(INT(A109/1000),Sheet3!$A$2:$B$7,2,FALSE)*Sheet3!F$3,0)</f>
        <v>2</v>
      </c>
      <c r="M109">
        <f>ROUND(VLOOKUP(INT(A109/1000),Sheet3!$A$2:$B$7,2,FALSE)*Sheet3!G$3,0)</f>
        <v>2</v>
      </c>
    </row>
    <row r="110" spans="1:13" x14ac:dyDescent="0.15">
      <c r="A110">
        <f t="shared" si="107"/>
        <v>13211</v>
      </c>
      <c r="B110" t="str">
        <f t="shared" ref="B110:C110" si="129">B86</f>
        <v>伙伴105级时开启</v>
      </c>
      <c r="C110" t="str">
        <f t="shared" si="129"/>
        <v>进阶+11</v>
      </c>
      <c r="D110">
        <f t="shared" si="98"/>
        <v>1211</v>
      </c>
      <c r="E110">
        <f t="shared" si="98"/>
        <v>2000000</v>
      </c>
      <c r="F110" t="str">
        <f t="shared" si="98"/>
        <v>14107|24000</v>
      </c>
      <c r="H110">
        <f t="shared" si="99"/>
        <v>10</v>
      </c>
      <c r="I110">
        <f>ROUND(VLOOKUP(INT(A110/1000),Sheet3!$A$2:$B$7,2,FALSE)*Sheet3!D$3,0)</f>
        <v>135</v>
      </c>
      <c r="K110">
        <f>ROUND(VLOOKUP(INT(A110/1000),Sheet3!$A$2:$B$7,2,FALSE)*Sheet3!E$3,0)</f>
        <v>5</v>
      </c>
      <c r="L110">
        <f>ROUND(VLOOKUP(INT(A110/1000),Sheet3!$A$2:$B$7,2,FALSE)*Sheet3!F$3,0)</f>
        <v>2</v>
      </c>
      <c r="M110">
        <f>ROUND(VLOOKUP(INT(A110/1000),Sheet3!$A$2:$B$7,2,FALSE)*Sheet3!G$3,0)</f>
        <v>2</v>
      </c>
    </row>
    <row r="111" spans="1:13" x14ac:dyDescent="0.15">
      <c r="A111">
        <f t="shared" si="107"/>
        <v>13212</v>
      </c>
      <c r="B111" t="str">
        <f t="shared" ref="B111:C111" si="130">B87</f>
        <v>伙伴115级时开启</v>
      </c>
      <c r="C111" t="str">
        <f t="shared" si="130"/>
        <v>进阶+12</v>
      </c>
      <c r="D111">
        <f t="shared" si="98"/>
        <v>1212</v>
      </c>
      <c r="E111">
        <f t="shared" si="98"/>
        <v>2400000</v>
      </c>
      <c r="F111" t="str">
        <f t="shared" si="98"/>
        <v>14107|28000</v>
      </c>
      <c r="H111">
        <f t="shared" si="99"/>
        <v>12</v>
      </c>
      <c r="I111">
        <f>ROUND(VLOOKUP(INT(A111/1000),Sheet3!$A$2:$B$7,2,FALSE)*Sheet3!D$3,0)</f>
        <v>135</v>
      </c>
      <c r="K111">
        <f>ROUND(VLOOKUP(INT(A111/1000),Sheet3!$A$2:$B$7,2,FALSE)*Sheet3!E$3,0)</f>
        <v>5</v>
      </c>
      <c r="L111">
        <f>ROUND(VLOOKUP(INT(A111/1000),Sheet3!$A$2:$B$7,2,FALSE)*Sheet3!F$3,0)</f>
        <v>2</v>
      </c>
      <c r="M111">
        <f>ROUND(VLOOKUP(INT(A111/1000),Sheet3!$A$2:$B$7,2,FALSE)*Sheet3!G$3,0)</f>
        <v>2</v>
      </c>
    </row>
    <row r="112" spans="1:13" x14ac:dyDescent="0.15">
      <c r="A112">
        <f t="shared" si="107"/>
        <v>13301</v>
      </c>
      <c r="B112" t="str">
        <f t="shared" ref="B112:C112" si="131">B88</f>
        <v>伙伴5级时开启</v>
      </c>
      <c r="C112" t="str">
        <f t="shared" si="131"/>
        <v>进阶+1</v>
      </c>
      <c r="D112">
        <f t="shared" si="98"/>
        <v>1201</v>
      </c>
      <c r="E112">
        <f t="shared" si="98"/>
        <v>10000</v>
      </c>
      <c r="F112" t="str">
        <f t="shared" si="98"/>
        <v>14107|120</v>
      </c>
      <c r="H112">
        <f t="shared" si="99"/>
        <v>0</v>
      </c>
      <c r="I112">
        <f>ROUND(VLOOKUP(INT(A112/1000),Sheet3!$A$2:$B$7,2,FALSE)*Sheet3!D$3,0)</f>
        <v>135</v>
      </c>
      <c r="K112">
        <f>ROUND(VLOOKUP(INT(A112/1000),Sheet3!$A$2:$B$7,2,FALSE)*Sheet3!E$3,0)</f>
        <v>5</v>
      </c>
      <c r="L112">
        <f>ROUND(VLOOKUP(INT(A112/1000),Sheet3!$A$2:$B$7,2,FALSE)*Sheet3!F$3,0)</f>
        <v>2</v>
      </c>
      <c r="M112">
        <f>ROUND(VLOOKUP(INT(A112/1000),Sheet3!$A$2:$B$7,2,FALSE)*Sheet3!G$3,0)</f>
        <v>2</v>
      </c>
    </row>
    <row r="113" spans="1:13" x14ac:dyDescent="0.15">
      <c r="A113">
        <f t="shared" si="107"/>
        <v>13302</v>
      </c>
      <c r="B113" t="str">
        <f t="shared" ref="B113:C113" si="132">B89</f>
        <v>伙伴15级时开启</v>
      </c>
      <c r="C113" t="str">
        <f t="shared" si="132"/>
        <v>进阶+2</v>
      </c>
      <c r="D113">
        <f t="shared" si="98"/>
        <v>1202</v>
      </c>
      <c r="E113">
        <f t="shared" si="98"/>
        <v>30000</v>
      </c>
      <c r="F113" t="str">
        <f t="shared" si="98"/>
        <v>14107|360</v>
      </c>
      <c r="H113">
        <f t="shared" si="99"/>
        <v>0</v>
      </c>
      <c r="I113">
        <f>ROUND(VLOOKUP(INT(A113/1000),Sheet3!$A$2:$B$7,2,FALSE)*Sheet3!D$3,0)</f>
        <v>135</v>
      </c>
      <c r="K113">
        <f>ROUND(VLOOKUP(INT(A113/1000),Sheet3!$A$2:$B$7,2,FALSE)*Sheet3!E$3,0)</f>
        <v>5</v>
      </c>
      <c r="L113">
        <f>ROUND(VLOOKUP(INT(A113/1000),Sheet3!$A$2:$B$7,2,FALSE)*Sheet3!F$3,0)</f>
        <v>2</v>
      </c>
      <c r="M113">
        <f>ROUND(VLOOKUP(INT(A113/1000),Sheet3!$A$2:$B$7,2,FALSE)*Sheet3!G$3,0)</f>
        <v>2</v>
      </c>
    </row>
    <row r="114" spans="1:13" x14ac:dyDescent="0.15">
      <c r="A114">
        <f t="shared" si="107"/>
        <v>13303</v>
      </c>
      <c r="B114" t="str">
        <f t="shared" ref="B114:C114" si="133">B90</f>
        <v>伙伴25级时开启</v>
      </c>
      <c r="C114" t="str">
        <f t="shared" si="133"/>
        <v>进阶+3</v>
      </c>
      <c r="D114">
        <f t="shared" si="98"/>
        <v>1203</v>
      </c>
      <c r="E114">
        <f t="shared" si="98"/>
        <v>50000</v>
      </c>
      <c r="F114" t="str">
        <f t="shared" si="98"/>
        <v>14107|600</v>
      </c>
      <c r="H114">
        <f t="shared" si="99"/>
        <v>0</v>
      </c>
      <c r="I114">
        <f>ROUND(VLOOKUP(INT(A114/1000),Sheet3!$A$2:$B$7,2,FALSE)*Sheet3!D$3,0)</f>
        <v>135</v>
      </c>
      <c r="K114">
        <f>ROUND(VLOOKUP(INT(A114/1000),Sheet3!$A$2:$B$7,2,FALSE)*Sheet3!E$3,0)</f>
        <v>5</v>
      </c>
      <c r="L114">
        <f>ROUND(VLOOKUP(INT(A114/1000),Sheet3!$A$2:$B$7,2,FALSE)*Sheet3!F$3,0)</f>
        <v>2</v>
      </c>
      <c r="M114">
        <f>ROUND(VLOOKUP(INT(A114/1000),Sheet3!$A$2:$B$7,2,FALSE)*Sheet3!G$3,0)</f>
        <v>2</v>
      </c>
    </row>
    <row r="115" spans="1:13" x14ac:dyDescent="0.15">
      <c r="A115">
        <f t="shared" si="107"/>
        <v>13304</v>
      </c>
      <c r="B115" t="str">
        <f t="shared" ref="B115:C115" si="134">B91</f>
        <v>伙伴35级时开启</v>
      </c>
      <c r="C115" t="str">
        <f t="shared" si="134"/>
        <v>进阶+4</v>
      </c>
      <c r="D115">
        <f t="shared" si="98"/>
        <v>1204</v>
      </c>
      <c r="E115">
        <f t="shared" si="98"/>
        <v>100000</v>
      </c>
      <c r="F115" t="str">
        <f t="shared" si="98"/>
        <v>14107|1200</v>
      </c>
      <c r="H115">
        <f t="shared" si="99"/>
        <v>1</v>
      </c>
      <c r="I115">
        <f>ROUND(VLOOKUP(INT(A115/1000),Sheet3!$A$2:$B$7,2,FALSE)*Sheet3!D$3,0)</f>
        <v>135</v>
      </c>
      <c r="K115">
        <f>ROUND(VLOOKUP(INT(A115/1000),Sheet3!$A$2:$B$7,2,FALSE)*Sheet3!E$3,0)</f>
        <v>5</v>
      </c>
      <c r="L115">
        <f>ROUND(VLOOKUP(INT(A115/1000),Sheet3!$A$2:$B$7,2,FALSE)*Sheet3!F$3,0)</f>
        <v>2</v>
      </c>
      <c r="M115">
        <f>ROUND(VLOOKUP(INT(A115/1000),Sheet3!$A$2:$B$7,2,FALSE)*Sheet3!G$3,0)</f>
        <v>2</v>
      </c>
    </row>
    <row r="116" spans="1:13" x14ac:dyDescent="0.15">
      <c r="A116">
        <f t="shared" si="107"/>
        <v>13305</v>
      </c>
      <c r="B116" t="str">
        <f t="shared" ref="B116:C116" si="135">B92</f>
        <v>伙伴45级时开启</v>
      </c>
      <c r="C116" t="str">
        <f t="shared" si="135"/>
        <v>进阶+5</v>
      </c>
      <c r="D116">
        <f t="shared" si="98"/>
        <v>1205</v>
      </c>
      <c r="E116">
        <f t="shared" si="98"/>
        <v>200000</v>
      </c>
      <c r="F116" t="str">
        <f t="shared" si="98"/>
        <v>14107|2400</v>
      </c>
      <c r="H116">
        <f t="shared" si="99"/>
        <v>1</v>
      </c>
      <c r="I116">
        <f>ROUND(VLOOKUP(INT(A116/1000),Sheet3!$A$2:$B$7,2,FALSE)*Sheet3!D$3,0)</f>
        <v>135</v>
      </c>
      <c r="K116">
        <f>ROUND(VLOOKUP(INT(A116/1000),Sheet3!$A$2:$B$7,2,FALSE)*Sheet3!E$3,0)</f>
        <v>5</v>
      </c>
      <c r="L116">
        <f>ROUND(VLOOKUP(INT(A116/1000),Sheet3!$A$2:$B$7,2,FALSE)*Sheet3!F$3,0)</f>
        <v>2</v>
      </c>
      <c r="M116">
        <f>ROUND(VLOOKUP(INT(A116/1000),Sheet3!$A$2:$B$7,2,FALSE)*Sheet3!G$3,0)</f>
        <v>2</v>
      </c>
    </row>
    <row r="117" spans="1:13" x14ac:dyDescent="0.15">
      <c r="A117">
        <f t="shared" si="107"/>
        <v>13306</v>
      </c>
      <c r="B117" t="str">
        <f t="shared" ref="B117:C117" si="136">B93</f>
        <v>伙伴55级时开启</v>
      </c>
      <c r="C117" t="str">
        <f t="shared" si="136"/>
        <v>进阶+6</v>
      </c>
      <c r="D117">
        <f t="shared" si="98"/>
        <v>1206</v>
      </c>
      <c r="E117">
        <f t="shared" si="98"/>
        <v>300000</v>
      </c>
      <c r="F117" t="str">
        <f t="shared" si="98"/>
        <v>14107|3600</v>
      </c>
      <c r="H117">
        <f t="shared" si="99"/>
        <v>2</v>
      </c>
      <c r="I117">
        <f>ROUND(VLOOKUP(INT(A117/1000),Sheet3!$A$2:$B$7,2,FALSE)*Sheet3!D$3,0)</f>
        <v>135</v>
      </c>
      <c r="K117">
        <f>ROUND(VLOOKUP(INT(A117/1000),Sheet3!$A$2:$B$7,2,FALSE)*Sheet3!E$3,0)</f>
        <v>5</v>
      </c>
      <c r="L117">
        <f>ROUND(VLOOKUP(INT(A117/1000),Sheet3!$A$2:$B$7,2,FALSE)*Sheet3!F$3,0)</f>
        <v>2</v>
      </c>
      <c r="M117">
        <f>ROUND(VLOOKUP(INT(A117/1000),Sheet3!$A$2:$B$7,2,FALSE)*Sheet3!G$3,0)</f>
        <v>2</v>
      </c>
    </row>
    <row r="118" spans="1:13" x14ac:dyDescent="0.15">
      <c r="A118">
        <f t="shared" si="107"/>
        <v>13307</v>
      </c>
      <c r="B118" t="str">
        <f t="shared" ref="B118:C118" si="137">B94</f>
        <v>伙伴65级时开启</v>
      </c>
      <c r="C118" t="str">
        <f t="shared" si="137"/>
        <v>进阶+7</v>
      </c>
      <c r="D118">
        <f t="shared" si="98"/>
        <v>1207</v>
      </c>
      <c r="E118">
        <f t="shared" si="98"/>
        <v>500000</v>
      </c>
      <c r="F118" t="str">
        <f t="shared" si="98"/>
        <v>14107|6000</v>
      </c>
      <c r="H118">
        <f t="shared" si="99"/>
        <v>2</v>
      </c>
      <c r="I118">
        <f>ROUND(VLOOKUP(INT(A118/1000),Sheet3!$A$2:$B$7,2,FALSE)*Sheet3!D$3,0)</f>
        <v>135</v>
      </c>
      <c r="K118">
        <f>ROUND(VLOOKUP(INT(A118/1000),Sheet3!$A$2:$B$7,2,FALSE)*Sheet3!E$3,0)</f>
        <v>5</v>
      </c>
      <c r="L118">
        <f>ROUND(VLOOKUP(INT(A118/1000),Sheet3!$A$2:$B$7,2,FALSE)*Sheet3!F$3,0)</f>
        <v>2</v>
      </c>
      <c r="M118">
        <f>ROUND(VLOOKUP(INT(A118/1000),Sheet3!$A$2:$B$7,2,FALSE)*Sheet3!G$3,0)</f>
        <v>2</v>
      </c>
    </row>
    <row r="119" spans="1:13" x14ac:dyDescent="0.15">
      <c r="A119">
        <f t="shared" si="107"/>
        <v>13308</v>
      </c>
      <c r="B119" t="str">
        <f t="shared" ref="B119:C119" si="138">B95</f>
        <v>伙伴75级时开启</v>
      </c>
      <c r="C119" t="str">
        <f t="shared" si="138"/>
        <v>进阶+8</v>
      </c>
      <c r="D119">
        <f t="shared" si="98"/>
        <v>1208</v>
      </c>
      <c r="E119">
        <f t="shared" si="98"/>
        <v>800000</v>
      </c>
      <c r="F119" t="str">
        <f t="shared" si="98"/>
        <v>14107|10000</v>
      </c>
      <c r="H119">
        <f t="shared" si="99"/>
        <v>4</v>
      </c>
      <c r="I119">
        <f>ROUND(VLOOKUP(INT(A119/1000),Sheet3!$A$2:$B$7,2,FALSE)*Sheet3!D$3,0)</f>
        <v>135</v>
      </c>
      <c r="K119">
        <f>ROUND(VLOOKUP(INT(A119/1000),Sheet3!$A$2:$B$7,2,FALSE)*Sheet3!E$3,0)</f>
        <v>5</v>
      </c>
      <c r="L119">
        <f>ROUND(VLOOKUP(INT(A119/1000),Sheet3!$A$2:$B$7,2,FALSE)*Sheet3!F$3,0)</f>
        <v>2</v>
      </c>
      <c r="M119">
        <f>ROUND(VLOOKUP(INT(A119/1000),Sheet3!$A$2:$B$7,2,FALSE)*Sheet3!G$3,0)</f>
        <v>2</v>
      </c>
    </row>
    <row r="120" spans="1:13" x14ac:dyDescent="0.15">
      <c r="A120">
        <f t="shared" si="107"/>
        <v>13309</v>
      </c>
      <c r="B120" t="str">
        <f t="shared" ref="B120:C120" si="139">B96</f>
        <v>伙伴85级时开启</v>
      </c>
      <c r="C120" t="str">
        <f t="shared" si="139"/>
        <v>进阶+9</v>
      </c>
      <c r="D120">
        <f t="shared" si="98"/>
        <v>1209</v>
      </c>
      <c r="E120">
        <f t="shared" si="98"/>
        <v>1200000</v>
      </c>
      <c r="F120" t="str">
        <f t="shared" si="98"/>
        <v>14107|15000</v>
      </c>
      <c r="H120">
        <f t="shared" si="99"/>
        <v>6</v>
      </c>
      <c r="I120">
        <f>ROUND(VLOOKUP(INT(A120/1000),Sheet3!$A$2:$B$7,2,FALSE)*Sheet3!D$3,0)</f>
        <v>135</v>
      </c>
      <c r="K120">
        <f>ROUND(VLOOKUP(INT(A120/1000),Sheet3!$A$2:$B$7,2,FALSE)*Sheet3!E$3,0)</f>
        <v>5</v>
      </c>
      <c r="L120">
        <f>ROUND(VLOOKUP(INT(A120/1000),Sheet3!$A$2:$B$7,2,FALSE)*Sheet3!F$3,0)</f>
        <v>2</v>
      </c>
      <c r="M120">
        <f>ROUND(VLOOKUP(INT(A120/1000),Sheet3!$A$2:$B$7,2,FALSE)*Sheet3!G$3,0)</f>
        <v>2</v>
      </c>
    </row>
    <row r="121" spans="1:13" x14ac:dyDescent="0.15">
      <c r="A121">
        <f t="shared" si="107"/>
        <v>13310</v>
      </c>
      <c r="B121" t="str">
        <f t="shared" ref="B121:C121" si="140">B97</f>
        <v>伙伴95级时开启</v>
      </c>
      <c r="C121" t="str">
        <f t="shared" si="140"/>
        <v>进阶+10</v>
      </c>
      <c r="D121">
        <f t="shared" si="98"/>
        <v>1210</v>
      </c>
      <c r="E121">
        <f t="shared" si="98"/>
        <v>1600000</v>
      </c>
      <c r="F121" t="str">
        <f t="shared" si="98"/>
        <v>14107|20000</v>
      </c>
      <c r="H121">
        <f t="shared" si="99"/>
        <v>8</v>
      </c>
      <c r="I121">
        <f>ROUND(VLOOKUP(INT(A121/1000),Sheet3!$A$2:$B$7,2,FALSE)*Sheet3!D$3,0)</f>
        <v>135</v>
      </c>
      <c r="K121">
        <f>ROUND(VLOOKUP(INT(A121/1000),Sheet3!$A$2:$B$7,2,FALSE)*Sheet3!E$3,0)</f>
        <v>5</v>
      </c>
      <c r="L121">
        <f>ROUND(VLOOKUP(INT(A121/1000),Sheet3!$A$2:$B$7,2,FALSE)*Sheet3!F$3,0)</f>
        <v>2</v>
      </c>
      <c r="M121">
        <f>ROUND(VLOOKUP(INT(A121/1000),Sheet3!$A$2:$B$7,2,FALSE)*Sheet3!G$3,0)</f>
        <v>2</v>
      </c>
    </row>
    <row r="122" spans="1:13" x14ac:dyDescent="0.15">
      <c r="A122">
        <f t="shared" si="107"/>
        <v>13311</v>
      </c>
      <c r="B122" t="str">
        <f t="shared" ref="B122:C122" si="141">B98</f>
        <v>伙伴105级时开启</v>
      </c>
      <c r="C122" t="str">
        <f t="shared" si="141"/>
        <v>进阶+11</v>
      </c>
      <c r="D122">
        <f t="shared" si="98"/>
        <v>1211</v>
      </c>
      <c r="E122">
        <f t="shared" si="98"/>
        <v>2000000</v>
      </c>
      <c r="F122" t="str">
        <f t="shared" si="98"/>
        <v>14107|24000</v>
      </c>
      <c r="H122">
        <f t="shared" si="99"/>
        <v>10</v>
      </c>
      <c r="I122">
        <f>ROUND(VLOOKUP(INT(A122/1000),Sheet3!$A$2:$B$7,2,FALSE)*Sheet3!D$3,0)</f>
        <v>135</v>
      </c>
      <c r="K122">
        <f>ROUND(VLOOKUP(INT(A122/1000),Sheet3!$A$2:$B$7,2,FALSE)*Sheet3!E$3,0)</f>
        <v>5</v>
      </c>
      <c r="L122">
        <f>ROUND(VLOOKUP(INT(A122/1000),Sheet3!$A$2:$B$7,2,FALSE)*Sheet3!F$3,0)</f>
        <v>2</v>
      </c>
      <c r="M122">
        <f>ROUND(VLOOKUP(INT(A122/1000),Sheet3!$A$2:$B$7,2,FALSE)*Sheet3!G$3,0)</f>
        <v>2</v>
      </c>
    </row>
    <row r="123" spans="1:13" x14ac:dyDescent="0.15">
      <c r="A123">
        <f t="shared" si="107"/>
        <v>13312</v>
      </c>
      <c r="B123" t="str">
        <f t="shared" ref="B123:C123" si="142">B99</f>
        <v>伙伴115级时开启</v>
      </c>
      <c r="C123" t="str">
        <f t="shared" si="142"/>
        <v>进阶+12</v>
      </c>
      <c r="D123">
        <f t="shared" si="98"/>
        <v>1212</v>
      </c>
      <c r="E123">
        <f t="shared" si="98"/>
        <v>2400000</v>
      </c>
      <c r="F123" t="str">
        <f t="shared" si="98"/>
        <v>14107|28000</v>
      </c>
      <c r="H123">
        <f t="shared" si="99"/>
        <v>12</v>
      </c>
      <c r="I123">
        <f>ROUND(VLOOKUP(INT(A123/1000),Sheet3!$A$2:$B$7,2,FALSE)*Sheet3!D$3,0)</f>
        <v>135</v>
      </c>
      <c r="K123">
        <f>ROUND(VLOOKUP(INT(A123/1000),Sheet3!$A$2:$B$7,2,FALSE)*Sheet3!E$3,0)</f>
        <v>5</v>
      </c>
      <c r="L123">
        <f>ROUND(VLOOKUP(INT(A123/1000),Sheet3!$A$2:$B$7,2,FALSE)*Sheet3!F$3,0)</f>
        <v>2</v>
      </c>
      <c r="M123">
        <f>ROUND(VLOOKUP(INT(A123/1000),Sheet3!$A$2:$B$7,2,FALSE)*Sheet3!G$3,0)</f>
        <v>2</v>
      </c>
    </row>
    <row r="124" spans="1:13" x14ac:dyDescent="0.15">
      <c r="A124">
        <f t="shared" si="107"/>
        <v>13401</v>
      </c>
      <c r="B124" t="str">
        <f t="shared" ref="B124:C124" si="143">B100</f>
        <v>伙伴5级时开启</v>
      </c>
      <c r="C124" t="str">
        <f t="shared" si="143"/>
        <v>进阶+1</v>
      </c>
      <c r="D124">
        <f t="shared" si="98"/>
        <v>1201</v>
      </c>
      <c r="E124">
        <f t="shared" si="98"/>
        <v>10000</v>
      </c>
      <c r="F124" t="str">
        <f t="shared" si="98"/>
        <v>14107|120</v>
      </c>
      <c r="H124">
        <f t="shared" si="99"/>
        <v>0</v>
      </c>
      <c r="I124">
        <f>ROUND(VLOOKUP(INT(A124/1000),Sheet3!$A$2:$B$7,2,FALSE)*Sheet3!D$3,0)</f>
        <v>135</v>
      </c>
      <c r="K124">
        <f>ROUND(VLOOKUP(INT(A124/1000),Sheet3!$A$2:$B$7,2,FALSE)*Sheet3!E$3,0)</f>
        <v>5</v>
      </c>
      <c r="L124">
        <f>ROUND(VLOOKUP(INT(A124/1000),Sheet3!$A$2:$B$7,2,FALSE)*Sheet3!F$3,0)</f>
        <v>2</v>
      </c>
      <c r="M124">
        <f>ROUND(VLOOKUP(INT(A124/1000),Sheet3!$A$2:$B$7,2,FALSE)*Sheet3!G$3,0)</f>
        <v>2</v>
      </c>
    </row>
    <row r="125" spans="1:13" x14ac:dyDescent="0.15">
      <c r="A125">
        <f t="shared" si="107"/>
        <v>13402</v>
      </c>
      <c r="B125" t="str">
        <f t="shared" ref="B125:C125" si="144">B101</f>
        <v>伙伴15级时开启</v>
      </c>
      <c r="C125" t="str">
        <f t="shared" si="144"/>
        <v>进阶+2</v>
      </c>
      <c r="D125">
        <f t="shared" si="98"/>
        <v>1202</v>
      </c>
      <c r="E125">
        <f t="shared" si="98"/>
        <v>30000</v>
      </c>
      <c r="F125" t="str">
        <f t="shared" si="98"/>
        <v>14107|360</v>
      </c>
      <c r="H125">
        <f t="shared" si="99"/>
        <v>0</v>
      </c>
      <c r="I125">
        <f>ROUND(VLOOKUP(INT(A125/1000),Sheet3!$A$2:$B$7,2,FALSE)*Sheet3!D$3,0)</f>
        <v>135</v>
      </c>
      <c r="K125">
        <f>ROUND(VLOOKUP(INT(A125/1000),Sheet3!$A$2:$B$7,2,FALSE)*Sheet3!E$3,0)</f>
        <v>5</v>
      </c>
      <c r="L125">
        <f>ROUND(VLOOKUP(INT(A125/1000),Sheet3!$A$2:$B$7,2,FALSE)*Sheet3!F$3,0)</f>
        <v>2</v>
      </c>
      <c r="M125">
        <f>ROUND(VLOOKUP(INT(A125/1000),Sheet3!$A$2:$B$7,2,FALSE)*Sheet3!G$3,0)</f>
        <v>2</v>
      </c>
    </row>
    <row r="126" spans="1:13" x14ac:dyDescent="0.15">
      <c r="A126">
        <f t="shared" si="107"/>
        <v>13403</v>
      </c>
      <c r="B126" t="str">
        <f t="shared" ref="B126:C126" si="145">B102</f>
        <v>伙伴25级时开启</v>
      </c>
      <c r="C126" t="str">
        <f t="shared" si="145"/>
        <v>进阶+3</v>
      </c>
      <c r="D126">
        <f t="shared" si="98"/>
        <v>1203</v>
      </c>
      <c r="E126">
        <f t="shared" si="98"/>
        <v>50000</v>
      </c>
      <c r="F126" t="str">
        <f t="shared" si="98"/>
        <v>14107|600</v>
      </c>
      <c r="H126">
        <f t="shared" si="99"/>
        <v>0</v>
      </c>
      <c r="I126">
        <f>ROUND(VLOOKUP(INT(A126/1000),Sheet3!$A$2:$B$7,2,FALSE)*Sheet3!D$3,0)</f>
        <v>135</v>
      </c>
      <c r="K126">
        <f>ROUND(VLOOKUP(INT(A126/1000),Sheet3!$A$2:$B$7,2,FALSE)*Sheet3!E$3,0)</f>
        <v>5</v>
      </c>
      <c r="L126">
        <f>ROUND(VLOOKUP(INT(A126/1000),Sheet3!$A$2:$B$7,2,FALSE)*Sheet3!F$3,0)</f>
        <v>2</v>
      </c>
      <c r="M126">
        <f>ROUND(VLOOKUP(INT(A126/1000),Sheet3!$A$2:$B$7,2,FALSE)*Sheet3!G$3,0)</f>
        <v>2</v>
      </c>
    </row>
    <row r="127" spans="1:13" x14ac:dyDescent="0.15">
      <c r="A127">
        <f t="shared" si="107"/>
        <v>13404</v>
      </c>
      <c r="B127" t="str">
        <f t="shared" ref="B127:C127" si="146">B103</f>
        <v>伙伴35级时开启</v>
      </c>
      <c r="C127" t="str">
        <f t="shared" si="146"/>
        <v>进阶+4</v>
      </c>
      <c r="D127">
        <f t="shared" si="98"/>
        <v>1204</v>
      </c>
      <c r="E127">
        <f t="shared" si="98"/>
        <v>100000</v>
      </c>
      <c r="F127" t="str">
        <f t="shared" si="98"/>
        <v>14107|1200</v>
      </c>
      <c r="H127">
        <f t="shared" si="99"/>
        <v>1</v>
      </c>
      <c r="I127">
        <f>ROUND(VLOOKUP(INT(A127/1000),Sheet3!$A$2:$B$7,2,FALSE)*Sheet3!D$3,0)</f>
        <v>135</v>
      </c>
      <c r="K127">
        <f>ROUND(VLOOKUP(INT(A127/1000),Sheet3!$A$2:$B$7,2,FALSE)*Sheet3!E$3,0)</f>
        <v>5</v>
      </c>
      <c r="L127">
        <f>ROUND(VLOOKUP(INT(A127/1000),Sheet3!$A$2:$B$7,2,FALSE)*Sheet3!F$3,0)</f>
        <v>2</v>
      </c>
      <c r="M127">
        <f>ROUND(VLOOKUP(INT(A127/1000),Sheet3!$A$2:$B$7,2,FALSE)*Sheet3!G$3,0)</f>
        <v>2</v>
      </c>
    </row>
    <row r="128" spans="1:13" x14ac:dyDescent="0.15">
      <c r="A128">
        <f t="shared" si="107"/>
        <v>13405</v>
      </c>
      <c r="B128" t="str">
        <f t="shared" ref="B128:C128" si="147">B104</f>
        <v>伙伴45级时开启</v>
      </c>
      <c r="C128" t="str">
        <f t="shared" si="147"/>
        <v>进阶+5</v>
      </c>
      <c r="D128">
        <f t="shared" si="98"/>
        <v>1205</v>
      </c>
      <c r="E128">
        <f t="shared" si="98"/>
        <v>200000</v>
      </c>
      <c r="F128" t="str">
        <f t="shared" si="98"/>
        <v>14107|2400</v>
      </c>
      <c r="H128">
        <f t="shared" si="99"/>
        <v>1</v>
      </c>
      <c r="I128">
        <f>ROUND(VLOOKUP(INT(A128/1000),Sheet3!$A$2:$B$7,2,FALSE)*Sheet3!D$3,0)</f>
        <v>135</v>
      </c>
      <c r="K128">
        <f>ROUND(VLOOKUP(INT(A128/1000),Sheet3!$A$2:$B$7,2,FALSE)*Sheet3!E$3,0)</f>
        <v>5</v>
      </c>
      <c r="L128">
        <f>ROUND(VLOOKUP(INT(A128/1000),Sheet3!$A$2:$B$7,2,FALSE)*Sheet3!F$3,0)</f>
        <v>2</v>
      </c>
      <c r="M128">
        <f>ROUND(VLOOKUP(INT(A128/1000),Sheet3!$A$2:$B$7,2,FALSE)*Sheet3!G$3,0)</f>
        <v>2</v>
      </c>
    </row>
    <row r="129" spans="1:13" x14ac:dyDescent="0.15">
      <c r="A129">
        <f t="shared" si="107"/>
        <v>13406</v>
      </c>
      <c r="B129" t="str">
        <f t="shared" ref="B129:C129" si="148">B105</f>
        <v>伙伴55级时开启</v>
      </c>
      <c r="C129" t="str">
        <f t="shared" si="148"/>
        <v>进阶+6</v>
      </c>
      <c r="D129">
        <f t="shared" si="98"/>
        <v>1206</v>
      </c>
      <c r="E129">
        <f t="shared" si="98"/>
        <v>300000</v>
      </c>
      <c r="F129" t="str">
        <f t="shared" si="98"/>
        <v>14107|3600</v>
      </c>
      <c r="H129">
        <f t="shared" si="99"/>
        <v>2</v>
      </c>
      <c r="I129">
        <f>ROUND(VLOOKUP(INT(A129/1000),Sheet3!$A$2:$B$7,2,FALSE)*Sheet3!D$3,0)</f>
        <v>135</v>
      </c>
      <c r="K129">
        <f>ROUND(VLOOKUP(INT(A129/1000),Sheet3!$A$2:$B$7,2,FALSE)*Sheet3!E$3,0)</f>
        <v>5</v>
      </c>
      <c r="L129">
        <f>ROUND(VLOOKUP(INT(A129/1000),Sheet3!$A$2:$B$7,2,FALSE)*Sheet3!F$3,0)</f>
        <v>2</v>
      </c>
      <c r="M129">
        <f>ROUND(VLOOKUP(INT(A129/1000),Sheet3!$A$2:$B$7,2,FALSE)*Sheet3!G$3,0)</f>
        <v>2</v>
      </c>
    </row>
    <row r="130" spans="1:13" x14ac:dyDescent="0.15">
      <c r="A130">
        <f t="shared" si="107"/>
        <v>13407</v>
      </c>
      <c r="B130" t="str">
        <f t="shared" ref="B130:C130" si="149">B106</f>
        <v>伙伴65级时开启</v>
      </c>
      <c r="C130" t="str">
        <f t="shared" si="149"/>
        <v>进阶+7</v>
      </c>
      <c r="D130">
        <f t="shared" si="98"/>
        <v>1207</v>
      </c>
      <c r="E130">
        <f t="shared" si="98"/>
        <v>500000</v>
      </c>
      <c r="F130" t="str">
        <f t="shared" si="98"/>
        <v>14107|6000</v>
      </c>
      <c r="H130">
        <f t="shared" si="99"/>
        <v>2</v>
      </c>
      <c r="I130">
        <f>ROUND(VLOOKUP(INT(A130/1000),Sheet3!$A$2:$B$7,2,FALSE)*Sheet3!D$3,0)</f>
        <v>135</v>
      </c>
      <c r="K130">
        <f>ROUND(VLOOKUP(INT(A130/1000),Sheet3!$A$2:$B$7,2,FALSE)*Sheet3!E$3,0)</f>
        <v>5</v>
      </c>
      <c r="L130">
        <f>ROUND(VLOOKUP(INT(A130/1000),Sheet3!$A$2:$B$7,2,FALSE)*Sheet3!F$3,0)</f>
        <v>2</v>
      </c>
      <c r="M130">
        <f>ROUND(VLOOKUP(INT(A130/1000),Sheet3!$A$2:$B$7,2,FALSE)*Sheet3!G$3,0)</f>
        <v>2</v>
      </c>
    </row>
    <row r="131" spans="1:13" x14ac:dyDescent="0.15">
      <c r="A131">
        <f t="shared" si="107"/>
        <v>13408</v>
      </c>
      <c r="B131" t="str">
        <f t="shared" ref="B131:C131" si="150">B107</f>
        <v>伙伴75级时开启</v>
      </c>
      <c r="C131" t="str">
        <f t="shared" si="150"/>
        <v>进阶+8</v>
      </c>
      <c r="D131">
        <f t="shared" si="98"/>
        <v>1208</v>
      </c>
      <c r="E131">
        <f t="shared" si="98"/>
        <v>800000</v>
      </c>
      <c r="F131" t="str">
        <f t="shared" si="98"/>
        <v>14107|10000</v>
      </c>
      <c r="H131">
        <f t="shared" si="99"/>
        <v>4</v>
      </c>
      <c r="I131">
        <f>ROUND(VLOOKUP(INT(A131/1000),Sheet3!$A$2:$B$7,2,FALSE)*Sheet3!D$3,0)</f>
        <v>135</v>
      </c>
      <c r="K131">
        <f>ROUND(VLOOKUP(INT(A131/1000),Sheet3!$A$2:$B$7,2,FALSE)*Sheet3!E$3,0)</f>
        <v>5</v>
      </c>
      <c r="L131">
        <f>ROUND(VLOOKUP(INT(A131/1000),Sheet3!$A$2:$B$7,2,FALSE)*Sheet3!F$3,0)</f>
        <v>2</v>
      </c>
      <c r="M131">
        <f>ROUND(VLOOKUP(INT(A131/1000),Sheet3!$A$2:$B$7,2,FALSE)*Sheet3!G$3,0)</f>
        <v>2</v>
      </c>
    </row>
    <row r="132" spans="1:13" x14ac:dyDescent="0.15">
      <c r="A132">
        <f t="shared" si="107"/>
        <v>13409</v>
      </c>
      <c r="B132" t="str">
        <f t="shared" ref="B132:C132" si="151">B108</f>
        <v>伙伴85级时开启</v>
      </c>
      <c r="C132" t="str">
        <f t="shared" si="151"/>
        <v>进阶+9</v>
      </c>
      <c r="D132">
        <f t="shared" si="98"/>
        <v>1209</v>
      </c>
      <c r="E132">
        <f t="shared" si="98"/>
        <v>1200000</v>
      </c>
      <c r="F132" t="str">
        <f t="shared" si="98"/>
        <v>14107|15000</v>
      </c>
      <c r="H132">
        <f t="shared" si="99"/>
        <v>6</v>
      </c>
      <c r="I132">
        <f>ROUND(VLOOKUP(INT(A132/1000),Sheet3!$A$2:$B$7,2,FALSE)*Sheet3!D$3,0)</f>
        <v>135</v>
      </c>
      <c r="K132">
        <f>ROUND(VLOOKUP(INT(A132/1000),Sheet3!$A$2:$B$7,2,FALSE)*Sheet3!E$3,0)</f>
        <v>5</v>
      </c>
      <c r="L132">
        <f>ROUND(VLOOKUP(INT(A132/1000),Sheet3!$A$2:$B$7,2,FALSE)*Sheet3!F$3,0)</f>
        <v>2</v>
      </c>
      <c r="M132">
        <f>ROUND(VLOOKUP(INT(A132/1000),Sheet3!$A$2:$B$7,2,FALSE)*Sheet3!G$3,0)</f>
        <v>2</v>
      </c>
    </row>
    <row r="133" spans="1:13" x14ac:dyDescent="0.15">
      <c r="A133">
        <f t="shared" si="107"/>
        <v>13410</v>
      </c>
      <c r="B133" t="str">
        <f t="shared" ref="B133:C133" si="152">B109</f>
        <v>伙伴95级时开启</v>
      </c>
      <c r="C133" t="str">
        <f t="shared" si="152"/>
        <v>进阶+10</v>
      </c>
      <c r="D133">
        <f t="shared" si="98"/>
        <v>1210</v>
      </c>
      <c r="E133">
        <f t="shared" si="98"/>
        <v>1600000</v>
      </c>
      <c r="F133" t="str">
        <f t="shared" si="98"/>
        <v>14107|20000</v>
      </c>
      <c r="H133">
        <f t="shared" si="99"/>
        <v>8</v>
      </c>
      <c r="I133">
        <f>ROUND(VLOOKUP(INT(A133/1000),Sheet3!$A$2:$B$7,2,FALSE)*Sheet3!D$3,0)</f>
        <v>135</v>
      </c>
      <c r="K133">
        <f>ROUND(VLOOKUP(INT(A133/1000),Sheet3!$A$2:$B$7,2,FALSE)*Sheet3!E$3,0)</f>
        <v>5</v>
      </c>
      <c r="L133">
        <f>ROUND(VLOOKUP(INT(A133/1000),Sheet3!$A$2:$B$7,2,FALSE)*Sheet3!F$3,0)</f>
        <v>2</v>
      </c>
      <c r="M133">
        <f>ROUND(VLOOKUP(INT(A133/1000),Sheet3!$A$2:$B$7,2,FALSE)*Sheet3!G$3,0)</f>
        <v>2</v>
      </c>
    </row>
    <row r="134" spans="1:13" x14ac:dyDescent="0.15">
      <c r="A134">
        <f t="shared" si="107"/>
        <v>13411</v>
      </c>
      <c r="B134" t="str">
        <f t="shared" ref="B134:C134" si="153">B110</f>
        <v>伙伴105级时开启</v>
      </c>
      <c r="C134" t="str">
        <f t="shared" si="153"/>
        <v>进阶+11</v>
      </c>
      <c r="D134">
        <f t="shared" si="98"/>
        <v>1211</v>
      </c>
      <c r="E134">
        <f t="shared" si="98"/>
        <v>2000000</v>
      </c>
      <c r="F134" t="str">
        <f t="shared" si="98"/>
        <v>14107|24000</v>
      </c>
      <c r="H134">
        <f t="shared" si="99"/>
        <v>10</v>
      </c>
      <c r="I134">
        <f>ROUND(VLOOKUP(INT(A134/1000),Sheet3!$A$2:$B$7,2,FALSE)*Sheet3!D$3,0)</f>
        <v>135</v>
      </c>
      <c r="K134">
        <f>ROUND(VLOOKUP(INT(A134/1000),Sheet3!$A$2:$B$7,2,FALSE)*Sheet3!E$3,0)</f>
        <v>5</v>
      </c>
      <c r="L134">
        <f>ROUND(VLOOKUP(INT(A134/1000),Sheet3!$A$2:$B$7,2,FALSE)*Sheet3!F$3,0)</f>
        <v>2</v>
      </c>
      <c r="M134">
        <f>ROUND(VLOOKUP(INT(A134/1000),Sheet3!$A$2:$B$7,2,FALSE)*Sheet3!G$3,0)</f>
        <v>2</v>
      </c>
    </row>
    <row r="135" spans="1:13" x14ac:dyDescent="0.15">
      <c r="A135">
        <f t="shared" si="107"/>
        <v>13412</v>
      </c>
      <c r="B135" t="str">
        <f t="shared" ref="B135:C135" si="154">B111</f>
        <v>伙伴115级时开启</v>
      </c>
      <c r="C135" t="str">
        <f t="shared" si="154"/>
        <v>进阶+12</v>
      </c>
      <c r="D135">
        <f t="shared" si="98"/>
        <v>1212</v>
      </c>
      <c r="E135">
        <f t="shared" si="98"/>
        <v>2400000</v>
      </c>
      <c r="F135" t="str">
        <f t="shared" si="98"/>
        <v>14107|28000</v>
      </c>
      <c r="H135">
        <f t="shared" si="99"/>
        <v>12</v>
      </c>
      <c r="I135">
        <f>ROUND(VLOOKUP(INT(A135/1000),Sheet3!$A$2:$B$7,2,FALSE)*Sheet3!D$3,0)</f>
        <v>135</v>
      </c>
      <c r="K135">
        <f>ROUND(VLOOKUP(INT(A135/1000),Sheet3!$A$2:$B$7,2,FALSE)*Sheet3!E$3,0)</f>
        <v>5</v>
      </c>
      <c r="L135">
        <f>ROUND(VLOOKUP(INT(A135/1000),Sheet3!$A$2:$B$7,2,FALSE)*Sheet3!F$3,0)</f>
        <v>2</v>
      </c>
      <c r="M135">
        <f>ROUND(VLOOKUP(INT(A135/1000),Sheet3!$A$2:$B$7,2,FALSE)*Sheet3!G$3,0)</f>
        <v>2</v>
      </c>
    </row>
    <row r="136" spans="1:13" x14ac:dyDescent="0.15">
      <c r="A136">
        <f t="shared" si="107"/>
        <v>13501</v>
      </c>
      <c r="B136" t="str">
        <f t="shared" ref="B136:C136" si="155">B112</f>
        <v>伙伴5级时开启</v>
      </c>
      <c r="C136" t="str">
        <f t="shared" si="155"/>
        <v>进阶+1</v>
      </c>
      <c r="D136">
        <f t="shared" si="98"/>
        <v>1201</v>
      </c>
      <c r="E136">
        <f t="shared" si="98"/>
        <v>10000</v>
      </c>
      <c r="F136" t="str">
        <f t="shared" si="98"/>
        <v>14107|120</v>
      </c>
      <c r="H136">
        <f t="shared" si="99"/>
        <v>0</v>
      </c>
      <c r="I136">
        <f>ROUND(VLOOKUP(INT(A136/1000),Sheet3!$A$2:$B$7,2,FALSE)*Sheet3!D$3,0)</f>
        <v>135</v>
      </c>
      <c r="K136">
        <f>ROUND(VLOOKUP(INT(A136/1000),Sheet3!$A$2:$B$7,2,FALSE)*Sheet3!E$3,0)</f>
        <v>5</v>
      </c>
      <c r="L136">
        <f>ROUND(VLOOKUP(INT(A136/1000),Sheet3!$A$2:$B$7,2,FALSE)*Sheet3!F$3,0)</f>
        <v>2</v>
      </c>
      <c r="M136">
        <f>ROUND(VLOOKUP(INT(A136/1000),Sheet3!$A$2:$B$7,2,FALSE)*Sheet3!G$3,0)</f>
        <v>2</v>
      </c>
    </row>
    <row r="137" spans="1:13" x14ac:dyDescent="0.15">
      <c r="A137">
        <f t="shared" si="107"/>
        <v>13502</v>
      </c>
      <c r="B137" t="str">
        <f t="shared" ref="B137:C137" si="156">B113</f>
        <v>伙伴15级时开启</v>
      </c>
      <c r="C137" t="str">
        <f t="shared" si="156"/>
        <v>进阶+2</v>
      </c>
      <c r="D137">
        <f t="shared" si="98"/>
        <v>1202</v>
      </c>
      <c r="E137">
        <f t="shared" si="98"/>
        <v>30000</v>
      </c>
      <c r="F137" t="str">
        <f t="shared" si="98"/>
        <v>14107|360</v>
      </c>
      <c r="H137">
        <f t="shared" si="99"/>
        <v>0</v>
      </c>
      <c r="I137">
        <f>ROUND(VLOOKUP(INT(A137/1000),Sheet3!$A$2:$B$7,2,FALSE)*Sheet3!D$3,0)</f>
        <v>135</v>
      </c>
      <c r="K137">
        <f>ROUND(VLOOKUP(INT(A137/1000),Sheet3!$A$2:$B$7,2,FALSE)*Sheet3!E$3,0)</f>
        <v>5</v>
      </c>
      <c r="L137">
        <f>ROUND(VLOOKUP(INT(A137/1000),Sheet3!$A$2:$B$7,2,FALSE)*Sheet3!F$3,0)</f>
        <v>2</v>
      </c>
      <c r="M137">
        <f>ROUND(VLOOKUP(INT(A137/1000),Sheet3!$A$2:$B$7,2,FALSE)*Sheet3!G$3,0)</f>
        <v>2</v>
      </c>
    </row>
    <row r="138" spans="1:13" x14ac:dyDescent="0.15">
      <c r="A138">
        <f t="shared" si="107"/>
        <v>13503</v>
      </c>
      <c r="B138" t="str">
        <f t="shared" ref="B138:C138" si="157">B114</f>
        <v>伙伴25级时开启</v>
      </c>
      <c r="C138" t="str">
        <f t="shared" si="157"/>
        <v>进阶+3</v>
      </c>
      <c r="D138">
        <f t="shared" si="98"/>
        <v>1203</v>
      </c>
      <c r="E138">
        <f t="shared" si="98"/>
        <v>50000</v>
      </c>
      <c r="F138" t="str">
        <f t="shared" si="98"/>
        <v>14107|600</v>
      </c>
      <c r="H138">
        <f t="shared" si="99"/>
        <v>0</v>
      </c>
      <c r="I138">
        <f>ROUND(VLOOKUP(INT(A138/1000),Sheet3!$A$2:$B$7,2,FALSE)*Sheet3!D$3,0)</f>
        <v>135</v>
      </c>
      <c r="K138">
        <f>ROUND(VLOOKUP(INT(A138/1000),Sheet3!$A$2:$B$7,2,FALSE)*Sheet3!E$3,0)</f>
        <v>5</v>
      </c>
      <c r="L138">
        <f>ROUND(VLOOKUP(INT(A138/1000),Sheet3!$A$2:$B$7,2,FALSE)*Sheet3!F$3,0)</f>
        <v>2</v>
      </c>
      <c r="M138">
        <f>ROUND(VLOOKUP(INT(A138/1000),Sheet3!$A$2:$B$7,2,FALSE)*Sheet3!G$3,0)</f>
        <v>2</v>
      </c>
    </row>
    <row r="139" spans="1:13" x14ac:dyDescent="0.15">
      <c r="A139">
        <f t="shared" si="107"/>
        <v>13504</v>
      </c>
      <c r="B139" t="str">
        <f t="shared" ref="B139:C139" si="158">B115</f>
        <v>伙伴35级时开启</v>
      </c>
      <c r="C139" t="str">
        <f t="shared" si="158"/>
        <v>进阶+4</v>
      </c>
      <c r="D139">
        <f t="shared" si="98"/>
        <v>1204</v>
      </c>
      <c r="E139">
        <f t="shared" si="98"/>
        <v>100000</v>
      </c>
      <c r="F139" t="str">
        <f t="shared" si="98"/>
        <v>14107|1200</v>
      </c>
      <c r="H139">
        <f t="shared" si="99"/>
        <v>1</v>
      </c>
      <c r="I139">
        <f>ROUND(VLOOKUP(INT(A139/1000),Sheet3!$A$2:$B$7,2,FALSE)*Sheet3!D$3,0)</f>
        <v>135</v>
      </c>
      <c r="K139">
        <f>ROUND(VLOOKUP(INT(A139/1000),Sheet3!$A$2:$B$7,2,FALSE)*Sheet3!E$3,0)</f>
        <v>5</v>
      </c>
      <c r="L139">
        <f>ROUND(VLOOKUP(INT(A139/1000),Sheet3!$A$2:$B$7,2,FALSE)*Sheet3!F$3,0)</f>
        <v>2</v>
      </c>
      <c r="M139">
        <f>ROUND(VLOOKUP(INT(A139/1000),Sheet3!$A$2:$B$7,2,FALSE)*Sheet3!G$3,0)</f>
        <v>2</v>
      </c>
    </row>
    <row r="140" spans="1:13" x14ac:dyDescent="0.15">
      <c r="A140">
        <f t="shared" si="107"/>
        <v>13505</v>
      </c>
      <c r="B140" t="str">
        <f t="shared" ref="B140:C140" si="159">B116</f>
        <v>伙伴45级时开启</v>
      </c>
      <c r="C140" t="str">
        <f t="shared" si="159"/>
        <v>进阶+5</v>
      </c>
      <c r="D140">
        <f t="shared" si="98"/>
        <v>1205</v>
      </c>
      <c r="E140">
        <f t="shared" si="98"/>
        <v>200000</v>
      </c>
      <c r="F140" t="str">
        <f t="shared" si="98"/>
        <v>14107|2400</v>
      </c>
      <c r="H140">
        <f t="shared" si="99"/>
        <v>1</v>
      </c>
      <c r="I140">
        <f>ROUND(VLOOKUP(INT(A140/1000),Sheet3!$A$2:$B$7,2,FALSE)*Sheet3!D$3,0)</f>
        <v>135</v>
      </c>
      <c r="K140">
        <f>ROUND(VLOOKUP(INT(A140/1000),Sheet3!$A$2:$B$7,2,FALSE)*Sheet3!E$3,0)</f>
        <v>5</v>
      </c>
      <c r="L140">
        <f>ROUND(VLOOKUP(INT(A140/1000),Sheet3!$A$2:$B$7,2,FALSE)*Sheet3!F$3,0)</f>
        <v>2</v>
      </c>
      <c r="M140">
        <f>ROUND(VLOOKUP(INT(A140/1000),Sheet3!$A$2:$B$7,2,FALSE)*Sheet3!G$3,0)</f>
        <v>2</v>
      </c>
    </row>
    <row r="141" spans="1:13" x14ac:dyDescent="0.15">
      <c r="A141">
        <f t="shared" si="107"/>
        <v>13506</v>
      </c>
      <c r="B141" t="str">
        <f t="shared" ref="B141:C141" si="160">B117</f>
        <v>伙伴55级时开启</v>
      </c>
      <c r="C141" t="str">
        <f t="shared" si="160"/>
        <v>进阶+6</v>
      </c>
      <c r="D141">
        <f t="shared" si="98"/>
        <v>1206</v>
      </c>
      <c r="E141">
        <f t="shared" si="98"/>
        <v>300000</v>
      </c>
      <c r="F141" t="str">
        <f t="shared" si="98"/>
        <v>14107|3600</v>
      </c>
      <c r="H141">
        <f t="shared" si="99"/>
        <v>2</v>
      </c>
      <c r="I141">
        <f>ROUND(VLOOKUP(INT(A141/1000),Sheet3!$A$2:$B$7,2,FALSE)*Sheet3!D$3,0)</f>
        <v>135</v>
      </c>
      <c r="K141">
        <f>ROUND(VLOOKUP(INT(A141/1000),Sheet3!$A$2:$B$7,2,FALSE)*Sheet3!E$3,0)</f>
        <v>5</v>
      </c>
      <c r="L141">
        <f>ROUND(VLOOKUP(INT(A141/1000),Sheet3!$A$2:$B$7,2,FALSE)*Sheet3!F$3,0)</f>
        <v>2</v>
      </c>
      <c r="M141">
        <f>ROUND(VLOOKUP(INT(A141/1000),Sheet3!$A$2:$B$7,2,FALSE)*Sheet3!G$3,0)</f>
        <v>2</v>
      </c>
    </row>
    <row r="142" spans="1:13" x14ac:dyDescent="0.15">
      <c r="A142">
        <f t="shared" si="107"/>
        <v>13507</v>
      </c>
      <c r="B142" t="str">
        <f t="shared" ref="B142:C142" si="161">B118</f>
        <v>伙伴65级时开启</v>
      </c>
      <c r="C142" t="str">
        <f t="shared" si="161"/>
        <v>进阶+7</v>
      </c>
      <c r="D142">
        <f t="shared" si="98"/>
        <v>1207</v>
      </c>
      <c r="E142">
        <f t="shared" si="98"/>
        <v>500000</v>
      </c>
      <c r="F142" t="str">
        <f t="shared" si="98"/>
        <v>14107|6000</v>
      </c>
      <c r="H142">
        <f t="shared" si="99"/>
        <v>2</v>
      </c>
      <c r="I142">
        <f>ROUND(VLOOKUP(INT(A142/1000),Sheet3!$A$2:$B$7,2,FALSE)*Sheet3!D$3,0)</f>
        <v>135</v>
      </c>
      <c r="K142">
        <f>ROUND(VLOOKUP(INT(A142/1000),Sheet3!$A$2:$B$7,2,FALSE)*Sheet3!E$3,0)</f>
        <v>5</v>
      </c>
      <c r="L142">
        <f>ROUND(VLOOKUP(INT(A142/1000),Sheet3!$A$2:$B$7,2,FALSE)*Sheet3!F$3,0)</f>
        <v>2</v>
      </c>
      <c r="M142">
        <f>ROUND(VLOOKUP(INT(A142/1000),Sheet3!$A$2:$B$7,2,FALSE)*Sheet3!G$3,0)</f>
        <v>2</v>
      </c>
    </row>
    <row r="143" spans="1:13" x14ac:dyDescent="0.15">
      <c r="A143">
        <f t="shared" si="107"/>
        <v>13508</v>
      </c>
      <c r="B143" t="str">
        <f t="shared" ref="B143:C143" si="162">B119</f>
        <v>伙伴75级时开启</v>
      </c>
      <c r="C143" t="str">
        <f t="shared" si="162"/>
        <v>进阶+8</v>
      </c>
      <c r="D143">
        <f t="shared" si="98"/>
        <v>1208</v>
      </c>
      <c r="E143">
        <f t="shared" si="98"/>
        <v>800000</v>
      </c>
      <c r="F143" t="str">
        <f t="shared" si="98"/>
        <v>14107|10000</v>
      </c>
      <c r="H143">
        <f t="shared" si="99"/>
        <v>4</v>
      </c>
      <c r="I143">
        <f>ROUND(VLOOKUP(INT(A143/1000),Sheet3!$A$2:$B$7,2,FALSE)*Sheet3!D$3,0)</f>
        <v>135</v>
      </c>
      <c r="K143">
        <f>ROUND(VLOOKUP(INT(A143/1000),Sheet3!$A$2:$B$7,2,FALSE)*Sheet3!E$3,0)</f>
        <v>5</v>
      </c>
      <c r="L143">
        <f>ROUND(VLOOKUP(INT(A143/1000),Sheet3!$A$2:$B$7,2,FALSE)*Sheet3!F$3,0)</f>
        <v>2</v>
      </c>
      <c r="M143">
        <f>ROUND(VLOOKUP(INT(A143/1000),Sheet3!$A$2:$B$7,2,FALSE)*Sheet3!G$3,0)</f>
        <v>2</v>
      </c>
    </row>
    <row r="144" spans="1:13" x14ac:dyDescent="0.15">
      <c r="A144">
        <f t="shared" si="107"/>
        <v>13509</v>
      </c>
      <c r="B144" t="str">
        <f t="shared" ref="B144:C144" si="163">B120</f>
        <v>伙伴85级时开启</v>
      </c>
      <c r="C144" t="str">
        <f t="shared" si="163"/>
        <v>进阶+9</v>
      </c>
      <c r="D144">
        <f t="shared" si="98"/>
        <v>1209</v>
      </c>
      <c r="E144">
        <f t="shared" si="98"/>
        <v>1200000</v>
      </c>
      <c r="F144" t="str">
        <f t="shared" si="98"/>
        <v>14107|15000</v>
      </c>
      <c r="H144">
        <f t="shared" si="99"/>
        <v>6</v>
      </c>
      <c r="I144">
        <f>ROUND(VLOOKUP(INT(A144/1000),Sheet3!$A$2:$B$7,2,FALSE)*Sheet3!D$3,0)</f>
        <v>135</v>
      </c>
      <c r="K144">
        <f>ROUND(VLOOKUP(INT(A144/1000),Sheet3!$A$2:$B$7,2,FALSE)*Sheet3!E$3,0)</f>
        <v>5</v>
      </c>
      <c r="L144">
        <f>ROUND(VLOOKUP(INT(A144/1000),Sheet3!$A$2:$B$7,2,FALSE)*Sheet3!F$3,0)</f>
        <v>2</v>
      </c>
      <c r="M144">
        <f>ROUND(VLOOKUP(INT(A144/1000),Sheet3!$A$2:$B$7,2,FALSE)*Sheet3!G$3,0)</f>
        <v>2</v>
      </c>
    </row>
    <row r="145" spans="1:13" x14ac:dyDescent="0.15">
      <c r="A145">
        <f t="shared" si="107"/>
        <v>13510</v>
      </c>
      <c r="B145" t="str">
        <f t="shared" ref="B145:C145" si="164">B121</f>
        <v>伙伴95级时开启</v>
      </c>
      <c r="C145" t="str">
        <f t="shared" si="164"/>
        <v>进阶+10</v>
      </c>
      <c r="D145">
        <f t="shared" ref="D145:F207" si="165">D133</f>
        <v>1210</v>
      </c>
      <c r="E145">
        <f t="shared" si="165"/>
        <v>1600000</v>
      </c>
      <c r="F145" t="str">
        <f t="shared" si="165"/>
        <v>14107|20000</v>
      </c>
      <c r="H145">
        <f t="shared" ref="H145:H207" si="166">H133</f>
        <v>8</v>
      </c>
      <c r="I145">
        <f>ROUND(VLOOKUP(INT(A145/1000),Sheet3!$A$2:$B$7,2,FALSE)*Sheet3!D$3,0)</f>
        <v>135</v>
      </c>
      <c r="K145">
        <f>ROUND(VLOOKUP(INT(A145/1000),Sheet3!$A$2:$B$7,2,FALSE)*Sheet3!E$3,0)</f>
        <v>5</v>
      </c>
      <c r="L145">
        <f>ROUND(VLOOKUP(INT(A145/1000),Sheet3!$A$2:$B$7,2,FALSE)*Sheet3!F$3,0)</f>
        <v>2</v>
      </c>
      <c r="M145">
        <f>ROUND(VLOOKUP(INT(A145/1000),Sheet3!$A$2:$B$7,2,FALSE)*Sheet3!G$3,0)</f>
        <v>2</v>
      </c>
    </row>
    <row r="146" spans="1:13" x14ac:dyDescent="0.15">
      <c r="A146">
        <f t="shared" si="107"/>
        <v>13511</v>
      </c>
      <c r="B146" t="str">
        <f t="shared" ref="B146:C146" si="167">B122</f>
        <v>伙伴105级时开启</v>
      </c>
      <c r="C146" t="str">
        <f t="shared" si="167"/>
        <v>进阶+11</v>
      </c>
      <c r="D146">
        <f t="shared" si="165"/>
        <v>1211</v>
      </c>
      <c r="E146">
        <f t="shared" si="165"/>
        <v>2000000</v>
      </c>
      <c r="F146" t="str">
        <f t="shared" si="165"/>
        <v>14107|24000</v>
      </c>
      <c r="H146">
        <f t="shared" si="166"/>
        <v>10</v>
      </c>
      <c r="I146">
        <f>ROUND(VLOOKUP(INT(A146/1000),Sheet3!$A$2:$B$7,2,FALSE)*Sheet3!D$3,0)</f>
        <v>135</v>
      </c>
      <c r="K146">
        <f>ROUND(VLOOKUP(INT(A146/1000),Sheet3!$A$2:$B$7,2,FALSE)*Sheet3!E$3,0)</f>
        <v>5</v>
      </c>
      <c r="L146">
        <f>ROUND(VLOOKUP(INT(A146/1000),Sheet3!$A$2:$B$7,2,FALSE)*Sheet3!F$3,0)</f>
        <v>2</v>
      </c>
      <c r="M146">
        <f>ROUND(VLOOKUP(INT(A146/1000),Sheet3!$A$2:$B$7,2,FALSE)*Sheet3!G$3,0)</f>
        <v>2</v>
      </c>
    </row>
    <row r="147" spans="1:13" x14ac:dyDescent="0.15">
      <c r="A147">
        <f t="shared" si="107"/>
        <v>13512</v>
      </c>
      <c r="B147" t="str">
        <f t="shared" ref="B147:C147" si="168">B123</f>
        <v>伙伴115级时开启</v>
      </c>
      <c r="C147" t="str">
        <f t="shared" si="168"/>
        <v>进阶+12</v>
      </c>
      <c r="D147">
        <f t="shared" si="165"/>
        <v>1212</v>
      </c>
      <c r="E147">
        <f t="shared" si="165"/>
        <v>2400000</v>
      </c>
      <c r="F147" t="str">
        <f t="shared" si="165"/>
        <v>14107|28000</v>
      </c>
      <c r="H147">
        <f t="shared" si="166"/>
        <v>12</v>
      </c>
      <c r="I147">
        <f>ROUND(VLOOKUP(INT(A147/1000),Sheet3!$A$2:$B$7,2,FALSE)*Sheet3!D$3,0)</f>
        <v>135</v>
      </c>
      <c r="K147">
        <f>ROUND(VLOOKUP(INT(A147/1000),Sheet3!$A$2:$B$7,2,FALSE)*Sheet3!E$3,0)</f>
        <v>5</v>
      </c>
      <c r="L147">
        <f>ROUND(VLOOKUP(INT(A147/1000),Sheet3!$A$2:$B$7,2,FALSE)*Sheet3!F$3,0)</f>
        <v>2</v>
      </c>
      <c r="M147">
        <f>ROUND(VLOOKUP(INT(A147/1000),Sheet3!$A$2:$B$7,2,FALSE)*Sheet3!G$3,0)</f>
        <v>2</v>
      </c>
    </row>
    <row r="148" spans="1:13" x14ac:dyDescent="0.15">
      <c r="A148">
        <f>A88+3000</f>
        <v>16101</v>
      </c>
      <c r="B148" t="str">
        <f t="shared" ref="B148:C148" si="169">B124</f>
        <v>伙伴5级时开启</v>
      </c>
      <c r="C148" t="str">
        <f t="shared" si="169"/>
        <v>进阶+1</v>
      </c>
      <c r="D148">
        <f t="shared" si="165"/>
        <v>1201</v>
      </c>
      <c r="E148">
        <f t="shared" si="165"/>
        <v>10000</v>
      </c>
      <c r="F148" t="str">
        <f t="shared" si="165"/>
        <v>14107|120</v>
      </c>
      <c r="H148">
        <f t="shared" si="166"/>
        <v>0</v>
      </c>
      <c r="I148">
        <f>ROUND(VLOOKUP(INT(A148/1000),Sheet3!$A$2:$B$7,2,FALSE)*Sheet3!D$3,0)</f>
        <v>150</v>
      </c>
      <c r="K148">
        <f>ROUND(VLOOKUP(INT(A148/1000),Sheet3!$A$2:$B$7,2,FALSE)*Sheet3!E$3,0)</f>
        <v>5</v>
      </c>
      <c r="L148">
        <f>ROUND(VLOOKUP(INT(A148/1000),Sheet3!$A$2:$B$7,2,FALSE)*Sheet3!F$3,0)</f>
        <v>3</v>
      </c>
      <c r="M148">
        <f>ROUND(VLOOKUP(INT(A148/1000),Sheet3!$A$2:$B$7,2,FALSE)*Sheet3!G$3,0)</f>
        <v>3</v>
      </c>
    </row>
    <row r="149" spans="1:13" x14ac:dyDescent="0.15">
      <c r="A149">
        <f t="shared" ref="A149:A207" si="170">A89+3000</f>
        <v>16102</v>
      </c>
      <c r="B149" t="str">
        <f t="shared" ref="B149:C149" si="171">B125</f>
        <v>伙伴15级时开启</v>
      </c>
      <c r="C149" t="str">
        <f t="shared" si="171"/>
        <v>进阶+2</v>
      </c>
      <c r="D149">
        <f t="shared" si="165"/>
        <v>1202</v>
      </c>
      <c r="E149">
        <f t="shared" si="165"/>
        <v>30000</v>
      </c>
      <c r="F149" t="str">
        <f t="shared" si="165"/>
        <v>14107|360</v>
      </c>
      <c r="H149">
        <f t="shared" si="166"/>
        <v>0</v>
      </c>
      <c r="I149">
        <f>ROUND(VLOOKUP(INT(A149/1000),Sheet3!$A$2:$B$7,2,FALSE)*Sheet3!D$3,0)</f>
        <v>150</v>
      </c>
      <c r="K149">
        <f>ROUND(VLOOKUP(INT(A149/1000),Sheet3!$A$2:$B$7,2,FALSE)*Sheet3!E$3,0)</f>
        <v>5</v>
      </c>
      <c r="L149">
        <f>ROUND(VLOOKUP(INT(A149/1000),Sheet3!$A$2:$B$7,2,FALSE)*Sheet3!F$3,0)</f>
        <v>3</v>
      </c>
      <c r="M149">
        <f>ROUND(VLOOKUP(INT(A149/1000),Sheet3!$A$2:$B$7,2,FALSE)*Sheet3!G$3,0)</f>
        <v>3</v>
      </c>
    </row>
    <row r="150" spans="1:13" x14ac:dyDescent="0.15">
      <c r="A150">
        <f t="shared" si="170"/>
        <v>16103</v>
      </c>
      <c r="B150" t="str">
        <f t="shared" ref="B150:C150" si="172">B126</f>
        <v>伙伴25级时开启</v>
      </c>
      <c r="C150" t="str">
        <f t="shared" si="172"/>
        <v>进阶+3</v>
      </c>
      <c r="D150">
        <f t="shared" si="165"/>
        <v>1203</v>
      </c>
      <c r="E150">
        <f t="shared" si="165"/>
        <v>50000</v>
      </c>
      <c r="F150" t="str">
        <f t="shared" si="165"/>
        <v>14107|600</v>
      </c>
      <c r="H150">
        <f t="shared" si="166"/>
        <v>0</v>
      </c>
      <c r="I150">
        <f>ROUND(VLOOKUP(INT(A150/1000),Sheet3!$A$2:$B$7,2,FALSE)*Sheet3!D$3,0)</f>
        <v>150</v>
      </c>
      <c r="K150">
        <f>ROUND(VLOOKUP(INT(A150/1000),Sheet3!$A$2:$B$7,2,FALSE)*Sheet3!E$3,0)</f>
        <v>5</v>
      </c>
      <c r="L150">
        <f>ROUND(VLOOKUP(INT(A150/1000),Sheet3!$A$2:$B$7,2,FALSE)*Sheet3!F$3,0)</f>
        <v>3</v>
      </c>
      <c r="M150">
        <f>ROUND(VLOOKUP(INT(A150/1000),Sheet3!$A$2:$B$7,2,FALSE)*Sheet3!G$3,0)</f>
        <v>3</v>
      </c>
    </row>
    <row r="151" spans="1:13" x14ac:dyDescent="0.15">
      <c r="A151">
        <f t="shared" si="170"/>
        <v>16104</v>
      </c>
      <c r="B151" t="str">
        <f t="shared" ref="B151:C151" si="173">B127</f>
        <v>伙伴35级时开启</v>
      </c>
      <c r="C151" t="str">
        <f t="shared" si="173"/>
        <v>进阶+4</v>
      </c>
      <c r="D151">
        <f t="shared" si="165"/>
        <v>1204</v>
      </c>
      <c r="E151">
        <f t="shared" si="165"/>
        <v>100000</v>
      </c>
      <c r="F151" t="str">
        <f t="shared" si="165"/>
        <v>14107|1200</v>
      </c>
      <c r="H151">
        <f t="shared" si="166"/>
        <v>1</v>
      </c>
      <c r="I151">
        <f>ROUND(VLOOKUP(INT(A151/1000),Sheet3!$A$2:$B$7,2,FALSE)*Sheet3!D$3,0)</f>
        <v>150</v>
      </c>
      <c r="K151">
        <f>ROUND(VLOOKUP(INT(A151/1000),Sheet3!$A$2:$B$7,2,FALSE)*Sheet3!E$3,0)</f>
        <v>5</v>
      </c>
      <c r="L151">
        <f>ROUND(VLOOKUP(INT(A151/1000),Sheet3!$A$2:$B$7,2,FALSE)*Sheet3!F$3,0)</f>
        <v>3</v>
      </c>
      <c r="M151">
        <f>ROUND(VLOOKUP(INT(A151/1000),Sheet3!$A$2:$B$7,2,FALSE)*Sheet3!G$3,0)</f>
        <v>3</v>
      </c>
    </row>
    <row r="152" spans="1:13" x14ac:dyDescent="0.15">
      <c r="A152">
        <f t="shared" si="170"/>
        <v>16105</v>
      </c>
      <c r="B152" t="str">
        <f t="shared" ref="B152:C152" si="174">B128</f>
        <v>伙伴45级时开启</v>
      </c>
      <c r="C152" t="str">
        <f t="shared" si="174"/>
        <v>进阶+5</v>
      </c>
      <c r="D152">
        <f t="shared" si="165"/>
        <v>1205</v>
      </c>
      <c r="E152">
        <f t="shared" si="165"/>
        <v>200000</v>
      </c>
      <c r="F152" t="str">
        <f t="shared" si="165"/>
        <v>14107|2400</v>
      </c>
      <c r="H152">
        <f t="shared" si="166"/>
        <v>1</v>
      </c>
      <c r="I152">
        <f>ROUND(VLOOKUP(INT(A152/1000),Sheet3!$A$2:$B$7,2,FALSE)*Sheet3!D$3,0)</f>
        <v>150</v>
      </c>
      <c r="K152">
        <f>ROUND(VLOOKUP(INT(A152/1000),Sheet3!$A$2:$B$7,2,FALSE)*Sheet3!E$3,0)</f>
        <v>5</v>
      </c>
      <c r="L152">
        <f>ROUND(VLOOKUP(INT(A152/1000),Sheet3!$A$2:$B$7,2,FALSE)*Sheet3!F$3,0)</f>
        <v>3</v>
      </c>
      <c r="M152">
        <f>ROUND(VLOOKUP(INT(A152/1000),Sheet3!$A$2:$B$7,2,FALSE)*Sheet3!G$3,0)</f>
        <v>3</v>
      </c>
    </row>
    <row r="153" spans="1:13" x14ac:dyDescent="0.15">
      <c r="A153">
        <f t="shared" si="170"/>
        <v>16106</v>
      </c>
      <c r="B153" t="str">
        <f t="shared" ref="B153:C153" si="175">B129</f>
        <v>伙伴55级时开启</v>
      </c>
      <c r="C153" t="str">
        <f t="shared" si="175"/>
        <v>进阶+6</v>
      </c>
      <c r="D153">
        <f t="shared" si="165"/>
        <v>1206</v>
      </c>
      <c r="E153">
        <f t="shared" si="165"/>
        <v>300000</v>
      </c>
      <c r="F153" t="str">
        <f t="shared" si="165"/>
        <v>14107|3600</v>
      </c>
      <c r="H153">
        <f t="shared" si="166"/>
        <v>2</v>
      </c>
      <c r="I153">
        <f>ROUND(VLOOKUP(INT(A153/1000),Sheet3!$A$2:$B$7,2,FALSE)*Sheet3!D$3,0)</f>
        <v>150</v>
      </c>
      <c r="K153">
        <f>ROUND(VLOOKUP(INT(A153/1000),Sheet3!$A$2:$B$7,2,FALSE)*Sheet3!E$3,0)</f>
        <v>5</v>
      </c>
      <c r="L153">
        <f>ROUND(VLOOKUP(INT(A153/1000),Sheet3!$A$2:$B$7,2,FALSE)*Sheet3!F$3,0)</f>
        <v>3</v>
      </c>
      <c r="M153">
        <f>ROUND(VLOOKUP(INT(A153/1000),Sheet3!$A$2:$B$7,2,FALSE)*Sheet3!G$3,0)</f>
        <v>3</v>
      </c>
    </row>
    <row r="154" spans="1:13" x14ac:dyDescent="0.15">
      <c r="A154">
        <f t="shared" si="170"/>
        <v>16107</v>
      </c>
      <c r="B154" t="str">
        <f t="shared" ref="B154:C154" si="176">B130</f>
        <v>伙伴65级时开启</v>
      </c>
      <c r="C154" t="str">
        <f t="shared" si="176"/>
        <v>进阶+7</v>
      </c>
      <c r="D154">
        <f t="shared" si="165"/>
        <v>1207</v>
      </c>
      <c r="E154">
        <f t="shared" si="165"/>
        <v>500000</v>
      </c>
      <c r="F154" t="str">
        <f t="shared" si="165"/>
        <v>14107|6000</v>
      </c>
      <c r="H154">
        <f t="shared" si="166"/>
        <v>2</v>
      </c>
      <c r="I154">
        <f>ROUND(VLOOKUP(INT(A154/1000),Sheet3!$A$2:$B$7,2,FALSE)*Sheet3!D$3,0)</f>
        <v>150</v>
      </c>
      <c r="K154">
        <f>ROUND(VLOOKUP(INT(A154/1000),Sheet3!$A$2:$B$7,2,FALSE)*Sheet3!E$3,0)</f>
        <v>5</v>
      </c>
      <c r="L154">
        <f>ROUND(VLOOKUP(INT(A154/1000),Sheet3!$A$2:$B$7,2,FALSE)*Sheet3!F$3,0)</f>
        <v>3</v>
      </c>
      <c r="M154">
        <f>ROUND(VLOOKUP(INT(A154/1000),Sheet3!$A$2:$B$7,2,FALSE)*Sheet3!G$3,0)</f>
        <v>3</v>
      </c>
    </row>
    <row r="155" spans="1:13" x14ac:dyDescent="0.15">
      <c r="A155">
        <f t="shared" si="170"/>
        <v>16108</v>
      </c>
      <c r="B155" t="str">
        <f t="shared" ref="B155:C155" si="177">B131</f>
        <v>伙伴75级时开启</v>
      </c>
      <c r="C155" t="str">
        <f t="shared" si="177"/>
        <v>进阶+8</v>
      </c>
      <c r="D155">
        <f t="shared" si="165"/>
        <v>1208</v>
      </c>
      <c r="E155">
        <f t="shared" si="165"/>
        <v>800000</v>
      </c>
      <c r="F155" t="str">
        <f t="shared" si="165"/>
        <v>14107|10000</v>
      </c>
      <c r="H155">
        <f t="shared" si="166"/>
        <v>4</v>
      </c>
      <c r="I155">
        <f>ROUND(VLOOKUP(INT(A155/1000),Sheet3!$A$2:$B$7,2,FALSE)*Sheet3!D$3,0)</f>
        <v>150</v>
      </c>
      <c r="K155">
        <f>ROUND(VLOOKUP(INT(A155/1000),Sheet3!$A$2:$B$7,2,FALSE)*Sheet3!E$3,0)</f>
        <v>5</v>
      </c>
      <c r="L155">
        <f>ROUND(VLOOKUP(INT(A155/1000),Sheet3!$A$2:$B$7,2,FALSE)*Sheet3!F$3,0)</f>
        <v>3</v>
      </c>
      <c r="M155">
        <f>ROUND(VLOOKUP(INT(A155/1000),Sheet3!$A$2:$B$7,2,FALSE)*Sheet3!G$3,0)</f>
        <v>3</v>
      </c>
    </row>
    <row r="156" spans="1:13" x14ac:dyDescent="0.15">
      <c r="A156">
        <f t="shared" si="170"/>
        <v>16109</v>
      </c>
      <c r="B156" t="str">
        <f t="shared" ref="B156:C156" si="178">B132</f>
        <v>伙伴85级时开启</v>
      </c>
      <c r="C156" t="str">
        <f t="shared" si="178"/>
        <v>进阶+9</v>
      </c>
      <c r="D156">
        <f t="shared" si="165"/>
        <v>1209</v>
      </c>
      <c r="E156">
        <f t="shared" si="165"/>
        <v>1200000</v>
      </c>
      <c r="F156" t="str">
        <f t="shared" si="165"/>
        <v>14107|15000</v>
      </c>
      <c r="H156">
        <f t="shared" si="166"/>
        <v>6</v>
      </c>
      <c r="I156">
        <f>ROUND(VLOOKUP(INT(A156/1000),Sheet3!$A$2:$B$7,2,FALSE)*Sheet3!D$3,0)</f>
        <v>150</v>
      </c>
      <c r="K156">
        <f>ROUND(VLOOKUP(INT(A156/1000),Sheet3!$A$2:$B$7,2,FALSE)*Sheet3!E$3,0)</f>
        <v>5</v>
      </c>
      <c r="L156">
        <f>ROUND(VLOOKUP(INT(A156/1000),Sheet3!$A$2:$B$7,2,FALSE)*Sheet3!F$3,0)</f>
        <v>3</v>
      </c>
      <c r="M156">
        <f>ROUND(VLOOKUP(INT(A156/1000),Sheet3!$A$2:$B$7,2,FALSE)*Sheet3!G$3,0)</f>
        <v>3</v>
      </c>
    </row>
    <row r="157" spans="1:13" x14ac:dyDescent="0.15">
      <c r="A157">
        <f t="shared" si="170"/>
        <v>16110</v>
      </c>
      <c r="B157" t="str">
        <f t="shared" ref="B157:C157" si="179">B133</f>
        <v>伙伴95级时开启</v>
      </c>
      <c r="C157" t="str">
        <f t="shared" si="179"/>
        <v>进阶+10</v>
      </c>
      <c r="D157">
        <f t="shared" si="165"/>
        <v>1210</v>
      </c>
      <c r="E157">
        <f t="shared" si="165"/>
        <v>1600000</v>
      </c>
      <c r="F157" t="str">
        <f t="shared" si="165"/>
        <v>14107|20000</v>
      </c>
      <c r="H157">
        <f t="shared" si="166"/>
        <v>8</v>
      </c>
      <c r="I157">
        <f>ROUND(VLOOKUP(INT(A157/1000),Sheet3!$A$2:$B$7,2,FALSE)*Sheet3!D$3,0)</f>
        <v>150</v>
      </c>
      <c r="K157">
        <f>ROUND(VLOOKUP(INT(A157/1000),Sheet3!$A$2:$B$7,2,FALSE)*Sheet3!E$3,0)</f>
        <v>5</v>
      </c>
      <c r="L157">
        <f>ROUND(VLOOKUP(INT(A157/1000),Sheet3!$A$2:$B$7,2,FALSE)*Sheet3!F$3,0)</f>
        <v>3</v>
      </c>
      <c r="M157">
        <f>ROUND(VLOOKUP(INT(A157/1000),Sheet3!$A$2:$B$7,2,FALSE)*Sheet3!G$3,0)</f>
        <v>3</v>
      </c>
    </row>
    <row r="158" spans="1:13" x14ac:dyDescent="0.15">
      <c r="A158">
        <f t="shared" si="170"/>
        <v>16111</v>
      </c>
      <c r="B158" t="str">
        <f t="shared" ref="B158:C158" si="180">B134</f>
        <v>伙伴105级时开启</v>
      </c>
      <c r="C158" t="str">
        <f t="shared" si="180"/>
        <v>进阶+11</v>
      </c>
      <c r="D158">
        <f t="shared" si="165"/>
        <v>1211</v>
      </c>
      <c r="E158">
        <f t="shared" si="165"/>
        <v>2000000</v>
      </c>
      <c r="F158" t="str">
        <f t="shared" si="165"/>
        <v>14107|24000</v>
      </c>
      <c r="H158">
        <f t="shared" si="166"/>
        <v>10</v>
      </c>
      <c r="I158">
        <f>ROUND(VLOOKUP(INT(A158/1000),Sheet3!$A$2:$B$7,2,FALSE)*Sheet3!D$3,0)</f>
        <v>150</v>
      </c>
      <c r="K158">
        <f>ROUND(VLOOKUP(INT(A158/1000),Sheet3!$A$2:$B$7,2,FALSE)*Sheet3!E$3,0)</f>
        <v>5</v>
      </c>
      <c r="L158">
        <f>ROUND(VLOOKUP(INT(A158/1000),Sheet3!$A$2:$B$7,2,FALSE)*Sheet3!F$3,0)</f>
        <v>3</v>
      </c>
      <c r="M158">
        <f>ROUND(VLOOKUP(INT(A158/1000),Sheet3!$A$2:$B$7,2,FALSE)*Sheet3!G$3,0)</f>
        <v>3</v>
      </c>
    </row>
    <row r="159" spans="1:13" x14ac:dyDescent="0.15">
      <c r="A159">
        <f t="shared" si="170"/>
        <v>16112</v>
      </c>
      <c r="B159" t="str">
        <f t="shared" ref="B159:C159" si="181">B135</f>
        <v>伙伴115级时开启</v>
      </c>
      <c r="C159" t="str">
        <f t="shared" si="181"/>
        <v>进阶+12</v>
      </c>
      <c r="D159">
        <f t="shared" si="165"/>
        <v>1212</v>
      </c>
      <c r="E159">
        <f t="shared" si="165"/>
        <v>2400000</v>
      </c>
      <c r="F159" t="str">
        <f t="shared" si="165"/>
        <v>14107|28000</v>
      </c>
      <c r="H159">
        <f t="shared" si="166"/>
        <v>12</v>
      </c>
      <c r="I159">
        <f>ROUND(VLOOKUP(INT(A159/1000),Sheet3!$A$2:$B$7,2,FALSE)*Sheet3!D$3,0)</f>
        <v>150</v>
      </c>
      <c r="K159">
        <f>ROUND(VLOOKUP(INT(A159/1000),Sheet3!$A$2:$B$7,2,FALSE)*Sheet3!E$3,0)</f>
        <v>5</v>
      </c>
      <c r="L159">
        <f>ROUND(VLOOKUP(INT(A159/1000),Sheet3!$A$2:$B$7,2,FALSE)*Sheet3!F$3,0)</f>
        <v>3</v>
      </c>
      <c r="M159">
        <f>ROUND(VLOOKUP(INT(A159/1000),Sheet3!$A$2:$B$7,2,FALSE)*Sheet3!G$3,0)</f>
        <v>3</v>
      </c>
    </row>
    <row r="160" spans="1:13" x14ac:dyDescent="0.15">
      <c r="A160">
        <f t="shared" si="170"/>
        <v>16201</v>
      </c>
      <c r="B160" t="str">
        <f t="shared" ref="B160:C160" si="182">B136</f>
        <v>伙伴5级时开启</v>
      </c>
      <c r="C160" t="str">
        <f t="shared" si="182"/>
        <v>进阶+1</v>
      </c>
      <c r="D160">
        <f t="shared" si="165"/>
        <v>1201</v>
      </c>
      <c r="E160">
        <f t="shared" si="165"/>
        <v>10000</v>
      </c>
      <c r="F160" t="str">
        <f t="shared" si="165"/>
        <v>14107|120</v>
      </c>
      <c r="H160">
        <f t="shared" si="166"/>
        <v>0</v>
      </c>
      <c r="I160">
        <f>ROUND(VLOOKUP(INT(A160/1000),Sheet3!$A$2:$B$7,2,FALSE)*Sheet3!D$3,0)</f>
        <v>150</v>
      </c>
      <c r="K160">
        <f>ROUND(VLOOKUP(INT(A160/1000),Sheet3!$A$2:$B$7,2,FALSE)*Sheet3!E$3,0)</f>
        <v>5</v>
      </c>
      <c r="L160">
        <f>ROUND(VLOOKUP(INT(A160/1000),Sheet3!$A$2:$B$7,2,FALSE)*Sheet3!F$3,0)</f>
        <v>3</v>
      </c>
      <c r="M160">
        <f>ROUND(VLOOKUP(INT(A160/1000),Sheet3!$A$2:$B$7,2,FALSE)*Sheet3!G$3,0)</f>
        <v>3</v>
      </c>
    </row>
    <row r="161" spans="1:13" x14ac:dyDescent="0.15">
      <c r="A161">
        <f t="shared" si="170"/>
        <v>16202</v>
      </c>
      <c r="B161" t="str">
        <f t="shared" ref="B161:C161" si="183">B137</f>
        <v>伙伴15级时开启</v>
      </c>
      <c r="C161" t="str">
        <f t="shared" si="183"/>
        <v>进阶+2</v>
      </c>
      <c r="D161">
        <f t="shared" si="165"/>
        <v>1202</v>
      </c>
      <c r="E161">
        <f t="shared" si="165"/>
        <v>30000</v>
      </c>
      <c r="F161" t="str">
        <f t="shared" si="165"/>
        <v>14107|360</v>
      </c>
      <c r="H161">
        <f t="shared" si="166"/>
        <v>0</v>
      </c>
      <c r="I161">
        <f>ROUND(VLOOKUP(INT(A161/1000),Sheet3!$A$2:$B$7,2,FALSE)*Sheet3!D$3,0)</f>
        <v>150</v>
      </c>
      <c r="K161">
        <f>ROUND(VLOOKUP(INT(A161/1000),Sheet3!$A$2:$B$7,2,FALSE)*Sheet3!E$3,0)</f>
        <v>5</v>
      </c>
      <c r="L161">
        <f>ROUND(VLOOKUP(INT(A161/1000),Sheet3!$A$2:$B$7,2,FALSE)*Sheet3!F$3,0)</f>
        <v>3</v>
      </c>
      <c r="M161">
        <f>ROUND(VLOOKUP(INT(A161/1000),Sheet3!$A$2:$B$7,2,FALSE)*Sheet3!G$3,0)</f>
        <v>3</v>
      </c>
    </row>
    <row r="162" spans="1:13" x14ac:dyDescent="0.15">
      <c r="A162">
        <f t="shared" si="170"/>
        <v>16203</v>
      </c>
      <c r="B162" t="str">
        <f t="shared" ref="B162:C162" si="184">B138</f>
        <v>伙伴25级时开启</v>
      </c>
      <c r="C162" t="str">
        <f t="shared" si="184"/>
        <v>进阶+3</v>
      </c>
      <c r="D162">
        <f t="shared" si="165"/>
        <v>1203</v>
      </c>
      <c r="E162">
        <f t="shared" si="165"/>
        <v>50000</v>
      </c>
      <c r="F162" t="str">
        <f t="shared" si="165"/>
        <v>14107|600</v>
      </c>
      <c r="H162">
        <f t="shared" si="166"/>
        <v>0</v>
      </c>
      <c r="I162">
        <f>ROUND(VLOOKUP(INT(A162/1000),Sheet3!$A$2:$B$7,2,FALSE)*Sheet3!D$3,0)</f>
        <v>150</v>
      </c>
      <c r="K162">
        <f>ROUND(VLOOKUP(INT(A162/1000),Sheet3!$A$2:$B$7,2,FALSE)*Sheet3!E$3,0)</f>
        <v>5</v>
      </c>
      <c r="L162">
        <f>ROUND(VLOOKUP(INT(A162/1000),Sheet3!$A$2:$B$7,2,FALSE)*Sheet3!F$3,0)</f>
        <v>3</v>
      </c>
      <c r="M162">
        <f>ROUND(VLOOKUP(INT(A162/1000),Sheet3!$A$2:$B$7,2,FALSE)*Sheet3!G$3,0)</f>
        <v>3</v>
      </c>
    </row>
    <row r="163" spans="1:13" x14ac:dyDescent="0.15">
      <c r="A163">
        <f t="shared" si="170"/>
        <v>16204</v>
      </c>
      <c r="B163" t="str">
        <f t="shared" ref="B163:C163" si="185">B139</f>
        <v>伙伴35级时开启</v>
      </c>
      <c r="C163" t="str">
        <f t="shared" si="185"/>
        <v>进阶+4</v>
      </c>
      <c r="D163">
        <f t="shared" si="165"/>
        <v>1204</v>
      </c>
      <c r="E163">
        <f t="shared" si="165"/>
        <v>100000</v>
      </c>
      <c r="F163" t="str">
        <f t="shared" si="165"/>
        <v>14107|1200</v>
      </c>
      <c r="H163">
        <f t="shared" si="166"/>
        <v>1</v>
      </c>
      <c r="I163">
        <f>ROUND(VLOOKUP(INT(A163/1000),Sheet3!$A$2:$B$7,2,FALSE)*Sheet3!D$3,0)</f>
        <v>150</v>
      </c>
      <c r="K163">
        <f>ROUND(VLOOKUP(INT(A163/1000),Sheet3!$A$2:$B$7,2,FALSE)*Sheet3!E$3,0)</f>
        <v>5</v>
      </c>
      <c r="L163">
        <f>ROUND(VLOOKUP(INT(A163/1000),Sheet3!$A$2:$B$7,2,FALSE)*Sheet3!F$3,0)</f>
        <v>3</v>
      </c>
      <c r="M163">
        <f>ROUND(VLOOKUP(INT(A163/1000),Sheet3!$A$2:$B$7,2,FALSE)*Sheet3!G$3,0)</f>
        <v>3</v>
      </c>
    </row>
    <row r="164" spans="1:13" x14ac:dyDescent="0.15">
      <c r="A164">
        <f t="shared" si="170"/>
        <v>16205</v>
      </c>
      <c r="B164" t="str">
        <f t="shared" ref="B164:C164" si="186">B140</f>
        <v>伙伴45级时开启</v>
      </c>
      <c r="C164" t="str">
        <f t="shared" si="186"/>
        <v>进阶+5</v>
      </c>
      <c r="D164">
        <f t="shared" si="165"/>
        <v>1205</v>
      </c>
      <c r="E164">
        <f t="shared" si="165"/>
        <v>200000</v>
      </c>
      <c r="F164" t="str">
        <f t="shared" si="165"/>
        <v>14107|2400</v>
      </c>
      <c r="H164">
        <f t="shared" si="166"/>
        <v>1</v>
      </c>
      <c r="I164">
        <f>ROUND(VLOOKUP(INT(A164/1000),Sheet3!$A$2:$B$7,2,FALSE)*Sheet3!D$3,0)</f>
        <v>150</v>
      </c>
      <c r="K164">
        <f>ROUND(VLOOKUP(INT(A164/1000),Sheet3!$A$2:$B$7,2,FALSE)*Sheet3!E$3,0)</f>
        <v>5</v>
      </c>
      <c r="L164">
        <f>ROUND(VLOOKUP(INT(A164/1000),Sheet3!$A$2:$B$7,2,FALSE)*Sheet3!F$3,0)</f>
        <v>3</v>
      </c>
      <c r="M164">
        <f>ROUND(VLOOKUP(INT(A164/1000),Sheet3!$A$2:$B$7,2,FALSE)*Sheet3!G$3,0)</f>
        <v>3</v>
      </c>
    </row>
    <row r="165" spans="1:13" x14ac:dyDescent="0.15">
      <c r="A165">
        <f t="shared" si="170"/>
        <v>16206</v>
      </c>
      <c r="B165" t="str">
        <f t="shared" ref="B165:C165" si="187">B141</f>
        <v>伙伴55级时开启</v>
      </c>
      <c r="C165" t="str">
        <f t="shared" si="187"/>
        <v>进阶+6</v>
      </c>
      <c r="D165">
        <f t="shared" si="165"/>
        <v>1206</v>
      </c>
      <c r="E165">
        <f t="shared" si="165"/>
        <v>300000</v>
      </c>
      <c r="F165" t="str">
        <f t="shared" si="165"/>
        <v>14107|3600</v>
      </c>
      <c r="H165">
        <f t="shared" si="166"/>
        <v>2</v>
      </c>
      <c r="I165">
        <f>ROUND(VLOOKUP(INT(A165/1000),Sheet3!$A$2:$B$7,2,FALSE)*Sheet3!D$3,0)</f>
        <v>150</v>
      </c>
      <c r="K165">
        <f>ROUND(VLOOKUP(INT(A165/1000),Sheet3!$A$2:$B$7,2,FALSE)*Sheet3!E$3,0)</f>
        <v>5</v>
      </c>
      <c r="L165">
        <f>ROUND(VLOOKUP(INT(A165/1000),Sheet3!$A$2:$B$7,2,FALSE)*Sheet3!F$3,0)</f>
        <v>3</v>
      </c>
      <c r="M165">
        <f>ROUND(VLOOKUP(INT(A165/1000),Sheet3!$A$2:$B$7,2,FALSE)*Sheet3!G$3,0)</f>
        <v>3</v>
      </c>
    </row>
    <row r="166" spans="1:13" x14ac:dyDescent="0.15">
      <c r="A166">
        <f t="shared" si="170"/>
        <v>16207</v>
      </c>
      <c r="B166" t="str">
        <f t="shared" ref="B166:C166" si="188">B142</f>
        <v>伙伴65级时开启</v>
      </c>
      <c r="C166" t="str">
        <f t="shared" si="188"/>
        <v>进阶+7</v>
      </c>
      <c r="D166">
        <f t="shared" si="165"/>
        <v>1207</v>
      </c>
      <c r="E166">
        <f t="shared" si="165"/>
        <v>500000</v>
      </c>
      <c r="F166" t="str">
        <f t="shared" si="165"/>
        <v>14107|6000</v>
      </c>
      <c r="H166">
        <f t="shared" si="166"/>
        <v>2</v>
      </c>
      <c r="I166">
        <f>ROUND(VLOOKUP(INT(A166/1000),Sheet3!$A$2:$B$7,2,FALSE)*Sheet3!D$3,0)</f>
        <v>150</v>
      </c>
      <c r="K166">
        <f>ROUND(VLOOKUP(INT(A166/1000),Sheet3!$A$2:$B$7,2,FALSE)*Sheet3!E$3,0)</f>
        <v>5</v>
      </c>
      <c r="L166">
        <f>ROUND(VLOOKUP(INT(A166/1000),Sheet3!$A$2:$B$7,2,FALSE)*Sheet3!F$3,0)</f>
        <v>3</v>
      </c>
      <c r="M166">
        <f>ROUND(VLOOKUP(INT(A166/1000),Sheet3!$A$2:$B$7,2,FALSE)*Sheet3!G$3,0)</f>
        <v>3</v>
      </c>
    </row>
    <row r="167" spans="1:13" x14ac:dyDescent="0.15">
      <c r="A167">
        <f t="shared" si="170"/>
        <v>16208</v>
      </c>
      <c r="B167" t="str">
        <f t="shared" ref="B167:C167" si="189">B143</f>
        <v>伙伴75级时开启</v>
      </c>
      <c r="C167" t="str">
        <f t="shared" si="189"/>
        <v>进阶+8</v>
      </c>
      <c r="D167">
        <f t="shared" si="165"/>
        <v>1208</v>
      </c>
      <c r="E167">
        <f t="shared" si="165"/>
        <v>800000</v>
      </c>
      <c r="F167" t="str">
        <f t="shared" si="165"/>
        <v>14107|10000</v>
      </c>
      <c r="H167">
        <f t="shared" si="166"/>
        <v>4</v>
      </c>
      <c r="I167">
        <f>ROUND(VLOOKUP(INT(A167/1000),Sheet3!$A$2:$B$7,2,FALSE)*Sheet3!D$3,0)</f>
        <v>150</v>
      </c>
      <c r="K167">
        <f>ROUND(VLOOKUP(INT(A167/1000),Sheet3!$A$2:$B$7,2,FALSE)*Sheet3!E$3,0)</f>
        <v>5</v>
      </c>
      <c r="L167">
        <f>ROUND(VLOOKUP(INT(A167/1000),Sheet3!$A$2:$B$7,2,FALSE)*Sheet3!F$3,0)</f>
        <v>3</v>
      </c>
      <c r="M167">
        <f>ROUND(VLOOKUP(INT(A167/1000),Sheet3!$A$2:$B$7,2,FALSE)*Sheet3!G$3,0)</f>
        <v>3</v>
      </c>
    </row>
    <row r="168" spans="1:13" x14ac:dyDescent="0.15">
      <c r="A168">
        <f t="shared" si="170"/>
        <v>16209</v>
      </c>
      <c r="B168" t="str">
        <f t="shared" ref="B168:C168" si="190">B144</f>
        <v>伙伴85级时开启</v>
      </c>
      <c r="C168" t="str">
        <f t="shared" si="190"/>
        <v>进阶+9</v>
      </c>
      <c r="D168">
        <f t="shared" si="165"/>
        <v>1209</v>
      </c>
      <c r="E168">
        <f t="shared" si="165"/>
        <v>1200000</v>
      </c>
      <c r="F168" t="str">
        <f t="shared" si="165"/>
        <v>14107|15000</v>
      </c>
      <c r="H168">
        <f t="shared" si="166"/>
        <v>6</v>
      </c>
      <c r="I168">
        <f>ROUND(VLOOKUP(INT(A168/1000),Sheet3!$A$2:$B$7,2,FALSE)*Sheet3!D$3,0)</f>
        <v>150</v>
      </c>
      <c r="K168">
        <f>ROUND(VLOOKUP(INT(A168/1000),Sheet3!$A$2:$B$7,2,FALSE)*Sheet3!E$3,0)</f>
        <v>5</v>
      </c>
      <c r="L168">
        <f>ROUND(VLOOKUP(INT(A168/1000),Sheet3!$A$2:$B$7,2,FALSE)*Sheet3!F$3,0)</f>
        <v>3</v>
      </c>
      <c r="M168">
        <f>ROUND(VLOOKUP(INT(A168/1000),Sheet3!$A$2:$B$7,2,FALSE)*Sheet3!G$3,0)</f>
        <v>3</v>
      </c>
    </row>
    <row r="169" spans="1:13" x14ac:dyDescent="0.15">
      <c r="A169">
        <f t="shared" si="170"/>
        <v>16210</v>
      </c>
      <c r="B169" t="str">
        <f t="shared" ref="B169:C169" si="191">B145</f>
        <v>伙伴95级时开启</v>
      </c>
      <c r="C169" t="str">
        <f t="shared" si="191"/>
        <v>进阶+10</v>
      </c>
      <c r="D169">
        <f t="shared" si="165"/>
        <v>1210</v>
      </c>
      <c r="E169">
        <f t="shared" si="165"/>
        <v>1600000</v>
      </c>
      <c r="F169" t="str">
        <f t="shared" si="165"/>
        <v>14107|20000</v>
      </c>
      <c r="H169">
        <f t="shared" si="166"/>
        <v>8</v>
      </c>
      <c r="I169">
        <f>ROUND(VLOOKUP(INT(A169/1000),Sheet3!$A$2:$B$7,2,FALSE)*Sheet3!D$3,0)</f>
        <v>150</v>
      </c>
      <c r="K169">
        <f>ROUND(VLOOKUP(INT(A169/1000),Sheet3!$A$2:$B$7,2,FALSE)*Sheet3!E$3,0)</f>
        <v>5</v>
      </c>
      <c r="L169">
        <f>ROUND(VLOOKUP(INT(A169/1000),Sheet3!$A$2:$B$7,2,FALSE)*Sheet3!F$3,0)</f>
        <v>3</v>
      </c>
      <c r="M169">
        <f>ROUND(VLOOKUP(INT(A169/1000),Sheet3!$A$2:$B$7,2,FALSE)*Sheet3!G$3,0)</f>
        <v>3</v>
      </c>
    </row>
    <row r="170" spans="1:13" x14ac:dyDescent="0.15">
      <c r="A170">
        <f t="shared" si="170"/>
        <v>16211</v>
      </c>
      <c r="B170" t="str">
        <f t="shared" ref="B170:C170" si="192">B146</f>
        <v>伙伴105级时开启</v>
      </c>
      <c r="C170" t="str">
        <f t="shared" si="192"/>
        <v>进阶+11</v>
      </c>
      <c r="D170">
        <f t="shared" si="165"/>
        <v>1211</v>
      </c>
      <c r="E170">
        <f t="shared" si="165"/>
        <v>2000000</v>
      </c>
      <c r="F170" t="str">
        <f t="shared" si="165"/>
        <v>14107|24000</v>
      </c>
      <c r="H170">
        <f t="shared" si="166"/>
        <v>10</v>
      </c>
      <c r="I170">
        <f>ROUND(VLOOKUP(INT(A170/1000),Sheet3!$A$2:$B$7,2,FALSE)*Sheet3!D$3,0)</f>
        <v>150</v>
      </c>
      <c r="K170">
        <f>ROUND(VLOOKUP(INT(A170/1000),Sheet3!$A$2:$B$7,2,FALSE)*Sheet3!E$3,0)</f>
        <v>5</v>
      </c>
      <c r="L170">
        <f>ROUND(VLOOKUP(INT(A170/1000),Sheet3!$A$2:$B$7,2,FALSE)*Sheet3!F$3,0)</f>
        <v>3</v>
      </c>
      <c r="M170">
        <f>ROUND(VLOOKUP(INT(A170/1000),Sheet3!$A$2:$B$7,2,FALSE)*Sheet3!G$3,0)</f>
        <v>3</v>
      </c>
    </row>
    <row r="171" spans="1:13" x14ac:dyDescent="0.15">
      <c r="A171">
        <f t="shared" si="170"/>
        <v>16212</v>
      </c>
      <c r="B171" t="str">
        <f t="shared" ref="B171:C171" si="193">B147</f>
        <v>伙伴115级时开启</v>
      </c>
      <c r="C171" t="str">
        <f t="shared" si="193"/>
        <v>进阶+12</v>
      </c>
      <c r="D171">
        <f t="shared" si="165"/>
        <v>1212</v>
      </c>
      <c r="E171">
        <f t="shared" si="165"/>
        <v>2400000</v>
      </c>
      <c r="F171" t="str">
        <f t="shared" si="165"/>
        <v>14107|28000</v>
      </c>
      <c r="H171">
        <f t="shared" si="166"/>
        <v>12</v>
      </c>
      <c r="I171">
        <f>ROUND(VLOOKUP(INT(A171/1000),Sheet3!$A$2:$B$7,2,FALSE)*Sheet3!D$3,0)</f>
        <v>150</v>
      </c>
      <c r="K171">
        <f>ROUND(VLOOKUP(INT(A171/1000),Sheet3!$A$2:$B$7,2,FALSE)*Sheet3!E$3,0)</f>
        <v>5</v>
      </c>
      <c r="L171">
        <f>ROUND(VLOOKUP(INT(A171/1000),Sheet3!$A$2:$B$7,2,FALSE)*Sheet3!F$3,0)</f>
        <v>3</v>
      </c>
      <c r="M171">
        <f>ROUND(VLOOKUP(INT(A171/1000),Sheet3!$A$2:$B$7,2,FALSE)*Sheet3!G$3,0)</f>
        <v>3</v>
      </c>
    </row>
    <row r="172" spans="1:13" x14ac:dyDescent="0.15">
      <c r="A172">
        <f t="shared" si="170"/>
        <v>16301</v>
      </c>
      <c r="B172" t="str">
        <f t="shared" ref="B172:C172" si="194">B148</f>
        <v>伙伴5级时开启</v>
      </c>
      <c r="C172" t="str">
        <f t="shared" si="194"/>
        <v>进阶+1</v>
      </c>
      <c r="D172">
        <f t="shared" si="165"/>
        <v>1201</v>
      </c>
      <c r="E172">
        <f t="shared" si="165"/>
        <v>10000</v>
      </c>
      <c r="F172" t="str">
        <f t="shared" si="165"/>
        <v>14107|120</v>
      </c>
      <c r="H172">
        <f t="shared" si="166"/>
        <v>0</v>
      </c>
      <c r="I172">
        <f>ROUND(VLOOKUP(INT(A172/1000),Sheet3!$A$2:$B$7,2,FALSE)*Sheet3!D$3,0)</f>
        <v>150</v>
      </c>
      <c r="K172">
        <f>ROUND(VLOOKUP(INT(A172/1000),Sheet3!$A$2:$B$7,2,FALSE)*Sheet3!E$3,0)</f>
        <v>5</v>
      </c>
      <c r="L172">
        <f>ROUND(VLOOKUP(INT(A172/1000),Sheet3!$A$2:$B$7,2,FALSE)*Sheet3!F$3,0)</f>
        <v>3</v>
      </c>
      <c r="M172">
        <f>ROUND(VLOOKUP(INT(A172/1000),Sheet3!$A$2:$B$7,2,FALSE)*Sheet3!G$3,0)</f>
        <v>3</v>
      </c>
    </row>
    <row r="173" spans="1:13" x14ac:dyDescent="0.15">
      <c r="A173">
        <f t="shared" si="170"/>
        <v>16302</v>
      </c>
      <c r="B173" t="str">
        <f t="shared" ref="B173:C173" si="195">B149</f>
        <v>伙伴15级时开启</v>
      </c>
      <c r="C173" t="str">
        <f t="shared" si="195"/>
        <v>进阶+2</v>
      </c>
      <c r="D173">
        <f t="shared" si="165"/>
        <v>1202</v>
      </c>
      <c r="E173">
        <f t="shared" si="165"/>
        <v>30000</v>
      </c>
      <c r="F173" t="str">
        <f t="shared" si="165"/>
        <v>14107|360</v>
      </c>
      <c r="H173">
        <f t="shared" si="166"/>
        <v>0</v>
      </c>
      <c r="I173">
        <f>ROUND(VLOOKUP(INT(A173/1000),Sheet3!$A$2:$B$7,2,FALSE)*Sheet3!D$3,0)</f>
        <v>150</v>
      </c>
      <c r="K173">
        <f>ROUND(VLOOKUP(INT(A173/1000),Sheet3!$A$2:$B$7,2,FALSE)*Sheet3!E$3,0)</f>
        <v>5</v>
      </c>
      <c r="L173">
        <f>ROUND(VLOOKUP(INT(A173/1000),Sheet3!$A$2:$B$7,2,FALSE)*Sheet3!F$3,0)</f>
        <v>3</v>
      </c>
      <c r="M173">
        <f>ROUND(VLOOKUP(INT(A173/1000),Sheet3!$A$2:$B$7,2,FALSE)*Sheet3!G$3,0)</f>
        <v>3</v>
      </c>
    </row>
    <row r="174" spans="1:13" x14ac:dyDescent="0.15">
      <c r="A174">
        <f t="shared" si="170"/>
        <v>16303</v>
      </c>
      <c r="B174" t="str">
        <f t="shared" ref="B174:C174" si="196">B150</f>
        <v>伙伴25级时开启</v>
      </c>
      <c r="C174" t="str">
        <f t="shared" si="196"/>
        <v>进阶+3</v>
      </c>
      <c r="D174">
        <f t="shared" si="165"/>
        <v>1203</v>
      </c>
      <c r="E174">
        <f t="shared" si="165"/>
        <v>50000</v>
      </c>
      <c r="F174" t="str">
        <f t="shared" si="165"/>
        <v>14107|600</v>
      </c>
      <c r="H174">
        <f t="shared" si="166"/>
        <v>0</v>
      </c>
      <c r="I174">
        <f>ROUND(VLOOKUP(INT(A174/1000),Sheet3!$A$2:$B$7,2,FALSE)*Sheet3!D$3,0)</f>
        <v>150</v>
      </c>
      <c r="K174">
        <f>ROUND(VLOOKUP(INT(A174/1000),Sheet3!$A$2:$B$7,2,FALSE)*Sheet3!E$3,0)</f>
        <v>5</v>
      </c>
      <c r="L174">
        <f>ROUND(VLOOKUP(INT(A174/1000),Sheet3!$A$2:$B$7,2,FALSE)*Sheet3!F$3,0)</f>
        <v>3</v>
      </c>
      <c r="M174">
        <f>ROUND(VLOOKUP(INT(A174/1000),Sheet3!$A$2:$B$7,2,FALSE)*Sheet3!G$3,0)</f>
        <v>3</v>
      </c>
    </row>
    <row r="175" spans="1:13" x14ac:dyDescent="0.15">
      <c r="A175">
        <f t="shared" si="170"/>
        <v>16304</v>
      </c>
      <c r="B175" t="str">
        <f t="shared" ref="B175:C175" si="197">B151</f>
        <v>伙伴35级时开启</v>
      </c>
      <c r="C175" t="str">
        <f t="shared" si="197"/>
        <v>进阶+4</v>
      </c>
      <c r="D175">
        <f t="shared" si="165"/>
        <v>1204</v>
      </c>
      <c r="E175">
        <f t="shared" si="165"/>
        <v>100000</v>
      </c>
      <c r="F175" t="str">
        <f t="shared" si="165"/>
        <v>14107|1200</v>
      </c>
      <c r="H175">
        <f t="shared" si="166"/>
        <v>1</v>
      </c>
      <c r="I175">
        <f>ROUND(VLOOKUP(INT(A175/1000),Sheet3!$A$2:$B$7,2,FALSE)*Sheet3!D$3,0)</f>
        <v>150</v>
      </c>
      <c r="K175">
        <f>ROUND(VLOOKUP(INT(A175/1000),Sheet3!$A$2:$B$7,2,FALSE)*Sheet3!E$3,0)</f>
        <v>5</v>
      </c>
      <c r="L175">
        <f>ROUND(VLOOKUP(INT(A175/1000),Sheet3!$A$2:$B$7,2,FALSE)*Sheet3!F$3,0)</f>
        <v>3</v>
      </c>
      <c r="M175">
        <f>ROUND(VLOOKUP(INT(A175/1000),Sheet3!$A$2:$B$7,2,FALSE)*Sheet3!G$3,0)</f>
        <v>3</v>
      </c>
    </row>
    <row r="176" spans="1:13" x14ac:dyDescent="0.15">
      <c r="A176">
        <f t="shared" si="170"/>
        <v>16305</v>
      </c>
      <c r="B176" t="str">
        <f t="shared" ref="B176:C176" si="198">B152</f>
        <v>伙伴45级时开启</v>
      </c>
      <c r="C176" t="str">
        <f t="shared" si="198"/>
        <v>进阶+5</v>
      </c>
      <c r="D176">
        <f t="shared" si="165"/>
        <v>1205</v>
      </c>
      <c r="E176">
        <f t="shared" si="165"/>
        <v>200000</v>
      </c>
      <c r="F176" t="str">
        <f t="shared" si="165"/>
        <v>14107|2400</v>
      </c>
      <c r="H176">
        <f t="shared" si="166"/>
        <v>1</v>
      </c>
      <c r="I176">
        <f>ROUND(VLOOKUP(INT(A176/1000),Sheet3!$A$2:$B$7,2,FALSE)*Sheet3!D$3,0)</f>
        <v>150</v>
      </c>
      <c r="K176">
        <f>ROUND(VLOOKUP(INT(A176/1000),Sheet3!$A$2:$B$7,2,FALSE)*Sheet3!E$3,0)</f>
        <v>5</v>
      </c>
      <c r="L176">
        <f>ROUND(VLOOKUP(INT(A176/1000),Sheet3!$A$2:$B$7,2,FALSE)*Sheet3!F$3,0)</f>
        <v>3</v>
      </c>
      <c r="M176">
        <f>ROUND(VLOOKUP(INT(A176/1000),Sheet3!$A$2:$B$7,2,FALSE)*Sheet3!G$3,0)</f>
        <v>3</v>
      </c>
    </row>
    <row r="177" spans="1:13" x14ac:dyDescent="0.15">
      <c r="A177">
        <f t="shared" si="170"/>
        <v>16306</v>
      </c>
      <c r="B177" t="str">
        <f t="shared" ref="B177:C177" si="199">B153</f>
        <v>伙伴55级时开启</v>
      </c>
      <c r="C177" t="str">
        <f t="shared" si="199"/>
        <v>进阶+6</v>
      </c>
      <c r="D177">
        <f t="shared" si="165"/>
        <v>1206</v>
      </c>
      <c r="E177">
        <f t="shared" si="165"/>
        <v>300000</v>
      </c>
      <c r="F177" t="str">
        <f t="shared" si="165"/>
        <v>14107|3600</v>
      </c>
      <c r="H177">
        <f t="shared" si="166"/>
        <v>2</v>
      </c>
      <c r="I177">
        <f>ROUND(VLOOKUP(INT(A177/1000),Sheet3!$A$2:$B$7,2,FALSE)*Sheet3!D$3,0)</f>
        <v>150</v>
      </c>
      <c r="K177">
        <f>ROUND(VLOOKUP(INT(A177/1000),Sheet3!$A$2:$B$7,2,FALSE)*Sheet3!E$3,0)</f>
        <v>5</v>
      </c>
      <c r="L177">
        <f>ROUND(VLOOKUP(INT(A177/1000),Sheet3!$A$2:$B$7,2,FALSE)*Sheet3!F$3,0)</f>
        <v>3</v>
      </c>
      <c r="M177">
        <f>ROUND(VLOOKUP(INT(A177/1000),Sheet3!$A$2:$B$7,2,FALSE)*Sheet3!G$3,0)</f>
        <v>3</v>
      </c>
    </row>
    <row r="178" spans="1:13" x14ac:dyDescent="0.15">
      <c r="A178">
        <f t="shared" si="170"/>
        <v>16307</v>
      </c>
      <c r="B178" t="str">
        <f t="shared" ref="B178:C178" si="200">B154</f>
        <v>伙伴65级时开启</v>
      </c>
      <c r="C178" t="str">
        <f t="shared" si="200"/>
        <v>进阶+7</v>
      </c>
      <c r="D178">
        <f t="shared" si="165"/>
        <v>1207</v>
      </c>
      <c r="E178">
        <f t="shared" si="165"/>
        <v>500000</v>
      </c>
      <c r="F178" t="str">
        <f t="shared" si="165"/>
        <v>14107|6000</v>
      </c>
      <c r="H178">
        <f t="shared" si="166"/>
        <v>2</v>
      </c>
      <c r="I178">
        <f>ROUND(VLOOKUP(INT(A178/1000),Sheet3!$A$2:$B$7,2,FALSE)*Sheet3!D$3,0)</f>
        <v>150</v>
      </c>
      <c r="K178">
        <f>ROUND(VLOOKUP(INT(A178/1000),Sheet3!$A$2:$B$7,2,FALSE)*Sheet3!E$3,0)</f>
        <v>5</v>
      </c>
      <c r="L178">
        <f>ROUND(VLOOKUP(INT(A178/1000),Sheet3!$A$2:$B$7,2,FALSE)*Sheet3!F$3,0)</f>
        <v>3</v>
      </c>
      <c r="M178">
        <f>ROUND(VLOOKUP(INT(A178/1000),Sheet3!$A$2:$B$7,2,FALSE)*Sheet3!G$3,0)</f>
        <v>3</v>
      </c>
    </row>
    <row r="179" spans="1:13" x14ac:dyDescent="0.15">
      <c r="A179">
        <f t="shared" si="170"/>
        <v>16308</v>
      </c>
      <c r="B179" t="str">
        <f t="shared" ref="B179:C179" si="201">B155</f>
        <v>伙伴75级时开启</v>
      </c>
      <c r="C179" t="str">
        <f t="shared" si="201"/>
        <v>进阶+8</v>
      </c>
      <c r="D179">
        <f t="shared" si="165"/>
        <v>1208</v>
      </c>
      <c r="E179">
        <f t="shared" si="165"/>
        <v>800000</v>
      </c>
      <c r="F179" t="str">
        <f t="shared" si="165"/>
        <v>14107|10000</v>
      </c>
      <c r="H179">
        <f t="shared" si="166"/>
        <v>4</v>
      </c>
      <c r="I179">
        <f>ROUND(VLOOKUP(INT(A179/1000),Sheet3!$A$2:$B$7,2,FALSE)*Sheet3!D$3,0)</f>
        <v>150</v>
      </c>
      <c r="K179">
        <f>ROUND(VLOOKUP(INT(A179/1000),Sheet3!$A$2:$B$7,2,FALSE)*Sheet3!E$3,0)</f>
        <v>5</v>
      </c>
      <c r="L179">
        <f>ROUND(VLOOKUP(INT(A179/1000),Sheet3!$A$2:$B$7,2,FALSE)*Sheet3!F$3,0)</f>
        <v>3</v>
      </c>
      <c r="M179">
        <f>ROUND(VLOOKUP(INT(A179/1000),Sheet3!$A$2:$B$7,2,FALSE)*Sheet3!G$3,0)</f>
        <v>3</v>
      </c>
    </row>
    <row r="180" spans="1:13" x14ac:dyDescent="0.15">
      <c r="A180">
        <f t="shared" si="170"/>
        <v>16309</v>
      </c>
      <c r="B180" t="str">
        <f t="shared" ref="B180:C180" si="202">B156</f>
        <v>伙伴85级时开启</v>
      </c>
      <c r="C180" t="str">
        <f t="shared" si="202"/>
        <v>进阶+9</v>
      </c>
      <c r="D180">
        <f t="shared" si="165"/>
        <v>1209</v>
      </c>
      <c r="E180">
        <f t="shared" si="165"/>
        <v>1200000</v>
      </c>
      <c r="F180" t="str">
        <f t="shared" si="165"/>
        <v>14107|15000</v>
      </c>
      <c r="H180">
        <f t="shared" si="166"/>
        <v>6</v>
      </c>
      <c r="I180">
        <f>ROUND(VLOOKUP(INT(A180/1000),Sheet3!$A$2:$B$7,2,FALSE)*Sheet3!D$3,0)</f>
        <v>150</v>
      </c>
      <c r="K180">
        <f>ROUND(VLOOKUP(INT(A180/1000),Sheet3!$A$2:$B$7,2,FALSE)*Sheet3!E$3,0)</f>
        <v>5</v>
      </c>
      <c r="L180">
        <f>ROUND(VLOOKUP(INT(A180/1000),Sheet3!$A$2:$B$7,2,FALSE)*Sheet3!F$3,0)</f>
        <v>3</v>
      </c>
      <c r="M180">
        <f>ROUND(VLOOKUP(INT(A180/1000),Sheet3!$A$2:$B$7,2,FALSE)*Sheet3!G$3,0)</f>
        <v>3</v>
      </c>
    </row>
    <row r="181" spans="1:13" x14ac:dyDescent="0.15">
      <c r="A181">
        <f t="shared" si="170"/>
        <v>16310</v>
      </c>
      <c r="B181" t="str">
        <f t="shared" ref="B181:C181" si="203">B157</f>
        <v>伙伴95级时开启</v>
      </c>
      <c r="C181" t="str">
        <f t="shared" si="203"/>
        <v>进阶+10</v>
      </c>
      <c r="D181">
        <f t="shared" si="165"/>
        <v>1210</v>
      </c>
      <c r="E181">
        <f t="shared" si="165"/>
        <v>1600000</v>
      </c>
      <c r="F181" t="str">
        <f t="shared" si="165"/>
        <v>14107|20000</v>
      </c>
      <c r="H181">
        <f t="shared" si="166"/>
        <v>8</v>
      </c>
      <c r="I181">
        <f>ROUND(VLOOKUP(INT(A181/1000),Sheet3!$A$2:$B$7,2,FALSE)*Sheet3!D$3,0)</f>
        <v>150</v>
      </c>
      <c r="K181">
        <f>ROUND(VLOOKUP(INT(A181/1000),Sheet3!$A$2:$B$7,2,FALSE)*Sheet3!E$3,0)</f>
        <v>5</v>
      </c>
      <c r="L181">
        <f>ROUND(VLOOKUP(INT(A181/1000),Sheet3!$A$2:$B$7,2,FALSE)*Sheet3!F$3,0)</f>
        <v>3</v>
      </c>
      <c r="M181">
        <f>ROUND(VLOOKUP(INT(A181/1000),Sheet3!$A$2:$B$7,2,FALSE)*Sheet3!G$3,0)</f>
        <v>3</v>
      </c>
    </row>
    <row r="182" spans="1:13" x14ac:dyDescent="0.15">
      <c r="A182">
        <f t="shared" si="170"/>
        <v>16311</v>
      </c>
      <c r="B182" t="str">
        <f t="shared" ref="B182:C182" si="204">B158</f>
        <v>伙伴105级时开启</v>
      </c>
      <c r="C182" t="str">
        <f t="shared" si="204"/>
        <v>进阶+11</v>
      </c>
      <c r="D182">
        <f t="shared" si="165"/>
        <v>1211</v>
      </c>
      <c r="E182">
        <f t="shared" si="165"/>
        <v>2000000</v>
      </c>
      <c r="F182" t="str">
        <f t="shared" si="165"/>
        <v>14107|24000</v>
      </c>
      <c r="H182">
        <f t="shared" si="166"/>
        <v>10</v>
      </c>
      <c r="I182">
        <f>ROUND(VLOOKUP(INT(A182/1000),Sheet3!$A$2:$B$7,2,FALSE)*Sheet3!D$3,0)</f>
        <v>150</v>
      </c>
      <c r="K182">
        <f>ROUND(VLOOKUP(INT(A182/1000),Sheet3!$A$2:$B$7,2,FALSE)*Sheet3!E$3,0)</f>
        <v>5</v>
      </c>
      <c r="L182">
        <f>ROUND(VLOOKUP(INT(A182/1000),Sheet3!$A$2:$B$7,2,FALSE)*Sheet3!F$3,0)</f>
        <v>3</v>
      </c>
      <c r="M182">
        <f>ROUND(VLOOKUP(INT(A182/1000),Sheet3!$A$2:$B$7,2,FALSE)*Sheet3!G$3,0)</f>
        <v>3</v>
      </c>
    </row>
    <row r="183" spans="1:13" x14ac:dyDescent="0.15">
      <c r="A183">
        <f t="shared" si="170"/>
        <v>16312</v>
      </c>
      <c r="B183" t="str">
        <f t="shared" ref="B183:C183" si="205">B159</f>
        <v>伙伴115级时开启</v>
      </c>
      <c r="C183" t="str">
        <f t="shared" si="205"/>
        <v>进阶+12</v>
      </c>
      <c r="D183">
        <f t="shared" si="165"/>
        <v>1212</v>
      </c>
      <c r="E183">
        <f t="shared" si="165"/>
        <v>2400000</v>
      </c>
      <c r="F183" t="str">
        <f t="shared" si="165"/>
        <v>14107|28000</v>
      </c>
      <c r="H183">
        <f t="shared" si="166"/>
        <v>12</v>
      </c>
      <c r="I183">
        <f>ROUND(VLOOKUP(INT(A183/1000),Sheet3!$A$2:$B$7,2,FALSE)*Sheet3!D$3,0)</f>
        <v>150</v>
      </c>
      <c r="K183">
        <f>ROUND(VLOOKUP(INT(A183/1000),Sheet3!$A$2:$B$7,2,FALSE)*Sheet3!E$3,0)</f>
        <v>5</v>
      </c>
      <c r="L183">
        <f>ROUND(VLOOKUP(INT(A183/1000),Sheet3!$A$2:$B$7,2,FALSE)*Sheet3!F$3,0)</f>
        <v>3</v>
      </c>
      <c r="M183">
        <f>ROUND(VLOOKUP(INT(A183/1000),Sheet3!$A$2:$B$7,2,FALSE)*Sheet3!G$3,0)</f>
        <v>3</v>
      </c>
    </row>
    <row r="184" spans="1:13" x14ac:dyDescent="0.15">
      <c r="A184">
        <f t="shared" si="170"/>
        <v>16401</v>
      </c>
      <c r="B184" t="str">
        <f t="shared" ref="B184:C184" si="206">B160</f>
        <v>伙伴5级时开启</v>
      </c>
      <c r="C184" t="str">
        <f t="shared" si="206"/>
        <v>进阶+1</v>
      </c>
      <c r="D184">
        <f t="shared" si="165"/>
        <v>1201</v>
      </c>
      <c r="E184">
        <f t="shared" si="165"/>
        <v>10000</v>
      </c>
      <c r="F184" t="str">
        <f t="shared" si="165"/>
        <v>14107|120</v>
      </c>
      <c r="H184">
        <f t="shared" si="166"/>
        <v>0</v>
      </c>
      <c r="I184">
        <f>ROUND(VLOOKUP(INT(A184/1000),Sheet3!$A$2:$B$7,2,FALSE)*Sheet3!D$3,0)</f>
        <v>150</v>
      </c>
      <c r="K184">
        <f>ROUND(VLOOKUP(INT(A184/1000),Sheet3!$A$2:$B$7,2,FALSE)*Sheet3!E$3,0)</f>
        <v>5</v>
      </c>
      <c r="L184">
        <f>ROUND(VLOOKUP(INT(A184/1000),Sheet3!$A$2:$B$7,2,FALSE)*Sheet3!F$3,0)</f>
        <v>3</v>
      </c>
      <c r="M184">
        <f>ROUND(VLOOKUP(INT(A184/1000),Sheet3!$A$2:$B$7,2,FALSE)*Sheet3!G$3,0)</f>
        <v>3</v>
      </c>
    </row>
    <row r="185" spans="1:13" x14ac:dyDescent="0.15">
      <c r="A185">
        <f t="shared" si="170"/>
        <v>16402</v>
      </c>
      <c r="B185" t="str">
        <f t="shared" ref="B185:C185" si="207">B161</f>
        <v>伙伴15级时开启</v>
      </c>
      <c r="C185" t="str">
        <f t="shared" si="207"/>
        <v>进阶+2</v>
      </c>
      <c r="D185">
        <f t="shared" si="165"/>
        <v>1202</v>
      </c>
      <c r="E185">
        <f t="shared" si="165"/>
        <v>30000</v>
      </c>
      <c r="F185" t="str">
        <f t="shared" si="165"/>
        <v>14107|360</v>
      </c>
      <c r="H185">
        <f t="shared" si="166"/>
        <v>0</v>
      </c>
      <c r="I185">
        <f>ROUND(VLOOKUP(INT(A185/1000),Sheet3!$A$2:$B$7,2,FALSE)*Sheet3!D$3,0)</f>
        <v>150</v>
      </c>
      <c r="K185">
        <f>ROUND(VLOOKUP(INT(A185/1000),Sheet3!$A$2:$B$7,2,FALSE)*Sheet3!E$3,0)</f>
        <v>5</v>
      </c>
      <c r="L185">
        <f>ROUND(VLOOKUP(INT(A185/1000),Sheet3!$A$2:$B$7,2,FALSE)*Sheet3!F$3,0)</f>
        <v>3</v>
      </c>
      <c r="M185">
        <f>ROUND(VLOOKUP(INT(A185/1000),Sheet3!$A$2:$B$7,2,FALSE)*Sheet3!G$3,0)</f>
        <v>3</v>
      </c>
    </row>
    <row r="186" spans="1:13" x14ac:dyDescent="0.15">
      <c r="A186">
        <f t="shared" si="170"/>
        <v>16403</v>
      </c>
      <c r="B186" t="str">
        <f t="shared" ref="B186:C186" si="208">B162</f>
        <v>伙伴25级时开启</v>
      </c>
      <c r="C186" t="str">
        <f t="shared" si="208"/>
        <v>进阶+3</v>
      </c>
      <c r="D186">
        <f t="shared" si="165"/>
        <v>1203</v>
      </c>
      <c r="E186">
        <f t="shared" si="165"/>
        <v>50000</v>
      </c>
      <c r="F186" t="str">
        <f t="shared" si="165"/>
        <v>14107|600</v>
      </c>
      <c r="H186">
        <f t="shared" si="166"/>
        <v>0</v>
      </c>
      <c r="I186">
        <f>ROUND(VLOOKUP(INT(A186/1000),Sheet3!$A$2:$B$7,2,FALSE)*Sheet3!D$3,0)</f>
        <v>150</v>
      </c>
      <c r="K186">
        <f>ROUND(VLOOKUP(INT(A186/1000),Sheet3!$A$2:$B$7,2,FALSE)*Sheet3!E$3,0)</f>
        <v>5</v>
      </c>
      <c r="L186">
        <f>ROUND(VLOOKUP(INT(A186/1000),Sheet3!$A$2:$B$7,2,FALSE)*Sheet3!F$3,0)</f>
        <v>3</v>
      </c>
      <c r="M186">
        <f>ROUND(VLOOKUP(INT(A186/1000),Sheet3!$A$2:$B$7,2,FALSE)*Sheet3!G$3,0)</f>
        <v>3</v>
      </c>
    </row>
    <row r="187" spans="1:13" x14ac:dyDescent="0.15">
      <c r="A187">
        <f t="shared" si="170"/>
        <v>16404</v>
      </c>
      <c r="B187" t="str">
        <f t="shared" ref="B187:C187" si="209">B163</f>
        <v>伙伴35级时开启</v>
      </c>
      <c r="C187" t="str">
        <f t="shared" si="209"/>
        <v>进阶+4</v>
      </c>
      <c r="D187">
        <f t="shared" si="165"/>
        <v>1204</v>
      </c>
      <c r="E187">
        <f t="shared" si="165"/>
        <v>100000</v>
      </c>
      <c r="F187" t="str">
        <f t="shared" si="165"/>
        <v>14107|1200</v>
      </c>
      <c r="H187">
        <f t="shared" si="166"/>
        <v>1</v>
      </c>
      <c r="I187">
        <f>ROUND(VLOOKUP(INT(A187/1000),Sheet3!$A$2:$B$7,2,FALSE)*Sheet3!D$3,0)</f>
        <v>150</v>
      </c>
      <c r="K187">
        <f>ROUND(VLOOKUP(INT(A187/1000),Sheet3!$A$2:$B$7,2,FALSE)*Sheet3!E$3,0)</f>
        <v>5</v>
      </c>
      <c r="L187">
        <f>ROUND(VLOOKUP(INT(A187/1000),Sheet3!$A$2:$B$7,2,FALSE)*Sheet3!F$3,0)</f>
        <v>3</v>
      </c>
      <c r="M187">
        <f>ROUND(VLOOKUP(INT(A187/1000),Sheet3!$A$2:$B$7,2,FALSE)*Sheet3!G$3,0)</f>
        <v>3</v>
      </c>
    </row>
    <row r="188" spans="1:13" x14ac:dyDescent="0.15">
      <c r="A188">
        <f t="shared" si="170"/>
        <v>16405</v>
      </c>
      <c r="B188" t="str">
        <f t="shared" ref="B188:C188" si="210">B164</f>
        <v>伙伴45级时开启</v>
      </c>
      <c r="C188" t="str">
        <f t="shared" si="210"/>
        <v>进阶+5</v>
      </c>
      <c r="D188">
        <f t="shared" si="165"/>
        <v>1205</v>
      </c>
      <c r="E188">
        <f t="shared" si="165"/>
        <v>200000</v>
      </c>
      <c r="F188" t="str">
        <f t="shared" si="165"/>
        <v>14107|2400</v>
      </c>
      <c r="H188">
        <f t="shared" si="166"/>
        <v>1</v>
      </c>
      <c r="I188">
        <f>ROUND(VLOOKUP(INT(A188/1000),Sheet3!$A$2:$B$7,2,FALSE)*Sheet3!D$3,0)</f>
        <v>150</v>
      </c>
      <c r="K188">
        <f>ROUND(VLOOKUP(INT(A188/1000),Sheet3!$A$2:$B$7,2,FALSE)*Sheet3!E$3,0)</f>
        <v>5</v>
      </c>
      <c r="L188">
        <f>ROUND(VLOOKUP(INT(A188/1000),Sheet3!$A$2:$B$7,2,FALSE)*Sheet3!F$3,0)</f>
        <v>3</v>
      </c>
      <c r="M188">
        <f>ROUND(VLOOKUP(INT(A188/1000),Sheet3!$A$2:$B$7,2,FALSE)*Sheet3!G$3,0)</f>
        <v>3</v>
      </c>
    </row>
    <row r="189" spans="1:13" x14ac:dyDescent="0.15">
      <c r="A189">
        <f t="shared" si="170"/>
        <v>16406</v>
      </c>
      <c r="B189" t="str">
        <f t="shared" ref="B189:C189" si="211">B165</f>
        <v>伙伴55级时开启</v>
      </c>
      <c r="C189" t="str">
        <f t="shared" si="211"/>
        <v>进阶+6</v>
      </c>
      <c r="D189">
        <f t="shared" si="165"/>
        <v>1206</v>
      </c>
      <c r="E189">
        <f t="shared" si="165"/>
        <v>300000</v>
      </c>
      <c r="F189" t="str">
        <f t="shared" si="165"/>
        <v>14107|3600</v>
      </c>
      <c r="H189">
        <f t="shared" si="166"/>
        <v>2</v>
      </c>
      <c r="I189">
        <f>ROUND(VLOOKUP(INT(A189/1000),Sheet3!$A$2:$B$7,2,FALSE)*Sheet3!D$3,0)</f>
        <v>150</v>
      </c>
      <c r="K189">
        <f>ROUND(VLOOKUP(INT(A189/1000),Sheet3!$A$2:$B$7,2,FALSE)*Sheet3!E$3,0)</f>
        <v>5</v>
      </c>
      <c r="L189">
        <f>ROUND(VLOOKUP(INT(A189/1000),Sheet3!$A$2:$B$7,2,FALSE)*Sheet3!F$3,0)</f>
        <v>3</v>
      </c>
      <c r="M189">
        <f>ROUND(VLOOKUP(INT(A189/1000),Sheet3!$A$2:$B$7,2,FALSE)*Sheet3!G$3,0)</f>
        <v>3</v>
      </c>
    </row>
    <row r="190" spans="1:13" x14ac:dyDescent="0.15">
      <c r="A190">
        <f t="shared" si="170"/>
        <v>16407</v>
      </c>
      <c r="B190" t="str">
        <f t="shared" ref="B190:C190" si="212">B166</f>
        <v>伙伴65级时开启</v>
      </c>
      <c r="C190" t="str">
        <f t="shared" si="212"/>
        <v>进阶+7</v>
      </c>
      <c r="D190">
        <f t="shared" si="165"/>
        <v>1207</v>
      </c>
      <c r="E190">
        <f t="shared" si="165"/>
        <v>500000</v>
      </c>
      <c r="F190" t="str">
        <f t="shared" si="165"/>
        <v>14107|6000</v>
      </c>
      <c r="H190">
        <f t="shared" si="166"/>
        <v>2</v>
      </c>
      <c r="I190">
        <f>ROUND(VLOOKUP(INT(A190/1000),Sheet3!$A$2:$B$7,2,FALSE)*Sheet3!D$3,0)</f>
        <v>150</v>
      </c>
      <c r="K190">
        <f>ROUND(VLOOKUP(INT(A190/1000),Sheet3!$A$2:$B$7,2,FALSE)*Sheet3!E$3,0)</f>
        <v>5</v>
      </c>
      <c r="L190">
        <f>ROUND(VLOOKUP(INT(A190/1000),Sheet3!$A$2:$B$7,2,FALSE)*Sheet3!F$3,0)</f>
        <v>3</v>
      </c>
      <c r="M190">
        <f>ROUND(VLOOKUP(INT(A190/1000),Sheet3!$A$2:$B$7,2,FALSE)*Sheet3!G$3,0)</f>
        <v>3</v>
      </c>
    </row>
    <row r="191" spans="1:13" x14ac:dyDescent="0.15">
      <c r="A191">
        <f t="shared" si="170"/>
        <v>16408</v>
      </c>
      <c r="B191" t="str">
        <f t="shared" ref="B191:C191" si="213">B167</f>
        <v>伙伴75级时开启</v>
      </c>
      <c r="C191" t="str">
        <f t="shared" si="213"/>
        <v>进阶+8</v>
      </c>
      <c r="D191">
        <f t="shared" si="165"/>
        <v>1208</v>
      </c>
      <c r="E191">
        <f t="shared" si="165"/>
        <v>800000</v>
      </c>
      <c r="F191" t="str">
        <f t="shared" si="165"/>
        <v>14107|10000</v>
      </c>
      <c r="H191">
        <f t="shared" si="166"/>
        <v>4</v>
      </c>
      <c r="I191">
        <f>ROUND(VLOOKUP(INT(A191/1000),Sheet3!$A$2:$B$7,2,FALSE)*Sheet3!D$3,0)</f>
        <v>150</v>
      </c>
      <c r="K191">
        <f>ROUND(VLOOKUP(INT(A191/1000),Sheet3!$A$2:$B$7,2,FALSE)*Sheet3!E$3,0)</f>
        <v>5</v>
      </c>
      <c r="L191">
        <f>ROUND(VLOOKUP(INT(A191/1000),Sheet3!$A$2:$B$7,2,FALSE)*Sheet3!F$3,0)</f>
        <v>3</v>
      </c>
      <c r="M191">
        <f>ROUND(VLOOKUP(INT(A191/1000),Sheet3!$A$2:$B$7,2,FALSE)*Sheet3!G$3,0)</f>
        <v>3</v>
      </c>
    </row>
    <row r="192" spans="1:13" x14ac:dyDescent="0.15">
      <c r="A192">
        <f t="shared" si="170"/>
        <v>16409</v>
      </c>
      <c r="B192" t="str">
        <f t="shared" ref="B192:C192" si="214">B168</f>
        <v>伙伴85级时开启</v>
      </c>
      <c r="C192" t="str">
        <f t="shared" si="214"/>
        <v>进阶+9</v>
      </c>
      <c r="D192">
        <f t="shared" si="165"/>
        <v>1209</v>
      </c>
      <c r="E192">
        <f t="shared" si="165"/>
        <v>1200000</v>
      </c>
      <c r="F192" t="str">
        <f t="shared" si="165"/>
        <v>14107|15000</v>
      </c>
      <c r="H192">
        <f t="shared" si="166"/>
        <v>6</v>
      </c>
      <c r="I192">
        <f>ROUND(VLOOKUP(INT(A192/1000),Sheet3!$A$2:$B$7,2,FALSE)*Sheet3!D$3,0)</f>
        <v>150</v>
      </c>
      <c r="K192">
        <f>ROUND(VLOOKUP(INT(A192/1000),Sheet3!$A$2:$B$7,2,FALSE)*Sheet3!E$3,0)</f>
        <v>5</v>
      </c>
      <c r="L192">
        <f>ROUND(VLOOKUP(INT(A192/1000),Sheet3!$A$2:$B$7,2,FALSE)*Sheet3!F$3,0)</f>
        <v>3</v>
      </c>
      <c r="M192">
        <f>ROUND(VLOOKUP(INT(A192/1000),Sheet3!$A$2:$B$7,2,FALSE)*Sheet3!G$3,0)</f>
        <v>3</v>
      </c>
    </row>
    <row r="193" spans="1:13" x14ac:dyDescent="0.15">
      <c r="A193">
        <f t="shared" si="170"/>
        <v>16410</v>
      </c>
      <c r="B193" t="str">
        <f t="shared" ref="B193:C193" si="215">B169</f>
        <v>伙伴95级时开启</v>
      </c>
      <c r="C193" t="str">
        <f t="shared" si="215"/>
        <v>进阶+10</v>
      </c>
      <c r="D193">
        <f t="shared" si="165"/>
        <v>1210</v>
      </c>
      <c r="E193">
        <f t="shared" si="165"/>
        <v>1600000</v>
      </c>
      <c r="F193" t="str">
        <f t="shared" si="165"/>
        <v>14107|20000</v>
      </c>
      <c r="H193">
        <f t="shared" si="166"/>
        <v>8</v>
      </c>
      <c r="I193">
        <f>ROUND(VLOOKUP(INT(A193/1000),Sheet3!$A$2:$B$7,2,FALSE)*Sheet3!D$3,0)</f>
        <v>150</v>
      </c>
      <c r="K193">
        <f>ROUND(VLOOKUP(INT(A193/1000),Sheet3!$A$2:$B$7,2,FALSE)*Sheet3!E$3,0)</f>
        <v>5</v>
      </c>
      <c r="L193">
        <f>ROUND(VLOOKUP(INT(A193/1000),Sheet3!$A$2:$B$7,2,FALSE)*Sheet3!F$3,0)</f>
        <v>3</v>
      </c>
      <c r="M193">
        <f>ROUND(VLOOKUP(INT(A193/1000),Sheet3!$A$2:$B$7,2,FALSE)*Sheet3!G$3,0)</f>
        <v>3</v>
      </c>
    </row>
    <row r="194" spans="1:13" x14ac:dyDescent="0.15">
      <c r="A194">
        <f t="shared" si="170"/>
        <v>16411</v>
      </c>
      <c r="B194" t="str">
        <f t="shared" ref="B194:C194" si="216">B170</f>
        <v>伙伴105级时开启</v>
      </c>
      <c r="C194" t="str">
        <f t="shared" si="216"/>
        <v>进阶+11</v>
      </c>
      <c r="D194">
        <f t="shared" si="165"/>
        <v>1211</v>
      </c>
      <c r="E194">
        <f t="shared" si="165"/>
        <v>2000000</v>
      </c>
      <c r="F194" t="str">
        <f t="shared" si="165"/>
        <v>14107|24000</v>
      </c>
      <c r="H194">
        <f t="shared" si="166"/>
        <v>10</v>
      </c>
      <c r="I194">
        <f>ROUND(VLOOKUP(INT(A194/1000),Sheet3!$A$2:$B$7,2,FALSE)*Sheet3!D$3,0)</f>
        <v>150</v>
      </c>
      <c r="K194">
        <f>ROUND(VLOOKUP(INT(A194/1000),Sheet3!$A$2:$B$7,2,FALSE)*Sheet3!E$3,0)</f>
        <v>5</v>
      </c>
      <c r="L194">
        <f>ROUND(VLOOKUP(INT(A194/1000),Sheet3!$A$2:$B$7,2,FALSE)*Sheet3!F$3,0)</f>
        <v>3</v>
      </c>
      <c r="M194">
        <f>ROUND(VLOOKUP(INT(A194/1000),Sheet3!$A$2:$B$7,2,FALSE)*Sheet3!G$3,0)</f>
        <v>3</v>
      </c>
    </row>
    <row r="195" spans="1:13" x14ac:dyDescent="0.15">
      <c r="A195">
        <f t="shared" si="170"/>
        <v>16412</v>
      </c>
      <c r="B195" t="str">
        <f t="shared" ref="B195:C195" si="217">B171</f>
        <v>伙伴115级时开启</v>
      </c>
      <c r="C195" t="str">
        <f t="shared" si="217"/>
        <v>进阶+12</v>
      </c>
      <c r="D195">
        <f t="shared" si="165"/>
        <v>1212</v>
      </c>
      <c r="E195">
        <f t="shared" si="165"/>
        <v>2400000</v>
      </c>
      <c r="F195" t="str">
        <f t="shared" si="165"/>
        <v>14107|28000</v>
      </c>
      <c r="H195">
        <f t="shared" si="166"/>
        <v>12</v>
      </c>
      <c r="I195">
        <f>ROUND(VLOOKUP(INT(A195/1000),Sheet3!$A$2:$B$7,2,FALSE)*Sheet3!D$3,0)</f>
        <v>150</v>
      </c>
      <c r="K195">
        <f>ROUND(VLOOKUP(INT(A195/1000),Sheet3!$A$2:$B$7,2,FALSE)*Sheet3!E$3,0)</f>
        <v>5</v>
      </c>
      <c r="L195">
        <f>ROUND(VLOOKUP(INT(A195/1000),Sheet3!$A$2:$B$7,2,FALSE)*Sheet3!F$3,0)</f>
        <v>3</v>
      </c>
      <c r="M195">
        <f>ROUND(VLOOKUP(INT(A195/1000),Sheet3!$A$2:$B$7,2,FALSE)*Sheet3!G$3,0)</f>
        <v>3</v>
      </c>
    </row>
    <row r="196" spans="1:13" x14ac:dyDescent="0.15">
      <c r="A196">
        <f t="shared" si="170"/>
        <v>16501</v>
      </c>
      <c r="B196" t="str">
        <f t="shared" ref="B196:C196" si="218">B172</f>
        <v>伙伴5级时开启</v>
      </c>
      <c r="C196" t="str">
        <f t="shared" si="218"/>
        <v>进阶+1</v>
      </c>
      <c r="D196">
        <f t="shared" si="165"/>
        <v>1201</v>
      </c>
      <c r="E196">
        <f t="shared" si="165"/>
        <v>10000</v>
      </c>
      <c r="F196" t="str">
        <f t="shared" si="165"/>
        <v>14107|120</v>
      </c>
      <c r="H196">
        <f t="shared" si="166"/>
        <v>0</v>
      </c>
      <c r="I196">
        <f>ROUND(VLOOKUP(INT(A196/1000),Sheet3!$A$2:$B$7,2,FALSE)*Sheet3!D$3,0)</f>
        <v>150</v>
      </c>
      <c r="K196">
        <f>ROUND(VLOOKUP(INT(A196/1000),Sheet3!$A$2:$B$7,2,FALSE)*Sheet3!E$3,0)</f>
        <v>5</v>
      </c>
      <c r="L196">
        <f>ROUND(VLOOKUP(INT(A196/1000),Sheet3!$A$2:$B$7,2,FALSE)*Sheet3!F$3,0)</f>
        <v>3</v>
      </c>
      <c r="M196">
        <f>ROUND(VLOOKUP(INT(A196/1000),Sheet3!$A$2:$B$7,2,FALSE)*Sheet3!G$3,0)</f>
        <v>3</v>
      </c>
    </row>
    <row r="197" spans="1:13" x14ac:dyDescent="0.15">
      <c r="A197">
        <f t="shared" si="170"/>
        <v>16502</v>
      </c>
      <c r="B197" t="str">
        <f t="shared" ref="B197:C197" si="219">B173</f>
        <v>伙伴15级时开启</v>
      </c>
      <c r="C197" t="str">
        <f t="shared" si="219"/>
        <v>进阶+2</v>
      </c>
      <c r="D197">
        <f t="shared" si="165"/>
        <v>1202</v>
      </c>
      <c r="E197">
        <f t="shared" si="165"/>
        <v>30000</v>
      </c>
      <c r="F197" t="str">
        <f t="shared" si="165"/>
        <v>14107|360</v>
      </c>
      <c r="H197">
        <f t="shared" si="166"/>
        <v>0</v>
      </c>
      <c r="I197">
        <f>ROUND(VLOOKUP(INT(A197/1000),Sheet3!$A$2:$B$7,2,FALSE)*Sheet3!D$3,0)</f>
        <v>150</v>
      </c>
      <c r="K197">
        <f>ROUND(VLOOKUP(INT(A197/1000),Sheet3!$A$2:$B$7,2,FALSE)*Sheet3!E$3,0)</f>
        <v>5</v>
      </c>
      <c r="L197">
        <f>ROUND(VLOOKUP(INT(A197/1000),Sheet3!$A$2:$B$7,2,FALSE)*Sheet3!F$3,0)</f>
        <v>3</v>
      </c>
      <c r="M197">
        <f>ROUND(VLOOKUP(INT(A197/1000),Sheet3!$A$2:$B$7,2,FALSE)*Sheet3!G$3,0)</f>
        <v>3</v>
      </c>
    </row>
    <row r="198" spans="1:13" x14ac:dyDescent="0.15">
      <c r="A198">
        <f t="shared" si="170"/>
        <v>16503</v>
      </c>
      <c r="B198" t="str">
        <f t="shared" ref="B198:C198" si="220">B174</f>
        <v>伙伴25级时开启</v>
      </c>
      <c r="C198" t="str">
        <f t="shared" si="220"/>
        <v>进阶+3</v>
      </c>
      <c r="D198">
        <f t="shared" si="165"/>
        <v>1203</v>
      </c>
      <c r="E198">
        <f t="shared" si="165"/>
        <v>50000</v>
      </c>
      <c r="F198" t="str">
        <f t="shared" si="165"/>
        <v>14107|600</v>
      </c>
      <c r="H198">
        <f t="shared" si="166"/>
        <v>0</v>
      </c>
      <c r="I198">
        <f>ROUND(VLOOKUP(INT(A198/1000),Sheet3!$A$2:$B$7,2,FALSE)*Sheet3!D$3,0)</f>
        <v>150</v>
      </c>
      <c r="K198">
        <f>ROUND(VLOOKUP(INT(A198/1000),Sheet3!$A$2:$B$7,2,FALSE)*Sheet3!E$3,0)</f>
        <v>5</v>
      </c>
      <c r="L198">
        <f>ROUND(VLOOKUP(INT(A198/1000),Sheet3!$A$2:$B$7,2,FALSE)*Sheet3!F$3,0)</f>
        <v>3</v>
      </c>
      <c r="M198">
        <f>ROUND(VLOOKUP(INT(A198/1000),Sheet3!$A$2:$B$7,2,FALSE)*Sheet3!G$3,0)</f>
        <v>3</v>
      </c>
    </row>
    <row r="199" spans="1:13" x14ac:dyDescent="0.15">
      <c r="A199">
        <f t="shared" si="170"/>
        <v>16504</v>
      </c>
      <c r="B199" t="str">
        <f t="shared" ref="B199:C199" si="221">B175</f>
        <v>伙伴35级时开启</v>
      </c>
      <c r="C199" t="str">
        <f t="shared" si="221"/>
        <v>进阶+4</v>
      </c>
      <c r="D199">
        <f t="shared" si="165"/>
        <v>1204</v>
      </c>
      <c r="E199">
        <f t="shared" si="165"/>
        <v>100000</v>
      </c>
      <c r="F199" t="str">
        <f t="shared" si="165"/>
        <v>14107|1200</v>
      </c>
      <c r="H199">
        <f t="shared" si="166"/>
        <v>1</v>
      </c>
      <c r="I199">
        <f>ROUND(VLOOKUP(INT(A199/1000),Sheet3!$A$2:$B$7,2,FALSE)*Sheet3!D$3,0)</f>
        <v>150</v>
      </c>
      <c r="K199">
        <f>ROUND(VLOOKUP(INT(A199/1000),Sheet3!$A$2:$B$7,2,FALSE)*Sheet3!E$3,0)</f>
        <v>5</v>
      </c>
      <c r="L199">
        <f>ROUND(VLOOKUP(INT(A199/1000),Sheet3!$A$2:$B$7,2,FALSE)*Sheet3!F$3,0)</f>
        <v>3</v>
      </c>
      <c r="M199">
        <f>ROUND(VLOOKUP(INT(A199/1000),Sheet3!$A$2:$B$7,2,FALSE)*Sheet3!G$3,0)</f>
        <v>3</v>
      </c>
    </row>
    <row r="200" spans="1:13" x14ac:dyDescent="0.15">
      <c r="A200">
        <f t="shared" si="170"/>
        <v>16505</v>
      </c>
      <c r="B200" t="str">
        <f t="shared" ref="B200:C200" si="222">B176</f>
        <v>伙伴45级时开启</v>
      </c>
      <c r="C200" t="str">
        <f t="shared" si="222"/>
        <v>进阶+5</v>
      </c>
      <c r="D200">
        <f t="shared" si="165"/>
        <v>1205</v>
      </c>
      <c r="E200">
        <f t="shared" si="165"/>
        <v>200000</v>
      </c>
      <c r="F200" t="str">
        <f t="shared" si="165"/>
        <v>14107|2400</v>
      </c>
      <c r="H200">
        <f t="shared" si="166"/>
        <v>1</v>
      </c>
      <c r="I200">
        <f>ROUND(VLOOKUP(INT(A200/1000),Sheet3!$A$2:$B$7,2,FALSE)*Sheet3!D$3,0)</f>
        <v>150</v>
      </c>
      <c r="K200">
        <f>ROUND(VLOOKUP(INT(A200/1000),Sheet3!$A$2:$B$7,2,FALSE)*Sheet3!E$3,0)</f>
        <v>5</v>
      </c>
      <c r="L200">
        <f>ROUND(VLOOKUP(INT(A200/1000),Sheet3!$A$2:$B$7,2,FALSE)*Sheet3!F$3,0)</f>
        <v>3</v>
      </c>
      <c r="M200">
        <f>ROUND(VLOOKUP(INT(A200/1000),Sheet3!$A$2:$B$7,2,FALSE)*Sheet3!G$3,0)</f>
        <v>3</v>
      </c>
    </row>
    <row r="201" spans="1:13" x14ac:dyDescent="0.15">
      <c r="A201">
        <f t="shared" si="170"/>
        <v>16506</v>
      </c>
      <c r="B201" t="str">
        <f t="shared" ref="B201:C201" si="223">B177</f>
        <v>伙伴55级时开启</v>
      </c>
      <c r="C201" t="str">
        <f t="shared" si="223"/>
        <v>进阶+6</v>
      </c>
      <c r="D201">
        <f t="shared" si="165"/>
        <v>1206</v>
      </c>
      <c r="E201">
        <f t="shared" si="165"/>
        <v>300000</v>
      </c>
      <c r="F201" t="str">
        <f t="shared" si="165"/>
        <v>14107|3600</v>
      </c>
      <c r="H201">
        <f t="shared" si="166"/>
        <v>2</v>
      </c>
      <c r="I201">
        <f>ROUND(VLOOKUP(INT(A201/1000),Sheet3!$A$2:$B$7,2,FALSE)*Sheet3!D$3,0)</f>
        <v>150</v>
      </c>
      <c r="K201">
        <f>ROUND(VLOOKUP(INT(A201/1000),Sheet3!$A$2:$B$7,2,FALSE)*Sheet3!E$3,0)</f>
        <v>5</v>
      </c>
      <c r="L201">
        <f>ROUND(VLOOKUP(INT(A201/1000),Sheet3!$A$2:$B$7,2,FALSE)*Sheet3!F$3,0)</f>
        <v>3</v>
      </c>
      <c r="M201">
        <f>ROUND(VLOOKUP(INT(A201/1000),Sheet3!$A$2:$B$7,2,FALSE)*Sheet3!G$3,0)</f>
        <v>3</v>
      </c>
    </row>
    <row r="202" spans="1:13" x14ac:dyDescent="0.15">
      <c r="A202">
        <f t="shared" si="170"/>
        <v>16507</v>
      </c>
      <c r="B202" t="str">
        <f t="shared" ref="B202:C202" si="224">B178</f>
        <v>伙伴65级时开启</v>
      </c>
      <c r="C202" t="str">
        <f t="shared" si="224"/>
        <v>进阶+7</v>
      </c>
      <c r="D202">
        <f t="shared" si="165"/>
        <v>1207</v>
      </c>
      <c r="E202">
        <f t="shared" si="165"/>
        <v>500000</v>
      </c>
      <c r="F202" t="str">
        <f t="shared" si="165"/>
        <v>14107|6000</v>
      </c>
      <c r="H202">
        <f t="shared" si="166"/>
        <v>2</v>
      </c>
      <c r="I202">
        <f>ROUND(VLOOKUP(INT(A202/1000),Sheet3!$A$2:$B$7,2,FALSE)*Sheet3!D$3,0)</f>
        <v>150</v>
      </c>
      <c r="K202">
        <f>ROUND(VLOOKUP(INT(A202/1000),Sheet3!$A$2:$B$7,2,FALSE)*Sheet3!E$3,0)</f>
        <v>5</v>
      </c>
      <c r="L202">
        <f>ROUND(VLOOKUP(INT(A202/1000),Sheet3!$A$2:$B$7,2,FALSE)*Sheet3!F$3,0)</f>
        <v>3</v>
      </c>
      <c r="M202">
        <f>ROUND(VLOOKUP(INT(A202/1000),Sheet3!$A$2:$B$7,2,FALSE)*Sheet3!G$3,0)</f>
        <v>3</v>
      </c>
    </row>
    <row r="203" spans="1:13" x14ac:dyDescent="0.15">
      <c r="A203">
        <f t="shared" si="170"/>
        <v>16508</v>
      </c>
      <c r="B203" t="str">
        <f t="shared" ref="B203:C203" si="225">B179</f>
        <v>伙伴75级时开启</v>
      </c>
      <c r="C203" t="str">
        <f t="shared" si="225"/>
        <v>进阶+8</v>
      </c>
      <c r="D203">
        <f t="shared" si="165"/>
        <v>1208</v>
      </c>
      <c r="E203">
        <f t="shared" si="165"/>
        <v>800000</v>
      </c>
      <c r="F203" t="str">
        <f t="shared" si="165"/>
        <v>14107|10000</v>
      </c>
      <c r="H203">
        <f t="shared" si="166"/>
        <v>4</v>
      </c>
      <c r="I203">
        <f>ROUND(VLOOKUP(INT(A203/1000),Sheet3!$A$2:$B$7,2,FALSE)*Sheet3!D$3,0)</f>
        <v>150</v>
      </c>
      <c r="K203">
        <f>ROUND(VLOOKUP(INT(A203/1000),Sheet3!$A$2:$B$7,2,FALSE)*Sheet3!E$3,0)</f>
        <v>5</v>
      </c>
      <c r="L203">
        <f>ROUND(VLOOKUP(INT(A203/1000),Sheet3!$A$2:$B$7,2,FALSE)*Sheet3!F$3,0)</f>
        <v>3</v>
      </c>
      <c r="M203">
        <f>ROUND(VLOOKUP(INT(A203/1000),Sheet3!$A$2:$B$7,2,FALSE)*Sheet3!G$3,0)</f>
        <v>3</v>
      </c>
    </row>
    <row r="204" spans="1:13" x14ac:dyDescent="0.15">
      <c r="A204">
        <f t="shared" si="170"/>
        <v>16509</v>
      </c>
      <c r="B204" t="str">
        <f t="shared" ref="B204:C204" si="226">B180</f>
        <v>伙伴85级时开启</v>
      </c>
      <c r="C204" t="str">
        <f t="shared" si="226"/>
        <v>进阶+9</v>
      </c>
      <c r="D204">
        <f t="shared" si="165"/>
        <v>1209</v>
      </c>
      <c r="E204">
        <f t="shared" si="165"/>
        <v>1200000</v>
      </c>
      <c r="F204" t="str">
        <f t="shared" si="165"/>
        <v>14107|15000</v>
      </c>
      <c r="H204">
        <f t="shared" si="166"/>
        <v>6</v>
      </c>
      <c r="I204">
        <f>ROUND(VLOOKUP(INT(A204/1000),Sheet3!$A$2:$B$7,2,FALSE)*Sheet3!D$3,0)</f>
        <v>150</v>
      </c>
      <c r="K204">
        <f>ROUND(VLOOKUP(INT(A204/1000),Sheet3!$A$2:$B$7,2,FALSE)*Sheet3!E$3,0)</f>
        <v>5</v>
      </c>
      <c r="L204">
        <f>ROUND(VLOOKUP(INT(A204/1000),Sheet3!$A$2:$B$7,2,FALSE)*Sheet3!F$3,0)</f>
        <v>3</v>
      </c>
      <c r="M204">
        <f>ROUND(VLOOKUP(INT(A204/1000),Sheet3!$A$2:$B$7,2,FALSE)*Sheet3!G$3,0)</f>
        <v>3</v>
      </c>
    </row>
    <row r="205" spans="1:13" x14ac:dyDescent="0.15">
      <c r="A205">
        <f t="shared" si="170"/>
        <v>16510</v>
      </c>
      <c r="B205" t="str">
        <f t="shared" ref="B205:C205" si="227">B181</f>
        <v>伙伴95级时开启</v>
      </c>
      <c r="C205" t="str">
        <f t="shared" si="227"/>
        <v>进阶+10</v>
      </c>
      <c r="D205">
        <f t="shared" si="165"/>
        <v>1210</v>
      </c>
      <c r="E205">
        <f t="shared" si="165"/>
        <v>1600000</v>
      </c>
      <c r="F205" t="str">
        <f t="shared" si="165"/>
        <v>14107|20000</v>
      </c>
      <c r="H205">
        <f t="shared" si="166"/>
        <v>8</v>
      </c>
      <c r="I205">
        <f>ROUND(VLOOKUP(INT(A205/1000),Sheet3!$A$2:$B$7,2,FALSE)*Sheet3!D$3,0)</f>
        <v>150</v>
      </c>
      <c r="K205">
        <f>ROUND(VLOOKUP(INT(A205/1000),Sheet3!$A$2:$B$7,2,FALSE)*Sheet3!E$3,0)</f>
        <v>5</v>
      </c>
      <c r="L205">
        <f>ROUND(VLOOKUP(INT(A205/1000),Sheet3!$A$2:$B$7,2,FALSE)*Sheet3!F$3,0)</f>
        <v>3</v>
      </c>
      <c r="M205">
        <f>ROUND(VLOOKUP(INT(A205/1000),Sheet3!$A$2:$B$7,2,FALSE)*Sheet3!G$3,0)</f>
        <v>3</v>
      </c>
    </row>
    <row r="206" spans="1:13" x14ac:dyDescent="0.15">
      <c r="A206">
        <f t="shared" si="170"/>
        <v>16511</v>
      </c>
      <c r="B206" t="str">
        <f t="shared" ref="B206:C206" si="228">B182</f>
        <v>伙伴105级时开启</v>
      </c>
      <c r="C206" t="str">
        <f t="shared" si="228"/>
        <v>进阶+11</v>
      </c>
      <c r="D206">
        <f t="shared" si="165"/>
        <v>1211</v>
      </c>
      <c r="E206">
        <f t="shared" si="165"/>
        <v>2000000</v>
      </c>
      <c r="F206" t="str">
        <f t="shared" si="165"/>
        <v>14107|24000</v>
      </c>
      <c r="H206">
        <f t="shared" si="166"/>
        <v>10</v>
      </c>
      <c r="I206">
        <f>ROUND(VLOOKUP(INT(A206/1000),Sheet3!$A$2:$B$7,2,FALSE)*Sheet3!D$3,0)</f>
        <v>150</v>
      </c>
      <c r="K206">
        <f>ROUND(VLOOKUP(INT(A206/1000),Sheet3!$A$2:$B$7,2,FALSE)*Sheet3!E$3,0)</f>
        <v>5</v>
      </c>
      <c r="L206">
        <f>ROUND(VLOOKUP(INT(A206/1000),Sheet3!$A$2:$B$7,2,FALSE)*Sheet3!F$3,0)</f>
        <v>3</v>
      </c>
      <c r="M206">
        <f>ROUND(VLOOKUP(INT(A206/1000),Sheet3!$A$2:$B$7,2,FALSE)*Sheet3!G$3,0)</f>
        <v>3</v>
      </c>
    </row>
    <row r="207" spans="1:13" x14ac:dyDescent="0.15">
      <c r="A207">
        <f t="shared" si="170"/>
        <v>16512</v>
      </c>
      <c r="B207" t="str">
        <f t="shared" ref="B207:C207" si="229">B183</f>
        <v>伙伴115级时开启</v>
      </c>
      <c r="C207" t="str">
        <f t="shared" si="229"/>
        <v>进阶+12</v>
      </c>
      <c r="D207">
        <f t="shared" si="165"/>
        <v>1212</v>
      </c>
      <c r="E207">
        <f t="shared" si="165"/>
        <v>2400000</v>
      </c>
      <c r="F207" t="str">
        <f t="shared" si="165"/>
        <v>14107|28000</v>
      </c>
      <c r="H207">
        <f t="shared" si="166"/>
        <v>12</v>
      </c>
      <c r="I207">
        <f>ROUND(VLOOKUP(INT(A207/1000),Sheet3!$A$2:$B$7,2,FALSE)*Sheet3!D$3,0)</f>
        <v>150</v>
      </c>
      <c r="K207">
        <f>ROUND(VLOOKUP(INT(A207/1000),Sheet3!$A$2:$B$7,2,FALSE)*Sheet3!E$3,0)</f>
        <v>5</v>
      </c>
      <c r="L207">
        <f>ROUND(VLOOKUP(INT(A207/1000),Sheet3!$A$2:$B$7,2,FALSE)*Sheet3!F$3,0)</f>
        <v>3</v>
      </c>
      <c r="M207">
        <f>ROUND(VLOOKUP(INT(A207/1000),Sheet3!$A$2:$B$7,2,FALSE)*Sheet3!G$3,0)</f>
        <v>3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J9" sqref="J9"/>
    </sheetView>
  </sheetViews>
  <sheetFormatPr defaultRowHeight="13.5" x14ac:dyDescent="0.15"/>
  <sheetData>
    <row r="1" spans="1:7" ht="16.5" x14ac:dyDescent="0.15">
      <c r="A1" s="10" t="s">
        <v>41</v>
      </c>
      <c r="B1" s="10" t="s">
        <v>42</v>
      </c>
      <c r="D1" s="11" t="s">
        <v>43</v>
      </c>
      <c r="E1" s="11" t="s">
        <v>44</v>
      </c>
      <c r="F1" s="11" t="s">
        <v>45</v>
      </c>
      <c r="G1" s="11" t="s">
        <v>46</v>
      </c>
    </row>
    <row r="2" spans="1:7" ht="16.5" x14ac:dyDescent="0.15">
      <c r="A2" s="10">
        <v>20</v>
      </c>
      <c r="B2" s="10">
        <v>1.2</v>
      </c>
      <c r="D2" s="11">
        <v>600</v>
      </c>
      <c r="E2" s="11">
        <v>20</v>
      </c>
      <c r="F2" s="11">
        <v>10</v>
      </c>
      <c r="G2" s="11">
        <v>10</v>
      </c>
    </row>
    <row r="3" spans="1:7" x14ac:dyDescent="0.15">
      <c r="A3" s="10">
        <v>16</v>
      </c>
      <c r="B3" s="10">
        <v>1</v>
      </c>
      <c r="D3">
        <f>D2*0.25</f>
        <v>150</v>
      </c>
      <c r="E3">
        <f t="shared" ref="E3:G3" si="0">E2*0.25</f>
        <v>5</v>
      </c>
      <c r="F3">
        <f t="shared" si="0"/>
        <v>2.5</v>
      </c>
      <c r="G3">
        <f t="shared" si="0"/>
        <v>2.5</v>
      </c>
    </row>
    <row r="4" spans="1:7" x14ac:dyDescent="0.15">
      <c r="A4" s="10">
        <v>13</v>
      </c>
      <c r="B4" s="10">
        <v>0.9</v>
      </c>
    </row>
    <row r="5" spans="1:7" x14ac:dyDescent="0.15">
      <c r="A5" s="10">
        <v>11</v>
      </c>
      <c r="B5" s="10">
        <v>0.8</v>
      </c>
    </row>
    <row r="6" spans="1:7" x14ac:dyDescent="0.15">
      <c r="A6" s="10">
        <v>6</v>
      </c>
      <c r="B6" s="10">
        <v>0.7</v>
      </c>
    </row>
    <row r="7" spans="1:7" x14ac:dyDescent="0.15">
      <c r="A7" s="10">
        <v>2</v>
      </c>
      <c r="B7" s="10">
        <v>0.6</v>
      </c>
    </row>
    <row r="8" spans="1:7" x14ac:dyDescent="0.15">
      <c r="A8" s="10">
        <v>0</v>
      </c>
      <c r="B8" s="10">
        <v>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</dc:creator>
  <cp:lastModifiedBy>Windows User</cp:lastModifiedBy>
  <dcterms:created xsi:type="dcterms:W3CDTF">2006-09-16T00:00:00Z</dcterms:created>
  <dcterms:modified xsi:type="dcterms:W3CDTF">2017-12-18T11:55:22Z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2052-9.1.0.5133</vt:lpwstr>
  </property>
</Properties>
</file>